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BA8AC78-A14A-4DCD-9063-1FB0FF4911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st 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23" i="1"/>
</calcChain>
</file>

<file path=xl/sharedStrings.xml><?xml version="1.0" encoding="utf-8"?>
<sst xmlns="http://schemas.openxmlformats.org/spreadsheetml/2006/main" count="42" uniqueCount="22">
  <si>
    <t>Scenario One:</t>
  </si>
  <si>
    <t>Permanent Staff Only</t>
  </si>
  <si>
    <t>Setup:</t>
  </si>
  <si>
    <t>Year</t>
  </si>
  <si>
    <t>Total Number:</t>
  </si>
  <si>
    <t>Yearly Cost:</t>
  </si>
  <si>
    <t>2 Permananent Staff</t>
  </si>
  <si>
    <t>2 Permanent Staff</t>
  </si>
  <si>
    <t>2024 Total</t>
  </si>
  <si>
    <t>Scenario Two:</t>
  </si>
  <si>
    <t>Increase Permanent Staff</t>
  </si>
  <si>
    <t>3 Permanent Staff</t>
  </si>
  <si>
    <t>Scenario Three:</t>
  </si>
  <si>
    <t>Permanent Staff and Call Center Retainer</t>
  </si>
  <si>
    <t>Retainer Fee</t>
  </si>
  <si>
    <t>12 (€1000 per month)</t>
  </si>
  <si>
    <t>Overflow Transfer Cost</t>
  </si>
  <si>
    <t>5 (overflow events)</t>
  </si>
  <si>
    <t>Scenario Four:</t>
  </si>
  <si>
    <t>Permanent Staff and Chat Agent/FAQ</t>
  </si>
  <si>
    <t>Development costs</t>
  </si>
  <si>
    <t>3 Part-Time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</si>
</sst>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_);_([$€-2]\ * \(#,##0\);_([$€-2]\ 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2" borderId="2" xfId="0" applyFill="1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0" borderId="8" xfId="0" applyBorder="1"/>
    <xf numFmtId="164" fontId="0" fillId="0" borderId="9" xfId="0" applyNumberFormat="1" applyBorder="1"/>
    <xf numFmtId="0" fontId="1" fillId="0" borderId="8" xfId="0" applyFont="1" applyBorder="1"/>
    <xf numFmtId="0" fontId="0" fillId="0" borderId="10" xfId="0" applyBorder="1"/>
    <xf numFmtId="164" fontId="0" fillId="0" borderId="6" xfId="0" applyNumberFormat="1" applyBorder="1"/>
    <xf numFmtId="164" fontId="0" fillId="0" borderId="5" xfId="0" applyNumberFormat="1" applyBorder="1"/>
    <xf numFmtId="0" fontId="0" fillId="2" borderId="3" xfId="0" applyFill="1" applyBorder="1"/>
    <xf numFmtId="164" fontId="0" fillId="0" borderId="8" xfId="0" applyNumberFormat="1" applyBorder="1"/>
    <xf numFmtId="0" fontId="0" fillId="0" borderId="7" xfId="0" applyBorder="1" applyAlignment="1">
      <alignment wrapText="1"/>
    </xf>
    <xf numFmtId="0" fontId="2" fillId="0" borderId="8" xfId="0" applyFont="1" applyBorder="1"/>
    <xf numFmtId="0" fontId="1" fillId="0" borderId="11" xfId="0" applyFont="1" applyBorder="1"/>
    <xf numFmtId="164" fontId="1" fillId="0" borderId="12" xfId="0" applyNumberFormat="1" applyFont="1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2" borderId="16" xfId="0" applyFill="1" applyBorder="1"/>
    <xf numFmtId="0" fontId="0" fillId="0" borderId="17" xfId="0" applyBorder="1"/>
    <xf numFmtId="164" fontId="1" fillId="0" borderId="18" xfId="0" applyNumberFormat="1" applyFont="1" applyBorder="1"/>
    <xf numFmtId="0" fontId="2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Normal" xfId="0" builtinId="0"/>
  </cellStyles>
  <dxfs count="22">
    <dxf>
      <numFmt numFmtId="164" formatCode="_([$€-2]\ * #,##0_);_([$€-2]\ * \(#,##0\);_([$€-2]\ 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[$€-2]\ * #,##0_);_([$€-2]\ * \(#,##0\);_([$€-2]\ 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[$€-2]\ * #,##0_);_([$€-2]\ * \(#,##0\);_([$€-2]\ 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A5E9F-6D28-4399-A679-F08F2E18D96C}" name="Table1" displayName="Table1" ref="B3:E6" totalsRowShown="0" headerRowDxfId="21" headerRowBorderDxfId="19" tableBorderDxfId="20" totalsRowBorderDxfId="18">
  <autoFilter ref="B3:E6" xr:uid="{5B0A5E9F-6D28-4399-A679-F08F2E18D96C}"/>
  <tableColumns count="4">
    <tableColumn id="1" xr3:uid="{9729B6B6-5241-42CF-9CE9-14F9D71F2A6F}" name="Setup:"/>
    <tableColumn id="2" xr3:uid="{162161D7-8CC8-4E9F-9107-974B93489CAB}" name="Year"/>
    <tableColumn id="3" xr3:uid="{55E0C19C-37C5-407F-AD2C-DF26C68CC596}" name="Total Number:" dataDxfId="17"/>
    <tableColumn id="4" xr3:uid="{FA5323A4-8A4A-429E-8D40-97F146F107A1}" name="Yearly Cost: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A4B96-D3E2-4551-AEFC-F6B9E4EA52EF}" name="Table2" displayName="Table2" ref="B18:E23" totalsRowShown="0" headerRowDxfId="15" headerRowBorderDxfId="13" tableBorderDxfId="14" totalsRowBorderDxfId="12">
  <autoFilter ref="B18:E23" xr:uid="{5FDA4B96-D3E2-4551-AEFC-F6B9E4EA52EF}"/>
  <tableColumns count="4">
    <tableColumn id="1" xr3:uid="{BACC74F5-F29E-4A15-8305-12067FBB37D5}" name="Setup:" dataDxfId="11"/>
    <tableColumn id="2" xr3:uid="{AD0AC2DF-9299-4D9C-A6F0-E5C5E84ADC4E}" name="Year" dataDxfId="10"/>
    <tableColumn id="3" xr3:uid="{C2920243-4529-4A2D-B1AA-BC5FEF170F76}" name="Total Number:" dataDxfId="9"/>
    <tableColumn id="4" xr3:uid="{1A572C41-17CE-4166-A234-8ACBD1A22ED7}" name="Yearly Cost: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F0EC42-8CE8-402F-9B59-050E6BBB34C1}" name="Table24" displayName="Table24" ref="B27:E31" totalsRowShown="0" headerRowDxfId="7" headerRowBorderDxfId="5" tableBorderDxfId="6" totalsRowBorderDxfId="4">
  <autoFilter ref="B27:E31" xr:uid="{25F0EC42-8CE8-402F-9B59-050E6BBB34C1}"/>
  <tableColumns count="4">
    <tableColumn id="1" xr3:uid="{7CADF728-7670-435B-A805-B1CF46BE2852}" name="Setup:" dataDxfId="3"/>
    <tableColumn id="2" xr3:uid="{14677D49-A4E6-481D-955D-5F550F34D309}" name="Year" dataDxfId="2"/>
    <tableColumn id="3" xr3:uid="{437377FD-2B74-4411-B374-C594AC83AA1E}" name="Total Number:" dataDxfId="1"/>
    <tableColumn id="4" xr3:uid="{0EF85493-32EC-4300-826F-9DE500F5E84A}" name="Yearly Cost: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tabSelected="1" workbookViewId="0">
      <selection activeCell="J30" sqref="J30"/>
    </sheetView>
  </sheetViews>
  <sheetFormatPr defaultRowHeight="15"/>
  <cols>
    <col min="2" max="2" width="23.5703125" customWidth="1"/>
    <col min="3" max="3" width="15.7109375" customWidth="1"/>
    <col min="4" max="4" width="21.7109375" customWidth="1"/>
    <col min="5" max="5" width="14.28515625" customWidth="1"/>
  </cols>
  <sheetData>
    <row r="2" spans="2:5" ht="17.25" customHeight="1">
      <c r="B2" s="18" t="s">
        <v>0</v>
      </c>
      <c r="C2" s="27" t="s">
        <v>1</v>
      </c>
      <c r="D2" s="27"/>
      <c r="E2" s="27"/>
    </row>
    <row r="3" spans="2:5">
      <c r="B3" s="12" t="s">
        <v>2</v>
      </c>
      <c r="C3" s="12" t="s">
        <v>3</v>
      </c>
      <c r="D3" s="12" t="s">
        <v>4</v>
      </c>
      <c r="E3" s="12" t="s">
        <v>5</v>
      </c>
    </row>
    <row r="4" spans="2:5">
      <c r="B4" s="7" t="s">
        <v>6</v>
      </c>
      <c r="C4" s="7">
        <v>2023</v>
      </c>
      <c r="D4" s="7">
        <v>2</v>
      </c>
      <c r="E4" s="14">
        <v>100000</v>
      </c>
    </row>
    <row r="5" spans="2:5">
      <c r="B5" s="9" t="s">
        <v>7</v>
      </c>
      <c r="C5" s="9">
        <v>2024</v>
      </c>
      <c r="D5" s="9">
        <v>2</v>
      </c>
      <c r="E5" s="16">
        <v>100000</v>
      </c>
    </row>
    <row r="6" spans="2:5">
      <c r="B6" s="15"/>
      <c r="C6" s="4"/>
      <c r="D6" s="19" t="s">
        <v>8</v>
      </c>
      <c r="E6" s="20">
        <v>100000</v>
      </c>
    </row>
    <row r="8" spans="2:5" ht="25.5" customHeight="1"/>
    <row r="9" spans="2:5" ht="15.75">
      <c r="B9" s="18" t="s">
        <v>9</v>
      </c>
      <c r="C9" s="27" t="s">
        <v>10</v>
      </c>
      <c r="D9" s="27"/>
      <c r="E9" s="27"/>
    </row>
    <row r="10" spans="2:5">
      <c r="B10" s="12" t="s">
        <v>2</v>
      </c>
      <c r="C10" s="12" t="s">
        <v>3</v>
      </c>
      <c r="D10" s="12" t="s">
        <v>4</v>
      </c>
      <c r="E10" s="12" t="s">
        <v>5</v>
      </c>
    </row>
    <row r="11" spans="2:5">
      <c r="B11" s="7" t="s">
        <v>6</v>
      </c>
      <c r="C11" s="7">
        <v>2023</v>
      </c>
      <c r="D11" s="7">
        <v>2</v>
      </c>
      <c r="E11" s="14">
        <v>100000</v>
      </c>
    </row>
    <row r="12" spans="2:5">
      <c r="B12" s="9" t="s">
        <v>11</v>
      </c>
      <c r="C12" s="9">
        <v>2024</v>
      </c>
      <c r="D12" s="9">
        <v>3</v>
      </c>
      <c r="E12" s="16">
        <v>150000</v>
      </c>
    </row>
    <row r="13" spans="2:5" ht="18" customHeight="1">
      <c r="B13" s="15"/>
      <c r="C13" s="4"/>
      <c r="D13" s="19" t="s">
        <v>8</v>
      </c>
      <c r="E13" s="20">
        <v>150000</v>
      </c>
    </row>
    <row r="17" spans="2:5">
      <c r="B17" s="11" t="s">
        <v>12</v>
      </c>
      <c r="C17" s="28" t="s">
        <v>13</v>
      </c>
      <c r="D17" s="28"/>
      <c r="E17" s="28"/>
    </row>
    <row r="18" spans="2:5">
      <c r="B18" s="23" t="s">
        <v>2</v>
      </c>
      <c r="C18" s="21" t="s">
        <v>3</v>
      </c>
      <c r="D18" s="21" t="s">
        <v>4</v>
      </c>
      <c r="E18" s="25" t="s">
        <v>5</v>
      </c>
    </row>
    <row r="19" spans="2:5">
      <c r="B19" s="6" t="s">
        <v>6</v>
      </c>
      <c r="C19" s="7">
        <v>2023</v>
      </c>
      <c r="D19" s="7">
        <v>2</v>
      </c>
      <c r="E19" s="13">
        <v>100000</v>
      </c>
    </row>
    <row r="20" spans="2:5">
      <c r="B20" s="3" t="s">
        <v>6</v>
      </c>
      <c r="C20" s="1">
        <v>2024</v>
      </c>
      <c r="D20" s="1">
        <v>2</v>
      </c>
      <c r="E20" s="5">
        <v>100000</v>
      </c>
    </row>
    <row r="21" spans="2:5">
      <c r="B21" s="3" t="s">
        <v>14</v>
      </c>
      <c r="C21" s="1">
        <v>2024</v>
      </c>
      <c r="D21" s="1" t="s">
        <v>15</v>
      </c>
      <c r="E21" s="5">
        <v>12000</v>
      </c>
    </row>
    <row r="22" spans="2:5">
      <c r="B22" s="17" t="s">
        <v>16</v>
      </c>
      <c r="C22" s="9">
        <v>2024</v>
      </c>
      <c r="D22" s="9" t="s">
        <v>17</v>
      </c>
      <c r="E22" s="10">
        <v>12500</v>
      </c>
    </row>
    <row r="23" spans="2:5">
      <c r="B23" s="24"/>
      <c r="C23" s="8"/>
      <c r="D23" s="22" t="s">
        <v>8</v>
      </c>
      <c r="E23" s="26">
        <f>SUM(E20:E22)</f>
        <v>124500</v>
      </c>
    </row>
    <row r="26" spans="2:5">
      <c r="B26" s="11" t="s">
        <v>18</v>
      </c>
      <c r="C26" s="28" t="s">
        <v>19</v>
      </c>
      <c r="D26" s="28"/>
      <c r="E26" s="28"/>
    </row>
    <row r="27" spans="2:5">
      <c r="B27" s="12" t="s">
        <v>2</v>
      </c>
      <c r="C27" s="12" t="s">
        <v>3</v>
      </c>
      <c r="D27" s="12" t="s">
        <v>4</v>
      </c>
      <c r="E27" s="12" t="s">
        <v>5</v>
      </c>
    </row>
    <row r="28" spans="2:5">
      <c r="B28" s="7" t="s">
        <v>6</v>
      </c>
      <c r="C28" s="7">
        <v>2023</v>
      </c>
      <c r="D28" s="7">
        <v>2</v>
      </c>
      <c r="E28" s="14">
        <v>100000</v>
      </c>
    </row>
    <row r="29" spans="2:5">
      <c r="B29" s="1" t="s">
        <v>20</v>
      </c>
      <c r="C29" s="1">
        <v>2023</v>
      </c>
      <c r="D29" s="1" t="s">
        <v>21</v>
      </c>
      <c r="E29" s="2">
        <v>60000</v>
      </c>
    </row>
    <row r="30" spans="2:5">
      <c r="B30" s="9" t="s">
        <v>6</v>
      </c>
      <c r="C30" s="9">
        <v>2024</v>
      </c>
      <c r="D30" s="1">
        <v>2</v>
      </c>
      <c r="E30" s="2">
        <v>100000</v>
      </c>
    </row>
    <row r="31" spans="2:5">
      <c r="B31" s="15"/>
      <c r="C31" s="4"/>
      <c r="D31" s="19" t="s">
        <v>8</v>
      </c>
      <c r="E31" s="20">
        <f>SUM(E30)</f>
        <v>100000</v>
      </c>
    </row>
  </sheetData>
  <mergeCells count="4">
    <mergeCell ref="C2:E2"/>
    <mergeCell ref="C17:E17"/>
    <mergeCell ref="C9:E9"/>
    <mergeCell ref="C26:E2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2026-01-20T06:33:31Z</dcterms:created>
  <dcterms:modified xsi:type="dcterms:W3CDTF">2026-01-20T20:11:09Z</dcterms:modified>
  <cp:category/>
  <cp:contentStatus/>
</cp:coreProperties>
</file>