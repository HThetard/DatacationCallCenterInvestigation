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56655A62-F7B4-4147-8B12-C629D4DE399C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Full_Forecast" sheetId="1" r:id="rId1"/>
    <sheet name="Training_Comparison" sheetId="2" r:id="rId2"/>
    <sheet name="Call Volume Forecast" sheetId="3" r:id="rId3"/>
    <sheet name="Headcount FOrecast" sheetId="4" r:id="rId4"/>
    <sheet name="Headcount Rrequirement" sheetId="5" r:id="rId5"/>
  </sheets>
  <calcPr calcId="191028"/>
  <pivotCaches>
    <pivotCache cacheId="860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45" i="1" l="1"/>
  <c r="V1045" i="1" s="1"/>
  <c r="X1045" i="1" s="1"/>
  <c r="Z1045" i="1"/>
  <c r="U1046" i="1"/>
  <c r="V1046" i="1"/>
  <c r="X1046" i="1" s="1"/>
  <c r="U1047" i="1"/>
  <c r="V1047" i="1"/>
  <c r="X1047" i="1"/>
  <c r="U1048" i="1"/>
  <c r="V1048" i="1"/>
  <c r="X1048" i="1"/>
  <c r="U1049" i="1"/>
  <c r="V1049" i="1"/>
  <c r="X1049" i="1"/>
  <c r="U1050" i="1"/>
  <c r="V1050" i="1"/>
  <c r="X1050" i="1"/>
  <c r="U1051" i="1"/>
  <c r="V1051" i="1"/>
  <c r="X1051" i="1"/>
  <c r="U1052" i="1"/>
  <c r="V1052" i="1"/>
  <c r="X1052" i="1"/>
  <c r="U1053" i="1"/>
  <c r="V1053" i="1"/>
  <c r="X1053" i="1"/>
  <c r="U1054" i="1"/>
  <c r="V1054" i="1"/>
  <c r="X1054" i="1"/>
  <c r="U1055" i="1"/>
  <c r="V1055" i="1"/>
  <c r="X1055" i="1"/>
  <c r="U1056" i="1"/>
  <c r="V1056" i="1"/>
  <c r="X1056" i="1"/>
  <c r="U1057" i="1"/>
  <c r="V1057" i="1"/>
  <c r="X1057" i="1"/>
  <c r="U1058" i="1"/>
  <c r="V1058" i="1"/>
  <c r="X1058" i="1"/>
  <c r="U1059" i="1"/>
  <c r="V1059" i="1"/>
  <c r="X1059" i="1"/>
  <c r="U1060" i="1"/>
  <c r="V1060" i="1"/>
  <c r="X1060" i="1"/>
  <c r="U1061" i="1"/>
  <c r="V1061" i="1"/>
  <c r="X1061" i="1"/>
  <c r="U1062" i="1"/>
  <c r="V1062" i="1"/>
  <c r="X1062" i="1"/>
  <c r="U1063" i="1"/>
  <c r="V1063" i="1"/>
  <c r="X1063" i="1"/>
  <c r="U1064" i="1"/>
  <c r="V1064" i="1"/>
  <c r="X1064" i="1"/>
  <c r="U1065" i="1"/>
  <c r="V1065" i="1"/>
  <c r="X1065" i="1"/>
  <c r="U1066" i="1"/>
  <c r="V1066" i="1"/>
  <c r="X1066" i="1"/>
  <c r="U1067" i="1"/>
  <c r="V1067" i="1"/>
  <c r="X1067" i="1"/>
  <c r="U1068" i="1"/>
  <c r="V1068" i="1"/>
  <c r="X1068" i="1"/>
  <c r="U1069" i="1"/>
  <c r="V1069" i="1"/>
  <c r="X1069" i="1"/>
  <c r="U1070" i="1"/>
  <c r="V1070" i="1"/>
  <c r="X1070" i="1"/>
  <c r="U1071" i="1"/>
  <c r="V1071" i="1"/>
  <c r="X1071" i="1"/>
  <c r="U1072" i="1"/>
  <c r="V1072" i="1"/>
  <c r="X1072" i="1"/>
  <c r="U1073" i="1"/>
  <c r="V1073" i="1"/>
  <c r="X1073" i="1"/>
  <c r="U1074" i="1"/>
  <c r="V1074" i="1"/>
  <c r="X1074" i="1"/>
  <c r="U1075" i="1"/>
  <c r="V1075" i="1"/>
  <c r="X1075" i="1"/>
  <c r="U1076" i="1"/>
  <c r="V1076" i="1"/>
  <c r="X1076" i="1"/>
  <c r="U1077" i="1"/>
  <c r="V1077" i="1"/>
  <c r="X1077" i="1"/>
  <c r="U1078" i="1"/>
  <c r="V1078" i="1"/>
  <c r="X1078" i="1"/>
  <c r="U1079" i="1"/>
  <c r="V1079" i="1"/>
  <c r="X1079" i="1"/>
  <c r="U1080" i="1"/>
  <c r="V1080" i="1"/>
  <c r="X1080" i="1"/>
  <c r="U1081" i="1"/>
  <c r="V1081" i="1"/>
  <c r="X1081" i="1"/>
  <c r="U1082" i="1"/>
  <c r="V1082" i="1"/>
  <c r="X1082" i="1"/>
  <c r="U1083" i="1"/>
  <c r="V1083" i="1"/>
  <c r="X1083" i="1"/>
  <c r="U1084" i="1"/>
  <c r="V1084" i="1"/>
  <c r="X1084" i="1"/>
  <c r="U1085" i="1"/>
  <c r="V1085" i="1"/>
  <c r="X1085" i="1"/>
  <c r="U1086" i="1"/>
  <c r="V1086" i="1"/>
  <c r="X1086" i="1"/>
  <c r="U1087" i="1"/>
  <c r="V1087" i="1"/>
  <c r="X1087" i="1"/>
  <c r="U1088" i="1"/>
  <c r="V1088" i="1"/>
  <c r="X1088" i="1"/>
  <c r="U1089" i="1"/>
  <c r="V1089" i="1"/>
  <c r="X1089" i="1"/>
  <c r="U1090" i="1"/>
  <c r="V1090" i="1"/>
  <c r="X1090" i="1"/>
  <c r="U1091" i="1"/>
  <c r="V1091" i="1"/>
  <c r="X1091" i="1"/>
  <c r="U1092" i="1"/>
  <c r="V1092" i="1"/>
  <c r="X1092" i="1"/>
  <c r="U1093" i="1"/>
  <c r="V1093" i="1"/>
  <c r="X1093" i="1"/>
  <c r="U1094" i="1"/>
  <c r="V1094" i="1"/>
  <c r="X1094" i="1"/>
  <c r="U1095" i="1"/>
  <c r="V1095" i="1"/>
  <c r="X1095" i="1"/>
  <c r="U1096" i="1"/>
  <c r="V1096" i="1"/>
  <c r="X1096" i="1"/>
  <c r="U1097" i="1"/>
  <c r="V1097" i="1"/>
  <c r="X1097" i="1"/>
  <c r="U1098" i="1"/>
  <c r="V1098" i="1"/>
  <c r="X1098" i="1"/>
  <c r="U1099" i="1"/>
  <c r="V1099" i="1"/>
  <c r="X1099" i="1"/>
  <c r="U1100" i="1"/>
  <c r="V1100" i="1"/>
  <c r="X1100" i="1"/>
  <c r="U1101" i="1"/>
  <c r="V1101" i="1"/>
  <c r="X1101" i="1"/>
  <c r="U1102" i="1"/>
  <c r="V1102" i="1"/>
  <c r="X1102" i="1"/>
  <c r="U1103" i="1"/>
  <c r="V1103" i="1"/>
  <c r="X1103" i="1"/>
  <c r="U1104" i="1"/>
  <c r="V1104" i="1"/>
  <c r="X1104" i="1"/>
  <c r="U1105" i="1"/>
  <c r="V1105" i="1"/>
  <c r="X1105" i="1"/>
  <c r="U1106" i="1"/>
  <c r="V1106" i="1"/>
  <c r="X1106" i="1"/>
  <c r="U1107" i="1"/>
  <c r="V1107" i="1"/>
  <c r="X1107" i="1"/>
  <c r="U1108" i="1"/>
  <c r="V1108" i="1"/>
  <c r="X1108" i="1"/>
  <c r="U1109" i="1"/>
  <c r="V1109" i="1"/>
  <c r="X1109" i="1"/>
  <c r="U1110" i="1"/>
  <c r="V1110" i="1"/>
  <c r="X1110" i="1"/>
  <c r="U1111" i="1"/>
  <c r="V1111" i="1"/>
  <c r="X1111" i="1"/>
  <c r="U1112" i="1"/>
  <c r="V1112" i="1"/>
  <c r="X1112" i="1"/>
  <c r="U1113" i="1"/>
  <c r="V1113" i="1"/>
  <c r="X1113" i="1"/>
  <c r="U1114" i="1"/>
  <c r="V1114" i="1"/>
  <c r="X1114" i="1"/>
  <c r="U1115" i="1"/>
  <c r="V1115" i="1"/>
  <c r="X1115" i="1"/>
  <c r="U1116" i="1"/>
  <c r="V1116" i="1"/>
  <c r="X1116" i="1"/>
  <c r="U1117" i="1"/>
  <c r="V1117" i="1"/>
  <c r="X1117" i="1"/>
  <c r="U1118" i="1"/>
  <c r="V1118" i="1"/>
  <c r="X1118" i="1"/>
  <c r="U1119" i="1"/>
  <c r="V1119" i="1"/>
  <c r="X1119" i="1"/>
  <c r="U1120" i="1"/>
  <c r="V1120" i="1"/>
  <c r="X1120" i="1"/>
  <c r="U1121" i="1"/>
  <c r="V1121" i="1"/>
  <c r="X1121" i="1"/>
  <c r="U1122" i="1"/>
  <c r="V1122" i="1"/>
  <c r="X1122" i="1"/>
  <c r="U1123" i="1"/>
  <c r="V1123" i="1"/>
  <c r="X1123" i="1"/>
  <c r="U1124" i="1"/>
  <c r="V1124" i="1"/>
  <c r="X1124" i="1"/>
  <c r="U1125" i="1"/>
  <c r="V1125" i="1"/>
  <c r="X1125" i="1"/>
  <c r="U1126" i="1"/>
  <c r="V1126" i="1"/>
  <c r="X1126" i="1"/>
  <c r="U1127" i="1"/>
  <c r="V1127" i="1"/>
  <c r="X1127" i="1"/>
  <c r="U1128" i="1"/>
  <c r="V1128" i="1"/>
  <c r="X1128" i="1"/>
  <c r="U1129" i="1"/>
  <c r="V1129" i="1"/>
  <c r="X1129" i="1"/>
  <c r="U1130" i="1"/>
  <c r="V1130" i="1"/>
  <c r="X1130" i="1"/>
  <c r="U1131" i="1"/>
  <c r="V1131" i="1"/>
  <c r="X1131" i="1"/>
  <c r="U1132" i="1"/>
  <c r="V1132" i="1"/>
  <c r="X1132" i="1"/>
  <c r="U1133" i="1"/>
  <c r="V1133" i="1"/>
  <c r="X1133" i="1"/>
  <c r="U1134" i="1"/>
  <c r="V1134" i="1"/>
  <c r="X1134" i="1"/>
  <c r="U1135" i="1"/>
  <c r="V1135" i="1"/>
  <c r="X1135" i="1"/>
  <c r="U1136" i="1"/>
  <c r="V1136" i="1"/>
  <c r="X1136" i="1"/>
  <c r="U1137" i="1"/>
  <c r="V1137" i="1"/>
  <c r="X1137" i="1"/>
  <c r="U1138" i="1"/>
  <c r="V1138" i="1"/>
  <c r="X1138" i="1"/>
  <c r="U1139" i="1"/>
  <c r="V1139" i="1"/>
  <c r="X1139" i="1"/>
  <c r="U1140" i="1"/>
  <c r="V1140" i="1"/>
  <c r="X1140" i="1"/>
  <c r="U1141" i="1"/>
  <c r="V1141" i="1"/>
  <c r="X1141" i="1"/>
  <c r="U1142" i="1"/>
  <c r="V1142" i="1"/>
  <c r="X1142" i="1"/>
  <c r="U1143" i="1"/>
  <c r="V1143" i="1"/>
  <c r="X1143" i="1"/>
  <c r="U1144" i="1"/>
  <c r="V1144" i="1"/>
  <c r="X1144" i="1"/>
  <c r="U1145" i="1"/>
  <c r="V1145" i="1"/>
  <c r="X1145" i="1"/>
  <c r="U1146" i="1"/>
  <c r="V1146" i="1"/>
  <c r="X1146" i="1"/>
  <c r="U1147" i="1"/>
  <c r="V1147" i="1"/>
  <c r="X1147" i="1"/>
  <c r="U1148" i="1"/>
  <c r="V1148" i="1"/>
  <c r="X1148" i="1"/>
  <c r="U1149" i="1"/>
  <c r="V1149" i="1"/>
  <c r="X1149" i="1"/>
  <c r="U1150" i="1"/>
  <c r="V1150" i="1"/>
  <c r="X1150" i="1"/>
  <c r="U1151" i="1"/>
  <c r="V1151" i="1"/>
  <c r="X1151" i="1"/>
  <c r="U1152" i="1"/>
  <c r="V1152" i="1"/>
  <c r="X1152" i="1"/>
  <c r="U1153" i="1"/>
  <c r="V1153" i="1"/>
  <c r="X1153" i="1"/>
  <c r="U1154" i="1"/>
  <c r="V1154" i="1"/>
  <c r="X1154" i="1"/>
  <c r="U1155" i="1"/>
  <c r="V1155" i="1"/>
  <c r="X1155" i="1"/>
  <c r="U1156" i="1"/>
  <c r="V1156" i="1"/>
  <c r="X1156" i="1"/>
  <c r="U1157" i="1"/>
  <c r="V1157" i="1"/>
  <c r="X1157" i="1"/>
  <c r="U1158" i="1"/>
  <c r="V1158" i="1"/>
  <c r="X1158" i="1"/>
  <c r="U1159" i="1"/>
  <c r="V1159" i="1"/>
  <c r="X1159" i="1"/>
  <c r="U1160" i="1"/>
  <c r="V1160" i="1"/>
  <c r="X1160" i="1"/>
  <c r="U1161" i="1"/>
  <c r="V1161" i="1"/>
  <c r="X1161" i="1"/>
  <c r="U1162" i="1"/>
  <c r="V1162" i="1"/>
  <c r="X1162" i="1"/>
  <c r="U1163" i="1"/>
  <c r="V1163" i="1"/>
  <c r="X1163" i="1"/>
  <c r="U1164" i="1"/>
  <c r="V1164" i="1"/>
  <c r="X1164" i="1"/>
  <c r="U1165" i="1"/>
  <c r="V1165" i="1"/>
  <c r="X1165" i="1"/>
  <c r="U1166" i="1"/>
  <c r="V1166" i="1"/>
  <c r="X1166" i="1"/>
  <c r="U1167" i="1"/>
  <c r="V1167" i="1"/>
  <c r="X1167" i="1"/>
  <c r="U1168" i="1"/>
  <c r="V1168" i="1"/>
  <c r="X1168" i="1"/>
  <c r="U1169" i="1"/>
  <c r="V1169" i="1"/>
  <c r="X1169" i="1"/>
  <c r="U1170" i="1"/>
  <c r="V1170" i="1"/>
  <c r="X1170" i="1"/>
  <c r="U1171" i="1"/>
  <c r="V1171" i="1"/>
  <c r="X1171" i="1"/>
  <c r="U1172" i="1"/>
  <c r="V1172" i="1"/>
  <c r="X1172" i="1"/>
  <c r="U1173" i="1"/>
  <c r="V1173" i="1"/>
  <c r="X1173" i="1"/>
  <c r="U1174" i="1"/>
  <c r="V1174" i="1"/>
  <c r="X1174" i="1"/>
  <c r="U1175" i="1"/>
  <c r="V1175" i="1"/>
  <c r="X1175" i="1"/>
  <c r="U1176" i="1"/>
  <c r="V1176" i="1"/>
  <c r="X1176" i="1"/>
  <c r="U1177" i="1"/>
  <c r="V1177" i="1"/>
  <c r="X1177" i="1"/>
  <c r="U1178" i="1"/>
  <c r="V1178" i="1"/>
  <c r="X1178" i="1"/>
  <c r="U1179" i="1"/>
  <c r="V1179" i="1"/>
  <c r="X1179" i="1"/>
  <c r="U1180" i="1"/>
  <c r="V1180" i="1"/>
  <c r="X1180" i="1"/>
  <c r="U1181" i="1"/>
  <c r="V1181" i="1"/>
  <c r="X1181" i="1"/>
  <c r="U1182" i="1"/>
  <c r="V1182" i="1"/>
  <c r="X1182" i="1"/>
  <c r="U1183" i="1"/>
  <c r="V1183" i="1"/>
  <c r="X1183" i="1"/>
  <c r="U1184" i="1"/>
  <c r="V1184" i="1"/>
  <c r="X1184" i="1"/>
  <c r="U1185" i="1"/>
  <c r="V1185" i="1"/>
  <c r="X1185" i="1"/>
  <c r="U1186" i="1"/>
  <c r="V1186" i="1"/>
  <c r="X1186" i="1"/>
  <c r="U1187" i="1"/>
  <c r="V1187" i="1"/>
  <c r="X1187" i="1"/>
  <c r="U1188" i="1"/>
  <c r="V1188" i="1"/>
  <c r="X1188" i="1"/>
  <c r="U1189" i="1"/>
  <c r="V1189" i="1"/>
  <c r="X1189" i="1"/>
  <c r="U1190" i="1"/>
  <c r="V1190" i="1"/>
  <c r="X1190" i="1"/>
  <c r="U1191" i="1"/>
  <c r="V1191" i="1"/>
  <c r="X1191" i="1"/>
  <c r="U1192" i="1"/>
  <c r="V1192" i="1"/>
  <c r="X1192" i="1"/>
  <c r="U1193" i="1"/>
  <c r="V1193" i="1"/>
  <c r="X1193" i="1"/>
  <c r="U1194" i="1"/>
  <c r="V1194" i="1"/>
  <c r="X1194" i="1"/>
  <c r="U1195" i="1"/>
  <c r="V1195" i="1"/>
  <c r="X1195" i="1"/>
  <c r="U1196" i="1"/>
  <c r="V1196" i="1"/>
  <c r="X1196" i="1"/>
  <c r="U1197" i="1"/>
  <c r="V1197" i="1"/>
  <c r="X1197" i="1"/>
  <c r="U1198" i="1"/>
  <c r="V1198" i="1"/>
  <c r="X1198" i="1"/>
  <c r="U1199" i="1"/>
  <c r="V1199" i="1"/>
  <c r="X1199" i="1"/>
  <c r="U1200" i="1"/>
  <c r="V1200" i="1"/>
  <c r="X120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U2" i="1"/>
  <c r="V2" i="1" s="1"/>
  <c r="X2" i="1" s="1"/>
  <c r="K1046" i="1"/>
  <c r="AA1046" i="1" s="1"/>
  <c r="AB1046" i="1" s="1"/>
  <c r="K1047" i="1"/>
  <c r="AA1047" i="1" s="1"/>
  <c r="AB1047" i="1" s="1"/>
  <c r="K1048" i="1"/>
  <c r="AA1048" i="1" s="1"/>
  <c r="AB1048" i="1" s="1"/>
  <c r="K1049" i="1"/>
  <c r="AA1049" i="1" s="1"/>
  <c r="AB1049" i="1" s="1"/>
  <c r="K1050" i="1"/>
  <c r="AA1050" i="1" s="1"/>
  <c r="AB1050" i="1" s="1"/>
  <c r="K1051" i="1"/>
  <c r="AA1051" i="1" s="1"/>
  <c r="AB1051" i="1" s="1"/>
  <c r="K1052" i="1"/>
  <c r="AA1052" i="1" s="1"/>
  <c r="AB1052" i="1" s="1"/>
  <c r="K1053" i="1"/>
  <c r="AA1053" i="1" s="1"/>
  <c r="AB1053" i="1" s="1"/>
  <c r="K1054" i="1"/>
  <c r="AA1054" i="1" s="1"/>
  <c r="AB1054" i="1" s="1"/>
  <c r="K1055" i="1"/>
  <c r="AA1055" i="1" s="1"/>
  <c r="AB1055" i="1" s="1"/>
  <c r="K1056" i="1"/>
  <c r="AA1056" i="1" s="1"/>
  <c r="AB1056" i="1" s="1"/>
  <c r="K1057" i="1"/>
  <c r="AA1057" i="1" s="1"/>
  <c r="AB1057" i="1" s="1"/>
  <c r="K1058" i="1"/>
  <c r="AA1058" i="1" s="1"/>
  <c r="AB1058" i="1" s="1"/>
  <c r="K1059" i="1"/>
  <c r="AA1059" i="1" s="1"/>
  <c r="AB1059" i="1" s="1"/>
  <c r="K1060" i="1"/>
  <c r="AA1060" i="1" s="1"/>
  <c r="AB1060" i="1" s="1"/>
  <c r="K1061" i="1"/>
  <c r="AA1061" i="1" s="1"/>
  <c r="AB1061" i="1" s="1"/>
  <c r="K1062" i="1"/>
  <c r="AA1062" i="1" s="1"/>
  <c r="AB1062" i="1" s="1"/>
  <c r="K1063" i="1"/>
  <c r="AA1063" i="1" s="1"/>
  <c r="AB1063" i="1" s="1"/>
  <c r="K1064" i="1"/>
  <c r="AA1064" i="1" s="1"/>
  <c r="AB1064" i="1" s="1"/>
  <c r="K1065" i="1"/>
  <c r="AA1065" i="1" s="1"/>
  <c r="AB1065" i="1" s="1"/>
  <c r="K1066" i="1"/>
  <c r="AA1066" i="1" s="1"/>
  <c r="AB1066" i="1" s="1"/>
  <c r="K1067" i="1"/>
  <c r="AA1067" i="1" s="1"/>
  <c r="AB1067" i="1" s="1"/>
  <c r="K1068" i="1"/>
  <c r="AA1068" i="1" s="1"/>
  <c r="AB1068" i="1" s="1"/>
  <c r="K1069" i="1"/>
  <c r="AA1069" i="1" s="1"/>
  <c r="AB1069" i="1" s="1"/>
  <c r="K1070" i="1"/>
  <c r="AA1070" i="1" s="1"/>
  <c r="AB1070" i="1" s="1"/>
  <c r="K1071" i="1"/>
  <c r="AA1071" i="1" s="1"/>
  <c r="AB1071" i="1" s="1"/>
  <c r="K1072" i="1"/>
  <c r="AA1072" i="1" s="1"/>
  <c r="AB1072" i="1" s="1"/>
  <c r="K1073" i="1"/>
  <c r="AA1073" i="1" s="1"/>
  <c r="AB1073" i="1" s="1"/>
  <c r="K1074" i="1"/>
  <c r="AA1074" i="1" s="1"/>
  <c r="AB1074" i="1" s="1"/>
  <c r="K1075" i="1"/>
  <c r="AA1075" i="1" s="1"/>
  <c r="AB1075" i="1" s="1"/>
  <c r="K1076" i="1"/>
  <c r="AA1076" i="1" s="1"/>
  <c r="AB1076" i="1" s="1"/>
  <c r="K1077" i="1"/>
  <c r="AA1077" i="1" s="1"/>
  <c r="AB1077" i="1" s="1"/>
  <c r="K1078" i="1"/>
  <c r="AA1078" i="1" s="1"/>
  <c r="AB1078" i="1" s="1"/>
  <c r="K1079" i="1"/>
  <c r="AA1079" i="1" s="1"/>
  <c r="AB1079" i="1" s="1"/>
  <c r="K1080" i="1"/>
  <c r="AA1080" i="1" s="1"/>
  <c r="AB1080" i="1" s="1"/>
  <c r="K1081" i="1"/>
  <c r="AA1081" i="1" s="1"/>
  <c r="AB1081" i="1" s="1"/>
  <c r="K1082" i="1"/>
  <c r="AA1082" i="1" s="1"/>
  <c r="AB1082" i="1" s="1"/>
  <c r="K1083" i="1"/>
  <c r="AA1083" i="1" s="1"/>
  <c r="AB1083" i="1" s="1"/>
  <c r="K1084" i="1"/>
  <c r="AA1084" i="1" s="1"/>
  <c r="AB1084" i="1" s="1"/>
  <c r="K1085" i="1"/>
  <c r="AA1085" i="1" s="1"/>
  <c r="AB1085" i="1" s="1"/>
  <c r="K1086" i="1"/>
  <c r="AA1086" i="1" s="1"/>
  <c r="AB1086" i="1" s="1"/>
  <c r="K1087" i="1"/>
  <c r="AA1087" i="1" s="1"/>
  <c r="AB1087" i="1" s="1"/>
  <c r="K1088" i="1"/>
  <c r="AA1088" i="1" s="1"/>
  <c r="AB1088" i="1" s="1"/>
  <c r="K1089" i="1"/>
  <c r="AA1089" i="1" s="1"/>
  <c r="AB1089" i="1" s="1"/>
  <c r="K1090" i="1"/>
  <c r="AA1090" i="1" s="1"/>
  <c r="AB1090" i="1" s="1"/>
  <c r="K1091" i="1"/>
  <c r="AA1091" i="1" s="1"/>
  <c r="AB1091" i="1" s="1"/>
  <c r="K1092" i="1"/>
  <c r="AA1092" i="1" s="1"/>
  <c r="AB1092" i="1" s="1"/>
  <c r="K1093" i="1"/>
  <c r="AA1093" i="1" s="1"/>
  <c r="AB1093" i="1" s="1"/>
  <c r="K1094" i="1"/>
  <c r="AA1094" i="1" s="1"/>
  <c r="AB1094" i="1" s="1"/>
  <c r="K1095" i="1"/>
  <c r="AA1095" i="1" s="1"/>
  <c r="AB1095" i="1" s="1"/>
  <c r="K1096" i="1"/>
  <c r="AA1096" i="1" s="1"/>
  <c r="AB1096" i="1" s="1"/>
  <c r="K1097" i="1"/>
  <c r="AA1097" i="1" s="1"/>
  <c r="AB1097" i="1" s="1"/>
  <c r="K1098" i="1"/>
  <c r="AA1098" i="1" s="1"/>
  <c r="AB1098" i="1" s="1"/>
  <c r="K1099" i="1"/>
  <c r="AA1099" i="1" s="1"/>
  <c r="AB1099" i="1" s="1"/>
  <c r="K1100" i="1"/>
  <c r="AA1100" i="1" s="1"/>
  <c r="AB1100" i="1" s="1"/>
  <c r="K1101" i="1"/>
  <c r="AA1101" i="1" s="1"/>
  <c r="AB1101" i="1" s="1"/>
  <c r="K1102" i="1"/>
  <c r="AA1102" i="1" s="1"/>
  <c r="AB1102" i="1" s="1"/>
  <c r="K1103" i="1"/>
  <c r="AA1103" i="1" s="1"/>
  <c r="AB1103" i="1" s="1"/>
  <c r="K1104" i="1"/>
  <c r="AA1104" i="1" s="1"/>
  <c r="AB1104" i="1" s="1"/>
  <c r="K1105" i="1"/>
  <c r="AA1105" i="1" s="1"/>
  <c r="AB1105" i="1" s="1"/>
  <c r="K1106" i="1"/>
  <c r="AA1106" i="1" s="1"/>
  <c r="AB1106" i="1" s="1"/>
  <c r="K1107" i="1"/>
  <c r="AA1107" i="1" s="1"/>
  <c r="AB1107" i="1" s="1"/>
  <c r="K1108" i="1"/>
  <c r="AA1108" i="1" s="1"/>
  <c r="AB1108" i="1" s="1"/>
  <c r="K1109" i="1"/>
  <c r="AA1109" i="1" s="1"/>
  <c r="AB1109" i="1" s="1"/>
  <c r="K1110" i="1"/>
  <c r="AA1110" i="1" s="1"/>
  <c r="AB1110" i="1" s="1"/>
  <c r="K1111" i="1"/>
  <c r="AA1111" i="1" s="1"/>
  <c r="AB1111" i="1" s="1"/>
  <c r="K1112" i="1"/>
  <c r="AA1112" i="1" s="1"/>
  <c r="AB1112" i="1" s="1"/>
  <c r="K1113" i="1"/>
  <c r="AA1113" i="1" s="1"/>
  <c r="AB1113" i="1" s="1"/>
  <c r="K1114" i="1"/>
  <c r="AA1114" i="1" s="1"/>
  <c r="AB1114" i="1" s="1"/>
  <c r="K1115" i="1"/>
  <c r="AA1115" i="1" s="1"/>
  <c r="AB1115" i="1" s="1"/>
  <c r="K1116" i="1"/>
  <c r="AA1116" i="1" s="1"/>
  <c r="AB1116" i="1" s="1"/>
  <c r="K1117" i="1"/>
  <c r="AA1117" i="1" s="1"/>
  <c r="AB1117" i="1" s="1"/>
  <c r="K1118" i="1"/>
  <c r="AA1118" i="1" s="1"/>
  <c r="AB1118" i="1" s="1"/>
  <c r="K1119" i="1"/>
  <c r="AA1119" i="1" s="1"/>
  <c r="AB1119" i="1" s="1"/>
  <c r="K1120" i="1"/>
  <c r="AA1120" i="1" s="1"/>
  <c r="AB1120" i="1" s="1"/>
  <c r="K1121" i="1"/>
  <c r="AA1121" i="1" s="1"/>
  <c r="AB1121" i="1" s="1"/>
  <c r="K1122" i="1"/>
  <c r="AA1122" i="1" s="1"/>
  <c r="AB1122" i="1" s="1"/>
  <c r="K1123" i="1"/>
  <c r="AA1123" i="1" s="1"/>
  <c r="AB1123" i="1" s="1"/>
  <c r="K1124" i="1"/>
  <c r="AA1124" i="1" s="1"/>
  <c r="AB1124" i="1" s="1"/>
  <c r="K1125" i="1"/>
  <c r="AA1125" i="1" s="1"/>
  <c r="AB1125" i="1" s="1"/>
  <c r="K1126" i="1"/>
  <c r="AA1126" i="1" s="1"/>
  <c r="AB1126" i="1" s="1"/>
  <c r="K1127" i="1"/>
  <c r="AA1127" i="1" s="1"/>
  <c r="AB1127" i="1" s="1"/>
  <c r="K1128" i="1"/>
  <c r="AA1128" i="1" s="1"/>
  <c r="AB1128" i="1" s="1"/>
  <c r="K1129" i="1"/>
  <c r="AA1129" i="1" s="1"/>
  <c r="AB1129" i="1" s="1"/>
  <c r="K1130" i="1"/>
  <c r="AA1130" i="1" s="1"/>
  <c r="AB1130" i="1" s="1"/>
  <c r="K1131" i="1"/>
  <c r="AA1131" i="1" s="1"/>
  <c r="AB1131" i="1" s="1"/>
  <c r="K1132" i="1"/>
  <c r="AA1132" i="1" s="1"/>
  <c r="AB1132" i="1" s="1"/>
  <c r="K1133" i="1"/>
  <c r="AA1133" i="1" s="1"/>
  <c r="AB1133" i="1" s="1"/>
  <c r="K1134" i="1"/>
  <c r="AA1134" i="1" s="1"/>
  <c r="AB1134" i="1" s="1"/>
  <c r="K1135" i="1"/>
  <c r="AA1135" i="1" s="1"/>
  <c r="AB1135" i="1" s="1"/>
  <c r="K1136" i="1"/>
  <c r="AA1136" i="1" s="1"/>
  <c r="AB1136" i="1" s="1"/>
  <c r="K1137" i="1"/>
  <c r="AA1137" i="1" s="1"/>
  <c r="AB1137" i="1" s="1"/>
  <c r="K1138" i="1"/>
  <c r="AA1138" i="1" s="1"/>
  <c r="AB1138" i="1" s="1"/>
  <c r="K1139" i="1"/>
  <c r="AA1139" i="1" s="1"/>
  <c r="AB1139" i="1" s="1"/>
  <c r="K1140" i="1"/>
  <c r="AA1140" i="1" s="1"/>
  <c r="AB1140" i="1" s="1"/>
  <c r="K1141" i="1"/>
  <c r="AA1141" i="1" s="1"/>
  <c r="AB1141" i="1" s="1"/>
  <c r="K1142" i="1"/>
  <c r="AA1142" i="1" s="1"/>
  <c r="AB1142" i="1" s="1"/>
  <c r="K1143" i="1"/>
  <c r="AA1143" i="1" s="1"/>
  <c r="AB1143" i="1" s="1"/>
  <c r="K1144" i="1"/>
  <c r="AA1144" i="1" s="1"/>
  <c r="AB1144" i="1" s="1"/>
  <c r="K1145" i="1"/>
  <c r="AA1145" i="1" s="1"/>
  <c r="AB1145" i="1" s="1"/>
  <c r="K1146" i="1"/>
  <c r="AA1146" i="1" s="1"/>
  <c r="AB1146" i="1" s="1"/>
  <c r="K1147" i="1"/>
  <c r="AA1147" i="1" s="1"/>
  <c r="AB1147" i="1" s="1"/>
  <c r="K1148" i="1"/>
  <c r="AA1148" i="1" s="1"/>
  <c r="AB1148" i="1" s="1"/>
  <c r="K1149" i="1"/>
  <c r="AA1149" i="1" s="1"/>
  <c r="AB1149" i="1" s="1"/>
  <c r="K1150" i="1"/>
  <c r="AA1150" i="1" s="1"/>
  <c r="AB1150" i="1" s="1"/>
  <c r="K1151" i="1"/>
  <c r="AA1151" i="1" s="1"/>
  <c r="AB1151" i="1" s="1"/>
  <c r="K1152" i="1"/>
  <c r="AA1152" i="1" s="1"/>
  <c r="AB1152" i="1" s="1"/>
  <c r="K1153" i="1"/>
  <c r="AA1153" i="1" s="1"/>
  <c r="AB1153" i="1" s="1"/>
  <c r="K1154" i="1"/>
  <c r="AA1154" i="1" s="1"/>
  <c r="AB1154" i="1" s="1"/>
  <c r="K1155" i="1"/>
  <c r="AA1155" i="1" s="1"/>
  <c r="AB1155" i="1" s="1"/>
  <c r="K1156" i="1"/>
  <c r="AA1156" i="1" s="1"/>
  <c r="AB1156" i="1" s="1"/>
  <c r="K1157" i="1"/>
  <c r="AA1157" i="1" s="1"/>
  <c r="AB1157" i="1" s="1"/>
  <c r="K1158" i="1"/>
  <c r="AA1158" i="1" s="1"/>
  <c r="AB1158" i="1" s="1"/>
  <c r="K1159" i="1"/>
  <c r="AA1159" i="1" s="1"/>
  <c r="AB1159" i="1" s="1"/>
  <c r="K1160" i="1"/>
  <c r="AA1160" i="1" s="1"/>
  <c r="AB1160" i="1" s="1"/>
  <c r="K1161" i="1"/>
  <c r="AA1161" i="1" s="1"/>
  <c r="AB1161" i="1" s="1"/>
  <c r="K1162" i="1"/>
  <c r="AA1162" i="1" s="1"/>
  <c r="AB1162" i="1" s="1"/>
  <c r="K1163" i="1"/>
  <c r="AA1163" i="1" s="1"/>
  <c r="AB1163" i="1" s="1"/>
  <c r="K1164" i="1"/>
  <c r="AA1164" i="1" s="1"/>
  <c r="AB1164" i="1" s="1"/>
  <c r="K1165" i="1"/>
  <c r="AA1165" i="1" s="1"/>
  <c r="AB1165" i="1" s="1"/>
  <c r="K1166" i="1"/>
  <c r="AA1166" i="1" s="1"/>
  <c r="AB1166" i="1" s="1"/>
  <c r="K1167" i="1"/>
  <c r="AA1167" i="1" s="1"/>
  <c r="AB1167" i="1" s="1"/>
  <c r="K1168" i="1"/>
  <c r="AA1168" i="1" s="1"/>
  <c r="AB1168" i="1" s="1"/>
  <c r="K1169" i="1"/>
  <c r="AA1169" i="1" s="1"/>
  <c r="AB1169" i="1" s="1"/>
  <c r="K1170" i="1"/>
  <c r="AA1170" i="1" s="1"/>
  <c r="AB1170" i="1" s="1"/>
  <c r="K1171" i="1"/>
  <c r="AA1171" i="1" s="1"/>
  <c r="AB1171" i="1" s="1"/>
  <c r="K1172" i="1"/>
  <c r="AA1172" i="1" s="1"/>
  <c r="AB1172" i="1" s="1"/>
  <c r="K1173" i="1"/>
  <c r="AA1173" i="1" s="1"/>
  <c r="AB1173" i="1" s="1"/>
  <c r="K1174" i="1"/>
  <c r="AA1174" i="1" s="1"/>
  <c r="AB1174" i="1" s="1"/>
  <c r="K1175" i="1"/>
  <c r="AA1175" i="1" s="1"/>
  <c r="AB1175" i="1" s="1"/>
  <c r="K1176" i="1"/>
  <c r="AA1176" i="1" s="1"/>
  <c r="AB1176" i="1" s="1"/>
  <c r="K1177" i="1"/>
  <c r="AA1177" i="1" s="1"/>
  <c r="AB1177" i="1" s="1"/>
  <c r="K1178" i="1"/>
  <c r="AA1178" i="1" s="1"/>
  <c r="AB1178" i="1" s="1"/>
  <c r="K1179" i="1"/>
  <c r="AA1179" i="1" s="1"/>
  <c r="AB1179" i="1" s="1"/>
  <c r="K1180" i="1"/>
  <c r="AA1180" i="1" s="1"/>
  <c r="AB1180" i="1" s="1"/>
  <c r="K1181" i="1"/>
  <c r="AA1181" i="1" s="1"/>
  <c r="AB1181" i="1" s="1"/>
  <c r="K1182" i="1"/>
  <c r="AA1182" i="1" s="1"/>
  <c r="AB1182" i="1" s="1"/>
  <c r="K1183" i="1"/>
  <c r="AA1183" i="1" s="1"/>
  <c r="AB1183" i="1" s="1"/>
  <c r="K1184" i="1"/>
  <c r="AA1184" i="1" s="1"/>
  <c r="AB1184" i="1" s="1"/>
  <c r="K1185" i="1"/>
  <c r="AA1185" i="1" s="1"/>
  <c r="AB1185" i="1" s="1"/>
  <c r="K1186" i="1"/>
  <c r="AA1186" i="1" s="1"/>
  <c r="AB1186" i="1" s="1"/>
  <c r="K1187" i="1"/>
  <c r="AA1187" i="1" s="1"/>
  <c r="AB1187" i="1" s="1"/>
  <c r="K1188" i="1"/>
  <c r="AA1188" i="1" s="1"/>
  <c r="AB1188" i="1" s="1"/>
  <c r="K1189" i="1"/>
  <c r="AA1189" i="1" s="1"/>
  <c r="AB1189" i="1" s="1"/>
  <c r="K1190" i="1"/>
  <c r="AA1190" i="1" s="1"/>
  <c r="AB1190" i="1" s="1"/>
  <c r="K1191" i="1"/>
  <c r="AA1191" i="1" s="1"/>
  <c r="AB1191" i="1" s="1"/>
  <c r="K1192" i="1"/>
  <c r="AA1192" i="1" s="1"/>
  <c r="AB1192" i="1" s="1"/>
  <c r="K1193" i="1"/>
  <c r="AA1193" i="1" s="1"/>
  <c r="AB1193" i="1" s="1"/>
  <c r="K1194" i="1"/>
  <c r="AA1194" i="1" s="1"/>
  <c r="AB1194" i="1" s="1"/>
  <c r="K1195" i="1"/>
  <c r="AA1195" i="1" s="1"/>
  <c r="AB1195" i="1" s="1"/>
  <c r="K1196" i="1"/>
  <c r="AA1196" i="1" s="1"/>
  <c r="AB1196" i="1" s="1"/>
  <c r="K1197" i="1"/>
  <c r="AA1197" i="1" s="1"/>
  <c r="AB1197" i="1" s="1"/>
  <c r="K1198" i="1"/>
  <c r="AA1198" i="1" s="1"/>
  <c r="AB1198" i="1" s="1"/>
  <c r="K1199" i="1"/>
  <c r="AA1199" i="1" s="1"/>
  <c r="AB1199" i="1" s="1"/>
  <c r="K1200" i="1"/>
  <c r="AA1200" i="1" s="1"/>
  <c r="AB1200" i="1" s="1"/>
  <c r="K1201" i="1"/>
  <c r="AA1201" i="1" s="1"/>
  <c r="AB1201" i="1" s="1"/>
  <c r="K1202" i="1"/>
  <c r="AA1202" i="1" s="1"/>
  <c r="AB1202" i="1" s="1"/>
  <c r="K1203" i="1"/>
  <c r="AA1203" i="1" s="1"/>
  <c r="AB1203" i="1" s="1"/>
  <c r="K1204" i="1"/>
  <c r="AA1204" i="1" s="1"/>
  <c r="AB1204" i="1" s="1"/>
  <c r="K1205" i="1"/>
  <c r="AA1205" i="1" s="1"/>
  <c r="AB1205" i="1" s="1"/>
  <c r="K1206" i="1"/>
  <c r="AA1206" i="1" s="1"/>
  <c r="AB1206" i="1" s="1"/>
  <c r="K1207" i="1"/>
  <c r="AA1207" i="1" s="1"/>
  <c r="AB1207" i="1" s="1"/>
  <c r="K1208" i="1"/>
  <c r="AA1208" i="1" s="1"/>
  <c r="AB1208" i="1" s="1"/>
  <c r="K1209" i="1"/>
  <c r="AA1209" i="1" s="1"/>
  <c r="AB1209" i="1" s="1"/>
  <c r="K1210" i="1"/>
  <c r="AA1210" i="1" s="1"/>
  <c r="AB1210" i="1" s="1"/>
  <c r="K1211" i="1"/>
  <c r="AA1211" i="1" s="1"/>
  <c r="AB1211" i="1" s="1"/>
  <c r="K1212" i="1"/>
  <c r="AA1212" i="1" s="1"/>
  <c r="AB1212" i="1" s="1"/>
  <c r="K1213" i="1"/>
  <c r="AA1213" i="1" s="1"/>
  <c r="AB1213" i="1" s="1"/>
  <c r="K1214" i="1"/>
  <c r="AA1214" i="1" s="1"/>
  <c r="AB1214" i="1" s="1"/>
  <c r="K1215" i="1"/>
  <c r="AA1215" i="1" s="1"/>
  <c r="AB1215" i="1" s="1"/>
  <c r="K1216" i="1"/>
  <c r="AA1216" i="1" s="1"/>
  <c r="AB1216" i="1" s="1"/>
  <c r="K1217" i="1"/>
  <c r="AA1217" i="1" s="1"/>
  <c r="AB1217" i="1" s="1"/>
  <c r="K1218" i="1"/>
  <c r="AA1218" i="1" s="1"/>
  <c r="AB1218" i="1" s="1"/>
  <c r="K1219" i="1"/>
  <c r="AA1219" i="1" s="1"/>
  <c r="AB1219" i="1" s="1"/>
  <c r="K1220" i="1"/>
  <c r="AA1220" i="1" s="1"/>
  <c r="AB1220" i="1" s="1"/>
  <c r="K1221" i="1"/>
  <c r="AA1221" i="1" s="1"/>
  <c r="AB1221" i="1" s="1"/>
  <c r="K1222" i="1"/>
  <c r="AA1222" i="1" s="1"/>
  <c r="AB1222" i="1" s="1"/>
  <c r="K1223" i="1"/>
  <c r="AA1223" i="1" s="1"/>
  <c r="AB1223" i="1" s="1"/>
  <c r="K1224" i="1"/>
  <c r="AA1224" i="1" s="1"/>
  <c r="AB1224" i="1" s="1"/>
  <c r="K1225" i="1"/>
  <c r="AA1225" i="1" s="1"/>
  <c r="AB1225" i="1" s="1"/>
  <c r="K1226" i="1"/>
  <c r="AA1226" i="1" s="1"/>
  <c r="AB1226" i="1" s="1"/>
  <c r="K1227" i="1"/>
  <c r="AA1227" i="1" s="1"/>
  <c r="AB1227" i="1" s="1"/>
  <c r="K1228" i="1"/>
  <c r="AA1228" i="1" s="1"/>
  <c r="AB1228" i="1" s="1"/>
  <c r="K1229" i="1"/>
  <c r="AA1229" i="1" s="1"/>
  <c r="AB1229" i="1" s="1"/>
  <c r="K1230" i="1"/>
  <c r="AA1230" i="1" s="1"/>
  <c r="AB1230" i="1" s="1"/>
  <c r="K1231" i="1"/>
  <c r="AA1231" i="1" s="1"/>
  <c r="AB1231" i="1" s="1"/>
  <c r="K1232" i="1"/>
  <c r="AA1232" i="1" s="1"/>
  <c r="AB1232" i="1" s="1"/>
  <c r="K1233" i="1"/>
  <c r="AA1233" i="1" s="1"/>
  <c r="AB1233" i="1" s="1"/>
  <c r="K1234" i="1"/>
  <c r="AA1234" i="1" s="1"/>
  <c r="AB1234" i="1" s="1"/>
  <c r="K1235" i="1"/>
  <c r="AA1235" i="1" s="1"/>
  <c r="AB1235" i="1" s="1"/>
  <c r="K1236" i="1"/>
  <c r="AA1236" i="1" s="1"/>
  <c r="AB1236" i="1" s="1"/>
  <c r="K1237" i="1"/>
  <c r="AA1237" i="1" s="1"/>
  <c r="AB1237" i="1" s="1"/>
  <c r="K1238" i="1"/>
  <c r="AA1238" i="1" s="1"/>
  <c r="AB1238" i="1" s="1"/>
  <c r="K1239" i="1"/>
  <c r="AA1239" i="1" s="1"/>
  <c r="AB1239" i="1" s="1"/>
  <c r="K1240" i="1"/>
  <c r="AA1240" i="1" s="1"/>
  <c r="AB1240" i="1" s="1"/>
  <c r="K1241" i="1"/>
  <c r="AA1241" i="1" s="1"/>
  <c r="AB1241" i="1" s="1"/>
  <c r="K1242" i="1"/>
  <c r="AA1242" i="1" s="1"/>
  <c r="AB1242" i="1" s="1"/>
  <c r="K1243" i="1"/>
  <c r="AA1243" i="1" s="1"/>
  <c r="AB1243" i="1" s="1"/>
  <c r="K1244" i="1"/>
  <c r="AA1244" i="1" s="1"/>
  <c r="AB1244" i="1" s="1"/>
  <c r="K1245" i="1"/>
  <c r="AA1245" i="1" s="1"/>
  <c r="AB1245" i="1" s="1"/>
  <c r="K1246" i="1"/>
  <c r="AA1246" i="1" s="1"/>
  <c r="AB1246" i="1" s="1"/>
  <c r="K1247" i="1"/>
  <c r="AA1247" i="1" s="1"/>
  <c r="AB1247" i="1" s="1"/>
  <c r="K1248" i="1"/>
  <c r="AA1248" i="1" s="1"/>
  <c r="AB1248" i="1" s="1"/>
  <c r="K1249" i="1"/>
  <c r="AA1249" i="1" s="1"/>
  <c r="AB1249" i="1" s="1"/>
  <c r="K1250" i="1"/>
  <c r="AA1250" i="1" s="1"/>
  <c r="AB1250" i="1" s="1"/>
  <c r="K1251" i="1"/>
  <c r="AA1251" i="1" s="1"/>
  <c r="AB1251" i="1" s="1"/>
  <c r="K1252" i="1"/>
  <c r="AA1252" i="1" s="1"/>
  <c r="AB1252" i="1" s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046" i="1"/>
  <c r="P1253" i="1"/>
  <c r="S2" i="1"/>
  <c r="T2" i="1" s="1"/>
  <c r="W2" i="1" s="1"/>
  <c r="Z2" i="1" s="1"/>
  <c r="AC1046" i="1"/>
  <c r="AD1046" i="1" s="1"/>
  <c r="AC1047" i="1"/>
  <c r="AD1047" i="1" s="1"/>
  <c r="AC1048" i="1"/>
  <c r="AD1048" i="1" s="1"/>
  <c r="AC1049" i="1"/>
  <c r="AD1049" i="1" s="1"/>
  <c r="AC1050" i="1"/>
  <c r="AD1050" i="1" s="1"/>
  <c r="AC1051" i="1"/>
  <c r="AD1051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2" i="1"/>
  <c r="U3" i="1"/>
  <c r="V3" i="1" s="1"/>
  <c r="X3" i="1" s="1"/>
  <c r="U4" i="1"/>
  <c r="V4" i="1" s="1"/>
  <c r="X4" i="1" s="1"/>
  <c r="U5" i="1"/>
  <c r="V5" i="1" s="1"/>
  <c r="X5" i="1" s="1"/>
  <c r="U6" i="1"/>
  <c r="V6" i="1" s="1"/>
  <c r="X6" i="1" s="1"/>
  <c r="U7" i="1"/>
  <c r="V7" i="1" s="1"/>
  <c r="X7" i="1" s="1"/>
  <c r="U8" i="1"/>
  <c r="V8" i="1" s="1"/>
  <c r="X8" i="1" s="1"/>
  <c r="U9" i="1"/>
  <c r="V9" i="1" s="1"/>
  <c r="X9" i="1" s="1"/>
  <c r="U10" i="1"/>
  <c r="V10" i="1" s="1"/>
  <c r="X10" i="1" s="1"/>
  <c r="U11" i="1"/>
  <c r="V11" i="1" s="1"/>
  <c r="X11" i="1" s="1"/>
  <c r="U12" i="1"/>
  <c r="V12" i="1" s="1"/>
  <c r="X12" i="1" s="1"/>
  <c r="U13" i="1"/>
  <c r="V13" i="1" s="1"/>
  <c r="X13" i="1" s="1"/>
  <c r="U14" i="1"/>
  <c r="V14" i="1" s="1"/>
  <c r="X14" i="1" s="1"/>
  <c r="U15" i="1"/>
  <c r="V15" i="1" s="1"/>
  <c r="X15" i="1" s="1"/>
  <c r="U16" i="1"/>
  <c r="V16" i="1" s="1"/>
  <c r="X16" i="1" s="1"/>
  <c r="U17" i="1"/>
  <c r="V17" i="1" s="1"/>
  <c r="X17" i="1" s="1"/>
  <c r="U18" i="1"/>
  <c r="V18" i="1" s="1"/>
  <c r="X18" i="1" s="1"/>
  <c r="U19" i="1"/>
  <c r="V19" i="1" s="1"/>
  <c r="X19" i="1" s="1"/>
  <c r="U20" i="1"/>
  <c r="V20" i="1" s="1"/>
  <c r="X20" i="1" s="1"/>
  <c r="U21" i="1"/>
  <c r="V21" i="1" s="1"/>
  <c r="X21" i="1" s="1"/>
  <c r="U22" i="1"/>
  <c r="V22" i="1" s="1"/>
  <c r="X22" i="1" s="1"/>
  <c r="U23" i="1"/>
  <c r="V23" i="1" s="1"/>
  <c r="X23" i="1" s="1"/>
  <c r="U24" i="1"/>
  <c r="V24" i="1" s="1"/>
  <c r="X24" i="1" s="1"/>
  <c r="U25" i="1"/>
  <c r="V25" i="1" s="1"/>
  <c r="X25" i="1" s="1"/>
  <c r="U26" i="1"/>
  <c r="V26" i="1" s="1"/>
  <c r="X26" i="1" s="1"/>
  <c r="U27" i="1"/>
  <c r="V27" i="1" s="1"/>
  <c r="X27" i="1" s="1"/>
  <c r="U28" i="1"/>
  <c r="V28" i="1" s="1"/>
  <c r="X28" i="1" s="1"/>
  <c r="U29" i="1"/>
  <c r="V29" i="1" s="1"/>
  <c r="X29" i="1" s="1"/>
  <c r="U30" i="1"/>
  <c r="V30" i="1" s="1"/>
  <c r="X30" i="1" s="1"/>
  <c r="U31" i="1"/>
  <c r="V31" i="1" s="1"/>
  <c r="X31" i="1" s="1"/>
  <c r="U32" i="1"/>
  <c r="V32" i="1" s="1"/>
  <c r="X32" i="1" s="1"/>
  <c r="U33" i="1"/>
  <c r="V33" i="1" s="1"/>
  <c r="X33" i="1" s="1"/>
  <c r="U34" i="1"/>
  <c r="V34" i="1" s="1"/>
  <c r="X34" i="1" s="1"/>
  <c r="U35" i="1"/>
  <c r="V35" i="1" s="1"/>
  <c r="X35" i="1" s="1"/>
  <c r="U36" i="1"/>
  <c r="V36" i="1" s="1"/>
  <c r="X36" i="1" s="1"/>
  <c r="U37" i="1"/>
  <c r="V37" i="1" s="1"/>
  <c r="X37" i="1" s="1"/>
  <c r="U38" i="1"/>
  <c r="V38" i="1" s="1"/>
  <c r="X38" i="1" s="1"/>
  <c r="U39" i="1"/>
  <c r="V39" i="1" s="1"/>
  <c r="X39" i="1" s="1"/>
  <c r="U40" i="1"/>
  <c r="V40" i="1" s="1"/>
  <c r="X40" i="1" s="1"/>
  <c r="U41" i="1"/>
  <c r="V41" i="1" s="1"/>
  <c r="X41" i="1" s="1"/>
  <c r="U42" i="1"/>
  <c r="V42" i="1" s="1"/>
  <c r="X42" i="1" s="1"/>
  <c r="U43" i="1"/>
  <c r="V43" i="1" s="1"/>
  <c r="X43" i="1" s="1"/>
  <c r="U44" i="1"/>
  <c r="V44" i="1" s="1"/>
  <c r="X44" i="1" s="1"/>
  <c r="U45" i="1"/>
  <c r="V45" i="1" s="1"/>
  <c r="X45" i="1" s="1"/>
  <c r="U46" i="1"/>
  <c r="V46" i="1" s="1"/>
  <c r="X46" i="1" s="1"/>
  <c r="U47" i="1"/>
  <c r="V47" i="1" s="1"/>
  <c r="X47" i="1" s="1"/>
  <c r="U48" i="1"/>
  <c r="V48" i="1" s="1"/>
  <c r="X48" i="1" s="1"/>
  <c r="U49" i="1"/>
  <c r="V49" i="1" s="1"/>
  <c r="X49" i="1" s="1"/>
  <c r="U50" i="1"/>
  <c r="V50" i="1" s="1"/>
  <c r="X50" i="1" s="1"/>
  <c r="U51" i="1"/>
  <c r="V51" i="1" s="1"/>
  <c r="X51" i="1" s="1"/>
  <c r="U52" i="1"/>
  <c r="V52" i="1" s="1"/>
  <c r="X52" i="1" s="1"/>
  <c r="U53" i="1"/>
  <c r="V53" i="1" s="1"/>
  <c r="X53" i="1" s="1"/>
  <c r="U54" i="1"/>
  <c r="V54" i="1" s="1"/>
  <c r="X54" i="1" s="1"/>
  <c r="U55" i="1"/>
  <c r="V55" i="1" s="1"/>
  <c r="X55" i="1" s="1"/>
  <c r="U56" i="1"/>
  <c r="V56" i="1" s="1"/>
  <c r="X56" i="1" s="1"/>
  <c r="U57" i="1"/>
  <c r="V57" i="1" s="1"/>
  <c r="X57" i="1" s="1"/>
  <c r="U58" i="1"/>
  <c r="V58" i="1" s="1"/>
  <c r="X58" i="1" s="1"/>
  <c r="U59" i="1"/>
  <c r="V59" i="1" s="1"/>
  <c r="X59" i="1" s="1"/>
  <c r="U60" i="1"/>
  <c r="V60" i="1" s="1"/>
  <c r="X60" i="1" s="1"/>
  <c r="U61" i="1"/>
  <c r="V61" i="1" s="1"/>
  <c r="X61" i="1" s="1"/>
  <c r="U62" i="1"/>
  <c r="V62" i="1" s="1"/>
  <c r="X62" i="1" s="1"/>
  <c r="U63" i="1"/>
  <c r="V63" i="1" s="1"/>
  <c r="X63" i="1" s="1"/>
  <c r="U64" i="1"/>
  <c r="V64" i="1" s="1"/>
  <c r="X64" i="1" s="1"/>
  <c r="U65" i="1"/>
  <c r="V65" i="1" s="1"/>
  <c r="X65" i="1" s="1"/>
  <c r="U66" i="1"/>
  <c r="V66" i="1" s="1"/>
  <c r="X66" i="1" s="1"/>
  <c r="U67" i="1"/>
  <c r="V67" i="1" s="1"/>
  <c r="X67" i="1" s="1"/>
  <c r="U68" i="1"/>
  <c r="V68" i="1" s="1"/>
  <c r="X68" i="1" s="1"/>
  <c r="U69" i="1"/>
  <c r="V69" i="1" s="1"/>
  <c r="X69" i="1" s="1"/>
  <c r="U70" i="1"/>
  <c r="V70" i="1" s="1"/>
  <c r="X70" i="1" s="1"/>
  <c r="U71" i="1"/>
  <c r="V71" i="1" s="1"/>
  <c r="X71" i="1" s="1"/>
  <c r="U72" i="1"/>
  <c r="V72" i="1" s="1"/>
  <c r="X72" i="1" s="1"/>
  <c r="U73" i="1"/>
  <c r="V73" i="1" s="1"/>
  <c r="X73" i="1" s="1"/>
  <c r="U74" i="1"/>
  <c r="V74" i="1" s="1"/>
  <c r="X74" i="1" s="1"/>
  <c r="U75" i="1"/>
  <c r="V75" i="1" s="1"/>
  <c r="X75" i="1" s="1"/>
  <c r="U76" i="1"/>
  <c r="V76" i="1" s="1"/>
  <c r="X76" i="1" s="1"/>
  <c r="U77" i="1"/>
  <c r="V77" i="1" s="1"/>
  <c r="X77" i="1" s="1"/>
  <c r="U78" i="1"/>
  <c r="V78" i="1" s="1"/>
  <c r="X78" i="1" s="1"/>
  <c r="U79" i="1"/>
  <c r="V79" i="1" s="1"/>
  <c r="X79" i="1" s="1"/>
  <c r="U80" i="1"/>
  <c r="V80" i="1" s="1"/>
  <c r="X80" i="1" s="1"/>
  <c r="U81" i="1"/>
  <c r="V81" i="1" s="1"/>
  <c r="X81" i="1" s="1"/>
  <c r="U82" i="1"/>
  <c r="V82" i="1" s="1"/>
  <c r="X82" i="1" s="1"/>
  <c r="U83" i="1"/>
  <c r="V83" i="1" s="1"/>
  <c r="X83" i="1" s="1"/>
  <c r="U84" i="1"/>
  <c r="V84" i="1" s="1"/>
  <c r="X84" i="1" s="1"/>
  <c r="U85" i="1"/>
  <c r="V85" i="1" s="1"/>
  <c r="X85" i="1" s="1"/>
  <c r="U86" i="1"/>
  <c r="V86" i="1" s="1"/>
  <c r="X86" i="1" s="1"/>
  <c r="U87" i="1"/>
  <c r="V87" i="1" s="1"/>
  <c r="X87" i="1" s="1"/>
  <c r="U88" i="1"/>
  <c r="V88" i="1" s="1"/>
  <c r="X88" i="1" s="1"/>
  <c r="U89" i="1"/>
  <c r="V89" i="1" s="1"/>
  <c r="X89" i="1" s="1"/>
  <c r="U90" i="1"/>
  <c r="V90" i="1" s="1"/>
  <c r="X90" i="1" s="1"/>
  <c r="U91" i="1"/>
  <c r="V91" i="1" s="1"/>
  <c r="X91" i="1" s="1"/>
  <c r="U92" i="1"/>
  <c r="V92" i="1" s="1"/>
  <c r="X92" i="1" s="1"/>
  <c r="U93" i="1"/>
  <c r="V93" i="1" s="1"/>
  <c r="X93" i="1" s="1"/>
  <c r="U94" i="1"/>
  <c r="V94" i="1" s="1"/>
  <c r="X94" i="1" s="1"/>
  <c r="U95" i="1"/>
  <c r="V95" i="1" s="1"/>
  <c r="X95" i="1" s="1"/>
  <c r="U96" i="1"/>
  <c r="V96" i="1" s="1"/>
  <c r="X96" i="1" s="1"/>
  <c r="U97" i="1"/>
  <c r="V97" i="1" s="1"/>
  <c r="X97" i="1" s="1"/>
  <c r="U98" i="1"/>
  <c r="V98" i="1" s="1"/>
  <c r="X98" i="1" s="1"/>
  <c r="U99" i="1"/>
  <c r="V99" i="1" s="1"/>
  <c r="X99" i="1" s="1"/>
  <c r="U100" i="1"/>
  <c r="V100" i="1" s="1"/>
  <c r="X100" i="1" s="1"/>
  <c r="U101" i="1"/>
  <c r="V101" i="1" s="1"/>
  <c r="X101" i="1" s="1"/>
  <c r="U102" i="1"/>
  <c r="V102" i="1" s="1"/>
  <c r="X102" i="1" s="1"/>
  <c r="U103" i="1"/>
  <c r="V103" i="1" s="1"/>
  <c r="X103" i="1" s="1"/>
  <c r="U104" i="1"/>
  <c r="V104" i="1" s="1"/>
  <c r="X104" i="1" s="1"/>
  <c r="U105" i="1"/>
  <c r="V105" i="1" s="1"/>
  <c r="X105" i="1" s="1"/>
  <c r="U106" i="1"/>
  <c r="V106" i="1" s="1"/>
  <c r="X106" i="1" s="1"/>
  <c r="U107" i="1"/>
  <c r="V107" i="1" s="1"/>
  <c r="X107" i="1" s="1"/>
  <c r="U108" i="1"/>
  <c r="V108" i="1" s="1"/>
  <c r="X108" i="1" s="1"/>
  <c r="U109" i="1"/>
  <c r="V109" i="1" s="1"/>
  <c r="X109" i="1" s="1"/>
  <c r="U110" i="1"/>
  <c r="V110" i="1" s="1"/>
  <c r="X110" i="1" s="1"/>
  <c r="U111" i="1"/>
  <c r="V111" i="1" s="1"/>
  <c r="X111" i="1" s="1"/>
  <c r="U112" i="1"/>
  <c r="V112" i="1" s="1"/>
  <c r="X112" i="1" s="1"/>
  <c r="U113" i="1"/>
  <c r="V113" i="1" s="1"/>
  <c r="X113" i="1" s="1"/>
  <c r="U114" i="1"/>
  <c r="V114" i="1" s="1"/>
  <c r="X114" i="1" s="1"/>
  <c r="U115" i="1"/>
  <c r="V115" i="1" s="1"/>
  <c r="X115" i="1" s="1"/>
  <c r="U116" i="1"/>
  <c r="V116" i="1" s="1"/>
  <c r="X116" i="1" s="1"/>
  <c r="U117" i="1"/>
  <c r="V117" i="1" s="1"/>
  <c r="X117" i="1" s="1"/>
  <c r="U118" i="1"/>
  <c r="V118" i="1" s="1"/>
  <c r="X118" i="1" s="1"/>
  <c r="U119" i="1"/>
  <c r="V119" i="1" s="1"/>
  <c r="X119" i="1" s="1"/>
  <c r="U120" i="1"/>
  <c r="V120" i="1" s="1"/>
  <c r="X120" i="1" s="1"/>
  <c r="U121" i="1"/>
  <c r="V121" i="1" s="1"/>
  <c r="X121" i="1" s="1"/>
  <c r="U122" i="1"/>
  <c r="V122" i="1" s="1"/>
  <c r="X122" i="1" s="1"/>
  <c r="U123" i="1"/>
  <c r="V123" i="1" s="1"/>
  <c r="X123" i="1" s="1"/>
  <c r="U124" i="1"/>
  <c r="V124" i="1" s="1"/>
  <c r="X124" i="1" s="1"/>
  <c r="U125" i="1"/>
  <c r="V125" i="1" s="1"/>
  <c r="X125" i="1" s="1"/>
  <c r="U126" i="1"/>
  <c r="V126" i="1" s="1"/>
  <c r="X126" i="1" s="1"/>
  <c r="U127" i="1"/>
  <c r="V127" i="1" s="1"/>
  <c r="X127" i="1" s="1"/>
  <c r="U128" i="1"/>
  <c r="V128" i="1" s="1"/>
  <c r="X128" i="1" s="1"/>
  <c r="U129" i="1"/>
  <c r="V129" i="1" s="1"/>
  <c r="X129" i="1" s="1"/>
  <c r="U130" i="1"/>
  <c r="V130" i="1" s="1"/>
  <c r="X130" i="1" s="1"/>
  <c r="U131" i="1"/>
  <c r="V131" i="1" s="1"/>
  <c r="X131" i="1" s="1"/>
  <c r="U132" i="1"/>
  <c r="V132" i="1" s="1"/>
  <c r="X132" i="1" s="1"/>
  <c r="U133" i="1"/>
  <c r="V133" i="1" s="1"/>
  <c r="X133" i="1" s="1"/>
  <c r="U134" i="1"/>
  <c r="V134" i="1" s="1"/>
  <c r="X134" i="1" s="1"/>
  <c r="U135" i="1"/>
  <c r="V135" i="1" s="1"/>
  <c r="X135" i="1" s="1"/>
  <c r="U136" i="1"/>
  <c r="V136" i="1" s="1"/>
  <c r="X136" i="1" s="1"/>
  <c r="U137" i="1"/>
  <c r="V137" i="1" s="1"/>
  <c r="X137" i="1" s="1"/>
  <c r="U138" i="1"/>
  <c r="V138" i="1" s="1"/>
  <c r="X138" i="1" s="1"/>
  <c r="U139" i="1"/>
  <c r="V139" i="1" s="1"/>
  <c r="X139" i="1" s="1"/>
  <c r="U140" i="1"/>
  <c r="V140" i="1" s="1"/>
  <c r="X140" i="1" s="1"/>
  <c r="U141" i="1"/>
  <c r="V141" i="1" s="1"/>
  <c r="X141" i="1" s="1"/>
  <c r="U142" i="1"/>
  <c r="V142" i="1" s="1"/>
  <c r="X142" i="1" s="1"/>
  <c r="U143" i="1"/>
  <c r="V143" i="1" s="1"/>
  <c r="X143" i="1" s="1"/>
  <c r="U144" i="1"/>
  <c r="V144" i="1" s="1"/>
  <c r="X144" i="1" s="1"/>
  <c r="U145" i="1"/>
  <c r="V145" i="1" s="1"/>
  <c r="X145" i="1" s="1"/>
  <c r="U146" i="1"/>
  <c r="V146" i="1" s="1"/>
  <c r="X146" i="1" s="1"/>
  <c r="U147" i="1"/>
  <c r="V147" i="1" s="1"/>
  <c r="X147" i="1" s="1"/>
  <c r="U148" i="1"/>
  <c r="V148" i="1" s="1"/>
  <c r="X148" i="1" s="1"/>
  <c r="U149" i="1"/>
  <c r="V149" i="1" s="1"/>
  <c r="X149" i="1" s="1"/>
  <c r="U150" i="1"/>
  <c r="V150" i="1" s="1"/>
  <c r="X150" i="1" s="1"/>
  <c r="U151" i="1"/>
  <c r="V151" i="1" s="1"/>
  <c r="X151" i="1" s="1"/>
  <c r="U152" i="1"/>
  <c r="V152" i="1" s="1"/>
  <c r="X152" i="1" s="1"/>
  <c r="U153" i="1"/>
  <c r="V153" i="1" s="1"/>
  <c r="X153" i="1" s="1"/>
  <c r="U154" i="1"/>
  <c r="V154" i="1" s="1"/>
  <c r="X154" i="1" s="1"/>
  <c r="U155" i="1"/>
  <c r="V155" i="1" s="1"/>
  <c r="X155" i="1" s="1"/>
  <c r="U156" i="1"/>
  <c r="V156" i="1" s="1"/>
  <c r="X156" i="1" s="1"/>
  <c r="U157" i="1"/>
  <c r="V157" i="1" s="1"/>
  <c r="X157" i="1" s="1"/>
  <c r="U158" i="1"/>
  <c r="V158" i="1" s="1"/>
  <c r="X158" i="1" s="1"/>
  <c r="U159" i="1"/>
  <c r="V159" i="1" s="1"/>
  <c r="X159" i="1" s="1"/>
  <c r="U160" i="1"/>
  <c r="V160" i="1" s="1"/>
  <c r="X160" i="1" s="1"/>
  <c r="U161" i="1"/>
  <c r="V161" i="1" s="1"/>
  <c r="X161" i="1" s="1"/>
  <c r="U162" i="1"/>
  <c r="V162" i="1" s="1"/>
  <c r="X162" i="1" s="1"/>
  <c r="U163" i="1"/>
  <c r="V163" i="1" s="1"/>
  <c r="X163" i="1" s="1"/>
  <c r="U164" i="1"/>
  <c r="V164" i="1" s="1"/>
  <c r="X164" i="1" s="1"/>
  <c r="U165" i="1"/>
  <c r="V165" i="1" s="1"/>
  <c r="X165" i="1" s="1"/>
  <c r="U166" i="1"/>
  <c r="V166" i="1" s="1"/>
  <c r="X166" i="1" s="1"/>
  <c r="U167" i="1"/>
  <c r="V167" i="1" s="1"/>
  <c r="X167" i="1" s="1"/>
  <c r="U168" i="1"/>
  <c r="V168" i="1" s="1"/>
  <c r="X168" i="1" s="1"/>
  <c r="U169" i="1"/>
  <c r="V169" i="1" s="1"/>
  <c r="X169" i="1" s="1"/>
  <c r="U170" i="1"/>
  <c r="V170" i="1" s="1"/>
  <c r="X170" i="1" s="1"/>
  <c r="U171" i="1"/>
  <c r="V171" i="1" s="1"/>
  <c r="X171" i="1" s="1"/>
  <c r="U172" i="1"/>
  <c r="V172" i="1" s="1"/>
  <c r="X172" i="1" s="1"/>
  <c r="U173" i="1"/>
  <c r="V173" i="1" s="1"/>
  <c r="X173" i="1" s="1"/>
  <c r="U174" i="1"/>
  <c r="V174" i="1" s="1"/>
  <c r="X174" i="1" s="1"/>
  <c r="U175" i="1"/>
  <c r="V175" i="1" s="1"/>
  <c r="X175" i="1" s="1"/>
  <c r="U176" i="1"/>
  <c r="V176" i="1" s="1"/>
  <c r="X176" i="1" s="1"/>
  <c r="U177" i="1"/>
  <c r="V177" i="1" s="1"/>
  <c r="X177" i="1" s="1"/>
  <c r="U178" i="1"/>
  <c r="V178" i="1" s="1"/>
  <c r="X178" i="1" s="1"/>
  <c r="U179" i="1"/>
  <c r="V179" i="1" s="1"/>
  <c r="X179" i="1" s="1"/>
  <c r="U180" i="1"/>
  <c r="V180" i="1" s="1"/>
  <c r="X180" i="1" s="1"/>
  <c r="U181" i="1"/>
  <c r="V181" i="1" s="1"/>
  <c r="X181" i="1" s="1"/>
  <c r="U182" i="1"/>
  <c r="V182" i="1" s="1"/>
  <c r="X182" i="1" s="1"/>
  <c r="U183" i="1"/>
  <c r="V183" i="1" s="1"/>
  <c r="X183" i="1" s="1"/>
  <c r="U184" i="1"/>
  <c r="V184" i="1" s="1"/>
  <c r="X184" i="1" s="1"/>
  <c r="U185" i="1"/>
  <c r="V185" i="1" s="1"/>
  <c r="X185" i="1" s="1"/>
  <c r="U186" i="1"/>
  <c r="V186" i="1" s="1"/>
  <c r="X186" i="1" s="1"/>
  <c r="U187" i="1"/>
  <c r="V187" i="1" s="1"/>
  <c r="X187" i="1" s="1"/>
  <c r="U188" i="1"/>
  <c r="V188" i="1" s="1"/>
  <c r="X188" i="1" s="1"/>
  <c r="U189" i="1"/>
  <c r="V189" i="1" s="1"/>
  <c r="X189" i="1" s="1"/>
  <c r="U190" i="1"/>
  <c r="V190" i="1" s="1"/>
  <c r="X190" i="1" s="1"/>
  <c r="U191" i="1"/>
  <c r="V191" i="1" s="1"/>
  <c r="X191" i="1" s="1"/>
  <c r="U192" i="1"/>
  <c r="V192" i="1" s="1"/>
  <c r="X192" i="1" s="1"/>
  <c r="U193" i="1"/>
  <c r="V193" i="1" s="1"/>
  <c r="X193" i="1" s="1"/>
  <c r="U194" i="1"/>
  <c r="V194" i="1" s="1"/>
  <c r="X194" i="1" s="1"/>
  <c r="U195" i="1"/>
  <c r="V195" i="1" s="1"/>
  <c r="X195" i="1" s="1"/>
  <c r="U196" i="1"/>
  <c r="V196" i="1" s="1"/>
  <c r="X196" i="1" s="1"/>
  <c r="U197" i="1"/>
  <c r="V197" i="1" s="1"/>
  <c r="X197" i="1" s="1"/>
  <c r="U198" i="1"/>
  <c r="V198" i="1" s="1"/>
  <c r="X198" i="1" s="1"/>
  <c r="U199" i="1"/>
  <c r="V199" i="1" s="1"/>
  <c r="X199" i="1" s="1"/>
  <c r="U200" i="1"/>
  <c r="V200" i="1" s="1"/>
  <c r="X200" i="1" s="1"/>
  <c r="U201" i="1"/>
  <c r="V201" i="1" s="1"/>
  <c r="X201" i="1" s="1"/>
  <c r="U202" i="1"/>
  <c r="V202" i="1" s="1"/>
  <c r="X202" i="1" s="1"/>
  <c r="U203" i="1"/>
  <c r="V203" i="1" s="1"/>
  <c r="X203" i="1" s="1"/>
  <c r="U204" i="1"/>
  <c r="V204" i="1" s="1"/>
  <c r="X204" i="1" s="1"/>
  <c r="U205" i="1"/>
  <c r="V205" i="1" s="1"/>
  <c r="X205" i="1" s="1"/>
  <c r="U206" i="1"/>
  <c r="V206" i="1" s="1"/>
  <c r="X206" i="1" s="1"/>
  <c r="U207" i="1"/>
  <c r="V207" i="1" s="1"/>
  <c r="X207" i="1" s="1"/>
  <c r="U208" i="1"/>
  <c r="V208" i="1" s="1"/>
  <c r="X208" i="1" s="1"/>
  <c r="U209" i="1"/>
  <c r="V209" i="1" s="1"/>
  <c r="X209" i="1" s="1"/>
  <c r="U210" i="1"/>
  <c r="V210" i="1" s="1"/>
  <c r="X210" i="1" s="1"/>
  <c r="U211" i="1"/>
  <c r="V211" i="1" s="1"/>
  <c r="X211" i="1" s="1"/>
  <c r="U212" i="1"/>
  <c r="V212" i="1" s="1"/>
  <c r="X212" i="1" s="1"/>
  <c r="U213" i="1"/>
  <c r="V213" i="1" s="1"/>
  <c r="X213" i="1" s="1"/>
  <c r="U214" i="1"/>
  <c r="V214" i="1" s="1"/>
  <c r="X214" i="1" s="1"/>
  <c r="U215" i="1"/>
  <c r="V215" i="1" s="1"/>
  <c r="X215" i="1" s="1"/>
  <c r="U216" i="1"/>
  <c r="V216" i="1" s="1"/>
  <c r="X216" i="1" s="1"/>
  <c r="U217" i="1"/>
  <c r="V217" i="1" s="1"/>
  <c r="X217" i="1" s="1"/>
  <c r="U218" i="1"/>
  <c r="V218" i="1" s="1"/>
  <c r="X218" i="1" s="1"/>
  <c r="U219" i="1"/>
  <c r="V219" i="1" s="1"/>
  <c r="X219" i="1" s="1"/>
  <c r="U220" i="1"/>
  <c r="V220" i="1" s="1"/>
  <c r="X220" i="1" s="1"/>
  <c r="U221" i="1"/>
  <c r="V221" i="1" s="1"/>
  <c r="X221" i="1" s="1"/>
  <c r="U222" i="1"/>
  <c r="V222" i="1" s="1"/>
  <c r="X222" i="1" s="1"/>
  <c r="U223" i="1"/>
  <c r="V223" i="1" s="1"/>
  <c r="X223" i="1" s="1"/>
  <c r="U224" i="1"/>
  <c r="V224" i="1" s="1"/>
  <c r="X224" i="1" s="1"/>
  <c r="U225" i="1"/>
  <c r="V225" i="1" s="1"/>
  <c r="X225" i="1" s="1"/>
  <c r="U226" i="1"/>
  <c r="V226" i="1" s="1"/>
  <c r="X226" i="1" s="1"/>
  <c r="U227" i="1"/>
  <c r="V227" i="1" s="1"/>
  <c r="X227" i="1" s="1"/>
  <c r="U228" i="1"/>
  <c r="V228" i="1" s="1"/>
  <c r="X228" i="1" s="1"/>
  <c r="U229" i="1"/>
  <c r="V229" i="1" s="1"/>
  <c r="X229" i="1" s="1"/>
  <c r="U230" i="1"/>
  <c r="V230" i="1" s="1"/>
  <c r="X230" i="1" s="1"/>
  <c r="U231" i="1"/>
  <c r="V231" i="1" s="1"/>
  <c r="X231" i="1" s="1"/>
  <c r="U232" i="1"/>
  <c r="V232" i="1" s="1"/>
  <c r="X232" i="1" s="1"/>
  <c r="U233" i="1"/>
  <c r="V233" i="1" s="1"/>
  <c r="X233" i="1" s="1"/>
  <c r="U234" i="1"/>
  <c r="V234" i="1" s="1"/>
  <c r="X234" i="1" s="1"/>
  <c r="U235" i="1"/>
  <c r="V235" i="1" s="1"/>
  <c r="X235" i="1" s="1"/>
  <c r="U236" i="1"/>
  <c r="V236" i="1" s="1"/>
  <c r="X236" i="1" s="1"/>
  <c r="U237" i="1"/>
  <c r="V237" i="1" s="1"/>
  <c r="X237" i="1" s="1"/>
  <c r="U238" i="1"/>
  <c r="V238" i="1" s="1"/>
  <c r="X238" i="1" s="1"/>
  <c r="U239" i="1"/>
  <c r="V239" i="1" s="1"/>
  <c r="X239" i="1" s="1"/>
  <c r="U240" i="1"/>
  <c r="V240" i="1" s="1"/>
  <c r="X240" i="1" s="1"/>
  <c r="U241" i="1"/>
  <c r="V241" i="1" s="1"/>
  <c r="X241" i="1" s="1"/>
  <c r="U242" i="1"/>
  <c r="V242" i="1" s="1"/>
  <c r="X242" i="1" s="1"/>
  <c r="U243" i="1"/>
  <c r="V243" i="1" s="1"/>
  <c r="X243" i="1" s="1"/>
  <c r="U244" i="1"/>
  <c r="V244" i="1" s="1"/>
  <c r="X244" i="1" s="1"/>
  <c r="U245" i="1"/>
  <c r="V245" i="1" s="1"/>
  <c r="X245" i="1" s="1"/>
  <c r="U246" i="1"/>
  <c r="V246" i="1" s="1"/>
  <c r="X246" i="1" s="1"/>
  <c r="U247" i="1"/>
  <c r="V247" i="1" s="1"/>
  <c r="X247" i="1" s="1"/>
  <c r="U248" i="1"/>
  <c r="V248" i="1" s="1"/>
  <c r="X248" i="1" s="1"/>
  <c r="U249" i="1"/>
  <c r="V249" i="1" s="1"/>
  <c r="X249" i="1" s="1"/>
  <c r="U250" i="1"/>
  <c r="V250" i="1" s="1"/>
  <c r="X250" i="1" s="1"/>
  <c r="U251" i="1"/>
  <c r="V251" i="1" s="1"/>
  <c r="X251" i="1" s="1"/>
  <c r="U252" i="1"/>
  <c r="V252" i="1" s="1"/>
  <c r="X252" i="1" s="1"/>
  <c r="U253" i="1"/>
  <c r="V253" i="1" s="1"/>
  <c r="X253" i="1" s="1"/>
  <c r="U254" i="1"/>
  <c r="V254" i="1" s="1"/>
  <c r="X254" i="1" s="1"/>
  <c r="U255" i="1"/>
  <c r="V255" i="1" s="1"/>
  <c r="X255" i="1" s="1"/>
  <c r="U256" i="1"/>
  <c r="V256" i="1" s="1"/>
  <c r="X256" i="1" s="1"/>
  <c r="U257" i="1"/>
  <c r="V257" i="1" s="1"/>
  <c r="X257" i="1" s="1"/>
  <c r="U258" i="1"/>
  <c r="V258" i="1" s="1"/>
  <c r="X258" i="1" s="1"/>
  <c r="U259" i="1"/>
  <c r="V259" i="1" s="1"/>
  <c r="X259" i="1" s="1"/>
  <c r="U260" i="1"/>
  <c r="V260" i="1" s="1"/>
  <c r="X260" i="1" s="1"/>
  <c r="U261" i="1"/>
  <c r="V261" i="1" s="1"/>
  <c r="X261" i="1" s="1"/>
  <c r="U262" i="1"/>
  <c r="V262" i="1" s="1"/>
  <c r="X262" i="1" s="1"/>
  <c r="U263" i="1"/>
  <c r="V263" i="1" s="1"/>
  <c r="X263" i="1" s="1"/>
  <c r="U264" i="1"/>
  <c r="V264" i="1" s="1"/>
  <c r="X264" i="1" s="1"/>
  <c r="U265" i="1"/>
  <c r="V265" i="1" s="1"/>
  <c r="X265" i="1" s="1"/>
  <c r="U266" i="1"/>
  <c r="V266" i="1" s="1"/>
  <c r="X266" i="1" s="1"/>
  <c r="U267" i="1"/>
  <c r="V267" i="1" s="1"/>
  <c r="X267" i="1" s="1"/>
  <c r="U268" i="1"/>
  <c r="V268" i="1" s="1"/>
  <c r="X268" i="1" s="1"/>
  <c r="U269" i="1"/>
  <c r="V269" i="1" s="1"/>
  <c r="X269" i="1" s="1"/>
  <c r="U270" i="1"/>
  <c r="V270" i="1" s="1"/>
  <c r="X270" i="1" s="1"/>
  <c r="U271" i="1"/>
  <c r="V271" i="1" s="1"/>
  <c r="X271" i="1" s="1"/>
  <c r="U272" i="1"/>
  <c r="V272" i="1" s="1"/>
  <c r="X272" i="1" s="1"/>
  <c r="U273" i="1"/>
  <c r="V273" i="1" s="1"/>
  <c r="X273" i="1" s="1"/>
  <c r="U274" i="1"/>
  <c r="V274" i="1" s="1"/>
  <c r="X274" i="1" s="1"/>
  <c r="U275" i="1"/>
  <c r="V275" i="1" s="1"/>
  <c r="X275" i="1" s="1"/>
  <c r="U276" i="1"/>
  <c r="V276" i="1" s="1"/>
  <c r="X276" i="1" s="1"/>
  <c r="U277" i="1"/>
  <c r="V277" i="1" s="1"/>
  <c r="X277" i="1" s="1"/>
  <c r="U278" i="1"/>
  <c r="V278" i="1" s="1"/>
  <c r="X278" i="1" s="1"/>
  <c r="U279" i="1"/>
  <c r="V279" i="1" s="1"/>
  <c r="X279" i="1" s="1"/>
  <c r="U280" i="1"/>
  <c r="V280" i="1" s="1"/>
  <c r="X280" i="1" s="1"/>
  <c r="U281" i="1"/>
  <c r="V281" i="1" s="1"/>
  <c r="X281" i="1" s="1"/>
  <c r="U282" i="1"/>
  <c r="V282" i="1" s="1"/>
  <c r="X282" i="1" s="1"/>
  <c r="U283" i="1"/>
  <c r="V283" i="1" s="1"/>
  <c r="X283" i="1" s="1"/>
  <c r="U284" i="1"/>
  <c r="V284" i="1" s="1"/>
  <c r="X284" i="1" s="1"/>
  <c r="U285" i="1"/>
  <c r="V285" i="1" s="1"/>
  <c r="X285" i="1" s="1"/>
  <c r="U286" i="1"/>
  <c r="V286" i="1" s="1"/>
  <c r="X286" i="1" s="1"/>
  <c r="U287" i="1"/>
  <c r="V287" i="1" s="1"/>
  <c r="X287" i="1" s="1"/>
  <c r="U288" i="1"/>
  <c r="V288" i="1" s="1"/>
  <c r="X288" i="1" s="1"/>
  <c r="U289" i="1"/>
  <c r="V289" i="1" s="1"/>
  <c r="X289" i="1" s="1"/>
  <c r="U290" i="1"/>
  <c r="V290" i="1" s="1"/>
  <c r="X290" i="1" s="1"/>
  <c r="U291" i="1"/>
  <c r="V291" i="1" s="1"/>
  <c r="X291" i="1" s="1"/>
  <c r="U292" i="1"/>
  <c r="V292" i="1" s="1"/>
  <c r="X292" i="1" s="1"/>
  <c r="U293" i="1"/>
  <c r="V293" i="1" s="1"/>
  <c r="X293" i="1" s="1"/>
  <c r="U294" i="1"/>
  <c r="V294" i="1" s="1"/>
  <c r="X294" i="1" s="1"/>
  <c r="U295" i="1"/>
  <c r="V295" i="1" s="1"/>
  <c r="X295" i="1" s="1"/>
  <c r="U296" i="1"/>
  <c r="V296" i="1" s="1"/>
  <c r="X296" i="1" s="1"/>
  <c r="U297" i="1"/>
  <c r="V297" i="1" s="1"/>
  <c r="X297" i="1" s="1"/>
  <c r="U298" i="1"/>
  <c r="V298" i="1" s="1"/>
  <c r="X298" i="1" s="1"/>
  <c r="U299" i="1"/>
  <c r="V299" i="1" s="1"/>
  <c r="X299" i="1" s="1"/>
  <c r="U300" i="1"/>
  <c r="V300" i="1" s="1"/>
  <c r="X300" i="1" s="1"/>
  <c r="U301" i="1"/>
  <c r="V301" i="1" s="1"/>
  <c r="X301" i="1" s="1"/>
  <c r="U302" i="1"/>
  <c r="V302" i="1" s="1"/>
  <c r="X302" i="1" s="1"/>
  <c r="U303" i="1"/>
  <c r="V303" i="1" s="1"/>
  <c r="X303" i="1" s="1"/>
  <c r="U304" i="1"/>
  <c r="V304" i="1" s="1"/>
  <c r="X304" i="1" s="1"/>
  <c r="U305" i="1"/>
  <c r="V305" i="1" s="1"/>
  <c r="X305" i="1" s="1"/>
  <c r="U306" i="1"/>
  <c r="V306" i="1" s="1"/>
  <c r="X306" i="1" s="1"/>
  <c r="U307" i="1"/>
  <c r="V307" i="1" s="1"/>
  <c r="X307" i="1" s="1"/>
  <c r="U308" i="1"/>
  <c r="V308" i="1" s="1"/>
  <c r="X308" i="1" s="1"/>
  <c r="U309" i="1"/>
  <c r="V309" i="1" s="1"/>
  <c r="X309" i="1" s="1"/>
  <c r="U310" i="1"/>
  <c r="V310" i="1" s="1"/>
  <c r="X310" i="1" s="1"/>
  <c r="U311" i="1"/>
  <c r="V311" i="1" s="1"/>
  <c r="X311" i="1" s="1"/>
  <c r="U312" i="1"/>
  <c r="V312" i="1" s="1"/>
  <c r="X312" i="1" s="1"/>
  <c r="U313" i="1"/>
  <c r="V313" i="1" s="1"/>
  <c r="X313" i="1" s="1"/>
  <c r="U314" i="1"/>
  <c r="V314" i="1" s="1"/>
  <c r="X314" i="1" s="1"/>
  <c r="U315" i="1"/>
  <c r="V315" i="1" s="1"/>
  <c r="X315" i="1" s="1"/>
  <c r="U316" i="1"/>
  <c r="V316" i="1" s="1"/>
  <c r="X316" i="1" s="1"/>
  <c r="U317" i="1"/>
  <c r="V317" i="1" s="1"/>
  <c r="X317" i="1" s="1"/>
  <c r="U318" i="1"/>
  <c r="V318" i="1" s="1"/>
  <c r="X318" i="1" s="1"/>
  <c r="U319" i="1"/>
  <c r="V319" i="1" s="1"/>
  <c r="X319" i="1" s="1"/>
  <c r="U320" i="1"/>
  <c r="V320" i="1" s="1"/>
  <c r="X320" i="1" s="1"/>
  <c r="U321" i="1"/>
  <c r="V321" i="1" s="1"/>
  <c r="X321" i="1" s="1"/>
  <c r="U322" i="1"/>
  <c r="V322" i="1" s="1"/>
  <c r="X322" i="1" s="1"/>
  <c r="U323" i="1"/>
  <c r="V323" i="1" s="1"/>
  <c r="X323" i="1" s="1"/>
  <c r="U324" i="1"/>
  <c r="V324" i="1" s="1"/>
  <c r="X324" i="1" s="1"/>
  <c r="U325" i="1"/>
  <c r="V325" i="1" s="1"/>
  <c r="X325" i="1" s="1"/>
  <c r="U326" i="1"/>
  <c r="V326" i="1" s="1"/>
  <c r="X326" i="1" s="1"/>
  <c r="U327" i="1"/>
  <c r="V327" i="1" s="1"/>
  <c r="X327" i="1" s="1"/>
  <c r="U328" i="1"/>
  <c r="V328" i="1" s="1"/>
  <c r="X328" i="1" s="1"/>
  <c r="U329" i="1"/>
  <c r="V329" i="1" s="1"/>
  <c r="X329" i="1" s="1"/>
  <c r="U330" i="1"/>
  <c r="V330" i="1" s="1"/>
  <c r="X330" i="1" s="1"/>
  <c r="U331" i="1"/>
  <c r="V331" i="1" s="1"/>
  <c r="X331" i="1" s="1"/>
  <c r="U332" i="1"/>
  <c r="V332" i="1" s="1"/>
  <c r="X332" i="1" s="1"/>
  <c r="U333" i="1"/>
  <c r="V333" i="1" s="1"/>
  <c r="X333" i="1" s="1"/>
  <c r="U334" i="1"/>
  <c r="V334" i="1" s="1"/>
  <c r="X334" i="1" s="1"/>
  <c r="U335" i="1"/>
  <c r="V335" i="1" s="1"/>
  <c r="X335" i="1" s="1"/>
  <c r="U336" i="1"/>
  <c r="V336" i="1" s="1"/>
  <c r="X336" i="1" s="1"/>
  <c r="U337" i="1"/>
  <c r="V337" i="1" s="1"/>
  <c r="X337" i="1" s="1"/>
  <c r="U338" i="1"/>
  <c r="V338" i="1" s="1"/>
  <c r="X338" i="1" s="1"/>
  <c r="U339" i="1"/>
  <c r="V339" i="1" s="1"/>
  <c r="X339" i="1" s="1"/>
  <c r="U340" i="1"/>
  <c r="V340" i="1" s="1"/>
  <c r="X340" i="1" s="1"/>
  <c r="U341" i="1"/>
  <c r="V341" i="1" s="1"/>
  <c r="X341" i="1" s="1"/>
  <c r="U342" i="1"/>
  <c r="V342" i="1" s="1"/>
  <c r="X342" i="1" s="1"/>
  <c r="U343" i="1"/>
  <c r="V343" i="1" s="1"/>
  <c r="X343" i="1" s="1"/>
  <c r="U344" i="1"/>
  <c r="V344" i="1" s="1"/>
  <c r="X344" i="1" s="1"/>
  <c r="U345" i="1"/>
  <c r="V345" i="1" s="1"/>
  <c r="X345" i="1" s="1"/>
  <c r="U346" i="1"/>
  <c r="V346" i="1" s="1"/>
  <c r="X346" i="1" s="1"/>
  <c r="U347" i="1"/>
  <c r="V347" i="1" s="1"/>
  <c r="X347" i="1" s="1"/>
  <c r="U348" i="1"/>
  <c r="V348" i="1" s="1"/>
  <c r="X348" i="1" s="1"/>
  <c r="U349" i="1"/>
  <c r="V349" i="1" s="1"/>
  <c r="X349" i="1" s="1"/>
  <c r="U350" i="1"/>
  <c r="V350" i="1" s="1"/>
  <c r="X350" i="1" s="1"/>
  <c r="U351" i="1"/>
  <c r="V351" i="1" s="1"/>
  <c r="X351" i="1" s="1"/>
  <c r="U352" i="1"/>
  <c r="V352" i="1" s="1"/>
  <c r="X352" i="1" s="1"/>
  <c r="U353" i="1"/>
  <c r="V353" i="1" s="1"/>
  <c r="X353" i="1" s="1"/>
  <c r="U354" i="1"/>
  <c r="V354" i="1" s="1"/>
  <c r="X354" i="1" s="1"/>
  <c r="U355" i="1"/>
  <c r="V355" i="1" s="1"/>
  <c r="X355" i="1" s="1"/>
  <c r="U356" i="1"/>
  <c r="V356" i="1" s="1"/>
  <c r="X356" i="1" s="1"/>
  <c r="U357" i="1"/>
  <c r="V357" i="1" s="1"/>
  <c r="X357" i="1" s="1"/>
  <c r="U358" i="1"/>
  <c r="V358" i="1" s="1"/>
  <c r="X358" i="1" s="1"/>
  <c r="U359" i="1"/>
  <c r="V359" i="1" s="1"/>
  <c r="X359" i="1" s="1"/>
  <c r="U360" i="1"/>
  <c r="V360" i="1" s="1"/>
  <c r="X360" i="1" s="1"/>
  <c r="U361" i="1"/>
  <c r="V361" i="1" s="1"/>
  <c r="X361" i="1" s="1"/>
  <c r="U362" i="1"/>
  <c r="V362" i="1" s="1"/>
  <c r="X362" i="1" s="1"/>
  <c r="U363" i="1"/>
  <c r="V363" i="1" s="1"/>
  <c r="X363" i="1" s="1"/>
  <c r="U364" i="1"/>
  <c r="V364" i="1" s="1"/>
  <c r="X364" i="1" s="1"/>
  <c r="U365" i="1"/>
  <c r="V365" i="1" s="1"/>
  <c r="X365" i="1" s="1"/>
  <c r="U366" i="1"/>
  <c r="V366" i="1" s="1"/>
  <c r="X366" i="1" s="1"/>
  <c r="U367" i="1"/>
  <c r="V367" i="1" s="1"/>
  <c r="X367" i="1" s="1"/>
  <c r="U368" i="1"/>
  <c r="V368" i="1" s="1"/>
  <c r="X368" i="1" s="1"/>
  <c r="U369" i="1"/>
  <c r="V369" i="1" s="1"/>
  <c r="X369" i="1" s="1"/>
  <c r="U370" i="1"/>
  <c r="V370" i="1" s="1"/>
  <c r="X370" i="1" s="1"/>
  <c r="U371" i="1"/>
  <c r="V371" i="1" s="1"/>
  <c r="X371" i="1" s="1"/>
  <c r="U372" i="1"/>
  <c r="V372" i="1" s="1"/>
  <c r="X372" i="1" s="1"/>
  <c r="U373" i="1"/>
  <c r="V373" i="1" s="1"/>
  <c r="X373" i="1" s="1"/>
  <c r="U374" i="1"/>
  <c r="V374" i="1" s="1"/>
  <c r="X374" i="1" s="1"/>
  <c r="U375" i="1"/>
  <c r="V375" i="1" s="1"/>
  <c r="X375" i="1" s="1"/>
  <c r="U376" i="1"/>
  <c r="V376" i="1" s="1"/>
  <c r="X376" i="1" s="1"/>
  <c r="U377" i="1"/>
  <c r="V377" i="1" s="1"/>
  <c r="X377" i="1" s="1"/>
  <c r="U378" i="1"/>
  <c r="V378" i="1" s="1"/>
  <c r="X378" i="1" s="1"/>
  <c r="U379" i="1"/>
  <c r="V379" i="1" s="1"/>
  <c r="X379" i="1" s="1"/>
  <c r="U380" i="1"/>
  <c r="V380" i="1" s="1"/>
  <c r="X380" i="1" s="1"/>
  <c r="U381" i="1"/>
  <c r="V381" i="1" s="1"/>
  <c r="X381" i="1" s="1"/>
  <c r="U382" i="1"/>
  <c r="V382" i="1" s="1"/>
  <c r="X382" i="1" s="1"/>
  <c r="U383" i="1"/>
  <c r="V383" i="1" s="1"/>
  <c r="X383" i="1" s="1"/>
  <c r="U384" i="1"/>
  <c r="V384" i="1" s="1"/>
  <c r="X384" i="1" s="1"/>
  <c r="U385" i="1"/>
  <c r="V385" i="1" s="1"/>
  <c r="X385" i="1" s="1"/>
  <c r="U386" i="1"/>
  <c r="V386" i="1" s="1"/>
  <c r="X386" i="1" s="1"/>
  <c r="U387" i="1"/>
  <c r="V387" i="1" s="1"/>
  <c r="X387" i="1" s="1"/>
  <c r="U388" i="1"/>
  <c r="V388" i="1" s="1"/>
  <c r="X388" i="1" s="1"/>
  <c r="U389" i="1"/>
  <c r="V389" i="1" s="1"/>
  <c r="X389" i="1" s="1"/>
  <c r="U390" i="1"/>
  <c r="V390" i="1" s="1"/>
  <c r="X390" i="1" s="1"/>
  <c r="U391" i="1"/>
  <c r="V391" i="1" s="1"/>
  <c r="X391" i="1" s="1"/>
  <c r="U392" i="1"/>
  <c r="V392" i="1" s="1"/>
  <c r="X392" i="1" s="1"/>
  <c r="U393" i="1"/>
  <c r="V393" i="1" s="1"/>
  <c r="X393" i="1" s="1"/>
  <c r="U394" i="1"/>
  <c r="V394" i="1" s="1"/>
  <c r="X394" i="1" s="1"/>
  <c r="U395" i="1"/>
  <c r="V395" i="1" s="1"/>
  <c r="X395" i="1" s="1"/>
  <c r="U396" i="1"/>
  <c r="V396" i="1" s="1"/>
  <c r="X396" i="1" s="1"/>
  <c r="U397" i="1"/>
  <c r="V397" i="1" s="1"/>
  <c r="X397" i="1" s="1"/>
  <c r="U398" i="1"/>
  <c r="V398" i="1" s="1"/>
  <c r="X398" i="1" s="1"/>
  <c r="U399" i="1"/>
  <c r="V399" i="1" s="1"/>
  <c r="X399" i="1" s="1"/>
  <c r="U400" i="1"/>
  <c r="V400" i="1" s="1"/>
  <c r="X400" i="1" s="1"/>
  <c r="U401" i="1"/>
  <c r="V401" i="1" s="1"/>
  <c r="X401" i="1" s="1"/>
  <c r="U402" i="1"/>
  <c r="V402" i="1" s="1"/>
  <c r="X402" i="1" s="1"/>
  <c r="U403" i="1"/>
  <c r="V403" i="1" s="1"/>
  <c r="X403" i="1" s="1"/>
  <c r="U404" i="1"/>
  <c r="V404" i="1" s="1"/>
  <c r="X404" i="1" s="1"/>
  <c r="U405" i="1"/>
  <c r="V405" i="1" s="1"/>
  <c r="X405" i="1" s="1"/>
  <c r="U406" i="1"/>
  <c r="V406" i="1" s="1"/>
  <c r="X406" i="1" s="1"/>
  <c r="U407" i="1"/>
  <c r="V407" i="1" s="1"/>
  <c r="X407" i="1" s="1"/>
  <c r="U408" i="1"/>
  <c r="V408" i="1" s="1"/>
  <c r="X408" i="1" s="1"/>
  <c r="U409" i="1"/>
  <c r="V409" i="1" s="1"/>
  <c r="X409" i="1" s="1"/>
  <c r="U410" i="1"/>
  <c r="V410" i="1" s="1"/>
  <c r="X410" i="1" s="1"/>
  <c r="U411" i="1"/>
  <c r="V411" i="1" s="1"/>
  <c r="X411" i="1" s="1"/>
  <c r="U412" i="1"/>
  <c r="V412" i="1" s="1"/>
  <c r="X412" i="1" s="1"/>
  <c r="U413" i="1"/>
  <c r="V413" i="1" s="1"/>
  <c r="X413" i="1" s="1"/>
  <c r="U414" i="1"/>
  <c r="V414" i="1" s="1"/>
  <c r="X414" i="1" s="1"/>
  <c r="U415" i="1"/>
  <c r="V415" i="1" s="1"/>
  <c r="X415" i="1" s="1"/>
  <c r="U416" i="1"/>
  <c r="V416" i="1" s="1"/>
  <c r="X416" i="1" s="1"/>
  <c r="U417" i="1"/>
  <c r="V417" i="1" s="1"/>
  <c r="X417" i="1" s="1"/>
  <c r="U418" i="1"/>
  <c r="V418" i="1" s="1"/>
  <c r="X418" i="1" s="1"/>
  <c r="U419" i="1"/>
  <c r="V419" i="1" s="1"/>
  <c r="X419" i="1" s="1"/>
  <c r="U420" i="1"/>
  <c r="V420" i="1" s="1"/>
  <c r="X420" i="1" s="1"/>
  <c r="U421" i="1"/>
  <c r="V421" i="1" s="1"/>
  <c r="X421" i="1" s="1"/>
  <c r="U422" i="1"/>
  <c r="V422" i="1" s="1"/>
  <c r="X422" i="1" s="1"/>
  <c r="U423" i="1"/>
  <c r="V423" i="1" s="1"/>
  <c r="X423" i="1" s="1"/>
  <c r="U424" i="1"/>
  <c r="V424" i="1" s="1"/>
  <c r="X424" i="1" s="1"/>
  <c r="U425" i="1"/>
  <c r="V425" i="1" s="1"/>
  <c r="X425" i="1" s="1"/>
  <c r="U426" i="1"/>
  <c r="V426" i="1" s="1"/>
  <c r="X426" i="1" s="1"/>
  <c r="U427" i="1"/>
  <c r="V427" i="1" s="1"/>
  <c r="X427" i="1" s="1"/>
  <c r="U428" i="1"/>
  <c r="V428" i="1" s="1"/>
  <c r="X428" i="1" s="1"/>
  <c r="U429" i="1"/>
  <c r="V429" i="1" s="1"/>
  <c r="X429" i="1" s="1"/>
  <c r="U430" i="1"/>
  <c r="V430" i="1" s="1"/>
  <c r="X430" i="1" s="1"/>
  <c r="U431" i="1"/>
  <c r="V431" i="1" s="1"/>
  <c r="X431" i="1" s="1"/>
  <c r="U432" i="1"/>
  <c r="V432" i="1" s="1"/>
  <c r="X432" i="1" s="1"/>
  <c r="U433" i="1"/>
  <c r="V433" i="1" s="1"/>
  <c r="X433" i="1" s="1"/>
  <c r="U434" i="1"/>
  <c r="V434" i="1" s="1"/>
  <c r="X434" i="1" s="1"/>
  <c r="U435" i="1"/>
  <c r="V435" i="1" s="1"/>
  <c r="X435" i="1" s="1"/>
  <c r="U436" i="1"/>
  <c r="V436" i="1" s="1"/>
  <c r="X436" i="1" s="1"/>
  <c r="U437" i="1"/>
  <c r="V437" i="1" s="1"/>
  <c r="X437" i="1" s="1"/>
  <c r="U438" i="1"/>
  <c r="V438" i="1" s="1"/>
  <c r="X438" i="1" s="1"/>
  <c r="U439" i="1"/>
  <c r="V439" i="1" s="1"/>
  <c r="X439" i="1" s="1"/>
  <c r="U440" i="1"/>
  <c r="V440" i="1" s="1"/>
  <c r="X440" i="1" s="1"/>
  <c r="U441" i="1"/>
  <c r="V441" i="1" s="1"/>
  <c r="X441" i="1" s="1"/>
  <c r="U442" i="1"/>
  <c r="V442" i="1" s="1"/>
  <c r="X442" i="1" s="1"/>
  <c r="U443" i="1"/>
  <c r="V443" i="1" s="1"/>
  <c r="X443" i="1" s="1"/>
  <c r="U444" i="1"/>
  <c r="V444" i="1" s="1"/>
  <c r="X444" i="1" s="1"/>
  <c r="U445" i="1"/>
  <c r="V445" i="1" s="1"/>
  <c r="X445" i="1" s="1"/>
  <c r="U446" i="1"/>
  <c r="V446" i="1" s="1"/>
  <c r="X446" i="1" s="1"/>
  <c r="U447" i="1"/>
  <c r="V447" i="1" s="1"/>
  <c r="X447" i="1" s="1"/>
  <c r="U448" i="1"/>
  <c r="V448" i="1" s="1"/>
  <c r="X448" i="1" s="1"/>
  <c r="U449" i="1"/>
  <c r="V449" i="1" s="1"/>
  <c r="X449" i="1" s="1"/>
  <c r="U450" i="1"/>
  <c r="V450" i="1" s="1"/>
  <c r="X450" i="1" s="1"/>
  <c r="U451" i="1"/>
  <c r="V451" i="1" s="1"/>
  <c r="X451" i="1" s="1"/>
  <c r="U452" i="1"/>
  <c r="V452" i="1" s="1"/>
  <c r="X452" i="1" s="1"/>
  <c r="U453" i="1"/>
  <c r="V453" i="1" s="1"/>
  <c r="X453" i="1" s="1"/>
  <c r="U454" i="1"/>
  <c r="V454" i="1" s="1"/>
  <c r="X454" i="1" s="1"/>
  <c r="U455" i="1"/>
  <c r="V455" i="1" s="1"/>
  <c r="X455" i="1" s="1"/>
  <c r="U456" i="1"/>
  <c r="V456" i="1" s="1"/>
  <c r="X456" i="1" s="1"/>
  <c r="U457" i="1"/>
  <c r="V457" i="1" s="1"/>
  <c r="X457" i="1" s="1"/>
  <c r="U458" i="1"/>
  <c r="V458" i="1" s="1"/>
  <c r="X458" i="1" s="1"/>
  <c r="U459" i="1"/>
  <c r="V459" i="1" s="1"/>
  <c r="X459" i="1" s="1"/>
  <c r="U460" i="1"/>
  <c r="V460" i="1" s="1"/>
  <c r="X460" i="1" s="1"/>
  <c r="U461" i="1"/>
  <c r="V461" i="1" s="1"/>
  <c r="X461" i="1" s="1"/>
  <c r="U462" i="1"/>
  <c r="V462" i="1" s="1"/>
  <c r="X462" i="1" s="1"/>
  <c r="U463" i="1"/>
  <c r="V463" i="1" s="1"/>
  <c r="X463" i="1" s="1"/>
  <c r="U464" i="1"/>
  <c r="V464" i="1" s="1"/>
  <c r="X464" i="1" s="1"/>
  <c r="U465" i="1"/>
  <c r="V465" i="1" s="1"/>
  <c r="X465" i="1" s="1"/>
  <c r="U466" i="1"/>
  <c r="V466" i="1" s="1"/>
  <c r="X466" i="1" s="1"/>
  <c r="U467" i="1"/>
  <c r="V467" i="1" s="1"/>
  <c r="X467" i="1" s="1"/>
  <c r="U468" i="1"/>
  <c r="V468" i="1" s="1"/>
  <c r="X468" i="1" s="1"/>
  <c r="U469" i="1"/>
  <c r="V469" i="1" s="1"/>
  <c r="X469" i="1" s="1"/>
  <c r="U470" i="1"/>
  <c r="V470" i="1" s="1"/>
  <c r="X470" i="1" s="1"/>
  <c r="U471" i="1"/>
  <c r="V471" i="1" s="1"/>
  <c r="X471" i="1" s="1"/>
  <c r="U472" i="1"/>
  <c r="V472" i="1" s="1"/>
  <c r="X472" i="1" s="1"/>
  <c r="U473" i="1"/>
  <c r="V473" i="1" s="1"/>
  <c r="X473" i="1" s="1"/>
  <c r="U474" i="1"/>
  <c r="V474" i="1" s="1"/>
  <c r="X474" i="1" s="1"/>
  <c r="U475" i="1"/>
  <c r="V475" i="1" s="1"/>
  <c r="X475" i="1" s="1"/>
  <c r="U476" i="1"/>
  <c r="V476" i="1" s="1"/>
  <c r="X476" i="1" s="1"/>
  <c r="U477" i="1"/>
  <c r="V477" i="1" s="1"/>
  <c r="X477" i="1" s="1"/>
  <c r="U478" i="1"/>
  <c r="V478" i="1" s="1"/>
  <c r="X478" i="1" s="1"/>
  <c r="U479" i="1"/>
  <c r="V479" i="1" s="1"/>
  <c r="X479" i="1" s="1"/>
  <c r="U480" i="1"/>
  <c r="V480" i="1" s="1"/>
  <c r="X480" i="1" s="1"/>
  <c r="U481" i="1"/>
  <c r="V481" i="1" s="1"/>
  <c r="X481" i="1" s="1"/>
  <c r="U482" i="1"/>
  <c r="V482" i="1" s="1"/>
  <c r="X482" i="1" s="1"/>
  <c r="U483" i="1"/>
  <c r="V483" i="1" s="1"/>
  <c r="X483" i="1" s="1"/>
  <c r="U484" i="1"/>
  <c r="V484" i="1" s="1"/>
  <c r="X484" i="1" s="1"/>
  <c r="U485" i="1"/>
  <c r="V485" i="1" s="1"/>
  <c r="X485" i="1" s="1"/>
  <c r="U486" i="1"/>
  <c r="V486" i="1" s="1"/>
  <c r="X486" i="1" s="1"/>
  <c r="U487" i="1"/>
  <c r="V487" i="1" s="1"/>
  <c r="X487" i="1" s="1"/>
  <c r="U488" i="1"/>
  <c r="V488" i="1" s="1"/>
  <c r="X488" i="1" s="1"/>
  <c r="U489" i="1"/>
  <c r="V489" i="1" s="1"/>
  <c r="X489" i="1" s="1"/>
  <c r="U490" i="1"/>
  <c r="V490" i="1" s="1"/>
  <c r="X490" i="1" s="1"/>
  <c r="U491" i="1"/>
  <c r="V491" i="1" s="1"/>
  <c r="X491" i="1" s="1"/>
  <c r="U492" i="1"/>
  <c r="V492" i="1" s="1"/>
  <c r="X492" i="1" s="1"/>
  <c r="U493" i="1"/>
  <c r="V493" i="1" s="1"/>
  <c r="X493" i="1" s="1"/>
  <c r="U494" i="1"/>
  <c r="V494" i="1" s="1"/>
  <c r="X494" i="1" s="1"/>
  <c r="U495" i="1"/>
  <c r="V495" i="1" s="1"/>
  <c r="X495" i="1" s="1"/>
  <c r="U496" i="1"/>
  <c r="V496" i="1" s="1"/>
  <c r="X496" i="1" s="1"/>
  <c r="U497" i="1"/>
  <c r="V497" i="1" s="1"/>
  <c r="X497" i="1" s="1"/>
  <c r="U498" i="1"/>
  <c r="V498" i="1" s="1"/>
  <c r="X498" i="1" s="1"/>
  <c r="U499" i="1"/>
  <c r="V499" i="1" s="1"/>
  <c r="X499" i="1" s="1"/>
  <c r="U500" i="1"/>
  <c r="V500" i="1" s="1"/>
  <c r="X500" i="1" s="1"/>
  <c r="U501" i="1"/>
  <c r="V501" i="1" s="1"/>
  <c r="X501" i="1" s="1"/>
  <c r="U502" i="1"/>
  <c r="V502" i="1" s="1"/>
  <c r="X502" i="1" s="1"/>
  <c r="U503" i="1"/>
  <c r="V503" i="1" s="1"/>
  <c r="X503" i="1" s="1"/>
  <c r="U504" i="1"/>
  <c r="V504" i="1" s="1"/>
  <c r="X504" i="1" s="1"/>
  <c r="U505" i="1"/>
  <c r="V505" i="1" s="1"/>
  <c r="X505" i="1" s="1"/>
  <c r="U506" i="1"/>
  <c r="V506" i="1" s="1"/>
  <c r="X506" i="1" s="1"/>
  <c r="U507" i="1"/>
  <c r="V507" i="1" s="1"/>
  <c r="X507" i="1" s="1"/>
  <c r="U508" i="1"/>
  <c r="V508" i="1" s="1"/>
  <c r="X508" i="1" s="1"/>
  <c r="U509" i="1"/>
  <c r="V509" i="1" s="1"/>
  <c r="X509" i="1" s="1"/>
  <c r="U510" i="1"/>
  <c r="V510" i="1" s="1"/>
  <c r="X510" i="1" s="1"/>
  <c r="U511" i="1"/>
  <c r="V511" i="1" s="1"/>
  <c r="X511" i="1" s="1"/>
  <c r="U512" i="1"/>
  <c r="V512" i="1" s="1"/>
  <c r="X512" i="1" s="1"/>
  <c r="U513" i="1"/>
  <c r="V513" i="1" s="1"/>
  <c r="X513" i="1" s="1"/>
  <c r="U514" i="1"/>
  <c r="V514" i="1" s="1"/>
  <c r="X514" i="1" s="1"/>
  <c r="U515" i="1"/>
  <c r="V515" i="1" s="1"/>
  <c r="X515" i="1" s="1"/>
  <c r="U516" i="1"/>
  <c r="V516" i="1" s="1"/>
  <c r="X516" i="1" s="1"/>
  <c r="U517" i="1"/>
  <c r="V517" i="1" s="1"/>
  <c r="X517" i="1" s="1"/>
  <c r="U518" i="1"/>
  <c r="V518" i="1" s="1"/>
  <c r="X518" i="1" s="1"/>
  <c r="U519" i="1"/>
  <c r="V519" i="1" s="1"/>
  <c r="X519" i="1" s="1"/>
  <c r="U520" i="1"/>
  <c r="V520" i="1" s="1"/>
  <c r="X520" i="1" s="1"/>
  <c r="U521" i="1"/>
  <c r="V521" i="1" s="1"/>
  <c r="X521" i="1" s="1"/>
  <c r="U522" i="1"/>
  <c r="V522" i="1" s="1"/>
  <c r="X522" i="1" s="1"/>
  <c r="U523" i="1"/>
  <c r="V523" i="1" s="1"/>
  <c r="X523" i="1" s="1"/>
  <c r="U524" i="1"/>
  <c r="V524" i="1" s="1"/>
  <c r="X524" i="1" s="1"/>
  <c r="U525" i="1"/>
  <c r="V525" i="1" s="1"/>
  <c r="X525" i="1" s="1"/>
  <c r="U526" i="1"/>
  <c r="V526" i="1" s="1"/>
  <c r="X526" i="1" s="1"/>
  <c r="U527" i="1"/>
  <c r="V527" i="1" s="1"/>
  <c r="X527" i="1" s="1"/>
  <c r="U528" i="1"/>
  <c r="V528" i="1" s="1"/>
  <c r="X528" i="1" s="1"/>
  <c r="U529" i="1"/>
  <c r="V529" i="1" s="1"/>
  <c r="X529" i="1" s="1"/>
  <c r="U530" i="1"/>
  <c r="V530" i="1" s="1"/>
  <c r="X530" i="1" s="1"/>
  <c r="U531" i="1"/>
  <c r="V531" i="1" s="1"/>
  <c r="X531" i="1" s="1"/>
  <c r="U532" i="1"/>
  <c r="V532" i="1" s="1"/>
  <c r="X532" i="1" s="1"/>
  <c r="U533" i="1"/>
  <c r="V533" i="1" s="1"/>
  <c r="X533" i="1" s="1"/>
  <c r="U534" i="1"/>
  <c r="V534" i="1" s="1"/>
  <c r="X534" i="1" s="1"/>
  <c r="U535" i="1"/>
  <c r="V535" i="1" s="1"/>
  <c r="X535" i="1" s="1"/>
  <c r="U536" i="1"/>
  <c r="V536" i="1" s="1"/>
  <c r="X536" i="1" s="1"/>
  <c r="U537" i="1"/>
  <c r="V537" i="1" s="1"/>
  <c r="X537" i="1" s="1"/>
  <c r="U538" i="1"/>
  <c r="V538" i="1" s="1"/>
  <c r="X538" i="1" s="1"/>
  <c r="U539" i="1"/>
  <c r="V539" i="1" s="1"/>
  <c r="X539" i="1" s="1"/>
  <c r="U540" i="1"/>
  <c r="V540" i="1" s="1"/>
  <c r="X540" i="1" s="1"/>
  <c r="U541" i="1"/>
  <c r="V541" i="1" s="1"/>
  <c r="X541" i="1" s="1"/>
  <c r="U542" i="1"/>
  <c r="V542" i="1" s="1"/>
  <c r="X542" i="1" s="1"/>
  <c r="U543" i="1"/>
  <c r="V543" i="1" s="1"/>
  <c r="X543" i="1" s="1"/>
  <c r="U544" i="1"/>
  <c r="V544" i="1" s="1"/>
  <c r="X544" i="1" s="1"/>
  <c r="U545" i="1"/>
  <c r="V545" i="1" s="1"/>
  <c r="X545" i="1" s="1"/>
  <c r="U546" i="1"/>
  <c r="V546" i="1" s="1"/>
  <c r="X546" i="1" s="1"/>
  <c r="U547" i="1"/>
  <c r="V547" i="1" s="1"/>
  <c r="X547" i="1" s="1"/>
  <c r="U548" i="1"/>
  <c r="V548" i="1" s="1"/>
  <c r="X548" i="1" s="1"/>
  <c r="U549" i="1"/>
  <c r="V549" i="1" s="1"/>
  <c r="X549" i="1" s="1"/>
  <c r="U550" i="1"/>
  <c r="V550" i="1" s="1"/>
  <c r="X550" i="1" s="1"/>
  <c r="U551" i="1"/>
  <c r="V551" i="1" s="1"/>
  <c r="X551" i="1" s="1"/>
  <c r="U552" i="1"/>
  <c r="V552" i="1" s="1"/>
  <c r="X552" i="1" s="1"/>
  <c r="U553" i="1"/>
  <c r="V553" i="1" s="1"/>
  <c r="X553" i="1" s="1"/>
  <c r="U554" i="1"/>
  <c r="V554" i="1" s="1"/>
  <c r="X554" i="1" s="1"/>
  <c r="U555" i="1"/>
  <c r="V555" i="1" s="1"/>
  <c r="X555" i="1" s="1"/>
  <c r="U556" i="1"/>
  <c r="V556" i="1" s="1"/>
  <c r="X556" i="1" s="1"/>
  <c r="U557" i="1"/>
  <c r="V557" i="1" s="1"/>
  <c r="X557" i="1" s="1"/>
  <c r="U558" i="1"/>
  <c r="V558" i="1" s="1"/>
  <c r="X558" i="1" s="1"/>
  <c r="U559" i="1"/>
  <c r="V559" i="1" s="1"/>
  <c r="X559" i="1" s="1"/>
  <c r="U560" i="1"/>
  <c r="V560" i="1" s="1"/>
  <c r="X560" i="1" s="1"/>
  <c r="U561" i="1"/>
  <c r="V561" i="1" s="1"/>
  <c r="X561" i="1" s="1"/>
  <c r="U562" i="1"/>
  <c r="V562" i="1" s="1"/>
  <c r="X562" i="1" s="1"/>
  <c r="U563" i="1"/>
  <c r="V563" i="1" s="1"/>
  <c r="X563" i="1" s="1"/>
  <c r="U564" i="1"/>
  <c r="V564" i="1" s="1"/>
  <c r="X564" i="1" s="1"/>
  <c r="U565" i="1"/>
  <c r="V565" i="1" s="1"/>
  <c r="X565" i="1" s="1"/>
  <c r="U566" i="1"/>
  <c r="V566" i="1" s="1"/>
  <c r="X566" i="1" s="1"/>
  <c r="U567" i="1"/>
  <c r="V567" i="1" s="1"/>
  <c r="X567" i="1" s="1"/>
  <c r="U568" i="1"/>
  <c r="V568" i="1" s="1"/>
  <c r="X568" i="1" s="1"/>
  <c r="U569" i="1"/>
  <c r="V569" i="1" s="1"/>
  <c r="X569" i="1" s="1"/>
  <c r="U570" i="1"/>
  <c r="V570" i="1" s="1"/>
  <c r="X570" i="1" s="1"/>
  <c r="U571" i="1"/>
  <c r="V571" i="1" s="1"/>
  <c r="X571" i="1" s="1"/>
  <c r="U572" i="1"/>
  <c r="V572" i="1" s="1"/>
  <c r="X572" i="1" s="1"/>
  <c r="U573" i="1"/>
  <c r="V573" i="1" s="1"/>
  <c r="X573" i="1" s="1"/>
  <c r="U574" i="1"/>
  <c r="V574" i="1" s="1"/>
  <c r="X574" i="1" s="1"/>
  <c r="U575" i="1"/>
  <c r="V575" i="1" s="1"/>
  <c r="X575" i="1" s="1"/>
  <c r="U576" i="1"/>
  <c r="V576" i="1" s="1"/>
  <c r="X576" i="1" s="1"/>
  <c r="U577" i="1"/>
  <c r="V577" i="1" s="1"/>
  <c r="X577" i="1" s="1"/>
  <c r="U578" i="1"/>
  <c r="V578" i="1" s="1"/>
  <c r="X578" i="1" s="1"/>
  <c r="U579" i="1"/>
  <c r="V579" i="1" s="1"/>
  <c r="X579" i="1" s="1"/>
  <c r="U580" i="1"/>
  <c r="V580" i="1" s="1"/>
  <c r="X580" i="1" s="1"/>
  <c r="U581" i="1"/>
  <c r="V581" i="1" s="1"/>
  <c r="X581" i="1" s="1"/>
  <c r="U582" i="1"/>
  <c r="V582" i="1" s="1"/>
  <c r="X582" i="1" s="1"/>
  <c r="U583" i="1"/>
  <c r="V583" i="1" s="1"/>
  <c r="X583" i="1" s="1"/>
  <c r="U584" i="1"/>
  <c r="V584" i="1" s="1"/>
  <c r="X584" i="1" s="1"/>
  <c r="U585" i="1"/>
  <c r="V585" i="1" s="1"/>
  <c r="X585" i="1" s="1"/>
  <c r="U586" i="1"/>
  <c r="V586" i="1" s="1"/>
  <c r="X586" i="1" s="1"/>
  <c r="U587" i="1"/>
  <c r="V587" i="1" s="1"/>
  <c r="X587" i="1" s="1"/>
  <c r="U588" i="1"/>
  <c r="V588" i="1" s="1"/>
  <c r="X588" i="1" s="1"/>
  <c r="U589" i="1"/>
  <c r="V589" i="1" s="1"/>
  <c r="X589" i="1" s="1"/>
  <c r="U590" i="1"/>
  <c r="V590" i="1" s="1"/>
  <c r="X590" i="1" s="1"/>
  <c r="U591" i="1"/>
  <c r="V591" i="1" s="1"/>
  <c r="X591" i="1" s="1"/>
  <c r="U592" i="1"/>
  <c r="V592" i="1" s="1"/>
  <c r="X592" i="1" s="1"/>
  <c r="U593" i="1"/>
  <c r="V593" i="1" s="1"/>
  <c r="X593" i="1" s="1"/>
  <c r="U594" i="1"/>
  <c r="V594" i="1" s="1"/>
  <c r="X594" i="1" s="1"/>
  <c r="U595" i="1"/>
  <c r="V595" i="1" s="1"/>
  <c r="X595" i="1" s="1"/>
  <c r="U596" i="1"/>
  <c r="V596" i="1" s="1"/>
  <c r="X596" i="1" s="1"/>
  <c r="U597" i="1"/>
  <c r="V597" i="1" s="1"/>
  <c r="X597" i="1" s="1"/>
  <c r="U598" i="1"/>
  <c r="V598" i="1" s="1"/>
  <c r="X598" i="1" s="1"/>
  <c r="U599" i="1"/>
  <c r="V599" i="1" s="1"/>
  <c r="X599" i="1" s="1"/>
  <c r="U600" i="1"/>
  <c r="V600" i="1" s="1"/>
  <c r="X600" i="1" s="1"/>
  <c r="U601" i="1"/>
  <c r="V601" i="1" s="1"/>
  <c r="X601" i="1" s="1"/>
  <c r="U602" i="1"/>
  <c r="V602" i="1" s="1"/>
  <c r="X602" i="1" s="1"/>
  <c r="U603" i="1"/>
  <c r="V603" i="1" s="1"/>
  <c r="X603" i="1" s="1"/>
  <c r="U604" i="1"/>
  <c r="V604" i="1" s="1"/>
  <c r="X604" i="1" s="1"/>
  <c r="U605" i="1"/>
  <c r="V605" i="1" s="1"/>
  <c r="X605" i="1" s="1"/>
  <c r="U606" i="1"/>
  <c r="V606" i="1" s="1"/>
  <c r="X606" i="1" s="1"/>
  <c r="U607" i="1"/>
  <c r="V607" i="1" s="1"/>
  <c r="X607" i="1" s="1"/>
  <c r="U608" i="1"/>
  <c r="V608" i="1" s="1"/>
  <c r="X608" i="1" s="1"/>
  <c r="U609" i="1"/>
  <c r="V609" i="1" s="1"/>
  <c r="X609" i="1" s="1"/>
  <c r="U610" i="1"/>
  <c r="V610" i="1" s="1"/>
  <c r="X610" i="1" s="1"/>
  <c r="U611" i="1"/>
  <c r="V611" i="1" s="1"/>
  <c r="X611" i="1" s="1"/>
  <c r="U612" i="1"/>
  <c r="V612" i="1" s="1"/>
  <c r="X612" i="1" s="1"/>
  <c r="U613" i="1"/>
  <c r="V613" i="1" s="1"/>
  <c r="X613" i="1" s="1"/>
  <c r="U614" i="1"/>
  <c r="V614" i="1" s="1"/>
  <c r="X614" i="1" s="1"/>
  <c r="U615" i="1"/>
  <c r="V615" i="1" s="1"/>
  <c r="X615" i="1" s="1"/>
  <c r="U616" i="1"/>
  <c r="V616" i="1" s="1"/>
  <c r="X616" i="1" s="1"/>
  <c r="U617" i="1"/>
  <c r="V617" i="1" s="1"/>
  <c r="X617" i="1" s="1"/>
  <c r="U618" i="1"/>
  <c r="V618" i="1" s="1"/>
  <c r="X618" i="1" s="1"/>
  <c r="U619" i="1"/>
  <c r="V619" i="1" s="1"/>
  <c r="X619" i="1" s="1"/>
  <c r="U620" i="1"/>
  <c r="V620" i="1" s="1"/>
  <c r="X620" i="1" s="1"/>
  <c r="U621" i="1"/>
  <c r="V621" i="1" s="1"/>
  <c r="X621" i="1" s="1"/>
  <c r="U622" i="1"/>
  <c r="V622" i="1" s="1"/>
  <c r="X622" i="1" s="1"/>
  <c r="U623" i="1"/>
  <c r="V623" i="1" s="1"/>
  <c r="X623" i="1" s="1"/>
  <c r="U624" i="1"/>
  <c r="V624" i="1" s="1"/>
  <c r="X624" i="1" s="1"/>
  <c r="U625" i="1"/>
  <c r="V625" i="1" s="1"/>
  <c r="X625" i="1" s="1"/>
  <c r="U626" i="1"/>
  <c r="V626" i="1" s="1"/>
  <c r="X626" i="1" s="1"/>
  <c r="U627" i="1"/>
  <c r="V627" i="1" s="1"/>
  <c r="X627" i="1" s="1"/>
  <c r="U628" i="1"/>
  <c r="V628" i="1" s="1"/>
  <c r="X628" i="1" s="1"/>
  <c r="U629" i="1"/>
  <c r="V629" i="1" s="1"/>
  <c r="X629" i="1" s="1"/>
  <c r="U630" i="1"/>
  <c r="V630" i="1" s="1"/>
  <c r="X630" i="1" s="1"/>
  <c r="U631" i="1"/>
  <c r="V631" i="1" s="1"/>
  <c r="X631" i="1" s="1"/>
  <c r="U632" i="1"/>
  <c r="V632" i="1" s="1"/>
  <c r="X632" i="1" s="1"/>
  <c r="U633" i="1"/>
  <c r="V633" i="1" s="1"/>
  <c r="X633" i="1" s="1"/>
  <c r="U634" i="1"/>
  <c r="V634" i="1" s="1"/>
  <c r="X634" i="1" s="1"/>
  <c r="U635" i="1"/>
  <c r="V635" i="1" s="1"/>
  <c r="X635" i="1" s="1"/>
  <c r="U636" i="1"/>
  <c r="V636" i="1" s="1"/>
  <c r="X636" i="1" s="1"/>
  <c r="U637" i="1"/>
  <c r="V637" i="1" s="1"/>
  <c r="X637" i="1" s="1"/>
  <c r="U638" i="1"/>
  <c r="V638" i="1" s="1"/>
  <c r="X638" i="1" s="1"/>
  <c r="U639" i="1"/>
  <c r="V639" i="1" s="1"/>
  <c r="X639" i="1" s="1"/>
  <c r="U640" i="1"/>
  <c r="V640" i="1" s="1"/>
  <c r="X640" i="1" s="1"/>
  <c r="U641" i="1"/>
  <c r="V641" i="1" s="1"/>
  <c r="X641" i="1" s="1"/>
  <c r="U642" i="1"/>
  <c r="V642" i="1" s="1"/>
  <c r="X642" i="1" s="1"/>
  <c r="U643" i="1"/>
  <c r="V643" i="1" s="1"/>
  <c r="X643" i="1" s="1"/>
  <c r="U644" i="1"/>
  <c r="V644" i="1" s="1"/>
  <c r="X644" i="1" s="1"/>
  <c r="U645" i="1"/>
  <c r="V645" i="1" s="1"/>
  <c r="X645" i="1" s="1"/>
  <c r="U646" i="1"/>
  <c r="V646" i="1" s="1"/>
  <c r="X646" i="1" s="1"/>
  <c r="U647" i="1"/>
  <c r="V647" i="1" s="1"/>
  <c r="X647" i="1" s="1"/>
  <c r="U648" i="1"/>
  <c r="V648" i="1" s="1"/>
  <c r="X648" i="1" s="1"/>
  <c r="U649" i="1"/>
  <c r="V649" i="1" s="1"/>
  <c r="X649" i="1" s="1"/>
  <c r="U650" i="1"/>
  <c r="V650" i="1" s="1"/>
  <c r="X650" i="1" s="1"/>
  <c r="U651" i="1"/>
  <c r="V651" i="1" s="1"/>
  <c r="X651" i="1" s="1"/>
  <c r="U652" i="1"/>
  <c r="V652" i="1" s="1"/>
  <c r="X652" i="1" s="1"/>
  <c r="U653" i="1"/>
  <c r="V653" i="1" s="1"/>
  <c r="X653" i="1" s="1"/>
  <c r="U654" i="1"/>
  <c r="V654" i="1" s="1"/>
  <c r="X654" i="1" s="1"/>
  <c r="U655" i="1"/>
  <c r="V655" i="1" s="1"/>
  <c r="X655" i="1" s="1"/>
  <c r="U656" i="1"/>
  <c r="V656" i="1" s="1"/>
  <c r="X656" i="1" s="1"/>
  <c r="U657" i="1"/>
  <c r="V657" i="1" s="1"/>
  <c r="X657" i="1" s="1"/>
  <c r="U658" i="1"/>
  <c r="V658" i="1" s="1"/>
  <c r="X658" i="1" s="1"/>
  <c r="U659" i="1"/>
  <c r="V659" i="1" s="1"/>
  <c r="X659" i="1" s="1"/>
  <c r="U660" i="1"/>
  <c r="V660" i="1" s="1"/>
  <c r="X660" i="1" s="1"/>
  <c r="U661" i="1"/>
  <c r="V661" i="1" s="1"/>
  <c r="X661" i="1" s="1"/>
  <c r="U662" i="1"/>
  <c r="V662" i="1" s="1"/>
  <c r="X662" i="1" s="1"/>
  <c r="U663" i="1"/>
  <c r="V663" i="1" s="1"/>
  <c r="X663" i="1" s="1"/>
  <c r="U664" i="1"/>
  <c r="V664" i="1" s="1"/>
  <c r="X664" i="1" s="1"/>
  <c r="U665" i="1"/>
  <c r="V665" i="1" s="1"/>
  <c r="X665" i="1" s="1"/>
  <c r="U666" i="1"/>
  <c r="V666" i="1" s="1"/>
  <c r="X666" i="1" s="1"/>
  <c r="U667" i="1"/>
  <c r="V667" i="1" s="1"/>
  <c r="X667" i="1" s="1"/>
  <c r="U668" i="1"/>
  <c r="V668" i="1" s="1"/>
  <c r="X668" i="1" s="1"/>
  <c r="U669" i="1"/>
  <c r="V669" i="1" s="1"/>
  <c r="X669" i="1" s="1"/>
  <c r="U670" i="1"/>
  <c r="V670" i="1" s="1"/>
  <c r="X670" i="1" s="1"/>
  <c r="U671" i="1"/>
  <c r="V671" i="1" s="1"/>
  <c r="X671" i="1" s="1"/>
  <c r="U672" i="1"/>
  <c r="V672" i="1" s="1"/>
  <c r="X672" i="1" s="1"/>
  <c r="U673" i="1"/>
  <c r="V673" i="1" s="1"/>
  <c r="X673" i="1" s="1"/>
  <c r="U674" i="1"/>
  <c r="V674" i="1" s="1"/>
  <c r="X674" i="1" s="1"/>
  <c r="U675" i="1"/>
  <c r="V675" i="1" s="1"/>
  <c r="X675" i="1" s="1"/>
  <c r="U676" i="1"/>
  <c r="V676" i="1" s="1"/>
  <c r="X676" i="1" s="1"/>
  <c r="U677" i="1"/>
  <c r="V677" i="1" s="1"/>
  <c r="X677" i="1" s="1"/>
  <c r="U678" i="1"/>
  <c r="V678" i="1" s="1"/>
  <c r="X678" i="1" s="1"/>
  <c r="U679" i="1"/>
  <c r="V679" i="1" s="1"/>
  <c r="X679" i="1" s="1"/>
  <c r="U680" i="1"/>
  <c r="V680" i="1" s="1"/>
  <c r="X680" i="1" s="1"/>
  <c r="U681" i="1"/>
  <c r="V681" i="1" s="1"/>
  <c r="X681" i="1" s="1"/>
  <c r="U682" i="1"/>
  <c r="V682" i="1" s="1"/>
  <c r="X682" i="1" s="1"/>
  <c r="U683" i="1"/>
  <c r="V683" i="1" s="1"/>
  <c r="X683" i="1" s="1"/>
  <c r="U684" i="1"/>
  <c r="V684" i="1" s="1"/>
  <c r="X684" i="1" s="1"/>
  <c r="U685" i="1"/>
  <c r="V685" i="1" s="1"/>
  <c r="X685" i="1" s="1"/>
  <c r="U686" i="1"/>
  <c r="V686" i="1" s="1"/>
  <c r="X686" i="1" s="1"/>
  <c r="U687" i="1"/>
  <c r="V687" i="1" s="1"/>
  <c r="X687" i="1" s="1"/>
  <c r="U688" i="1"/>
  <c r="V688" i="1" s="1"/>
  <c r="X688" i="1" s="1"/>
  <c r="U689" i="1"/>
  <c r="V689" i="1" s="1"/>
  <c r="X689" i="1" s="1"/>
  <c r="U690" i="1"/>
  <c r="V690" i="1" s="1"/>
  <c r="X690" i="1" s="1"/>
  <c r="U691" i="1"/>
  <c r="V691" i="1" s="1"/>
  <c r="X691" i="1" s="1"/>
  <c r="U692" i="1"/>
  <c r="V692" i="1" s="1"/>
  <c r="X692" i="1" s="1"/>
  <c r="U693" i="1"/>
  <c r="V693" i="1" s="1"/>
  <c r="X693" i="1" s="1"/>
  <c r="U694" i="1"/>
  <c r="V694" i="1" s="1"/>
  <c r="X694" i="1" s="1"/>
  <c r="U695" i="1"/>
  <c r="V695" i="1" s="1"/>
  <c r="X695" i="1" s="1"/>
  <c r="U696" i="1"/>
  <c r="V696" i="1" s="1"/>
  <c r="X696" i="1" s="1"/>
  <c r="U697" i="1"/>
  <c r="V697" i="1" s="1"/>
  <c r="X697" i="1" s="1"/>
  <c r="U698" i="1"/>
  <c r="V698" i="1" s="1"/>
  <c r="X698" i="1" s="1"/>
  <c r="U699" i="1"/>
  <c r="V699" i="1" s="1"/>
  <c r="X699" i="1" s="1"/>
  <c r="U700" i="1"/>
  <c r="V700" i="1" s="1"/>
  <c r="X700" i="1" s="1"/>
  <c r="U701" i="1"/>
  <c r="V701" i="1" s="1"/>
  <c r="X701" i="1" s="1"/>
  <c r="U702" i="1"/>
  <c r="V702" i="1" s="1"/>
  <c r="X702" i="1" s="1"/>
  <c r="U703" i="1"/>
  <c r="V703" i="1" s="1"/>
  <c r="X703" i="1" s="1"/>
  <c r="U704" i="1"/>
  <c r="V704" i="1" s="1"/>
  <c r="X704" i="1" s="1"/>
  <c r="U705" i="1"/>
  <c r="V705" i="1" s="1"/>
  <c r="X705" i="1" s="1"/>
  <c r="U706" i="1"/>
  <c r="V706" i="1" s="1"/>
  <c r="X706" i="1" s="1"/>
  <c r="U707" i="1"/>
  <c r="V707" i="1" s="1"/>
  <c r="X707" i="1" s="1"/>
  <c r="U708" i="1"/>
  <c r="V708" i="1" s="1"/>
  <c r="X708" i="1" s="1"/>
  <c r="U709" i="1"/>
  <c r="V709" i="1" s="1"/>
  <c r="X709" i="1" s="1"/>
  <c r="U710" i="1"/>
  <c r="V710" i="1" s="1"/>
  <c r="X710" i="1" s="1"/>
  <c r="U711" i="1"/>
  <c r="V711" i="1" s="1"/>
  <c r="X711" i="1" s="1"/>
  <c r="U712" i="1"/>
  <c r="V712" i="1" s="1"/>
  <c r="X712" i="1" s="1"/>
  <c r="U713" i="1"/>
  <c r="V713" i="1" s="1"/>
  <c r="X713" i="1" s="1"/>
  <c r="U714" i="1"/>
  <c r="V714" i="1" s="1"/>
  <c r="X714" i="1" s="1"/>
  <c r="U715" i="1"/>
  <c r="V715" i="1" s="1"/>
  <c r="X715" i="1" s="1"/>
  <c r="U716" i="1"/>
  <c r="V716" i="1" s="1"/>
  <c r="X716" i="1" s="1"/>
  <c r="U717" i="1"/>
  <c r="V717" i="1" s="1"/>
  <c r="X717" i="1" s="1"/>
  <c r="U718" i="1"/>
  <c r="V718" i="1" s="1"/>
  <c r="X718" i="1" s="1"/>
  <c r="U719" i="1"/>
  <c r="V719" i="1" s="1"/>
  <c r="X719" i="1" s="1"/>
  <c r="U720" i="1"/>
  <c r="V720" i="1" s="1"/>
  <c r="X720" i="1" s="1"/>
  <c r="U721" i="1"/>
  <c r="V721" i="1" s="1"/>
  <c r="X721" i="1" s="1"/>
  <c r="U722" i="1"/>
  <c r="V722" i="1" s="1"/>
  <c r="X722" i="1" s="1"/>
  <c r="U723" i="1"/>
  <c r="V723" i="1" s="1"/>
  <c r="X723" i="1" s="1"/>
  <c r="U724" i="1"/>
  <c r="V724" i="1" s="1"/>
  <c r="X724" i="1" s="1"/>
  <c r="U725" i="1"/>
  <c r="V725" i="1" s="1"/>
  <c r="X725" i="1" s="1"/>
  <c r="U726" i="1"/>
  <c r="V726" i="1" s="1"/>
  <c r="X726" i="1" s="1"/>
  <c r="U727" i="1"/>
  <c r="V727" i="1" s="1"/>
  <c r="X727" i="1" s="1"/>
  <c r="U728" i="1"/>
  <c r="V728" i="1" s="1"/>
  <c r="X728" i="1" s="1"/>
  <c r="U729" i="1"/>
  <c r="V729" i="1" s="1"/>
  <c r="X729" i="1" s="1"/>
  <c r="U730" i="1"/>
  <c r="V730" i="1" s="1"/>
  <c r="X730" i="1" s="1"/>
  <c r="U731" i="1"/>
  <c r="V731" i="1" s="1"/>
  <c r="X731" i="1" s="1"/>
  <c r="U732" i="1"/>
  <c r="V732" i="1" s="1"/>
  <c r="X732" i="1" s="1"/>
  <c r="U733" i="1"/>
  <c r="V733" i="1" s="1"/>
  <c r="X733" i="1" s="1"/>
  <c r="U734" i="1"/>
  <c r="V734" i="1" s="1"/>
  <c r="X734" i="1" s="1"/>
  <c r="U735" i="1"/>
  <c r="V735" i="1" s="1"/>
  <c r="X735" i="1" s="1"/>
  <c r="U736" i="1"/>
  <c r="V736" i="1" s="1"/>
  <c r="X736" i="1" s="1"/>
  <c r="U737" i="1"/>
  <c r="V737" i="1" s="1"/>
  <c r="X737" i="1" s="1"/>
  <c r="U738" i="1"/>
  <c r="V738" i="1" s="1"/>
  <c r="X738" i="1" s="1"/>
  <c r="U739" i="1"/>
  <c r="V739" i="1" s="1"/>
  <c r="X739" i="1" s="1"/>
  <c r="U740" i="1"/>
  <c r="V740" i="1" s="1"/>
  <c r="X740" i="1" s="1"/>
  <c r="U741" i="1"/>
  <c r="V741" i="1" s="1"/>
  <c r="X741" i="1" s="1"/>
  <c r="U742" i="1"/>
  <c r="V742" i="1" s="1"/>
  <c r="X742" i="1" s="1"/>
  <c r="U743" i="1"/>
  <c r="V743" i="1" s="1"/>
  <c r="X743" i="1" s="1"/>
  <c r="U744" i="1"/>
  <c r="V744" i="1" s="1"/>
  <c r="X744" i="1" s="1"/>
  <c r="U745" i="1"/>
  <c r="V745" i="1" s="1"/>
  <c r="X745" i="1" s="1"/>
  <c r="U746" i="1"/>
  <c r="V746" i="1" s="1"/>
  <c r="X746" i="1" s="1"/>
  <c r="U747" i="1"/>
  <c r="V747" i="1" s="1"/>
  <c r="X747" i="1" s="1"/>
  <c r="U748" i="1"/>
  <c r="V748" i="1" s="1"/>
  <c r="X748" i="1" s="1"/>
  <c r="U749" i="1"/>
  <c r="V749" i="1" s="1"/>
  <c r="X749" i="1" s="1"/>
  <c r="U750" i="1"/>
  <c r="V750" i="1" s="1"/>
  <c r="X750" i="1" s="1"/>
  <c r="U751" i="1"/>
  <c r="V751" i="1" s="1"/>
  <c r="X751" i="1" s="1"/>
  <c r="U752" i="1"/>
  <c r="V752" i="1" s="1"/>
  <c r="X752" i="1" s="1"/>
  <c r="U753" i="1"/>
  <c r="V753" i="1" s="1"/>
  <c r="X753" i="1" s="1"/>
  <c r="U754" i="1"/>
  <c r="V754" i="1" s="1"/>
  <c r="X754" i="1" s="1"/>
  <c r="U755" i="1"/>
  <c r="V755" i="1" s="1"/>
  <c r="X755" i="1" s="1"/>
  <c r="U756" i="1"/>
  <c r="V756" i="1" s="1"/>
  <c r="X756" i="1" s="1"/>
  <c r="U757" i="1"/>
  <c r="V757" i="1" s="1"/>
  <c r="X757" i="1" s="1"/>
  <c r="U758" i="1"/>
  <c r="V758" i="1" s="1"/>
  <c r="X758" i="1" s="1"/>
  <c r="U759" i="1"/>
  <c r="V759" i="1" s="1"/>
  <c r="X759" i="1" s="1"/>
  <c r="U760" i="1"/>
  <c r="V760" i="1" s="1"/>
  <c r="X760" i="1" s="1"/>
  <c r="U761" i="1"/>
  <c r="V761" i="1" s="1"/>
  <c r="X761" i="1" s="1"/>
  <c r="U762" i="1"/>
  <c r="V762" i="1" s="1"/>
  <c r="X762" i="1" s="1"/>
  <c r="U763" i="1"/>
  <c r="V763" i="1" s="1"/>
  <c r="X763" i="1" s="1"/>
  <c r="U764" i="1"/>
  <c r="V764" i="1" s="1"/>
  <c r="X764" i="1" s="1"/>
  <c r="U765" i="1"/>
  <c r="V765" i="1" s="1"/>
  <c r="X765" i="1" s="1"/>
  <c r="U766" i="1"/>
  <c r="V766" i="1" s="1"/>
  <c r="X766" i="1" s="1"/>
  <c r="U767" i="1"/>
  <c r="V767" i="1" s="1"/>
  <c r="X767" i="1" s="1"/>
  <c r="U768" i="1"/>
  <c r="V768" i="1" s="1"/>
  <c r="X768" i="1" s="1"/>
  <c r="U769" i="1"/>
  <c r="V769" i="1" s="1"/>
  <c r="X769" i="1" s="1"/>
  <c r="U770" i="1"/>
  <c r="V770" i="1" s="1"/>
  <c r="X770" i="1" s="1"/>
  <c r="U771" i="1"/>
  <c r="V771" i="1" s="1"/>
  <c r="X771" i="1" s="1"/>
  <c r="U772" i="1"/>
  <c r="V772" i="1" s="1"/>
  <c r="X772" i="1" s="1"/>
  <c r="U773" i="1"/>
  <c r="V773" i="1" s="1"/>
  <c r="X773" i="1" s="1"/>
  <c r="U774" i="1"/>
  <c r="V774" i="1" s="1"/>
  <c r="X774" i="1" s="1"/>
  <c r="U775" i="1"/>
  <c r="V775" i="1" s="1"/>
  <c r="X775" i="1" s="1"/>
  <c r="U776" i="1"/>
  <c r="V776" i="1" s="1"/>
  <c r="X776" i="1" s="1"/>
  <c r="U777" i="1"/>
  <c r="V777" i="1" s="1"/>
  <c r="X777" i="1" s="1"/>
  <c r="U778" i="1"/>
  <c r="V778" i="1" s="1"/>
  <c r="X778" i="1" s="1"/>
  <c r="U779" i="1"/>
  <c r="V779" i="1" s="1"/>
  <c r="X779" i="1" s="1"/>
  <c r="U780" i="1"/>
  <c r="V780" i="1" s="1"/>
  <c r="X780" i="1" s="1"/>
  <c r="U781" i="1"/>
  <c r="V781" i="1" s="1"/>
  <c r="X781" i="1" s="1"/>
  <c r="U782" i="1"/>
  <c r="V782" i="1" s="1"/>
  <c r="X782" i="1" s="1"/>
  <c r="U783" i="1"/>
  <c r="V783" i="1" s="1"/>
  <c r="X783" i="1" s="1"/>
  <c r="U784" i="1"/>
  <c r="V784" i="1" s="1"/>
  <c r="X784" i="1" s="1"/>
  <c r="U785" i="1"/>
  <c r="V785" i="1" s="1"/>
  <c r="X785" i="1" s="1"/>
  <c r="U786" i="1"/>
  <c r="V786" i="1" s="1"/>
  <c r="X786" i="1" s="1"/>
  <c r="U787" i="1"/>
  <c r="V787" i="1" s="1"/>
  <c r="X787" i="1" s="1"/>
  <c r="U788" i="1"/>
  <c r="V788" i="1" s="1"/>
  <c r="X788" i="1" s="1"/>
  <c r="U789" i="1"/>
  <c r="V789" i="1" s="1"/>
  <c r="X789" i="1" s="1"/>
  <c r="U790" i="1"/>
  <c r="V790" i="1" s="1"/>
  <c r="X790" i="1" s="1"/>
  <c r="U791" i="1"/>
  <c r="V791" i="1" s="1"/>
  <c r="X791" i="1" s="1"/>
  <c r="U792" i="1"/>
  <c r="V792" i="1" s="1"/>
  <c r="X792" i="1" s="1"/>
  <c r="U793" i="1"/>
  <c r="V793" i="1" s="1"/>
  <c r="X793" i="1" s="1"/>
  <c r="U794" i="1"/>
  <c r="V794" i="1" s="1"/>
  <c r="X794" i="1" s="1"/>
  <c r="U795" i="1"/>
  <c r="V795" i="1" s="1"/>
  <c r="X795" i="1" s="1"/>
  <c r="U796" i="1"/>
  <c r="V796" i="1" s="1"/>
  <c r="X796" i="1" s="1"/>
  <c r="U797" i="1"/>
  <c r="V797" i="1" s="1"/>
  <c r="X797" i="1" s="1"/>
  <c r="U798" i="1"/>
  <c r="V798" i="1" s="1"/>
  <c r="X798" i="1" s="1"/>
  <c r="U799" i="1"/>
  <c r="V799" i="1" s="1"/>
  <c r="X799" i="1" s="1"/>
  <c r="U800" i="1"/>
  <c r="V800" i="1" s="1"/>
  <c r="X800" i="1" s="1"/>
  <c r="U801" i="1"/>
  <c r="V801" i="1" s="1"/>
  <c r="X801" i="1" s="1"/>
  <c r="U802" i="1"/>
  <c r="V802" i="1" s="1"/>
  <c r="X802" i="1" s="1"/>
  <c r="U803" i="1"/>
  <c r="V803" i="1" s="1"/>
  <c r="X803" i="1" s="1"/>
  <c r="U804" i="1"/>
  <c r="V804" i="1" s="1"/>
  <c r="X804" i="1" s="1"/>
  <c r="U805" i="1"/>
  <c r="V805" i="1" s="1"/>
  <c r="X805" i="1" s="1"/>
  <c r="U806" i="1"/>
  <c r="V806" i="1" s="1"/>
  <c r="X806" i="1" s="1"/>
  <c r="U807" i="1"/>
  <c r="V807" i="1" s="1"/>
  <c r="X807" i="1" s="1"/>
  <c r="U808" i="1"/>
  <c r="V808" i="1" s="1"/>
  <c r="X808" i="1" s="1"/>
  <c r="U809" i="1"/>
  <c r="V809" i="1" s="1"/>
  <c r="X809" i="1" s="1"/>
  <c r="U810" i="1"/>
  <c r="V810" i="1" s="1"/>
  <c r="X810" i="1" s="1"/>
  <c r="U811" i="1"/>
  <c r="V811" i="1" s="1"/>
  <c r="X811" i="1" s="1"/>
  <c r="U812" i="1"/>
  <c r="V812" i="1" s="1"/>
  <c r="X812" i="1" s="1"/>
  <c r="U813" i="1"/>
  <c r="V813" i="1" s="1"/>
  <c r="X813" i="1" s="1"/>
  <c r="U814" i="1"/>
  <c r="V814" i="1" s="1"/>
  <c r="X814" i="1" s="1"/>
  <c r="U815" i="1"/>
  <c r="V815" i="1" s="1"/>
  <c r="X815" i="1" s="1"/>
  <c r="U816" i="1"/>
  <c r="V816" i="1" s="1"/>
  <c r="X816" i="1" s="1"/>
  <c r="U817" i="1"/>
  <c r="V817" i="1" s="1"/>
  <c r="X817" i="1" s="1"/>
  <c r="U818" i="1"/>
  <c r="V818" i="1" s="1"/>
  <c r="X818" i="1" s="1"/>
  <c r="U819" i="1"/>
  <c r="V819" i="1" s="1"/>
  <c r="X819" i="1" s="1"/>
  <c r="U820" i="1"/>
  <c r="V820" i="1" s="1"/>
  <c r="X820" i="1" s="1"/>
  <c r="U821" i="1"/>
  <c r="V821" i="1" s="1"/>
  <c r="X821" i="1" s="1"/>
  <c r="U822" i="1"/>
  <c r="V822" i="1" s="1"/>
  <c r="X822" i="1" s="1"/>
  <c r="U823" i="1"/>
  <c r="V823" i="1" s="1"/>
  <c r="X823" i="1" s="1"/>
  <c r="U824" i="1"/>
  <c r="V824" i="1" s="1"/>
  <c r="X824" i="1" s="1"/>
  <c r="U825" i="1"/>
  <c r="V825" i="1" s="1"/>
  <c r="X825" i="1" s="1"/>
  <c r="U826" i="1"/>
  <c r="V826" i="1" s="1"/>
  <c r="X826" i="1" s="1"/>
  <c r="U827" i="1"/>
  <c r="V827" i="1" s="1"/>
  <c r="X827" i="1" s="1"/>
  <c r="U828" i="1"/>
  <c r="V828" i="1" s="1"/>
  <c r="X828" i="1" s="1"/>
  <c r="U829" i="1"/>
  <c r="V829" i="1" s="1"/>
  <c r="X829" i="1" s="1"/>
  <c r="U830" i="1"/>
  <c r="V830" i="1" s="1"/>
  <c r="X830" i="1" s="1"/>
  <c r="U831" i="1"/>
  <c r="V831" i="1" s="1"/>
  <c r="X831" i="1" s="1"/>
  <c r="U832" i="1"/>
  <c r="V832" i="1" s="1"/>
  <c r="X832" i="1" s="1"/>
  <c r="U833" i="1"/>
  <c r="V833" i="1" s="1"/>
  <c r="X833" i="1" s="1"/>
  <c r="U834" i="1"/>
  <c r="V834" i="1" s="1"/>
  <c r="X834" i="1" s="1"/>
  <c r="U835" i="1"/>
  <c r="V835" i="1" s="1"/>
  <c r="X835" i="1" s="1"/>
  <c r="U836" i="1"/>
  <c r="V836" i="1" s="1"/>
  <c r="X836" i="1" s="1"/>
  <c r="U837" i="1"/>
  <c r="V837" i="1" s="1"/>
  <c r="X837" i="1" s="1"/>
  <c r="U838" i="1"/>
  <c r="V838" i="1" s="1"/>
  <c r="X838" i="1" s="1"/>
  <c r="U839" i="1"/>
  <c r="V839" i="1" s="1"/>
  <c r="X839" i="1" s="1"/>
  <c r="U840" i="1"/>
  <c r="V840" i="1" s="1"/>
  <c r="X840" i="1" s="1"/>
  <c r="U841" i="1"/>
  <c r="V841" i="1" s="1"/>
  <c r="X841" i="1" s="1"/>
  <c r="U842" i="1"/>
  <c r="V842" i="1" s="1"/>
  <c r="X842" i="1" s="1"/>
  <c r="U843" i="1"/>
  <c r="V843" i="1" s="1"/>
  <c r="X843" i="1" s="1"/>
  <c r="U844" i="1"/>
  <c r="V844" i="1" s="1"/>
  <c r="X844" i="1" s="1"/>
  <c r="U845" i="1"/>
  <c r="V845" i="1" s="1"/>
  <c r="X845" i="1" s="1"/>
  <c r="U846" i="1"/>
  <c r="V846" i="1" s="1"/>
  <c r="X846" i="1" s="1"/>
  <c r="U847" i="1"/>
  <c r="V847" i="1" s="1"/>
  <c r="X847" i="1" s="1"/>
  <c r="U848" i="1"/>
  <c r="V848" i="1" s="1"/>
  <c r="X848" i="1" s="1"/>
  <c r="U849" i="1"/>
  <c r="V849" i="1" s="1"/>
  <c r="X849" i="1" s="1"/>
  <c r="U850" i="1"/>
  <c r="V850" i="1" s="1"/>
  <c r="X850" i="1" s="1"/>
  <c r="U851" i="1"/>
  <c r="V851" i="1" s="1"/>
  <c r="X851" i="1" s="1"/>
  <c r="U852" i="1"/>
  <c r="V852" i="1" s="1"/>
  <c r="X852" i="1" s="1"/>
  <c r="U853" i="1"/>
  <c r="V853" i="1" s="1"/>
  <c r="X853" i="1" s="1"/>
  <c r="U854" i="1"/>
  <c r="V854" i="1" s="1"/>
  <c r="X854" i="1" s="1"/>
  <c r="U855" i="1"/>
  <c r="V855" i="1" s="1"/>
  <c r="X855" i="1" s="1"/>
  <c r="U856" i="1"/>
  <c r="V856" i="1" s="1"/>
  <c r="X856" i="1" s="1"/>
  <c r="U857" i="1"/>
  <c r="V857" i="1" s="1"/>
  <c r="X857" i="1" s="1"/>
  <c r="U858" i="1"/>
  <c r="V858" i="1" s="1"/>
  <c r="X858" i="1" s="1"/>
  <c r="U859" i="1"/>
  <c r="V859" i="1" s="1"/>
  <c r="X859" i="1" s="1"/>
  <c r="U860" i="1"/>
  <c r="V860" i="1" s="1"/>
  <c r="X860" i="1" s="1"/>
  <c r="U861" i="1"/>
  <c r="V861" i="1" s="1"/>
  <c r="X861" i="1" s="1"/>
  <c r="U862" i="1"/>
  <c r="V862" i="1" s="1"/>
  <c r="X862" i="1" s="1"/>
  <c r="U863" i="1"/>
  <c r="V863" i="1" s="1"/>
  <c r="X863" i="1" s="1"/>
  <c r="U864" i="1"/>
  <c r="V864" i="1" s="1"/>
  <c r="X864" i="1" s="1"/>
  <c r="U865" i="1"/>
  <c r="V865" i="1" s="1"/>
  <c r="X865" i="1" s="1"/>
  <c r="U866" i="1"/>
  <c r="V866" i="1" s="1"/>
  <c r="X866" i="1" s="1"/>
  <c r="U867" i="1"/>
  <c r="V867" i="1" s="1"/>
  <c r="X867" i="1" s="1"/>
  <c r="U868" i="1"/>
  <c r="V868" i="1" s="1"/>
  <c r="X868" i="1" s="1"/>
  <c r="U869" i="1"/>
  <c r="V869" i="1" s="1"/>
  <c r="X869" i="1" s="1"/>
  <c r="U870" i="1"/>
  <c r="V870" i="1" s="1"/>
  <c r="X870" i="1" s="1"/>
  <c r="U871" i="1"/>
  <c r="V871" i="1" s="1"/>
  <c r="X871" i="1" s="1"/>
  <c r="U872" i="1"/>
  <c r="V872" i="1" s="1"/>
  <c r="X872" i="1" s="1"/>
  <c r="U873" i="1"/>
  <c r="V873" i="1" s="1"/>
  <c r="X873" i="1" s="1"/>
  <c r="U874" i="1"/>
  <c r="V874" i="1" s="1"/>
  <c r="X874" i="1" s="1"/>
  <c r="U875" i="1"/>
  <c r="V875" i="1" s="1"/>
  <c r="X875" i="1" s="1"/>
  <c r="U876" i="1"/>
  <c r="V876" i="1" s="1"/>
  <c r="X876" i="1" s="1"/>
  <c r="U877" i="1"/>
  <c r="V877" i="1" s="1"/>
  <c r="X877" i="1" s="1"/>
  <c r="U878" i="1"/>
  <c r="V878" i="1" s="1"/>
  <c r="X878" i="1" s="1"/>
  <c r="U879" i="1"/>
  <c r="V879" i="1" s="1"/>
  <c r="X879" i="1" s="1"/>
  <c r="U880" i="1"/>
  <c r="V880" i="1" s="1"/>
  <c r="X880" i="1" s="1"/>
  <c r="U881" i="1"/>
  <c r="V881" i="1" s="1"/>
  <c r="X881" i="1" s="1"/>
  <c r="U882" i="1"/>
  <c r="V882" i="1" s="1"/>
  <c r="X882" i="1" s="1"/>
  <c r="U883" i="1"/>
  <c r="V883" i="1" s="1"/>
  <c r="X883" i="1" s="1"/>
  <c r="U884" i="1"/>
  <c r="V884" i="1" s="1"/>
  <c r="X884" i="1" s="1"/>
  <c r="U885" i="1"/>
  <c r="V885" i="1" s="1"/>
  <c r="X885" i="1" s="1"/>
  <c r="U886" i="1"/>
  <c r="V886" i="1" s="1"/>
  <c r="X886" i="1" s="1"/>
  <c r="U887" i="1"/>
  <c r="V887" i="1" s="1"/>
  <c r="X887" i="1" s="1"/>
  <c r="U888" i="1"/>
  <c r="V888" i="1" s="1"/>
  <c r="X888" i="1" s="1"/>
  <c r="U889" i="1"/>
  <c r="V889" i="1" s="1"/>
  <c r="X889" i="1" s="1"/>
  <c r="U890" i="1"/>
  <c r="V890" i="1" s="1"/>
  <c r="X890" i="1" s="1"/>
  <c r="U891" i="1"/>
  <c r="V891" i="1" s="1"/>
  <c r="X891" i="1" s="1"/>
  <c r="U892" i="1"/>
  <c r="V892" i="1" s="1"/>
  <c r="X892" i="1" s="1"/>
  <c r="U893" i="1"/>
  <c r="V893" i="1" s="1"/>
  <c r="X893" i="1" s="1"/>
  <c r="U894" i="1"/>
  <c r="V894" i="1" s="1"/>
  <c r="X894" i="1" s="1"/>
  <c r="U895" i="1"/>
  <c r="V895" i="1" s="1"/>
  <c r="X895" i="1" s="1"/>
  <c r="U896" i="1"/>
  <c r="V896" i="1" s="1"/>
  <c r="X896" i="1" s="1"/>
  <c r="U897" i="1"/>
  <c r="V897" i="1" s="1"/>
  <c r="X897" i="1" s="1"/>
  <c r="U898" i="1"/>
  <c r="V898" i="1" s="1"/>
  <c r="X898" i="1" s="1"/>
  <c r="U899" i="1"/>
  <c r="V899" i="1" s="1"/>
  <c r="X899" i="1" s="1"/>
  <c r="U900" i="1"/>
  <c r="V900" i="1" s="1"/>
  <c r="X900" i="1" s="1"/>
  <c r="U901" i="1"/>
  <c r="V901" i="1" s="1"/>
  <c r="X901" i="1" s="1"/>
  <c r="U902" i="1"/>
  <c r="V902" i="1" s="1"/>
  <c r="X902" i="1" s="1"/>
  <c r="U903" i="1"/>
  <c r="V903" i="1" s="1"/>
  <c r="X903" i="1" s="1"/>
  <c r="U904" i="1"/>
  <c r="V904" i="1" s="1"/>
  <c r="X904" i="1" s="1"/>
  <c r="U905" i="1"/>
  <c r="V905" i="1" s="1"/>
  <c r="X905" i="1" s="1"/>
  <c r="U906" i="1"/>
  <c r="V906" i="1" s="1"/>
  <c r="X906" i="1" s="1"/>
  <c r="U907" i="1"/>
  <c r="V907" i="1" s="1"/>
  <c r="X907" i="1" s="1"/>
  <c r="U908" i="1"/>
  <c r="V908" i="1" s="1"/>
  <c r="X908" i="1" s="1"/>
  <c r="U909" i="1"/>
  <c r="V909" i="1" s="1"/>
  <c r="X909" i="1" s="1"/>
  <c r="U910" i="1"/>
  <c r="V910" i="1" s="1"/>
  <c r="X910" i="1" s="1"/>
  <c r="U911" i="1"/>
  <c r="V911" i="1" s="1"/>
  <c r="X911" i="1" s="1"/>
  <c r="U912" i="1"/>
  <c r="V912" i="1" s="1"/>
  <c r="X912" i="1" s="1"/>
  <c r="U913" i="1"/>
  <c r="V913" i="1" s="1"/>
  <c r="X913" i="1" s="1"/>
  <c r="U914" i="1"/>
  <c r="V914" i="1" s="1"/>
  <c r="X914" i="1" s="1"/>
  <c r="U915" i="1"/>
  <c r="V915" i="1" s="1"/>
  <c r="X915" i="1" s="1"/>
  <c r="U916" i="1"/>
  <c r="V916" i="1" s="1"/>
  <c r="X916" i="1" s="1"/>
  <c r="U917" i="1"/>
  <c r="V917" i="1" s="1"/>
  <c r="X917" i="1" s="1"/>
  <c r="U918" i="1"/>
  <c r="V918" i="1" s="1"/>
  <c r="X918" i="1" s="1"/>
  <c r="U919" i="1"/>
  <c r="V919" i="1" s="1"/>
  <c r="X919" i="1" s="1"/>
  <c r="U920" i="1"/>
  <c r="V920" i="1" s="1"/>
  <c r="X920" i="1" s="1"/>
  <c r="U921" i="1"/>
  <c r="V921" i="1" s="1"/>
  <c r="X921" i="1" s="1"/>
  <c r="U922" i="1"/>
  <c r="V922" i="1" s="1"/>
  <c r="X922" i="1" s="1"/>
  <c r="U923" i="1"/>
  <c r="V923" i="1" s="1"/>
  <c r="X923" i="1" s="1"/>
  <c r="U924" i="1"/>
  <c r="V924" i="1" s="1"/>
  <c r="X924" i="1" s="1"/>
  <c r="U925" i="1"/>
  <c r="V925" i="1" s="1"/>
  <c r="X925" i="1" s="1"/>
  <c r="U926" i="1"/>
  <c r="V926" i="1" s="1"/>
  <c r="X926" i="1" s="1"/>
  <c r="U927" i="1"/>
  <c r="V927" i="1" s="1"/>
  <c r="X927" i="1" s="1"/>
  <c r="U928" i="1"/>
  <c r="V928" i="1" s="1"/>
  <c r="X928" i="1" s="1"/>
  <c r="U929" i="1"/>
  <c r="V929" i="1" s="1"/>
  <c r="X929" i="1" s="1"/>
  <c r="U930" i="1"/>
  <c r="V930" i="1" s="1"/>
  <c r="X930" i="1" s="1"/>
  <c r="U931" i="1"/>
  <c r="V931" i="1" s="1"/>
  <c r="X931" i="1" s="1"/>
  <c r="U932" i="1"/>
  <c r="V932" i="1" s="1"/>
  <c r="X932" i="1" s="1"/>
  <c r="U933" i="1"/>
  <c r="V933" i="1" s="1"/>
  <c r="X933" i="1" s="1"/>
  <c r="U934" i="1"/>
  <c r="V934" i="1" s="1"/>
  <c r="X934" i="1" s="1"/>
  <c r="U935" i="1"/>
  <c r="V935" i="1" s="1"/>
  <c r="X935" i="1" s="1"/>
  <c r="U936" i="1"/>
  <c r="V936" i="1" s="1"/>
  <c r="X936" i="1" s="1"/>
  <c r="U937" i="1"/>
  <c r="V937" i="1" s="1"/>
  <c r="X937" i="1" s="1"/>
  <c r="U938" i="1"/>
  <c r="V938" i="1" s="1"/>
  <c r="X938" i="1" s="1"/>
  <c r="U939" i="1"/>
  <c r="V939" i="1" s="1"/>
  <c r="X939" i="1" s="1"/>
  <c r="U940" i="1"/>
  <c r="V940" i="1" s="1"/>
  <c r="X940" i="1" s="1"/>
  <c r="U941" i="1"/>
  <c r="V941" i="1" s="1"/>
  <c r="X941" i="1" s="1"/>
  <c r="U942" i="1"/>
  <c r="V942" i="1" s="1"/>
  <c r="X942" i="1" s="1"/>
  <c r="U943" i="1"/>
  <c r="V943" i="1" s="1"/>
  <c r="X943" i="1" s="1"/>
  <c r="U944" i="1"/>
  <c r="V944" i="1" s="1"/>
  <c r="X944" i="1" s="1"/>
  <c r="U945" i="1"/>
  <c r="V945" i="1" s="1"/>
  <c r="X945" i="1" s="1"/>
  <c r="U946" i="1"/>
  <c r="V946" i="1" s="1"/>
  <c r="X946" i="1" s="1"/>
  <c r="U947" i="1"/>
  <c r="V947" i="1" s="1"/>
  <c r="X947" i="1" s="1"/>
  <c r="U948" i="1"/>
  <c r="V948" i="1" s="1"/>
  <c r="X948" i="1" s="1"/>
  <c r="U949" i="1"/>
  <c r="V949" i="1" s="1"/>
  <c r="X949" i="1" s="1"/>
  <c r="U950" i="1"/>
  <c r="V950" i="1" s="1"/>
  <c r="X950" i="1" s="1"/>
  <c r="U951" i="1"/>
  <c r="V951" i="1" s="1"/>
  <c r="X951" i="1" s="1"/>
  <c r="U952" i="1"/>
  <c r="V952" i="1" s="1"/>
  <c r="X952" i="1" s="1"/>
  <c r="U953" i="1"/>
  <c r="V953" i="1" s="1"/>
  <c r="X953" i="1" s="1"/>
  <c r="U954" i="1"/>
  <c r="V954" i="1" s="1"/>
  <c r="X954" i="1" s="1"/>
  <c r="U955" i="1"/>
  <c r="V955" i="1" s="1"/>
  <c r="X955" i="1" s="1"/>
  <c r="U956" i="1"/>
  <c r="V956" i="1" s="1"/>
  <c r="X956" i="1" s="1"/>
  <c r="U957" i="1"/>
  <c r="V957" i="1" s="1"/>
  <c r="X957" i="1" s="1"/>
  <c r="U958" i="1"/>
  <c r="V958" i="1" s="1"/>
  <c r="X958" i="1" s="1"/>
  <c r="U959" i="1"/>
  <c r="V959" i="1" s="1"/>
  <c r="X959" i="1" s="1"/>
  <c r="U960" i="1"/>
  <c r="V960" i="1" s="1"/>
  <c r="X960" i="1" s="1"/>
  <c r="U961" i="1"/>
  <c r="V961" i="1" s="1"/>
  <c r="X961" i="1" s="1"/>
  <c r="U962" i="1"/>
  <c r="V962" i="1" s="1"/>
  <c r="X962" i="1" s="1"/>
  <c r="U963" i="1"/>
  <c r="V963" i="1" s="1"/>
  <c r="X963" i="1" s="1"/>
  <c r="U964" i="1"/>
  <c r="V964" i="1" s="1"/>
  <c r="X964" i="1" s="1"/>
  <c r="U965" i="1"/>
  <c r="V965" i="1" s="1"/>
  <c r="X965" i="1" s="1"/>
  <c r="U966" i="1"/>
  <c r="V966" i="1" s="1"/>
  <c r="X966" i="1" s="1"/>
  <c r="U967" i="1"/>
  <c r="V967" i="1" s="1"/>
  <c r="X967" i="1" s="1"/>
  <c r="U968" i="1"/>
  <c r="V968" i="1" s="1"/>
  <c r="X968" i="1" s="1"/>
  <c r="U969" i="1"/>
  <c r="V969" i="1" s="1"/>
  <c r="X969" i="1" s="1"/>
  <c r="U970" i="1"/>
  <c r="V970" i="1" s="1"/>
  <c r="X970" i="1" s="1"/>
  <c r="U971" i="1"/>
  <c r="V971" i="1" s="1"/>
  <c r="X971" i="1" s="1"/>
  <c r="U972" i="1"/>
  <c r="V972" i="1" s="1"/>
  <c r="X972" i="1" s="1"/>
  <c r="U973" i="1"/>
  <c r="V973" i="1" s="1"/>
  <c r="X973" i="1" s="1"/>
  <c r="U974" i="1"/>
  <c r="V974" i="1" s="1"/>
  <c r="X974" i="1" s="1"/>
  <c r="U975" i="1"/>
  <c r="V975" i="1" s="1"/>
  <c r="X975" i="1" s="1"/>
  <c r="U976" i="1"/>
  <c r="V976" i="1" s="1"/>
  <c r="X976" i="1" s="1"/>
  <c r="U977" i="1"/>
  <c r="V977" i="1" s="1"/>
  <c r="X977" i="1" s="1"/>
  <c r="U978" i="1"/>
  <c r="V978" i="1" s="1"/>
  <c r="X978" i="1" s="1"/>
  <c r="U979" i="1"/>
  <c r="V979" i="1" s="1"/>
  <c r="X979" i="1" s="1"/>
  <c r="U980" i="1"/>
  <c r="V980" i="1" s="1"/>
  <c r="X980" i="1" s="1"/>
  <c r="U981" i="1"/>
  <c r="V981" i="1" s="1"/>
  <c r="X981" i="1" s="1"/>
  <c r="U982" i="1"/>
  <c r="V982" i="1" s="1"/>
  <c r="X982" i="1" s="1"/>
  <c r="U983" i="1"/>
  <c r="V983" i="1" s="1"/>
  <c r="X983" i="1" s="1"/>
  <c r="U984" i="1"/>
  <c r="V984" i="1" s="1"/>
  <c r="X984" i="1" s="1"/>
  <c r="U985" i="1"/>
  <c r="V985" i="1" s="1"/>
  <c r="X985" i="1" s="1"/>
  <c r="U986" i="1"/>
  <c r="V986" i="1" s="1"/>
  <c r="X986" i="1" s="1"/>
  <c r="U987" i="1"/>
  <c r="V987" i="1" s="1"/>
  <c r="X987" i="1" s="1"/>
  <c r="U988" i="1"/>
  <c r="V988" i="1" s="1"/>
  <c r="X988" i="1" s="1"/>
  <c r="U989" i="1"/>
  <c r="V989" i="1" s="1"/>
  <c r="X989" i="1" s="1"/>
  <c r="U990" i="1"/>
  <c r="V990" i="1" s="1"/>
  <c r="X990" i="1" s="1"/>
  <c r="U991" i="1"/>
  <c r="V991" i="1" s="1"/>
  <c r="X991" i="1" s="1"/>
  <c r="U992" i="1"/>
  <c r="V992" i="1" s="1"/>
  <c r="X992" i="1" s="1"/>
  <c r="U993" i="1"/>
  <c r="V993" i="1" s="1"/>
  <c r="X993" i="1" s="1"/>
  <c r="U994" i="1"/>
  <c r="V994" i="1" s="1"/>
  <c r="X994" i="1" s="1"/>
  <c r="U995" i="1"/>
  <c r="V995" i="1" s="1"/>
  <c r="X995" i="1" s="1"/>
  <c r="U996" i="1"/>
  <c r="V996" i="1" s="1"/>
  <c r="X996" i="1" s="1"/>
  <c r="U997" i="1"/>
  <c r="V997" i="1" s="1"/>
  <c r="X997" i="1" s="1"/>
  <c r="U998" i="1"/>
  <c r="V998" i="1" s="1"/>
  <c r="X998" i="1" s="1"/>
  <c r="U999" i="1"/>
  <c r="V999" i="1" s="1"/>
  <c r="X999" i="1" s="1"/>
  <c r="U1000" i="1"/>
  <c r="V1000" i="1" s="1"/>
  <c r="X1000" i="1" s="1"/>
  <c r="U1001" i="1"/>
  <c r="V1001" i="1" s="1"/>
  <c r="X1001" i="1" s="1"/>
  <c r="U1002" i="1"/>
  <c r="V1002" i="1" s="1"/>
  <c r="X1002" i="1" s="1"/>
  <c r="U1003" i="1"/>
  <c r="V1003" i="1" s="1"/>
  <c r="X1003" i="1" s="1"/>
  <c r="U1004" i="1"/>
  <c r="V1004" i="1" s="1"/>
  <c r="X1004" i="1" s="1"/>
  <c r="U1005" i="1"/>
  <c r="V1005" i="1" s="1"/>
  <c r="X1005" i="1" s="1"/>
  <c r="U1006" i="1"/>
  <c r="V1006" i="1" s="1"/>
  <c r="X1006" i="1" s="1"/>
  <c r="U1007" i="1"/>
  <c r="V1007" i="1" s="1"/>
  <c r="X1007" i="1" s="1"/>
  <c r="U1008" i="1"/>
  <c r="V1008" i="1" s="1"/>
  <c r="X1008" i="1" s="1"/>
  <c r="U1009" i="1"/>
  <c r="V1009" i="1" s="1"/>
  <c r="X1009" i="1" s="1"/>
  <c r="U1010" i="1"/>
  <c r="V1010" i="1" s="1"/>
  <c r="X1010" i="1" s="1"/>
  <c r="U1011" i="1"/>
  <c r="V1011" i="1" s="1"/>
  <c r="X1011" i="1" s="1"/>
  <c r="U1012" i="1"/>
  <c r="V1012" i="1" s="1"/>
  <c r="X1012" i="1" s="1"/>
  <c r="U1013" i="1"/>
  <c r="V1013" i="1" s="1"/>
  <c r="X1013" i="1" s="1"/>
  <c r="U1014" i="1"/>
  <c r="V1014" i="1" s="1"/>
  <c r="X1014" i="1" s="1"/>
  <c r="U1015" i="1"/>
  <c r="V1015" i="1" s="1"/>
  <c r="X1015" i="1" s="1"/>
  <c r="U1016" i="1"/>
  <c r="V1016" i="1" s="1"/>
  <c r="X1016" i="1" s="1"/>
  <c r="U1017" i="1"/>
  <c r="V1017" i="1" s="1"/>
  <c r="X1017" i="1" s="1"/>
  <c r="U1018" i="1"/>
  <c r="V1018" i="1" s="1"/>
  <c r="X1018" i="1" s="1"/>
  <c r="U1019" i="1"/>
  <c r="V1019" i="1" s="1"/>
  <c r="X1019" i="1" s="1"/>
  <c r="U1020" i="1"/>
  <c r="V1020" i="1" s="1"/>
  <c r="X1020" i="1" s="1"/>
  <c r="U1021" i="1"/>
  <c r="V1021" i="1" s="1"/>
  <c r="X1021" i="1" s="1"/>
  <c r="U1022" i="1"/>
  <c r="V1022" i="1" s="1"/>
  <c r="X1022" i="1" s="1"/>
  <c r="U1023" i="1"/>
  <c r="V1023" i="1" s="1"/>
  <c r="X1023" i="1" s="1"/>
  <c r="U1024" i="1"/>
  <c r="V1024" i="1" s="1"/>
  <c r="X1024" i="1" s="1"/>
  <c r="U1025" i="1"/>
  <c r="V1025" i="1" s="1"/>
  <c r="X1025" i="1" s="1"/>
  <c r="U1026" i="1"/>
  <c r="V1026" i="1" s="1"/>
  <c r="X1026" i="1" s="1"/>
  <c r="U1027" i="1"/>
  <c r="V1027" i="1" s="1"/>
  <c r="X1027" i="1" s="1"/>
  <c r="U1028" i="1"/>
  <c r="V1028" i="1" s="1"/>
  <c r="X1028" i="1" s="1"/>
  <c r="U1029" i="1"/>
  <c r="V1029" i="1" s="1"/>
  <c r="X1029" i="1" s="1"/>
  <c r="U1030" i="1"/>
  <c r="V1030" i="1" s="1"/>
  <c r="X1030" i="1" s="1"/>
  <c r="U1031" i="1"/>
  <c r="V1031" i="1" s="1"/>
  <c r="X1031" i="1" s="1"/>
  <c r="U1032" i="1"/>
  <c r="V1032" i="1" s="1"/>
  <c r="X1032" i="1" s="1"/>
  <c r="U1033" i="1"/>
  <c r="V1033" i="1" s="1"/>
  <c r="X1033" i="1" s="1"/>
  <c r="U1034" i="1"/>
  <c r="V1034" i="1" s="1"/>
  <c r="X1034" i="1" s="1"/>
  <c r="U1035" i="1"/>
  <c r="V1035" i="1" s="1"/>
  <c r="X1035" i="1" s="1"/>
  <c r="U1036" i="1"/>
  <c r="V1036" i="1" s="1"/>
  <c r="X1036" i="1" s="1"/>
  <c r="U1037" i="1"/>
  <c r="V1037" i="1" s="1"/>
  <c r="X1037" i="1" s="1"/>
  <c r="U1038" i="1"/>
  <c r="V1038" i="1" s="1"/>
  <c r="X1038" i="1" s="1"/>
  <c r="U1039" i="1"/>
  <c r="V1039" i="1" s="1"/>
  <c r="X1039" i="1" s="1"/>
  <c r="U1040" i="1"/>
  <c r="V1040" i="1" s="1"/>
  <c r="X1040" i="1" s="1"/>
  <c r="U1041" i="1"/>
  <c r="V1041" i="1" s="1"/>
  <c r="X1041" i="1" s="1"/>
  <c r="U1042" i="1"/>
  <c r="V1042" i="1" s="1"/>
  <c r="X1042" i="1" s="1"/>
  <c r="U1043" i="1"/>
  <c r="V1043" i="1" s="1"/>
  <c r="X1043" i="1" s="1"/>
  <c r="U1044" i="1"/>
  <c r="V1044" i="1" s="1"/>
  <c r="X1044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 s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 s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T720" i="1" s="1"/>
  <c r="S721" i="1"/>
  <c r="T721" i="1" s="1"/>
  <c r="S722" i="1"/>
  <c r="T722" i="1" s="1"/>
  <c r="S723" i="1"/>
  <c r="T723" i="1" s="1"/>
  <c r="S724" i="1"/>
  <c r="T724" i="1" s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 s="1"/>
  <c r="S732" i="1"/>
  <c r="T732" i="1" s="1"/>
  <c r="S733" i="1"/>
  <c r="T733" i="1" s="1"/>
  <c r="S734" i="1"/>
  <c r="T734" i="1" s="1"/>
  <c r="S735" i="1"/>
  <c r="T735" i="1" s="1"/>
  <c r="S736" i="1"/>
  <c r="T736" i="1" s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95" i="1"/>
  <c r="T795" i="1" s="1"/>
  <c r="S796" i="1"/>
  <c r="T796" i="1" s="1"/>
  <c r="S797" i="1"/>
  <c r="T797" i="1" s="1"/>
  <c r="S798" i="1"/>
  <c r="T798" i="1" s="1"/>
  <c r="S799" i="1"/>
  <c r="T799" i="1" s="1"/>
  <c r="S800" i="1"/>
  <c r="T800" i="1" s="1"/>
  <c r="S801" i="1"/>
  <c r="T801" i="1" s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T807" i="1" s="1"/>
  <c r="S808" i="1"/>
  <c r="T808" i="1" s="1"/>
  <c r="S809" i="1"/>
  <c r="T809" i="1" s="1"/>
  <c r="S810" i="1"/>
  <c r="T810" i="1" s="1"/>
  <c r="S811" i="1"/>
  <c r="T811" i="1" s="1"/>
  <c r="S812" i="1"/>
  <c r="T812" i="1" s="1"/>
  <c r="S813" i="1"/>
  <c r="T813" i="1" s="1"/>
  <c r="S814" i="1"/>
  <c r="T814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T821" i="1" s="1"/>
  <c r="S822" i="1"/>
  <c r="T822" i="1" s="1"/>
  <c r="S823" i="1"/>
  <c r="T823" i="1" s="1"/>
  <c r="S824" i="1"/>
  <c r="T824" i="1" s="1"/>
  <c r="S825" i="1"/>
  <c r="T825" i="1" s="1"/>
  <c r="S826" i="1"/>
  <c r="T826" i="1" s="1"/>
  <c r="S827" i="1"/>
  <c r="T827" i="1" s="1"/>
  <c r="S828" i="1"/>
  <c r="T828" i="1" s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T834" i="1" s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T841" i="1" s="1"/>
  <c r="S842" i="1"/>
  <c r="T842" i="1" s="1"/>
  <c r="S843" i="1"/>
  <c r="T843" i="1" s="1"/>
  <c r="S844" i="1"/>
  <c r="T844" i="1" s="1"/>
  <c r="S845" i="1"/>
  <c r="T845" i="1" s="1"/>
  <c r="S846" i="1"/>
  <c r="T846" i="1" s="1"/>
  <c r="S847" i="1"/>
  <c r="T847" i="1" s="1"/>
  <c r="S848" i="1"/>
  <c r="T848" i="1" s="1"/>
  <c r="S849" i="1"/>
  <c r="T849" i="1" s="1"/>
  <c r="S850" i="1"/>
  <c r="T850" i="1" s="1"/>
  <c r="S851" i="1"/>
  <c r="T851" i="1" s="1"/>
  <c r="S852" i="1"/>
  <c r="T852" i="1" s="1"/>
  <c r="S853" i="1"/>
  <c r="T853" i="1" s="1"/>
  <c r="S854" i="1"/>
  <c r="T854" i="1" s="1"/>
  <c r="S855" i="1"/>
  <c r="T855" i="1" s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T870" i="1" s="1"/>
  <c r="S871" i="1"/>
  <c r="T871" i="1" s="1"/>
  <c r="S872" i="1"/>
  <c r="T872" i="1" s="1"/>
  <c r="S873" i="1"/>
  <c r="T873" i="1" s="1"/>
  <c r="S874" i="1"/>
  <c r="T874" i="1" s="1"/>
  <c r="S875" i="1"/>
  <c r="T875" i="1" s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T881" i="1" s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T888" i="1" s="1"/>
  <c r="S889" i="1"/>
  <c r="T889" i="1" s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T900" i="1" s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09" i="1"/>
  <c r="T909" i="1" s="1"/>
  <c r="S910" i="1"/>
  <c r="T910" i="1" s="1"/>
  <c r="S911" i="1"/>
  <c r="T911" i="1" s="1"/>
  <c r="S912" i="1"/>
  <c r="T912" i="1" s="1"/>
  <c r="S913" i="1"/>
  <c r="T913" i="1" s="1"/>
  <c r="S914" i="1"/>
  <c r="T914" i="1" s="1"/>
  <c r="S915" i="1"/>
  <c r="T915" i="1" s="1"/>
  <c r="S916" i="1"/>
  <c r="T916" i="1" s="1"/>
  <c r="S917" i="1"/>
  <c r="T917" i="1" s="1"/>
  <c r="S918" i="1"/>
  <c r="T918" i="1" s="1"/>
  <c r="S919" i="1"/>
  <c r="T919" i="1" s="1"/>
  <c r="S920" i="1"/>
  <c r="T920" i="1" s="1"/>
  <c r="S921" i="1"/>
  <c r="T921" i="1" s="1"/>
  <c r="S922" i="1"/>
  <c r="T922" i="1" s="1"/>
  <c r="S923" i="1"/>
  <c r="T923" i="1" s="1"/>
  <c r="S924" i="1"/>
  <c r="T924" i="1" s="1"/>
  <c r="S925" i="1"/>
  <c r="T925" i="1" s="1"/>
  <c r="S926" i="1"/>
  <c r="T926" i="1" s="1"/>
  <c r="S927" i="1"/>
  <c r="T927" i="1" s="1"/>
  <c r="S928" i="1"/>
  <c r="T928" i="1" s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T934" i="1" s="1"/>
  <c r="S935" i="1"/>
  <c r="T935" i="1" s="1"/>
  <c r="S936" i="1"/>
  <c r="T936" i="1" s="1"/>
  <c r="S937" i="1"/>
  <c r="T937" i="1" s="1"/>
  <c r="S938" i="1"/>
  <c r="T938" i="1" s="1"/>
  <c r="S939" i="1"/>
  <c r="T939" i="1" s="1"/>
  <c r="S940" i="1"/>
  <c r="T940" i="1" s="1"/>
  <c r="S941" i="1"/>
  <c r="T941" i="1" s="1"/>
  <c r="S942" i="1"/>
  <c r="T942" i="1" s="1"/>
  <c r="S943" i="1"/>
  <c r="T943" i="1" s="1"/>
  <c r="S944" i="1"/>
  <c r="T944" i="1" s="1"/>
  <c r="S945" i="1"/>
  <c r="T945" i="1" s="1"/>
  <c r="S946" i="1"/>
  <c r="T946" i="1" s="1"/>
  <c r="S947" i="1"/>
  <c r="T947" i="1" s="1"/>
  <c r="S948" i="1"/>
  <c r="T948" i="1" s="1"/>
  <c r="S949" i="1"/>
  <c r="T949" i="1" s="1"/>
  <c r="S950" i="1"/>
  <c r="T950" i="1" s="1"/>
  <c r="S951" i="1"/>
  <c r="T951" i="1" s="1"/>
  <c r="S952" i="1"/>
  <c r="T952" i="1" s="1"/>
  <c r="S953" i="1"/>
  <c r="T953" i="1" s="1"/>
  <c r="S954" i="1"/>
  <c r="T954" i="1" s="1"/>
  <c r="S955" i="1"/>
  <c r="T955" i="1" s="1"/>
  <c r="S956" i="1"/>
  <c r="T956" i="1" s="1"/>
  <c r="S957" i="1"/>
  <c r="T957" i="1" s="1"/>
  <c r="S958" i="1"/>
  <c r="T958" i="1" s="1"/>
  <c r="S959" i="1"/>
  <c r="T959" i="1" s="1"/>
  <c r="S960" i="1"/>
  <c r="T960" i="1" s="1"/>
  <c r="S961" i="1"/>
  <c r="T961" i="1" s="1"/>
  <c r="S962" i="1"/>
  <c r="T962" i="1" s="1"/>
  <c r="S963" i="1"/>
  <c r="T963" i="1" s="1"/>
  <c r="S964" i="1"/>
  <c r="T964" i="1" s="1"/>
  <c r="S965" i="1"/>
  <c r="T965" i="1" s="1"/>
  <c r="S966" i="1"/>
  <c r="T966" i="1" s="1"/>
  <c r="S967" i="1"/>
  <c r="T967" i="1" s="1"/>
  <c r="S968" i="1"/>
  <c r="T968" i="1" s="1"/>
  <c r="S969" i="1"/>
  <c r="T969" i="1" s="1"/>
  <c r="S970" i="1"/>
  <c r="T970" i="1" s="1"/>
  <c r="S971" i="1"/>
  <c r="T971" i="1" s="1"/>
  <c r="S972" i="1"/>
  <c r="T972" i="1" s="1"/>
  <c r="S973" i="1"/>
  <c r="T973" i="1" s="1"/>
  <c r="S974" i="1"/>
  <c r="T974" i="1" s="1"/>
  <c r="S975" i="1"/>
  <c r="T975" i="1" s="1"/>
  <c r="S976" i="1"/>
  <c r="T976" i="1" s="1"/>
  <c r="S977" i="1"/>
  <c r="T977" i="1" s="1"/>
  <c r="S978" i="1"/>
  <c r="T978" i="1" s="1"/>
  <c r="S979" i="1"/>
  <c r="T979" i="1" s="1"/>
  <c r="S980" i="1"/>
  <c r="T980" i="1" s="1"/>
  <c r="S981" i="1"/>
  <c r="T981" i="1" s="1"/>
  <c r="S982" i="1"/>
  <c r="T982" i="1" s="1"/>
  <c r="S983" i="1"/>
  <c r="T983" i="1" s="1"/>
  <c r="S984" i="1"/>
  <c r="T984" i="1" s="1"/>
  <c r="S985" i="1"/>
  <c r="T985" i="1" s="1"/>
  <c r="S986" i="1"/>
  <c r="T986" i="1" s="1"/>
  <c r="S987" i="1"/>
  <c r="T987" i="1" s="1"/>
  <c r="S988" i="1"/>
  <c r="T988" i="1" s="1"/>
  <c r="S989" i="1"/>
  <c r="T989" i="1" s="1"/>
  <c r="S990" i="1"/>
  <c r="T990" i="1" s="1"/>
  <c r="S991" i="1"/>
  <c r="T991" i="1" s="1"/>
  <c r="S992" i="1"/>
  <c r="T992" i="1" s="1"/>
  <c r="S993" i="1"/>
  <c r="T993" i="1" s="1"/>
  <c r="S994" i="1"/>
  <c r="T994" i="1" s="1"/>
  <c r="S995" i="1"/>
  <c r="T995" i="1" s="1"/>
  <c r="S996" i="1"/>
  <c r="T996" i="1" s="1"/>
  <c r="S997" i="1"/>
  <c r="T997" i="1" s="1"/>
  <c r="S998" i="1"/>
  <c r="T998" i="1" s="1"/>
  <c r="S999" i="1"/>
  <c r="T999" i="1" s="1"/>
  <c r="S1000" i="1"/>
  <c r="T1000" i="1" s="1"/>
  <c r="S1001" i="1"/>
  <c r="T1001" i="1" s="1"/>
  <c r="S1002" i="1"/>
  <c r="T1002" i="1" s="1"/>
  <c r="S1003" i="1"/>
  <c r="T1003" i="1" s="1"/>
  <c r="S1004" i="1"/>
  <c r="T1004" i="1" s="1"/>
  <c r="S1005" i="1"/>
  <c r="T1005" i="1" s="1"/>
  <c r="S1006" i="1"/>
  <c r="T1006" i="1" s="1"/>
  <c r="S1007" i="1"/>
  <c r="T1007" i="1" s="1"/>
  <c r="S1008" i="1"/>
  <c r="T1008" i="1" s="1"/>
  <c r="S1009" i="1"/>
  <c r="T1009" i="1" s="1"/>
  <c r="S1010" i="1"/>
  <c r="T1010" i="1" s="1"/>
  <c r="S1011" i="1"/>
  <c r="T1011" i="1" s="1"/>
  <c r="S1012" i="1"/>
  <c r="T1012" i="1" s="1"/>
  <c r="S1013" i="1"/>
  <c r="T1013" i="1" s="1"/>
  <c r="S1014" i="1"/>
  <c r="T1014" i="1" s="1"/>
  <c r="S1015" i="1"/>
  <c r="T1015" i="1" s="1"/>
  <c r="S1016" i="1"/>
  <c r="T1016" i="1" s="1"/>
  <c r="S1017" i="1"/>
  <c r="T1017" i="1" s="1"/>
  <c r="S1018" i="1"/>
  <c r="T1018" i="1" s="1"/>
  <c r="S1019" i="1"/>
  <c r="T1019" i="1" s="1"/>
  <c r="S1020" i="1"/>
  <c r="T1020" i="1" s="1"/>
  <c r="S1021" i="1"/>
  <c r="T1021" i="1" s="1"/>
  <c r="S1022" i="1"/>
  <c r="T1022" i="1" s="1"/>
  <c r="S1023" i="1"/>
  <c r="T1023" i="1" s="1"/>
  <c r="S1024" i="1"/>
  <c r="T1024" i="1" s="1"/>
  <c r="S1025" i="1"/>
  <c r="T1025" i="1" s="1"/>
  <c r="S1026" i="1"/>
  <c r="T1026" i="1" s="1"/>
  <c r="S1027" i="1"/>
  <c r="T1027" i="1" s="1"/>
  <c r="S1028" i="1"/>
  <c r="T1028" i="1" s="1"/>
  <c r="S1029" i="1"/>
  <c r="T1029" i="1" s="1"/>
  <c r="S1030" i="1"/>
  <c r="T1030" i="1" s="1"/>
  <c r="S1031" i="1"/>
  <c r="T1031" i="1" s="1"/>
  <c r="S1032" i="1"/>
  <c r="T1032" i="1" s="1"/>
  <c r="S1033" i="1"/>
  <c r="T1033" i="1" s="1"/>
  <c r="S1034" i="1"/>
  <c r="T1034" i="1" s="1"/>
  <c r="S1035" i="1"/>
  <c r="T1035" i="1" s="1"/>
  <c r="S1036" i="1"/>
  <c r="T1036" i="1" s="1"/>
  <c r="S1037" i="1"/>
  <c r="T1037" i="1" s="1"/>
  <c r="S1038" i="1"/>
  <c r="T1038" i="1" s="1"/>
  <c r="S1039" i="1"/>
  <c r="T1039" i="1" s="1"/>
  <c r="S1040" i="1"/>
  <c r="T1040" i="1" s="1"/>
  <c r="S1041" i="1"/>
  <c r="T1041" i="1" s="1"/>
  <c r="S1042" i="1"/>
  <c r="T1042" i="1" s="1"/>
  <c r="S1043" i="1"/>
  <c r="T1043" i="1" s="1"/>
  <c r="S1044" i="1"/>
  <c r="T1044" i="1" s="1"/>
  <c r="S1045" i="1"/>
  <c r="T1045" i="1" s="1"/>
  <c r="S1046" i="1"/>
  <c r="T1046" i="1" s="1"/>
  <c r="W1046" i="1" s="1"/>
  <c r="Z1046" i="1" s="1"/>
  <c r="S1047" i="1"/>
  <c r="T1047" i="1" s="1"/>
  <c r="W1047" i="1" s="1"/>
  <c r="Z1047" i="1" s="1"/>
  <c r="S1048" i="1"/>
  <c r="T1048" i="1" s="1"/>
  <c r="W1048" i="1" s="1"/>
  <c r="Z1048" i="1" s="1"/>
  <c r="S1049" i="1"/>
  <c r="T1049" i="1" s="1"/>
  <c r="W1049" i="1" s="1"/>
  <c r="Z1049" i="1" s="1"/>
  <c r="S1050" i="1"/>
  <c r="T1050" i="1" s="1"/>
  <c r="W1050" i="1" s="1"/>
  <c r="Z1050" i="1" s="1"/>
  <c r="S1051" i="1"/>
  <c r="T1051" i="1" s="1"/>
  <c r="W1051" i="1" s="1"/>
  <c r="Z1051" i="1" s="1"/>
  <c r="S1052" i="1"/>
  <c r="T1052" i="1" s="1"/>
  <c r="W1052" i="1" s="1"/>
  <c r="Z1052" i="1" s="1"/>
  <c r="S1053" i="1"/>
  <c r="T1053" i="1" s="1"/>
  <c r="W1053" i="1" s="1"/>
  <c r="Z1053" i="1" s="1"/>
  <c r="S1054" i="1"/>
  <c r="T1054" i="1" s="1"/>
  <c r="W1054" i="1" s="1"/>
  <c r="Z1054" i="1" s="1"/>
  <c r="S1055" i="1"/>
  <c r="T1055" i="1" s="1"/>
  <c r="W1055" i="1" s="1"/>
  <c r="Z1055" i="1" s="1"/>
  <c r="S1056" i="1"/>
  <c r="T1056" i="1" s="1"/>
  <c r="W1056" i="1" s="1"/>
  <c r="Z1056" i="1" s="1"/>
  <c r="S1057" i="1"/>
  <c r="T1057" i="1" s="1"/>
  <c r="W1057" i="1" s="1"/>
  <c r="Z1057" i="1" s="1"/>
  <c r="S1058" i="1"/>
  <c r="T1058" i="1" s="1"/>
  <c r="W1058" i="1" s="1"/>
  <c r="Z1058" i="1" s="1"/>
  <c r="S1059" i="1"/>
  <c r="T1059" i="1" s="1"/>
  <c r="W1059" i="1" s="1"/>
  <c r="Z1059" i="1" s="1"/>
  <c r="S1060" i="1"/>
  <c r="T1060" i="1" s="1"/>
  <c r="W1060" i="1" s="1"/>
  <c r="Z1060" i="1" s="1"/>
  <c r="S1061" i="1"/>
  <c r="T1061" i="1" s="1"/>
  <c r="W1061" i="1" s="1"/>
  <c r="Z1061" i="1" s="1"/>
  <c r="S1062" i="1"/>
  <c r="T1062" i="1" s="1"/>
  <c r="W1062" i="1" s="1"/>
  <c r="Z1062" i="1" s="1"/>
  <c r="S1063" i="1"/>
  <c r="T1063" i="1" s="1"/>
  <c r="W1063" i="1" s="1"/>
  <c r="Z1063" i="1" s="1"/>
  <c r="S1064" i="1"/>
  <c r="T1064" i="1" s="1"/>
  <c r="W1064" i="1" s="1"/>
  <c r="Z1064" i="1" s="1"/>
  <c r="S1065" i="1"/>
  <c r="T1065" i="1" s="1"/>
  <c r="W1065" i="1" s="1"/>
  <c r="Z1065" i="1" s="1"/>
  <c r="S1066" i="1"/>
  <c r="T1066" i="1" s="1"/>
  <c r="W1066" i="1" s="1"/>
  <c r="Z1066" i="1" s="1"/>
  <c r="S1067" i="1"/>
  <c r="T1067" i="1" s="1"/>
  <c r="W1067" i="1" s="1"/>
  <c r="Z1067" i="1" s="1"/>
  <c r="S1068" i="1"/>
  <c r="T1068" i="1" s="1"/>
  <c r="W1068" i="1" s="1"/>
  <c r="Z1068" i="1" s="1"/>
  <c r="S1069" i="1"/>
  <c r="T1069" i="1" s="1"/>
  <c r="W1069" i="1" s="1"/>
  <c r="Z1069" i="1" s="1"/>
  <c r="S1070" i="1"/>
  <c r="T1070" i="1" s="1"/>
  <c r="W1070" i="1" s="1"/>
  <c r="Z1070" i="1" s="1"/>
  <c r="S1071" i="1"/>
  <c r="T1071" i="1" s="1"/>
  <c r="W1071" i="1" s="1"/>
  <c r="Z1071" i="1" s="1"/>
  <c r="S1072" i="1"/>
  <c r="T1072" i="1" s="1"/>
  <c r="W1072" i="1" s="1"/>
  <c r="Z1072" i="1" s="1"/>
  <c r="S1073" i="1"/>
  <c r="T1073" i="1" s="1"/>
  <c r="W1073" i="1" s="1"/>
  <c r="Z1073" i="1" s="1"/>
  <c r="S1074" i="1"/>
  <c r="T1074" i="1" s="1"/>
  <c r="W1074" i="1" s="1"/>
  <c r="Z1074" i="1" s="1"/>
  <c r="S1075" i="1"/>
  <c r="T1075" i="1" s="1"/>
  <c r="W1075" i="1" s="1"/>
  <c r="Z1075" i="1" s="1"/>
  <c r="S1076" i="1"/>
  <c r="T1076" i="1" s="1"/>
  <c r="W1076" i="1" s="1"/>
  <c r="Z1076" i="1" s="1"/>
  <c r="S1077" i="1"/>
  <c r="T1077" i="1" s="1"/>
  <c r="W1077" i="1" s="1"/>
  <c r="Z1077" i="1" s="1"/>
  <c r="S1078" i="1"/>
  <c r="T1078" i="1" s="1"/>
  <c r="W1078" i="1" s="1"/>
  <c r="Z1078" i="1" s="1"/>
  <c r="S1079" i="1"/>
  <c r="T1079" i="1" s="1"/>
  <c r="W1079" i="1" s="1"/>
  <c r="Z1079" i="1" s="1"/>
  <c r="S1080" i="1"/>
  <c r="T1080" i="1" s="1"/>
  <c r="W1080" i="1" s="1"/>
  <c r="Z1080" i="1" s="1"/>
  <c r="S1081" i="1"/>
  <c r="T1081" i="1" s="1"/>
  <c r="W1081" i="1" s="1"/>
  <c r="Z1081" i="1" s="1"/>
  <c r="S1082" i="1"/>
  <c r="T1082" i="1" s="1"/>
  <c r="W1082" i="1" s="1"/>
  <c r="Z1082" i="1" s="1"/>
  <c r="S1083" i="1"/>
  <c r="T1083" i="1" s="1"/>
  <c r="W1083" i="1" s="1"/>
  <c r="Z1083" i="1" s="1"/>
  <c r="S1084" i="1"/>
  <c r="T1084" i="1" s="1"/>
  <c r="W1084" i="1" s="1"/>
  <c r="Z1084" i="1" s="1"/>
  <c r="S1085" i="1"/>
  <c r="T1085" i="1" s="1"/>
  <c r="W1085" i="1" s="1"/>
  <c r="Z1085" i="1" s="1"/>
  <c r="S1086" i="1"/>
  <c r="T1086" i="1" s="1"/>
  <c r="W1086" i="1" s="1"/>
  <c r="Z1086" i="1" s="1"/>
  <c r="S1087" i="1"/>
  <c r="T1087" i="1" s="1"/>
  <c r="W1087" i="1" s="1"/>
  <c r="Z1087" i="1" s="1"/>
  <c r="S1088" i="1"/>
  <c r="T1088" i="1" s="1"/>
  <c r="W1088" i="1" s="1"/>
  <c r="Z1088" i="1" s="1"/>
  <c r="S1089" i="1"/>
  <c r="T1089" i="1" s="1"/>
  <c r="W1089" i="1" s="1"/>
  <c r="Z1089" i="1" s="1"/>
  <c r="S1090" i="1"/>
  <c r="T1090" i="1" s="1"/>
  <c r="W1090" i="1" s="1"/>
  <c r="Z1090" i="1" s="1"/>
  <c r="S1091" i="1"/>
  <c r="T1091" i="1" s="1"/>
  <c r="W1091" i="1" s="1"/>
  <c r="Z1091" i="1" s="1"/>
  <c r="S1092" i="1"/>
  <c r="T1092" i="1" s="1"/>
  <c r="W1092" i="1" s="1"/>
  <c r="Z1092" i="1" s="1"/>
  <c r="S1093" i="1"/>
  <c r="T1093" i="1" s="1"/>
  <c r="W1093" i="1" s="1"/>
  <c r="Z1093" i="1" s="1"/>
  <c r="S1094" i="1"/>
  <c r="T1094" i="1" s="1"/>
  <c r="W1094" i="1" s="1"/>
  <c r="Z1094" i="1" s="1"/>
  <c r="S1095" i="1"/>
  <c r="T1095" i="1" s="1"/>
  <c r="W1095" i="1" s="1"/>
  <c r="Z1095" i="1" s="1"/>
  <c r="S1096" i="1"/>
  <c r="T1096" i="1" s="1"/>
  <c r="W1096" i="1" s="1"/>
  <c r="Z1096" i="1" s="1"/>
  <c r="S1097" i="1"/>
  <c r="T1097" i="1" s="1"/>
  <c r="W1097" i="1" s="1"/>
  <c r="Z1097" i="1" s="1"/>
  <c r="S1098" i="1"/>
  <c r="T1098" i="1" s="1"/>
  <c r="W1098" i="1" s="1"/>
  <c r="Z1098" i="1" s="1"/>
  <c r="S1099" i="1"/>
  <c r="T1099" i="1" s="1"/>
  <c r="W1099" i="1" s="1"/>
  <c r="Z1099" i="1" s="1"/>
  <c r="S1100" i="1"/>
  <c r="T1100" i="1" s="1"/>
  <c r="W1100" i="1" s="1"/>
  <c r="Z1100" i="1" s="1"/>
  <c r="S1101" i="1"/>
  <c r="T1101" i="1" s="1"/>
  <c r="W1101" i="1" s="1"/>
  <c r="Z1101" i="1" s="1"/>
  <c r="S1102" i="1"/>
  <c r="T1102" i="1" s="1"/>
  <c r="W1102" i="1" s="1"/>
  <c r="Z1102" i="1" s="1"/>
  <c r="S1103" i="1"/>
  <c r="T1103" i="1" s="1"/>
  <c r="W1103" i="1" s="1"/>
  <c r="Z1103" i="1" s="1"/>
  <c r="S1104" i="1"/>
  <c r="T1104" i="1" s="1"/>
  <c r="W1104" i="1" s="1"/>
  <c r="Z1104" i="1" s="1"/>
  <c r="S1105" i="1"/>
  <c r="T1105" i="1" s="1"/>
  <c r="W1105" i="1" s="1"/>
  <c r="Z1105" i="1" s="1"/>
  <c r="S1106" i="1"/>
  <c r="T1106" i="1" s="1"/>
  <c r="W1106" i="1" s="1"/>
  <c r="Z1106" i="1" s="1"/>
  <c r="S1107" i="1"/>
  <c r="T1107" i="1" s="1"/>
  <c r="W1107" i="1" s="1"/>
  <c r="Z1107" i="1" s="1"/>
  <c r="S1108" i="1"/>
  <c r="T1108" i="1" s="1"/>
  <c r="W1108" i="1" s="1"/>
  <c r="Z1108" i="1" s="1"/>
  <c r="S1109" i="1"/>
  <c r="T1109" i="1" s="1"/>
  <c r="W1109" i="1" s="1"/>
  <c r="Z1109" i="1" s="1"/>
  <c r="S1110" i="1"/>
  <c r="T1110" i="1" s="1"/>
  <c r="W1110" i="1" s="1"/>
  <c r="Z1110" i="1" s="1"/>
  <c r="S1111" i="1"/>
  <c r="T1111" i="1" s="1"/>
  <c r="W1111" i="1" s="1"/>
  <c r="Z1111" i="1" s="1"/>
  <c r="S1112" i="1"/>
  <c r="T1112" i="1" s="1"/>
  <c r="W1112" i="1" s="1"/>
  <c r="Z1112" i="1" s="1"/>
  <c r="S1113" i="1"/>
  <c r="T1113" i="1" s="1"/>
  <c r="W1113" i="1" s="1"/>
  <c r="Z1113" i="1" s="1"/>
  <c r="S1114" i="1"/>
  <c r="T1114" i="1" s="1"/>
  <c r="W1114" i="1" s="1"/>
  <c r="Z1114" i="1" s="1"/>
  <c r="S1115" i="1"/>
  <c r="T1115" i="1" s="1"/>
  <c r="W1115" i="1" s="1"/>
  <c r="Z1115" i="1" s="1"/>
  <c r="S1116" i="1"/>
  <c r="T1116" i="1" s="1"/>
  <c r="W1116" i="1" s="1"/>
  <c r="Z1116" i="1" s="1"/>
  <c r="S1117" i="1"/>
  <c r="T1117" i="1" s="1"/>
  <c r="W1117" i="1" s="1"/>
  <c r="Z1117" i="1" s="1"/>
  <c r="S1118" i="1"/>
  <c r="T1118" i="1" s="1"/>
  <c r="W1118" i="1" s="1"/>
  <c r="Z1118" i="1" s="1"/>
  <c r="S1119" i="1"/>
  <c r="T1119" i="1" s="1"/>
  <c r="W1119" i="1" s="1"/>
  <c r="Z1119" i="1" s="1"/>
  <c r="S1120" i="1"/>
  <c r="T1120" i="1" s="1"/>
  <c r="W1120" i="1" s="1"/>
  <c r="Z1120" i="1" s="1"/>
  <c r="S1121" i="1"/>
  <c r="T1121" i="1" s="1"/>
  <c r="W1121" i="1" s="1"/>
  <c r="Z1121" i="1" s="1"/>
  <c r="S1122" i="1"/>
  <c r="T1122" i="1" s="1"/>
  <c r="W1122" i="1" s="1"/>
  <c r="Z1122" i="1" s="1"/>
  <c r="S1123" i="1"/>
  <c r="T1123" i="1" s="1"/>
  <c r="W1123" i="1" s="1"/>
  <c r="Z1123" i="1" s="1"/>
  <c r="S1124" i="1"/>
  <c r="T1124" i="1" s="1"/>
  <c r="W1124" i="1" s="1"/>
  <c r="Z1124" i="1" s="1"/>
  <c r="S1125" i="1"/>
  <c r="T1125" i="1" s="1"/>
  <c r="W1125" i="1" s="1"/>
  <c r="Z1125" i="1" s="1"/>
  <c r="S1126" i="1"/>
  <c r="T1126" i="1" s="1"/>
  <c r="W1126" i="1" s="1"/>
  <c r="Z1126" i="1" s="1"/>
  <c r="S1127" i="1"/>
  <c r="T1127" i="1" s="1"/>
  <c r="W1127" i="1" s="1"/>
  <c r="Z1127" i="1" s="1"/>
  <c r="S1128" i="1"/>
  <c r="T1128" i="1" s="1"/>
  <c r="W1128" i="1" s="1"/>
  <c r="Z1128" i="1" s="1"/>
  <c r="S1129" i="1"/>
  <c r="T1129" i="1" s="1"/>
  <c r="W1129" i="1" s="1"/>
  <c r="Z1129" i="1" s="1"/>
  <c r="S1130" i="1"/>
  <c r="T1130" i="1" s="1"/>
  <c r="W1130" i="1" s="1"/>
  <c r="Z1130" i="1" s="1"/>
  <c r="S1131" i="1"/>
  <c r="T1131" i="1" s="1"/>
  <c r="W1131" i="1" s="1"/>
  <c r="Z1131" i="1" s="1"/>
  <c r="S1132" i="1"/>
  <c r="T1132" i="1" s="1"/>
  <c r="W1132" i="1" s="1"/>
  <c r="Z1132" i="1" s="1"/>
  <c r="S1133" i="1"/>
  <c r="T1133" i="1" s="1"/>
  <c r="W1133" i="1" s="1"/>
  <c r="Z1133" i="1" s="1"/>
  <c r="S1134" i="1"/>
  <c r="T1134" i="1" s="1"/>
  <c r="W1134" i="1" s="1"/>
  <c r="Z1134" i="1" s="1"/>
  <c r="S1135" i="1"/>
  <c r="T1135" i="1" s="1"/>
  <c r="W1135" i="1" s="1"/>
  <c r="Z1135" i="1" s="1"/>
  <c r="S1136" i="1"/>
  <c r="T1136" i="1" s="1"/>
  <c r="W1136" i="1" s="1"/>
  <c r="Z1136" i="1" s="1"/>
  <c r="S1137" i="1"/>
  <c r="T1137" i="1" s="1"/>
  <c r="W1137" i="1" s="1"/>
  <c r="Z1137" i="1" s="1"/>
  <c r="S1138" i="1"/>
  <c r="T1138" i="1" s="1"/>
  <c r="W1138" i="1" s="1"/>
  <c r="Z1138" i="1" s="1"/>
  <c r="S1139" i="1"/>
  <c r="T1139" i="1" s="1"/>
  <c r="W1139" i="1" s="1"/>
  <c r="Z1139" i="1" s="1"/>
  <c r="S1140" i="1"/>
  <c r="T1140" i="1" s="1"/>
  <c r="W1140" i="1" s="1"/>
  <c r="Z1140" i="1" s="1"/>
  <c r="S1141" i="1"/>
  <c r="T1141" i="1" s="1"/>
  <c r="W1141" i="1" s="1"/>
  <c r="Z1141" i="1" s="1"/>
  <c r="S1142" i="1"/>
  <c r="T1142" i="1" s="1"/>
  <c r="W1142" i="1" s="1"/>
  <c r="Z1142" i="1" s="1"/>
  <c r="S1143" i="1"/>
  <c r="T1143" i="1" s="1"/>
  <c r="W1143" i="1" s="1"/>
  <c r="Z1143" i="1" s="1"/>
  <c r="S1144" i="1"/>
  <c r="T1144" i="1" s="1"/>
  <c r="W1144" i="1" s="1"/>
  <c r="Z1144" i="1" s="1"/>
  <c r="S1145" i="1"/>
  <c r="T1145" i="1" s="1"/>
  <c r="W1145" i="1" s="1"/>
  <c r="Z1145" i="1" s="1"/>
  <c r="S1146" i="1"/>
  <c r="T1146" i="1" s="1"/>
  <c r="W1146" i="1" s="1"/>
  <c r="Z1146" i="1" s="1"/>
  <c r="S1147" i="1"/>
  <c r="T1147" i="1" s="1"/>
  <c r="W1147" i="1" s="1"/>
  <c r="Z1147" i="1" s="1"/>
  <c r="S1148" i="1"/>
  <c r="T1148" i="1" s="1"/>
  <c r="W1148" i="1" s="1"/>
  <c r="Z1148" i="1" s="1"/>
  <c r="S1149" i="1"/>
  <c r="T1149" i="1" s="1"/>
  <c r="W1149" i="1" s="1"/>
  <c r="Z1149" i="1" s="1"/>
  <c r="S1150" i="1"/>
  <c r="T1150" i="1" s="1"/>
  <c r="W1150" i="1" s="1"/>
  <c r="Z1150" i="1" s="1"/>
  <c r="S1151" i="1"/>
  <c r="T1151" i="1" s="1"/>
  <c r="W1151" i="1" s="1"/>
  <c r="Z1151" i="1" s="1"/>
  <c r="S1152" i="1"/>
  <c r="T1152" i="1" s="1"/>
  <c r="W1152" i="1" s="1"/>
  <c r="Z1152" i="1" s="1"/>
  <c r="S1153" i="1"/>
  <c r="T1153" i="1" s="1"/>
  <c r="W1153" i="1" s="1"/>
  <c r="Z1153" i="1" s="1"/>
  <c r="S1154" i="1"/>
  <c r="T1154" i="1" s="1"/>
  <c r="W1154" i="1" s="1"/>
  <c r="Z1154" i="1" s="1"/>
  <c r="S1155" i="1"/>
  <c r="T1155" i="1" s="1"/>
  <c r="W1155" i="1" s="1"/>
  <c r="Z1155" i="1" s="1"/>
  <c r="S1156" i="1"/>
  <c r="T1156" i="1" s="1"/>
  <c r="W1156" i="1" s="1"/>
  <c r="Z1156" i="1" s="1"/>
  <c r="S1157" i="1"/>
  <c r="T1157" i="1" s="1"/>
  <c r="W1157" i="1" s="1"/>
  <c r="Z1157" i="1" s="1"/>
  <c r="S1158" i="1"/>
  <c r="T1158" i="1" s="1"/>
  <c r="W1158" i="1" s="1"/>
  <c r="Z1158" i="1" s="1"/>
  <c r="S1159" i="1"/>
  <c r="T1159" i="1" s="1"/>
  <c r="W1159" i="1" s="1"/>
  <c r="Z1159" i="1" s="1"/>
  <c r="S1160" i="1"/>
  <c r="T1160" i="1" s="1"/>
  <c r="W1160" i="1" s="1"/>
  <c r="Z1160" i="1" s="1"/>
  <c r="S1161" i="1"/>
  <c r="T1161" i="1" s="1"/>
  <c r="W1161" i="1" s="1"/>
  <c r="Z1161" i="1" s="1"/>
  <c r="S1162" i="1"/>
  <c r="T1162" i="1" s="1"/>
  <c r="W1162" i="1" s="1"/>
  <c r="Z1162" i="1" s="1"/>
  <c r="S1163" i="1"/>
  <c r="T1163" i="1" s="1"/>
  <c r="W1163" i="1" s="1"/>
  <c r="Z1163" i="1" s="1"/>
  <c r="S1164" i="1"/>
  <c r="T1164" i="1" s="1"/>
  <c r="W1164" i="1" s="1"/>
  <c r="Z1164" i="1" s="1"/>
  <c r="S1165" i="1"/>
  <c r="T1165" i="1" s="1"/>
  <c r="W1165" i="1" s="1"/>
  <c r="Z1165" i="1" s="1"/>
  <c r="S1166" i="1"/>
  <c r="T1166" i="1" s="1"/>
  <c r="W1166" i="1" s="1"/>
  <c r="Z1166" i="1" s="1"/>
  <c r="S1167" i="1"/>
  <c r="T1167" i="1" s="1"/>
  <c r="W1167" i="1" s="1"/>
  <c r="Z1167" i="1" s="1"/>
  <c r="S1168" i="1"/>
  <c r="T1168" i="1" s="1"/>
  <c r="W1168" i="1" s="1"/>
  <c r="Z1168" i="1" s="1"/>
  <c r="S1169" i="1"/>
  <c r="T1169" i="1" s="1"/>
  <c r="W1169" i="1" s="1"/>
  <c r="Z1169" i="1" s="1"/>
  <c r="S1170" i="1"/>
  <c r="T1170" i="1" s="1"/>
  <c r="W1170" i="1" s="1"/>
  <c r="Z1170" i="1" s="1"/>
  <c r="S1171" i="1"/>
  <c r="T1171" i="1" s="1"/>
  <c r="W1171" i="1" s="1"/>
  <c r="Z1171" i="1" s="1"/>
  <c r="S1172" i="1"/>
  <c r="T1172" i="1" s="1"/>
  <c r="W1172" i="1" s="1"/>
  <c r="Z1172" i="1" s="1"/>
  <c r="S1173" i="1"/>
  <c r="T1173" i="1" s="1"/>
  <c r="W1173" i="1" s="1"/>
  <c r="Z1173" i="1" s="1"/>
  <c r="S1174" i="1"/>
  <c r="T1174" i="1" s="1"/>
  <c r="W1174" i="1" s="1"/>
  <c r="Z1174" i="1" s="1"/>
  <c r="S1175" i="1"/>
  <c r="T1175" i="1" s="1"/>
  <c r="W1175" i="1" s="1"/>
  <c r="Z1175" i="1" s="1"/>
  <c r="S1176" i="1"/>
  <c r="T1176" i="1" s="1"/>
  <c r="W1176" i="1" s="1"/>
  <c r="Z1176" i="1" s="1"/>
  <c r="S1177" i="1"/>
  <c r="T1177" i="1" s="1"/>
  <c r="W1177" i="1" s="1"/>
  <c r="Z1177" i="1" s="1"/>
  <c r="S1178" i="1"/>
  <c r="T1178" i="1" s="1"/>
  <c r="W1178" i="1" s="1"/>
  <c r="Z1178" i="1" s="1"/>
  <c r="S1179" i="1"/>
  <c r="T1179" i="1" s="1"/>
  <c r="W1179" i="1" s="1"/>
  <c r="Z1179" i="1" s="1"/>
  <c r="S1180" i="1"/>
  <c r="T1180" i="1" s="1"/>
  <c r="W1180" i="1" s="1"/>
  <c r="Z1180" i="1" s="1"/>
  <c r="S1181" i="1"/>
  <c r="T1181" i="1" s="1"/>
  <c r="W1181" i="1" s="1"/>
  <c r="Z1181" i="1" s="1"/>
  <c r="S1182" i="1"/>
  <c r="T1182" i="1" s="1"/>
  <c r="W1182" i="1" s="1"/>
  <c r="Z1182" i="1" s="1"/>
  <c r="S1183" i="1"/>
  <c r="T1183" i="1" s="1"/>
  <c r="W1183" i="1" s="1"/>
  <c r="Z1183" i="1" s="1"/>
  <c r="S1184" i="1"/>
  <c r="T1184" i="1" s="1"/>
  <c r="W1184" i="1" s="1"/>
  <c r="Z1184" i="1" s="1"/>
  <c r="S1185" i="1"/>
  <c r="T1185" i="1" s="1"/>
  <c r="W1185" i="1" s="1"/>
  <c r="Z1185" i="1" s="1"/>
  <c r="S1186" i="1"/>
  <c r="T1186" i="1" s="1"/>
  <c r="W1186" i="1" s="1"/>
  <c r="Z1186" i="1" s="1"/>
  <c r="S1187" i="1"/>
  <c r="T1187" i="1" s="1"/>
  <c r="W1187" i="1" s="1"/>
  <c r="Z1187" i="1" s="1"/>
  <c r="S1188" i="1"/>
  <c r="T1188" i="1" s="1"/>
  <c r="W1188" i="1" s="1"/>
  <c r="Z1188" i="1" s="1"/>
  <c r="S1189" i="1"/>
  <c r="T1189" i="1" s="1"/>
  <c r="W1189" i="1" s="1"/>
  <c r="Z1189" i="1" s="1"/>
  <c r="S1190" i="1"/>
  <c r="T1190" i="1" s="1"/>
  <c r="W1190" i="1" s="1"/>
  <c r="Z1190" i="1" s="1"/>
  <c r="S1191" i="1"/>
  <c r="T1191" i="1" s="1"/>
  <c r="W1191" i="1" s="1"/>
  <c r="Z1191" i="1" s="1"/>
  <c r="S1192" i="1"/>
  <c r="T1192" i="1" s="1"/>
  <c r="W1192" i="1" s="1"/>
  <c r="Z1192" i="1" s="1"/>
  <c r="S1193" i="1"/>
  <c r="T1193" i="1" s="1"/>
  <c r="W1193" i="1" s="1"/>
  <c r="Z1193" i="1" s="1"/>
  <c r="S1194" i="1"/>
  <c r="T1194" i="1" s="1"/>
  <c r="W1194" i="1" s="1"/>
  <c r="Z1194" i="1" s="1"/>
  <c r="S1195" i="1"/>
  <c r="T1195" i="1" s="1"/>
  <c r="W1195" i="1" s="1"/>
  <c r="Z1195" i="1" s="1"/>
  <c r="S1196" i="1"/>
  <c r="T1196" i="1" s="1"/>
  <c r="W1196" i="1" s="1"/>
  <c r="Z1196" i="1" s="1"/>
  <c r="S1197" i="1"/>
  <c r="T1197" i="1" s="1"/>
  <c r="W1197" i="1" s="1"/>
  <c r="Z1197" i="1" s="1"/>
  <c r="S1198" i="1"/>
  <c r="T1198" i="1" s="1"/>
  <c r="W1198" i="1" s="1"/>
  <c r="Z1198" i="1" s="1"/>
  <c r="S1199" i="1"/>
  <c r="T1199" i="1" s="1"/>
  <c r="W1199" i="1" s="1"/>
  <c r="Z1199" i="1" s="1"/>
  <c r="S1200" i="1"/>
  <c r="T1200" i="1" s="1"/>
  <c r="W1200" i="1" s="1"/>
  <c r="Z1200" i="1" s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 s="1"/>
  <c r="S1207" i="1"/>
  <c r="T1207" i="1" s="1"/>
  <c r="S1208" i="1"/>
  <c r="T1208" i="1" s="1"/>
  <c r="S1209" i="1"/>
  <c r="T1209" i="1" s="1"/>
  <c r="S1210" i="1"/>
  <c r="T1210" i="1" s="1"/>
  <c r="S1211" i="1"/>
  <c r="T1211" i="1" s="1"/>
  <c r="S1212" i="1"/>
  <c r="T1212" i="1" s="1"/>
  <c r="S1213" i="1"/>
  <c r="T1213" i="1" s="1"/>
  <c r="S1214" i="1"/>
  <c r="T1214" i="1" s="1"/>
  <c r="S1215" i="1"/>
  <c r="T1215" i="1" s="1"/>
  <c r="S1216" i="1"/>
  <c r="T1216" i="1" s="1"/>
  <c r="S1217" i="1"/>
  <c r="T1217" i="1" s="1"/>
  <c r="S1218" i="1"/>
  <c r="T1218" i="1" s="1"/>
  <c r="S1219" i="1"/>
  <c r="T1219" i="1" s="1"/>
  <c r="S1220" i="1"/>
  <c r="T1220" i="1" s="1"/>
  <c r="S1221" i="1"/>
  <c r="T1221" i="1" s="1"/>
  <c r="S1222" i="1"/>
  <c r="T1222" i="1" s="1"/>
  <c r="S1223" i="1"/>
  <c r="T1223" i="1" s="1"/>
  <c r="S1224" i="1"/>
  <c r="T1224" i="1" s="1"/>
  <c r="S1225" i="1"/>
  <c r="T1225" i="1" s="1"/>
  <c r="S1226" i="1"/>
  <c r="T1226" i="1" s="1"/>
  <c r="S1227" i="1"/>
  <c r="T1227" i="1" s="1"/>
  <c r="S1228" i="1"/>
  <c r="T1228" i="1" s="1"/>
  <c r="S1229" i="1"/>
  <c r="T1229" i="1" s="1"/>
  <c r="S1230" i="1"/>
  <c r="T1230" i="1" s="1"/>
  <c r="S1231" i="1"/>
  <c r="T1231" i="1" s="1"/>
  <c r="S1232" i="1"/>
  <c r="T1232" i="1" s="1"/>
  <c r="S1233" i="1"/>
  <c r="T1233" i="1" s="1"/>
  <c r="S1234" i="1"/>
  <c r="T1234" i="1" s="1"/>
  <c r="S1235" i="1"/>
  <c r="T1235" i="1" s="1"/>
  <c r="S1236" i="1"/>
  <c r="T1236" i="1" s="1"/>
  <c r="S1237" i="1"/>
  <c r="T1237" i="1" s="1"/>
  <c r="S1238" i="1"/>
  <c r="T1238" i="1" s="1"/>
  <c r="S1239" i="1"/>
  <c r="T1239" i="1" s="1"/>
  <c r="S1240" i="1"/>
  <c r="T1240" i="1" s="1"/>
  <c r="S1241" i="1"/>
  <c r="T1241" i="1" s="1"/>
  <c r="S1242" i="1"/>
  <c r="T1242" i="1" s="1"/>
  <c r="S1243" i="1"/>
  <c r="T1243" i="1" s="1"/>
  <c r="S1244" i="1"/>
  <c r="T1244" i="1" s="1"/>
  <c r="S1245" i="1"/>
  <c r="T1245" i="1" s="1"/>
  <c r="S1246" i="1"/>
  <c r="T1246" i="1" s="1"/>
  <c r="S1247" i="1"/>
  <c r="T1247" i="1" s="1"/>
  <c r="S1248" i="1"/>
  <c r="T1248" i="1" s="1"/>
  <c r="S1249" i="1"/>
  <c r="T1249" i="1" s="1"/>
  <c r="S1250" i="1"/>
  <c r="T1250" i="1" s="1"/>
  <c r="S1251" i="1"/>
  <c r="T1251" i="1" s="1"/>
  <c r="S1252" i="1"/>
  <c r="T1252" i="1" s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C292" i="1"/>
  <c r="D292" i="1"/>
  <c r="E292" i="1"/>
  <c r="F292" i="1"/>
  <c r="C293" i="1"/>
  <c r="D293" i="1"/>
  <c r="E293" i="1"/>
  <c r="F293" i="1"/>
  <c r="C294" i="1"/>
  <c r="D294" i="1"/>
  <c r="E294" i="1"/>
  <c r="F294" i="1"/>
  <c r="C295" i="1"/>
  <c r="D295" i="1"/>
  <c r="E295" i="1"/>
  <c r="F295" i="1"/>
  <c r="C296" i="1"/>
  <c r="D296" i="1"/>
  <c r="E296" i="1"/>
  <c r="F296" i="1"/>
  <c r="C297" i="1"/>
  <c r="D297" i="1"/>
  <c r="E297" i="1"/>
  <c r="F297" i="1"/>
  <c r="C298" i="1"/>
  <c r="D298" i="1"/>
  <c r="E298" i="1"/>
  <c r="F298" i="1"/>
  <c r="C299" i="1"/>
  <c r="D299" i="1"/>
  <c r="E299" i="1"/>
  <c r="F299" i="1"/>
  <c r="C300" i="1"/>
  <c r="D300" i="1"/>
  <c r="E300" i="1"/>
  <c r="F300" i="1"/>
  <c r="C301" i="1"/>
  <c r="D301" i="1"/>
  <c r="E301" i="1"/>
  <c r="F301" i="1"/>
  <c r="C302" i="1"/>
  <c r="D302" i="1"/>
  <c r="E302" i="1"/>
  <c r="F302" i="1"/>
  <c r="C303" i="1"/>
  <c r="D303" i="1"/>
  <c r="E303" i="1"/>
  <c r="F303" i="1"/>
  <c r="C304" i="1"/>
  <c r="D304" i="1"/>
  <c r="E304" i="1"/>
  <c r="F304" i="1"/>
  <c r="C305" i="1"/>
  <c r="D305" i="1"/>
  <c r="E305" i="1"/>
  <c r="F305" i="1"/>
  <c r="C306" i="1"/>
  <c r="D306" i="1"/>
  <c r="E306" i="1"/>
  <c r="F306" i="1"/>
  <c r="C307" i="1"/>
  <c r="D307" i="1"/>
  <c r="E307" i="1"/>
  <c r="F307" i="1"/>
  <c r="C308" i="1"/>
  <c r="D308" i="1"/>
  <c r="E308" i="1"/>
  <c r="F308" i="1"/>
  <c r="C309" i="1"/>
  <c r="D309" i="1"/>
  <c r="E309" i="1"/>
  <c r="F309" i="1"/>
  <c r="C310" i="1"/>
  <c r="D310" i="1"/>
  <c r="E310" i="1"/>
  <c r="F310" i="1"/>
  <c r="C311" i="1"/>
  <c r="D311" i="1"/>
  <c r="E311" i="1"/>
  <c r="F311" i="1"/>
  <c r="C312" i="1"/>
  <c r="D312" i="1"/>
  <c r="E312" i="1"/>
  <c r="F312" i="1"/>
  <c r="C313" i="1"/>
  <c r="D313" i="1"/>
  <c r="E313" i="1"/>
  <c r="F313" i="1"/>
  <c r="C314" i="1"/>
  <c r="D314" i="1"/>
  <c r="E314" i="1"/>
  <c r="F314" i="1"/>
  <c r="C315" i="1"/>
  <c r="D315" i="1"/>
  <c r="E315" i="1"/>
  <c r="F315" i="1"/>
  <c r="C316" i="1"/>
  <c r="D316" i="1"/>
  <c r="E316" i="1"/>
  <c r="F316" i="1"/>
  <c r="C317" i="1"/>
  <c r="D317" i="1"/>
  <c r="E317" i="1"/>
  <c r="F317" i="1"/>
  <c r="C318" i="1"/>
  <c r="D318" i="1"/>
  <c r="E318" i="1"/>
  <c r="F318" i="1"/>
  <c r="C319" i="1"/>
  <c r="D319" i="1"/>
  <c r="E319" i="1"/>
  <c r="F319" i="1"/>
  <c r="C320" i="1"/>
  <c r="D320" i="1"/>
  <c r="E320" i="1"/>
  <c r="F320" i="1"/>
  <c r="C321" i="1"/>
  <c r="D321" i="1"/>
  <c r="E321" i="1"/>
  <c r="F321" i="1"/>
  <c r="C322" i="1"/>
  <c r="D322" i="1"/>
  <c r="E322" i="1"/>
  <c r="F322" i="1"/>
  <c r="C323" i="1"/>
  <c r="D323" i="1"/>
  <c r="E323" i="1"/>
  <c r="F323" i="1"/>
  <c r="C324" i="1"/>
  <c r="D324" i="1"/>
  <c r="E324" i="1"/>
  <c r="F324" i="1"/>
  <c r="C325" i="1"/>
  <c r="D325" i="1"/>
  <c r="E325" i="1"/>
  <c r="F325" i="1"/>
  <c r="C326" i="1"/>
  <c r="D326" i="1"/>
  <c r="E326" i="1"/>
  <c r="F326" i="1"/>
  <c r="C327" i="1"/>
  <c r="D327" i="1"/>
  <c r="E327" i="1"/>
  <c r="F327" i="1"/>
  <c r="C328" i="1"/>
  <c r="D328" i="1"/>
  <c r="E328" i="1"/>
  <c r="F328" i="1"/>
  <c r="C329" i="1"/>
  <c r="D329" i="1"/>
  <c r="E329" i="1"/>
  <c r="F329" i="1"/>
  <c r="C330" i="1"/>
  <c r="D330" i="1"/>
  <c r="E330" i="1"/>
  <c r="F330" i="1"/>
  <c r="C331" i="1"/>
  <c r="D331" i="1"/>
  <c r="E331" i="1"/>
  <c r="F331" i="1"/>
  <c r="C332" i="1"/>
  <c r="D332" i="1"/>
  <c r="E332" i="1"/>
  <c r="F332" i="1"/>
  <c r="C333" i="1"/>
  <c r="D333" i="1"/>
  <c r="E333" i="1"/>
  <c r="F333" i="1"/>
  <c r="C334" i="1"/>
  <c r="D334" i="1"/>
  <c r="E334" i="1"/>
  <c r="F334" i="1"/>
  <c r="C335" i="1"/>
  <c r="D335" i="1"/>
  <c r="E335" i="1"/>
  <c r="F335" i="1"/>
  <c r="C336" i="1"/>
  <c r="D336" i="1"/>
  <c r="E336" i="1"/>
  <c r="F336" i="1"/>
  <c r="C337" i="1"/>
  <c r="D337" i="1"/>
  <c r="E337" i="1"/>
  <c r="F337" i="1"/>
  <c r="C338" i="1"/>
  <c r="D338" i="1"/>
  <c r="E338" i="1"/>
  <c r="F338" i="1"/>
  <c r="C339" i="1"/>
  <c r="D339" i="1"/>
  <c r="E339" i="1"/>
  <c r="F339" i="1"/>
  <c r="C340" i="1"/>
  <c r="D340" i="1"/>
  <c r="E340" i="1"/>
  <c r="F340" i="1"/>
  <c r="C341" i="1"/>
  <c r="D341" i="1"/>
  <c r="E341" i="1"/>
  <c r="F341" i="1"/>
  <c r="C342" i="1"/>
  <c r="D342" i="1"/>
  <c r="E342" i="1"/>
  <c r="F342" i="1"/>
  <c r="C343" i="1"/>
  <c r="D343" i="1"/>
  <c r="E343" i="1"/>
  <c r="F343" i="1"/>
  <c r="C344" i="1"/>
  <c r="D344" i="1"/>
  <c r="E344" i="1"/>
  <c r="F344" i="1"/>
  <c r="C345" i="1"/>
  <c r="D345" i="1"/>
  <c r="E345" i="1"/>
  <c r="F345" i="1"/>
  <c r="C346" i="1"/>
  <c r="D346" i="1"/>
  <c r="E346" i="1"/>
  <c r="F346" i="1"/>
  <c r="C347" i="1"/>
  <c r="D347" i="1"/>
  <c r="E347" i="1"/>
  <c r="F347" i="1"/>
  <c r="C348" i="1"/>
  <c r="D348" i="1"/>
  <c r="E348" i="1"/>
  <c r="F348" i="1"/>
  <c r="C349" i="1"/>
  <c r="D349" i="1"/>
  <c r="E349" i="1"/>
  <c r="F349" i="1"/>
  <c r="C350" i="1"/>
  <c r="D350" i="1"/>
  <c r="E350" i="1"/>
  <c r="F350" i="1"/>
  <c r="C351" i="1"/>
  <c r="D351" i="1"/>
  <c r="E351" i="1"/>
  <c r="F351" i="1"/>
  <c r="C352" i="1"/>
  <c r="D352" i="1"/>
  <c r="E352" i="1"/>
  <c r="F352" i="1"/>
  <c r="C353" i="1"/>
  <c r="D353" i="1"/>
  <c r="E353" i="1"/>
  <c r="F353" i="1"/>
  <c r="C354" i="1"/>
  <c r="D354" i="1"/>
  <c r="E354" i="1"/>
  <c r="F354" i="1"/>
  <c r="C355" i="1"/>
  <c r="D355" i="1"/>
  <c r="E355" i="1"/>
  <c r="F355" i="1"/>
  <c r="C356" i="1"/>
  <c r="D356" i="1"/>
  <c r="E356" i="1"/>
  <c r="F356" i="1"/>
  <c r="C357" i="1"/>
  <c r="D357" i="1"/>
  <c r="E357" i="1"/>
  <c r="F357" i="1"/>
  <c r="C358" i="1"/>
  <c r="D358" i="1"/>
  <c r="E358" i="1"/>
  <c r="F358" i="1"/>
  <c r="C359" i="1"/>
  <c r="D359" i="1"/>
  <c r="E359" i="1"/>
  <c r="F359" i="1"/>
  <c r="C360" i="1"/>
  <c r="D360" i="1"/>
  <c r="E360" i="1"/>
  <c r="F360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C364" i="1"/>
  <c r="D364" i="1"/>
  <c r="E364" i="1"/>
  <c r="F364" i="1"/>
  <c r="C365" i="1"/>
  <c r="D365" i="1"/>
  <c r="E365" i="1"/>
  <c r="F365" i="1"/>
  <c r="C366" i="1"/>
  <c r="D366" i="1"/>
  <c r="E366" i="1"/>
  <c r="F366" i="1"/>
  <c r="C367" i="1"/>
  <c r="D367" i="1"/>
  <c r="E367" i="1"/>
  <c r="F367" i="1"/>
  <c r="C368" i="1"/>
  <c r="D368" i="1"/>
  <c r="E368" i="1"/>
  <c r="F368" i="1"/>
  <c r="C369" i="1"/>
  <c r="D369" i="1"/>
  <c r="E369" i="1"/>
  <c r="F369" i="1"/>
  <c r="C370" i="1"/>
  <c r="D370" i="1"/>
  <c r="E370" i="1"/>
  <c r="F370" i="1"/>
  <c r="C371" i="1"/>
  <c r="D371" i="1"/>
  <c r="E371" i="1"/>
  <c r="F371" i="1"/>
  <c r="C372" i="1"/>
  <c r="D372" i="1"/>
  <c r="E372" i="1"/>
  <c r="F372" i="1"/>
  <c r="C373" i="1"/>
  <c r="D373" i="1"/>
  <c r="E373" i="1"/>
  <c r="F373" i="1"/>
  <c r="C374" i="1"/>
  <c r="D374" i="1"/>
  <c r="E374" i="1"/>
  <c r="F374" i="1"/>
  <c r="C375" i="1"/>
  <c r="D375" i="1"/>
  <c r="E375" i="1"/>
  <c r="F375" i="1"/>
  <c r="C376" i="1"/>
  <c r="D376" i="1"/>
  <c r="E376" i="1"/>
  <c r="F376" i="1"/>
  <c r="C377" i="1"/>
  <c r="D377" i="1"/>
  <c r="E377" i="1"/>
  <c r="F377" i="1"/>
  <c r="C378" i="1"/>
  <c r="D378" i="1"/>
  <c r="E378" i="1"/>
  <c r="F378" i="1"/>
  <c r="C379" i="1"/>
  <c r="D379" i="1"/>
  <c r="E379" i="1"/>
  <c r="F379" i="1"/>
  <c r="C380" i="1"/>
  <c r="D380" i="1"/>
  <c r="E380" i="1"/>
  <c r="F380" i="1"/>
  <c r="C381" i="1"/>
  <c r="D381" i="1"/>
  <c r="E381" i="1"/>
  <c r="F381" i="1"/>
  <c r="C382" i="1"/>
  <c r="D382" i="1"/>
  <c r="E382" i="1"/>
  <c r="F382" i="1"/>
  <c r="C383" i="1"/>
  <c r="D383" i="1"/>
  <c r="E383" i="1"/>
  <c r="F383" i="1"/>
  <c r="C384" i="1"/>
  <c r="D384" i="1"/>
  <c r="E384" i="1"/>
  <c r="F384" i="1"/>
  <c r="C385" i="1"/>
  <c r="D385" i="1"/>
  <c r="E385" i="1"/>
  <c r="F385" i="1"/>
  <c r="C386" i="1"/>
  <c r="D386" i="1"/>
  <c r="E386" i="1"/>
  <c r="F386" i="1"/>
  <c r="C387" i="1"/>
  <c r="D387" i="1"/>
  <c r="E387" i="1"/>
  <c r="F387" i="1"/>
  <c r="C388" i="1"/>
  <c r="D388" i="1"/>
  <c r="E388" i="1"/>
  <c r="F388" i="1"/>
  <c r="C389" i="1"/>
  <c r="D389" i="1"/>
  <c r="E389" i="1"/>
  <c r="F389" i="1"/>
  <c r="C390" i="1"/>
  <c r="D390" i="1"/>
  <c r="E390" i="1"/>
  <c r="F390" i="1"/>
  <c r="C391" i="1"/>
  <c r="D391" i="1"/>
  <c r="E391" i="1"/>
  <c r="F391" i="1"/>
  <c r="C392" i="1"/>
  <c r="D392" i="1"/>
  <c r="E392" i="1"/>
  <c r="F392" i="1"/>
  <c r="C393" i="1"/>
  <c r="D393" i="1"/>
  <c r="E393" i="1"/>
  <c r="F393" i="1"/>
  <c r="C394" i="1"/>
  <c r="D394" i="1"/>
  <c r="E394" i="1"/>
  <c r="F394" i="1"/>
  <c r="C395" i="1"/>
  <c r="D395" i="1"/>
  <c r="E395" i="1"/>
  <c r="F395" i="1"/>
  <c r="C396" i="1"/>
  <c r="D396" i="1"/>
  <c r="E396" i="1"/>
  <c r="F396" i="1"/>
  <c r="C397" i="1"/>
  <c r="D397" i="1"/>
  <c r="E397" i="1"/>
  <c r="F397" i="1"/>
  <c r="C398" i="1"/>
  <c r="D398" i="1"/>
  <c r="E398" i="1"/>
  <c r="F398" i="1"/>
  <c r="C399" i="1"/>
  <c r="D399" i="1"/>
  <c r="E399" i="1"/>
  <c r="F399" i="1"/>
  <c r="C400" i="1"/>
  <c r="D400" i="1"/>
  <c r="E400" i="1"/>
  <c r="F400" i="1"/>
  <c r="C401" i="1"/>
  <c r="D401" i="1"/>
  <c r="E401" i="1"/>
  <c r="F401" i="1"/>
  <c r="C402" i="1"/>
  <c r="D402" i="1"/>
  <c r="E402" i="1"/>
  <c r="F402" i="1"/>
  <c r="C403" i="1"/>
  <c r="D403" i="1"/>
  <c r="E403" i="1"/>
  <c r="F403" i="1"/>
  <c r="C404" i="1"/>
  <c r="D404" i="1"/>
  <c r="E404" i="1"/>
  <c r="F404" i="1"/>
  <c r="C405" i="1"/>
  <c r="D405" i="1"/>
  <c r="E405" i="1"/>
  <c r="F405" i="1"/>
  <c r="C406" i="1"/>
  <c r="D406" i="1"/>
  <c r="E406" i="1"/>
  <c r="F406" i="1"/>
  <c r="C407" i="1"/>
  <c r="D407" i="1"/>
  <c r="E407" i="1"/>
  <c r="F407" i="1"/>
  <c r="C408" i="1"/>
  <c r="D408" i="1"/>
  <c r="E408" i="1"/>
  <c r="F408" i="1"/>
  <c r="C409" i="1"/>
  <c r="D409" i="1"/>
  <c r="E409" i="1"/>
  <c r="F409" i="1"/>
  <c r="C410" i="1"/>
  <c r="D410" i="1"/>
  <c r="E410" i="1"/>
  <c r="F410" i="1"/>
  <c r="C411" i="1"/>
  <c r="D411" i="1"/>
  <c r="E411" i="1"/>
  <c r="F411" i="1"/>
  <c r="C412" i="1"/>
  <c r="D412" i="1"/>
  <c r="E412" i="1"/>
  <c r="F412" i="1"/>
  <c r="C413" i="1"/>
  <c r="D413" i="1"/>
  <c r="E413" i="1"/>
  <c r="F413" i="1"/>
  <c r="C414" i="1"/>
  <c r="D414" i="1"/>
  <c r="E414" i="1"/>
  <c r="F414" i="1"/>
  <c r="C415" i="1"/>
  <c r="D415" i="1"/>
  <c r="E415" i="1"/>
  <c r="F415" i="1"/>
  <c r="C416" i="1"/>
  <c r="D416" i="1"/>
  <c r="E416" i="1"/>
  <c r="F416" i="1"/>
  <c r="C417" i="1"/>
  <c r="D417" i="1"/>
  <c r="E417" i="1"/>
  <c r="F417" i="1"/>
  <c r="C418" i="1"/>
  <c r="D418" i="1"/>
  <c r="E418" i="1"/>
  <c r="F418" i="1"/>
  <c r="C419" i="1"/>
  <c r="D419" i="1"/>
  <c r="E419" i="1"/>
  <c r="F419" i="1"/>
  <c r="C420" i="1"/>
  <c r="D420" i="1"/>
  <c r="E420" i="1"/>
  <c r="F420" i="1"/>
  <c r="C421" i="1"/>
  <c r="D421" i="1"/>
  <c r="E421" i="1"/>
  <c r="F421" i="1"/>
  <c r="C422" i="1"/>
  <c r="D422" i="1"/>
  <c r="E422" i="1"/>
  <c r="F422" i="1"/>
  <c r="C423" i="1"/>
  <c r="D423" i="1"/>
  <c r="E423" i="1"/>
  <c r="F423" i="1"/>
  <c r="C424" i="1"/>
  <c r="D424" i="1"/>
  <c r="E424" i="1"/>
  <c r="F424" i="1"/>
  <c r="C425" i="1"/>
  <c r="D425" i="1"/>
  <c r="E425" i="1"/>
  <c r="F425" i="1"/>
  <c r="C426" i="1"/>
  <c r="D426" i="1"/>
  <c r="E426" i="1"/>
  <c r="F426" i="1"/>
  <c r="C427" i="1"/>
  <c r="D427" i="1"/>
  <c r="E427" i="1"/>
  <c r="F427" i="1"/>
  <c r="C428" i="1"/>
  <c r="D428" i="1"/>
  <c r="E428" i="1"/>
  <c r="F428" i="1"/>
  <c r="C429" i="1"/>
  <c r="D429" i="1"/>
  <c r="E429" i="1"/>
  <c r="F429" i="1"/>
  <c r="C430" i="1"/>
  <c r="D430" i="1"/>
  <c r="E430" i="1"/>
  <c r="F430" i="1"/>
  <c r="C431" i="1"/>
  <c r="D431" i="1"/>
  <c r="E431" i="1"/>
  <c r="F431" i="1"/>
  <c r="C432" i="1"/>
  <c r="D432" i="1"/>
  <c r="E432" i="1"/>
  <c r="F432" i="1"/>
  <c r="C433" i="1"/>
  <c r="D433" i="1"/>
  <c r="E433" i="1"/>
  <c r="F433" i="1"/>
  <c r="C434" i="1"/>
  <c r="D434" i="1"/>
  <c r="E434" i="1"/>
  <c r="F434" i="1"/>
  <c r="C435" i="1"/>
  <c r="D435" i="1"/>
  <c r="E435" i="1"/>
  <c r="F435" i="1"/>
  <c r="C436" i="1"/>
  <c r="D436" i="1"/>
  <c r="E436" i="1"/>
  <c r="F436" i="1"/>
  <c r="C437" i="1"/>
  <c r="D437" i="1"/>
  <c r="E437" i="1"/>
  <c r="F437" i="1"/>
  <c r="C438" i="1"/>
  <c r="D438" i="1"/>
  <c r="E438" i="1"/>
  <c r="F438" i="1"/>
  <c r="C439" i="1"/>
  <c r="D439" i="1"/>
  <c r="E439" i="1"/>
  <c r="F439" i="1"/>
  <c r="C440" i="1"/>
  <c r="D440" i="1"/>
  <c r="E440" i="1"/>
  <c r="F440" i="1"/>
  <c r="C441" i="1"/>
  <c r="D441" i="1"/>
  <c r="E441" i="1"/>
  <c r="F441" i="1"/>
  <c r="C442" i="1"/>
  <c r="D442" i="1"/>
  <c r="E442" i="1"/>
  <c r="F442" i="1"/>
  <c r="C443" i="1"/>
  <c r="D443" i="1"/>
  <c r="E443" i="1"/>
  <c r="F443" i="1"/>
  <c r="C444" i="1"/>
  <c r="D444" i="1"/>
  <c r="E444" i="1"/>
  <c r="F444" i="1"/>
  <c r="C445" i="1"/>
  <c r="D445" i="1"/>
  <c r="E445" i="1"/>
  <c r="F445" i="1"/>
  <c r="C446" i="1"/>
  <c r="D446" i="1"/>
  <c r="E446" i="1"/>
  <c r="F446" i="1"/>
  <c r="C447" i="1"/>
  <c r="D447" i="1"/>
  <c r="E447" i="1"/>
  <c r="F447" i="1"/>
  <c r="C448" i="1"/>
  <c r="D448" i="1"/>
  <c r="E448" i="1"/>
  <c r="F448" i="1"/>
  <c r="C449" i="1"/>
  <c r="D449" i="1"/>
  <c r="E449" i="1"/>
  <c r="F449" i="1"/>
  <c r="C450" i="1"/>
  <c r="D450" i="1"/>
  <c r="E450" i="1"/>
  <c r="F450" i="1"/>
  <c r="C451" i="1"/>
  <c r="D451" i="1"/>
  <c r="E451" i="1"/>
  <c r="F451" i="1"/>
  <c r="C452" i="1"/>
  <c r="D452" i="1"/>
  <c r="E452" i="1"/>
  <c r="F452" i="1"/>
  <c r="C453" i="1"/>
  <c r="D453" i="1"/>
  <c r="E453" i="1"/>
  <c r="F453" i="1"/>
  <c r="C454" i="1"/>
  <c r="D454" i="1"/>
  <c r="E454" i="1"/>
  <c r="F454" i="1"/>
  <c r="C455" i="1"/>
  <c r="D455" i="1"/>
  <c r="E455" i="1"/>
  <c r="F455" i="1"/>
  <c r="C456" i="1"/>
  <c r="D456" i="1"/>
  <c r="E456" i="1"/>
  <c r="F456" i="1"/>
  <c r="C457" i="1"/>
  <c r="D457" i="1"/>
  <c r="E457" i="1"/>
  <c r="F457" i="1"/>
  <c r="C458" i="1"/>
  <c r="D458" i="1"/>
  <c r="E458" i="1"/>
  <c r="F458" i="1"/>
  <c r="C459" i="1"/>
  <c r="D459" i="1"/>
  <c r="E459" i="1"/>
  <c r="F459" i="1"/>
  <c r="C460" i="1"/>
  <c r="D460" i="1"/>
  <c r="E460" i="1"/>
  <c r="F460" i="1"/>
  <c r="C461" i="1"/>
  <c r="D461" i="1"/>
  <c r="E461" i="1"/>
  <c r="F461" i="1"/>
  <c r="C462" i="1"/>
  <c r="D462" i="1"/>
  <c r="E462" i="1"/>
  <c r="F462" i="1"/>
  <c r="C463" i="1"/>
  <c r="D463" i="1"/>
  <c r="E463" i="1"/>
  <c r="F463" i="1"/>
  <c r="C464" i="1"/>
  <c r="D464" i="1"/>
  <c r="E464" i="1"/>
  <c r="F464" i="1"/>
  <c r="C465" i="1"/>
  <c r="D465" i="1"/>
  <c r="E465" i="1"/>
  <c r="F465" i="1"/>
  <c r="C466" i="1"/>
  <c r="D466" i="1"/>
  <c r="E466" i="1"/>
  <c r="F466" i="1"/>
  <c r="C467" i="1"/>
  <c r="D467" i="1"/>
  <c r="E467" i="1"/>
  <c r="F467" i="1"/>
  <c r="C468" i="1"/>
  <c r="D468" i="1"/>
  <c r="E468" i="1"/>
  <c r="F468" i="1"/>
  <c r="C469" i="1"/>
  <c r="D469" i="1"/>
  <c r="E469" i="1"/>
  <c r="F469" i="1"/>
  <c r="C470" i="1"/>
  <c r="D470" i="1"/>
  <c r="E470" i="1"/>
  <c r="F470" i="1"/>
  <c r="C471" i="1"/>
  <c r="D471" i="1"/>
  <c r="E471" i="1"/>
  <c r="F471" i="1"/>
  <c r="C472" i="1"/>
  <c r="D472" i="1"/>
  <c r="E472" i="1"/>
  <c r="F472" i="1"/>
  <c r="C473" i="1"/>
  <c r="D473" i="1"/>
  <c r="E473" i="1"/>
  <c r="F473" i="1"/>
  <c r="C474" i="1"/>
  <c r="D474" i="1"/>
  <c r="E474" i="1"/>
  <c r="F474" i="1"/>
  <c r="C475" i="1"/>
  <c r="D475" i="1"/>
  <c r="E475" i="1"/>
  <c r="F475" i="1"/>
  <c r="C476" i="1"/>
  <c r="D476" i="1"/>
  <c r="E476" i="1"/>
  <c r="F476" i="1"/>
  <c r="C477" i="1"/>
  <c r="D477" i="1"/>
  <c r="E477" i="1"/>
  <c r="F477" i="1"/>
  <c r="C478" i="1"/>
  <c r="D478" i="1"/>
  <c r="E478" i="1"/>
  <c r="F478" i="1"/>
  <c r="C479" i="1"/>
  <c r="D479" i="1"/>
  <c r="E479" i="1"/>
  <c r="F479" i="1"/>
  <c r="C480" i="1"/>
  <c r="D480" i="1"/>
  <c r="E480" i="1"/>
  <c r="F480" i="1"/>
  <c r="C481" i="1"/>
  <c r="D481" i="1"/>
  <c r="E481" i="1"/>
  <c r="F481" i="1"/>
  <c r="C482" i="1"/>
  <c r="D482" i="1"/>
  <c r="E482" i="1"/>
  <c r="F482" i="1"/>
  <c r="C483" i="1"/>
  <c r="D483" i="1"/>
  <c r="E483" i="1"/>
  <c r="F483" i="1"/>
  <c r="C484" i="1"/>
  <c r="D484" i="1"/>
  <c r="E484" i="1"/>
  <c r="F484" i="1"/>
  <c r="C485" i="1"/>
  <c r="D485" i="1"/>
  <c r="E485" i="1"/>
  <c r="F485" i="1"/>
  <c r="C486" i="1"/>
  <c r="D486" i="1"/>
  <c r="E486" i="1"/>
  <c r="F486" i="1"/>
  <c r="C487" i="1"/>
  <c r="D487" i="1"/>
  <c r="E487" i="1"/>
  <c r="F487" i="1"/>
  <c r="C488" i="1"/>
  <c r="D488" i="1"/>
  <c r="E488" i="1"/>
  <c r="F488" i="1"/>
  <c r="C489" i="1"/>
  <c r="D489" i="1"/>
  <c r="E489" i="1"/>
  <c r="F489" i="1"/>
  <c r="C490" i="1"/>
  <c r="D490" i="1"/>
  <c r="E490" i="1"/>
  <c r="F490" i="1"/>
  <c r="C491" i="1"/>
  <c r="D491" i="1"/>
  <c r="E491" i="1"/>
  <c r="F491" i="1"/>
  <c r="C492" i="1"/>
  <c r="D492" i="1"/>
  <c r="E492" i="1"/>
  <c r="F492" i="1"/>
  <c r="C493" i="1"/>
  <c r="D493" i="1"/>
  <c r="E493" i="1"/>
  <c r="F493" i="1"/>
  <c r="C494" i="1"/>
  <c r="D494" i="1"/>
  <c r="E494" i="1"/>
  <c r="F494" i="1"/>
  <c r="C495" i="1"/>
  <c r="D495" i="1"/>
  <c r="E495" i="1"/>
  <c r="F495" i="1"/>
  <c r="C496" i="1"/>
  <c r="D496" i="1"/>
  <c r="E496" i="1"/>
  <c r="F496" i="1"/>
  <c r="C497" i="1"/>
  <c r="D497" i="1"/>
  <c r="E497" i="1"/>
  <c r="F497" i="1"/>
  <c r="C498" i="1"/>
  <c r="D498" i="1"/>
  <c r="E498" i="1"/>
  <c r="F498" i="1"/>
  <c r="C499" i="1"/>
  <c r="D499" i="1"/>
  <c r="E499" i="1"/>
  <c r="F499" i="1"/>
  <c r="C500" i="1"/>
  <c r="D500" i="1"/>
  <c r="E500" i="1"/>
  <c r="F500" i="1"/>
  <c r="C501" i="1"/>
  <c r="D501" i="1"/>
  <c r="E501" i="1"/>
  <c r="F501" i="1"/>
  <c r="C502" i="1"/>
  <c r="D502" i="1"/>
  <c r="E502" i="1"/>
  <c r="F502" i="1"/>
  <c r="C503" i="1"/>
  <c r="D503" i="1"/>
  <c r="E503" i="1"/>
  <c r="F503" i="1"/>
  <c r="C504" i="1"/>
  <c r="D504" i="1"/>
  <c r="E504" i="1"/>
  <c r="F504" i="1"/>
  <c r="C505" i="1"/>
  <c r="D505" i="1"/>
  <c r="E505" i="1"/>
  <c r="F505" i="1"/>
  <c r="C506" i="1"/>
  <c r="D506" i="1"/>
  <c r="E506" i="1"/>
  <c r="F506" i="1"/>
  <c r="C507" i="1"/>
  <c r="D507" i="1"/>
  <c r="E507" i="1"/>
  <c r="F507" i="1"/>
  <c r="C508" i="1"/>
  <c r="D508" i="1"/>
  <c r="E508" i="1"/>
  <c r="F508" i="1"/>
  <c r="C509" i="1"/>
  <c r="D509" i="1"/>
  <c r="E509" i="1"/>
  <c r="F509" i="1"/>
  <c r="C510" i="1"/>
  <c r="D510" i="1"/>
  <c r="E510" i="1"/>
  <c r="F510" i="1"/>
  <c r="C511" i="1"/>
  <c r="D511" i="1"/>
  <c r="E511" i="1"/>
  <c r="F511" i="1"/>
  <c r="C512" i="1"/>
  <c r="D512" i="1"/>
  <c r="E512" i="1"/>
  <c r="F512" i="1"/>
  <c r="C513" i="1"/>
  <c r="D513" i="1"/>
  <c r="E513" i="1"/>
  <c r="F513" i="1"/>
  <c r="C514" i="1"/>
  <c r="D514" i="1"/>
  <c r="E514" i="1"/>
  <c r="F514" i="1"/>
  <c r="C515" i="1"/>
  <c r="D515" i="1"/>
  <c r="E515" i="1"/>
  <c r="F515" i="1"/>
  <c r="C516" i="1"/>
  <c r="D516" i="1"/>
  <c r="E516" i="1"/>
  <c r="F516" i="1"/>
  <c r="C517" i="1"/>
  <c r="D517" i="1"/>
  <c r="E517" i="1"/>
  <c r="F517" i="1"/>
  <c r="C518" i="1"/>
  <c r="D518" i="1"/>
  <c r="E518" i="1"/>
  <c r="F518" i="1"/>
  <c r="C519" i="1"/>
  <c r="D519" i="1"/>
  <c r="E519" i="1"/>
  <c r="F519" i="1"/>
  <c r="C520" i="1"/>
  <c r="D520" i="1"/>
  <c r="E520" i="1"/>
  <c r="F520" i="1"/>
  <c r="C521" i="1"/>
  <c r="D521" i="1"/>
  <c r="E521" i="1"/>
  <c r="F521" i="1"/>
  <c r="C522" i="1"/>
  <c r="D522" i="1"/>
  <c r="E522" i="1"/>
  <c r="F522" i="1"/>
  <c r="C523" i="1"/>
  <c r="D523" i="1"/>
  <c r="E523" i="1"/>
  <c r="F523" i="1"/>
  <c r="C524" i="1"/>
  <c r="D524" i="1"/>
  <c r="E524" i="1"/>
  <c r="F524" i="1"/>
  <c r="C525" i="1"/>
  <c r="D525" i="1"/>
  <c r="E525" i="1"/>
  <c r="F525" i="1"/>
  <c r="C526" i="1"/>
  <c r="D526" i="1"/>
  <c r="E526" i="1"/>
  <c r="F526" i="1"/>
  <c r="C527" i="1"/>
  <c r="D527" i="1"/>
  <c r="E527" i="1"/>
  <c r="F527" i="1"/>
  <c r="C528" i="1"/>
  <c r="D528" i="1"/>
  <c r="E528" i="1"/>
  <c r="F528" i="1"/>
  <c r="C529" i="1"/>
  <c r="D529" i="1"/>
  <c r="E529" i="1"/>
  <c r="F529" i="1"/>
  <c r="C530" i="1"/>
  <c r="D530" i="1"/>
  <c r="E530" i="1"/>
  <c r="F530" i="1"/>
  <c r="C531" i="1"/>
  <c r="D531" i="1"/>
  <c r="E531" i="1"/>
  <c r="F531" i="1"/>
  <c r="C532" i="1"/>
  <c r="D532" i="1"/>
  <c r="E532" i="1"/>
  <c r="F532" i="1"/>
  <c r="C533" i="1"/>
  <c r="D533" i="1"/>
  <c r="E533" i="1"/>
  <c r="F533" i="1"/>
  <c r="C534" i="1"/>
  <c r="D534" i="1"/>
  <c r="E534" i="1"/>
  <c r="F534" i="1"/>
  <c r="C535" i="1"/>
  <c r="D535" i="1"/>
  <c r="E535" i="1"/>
  <c r="F535" i="1"/>
  <c r="C536" i="1"/>
  <c r="D536" i="1"/>
  <c r="E536" i="1"/>
  <c r="F536" i="1"/>
  <c r="C537" i="1"/>
  <c r="D537" i="1"/>
  <c r="E537" i="1"/>
  <c r="F537" i="1"/>
  <c r="C538" i="1"/>
  <c r="D538" i="1"/>
  <c r="E538" i="1"/>
  <c r="F538" i="1"/>
  <c r="C539" i="1"/>
  <c r="D539" i="1"/>
  <c r="E539" i="1"/>
  <c r="F539" i="1"/>
  <c r="C540" i="1"/>
  <c r="D540" i="1"/>
  <c r="E540" i="1"/>
  <c r="F540" i="1"/>
  <c r="C541" i="1"/>
  <c r="D541" i="1"/>
  <c r="E541" i="1"/>
  <c r="F541" i="1"/>
  <c r="C542" i="1"/>
  <c r="D542" i="1"/>
  <c r="E542" i="1"/>
  <c r="F542" i="1"/>
  <c r="C543" i="1"/>
  <c r="D543" i="1"/>
  <c r="E543" i="1"/>
  <c r="F543" i="1"/>
  <c r="C544" i="1"/>
  <c r="D544" i="1"/>
  <c r="E544" i="1"/>
  <c r="F544" i="1"/>
  <c r="C545" i="1"/>
  <c r="D545" i="1"/>
  <c r="E545" i="1"/>
  <c r="F545" i="1"/>
  <c r="C546" i="1"/>
  <c r="D546" i="1"/>
  <c r="E546" i="1"/>
  <c r="F546" i="1"/>
  <c r="C547" i="1"/>
  <c r="D547" i="1"/>
  <c r="E547" i="1"/>
  <c r="F547" i="1"/>
  <c r="C548" i="1"/>
  <c r="D548" i="1"/>
  <c r="E548" i="1"/>
  <c r="F548" i="1"/>
  <c r="C549" i="1"/>
  <c r="D549" i="1"/>
  <c r="E549" i="1"/>
  <c r="F549" i="1"/>
  <c r="C550" i="1"/>
  <c r="D550" i="1"/>
  <c r="E550" i="1"/>
  <c r="F550" i="1"/>
  <c r="C551" i="1"/>
  <c r="D551" i="1"/>
  <c r="E551" i="1"/>
  <c r="F551" i="1"/>
  <c r="C552" i="1"/>
  <c r="D552" i="1"/>
  <c r="E552" i="1"/>
  <c r="F552" i="1"/>
  <c r="C553" i="1"/>
  <c r="D553" i="1"/>
  <c r="E553" i="1"/>
  <c r="F553" i="1"/>
  <c r="C554" i="1"/>
  <c r="D554" i="1"/>
  <c r="E554" i="1"/>
  <c r="F554" i="1"/>
  <c r="C555" i="1"/>
  <c r="D555" i="1"/>
  <c r="E555" i="1"/>
  <c r="F555" i="1"/>
  <c r="C556" i="1"/>
  <c r="D556" i="1"/>
  <c r="E556" i="1"/>
  <c r="F556" i="1"/>
  <c r="C557" i="1"/>
  <c r="D557" i="1"/>
  <c r="E557" i="1"/>
  <c r="F557" i="1"/>
  <c r="C558" i="1"/>
  <c r="D558" i="1"/>
  <c r="E558" i="1"/>
  <c r="F558" i="1"/>
  <c r="C559" i="1"/>
  <c r="D559" i="1"/>
  <c r="E559" i="1"/>
  <c r="F559" i="1"/>
  <c r="C560" i="1"/>
  <c r="D560" i="1"/>
  <c r="E560" i="1"/>
  <c r="F560" i="1"/>
  <c r="C561" i="1"/>
  <c r="D561" i="1"/>
  <c r="E561" i="1"/>
  <c r="F561" i="1"/>
  <c r="C562" i="1"/>
  <c r="D562" i="1"/>
  <c r="E562" i="1"/>
  <c r="F562" i="1"/>
  <c r="C563" i="1"/>
  <c r="D563" i="1"/>
  <c r="E563" i="1"/>
  <c r="F563" i="1"/>
  <c r="C564" i="1"/>
  <c r="D564" i="1"/>
  <c r="E564" i="1"/>
  <c r="F564" i="1"/>
  <c r="C565" i="1"/>
  <c r="D565" i="1"/>
  <c r="E565" i="1"/>
  <c r="F565" i="1"/>
  <c r="C566" i="1"/>
  <c r="D566" i="1"/>
  <c r="E566" i="1"/>
  <c r="F566" i="1"/>
  <c r="C567" i="1"/>
  <c r="D567" i="1"/>
  <c r="E567" i="1"/>
  <c r="F567" i="1"/>
  <c r="C568" i="1"/>
  <c r="D568" i="1"/>
  <c r="E568" i="1"/>
  <c r="F568" i="1"/>
  <c r="C569" i="1"/>
  <c r="D569" i="1"/>
  <c r="E569" i="1"/>
  <c r="F569" i="1"/>
  <c r="C570" i="1"/>
  <c r="D570" i="1"/>
  <c r="E570" i="1"/>
  <c r="F570" i="1"/>
  <c r="C571" i="1"/>
  <c r="D571" i="1"/>
  <c r="E571" i="1"/>
  <c r="F571" i="1"/>
  <c r="C572" i="1"/>
  <c r="D572" i="1"/>
  <c r="E572" i="1"/>
  <c r="F572" i="1"/>
  <c r="C573" i="1"/>
  <c r="D573" i="1"/>
  <c r="E573" i="1"/>
  <c r="F573" i="1"/>
  <c r="C574" i="1"/>
  <c r="D574" i="1"/>
  <c r="E574" i="1"/>
  <c r="F574" i="1"/>
  <c r="C575" i="1"/>
  <c r="D575" i="1"/>
  <c r="E575" i="1"/>
  <c r="F575" i="1"/>
  <c r="C576" i="1"/>
  <c r="D576" i="1"/>
  <c r="E576" i="1"/>
  <c r="F576" i="1"/>
  <c r="C577" i="1"/>
  <c r="D577" i="1"/>
  <c r="E577" i="1"/>
  <c r="F577" i="1"/>
  <c r="C578" i="1"/>
  <c r="D578" i="1"/>
  <c r="E578" i="1"/>
  <c r="F578" i="1"/>
  <c r="C579" i="1"/>
  <c r="D579" i="1"/>
  <c r="E579" i="1"/>
  <c r="F579" i="1"/>
  <c r="C580" i="1"/>
  <c r="D580" i="1"/>
  <c r="E580" i="1"/>
  <c r="F580" i="1"/>
  <c r="C581" i="1"/>
  <c r="D581" i="1"/>
  <c r="E581" i="1"/>
  <c r="F581" i="1"/>
  <c r="C582" i="1"/>
  <c r="D582" i="1"/>
  <c r="E582" i="1"/>
  <c r="F582" i="1"/>
  <c r="C583" i="1"/>
  <c r="D583" i="1"/>
  <c r="E583" i="1"/>
  <c r="F583" i="1"/>
  <c r="C584" i="1"/>
  <c r="D584" i="1"/>
  <c r="E584" i="1"/>
  <c r="F584" i="1"/>
  <c r="C585" i="1"/>
  <c r="D585" i="1"/>
  <c r="E585" i="1"/>
  <c r="F585" i="1"/>
  <c r="C586" i="1"/>
  <c r="D586" i="1"/>
  <c r="E586" i="1"/>
  <c r="F586" i="1"/>
  <c r="C587" i="1"/>
  <c r="D587" i="1"/>
  <c r="E587" i="1"/>
  <c r="F587" i="1"/>
  <c r="C588" i="1"/>
  <c r="D588" i="1"/>
  <c r="E588" i="1"/>
  <c r="F588" i="1"/>
  <c r="C589" i="1"/>
  <c r="D589" i="1"/>
  <c r="E589" i="1"/>
  <c r="F589" i="1"/>
  <c r="C590" i="1"/>
  <c r="D590" i="1"/>
  <c r="E590" i="1"/>
  <c r="F590" i="1"/>
  <c r="C591" i="1"/>
  <c r="D591" i="1"/>
  <c r="E591" i="1"/>
  <c r="F591" i="1"/>
  <c r="C592" i="1"/>
  <c r="D592" i="1"/>
  <c r="E592" i="1"/>
  <c r="F592" i="1"/>
  <c r="C593" i="1"/>
  <c r="D593" i="1"/>
  <c r="E593" i="1"/>
  <c r="F593" i="1"/>
  <c r="C594" i="1"/>
  <c r="D594" i="1"/>
  <c r="E594" i="1"/>
  <c r="F594" i="1"/>
  <c r="C595" i="1"/>
  <c r="D595" i="1"/>
  <c r="E595" i="1"/>
  <c r="F595" i="1"/>
  <c r="C596" i="1"/>
  <c r="D596" i="1"/>
  <c r="E596" i="1"/>
  <c r="F596" i="1"/>
  <c r="C597" i="1"/>
  <c r="D597" i="1"/>
  <c r="E597" i="1"/>
  <c r="F597" i="1"/>
  <c r="C598" i="1"/>
  <c r="D598" i="1"/>
  <c r="E598" i="1"/>
  <c r="F598" i="1"/>
  <c r="C599" i="1"/>
  <c r="D599" i="1"/>
  <c r="E599" i="1"/>
  <c r="F599" i="1"/>
  <c r="C600" i="1"/>
  <c r="D600" i="1"/>
  <c r="E600" i="1"/>
  <c r="F600" i="1"/>
  <c r="C601" i="1"/>
  <c r="D601" i="1"/>
  <c r="E601" i="1"/>
  <c r="F601" i="1"/>
  <c r="C602" i="1"/>
  <c r="D602" i="1"/>
  <c r="E602" i="1"/>
  <c r="F602" i="1"/>
  <c r="C603" i="1"/>
  <c r="D603" i="1"/>
  <c r="E603" i="1"/>
  <c r="F603" i="1"/>
  <c r="C604" i="1"/>
  <c r="D604" i="1"/>
  <c r="E604" i="1"/>
  <c r="F604" i="1"/>
  <c r="C605" i="1"/>
  <c r="D605" i="1"/>
  <c r="E605" i="1"/>
  <c r="F605" i="1"/>
  <c r="C606" i="1"/>
  <c r="D606" i="1"/>
  <c r="E606" i="1"/>
  <c r="F606" i="1"/>
  <c r="C607" i="1"/>
  <c r="D607" i="1"/>
  <c r="E607" i="1"/>
  <c r="F607" i="1"/>
  <c r="C608" i="1"/>
  <c r="D608" i="1"/>
  <c r="E608" i="1"/>
  <c r="F608" i="1"/>
  <c r="C609" i="1"/>
  <c r="D609" i="1"/>
  <c r="E609" i="1"/>
  <c r="F609" i="1"/>
  <c r="C610" i="1"/>
  <c r="D610" i="1"/>
  <c r="E610" i="1"/>
  <c r="F610" i="1"/>
  <c r="C611" i="1"/>
  <c r="D611" i="1"/>
  <c r="E611" i="1"/>
  <c r="F611" i="1"/>
  <c r="C612" i="1"/>
  <c r="D612" i="1"/>
  <c r="E612" i="1"/>
  <c r="F612" i="1"/>
  <c r="C613" i="1"/>
  <c r="D613" i="1"/>
  <c r="E613" i="1"/>
  <c r="F613" i="1"/>
  <c r="C614" i="1"/>
  <c r="D614" i="1"/>
  <c r="E614" i="1"/>
  <c r="F614" i="1"/>
  <c r="C615" i="1"/>
  <c r="D615" i="1"/>
  <c r="E615" i="1"/>
  <c r="F615" i="1"/>
  <c r="C616" i="1"/>
  <c r="D616" i="1"/>
  <c r="E616" i="1"/>
  <c r="F616" i="1"/>
  <c r="C617" i="1"/>
  <c r="D617" i="1"/>
  <c r="E617" i="1"/>
  <c r="F617" i="1"/>
  <c r="C618" i="1"/>
  <c r="D618" i="1"/>
  <c r="E618" i="1"/>
  <c r="F618" i="1"/>
  <c r="C619" i="1"/>
  <c r="D619" i="1"/>
  <c r="E619" i="1"/>
  <c r="F619" i="1"/>
  <c r="C620" i="1"/>
  <c r="D620" i="1"/>
  <c r="E620" i="1"/>
  <c r="F620" i="1"/>
  <c r="C621" i="1"/>
  <c r="D621" i="1"/>
  <c r="E621" i="1"/>
  <c r="F621" i="1"/>
  <c r="C622" i="1"/>
  <c r="D622" i="1"/>
  <c r="E622" i="1"/>
  <c r="F622" i="1"/>
  <c r="C623" i="1"/>
  <c r="D623" i="1"/>
  <c r="E623" i="1"/>
  <c r="F623" i="1"/>
  <c r="C624" i="1"/>
  <c r="D624" i="1"/>
  <c r="E624" i="1"/>
  <c r="F624" i="1"/>
  <c r="C625" i="1"/>
  <c r="D625" i="1"/>
  <c r="E625" i="1"/>
  <c r="F625" i="1"/>
  <c r="C626" i="1"/>
  <c r="D626" i="1"/>
  <c r="E626" i="1"/>
  <c r="F626" i="1"/>
  <c r="C627" i="1"/>
  <c r="D627" i="1"/>
  <c r="E627" i="1"/>
  <c r="F627" i="1"/>
  <c r="C628" i="1"/>
  <c r="D628" i="1"/>
  <c r="E628" i="1"/>
  <c r="F628" i="1"/>
  <c r="C629" i="1"/>
  <c r="D629" i="1"/>
  <c r="E629" i="1"/>
  <c r="F629" i="1"/>
  <c r="C630" i="1"/>
  <c r="D630" i="1"/>
  <c r="E630" i="1"/>
  <c r="F630" i="1"/>
  <c r="C631" i="1"/>
  <c r="D631" i="1"/>
  <c r="E631" i="1"/>
  <c r="F631" i="1"/>
  <c r="C632" i="1"/>
  <c r="D632" i="1"/>
  <c r="E632" i="1"/>
  <c r="F632" i="1"/>
  <c r="C633" i="1"/>
  <c r="D633" i="1"/>
  <c r="E633" i="1"/>
  <c r="F633" i="1"/>
  <c r="C634" i="1"/>
  <c r="D634" i="1"/>
  <c r="E634" i="1"/>
  <c r="F634" i="1"/>
  <c r="C635" i="1"/>
  <c r="D635" i="1"/>
  <c r="E635" i="1"/>
  <c r="F635" i="1"/>
  <c r="C636" i="1"/>
  <c r="D636" i="1"/>
  <c r="E636" i="1"/>
  <c r="F636" i="1"/>
  <c r="C637" i="1"/>
  <c r="D637" i="1"/>
  <c r="E637" i="1"/>
  <c r="F637" i="1"/>
  <c r="C638" i="1"/>
  <c r="D638" i="1"/>
  <c r="E638" i="1"/>
  <c r="F638" i="1"/>
  <c r="C639" i="1"/>
  <c r="D639" i="1"/>
  <c r="E639" i="1"/>
  <c r="F639" i="1"/>
  <c r="C640" i="1"/>
  <c r="D640" i="1"/>
  <c r="E640" i="1"/>
  <c r="F640" i="1"/>
  <c r="C641" i="1"/>
  <c r="D641" i="1"/>
  <c r="E641" i="1"/>
  <c r="F641" i="1"/>
  <c r="C642" i="1"/>
  <c r="D642" i="1"/>
  <c r="E642" i="1"/>
  <c r="F642" i="1"/>
  <c r="C643" i="1"/>
  <c r="D643" i="1"/>
  <c r="E643" i="1"/>
  <c r="F643" i="1"/>
  <c r="C644" i="1"/>
  <c r="D644" i="1"/>
  <c r="E644" i="1"/>
  <c r="F644" i="1"/>
  <c r="C645" i="1"/>
  <c r="D645" i="1"/>
  <c r="E645" i="1"/>
  <c r="F645" i="1"/>
  <c r="C646" i="1"/>
  <c r="D646" i="1"/>
  <c r="E646" i="1"/>
  <c r="F646" i="1"/>
  <c r="C647" i="1"/>
  <c r="D647" i="1"/>
  <c r="E647" i="1"/>
  <c r="F647" i="1"/>
  <c r="C648" i="1"/>
  <c r="D648" i="1"/>
  <c r="E648" i="1"/>
  <c r="F648" i="1"/>
  <c r="C649" i="1"/>
  <c r="D649" i="1"/>
  <c r="E649" i="1"/>
  <c r="F649" i="1"/>
  <c r="C650" i="1"/>
  <c r="D650" i="1"/>
  <c r="E650" i="1"/>
  <c r="F650" i="1"/>
  <c r="C651" i="1"/>
  <c r="D651" i="1"/>
  <c r="E651" i="1"/>
  <c r="F651" i="1"/>
  <c r="C652" i="1"/>
  <c r="D652" i="1"/>
  <c r="E652" i="1"/>
  <c r="F652" i="1"/>
  <c r="C653" i="1"/>
  <c r="D653" i="1"/>
  <c r="E653" i="1"/>
  <c r="F653" i="1"/>
  <c r="C654" i="1"/>
  <c r="D654" i="1"/>
  <c r="E654" i="1"/>
  <c r="F654" i="1"/>
  <c r="C655" i="1"/>
  <c r="D655" i="1"/>
  <c r="E655" i="1"/>
  <c r="F655" i="1"/>
  <c r="C656" i="1"/>
  <c r="D656" i="1"/>
  <c r="E656" i="1"/>
  <c r="F656" i="1"/>
  <c r="C657" i="1"/>
  <c r="D657" i="1"/>
  <c r="E657" i="1"/>
  <c r="F657" i="1"/>
  <c r="C658" i="1"/>
  <c r="D658" i="1"/>
  <c r="E658" i="1"/>
  <c r="F658" i="1"/>
  <c r="C659" i="1"/>
  <c r="D659" i="1"/>
  <c r="E659" i="1"/>
  <c r="F659" i="1"/>
  <c r="C660" i="1"/>
  <c r="D660" i="1"/>
  <c r="E660" i="1"/>
  <c r="F660" i="1"/>
  <c r="C661" i="1"/>
  <c r="D661" i="1"/>
  <c r="E661" i="1"/>
  <c r="F661" i="1"/>
  <c r="C662" i="1"/>
  <c r="D662" i="1"/>
  <c r="E662" i="1"/>
  <c r="F662" i="1"/>
  <c r="C663" i="1"/>
  <c r="D663" i="1"/>
  <c r="E663" i="1"/>
  <c r="F663" i="1"/>
  <c r="C664" i="1"/>
  <c r="D664" i="1"/>
  <c r="E664" i="1"/>
  <c r="F664" i="1"/>
  <c r="C665" i="1"/>
  <c r="D665" i="1"/>
  <c r="E665" i="1"/>
  <c r="F665" i="1"/>
  <c r="C666" i="1"/>
  <c r="D666" i="1"/>
  <c r="E666" i="1"/>
  <c r="F666" i="1"/>
  <c r="C667" i="1"/>
  <c r="D667" i="1"/>
  <c r="E667" i="1"/>
  <c r="F667" i="1"/>
  <c r="C668" i="1"/>
  <c r="D668" i="1"/>
  <c r="E668" i="1"/>
  <c r="F668" i="1"/>
  <c r="C669" i="1"/>
  <c r="D669" i="1"/>
  <c r="E669" i="1"/>
  <c r="F669" i="1"/>
  <c r="C670" i="1"/>
  <c r="D670" i="1"/>
  <c r="E670" i="1"/>
  <c r="F670" i="1"/>
  <c r="C671" i="1"/>
  <c r="D671" i="1"/>
  <c r="E671" i="1"/>
  <c r="F671" i="1"/>
  <c r="C672" i="1"/>
  <c r="D672" i="1"/>
  <c r="E672" i="1"/>
  <c r="F672" i="1"/>
  <c r="C673" i="1"/>
  <c r="D673" i="1"/>
  <c r="E673" i="1"/>
  <c r="F673" i="1"/>
  <c r="C674" i="1"/>
  <c r="D674" i="1"/>
  <c r="E674" i="1"/>
  <c r="F674" i="1"/>
  <c r="C675" i="1"/>
  <c r="D675" i="1"/>
  <c r="E675" i="1"/>
  <c r="F675" i="1"/>
  <c r="C676" i="1"/>
  <c r="D676" i="1"/>
  <c r="E676" i="1"/>
  <c r="F676" i="1"/>
  <c r="C677" i="1"/>
  <c r="D677" i="1"/>
  <c r="E677" i="1"/>
  <c r="F677" i="1"/>
  <c r="C678" i="1"/>
  <c r="D678" i="1"/>
  <c r="E678" i="1"/>
  <c r="F678" i="1"/>
  <c r="C679" i="1"/>
  <c r="D679" i="1"/>
  <c r="E679" i="1"/>
  <c r="F679" i="1"/>
  <c r="C680" i="1"/>
  <c r="D680" i="1"/>
  <c r="E680" i="1"/>
  <c r="F680" i="1"/>
  <c r="C681" i="1"/>
  <c r="D681" i="1"/>
  <c r="E681" i="1"/>
  <c r="F681" i="1"/>
  <c r="C682" i="1"/>
  <c r="D682" i="1"/>
  <c r="E682" i="1"/>
  <c r="F682" i="1"/>
  <c r="C683" i="1"/>
  <c r="D683" i="1"/>
  <c r="E683" i="1"/>
  <c r="F683" i="1"/>
  <c r="C684" i="1"/>
  <c r="D684" i="1"/>
  <c r="E684" i="1"/>
  <c r="F684" i="1"/>
  <c r="C685" i="1"/>
  <c r="D685" i="1"/>
  <c r="E685" i="1"/>
  <c r="F685" i="1"/>
  <c r="C686" i="1"/>
  <c r="D686" i="1"/>
  <c r="E686" i="1"/>
  <c r="F686" i="1"/>
  <c r="C687" i="1"/>
  <c r="D687" i="1"/>
  <c r="E687" i="1"/>
  <c r="F687" i="1"/>
  <c r="C688" i="1"/>
  <c r="D688" i="1"/>
  <c r="E688" i="1"/>
  <c r="F688" i="1"/>
  <c r="C689" i="1"/>
  <c r="D689" i="1"/>
  <c r="E689" i="1"/>
  <c r="F689" i="1"/>
  <c r="C690" i="1"/>
  <c r="D690" i="1"/>
  <c r="E690" i="1"/>
  <c r="F690" i="1"/>
  <c r="C691" i="1"/>
  <c r="D691" i="1"/>
  <c r="E691" i="1"/>
  <c r="F691" i="1"/>
  <c r="C692" i="1"/>
  <c r="D692" i="1"/>
  <c r="E692" i="1"/>
  <c r="F692" i="1"/>
  <c r="C693" i="1"/>
  <c r="D693" i="1"/>
  <c r="E693" i="1"/>
  <c r="F693" i="1"/>
  <c r="C694" i="1"/>
  <c r="D694" i="1"/>
  <c r="E694" i="1"/>
  <c r="F694" i="1"/>
  <c r="C695" i="1"/>
  <c r="D695" i="1"/>
  <c r="E695" i="1"/>
  <c r="F695" i="1"/>
  <c r="C696" i="1"/>
  <c r="D696" i="1"/>
  <c r="E696" i="1"/>
  <c r="F696" i="1"/>
  <c r="C697" i="1"/>
  <c r="D697" i="1"/>
  <c r="E697" i="1"/>
  <c r="F697" i="1"/>
  <c r="C698" i="1"/>
  <c r="D698" i="1"/>
  <c r="E698" i="1"/>
  <c r="F698" i="1"/>
  <c r="C699" i="1"/>
  <c r="D699" i="1"/>
  <c r="E699" i="1"/>
  <c r="F699" i="1"/>
  <c r="C700" i="1"/>
  <c r="D700" i="1"/>
  <c r="E700" i="1"/>
  <c r="F700" i="1"/>
  <c r="C701" i="1"/>
  <c r="D701" i="1"/>
  <c r="E701" i="1"/>
  <c r="F701" i="1"/>
  <c r="C702" i="1"/>
  <c r="D702" i="1"/>
  <c r="E702" i="1"/>
  <c r="F702" i="1"/>
  <c r="C703" i="1"/>
  <c r="D703" i="1"/>
  <c r="E703" i="1"/>
  <c r="F703" i="1"/>
  <c r="C704" i="1"/>
  <c r="D704" i="1"/>
  <c r="E704" i="1"/>
  <c r="F704" i="1"/>
  <c r="C705" i="1"/>
  <c r="D705" i="1"/>
  <c r="E705" i="1"/>
  <c r="F705" i="1"/>
  <c r="C706" i="1"/>
  <c r="D706" i="1"/>
  <c r="E706" i="1"/>
  <c r="F706" i="1"/>
  <c r="C707" i="1"/>
  <c r="D707" i="1"/>
  <c r="E707" i="1"/>
  <c r="F707" i="1"/>
  <c r="C708" i="1"/>
  <c r="D708" i="1"/>
  <c r="E708" i="1"/>
  <c r="F708" i="1"/>
  <c r="C709" i="1"/>
  <c r="D709" i="1"/>
  <c r="E709" i="1"/>
  <c r="F709" i="1"/>
  <c r="C710" i="1"/>
  <c r="D710" i="1"/>
  <c r="E710" i="1"/>
  <c r="F710" i="1"/>
  <c r="C711" i="1"/>
  <c r="D711" i="1"/>
  <c r="E711" i="1"/>
  <c r="F711" i="1"/>
  <c r="C712" i="1"/>
  <c r="D712" i="1"/>
  <c r="E712" i="1"/>
  <c r="F712" i="1"/>
  <c r="C713" i="1"/>
  <c r="D713" i="1"/>
  <c r="E713" i="1"/>
  <c r="F713" i="1"/>
  <c r="C714" i="1"/>
  <c r="D714" i="1"/>
  <c r="E714" i="1"/>
  <c r="F714" i="1"/>
  <c r="C715" i="1"/>
  <c r="D715" i="1"/>
  <c r="E715" i="1"/>
  <c r="F715" i="1"/>
  <c r="C716" i="1"/>
  <c r="D716" i="1"/>
  <c r="E716" i="1"/>
  <c r="F716" i="1"/>
  <c r="C717" i="1"/>
  <c r="D717" i="1"/>
  <c r="E717" i="1"/>
  <c r="F717" i="1"/>
  <c r="C718" i="1"/>
  <c r="D718" i="1"/>
  <c r="E718" i="1"/>
  <c r="F718" i="1"/>
  <c r="C719" i="1"/>
  <c r="D719" i="1"/>
  <c r="E719" i="1"/>
  <c r="F719" i="1"/>
  <c r="C720" i="1"/>
  <c r="D720" i="1"/>
  <c r="E720" i="1"/>
  <c r="F720" i="1"/>
  <c r="C721" i="1"/>
  <c r="D721" i="1"/>
  <c r="E721" i="1"/>
  <c r="F721" i="1"/>
  <c r="C722" i="1"/>
  <c r="D722" i="1"/>
  <c r="E722" i="1"/>
  <c r="F722" i="1"/>
  <c r="C723" i="1"/>
  <c r="D723" i="1"/>
  <c r="E723" i="1"/>
  <c r="F723" i="1"/>
  <c r="C724" i="1"/>
  <c r="D724" i="1"/>
  <c r="E724" i="1"/>
  <c r="F724" i="1"/>
  <c r="C725" i="1"/>
  <c r="D725" i="1"/>
  <c r="E725" i="1"/>
  <c r="F725" i="1"/>
  <c r="C726" i="1"/>
  <c r="D726" i="1"/>
  <c r="E726" i="1"/>
  <c r="F726" i="1"/>
  <c r="C727" i="1"/>
  <c r="D727" i="1"/>
  <c r="E727" i="1"/>
  <c r="F727" i="1"/>
  <c r="C728" i="1"/>
  <c r="D728" i="1"/>
  <c r="E728" i="1"/>
  <c r="F728" i="1"/>
  <c r="C729" i="1"/>
  <c r="D729" i="1"/>
  <c r="E729" i="1"/>
  <c r="F729" i="1"/>
  <c r="C730" i="1"/>
  <c r="D730" i="1"/>
  <c r="E730" i="1"/>
  <c r="F730" i="1"/>
  <c r="C731" i="1"/>
  <c r="D731" i="1"/>
  <c r="E731" i="1"/>
  <c r="F731" i="1"/>
  <c r="C732" i="1"/>
  <c r="D732" i="1"/>
  <c r="E732" i="1"/>
  <c r="F732" i="1"/>
  <c r="C733" i="1"/>
  <c r="D733" i="1"/>
  <c r="E733" i="1"/>
  <c r="F733" i="1"/>
  <c r="C734" i="1"/>
  <c r="D734" i="1"/>
  <c r="E734" i="1"/>
  <c r="F734" i="1"/>
  <c r="C735" i="1"/>
  <c r="D735" i="1"/>
  <c r="E735" i="1"/>
  <c r="F735" i="1"/>
  <c r="C736" i="1"/>
  <c r="D736" i="1"/>
  <c r="E736" i="1"/>
  <c r="F736" i="1"/>
  <c r="C737" i="1"/>
  <c r="D737" i="1"/>
  <c r="E737" i="1"/>
  <c r="F737" i="1"/>
  <c r="C738" i="1"/>
  <c r="D738" i="1"/>
  <c r="E738" i="1"/>
  <c r="F738" i="1"/>
  <c r="C739" i="1"/>
  <c r="D739" i="1"/>
  <c r="E739" i="1"/>
  <c r="F739" i="1"/>
  <c r="C740" i="1"/>
  <c r="D740" i="1"/>
  <c r="E740" i="1"/>
  <c r="F740" i="1"/>
  <c r="C741" i="1"/>
  <c r="D741" i="1"/>
  <c r="E741" i="1"/>
  <c r="F741" i="1"/>
  <c r="C742" i="1"/>
  <c r="D742" i="1"/>
  <c r="E742" i="1"/>
  <c r="F742" i="1"/>
  <c r="C743" i="1"/>
  <c r="D743" i="1"/>
  <c r="E743" i="1"/>
  <c r="F743" i="1"/>
  <c r="C744" i="1"/>
  <c r="D744" i="1"/>
  <c r="E744" i="1"/>
  <c r="F744" i="1"/>
  <c r="C745" i="1"/>
  <c r="D745" i="1"/>
  <c r="E745" i="1"/>
  <c r="F745" i="1"/>
  <c r="C746" i="1"/>
  <c r="D746" i="1"/>
  <c r="E746" i="1"/>
  <c r="F746" i="1"/>
  <c r="C747" i="1"/>
  <c r="D747" i="1"/>
  <c r="E747" i="1"/>
  <c r="F747" i="1"/>
  <c r="C748" i="1"/>
  <c r="D748" i="1"/>
  <c r="E748" i="1"/>
  <c r="F748" i="1"/>
  <c r="C749" i="1"/>
  <c r="D749" i="1"/>
  <c r="E749" i="1"/>
  <c r="F749" i="1"/>
  <c r="C750" i="1"/>
  <c r="D750" i="1"/>
  <c r="E750" i="1"/>
  <c r="F750" i="1"/>
  <c r="C751" i="1"/>
  <c r="D751" i="1"/>
  <c r="E751" i="1"/>
  <c r="F751" i="1"/>
  <c r="C752" i="1"/>
  <c r="D752" i="1"/>
  <c r="E752" i="1"/>
  <c r="F752" i="1"/>
  <c r="C753" i="1"/>
  <c r="D753" i="1"/>
  <c r="E753" i="1"/>
  <c r="F753" i="1"/>
  <c r="C754" i="1"/>
  <c r="D754" i="1"/>
  <c r="E754" i="1"/>
  <c r="F754" i="1"/>
  <c r="C755" i="1"/>
  <c r="D755" i="1"/>
  <c r="E755" i="1"/>
  <c r="F755" i="1"/>
  <c r="C756" i="1"/>
  <c r="D756" i="1"/>
  <c r="E756" i="1"/>
  <c r="F756" i="1"/>
  <c r="C757" i="1"/>
  <c r="D757" i="1"/>
  <c r="E757" i="1"/>
  <c r="F757" i="1"/>
  <c r="C758" i="1"/>
  <c r="D758" i="1"/>
  <c r="E758" i="1"/>
  <c r="F758" i="1"/>
  <c r="C759" i="1"/>
  <c r="D759" i="1"/>
  <c r="E759" i="1"/>
  <c r="F759" i="1"/>
  <c r="C760" i="1"/>
  <c r="D760" i="1"/>
  <c r="E760" i="1"/>
  <c r="F760" i="1"/>
  <c r="C761" i="1"/>
  <c r="D761" i="1"/>
  <c r="E761" i="1"/>
  <c r="F761" i="1"/>
  <c r="C762" i="1"/>
  <c r="D762" i="1"/>
  <c r="E762" i="1"/>
  <c r="F762" i="1"/>
  <c r="C763" i="1"/>
  <c r="D763" i="1"/>
  <c r="E763" i="1"/>
  <c r="F763" i="1"/>
  <c r="C764" i="1"/>
  <c r="D764" i="1"/>
  <c r="E764" i="1"/>
  <c r="F764" i="1"/>
  <c r="C765" i="1"/>
  <c r="D765" i="1"/>
  <c r="E765" i="1"/>
  <c r="F765" i="1"/>
  <c r="C766" i="1"/>
  <c r="D766" i="1"/>
  <c r="E766" i="1"/>
  <c r="F766" i="1"/>
  <c r="C767" i="1"/>
  <c r="D767" i="1"/>
  <c r="E767" i="1"/>
  <c r="F767" i="1"/>
  <c r="C768" i="1"/>
  <c r="D768" i="1"/>
  <c r="E768" i="1"/>
  <c r="F768" i="1"/>
  <c r="C769" i="1"/>
  <c r="D769" i="1"/>
  <c r="E769" i="1"/>
  <c r="F769" i="1"/>
  <c r="C770" i="1"/>
  <c r="D770" i="1"/>
  <c r="E770" i="1"/>
  <c r="F770" i="1"/>
  <c r="C771" i="1"/>
  <c r="D771" i="1"/>
  <c r="E771" i="1"/>
  <c r="F771" i="1"/>
  <c r="C772" i="1"/>
  <c r="D772" i="1"/>
  <c r="E772" i="1"/>
  <c r="F772" i="1"/>
  <c r="C773" i="1"/>
  <c r="D773" i="1"/>
  <c r="E773" i="1"/>
  <c r="F773" i="1"/>
  <c r="C774" i="1"/>
  <c r="D774" i="1"/>
  <c r="E774" i="1"/>
  <c r="F774" i="1"/>
  <c r="C775" i="1"/>
  <c r="D775" i="1"/>
  <c r="E775" i="1"/>
  <c r="F775" i="1"/>
  <c r="C776" i="1"/>
  <c r="D776" i="1"/>
  <c r="E776" i="1"/>
  <c r="F776" i="1"/>
  <c r="C777" i="1"/>
  <c r="D777" i="1"/>
  <c r="E777" i="1"/>
  <c r="F777" i="1"/>
  <c r="C778" i="1"/>
  <c r="D778" i="1"/>
  <c r="E778" i="1"/>
  <c r="F778" i="1"/>
  <c r="C779" i="1"/>
  <c r="D779" i="1"/>
  <c r="E779" i="1"/>
  <c r="F779" i="1"/>
  <c r="C780" i="1"/>
  <c r="D780" i="1"/>
  <c r="E780" i="1"/>
  <c r="F780" i="1"/>
  <c r="C781" i="1"/>
  <c r="D781" i="1"/>
  <c r="E781" i="1"/>
  <c r="F781" i="1"/>
  <c r="C782" i="1"/>
  <c r="D782" i="1"/>
  <c r="E782" i="1"/>
  <c r="F782" i="1"/>
  <c r="C783" i="1"/>
  <c r="D783" i="1"/>
  <c r="E783" i="1"/>
  <c r="F783" i="1"/>
  <c r="C784" i="1"/>
  <c r="D784" i="1"/>
  <c r="E784" i="1"/>
  <c r="F784" i="1"/>
  <c r="C785" i="1"/>
  <c r="D785" i="1"/>
  <c r="E785" i="1"/>
  <c r="F785" i="1"/>
  <c r="C786" i="1"/>
  <c r="D786" i="1"/>
  <c r="E786" i="1"/>
  <c r="F786" i="1"/>
  <c r="C787" i="1"/>
  <c r="D787" i="1"/>
  <c r="E787" i="1"/>
  <c r="F787" i="1"/>
  <c r="C788" i="1"/>
  <c r="D788" i="1"/>
  <c r="E788" i="1"/>
  <c r="F788" i="1"/>
  <c r="C789" i="1"/>
  <c r="D789" i="1"/>
  <c r="E789" i="1"/>
  <c r="F789" i="1"/>
  <c r="C790" i="1"/>
  <c r="D790" i="1"/>
  <c r="E790" i="1"/>
  <c r="F790" i="1"/>
  <c r="C791" i="1"/>
  <c r="D791" i="1"/>
  <c r="E791" i="1"/>
  <c r="F791" i="1"/>
  <c r="C792" i="1"/>
  <c r="D792" i="1"/>
  <c r="E792" i="1"/>
  <c r="F792" i="1"/>
  <c r="C793" i="1"/>
  <c r="D793" i="1"/>
  <c r="E793" i="1"/>
  <c r="F793" i="1"/>
  <c r="C794" i="1"/>
  <c r="D794" i="1"/>
  <c r="E794" i="1"/>
  <c r="F794" i="1"/>
  <c r="C795" i="1"/>
  <c r="D795" i="1"/>
  <c r="E795" i="1"/>
  <c r="F795" i="1"/>
  <c r="C796" i="1"/>
  <c r="D796" i="1"/>
  <c r="E796" i="1"/>
  <c r="F796" i="1"/>
  <c r="C797" i="1"/>
  <c r="D797" i="1"/>
  <c r="E797" i="1"/>
  <c r="F797" i="1"/>
  <c r="C798" i="1"/>
  <c r="D798" i="1"/>
  <c r="E798" i="1"/>
  <c r="F798" i="1"/>
  <c r="C799" i="1"/>
  <c r="D799" i="1"/>
  <c r="E799" i="1"/>
  <c r="F799" i="1"/>
  <c r="C800" i="1"/>
  <c r="D800" i="1"/>
  <c r="E800" i="1"/>
  <c r="F800" i="1"/>
  <c r="C801" i="1"/>
  <c r="D801" i="1"/>
  <c r="E801" i="1"/>
  <c r="F801" i="1"/>
  <c r="C802" i="1"/>
  <c r="D802" i="1"/>
  <c r="E802" i="1"/>
  <c r="F802" i="1"/>
  <c r="C803" i="1"/>
  <c r="D803" i="1"/>
  <c r="E803" i="1"/>
  <c r="F803" i="1"/>
  <c r="C804" i="1"/>
  <c r="D804" i="1"/>
  <c r="E804" i="1"/>
  <c r="F804" i="1"/>
  <c r="C805" i="1"/>
  <c r="D805" i="1"/>
  <c r="E805" i="1"/>
  <c r="F805" i="1"/>
  <c r="C806" i="1"/>
  <c r="D806" i="1"/>
  <c r="E806" i="1"/>
  <c r="F806" i="1"/>
  <c r="C807" i="1"/>
  <c r="D807" i="1"/>
  <c r="E807" i="1"/>
  <c r="F807" i="1"/>
  <c r="C808" i="1"/>
  <c r="D808" i="1"/>
  <c r="E808" i="1"/>
  <c r="F808" i="1"/>
  <c r="C809" i="1"/>
  <c r="D809" i="1"/>
  <c r="E809" i="1"/>
  <c r="F809" i="1"/>
  <c r="C810" i="1"/>
  <c r="D810" i="1"/>
  <c r="E810" i="1"/>
  <c r="F810" i="1"/>
  <c r="C811" i="1"/>
  <c r="D811" i="1"/>
  <c r="E811" i="1"/>
  <c r="F811" i="1"/>
  <c r="C812" i="1"/>
  <c r="D812" i="1"/>
  <c r="E812" i="1"/>
  <c r="F812" i="1"/>
  <c r="C813" i="1"/>
  <c r="D813" i="1"/>
  <c r="E813" i="1"/>
  <c r="F813" i="1"/>
  <c r="C814" i="1"/>
  <c r="D814" i="1"/>
  <c r="E814" i="1"/>
  <c r="F814" i="1"/>
  <c r="C815" i="1"/>
  <c r="D815" i="1"/>
  <c r="E815" i="1"/>
  <c r="F815" i="1"/>
  <c r="C816" i="1"/>
  <c r="D816" i="1"/>
  <c r="E816" i="1"/>
  <c r="F816" i="1"/>
  <c r="C817" i="1"/>
  <c r="D817" i="1"/>
  <c r="E817" i="1"/>
  <c r="F817" i="1"/>
  <c r="C818" i="1"/>
  <c r="D818" i="1"/>
  <c r="E818" i="1"/>
  <c r="F818" i="1"/>
  <c r="C819" i="1"/>
  <c r="D819" i="1"/>
  <c r="E819" i="1"/>
  <c r="F819" i="1"/>
  <c r="C820" i="1"/>
  <c r="D820" i="1"/>
  <c r="E820" i="1"/>
  <c r="F820" i="1"/>
  <c r="C821" i="1"/>
  <c r="D821" i="1"/>
  <c r="E821" i="1"/>
  <c r="F821" i="1"/>
  <c r="C822" i="1"/>
  <c r="D822" i="1"/>
  <c r="E822" i="1"/>
  <c r="F822" i="1"/>
  <c r="C823" i="1"/>
  <c r="D823" i="1"/>
  <c r="E823" i="1"/>
  <c r="F823" i="1"/>
  <c r="C824" i="1"/>
  <c r="D824" i="1"/>
  <c r="E824" i="1"/>
  <c r="F824" i="1"/>
  <c r="C825" i="1"/>
  <c r="D825" i="1"/>
  <c r="E825" i="1"/>
  <c r="F825" i="1"/>
  <c r="C826" i="1"/>
  <c r="D826" i="1"/>
  <c r="E826" i="1"/>
  <c r="F826" i="1"/>
  <c r="C827" i="1"/>
  <c r="D827" i="1"/>
  <c r="E827" i="1"/>
  <c r="F827" i="1"/>
  <c r="C828" i="1"/>
  <c r="D828" i="1"/>
  <c r="E828" i="1"/>
  <c r="F828" i="1"/>
  <c r="C829" i="1"/>
  <c r="D829" i="1"/>
  <c r="E829" i="1"/>
  <c r="F829" i="1"/>
  <c r="C830" i="1"/>
  <c r="D830" i="1"/>
  <c r="E830" i="1"/>
  <c r="F830" i="1"/>
  <c r="C831" i="1"/>
  <c r="D831" i="1"/>
  <c r="E831" i="1"/>
  <c r="F831" i="1"/>
  <c r="C832" i="1"/>
  <c r="D832" i="1"/>
  <c r="E832" i="1"/>
  <c r="F832" i="1"/>
  <c r="C833" i="1"/>
  <c r="D833" i="1"/>
  <c r="E833" i="1"/>
  <c r="F833" i="1"/>
  <c r="C834" i="1"/>
  <c r="D834" i="1"/>
  <c r="E834" i="1"/>
  <c r="F834" i="1"/>
  <c r="C835" i="1"/>
  <c r="D835" i="1"/>
  <c r="E835" i="1"/>
  <c r="F835" i="1"/>
  <c r="C836" i="1"/>
  <c r="D836" i="1"/>
  <c r="E836" i="1"/>
  <c r="F836" i="1"/>
  <c r="C837" i="1"/>
  <c r="D837" i="1"/>
  <c r="E837" i="1"/>
  <c r="F837" i="1"/>
  <c r="C838" i="1"/>
  <c r="D838" i="1"/>
  <c r="E838" i="1"/>
  <c r="F838" i="1"/>
  <c r="C839" i="1"/>
  <c r="D839" i="1"/>
  <c r="E839" i="1"/>
  <c r="F839" i="1"/>
  <c r="C840" i="1"/>
  <c r="D840" i="1"/>
  <c r="E840" i="1"/>
  <c r="F840" i="1"/>
  <c r="C841" i="1"/>
  <c r="D841" i="1"/>
  <c r="E841" i="1"/>
  <c r="F841" i="1"/>
  <c r="C842" i="1"/>
  <c r="D842" i="1"/>
  <c r="E842" i="1"/>
  <c r="F842" i="1"/>
  <c r="C843" i="1"/>
  <c r="D843" i="1"/>
  <c r="E843" i="1"/>
  <c r="F843" i="1"/>
  <c r="C844" i="1"/>
  <c r="D844" i="1"/>
  <c r="E844" i="1"/>
  <c r="F844" i="1"/>
  <c r="C845" i="1"/>
  <c r="D845" i="1"/>
  <c r="E845" i="1"/>
  <c r="F845" i="1"/>
  <c r="C846" i="1"/>
  <c r="D846" i="1"/>
  <c r="E846" i="1"/>
  <c r="F846" i="1"/>
  <c r="C847" i="1"/>
  <c r="D847" i="1"/>
  <c r="E847" i="1"/>
  <c r="F847" i="1"/>
  <c r="C848" i="1"/>
  <c r="D848" i="1"/>
  <c r="E848" i="1"/>
  <c r="F848" i="1"/>
  <c r="C849" i="1"/>
  <c r="D849" i="1"/>
  <c r="E849" i="1"/>
  <c r="F849" i="1"/>
  <c r="C850" i="1"/>
  <c r="D850" i="1"/>
  <c r="E850" i="1"/>
  <c r="F850" i="1"/>
  <c r="C851" i="1"/>
  <c r="D851" i="1"/>
  <c r="E851" i="1"/>
  <c r="F851" i="1"/>
  <c r="C852" i="1"/>
  <c r="D852" i="1"/>
  <c r="E852" i="1"/>
  <c r="F852" i="1"/>
  <c r="C853" i="1"/>
  <c r="D853" i="1"/>
  <c r="E853" i="1"/>
  <c r="F853" i="1"/>
  <c r="C854" i="1"/>
  <c r="D854" i="1"/>
  <c r="E854" i="1"/>
  <c r="F854" i="1"/>
  <c r="C855" i="1"/>
  <c r="D855" i="1"/>
  <c r="E855" i="1"/>
  <c r="F855" i="1"/>
  <c r="C856" i="1"/>
  <c r="D856" i="1"/>
  <c r="E856" i="1"/>
  <c r="F856" i="1"/>
  <c r="C857" i="1"/>
  <c r="D857" i="1"/>
  <c r="E857" i="1"/>
  <c r="F857" i="1"/>
  <c r="C858" i="1"/>
  <c r="D858" i="1"/>
  <c r="E858" i="1"/>
  <c r="F858" i="1"/>
  <c r="C859" i="1"/>
  <c r="D859" i="1"/>
  <c r="E859" i="1"/>
  <c r="F859" i="1"/>
  <c r="C860" i="1"/>
  <c r="D860" i="1"/>
  <c r="E860" i="1"/>
  <c r="F860" i="1"/>
  <c r="C861" i="1"/>
  <c r="D861" i="1"/>
  <c r="E861" i="1"/>
  <c r="F861" i="1"/>
  <c r="C862" i="1"/>
  <c r="D862" i="1"/>
  <c r="E862" i="1"/>
  <c r="F862" i="1"/>
  <c r="C863" i="1"/>
  <c r="D863" i="1"/>
  <c r="E863" i="1"/>
  <c r="F863" i="1"/>
  <c r="C864" i="1"/>
  <c r="D864" i="1"/>
  <c r="E864" i="1"/>
  <c r="F864" i="1"/>
  <c r="C865" i="1"/>
  <c r="D865" i="1"/>
  <c r="E865" i="1"/>
  <c r="F865" i="1"/>
  <c r="C866" i="1"/>
  <c r="D866" i="1"/>
  <c r="E866" i="1"/>
  <c r="F866" i="1"/>
  <c r="C867" i="1"/>
  <c r="D867" i="1"/>
  <c r="E867" i="1"/>
  <c r="F867" i="1"/>
  <c r="C868" i="1"/>
  <c r="D868" i="1"/>
  <c r="E868" i="1"/>
  <c r="F868" i="1"/>
  <c r="C869" i="1"/>
  <c r="D869" i="1"/>
  <c r="E869" i="1"/>
  <c r="F869" i="1"/>
  <c r="C870" i="1"/>
  <c r="D870" i="1"/>
  <c r="E870" i="1"/>
  <c r="F870" i="1"/>
  <c r="C871" i="1"/>
  <c r="D871" i="1"/>
  <c r="E871" i="1"/>
  <c r="F871" i="1"/>
  <c r="C872" i="1"/>
  <c r="D872" i="1"/>
  <c r="E872" i="1"/>
  <c r="F872" i="1"/>
  <c r="C873" i="1"/>
  <c r="D873" i="1"/>
  <c r="E873" i="1"/>
  <c r="F873" i="1"/>
  <c r="C874" i="1"/>
  <c r="D874" i="1"/>
  <c r="E874" i="1"/>
  <c r="F874" i="1"/>
  <c r="C875" i="1"/>
  <c r="D875" i="1"/>
  <c r="E875" i="1"/>
  <c r="F875" i="1"/>
  <c r="C876" i="1"/>
  <c r="D876" i="1"/>
  <c r="E876" i="1"/>
  <c r="F876" i="1"/>
  <c r="C877" i="1"/>
  <c r="D877" i="1"/>
  <c r="E877" i="1"/>
  <c r="F877" i="1"/>
  <c r="C878" i="1"/>
  <c r="D878" i="1"/>
  <c r="E878" i="1"/>
  <c r="F878" i="1"/>
  <c r="C879" i="1"/>
  <c r="D879" i="1"/>
  <c r="E879" i="1"/>
  <c r="F879" i="1"/>
  <c r="C880" i="1"/>
  <c r="D880" i="1"/>
  <c r="E880" i="1"/>
  <c r="F880" i="1"/>
  <c r="C881" i="1"/>
  <c r="D881" i="1"/>
  <c r="E881" i="1"/>
  <c r="F881" i="1"/>
  <c r="C882" i="1"/>
  <c r="D882" i="1"/>
  <c r="E882" i="1"/>
  <c r="F882" i="1"/>
  <c r="C883" i="1"/>
  <c r="D883" i="1"/>
  <c r="E883" i="1"/>
  <c r="F883" i="1"/>
  <c r="C884" i="1"/>
  <c r="D884" i="1"/>
  <c r="E884" i="1"/>
  <c r="F884" i="1"/>
  <c r="C885" i="1"/>
  <c r="D885" i="1"/>
  <c r="E885" i="1"/>
  <c r="F885" i="1"/>
  <c r="C886" i="1"/>
  <c r="D886" i="1"/>
  <c r="E886" i="1"/>
  <c r="F886" i="1"/>
  <c r="C887" i="1"/>
  <c r="D887" i="1"/>
  <c r="E887" i="1"/>
  <c r="F887" i="1"/>
  <c r="C888" i="1"/>
  <c r="D888" i="1"/>
  <c r="E888" i="1"/>
  <c r="F888" i="1"/>
  <c r="C889" i="1"/>
  <c r="D889" i="1"/>
  <c r="E889" i="1"/>
  <c r="F889" i="1"/>
  <c r="C890" i="1"/>
  <c r="D890" i="1"/>
  <c r="E890" i="1"/>
  <c r="F890" i="1"/>
  <c r="C891" i="1"/>
  <c r="D891" i="1"/>
  <c r="E891" i="1"/>
  <c r="F891" i="1"/>
  <c r="C892" i="1"/>
  <c r="D892" i="1"/>
  <c r="E892" i="1"/>
  <c r="F892" i="1"/>
  <c r="C893" i="1"/>
  <c r="D893" i="1"/>
  <c r="E893" i="1"/>
  <c r="F893" i="1"/>
  <c r="C894" i="1"/>
  <c r="D894" i="1"/>
  <c r="E894" i="1"/>
  <c r="F894" i="1"/>
  <c r="C895" i="1"/>
  <c r="D895" i="1"/>
  <c r="E895" i="1"/>
  <c r="F895" i="1"/>
  <c r="C896" i="1"/>
  <c r="D896" i="1"/>
  <c r="E896" i="1"/>
  <c r="F896" i="1"/>
  <c r="C897" i="1"/>
  <c r="D897" i="1"/>
  <c r="E897" i="1"/>
  <c r="F897" i="1"/>
  <c r="C898" i="1"/>
  <c r="D898" i="1"/>
  <c r="E898" i="1"/>
  <c r="F898" i="1"/>
  <c r="C899" i="1"/>
  <c r="D899" i="1"/>
  <c r="E899" i="1"/>
  <c r="F899" i="1"/>
  <c r="C900" i="1"/>
  <c r="D900" i="1"/>
  <c r="E900" i="1"/>
  <c r="F900" i="1"/>
  <c r="C901" i="1"/>
  <c r="D901" i="1"/>
  <c r="E901" i="1"/>
  <c r="F901" i="1"/>
  <c r="C902" i="1"/>
  <c r="D902" i="1"/>
  <c r="E902" i="1"/>
  <c r="F902" i="1"/>
  <c r="C903" i="1"/>
  <c r="D903" i="1"/>
  <c r="E903" i="1"/>
  <c r="F903" i="1"/>
  <c r="C904" i="1"/>
  <c r="D904" i="1"/>
  <c r="E904" i="1"/>
  <c r="F904" i="1"/>
  <c r="C905" i="1"/>
  <c r="D905" i="1"/>
  <c r="E905" i="1"/>
  <c r="F905" i="1"/>
  <c r="C906" i="1"/>
  <c r="D906" i="1"/>
  <c r="E906" i="1"/>
  <c r="F906" i="1"/>
  <c r="C907" i="1"/>
  <c r="D907" i="1"/>
  <c r="E907" i="1"/>
  <c r="F907" i="1"/>
  <c r="C908" i="1"/>
  <c r="D908" i="1"/>
  <c r="E908" i="1"/>
  <c r="F908" i="1"/>
  <c r="C909" i="1"/>
  <c r="D909" i="1"/>
  <c r="E909" i="1"/>
  <c r="F909" i="1"/>
  <c r="C910" i="1"/>
  <c r="D910" i="1"/>
  <c r="E910" i="1"/>
  <c r="F910" i="1"/>
  <c r="C911" i="1"/>
  <c r="D911" i="1"/>
  <c r="E911" i="1"/>
  <c r="F911" i="1"/>
  <c r="C912" i="1"/>
  <c r="D912" i="1"/>
  <c r="E912" i="1"/>
  <c r="F912" i="1"/>
  <c r="C913" i="1"/>
  <c r="D913" i="1"/>
  <c r="E913" i="1"/>
  <c r="F913" i="1"/>
  <c r="C914" i="1"/>
  <c r="D914" i="1"/>
  <c r="E914" i="1"/>
  <c r="F914" i="1"/>
  <c r="C915" i="1"/>
  <c r="D915" i="1"/>
  <c r="E915" i="1"/>
  <c r="F915" i="1"/>
  <c r="C916" i="1"/>
  <c r="D916" i="1"/>
  <c r="E916" i="1"/>
  <c r="F916" i="1"/>
  <c r="C917" i="1"/>
  <c r="D917" i="1"/>
  <c r="E917" i="1"/>
  <c r="F917" i="1"/>
  <c r="C918" i="1"/>
  <c r="D918" i="1"/>
  <c r="E918" i="1"/>
  <c r="F918" i="1"/>
  <c r="C919" i="1"/>
  <c r="D919" i="1"/>
  <c r="E919" i="1"/>
  <c r="F919" i="1"/>
  <c r="C920" i="1"/>
  <c r="D920" i="1"/>
  <c r="E920" i="1"/>
  <c r="F920" i="1"/>
  <c r="C921" i="1"/>
  <c r="D921" i="1"/>
  <c r="E921" i="1"/>
  <c r="F921" i="1"/>
  <c r="C922" i="1"/>
  <c r="D922" i="1"/>
  <c r="E922" i="1"/>
  <c r="F922" i="1"/>
  <c r="C923" i="1"/>
  <c r="D923" i="1"/>
  <c r="E923" i="1"/>
  <c r="F923" i="1"/>
  <c r="C924" i="1"/>
  <c r="D924" i="1"/>
  <c r="E924" i="1"/>
  <c r="F924" i="1"/>
  <c r="C925" i="1"/>
  <c r="D925" i="1"/>
  <c r="E925" i="1"/>
  <c r="F925" i="1"/>
  <c r="C926" i="1"/>
  <c r="D926" i="1"/>
  <c r="E926" i="1"/>
  <c r="F926" i="1"/>
  <c r="C927" i="1"/>
  <c r="D927" i="1"/>
  <c r="E927" i="1"/>
  <c r="F927" i="1"/>
  <c r="C928" i="1"/>
  <c r="D928" i="1"/>
  <c r="E928" i="1"/>
  <c r="F928" i="1"/>
  <c r="C929" i="1"/>
  <c r="D929" i="1"/>
  <c r="E929" i="1"/>
  <c r="F929" i="1"/>
  <c r="C930" i="1"/>
  <c r="D930" i="1"/>
  <c r="E930" i="1"/>
  <c r="F930" i="1"/>
  <c r="C931" i="1"/>
  <c r="D931" i="1"/>
  <c r="E931" i="1"/>
  <c r="F931" i="1"/>
  <c r="C932" i="1"/>
  <c r="D932" i="1"/>
  <c r="E932" i="1"/>
  <c r="F932" i="1"/>
  <c r="C933" i="1"/>
  <c r="D933" i="1"/>
  <c r="E933" i="1"/>
  <c r="F933" i="1"/>
  <c r="C934" i="1"/>
  <c r="D934" i="1"/>
  <c r="E934" i="1"/>
  <c r="F934" i="1"/>
  <c r="C935" i="1"/>
  <c r="D935" i="1"/>
  <c r="E935" i="1"/>
  <c r="F935" i="1"/>
  <c r="C936" i="1"/>
  <c r="D936" i="1"/>
  <c r="E936" i="1"/>
  <c r="F936" i="1"/>
  <c r="C937" i="1"/>
  <c r="D937" i="1"/>
  <c r="E937" i="1"/>
  <c r="F937" i="1"/>
  <c r="C938" i="1"/>
  <c r="D938" i="1"/>
  <c r="E938" i="1"/>
  <c r="F938" i="1"/>
  <c r="C939" i="1"/>
  <c r="D939" i="1"/>
  <c r="E939" i="1"/>
  <c r="F939" i="1"/>
  <c r="C940" i="1"/>
  <c r="D940" i="1"/>
  <c r="E940" i="1"/>
  <c r="F940" i="1"/>
  <c r="C941" i="1"/>
  <c r="D941" i="1"/>
  <c r="E941" i="1"/>
  <c r="F941" i="1"/>
  <c r="C942" i="1"/>
  <c r="D942" i="1"/>
  <c r="E942" i="1"/>
  <c r="F942" i="1"/>
  <c r="C943" i="1"/>
  <c r="D943" i="1"/>
  <c r="E943" i="1"/>
  <c r="F943" i="1"/>
  <c r="C944" i="1"/>
  <c r="D944" i="1"/>
  <c r="E944" i="1"/>
  <c r="F944" i="1"/>
  <c r="C945" i="1"/>
  <c r="D945" i="1"/>
  <c r="E945" i="1"/>
  <c r="F945" i="1"/>
  <c r="C946" i="1"/>
  <c r="D946" i="1"/>
  <c r="E946" i="1"/>
  <c r="F946" i="1"/>
  <c r="C947" i="1"/>
  <c r="D947" i="1"/>
  <c r="E947" i="1"/>
  <c r="F947" i="1"/>
  <c r="C948" i="1"/>
  <c r="D948" i="1"/>
  <c r="E948" i="1"/>
  <c r="F948" i="1"/>
  <c r="C949" i="1"/>
  <c r="D949" i="1"/>
  <c r="E949" i="1"/>
  <c r="F949" i="1"/>
  <c r="C950" i="1"/>
  <c r="D950" i="1"/>
  <c r="E950" i="1"/>
  <c r="F950" i="1"/>
  <c r="C951" i="1"/>
  <c r="D951" i="1"/>
  <c r="E951" i="1"/>
  <c r="F951" i="1"/>
  <c r="C952" i="1"/>
  <c r="D952" i="1"/>
  <c r="E952" i="1"/>
  <c r="F952" i="1"/>
  <c r="C953" i="1"/>
  <c r="D953" i="1"/>
  <c r="E953" i="1"/>
  <c r="F953" i="1"/>
  <c r="C954" i="1"/>
  <c r="D954" i="1"/>
  <c r="E954" i="1"/>
  <c r="F954" i="1"/>
  <c r="C955" i="1"/>
  <c r="D955" i="1"/>
  <c r="E955" i="1"/>
  <c r="F955" i="1"/>
  <c r="C956" i="1"/>
  <c r="D956" i="1"/>
  <c r="E956" i="1"/>
  <c r="F956" i="1"/>
  <c r="C957" i="1"/>
  <c r="D957" i="1"/>
  <c r="E957" i="1"/>
  <c r="F957" i="1"/>
  <c r="C958" i="1"/>
  <c r="D958" i="1"/>
  <c r="E958" i="1"/>
  <c r="F958" i="1"/>
  <c r="C959" i="1"/>
  <c r="D959" i="1"/>
  <c r="E959" i="1"/>
  <c r="F959" i="1"/>
  <c r="C960" i="1"/>
  <c r="D960" i="1"/>
  <c r="E960" i="1"/>
  <c r="F960" i="1"/>
  <c r="C961" i="1"/>
  <c r="D961" i="1"/>
  <c r="E961" i="1"/>
  <c r="F961" i="1"/>
  <c r="C962" i="1"/>
  <c r="D962" i="1"/>
  <c r="E962" i="1"/>
  <c r="F962" i="1"/>
  <c r="C963" i="1"/>
  <c r="D963" i="1"/>
  <c r="E963" i="1"/>
  <c r="F963" i="1"/>
  <c r="C964" i="1"/>
  <c r="D964" i="1"/>
  <c r="E964" i="1"/>
  <c r="F964" i="1"/>
  <c r="C965" i="1"/>
  <c r="D965" i="1"/>
  <c r="E965" i="1"/>
  <c r="F965" i="1"/>
  <c r="C966" i="1"/>
  <c r="D966" i="1"/>
  <c r="E966" i="1"/>
  <c r="F966" i="1"/>
  <c r="C967" i="1"/>
  <c r="D967" i="1"/>
  <c r="E967" i="1"/>
  <c r="F967" i="1"/>
  <c r="C968" i="1"/>
  <c r="D968" i="1"/>
  <c r="E968" i="1"/>
  <c r="F968" i="1"/>
  <c r="C969" i="1"/>
  <c r="D969" i="1"/>
  <c r="E969" i="1"/>
  <c r="F969" i="1"/>
  <c r="C970" i="1"/>
  <c r="D970" i="1"/>
  <c r="E970" i="1"/>
  <c r="F970" i="1"/>
  <c r="C971" i="1"/>
  <c r="D971" i="1"/>
  <c r="E971" i="1"/>
  <c r="F971" i="1"/>
  <c r="C972" i="1"/>
  <c r="D972" i="1"/>
  <c r="E972" i="1"/>
  <c r="F972" i="1"/>
  <c r="C973" i="1"/>
  <c r="D973" i="1"/>
  <c r="E973" i="1"/>
  <c r="F973" i="1"/>
  <c r="C974" i="1"/>
  <c r="D974" i="1"/>
  <c r="E974" i="1"/>
  <c r="F974" i="1"/>
  <c r="C975" i="1"/>
  <c r="D975" i="1"/>
  <c r="E975" i="1"/>
  <c r="F975" i="1"/>
  <c r="C976" i="1"/>
  <c r="D976" i="1"/>
  <c r="E976" i="1"/>
  <c r="F976" i="1"/>
  <c r="C977" i="1"/>
  <c r="D977" i="1"/>
  <c r="E977" i="1"/>
  <c r="F977" i="1"/>
  <c r="C978" i="1"/>
  <c r="D978" i="1"/>
  <c r="E978" i="1"/>
  <c r="F978" i="1"/>
  <c r="C979" i="1"/>
  <c r="D979" i="1"/>
  <c r="E979" i="1"/>
  <c r="F979" i="1"/>
  <c r="C980" i="1"/>
  <c r="D980" i="1"/>
  <c r="E980" i="1"/>
  <c r="F980" i="1"/>
  <c r="C981" i="1"/>
  <c r="D981" i="1"/>
  <c r="E981" i="1"/>
  <c r="F981" i="1"/>
  <c r="C982" i="1"/>
  <c r="D982" i="1"/>
  <c r="E982" i="1"/>
  <c r="F982" i="1"/>
  <c r="C983" i="1"/>
  <c r="D983" i="1"/>
  <c r="E983" i="1"/>
  <c r="F983" i="1"/>
  <c r="C984" i="1"/>
  <c r="D984" i="1"/>
  <c r="E984" i="1"/>
  <c r="F984" i="1"/>
  <c r="C985" i="1"/>
  <c r="D985" i="1"/>
  <c r="E985" i="1"/>
  <c r="F985" i="1"/>
  <c r="C986" i="1"/>
  <c r="D986" i="1"/>
  <c r="E986" i="1"/>
  <c r="F986" i="1"/>
  <c r="C987" i="1"/>
  <c r="D987" i="1"/>
  <c r="E987" i="1"/>
  <c r="F987" i="1"/>
  <c r="C988" i="1"/>
  <c r="D988" i="1"/>
  <c r="E988" i="1"/>
  <c r="F988" i="1"/>
  <c r="C989" i="1"/>
  <c r="D989" i="1"/>
  <c r="E989" i="1"/>
  <c r="F989" i="1"/>
  <c r="C990" i="1"/>
  <c r="D990" i="1"/>
  <c r="E990" i="1"/>
  <c r="F990" i="1"/>
  <c r="C991" i="1"/>
  <c r="D991" i="1"/>
  <c r="E991" i="1"/>
  <c r="F991" i="1"/>
  <c r="C992" i="1"/>
  <c r="D992" i="1"/>
  <c r="E992" i="1"/>
  <c r="F992" i="1"/>
  <c r="C993" i="1"/>
  <c r="D993" i="1"/>
  <c r="E993" i="1"/>
  <c r="F993" i="1"/>
  <c r="C994" i="1"/>
  <c r="D994" i="1"/>
  <c r="E994" i="1"/>
  <c r="F994" i="1"/>
  <c r="C995" i="1"/>
  <c r="D995" i="1"/>
  <c r="E995" i="1"/>
  <c r="F995" i="1"/>
  <c r="C996" i="1"/>
  <c r="D996" i="1"/>
  <c r="E996" i="1"/>
  <c r="F996" i="1"/>
  <c r="C997" i="1"/>
  <c r="D997" i="1"/>
  <c r="E997" i="1"/>
  <c r="F997" i="1"/>
  <c r="C998" i="1"/>
  <c r="D998" i="1"/>
  <c r="E998" i="1"/>
  <c r="F998" i="1"/>
  <c r="C999" i="1"/>
  <c r="D999" i="1"/>
  <c r="E999" i="1"/>
  <c r="F999" i="1"/>
  <c r="C1000" i="1"/>
  <c r="D1000" i="1"/>
  <c r="E1000" i="1"/>
  <c r="F1000" i="1"/>
  <c r="C1001" i="1"/>
  <c r="D1001" i="1"/>
  <c r="E1001" i="1"/>
  <c r="F1001" i="1"/>
  <c r="C1002" i="1"/>
  <c r="D1002" i="1"/>
  <c r="E1002" i="1"/>
  <c r="F1002" i="1"/>
  <c r="C1003" i="1"/>
  <c r="D1003" i="1"/>
  <c r="E1003" i="1"/>
  <c r="F1003" i="1"/>
  <c r="C1004" i="1"/>
  <c r="D1004" i="1"/>
  <c r="E1004" i="1"/>
  <c r="F1004" i="1"/>
  <c r="C1005" i="1"/>
  <c r="D1005" i="1"/>
  <c r="E1005" i="1"/>
  <c r="F1005" i="1"/>
  <c r="C1006" i="1"/>
  <c r="D1006" i="1"/>
  <c r="E1006" i="1"/>
  <c r="F1006" i="1"/>
  <c r="C1007" i="1"/>
  <c r="D1007" i="1"/>
  <c r="E1007" i="1"/>
  <c r="F1007" i="1"/>
  <c r="C1008" i="1"/>
  <c r="D1008" i="1"/>
  <c r="E1008" i="1"/>
  <c r="F1008" i="1"/>
  <c r="C1009" i="1"/>
  <c r="D1009" i="1"/>
  <c r="E1009" i="1"/>
  <c r="F1009" i="1"/>
  <c r="C1010" i="1"/>
  <c r="D1010" i="1"/>
  <c r="E1010" i="1"/>
  <c r="F1010" i="1"/>
  <c r="C1011" i="1"/>
  <c r="D1011" i="1"/>
  <c r="E1011" i="1"/>
  <c r="F1011" i="1"/>
  <c r="C1012" i="1"/>
  <c r="D1012" i="1"/>
  <c r="E1012" i="1"/>
  <c r="F1012" i="1"/>
  <c r="C1013" i="1"/>
  <c r="D1013" i="1"/>
  <c r="E1013" i="1"/>
  <c r="F1013" i="1"/>
  <c r="C1014" i="1"/>
  <c r="D1014" i="1"/>
  <c r="E1014" i="1"/>
  <c r="F1014" i="1"/>
  <c r="C1015" i="1"/>
  <c r="D1015" i="1"/>
  <c r="E1015" i="1"/>
  <c r="F1015" i="1"/>
  <c r="C1016" i="1"/>
  <c r="D1016" i="1"/>
  <c r="E1016" i="1"/>
  <c r="F1016" i="1"/>
  <c r="C1017" i="1"/>
  <c r="D1017" i="1"/>
  <c r="E1017" i="1"/>
  <c r="F1017" i="1"/>
  <c r="C1018" i="1"/>
  <c r="D1018" i="1"/>
  <c r="E1018" i="1"/>
  <c r="F1018" i="1"/>
  <c r="C1019" i="1"/>
  <c r="D1019" i="1"/>
  <c r="E1019" i="1"/>
  <c r="F1019" i="1"/>
  <c r="C1020" i="1"/>
  <c r="D1020" i="1"/>
  <c r="E1020" i="1"/>
  <c r="F1020" i="1"/>
  <c r="C1021" i="1"/>
  <c r="D1021" i="1"/>
  <c r="E1021" i="1"/>
  <c r="F1021" i="1"/>
  <c r="C1022" i="1"/>
  <c r="D1022" i="1"/>
  <c r="E1022" i="1"/>
  <c r="F1022" i="1"/>
  <c r="C1023" i="1"/>
  <c r="D1023" i="1"/>
  <c r="E1023" i="1"/>
  <c r="F1023" i="1"/>
  <c r="C1024" i="1"/>
  <c r="D1024" i="1"/>
  <c r="E1024" i="1"/>
  <c r="F1024" i="1"/>
  <c r="C1025" i="1"/>
  <c r="D1025" i="1"/>
  <c r="E1025" i="1"/>
  <c r="F1025" i="1"/>
  <c r="C1026" i="1"/>
  <c r="D1026" i="1"/>
  <c r="E1026" i="1"/>
  <c r="F1026" i="1"/>
  <c r="C1027" i="1"/>
  <c r="D1027" i="1"/>
  <c r="E1027" i="1"/>
  <c r="F1027" i="1"/>
  <c r="C1028" i="1"/>
  <c r="D1028" i="1"/>
  <c r="E1028" i="1"/>
  <c r="F1028" i="1"/>
  <c r="C1029" i="1"/>
  <c r="D1029" i="1"/>
  <c r="E1029" i="1"/>
  <c r="F1029" i="1"/>
  <c r="C1030" i="1"/>
  <c r="D1030" i="1"/>
  <c r="E1030" i="1"/>
  <c r="F1030" i="1"/>
  <c r="C1031" i="1"/>
  <c r="D1031" i="1"/>
  <c r="E1031" i="1"/>
  <c r="F1031" i="1"/>
  <c r="C1032" i="1"/>
  <c r="D1032" i="1"/>
  <c r="E1032" i="1"/>
  <c r="F1032" i="1"/>
  <c r="C1033" i="1"/>
  <c r="D1033" i="1"/>
  <c r="E1033" i="1"/>
  <c r="F1033" i="1"/>
  <c r="C1034" i="1"/>
  <c r="D1034" i="1"/>
  <c r="E1034" i="1"/>
  <c r="F1034" i="1"/>
  <c r="C1035" i="1"/>
  <c r="D1035" i="1"/>
  <c r="E1035" i="1"/>
  <c r="F1035" i="1"/>
  <c r="C1036" i="1"/>
  <c r="D1036" i="1"/>
  <c r="E1036" i="1"/>
  <c r="F1036" i="1"/>
  <c r="C1037" i="1"/>
  <c r="D1037" i="1"/>
  <c r="E1037" i="1"/>
  <c r="F1037" i="1"/>
  <c r="C1038" i="1"/>
  <c r="D1038" i="1"/>
  <c r="E1038" i="1"/>
  <c r="F1038" i="1"/>
  <c r="C1039" i="1"/>
  <c r="D1039" i="1"/>
  <c r="E1039" i="1"/>
  <c r="F1039" i="1"/>
  <c r="C1040" i="1"/>
  <c r="D1040" i="1"/>
  <c r="E1040" i="1"/>
  <c r="F1040" i="1"/>
  <c r="C1041" i="1"/>
  <c r="D1041" i="1"/>
  <c r="E1041" i="1"/>
  <c r="F1041" i="1"/>
  <c r="C1042" i="1"/>
  <c r="D1042" i="1"/>
  <c r="E1042" i="1"/>
  <c r="F1042" i="1"/>
  <c r="C1043" i="1"/>
  <c r="D1043" i="1"/>
  <c r="E1043" i="1"/>
  <c r="F1043" i="1"/>
  <c r="C1044" i="1"/>
  <c r="D1044" i="1"/>
  <c r="E1044" i="1"/>
  <c r="F1044" i="1"/>
  <c r="C1045" i="1"/>
  <c r="D1045" i="1"/>
  <c r="E1045" i="1"/>
  <c r="F1045" i="1"/>
  <c r="C1046" i="1"/>
  <c r="D1046" i="1"/>
  <c r="E1046" i="1"/>
  <c r="F1046" i="1"/>
  <c r="C1047" i="1"/>
  <c r="D1047" i="1"/>
  <c r="E1047" i="1"/>
  <c r="F1047" i="1"/>
  <c r="C1048" i="1"/>
  <c r="D1048" i="1"/>
  <c r="E1048" i="1"/>
  <c r="F1048" i="1"/>
  <c r="C1049" i="1"/>
  <c r="D1049" i="1"/>
  <c r="E1049" i="1"/>
  <c r="F1049" i="1"/>
  <c r="C1050" i="1"/>
  <c r="D1050" i="1"/>
  <c r="E1050" i="1"/>
  <c r="F1050" i="1"/>
  <c r="C1051" i="1"/>
  <c r="D1051" i="1"/>
  <c r="E1051" i="1"/>
  <c r="F1051" i="1"/>
  <c r="C1052" i="1"/>
  <c r="D1052" i="1"/>
  <c r="E1052" i="1"/>
  <c r="F1052" i="1"/>
  <c r="C1053" i="1"/>
  <c r="D1053" i="1"/>
  <c r="E1053" i="1"/>
  <c r="F1053" i="1"/>
  <c r="C1054" i="1"/>
  <c r="D1054" i="1"/>
  <c r="E1054" i="1"/>
  <c r="F1054" i="1"/>
  <c r="C1055" i="1"/>
  <c r="D1055" i="1"/>
  <c r="E1055" i="1"/>
  <c r="F1055" i="1"/>
  <c r="C1056" i="1"/>
  <c r="D1056" i="1"/>
  <c r="E1056" i="1"/>
  <c r="F1056" i="1"/>
  <c r="C1057" i="1"/>
  <c r="D1057" i="1"/>
  <c r="E1057" i="1"/>
  <c r="F1057" i="1"/>
  <c r="C1058" i="1"/>
  <c r="D1058" i="1"/>
  <c r="E1058" i="1"/>
  <c r="F1058" i="1"/>
  <c r="C1059" i="1"/>
  <c r="D1059" i="1"/>
  <c r="E1059" i="1"/>
  <c r="F1059" i="1"/>
  <c r="C1060" i="1"/>
  <c r="D1060" i="1"/>
  <c r="E1060" i="1"/>
  <c r="F1060" i="1"/>
  <c r="C1061" i="1"/>
  <c r="D1061" i="1"/>
  <c r="E1061" i="1"/>
  <c r="F1061" i="1"/>
  <c r="C1062" i="1"/>
  <c r="D1062" i="1"/>
  <c r="E1062" i="1"/>
  <c r="F1062" i="1"/>
  <c r="C1063" i="1"/>
  <c r="D1063" i="1"/>
  <c r="E1063" i="1"/>
  <c r="F1063" i="1"/>
  <c r="C1064" i="1"/>
  <c r="D1064" i="1"/>
  <c r="E1064" i="1"/>
  <c r="F1064" i="1"/>
  <c r="C1065" i="1"/>
  <c r="D1065" i="1"/>
  <c r="E1065" i="1"/>
  <c r="F1065" i="1"/>
  <c r="C1066" i="1"/>
  <c r="D1066" i="1"/>
  <c r="E1066" i="1"/>
  <c r="F1066" i="1"/>
  <c r="C1067" i="1"/>
  <c r="D1067" i="1"/>
  <c r="E1067" i="1"/>
  <c r="F1067" i="1"/>
  <c r="C1068" i="1"/>
  <c r="D1068" i="1"/>
  <c r="E1068" i="1"/>
  <c r="F1068" i="1"/>
  <c r="C1069" i="1"/>
  <c r="D1069" i="1"/>
  <c r="E1069" i="1"/>
  <c r="F1069" i="1"/>
  <c r="C1070" i="1"/>
  <c r="D1070" i="1"/>
  <c r="E1070" i="1"/>
  <c r="F1070" i="1"/>
  <c r="C1071" i="1"/>
  <c r="D1071" i="1"/>
  <c r="E1071" i="1"/>
  <c r="F1071" i="1"/>
  <c r="C1072" i="1"/>
  <c r="D1072" i="1"/>
  <c r="E1072" i="1"/>
  <c r="F1072" i="1"/>
  <c r="C1073" i="1"/>
  <c r="D1073" i="1"/>
  <c r="E1073" i="1"/>
  <c r="F1073" i="1"/>
  <c r="C1074" i="1"/>
  <c r="D1074" i="1"/>
  <c r="E1074" i="1"/>
  <c r="F1074" i="1"/>
  <c r="C1075" i="1"/>
  <c r="D1075" i="1"/>
  <c r="E1075" i="1"/>
  <c r="F1075" i="1"/>
  <c r="C1076" i="1"/>
  <c r="D1076" i="1"/>
  <c r="E1076" i="1"/>
  <c r="F1076" i="1"/>
  <c r="C1077" i="1"/>
  <c r="D1077" i="1"/>
  <c r="E1077" i="1"/>
  <c r="F1077" i="1"/>
  <c r="C1078" i="1"/>
  <c r="D1078" i="1"/>
  <c r="E1078" i="1"/>
  <c r="F1078" i="1"/>
  <c r="C1079" i="1"/>
  <c r="D1079" i="1"/>
  <c r="E1079" i="1"/>
  <c r="F1079" i="1"/>
  <c r="C1080" i="1"/>
  <c r="D1080" i="1"/>
  <c r="E1080" i="1"/>
  <c r="F1080" i="1"/>
  <c r="C1081" i="1"/>
  <c r="D1081" i="1"/>
  <c r="E1081" i="1"/>
  <c r="F1081" i="1"/>
  <c r="C1082" i="1"/>
  <c r="D1082" i="1"/>
  <c r="E1082" i="1"/>
  <c r="F1082" i="1"/>
  <c r="C1083" i="1"/>
  <c r="D1083" i="1"/>
  <c r="E1083" i="1"/>
  <c r="F1083" i="1"/>
  <c r="C1084" i="1"/>
  <c r="D1084" i="1"/>
  <c r="E1084" i="1"/>
  <c r="F1084" i="1"/>
  <c r="C1085" i="1"/>
  <c r="D1085" i="1"/>
  <c r="E1085" i="1"/>
  <c r="F1085" i="1"/>
  <c r="C1086" i="1"/>
  <c r="D1086" i="1"/>
  <c r="E1086" i="1"/>
  <c r="F1086" i="1"/>
  <c r="C1087" i="1"/>
  <c r="D1087" i="1"/>
  <c r="E1087" i="1"/>
  <c r="F1087" i="1"/>
  <c r="C1088" i="1"/>
  <c r="D1088" i="1"/>
  <c r="E1088" i="1"/>
  <c r="F1088" i="1"/>
  <c r="C1089" i="1"/>
  <c r="D1089" i="1"/>
  <c r="E1089" i="1"/>
  <c r="F1089" i="1"/>
  <c r="C1090" i="1"/>
  <c r="D1090" i="1"/>
  <c r="E1090" i="1"/>
  <c r="F1090" i="1"/>
  <c r="C1091" i="1"/>
  <c r="D1091" i="1"/>
  <c r="E1091" i="1"/>
  <c r="F1091" i="1"/>
  <c r="C1092" i="1"/>
  <c r="D1092" i="1"/>
  <c r="E1092" i="1"/>
  <c r="F1092" i="1"/>
  <c r="C1093" i="1"/>
  <c r="D1093" i="1"/>
  <c r="E1093" i="1"/>
  <c r="F1093" i="1"/>
  <c r="C1094" i="1"/>
  <c r="D1094" i="1"/>
  <c r="E1094" i="1"/>
  <c r="F1094" i="1"/>
  <c r="C1095" i="1"/>
  <c r="D1095" i="1"/>
  <c r="E1095" i="1"/>
  <c r="F1095" i="1"/>
  <c r="C1096" i="1"/>
  <c r="D1096" i="1"/>
  <c r="E1096" i="1"/>
  <c r="F1096" i="1"/>
  <c r="C1097" i="1"/>
  <c r="D1097" i="1"/>
  <c r="E1097" i="1"/>
  <c r="F1097" i="1"/>
  <c r="C1098" i="1"/>
  <c r="D1098" i="1"/>
  <c r="E1098" i="1"/>
  <c r="F1098" i="1"/>
  <c r="C1099" i="1"/>
  <c r="D1099" i="1"/>
  <c r="E1099" i="1"/>
  <c r="F1099" i="1"/>
  <c r="C1100" i="1"/>
  <c r="D1100" i="1"/>
  <c r="E1100" i="1"/>
  <c r="F1100" i="1"/>
  <c r="C1101" i="1"/>
  <c r="D1101" i="1"/>
  <c r="E1101" i="1"/>
  <c r="F1101" i="1"/>
  <c r="C1102" i="1"/>
  <c r="D1102" i="1"/>
  <c r="E1102" i="1"/>
  <c r="F1102" i="1"/>
  <c r="C1103" i="1"/>
  <c r="D1103" i="1"/>
  <c r="E1103" i="1"/>
  <c r="F1103" i="1"/>
  <c r="C1104" i="1"/>
  <c r="D1104" i="1"/>
  <c r="E1104" i="1"/>
  <c r="F1104" i="1"/>
  <c r="C1105" i="1"/>
  <c r="D1105" i="1"/>
  <c r="E1105" i="1"/>
  <c r="F1105" i="1"/>
  <c r="C1106" i="1"/>
  <c r="D1106" i="1"/>
  <c r="E1106" i="1"/>
  <c r="F1106" i="1"/>
  <c r="C1107" i="1"/>
  <c r="D1107" i="1"/>
  <c r="E1107" i="1"/>
  <c r="F1107" i="1"/>
  <c r="C1108" i="1"/>
  <c r="D1108" i="1"/>
  <c r="E1108" i="1"/>
  <c r="F1108" i="1"/>
  <c r="C1109" i="1"/>
  <c r="D1109" i="1"/>
  <c r="E1109" i="1"/>
  <c r="F1109" i="1"/>
  <c r="C1110" i="1"/>
  <c r="D1110" i="1"/>
  <c r="E1110" i="1"/>
  <c r="F1110" i="1"/>
  <c r="C1111" i="1"/>
  <c r="D1111" i="1"/>
  <c r="E1111" i="1"/>
  <c r="F1111" i="1"/>
  <c r="C1112" i="1"/>
  <c r="D1112" i="1"/>
  <c r="E1112" i="1"/>
  <c r="F1112" i="1"/>
  <c r="C1113" i="1"/>
  <c r="D1113" i="1"/>
  <c r="E1113" i="1"/>
  <c r="F1113" i="1"/>
  <c r="C1114" i="1"/>
  <c r="D1114" i="1"/>
  <c r="E1114" i="1"/>
  <c r="F1114" i="1"/>
  <c r="C1115" i="1"/>
  <c r="D1115" i="1"/>
  <c r="E1115" i="1"/>
  <c r="F1115" i="1"/>
  <c r="C1116" i="1"/>
  <c r="D1116" i="1"/>
  <c r="E1116" i="1"/>
  <c r="F1116" i="1"/>
  <c r="C1117" i="1"/>
  <c r="D1117" i="1"/>
  <c r="E1117" i="1"/>
  <c r="F1117" i="1"/>
  <c r="C1118" i="1"/>
  <c r="D1118" i="1"/>
  <c r="E1118" i="1"/>
  <c r="F1118" i="1"/>
  <c r="C1119" i="1"/>
  <c r="D1119" i="1"/>
  <c r="E1119" i="1"/>
  <c r="F1119" i="1"/>
  <c r="C1120" i="1"/>
  <c r="D1120" i="1"/>
  <c r="E1120" i="1"/>
  <c r="F1120" i="1"/>
  <c r="C1121" i="1"/>
  <c r="D1121" i="1"/>
  <c r="E1121" i="1"/>
  <c r="F1121" i="1"/>
  <c r="C1122" i="1"/>
  <c r="D1122" i="1"/>
  <c r="E1122" i="1"/>
  <c r="F1122" i="1"/>
  <c r="C1123" i="1"/>
  <c r="D1123" i="1"/>
  <c r="E1123" i="1"/>
  <c r="F1123" i="1"/>
  <c r="C1124" i="1"/>
  <c r="D1124" i="1"/>
  <c r="E1124" i="1"/>
  <c r="F1124" i="1"/>
  <c r="C1125" i="1"/>
  <c r="D1125" i="1"/>
  <c r="E1125" i="1"/>
  <c r="F1125" i="1"/>
  <c r="C1126" i="1"/>
  <c r="D1126" i="1"/>
  <c r="E1126" i="1"/>
  <c r="F1126" i="1"/>
  <c r="C1127" i="1"/>
  <c r="D1127" i="1"/>
  <c r="E1127" i="1"/>
  <c r="F1127" i="1"/>
  <c r="C1128" i="1"/>
  <c r="D1128" i="1"/>
  <c r="E1128" i="1"/>
  <c r="F1128" i="1"/>
  <c r="C1129" i="1"/>
  <c r="D1129" i="1"/>
  <c r="E1129" i="1"/>
  <c r="F1129" i="1"/>
  <c r="C1130" i="1"/>
  <c r="D1130" i="1"/>
  <c r="E1130" i="1"/>
  <c r="F1130" i="1"/>
  <c r="C1131" i="1"/>
  <c r="D1131" i="1"/>
  <c r="E1131" i="1"/>
  <c r="F1131" i="1"/>
  <c r="C1132" i="1"/>
  <c r="D1132" i="1"/>
  <c r="E1132" i="1"/>
  <c r="F1132" i="1"/>
  <c r="C1133" i="1"/>
  <c r="D1133" i="1"/>
  <c r="E1133" i="1"/>
  <c r="F1133" i="1"/>
  <c r="C1134" i="1"/>
  <c r="D1134" i="1"/>
  <c r="E1134" i="1"/>
  <c r="F1134" i="1"/>
  <c r="C1135" i="1"/>
  <c r="D1135" i="1"/>
  <c r="E1135" i="1"/>
  <c r="F1135" i="1"/>
  <c r="C1136" i="1"/>
  <c r="D1136" i="1"/>
  <c r="E1136" i="1"/>
  <c r="F1136" i="1"/>
  <c r="C1137" i="1"/>
  <c r="D1137" i="1"/>
  <c r="E1137" i="1"/>
  <c r="F1137" i="1"/>
  <c r="C1138" i="1"/>
  <c r="D1138" i="1"/>
  <c r="E1138" i="1"/>
  <c r="F1138" i="1"/>
  <c r="C1139" i="1"/>
  <c r="D1139" i="1"/>
  <c r="E1139" i="1"/>
  <c r="F1139" i="1"/>
  <c r="C1140" i="1"/>
  <c r="D1140" i="1"/>
  <c r="E1140" i="1"/>
  <c r="F1140" i="1"/>
  <c r="C1141" i="1"/>
  <c r="D1141" i="1"/>
  <c r="E1141" i="1"/>
  <c r="F1141" i="1"/>
  <c r="C1142" i="1"/>
  <c r="D1142" i="1"/>
  <c r="E1142" i="1"/>
  <c r="F1142" i="1"/>
  <c r="C1143" i="1"/>
  <c r="D1143" i="1"/>
  <c r="E1143" i="1"/>
  <c r="F1143" i="1"/>
  <c r="C1144" i="1"/>
  <c r="D1144" i="1"/>
  <c r="E1144" i="1"/>
  <c r="F1144" i="1"/>
  <c r="C1145" i="1"/>
  <c r="D1145" i="1"/>
  <c r="E1145" i="1"/>
  <c r="F1145" i="1"/>
  <c r="C1146" i="1"/>
  <c r="D1146" i="1"/>
  <c r="E1146" i="1"/>
  <c r="F1146" i="1"/>
  <c r="C1147" i="1"/>
  <c r="D1147" i="1"/>
  <c r="E1147" i="1"/>
  <c r="F1147" i="1"/>
  <c r="C1148" i="1"/>
  <c r="D1148" i="1"/>
  <c r="E1148" i="1"/>
  <c r="F1148" i="1"/>
  <c r="C1149" i="1"/>
  <c r="D1149" i="1"/>
  <c r="E1149" i="1"/>
  <c r="F1149" i="1"/>
  <c r="C1150" i="1"/>
  <c r="D1150" i="1"/>
  <c r="E1150" i="1"/>
  <c r="F1150" i="1"/>
  <c r="C1151" i="1"/>
  <c r="D1151" i="1"/>
  <c r="E1151" i="1"/>
  <c r="F1151" i="1"/>
  <c r="C1152" i="1"/>
  <c r="D1152" i="1"/>
  <c r="E1152" i="1"/>
  <c r="F1152" i="1"/>
  <c r="C1153" i="1"/>
  <c r="D1153" i="1"/>
  <c r="E1153" i="1"/>
  <c r="F1153" i="1"/>
  <c r="C1154" i="1"/>
  <c r="D1154" i="1"/>
  <c r="E1154" i="1"/>
  <c r="F1154" i="1"/>
  <c r="C1155" i="1"/>
  <c r="D1155" i="1"/>
  <c r="E1155" i="1"/>
  <c r="F1155" i="1"/>
  <c r="C1156" i="1"/>
  <c r="D1156" i="1"/>
  <c r="E1156" i="1"/>
  <c r="F1156" i="1"/>
  <c r="C1157" i="1"/>
  <c r="D1157" i="1"/>
  <c r="E1157" i="1"/>
  <c r="F1157" i="1"/>
  <c r="C1158" i="1"/>
  <c r="D1158" i="1"/>
  <c r="E1158" i="1"/>
  <c r="F1158" i="1"/>
  <c r="C1159" i="1"/>
  <c r="D1159" i="1"/>
  <c r="E1159" i="1"/>
  <c r="F1159" i="1"/>
  <c r="C1160" i="1"/>
  <c r="D1160" i="1"/>
  <c r="E1160" i="1"/>
  <c r="F1160" i="1"/>
  <c r="C1161" i="1"/>
  <c r="D1161" i="1"/>
  <c r="E1161" i="1"/>
  <c r="F1161" i="1"/>
  <c r="C1162" i="1"/>
  <c r="D1162" i="1"/>
  <c r="E1162" i="1"/>
  <c r="F1162" i="1"/>
  <c r="C1163" i="1"/>
  <c r="D1163" i="1"/>
  <c r="E1163" i="1"/>
  <c r="F1163" i="1"/>
  <c r="C1164" i="1"/>
  <c r="D1164" i="1"/>
  <c r="E1164" i="1"/>
  <c r="F1164" i="1"/>
  <c r="C1165" i="1"/>
  <c r="D1165" i="1"/>
  <c r="E1165" i="1"/>
  <c r="F1165" i="1"/>
  <c r="C1166" i="1"/>
  <c r="D1166" i="1"/>
  <c r="E1166" i="1"/>
  <c r="F1166" i="1"/>
  <c r="C1167" i="1"/>
  <c r="D1167" i="1"/>
  <c r="E1167" i="1"/>
  <c r="F1167" i="1"/>
  <c r="C1168" i="1"/>
  <c r="D1168" i="1"/>
  <c r="E1168" i="1"/>
  <c r="F1168" i="1"/>
  <c r="C1169" i="1"/>
  <c r="D1169" i="1"/>
  <c r="E1169" i="1"/>
  <c r="F1169" i="1"/>
  <c r="C1170" i="1"/>
  <c r="D1170" i="1"/>
  <c r="E1170" i="1"/>
  <c r="F1170" i="1"/>
  <c r="C1171" i="1"/>
  <c r="D1171" i="1"/>
  <c r="E1171" i="1"/>
  <c r="F1171" i="1"/>
  <c r="C1172" i="1"/>
  <c r="D1172" i="1"/>
  <c r="E1172" i="1"/>
  <c r="F1172" i="1"/>
  <c r="C1173" i="1"/>
  <c r="D1173" i="1"/>
  <c r="E1173" i="1"/>
  <c r="F1173" i="1"/>
  <c r="C1174" i="1"/>
  <c r="D1174" i="1"/>
  <c r="E1174" i="1"/>
  <c r="F1174" i="1"/>
  <c r="C1175" i="1"/>
  <c r="D1175" i="1"/>
  <c r="E1175" i="1"/>
  <c r="F1175" i="1"/>
  <c r="C1176" i="1"/>
  <c r="D1176" i="1"/>
  <c r="E1176" i="1"/>
  <c r="F1176" i="1"/>
  <c r="C1177" i="1"/>
  <c r="D1177" i="1"/>
  <c r="E1177" i="1"/>
  <c r="F1177" i="1"/>
  <c r="C1178" i="1"/>
  <c r="D1178" i="1"/>
  <c r="E1178" i="1"/>
  <c r="F1178" i="1"/>
  <c r="C1179" i="1"/>
  <c r="D1179" i="1"/>
  <c r="E1179" i="1"/>
  <c r="F1179" i="1"/>
  <c r="C1180" i="1"/>
  <c r="D1180" i="1"/>
  <c r="E1180" i="1"/>
  <c r="F1180" i="1"/>
  <c r="C1181" i="1"/>
  <c r="D1181" i="1"/>
  <c r="E1181" i="1"/>
  <c r="F1181" i="1"/>
  <c r="C1182" i="1"/>
  <c r="D1182" i="1"/>
  <c r="E1182" i="1"/>
  <c r="F1182" i="1"/>
  <c r="C1183" i="1"/>
  <c r="D1183" i="1"/>
  <c r="E1183" i="1"/>
  <c r="F1183" i="1"/>
  <c r="C1184" i="1"/>
  <c r="D1184" i="1"/>
  <c r="E1184" i="1"/>
  <c r="F1184" i="1"/>
  <c r="C1185" i="1"/>
  <c r="D1185" i="1"/>
  <c r="E1185" i="1"/>
  <c r="F1185" i="1"/>
  <c r="C1186" i="1"/>
  <c r="D1186" i="1"/>
  <c r="E1186" i="1"/>
  <c r="F1186" i="1"/>
  <c r="C1187" i="1"/>
  <c r="D1187" i="1"/>
  <c r="E1187" i="1"/>
  <c r="F1187" i="1"/>
  <c r="C1188" i="1"/>
  <c r="D1188" i="1"/>
  <c r="E1188" i="1"/>
  <c r="F1188" i="1"/>
  <c r="C1189" i="1"/>
  <c r="D1189" i="1"/>
  <c r="E1189" i="1"/>
  <c r="F1189" i="1"/>
  <c r="C1190" i="1"/>
  <c r="D1190" i="1"/>
  <c r="E1190" i="1"/>
  <c r="F1190" i="1"/>
  <c r="C1191" i="1"/>
  <c r="D1191" i="1"/>
  <c r="E1191" i="1"/>
  <c r="F1191" i="1"/>
  <c r="C1192" i="1"/>
  <c r="D1192" i="1"/>
  <c r="E1192" i="1"/>
  <c r="F1192" i="1"/>
  <c r="C1193" i="1"/>
  <c r="D1193" i="1"/>
  <c r="E1193" i="1"/>
  <c r="F1193" i="1"/>
  <c r="C1194" i="1"/>
  <c r="D1194" i="1"/>
  <c r="E1194" i="1"/>
  <c r="F1194" i="1"/>
  <c r="C1195" i="1"/>
  <c r="D1195" i="1"/>
  <c r="E1195" i="1"/>
  <c r="F1195" i="1"/>
  <c r="C1196" i="1"/>
  <c r="D1196" i="1"/>
  <c r="E1196" i="1"/>
  <c r="F1196" i="1"/>
  <c r="C1197" i="1"/>
  <c r="D1197" i="1"/>
  <c r="E1197" i="1"/>
  <c r="F1197" i="1"/>
  <c r="C1198" i="1"/>
  <c r="D1198" i="1"/>
  <c r="E1198" i="1"/>
  <c r="F1198" i="1"/>
  <c r="C1199" i="1"/>
  <c r="D1199" i="1"/>
  <c r="E1199" i="1"/>
  <c r="F1199" i="1"/>
  <c r="C1200" i="1"/>
  <c r="D1200" i="1"/>
  <c r="E1200" i="1"/>
  <c r="F1200" i="1"/>
  <c r="C1201" i="1"/>
  <c r="D1201" i="1"/>
  <c r="E1201" i="1"/>
  <c r="F1201" i="1"/>
  <c r="C1202" i="1"/>
  <c r="D1202" i="1"/>
  <c r="E1202" i="1"/>
  <c r="F1202" i="1"/>
  <c r="C1203" i="1"/>
  <c r="D1203" i="1"/>
  <c r="E1203" i="1"/>
  <c r="F1203" i="1"/>
  <c r="C1204" i="1"/>
  <c r="D1204" i="1"/>
  <c r="E1204" i="1"/>
  <c r="F1204" i="1"/>
  <c r="C1205" i="1"/>
  <c r="D1205" i="1"/>
  <c r="E1205" i="1"/>
  <c r="F1205" i="1"/>
  <c r="C1206" i="1"/>
  <c r="D1206" i="1"/>
  <c r="E1206" i="1"/>
  <c r="F1206" i="1"/>
  <c r="C1207" i="1"/>
  <c r="D1207" i="1"/>
  <c r="E1207" i="1"/>
  <c r="F1207" i="1"/>
  <c r="C1208" i="1"/>
  <c r="D1208" i="1"/>
  <c r="E1208" i="1"/>
  <c r="F1208" i="1"/>
  <c r="C1209" i="1"/>
  <c r="D1209" i="1"/>
  <c r="E1209" i="1"/>
  <c r="F1209" i="1"/>
  <c r="C1210" i="1"/>
  <c r="D1210" i="1"/>
  <c r="E1210" i="1"/>
  <c r="F1210" i="1"/>
  <c r="C1211" i="1"/>
  <c r="D1211" i="1"/>
  <c r="E1211" i="1"/>
  <c r="F1211" i="1"/>
  <c r="C1212" i="1"/>
  <c r="D1212" i="1"/>
  <c r="E1212" i="1"/>
  <c r="F1212" i="1"/>
  <c r="C1213" i="1"/>
  <c r="D1213" i="1"/>
  <c r="E1213" i="1"/>
  <c r="F1213" i="1"/>
  <c r="C1214" i="1"/>
  <c r="D1214" i="1"/>
  <c r="E1214" i="1"/>
  <c r="F1214" i="1"/>
  <c r="C1215" i="1"/>
  <c r="D1215" i="1"/>
  <c r="E1215" i="1"/>
  <c r="F1215" i="1"/>
  <c r="C1216" i="1"/>
  <c r="D1216" i="1"/>
  <c r="E1216" i="1"/>
  <c r="F1216" i="1"/>
  <c r="C1217" i="1"/>
  <c r="D1217" i="1"/>
  <c r="E1217" i="1"/>
  <c r="F1217" i="1"/>
  <c r="C1218" i="1"/>
  <c r="D1218" i="1"/>
  <c r="E1218" i="1"/>
  <c r="F1218" i="1"/>
  <c r="C1219" i="1"/>
  <c r="D1219" i="1"/>
  <c r="E1219" i="1"/>
  <c r="F1219" i="1"/>
  <c r="C1220" i="1"/>
  <c r="D1220" i="1"/>
  <c r="E1220" i="1"/>
  <c r="F1220" i="1"/>
  <c r="C1221" i="1"/>
  <c r="D1221" i="1"/>
  <c r="E1221" i="1"/>
  <c r="F1221" i="1"/>
  <c r="C1222" i="1"/>
  <c r="D1222" i="1"/>
  <c r="E1222" i="1"/>
  <c r="F1222" i="1"/>
  <c r="C1223" i="1"/>
  <c r="D1223" i="1"/>
  <c r="E1223" i="1"/>
  <c r="F1223" i="1"/>
  <c r="C1224" i="1"/>
  <c r="D1224" i="1"/>
  <c r="E1224" i="1"/>
  <c r="F1224" i="1"/>
  <c r="C1225" i="1"/>
  <c r="D1225" i="1"/>
  <c r="E1225" i="1"/>
  <c r="F1225" i="1"/>
  <c r="C1226" i="1"/>
  <c r="D1226" i="1"/>
  <c r="E1226" i="1"/>
  <c r="F1226" i="1"/>
  <c r="C1227" i="1"/>
  <c r="D1227" i="1"/>
  <c r="E1227" i="1"/>
  <c r="F1227" i="1"/>
  <c r="C1228" i="1"/>
  <c r="D1228" i="1"/>
  <c r="E1228" i="1"/>
  <c r="F1228" i="1"/>
  <c r="C1229" i="1"/>
  <c r="D1229" i="1"/>
  <c r="E1229" i="1"/>
  <c r="F1229" i="1"/>
  <c r="C1230" i="1"/>
  <c r="D1230" i="1"/>
  <c r="E1230" i="1"/>
  <c r="F1230" i="1"/>
  <c r="C1231" i="1"/>
  <c r="D1231" i="1"/>
  <c r="E1231" i="1"/>
  <c r="F1231" i="1"/>
  <c r="C1232" i="1"/>
  <c r="D1232" i="1"/>
  <c r="E1232" i="1"/>
  <c r="F1232" i="1"/>
  <c r="C1233" i="1"/>
  <c r="D1233" i="1"/>
  <c r="E1233" i="1"/>
  <c r="F1233" i="1"/>
  <c r="C1234" i="1"/>
  <c r="D1234" i="1"/>
  <c r="E1234" i="1"/>
  <c r="F1234" i="1"/>
  <c r="C1235" i="1"/>
  <c r="D1235" i="1"/>
  <c r="E1235" i="1"/>
  <c r="F1235" i="1"/>
  <c r="C1236" i="1"/>
  <c r="D1236" i="1"/>
  <c r="E1236" i="1"/>
  <c r="F1236" i="1"/>
  <c r="C1237" i="1"/>
  <c r="D1237" i="1"/>
  <c r="E1237" i="1"/>
  <c r="F1237" i="1"/>
  <c r="C1238" i="1"/>
  <c r="D1238" i="1"/>
  <c r="E1238" i="1"/>
  <c r="F1238" i="1"/>
  <c r="C1239" i="1"/>
  <c r="D1239" i="1"/>
  <c r="E1239" i="1"/>
  <c r="F1239" i="1"/>
  <c r="C1240" i="1"/>
  <c r="D1240" i="1"/>
  <c r="E1240" i="1"/>
  <c r="F1240" i="1"/>
  <c r="C1241" i="1"/>
  <c r="D1241" i="1"/>
  <c r="E1241" i="1"/>
  <c r="F1241" i="1"/>
  <c r="C1242" i="1"/>
  <c r="D1242" i="1"/>
  <c r="E1242" i="1"/>
  <c r="F1242" i="1"/>
  <c r="C1243" i="1"/>
  <c r="D1243" i="1"/>
  <c r="E1243" i="1"/>
  <c r="F1243" i="1"/>
  <c r="C1244" i="1"/>
  <c r="D1244" i="1"/>
  <c r="E1244" i="1"/>
  <c r="F1244" i="1"/>
  <c r="C1245" i="1"/>
  <c r="D1245" i="1"/>
  <c r="E1245" i="1"/>
  <c r="F1245" i="1"/>
  <c r="C1246" i="1"/>
  <c r="D1246" i="1"/>
  <c r="E1246" i="1"/>
  <c r="F1246" i="1"/>
  <c r="C1247" i="1"/>
  <c r="D1247" i="1"/>
  <c r="E1247" i="1"/>
  <c r="F1247" i="1"/>
  <c r="C1248" i="1"/>
  <c r="D1248" i="1"/>
  <c r="E1248" i="1"/>
  <c r="F1248" i="1"/>
  <c r="C1249" i="1"/>
  <c r="D1249" i="1"/>
  <c r="E1249" i="1"/>
  <c r="F1249" i="1"/>
  <c r="C1250" i="1"/>
  <c r="D1250" i="1"/>
  <c r="E1250" i="1"/>
  <c r="F1250" i="1"/>
  <c r="C1251" i="1"/>
  <c r="D1251" i="1"/>
  <c r="E1251" i="1"/>
  <c r="F1251" i="1"/>
  <c r="C1252" i="1"/>
  <c r="D1252" i="1"/>
  <c r="E1252" i="1"/>
  <c r="F1252" i="1"/>
  <c r="C1253" i="1"/>
  <c r="D1253" i="1"/>
  <c r="E1253" i="1"/>
  <c r="F1253" i="1"/>
  <c r="C1254" i="1"/>
  <c r="D1254" i="1"/>
  <c r="E1254" i="1"/>
  <c r="F1254" i="1"/>
  <c r="C1255" i="1"/>
  <c r="D1255" i="1"/>
  <c r="E1255" i="1"/>
  <c r="F1255" i="1"/>
  <c r="C1256" i="1"/>
  <c r="D1256" i="1"/>
  <c r="E1256" i="1"/>
  <c r="F1256" i="1"/>
  <c r="C1257" i="1"/>
  <c r="D1257" i="1"/>
  <c r="E1257" i="1"/>
  <c r="F1257" i="1"/>
  <c r="C1258" i="1"/>
  <c r="D1258" i="1"/>
  <c r="E1258" i="1"/>
  <c r="F1258" i="1"/>
  <c r="C1259" i="1"/>
  <c r="D1259" i="1"/>
  <c r="E1259" i="1"/>
  <c r="F1259" i="1"/>
  <c r="C1260" i="1"/>
  <c r="D1260" i="1"/>
  <c r="E1260" i="1"/>
  <c r="F1260" i="1"/>
  <c r="C1261" i="1"/>
  <c r="D1261" i="1"/>
  <c r="E1261" i="1"/>
  <c r="F1261" i="1"/>
  <c r="C1262" i="1"/>
  <c r="D1262" i="1"/>
  <c r="E1262" i="1"/>
  <c r="F1262" i="1"/>
  <c r="C1263" i="1"/>
  <c r="D1263" i="1"/>
  <c r="E1263" i="1"/>
  <c r="F1263" i="1"/>
  <c r="C1264" i="1"/>
  <c r="D1264" i="1"/>
  <c r="E1264" i="1"/>
  <c r="F1264" i="1"/>
  <c r="C1265" i="1"/>
  <c r="D1265" i="1"/>
  <c r="E1265" i="1"/>
  <c r="F1265" i="1"/>
  <c r="C1266" i="1"/>
  <c r="D1266" i="1"/>
  <c r="E1266" i="1"/>
  <c r="F1266" i="1"/>
  <c r="C1267" i="1"/>
  <c r="D1267" i="1"/>
  <c r="E1267" i="1"/>
  <c r="F1267" i="1"/>
  <c r="C1268" i="1"/>
  <c r="D1268" i="1"/>
  <c r="E1268" i="1"/>
  <c r="F1268" i="1"/>
  <c r="C1269" i="1"/>
  <c r="D1269" i="1"/>
  <c r="E1269" i="1"/>
  <c r="F1269" i="1"/>
  <c r="C1270" i="1"/>
  <c r="D1270" i="1"/>
  <c r="E1270" i="1"/>
  <c r="F1270" i="1"/>
  <c r="C1271" i="1"/>
  <c r="D1271" i="1"/>
  <c r="E1271" i="1"/>
  <c r="F1271" i="1"/>
  <c r="C1272" i="1"/>
  <c r="D1272" i="1"/>
  <c r="E1272" i="1"/>
  <c r="F1272" i="1"/>
  <c r="C1273" i="1"/>
  <c r="D1273" i="1"/>
  <c r="E1273" i="1"/>
  <c r="F1273" i="1"/>
  <c r="C1274" i="1"/>
  <c r="D1274" i="1"/>
  <c r="E1274" i="1"/>
  <c r="F1274" i="1"/>
  <c r="C1275" i="1"/>
  <c r="D1275" i="1"/>
  <c r="E1275" i="1"/>
  <c r="F1275" i="1"/>
  <c r="C1276" i="1"/>
  <c r="D1276" i="1"/>
  <c r="E1276" i="1"/>
  <c r="F1276" i="1"/>
  <c r="C1277" i="1"/>
  <c r="D1277" i="1"/>
  <c r="E1277" i="1"/>
  <c r="F1277" i="1"/>
  <c r="C1278" i="1"/>
  <c r="D1278" i="1"/>
  <c r="E1278" i="1"/>
  <c r="F1278" i="1"/>
  <c r="C1279" i="1"/>
  <c r="D1279" i="1"/>
  <c r="E1279" i="1"/>
  <c r="F1279" i="1"/>
  <c r="C1280" i="1"/>
  <c r="D1280" i="1"/>
  <c r="E1280" i="1"/>
  <c r="F1280" i="1"/>
  <c r="C1281" i="1"/>
  <c r="D1281" i="1"/>
  <c r="E1281" i="1"/>
  <c r="F1281" i="1"/>
  <c r="C1282" i="1"/>
  <c r="D1282" i="1"/>
  <c r="E1282" i="1"/>
  <c r="F1282" i="1"/>
  <c r="C1283" i="1"/>
  <c r="D1283" i="1"/>
  <c r="E1283" i="1"/>
  <c r="F1283" i="1"/>
  <c r="C1284" i="1"/>
  <c r="D1284" i="1"/>
  <c r="E1284" i="1"/>
  <c r="F1284" i="1"/>
  <c r="C1285" i="1"/>
  <c r="D1285" i="1"/>
  <c r="E1285" i="1"/>
  <c r="F1285" i="1"/>
  <c r="C1286" i="1"/>
  <c r="D1286" i="1"/>
  <c r="E1286" i="1"/>
  <c r="F1286" i="1"/>
  <c r="C1287" i="1"/>
  <c r="D1287" i="1"/>
  <c r="E1287" i="1"/>
  <c r="F1287" i="1"/>
  <c r="C1288" i="1"/>
  <c r="D1288" i="1"/>
  <c r="E1288" i="1"/>
  <c r="F1288" i="1"/>
  <c r="C1289" i="1"/>
  <c r="D1289" i="1"/>
  <c r="E1289" i="1"/>
  <c r="F1289" i="1"/>
  <c r="C1290" i="1"/>
  <c r="D1290" i="1"/>
  <c r="E1290" i="1"/>
  <c r="F1290" i="1"/>
  <c r="C1291" i="1"/>
  <c r="D1291" i="1"/>
  <c r="E1291" i="1"/>
  <c r="F1291" i="1"/>
  <c r="C1292" i="1"/>
  <c r="D1292" i="1"/>
  <c r="E1292" i="1"/>
  <c r="F1292" i="1"/>
  <c r="C1293" i="1"/>
  <c r="D1293" i="1"/>
  <c r="E1293" i="1"/>
  <c r="F1293" i="1"/>
  <c r="C1294" i="1"/>
  <c r="D1294" i="1"/>
  <c r="E1294" i="1"/>
  <c r="F1294" i="1"/>
  <c r="C1295" i="1"/>
  <c r="D1295" i="1"/>
  <c r="E1295" i="1"/>
  <c r="F1295" i="1"/>
  <c r="C1296" i="1"/>
  <c r="D1296" i="1"/>
  <c r="E1296" i="1"/>
  <c r="F1296" i="1"/>
  <c r="C1297" i="1"/>
  <c r="D1297" i="1"/>
  <c r="E1297" i="1"/>
  <c r="F1297" i="1"/>
  <c r="C1298" i="1"/>
  <c r="D1298" i="1"/>
  <c r="E1298" i="1"/>
  <c r="F1298" i="1"/>
  <c r="C1299" i="1"/>
  <c r="D1299" i="1"/>
  <c r="E1299" i="1"/>
  <c r="F1299" i="1"/>
  <c r="C1300" i="1"/>
  <c r="D1300" i="1"/>
  <c r="E1300" i="1"/>
  <c r="F1300" i="1"/>
  <c r="C1301" i="1"/>
  <c r="D1301" i="1"/>
  <c r="E1301" i="1"/>
  <c r="F1301" i="1"/>
  <c r="C1302" i="1"/>
  <c r="D1302" i="1"/>
  <c r="E1302" i="1"/>
  <c r="F1302" i="1"/>
  <c r="C1303" i="1"/>
  <c r="D1303" i="1"/>
  <c r="E1303" i="1"/>
  <c r="F1303" i="1"/>
  <c r="C1304" i="1"/>
  <c r="D1304" i="1"/>
  <c r="E1304" i="1"/>
  <c r="F1304" i="1"/>
  <c r="C1305" i="1"/>
  <c r="D1305" i="1"/>
  <c r="E1305" i="1"/>
  <c r="F1305" i="1"/>
  <c r="C1306" i="1"/>
  <c r="D1306" i="1"/>
  <c r="E1306" i="1"/>
  <c r="F1306" i="1"/>
  <c r="C1307" i="1"/>
  <c r="D1307" i="1"/>
  <c r="E1307" i="1"/>
  <c r="F1307" i="1"/>
  <c r="C1308" i="1"/>
  <c r="D1308" i="1"/>
  <c r="E1308" i="1"/>
  <c r="F1308" i="1"/>
  <c r="C1309" i="1"/>
  <c r="D1309" i="1"/>
  <c r="E1309" i="1"/>
  <c r="F1309" i="1"/>
  <c r="C1310" i="1"/>
  <c r="D1310" i="1"/>
  <c r="E1310" i="1"/>
  <c r="F1310" i="1"/>
  <c r="C1311" i="1"/>
  <c r="D1311" i="1"/>
  <c r="E1311" i="1"/>
  <c r="F1311" i="1"/>
  <c r="C1312" i="1"/>
  <c r="D1312" i="1"/>
  <c r="E1312" i="1"/>
  <c r="F1312" i="1"/>
  <c r="C1313" i="1"/>
  <c r="D1313" i="1"/>
  <c r="E1313" i="1"/>
  <c r="F1313" i="1"/>
  <c r="C1314" i="1"/>
  <c r="D1314" i="1"/>
  <c r="E1314" i="1"/>
  <c r="F1314" i="1"/>
  <c r="C1315" i="1"/>
  <c r="D1315" i="1"/>
  <c r="E1315" i="1"/>
  <c r="F1315" i="1"/>
  <c r="C1316" i="1"/>
  <c r="D1316" i="1"/>
  <c r="E1316" i="1"/>
  <c r="F1316" i="1"/>
  <c r="C1317" i="1"/>
  <c r="D1317" i="1"/>
  <c r="E1317" i="1"/>
  <c r="F1317" i="1"/>
  <c r="C1318" i="1"/>
  <c r="D1318" i="1"/>
  <c r="E1318" i="1"/>
  <c r="F1318" i="1"/>
  <c r="C1319" i="1"/>
  <c r="D1319" i="1"/>
  <c r="E1319" i="1"/>
  <c r="F1319" i="1"/>
  <c r="C1320" i="1"/>
  <c r="D1320" i="1"/>
  <c r="E1320" i="1"/>
  <c r="F1320" i="1"/>
  <c r="C1321" i="1"/>
  <c r="D1321" i="1"/>
  <c r="E1321" i="1"/>
  <c r="F1321" i="1"/>
  <c r="C1322" i="1"/>
  <c r="D1322" i="1"/>
  <c r="E1322" i="1"/>
  <c r="F1322" i="1"/>
  <c r="C1323" i="1"/>
  <c r="D1323" i="1"/>
  <c r="E1323" i="1"/>
  <c r="F1323" i="1"/>
  <c r="C1324" i="1"/>
  <c r="D1324" i="1"/>
  <c r="E1324" i="1"/>
  <c r="F1324" i="1"/>
  <c r="C1325" i="1"/>
  <c r="D1325" i="1"/>
  <c r="E1325" i="1"/>
  <c r="F1325" i="1"/>
  <c r="C1326" i="1"/>
  <c r="D1326" i="1"/>
  <c r="E1326" i="1"/>
  <c r="F1326" i="1"/>
  <c r="C1327" i="1"/>
  <c r="D1327" i="1"/>
  <c r="E1327" i="1"/>
  <c r="F1327" i="1"/>
  <c r="C1328" i="1"/>
  <c r="D1328" i="1"/>
  <c r="E1328" i="1"/>
  <c r="F1328" i="1"/>
  <c r="C1329" i="1"/>
  <c r="D1329" i="1"/>
  <c r="E1329" i="1"/>
  <c r="F1329" i="1"/>
  <c r="C1330" i="1"/>
  <c r="D1330" i="1"/>
  <c r="E1330" i="1"/>
  <c r="F1330" i="1"/>
  <c r="C1331" i="1"/>
  <c r="D1331" i="1"/>
  <c r="E1331" i="1"/>
  <c r="F1331" i="1"/>
  <c r="C1332" i="1"/>
  <c r="D1332" i="1"/>
  <c r="E1332" i="1"/>
  <c r="F1332" i="1"/>
  <c r="C1333" i="1"/>
  <c r="D1333" i="1"/>
  <c r="E1333" i="1"/>
  <c r="F1333" i="1"/>
  <c r="C1334" i="1"/>
  <c r="D1334" i="1"/>
  <c r="E1334" i="1"/>
  <c r="F1334" i="1"/>
  <c r="C1335" i="1"/>
  <c r="D1335" i="1"/>
  <c r="E1335" i="1"/>
  <c r="F1335" i="1"/>
  <c r="C1336" i="1"/>
  <c r="D1336" i="1"/>
  <c r="E1336" i="1"/>
  <c r="F1336" i="1"/>
  <c r="C1337" i="1"/>
  <c r="D1337" i="1"/>
  <c r="E1337" i="1"/>
  <c r="F1337" i="1"/>
  <c r="C1338" i="1"/>
  <c r="D1338" i="1"/>
  <c r="E1338" i="1"/>
  <c r="F1338" i="1"/>
  <c r="C1339" i="1"/>
  <c r="D1339" i="1"/>
  <c r="E1339" i="1"/>
  <c r="F1339" i="1"/>
  <c r="C1340" i="1"/>
  <c r="D1340" i="1"/>
  <c r="E1340" i="1"/>
  <c r="F1340" i="1"/>
  <c r="C1341" i="1"/>
  <c r="D1341" i="1"/>
  <c r="E1341" i="1"/>
  <c r="F1341" i="1"/>
  <c r="C1342" i="1"/>
  <c r="D1342" i="1"/>
  <c r="E1342" i="1"/>
  <c r="F1342" i="1"/>
  <c r="C1343" i="1"/>
  <c r="D1343" i="1"/>
  <c r="E1343" i="1"/>
  <c r="F1343" i="1"/>
  <c r="C1344" i="1"/>
  <c r="D1344" i="1"/>
  <c r="E1344" i="1"/>
  <c r="F1344" i="1"/>
  <c r="C1345" i="1"/>
  <c r="D1345" i="1"/>
  <c r="E1345" i="1"/>
  <c r="F1345" i="1"/>
  <c r="C1346" i="1"/>
  <c r="D1346" i="1"/>
  <c r="E1346" i="1"/>
  <c r="F1346" i="1"/>
  <c r="C1347" i="1"/>
  <c r="D1347" i="1"/>
  <c r="E1347" i="1"/>
  <c r="F1347" i="1"/>
  <c r="C1348" i="1"/>
  <c r="D1348" i="1"/>
  <c r="E1348" i="1"/>
  <c r="F1348" i="1"/>
  <c r="C1349" i="1"/>
  <c r="D1349" i="1"/>
  <c r="E1349" i="1"/>
  <c r="F1349" i="1"/>
  <c r="C1350" i="1"/>
  <c r="D1350" i="1"/>
  <c r="E1350" i="1"/>
  <c r="F1350" i="1"/>
  <c r="C1351" i="1"/>
  <c r="D1351" i="1"/>
  <c r="E1351" i="1"/>
  <c r="F1351" i="1"/>
  <c r="C1352" i="1"/>
  <c r="D1352" i="1"/>
  <c r="E1352" i="1"/>
  <c r="F1352" i="1"/>
  <c r="C1353" i="1"/>
  <c r="D1353" i="1"/>
  <c r="E1353" i="1"/>
  <c r="F1353" i="1"/>
  <c r="C1354" i="1"/>
  <c r="D1354" i="1"/>
  <c r="E1354" i="1"/>
  <c r="F1354" i="1"/>
  <c r="C1355" i="1"/>
  <c r="D1355" i="1"/>
  <c r="E1355" i="1"/>
  <c r="F1355" i="1"/>
  <c r="C1356" i="1"/>
  <c r="D1356" i="1"/>
  <c r="E1356" i="1"/>
  <c r="F1356" i="1"/>
  <c r="C1357" i="1"/>
  <c r="D1357" i="1"/>
  <c r="E1357" i="1"/>
  <c r="F1357" i="1"/>
  <c r="C1358" i="1"/>
  <c r="D1358" i="1"/>
  <c r="E1358" i="1"/>
  <c r="F1358" i="1"/>
  <c r="C1359" i="1"/>
  <c r="D1359" i="1"/>
  <c r="E1359" i="1"/>
  <c r="F1359" i="1"/>
  <c r="C1360" i="1"/>
  <c r="D1360" i="1"/>
  <c r="E1360" i="1"/>
  <c r="F1360" i="1"/>
  <c r="C1361" i="1"/>
  <c r="D1361" i="1"/>
  <c r="E1361" i="1"/>
  <c r="F1361" i="1"/>
  <c r="C1362" i="1"/>
  <c r="D1362" i="1"/>
  <c r="E1362" i="1"/>
  <c r="F1362" i="1"/>
  <c r="C1363" i="1"/>
  <c r="D1363" i="1"/>
  <c r="E1363" i="1"/>
  <c r="F1363" i="1"/>
  <c r="C1364" i="1"/>
  <c r="D1364" i="1"/>
  <c r="E1364" i="1"/>
  <c r="F1364" i="1"/>
  <c r="C1365" i="1"/>
  <c r="D1365" i="1"/>
  <c r="E1365" i="1"/>
  <c r="F1365" i="1"/>
  <c r="C1366" i="1"/>
  <c r="D1366" i="1"/>
  <c r="E1366" i="1"/>
  <c r="F1366" i="1"/>
  <c r="C1367" i="1"/>
  <c r="D1367" i="1"/>
  <c r="E1367" i="1"/>
  <c r="F1367" i="1"/>
  <c r="C1368" i="1"/>
  <c r="D1368" i="1"/>
  <c r="E1368" i="1"/>
  <c r="F1368" i="1"/>
  <c r="C1369" i="1"/>
  <c r="D1369" i="1"/>
  <c r="E1369" i="1"/>
  <c r="F1369" i="1"/>
  <c r="C1370" i="1"/>
  <c r="D1370" i="1"/>
  <c r="E1370" i="1"/>
  <c r="F1370" i="1"/>
  <c r="C1371" i="1"/>
  <c r="D1371" i="1"/>
  <c r="E1371" i="1"/>
  <c r="F1371" i="1"/>
  <c r="C1372" i="1"/>
  <c r="D1372" i="1"/>
  <c r="E1372" i="1"/>
  <c r="F1372" i="1"/>
  <c r="C1373" i="1"/>
  <c r="D1373" i="1"/>
  <c r="E1373" i="1"/>
  <c r="F1373" i="1"/>
  <c r="C1374" i="1"/>
  <c r="D1374" i="1"/>
  <c r="E1374" i="1"/>
  <c r="F1374" i="1"/>
  <c r="C1375" i="1"/>
  <c r="D1375" i="1"/>
  <c r="E1375" i="1"/>
  <c r="F1375" i="1"/>
  <c r="C1376" i="1"/>
  <c r="D1376" i="1"/>
  <c r="E1376" i="1"/>
  <c r="F1376" i="1"/>
  <c r="C1377" i="1"/>
  <c r="D1377" i="1"/>
  <c r="E1377" i="1"/>
  <c r="F1377" i="1"/>
  <c r="C1378" i="1"/>
  <c r="D1378" i="1"/>
  <c r="E1378" i="1"/>
  <c r="F1378" i="1"/>
  <c r="C1379" i="1"/>
  <c r="D1379" i="1"/>
  <c r="E1379" i="1"/>
  <c r="F1379" i="1"/>
  <c r="C1380" i="1"/>
  <c r="D1380" i="1"/>
  <c r="E1380" i="1"/>
  <c r="F1380" i="1"/>
  <c r="C1381" i="1"/>
  <c r="D1381" i="1"/>
  <c r="E1381" i="1"/>
  <c r="F1381" i="1"/>
  <c r="C1382" i="1"/>
  <c r="D1382" i="1"/>
  <c r="E1382" i="1"/>
  <c r="F1382" i="1"/>
  <c r="C1383" i="1"/>
  <c r="D1383" i="1"/>
  <c r="E1383" i="1"/>
  <c r="F1383" i="1"/>
  <c r="C1384" i="1"/>
  <c r="D1384" i="1"/>
  <c r="E1384" i="1"/>
  <c r="F1384" i="1"/>
  <c r="C1385" i="1"/>
  <c r="D1385" i="1"/>
  <c r="E1385" i="1"/>
  <c r="F1385" i="1"/>
  <c r="C1386" i="1"/>
  <c r="D1386" i="1"/>
  <c r="E1386" i="1"/>
  <c r="F1386" i="1"/>
  <c r="C1387" i="1"/>
  <c r="D1387" i="1"/>
  <c r="E1387" i="1"/>
  <c r="F1387" i="1"/>
  <c r="C1388" i="1"/>
  <c r="D1388" i="1"/>
  <c r="E1388" i="1"/>
  <c r="F1388" i="1"/>
  <c r="C1389" i="1"/>
  <c r="D1389" i="1"/>
  <c r="E1389" i="1"/>
  <c r="F1389" i="1"/>
  <c r="C1390" i="1"/>
  <c r="D1390" i="1"/>
  <c r="E1390" i="1"/>
  <c r="F1390" i="1"/>
  <c r="C1391" i="1"/>
  <c r="D1391" i="1"/>
  <c r="E1391" i="1"/>
  <c r="F1391" i="1"/>
  <c r="C1392" i="1"/>
  <c r="D1392" i="1"/>
  <c r="E1392" i="1"/>
  <c r="F1392" i="1"/>
  <c r="C1393" i="1"/>
  <c r="D1393" i="1"/>
  <c r="E1393" i="1"/>
  <c r="F1393" i="1"/>
  <c r="C1394" i="1"/>
  <c r="D1394" i="1"/>
  <c r="E1394" i="1"/>
  <c r="F1394" i="1"/>
  <c r="C1395" i="1"/>
  <c r="D1395" i="1"/>
  <c r="E1395" i="1"/>
  <c r="F1395" i="1"/>
  <c r="C1396" i="1"/>
  <c r="D1396" i="1"/>
  <c r="E1396" i="1"/>
  <c r="F1396" i="1"/>
  <c r="C1397" i="1"/>
  <c r="D1397" i="1"/>
  <c r="E1397" i="1"/>
  <c r="F1397" i="1"/>
  <c r="C1398" i="1"/>
  <c r="D1398" i="1"/>
  <c r="E1398" i="1"/>
  <c r="F1398" i="1"/>
  <c r="C1399" i="1"/>
  <c r="D1399" i="1"/>
  <c r="E1399" i="1"/>
  <c r="F1399" i="1"/>
  <c r="C1400" i="1"/>
  <c r="D1400" i="1"/>
  <c r="E1400" i="1"/>
  <c r="F1400" i="1"/>
  <c r="C1401" i="1"/>
  <c r="D1401" i="1"/>
  <c r="E1401" i="1"/>
  <c r="F1401" i="1"/>
  <c r="C1402" i="1"/>
  <c r="D1402" i="1"/>
  <c r="E1402" i="1"/>
  <c r="F1402" i="1"/>
  <c r="C1403" i="1"/>
  <c r="D1403" i="1"/>
  <c r="E1403" i="1"/>
  <c r="F1403" i="1"/>
  <c r="C1404" i="1"/>
  <c r="D1404" i="1"/>
  <c r="E1404" i="1"/>
  <c r="F1404" i="1"/>
  <c r="C1405" i="1"/>
  <c r="D1405" i="1"/>
  <c r="E1405" i="1"/>
  <c r="F1405" i="1"/>
  <c r="C1406" i="1"/>
  <c r="D1406" i="1"/>
  <c r="E1406" i="1"/>
  <c r="F1406" i="1"/>
  <c r="C1407" i="1"/>
  <c r="D1407" i="1"/>
  <c r="E1407" i="1"/>
  <c r="F1407" i="1"/>
  <c r="C1408" i="1"/>
  <c r="D1408" i="1"/>
  <c r="E1408" i="1"/>
  <c r="F1408" i="1"/>
  <c r="C1409" i="1"/>
  <c r="D1409" i="1"/>
  <c r="E1409" i="1"/>
  <c r="F1409" i="1"/>
  <c r="C1410" i="1"/>
  <c r="D1410" i="1"/>
  <c r="E1410" i="1"/>
  <c r="F1410" i="1"/>
  <c r="C1411" i="1"/>
  <c r="D1411" i="1"/>
  <c r="E1411" i="1"/>
  <c r="F1411" i="1"/>
  <c r="C1412" i="1"/>
  <c r="D1412" i="1"/>
  <c r="E1412" i="1"/>
  <c r="F1412" i="1"/>
  <c r="C1413" i="1"/>
  <c r="D1413" i="1"/>
  <c r="E1413" i="1"/>
  <c r="F1413" i="1"/>
  <c r="C1414" i="1"/>
  <c r="D1414" i="1"/>
  <c r="E1414" i="1"/>
  <c r="F1414" i="1"/>
  <c r="C1415" i="1"/>
  <c r="D1415" i="1"/>
  <c r="E1415" i="1"/>
  <c r="F1415" i="1"/>
  <c r="C1416" i="1"/>
  <c r="D1416" i="1"/>
  <c r="E1416" i="1"/>
  <c r="F1416" i="1"/>
  <c r="C1417" i="1"/>
  <c r="D1417" i="1"/>
  <c r="E1417" i="1"/>
  <c r="F1417" i="1"/>
  <c r="C1418" i="1"/>
  <c r="D1418" i="1"/>
  <c r="E1418" i="1"/>
  <c r="F1418" i="1"/>
  <c r="C1419" i="1"/>
  <c r="D1419" i="1"/>
  <c r="E1419" i="1"/>
  <c r="F1419" i="1"/>
  <c r="C1420" i="1"/>
  <c r="D1420" i="1"/>
  <c r="E1420" i="1"/>
  <c r="F1420" i="1"/>
  <c r="C1421" i="1"/>
  <c r="D1421" i="1"/>
  <c r="E1421" i="1"/>
  <c r="F1421" i="1"/>
  <c r="C1422" i="1"/>
  <c r="D1422" i="1"/>
  <c r="E1422" i="1"/>
  <c r="F1422" i="1"/>
  <c r="C1423" i="1"/>
  <c r="D1423" i="1"/>
  <c r="E1423" i="1"/>
  <c r="F1423" i="1"/>
  <c r="C1424" i="1"/>
  <c r="D1424" i="1"/>
  <c r="E1424" i="1"/>
  <c r="F1424" i="1"/>
  <c r="C1425" i="1"/>
  <c r="D1425" i="1"/>
  <c r="E1425" i="1"/>
  <c r="F1425" i="1"/>
  <c r="C1426" i="1"/>
  <c r="D1426" i="1"/>
  <c r="E1426" i="1"/>
  <c r="F1426" i="1"/>
  <c r="C1427" i="1"/>
  <c r="D1427" i="1"/>
  <c r="E1427" i="1"/>
  <c r="F1427" i="1"/>
  <c r="C1428" i="1"/>
  <c r="D1428" i="1"/>
  <c r="E1428" i="1"/>
  <c r="F1428" i="1"/>
  <c r="C1429" i="1"/>
  <c r="D1429" i="1"/>
  <c r="E1429" i="1"/>
  <c r="F1429" i="1"/>
  <c r="C1430" i="1"/>
  <c r="D1430" i="1"/>
  <c r="E1430" i="1"/>
  <c r="F1430" i="1"/>
  <c r="C1431" i="1"/>
  <c r="D1431" i="1"/>
  <c r="E1431" i="1"/>
  <c r="F1431" i="1"/>
  <c r="C1432" i="1"/>
  <c r="D1432" i="1"/>
  <c r="E1432" i="1"/>
  <c r="F1432" i="1"/>
  <c r="C1433" i="1"/>
  <c r="D1433" i="1"/>
  <c r="E1433" i="1"/>
  <c r="F1433" i="1"/>
  <c r="C1434" i="1"/>
  <c r="D1434" i="1"/>
  <c r="E1434" i="1"/>
  <c r="F1434" i="1"/>
  <c r="C1435" i="1"/>
  <c r="D1435" i="1"/>
  <c r="E1435" i="1"/>
  <c r="F1435" i="1"/>
  <c r="C1436" i="1"/>
  <c r="D1436" i="1"/>
  <c r="E1436" i="1"/>
  <c r="F1436" i="1"/>
  <c r="C1437" i="1"/>
  <c r="D1437" i="1"/>
  <c r="E1437" i="1"/>
  <c r="F1437" i="1"/>
  <c r="C1438" i="1"/>
  <c r="D1438" i="1"/>
  <c r="E1438" i="1"/>
  <c r="F1438" i="1"/>
  <c r="C1439" i="1"/>
  <c r="D1439" i="1"/>
  <c r="E1439" i="1"/>
  <c r="F1439" i="1"/>
  <c r="C1440" i="1"/>
  <c r="D1440" i="1"/>
  <c r="E1440" i="1"/>
  <c r="F1440" i="1"/>
  <c r="C1441" i="1"/>
  <c r="D1441" i="1"/>
  <c r="E1441" i="1"/>
  <c r="F1441" i="1"/>
  <c r="C1442" i="1"/>
  <c r="D1442" i="1"/>
  <c r="E1442" i="1"/>
  <c r="F1442" i="1"/>
  <c r="C1443" i="1"/>
  <c r="D1443" i="1"/>
  <c r="E1443" i="1"/>
  <c r="F1443" i="1"/>
  <c r="C1444" i="1"/>
  <c r="D1444" i="1"/>
  <c r="E1444" i="1"/>
  <c r="F1444" i="1"/>
  <c r="C1445" i="1"/>
  <c r="D1445" i="1"/>
  <c r="E1445" i="1"/>
  <c r="F1445" i="1"/>
  <c r="C1446" i="1"/>
  <c r="D1446" i="1"/>
  <c r="E1446" i="1"/>
  <c r="F1446" i="1"/>
  <c r="C1447" i="1"/>
  <c r="D1447" i="1"/>
  <c r="E1447" i="1"/>
  <c r="F1447" i="1"/>
  <c r="C1448" i="1"/>
  <c r="D1448" i="1"/>
  <c r="E1448" i="1"/>
  <c r="F1448" i="1"/>
  <c r="C1449" i="1"/>
  <c r="D1449" i="1"/>
  <c r="E1449" i="1"/>
  <c r="F1449" i="1"/>
  <c r="C1450" i="1"/>
  <c r="D1450" i="1"/>
  <c r="E1450" i="1"/>
  <c r="F1450" i="1"/>
  <c r="C1451" i="1"/>
  <c r="D1451" i="1"/>
  <c r="E1451" i="1"/>
  <c r="F1451" i="1"/>
  <c r="C1452" i="1"/>
  <c r="D1452" i="1"/>
  <c r="E1452" i="1"/>
  <c r="F1452" i="1"/>
  <c r="C1453" i="1"/>
  <c r="D1453" i="1"/>
  <c r="E1453" i="1"/>
  <c r="F1453" i="1"/>
  <c r="C1454" i="1"/>
  <c r="D1454" i="1"/>
  <c r="E1454" i="1"/>
  <c r="F1454" i="1"/>
  <c r="C1455" i="1"/>
  <c r="D1455" i="1"/>
  <c r="E1455" i="1"/>
  <c r="F1455" i="1"/>
  <c r="C1456" i="1"/>
  <c r="D1456" i="1"/>
  <c r="E1456" i="1"/>
  <c r="F1456" i="1"/>
  <c r="C1457" i="1"/>
  <c r="D1457" i="1"/>
  <c r="E1457" i="1"/>
  <c r="F1457" i="1"/>
  <c r="C1458" i="1"/>
  <c r="D1458" i="1"/>
  <c r="E1458" i="1"/>
  <c r="F1458" i="1"/>
  <c r="C1459" i="1"/>
  <c r="D1459" i="1"/>
  <c r="E1459" i="1"/>
  <c r="F1459" i="1"/>
  <c r="C1460" i="1"/>
  <c r="D1460" i="1"/>
  <c r="E1460" i="1"/>
  <c r="F1460" i="1"/>
  <c r="C1461" i="1"/>
  <c r="D1461" i="1"/>
  <c r="E1461" i="1"/>
  <c r="F1461" i="1"/>
  <c r="C1462" i="1"/>
  <c r="D1462" i="1"/>
  <c r="E1462" i="1"/>
  <c r="F1462" i="1"/>
  <c r="C1463" i="1"/>
  <c r="D1463" i="1"/>
  <c r="E1463" i="1"/>
  <c r="F1463" i="1"/>
  <c r="C1464" i="1"/>
  <c r="D1464" i="1"/>
  <c r="E1464" i="1"/>
  <c r="F1464" i="1"/>
  <c r="C1465" i="1"/>
  <c r="D1465" i="1"/>
  <c r="E1465" i="1"/>
  <c r="F1465" i="1"/>
  <c r="C1466" i="1"/>
  <c r="D1466" i="1"/>
  <c r="E1466" i="1"/>
  <c r="F1466" i="1"/>
  <c r="C1467" i="1"/>
  <c r="D1467" i="1"/>
  <c r="E1467" i="1"/>
  <c r="F1467" i="1"/>
  <c r="C1468" i="1"/>
  <c r="D1468" i="1"/>
  <c r="E1468" i="1"/>
  <c r="F1468" i="1"/>
  <c r="C1469" i="1"/>
  <c r="D1469" i="1"/>
  <c r="E1469" i="1"/>
  <c r="F1469" i="1"/>
  <c r="C1470" i="1"/>
  <c r="D1470" i="1"/>
  <c r="E1470" i="1"/>
  <c r="F1470" i="1"/>
  <c r="C1471" i="1"/>
  <c r="D1471" i="1"/>
  <c r="E1471" i="1"/>
  <c r="F1471" i="1"/>
  <c r="C1472" i="1"/>
  <c r="D1472" i="1"/>
  <c r="E1472" i="1"/>
  <c r="F1472" i="1"/>
  <c r="C1473" i="1"/>
  <c r="D1473" i="1"/>
  <c r="E1473" i="1"/>
  <c r="F1473" i="1"/>
  <c r="C1474" i="1"/>
  <c r="D1474" i="1"/>
  <c r="E1474" i="1"/>
  <c r="F1474" i="1"/>
  <c r="C1475" i="1"/>
  <c r="D1475" i="1"/>
  <c r="E1475" i="1"/>
  <c r="F1475" i="1"/>
  <c r="C1476" i="1"/>
  <c r="D1476" i="1"/>
  <c r="E1476" i="1"/>
  <c r="F1476" i="1"/>
  <c r="C1477" i="1"/>
  <c r="D1477" i="1"/>
  <c r="E1477" i="1"/>
  <c r="F1477" i="1"/>
  <c r="C1478" i="1"/>
  <c r="D1478" i="1"/>
  <c r="E1478" i="1"/>
  <c r="F1478" i="1"/>
  <c r="C1479" i="1"/>
  <c r="D1479" i="1"/>
  <c r="E1479" i="1"/>
  <c r="F1479" i="1"/>
  <c r="C1480" i="1"/>
  <c r="D1480" i="1"/>
  <c r="E1480" i="1"/>
  <c r="F1480" i="1"/>
  <c r="C1481" i="1"/>
  <c r="D1481" i="1"/>
  <c r="E1481" i="1"/>
  <c r="F1481" i="1"/>
  <c r="C1482" i="1"/>
  <c r="D1482" i="1"/>
  <c r="E1482" i="1"/>
  <c r="F1482" i="1"/>
  <c r="C1483" i="1"/>
  <c r="D1483" i="1"/>
  <c r="E1483" i="1"/>
  <c r="F1483" i="1"/>
  <c r="C1484" i="1"/>
  <c r="D1484" i="1"/>
  <c r="E1484" i="1"/>
  <c r="F1484" i="1"/>
  <c r="C1485" i="1"/>
  <c r="D1485" i="1"/>
  <c r="E1485" i="1"/>
  <c r="F1485" i="1"/>
  <c r="C1486" i="1"/>
  <c r="D1486" i="1"/>
  <c r="E1486" i="1"/>
  <c r="F1486" i="1"/>
  <c r="C1487" i="1"/>
  <c r="D1487" i="1"/>
  <c r="E1487" i="1"/>
  <c r="F1487" i="1"/>
  <c r="C1488" i="1"/>
  <c r="D1488" i="1"/>
  <c r="E1488" i="1"/>
  <c r="F1488" i="1"/>
  <c r="C1489" i="1"/>
  <c r="D1489" i="1"/>
  <c r="E1489" i="1"/>
  <c r="F1489" i="1"/>
  <c r="C1490" i="1"/>
  <c r="D1490" i="1"/>
  <c r="E1490" i="1"/>
  <c r="F1490" i="1"/>
  <c r="C1491" i="1"/>
  <c r="D1491" i="1"/>
  <c r="E1491" i="1"/>
  <c r="F1491" i="1"/>
  <c r="C1492" i="1"/>
  <c r="D1492" i="1"/>
  <c r="E1492" i="1"/>
  <c r="F1492" i="1"/>
  <c r="C1493" i="1"/>
  <c r="D1493" i="1"/>
  <c r="E1493" i="1"/>
  <c r="F1493" i="1"/>
  <c r="C1494" i="1"/>
  <c r="D1494" i="1"/>
  <c r="E1494" i="1"/>
  <c r="F1494" i="1"/>
  <c r="C1495" i="1"/>
  <c r="D1495" i="1"/>
  <c r="E1495" i="1"/>
  <c r="F1495" i="1"/>
  <c r="C1496" i="1"/>
  <c r="D1496" i="1"/>
  <c r="E1496" i="1"/>
  <c r="F1496" i="1"/>
  <c r="C1497" i="1"/>
  <c r="D1497" i="1"/>
  <c r="E1497" i="1"/>
  <c r="F1497" i="1"/>
  <c r="C1498" i="1"/>
  <c r="D1498" i="1"/>
  <c r="E1498" i="1"/>
  <c r="F1498" i="1"/>
  <c r="C1499" i="1"/>
  <c r="D1499" i="1"/>
  <c r="E1499" i="1"/>
  <c r="F1499" i="1"/>
  <c r="C1500" i="1"/>
  <c r="D1500" i="1"/>
  <c r="E1500" i="1"/>
  <c r="F1500" i="1"/>
  <c r="C1501" i="1"/>
  <c r="D1501" i="1"/>
  <c r="E1501" i="1"/>
  <c r="F1501" i="1"/>
  <c r="C1502" i="1"/>
  <c r="D1502" i="1"/>
  <c r="E1502" i="1"/>
  <c r="F1502" i="1"/>
  <c r="C1503" i="1"/>
  <c r="D1503" i="1"/>
  <c r="E1503" i="1"/>
  <c r="F1503" i="1"/>
  <c r="C1504" i="1"/>
  <c r="D1504" i="1"/>
  <c r="E1504" i="1"/>
  <c r="F1504" i="1"/>
  <c r="C1505" i="1"/>
  <c r="D1505" i="1"/>
  <c r="E1505" i="1"/>
  <c r="F1505" i="1"/>
  <c r="C1506" i="1"/>
  <c r="D1506" i="1"/>
  <c r="E1506" i="1"/>
  <c r="F1506" i="1"/>
  <c r="C1507" i="1"/>
  <c r="D1507" i="1"/>
  <c r="E1507" i="1"/>
  <c r="F1507" i="1"/>
  <c r="C1508" i="1"/>
  <c r="D1508" i="1"/>
  <c r="E1508" i="1"/>
  <c r="F1508" i="1"/>
  <c r="C1509" i="1"/>
  <c r="D1509" i="1"/>
  <c r="E1509" i="1"/>
  <c r="F1509" i="1"/>
  <c r="C1510" i="1"/>
  <c r="D1510" i="1"/>
  <c r="E1510" i="1"/>
  <c r="F1510" i="1"/>
  <c r="C1511" i="1"/>
  <c r="D1511" i="1"/>
  <c r="E1511" i="1"/>
  <c r="F1511" i="1"/>
  <c r="C1512" i="1"/>
  <c r="D1512" i="1"/>
  <c r="E1512" i="1"/>
  <c r="F1512" i="1"/>
  <c r="C1513" i="1"/>
  <c r="D1513" i="1"/>
  <c r="E1513" i="1"/>
  <c r="F1513" i="1"/>
  <c r="C1514" i="1"/>
  <c r="D1514" i="1"/>
  <c r="E1514" i="1"/>
  <c r="F1514" i="1"/>
  <c r="C1515" i="1"/>
  <c r="D1515" i="1"/>
  <c r="E1515" i="1"/>
  <c r="F1515" i="1"/>
  <c r="C1516" i="1"/>
  <c r="D1516" i="1"/>
  <c r="E1516" i="1"/>
  <c r="F1516" i="1"/>
  <c r="C1517" i="1"/>
  <c r="D1517" i="1"/>
  <c r="E1517" i="1"/>
  <c r="F1517" i="1"/>
  <c r="C1518" i="1"/>
  <c r="D1518" i="1"/>
  <c r="E1518" i="1"/>
  <c r="F1518" i="1"/>
  <c r="C1519" i="1"/>
  <c r="D1519" i="1"/>
  <c r="E1519" i="1"/>
  <c r="F1519" i="1"/>
  <c r="C1520" i="1"/>
  <c r="D1520" i="1"/>
  <c r="E1520" i="1"/>
  <c r="F1520" i="1"/>
  <c r="C1521" i="1"/>
  <c r="D1521" i="1"/>
  <c r="E1521" i="1"/>
  <c r="F1521" i="1"/>
  <c r="C1522" i="1"/>
  <c r="D1522" i="1"/>
  <c r="E1522" i="1"/>
  <c r="F1522" i="1"/>
  <c r="C1523" i="1"/>
  <c r="D1523" i="1"/>
  <c r="E1523" i="1"/>
  <c r="F1523" i="1"/>
  <c r="C1524" i="1"/>
  <c r="D1524" i="1"/>
  <c r="E1524" i="1"/>
  <c r="F1524" i="1"/>
  <c r="C1525" i="1"/>
  <c r="D1525" i="1"/>
  <c r="E1525" i="1"/>
  <c r="F1525" i="1"/>
  <c r="C1526" i="1"/>
  <c r="D1526" i="1"/>
  <c r="E1526" i="1"/>
  <c r="F1526" i="1"/>
  <c r="C1527" i="1"/>
  <c r="D1527" i="1"/>
  <c r="E1527" i="1"/>
  <c r="F1527" i="1"/>
  <c r="C1528" i="1"/>
  <c r="D1528" i="1"/>
  <c r="E1528" i="1"/>
  <c r="F1528" i="1"/>
  <c r="C1529" i="1"/>
  <c r="D1529" i="1"/>
  <c r="E1529" i="1"/>
  <c r="F1529" i="1"/>
  <c r="C1530" i="1"/>
  <c r="D1530" i="1"/>
  <c r="E1530" i="1"/>
  <c r="F1530" i="1"/>
  <c r="C1531" i="1"/>
  <c r="D1531" i="1"/>
  <c r="E1531" i="1"/>
  <c r="F1531" i="1"/>
  <c r="C1532" i="1"/>
  <c r="D1532" i="1"/>
  <c r="E1532" i="1"/>
  <c r="F1532" i="1"/>
  <c r="C1533" i="1"/>
  <c r="D1533" i="1"/>
  <c r="E1533" i="1"/>
  <c r="F1533" i="1"/>
  <c r="C1534" i="1"/>
  <c r="D1534" i="1"/>
  <c r="E1534" i="1"/>
  <c r="F1534" i="1"/>
  <c r="C1535" i="1"/>
  <c r="D1535" i="1"/>
  <c r="E1535" i="1"/>
  <c r="F1535" i="1"/>
  <c r="C1536" i="1"/>
  <c r="D1536" i="1"/>
  <c r="E1536" i="1"/>
  <c r="F1536" i="1"/>
  <c r="C1537" i="1"/>
  <c r="D1537" i="1"/>
  <c r="E1537" i="1"/>
  <c r="F1537" i="1"/>
  <c r="C1538" i="1"/>
  <c r="D1538" i="1"/>
  <c r="E1538" i="1"/>
  <c r="F1538" i="1"/>
  <c r="C1539" i="1"/>
  <c r="D1539" i="1"/>
  <c r="E1539" i="1"/>
  <c r="F1539" i="1"/>
  <c r="C1540" i="1"/>
  <c r="D1540" i="1"/>
  <c r="E1540" i="1"/>
  <c r="F1540" i="1"/>
  <c r="C1541" i="1"/>
  <c r="D1541" i="1"/>
  <c r="E1541" i="1"/>
  <c r="F1541" i="1"/>
  <c r="C1542" i="1"/>
  <c r="D1542" i="1"/>
  <c r="E1542" i="1"/>
  <c r="F1542" i="1"/>
  <c r="C1543" i="1"/>
  <c r="D1543" i="1"/>
  <c r="E1543" i="1"/>
  <c r="F1543" i="1"/>
  <c r="C1544" i="1"/>
  <c r="D1544" i="1"/>
  <c r="E1544" i="1"/>
  <c r="F1544" i="1"/>
  <c r="C1545" i="1"/>
  <c r="D1545" i="1"/>
  <c r="E1545" i="1"/>
  <c r="F1545" i="1"/>
  <c r="C1546" i="1"/>
  <c r="D1546" i="1"/>
  <c r="E1546" i="1"/>
  <c r="F1546" i="1"/>
  <c r="C1547" i="1"/>
  <c r="D1547" i="1"/>
  <c r="E1547" i="1"/>
  <c r="F1547" i="1"/>
  <c r="C1548" i="1"/>
  <c r="D1548" i="1"/>
  <c r="E1548" i="1"/>
  <c r="F1548" i="1"/>
  <c r="C1549" i="1"/>
  <c r="D1549" i="1"/>
  <c r="E1549" i="1"/>
  <c r="F1549" i="1"/>
  <c r="C1550" i="1"/>
  <c r="D1550" i="1"/>
  <c r="E1550" i="1"/>
  <c r="F1550" i="1"/>
  <c r="C1551" i="1"/>
  <c r="D1551" i="1"/>
  <c r="E1551" i="1"/>
  <c r="F1551" i="1"/>
  <c r="C1552" i="1"/>
  <c r="D1552" i="1"/>
  <c r="E1552" i="1"/>
  <c r="F1552" i="1"/>
  <c r="C1553" i="1"/>
  <c r="D1553" i="1"/>
  <c r="E1553" i="1"/>
  <c r="F1553" i="1"/>
  <c r="C1554" i="1"/>
  <c r="D1554" i="1"/>
  <c r="E1554" i="1"/>
  <c r="F1554" i="1"/>
  <c r="C1555" i="1"/>
  <c r="D1555" i="1"/>
  <c r="E1555" i="1"/>
  <c r="F1555" i="1"/>
  <c r="C1556" i="1"/>
  <c r="D1556" i="1"/>
  <c r="E1556" i="1"/>
  <c r="F1556" i="1"/>
  <c r="C1557" i="1"/>
  <c r="D1557" i="1"/>
  <c r="E1557" i="1"/>
  <c r="F1557" i="1"/>
  <c r="C1558" i="1"/>
  <c r="D1558" i="1"/>
  <c r="E1558" i="1"/>
  <c r="F1558" i="1"/>
  <c r="C1559" i="1"/>
  <c r="D1559" i="1"/>
  <c r="E1559" i="1"/>
  <c r="F1559" i="1"/>
  <c r="C1560" i="1"/>
  <c r="D1560" i="1"/>
  <c r="E1560" i="1"/>
  <c r="F1560" i="1"/>
  <c r="C1561" i="1"/>
  <c r="D1561" i="1"/>
  <c r="E1561" i="1"/>
  <c r="F1561" i="1"/>
  <c r="C1562" i="1"/>
  <c r="D1562" i="1"/>
  <c r="E1562" i="1"/>
  <c r="F1562" i="1"/>
  <c r="C1563" i="1"/>
  <c r="D1563" i="1"/>
  <c r="E1563" i="1"/>
  <c r="F1563" i="1"/>
  <c r="C1564" i="1"/>
  <c r="D1564" i="1"/>
  <c r="E1564" i="1"/>
  <c r="F1564" i="1"/>
  <c r="C1565" i="1"/>
  <c r="D1565" i="1"/>
  <c r="E1565" i="1"/>
  <c r="F1565" i="1"/>
  <c r="C1566" i="1"/>
  <c r="D1566" i="1"/>
  <c r="E1566" i="1"/>
  <c r="F1566" i="1"/>
  <c r="C1567" i="1"/>
  <c r="D1567" i="1"/>
  <c r="E1567" i="1"/>
  <c r="F1567" i="1"/>
  <c r="C1568" i="1"/>
  <c r="D1568" i="1"/>
  <c r="E1568" i="1"/>
  <c r="F1568" i="1"/>
  <c r="C1569" i="1"/>
  <c r="D1569" i="1"/>
  <c r="E1569" i="1"/>
  <c r="F1569" i="1"/>
  <c r="C1570" i="1"/>
  <c r="D1570" i="1"/>
  <c r="E1570" i="1"/>
  <c r="F1570" i="1"/>
  <c r="C1571" i="1"/>
  <c r="D1571" i="1"/>
  <c r="E1571" i="1"/>
  <c r="F1571" i="1"/>
  <c r="C1572" i="1"/>
  <c r="D1572" i="1"/>
  <c r="E1572" i="1"/>
  <c r="F1572" i="1"/>
  <c r="C1573" i="1"/>
  <c r="D1573" i="1"/>
  <c r="E1573" i="1"/>
  <c r="F1573" i="1"/>
  <c r="C1574" i="1"/>
  <c r="D1574" i="1"/>
  <c r="E1574" i="1"/>
  <c r="F1574" i="1"/>
  <c r="C1575" i="1"/>
  <c r="D1575" i="1"/>
  <c r="E1575" i="1"/>
  <c r="F1575" i="1"/>
  <c r="C1576" i="1"/>
  <c r="D1576" i="1"/>
  <c r="E1576" i="1"/>
  <c r="F1576" i="1"/>
  <c r="C1577" i="1"/>
  <c r="D1577" i="1"/>
  <c r="E1577" i="1"/>
  <c r="F1577" i="1"/>
  <c r="C1578" i="1"/>
  <c r="D1578" i="1"/>
  <c r="E1578" i="1"/>
  <c r="F1578" i="1"/>
  <c r="C1579" i="1"/>
  <c r="D1579" i="1"/>
  <c r="E1579" i="1"/>
  <c r="F1579" i="1"/>
  <c r="C1580" i="1"/>
  <c r="D1580" i="1"/>
  <c r="E1580" i="1"/>
  <c r="F1580" i="1"/>
  <c r="C1581" i="1"/>
  <c r="D1581" i="1"/>
  <c r="E1581" i="1"/>
  <c r="F1581" i="1"/>
  <c r="C1582" i="1"/>
  <c r="D1582" i="1"/>
  <c r="E1582" i="1"/>
  <c r="F1582" i="1"/>
  <c r="C1583" i="1"/>
  <c r="D1583" i="1"/>
  <c r="E1583" i="1"/>
  <c r="F1583" i="1"/>
  <c r="C1584" i="1"/>
  <c r="D1584" i="1"/>
  <c r="E1584" i="1"/>
  <c r="F1584" i="1"/>
  <c r="C1585" i="1"/>
  <c r="D1585" i="1"/>
  <c r="E1585" i="1"/>
  <c r="F1585" i="1"/>
  <c r="C1586" i="1"/>
  <c r="D1586" i="1"/>
  <c r="E1586" i="1"/>
  <c r="F1586" i="1"/>
  <c r="C1587" i="1"/>
  <c r="D1587" i="1"/>
  <c r="E1587" i="1"/>
  <c r="F1587" i="1"/>
  <c r="C1588" i="1"/>
  <c r="D1588" i="1"/>
  <c r="E1588" i="1"/>
  <c r="F1588" i="1"/>
  <c r="C1589" i="1"/>
  <c r="D1589" i="1"/>
  <c r="E1589" i="1"/>
  <c r="F1589" i="1"/>
  <c r="C1590" i="1"/>
  <c r="D1590" i="1"/>
  <c r="E1590" i="1"/>
  <c r="F1590" i="1"/>
  <c r="C1591" i="1"/>
  <c r="D1591" i="1"/>
  <c r="E1591" i="1"/>
  <c r="F1591" i="1"/>
  <c r="C1592" i="1"/>
  <c r="D1592" i="1"/>
  <c r="E1592" i="1"/>
  <c r="F1592" i="1"/>
  <c r="C1593" i="1"/>
  <c r="D1593" i="1"/>
  <c r="E1593" i="1"/>
  <c r="F1593" i="1"/>
  <c r="C1594" i="1"/>
  <c r="D1594" i="1"/>
  <c r="E1594" i="1"/>
  <c r="F1594" i="1"/>
  <c r="C1595" i="1"/>
  <c r="D1595" i="1"/>
  <c r="E1595" i="1"/>
  <c r="F1595" i="1"/>
  <c r="C1596" i="1"/>
  <c r="D1596" i="1"/>
  <c r="E1596" i="1"/>
  <c r="F1596" i="1"/>
  <c r="C1597" i="1"/>
  <c r="D1597" i="1"/>
  <c r="E1597" i="1"/>
  <c r="F1597" i="1"/>
  <c r="C1598" i="1"/>
  <c r="D1598" i="1"/>
  <c r="E1598" i="1"/>
  <c r="F1598" i="1"/>
  <c r="C1599" i="1"/>
  <c r="D1599" i="1"/>
  <c r="E1599" i="1"/>
  <c r="F1599" i="1"/>
  <c r="C1600" i="1"/>
  <c r="D1600" i="1"/>
  <c r="E1600" i="1"/>
  <c r="F1600" i="1"/>
  <c r="C1601" i="1"/>
  <c r="D1601" i="1"/>
  <c r="E1601" i="1"/>
  <c r="F1601" i="1"/>
  <c r="C1602" i="1"/>
  <c r="D1602" i="1"/>
  <c r="E1602" i="1"/>
  <c r="F1602" i="1"/>
  <c r="C1603" i="1"/>
  <c r="D1603" i="1"/>
  <c r="E1603" i="1"/>
  <c r="F1603" i="1"/>
  <c r="C1604" i="1"/>
  <c r="D1604" i="1"/>
  <c r="E1604" i="1"/>
  <c r="F1604" i="1"/>
  <c r="C1605" i="1"/>
  <c r="D1605" i="1"/>
  <c r="E1605" i="1"/>
  <c r="F1605" i="1"/>
  <c r="C1606" i="1"/>
  <c r="D1606" i="1"/>
  <c r="E1606" i="1"/>
  <c r="F1606" i="1"/>
  <c r="C1607" i="1"/>
  <c r="D1607" i="1"/>
  <c r="E1607" i="1"/>
  <c r="F1607" i="1"/>
  <c r="C1608" i="1"/>
  <c r="D1608" i="1"/>
  <c r="E1608" i="1"/>
  <c r="F1608" i="1"/>
  <c r="C1609" i="1"/>
  <c r="D1609" i="1"/>
  <c r="E1609" i="1"/>
  <c r="F1609" i="1"/>
  <c r="C1610" i="1"/>
  <c r="D1610" i="1"/>
  <c r="E1610" i="1"/>
  <c r="F1610" i="1"/>
  <c r="C1611" i="1"/>
  <c r="D1611" i="1"/>
  <c r="E1611" i="1"/>
  <c r="F1611" i="1"/>
  <c r="C1612" i="1"/>
  <c r="D1612" i="1"/>
  <c r="E1612" i="1"/>
  <c r="F1612" i="1"/>
  <c r="C1613" i="1"/>
  <c r="D1613" i="1"/>
  <c r="E1613" i="1"/>
  <c r="F1613" i="1"/>
  <c r="C1614" i="1"/>
  <c r="D1614" i="1"/>
  <c r="E1614" i="1"/>
  <c r="F1614" i="1"/>
  <c r="C1615" i="1"/>
  <c r="D1615" i="1"/>
  <c r="E1615" i="1"/>
  <c r="F1615" i="1"/>
  <c r="C1616" i="1"/>
  <c r="D1616" i="1"/>
  <c r="E1616" i="1"/>
  <c r="F1616" i="1"/>
  <c r="C1617" i="1"/>
  <c r="D1617" i="1"/>
  <c r="E1617" i="1"/>
  <c r="F1617" i="1"/>
  <c r="C1618" i="1"/>
  <c r="D1618" i="1"/>
  <c r="E1618" i="1"/>
  <c r="F1618" i="1"/>
  <c r="C1619" i="1"/>
  <c r="D1619" i="1"/>
  <c r="E1619" i="1"/>
  <c r="F1619" i="1"/>
  <c r="C1620" i="1"/>
  <c r="D1620" i="1"/>
  <c r="E1620" i="1"/>
  <c r="F1620" i="1"/>
  <c r="C1621" i="1"/>
  <c r="D1621" i="1"/>
  <c r="E1621" i="1"/>
  <c r="F1621" i="1"/>
  <c r="C1622" i="1"/>
  <c r="D1622" i="1"/>
  <c r="E1622" i="1"/>
  <c r="F1622" i="1"/>
  <c r="C1623" i="1"/>
  <c r="D1623" i="1"/>
  <c r="E1623" i="1"/>
  <c r="F1623" i="1"/>
  <c r="C1624" i="1"/>
  <c r="D1624" i="1"/>
  <c r="E1624" i="1"/>
  <c r="F1624" i="1"/>
  <c r="C1625" i="1"/>
  <c r="D1625" i="1"/>
  <c r="E1625" i="1"/>
  <c r="F1625" i="1"/>
  <c r="C1626" i="1"/>
  <c r="D1626" i="1"/>
  <c r="E1626" i="1"/>
  <c r="F1626" i="1"/>
  <c r="C1627" i="1"/>
  <c r="D1627" i="1"/>
  <c r="E1627" i="1"/>
  <c r="F1627" i="1"/>
  <c r="C1628" i="1"/>
  <c r="D1628" i="1"/>
  <c r="E1628" i="1"/>
  <c r="F1628" i="1"/>
  <c r="C1629" i="1"/>
  <c r="D1629" i="1"/>
  <c r="E1629" i="1"/>
  <c r="F1629" i="1"/>
  <c r="C1630" i="1"/>
  <c r="D1630" i="1"/>
  <c r="E1630" i="1"/>
  <c r="F1630" i="1"/>
  <c r="C1631" i="1"/>
  <c r="D1631" i="1"/>
  <c r="E1631" i="1"/>
  <c r="F1631" i="1"/>
  <c r="C1632" i="1"/>
  <c r="D1632" i="1"/>
  <c r="E1632" i="1"/>
  <c r="F1632" i="1"/>
  <c r="C1633" i="1"/>
  <c r="D1633" i="1"/>
  <c r="E1633" i="1"/>
  <c r="F1633" i="1"/>
  <c r="C1634" i="1"/>
  <c r="D1634" i="1"/>
  <c r="E1634" i="1"/>
  <c r="F1634" i="1"/>
  <c r="C1635" i="1"/>
  <c r="D1635" i="1"/>
  <c r="E1635" i="1"/>
  <c r="F1635" i="1"/>
  <c r="C1636" i="1"/>
  <c r="D1636" i="1"/>
  <c r="E1636" i="1"/>
  <c r="F1636" i="1"/>
  <c r="C1637" i="1"/>
  <c r="D1637" i="1"/>
  <c r="E1637" i="1"/>
  <c r="F1637" i="1"/>
  <c r="C1638" i="1"/>
  <c r="D1638" i="1"/>
  <c r="E1638" i="1"/>
  <c r="F1638" i="1"/>
  <c r="C1639" i="1"/>
  <c r="D1639" i="1"/>
  <c r="E1639" i="1"/>
  <c r="F1639" i="1"/>
  <c r="C1640" i="1"/>
  <c r="D1640" i="1"/>
  <c r="E1640" i="1"/>
  <c r="F1640" i="1"/>
  <c r="C1641" i="1"/>
  <c r="D1641" i="1"/>
  <c r="E1641" i="1"/>
  <c r="F1641" i="1"/>
  <c r="C1642" i="1"/>
  <c r="D1642" i="1"/>
  <c r="E1642" i="1"/>
  <c r="F1642" i="1"/>
  <c r="C1643" i="1"/>
  <c r="D1643" i="1"/>
  <c r="E1643" i="1"/>
  <c r="F1643" i="1"/>
  <c r="C1644" i="1"/>
  <c r="D1644" i="1"/>
  <c r="E1644" i="1"/>
  <c r="F1644" i="1"/>
  <c r="C1645" i="1"/>
  <c r="D1645" i="1"/>
  <c r="E1645" i="1"/>
  <c r="F1645" i="1"/>
  <c r="C1646" i="1"/>
  <c r="D1646" i="1"/>
  <c r="E1646" i="1"/>
  <c r="F1646" i="1"/>
  <c r="C1647" i="1"/>
  <c r="D1647" i="1"/>
  <c r="E1647" i="1"/>
  <c r="F1647" i="1"/>
  <c r="C1648" i="1"/>
  <c r="D1648" i="1"/>
  <c r="E1648" i="1"/>
  <c r="F1648" i="1"/>
  <c r="C1649" i="1"/>
  <c r="D1649" i="1"/>
  <c r="E1649" i="1"/>
  <c r="F1649" i="1"/>
  <c r="C1650" i="1"/>
  <c r="D1650" i="1"/>
  <c r="E1650" i="1"/>
  <c r="F1650" i="1"/>
  <c r="C1651" i="1"/>
  <c r="D1651" i="1"/>
  <c r="E1651" i="1"/>
  <c r="F1651" i="1"/>
  <c r="C1652" i="1"/>
  <c r="D1652" i="1"/>
  <c r="E1652" i="1"/>
  <c r="F1652" i="1"/>
  <c r="C1653" i="1"/>
  <c r="D1653" i="1"/>
  <c r="E1653" i="1"/>
  <c r="F1653" i="1"/>
  <c r="C1654" i="1"/>
  <c r="D1654" i="1"/>
  <c r="E1654" i="1"/>
  <c r="F1654" i="1"/>
  <c r="C1655" i="1"/>
  <c r="D1655" i="1"/>
  <c r="E1655" i="1"/>
  <c r="F1655" i="1"/>
  <c r="C1656" i="1"/>
  <c r="D1656" i="1"/>
  <c r="E1656" i="1"/>
  <c r="F1656" i="1"/>
  <c r="C1657" i="1"/>
  <c r="D1657" i="1"/>
  <c r="E1657" i="1"/>
  <c r="F1657" i="1"/>
  <c r="C1658" i="1"/>
  <c r="D1658" i="1"/>
  <c r="E1658" i="1"/>
  <c r="F1658" i="1"/>
  <c r="C1659" i="1"/>
  <c r="D1659" i="1"/>
  <c r="E1659" i="1"/>
  <c r="F1659" i="1"/>
  <c r="C1660" i="1"/>
  <c r="D1660" i="1"/>
  <c r="E1660" i="1"/>
  <c r="F1660" i="1"/>
  <c r="C1661" i="1"/>
  <c r="D1661" i="1"/>
  <c r="E1661" i="1"/>
  <c r="F1661" i="1"/>
  <c r="C1662" i="1"/>
  <c r="D1662" i="1"/>
  <c r="E1662" i="1"/>
  <c r="F1662" i="1"/>
  <c r="C1663" i="1"/>
  <c r="D1663" i="1"/>
  <c r="E1663" i="1"/>
  <c r="F1663" i="1"/>
  <c r="C1664" i="1"/>
  <c r="D1664" i="1"/>
  <c r="E1664" i="1"/>
  <c r="F1664" i="1"/>
  <c r="C1665" i="1"/>
  <c r="D1665" i="1"/>
  <c r="E1665" i="1"/>
  <c r="F1665" i="1"/>
  <c r="C1666" i="1"/>
  <c r="D1666" i="1"/>
  <c r="E1666" i="1"/>
  <c r="F1666" i="1"/>
  <c r="C1667" i="1"/>
  <c r="D1667" i="1"/>
  <c r="E1667" i="1"/>
  <c r="F1667" i="1"/>
  <c r="C1668" i="1"/>
  <c r="D1668" i="1"/>
  <c r="E1668" i="1"/>
  <c r="F1668" i="1"/>
  <c r="C1669" i="1"/>
  <c r="D1669" i="1"/>
  <c r="E1669" i="1"/>
  <c r="F1669" i="1"/>
  <c r="C1670" i="1"/>
  <c r="D1670" i="1"/>
  <c r="E1670" i="1"/>
  <c r="F1670" i="1"/>
  <c r="C1671" i="1"/>
  <c r="D1671" i="1"/>
  <c r="E1671" i="1"/>
  <c r="F1671" i="1"/>
  <c r="C1672" i="1"/>
  <c r="D1672" i="1"/>
  <c r="E1672" i="1"/>
  <c r="F1672" i="1"/>
  <c r="C1673" i="1"/>
  <c r="D1673" i="1"/>
  <c r="E1673" i="1"/>
  <c r="F1673" i="1"/>
  <c r="C1674" i="1"/>
  <c r="D1674" i="1"/>
  <c r="E1674" i="1"/>
  <c r="F1674" i="1"/>
  <c r="C1675" i="1"/>
  <c r="D1675" i="1"/>
  <c r="E1675" i="1"/>
  <c r="F1675" i="1"/>
  <c r="C1676" i="1"/>
  <c r="D1676" i="1"/>
  <c r="E1676" i="1"/>
  <c r="F1676" i="1"/>
  <c r="C1677" i="1"/>
  <c r="D1677" i="1"/>
  <c r="E1677" i="1"/>
  <c r="F1677" i="1"/>
  <c r="C1678" i="1"/>
  <c r="D1678" i="1"/>
  <c r="E1678" i="1"/>
  <c r="F1678" i="1"/>
  <c r="C1679" i="1"/>
  <c r="D1679" i="1"/>
  <c r="E1679" i="1"/>
  <c r="F1679" i="1"/>
  <c r="C1680" i="1"/>
  <c r="D1680" i="1"/>
  <c r="E1680" i="1"/>
  <c r="F1680" i="1"/>
  <c r="C1681" i="1"/>
  <c r="D1681" i="1"/>
  <c r="E1681" i="1"/>
  <c r="F1681" i="1"/>
  <c r="C1682" i="1"/>
  <c r="D1682" i="1"/>
  <c r="E1682" i="1"/>
  <c r="F1682" i="1"/>
  <c r="C1683" i="1"/>
  <c r="D1683" i="1"/>
  <c r="E1683" i="1"/>
  <c r="F1683" i="1"/>
  <c r="C1684" i="1"/>
  <c r="D1684" i="1"/>
  <c r="E1684" i="1"/>
  <c r="F1684" i="1"/>
  <c r="C1685" i="1"/>
  <c r="D1685" i="1"/>
  <c r="E1685" i="1"/>
  <c r="F1685" i="1"/>
  <c r="C1686" i="1"/>
  <c r="D1686" i="1"/>
  <c r="E1686" i="1"/>
  <c r="F1686" i="1"/>
  <c r="C1687" i="1"/>
  <c r="D1687" i="1"/>
  <c r="E1687" i="1"/>
  <c r="F1687" i="1"/>
  <c r="C1688" i="1"/>
  <c r="D1688" i="1"/>
  <c r="E1688" i="1"/>
  <c r="F1688" i="1"/>
  <c r="C1689" i="1"/>
  <c r="D1689" i="1"/>
  <c r="E1689" i="1"/>
  <c r="F1689" i="1"/>
  <c r="C1690" i="1"/>
  <c r="D1690" i="1"/>
  <c r="E1690" i="1"/>
  <c r="F1690" i="1"/>
  <c r="C1691" i="1"/>
  <c r="D1691" i="1"/>
  <c r="E1691" i="1"/>
  <c r="F1691" i="1"/>
  <c r="C1692" i="1"/>
  <c r="D1692" i="1"/>
  <c r="E1692" i="1"/>
  <c r="F1692" i="1"/>
  <c r="C1693" i="1"/>
  <c r="D1693" i="1"/>
  <c r="E1693" i="1"/>
  <c r="F1693" i="1"/>
  <c r="C1694" i="1"/>
  <c r="D1694" i="1"/>
  <c r="E1694" i="1"/>
  <c r="F1694" i="1"/>
  <c r="C1695" i="1"/>
  <c r="D1695" i="1"/>
  <c r="E1695" i="1"/>
  <c r="F1695" i="1"/>
  <c r="C1696" i="1"/>
  <c r="D1696" i="1"/>
  <c r="E1696" i="1"/>
  <c r="F1696" i="1"/>
  <c r="C1697" i="1"/>
  <c r="D1697" i="1"/>
  <c r="E1697" i="1"/>
  <c r="F1697" i="1"/>
  <c r="C1698" i="1"/>
  <c r="D1698" i="1"/>
  <c r="E1698" i="1"/>
  <c r="F1698" i="1"/>
  <c r="C1699" i="1"/>
  <c r="D1699" i="1"/>
  <c r="E1699" i="1"/>
  <c r="F1699" i="1"/>
  <c r="C1700" i="1"/>
  <c r="D1700" i="1"/>
  <c r="E1700" i="1"/>
  <c r="F1700" i="1"/>
  <c r="C1701" i="1"/>
  <c r="D1701" i="1"/>
  <c r="E1701" i="1"/>
  <c r="F1701" i="1"/>
  <c r="C1702" i="1"/>
  <c r="D1702" i="1"/>
  <c r="E1702" i="1"/>
  <c r="F1702" i="1"/>
  <c r="C1703" i="1"/>
  <c r="D1703" i="1"/>
  <c r="E1703" i="1"/>
  <c r="F1703" i="1"/>
  <c r="C1704" i="1"/>
  <c r="D1704" i="1"/>
  <c r="E1704" i="1"/>
  <c r="F1704" i="1"/>
  <c r="C1705" i="1"/>
  <c r="D1705" i="1"/>
  <c r="E1705" i="1"/>
  <c r="F1705" i="1"/>
  <c r="C1706" i="1"/>
  <c r="D1706" i="1"/>
  <c r="E1706" i="1"/>
  <c r="F1706" i="1"/>
  <c r="C1707" i="1"/>
  <c r="D1707" i="1"/>
  <c r="E1707" i="1"/>
  <c r="F1707" i="1"/>
  <c r="C1708" i="1"/>
  <c r="D1708" i="1"/>
  <c r="E1708" i="1"/>
  <c r="F1708" i="1"/>
  <c r="C1709" i="1"/>
  <c r="D1709" i="1"/>
  <c r="E1709" i="1"/>
  <c r="F1709" i="1"/>
  <c r="C1710" i="1"/>
  <c r="D1710" i="1"/>
  <c r="E1710" i="1"/>
  <c r="F1710" i="1"/>
  <c r="C1711" i="1"/>
  <c r="D1711" i="1"/>
  <c r="E1711" i="1"/>
  <c r="F1711" i="1"/>
  <c r="C1712" i="1"/>
  <c r="D1712" i="1"/>
  <c r="E1712" i="1"/>
  <c r="F1712" i="1"/>
  <c r="C1713" i="1"/>
  <c r="D1713" i="1"/>
  <c r="E1713" i="1"/>
  <c r="F1713" i="1"/>
  <c r="C1714" i="1"/>
  <c r="D1714" i="1"/>
  <c r="E1714" i="1"/>
  <c r="F1714" i="1"/>
  <c r="C1715" i="1"/>
  <c r="D1715" i="1"/>
  <c r="E1715" i="1"/>
  <c r="F1715" i="1"/>
  <c r="C1716" i="1"/>
  <c r="D1716" i="1"/>
  <c r="E1716" i="1"/>
  <c r="F1716" i="1"/>
  <c r="C1717" i="1"/>
  <c r="D1717" i="1"/>
  <c r="E1717" i="1"/>
  <c r="F1717" i="1"/>
  <c r="C1718" i="1"/>
  <c r="D1718" i="1"/>
  <c r="E1718" i="1"/>
  <c r="F1718" i="1"/>
  <c r="C1719" i="1"/>
  <c r="D1719" i="1"/>
  <c r="E1719" i="1"/>
  <c r="F1719" i="1"/>
  <c r="C1720" i="1"/>
  <c r="D1720" i="1"/>
  <c r="E1720" i="1"/>
  <c r="F1720" i="1"/>
  <c r="C1721" i="1"/>
  <c r="D1721" i="1"/>
  <c r="E1721" i="1"/>
  <c r="F1721" i="1"/>
  <c r="C1722" i="1"/>
  <c r="D1722" i="1"/>
  <c r="E1722" i="1"/>
  <c r="F1722" i="1"/>
  <c r="C1723" i="1"/>
  <c r="D1723" i="1"/>
  <c r="E1723" i="1"/>
  <c r="F1723" i="1"/>
  <c r="C1724" i="1"/>
  <c r="D1724" i="1"/>
  <c r="E1724" i="1"/>
  <c r="F1724" i="1"/>
  <c r="C1725" i="1"/>
  <c r="D1725" i="1"/>
  <c r="E1725" i="1"/>
  <c r="F1725" i="1"/>
  <c r="C1726" i="1"/>
  <c r="D1726" i="1"/>
  <c r="E1726" i="1"/>
  <c r="F1726" i="1"/>
  <c r="C1727" i="1"/>
  <c r="D1727" i="1"/>
  <c r="E1727" i="1"/>
  <c r="F1727" i="1"/>
  <c r="C1728" i="1"/>
  <c r="D1728" i="1"/>
  <c r="E1728" i="1"/>
  <c r="F1728" i="1"/>
  <c r="C1729" i="1"/>
  <c r="D1729" i="1"/>
  <c r="E1729" i="1"/>
  <c r="F1729" i="1"/>
  <c r="C1730" i="1"/>
  <c r="D1730" i="1"/>
  <c r="E1730" i="1"/>
  <c r="F1730" i="1"/>
  <c r="C1731" i="1"/>
  <c r="D1731" i="1"/>
  <c r="E1731" i="1"/>
  <c r="F1731" i="1"/>
  <c r="C1732" i="1"/>
  <c r="D1732" i="1"/>
  <c r="E1732" i="1"/>
  <c r="F1732" i="1"/>
  <c r="C1733" i="1"/>
  <c r="D1733" i="1"/>
  <c r="E1733" i="1"/>
  <c r="F1733" i="1"/>
  <c r="C1734" i="1"/>
  <c r="D1734" i="1"/>
  <c r="E1734" i="1"/>
  <c r="F1734" i="1"/>
  <c r="C1735" i="1"/>
  <c r="D1735" i="1"/>
  <c r="E1735" i="1"/>
  <c r="F1735" i="1"/>
  <c r="C1736" i="1"/>
  <c r="D1736" i="1"/>
  <c r="E1736" i="1"/>
  <c r="F1736" i="1"/>
  <c r="C1737" i="1"/>
  <c r="D1737" i="1"/>
  <c r="E1737" i="1"/>
  <c r="F1737" i="1"/>
  <c r="C1738" i="1"/>
  <c r="D1738" i="1"/>
  <c r="E1738" i="1"/>
  <c r="F1738" i="1"/>
  <c r="C1739" i="1"/>
  <c r="D1739" i="1"/>
  <c r="E1739" i="1"/>
  <c r="F1739" i="1"/>
  <c r="C1740" i="1"/>
  <c r="D1740" i="1"/>
  <c r="E1740" i="1"/>
  <c r="F1740" i="1"/>
  <c r="C1741" i="1"/>
  <c r="D1741" i="1"/>
  <c r="E1741" i="1"/>
  <c r="F1741" i="1"/>
  <c r="C1742" i="1"/>
  <c r="D1742" i="1"/>
  <c r="E1742" i="1"/>
  <c r="F1742" i="1"/>
  <c r="C1743" i="1"/>
  <c r="D1743" i="1"/>
  <c r="E1743" i="1"/>
  <c r="F1743" i="1"/>
  <c r="C1744" i="1"/>
  <c r="D1744" i="1"/>
  <c r="E1744" i="1"/>
  <c r="F1744" i="1"/>
  <c r="C1745" i="1"/>
  <c r="D1745" i="1"/>
  <c r="E1745" i="1"/>
  <c r="F1745" i="1"/>
  <c r="C1746" i="1"/>
  <c r="D1746" i="1"/>
  <c r="E1746" i="1"/>
  <c r="F1746" i="1"/>
  <c r="C1747" i="1"/>
  <c r="D1747" i="1"/>
  <c r="E1747" i="1"/>
  <c r="F1747" i="1"/>
  <c r="C1748" i="1"/>
  <c r="D1748" i="1"/>
  <c r="E1748" i="1"/>
  <c r="F1748" i="1"/>
  <c r="C1749" i="1"/>
  <c r="D1749" i="1"/>
  <c r="E1749" i="1"/>
  <c r="F1749" i="1"/>
  <c r="C1750" i="1"/>
  <c r="D1750" i="1"/>
  <c r="E1750" i="1"/>
  <c r="F1750" i="1"/>
  <c r="C1751" i="1"/>
  <c r="D1751" i="1"/>
  <c r="E1751" i="1"/>
  <c r="F1751" i="1"/>
  <c r="C1752" i="1"/>
  <c r="D1752" i="1"/>
  <c r="E1752" i="1"/>
  <c r="F1752" i="1"/>
  <c r="C1753" i="1"/>
  <c r="D1753" i="1"/>
  <c r="E1753" i="1"/>
  <c r="F1753" i="1"/>
  <c r="C1754" i="1"/>
  <c r="D1754" i="1"/>
  <c r="E1754" i="1"/>
  <c r="F1754" i="1"/>
  <c r="C1755" i="1"/>
  <c r="D1755" i="1"/>
  <c r="E1755" i="1"/>
  <c r="F1755" i="1"/>
  <c r="C1756" i="1"/>
  <c r="D1756" i="1"/>
  <c r="E1756" i="1"/>
  <c r="F1756" i="1"/>
  <c r="C1757" i="1"/>
  <c r="D1757" i="1"/>
  <c r="E1757" i="1"/>
  <c r="F1757" i="1"/>
  <c r="C1758" i="1"/>
  <c r="D1758" i="1"/>
  <c r="E1758" i="1"/>
  <c r="F1758" i="1"/>
  <c r="C1759" i="1"/>
  <c r="D1759" i="1"/>
  <c r="E1759" i="1"/>
  <c r="F1759" i="1"/>
  <c r="C1760" i="1"/>
  <c r="D1760" i="1"/>
  <c r="E1760" i="1"/>
  <c r="F1760" i="1"/>
  <c r="C1761" i="1"/>
  <c r="D1761" i="1"/>
  <c r="E1761" i="1"/>
  <c r="F1761" i="1"/>
  <c r="C1762" i="1"/>
  <c r="D1762" i="1"/>
  <c r="E1762" i="1"/>
  <c r="F1762" i="1"/>
  <c r="C1763" i="1"/>
  <c r="D1763" i="1"/>
  <c r="E1763" i="1"/>
  <c r="F1763" i="1"/>
  <c r="C1764" i="1"/>
  <c r="D1764" i="1"/>
  <c r="E1764" i="1"/>
  <c r="F1764" i="1"/>
  <c r="C1765" i="1"/>
  <c r="D1765" i="1"/>
  <c r="E1765" i="1"/>
  <c r="F1765" i="1"/>
  <c r="C1766" i="1"/>
  <c r="D1766" i="1"/>
  <c r="E1766" i="1"/>
  <c r="F1766" i="1"/>
  <c r="C1767" i="1"/>
  <c r="D1767" i="1"/>
  <c r="E1767" i="1"/>
  <c r="F1767" i="1"/>
  <c r="C1768" i="1"/>
  <c r="D1768" i="1"/>
  <c r="E1768" i="1"/>
  <c r="F1768" i="1"/>
  <c r="C1769" i="1"/>
  <c r="D1769" i="1"/>
  <c r="E1769" i="1"/>
  <c r="F1769" i="1"/>
  <c r="C1770" i="1"/>
  <c r="D1770" i="1"/>
  <c r="E1770" i="1"/>
  <c r="F1770" i="1"/>
  <c r="C1771" i="1"/>
  <c r="D1771" i="1"/>
  <c r="E1771" i="1"/>
  <c r="F1771" i="1"/>
  <c r="C1772" i="1"/>
  <c r="D1772" i="1"/>
  <c r="E1772" i="1"/>
  <c r="F1772" i="1"/>
  <c r="C1773" i="1"/>
  <c r="D1773" i="1"/>
  <c r="E1773" i="1"/>
  <c r="F1773" i="1"/>
  <c r="C1774" i="1"/>
  <c r="D1774" i="1"/>
  <c r="E1774" i="1"/>
  <c r="F1774" i="1"/>
  <c r="C1775" i="1"/>
  <c r="D1775" i="1"/>
  <c r="E1775" i="1"/>
  <c r="F1775" i="1"/>
  <c r="F2" i="1"/>
  <c r="E2" i="1"/>
  <c r="D2" i="1"/>
  <c r="C2" i="1"/>
  <c r="AC1052" i="1" l="1"/>
  <c r="AD1052" i="1" s="1"/>
  <c r="AC1252" i="1"/>
  <c r="AD1252" i="1" s="1"/>
  <c r="AC1251" i="1"/>
  <c r="AD1251" i="1" s="1"/>
  <c r="AC1250" i="1"/>
  <c r="AD1250" i="1" s="1"/>
  <c r="AC1249" i="1"/>
  <c r="AD1249" i="1" s="1"/>
  <c r="AC1248" i="1"/>
  <c r="AD1248" i="1" s="1"/>
  <c r="AC1247" i="1"/>
  <c r="AD1247" i="1" s="1"/>
  <c r="AC1246" i="1"/>
  <c r="AD1246" i="1" s="1"/>
  <c r="AC1245" i="1"/>
  <c r="AD1245" i="1" s="1"/>
  <c r="AC1244" i="1"/>
  <c r="AD1244" i="1" s="1"/>
  <c r="AC1243" i="1"/>
  <c r="AD1243" i="1" s="1"/>
  <c r="AC1242" i="1"/>
  <c r="AD1242" i="1" s="1"/>
  <c r="AC1241" i="1"/>
  <c r="AD1241" i="1" s="1"/>
  <c r="AC1240" i="1"/>
  <c r="AD1240" i="1" s="1"/>
  <c r="AC1239" i="1"/>
  <c r="AD1239" i="1" s="1"/>
  <c r="AC1238" i="1"/>
  <c r="AD1238" i="1" s="1"/>
  <c r="AC1237" i="1"/>
  <c r="AD1237" i="1" s="1"/>
  <c r="AC1236" i="1"/>
  <c r="AD1236" i="1" s="1"/>
  <c r="AC1235" i="1"/>
  <c r="AD1235" i="1" s="1"/>
  <c r="AC1234" i="1"/>
  <c r="AD1234" i="1" s="1"/>
  <c r="AC1233" i="1"/>
  <c r="AD1233" i="1" s="1"/>
  <c r="AC1232" i="1"/>
  <c r="AD1232" i="1" s="1"/>
  <c r="AC1231" i="1"/>
  <c r="AD1231" i="1" s="1"/>
  <c r="AC1230" i="1"/>
  <c r="AD1230" i="1" s="1"/>
  <c r="AC1229" i="1"/>
  <c r="AD1229" i="1" s="1"/>
  <c r="AC1228" i="1"/>
  <c r="AD1228" i="1" s="1"/>
  <c r="AC1227" i="1"/>
  <c r="AD1227" i="1" s="1"/>
  <c r="AC1226" i="1"/>
  <c r="AD1226" i="1" s="1"/>
  <c r="AC1225" i="1"/>
  <c r="AD1225" i="1" s="1"/>
  <c r="AC1224" i="1"/>
  <c r="AD1224" i="1" s="1"/>
  <c r="AC1223" i="1"/>
  <c r="AD1223" i="1" s="1"/>
  <c r="AC1222" i="1"/>
  <c r="AD1222" i="1" s="1"/>
  <c r="AC1221" i="1"/>
  <c r="AD1221" i="1" s="1"/>
  <c r="AC1220" i="1"/>
  <c r="AD1220" i="1" s="1"/>
  <c r="AC1219" i="1"/>
  <c r="AD1219" i="1" s="1"/>
  <c r="AC1218" i="1"/>
  <c r="AD1218" i="1" s="1"/>
  <c r="AC1217" i="1"/>
  <c r="AD1217" i="1" s="1"/>
  <c r="AC1216" i="1"/>
  <c r="AD1216" i="1" s="1"/>
  <c r="AC1215" i="1"/>
  <c r="AD1215" i="1" s="1"/>
  <c r="AC1214" i="1"/>
  <c r="AD1214" i="1" s="1"/>
  <c r="AC1213" i="1"/>
  <c r="AD1213" i="1" s="1"/>
  <c r="AC1212" i="1"/>
  <c r="AD1212" i="1" s="1"/>
  <c r="AC1211" i="1"/>
  <c r="AD1211" i="1" s="1"/>
  <c r="AC1210" i="1"/>
  <c r="AD1210" i="1" s="1"/>
  <c r="AC1209" i="1"/>
  <c r="AD1209" i="1" s="1"/>
  <c r="AC1208" i="1"/>
  <c r="AD1208" i="1" s="1"/>
  <c r="AC1207" i="1"/>
  <c r="AD1207" i="1" s="1"/>
  <c r="AC1206" i="1"/>
  <c r="AD1206" i="1" s="1"/>
  <c r="AC1205" i="1"/>
  <c r="AD1205" i="1" s="1"/>
  <c r="AC1204" i="1"/>
  <c r="AD1204" i="1" s="1"/>
  <c r="AC1203" i="1"/>
  <c r="AD1203" i="1" s="1"/>
  <c r="AC1202" i="1"/>
  <c r="AD1202" i="1" s="1"/>
  <c r="AC1201" i="1"/>
  <c r="AD1201" i="1" s="1"/>
  <c r="AC1200" i="1"/>
  <c r="AD1200" i="1" s="1"/>
  <c r="AC1199" i="1"/>
  <c r="AD1199" i="1" s="1"/>
  <c r="AC1198" i="1"/>
  <c r="AD1198" i="1" s="1"/>
  <c r="AC1197" i="1"/>
  <c r="AD1197" i="1" s="1"/>
  <c r="AC1196" i="1"/>
  <c r="AD1196" i="1" s="1"/>
  <c r="AC1195" i="1"/>
  <c r="AD1195" i="1" s="1"/>
  <c r="AC1194" i="1"/>
  <c r="AD1194" i="1" s="1"/>
  <c r="AC1193" i="1"/>
  <c r="AD1193" i="1" s="1"/>
  <c r="AC1192" i="1"/>
  <c r="AD1192" i="1" s="1"/>
  <c r="AC1191" i="1"/>
  <c r="AD1191" i="1" s="1"/>
  <c r="AC1190" i="1"/>
  <c r="AD1190" i="1" s="1"/>
  <c r="AC1189" i="1"/>
  <c r="AD1189" i="1" s="1"/>
  <c r="AC1188" i="1"/>
  <c r="AD1188" i="1" s="1"/>
  <c r="AC1187" i="1"/>
  <c r="AD1187" i="1" s="1"/>
  <c r="AC1186" i="1"/>
  <c r="AD1186" i="1" s="1"/>
  <c r="AC1185" i="1"/>
  <c r="AD1185" i="1" s="1"/>
  <c r="AC1184" i="1"/>
  <c r="AD1184" i="1" s="1"/>
  <c r="AC1183" i="1"/>
  <c r="AD1183" i="1" s="1"/>
  <c r="AC1182" i="1"/>
  <c r="AD1182" i="1" s="1"/>
  <c r="AC1181" i="1"/>
  <c r="AD1181" i="1" s="1"/>
  <c r="AC1180" i="1"/>
  <c r="AD1180" i="1" s="1"/>
  <c r="AC1179" i="1"/>
  <c r="AD1179" i="1" s="1"/>
  <c r="AC1178" i="1"/>
  <c r="AD1178" i="1" s="1"/>
  <c r="AC1177" i="1"/>
  <c r="AD1177" i="1" s="1"/>
  <c r="AC1176" i="1"/>
  <c r="AD1176" i="1" s="1"/>
  <c r="AC1175" i="1"/>
  <c r="AD1175" i="1" s="1"/>
  <c r="AC1174" i="1"/>
  <c r="AD1174" i="1" s="1"/>
  <c r="AC1173" i="1"/>
  <c r="AD1173" i="1" s="1"/>
  <c r="AC1172" i="1"/>
  <c r="AD1172" i="1" s="1"/>
  <c r="AC1171" i="1"/>
  <c r="AD1171" i="1" s="1"/>
  <c r="AC1170" i="1"/>
  <c r="AD1170" i="1" s="1"/>
  <c r="AC1169" i="1"/>
  <c r="AD1169" i="1" s="1"/>
  <c r="AC1168" i="1"/>
  <c r="AD1168" i="1" s="1"/>
  <c r="AC1167" i="1"/>
  <c r="AD1167" i="1" s="1"/>
  <c r="AC1166" i="1"/>
  <c r="AD1166" i="1" s="1"/>
  <c r="AC1165" i="1"/>
  <c r="AD1165" i="1" s="1"/>
  <c r="AC1164" i="1"/>
  <c r="AD1164" i="1" s="1"/>
  <c r="AC1163" i="1"/>
  <c r="AD1163" i="1" s="1"/>
  <c r="AC1162" i="1"/>
  <c r="AD1162" i="1" s="1"/>
  <c r="AC1161" i="1"/>
  <c r="AD1161" i="1" s="1"/>
  <c r="AC1160" i="1"/>
  <c r="AD1160" i="1" s="1"/>
  <c r="AC1159" i="1"/>
  <c r="AD1159" i="1" s="1"/>
  <c r="AC1158" i="1"/>
  <c r="AD1158" i="1" s="1"/>
  <c r="AC1157" i="1"/>
  <c r="AD1157" i="1" s="1"/>
  <c r="AC1156" i="1"/>
  <c r="AD1156" i="1" s="1"/>
  <c r="AC1155" i="1"/>
  <c r="AD1155" i="1" s="1"/>
  <c r="AC1154" i="1"/>
  <c r="AD1154" i="1" s="1"/>
  <c r="AC1153" i="1"/>
  <c r="AD1153" i="1" s="1"/>
  <c r="AC1152" i="1"/>
  <c r="AD1152" i="1" s="1"/>
  <c r="AC1151" i="1"/>
  <c r="AD1151" i="1" s="1"/>
  <c r="AC1150" i="1"/>
  <c r="AD1150" i="1" s="1"/>
  <c r="AC1149" i="1"/>
  <c r="AD1149" i="1" s="1"/>
  <c r="AC1148" i="1"/>
  <c r="AD1148" i="1" s="1"/>
  <c r="AC1147" i="1"/>
  <c r="AD1147" i="1" s="1"/>
  <c r="AC1146" i="1"/>
  <c r="AD1146" i="1" s="1"/>
  <c r="AC1145" i="1"/>
  <c r="AD1145" i="1" s="1"/>
  <c r="AC1144" i="1"/>
  <c r="AD1144" i="1" s="1"/>
  <c r="AC1143" i="1"/>
  <c r="AD1143" i="1" s="1"/>
  <c r="AC1142" i="1"/>
  <c r="AD1142" i="1" s="1"/>
  <c r="AC1141" i="1"/>
  <c r="AD1141" i="1" s="1"/>
  <c r="AC1140" i="1"/>
  <c r="AD1140" i="1" s="1"/>
  <c r="AC1139" i="1"/>
  <c r="AD1139" i="1" s="1"/>
  <c r="AC1138" i="1"/>
  <c r="AD1138" i="1" s="1"/>
  <c r="AC1137" i="1"/>
  <c r="AD1137" i="1" s="1"/>
  <c r="AC1136" i="1"/>
  <c r="AD1136" i="1" s="1"/>
  <c r="AC1135" i="1"/>
  <c r="AD1135" i="1" s="1"/>
  <c r="AC1134" i="1"/>
  <c r="AD1134" i="1" s="1"/>
  <c r="AC1133" i="1"/>
  <c r="AD1133" i="1" s="1"/>
  <c r="AC1132" i="1"/>
  <c r="AD1132" i="1" s="1"/>
  <c r="AC1131" i="1"/>
  <c r="AD1131" i="1" s="1"/>
  <c r="AC1130" i="1"/>
  <c r="AD1130" i="1" s="1"/>
  <c r="AC1129" i="1"/>
  <c r="AD1129" i="1" s="1"/>
  <c r="AC1128" i="1"/>
  <c r="AD1128" i="1" s="1"/>
  <c r="AC1127" i="1"/>
  <c r="AD1127" i="1" s="1"/>
  <c r="AC1126" i="1"/>
  <c r="AD1126" i="1" s="1"/>
  <c r="AC1125" i="1"/>
  <c r="AD1125" i="1" s="1"/>
  <c r="AC1124" i="1"/>
  <c r="AD1124" i="1" s="1"/>
  <c r="AC1123" i="1"/>
  <c r="AD1123" i="1" s="1"/>
  <c r="AC1122" i="1"/>
  <c r="AD1122" i="1" s="1"/>
  <c r="AC1121" i="1"/>
  <c r="AD1121" i="1" s="1"/>
  <c r="AC1120" i="1"/>
  <c r="AD1120" i="1" s="1"/>
  <c r="AC1119" i="1"/>
  <c r="AD1119" i="1" s="1"/>
  <c r="AC1118" i="1"/>
  <c r="AD1118" i="1" s="1"/>
  <c r="AC1117" i="1"/>
  <c r="AD1117" i="1" s="1"/>
  <c r="AC1116" i="1"/>
  <c r="AD1116" i="1" s="1"/>
  <c r="AC1115" i="1"/>
  <c r="AD1115" i="1" s="1"/>
  <c r="AC1114" i="1"/>
  <c r="AD1114" i="1" s="1"/>
  <c r="AC1113" i="1"/>
  <c r="AD1113" i="1" s="1"/>
  <c r="AC1112" i="1"/>
  <c r="AD1112" i="1" s="1"/>
  <c r="AC1111" i="1"/>
  <c r="AD1111" i="1" s="1"/>
  <c r="AC1110" i="1"/>
  <c r="AD1110" i="1" s="1"/>
  <c r="AC1109" i="1"/>
  <c r="AD1109" i="1" s="1"/>
  <c r="AC1108" i="1"/>
  <c r="AD1108" i="1" s="1"/>
  <c r="AC1107" i="1"/>
  <c r="AD1107" i="1" s="1"/>
  <c r="AC1106" i="1"/>
  <c r="AD1106" i="1" s="1"/>
  <c r="AC1105" i="1"/>
  <c r="AD1105" i="1" s="1"/>
  <c r="AC1104" i="1"/>
  <c r="AD1104" i="1" s="1"/>
  <c r="AC1103" i="1"/>
  <c r="AD1103" i="1" s="1"/>
  <c r="AC1102" i="1"/>
  <c r="AD1102" i="1" s="1"/>
  <c r="AC1101" i="1"/>
  <c r="AD1101" i="1" s="1"/>
  <c r="AC1100" i="1"/>
  <c r="AD1100" i="1" s="1"/>
  <c r="AC1099" i="1"/>
  <c r="AD1099" i="1" s="1"/>
  <c r="AC1098" i="1"/>
  <c r="AD1098" i="1" s="1"/>
  <c r="AC1097" i="1"/>
  <c r="AD1097" i="1" s="1"/>
  <c r="AC1096" i="1"/>
  <c r="AD1096" i="1" s="1"/>
  <c r="AC1095" i="1"/>
  <c r="AD1095" i="1" s="1"/>
  <c r="AC1094" i="1"/>
  <c r="AD1094" i="1" s="1"/>
  <c r="AC1093" i="1"/>
  <c r="AD1093" i="1" s="1"/>
  <c r="AC1092" i="1"/>
  <c r="AD1092" i="1" s="1"/>
  <c r="AC1091" i="1"/>
  <c r="AD1091" i="1" s="1"/>
  <c r="AC1090" i="1"/>
  <c r="AD1090" i="1" s="1"/>
  <c r="AC1089" i="1"/>
  <c r="AD1089" i="1" s="1"/>
  <c r="AC1088" i="1"/>
  <c r="AD1088" i="1" s="1"/>
  <c r="AC1087" i="1"/>
  <c r="AD1087" i="1" s="1"/>
  <c r="AC1086" i="1"/>
  <c r="AD1086" i="1" s="1"/>
  <c r="AC1085" i="1"/>
  <c r="AD1085" i="1" s="1"/>
  <c r="AC1084" i="1"/>
  <c r="AD1084" i="1" s="1"/>
  <c r="AC1083" i="1"/>
  <c r="AD1083" i="1" s="1"/>
  <c r="AC1082" i="1"/>
  <c r="AD1082" i="1" s="1"/>
  <c r="AC1081" i="1"/>
  <c r="AD1081" i="1" s="1"/>
  <c r="AC1080" i="1"/>
  <c r="AD1080" i="1" s="1"/>
  <c r="AC1079" i="1"/>
  <c r="AD1079" i="1" s="1"/>
  <c r="AC1078" i="1"/>
  <c r="AD1078" i="1" s="1"/>
  <c r="AC1077" i="1"/>
  <c r="AD1077" i="1" s="1"/>
  <c r="AC1076" i="1"/>
  <c r="AD1076" i="1" s="1"/>
  <c r="AC1075" i="1"/>
  <c r="AD1075" i="1" s="1"/>
  <c r="AC1074" i="1"/>
  <c r="AD1074" i="1" s="1"/>
  <c r="AC1073" i="1"/>
  <c r="AD1073" i="1" s="1"/>
  <c r="AC1072" i="1"/>
  <c r="AD1072" i="1" s="1"/>
  <c r="AC1071" i="1"/>
  <c r="AD1071" i="1" s="1"/>
  <c r="AC1070" i="1"/>
  <c r="AD1070" i="1" s="1"/>
  <c r="AC1069" i="1"/>
  <c r="AD1069" i="1" s="1"/>
  <c r="AC1068" i="1"/>
  <c r="AD1068" i="1" s="1"/>
  <c r="AC1067" i="1"/>
  <c r="AD1067" i="1" s="1"/>
  <c r="AC1066" i="1"/>
  <c r="AD1066" i="1" s="1"/>
  <c r="AC1065" i="1"/>
  <c r="AD1065" i="1" s="1"/>
  <c r="AC1064" i="1"/>
  <c r="AD1064" i="1" s="1"/>
  <c r="AC1063" i="1"/>
  <c r="AD1063" i="1" s="1"/>
  <c r="AC1062" i="1"/>
  <c r="AD1062" i="1" s="1"/>
  <c r="AC1061" i="1"/>
  <c r="AD1061" i="1" s="1"/>
  <c r="AC1060" i="1"/>
  <c r="AD1060" i="1" s="1"/>
  <c r="AC1059" i="1"/>
  <c r="AD1059" i="1" s="1"/>
  <c r="AC1058" i="1"/>
  <c r="AD1058" i="1" s="1"/>
  <c r="AC1057" i="1"/>
  <c r="AD1057" i="1" s="1"/>
  <c r="AC1056" i="1"/>
  <c r="AD1056" i="1" s="1"/>
  <c r="AC1055" i="1"/>
  <c r="AD1055" i="1" s="1"/>
  <c r="AC1054" i="1"/>
  <c r="AD1054" i="1" s="1"/>
  <c r="AC1053" i="1"/>
  <c r="AD1053" i="1" s="1"/>
  <c r="AA1253" i="1"/>
  <c r="AB1253" i="1" s="1"/>
  <c r="P1254" i="1"/>
  <c r="AA1254" i="1" s="1"/>
  <c r="AB1254" i="1" s="1"/>
  <c r="P1255" i="1"/>
  <c r="AA1255" i="1" s="1"/>
  <c r="AB1255" i="1" s="1"/>
  <c r="P1256" i="1"/>
  <c r="AA1256" i="1" s="1"/>
  <c r="AB1256" i="1" s="1"/>
  <c r="P1257" i="1"/>
  <c r="AA1257" i="1" s="1"/>
  <c r="AB1257" i="1" s="1"/>
  <c r="P1258" i="1"/>
  <c r="AA1258" i="1" s="1"/>
  <c r="AB1258" i="1" s="1"/>
  <c r="P1259" i="1"/>
  <c r="AA1259" i="1" s="1"/>
  <c r="AB1259" i="1" s="1"/>
  <c r="P1260" i="1"/>
  <c r="AA1260" i="1" s="1"/>
  <c r="AB1260" i="1" s="1"/>
  <c r="P1261" i="1"/>
  <c r="AA1261" i="1" s="1"/>
  <c r="AB1261" i="1" s="1"/>
  <c r="P1262" i="1"/>
  <c r="AA1262" i="1" s="1"/>
  <c r="AB1262" i="1" s="1"/>
  <c r="P1263" i="1"/>
  <c r="AA1263" i="1" s="1"/>
  <c r="AB1263" i="1" s="1"/>
  <c r="P1264" i="1"/>
  <c r="AA1264" i="1" s="1"/>
  <c r="AB1264" i="1" s="1"/>
  <c r="P1265" i="1"/>
  <c r="AA1265" i="1" s="1"/>
  <c r="AB1265" i="1" s="1"/>
  <c r="P1266" i="1"/>
  <c r="AA1266" i="1" s="1"/>
  <c r="AB1266" i="1" s="1"/>
  <c r="P1267" i="1"/>
  <c r="AA1267" i="1" s="1"/>
  <c r="AB1267" i="1" s="1"/>
  <c r="P1268" i="1"/>
  <c r="AA1268" i="1" s="1"/>
  <c r="AB1268" i="1" s="1"/>
  <c r="P1269" i="1"/>
  <c r="AA1269" i="1" s="1"/>
  <c r="AB1269" i="1" s="1"/>
  <c r="P1270" i="1"/>
  <c r="AA1270" i="1" s="1"/>
  <c r="AB1270" i="1" s="1"/>
  <c r="P1271" i="1"/>
  <c r="AA1271" i="1" s="1"/>
  <c r="AB1271" i="1" s="1"/>
  <c r="P1272" i="1"/>
  <c r="AA1272" i="1" s="1"/>
  <c r="AB1272" i="1" s="1"/>
  <c r="P1273" i="1"/>
  <c r="AA1273" i="1" s="1"/>
  <c r="AB1273" i="1" s="1"/>
  <c r="P1274" i="1"/>
  <c r="AA1274" i="1" s="1"/>
  <c r="AB1274" i="1" s="1"/>
  <c r="P1275" i="1"/>
  <c r="AA1275" i="1" s="1"/>
  <c r="AB1275" i="1" s="1"/>
  <c r="P1276" i="1"/>
  <c r="AA1276" i="1" s="1"/>
  <c r="AB1276" i="1" s="1"/>
  <c r="P1277" i="1"/>
  <c r="AA1277" i="1" s="1"/>
  <c r="AB1277" i="1" s="1"/>
  <c r="P1278" i="1"/>
  <c r="AA1278" i="1" s="1"/>
  <c r="AB1278" i="1" s="1"/>
  <c r="P1279" i="1"/>
  <c r="AA1279" i="1" s="1"/>
  <c r="AB1279" i="1" s="1"/>
  <c r="P1280" i="1"/>
  <c r="AA1280" i="1" s="1"/>
  <c r="AB1280" i="1" s="1"/>
  <c r="P1281" i="1"/>
  <c r="AA1281" i="1" s="1"/>
  <c r="AB1281" i="1" s="1"/>
  <c r="P1282" i="1"/>
  <c r="AA1282" i="1" s="1"/>
  <c r="AB1282" i="1" s="1"/>
  <c r="P1283" i="1"/>
  <c r="AA1283" i="1" s="1"/>
  <c r="AB1283" i="1" s="1"/>
  <c r="P1284" i="1"/>
  <c r="AA1284" i="1" s="1"/>
  <c r="AB1284" i="1" s="1"/>
  <c r="P1285" i="1"/>
  <c r="AA1285" i="1" s="1"/>
  <c r="AB1285" i="1" s="1"/>
  <c r="P1286" i="1"/>
  <c r="AA1286" i="1" s="1"/>
  <c r="AB1286" i="1" s="1"/>
  <c r="P1287" i="1"/>
  <c r="AA1287" i="1" s="1"/>
  <c r="AB1287" i="1" s="1"/>
  <c r="P1288" i="1"/>
  <c r="AA1288" i="1" s="1"/>
  <c r="AB1288" i="1" s="1"/>
  <c r="P1289" i="1"/>
  <c r="AA1289" i="1" s="1"/>
  <c r="AB1289" i="1" s="1"/>
  <c r="P1290" i="1"/>
  <c r="AA1290" i="1" s="1"/>
  <c r="AB1290" i="1" s="1"/>
  <c r="P1291" i="1"/>
  <c r="AA1291" i="1" s="1"/>
  <c r="AB1291" i="1" s="1"/>
  <c r="P1292" i="1"/>
  <c r="AA1292" i="1" s="1"/>
  <c r="AB1292" i="1" s="1"/>
  <c r="P1293" i="1"/>
  <c r="AA1293" i="1" s="1"/>
  <c r="AB1293" i="1" s="1"/>
  <c r="P1294" i="1"/>
  <c r="AA1294" i="1" s="1"/>
  <c r="AB1294" i="1" s="1"/>
  <c r="P1295" i="1"/>
  <c r="AA1295" i="1" s="1"/>
  <c r="AB1295" i="1" s="1"/>
  <c r="P1296" i="1"/>
  <c r="AA1296" i="1" s="1"/>
  <c r="AB1296" i="1" s="1"/>
  <c r="P1297" i="1"/>
  <c r="AA1297" i="1" s="1"/>
  <c r="AB1297" i="1" s="1"/>
  <c r="P1298" i="1"/>
  <c r="AA1298" i="1" s="1"/>
  <c r="AB1298" i="1" s="1"/>
  <c r="P1299" i="1"/>
  <c r="AA1299" i="1" s="1"/>
  <c r="AB1299" i="1" s="1"/>
  <c r="P1300" i="1"/>
  <c r="AA1300" i="1" s="1"/>
  <c r="AB1300" i="1" s="1"/>
  <c r="P1301" i="1"/>
  <c r="AA1301" i="1" s="1"/>
  <c r="AB1301" i="1" s="1"/>
  <c r="P1302" i="1"/>
  <c r="AA1302" i="1" s="1"/>
  <c r="AB1302" i="1" s="1"/>
  <c r="P1303" i="1"/>
  <c r="AA1303" i="1" s="1"/>
  <c r="AB1303" i="1" s="1"/>
  <c r="P1304" i="1"/>
  <c r="AA1304" i="1" s="1"/>
  <c r="AB1304" i="1" s="1"/>
  <c r="P1305" i="1"/>
  <c r="AA1305" i="1" s="1"/>
  <c r="AB1305" i="1" s="1"/>
  <c r="P1306" i="1"/>
  <c r="AA1306" i="1" s="1"/>
  <c r="AB1306" i="1" s="1"/>
  <c r="P1307" i="1"/>
  <c r="AA1307" i="1" s="1"/>
  <c r="AB1307" i="1" s="1"/>
  <c r="P1308" i="1"/>
  <c r="AA1308" i="1" s="1"/>
  <c r="AB1308" i="1" s="1"/>
  <c r="P1309" i="1"/>
  <c r="AA1309" i="1" s="1"/>
  <c r="AB1309" i="1" s="1"/>
  <c r="P1310" i="1"/>
  <c r="AA1310" i="1" s="1"/>
  <c r="AB1310" i="1" s="1"/>
  <c r="P1311" i="1"/>
  <c r="AA1311" i="1" s="1"/>
  <c r="AB1311" i="1" s="1"/>
  <c r="P1312" i="1"/>
  <c r="AA1312" i="1" s="1"/>
  <c r="AB1312" i="1" s="1"/>
  <c r="P1313" i="1"/>
  <c r="AA1313" i="1" s="1"/>
  <c r="AB1313" i="1" s="1"/>
  <c r="P1314" i="1"/>
  <c r="AA1314" i="1" s="1"/>
  <c r="AB1314" i="1" s="1"/>
  <c r="P1315" i="1"/>
  <c r="AA1315" i="1" s="1"/>
  <c r="AB1315" i="1" s="1"/>
  <c r="P1316" i="1"/>
  <c r="AA1316" i="1" s="1"/>
  <c r="AB1316" i="1" s="1"/>
  <c r="P1317" i="1"/>
  <c r="AA1317" i="1" s="1"/>
  <c r="AB1317" i="1" s="1"/>
  <c r="P1318" i="1"/>
  <c r="AA1318" i="1" s="1"/>
  <c r="AB1318" i="1" s="1"/>
  <c r="P1319" i="1"/>
  <c r="AA1319" i="1" s="1"/>
  <c r="AB1319" i="1" s="1"/>
  <c r="P1320" i="1"/>
  <c r="AA1320" i="1" s="1"/>
  <c r="AB1320" i="1" s="1"/>
  <c r="P1321" i="1"/>
  <c r="AA1321" i="1" s="1"/>
  <c r="AB1321" i="1" s="1"/>
  <c r="P1322" i="1"/>
  <c r="AA1322" i="1" s="1"/>
  <c r="AB1322" i="1" s="1"/>
  <c r="P1323" i="1"/>
  <c r="AA1323" i="1" s="1"/>
  <c r="AB1323" i="1" s="1"/>
  <c r="P1324" i="1"/>
  <c r="AA1324" i="1" s="1"/>
  <c r="AB1324" i="1" s="1"/>
  <c r="P1325" i="1"/>
  <c r="AA1325" i="1" s="1"/>
  <c r="AB1325" i="1" s="1"/>
  <c r="P1326" i="1"/>
  <c r="AA1326" i="1" s="1"/>
  <c r="AB1326" i="1" s="1"/>
  <c r="P1327" i="1"/>
  <c r="AA1327" i="1" s="1"/>
  <c r="AB1327" i="1" s="1"/>
  <c r="P1328" i="1"/>
  <c r="AA1328" i="1" s="1"/>
  <c r="AB1328" i="1" s="1"/>
  <c r="P1329" i="1"/>
  <c r="AA1329" i="1" s="1"/>
  <c r="AB1329" i="1" s="1"/>
  <c r="P1330" i="1"/>
  <c r="AA1330" i="1" s="1"/>
  <c r="AB1330" i="1" s="1"/>
  <c r="P1331" i="1"/>
  <c r="AA1331" i="1" s="1"/>
  <c r="AB1331" i="1" s="1"/>
  <c r="P1332" i="1"/>
  <c r="AA1332" i="1" s="1"/>
  <c r="AB1332" i="1" s="1"/>
  <c r="P1333" i="1"/>
  <c r="AA1333" i="1" s="1"/>
  <c r="AB1333" i="1" s="1"/>
  <c r="P1334" i="1"/>
  <c r="AA1334" i="1" s="1"/>
  <c r="AB1334" i="1" s="1"/>
  <c r="P1335" i="1"/>
  <c r="AA1335" i="1" s="1"/>
  <c r="AB1335" i="1" s="1"/>
  <c r="P1336" i="1"/>
  <c r="AA1336" i="1" s="1"/>
  <c r="AB1336" i="1" s="1"/>
  <c r="P1337" i="1"/>
  <c r="AA1337" i="1" s="1"/>
  <c r="AB1337" i="1" s="1"/>
  <c r="P1338" i="1"/>
  <c r="AA1338" i="1" s="1"/>
  <c r="AB1338" i="1" s="1"/>
  <c r="P1339" i="1"/>
  <c r="AA1339" i="1" s="1"/>
  <c r="AB1339" i="1" s="1"/>
  <c r="P1340" i="1"/>
  <c r="AA1340" i="1" s="1"/>
  <c r="AB1340" i="1" s="1"/>
  <c r="P1341" i="1"/>
  <c r="AA1341" i="1" s="1"/>
  <c r="AB1341" i="1" s="1"/>
  <c r="P1342" i="1"/>
  <c r="AA1342" i="1" s="1"/>
  <c r="AB1342" i="1" s="1"/>
  <c r="P1343" i="1"/>
  <c r="AA1343" i="1" s="1"/>
  <c r="AB1343" i="1" s="1"/>
  <c r="P1344" i="1"/>
  <c r="AA1344" i="1" s="1"/>
  <c r="AB1344" i="1" s="1"/>
  <c r="P1345" i="1"/>
  <c r="AA1345" i="1" s="1"/>
  <c r="AB1345" i="1" s="1"/>
  <c r="P1346" i="1"/>
  <c r="AA1346" i="1" s="1"/>
  <c r="AB1346" i="1" s="1"/>
  <c r="P1347" i="1"/>
  <c r="AA1347" i="1" s="1"/>
  <c r="AB1347" i="1" s="1"/>
  <c r="P1348" i="1"/>
  <c r="AA1348" i="1" s="1"/>
  <c r="AB1348" i="1" s="1"/>
  <c r="P1349" i="1"/>
  <c r="AA1349" i="1" s="1"/>
  <c r="AB1349" i="1" s="1"/>
  <c r="P1350" i="1"/>
  <c r="AA1350" i="1" s="1"/>
  <c r="AB1350" i="1" s="1"/>
  <c r="P1351" i="1"/>
  <c r="AA1351" i="1" s="1"/>
  <c r="AB1351" i="1" s="1"/>
  <c r="P1352" i="1"/>
  <c r="AA1352" i="1" s="1"/>
  <c r="AB1352" i="1" s="1"/>
  <c r="P1353" i="1"/>
  <c r="AA1353" i="1" s="1"/>
  <c r="AB1353" i="1" s="1"/>
  <c r="P1354" i="1"/>
  <c r="AA1354" i="1" s="1"/>
  <c r="AB1354" i="1" s="1"/>
  <c r="P1355" i="1"/>
  <c r="AA1355" i="1" s="1"/>
  <c r="AB1355" i="1" s="1"/>
  <c r="P1356" i="1"/>
  <c r="AA1356" i="1" s="1"/>
  <c r="AB1356" i="1" s="1"/>
  <c r="P1357" i="1"/>
  <c r="AA1357" i="1" s="1"/>
  <c r="AB1357" i="1" s="1"/>
  <c r="P1358" i="1"/>
  <c r="AA1358" i="1" s="1"/>
  <c r="AB1358" i="1" s="1"/>
  <c r="P1359" i="1"/>
  <c r="AA1359" i="1" s="1"/>
  <c r="AB1359" i="1" s="1"/>
  <c r="P1360" i="1"/>
  <c r="AA1360" i="1" s="1"/>
  <c r="AB1360" i="1" s="1"/>
  <c r="AC1253" i="1" l="1"/>
  <c r="AD1253" i="1" s="1"/>
  <c r="P1361" i="1"/>
  <c r="AA1361" i="1" s="1"/>
  <c r="AB1361" i="1" s="1"/>
  <c r="AC1254" i="1" l="1"/>
  <c r="AD1254" i="1" s="1"/>
  <c r="AC1255" i="1"/>
  <c r="AD1255" i="1" s="1"/>
  <c r="AC1256" i="1"/>
  <c r="AD1256" i="1" s="1"/>
  <c r="AC1257" i="1"/>
  <c r="AD1257" i="1" s="1"/>
  <c r="AC1258" i="1"/>
  <c r="AD1258" i="1" s="1"/>
  <c r="AC1259" i="1"/>
  <c r="AD1259" i="1" s="1"/>
  <c r="AC1260" i="1"/>
  <c r="AD1260" i="1" s="1"/>
  <c r="AC1261" i="1"/>
  <c r="AD1261" i="1" s="1"/>
  <c r="AC1262" i="1"/>
  <c r="AD1262" i="1" s="1"/>
  <c r="AC1263" i="1"/>
  <c r="AD1263" i="1" s="1"/>
  <c r="AC1264" i="1"/>
  <c r="AD1264" i="1" s="1"/>
  <c r="AC1265" i="1"/>
  <c r="AD1265" i="1" s="1"/>
  <c r="AC1266" i="1"/>
  <c r="AD1266" i="1" s="1"/>
  <c r="AC1267" i="1"/>
  <c r="AD1267" i="1" s="1"/>
  <c r="AC1268" i="1"/>
  <c r="AD1268" i="1" s="1"/>
  <c r="AC1269" i="1"/>
  <c r="AD1269" i="1" s="1"/>
  <c r="AC1270" i="1"/>
  <c r="AD1270" i="1" s="1"/>
  <c r="AC1271" i="1"/>
  <c r="AD1271" i="1" s="1"/>
  <c r="AC1272" i="1"/>
  <c r="AD1272" i="1" s="1"/>
  <c r="AC1273" i="1"/>
  <c r="AD1273" i="1" s="1"/>
  <c r="AC1274" i="1"/>
  <c r="AD1274" i="1" s="1"/>
  <c r="AC1275" i="1"/>
  <c r="AD1275" i="1" s="1"/>
  <c r="AC1276" i="1"/>
  <c r="AD1276" i="1" s="1"/>
  <c r="AC1277" i="1"/>
  <c r="AD1277" i="1" s="1"/>
  <c r="AC1278" i="1"/>
  <c r="AD1278" i="1" s="1"/>
  <c r="AC1279" i="1"/>
  <c r="AD1279" i="1" s="1"/>
  <c r="AC1280" i="1"/>
  <c r="AD1280" i="1" s="1"/>
  <c r="AC1281" i="1"/>
  <c r="AD1281" i="1" s="1"/>
  <c r="AC1282" i="1"/>
  <c r="AD1282" i="1" s="1"/>
  <c r="AC1283" i="1"/>
  <c r="AD1283" i="1" s="1"/>
  <c r="AC1284" i="1"/>
  <c r="AD1284" i="1" s="1"/>
  <c r="AC1285" i="1"/>
  <c r="AD1285" i="1" s="1"/>
  <c r="AC1286" i="1"/>
  <c r="AD1286" i="1" s="1"/>
  <c r="AC1287" i="1"/>
  <c r="AD1287" i="1" s="1"/>
  <c r="AC1288" i="1"/>
  <c r="AD1288" i="1" s="1"/>
  <c r="AC1289" i="1"/>
  <c r="AD1289" i="1" s="1"/>
  <c r="AC1290" i="1"/>
  <c r="AD1290" i="1" s="1"/>
  <c r="AC1291" i="1"/>
  <c r="AD1291" i="1" s="1"/>
  <c r="AC1292" i="1"/>
  <c r="AD1292" i="1" s="1"/>
  <c r="AC1293" i="1"/>
  <c r="AD1293" i="1" s="1"/>
  <c r="AC1294" i="1"/>
  <c r="AD1294" i="1" s="1"/>
  <c r="AC1295" i="1"/>
  <c r="AD1295" i="1" s="1"/>
  <c r="AC1296" i="1"/>
  <c r="AD1296" i="1" s="1"/>
  <c r="AC1297" i="1"/>
  <c r="AD1297" i="1" s="1"/>
  <c r="AC1298" i="1"/>
  <c r="AD1298" i="1" s="1"/>
  <c r="AC1299" i="1"/>
  <c r="AD1299" i="1" s="1"/>
  <c r="AC1300" i="1"/>
  <c r="AD1300" i="1" s="1"/>
  <c r="AC1301" i="1"/>
  <c r="AD1301" i="1" s="1"/>
  <c r="AC1302" i="1"/>
  <c r="AD1302" i="1" s="1"/>
  <c r="AC1303" i="1"/>
  <c r="AD1303" i="1" s="1"/>
  <c r="AC1304" i="1"/>
  <c r="AD1304" i="1" s="1"/>
  <c r="AC1305" i="1"/>
  <c r="AD1305" i="1" s="1"/>
  <c r="AC1306" i="1"/>
  <c r="AD1306" i="1" s="1"/>
  <c r="AC1307" i="1"/>
  <c r="AD1307" i="1" s="1"/>
  <c r="AC1308" i="1"/>
  <c r="AD1308" i="1" s="1"/>
  <c r="AC1309" i="1"/>
  <c r="AD1309" i="1" s="1"/>
  <c r="AC1310" i="1"/>
  <c r="AD1310" i="1" s="1"/>
  <c r="AC1311" i="1"/>
  <c r="AD1311" i="1" s="1"/>
  <c r="AC1312" i="1"/>
  <c r="AD1312" i="1" s="1"/>
  <c r="AC1313" i="1"/>
  <c r="AD1313" i="1" s="1"/>
  <c r="AC1314" i="1"/>
  <c r="AD1314" i="1" s="1"/>
  <c r="AC1315" i="1"/>
  <c r="AD1315" i="1" s="1"/>
  <c r="AC1316" i="1"/>
  <c r="AD1316" i="1" s="1"/>
  <c r="AC1317" i="1"/>
  <c r="AD1317" i="1" s="1"/>
  <c r="AC1318" i="1"/>
  <c r="AD1318" i="1" s="1"/>
  <c r="AC1319" i="1"/>
  <c r="AD1319" i="1" s="1"/>
  <c r="AC1320" i="1"/>
  <c r="AD1320" i="1" s="1"/>
  <c r="AC1321" i="1"/>
  <c r="AD1321" i="1" s="1"/>
  <c r="AC1322" i="1"/>
  <c r="AD1322" i="1" s="1"/>
  <c r="AC1323" i="1"/>
  <c r="AD1323" i="1" s="1"/>
  <c r="AC1324" i="1"/>
  <c r="AD1324" i="1" s="1"/>
  <c r="AC1325" i="1"/>
  <c r="AD1325" i="1" s="1"/>
  <c r="AC1326" i="1"/>
  <c r="AD1326" i="1" s="1"/>
  <c r="AC1327" i="1"/>
  <c r="AD1327" i="1" s="1"/>
  <c r="AC1328" i="1"/>
  <c r="AD1328" i="1" s="1"/>
  <c r="AC1329" i="1"/>
  <c r="AD1329" i="1" s="1"/>
  <c r="AC1330" i="1"/>
  <c r="AD1330" i="1" s="1"/>
  <c r="AC1331" i="1"/>
  <c r="AD1331" i="1" s="1"/>
  <c r="AC1332" i="1"/>
  <c r="AD1332" i="1" s="1"/>
  <c r="AC1333" i="1"/>
  <c r="AD1333" i="1" s="1"/>
  <c r="AC1334" i="1"/>
  <c r="AD1334" i="1" s="1"/>
  <c r="AC1335" i="1"/>
  <c r="AD1335" i="1" s="1"/>
  <c r="AC1336" i="1"/>
  <c r="AD1336" i="1" s="1"/>
  <c r="AC1337" i="1"/>
  <c r="AD1337" i="1" s="1"/>
  <c r="AC1338" i="1"/>
  <c r="AD1338" i="1" s="1"/>
  <c r="AC1339" i="1"/>
  <c r="AD1339" i="1" s="1"/>
  <c r="AC1340" i="1"/>
  <c r="AD1340" i="1" s="1"/>
  <c r="AC1341" i="1"/>
  <c r="AD1341" i="1" s="1"/>
  <c r="AC1342" i="1"/>
  <c r="AD1342" i="1" s="1"/>
  <c r="AC1343" i="1"/>
  <c r="AD1343" i="1" s="1"/>
  <c r="AC1344" i="1"/>
  <c r="AD1344" i="1" s="1"/>
  <c r="AC1345" i="1"/>
  <c r="AD1345" i="1" s="1"/>
  <c r="AC1346" i="1"/>
  <c r="AD1346" i="1" s="1"/>
  <c r="AC1347" i="1"/>
  <c r="AD1347" i="1" s="1"/>
  <c r="AC1348" i="1"/>
  <c r="AD1348" i="1" s="1"/>
  <c r="AC1349" i="1"/>
  <c r="AD1349" i="1" s="1"/>
  <c r="AC1350" i="1"/>
  <c r="AD1350" i="1" s="1"/>
  <c r="AC1351" i="1"/>
  <c r="AD1351" i="1" s="1"/>
  <c r="AC1352" i="1"/>
  <c r="AD1352" i="1" s="1"/>
  <c r="AC1353" i="1"/>
  <c r="AD1353" i="1" s="1"/>
  <c r="AC1354" i="1"/>
  <c r="AD1354" i="1" s="1"/>
  <c r="AC1355" i="1"/>
  <c r="AD1355" i="1" s="1"/>
  <c r="AC1356" i="1"/>
  <c r="AD1356" i="1" s="1"/>
  <c r="AC1357" i="1"/>
  <c r="AD1357" i="1" s="1"/>
  <c r="AC1358" i="1"/>
  <c r="AD1358" i="1" s="1"/>
  <c r="AC1359" i="1"/>
  <c r="AD1359" i="1" s="1"/>
  <c r="AC1360" i="1"/>
  <c r="AD1360" i="1" s="1"/>
  <c r="P1362" i="1"/>
  <c r="AA1362" i="1" s="1"/>
  <c r="AB1362" i="1" s="1"/>
  <c r="AC1361" i="1" l="1"/>
  <c r="AD1361" i="1" s="1"/>
  <c r="P1363" i="1"/>
  <c r="AA1363" i="1" s="1"/>
  <c r="AB1363" i="1" s="1"/>
  <c r="AC1362" i="1" l="1"/>
  <c r="AD1362" i="1" s="1"/>
  <c r="P1364" i="1"/>
  <c r="AA1364" i="1" s="1"/>
  <c r="AB1364" i="1" s="1"/>
  <c r="AC1363" i="1" l="1"/>
  <c r="AD1363" i="1" s="1"/>
  <c r="P1365" i="1"/>
  <c r="AA1365" i="1" s="1"/>
  <c r="AB1365" i="1" s="1"/>
  <c r="AC1364" i="1" l="1"/>
  <c r="AD1364" i="1" s="1"/>
  <c r="P1366" i="1"/>
  <c r="AA1366" i="1" s="1"/>
  <c r="AB1366" i="1" s="1"/>
  <c r="AC1365" i="1" l="1"/>
  <c r="AD1365" i="1" s="1"/>
  <c r="P1367" i="1"/>
  <c r="AA1367" i="1" s="1"/>
  <c r="AB1367" i="1" s="1"/>
  <c r="AC1366" i="1" l="1"/>
  <c r="AD1366" i="1" s="1"/>
  <c r="P1368" i="1"/>
  <c r="AA1368" i="1" s="1"/>
  <c r="AB1368" i="1" s="1"/>
  <c r="AC1367" i="1" l="1"/>
  <c r="AD1367" i="1" s="1"/>
  <c r="P1369" i="1"/>
  <c r="AA1369" i="1" s="1"/>
  <c r="AB1369" i="1" s="1"/>
  <c r="AC1368" i="1" l="1"/>
  <c r="AD1368" i="1" s="1"/>
  <c r="P1370" i="1"/>
  <c r="AA1370" i="1" s="1"/>
  <c r="AB1370" i="1" s="1"/>
  <c r="AC1369" i="1" l="1"/>
  <c r="AD1369" i="1" s="1"/>
  <c r="P1371" i="1"/>
  <c r="AA1371" i="1" s="1"/>
  <c r="AB1371" i="1" s="1"/>
  <c r="AC1370" i="1" l="1"/>
  <c r="AD1370" i="1" s="1"/>
  <c r="P1372" i="1"/>
  <c r="AA1372" i="1" s="1"/>
  <c r="AB1372" i="1" s="1"/>
  <c r="AC1371" i="1" l="1"/>
  <c r="AD1371" i="1" s="1"/>
  <c r="P1373" i="1"/>
  <c r="AA1373" i="1" s="1"/>
  <c r="AB1373" i="1" s="1"/>
  <c r="AC1372" i="1" l="1"/>
  <c r="AD1372" i="1" s="1"/>
  <c r="P1374" i="1"/>
  <c r="AA1374" i="1" s="1"/>
  <c r="AB1374" i="1" s="1"/>
  <c r="AC1373" i="1" l="1"/>
  <c r="AD1373" i="1" s="1"/>
  <c r="P1375" i="1"/>
  <c r="AA1375" i="1" s="1"/>
  <c r="AB1375" i="1" s="1"/>
  <c r="AC1374" i="1" l="1"/>
  <c r="AD1374" i="1" s="1"/>
  <c r="P1376" i="1"/>
  <c r="AA1376" i="1" s="1"/>
  <c r="AB1376" i="1" s="1"/>
  <c r="AC1375" i="1" l="1"/>
  <c r="AD1375" i="1" s="1"/>
  <c r="P1377" i="1"/>
  <c r="AA1377" i="1" s="1"/>
  <c r="AB1377" i="1" s="1"/>
  <c r="AC1376" i="1" l="1"/>
  <c r="AD1376" i="1" s="1"/>
  <c r="P1378" i="1"/>
  <c r="AA1378" i="1" s="1"/>
  <c r="AB1378" i="1" s="1"/>
  <c r="AC1377" i="1" l="1"/>
  <c r="AD1377" i="1" s="1"/>
  <c r="P1379" i="1"/>
  <c r="AA1379" i="1" s="1"/>
  <c r="AB1379" i="1" s="1"/>
  <c r="AC1378" i="1" l="1"/>
  <c r="AD1378" i="1" s="1"/>
  <c r="P1380" i="1"/>
  <c r="AA1380" i="1" s="1"/>
  <c r="AB1380" i="1" s="1"/>
  <c r="AC1379" i="1" l="1"/>
  <c r="AD1379" i="1" s="1"/>
  <c r="P1381" i="1"/>
  <c r="AA1381" i="1" s="1"/>
  <c r="AB1381" i="1" s="1"/>
  <c r="AC1380" i="1" l="1"/>
  <c r="AD1380" i="1" s="1"/>
  <c r="P1382" i="1"/>
  <c r="AA1382" i="1" s="1"/>
  <c r="AB1382" i="1" s="1"/>
  <c r="AC1381" i="1" l="1"/>
  <c r="AD1381" i="1" s="1"/>
  <c r="P1383" i="1"/>
  <c r="AA1383" i="1" s="1"/>
  <c r="AB1383" i="1" s="1"/>
  <c r="AC1382" i="1" l="1"/>
  <c r="AD1382" i="1" s="1"/>
  <c r="P1384" i="1"/>
  <c r="AA1384" i="1" s="1"/>
  <c r="AB1384" i="1" s="1"/>
  <c r="AC1383" i="1" l="1"/>
  <c r="AD1383" i="1" s="1"/>
  <c r="P1385" i="1"/>
  <c r="AA1385" i="1" s="1"/>
  <c r="AB1385" i="1" s="1"/>
  <c r="AC1384" i="1" l="1"/>
  <c r="AD1384" i="1" s="1"/>
  <c r="P1386" i="1"/>
  <c r="AA1386" i="1" s="1"/>
  <c r="AB1386" i="1" s="1"/>
  <c r="AC1385" i="1" l="1"/>
  <c r="AD1385" i="1" s="1"/>
  <c r="P1387" i="1"/>
  <c r="AA1387" i="1" s="1"/>
  <c r="AB1387" i="1" s="1"/>
  <c r="AC1386" i="1" l="1"/>
  <c r="AD1386" i="1" s="1"/>
  <c r="P1388" i="1"/>
  <c r="AA1388" i="1" s="1"/>
  <c r="AB1388" i="1" s="1"/>
  <c r="AC1387" i="1" l="1"/>
  <c r="AD1387" i="1" s="1"/>
  <c r="P1389" i="1"/>
  <c r="AA1389" i="1" s="1"/>
  <c r="AB1389" i="1" s="1"/>
  <c r="AC1388" i="1" l="1"/>
  <c r="AD1388" i="1" s="1"/>
  <c r="P1390" i="1"/>
  <c r="AA1390" i="1" s="1"/>
  <c r="AB1390" i="1" s="1"/>
  <c r="AC1389" i="1" l="1"/>
  <c r="AD1389" i="1" s="1"/>
  <c r="P1391" i="1"/>
  <c r="AA1391" i="1" s="1"/>
  <c r="AB1391" i="1" s="1"/>
  <c r="AC1390" i="1" l="1"/>
  <c r="AD1390" i="1" s="1"/>
  <c r="P1392" i="1"/>
  <c r="AA1392" i="1" s="1"/>
  <c r="AB1392" i="1" s="1"/>
  <c r="AC1391" i="1" l="1"/>
  <c r="AD1391" i="1" s="1"/>
  <c r="P1393" i="1"/>
  <c r="AA1393" i="1" s="1"/>
  <c r="AB1393" i="1" s="1"/>
  <c r="AC1392" i="1" l="1"/>
  <c r="AD1392" i="1" s="1"/>
  <c r="P1394" i="1"/>
  <c r="AA1394" i="1" s="1"/>
  <c r="AB1394" i="1" s="1"/>
  <c r="AC1393" i="1" l="1"/>
  <c r="AD1393" i="1" s="1"/>
  <c r="P1395" i="1"/>
  <c r="AA1395" i="1" s="1"/>
  <c r="AB1395" i="1" s="1"/>
  <c r="AC1394" i="1" l="1"/>
  <c r="AD1394" i="1" s="1"/>
  <c r="P1396" i="1"/>
  <c r="AA1396" i="1" s="1"/>
  <c r="AB1396" i="1" s="1"/>
  <c r="AC1395" i="1" l="1"/>
  <c r="AD1395" i="1" s="1"/>
  <c r="P1397" i="1"/>
  <c r="AA1397" i="1" s="1"/>
  <c r="AB1397" i="1" s="1"/>
  <c r="AC1396" i="1" l="1"/>
  <c r="AD1396" i="1" s="1"/>
  <c r="P1398" i="1"/>
  <c r="AA1398" i="1" s="1"/>
  <c r="AB1398" i="1" s="1"/>
  <c r="AC1397" i="1" l="1"/>
  <c r="AD1397" i="1" s="1"/>
  <c r="P1399" i="1"/>
  <c r="AA1399" i="1" s="1"/>
  <c r="AB1399" i="1" s="1"/>
  <c r="AC1398" i="1" l="1"/>
  <c r="AD1398" i="1" s="1"/>
  <c r="P1400" i="1"/>
  <c r="AA1400" i="1" s="1"/>
  <c r="AB1400" i="1" s="1"/>
  <c r="AC1399" i="1" l="1"/>
  <c r="AD1399" i="1" s="1"/>
  <c r="P1401" i="1"/>
  <c r="AA1401" i="1" s="1"/>
  <c r="AB1401" i="1" s="1"/>
  <c r="AC1400" i="1" l="1"/>
  <c r="AD1400" i="1" s="1"/>
  <c r="P1402" i="1"/>
  <c r="AA1402" i="1" s="1"/>
  <c r="AB1402" i="1" s="1"/>
  <c r="AC1401" i="1" l="1"/>
  <c r="AD1401" i="1" s="1"/>
  <c r="P1403" i="1"/>
  <c r="AA1403" i="1" s="1"/>
  <c r="AB1403" i="1" s="1"/>
  <c r="AC1402" i="1" l="1"/>
  <c r="AD1402" i="1" s="1"/>
  <c r="P1404" i="1"/>
  <c r="AA1404" i="1" s="1"/>
  <c r="AB1404" i="1" s="1"/>
  <c r="AC1403" i="1" l="1"/>
  <c r="AD1403" i="1" s="1"/>
  <c r="P1405" i="1"/>
  <c r="AA1405" i="1" s="1"/>
  <c r="AB1405" i="1" s="1"/>
  <c r="AC1404" i="1" l="1"/>
  <c r="AD1404" i="1" s="1"/>
  <c r="P1406" i="1"/>
  <c r="AA1406" i="1" s="1"/>
  <c r="AB1406" i="1" s="1"/>
  <c r="AC1405" i="1" l="1"/>
  <c r="AD1405" i="1" s="1"/>
  <c r="P1407" i="1"/>
  <c r="AA1407" i="1" s="1"/>
  <c r="AB1407" i="1" s="1"/>
  <c r="AC1406" i="1" l="1"/>
  <c r="AD1406" i="1" s="1"/>
  <c r="P1408" i="1"/>
  <c r="AA1408" i="1" s="1"/>
  <c r="AB1408" i="1" s="1"/>
  <c r="AC1407" i="1" l="1"/>
  <c r="AD1407" i="1" s="1"/>
  <c r="P1409" i="1"/>
  <c r="AA1409" i="1" s="1"/>
  <c r="AB1409" i="1" s="1"/>
  <c r="AC1408" i="1" l="1"/>
  <c r="AD1408" i="1" s="1"/>
  <c r="P1410" i="1"/>
  <c r="AA1410" i="1" s="1"/>
  <c r="AB1410" i="1" s="1"/>
  <c r="AC1409" i="1" l="1"/>
  <c r="AD1409" i="1" s="1"/>
  <c r="P1411" i="1"/>
  <c r="AA1411" i="1" s="1"/>
  <c r="AB1411" i="1" s="1"/>
  <c r="AC1410" i="1" l="1"/>
  <c r="AD1410" i="1" s="1"/>
  <c r="P1412" i="1"/>
  <c r="AA1412" i="1" s="1"/>
  <c r="AB1412" i="1" s="1"/>
  <c r="AC1411" i="1" l="1"/>
  <c r="AD1411" i="1" s="1"/>
  <c r="P1413" i="1"/>
  <c r="AA1413" i="1" s="1"/>
  <c r="AB1413" i="1" s="1"/>
  <c r="AC1412" i="1" l="1"/>
  <c r="AD1412" i="1" s="1"/>
  <c r="P1414" i="1"/>
  <c r="AA1414" i="1" s="1"/>
  <c r="AB1414" i="1" s="1"/>
  <c r="AC1413" i="1" l="1"/>
  <c r="AD1413" i="1" s="1"/>
  <c r="P1415" i="1"/>
  <c r="AA1415" i="1" s="1"/>
  <c r="AB1415" i="1" s="1"/>
  <c r="AC1414" i="1" l="1"/>
  <c r="AD1414" i="1" s="1"/>
  <c r="P1416" i="1"/>
  <c r="AA1416" i="1" s="1"/>
  <c r="AB1416" i="1" s="1"/>
  <c r="AC1415" i="1" l="1"/>
  <c r="AD1415" i="1" s="1"/>
  <c r="P1417" i="1"/>
  <c r="AA1417" i="1" s="1"/>
  <c r="AB1417" i="1" s="1"/>
  <c r="AC1416" i="1" l="1"/>
  <c r="AD1416" i="1" s="1"/>
  <c r="P1418" i="1"/>
  <c r="AA1418" i="1" s="1"/>
  <c r="AB1418" i="1" s="1"/>
  <c r="AC1417" i="1" l="1"/>
  <c r="AD1417" i="1" s="1"/>
  <c r="P1419" i="1"/>
  <c r="AA1419" i="1" s="1"/>
  <c r="AB1419" i="1" s="1"/>
  <c r="AC1418" i="1" l="1"/>
  <c r="AD1418" i="1" s="1"/>
  <c r="P1420" i="1"/>
  <c r="AA1420" i="1" s="1"/>
  <c r="AB1420" i="1" s="1"/>
  <c r="AC1419" i="1" l="1"/>
  <c r="AD1419" i="1" s="1"/>
  <c r="P1421" i="1"/>
  <c r="AA1421" i="1" s="1"/>
  <c r="AB1421" i="1" s="1"/>
  <c r="AC1420" i="1" l="1"/>
  <c r="AD1420" i="1" s="1"/>
  <c r="P1422" i="1"/>
  <c r="AA1422" i="1" s="1"/>
  <c r="AB1422" i="1" s="1"/>
  <c r="AC1421" i="1" l="1"/>
  <c r="AD1421" i="1" s="1"/>
  <c r="P1423" i="1"/>
  <c r="AA1423" i="1" s="1"/>
  <c r="AB1423" i="1" s="1"/>
  <c r="AC1422" i="1" l="1"/>
  <c r="AD1422" i="1" s="1"/>
  <c r="P1424" i="1"/>
  <c r="AA1424" i="1" s="1"/>
  <c r="AB1424" i="1" s="1"/>
  <c r="AC1423" i="1" l="1"/>
  <c r="AD1423" i="1" s="1"/>
  <c r="P1425" i="1"/>
  <c r="AA1425" i="1" s="1"/>
  <c r="AB1425" i="1" s="1"/>
  <c r="AC1424" i="1" l="1"/>
  <c r="AD1424" i="1" s="1"/>
  <c r="P1426" i="1"/>
  <c r="AA1426" i="1" s="1"/>
  <c r="AB1426" i="1" s="1"/>
  <c r="AC1425" i="1" l="1"/>
  <c r="AD1425" i="1" s="1"/>
  <c r="P1427" i="1"/>
  <c r="AA1427" i="1" s="1"/>
  <c r="AB1427" i="1" s="1"/>
  <c r="AC1426" i="1" l="1"/>
  <c r="AD1426" i="1" s="1"/>
  <c r="P1428" i="1"/>
  <c r="AA1428" i="1" s="1"/>
  <c r="AB1428" i="1" s="1"/>
  <c r="AC1427" i="1" l="1"/>
  <c r="AD1427" i="1" s="1"/>
  <c r="P1429" i="1"/>
  <c r="AA1429" i="1" s="1"/>
  <c r="AB1429" i="1" s="1"/>
  <c r="AC1428" i="1" l="1"/>
  <c r="AD1428" i="1" s="1"/>
  <c r="P1430" i="1"/>
  <c r="AA1430" i="1" s="1"/>
  <c r="AB1430" i="1" s="1"/>
  <c r="AC1429" i="1" l="1"/>
  <c r="AD1429" i="1" s="1"/>
  <c r="P1431" i="1"/>
  <c r="AA1431" i="1" s="1"/>
  <c r="AB1431" i="1" s="1"/>
  <c r="AC1430" i="1" l="1"/>
  <c r="AD1430" i="1" s="1"/>
  <c r="P1432" i="1"/>
  <c r="AA1432" i="1" s="1"/>
  <c r="AB1432" i="1" s="1"/>
  <c r="AC1431" i="1" l="1"/>
  <c r="AD1431" i="1" s="1"/>
  <c r="P1433" i="1"/>
  <c r="AA1433" i="1" s="1"/>
  <c r="AB1433" i="1" s="1"/>
  <c r="AC1432" i="1" l="1"/>
  <c r="AD1432" i="1" s="1"/>
  <c r="P1434" i="1"/>
  <c r="AA1434" i="1" s="1"/>
  <c r="AB1434" i="1" s="1"/>
  <c r="AC1433" i="1" l="1"/>
  <c r="AD1433" i="1" s="1"/>
  <c r="P1435" i="1"/>
  <c r="AA1435" i="1" s="1"/>
  <c r="AB1435" i="1" s="1"/>
  <c r="AC1434" i="1" l="1"/>
  <c r="AD1434" i="1" s="1"/>
  <c r="P1436" i="1"/>
  <c r="AA1436" i="1" s="1"/>
  <c r="AB1436" i="1" s="1"/>
  <c r="AC1435" i="1" l="1"/>
  <c r="AD1435" i="1" s="1"/>
  <c r="P1437" i="1"/>
  <c r="AA1437" i="1" s="1"/>
  <c r="AB1437" i="1" s="1"/>
  <c r="AC1436" i="1" l="1"/>
  <c r="AD1436" i="1" s="1"/>
  <c r="P1438" i="1"/>
  <c r="AA1438" i="1" s="1"/>
  <c r="AB1438" i="1" s="1"/>
  <c r="AC1437" i="1" l="1"/>
  <c r="AD1437" i="1" s="1"/>
  <c r="P1439" i="1"/>
  <c r="AA1439" i="1" s="1"/>
  <c r="AB1439" i="1" s="1"/>
  <c r="AC1438" i="1" l="1"/>
  <c r="AD1438" i="1" s="1"/>
  <c r="P1440" i="1"/>
  <c r="AA1440" i="1" s="1"/>
  <c r="AB1440" i="1" s="1"/>
  <c r="AC1439" i="1" l="1"/>
  <c r="AD1439" i="1" s="1"/>
  <c r="P1441" i="1"/>
  <c r="AA1441" i="1" s="1"/>
  <c r="AB1441" i="1" s="1"/>
  <c r="AC1440" i="1" l="1"/>
  <c r="AD1440" i="1" s="1"/>
  <c r="P1442" i="1"/>
  <c r="AA1442" i="1" s="1"/>
  <c r="AB1442" i="1" s="1"/>
  <c r="AC1441" i="1" l="1"/>
  <c r="AD1441" i="1" s="1"/>
  <c r="P1443" i="1"/>
  <c r="AA1443" i="1" s="1"/>
  <c r="AB1443" i="1" s="1"/>
  <c r="AC1442" i="1" l="1"/>
  <c r="AD1442" i="1" s="1"/>
  <c r="P1444" i="1"/>
  <c r="AA1444" i="1" s="1"/>
  <c r="AB1444" i="1" s="1"/>
  <c r="AC1443" i="1" l="1"/>
  <c r="AD1443" i="1" s="1"/>
  <c r="P1445" i="1"/>
  <c r="AA1445" i="1" s="1"/>
  <c r="AB1445" i="1" s="1"/>
  <c r="AC1444" i="1" l="1"/>
  <c r="AD1444" i="1" s="1"/>
  <c r="P1446" i="1"/>
  <c r="AA1446" i="1" s="1"/>
  <c r="AB1446" i="1" s="1"/>
  <c r="AC1445" i="1" l="1"/>
  <c r="AD1445" i="1" s="1"/>
  <c r="P1447" i="1"/>
  <c r="AA1447" i="1" s="1"/>
  <c r="AB1447" i="1" s="1"/>
  <c r="AC1446" i="1" l="1"/>
  <c r="AD1446" i="1" s="1"/>
  <c r="P1448" i="1"/>
  <c r="AA1448" i="1" s="1"/>
  <c r="AB1448" i="1" s="1"/>
  <c r="AC1447" i="1" l="1"/>
  <c r="AD1447" i="1" s="1"/>
  <c r="P1449" i="1"/>
  <c r="AA1449" i="1" s="1"/>
  <c r="AB1449" i="1" s="1"/>
  <c r="AC1448" i="1" l="1"/>
  <c r="AD1448" i="1" s="1"/>
  <c r="P1450" i="1"/>
  <c r="AA1450" i="1" s="1"/>
  <c r="AB1450" i="1" s="1"/>
  <c r="AC1449" i="1" l="1"/>
  <c r="AD1449" i="1" s="1"/>
  <c r="P1451" i="1"/>
  <c r="AA1451" i="1" s="1"/>
  <c r="AB1451" i="1" s="1"/>
  <c r="AC1450" i="1" l="1"/>
  <c r="AD1450" i="1" s="1"/>
  <c r="P1452" i="1"/>
  <c r="AA1452" i="1" s="1"/>
  <c r="AB1452" i="1" s="1"/>
  <c r="AC1451" i="1" l="1"/>
  <c r="AD1451" i="1" s="1"/>
  <c r="P1453" i="1"/>
  <c r="AA1453" i="1" s="1"/>
  <c r="AB1453" i="1" s="1"/>
  <c r="AC1452" i="1" l="1"/>
  <c r="AD1452" i="1" s="1"/>
  <c r="P1454" i="1"/>
  <c r="AA1454" i="1" s="1"/>
  <c r="AB1454" i="1" s="1"/>
  <c r="AC1453" i="1" l="1"/>
  <c r="AD1453" i="1" s="1"/>
  <c r="P1455" i="1"/>
  <c r="AA1455" i="1" s="1"/>
  <c r="AB1455" i="1" s="1"/>
  <c r="AC1454" i="1" l="1"/>
  <c r="AD1454" i="1" s="1"/>
  <c r="P1456" i="1"/>
  <c r="AA1456" i="1" s="1"/>
  <c r="AB1456" i="1" s="1"/>
  <c r="AC1455" i="1" l="1"/>
  <c r="AD1455" i="1" s="1"/>
  <c r="P1457" i="1"/>
  <c r="AA1457" i="1" s="1"/>
  <c r="AB1457" i="1" s="1"/>
  <c r="AC1456" i="1" l="1"/>
  <c r="AD1456" i="1" s="1"/>
  <c r="P1458" i="1"/>
  <c r="AA1458" i="1" s="1"/>
  <c r="AB1458" i="1" s="1"/>
  <c r="AC1457" i="1" l="1"/>
  <c r="AD1457" i="1" s="1"/>
  <c r="P1459" i="1"/>
  <c r="AA1459" i="1" s="1"/>
  <c r="AB1459" i="1" s="1"/>
  <c r="AC1458" i="1" l="1"/>
  <c r="AD1458" i="1" s="1"/>
  <c r="P1460" i="1"/>
  <c r="AA1460" i="1" s="1"/>
  <c r="AB1460" i="1" s="1"/>
  <c r="AC1459" i="1" l="1"/>
  <c r="AD1459" i="1" s="1"/>
  <c r="P1461" i="1"/>
  <c r="AA1461" i="1" s="1"/>
  <c r="AB1461" i="1" s="1"/>
  <c r="AC1460" i="1" l="1"/>
  <c r="AD1460" i="1" s="1"/>
  <c r="P1462" i="1"/>
  <c r="AA1462" i="1" s="1"/>
  <c r="AB1462" i="1" s="1"/>
  <c r="AC1461" i="1" l="1"/>
  <c r="AD1461" i="1" s="1"/>
  <c r="P1463" i="1"/>
  <c r="AA1463" i="1" s="1"/>
  <c r="AB1463" i="1" s="1"/>
  <c r="AC1462" i="1" l="1"/>
  <c r="AD1462" i="1" s="1"/>
  <c r="P1464" i="1"/>
  <c r="AA1464" i="1" s="1"/>
  <c r="AB1464" i="1" s="1"/>
  <c r="AC1463" i="1" l="1"/>
  <c r="AD1463" i="1" s="1"/>
  <c r="P1465" i="1"/>
  <c r="AA1465" i="1" s="1"/>
  <c r="AB1465" i="1" s="1"/>
  <c r="AC1464" i="1" l="1"/>
  <c r="AD1464" i="1" s="1"/>
  <c r="P1466" i="1"/>
  <c r="AA1466" i="1" s="1"/>
  <c r="AB1466" i="1" s="1"/>
  <c r="AC1465" i="1" l="1"/>
  <c r="AD1465" i="1" s="1"/>
  <c r="P1467" i="1"/>
  <c r="AA1467" i="1" s="1"/>
  <c r="AB1467" i="1" s="1"/>
  <c r="AC1466" i="1" l="1"/>
  <c r="AD1466" i="1" s="1"/>
  <c r="P1468" i="1"/>
  <c r="AA1468" i="1" s="1"/>
  <c r="AB1468" i="1" s="1"/>
  <c r="AC1467" i="1" l="1"/>
  <c r="AD1467" i="1" s="1"/>
  <c r="P1469" i="1"/>
  <c r="AA1469" i="1" s="1"/>
  <c r="AB1469" i="1" s="1"/>
  <c r="AC1468" i="1" l="1"/>
  <c r="AD1468" i="1" s="1"/>
  <c r="P1470" i="1"/>
  <c r="AA1470" i="1" s="1"/>
  <c r="AB1470" i="1" s="1"/>
  <c r="AC1469" i="1" l="1"/>
  <c r="AD1469" i="1" s="1"/>
  <c r="P1471" i="1"/>
  <c r="AA1471" i="1" s="1"/>
  <c r="AB1471" i="1" s="1"/>
  <c r="AC1470" i="1" l="1"/>
  <c r="AD1470" i="1" s="1"/>
  <c r="P1472" i="1"/>
  <c r="AA1472" i="1" s="1"/>
  <c r="AB1472" i="1" s="1"/>
  <c r="AC1471" i="1" l="1"/>
  <c r="AD1471" i="1" s="1"/>
  <c r="P1473" i="1"/>
  <c r="AA1473" i="1" s="1"/>
  <c r="AB1473" i="1" s="1"/>
  <c r="AC1472" i="1" l="1"/>
  <c r="AD1472" i="1" s="1"/>
  <c r="P1474" i="1"/>
  <c r="AA1474" i="1" s="1"/>
  <c r="AB1474" i="1" s="1"/>
  <c r="AC1473" i="1" l="1"/>
  <c r="AD1473" i="1" s="1"/>
  <c r="P1475" i="1"/>
  <c r="AA1475" i="1" s="1"/>
  <c r="AB1475" i="1" s="1"/>
  <c r="AC1474" i="1" l="1"/>
  <c r="AD1474" i="1" s="1"/>
  <c r="P1476" i="1"/>
  <c r="AA1476" i="1" s="1"/>
  <c r="AB1476" i="1" s="1"/>
  <c r="AC1475" i="1" l="1"/>
  <c r="AD1475" i="1" s="1"/>
  <c r="P1477" i="1"/>
  <c r="AA1477" i="1" s="1"/>
  <c r="AB1477" i="1" s="1"/>
  <c r="AC1476" i="1" l="1"/>
  <c r="AD1476" i="1" s="1"/>
  <c r="P1478" i="1"/>
  <c r="AA1478" i="1" s="1"/>
  <c r="AB1478" i="1" s="1"/>
  <c r="AC1477" i="1" l="1"/>
  <c r="AD1477" i="1" s="1"/>
  <c r="P1479" i="1"/>
  <c r="AA1479" i="1" s="1"/>
  <c r="AB1479" i="1" s="1"/>
  <c r="AC1478" i="1" l="1"/>
  <c r="AD1478" i="1" s="1"/>
  <c r="P1480" i="1"/>
  <c r="AA1480" i="1" s="1"/>
  <c r="AB1480" i="1" s="1"/>
  <c r="AC1479" i="1" l="1"/>
  <c r="AD1479" i="1" s="1"/>
  <c r="P1481" i="1"/>
  <c r="AA1481" i="1" s="1"/>
  <c r="AB1481" i="1" s="1"/>
  <c r="AC1480" i="1" l="1"/>
  <c r="AD1480" i="1" s="1"/>
  <c r="P1482" i="1"/>
  <c r="AA1482" i="1" s="1"/>
  <c r="AB1482" i="1" s="1"/>
  <c r="AC1481" i="1" l="1"/>
  <c r="AD1481" i="1" s="1"/>
  <c r="P1483" i="1"/>
  <c r="AA1483" i="1" s="1"/>
  <c r="AB1483" i="1" s="1"/>
  <c r="AC1482" i="1" l="1"/>
  <c r="AD1482" i="1" s="1"/>
  <c r="P1484" i="1"/>
  <c r="AA1484" i="1" s="1"/>
  <c r="AB1484" i="1" s="1"/>
  <c r="AC1483" i="1" l="1"/>
  <c r="AD1483" i="1" s="1"/>
  <c r="P1485" i="1"/>
  <c r="AA1485" i="1" s="1"/>
  <c r="AB1485" i="1" s="1"/>
  <c r="AC1484" i="1" l="1"/>
  <c r="AD1484" i="1" s="1"/>
  <c r="P1486" i="1"/>
  <c r="AA1486" i="1" s="1"/>
  <c r="AB1486" i="1" s="1"/>
  <c r="AC1485" i="1" l="1"/>
  <c r="AD1485" i="1" s="1"/>
  <c r="P1487" i="1"/>
  <c r="AA1487" i="1" s="1"/>
  <c r="AB1487" i="1" s="1"/>
  <c r="AC1486" i="1" l="1"/>
  <c r="AD1486" i="1" s="1"/>
  <c r="P1488" i="1"/>
  <c r="AA1488" i="1" s="1"/>
  <c r="AB1488" i="1" s="1"/>
  <c r="AC1487" i="1" l="1"/>
  <c r="AD1487" i="1" s="1"/>
  <c r="P1489" i="1"/>
  <c r="AA1489" i="1" s="1"/>
  <c r="AB1489" i="1" s="1"/>
  <c r="AC1488" i="1" l="1"/>
  <c r="AD1488" i="1" s="1"/>
  <c r="P1490" i="1"/>
  <c r="AA1490" i="1" s="1"/>
  <c r="AB1490" i="1" s="1"/>
  <c r="AC1489" i="1" l="1"/>
  <c r="AD1489" i="1" s="1"/>
  <c r="P1491" i="1"/>
  <c r="AA1491" i="1" s="1"/>
  <c r="AB1491" i="1" s="1"/>
  <c r="AC1490" i="1" l="1"/>
  <c r="AD1490" i="1" s="1"/>
  <c r="P1492" i="1"/>
  <c r="AA1492" i="1" s="1"/>
  <c r="AB1492" i="1" s="1"/>
  <c r="AC1491" i="1" l="1"/>
  <c r="AD1491" i="1" s="1"/>
  <c r="P1493" i="1"/>
  <c r="AA1493" i="1" s="1"/>
  <c r="AB1493" i="1" s="1"/>
  <c r="AC1492" i="1" l="1"/>
  <c r="AD1492" i="1" s="1"/>
  <c r="P1494" i="1"/>
  <c r="AA1494" i="1" s="1"/>
  <c r="AB1494" i="1" s="1"/>
  <c r="AC1493" i="1" l="1"/>
  <c r="AD1493" i="1" s="1"/>
  <c r="P1495" i="1"/>
  <c r="AA1495" i="1" s="1"/>
  <c r="AB1495" i="1" s="1"/>
  <c r="AC1494" i="1" l="1"/>
  <c r="AD1494" i="1" s="1"/>
  <c r="P1496" i="1"/>
  <c r="AA1496" i="1" s="1"/>
  <c r="AB1496" i="1" s="1"/>
  <c r="AC1495" i="1" l="1"/>
  <c r="AD1495" i="1" s="1"/>
  <c r="P1497" i="1"/>
  <c r="AA1497" i="1" s="1"/>
  <c r="AB1497" i="1" s="1"/>
  <c r="AC1496" i="1" l="1"/>
  <c r="AD1496" i="1" s="1"/>
  <c r="P1498" i="1"/>
  <c r="AA1498" i="1" s="1"/>
  <c r="AB1498" i="1" s="1"/>
  <c r="AC1497" i="1" l="1"/>
  <c r="AD1497" i="1" s="1"/>
  <c r="P1499" i="1"/>
  <c r="AA1499" i="1" s="1"/>
  <c r="AB1499" i="1" s="1"/>
  <c r="AC1498" i="1" l="1"/>
  <c r="AD1498" i="1" s="1"/>
  <c r="P1500" i="1"/>
  <c r="AA1500" i="1" s="1"/>
  <c r="AB1500" i="1" s="1"/>
  <c r="AC1499" i="1" l="1"/>
  <c r="AD1499" i="1" s="1"/>
  <c r="P1501" i="1"/>
  <c r="AA1501" i="1" s="1"/>
  <c r="AB1501" i="1" s="1"/>
  <c r="AC1500" i="1" l="1"/>
  <c r="AD1500" i="1" s="1"/>
  <c r="P1502" i="1"/>
  <c r="AA1502" i="1" s="1"/>
  <c r="AB1502" i="1" s="1"/>
  <c r="AC1501" i="1" l="1"/>
  <c r="AD1501" i="1" s="1"/>
  <c r="P1503" i="1"/>
  <c r="AA1503" i="1" s="1"/>
  <c r="AB1503" i="1" s="1"/>
  <c r="AC1502" i="1" l="1"/>
  <c r="AD1502" i="1" s="1"/>
  <c r="P1504" i="1"/>
  <c r="AA1504" i="1" s="1"/>
  <c r="AB1504" i="1" s="1"/>
  <c r="AC1503" i="1" l="1"/>
  <c r="AD1503" i="1" s="1"/>
  <c r="P1505" i="1"/>
  <c r="AA1505" i="1" s="1"/>
  <c r="AB1505" i="1" s="1"/>
  <c r="AC1504" i="1" l="1"/>
  <c r="AD1504" i="1" s="1"/>
  <c r="P1506" i="1"/>
  <c r="AA1506" i="1" s="1"/>
  <c r="AB1506" i="1" s="1"/>
  <c r="AC1505" i="1" l="1"/>
  <c r="AD1505" i="1" s="1"/>
  <c r="P1507" i="1"/>
  <c r="AA1507" i="1" s="1"/>
  <c r="AB1507" i="1" s="1"/>
  <c r="AC1506" i="1" l="1"/>
  <c r="AD1506" i="1" s="1"/>
  <c r="P1508" i="1"/>
  <c r="AA1508" i="1" s="1"/>
  <c r="AB1508" i="1" s="1"/>
  <c r="AC1507" i="1" l="1"/>
  <c r="AD1507" i="1" s="1"/>
  <c r="P1509" i="1"/>
  <c r="AA1509" i="1" s="1"/>
  <c r="AB1509" i="1" s="1"/>
  <c r="AC1508" i="1" l="1"/>
  <c r="AD1508" i="1" s="1"/>
  <c r="P1510" i="1"/>
  <c r="AA1510" i="1" s="1"/>
  <c r="AB1510" i="1" s="1"/>
  <c r="AC1509" i="1" l="1"/>
  <c r="AD1509" i="1" s="1"/>
  <c r="P1511" i="1"/>
  <c r="AA1511" i="1" s="1"/>
  <c r="AB1511" i="1" s="1"/>
  <c r="AC1510" i="1" l="1"/>
  <c r="AD1510" i="1" s="1"/>
  <c r="P1512" i="1"/>
  <c r="AA1512" i="1" s="1"/>
  <c r="AB1512" i="1" s="1"/>
  <c r="AC1511" i="1" l="1"/>
  <c r="AD1511" i="1" s="1"/>
  <c r="P1513" i="1"/>
  <c r="AA1513" i="1" s="1"/>
  <c r="AB1513" i="1" s="1"/>
  <c r="AC1512" i="1" l="1"/>
  <c r="AD1512" i="1" s="1"/>
  <c r="P1514" i="1"/>
  <c r="AA1514" i="1" s="1"/>
  <c r="AB1514" i="1" s="1"/>
  <c r="AC1513" i="1" l="1"/>
  <c r="AD1513" i="1" s="1"/>
  <c r="P1515" i="1"/>
  <c r="AA1515" i="1" s="1"/>
  <c r="AB1515" i="1" s="1"/>
  <c r="AC1514" i="1" l="1"/>
  <c r="AD1514" i="1" s="1"/>
  <c r="P1516" i="1"/>
  <c r="AA1516" i="1" s="1"/>
  <c r="AB1516" i="1" s="1"/>
  <c r="AC1515" i="1" l="1"/>
  <c r="AD1515" i="1" s="1"/>
  <c r="P1517" i="1"/>
  <c r="AA1517" i="1" s="1"/>
  <c r="AB1517" i="1" s="1"/>
  <c r="AC1516" i="1" l="1"/>
  <c r="AD1516" i="1" s="1"/>
  <c r="P1518" i="1"/>
  <c r="AA1518" i="1" s="1"/>
  <c r="AB1518" i="1" s="1"/>
  <c r="AC1517" i="1" l="1"/>
  <c r="AD1517" i="1" s="1"/>
  <c r="P1519" i="1"/>
  <c r="AA1519" i="1" s="1"/>
  <c r="AB1519" i="1" s="1"/>
  <c r="AC1518" i="1" l="1"/>
  <c r="AD1518" i="1" s="1"/>
  <c r="P1520" i="1"/>
  <c r="AA1520" i="1" s="1"/>
  <c r="AB1520" i="1" s="1"/>
  <c r="AC1519" i="1" l="1"/>
  <c r="AD1519" i="1" s="1"/>
  <c r="P1521" i="1"/>
  <c r="AA1521" i="1" s="1"/>
  <c r="AB1521" i="1" s="1"/>
  <c r="AC1520" i="1" l="1"/>
  <c r="AD1520" i="1" s="1"/>
  <c r="P1522" i="1"/>
  <c r="AA1522" i="1" s="1"/>
  <c r="AB1522" i="1" s="1"/>
  <c r="AC1521" i="1" l="1"/>
  <c r="AD1521" i="1" s="1"/>
  <c r="P1523" i="1"/>
  <c r="AA1523" i="1" s="1"/>
  <c r="AB1523" i="1" s="1"/>
  <c r="AC1522" i="1" l="1"/>
  <c r="AD1522" i="1" s="1"/>
  <c r="P1524" i="1"/>
  <c r="AA1524" i="1" s="1"/>
  <c r="AB1524" i="1" s="1"/>
  <c r="AC1523" i="1" l="1"/>
  <c r="AD1523" i="1" s="1"/>
  <c r="P1525" i="1"/>
  <c r="AA1525" i="1" s="1"/>
  <c r="AB1525" i="1" s="1"/>
  <c r="AC1524" i="1" l="1"/>
  <c r="AD1524" i="1" s="1"/>
  <c r="P1526" i="1"/>
  <c r="AA1526" i="1" s="1"/>
  <c r="AB1526" i="1" s="1"/>
  <c r="AC1525" i="1" l="1"/>
  <c r="AD1525" i="1" s="1"/>
  <c r="P1527" i="1"/>
  <c r="AA1527" i="1" s="1"/>
  <c r="AB1527" i="1" s="1"/>
  <c r="AC1526" i="1" l="1"/>
  <c r="AD1526" i="1" s="1"/>
  <c r="P1528" i="1"/>
  <c r="AA1528" i="1" s="1"/>
  <c r="AB1528" i="1" s="1"/>
  <c r="AC1527" i="1" l="1"/>
  <c r="AD1527" i="1" s="1"/>
  <c r="P1529" i="1"/>
  <c r="AA1529" i="1" s="1"/>
  <c r="AB1529" i="1" s="1"/>
  <c r="AC1528" i="1" l="1"/>
  <c r="AD1528" i="1" s="1"/>
  <c r="P1530" i="1"/>
  <c r="AA1530" i="1" s="1"/>
  <c r="AB1530" i="1" s="1"/>
  <c r="AC1529" i="1" l="1"/>
  <c r="AD1529" i="1" s="1"/>
  <c r="P1531" i="1"/>
  <c r="AA1531" i="1" s="1"/>
  <c r="AB1531" i="1" s="1"/>
  <c r="AC1530" i="1" l="1"/>
  <c r="AD1530" i="1" s="1"/>
  <c r="P1532" i="1"/>
  <c r="AA1532" i="1" s="1"/>
  <c r="AB1532" i="1" s="1"/>
  <c r="AC1531" i="1" l="1"/>
  <c r="AD1531" i="1" s="1"/>
  <c r="P1533" i="1"/>
  <c r="AA1533" i="1" s="1"/>
  <c r="AB1533" i="1" s="1"/>
  <c r="AC1532" i="1" l="1"/>
  <c r="AD1532" i="1" s="1"/>
  <c r="P1534" i="1"/>
  <c r="AA1534" i="1" s="1"/>
  <c r="AB1534" i="1" s="1"/>
  <c r="AC1533" i="1" l="1"/>
  <c r="AD1533" i="1" s="1"/>
  <c r="P1535" i="1"/>
  <c r="AA1535" i="1" s="1"/>
  <c r="AB1535" i="1" s="1"/>
  <c r="AC1534" i="1" l="1"/>
  <c r="AD1534" i="1" s="1"/>
  <c r="P1536" i="1"/>
  <c r="AA1536" i="1" s="1"/>
  <c r="AB1536" i="1" s="1"/>
  <c r="AC1535" i="1" l="1"/>
  <c r="AD1535" i="1" s="1"/>
  <c r="P1537" i="1"/>
  <c r="AA1537" i="1" s="1"/>
  <c r="AB1537" i="1" s="1"/>
  <c r="AC1536" i="1" l="1"/>
  <c r="AD1536" i="1" s="1"/>
  <c r="P1538" i="1"/>
  <c r="AA1538" i="1" s="1"/>
  <c r="AB1538" i="1" s="1"/>
  <c r="AC1537" i="1" l="1"/>
  <c r="AD1537" i="1" s="1"/>
  <c r="P1539" i="1"/>
  <c r="AA1539" i="1" s="1"/>
  <c r="AB1539" i="1" s="1"/>
  <c r="AC1538" i="1" l="1"/>
  <c r="AD1538" i="1" s="1"/>
  <c r="P1540" i="1"/>
  <c r="AA1540" i="1" s="1"/>
  <c r="AB1540" i="1" s="1"/>
  <c r="AC1539" i="1" l="1"/>
  <c r="AD1539" i="1" s="1"/>
  <c r="P1541" i="1"/>
  <c r="AA1541" i="1" s="1"/>
  <c r="AB1541" i="1" s="1"/>
  <c r="AC1540" i="1" l="1"/>
  <c r="AD1540" i="1" s="1"/>
  <c r="P1542" i="1"/>
  <c r="AA1542" i="1" s="1"/>
  <c r="AB1542" i="1" s="1"/>
  <c r="AC1541" i="1" l="1"/>
  <c r="AD1541" i="1" s="1"/>
  <c r="P1543" i="1"/>
  <c r="AA1543" i="1" s="1"/>
  <c r="AB1543" i="1" s="1"/>
  <c r="AC1542" i="1" l="1"/>
  <c r="AD1542" i="1" s="1"/>
  <c r="P1544" i="1"/>
  <c r="AA1544" i="1" s="1"/>
  <c r="AB1544" i="1" s="1"/>
  <c r="AC1543" i="1" l="1"/>
  <c r="AD1543" i="1" s="1"/>
  <c r="P1545" i="1"/>
  <c r="AA1545" i="1" s="1"/>
  <c r="AB1545" i="1" s="1"/>
  <c r="AC1544" i="1" l="1"/>
  <c r="AD1544" i="1" s="1"/>
  <c r="P1546" i="1"/>
  <c r="AA1546" i="1" s="1"/>
  <c r="AB1546" i="1" s="1"/>
  <c r="AC1545" i="1" l="1"/>
  <c r="AD1545" i="1" s="1"/>
  <c r="P1547" i="1"/>
  <c r="AA1547" i="1" s="1"/>
  <c r="AB1547" i="1" s="1"/>
  <c r="AC1546" i="1" l="1"/>
  <c r="AD1546" i="1" s="1"/>
  <c r="P1548" i="1"/>
  <c r="AA1548" i="1" s="1"/>
  <c r="AB1548" i="1" s="1"/>
  <c r="AC1547" i="1" l="1"/>
  <c r="AD1547" i="1" s="1"/>
  <c r="P1549" i="1"/>
  <c r="AA1549" i="1" s="1"/>
  <c r="AB1549" i="1" s="1"/>
  <c r="AC1548" i="1" l="1"/>
  <c r="AD1548" i="1" s="1"/>
  <c r="P1550" i="1"/>
  <c r="AA1550" i="1" s="1"/>
  <c r="AB1550" i="1" s="1"/>
  <c r="AC1549" i="1" l="1"/>
  <c r="AD1549" i="1" s="1"/>
  <c r="P1551" i="1"/>
  <c r="AA1551" i="1" s="1"/>
  <c r="AB1551" i="1" s="1"/>
  <c r="AC1550" i="1" l="1"/>
  <c r="AD1550" i="1" s="1"/>
  <c r="P1552" i="1"/>
  <c r="AA1552" i="1" s="1"/>
  <c r="AB1552" i="1" s="1"/>
  <c r="AC1551" i="1" l="1"/>
  <c r="AD1551" i="1" s="1"/>
  <c r="P1553" i="1"/>
  <c r="AA1553" i="1" s="1"/>
  <c r="AB1553" i="1" s="1"/>
  <c r="AC1552" i="1" l="1"/>
  <c r="AD1552" i="1" s="1"/>
  <c r="P1554" i="1"/>
  <c r="AA1554" i="1" s="1"/>
  <c r="AB1554" i="1" s="1"/>
  <c r="AC1553" i="1" l="1"/>
  <c r="AD1553" i="1" s="1"/>
  <c r="P1555" i="1"/>
  <c r="AA1555" i="1" s="1"/>
  <c r="AB1555" i="1" s="1"/>
  <c r="AC1554" i="1" l="1"/>
  <c r="AD1554" i="1" s="1"/>
  <c r="P1556" i="1"/>
  <c r="AA1556" i="1" s="1"/>
  <c r="AB1556" i="1" s="1"/>
  <c r="AC1555" i="1" l="1"/>
  <c r="AD1555" i="1" s="1"/>
  <c r="P1557" i="1"/>
  <c r="AA1557" i="1" s="1"/>
  <c r="AB1557" i="1" s="1"/>
  <c r="AC1556" i="1" l="1"/>
  <c r="AD1556" i="1" s="1"/>
  <c r="P1558" i="1"/>
  <c r="AA1558" i="1" s="1"/>
  <c r="AB1558" i="1" s="1"/>
  <c r="AC1557" i="1" l="1"/>
  <c r="AD1557" i="1" s="1"/>
  <c r="P1559" i="1"/>
  <c r="AA1559" i="1" s="1"/>
  <c r="AB1559" i="1" s="1"/>
  <c r="AC1558" i="1" l="1"/>
  <c r="AD1558" i="1" s="1"/>
  <c r="P1560" i="1"/>
  <c r="AA1560" i="1" s="1"/>
  <c r="AB1560" i="1" s="1"/>
  <c r="AC1559" i="1" l="1"/>
  <c r="AD1559" i="1" s="1"/>
  <c r="P1561" i="1"/>
  <c r="AA1561" i="1" s="1"/>
  <c r="AB1561" i="1" s="1"/>
  <c r="AC1560" i="1" l="1"/>
  <c r="AD1560" i="1" s="1"/>
  <c r="P1562" i="1"/>
  <c r="AA1562" i="1" s="1"/>
  <c r="AB1562" i="1" s="1"/>
  <c r="AC1561" i="1" l="1"/>
  <c r="AD1561" i="1" s="1"/>
  <c r="P1563" i="1"/>
  <c r="AA1563" i="1" s="1"/>
  <c r="AB1563" i="1" s="1"/>
  <c r="AC1562" i="1" l="1"/>
  <c r="AD1562" i="1" s="1"/>
  <c r="P1564" i="1"/>
  <c r="AA1564" i="1" s="1"/>
  <c r="AB1564" i="1" s="1"/>
  <c r="AC1563" i="1" l="1"/>
  <c r="AD1563" i="1" s="1"/>
  <c r="P1565" i="1"/>
  <c r="AA1565" i="1" s="1"/>
  <c r="AB1565" i="1" s="1"/>
  <c r="AC1564" i="1" l="1"/>
  <c r="AD1564" i="1" s="1"/>
  <c r="P1566" i="1"/>
  <c r="AA1566" i="1" s="1"/>
  <c r="AB1566" i="1" s="1"/>
  <c r="AC1565" i="1" l="1"/>
  <c r="AD1565" i="1" s="1"/>
  <c r="P1567" i="1"/>
  <c r="AA1567" i="1" s="1"/>
  <c r="AB1567" i="1" s="1"/>
  <c r="AC1566" i="1" l="1"/>
  <c r="AD1566" i="1" s="1"/>
  <c r="P1568" i="1"/>
  <c r="AA1568" i="1" s="1"/>
  <c r="AB1568" i="1" s="1"/>
  <c r="AC1567" i="1" l="1"/>
  <c r="AD1567" i="1" s="1"/>
  <c r="P1569" i="1"/>
  <c r="AA1569" i="1" s="1"/>
  <c r="AB1569" i="1" s="1"/>
  <c r="AC1568" i="1" l="1"/>
  <c r="AD1568" i="1" s="1"/>
  <c r="P1570" i="1"/>
  <c r="AA1570" i="1" s="1"/>
  <c r="AB1570" i="1" s="1"/>
  <c r="AC1569" i="1" l="1"/>
  <c r="AD1569" i="1" s="1"/>
  <c r="P1571" i="1"/>
  <c r="AA1571" i="1" s="1"/>
  <c r="AB1571" i="1" s="1"/>
  <c r="AC1570" i="1" l="1"/>
  <c r="AD1570" i="1" s="1"/>
  <c r="P1572" i="1"/>
  <c r="AA1572" i="1" s="1"/>
  <c r="AB1572" i="1" s="1"/>
  <c r="AC1571" i="1" l="1"/>
  <c r="AD1571" i="1" s="1"/>
  <c r="P1573" i="1"/>
  <c r="AA1573" i="1" s="1"/>
  <c r="AB1573" i="1" s="1"/>
  <c r="AC1572" i="1" l="1"/>
  <c r="AD1572" i="1" s="1"/>
  <c r="P1574" i="1"/>
  <c r="AA1574" i="1" s="1"/>
  <c r="AB1574" i="1" s="1"/>
  <c r="AC1573" i="1" l="1"/>
  <c r="AD1573" i="1" s="1"/>
  <c r="P1575" i="1"/>
  <c r="AA1575" i="1" s="1"/>
  <c r="AB1575" i="1" s="1"/>
  <c r="AC1574" i="1" l="1"/>
  <c r="AD1574" i="1" s="1"/>
  <c r="P1576" i="1"/>
  <c r="AA1576" i="1" s="1"/>
  <c r="AB1576" i="1" s="1"/>
  <c r="AC1575" i="1" l="1"/>
  <c r="AD1575" i="1" s="1"/>
  <c r="P1577" i="1"/>
  <c r="AA1577" i="1" s="1"/>
  <c r="AB1577" i="1" s="1"/>
  <c r="AC1576" i="1" l="1"/>
  <c r="AD1576" i="1" s="1"/>
  <c r="P1578" i="1"/>
  <c r="AA1578" i="1" s="1"/>
  <c r="AB1578" i="1" s="1"/>
  <c r="AC1577" i="1" l="1"/>
  <c r="AD1577" i="1" s="1"/>
  <c r="P1579" i="1"/>
  <c r="AA1579" i="1" s="1"/>
  <c r="AB1579" i="1" s="1"/>
  <c r="AC1578" i="1" l="1"/>
  <c r="AD1578" i="1" s="1"/>
  <c r="P1580" i="1"/>
  <c r="AA1580" i="1" s="1"/>
  <c r="AB1580" i="1" s="1"/>
  <c r="AC1579" i="1" l="1"/>
  <c r="AD1579" i="1" s="1"/>
  <c r="P1581" i="1"/>
  <c r="AA1581" i="1" s="1"/>
  <c r="AB1581" i="1" s="1"/>
  <c r="AC1580" i="1" l="1"/>
  <c r="AD1580" i="1" s="1"/>
  <c r="P1582" i="1"/>
  <c r="AA1582" i="1" s="1"/>
  <c r="AB1582" i="1" s="1"/>
  <c r="AC1581" i="1" l="1"/>
  <c r="AD1581" i="1" s="1"/>
  <c r="P1583" i="1"/>
  <c r="AA1583" i="1" s="1"/>
  <c r="AB1583" i="1" s="1"/>
  <c r="AC1582" i="1" l="1"/>
  <c r="AD1582" i="1" s="1"/>
  <c r="P1584" i="1"/>
  <c r="AA1584" i="1" s="1"/>
  <c r="AB1584" i="1" s="1"/>
  <c r="AC1583" i="1" l="1"/>
  <c r="AD1583" i="1" s="1"/>
  <c r="P1585" i="1"/>
  <c r="AA1585" i="1" s="1"/>
  <c r="AB1585" i="1" s="1"/>
  <c r="AC1584" i="1" l="1"/>
  <c r="AD1584" i="1" s="1"/>
  <c r="P1586" i="1"/>
  <c r="AA1586" i="1" s="1"/>
  <c r="AB1586" i="1" s="1"/>
  <c r="AC1585" i="1" l="1"/>
  <c r="AD1585" i="1" s="1"/>
  <c r="P1587" i="1"/>
  <c r="AA1587" i="1" s="1"/>
  <c r="AB1587" i="1" s="1"/>
  <c r="AC1586" i="1" l="1"/>
  <c r="AD1586" i="1" s="1"/>
  <c r="P1588" i="1"/>
  <c r="AA1588" i="1" s="1"/>
  <c r="AB1588" i="1" s="1"/>
  <c r="AC1587" i="1" l="1"/>
  <c r="AD1587" i="1" s="1"/>
  <c r="P1589" i="1"/>
  <c r="AA1589" i="1" s="1"/>
  <c r="AB1589" i="1" s="1"/>
  <c r="AC1588" i="1" l="1"/>
  <c r="AD1588" i="1" s="1"/>
  <c r="P1590" i="1"/>
  <c r="AA1590" i="1" s="1"/>
  <c r="AB1590" i="1" s="1"/>
  <c r="AC1589" i="1" l="1"/>
  <c r="AD1589" i="1" s="1"/>
  <c r="P1591" i="1"/>
  <c r="AA1591" i="1" s="1"/>
  <c r="AB1591" i="1" s="1"/>
  <c r="AC1590" i="1" l="1"/>
  <c r="AD1590" i="1" s="1"/>
  <c r="P1592" i="1"/>
  <c r="AA1592" i="1" s="1"/>
  <c r="AB1592" i="1" s="1"/>
  <c r="AC1591" i="1" l="1"/>
  <c r="AD1591" i="1" s="1"/>
  <c r="P1593" i="1"/>
  <c r="AA1593" i="1" s="1"/>
  <c r="AB1593" i="1" s="1"/>
  <c r="AC1592" i="1" l="1"/>
  <c r="AD1592" i="1" s="1"/>
  <c r="P1594" i="1"/>
  <c r="AA1594" i="1" s="1"/>
  <c r="AB1594" i="1" s="1"/>
  <c r="AC1593" i="1" l="1"/>
  <c r="AD1593" i="1" s="1"/>
  <c r="P1595" i="1"/>
  <c r="AA1595" i="1" s="1"/>
  <c r="AB1595" i="1" s="1"/>
  <c r="AC1594" i="1" l="1"/>
  <c r="AD1594" i="1" s="1"/>
  <c r="P1596" i="1"/>
  <c r="AA1596" i="1" s="1"/>
  <c r="AB1596" i="1" s="1"/>
  <c r="AC1595" i="1" l="1"/>
  <c r="AD1595" i="1" s="1"/>
  <c r="P1597" i="1"/>
  <c r="AA1597" i="1" s="1"/>
  <c r="AB1597" i="1" s="1"/>
  <c r="AC1596" i="1" l="1"/>
  <c r="AD1596" i="1" s="1"/>
  <c r="P1598" i="1"/>
  <c r="AA1598" i="1" s="1"/>
  <c r="AB1598" i="1" s="1"/>
  <c r="AC1597" i="1" l="1"/>
  <c r="AD1597" i="1" s="1"/>
  <c r="P1599" i="1"/>
  <c r="AA1599" i="1" s="1"/>
  <c r="AB1599" i="1" s="1"/>
  <c r="AC1598" i="1" l="1"/>
  <c r="AD1598" i="1" s="1"/>
  <c r="P1600" i="1"/>
  <c r="AA1600" i="1" s="1"/>
  <c r="AB1600" i="1" s="1"/>
  <c r="AC1599" i="1" l="1"/>
  <c r="AD1599" i="1" s="1"/>
  <c r="P1601" i="1"/>
  <c r="AA1601" i="1" s="1"/>
  <c r="AB1601" i="1" s="1"/>
  <c r="AC1600" i="1" l="1"/>
  <c r="AD1600" i="1" s="1"/>
  <c r="P1602" i="1"/>
  <c r="AA1602" i="1" s="1"/>
  <c r="AB1602" i="1" s="1"/>
  <c r="AC1601" i="1" l="1"/>
  <c r="AD1601" i="1" s="1"/>
  <c r="P1603" i="1"/>
  <c r="AA1603" i="1" s="1"/>
  <c r="AB1603" i="1" s="1"/>
  <c r="AC1602" i="1" l="1"/>
  <c r="AD1602" i="1" s="1"/>
  <c r="P1604" i="1"/>
  <c r="AA1604" i="1" s="1"/>
  <c r="AB1604" i="1" s="1"/>
  <c r="AC1603" i="1" l="1"/>
  <c r="AD1603" i="1" s="1"/>
  <c r="P1605" i="1"/>
  <c r="AA1605" i="1" s="1"/>
  <c r="AB1605" i="1" s="1"/>
  <c r="AC1604" i="1" l="1"/>
  <c r="AD1604" i="1" s="1"/>
  <c r="P1606" i="1"/>
  <c r="AA1606" i="1" s="1"/>
  <c r="AB1606" i="1" s="1"/>
  <c r="AC1605" i="1" l="1"/>
  <c r="AD1605" i="1" s="1"/>
  <c r="P1607" i="1"/>
  <c r="AA1607" i="1" s="1"/>
  <c r="AB1607" i="1" s="1"/>
  <c r="AC1606" i="1" l="1"/>
  <c r="AD1606" i="1" s="1"/>
  <c r="P1608" i="1"/>
  <c r="AA1608" i="1" s="1"/>
  <c r="AB1608" i="1" s="1"/>
  <c r="AC1607" i="1" l="1"/>
  <c r="AD1607" i="1" s="1"/>
  <c r="P1609" i="1"/>
  <c r="AA1609" i="1" s="1"/>
  <c r="AB1609" i="1" s="1"/>
  <c r="AC1608" i="1" l="1"/>
  <c r="AD1608" i="1" s="1"/>
  <c r="P1610" i="1"/>
  <c r="AA1610" i="1" s="1"/>
  <c r="AB1610" i="1" s="1"/>
  <c r="AC1609" i="1" l="1"/>
  <c r="AD1609" i="1" s="1"/>
  <c r="P1611" i="1"/>
  <c r="AA1611" i="1" s="1"/>
  <c r="AB1611" i="1" s="1"/>
  <c r="AC1610" i="1" l="1"/>
  <c r="AD1610" i="1" s="1"/>
  <c r="P1612" i="1"/>
  <c r="AA1612" i="1" s="1"/>
  <c r="AB1612" i="1" s="1"/>
  <c r="AC1611" i="1" l="1"/>
  <c r="AD1611" i="1" s="1"/>
  <c r="P1613" i="1"/>
  <c r="AA1613" i="1" s="1"/>
  <c r="AB1613" i="1" s="1"/>
  <c r="AC1612" i="1" l="1"/>
  <c r="AD1612" i="1" s="1"/>
  <c r="P1614" i="1"/>
  <c r="AA1614" i="1" s="1"/>
  <c r="AB1614" i="1" s="1"/>
  <c r="AC1613" i="1" l="1"/>
  <c r="AD1613" i="1" s="1"/>
  <c r="P1615" i="1"/>
  <c r="AA1615" i="1" s="1"/>
  <c r="AB1615" i="1" s="1"/>
  <c r="AC1614" i="1" l="1"/>
  <c r="AD1614" i="1" s="1"/>
  <c r="P1616" i="1"/>
  <c r="AA1616" i="1" s="1"/>
  <c r="AB1616" i="1" s="1"/>
  <c r="AC1615" i="1" l="1"/>
  <c r="AD1615" i="1" s="1"/>
  <c r="P1617" i="1"/>
  <c r="AA1617" i="1" s="1"/>
  <c r="AB1617" i="1" s="1"/>
  <c r="AC1616" i="1" l="1"/>
  <c r="AD1616" i="1" s="1"/>
  <c r="P1618" i="1"/>
  <c r="AA1618" i="1" s="1"/>
  <c r="AB1618" i="1" s="1"/>
  <c r="AC1617" i="1" l="1"/>
  <c r="AD1617" i="1" s="1"/>
  <c r="P1619" i="1"/>
  <c r="AA1619" i="1" s="1"/>
  <c r="AB1619" i="1" s="1"/>
  <c r="AC1618" i="1" l="1"/>
  <c r="AD1618" i="1" s="1"/>
  <c r="P1620" i="1"/>
  <c r="AA1620" i="1" s="1"/>
  <c r="AB1620" i="1" s="1"/>
  <c r="AC1619" i="1" l="1"/>
  <c r="AD1619" i="1" s="1"/>
  <c r="P1621" i="1"/>
  <c r="AA1621" i="1" s="1"/>
  <c r="AB1621" i="1" s="1"/>
  <c r="AC1620" i="1" l="1"/>
  <c r="AD1620" i="1" s="1"/>
  <c r="P1622" i="1"/>
  <c r="AA1622" i="1" s="1"/>
  <c r="AB1622" i="1" s="1"/>
  <c r="AC1621" i="1" l="1"/>
  <c r="AD1621" i="1" s="1"/>
  <c r="P1623" i="1"/>
  <c r="AA1623" i="1" s="1"/>
  <c r="AB1623" i="1" s="1"/>
  <c r="AC1622" i="1" l="1"/>
  <c r="AD1622" i="1" s="1"/>
  <c r="P1624" i="1"/>
  <c r="AA1624" i="1" s="1"/>
  <c r="AB1624" i="1" s="1"/>
  <c r="AC1623" i="1" l="1"/>
  <c r="AD1623" i="1" s="1"/>
  <c r="P1625" i="1"/>
  <c r="AA1625" i="1" s="1"/>
  <c r="AB1625" i="1" s="1"/>
  <c r="AC1624" i="1" l="1"/>
  <c r="AD1624" i="1" s="1"/>
  <c r="P1626" i="1"/>
  <c r="AA1626" i="1" s="1"/>
  <c r="AB1626" i="1" s="1"/>
  <c r="AC1625" i="1" l="1"/>
  <c r="AD1625" i="1" s="1"/>
  <c r="P1627" i="1"/>
  <c r="AA1627" i="1" s="1"/>
  <c r="AB1627" i="1" s="1"/>
  <c r="AC1626" i="1" l="1"/>
  <c r="AD1626" i="1" s="1"/>
  <c r="P1628" i="1"/>
  <c r="AA1628" i="1" s="1"/>
  <c r="AB1628" i="1" s="1"/>
  <c r="AC1627" i="1" l="1"/>
  <c r="AD1627" i="1" s="1"/>
  <c r="P1629" i="1"/>
  <c r="AA1629" i="1" s="1"/>
  <c r="AB1629" i="1" s="1"/>
  <c r="AC1628" i="1" l="1"/>
  <c r="AD1628" i="1" s="1"/>
  <c r="P1630" i="1"/>
  <c r="AA1630" i="1" s="1"/>
  <c r="AB1630" i="1" s="1"/>
  <c r="AC1629" i="1" l="1"/>
  <c r="AD1629" i="1" s="1"/>
  <c r="P1631" i="1"/>
  <c r="AA1631" i="1" s="1"/>
  <c r="AB1631" i="1" s="1"/>
  <c r="AC1630" i="1" l="1"/>
  <c r="AD1630" i="1" s="1"/>
  <c r="P1632" i="1"/>
  <c r="AA1632" i="1" s="1"/>
  <c r="AB1632" i="1" s="1"/>
  <c r="AC1631" i="1" l="1"/>
  <c r="AD1631" i="1" s="1"/>
  <c r="P1633" i="1"/>
  <c r="AA1633" i="1" s="1"/>
  <c r="AB1633" i="1" s="1"/>
  <c r="AC1632" i="1" l="1"/>
  <c r="AD1632" i="1" s="1"/>
  <c r="P1634" i="1"/>
  <c r="AA1634" i="1" s="1"/>
  <c r="AB1634" i="1" s="1"/>
  <c r="AC1633" i="1" l="1"/>
  <c r="AD1633" i="1" s="1"/>
  <c r="P1635" i="1"/>
  <c r="AA1635" i="1" s="1"/>
  <c r="AB1635" i="1" s="1"/>
  <c r="AC1634" i="1" l="1"/>
  <c r="AD1634" i="1" s="1"/>
  <c r="P1636" i="1"/>
  <c r="AA1636" i="1" s="1"/>
  <c r="AB1636" i="1" s="1"/>
  <c r="AC1635" i="1" l="1"/>
  <c r="AD1635" i="1" s="1"/>
  <c r="P1637" i="1"/>
  <c r="AA1637" i="1" s="1"/>
  <c r="AB1637" i="1" s="1"/>
  <c r="AC1636" i="1" l="1"/>
  <c r="AD1636" i="1" s="1"/>
  <c r="P1638" i="1"/>
  <c r="AA1638" i="1" s="1"/>
  <c r="AB1638" i="1" s="1"/>
  <c r="AC1637" i="1" l="1"/>
  <c r="AD1637" i="1" s="1"/>
  <c r="P1639" i="1"/>
  <c r="AA1639" i="1" s="1"/>
  <c r="AB1639" i="1" s="1"/>
  <c r="AC1638" i="1" l="1"/>
  <c r="AD1638" i="1" s="1"/>
  <c r="P1640" i="1"/>
  <c r="AA1640" i="1" s="1"/>
  <c r="AB1640" i="1" s="1"/>
  <c r="AC1639" i="1" l="1"/>
  <c r="AD1639" i="1" s="1"/>
  <c r="P1641" i="1"/>
  <c r="AA1641" i="1" s="1"/>
  <c r="AB1641" i="1" s="1"/>
  <c r="AC1640" i="1" l="1"/>
  <c r="AD1640" i="1" s="1"/>
  <c r="P1642" i="1"/>
  <c r="AA1642" i="1" s="1"/>
  <c r="AB1642" i="1" s="1"/>
  <c r="AC1641" i="1" l="1"/>
  <c r="AD1641" i="1" s="1"/>
  <c r="P1643" i="1"/>
  <c r="AA1643" i="1" s="1"/>
  <c r="AB1643" i="1" s="1"/>
  <c r="AC1642" i="1" l="1"/>
  <c r="AD1642" i="1" s="1"/>
  <c r="P1644" i="1"/>
  <c r="AA1644" i="1" s="1"/>
  <c r="AB1644" i="1" s="1"/>
  <c r="AC1643" i="1" l="1"/>
  <c r="AD1643" i="1" s="1"/>
  <c r="P1645" i="1"/>
  <c r="AA1645" i="1" s="1"/>
  <c r="AB1645" i="1" s="1"/>
  <c r="AC1644" i="1" l="1"/>
  <c r="AD1644" i="1" s="1"/>
  <c r="P1646" i="1"/>
  <c r="AA1646" i="1" s="1"/>
  <c r="AB1646" i="1" s="1"/>
  <c r="AC1645" i="1" l="1"/>
  <c r="AD1645" i="1" s="1"/>
  <c r="P1647" i="1"/>
  <c r="AA1647" i="1" s="1"/>
  <c r="AB1647" i="1" s="1"/>
  <c r="AC1646" i="1" l="1"/>
  <c r="AD1646" i="1" s="1"/>
  <c r="P1648" i="1"/>
  <c r="AA1648" i="1" s="1"/>
  <c r="AB1648" i="1" s="1"/>
  <c r="AC1647" i="1" l="1"/>
  <c r="AD1647" i="1" s="1"/>
  <c r="P1649" i="1"/>
  <c r="AA1649" i="1" s="1"/>
  <c r="AB1649" i="1" s="1"/>
  <c r="AC1648" i="1" l="1"/>
  <c r="AD1648" i="1" s="1"/>
  <c r="P1650" i="1"/>
  <c r="AA1650" i="1" s="1"/>
  <c r="AB1650" i="1" s="1"/>
  <c r="AC1649" i="1" l="1"/>
  <c r="AD1649" i="1" s="1"/>
  <c r="P1651" i="1"/>
  <c r="AA1651" i="1" s="1"/>
  <c r="AB1651" i="1" s="1"/>
  <c r="AC1650" i="1" l="1"/>
  <c r="AD1650" i="1" s="1"/>
  <c r="P1652" i="1"/>
  <c r="AA1652" i="1" s="1"/>
  <c r="AB1652" i="1" s="1"/>
  <c r="AC1651" i="1" l="1"/>
  <c r="AD1651" i="1" s="1"/>
  <c r="P1653" i="1"/>
  <c r="AA1653" i="1" s="1"/>
  <c r="AB1653" i="1" s="1"/>
  <c r="AC1652" i="1" l="1"/>
  <c r="AD1652" i="1" s="1"/>
  <c r="P1654" i="1"/>
  <c r="AA1654" i="1" s="1"/>
  <c r="AB1654" i="1" s="1"/>
  <c r="AC1653" i="1" l="1"/>
  <c r="AD1653" i="1" s="1"/>
  <c r="P1655" i="1"/>
  <c r="AA1655" i="1" s="1"/>
  <c r="AB1655" i="1" s="1"/>
  <c r="AC1654" i="1" l="1"/>
  <c r="AD1654" i="1" s="1"/>
  <c r="P1656" i="1"/>
  <c r="AA1656" i="1" s="1"/>
  <c r="AB1656" i="1" s="1"/>
  <c r="AC1655" i="1" l="1"/>
  <c r="AD1655" i="1" s="1"/>
  <c r="P1657" i="1"/>
  <c r="AA1657" i="1" s="1"/>
  <c r="AB1657" i="1" s="1"/>
  <c r="AC1656" i="1" l="1"/>
  <c r="AD1656" i="1" s="1"/>
  <c r="P1658" i="1"/>
  <c r="AA1658" i="1" s="1"/>
  <c r="AB1658" i="1" s="1"/>
  <c r="AC1657" i="1" l="1"/>
  <c r="AD1657" i="1" s="1"/>
  <c r="P1659" i="1"/>
  <c r="AA1659" i="1" s="1"/>
  <c r="AB1659" i="1" s="1"/>
  <c r="AC1658" i="1" l="1"/>
  <c r="AD1658" i="1" s="1"/>
  <c r="P1660" i="1"/>
  <c r="AA1660" i="1" s="1"/>
  <c r="AB1660" i="1" s="1"/>
  <c r="AC1659" i="1" l="1"/>
  <c r="AD1659" i="1" s="1"/>
  <c r="P1661" i="1"/>
  <c r="AA1661" i="1" s="1"/>
  <c r="AB1661" i="1" s="1"/>
  <c r="AC1660" i="1" l="1"/>
  <c r="AD1660" i="1" s="1"/>
  <c r="P1662" i="1"/>
  <c r="AA1662" i="1" s="1"/>
  <c r="AB1662" i="1" s="1"/>
  <c r="AC1661" i="1" l="1"/>
  <c r="AD1661" i="1" s="1"/>
  <c r="P1663" i="1"/>
  <c r="AA1663" i="1" s="1"/>
  <c r="AB1663" i="1" s="1"/>
  <c r="AC1662" i="1" l="1"/>
  <c r="AD1662" i="1" s="1"/>
  <c r="P1664" i="1"/>
  <c r="AA1664" i="1" s="1"/>
  <c r="AB1664" i="1" s="1"/>
  <c r="AC1663" i="1" l="1"/>
  <c r="AD1663" i="1" s="1"/>
  <c r="P1665" i="1"/>
  <c r="AA1665" i="1" s="1"/>
  <c r="AB1665" i="1" s="1"/>
  <c r="AC1664" i="1" l="1"/>
  <c r="AD1664" i="1" s="1"/>
  <c r="P1666" i="1"/>
  <c r="AA1666" i="1" s="1"/>
  <c r="AB1666" i="1" s="1"/>
  <c r="AC1665" i="1" l="1"/>
  <c r="AD1665" i="1" s="1"/>
  <c r="P1667" i="1"/>
  <c r="AA1667" i="1" s="1"/>
  <c r="AB1667" i="1" s="1"/>
  <c r="AC1666" i="1" l="1"/>
  <c r="AD1666" i="1" s="1"/>
  <c r="P1668" i="1"/>
  <c r="AA1668" i="1" s="1"/>
  <c r="AB1668" i="1" s="1"/>
  <c r="AC1667" i="1" l="1"/>
  <c r="AD1667" i="1" s="1"/>
  <c r="P1669" i="1"/>
  <c r="AA1669" i="1" s="1"/>
  <c r="AB1669" i="1" s="1"/>
  <c r="AC1668" i="1" l="1"/>
  <c r="AD1668" i="1" s="1"/>
  <c r="P1670" i="1"/>
  <c r="AA1670" i="1" s="1"/>
  <c r="AB1670" i="1" s="1"/>
  <c r="AC1669" i="1" l="1"/>
  <c r="AD1669" i="1" s="1"/>
  <c r="P1671" i="1"/>
  <c r="AA1671" i="1" s="1"/>
  <c r="AB1671" i="1" s="1"/>
  <c r="AC1670" i="1" l="1"/>
  <c r="AD1670" i="1" s="1"/>
  <c r="P1672" i="1"/>
  <c r="AA1672" i="1" s="1"/>
  <c r="AB1672" i="1" s="1"/>
  <c r="AC1671" i="1" l="1"/>
  <c r="AD1671" i="1" s="1"/>
  <c r="P1673" i="1"/>
  <c r="AA1673" i="1" s="1"/>
  <c r="AB1673" i="1" s="1"/>
  <c r="AC1672" i="1" l="1"/>
  <c r="AD1672" i="1" s="1"/>
  <c r="P1674" i="1"/>
  <c r="AA1674" i="1" s="1"/>
  <c r="AB1674" i="1" s="1"/>
  <c r="AC1673" i="1" l="1"/>
  <c r="AD1673" i="1" s="1"/>
  <c r="P1675" i="1"/>
  <c r="AA1675" i="1" s="1"/>
  <c r="AB1675" i="1" s="1"/>
  <c r="AC1674" i="1" l="1"/>
  <c r="AD1674" i="1" s="1"/>
  <c r="P1676" i="1"/>
  <c r="AA1676" i="1" s="1"/>
  <c r="AB1676" i="1" s="1"/>
  <c r="AC1675" i="1" l="1"/>
  <c r="AD1675" i="1" s="1"/>
  <c r="P1677" i="1"/>
  <c r="AA1677" i="1" s="1"/>
  <c r="AB1677" i="1" s="1"/>
  <c r="AC1676" i="1" l="1"/>
  <c r="AD1676" i="1" s="1"/>
  <c r="P1678" i="1"/>
  <c r="AA1678" i="1" s="1"/>
  <c r="AB1678" i="1" s="1"/>
  <c r="AC1677" i="1" l="1"/>
  <c r="AD1677" i="1" s="1"/>
  <c r="P1679" i="1"/>
  <c r="AA1679" i="1" s="1"/>
  <c r="AB1679" i="1" s="1"/>
  <c r="AC1678" i="1" l="1"/>
  <c r="AD1678" i="1" s="1"/>
  <c r="P1680" i="1"/>
  <c r="AA1680" i="1" s="1"/>
  <c r="AB1680" i="1" s="1"/>
  <c r="AC1679" i="1" l="1"/>
  <c r="AD1679" i="1" s="1"/>
  <c r="P1681" i="1"/>
  <c r="AA1681" i="1" s="1"/>
  <c r="AB1681" i="1" s="1"/>
  <c r="AC1680" i="1" l="1"/>
  <c r="AD1680" i="1" s="1"/>
  <c r="P1682" i="1"/>
  <c r="AA1682" i="1" s="1"/>
  <c r="AB1682" i="1" s="1"/>
  <c r="AC1681" i="1" l="1"/>
  <c r="AD1681" i="1" s="1"/>
  <c r="P1683" i="1"/>
  <c r="AA1683" i="1" s="1"/>
  <c r="AB1683" i="1" s="1"/>
  <c r="AC1682" i="1" l="1"/>
  <c r="AD1682" i="1" s="1"/>
  <c r="P1684" i="1"/>
  <c r="AA1684" i="1" s="1"/>
  <c r="AB1684" i="1" s="1"/>
  <c r="AC1683" i="1" l="1"/>
  <c r="AD1683" i="1" s="1"/>
  <c r="P1685" i="1"/>
  <c r="AA1685" i="1" s="1"/>
  <c r="AB1685" i="1" s="1"/>
  <c r="AC1684" i="1" l="1"/>
  <c r="AD1684" i="1" s="1"/>
  <c r="P1686" i="1"/>
  <c r="AA1686" i="1" s="1"/>
  <c r="AB1686" i="1" s="1"/>
  <c r="AC1685" i="1" l="1"/>
  <c r="AD1685" i="1" s="1"/>
  <c r="P1687" i="1"/>
  <c r="AA1687" i="1" s="1"/>
  <c r="AB1687" i="1" s="1"/>
  <c r="AC1686" i="1" l="1"/>
  <c r="AD1686" i="1" s="1"/>
  <c r="P1688" i="1"/>
  <c r="AA1688" i="1" s="1"/>
  <c r="AB1688" i="1" s="1"/>
  <c r="AC1687" i="1" l="1"/>
  <c r="AD1687" i="1" s="1"/>
  <c r="P1689" i="1"/>
  <c r="AA1689" i="1" s="1"/>
  <c r="AB1689" i="1" s="1"/>
  <c r="AC1688" i="1" l="1"/>
  <c r="AD1688" i="1" s="1"/>
  <c r="P1690" i="1"/>
  <c r="AA1690" i="1" s="1"/>
  <c r="AB1690" i="1" s="1"/>
  <c r="AC1689" i="1" l="1"/>
  <c r="AD1689" i="1" s="1"/>
  <c r="P1691" i="1"/>
  <c r="AA1691" i="1" s="1"/>
  <c r="AB1691" i="1" s="1"/>
  <c r="AC1690" i="1" l="1"/>
  <c r="AD1690" i="1" s="1"/>
  <c r="P1692" i="1"/>
  <c r="AA1692" i="1" s="1"/>
  <c r="AB1692" i="1" s="1"/>
  <c r="AC1691" i="1" l="1"/>
  <c r="AD1691" i="1" s="1"/>
  <c r="P1693" i="1"/>
  <c r="AA1693" i="1" s="1"/>
  <c r="AB1693" i="1" s="1"/>
  <c r="AC1692" i="1" l="1"/>
  <c r="AD1692" i="1" s="1"/>
  <c r="P1694" i="1"/>
  <c r="AA1694" i="1" s="1"/>
  <c r="AB1694" i="1" s="1"/>
  <c r="AC1693" i="1" l="1"/>
  <c r="AD1693" i="1" s="1"/>
  <c r="P1695" i="1"/>
  <c r="AA1695" i="1" s="1"/>
  <c r="AB1695" i="1" s="1"/>
  <c r="AC1694" i="1" l="1"/>
  <c r="AD1694" i="1" s="1"/>
  <c r="P1696" i="1"/>
  <c r="AA1696" i="1" s="1"/>
  <c r="AB1696" i="1" s="1"/>
  <c r="AC1695" i="1" l="1"/>
  <c r="AD1695" i="1" s="1"/>
  <c r="P1697" i="1"/>
  <c r="AA1697" i="1" s="1"/>
  <c r="AB1697" i="1" s="1"/>
  <c r="AC1696" i="1" l="1"/>
  <c r="AD1696" i="1" s="1"/>
  <c r="P1698" i="1"/>
  <c r="AA1698" i="1" s="1"/>
  <c r="AB1698" i="1" s="1"/>
  <c r="AC1697" i="1" l="1"/>
  <c r="AD1697" i="1" s="1"/>
  <c r="P1699" i="1"/>
  <c r="AA1699" i="1" s="1"/>
  <c r="AB1699" i="1" s="1"/>
  <c r="AC1698" i="1" l="1"/>
  <c r="AD1698" i="1" s="1"/>
  <c r="P1700" i="1"/>
  <c r="AA1700" i="1" s="1"/>
  <c r="AB1700" i="1" s="1"/>
  <c r="AC1699" i="1" l="1"/>
  <c r="AD1699" i="1" s="1"/>
  <c r="P1701" i="1"/>
  <c r="AA1701" i="1" s="1"/>
  <c r="AB1701" i="1" s="1"/>
  <c r="AC1700" i="1" l="1"/>
  <c r="AD1700" i="1" s="1"/>
  <c r="P1702" i="1"/>
  <c r="AA1702" i="1" s="1"/>
  <c r="AB1702" i="1" s="1"/>
  <c r="AC1701" i="1" l="1"/>
  <c r="AD1701" i="1" s="1"/>
  <c r="P1703" i="1"/>
  <c r="AA1703" i="1" s="1"/>
  <c r="AB1703" i="1" s="1"/>
  <c r="AC1702" i="1" l="1"/>
  <c r="AD1702" i="1" s="1"/>
  <c r="P1704" i="1"/>
  <c r="AA1704" i="1" s="1"/>
  <c r="AB1704" i="1" s="1"/>
  <c r="AC1703" i="1" l="1"/>
  <c r="AD1703" i="1" s="1"/>
  <c r="P1705" i="1"/>
  <c r="AA1705" i="1" s="1"/>
  <c r="AB1705" i="1" s="1"/>
  <c r="AC1704" i="1" l="1"/>
  <c r="AD1704" i="1" s="1"/>
  <c r="P1706" i="1"/>
  <c r="AA1706" i="1" s="1"/>
  <c r="AB1706" i="1" s="1"/>
  <c r="AC1705" i="1" l="1"/>
  <c r="AD1705" i="1" s="1"/>
  <c r="P1707" i="1"/>
  <c r="AA1707" i="1" s="1"/>
  <c r="AB1707" i="1" s="1"/>
  <c r="AC1706" i="1" l="1"/>
  <c r="AD1706" i="1" s="1"/>
  <c r="P1708" i="1"/>
  <c r="AA1708" i="1" s="1"/>
  <c r="AB1708" i="1" s="1"/>
  <c r="AC1707" i="1" l="1"/>
  <c r="AD1707" i="1" s="1"/>
  <c r="P1709" i="1"/>
  <c r="AA1709" i="1" s="1"/>
  <c r="AB1709" i="1" s="1"/>
  <c r="AC1708" i="1" l="1"/>
  <c r="AD1708" i="1" s="1"/>
  <c r="P1710" i="1"/>
  <c r="AA1710" i="1" s="1"/>
  <c r="AB1710" i="1" s="1"/>
  <c r="AC1709" i="1" l="1"/>
  <c r="AD1709" i="1" s="1"/>
  <c r="P1711" i="1"/>
  <c r="AA1711" i="1" s="1"/>
  <c r="AB1711" i="1" s="1"/>
  <c r="AC1710" i="1" l="1"/>
  <c r="AD1710" i="1" s="1"/>
  <c r="P1712" i="1"/>
  <c r="AA1712" i="1" s="1"/>
  <c r="AB1712" i="1" s="1"/>
  <c r="AC1711" i="1" l="1"/>
  <c r="AD1711" i="1" s="1"/>
  <c r="P1713" i="1"/>
  <c r="AA1713" i="1" s="1"/>
  <c r="AB1713" i="1" s="1"/>
  <c r="AC1712" i="1" l="1"/>
  <c r="AD1712" i="1" s="1"/>
  <c r="P1714" i="1"/>
  <c r="AA1714" i="1" s="1"/>
  <c r="AB1714" i="1" s="1"/>
  <c r="AC1713" i="1" l="1"/>
  <c r="AD1713" i="1" s="1"/>
  <c r="P1715" i="1"/>
  <c r="AA1715" i="1" s="1"/>
  <c r="AB1715" i="1" s="1"/>
  <c r="AC1714" i="1" l="1"/>
  <c r="AD1714" i="1" s="1"/>
  <c r="P1716" i="1"/>
  <c r="AA1716" i="1" s="1"/>
  <c r="AB1716" i="1" s="1"/>
  <c r="AC1715" i="1" l="1"/>
  <c r="AD1715" i="1" s="1"/>
  <c r="P1717" i="1"/>
  <c r="AA1717" i="1" s="1"/>
  <c r="AB1717" i="1" s="1"/>
  <c r="AC1716" i="1" l="1"/>
  <c r="AD1716" i="1" s="1"/>
  <c r="P1718" i="1"/>
  <c r="AA1718" i="1" s="1"/>
  <c r="AB1718" i="1" s="1"/>
  <c r="AC1717" i="1" l="1"/>
  <c r="AD1717" i="1" s="1"/>
  <c r="P1719" i="1"/>
  <c r="AA1719" i="1" s="1"/>
  <c r="AB1719" i="1" s="1"/>
  <c r="AC1718" i="1" l="1"/>
  <c r="AD1718" i="1" s="1"/>
  <c r="P1720" i="1"/>
  <c r="AA1720" i="1" s="1"/>
  <c r="AB1720" i="1" s="1"/>
  <c r="AC1719" i="1" l="1"/>
  <c r="AD1719" i="1" s="1"/>
  <c r="P1721" i="1"/>
  <c r="AA1721" i="1" s="1"/>
  <c r="AB1721" i="1" s="1"/>
  <c r="AC1720" i="1" l="1"/>
  <c r="AD1720" i="1" s="1"/>
  <c r="P1722" i="1"/>
  <c r="AA1722" i="1" s="1"/>
  <c r="AB1722" i="1" s="1"/>
  <c r="AC1721" i="1" l="1"/>
  <c r="AD1721" i="1" s="1"/>
  <c r="P1723" i="1"/>
  <c r="AA1723" i="1" s="1"/>
  <c r="AB1723" i="1" s="1"/>
  <c r="AC1722" i="1" l="1"/>
  <c r="AD1722" i="1" s="1"/>
  <c r="P1724" i="1"/>
  <c r="AA1724" i="1" s="1"/>
  <c r="AB1724" i="1" s="1"/>
  <c r="AC1723" i="1" l="1"/>
  <c r="AD1723" i="1" s="1"/>
  <c r="P1725" i="1"/>
  <c r="AA1725" i="1" s="1"/>
  <c r="AB1725" i="1" s="1"/>
  <c r="AC1724" i="1" l="1"/>
  <c r="AD1724" i="1" s="1"/>
  <c r="P1726" i="1"/>
  <c r="AA1726" i="1" s="1"/>
  <c r="AB1726" i="1" s="1"/>
  <c r="AC1725" i="1" l="1"/>
  <c r="AD1725" i="1" s="1"/>
  <c r="P1727" i="1"/>
  <c r="AA1727" i="1" s="1"/>
  <c r="AB1727" i="1" s="1"/>
  <c r="AC1726" i="1" l="1"/>
  <c r="AD1726" i="1" s="1"/>
  <c r="P1728" i="1"/>
  <c r="AA1728" i="1" s="1"/>
  <c r="AB1728" i="1" s="1"/>
  <c r="AC1727" i="1" l="1"/>
  <c r="AD1727" i="1" s="1"/>
  <c r="P1729" i="1"/>
  <c r="AA1729" i="1" s="1"/>
  <c r="AB1729" i="1" s="1"/>
  <c r="AC1728" i="1" l="1"/>
  <c r="AD1728" i="1" s="1"/>
  <c r="P1730" i="1"/>
  <c r="AA1730" i="1" s="1"/>
  <c r="AB1730" i="1" s="1"/>
  <c r="AC1729" i="1" l="1"/>
  <c r="AD1729" i="1" s="1"/>
  <c r="P1731" i="1"/>
  <c r="AA1731" i="1" s="1"/>
  <c r="AB1731" i="1" s="1"/>
  <c r="AC1730" i="1" l="1"/>
  <c r="AD1730" i="1" s="1"/>
  <c r="P1732" i="1"/>
  <c r="AA1732" i="1" s="1"/>
  <c r="AB1732" i="1" s="1"/>
  <c r="AC1731" i="1" l="1"/>
  <c r="AD1731" i="1" s="1"/>
  <c r="P1733" i="1"/>
  <c r="AA1733" i="1" s="1"/>
  <c r="AB1733" i="1" s="1"/>
  <c r="AC1732" i="1" l="1"/>
  <c r="AD1732" i="1" s="1"/>
  <c r="P1734" i="1"/>
  <c r="AA1734" i="1" s="1"/>
  <c r="AB1734" i="1" s="1"/>
  <c r="AC1733" i="1" l="1"/>
  <c r="AD1733" i="1" s="1"/>
  <c r="P1735" i="1"/>
  <c r="AA1735" i="1" s="1"/>
  <c r="AB1735" i="1" s="1"/>
  <c r="AC1734" i="1" l="1"/>
  <c r="AD1734" i="1" s="1"/>
  <c r="P1736" i="1"/>
  <c r="AA1736" i="1" s="1"/>
  <c r="AB1736" i="1" s="1"/>
  <c r="AC1735" i="1" l="1"/>
  <c r="AD1735" i="1" s="1"/>
  <c r="P1737" i="1"/>
  <c r="AA1737" i="1" s="1"/>
  <c r="AB1737" i="1" s="1"/>
  <c r="AC1736" i="1" l="1"/>
  <c r="AD1736" i="1" s="1"/>
  <c r="P1738" i="1"/>
  <c r="AA1738" i="1" s="1"/>
  <c r="AB1738" i="1" s="1"/>
  <c r="AC1737" i="1" l="1"/>
  <c r="AD1737" i="1" s="1"/>
  <c r="P1739" i="1"/>
  <c r="AA1739" i="1" s="1"/>
  <c r="AB1739" i="1" s="1"/>
  <c r="AC1738" i="1" l="1"/>
  <c r="AD1738" i="1" s="1"/>
  <c r="P1740" i="1"/>
  <c r="AA1740" i="1" s="1"/>
  <c r="AB1740" i="1" s="1"/>
  <c r="AC1739" i="1" l="1"/>
  <c r="AD1739" i="1" s="1"/>
  <c r="P1741" i="1"/>
  <c r="AA1741" i="1" s="1"/>
  <c r="AB1741" i="1" s="1"/>
  <c r="AC1740" i="1" l="1"/>
  <c r="AD1740" i="1" s="1"/>
  <c r="P1742" i="1"/>
  <c r="AA1742" i="1" s="1"/>
  <c r="AB1742" i="1" s="1"/>
  <c r="AC1741" i="1" l="1"/>
  <c r="AD1741" i="1" s="1"/>
  <c r="P1743" i="1"/>
  <c r="AA1743" i="1" s="1"/>
  <c r="AB1743" i="1" s="1"/>
  <c r="AC1742" i="1" l="1"/>
  <c r="AD1742" i="1" s="1"/>
  <c r="P1744" i="1"/>
  <c r="AA1744" i="1" s="1"/>
  <c r="AB1744" i="1" s="1"/>
  <c r="AC1743" i="1" l="1"/>
  <c r="AD1743" i="1" s="1"/>
  <c r="P1745" i="1"/>
  <c r="AA1745" i="1" s="1"/>
  <c r="AB1745" i="1" s="1"/>
  <c r="AC1744" i="1" l="1"/>
  <c r="AD1744" i="1" s="1"/>
  <c r="P1746" i="1"/>
  <c r="AA1746" i="1" s="1"/>
  <c r="AB1746" i="1" s="1"/>
  <c r="AC1745" i="1" l="1"/>
  <c r="AD1745" i="1" s="1"/>
  <c r="P1747" i="1"/>
  <c r="AA1747" i="1" s="1"/>
  <c r="AB1747" i="1" s="1"/>
  <c r="AC1746" i="1" l="1"/>
  <c r="AD1746" i="1" s="1"/>
  <c r="P1748" i="1"/>
  <c r="AA1748" i="1" s="1"/>
  <c r="AB1748" i="1" s="1"/>
  <c r="AC1747" i="1" l="1"/>
  <c r="AD1747" i="1" s="1"/>
  <c r="P1749" i="1"/>
  <c r="AA1749" i="1" s="1"/>
  <c r="AB1749" i="1" s="1"/>
  <c r="AC1748" i="1" l="1"/>
  <c r="AD1748" i="1" s="1"/>
  <c r="P1750" i="1"/>
  <c r="AA1750" i="1" s="1"/>
  <c r="AB1750" i="1" s="1"/>
  <c r="AC1749" i="1" l="1"/>
  <c r="AD1749" i="1" s="1"/>
  <c r="P1751" i="1"/>
  <c r="AA1751" i="1" s="1"/>
  <c r="AB1751" i="1" s="1"/>
  <c r="AC1750" i="1" l="1"/>
  <c r="AD1750" i="1" s="1"/>
  <c r="P1752" i="1"/>
  <c r="AA1752" i="1" s="1"/>
  <c r="AB1752" i="1" s="1"/>
  <c r="AC1751" i="1" l="1"/>
  <c r="AD1751" i="1" s="1"/>
  <c r="P1753" i="1"/>
  <c r="AA1753" i="1" s="1"/>
  <c r="AB1753" i="1" s="1"/>
  <c r="AC1752" i="1" l="1"/>
  <c r="AD1752" i="1" s="1"/>
  <c r="P1754" i="1"/>
  <c r="AA1754" i="1" s="1"/>
  <c r="AB1754" i="1" s="1"/>
  <c r="AC1753" i="1" l="1"/>
  <c r="AD1753" i="1" s="1"/>
  <c r="P1755" i="1"/>
  <c r="AA1755" i="1" s="1"/>
  <c r="AB1755" i="1" s="1"/>
  <c r="AC1754" i="1" l="1"/>
  <c r="AD1754" i="1" s="1"/>
  <c r="P1756" i="1"/>
  <c r="AA1756" i="1" s="1"/>
  <c r="AB1756" i="1" s="1"/>
  <c r="AC1755" i="1" l="1"/>
  <c r="AD1755" i="1" s="1"/>
  <c r="P1757" i="1"/>
  <c r="AA1757" i="1" s="1"/>
  <c r="AB1757" i="1" s="1"/>
  <c r="AC1756" i="1" l="1"/>
  <c r="AD1756" i="1" s="1"/>
  <c r="P1758" i="1"/>
  <c r="AA1758" i="1" s="1"/>
  <c r="AB1758" i="1" s="1"/>
  <c r="AC1757" i="1" l="1"/>
  <c r="AD1757" i="1" s="1"/>
  <c r="P1759" i="1"/>
  <c r="AA1759" i="1" s="1"/>
  <c r="AB1759" i="1" s="1"/>
  <c r="AC1758" i="1" l="1"/>
  <c r="AD1758" i="1" s="1"/>
  <c r="P1760" i="1"/>
  <c r="AA1760" i="1" s="1"/>
  <c r="AB1760" i="1" s="1"/>
  <c r="AC1759" i="1" l="1"/>
  <c r="AD1759" i="1" s="1"/>
  <c r="P1761" i="1"/>
  <c r="AA1761" i="1" s="1"/>
  <c r="AB1761" i="1" s="1"/>
  <c r="AC1760" i="1" l="1"/>
  <c r="AD1760" i="1" s="1"/>
  <c r="P1762" i="1"/>
  <c r="AA1762" i="1" s="1"/>
  <c r="AB1762" i="1" s="1"/>
  <c r="AC1761" i="1" l="1"/>
  <c r="AD1761" i="1" s="1"/>
  <c r="P1763" i="1"/>
  <c r="AA1763" i="1" s="1"/>
  <c r="AB1763" i="1" s="1"/>
  <c r="AC1762" i="1" l="1"/>
  <c r="AD1762" i="1" s="1"/>
  <c r="P1764" i="1"/>
  <c r="AA1764" i="1" s="1"/>
  <c r="AB1764" i="1" s="1"/>
  <c r="AC1763" i="1" l="1"/>
  <c r="AD1763" i="1" s="1"/>
  <c r="P1765" i="1"/>
  <c r="AA1765" i="1" s="1"/>
  <c r="AB1765" i="1" s="1"/>
  <c r="AC1764" i="1" l="1"/>
  <c r="AD1764" i="1" s="1"/>
  <c r="P1766" i="1"/>
  <c r="AA1766" i="1" s="1"/>
  <c r="AB1766" i="1" s="1"/>
  <c r="AC1765" i="1" l="1"/>
  <c r="AD1765" i="1" s="1"/>
  <c r="P1767" i="1"/>
  <c r="AA1767" i="1" s="1"/>
  <c r="AB1767" i="1" s="1"/>
  <c r="AC1766" i="1" l="1"/>
  <c r="AD1766" i="1" s="1"/>
  <c r="P1768" i="1"/>
  <c r="AA1768" i="1" s="1"/>
  <c r="AB1768" i="1" s="1"/>
  <c r="AC1767" i="1" l="1"/>
  <c r="AD1767" i="1" s="1"/>
  <c r="P1769" i="1"/>
  <c r="AA1769" i="1" s="1"/>
  <c r="AB1769" i="1" s="1"/>
  <c r="AC1768" i="1" l="1"/>
  <c r="AD1768" i="1" s="1"/>
  <c r="P1770" i="1"/>
  <c r="AA1770" i="1" s="1"/>
  <c r="AB1770" i="1" s="1"/>
  <c r="AC1769" i="1" l="1"/>
  <c r="AD1769" i="1" s="1"/>
  <c r="P1771" i="1"/>
  <c r="AA1771" i="1" s="1"/>
  <c r="AB1771" i="1" s="1"/>
  <c r="AC1770" i="1" l="1"/>
  <c r="AD1770" i="1" s="1"/>
  <c r="P1772" i="1"/>
  <c r="AA1772" i="1" s="1"/>
  <c r="AB1772" i="1" s="1"/>
  <c r="AC1771" i="1" l="1"/>
  <c r="AD1771" i="1" s="1"/>
  <c r="P1773" i="1"/>
  <c r="AA1773" i="1" s="1"/>
  <c r="AB1773" i="1" s="1"/>
  <c r="AC1772" i="1" l="1"/>
  <c r="AD1772" i="1" s="1"/>
  <c r="P1774" i="1"/>
  <c r="AA1774" i="1" s="1"/>
  <c r="AB1774" i="1" s="1"/>
  <c r="AC1773" i="1" l="1"/>
  <c r="AD1773" i="1" s="1"/>
  <c r="P1775" i="1"/>
  <c r="AC1774" i="1" l="1"/>
  <c r="AD1774" i="1" s="1"/>
  <c r="AA1775" i="1"/>
  <c r="AB1775" i="1" s="1"/>
  <c r="AC1775" i="1" l="1"/>
  <c r="AD1775" i="1" s="1"/>
</calcChain>
</file>

<file path=xl/sharedStrings.xml><?xml version="1.0" encoding="utf-8"?>
<sst xmlns="http://schemas.openxmlformats.org/spreadsheetml/2006/main" count="3094" uniqueCount="64">
  <si>
    <t>Date</t>
  </si>
  <si>
    <t>Day</t>
  </si>
  <si>
    <t>Day2</t>
  </si>
  <si>
    <t>Month</t>
  </si>
  <si>
    <t>Week</t>
  </si>
  <si>
    <t>Year</t>
  </si>
  <si>
    <t>Actual</t>
  </si>
  <si>
    <t>Forecast</t>
  </si>
  <si>
    <t>RevisedForecast 10% Recution</t>
  </si>
  <si>
    <t>RevisedForecast 20% Recution</t>
  </si>
  <si>
    <t>RevisedForecast 30% Recution2</t>
  </si>
  <si>
    <t>Answered Calls</t>
  </si>
  <si>
    <t>Answer Rate</t>
  </si>
  <si>
    <t>Abandoned Calls</t>
  </si>
  <si>
    <t>Answer Speed (AVG)</t>
  </si>
  <si>
    <t>Talk Duration (AVG)</t>
  </si>
  <si>
    <t>Waiting Time (AVG)</t>
  </si>
  <si>
    <t>Service Level (20 Seconds)</t>
  </si>
  <si>
    <t>Actual Workload hours</t>
  </si>
  <si>
    <t>Actual Workload Minutes</t>
  </si>
  <si>
    <t>Required Workload Hours</t>
  </si>
  <si>
    <t>Required Workload Minutes</t>
  </si>
  <si>
    <t>Actual Heacount</t>
  </si>
  <si>
    <t>Required Headcount</t>
  </si>
  <si>
    <t>Staff</t>
  </si>
  <si>
    <t>Required Headcount Bin</t>
  </si>
  <si>
    <t>Forecast Workload Hours</t>
  </si>
  <si>
    <t>Forecast WOrkload Minutes</t>
  </si>
  <si>
    <t>Forecast Headcount</t>
  </si>
  <si>
    <t>Forecast Headcount Bin</t>
  </si>
  <si>
    <t>Lower_Bound</t>
  </si>
  <si>
    <t>Upper_Bound</t>
  </si>
  <si>
    <t>Period</t>
  </si>
  <si>
    <t>Wednesday</t>
  </si>
  <si>
    <t>Training</t>
  </si>
  <si>
    <t>Thursday</t>
  </si>
  <si>
    <t>Friday</t>
  </si>
  <si>
    <t>Saturday</t>
  </si>
  <si>
    <t>Sunday</t>
  </si>
  <si>
    <t>Monday</t>
  </si>
  <si>
    <t>Tuesday</t>
  </si>
  <si>
    <t>ds</t>
  </si>
  <si>
    <t>y</t>
  </si>
  <si>
    <t>yhat</t>
  </si>
  <si>
    <t>yhat_lower</t>
  </si>
  <si>
    <t>yhat_upper</t>
  </si>
  <si>
    <t>error</t>
  </si>
  <si>
    <t>abs_error</t>
  </si>
  <si>
    <t>pct_error</t>
  </si>
  <si>
    <t>abs_pct_error</t>
  </si>
  <si>
    <t>(All)</t>
  </si>
  <si>
    <t>Incoming Call Volume (Actual (Outliers Refactored))</t>
  </si>
  <si>
    <t>Forecasted Incoming Call Volume</t>
  </si>
  <si>
    <t>2020 Total</t>
  </si>
  <si>
    <t>2021 Total</t>
  </si>
  <si>
    <t>2022 Total</t>
  </si>
  <si>
    <t>2023 Total</t>
  </si>
  <si>
    <t>2024 Total</t>
  </si>
  <si>
    <t>Grand Total</t>
  </si>
  <si>
    <t xml:space="preserve"> Forecast Headcount</t>
  </si>
  <si>
    <t xml:space="preserve"> Actual Heacount</t>
  </si>
  <si>
    <t xml:space="preserve"> Required Headcount</t>
  </si>
  <si>
    <t>Weekly Required Headcount Bin (Actual)</t>
  </si>
  <si>
    <t>Weekly Forecast Headcount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</si>
</sst>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F1DA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2" borderId="0" xfId="0" applyFont="1" applyFill="1" applyBorder="1" applyAlignment="1"/>
    <xf numFmtId="0" fontId="2" fillId="0" borderId="0" xfId="0" applyFont="1" applyBorder="1" applyAlignment="1"/>
    <xf numFmtId="10" fontId="2" fillId="0" borderId="0" xfId="0" applyNumberFormat="1" applyFont="1" applyBorder="1" applyAlignment="1"/>
    <xf numFmtId="21" fontId="2" fillId="0" borderId="0" xfId="0" applyNumberFormat="1" applyFont="1" applyBorder="1" applyAlignment="1"/>
    <xf numFmtId="0" fontId="2" fillId="0" borderId="0" xfId="0" applyFont="1" applyBorder="1" applyAlignment="1">
      <alignment wrapText="1"/>
    </xf>
    <xf numFmtId="2" fontId="2" fillId="0" borderId="0" xfId="0" applyNumberFormat="1" applyFont="1" applyBorder="1" applyAlignment="1"/>
    <xf numFmtId="2" fontId="2" fillId="0" borderId="0" xfId="0" applyNumberFormat="1" applyFont="1" applyBorder="1" applyAlignment="1">
      <alignment wrapText="1"/>
    </xf>
    <xf numFmtId="2" fontId="0" fillId="0" borderId="0" xfId="0" applyNumberFormat="1"/>
    <xf numFmtId="0" fontId="2" fillId="2" borderId="0" xfId="0" applyFont="1" applyFill="1" applyBorder="1" applyAlignment="1">
      <alignment wrapText="1"/>
    </xf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0" xfId="0" applyFont="1" applyBorder="1" applyAlignment="1">
      <alignment horizontal="center" vertical="top" wrapText="1"/>
    </xf>
    <xf numFmtId="0" fontId="3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20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alignment horizontal="general" vertical="bottom" textRotation="0" wrapText="1" indent="0" justifyLastLine="0" shrinkToFit="0" readingOrder="0"/>
    </dxf>
    <dxf>
      <numFmt numFmtId="26" formatCode="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[Prophet_Forecast_Results Editted.xlsx]Call Volume Forecast!PivotTable2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Incoming Call Volume Actual vs.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'Call Volume Forecast'!$C$3</c:f>
              <c:strCache>
                <c:ptCount val="1"/>
                <c:pt idx="0">
                  <c:v>Incoming Call Volume (Actual (Outliers Refactored))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'Call Volume Forecast'!$A$4:$B$273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'Call Volume Forecast'!$C$4:$C$273</c:f>
              <c:numCache>
                <c:formatCode>General</c:formatCode>
                <c:ptCount val="264"/>
                <c:pt idx="0">
                  <c:v>435</c:v>
                </c:pt>
                <c:pt idx="1">
                  <c:v>1023</c:v>
                </c:pt>
                <c:pt idx="2">
                  <c:v>1713</c:v>
                </c:pt>
                <c:pt idx="3">
                  <c:v>1149</c:v>
                </c:pt>
                <c:pt idx="4">
                  <c:v>1057</c:v>
                </c:pt>
                <c:pt idx="5">
                  <c:v>1121</c:v>
                </c:pt>
                <c:pt idx="6">
                  <c:v>1736</c:v>
                </c:pt>
                <c:pt idx="7">
                  <c:v>1308</c:v>
                </c:pt>
                <c:pt idx="8">
                  <c:v>1240</c:v>
                </c:pt>
                <c:pt idx="9">
                  <c:v>1382</c:v>
                </c:pt>
                <c:pt idx="10">
                  <c:v>1345</c:v>
                </c:pt>
                <c:pt idx="11">
                  <c:v>970</c:v>
                </c:pt>
                <c:pt idx="12">
                  <c:v>797</c:v>
                </c:pt>
                <c:pt idx="13">
                  <c:v>929</c:v>
                </c:pt>
                <c:pt idx="14">
                  <c:v>1072</c:v>
                </c:pt>
                <c:pt idx="15">
                  <c:v>1232</c:v>
                </c:pt>
                <c:pt idx="16">
                  <c:v>1263</c:v>
                </c:pt>
                <c:pt idx="17">
                  <c:v>1046</c:v>
                </c:pt>
                <c:pt idx="18">
                  <c:v>1102</c:v>
                </c:pt>
                <c:pt idx="19">
                  <c:v>1596</c:v>
                </c:pt>
                <c:pt idx="20">
                  <c:v>1071</c:v>
                </c:pt>
                <c:pt idx="21">
                  <c:v>961</c:v>
                </c:pt>
                <c:pt idx="22">
                  <c:v>1308</c:v>
                </c:pt>
                <c:pt idx="23">
                  <c:v>892</c:v>
                </c:pt>
                <c:pt idx="24">
                  <c:v>824</c:v>
                </c:pt>
                <c:pt idx="25">
                  <c:v>958</c:v>
                </c:pt>
                <c:pt idx="26">
                  <c:v>1286</c:v>
                </c:pt>
                <c:pt idx="27">
                  <c:v>1282</c:v>
                </c:pt>
                <c:pt idx="28">
                  <c:v>1348</c:v>
                </c:pt>
                <c:pt idx="29">
                  <c:v>1178</c:v>
                </c:pt>
                <c:pt idx="30">
                  <c:v>1025</c:v>
                </c:pt>
                <c:pt idx="31">
                  <c:v>1141</c:v>
                </c:pt>
                <c:pt idx="32">
                  <c:v>1442</c:v>
                </c:pt>
                <c:pt idx="33">
                  <c:v>937</c:v>
                </c:pt>
                <c:pt idx="34">
                  <c:v>679</c:v>
                </c:pt>
                <c:pt idx="35">
                  <c:v>1179</c:v>
                </c:pt>
                <c:pt idx="36">
                  <c:v>1365</c:v>
                </c:pt>
                <c:pt idx="37">
                  <c:v>663</c:v>
                </c:pt>
                <c:pt idx="38">
                  <c:v>1111</c:v>
                </c:pt>
                <c:pt idx="39">
                  <c:v>1580</c:v>
                </c:pt>
                <c:pt idx="40">
                  <c:v>1444</c:v>
                </c:pt>
                <c:pt idx="41">
                  <c:v>1324</c:v>
                </c:pt>
                <c:pt idx="42">
                  <c:v>1641</c:v>
                </c:pt>
                <c:pt idx="43">
                  <c:v>1420</c:v>
                </c:pt>
                <c:pt idx="44">
                  <c:v>1181</c:v>
                </c:pt>
                <c:pt idx="45">
                  <c:v>1368</c:v>
                </c:pt>
                <c:pt idx="46">
                  <c:v>1113</c:v>
                </c:pt>
                <c:pt idx="47">
                  <c:v>1023</c:v>
                </c:pt>
                <c:pt idx="48">
                  <c:v>962</c:v>
                </c:pt>
                <c:pt idx="49">
                  <c:v>1122</c:v>
                </c:pt>
                <c:pt idx="50">
                  <c:v>1115</c:v>
                </c:pt>
                <c:pt idx="51">
                  <c:v>1120</c:v>
                </c:pt>
                <c:pt idx="52">
                  <c:v>1153</c:v>
                </c:pt>
                <c:pt idx="53">
                  <c:v>446</c:v>
                </c:pt>
                <c:pt idx="54">
                  <c:v>874</c:v>
                </c:pt>
                <c:pt idx="55">
                  <c:v>1266</c:v>
                </c:pt>
                <c:pt idx="56">
                  <c:v>1012</c:v>
                </c:pt>
                <c:pt idx="57">
                  <c:v>1012</c:v>
                </c:pt>
                <c:pt idx="58">
                  <c:v>737</c:v>
                </c:pt>
                <c:pt idx="59">
                  <c:v>1169</c:v>
                </c:pt>
                <c:pt idx="60">
                  <c:v>926</c:v>
                </c:pt>
                <c:pt idx="61">
                  <c:v>904</c:v>
                </c:pt>
                <c:pt idx="62">
                  <c:v>725</c:v>
                </c:pt>
                <c:pt idx="63">
                  <c:v>1417</c:v>
                </c:pt>
                <c:pt idx="64">
                  <c:v>774</c:v>
                </c:pt>
                <c:pt idx="65">
                  <c:v>412</c:v>
                </c:pt>
                <c:pt idx="66">
                  <c:v>708</c:v>
                </c:pt>
                <c:pt idx="67">
                  <c:v>731</c:v>
                </c:pt>
                <c:pt idx="68">
                  <c:v>1075</c:v>
                </c:pt>
                <c:pt idx="69">
                  <c:v>668</c:v>
                </c:pt>
                <c:pt idx="70">
                  <c:v>1124</c:v>
                </c:pt>
                <c:pt idx="71">
                  <c:v>889</c:v>
                </c:pt>
                <c:pt idx="72">
                  <c:v>675</c:v>
                </c:pt>
                <c:pt idx="73">
                  <c:v>805</c:v>
                </c:pt>
                <c:pt idx="74">
                  <c:v>614</c:v>
                </c:pt>
                <c:pt idx="75">
                  <c:v>829</c:v>
                </c:pt>
                <c:pt idx="76">
                  <c:v>1166</c:v>
                </c:pt>
                <c:pt idx="77">
                  <c:v>1159</c:v>
                </c:pt>
                <c:pt idx="78">
                  <c:v>1350</c:v>
                </c:pt>
                <c:pt idx="79">
                  <c:v>675</c:v>
                </c:pt>
                <c:pt idx="80">
                  <c:v>938</c:v>
                </c:pt>
                <c:pt idx="81">
                  <c:v>1093</c:v>
                </c:pt>
                <c:pt idx="82">
                  <c:v>1118</c:v>
                </c:pt>
                <c:pt idx="83">
                  <c:v>1048</c:v>
                </c:pt>
                <c:pt idx="84">
                  <c:v>990</c:v>
                </c:pt>
                <c:pt idx="85">
                  <c:v>803</c:v>
                </c:pt>
                <c:pt idx="86">
                  <c:v>668</c:v>
                </c:pt>
                <c:pt idx="87">
                  <c:v>723</c:v>
                </c:pt>
                <c:pt idx="88">
                  <c:v>1026</c:v>
                </c:pt>
                <c:pt idx="89">
                  <c:v>805</c:v>
                </c:pt>
                <c:pt idx="90">
                  <c:v>905</c:v>
                </c:pt>
                <c:pt idx="91">
                  <c:v>902</c:v>
                </c:pt>
                <c:pt idx="92">
                  <c:v>634</c:v>
                </c:pt>
                <c:pt idx="93">
                  <c:v>1085</c:v>
                </c:pt>
                <c:pt idx="94">
                  <c:v>931</c:v>
                </c:pt>
                <c:pt idx="95">
                  <c:v>935</c:v>
                </c:pt>
                <c:pt idx="96">
                  <c:v>1030</c:v>
                </c:pt>
                <c:pt idx="97">
                  <c:v>983</c:v>
                </c:pt>
                <c:pt idx="98">
                  <c:v>943</c:v>
                </c:pt>
                <c:pt idx="99">
                  <c:v>537</c:v>
                </c:pt>
                <c:pt idx="100">
                  <c:v>462</c:v>
                </c:pt>
                <c:pt idx="101">
                  <c:v>1476</c:v>
                </c:pt>
                <c:pt idx="102">
                  <c:v>981</c:v>
                </c:pt>
                <c:pt idx="103">
                  <c:v>1274</c:v>
                </c:pt>
                <c:pt idx="104">
                  <c:v>1027</c:v>
                </c:pt>
                <c:pt idx="105">
                  <c:v>857</c:v>
                </c:pt>
                <c:pt idx="106">
                  <c:v>161</c:v>
                </c:pt>
                <c:pt idx="107">
                  <c:v>1005</c:v>
                </c:pt>
                <c:pt idx="108">
                  <c:v>1524</c:v>
                </c:pt>
                <c:pt idx="109">
                  <c:v>1280</c:v>
                </c:pt>
                <c:pt idx="110">
                  <c:v>1060</c:v>
                </c:pt>
                <c:pt idx="111">
                  <c:v>1706</c:v>
                </c:pt>
                <c:pt idx="112">
                  <c:v>793</c:v>
                </c:pt>
                <c:pt idx="113">
                  <c:v>2188</c:v>
                </c:pt>
                <c:pt idx="114">
                  <c:v>2168</c:v>
                </c:pt>
                <c:pt idx="115">
                  <c:v>1042</c:v>
                </c:pt>
                <c:pt idx="116">
                  <c:v>1268</c:v>
                </c:pt>
                <c:pt idx="117">
                  <c:v>776</c:v>
                </c:pt>
                <c:pt idx="118">
                  <c:v>1146</c:v>
                </c:pt>
                <c:pt idx="119">
                  <c:v>1111</c:v>
                </c:pt>
                <c:pt idx="120">
                  <c:v>1667</c:v>
                </c:pt>
                <c:pt idx="121">
                  <c:v>800</c:v>
                </c:pt>
                <c:pt idx="122">
                  <c:v>252</c:v>
                </c:pt>
                <c:pt idx="123">
                  <c:v>1794</c:v>
                </c:pt>
                <c:pt idx="124">
                  <c:v>1632</c:v>
                </c:pt>
                <c:pt idx="125">
                  <c:v>1570</c:v>
                </c:pt>
                <c:pt idx="126">
                  <c:v>1579</c:v>
                </c:pt>
                <c:pt idx="127">
                  <c:v>1195</c:v>
                </c:pt>
                <c:pt idx="128">
                  <c:v>1554</c:v>
                </c:pt>
                <c:pt idx="129">
                  <c:v>1516</c:v>
                </c:pt>
                <c:pt idx="130">
                  <c:v>1866</c:v>
                </c:pt>
                <c:pt idx="131">
                  <c:v>1304</c:v>
                </c:pt>
                <c:pt idx="132">
                  <c:v>1844</c:v>
                </c:pt>
                <c:pt idx="133">
                  <c:v>1632</c:v>
                </c:pt>
                <c:pt idx="134">
                  <c:v>1531</c:v>
                </c:pt>
                <c:pt idx="135">
                  <c:v>1213</c:v>
                </c:pt>
                <c:pt idx="136">
                  <c:v>1464</c:v>
                </c:pt>
                <c:pt idx="137">
                  <c:v>1271</c:v>
                </c:pt>
                <c:pt idx="138">
                  <c:v>1305</c:v>
                </c:pt>
                <c:pt idx="139">
                  <c:v>1339</c:v>
                </c:pt>
                <c:pt idx="140">
                  <c:v>632</c:v>
                </c:pt>
                <c:pt idx="141">
                  <c:v>1260</c:v>
                </c:pt>
                <c:pt idx="142">
                  <c:v>1745</c:v>
                </c:pt>
                <c:pt idx="143">
                  <c:v>1025</c:v>
                </c:pt>
                <c:pt idx="144">
                  <c:v>1198</c:v>
                </c:pt>
                <c:pt idx="145">
                  <c:v>1198</c:v>
                </c:pt>
                <c:pt idx="146">
                  <c:v>1398</c:v>
                </c:pt>
                <c:pt idx="147">
                  <c:v>1437</c:v>
                </c:pt>
                <c:pt idx="148">
                  <c:v>977</c:v>
                </c:pt>
                <c:pt idx="149">
                  <c:v>1390</c:v>
                </c:pt>
                <c:pt idx="150">
                  <c:v>1483</c:v>
                </c:pt>
                <c:pt idx="151">
                  <c:v>985</c:v>
                </c:pt>
                <c:pt idx="152">
                  <c:v>1025</c:v>
                </c:pt>
                <c:pt idx="153">
                  <c:v>1027</c:v>
                </c:pt>
                <c:pt idx="154">
                  <c:v>1648</c:v>
                </c:pt>
                <c:pt idx="155">
                  <c:v>2115</c:v>
                </c:pt>
                <c:pt idx="156">
                  <c:v>1761</c:v>
                </c:pt>
                <c:pt idx="157">
                  <c:v>1516</c:v>
                </c:pt>
                <c:pt idx="158">
                  <c:v>1808</c:v>
                </c:pt>
                <c:pt idx="159">
                  <c:v>1868</c:v>
                </c:pt>
                <c:pt idx="160">
                  <c:v>1459</c:v>
                </c:pt>
                <c:pt idx="161">
                  <c:v>1934</c:v>
                </c:pt>
                <c:pt idx="162">
                  <c:v>2202</c:v>
                </c:pt>
                <c:pt idx="163">
                  <c:v>1508</c:v>
                </c:pt>
                <c:pt idx="164">
                  <c:v>1925</c:v>
                </c:pt>
                <c:pt idx="165">
                  <c:v>1954</c:v>
                </c:pt>
                <c:pt idx="166">
                  <c:v>1820</c:v>
                </c:pt>
                <c:pt idx="167">
                  <c:v>1200</c:v>
                </c:pt>
                <c:pt idx="168">
                  <c:v>1148</c:v>
                </c:pt>
                <c:pt idx="169">
                  <c:v>314</c:v>
                </c:pt>
                <c:pt idx="170">
                  <c:v>805</c:v>
                </c:pt>
                <c:pt idx="171">
                  <c:v>1679</c:v>
                </c:pt>
                <c:pt idx="172">
                  <c:v>2010</c:v>
                </c:pt>
                <c:pt idx="173">
                  <c:v>1243</c:v>
                </c:pt>
                <c:pt idx="174">
                  <c:v>1577</c:v>
                </c:pt>
                <c:pt idx="175">
                  <c:v>1124</c:v>
                </c:pt>
                <c:pt idx="176">
                  <c:v>1220</c:v>
                </c:pt>
                <c:pt idx="177">
                  <c:v>1302</c:v>
                </c:pt>
                <c:pt idx="178">
                  <c:v>1220</c:v>
                </c:pt>
                <c:pt idx="179">
                  <c:v>1230</c:v>
                </c:pt>
                <c:pt idx="18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5-46CF-85DF-EF96EE9B172E}"/>
            </c:ext>
          </c:extLst>
        </c:ser>
        <c:ser>
          <c:idx val="1"/>
          <c:order val="1"/>
          <c:tx>
            <c:strRef>
              <c:f>'Call Volume Forecast'!$D$3</c:f>
              <c:strCache>
                <c:ptCount val="1"/>
                <c:pt idx="0">
                  <c:v>Forecasted Incoming Call 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'Call Volume Forecast'!$A$4:$B$273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'Call Volume Forecast'!$D$4:$D$273</c:f>
              <c:numCache>
                <c:formatCode>General</c:formatCode>
                <c:ptCount val="264"/>
                <c:pt idx="158">
                  <c:v>1348.4556520985091</c:v>
                </c:pt>
                <c:pt idx="159">
                  <c:v>1350.1333348013013</c:v>
                </c:pt>
                <c:pt idx="160">
                  <c:v>1334.2600456776488</c:v>
                </c:pt>
                <c:pt idx="161">
                  <c:v>1308.8676563161787</c:v>
                </c:pt>
                <c:pt idx="162">
                  <c:v>1317.5298763175247</c:v>
                </c:pt>
                <c:pt idx="163">
                  <c:v>1397.5916626169189</c:v>
                </c:pt>
                <c:pt idx="164">
                  <c:v>1525.5520301242148</c:v>
                </c:pt>
                <c:pt idx="165">
                  <c:v>1614.6559729949158</c:v>
                </c:pt>
                <c:pt idx="166">
                  <c:v>1582.572567778441</c:v>
                </c:pt>
                <c:pt idx="167">
                  <c:v>1430.2434437093111</c:v>
                </c:pt>
                <c:pt idx="168">
                  <c:v>1251.8095321272681</c:v>
                </c:pt>
                <c:pt idx="169">
                  <c:v>1159.8084925556125</c:v>
                </c:pt>
                <c:pt idx="170">
                  <c:v>1194.9081957069109</c:v>
                </c:pt>
                <c:pt idx="171">
                  <c:v>1304.3676475807324</c:v>
                </c:pt>
                <c:pt idx="172">
                  <c:v>1402.2706847407294</c:v>
                </c:pt>
                <c:pt idx="173">
                  <c:v>1444.6637634750994</c:v>
                </c:pt>
                <c:pt idx="174">
                  <c:v>1447.8783601274349</c:v>
                </c:pt>
                <c:pt idx="175">
                  <c:v>1446.7113841675143</c:v>
                </c:pt>
                <c:pt idx="176">
                  <c:v>1450.3912095864441</c:v>
                </c:pt>
                <c:pt idx="177">
                  <c:v>1443.8910250921097</c:v>
                </c:pt>
                <c:pt idx="178">
                  <c:v>1421.6464680272445</c:v>
                </c:pt>
                <c:pt idx="179">
                  <c:v>1404.9389627737798</c:v>
                </c:pt>
                <c:pt idx="180">
                  <c:v>1420.8166276271784</c:v>
                </c:pt>
                <c:pt idx="181">
                  <c:v>1470.5036030070235</c:v>
                </c:pt>
                <c:pt idx="182">
                  <c:v>1526.5242933396323</c:v>
                </c:pt>
                <c:pt idx="183">
                  <c:v>1560.4600360828633</c:v>
                </c:pt>
                <c:pt idx="184">
                  <c:v>1566.8438083174392</c:v>
                </c:pt>
                <c:pt idx="185">
                  <c:v>1557.1948305868302</c:v>
                </c:pt>
                <c:pt idx="186">
                  <c:v>1537.2937528706907</c:v>
                </c:pt>
                <c:pt idx="187">
                  <c:v>1499.8848950653696</c:v>
                </c:pt>
                <c:pt idx="188">
                  <c:v>1441.8357389501634</c:v>
                </c:pt>
                <c:pt idx="189">
                  <c:v>1381.0651870407273</c:v>
                </c:pt>
                <c:pt idx="190">
                  <c:v>1347.5506124358035</c:v>
                </c:pt>
                <c:pt idx="191">
                  <c:v>1355.2060795419495</c:v>
                </c:pt>
                <c:pt idx="192">
                  <c:v>1386.5980862133911</c:v>
                </c:pt>
                <c:pt idx="193">
                  <c:v>1409.5024742331468</c:v>
                </c:pt>
                <c:pt idx="194">
                  <c:v>1408.9080905857036</c:v>
                </c:pt>
                <c:pt idx="195">
                  <c:v>1401.3309093346591</c:v>
                </c:pt>
                <c:pt idx="196">
                  <c:v>1417.5656440321334</c:v>
                </c:pt>
                <c:pt idx="197">
                  <c:v>1471.8091833301887</c:v>
                </c:pt>
                <c:pt idx="198">
                  <c:v>1545.9691599399139</c:v>
                </c:pt>
                <c:pt idx="199">
                  <c:v>1601.2733678040256</c:v>
                </c:pt>
                <c:pt idx="200">
                  <c:v>1605.9633547598555</c:v>
                </c:pt>
                <c:pt idx="201">
                  <c:v>1558.3303224664251</c:v>
                </c:pt>
                <c:pt idx="202">
                  <c:v>1490.2347367051425</c:v>
                </c:pt>
                <c:pt idx="203">
                  <c:v>1448.4705856601122</c:v>
                </c:pt>
                <c:pt idx="204">
                  <c:v>1464.2288446476232</c:v>
                </c:pt>
                <c:pt idx="205">
                  <c:v>1530.962586276311</c:v>
                </c:pt>
                <c:pt idx="206">
                  <c:v>1609.4368429810502</c:v>
                </c:pt>
                <c:pt idx="207">
                  <c:v>1659.1629591154121</c:v>
                </c:pt>
                <c:pt idx="208">
                  <c:v>1669.9617148818534</c:v>
                </c:pt>
                <c:pt idx="209">
                  <c:v>1663.3943063998045</c:v>
                </c:pt>
                <c:pt idx="210">
                  <c:v>175.58927037432682</c:v>
                </c:pt>
                <c:pt idx="211">
                  <c:v>1487.196174808332</c:v>
                </c:pt>
                <c:pt idx="212">
                  <c:v>1665.8566544742841</c:v>
                </c:pt>
                <c:pt idx="213">
                  <c:v>1653.6960801398295</c:v>
                </c:pt>
                <c:pt idx="214">
                  <c:v>1627.5485783503545</c:v>
                </c:pt>
                <c:pt idx="215">
                  <c:v>1626.3831826284263</c:v>
                </c:pt>
                <c:pt idx="216">
                  <c:v>1693.1895252719644</c:v>
                </c:pt>
                <c:pt idx="217">
                  <c:v>1817.6995151567085</c:v>
                </c:pt>
                <c:pt idx="218">
                  <c:v>1921.123037141012</c:v>
                </c:pt>
                <c:pt idx="219">
                  <c:v>1913.6957674116452</c:v>
                </c:pt>
                <c:pt idx="220">
                  <c:v>1778.0196051865721</c:v>
                </c:pt>
                <c:pt idx="221">
                  <c:v>1595.1588213270547</c:v>
                </c:pt>
                <c:pt idx="222">
                  <c:v>1481.8381371721489</c:v>
                </c:pt>
                <c:pt idx="223">
                  <c:v>1495.8516628430821</c:v>
                </c:pt>
                <c:pt idx="224">
                  <c:v>1598.5231508806244</c:v>
                </c:pt>
                <c:pt idx="225">
                  <c:v>1703.6026090481816</c:v>
                </c:pt>
                <c:pt idx="226">
                  <c:v>1756.1276179501394</c:v>
                </c:pt>
                <c:pt idx="227">
                  <c:v>1763.5655017922088</c:v>
                </c:pt>
                <c:pt idx="228">
                  <c:v>1761.479821220544</c:v>
                </c:pt>
                <c:pt idx="229">
                  <c:v>1765.0786539305145</c:v>
                </c:pt>
                <c:pt idx="230">
                  <c:v>1761.5233131527552</c:v>
                </c:pt>
                <c:pt idx="231">
                  <c:v>1741.2231563280384</c:v>
                </c:pt>
                <c:pt idx="232">
                  <c:v>1721.2272737344131</c:v>
                </c:pt>
                <c:pt idx="233">
                  <c:v>1730.1824904414623</c:v>
                </c:pt>
                <c:pt idx="234">
                  <c:v>1775.2781802855154</c:v>
                </c:pt>
                <c:pt idx="235">
                  <c:v>1832.6710212148714</c:v>
                </c:pt>
                <c:pt idx="236">
                  <c:v>1871.7199528395142</c:v>
                </c:pt>
                <c:pt idx="237">
                  <c:v>1882.3763469071816</c:v>
                </c:pt>
                <c:pt idx="238">
                  <c:v>1874.74413642896</c:v>
                </c:pt>
                <c:pt idx="239">
                  <c:v>1856.9514559004424</c:v>
                </c:pt>
                <c:pt idx="240">
                  <c:v>1823.3358076731129</c:v>
                </c:pt>
                <c:pt idx="241">
                  <c:v>1768.3256352640351</c:v>
                </c:pt>
                <c:pt idx="242">
                  <c:v>1705.8557602030435</c:v>
                </c:pt>
                <c:pt idx="243">
                  <c:v>1665.6262188545529</c:v>
                </c:pt>
                <c:pt idx="244">
                  <c:v>1666.3413916742563</c:v>
                </c:pt>
                <c:pt idx="245">
                  <c:v>1695.8544641204676</c:v>
                </c:pt>
                <c:pt idx="246">
                  <c:v>1722.2390287213416</c:v>
                </c:pt>
                <c:pt idx="247">
                  <c:v>1725.4775448181599</c:v>
                </c:pt>
                <c:pt idx="248">
                  <c:v>1716.8895985916163</c:v>
                </c:pt>
                <c:pt idx="249">
                  <c:v>1726.9956469490357</c:v>
                </c:pt>
                <c:pt idx="250">
                  <c:v>1774.8511198204287</c:v>
                </c:pt>
                <c:pt idx="251">
                  <c:v>1848.0289879080763</c:v>
                </c:pt>
                <c:pt idx="252">
                  <c:v>1909.6138257079863</c:v>
                </c:pt>
                <c:pt idx="253">
                  <c:v>1924.5139930217551</c:v>
                </c:pt>
                <c:pt idx="254">
                  <c:v>1884.724954298425</c:v>
                </c:pt>
                <c:pt idx="255">
                  <c:v>1816.9032018559021</c:v>
                </c:pt>
                <c:pt idx="256">
                  <c:v>1767.2986854989367</c:v>
                </c:pt>
                <c:pt idx="257">
                  <c:v>1772.0570480514095</c:v>
                </c:pt>
                <c:pt idx="258">
                  <c:v>1831.9296282674115</c:v>
                </c:pt>
                <c:pt idx="259">
                  <c:v>1911.7513927839398</c:v>
                </c:pt>
                <c:pt idx="260">
                  <c:v>1968.4766824906555</c:v>
                </c:pt>
                <c:pt idx="261">
                  <c:v>1985.2868374546997</c:v>
                </c:pt>
                <c:pt idx="262">
                  <c:v>1979.6651258716706</c:v>
                </c:pt>
                <c:pt idx="263">
                  <c:v>521.00214617905135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5-46CF-85DF-EF96EE9B1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494792"/>
        <c:axId val="1546265608"/>
      </c:lineChart>
      <c:catAx>
        <c:axId val="949494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and Week of the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265608"/>
        <c:crosses val="autoZero"/>
        <c:auto val="1"/>
        <c:lblAlgn val="ctr"/>
        <c:lblOffset val="100"/>
        <c:noMultiLvlLbl val="0"/>
      </c:catAx>
      <c:valAx>
        <c:axId val="154626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Incoming Call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9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[Prophet_Forecast_Results Editted.xlsx]Headcount FOrecast!PivotTable1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Weekly Headcount Days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'Headcount FOrecast'!$C$3</c:f>
              <c:strCache>
                <c:ptCount val="1"/>
                <c:pt idx="0">
                  <c:v> Forecast Headcount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'Headcount FOrecast'!$A$4:$B$267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'Headcount FOrecast'!$C$4:$C$267</c:f>
              <c:numCache>
                <c:formatCode>0.00</c:formatCode>
                <c:ptCount val="264"/>
                <c:pt idx="158">
                  <c:v>11.118583834014288</c:v>
                </c:pt>
                <c:pt idx="159">
                  <c:v>11.175357181821125</c:v>
                </c:pt>
                <c:pt idx="160">
                  <c:v>11.787285111762092</c:v>
                </c:pt>
                <c:pt idx="161">
                  <c:v>12.025632433429305</c:v>
                </c:pt>
                <c:pt idx="162">
                  <c:v>9.7422959350519989</c:v>
                </c:pt>
                <c:pt idx="163">
                  <c:v>13.237350455250112</c:v>
                </c:pt>
                <c:pt idx="164">
                  <c:v>14.743266494644862</c:v>
                </c:pt>
                <c:pt idx="165">
                  <c:v>14.700944569353938</c:v>
                </c:pt>
                <c:pt idx="166">
                  <c:v>13.896154062718519</c:v>
                </c:pt>
                <c:pt idx="167">
                  <c:v>12.781624854217142</c:v>
                </c:pt>
                <c:pt idx="168">
                  <c:v>10.508535739358042</c:v>
                </c:pt>
                <c:pt idx="169">
                  <c:v>9.9278042228762402</c:v>
                </c:pt>
                <c:pt idx="170">
                  <c:v>9.9915000093762671</c:v>
                </c:pt>
                <c:pt idx="171">
                  <c:v>10.664749902027154</c:v>
                </c:pt>
                <c:pt idx="172">
                  <c:v>12.402706850879797</c:v>
                </c:pt>
                <c:pt idx="173">
                  <c:v>12.837709417188934</c:v>
                </c:pt>
                <c:pt idx="174">
                  <c:v>13.147765875454571</c:v>
                </c:pt>
                <c:pt idx="175">
                  <c:v>11.841720890259268</c:v>
                </c:pt>
                <c:pt idx="176">
                  <c:v>12.347686225552724</c:v>
                </c:pt>
                <c:pt idx="177">
                  <c:v>11.858188970135007</c:v>
                </c:pt>
                <c:pt idx="178">
                  <c:v>11.709982374769332</c:v>
                </c:pt>
                <c:pt idx="179">
                  <c:v>12.21328495020712</c:v>
                </c:pt>
                <c:pt idx="180">
                  <c:v>11.627307908965832</c:v>
                </c:pt>
                <c:pt idx="181">
                  <c:v>12.495656248219678</c:v>
                </c:pt>
                <c:pt idx="182">
                  <c:v>14.176268704295891</c:v>
                </c:pt>
                <c:pt idx="183">
                  <c:v>14.454358861606597</c:v>
                </c:pt>
                <c:pt idx="184">
                  <c:v>13.770328212961108</c:v>
                </c:pt>
                <c:pt idx="185">
                  <c:v>12.678526437695082</c:v>
                </c:pt>
                <c:pt idx="186">
                  <c:v>13.514380744843407</c:v>
                </c:pt>
                <c:pt idx="187">
                  <c:v>13.380965028771154</c:v>
                </c:pt>
                <c:pt idx="188">
                  <c:v>12.449527814214548</c:v>
                </c:pt>
                <c:pt idx="189">
                  <c:v>11.88977737077987</c:v>
                </c:pt>
                <c:pt idx="190">
                  <c:v>11.576399360892795</c:v>
                </c:pt>
                <c:pt idx="191">
                  <c:v>11.672873460893154</c:v>
                </c:pt>
                <c:pt idx="192">
                  <c:v>11.960966139882139</c:v>
                </c:pt>
                <c:pt idx="193">
                  <c:v>12.204291462327696</c:v>
                </c:pt>
                <c:pt idx="194">
                  <c:v>12.226785398041944</c:v>
                </c:pt>
                <c:pt idx="195">
                  <c:v>12.171774566094498</c:v>
                </c:pt>
                <c:pt idx="196">
                  <c:v>12.360562336140434</c:v>
                </c:pt>
                <c:pt idx="197">
                  <c:v>12.833804120869436</c:v>
                </c:pt>
                <c:pt idx="198">
                  <c:v>13.430050373768204</c:v>
                </c:pt>
                <c:pt idx="199">
                  <c:v>13.85651883799402</c:v>
                </c:pt>
                <c:pt idx="200">
                  <c:v>13.898691693967237</c:v>
                </c:pt>
                <c:pt idx="201">
                  <c:v>13.524360794730384</c:v>
                </c:pt>
                <c:pt idx="202">
                  <c:v>12.912749351096773</c:v>
                </c:pt>
                <c:pt idx="203">
                  <c:v>12.541614356960952</c:v>
                </c:pt>
                <c:pt idx="204">
                  <c:v>12.680634009930408</c:v>
                </c:pt>
                <c:pt idx="205">
                  <c:v>13.264263859642289</c:v>
                </c:pt>
                <c:pt idx="206">
                  <c:v>13.951693684241636</c:v>
                </c:pt>
                <c:pt idx="207">
                  <c:v>14.388797554871065</c:v>
                </c:pt>
                <c:pt idx="208">
                  <c:v>14.48708945624279</c:v>
                </c:pt>
                <c:pt idx="209">
                  <c:v>14.431669370455074</c:v>
                </c:pt>
                <c:pt idx="210">
                  <c:v>1.5234089494583076</c:v>
                </c:pt>
                <c:pt idx="211">
                  <c:v>12.902630170916037</c:v>
                </c:pt>
                <c:pt idx="212">
                  <c:v>14.451053232714662</c:v>
                </c:pt>
                <c:pt idx="213">
                  <c:v>14.340485441874065</c:v>
                </c:pt>
                <c:pt idx="214">
                  <c:v>14.108915525510882</c:v>
                </c:pt>
                <c:pt idx="215">
                  <c:v>14.097479045755877</c:v>
                </c:pt>
                <c:pt idx="216">
                  <c:v>14.67822252779078</c:v>
                </c:pt>
                <c:pt idx="217">
                  <c:v>15.758805621356739</c:v>
                </c:pt>
                <c:pt idx="218">
                  <c:v>16.654419539555906</c:v>
                </c:pt>
                <c:pt idx="219">
                  <c:v>16.590859392176768</c:v>
                </c:pt>
                <c:pt idx="220">
                  <c:v>15.415929491380844</c:v>
                </c:pt>
                <c:pt idx="221">
                  <c:v>13.831504454079946</c:v>
                </c:pt>
                <c:pt idx="222">
                  <c:v>12.849540404040372</c:v>
                </c:pt>
                <c:pt idx="223">
                  <c:v>12.971276938417809</c:v>
                </c:pt>
                <c:pt idx="224">
                  <c:v>13.861455807609003</c:v>
                </c:pt>
                <c:pt idx="225">
                  <c:v>14.772204116686275</c:v>
                </c:pt>
                <c:pt idx="226">
                  <c:v>15.22708553073816</c:v>
                </c:pt>
                <c:pt idx="227">
                  <c:v>15.290995234442015</c:v>
                </c:pt>
                <c:pt idx="228">
                  <c:v>15.272443857566897</c:v>
                </c:pt>
                <c:pt idx="229">
                  <c:v>15.303518416759516</c:v>
                </c:pt>
                <c:pt idx="230">
                  <c:v>15.272872888779538</c:v>
                </c:pt>
                <c:pt idx="231">
                  <c:v>15.097115527613568</c:v>
                </c:pt>
                <c:pt idx="232">
                  <c:v>14.923892112033563</c:v>
                </c:pt>
                <c:pt idx="233">
                  <c:v>15.001648924470723</c:v>
                </c:pt>
                <c:pt idx="234">
                  <c:v>15.392822528775113</c:v>
                </c:pt>
                <c:pt idx="235">
                  <c:v>15.890580072534053</c:v>
                </c:pt>
                <c:pt idx="236">
                  <c:v>16.22920547463195</c:v>
                </c:pt>
                <c:pt idx="237">
                  <c:v>16.32157277475244</c:v>
                </c:pt>
                <c:pt idx="238">
                  <c:v>16.25531421223857</c:v>
                </c:pt>
                <c:pt idx="239">
                  <c:v>16.100938656296496</c:v>
                </c:pt>
                <c:pt idx="240">
                  <c:v>15.809377664105975</c:v>
                </c:pt>
                <c:pt idx="241">
                  <c:v>15.332344101289596</c:v>
                </c:pt>
                <c:pt idx="242">
                  <c:v>14.790668436810932</c:v>
                </c:pt>
                <c:pt idx="243">
                  <c:v>14.441864592548676</c:v>
                </c:pt>
                <c:pt idx="244">
                  <c:v>14.448100463220356</c:v>
                </c:pt>
                <c:pt idx="245">
                  <c:v>14.704038166814971</c:v>
                </c:pt>
                <c:pt idx="246">
                  <c:v>14.932841364693598</c:v>
                </c:pt>
                <c:pt idx="247">
                  <c:v>14.96094161586981</c:v>
                </c:pt>
                <c:pt idx="248">
                  <c:v>14.886491263581354</c:v>
                </c:pt>
                <c:pt idx="249">
                  <c:v>14.974122102384921</c:v>
                </c:pt>
                <c:pt idx="250">
                  <c:v>15.389053353845526</c:v>
                </c:pt>
                <c:pt idx="251">
                  <c:v>16.023537027816872</c:v>
                </c:pt>
                <c:pt idx="252">
                  <c:v>16.55749795351797</c:v>
                </c:pt>
                <c:pt idx="253">
                  <c:v>16.686675622340651</c:v>
                </c:pt>
                <c:pt idx="254">
                  <c:v>16.341670384002256</c:v>
                </c:pt>
                <c:pt idx="255">
                  <c:v>15.753611580339408</c:v>
                </c:pt>
                <c:pt idx="256">
                  <c:v>15.323512642081681</c:v>
                </c:pt>
                <c:pt idx="257">
                  <c:v>15.364775673808175</c:v>
                </c:pt>
                <c:pt idx="258">
                  <c:v>15.883913554744698</c:v>
                </c:pt>
                <c:pt idx="259">
                  <c:v>16.576022828530959</c:v>
                </c:pt>
                <c:pt idx="260">
                  <c:v>17.06787006283615</c:v>
                </c:pt>
                <c:pt idx="261">
                  <c:v>17.213626475548942</c:v>
                </c:pt>
                <c:pt idx="262">
                  <c:v>17.164882875689294</c:v>
                </c:pt>
                <c:pt idx="263">
                  <c:v>4.5174005939580582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3-4B84-8FB4-ABFA132AD888}"/>
            </c:ext>
          </c:extLst>
        </c:ser>
        <c:ser>
          <c:idx val="1"/>
          <c:order val="1"/>
          <c:tx>
            <c:strRef>
              <c:f>'Headcount FOrecast'!$D$3</c:f>
              <c:strCache>
                <c:ptCount val="1"/>
                <c:pt idx="0">
                  <c:v> Actual Heacount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'Headcount FOrecast'!$A$4:$B$267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'Headcount FOrecast'!$D$4:$D$267</c:f>
              <c:numCache>
                <c:formatCode>General</c:formatCode>
                <c:ptCount val="264"/>
                <c:pt idx="0">
                  <c:v>4.6664583333333338</c:v>
                </c:pt>
                <c:pt idx="1">
                  <c:v>8.2800000000000011</c:v>
                </c:pt>
                <c:pt idx="2">
                  <c:v>7.8699999999999992</c:v>
                </c:pt>
                <c:pt idx="3">
                  <c:v>7.5300000000000011</c:v>
                </c:pt>
                <c:pt idx="4">
                  <c:v>7.24</c:v>
                </c:pt>
                <c:pt idx="5">
                  <c:v>8.35</c:v>
                </c:pt>
                <c:pt idx="6">
                  <c:v>10.16</c:v>
                </c:pt>
                <c:pt idx="7">
                  <c:v>8.76</c:v>
                </c:pt>
                <c:pt idx="8">
                  <c:v>7.97</c:v>
                </c:pt>
                <c:pt idx="9">
                  <c:v>8.16</c:v>
                </c:pt>
                <c:pt idx="10">
                  <c:v>7.43</c:v>
                </c:pt>
                <c:pt idx="11">
                  <c:v>7.54</c:v>
                </c:pt>
                <c:pt idx="12">
                  <c:v>7</c:v>
                </c:pt>
                <c:pt idx="13">
                  <c:v>7.11</c:v>
                </c:pt>
                <c:pt idx="14">
                  <c:v>6.38</c:v>
                </c:pt>
                <c:pt idx="15">
                  <c:v>7.34</c:v>
                </c:pt>
                <c:pt idx="16">
                  <c:v>7.8699999999999992</c:v>
                </c:pt>
                <c:pt idx="17">
                  <c:v>7.43</c:v>
                </c:pt>
                <c:pt idx="18">
                  <c:v>9.26</c:v>
                </c:pt>
                <c:pt idx="19">
                  <c:v>9.18</c:v>
                </c:pt>
                <c:pt idx="20">
                  <c:v>7.12</c:v>
                </c:pt>
                <c:pt idx="21">
                  <c:v>7.17</c:v>
                </c:pt>
                <c:pt idx="22">
                  <c:v>7</c:v>
                </c:pt>
                <c:pt idx="23">
                  <c:v>7.03</c:v>
                </c:pt>
                <c:pt idx="24">
                  <c:v>7.1000000000000005</c:v>
                </c:pt>
                <c:pt idx="25">
                  <c:v>7.34</c:v>
                </c:pt>
                <c:pt idx="26">
                  <c:v>7.9700000000000006</c:v>
                </c:pt>
                <c:pt idx="27">
                  <c:v>8.93</c:v>
                </c:pt>
                <c:pt idx="28">
                  <c:v>7.5</c:v>
                </c:pt>
                <c:pt idx="29">
                  <c:v>7.9200000000000008</c:v>
                </c:pt>
                <c:pt idx="30">
                  <c:v>7.1199999999999992</c:v>
                </c:pt>
                <c:pt idx="31">
                  <c:v>8.02</c:v>
                </c:pt>
                <c:pt idx="32">
                  <c:v>9.86</c:v>
                </c:pt>
                <c:pt idx="33">
                  <c:v>7.09</c:v>
                </c:pt>
                <c:pt idx="34">
                  <c:v>5.98</c:v>
                </c:pt>
                <c:pt idx="35">
                  <c:v>10.64</c:v>
                </c:pt>
                <c:pt idx="36">
                  <c:v>8.94</c:v>
                </c:pt>
                <c:pt idx="37">
                  <c:v>7.9</c:v>
                </c:pt>
                <c:pt idx="38">
                  <c:v>7.21</c:v>
                </c:pt>
                <c:pt idx="39">
                  <c:v>8.3000000000000007</c:v>
                </c:pt>
                <c:pt idx="40">
                  <c:v>8.15</c:v>
                </c:pt>
                <c:pt idx="41">
                  <c:v>9.17</c:v>
                </c:pt>
                <c:pt idx="42">
                  <c:v>8.0800000000000018</c:v>
                </c:pt>
                <c:pt idx="43">
                  <c:v>9.7600000000000016</c:v>
                </c:pt>
                <c:pt idx="44">
                  <c:v>8.49</c:v>
                </c:pt>
                <c:pt idx="45">
                  <c:v>7.9399999999999995</c:v>
                </c:pt>
                <c:pt idx="46">
                  <c:v>7.4</c:v>
                </c:pt>
                <c:pt idx="47">
                  <c:v>7.21</c:v>
                </c:pt>
                <c:pt idx="48">
                  <c:v>9.129999999999999</c:v>
                </c:pt>
                <c:pt idx="49">
                  <c:v>8.65</c:v>
                </c:pt>
                <c:pt idx="50">
                  <c:v>6.22</c:v>
                </c:pt>
                <c:pt idx="51">
                  <c:v>9.9200000000000017</c:v>
                </c:pt>
                <c:pt idx="52">
                  <c:v>5.32</c:v>
                </c:pt>
                <c:pt idx="53">
                  <c:v>3.12</c:v>
                </c:pt>
                <c:pt idx="54">
                  <c:v>8.26</c:v>
                </c:pt>
                <c:pt idx="55">
                  <c:v>8.36</c:v>
                </c:pt>
                <c:pt idx="56">
                  <c:v>7.12</c:v>
                </c:pt>
                <c:pt idx="57">
                  <c:v>7.1</c:v>
                </c:pt>
                <c:pt idx="58">
                  <c:v>7.4500000000000011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7.629999999999999</c:v>
                </c:pt>
                <c:pt idx="63">
                  <c:v>7.11</c:v>
                </c:pt>
                <c:pt idx="64">
                  <c:v>7.32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7.6000000000000005</c:v>
                </c:pt>
                <c:pt idx="71">
                  <c:v>7.21</c:v>
                </c:pt>
                <c:pt idx="72">
                  <c:v>7.1</c:v>
                </c:pt>
                <c:pt idx="73">
                  <c:v>7.09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8.17</c:v>
                </c:pt>
                <c:pt idx="78">
                  <c:v>8.74</c:v>
                </c:pt>
                <c:pt idx="79">
                  <c:v>8.67</c:v>
                </c:pt>
                <c:pt idx="80">
                  <c:v>7.51</c:v>
                </c:pt>
                <c:pt idx="81">
                  <c:v>7.04</c:v>
                </c:pt>
                <c:pt idx="82">
                  <c:v>7.07</c:v>
                </c:pt>
                <c:pt idx="83">
                  <c:v>8.2900000000000009</c:v>
                </c:pt>
                <c:pt idx="84">
                  <c:v>7.5200000000000005</c:v>
                </c:pt>
                <c:pt idx="85">
                  <c:v>7.8900000000000006</c:v>
                </c:pt>
                <c:pt idx="86">
                  <c:v>7</c:v>
                </c:pt>
                <c:pt idx="87">
                  <c:v>7</c:v>
                </c:pt>
                <c:pt idx="88">
                  <c:v>7.01</c:v>
                </c:pt>
                <c:pt idx="89">
                  <c:v>8.15</c:v>
                </c:pt>
                <c:pt idx="90">
                  <c:v>7</c:v>
                </c:pt>
                <c:pt idx="91">
                  <c:v>7.07</c:v>
                </c:pt>
                <c:pt idx="92">
                  <c:v>7</c:v>
                </c:pt>
                <c:pt idx="93">
                  <c:v>7</c:v>
                </c:pt>
                <c:pt idx="94">
                  <c:v>7.74</c:v>
                </c:pt>
                <c:pt idx="95">
                  <c:v>7.27</c:v>
                </c:pt>
                <c:pt idx="96">
                  <c:v>8.52</c:v>
                </c:pt>
                <c:pt idx="97">
                  <c:v>8.7200000000000006</c:v>
                </c:pt>
                <c:pt idx="98">
                  <c:v>7.4</c:v>
                </c:pt>
                <c:pt idx="99">
                  <c:v>4.2300000000000004</c:v>
                </c:pt>
                <c:pt idx="100">
                  <c:v>2</c:v>
                </c:pt>
                <c:pt idx="101">
                  <c:v>7.18</c:v>
                </c:pt>
                <c:pt idx="102">
                  <c:v>11.22</c:v>
                </c:pt>
                <c:pt idx="103">
                  <c:v>14.770000000000001</c:v>
                </c:pt>
                <c:pt idx="104">
                  <c:v>9.1300000000000008</c:v>
                </c:pt>
                <c:pt idx="105">
                  <c:v>7.68</c:v>
                </c:pt>
                <c:pt idx="106">
                  <c:v>1.01</c:v>
                </c:pt>
                <c:pt idx="107">
                  <c:v>5.62</c:v>
                </c:pt>
                <c:pt idx="108">
                  <c:v>7.73</c:v>
                </c:pt>
                <c:pt idx="109">
                  <c:v>7.3800000000000008</c:v>
                </c:pt>
                <c:pt idx="110">
                  <c:v>8.73</c:v>
                </c:pt>
                <c:pt idx="111">
                  <c:v>9.16</c:v>
                </c:pt>
                <c:pt idx="112">
                  <c:v>6.54</c:v>
                </c:pt>
                <c:pt idx="113">
                  <c:v>10.530000000000001</c:v>
                </c:pt>
                <c:pt idx="114">
                  <c:v>12.71</c:v>
                </c:pt>
                <c:pt idx="115">
                  <c:v>8.73</c:v>
                </c:pt>
                <c:pt idx="116">
                  <c:v>17.110000000000003</c:v>
                </c:pt>
                <c:pt idx="117">
                  <c:v>9.15</c:v>
                </c:pt>
                <c:pt idx="118">
                  <c:v>17.59</c:v>
                </c:pt>
                <c:pt idx="119">
                  <c:v>22</c:v>
                </c:pt>
                <c:pt idx="120">
                  <c:v>16.450000000000003</c:v>
                </c:pt>
                <c:pt idx="121">
                  <c:v>8.2100000000000009</c:v>
                </c:pt>
                <c:pt idx="122">
                  <c:v>1.7</c:v>
                </c:pt>
                <c:pt idx="123">
                  <c:v>7.85</c:v>
                </c:pt>
                <c:pt idx="124">
                  <c:v>7.97</c:v>
                </c:pt>
                <c:pt idx="125">
                  <c:v>13.89</c:v>
                </c:pt>
                <c:pt idx="126">
                  <c:v>21.53</c:v>
                </c:pt>
                <c:pt idx="127">
                  <c:v>30.58</c:v>
                </c:pt>
                <c:pt idx="128">
                  <c:v>32.67</c:v>
                </c:pt>
                <c:pt idx="129">
                  <c:v>21.11</c:v>
                </c:pt>
                <c:pt idx="130">
                  <c:v>15.450000000000001</c:v>
                </c:pt>
                <c:pt idx="131">
                  <c:v>8.93</c:v>
                </c:pt>
                <c:pt idx="132">
                  <c:v>8.5</c:v>
                </c:pt>
                <c:pt idx="133">
                  <c:v>17.239999999999998</c:v>
                </c:pt>
                <c:pt idx="134">
                  <c:v>21.34</c:v>
                </c:pt>
                <c:pt idx="135">
                  <c:v>12.34</c:v>
                </c:pt>
                <c:pt idx="136">
                  <c:v>10.739999999999998</c:v>
                </c:pt>
                <c:pt idx="137">
                  <c:v>12.89</c:v>
                </c:pt>
                <c:pt idx="138">
                  <c:v>26.730000000000004</c:v>
                </c:pt>
                <c:pt idx="139">
                  <c:v>16.77</c:v>
                </c:pt>
                <c:pt idx="140">
                  <c:v>9.94</c:v>
                </c:pt>
                <c:pt idx="141">
                  <c:v>8.7899999999999991</c:v>
                </c:pt>
                <c:pt idx="142">
                  <c:v>9.23</c:v>
                </c:pt>
                <c:pt idx="143">
                  <c:v>8.36</c:v>
                </c:pt>
                <c:pt idx="144">
                  <c:v>13.430000000000001</c:v>
                </c:pt>
                <c:pt idx="145">
                  <c:v>8.43</c:v>
                </c:pt>
                <c:pt idx="146">
                  <c:v>8.629999999999999</c:v>
                </c:pt>
                <c:pt idx="147">
                  <c:v>8.15</c:v>
                </c:pt>
                <c:pt idx="148">
                  <c:v>9.2900000000000009</c:v>
                </c:pt>
                <c:pt idx="149">
                  <c:v>8.17</c:v>
                </c:pt>
                <c:pt idx="150">
                  <c:v>7.7700000000000005</c:v>
                </c:pt>
                <c:pt idx="151">
                  <c:v>8.25</c:v>
                </c:pt>
                <c:pt idx="152">
                  <c:v>7.8999999999999995</c:v>
                </c:pt>
                <c:pt idx="153">
                  <c:v>6.4499999999999993</c:v>
                </c:pt>
                <c:pt idx="154">
                  <c:v>10.76</c:v>
                </c:pt>
                <c:pt idx="155">
                  <c:v>8.2799999999999994</c:v>
                </c:pt>
                <c:pt idx="156">
                  <c:v>9.32</c:v>
                </c:pt>
                <c:pt idx="157">
                  <c:v>7.3999999999999995</c:v>
                </c:pt>
                <c:pt idx="158">
                  <c:v>8.6748697916666675</c:v>
                </c:pt>
                <c:pt idx="159">
                  <c:v>7.3276909722222214</c:v>
                </c:pt>
                <c:pt idx="160">
                  <c:v>8.3616319444444454</c:v>
                </c:pt>
                <c:pt idx="161">
                  <c:v>9.7600694444444436</c:v>
                </c:pt>
                <c:pt idx="162">
                  <c:v>15.510026041666666</c:v>
                </c:pt>
                <c:pt idx="163">
                  <c:v>13.237760416666667</c:v>
                </c:pt>
                <c:pt idx="164">
                  <c:v>12.888671874999998</c:v>
                </c:pt>
                <c:pt idx="165">
                  <c:v>13.546788194444444</c:v>
                </c:pt>
                <c:pt idx="166">
                  <c:v>12.598480902777778</c:v>
                </c:pt>
                <c:pt idx="167">
                  <c:v>12.537109375</c:v>
                </c:pt>
                <c:pt idx="168">
                  <c:v>13.818272569444442</c:v>
                </c:pt>
                <c:pt idx="169">
                  <c:v>14.186154513888889</c:v>
                </c:pt>
                <c:pt idx="170">
                  <c:v>11.982682291666666</c:v>
                </c:pt>
                <c:pt idx="171">
                  <c:v>12.551562499999999</c:v>
                </c:pt>
                <c:pt idx="172">
                  <c:v>16.262326388888887</c:v>
                </c:pt>
                <c:pt idx="173">
                  <c:v>13.547829861111111</c:v>
                </c:pt>
                <c:pt idx="174">
                  <c:v>12.475868055555557</c:v>
                </c:pt>
                <c:pt idx="175">
                  <c:v>8.6457465277777779</c:v>
                </c:pt>
                <c:pt idx="176">
                  <c:v>7.4348958333333339</c:v>
                </c:pt>
                <c:pt idx="177">
                  <c:v>7.3263020833333332</c:v>
                </c:pt>
                <c:pt idx="178">
                  <c:v>8.1643663194444436</c:v>
                </c:pt>
                <c:pt idx="179">
                  <c:v>16.268923611111113</c:v>
                </c:pt>
                <c:pt idx="180">
                  <c:v>1.9513888888888891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83-4B84-8FB4-ABFA132AD888}"/>
            </c:ext>
          </c:extLst>
        </c:ser>
        <c:ser>
          <c:idx val="2"/>
          <c:order val="2"/>
          <c:tx>
            <c:strRef>
              <c:f>'Headcount FOrecast'!$E$3</c:f>
              <c:strCache>
                <c:ptCount val="1"/>
                <c:pt idx="0">
                  <c:v> Required Headcount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'Headcount FOrecast'!$A$4:$B$267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'Headcount FOrecast'!$E$4:$E$267</c:f>
              <c:numCache>
                <c:formatCode>General</c:formatCode>
                <c:ptCount val="264"/>
                <c:pt idx="0">
                  <c:v>4.2620659722222225</c:v>
                </c:pt>
                <c:pt idx="1">
                  <c:v>7.1919270833333329</c:v>
                </c:pt>
                <c:pt idx="2">
                  <c:v>8.8611111111111107</c:v>
                </c:pt>
                <c:pt idx="3">
                  <c:v>7.9505642361111111</c:v>
                </c:pt>
                <c:pt idx="4">
                  <c:v>7.6345486111111107</c:v>
                </c:pt>
                <c:pt idx="5">
                  <c:v>8.4258680555555543</c:v>
                </c:pt>
                <c:pt idx="6">
                  <c:v>10.481684027777778</c:v>
                </c:pt>
                <c:pt idx="7">
                  <c:v>8.8564236111111114</c:v>
                </c:pt>
                <c:pt idx="8">
                  <c:v>8.1945312500000007</c:v>
                </c:pt>
                <c:pt idx="9">
                  <c:v>9.1270399305555561</c:v>
                </c:pt>
                <c:pt idx="10">
                  <c:v>8.2378472222222214</c:v>
                </c:pt>
                <c:pt idx="11">
                  <c:v>7.6495659722222227</c:v>
                </c:pt>
                <c:pt idx="12">
                  <c:v>7</c:v>
                </c:pt>
                <c:pt idx="13">
                  <c:v>7.3160590277777784</c:v>
                </c:pt>
                <c:pt idx="14">
                  <c:v>7.2474826388888891</c:v>
                </c:pt>
                <c:pt idx="15">
                  <c:v>7.8966145833333341</c:v>
                </c:pt>
                <c:pt idx="16">
                  <c:v>8.0978732638888893</c:v>
                </c:pt>
                <c:pt idx="17">
                  <c:v>8.0483506944444443</c:v>
                </c:pt>
                <c:pt idx="18">
                  <c:v>8.5858940972222229</c:v>
                </c:pt>
                <c:pt idx="19">
                  <c:v>9.7822482638888903</c:v>
                </c:pt>
                <c:pt idx="20">
                  <c:v>7.1892361111111107</c:v>
                </c:pt>
                <c:pt idx="21">
                  <c:v>7.071006944444445</c:v>
                </c:pt>
                <c:pt idx="22">
                  <c:v>9.3238281250000004</c:v>
                </c:pt>
                <c:pt idx="23">
                  <c:v>8.2235677083333343</c:v>
                </c:pt>
                <c:pt idx="24">
                  <c:v>7.113932291666667</c:v>
                </c:pt>
                <c:pt idx="25">
                  <c:v>7.4386718749999998</c:v>
                </c:pt>
                <c:pt idx="26">
                  <c:v>8.6046440972222218</c:v>
                </c:pt>
                <c:pt idx="27">
                  <c:v>9.1962239583333343</c:v>
                </c:pt>
                <c:pt idx="28">
                  <c:v>8.8381510416666664</c:v>
                </c:pt>
                <c:pt idx="29">
                  <c:v>8.37890625</c:v>
                </c:pt>
                <c:pt idx="30">
                  <c:v>7.7979600694444438</c:v>
                </c:pt>
                <c:pt idx="31">
                  <c:v>8.4559461805555554</c:v>
                </c:pt>
                <c:pt idx="32">
                  <c:v>9.5832465277777779</c:v>
                </c:pt>
                <c:pt idx="33">
                  <c:v>7.35212673611111</c:v>
                </c:pt>
                <c:pt idx="34">
                  <c:v>5.98689236111111</c:v>
                </c:pt>
                <c:pt idx="35">
                  <c:v>8.4078124999999986</c:v>
                </c:pt>
                <c:pt idx="36">
                  <c:v>9.6098958333333329</c:v>
                </c:pt>
                <c:pt idx="37">
                  <c:v>7.205772569444445</c:v>
                </c:pt>
                <c:pt idx="38">
                  <c:v>8.0569878472222225</c:v>
                </c:pt>
                <c:pt idx="39">
                  <c:v>10.605208333333334</c:v>
                </c:pt>
                <c:pt idx="40">
                  <c:v>9.1347222222222229</c:v>
                </c:pt>
                <c:pt idx="41">
                  <c:v>7.4747395833333332</c:v>
                </c:pt>
                <c:pt idx="42">
                  <c:v>10.403038194444445</c:v>
                </c:pt>
                <c:pt idx="43">
                  <c:v>9.4277777777777771</c:v>
                </c:pt>
                <c:pt idx="44">
                  <c:v>7.3555555555555552</c:v>
                </c:pt>
                <c:pt idx="45">
                  <c:v>8.8645833333333339</c:v>
                </c:pt>
                <c:pt idx="46">
                  <c:v>7.6557725694444443</c:v>
                </c:pt>
                <c:pt idx="47">
                  <c:v>7.7889756944444448</c:v>
                </c:pt>
                <c:pt idx="48">
                  <c:v>8.1712673611111111</c:v>
                </c:pt>
                <c:pt idx="49">
                  <c:v>8.2161458333333321</c:v>
                </c:pt>
                <c:pt idx="50">
                  <c:v>7.3890190972222225</c:v>
                </c:pt>
                <c:pt idx="51">
                  <c:v>7.484418402777778</c:v>
                </c:pt>
                <c:pt idx="52">
                  <c:v>7.2126736111111098</c:v>
                </c:pt>
                <c:pt idx="53">
                  <c:v>2.7061631944444442</c:v>
                </c:pt>
                <c:pt idx="54">
                  <c:v>7.5737847222222223</c:v>
                </c:pt>
                <c:pt idx="55">
                  <c:v>8.6980902777777782</c:v>
                </c:pt>
                <c:pt idx="56">
                  <c:v>7.2375434027777779</c:v>
                </c:pt>
                <c:pt idx="57">
                  <c:v>7.4580729166666675</c:v>
                </c:pt>
                <c:pt idx="58">
                  <c:v>7.4104600694444445</c:v>
                </c:pt>
                <c:pt idx="59">
                  <c:v>8.0386284722222214</c:v>
                </c:pt>
                <c:pt idx="60">
                  <c:v>7.1887152777777779</c:v>
                </c:pt>
                <c:pt idx="61">
                  <c:v>7.2299045138888882</c:v>
                </c:pt>
                <c:pt idx="62">
                  <c:v>7.1822482638888889</c:v>
                </c:pt>
                <c:pt idx="63">
                  <c:v>10.263585069444446</c:v>
                </c:pt>
                <c:pt idx="64">
                  <c:v>7.552083333333333</c:v>
                </c:pt>
                <c:pt idx="65">
                  <c:v>7</c:v>
                </c:pt>
                <c:pt idx="66">
                  <c:v>7.2511718749999998</c:v>
                </c:pt>
                <c:pt idx="67">
                  <c:v>7.3025173611111107</c:v>
                </c:pt>
                <c:pt idx="68">
                  <c:v>8.2147135416666668</c:v>
                </c:pt>
                <c:pt idx="69">
                  <c:v>7</c:v>
                </c:pt>
                <c:pt idx="70">
                  <c:v>8.5333333333333332</c:v>
                </c:pt>
                <c:pt idx="71">
                  <c:v>7.24609375</c:v>
                </c:pt>
                <c:pt idx="72">
                  <c:v>7</c:v>
                </c:pt>
                <c:pt idx="73">
                  <c:v>7.1723090277777777</c:v>
                </c:pt>
                <c:pt idx="74">
                  <c:v>7</c:v>
                </c:pt>
                <c:pt idx="75">
                  <c:v>7.0782552083333332</c:v>
                </c:pt>
                <c:pt idx="76">
                  <c:v>8.8259548611111107</c:v>
                </c:pt>
                <c:pt idx="77">
                  <c:v>8.8090711805555539</c:v>
                </c:pt>
                <c:pt idx="78">
                  <c:v>10.081901041666665</c:v>
                </c:pt>
                <c:pt idx="79">
                  <c:v>7.8766493055555555</c:v>
                </c:pt>
                <c:pt idx="80">
                  <c:v>7.4859809027777775</c:v>
                </c:pt>
                <c:pt idx="81">
                  <c:v>8.5374131944444436</c:v>
                </c:pt>
                <c:pt idx="82">
                  <c:v>8.7385850694444454</c:v>
                </c:pt>
                <c:pt idx="83">
                  <c:v>8.5373697916666664</c:v>
                </c:pt>
                <c:pt idx="84">
                  <c:v>8.1788628472222218</c:v>
                </c:pt>
                <c:pt idx="85">
                  <c:v>8.1243489583333339</c:v>
                </c:pt>
                <c:pt idx="86">
                  <c:v>7</c:v>
                </c:pt>
                <c:pt idx="87">
                  <c:v>7</c:v>
                </c:pt>
                <c:pt idx="88">
                  <c:v>7.7277343749999998</c:v>
                </c:pt>
                <c:pt idx="89">
                  <c:v>7.4331597222222223</c:v>
                </c:pt>
                <c:pt idx="90">
                  <c:v>7.608072916666667</c:v>
                </c:pt>
                <c:pt idx="91">
                  <c:v>7.2942708333333339</c:v>
                </c:pt>
                <c:pt idx="92">
                  <c:v>7</c:v>
                </c:pt>
                <c:pt idx="93">
                  <c:v>8.3065972222222211</c:v>
                </c:pt>
                <c:pt idx="94">
                  <c:v>7.555381944444445</c:v>
                </c:pt>
                <c:pt idx="95">
                  <c:v>8.3956597222222218</c:v>
                </c:pt>
                <c:pt idx="96">
                  <c:v>8.846397569444445</c:v>
                </c:pt>
                <c:pt idx="97">
                  <c:v>8.3873263888888889</c:v>
                </c:pt>
                <c:pt idx="98">
                  <c:v>8.0328125000000004</c:v>
                </c:pt>
                <c:pt idx="99">
                  <c:v>4.3885850694444439</c:v>
                </c:pt>
                <c:pt idx="100">
                  <c:v>3.7234375000000006</c:v>
                </c:pt>
                <c:pt idx="101">
                  <c:v>11.064713541666666</c:v>
                </c:pt>
                <c:pt idx="102">
                  <c:v>8.8432291666666671</c:v>
                </c:pt>
                <c:pt idx="103">
                  <c:v>9.751258680555555</c:v>
                </c:pt>
                <c:pt idx="104">
                  <c:v>7.7735677083333332</c:v>
                </c:pt>
                <c:pt idx="105">
                  <c:v>7.1282986111111102</c:v>
                </c:pt>
                <c:pt idx="106">
                  <c:v>1.2648003472222222</c:v>
                </c:pt>
                <c:pt idx="107">
                  <c:v>8.0027777777777782</c:v>
                </c:pt>
                <c:pt idx="108">
                  <c:v>11.371788194444443</c:v>
                </c:pt>
                <c:pt idx="109">
                  <c:v>9.7877170138888889</c:v>
                </c:pt>
                <c:pt idx="110">
                  <c:v>8.7628906250000007</c:v>
                </c:pt>
                <c:pt idx="111">
                  <c:v>13.929470486111111</c:v>
                </c:pt>
                <c:pt idx="112">
                  <c:v>6.3276041666666671</c:v>
                </c:pt>
                <c:pt idx="113">
                  <c:v>16.169401041666667</c:v>
                </c:pt>
                <c:pt idx="114">
                  <c:v>15.894140625</c:v>
                </c:pt>
                <c:pt idx="115">
                  <c:v>9.7315972222222218</c:v>
                </c:pt>
                <c:pt idx="116">
                  <c:v>11.754296874999998</c:v>
                </c:pt>
                <c:pt idx="117">
                  <c:v>6.197395833333335</c:v>
                </c:pt>
                <c:pt idx="118">
                  <c:v>9.2495225694444443</c:v>
                </c:pt>
                <c:pt idx="119">
                  <c:v>10.524001736111112</c:v>
                </c:pt>
                <c:pt idx="120">
                  <c:v>17.538324652777778</c:v>
                </c:pt>
                <c:pt idx="121">
                  <c:v>7.9206597222222221</c:v>
                </c:pt>
                <c:pt idx="122">
                  <c:v>2.4281250000000001</c:v>
                </c:pt>
                <c:pt idx="123">
                  <c:v>16.465147569444444</c:v>
                </c:pt>
                <c:pt idx="124">
                  <c:v>13.477690972222222</c:v>
                </c:pt>
                <c:pt idx="125">
                  <c:v>13.184852430555557</c:v>
                </c:pt>
                <c:pt idx="126">
                  <c:v>14.095616319444442</c:v>
                </c:pt>
                <c:pt idx="127">
                  <c:v>11.210807291666667</c:v>
                </c:pt>
                <c:pt idx="128">
                  <c:v>14.23224826388889</c:v>
                </c:pt>
                <c:pt idx="129">
                  <c:v>12.884288194444444</c:v>
                </c:pt>
                <c:pt idx="130">
                  <c:v>15.545442708333333</c:v>
                </c:pt>
                <c:pt idx="131">
                  <c:v>10.806032986111111</c:v>
                </c:pt>
                <c:pt idx="132">
                  <c:v>14.830815972222222</c:v>
                </c:pt>
                <c:pt idx="133">
                  <c:v>11.950564236111113</c:v>
                </c:pt>
                <c:pt idx="134">
                  <c:v>12.770572916666666</c:v>
                </c:pt>
                <c:pt idx="135">
                  <c:v>9.1424913194444439</c:v>
                </c:pt>
                <c:pt idx="136">
                  <c:v>12.265321180555556</c:v>
                </c:pt>
                <c:pt idx="137">
                  <c:v>9.9235243055555546</c:v>
                </c:pt>
                <c:pt idx="138">
                  <c:v>11.138151041666667</c:v>
                </c:pt>
                <c:pt idx="139">
                  <c:v>11.80095486111111</c:v>
                </c:pt>
                <c:pt idx="140">
                  <c:v>8.1148871527777775</c:v>
                </c:pt>
                <c:pt idx="141">
                  <c:v>9.5763888888888893</c:v>
                </c:pt>
                <c:pt idx="142">
                  <c:v>12.87621527777778</c:v>
                </c:pt>
                <c:pt idx="143">
                  <c:v>8.6125434027777779</c:v>
                </c:pt>
                <c:pt idx="144">
                  <c:v>9.7432725694444446</c:v>
                </c:pt>
                <c:pt idx="145">
                  <c:v>10.397569444444446</c:v>
                </c:pt>
                <c:pt idx="146">
                  <c:v>10.778124999999999</c:v>
                </c:pt>
                <c:pt idx="147">
                  <c:v>14.194618055555555</c:v>
                </c:pt>
                <c:pt idx="148">
                  <c:v>8.9552951388888893</c:v>
                </c:pt>
                <c:pt idx="149">
                  <c:v>10.792795138888888</c:v>
                </c:pt>
                <c:pt idx="150">
                  <c:v>12.21167534722222</c:v>
                </c:pt>
                <c:pt idx="151">
                  <c:v>8.11662326388889</c:v>
                </c:pt>
                <c:pt idx="152">
                  <c:v>8.3452690972222214</c:v>
                </c:pt>
                <c:pt idx="153">
                  <c:v>8.7359375000000004</c:v>
                </c:pt>
                <c:pt idx="154">
                  <c:v>11.61115451388889</c:v>
                </c:pt>
                <c:pt idx="155">
                  <c:v>14.759027777777778</c:v>
                </c:pt>
                <c:pt idx="156">
                  <c:v>12.633810763888887</c:v>
                </c:pt>
                <c:pt idx="157">
                  <c:v>11.012022569444444</c:v>
                </c:pt>
                <c:pt idx="158">
                  <c:v>12.691753472222222</c:v>
                </c:pt>
                <c:pt idx="159">
                  <c:v>13.520746527777778</c:v>
                </c:pt>
                <c:pt idx="160">
                  <c:v>12.219097222222221</c:v>
                </c:pt>
                <c:pt idx="161">
                  <c:v>15.72517361111111</c:v>
                </c:pt>
                <c:pt idx="162">
                  <c:v>13.216579861111111</c:v>
                </c:pt>
                <c:pt idx="163">
                  <c:v>12.794835069444446</c:v>
                </c:pt>
                <c:pt idx="164">
                  <c:v>16.226388888888888</c:v>
                </c:pt>
                <c:pt idx="165">
                  <c:v>16.141362847222219</c:v>
                </c:pt>
                <c:pt idx="166">
                  <c:v>13.91293402777778</c:v>
                </c:pt>
                <c:pt idx="167">
                  <c:v>10.175390625</c:v>
                </c:pt>
                <c:pt idx="168">
                  <c:v>8.7042968749999989</c:v>
                </c:pt>
                <c:pt idx="169">
                  <c:v>7</c:v>
                </c:pt>
                <c:pt idx="170">
                  <c:v>7.7821180555555554</c:v>
                </c:pt>
                <c:pt idx="171">
                  <c:v>12.831770833333332</c:v>
                </c:pt>
                <c:pt idx="172">
                  <c:v>14.871527777777777</c:v>
                </c:pt>
                <c:pt idx="173">
                  <c:v>9.8552517361111107</c:v>
                </c:pt>
                <c:pt idx="174">
                  <c:v>12.929383680555558</c:v>
                </c:pt>
                <c:pt idx="175">
                  <c:v>9.2304253472222211</c:v>
                </c:pt>
                <c:pt idx="176">
                  <c:v>10.163888888888888</c:v>
                </c:pt>
                <c:pt idx="177">
                  <c:v>9.7154513888888889</c:v>
                </c:pt>
                <c:pt idx="178">
                  <c:v>9.3243489583333332</c:v>
                </c:pt>
                <c:pt idx="179">
                  <c:v>9.7243923611111089</c:v>
                </c:pt>
                <c:pt idx="18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83-4B84-8FB4-ABFA132AD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523975"/>
        <c:axId val="541526535"/>
      </c:lineChart>
      <c:catAx>
        <c:axId val="541523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26535"/>
        <c:crosses val="autoZero"/>
        <c:auto val="1"/>
        <c:lblAlgn val="ctr"/>
        <c:lblOffset val="100"/>
        <c:noMultiLvlLbl val="0"/>
      </c:catAx>
      <c:valAx>
        <c:axId val="54152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asdfasd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2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[Prophet_Forecast_Results Editted.xlsx]Headcount Rrequirement!PivotTable2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Headcount Forecast vs.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26B0A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E26B0A"/>
            </a:solidFill>
            <a:ln w="9525">
              <a:solidFill>
                <a:srgbClr val="E26B0A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4F81B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F81BD"/>
            </a:solidFill>
            <a:ln w="9525">
              <a:solidFill>
                <a:srgbClr val="4F81BD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'Headcount Rrequirement'!$C$3</c:f>
              <c:strCache>
                <c:ptCount val="1"/>
                <c:pt idx="0">
                  <c:v>Weekly Required Headcount Bin (Actual)</c:v>
                </c:pt>
              </c:strCache>
            </c:strRef>
          </c:tx>
          <c:spPr>
            <a:ln w="28575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F81BD"/>
              </a:solidFill>
              <a:ln w="9525">
                <a:solidFill>
                  <a:srgbClr val="4F81BD"/>
                </a:solidFill>
                <a:prstDash val="solid"/>
              </a:ln>
              <a:effectLst/>
            </c:spPr>
          </c:marker>
          <c:cat>
            <c:multiLvlStrRef>
              <c:f>'Headcount Rrequirement'!$A$4:$B$273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'Headcount Rrequirement'!$C$4:$C$273</c:f>
              <c:numCache>
                <c:formatCode>General</c:formatCode>
                <c:ptCount val="26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3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3</c:v>
                </c:pt>
                <c:pt idx="115">
                  <c:v>3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5</c:v>
                </c:pt>
                <c:pt idx="120">
                  <c:v>4</c:v>
                </c:pt>
                <c:pt idx="121">
                  <c:v>3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4</c:v>
                </c:pt>
                <c:pt idx="126">
                  <c:v>4</c:v>
                </c:pt>
                <c:pt idx="127">
                  <c:v>7</c:v>
                </c:pt>
                <c:pt idx="128">
                  <c:v>8</c:v>
                </c:pt>
                <c:pt idx="129">
                  <c:v>4</c:v>
                </c:pt>
                <c:pt idx="130">
                  <c:v>4</c:v>
                </c:pt>
                <c:pt idx="131">
                  <c:v>3</c:v>
                </c:pt>
                <c:pt idx="132">
                  <c:v>2</c:v>
                </c:pt>
                <c:pt idx="133">
                  <c:v>5</c:v>
                </c:pt>
                <c:pt idx="134">
                  <c:v>6</c:v>
                </c:pt>
                <c:pt idx="135">
                  <c:v>3</c:v>
                </c:pt>
                <c:pt idx="136">
                  <c:v>2</c:v>
                </c:pt>
                <c:pt idx="137">
                  <c:v>3</c:v>
                </c:pt>
                <c:pt idx="138">
                  <c:v>7</c:v>
                </c:pt>
                <c:pt idx="139">
                  <c:v>4</c:v>
                </c:pt>
                <c:pt idx="140">
                  <c:v>2</c:v>
                </c:pt>
                <c:pt idx="141">
                  <c:v>3</c:v>
                </c:pt>
                <c:pt idx="142">
                  <c:v>2</c:v>
                </c:pt>
                <c:pt idx="143">
                  <c:v>2</c:v>
                </c:pt>
                <c:pt idx="144">
                  <c:v>4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3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4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4</c:v>
                </c:pt>
                <c:pt idx="18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D-4AA8-BB58-1B68AA7929D4}"/>
            </c:ext>
          </c:extLst>
        </c:ser>
        <c:ser>
          <c:idx val="1"/>
          <c:order val="1"/>
          <c:tx>
            <c:strRef>
              <c:f>'Headcount Rrequirement'!$D$3</c:f>
              <c:strCache>
                <c:ptCount val="1"/>
                <c:pt idx="0">
                  <c:v>Weekly Forecast Headcount Bin</c:v>
                </c:pt>
              </c:strCache>
            </c:strRef>
          </c:tx>
          <c:spPr>
            <a:ln w="28575" cap="rnd">
              <a:solidFill>
                <a:srgbClr val="E26B0A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26B0A"/>
              </a:solidFill>
              <a:ln w="9525">
                <a:solidFill>
                  <a:srgbClr val="E26B0A"/>
                </a:solidFill>
                <a:prstDash val="solid"/>
              </a:ln>
              <a:effectLst/>
            </c:spPr>
          </c:marker>
          <c:cat>
            <c:multiLvlStrRef>
              <c:f>'Headcount Rrequirement'!$A$4:$B$273</c:f>
              <c:multiLvlStrCache>
                <c:ptCount val="26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1</c:v>
                  </c:pt>
                  <c:pt idx="54">
                    <c:v>2</c:v>
                  </c:pt>
                  <c:pt idx="55">
                    <c:v>3</c:v>
                  </c:pt>
                  <c:pt idx="56">
                    <c:v>4</c:v>
                  </c:pt>
                  <c:pt idx="57">
                    <c:v>5</c:v>
                  </c:pt>
                  <c:pt idx="58">
                    <c:v>6</c:v>
                  </c:pt>
                  <c:pt idx="59">
                    <c:v>7</c:v>
                  </c:pt>
                  <c:pt idx="60">
                    <c:v>8</c:v>
                  </c:pt>
                  <c:pt idx="61">
                    <c:v>9</c:v>
                  </c:pt>
                  <c:pt idx="62">
                    <c:v>10</c:v>
                  </c:pt>
                  <c:pt idx="63">
                    <c:v>11</c:v>
                  </c:pt>
                  <c:pt idx="64">
                    <c:v>12</c:v>
                  </c:pt>
                  <c:pt idx="65">
                    <c:v>13</c:v>
                  </c:pt>
                  <c:pt idx="66">
                    <c:v>14</c:v>
                  </c:pt>
                  <c:pt idx="67">
                    <c:v>15</c:v>
                  </c:pt>
                  <c:pt idx="68">
                    <c:v>16</c:v>
                  </c:pt>
                  <c:pt idx="69">
                    <c:v>17</c:v>
                  </c:pt>
                  <c:pt idx="70">
                    <c:v>18</c:v>
                  </c:pt>
                  <c:pt idx="71">
                    <c:v>19</c:v>
                  </c:pt>
                  <c:pt idx="72">
                    <c:v>20</c:v>
                  </c:pt>
                  <c:pt idx="73">
                    <c:v>21</c:v>
                  </c:pt>
                  <c:pt idx="74">
                    <c:v>22</c:v>
                  </c:pt>
                  <c:pt idx="75">
                    <c:v>23</c:v>
                  </c:pt>
                  <c:pt idx="76">
                    <c:v>24</c:v>
                  </c:pt>
                  <c:pt idx="77">
                    <c:v>25</c:v>
                  </c:pt>
                  <c:pt idx="78">
                    <c:v>26</c:v>
                  </c:pt>
                  <c:pt idx="79">
                    <c:v>27</c:v>
                  </c:pt>
                  <c:pt idx="80">
                    <c:v>28</c:v>
                  </c:pt>
                  <c:pt idx="81">
                    <c:v>29</c:v>
                  </c:pt>
                  <c:pt idx="82">
                    <c:v>30</c:v>
                  </c:pt>
                  <c:pt idx="83">
                    <c:v>31</c:v>
                  </c:pt>
                  <c:pt idx="84">
                    <c:v>32</c:v>
                  </c:pt>
                  <c:pt idx="85">
                    <c:v>33</c:v>
                  </c:pt>
                  <c:pt idx="86">
                    <c:v>34</c:v>
                  </c:pt>
                  <c:pt idx="87">
                    <c:v>35</c:v>
                  </c:pt>
                  <c:pt idx="88">
                    <c:v>36</c:v>
                  </c:pt>
                  <c:pt idx="89">
                    <c:v>37</c:v>
                  </c:pt>
                  <c:pt idx="90">
                    <c:v>38</c:v>
                  </c:pt>
                  <c:pt idx="91">
                    <c:v>39</c:v>
                  </c:pt>
                  <c:pt idx="92">
                    <c:v>40</c:v>
                  </c:pt>
                  <c:pt idx="93">
                    <c:v>41</c:v>
                  </c:pt>
                  <c:pt idx="94">
                    <c:v>42</c:v>
                  </c:pt>
                  <c:pt idx="95">
                    <c:v>43</c:v>
                  </c:pt>
                  <c:pt idx="96">
                    <c:v>44</c:v>
                  </c:pt>
                  <c:pt idx="97">
                    <c:v>45</c:v>
                  </c:pt>
                  <c:pt idx="98">
                    <c:v>46</c:v>
                  </c:pt>
                  <c:pt idx="99">
                    <c:v>47</c:v>
                  </c:pt>
                  <c:pt idx="100">
                    <c:v>48</c:v>
                  </c:pt>
                  <c:pt idx="101">
                    <c:v>49</c:v>
                  </c:pt>
                  <c:pt idx="102">
                    <c:v>50</c:v>
                  </c:pt>
                  <c:pt idx="103">
                    <c:v>51</c:v>
                  </c:pt>
                  <c:pt idx="104">
                    <c:v>52</c:v>
                  </c:pt>
                  <c:pt idx="105">
                    <c:v>53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3</c:v>
                  </c:pt>
                  <c:pt idx="109">
                    <c:v>4</c:v>
                  </c:pt>
                  <c:pt idx="110">
                    <c:v>5</c:v>
                  </c:pt>
                  <c:pt idx="111">
                    <c:v>6</c:v>
                  </c:pt>
                  <c:pt idx="112">
                    <c:v>7</c:v>
                  </c:pt>
                  <c:pt idx="113">
                    <c:v>8</c:v>
                  </c:pt>
                  <c:pt idx="114">
                    <c:v>9</c:v>
                  </c:pt>
                  <c:pt idx="115">
                    <c:v>10</c:v>
                  </c:pt>
                  <c:pt idx="116">
                    <c:v>11</c:v>
                  </c:pt>
                  <c:pt idx="117">
                    <c:v>12</c:v>
                  </c:pt>
                  <c:pt idx="118">
                    <c:v>13</c:v>
                  </c:pt>
                  <c:pt idx="119">
                    <c:v>14</c:v>
                  </c:pt>
                  <c:pt idx="120">
                    <c:v>15</c:v>
                  </c:pt>
                  <c:pt idx="121">
                    <c:v>16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20</c:v>
                  </c:pt>
                  <c:pt idx="125">
                    <c:v>21</c:v>
                  </c:pt>
                  <c:pt idx="126">
                    <c:v>22</c:v>
                  </c:pt>
                  <c:pt idx="127">
                    <c:v>23</c:v>
                  </c:pt>
                  <c:pt idx="128">
                    <c:v>24</c:v>
                  </c:pt>
                  <c:pt idx="129">
                    <c:v>25</c:v>
                  </c:pt>
                  <c:pt idx="130">
                    <c:v>26</c:v>
                  </c:pt>
                  <c:pt idx="131">
                    <c:v>27</c:v>
                  </c:pt>
                  <c:pt idx="132">
                    <c:v>28</c:v>
                  </c:pt>
                  <c:pt idx="133">
                    <c:v>29</c:v>
                  </c:pt>
                  <c:pt idx="134">
                    <c:v>30</c:v>
                  </c:pt>
                  <c:pt idx="135">
                    <c:v>31</c:v>
                  </c:pt>
                  <c:pt idx="136">
                    <c:v>32</c:v>
                  </c:pt>
                  <c:pt idx="137">
                    <c:v>33</c:v>
                  </c:pt>
                  <c:pt idx="138">
                    <c:v>34</c:v>
                  </c:pt>
                  <c:pt idx="139">
                    <c:v>35</c:v>
                  </c:pt>
                  <c:pt idx="140">
                    <c:v>36</c:v>
                  </c:pt>
                  <c:pt idx="141">
                    <c:v>37</c:v>
                  </c:pt>
                  <c:pt idx="142">
                    <c:v>38</c:v>
                  </c:pt>
                  <c:pt idx="143">
                    <c:v>39</c:v>
                  </c:pt>
                  <c:pt idx="144">
                    <c:v>40</c:v>
                  </c:pt>
                  <c:pt idx="145">
                    <c:v>41</c:v>
                  </c:pt>
                  <c:pt idx="146">
                    <c:v>42</c:v>
                  </c:pt>
                  <c:pt idx="147">
                    <c:v>43</c:v>
                  </c:pt>
                  <c:pt idx="148">
                    <c:v>44</c:v>
                  </c:pt>
                  <c:pt idx="149">
                    <c:v>45</c:v>
                  </c:pt>
                  <c:pt idx="150">
                    <c:v>46</c:v>
                  </c:pt>
                  <c:pt idx="151">
                    <c:v>47</c:v>
                  </c:pt>
                  <c:pt idx="152">
                    <c:v>48</c:v>
                  </c:pt>
                  <c:pt idx="153">
                    <c:v>49</c:v>
                  </c:pt>
                  <c:pt idx="154">
                    <c:v>50</c:v>
                  </c:pt>
                  <c:pt idx="155">
                    <c:v>51</c:v>
                  </c:pt>
                  <c:pt idx="156">
                    <c:v>52</c:v>
                  </c:pt>
                  <c:pt idx="157">
                    <c:v>53</c:v>
                  </c:pt>
                  <c:pt idx="158">
                    <c:v>1</c:v>
                  </c:pt>
                  <c:pt idx="159">
                    <c:v>2</c:v>
                  </c:pt>
                  <c:pt idx="160">
                    <c:v>3</c:v>
                  </c:pt>
                  <c:pt idx="161">
                    <c:v>4</c:v>
                  </c:pt>
                  <c:pt idx="162">
                    <c:v>5</c:v>
                  </c:pt>
                  <c:pt idx="163">
                    <c:v>6</c:v>
                  </c:pt>
                  <c:pt idx="164">
                    <c:v>7</c:v>
                  </c:pt>
                  <c:pt idx="165">
                    <c:v>8</c:v>
                  </c:pt>
                  <c:pt idx="166">
                    <c:v>9</c:v>
                  </c:pt>
                  <c:pt idx="167">
                    <c:v>10</c:v>
                  </c:pt>
                  <c:pt idx="168">
                    <c:v>11</c:v>
                  </c:pt>
                  <c:pt idx="169">
                    <c:v>12</c:v>
                  </c:pt>
                  <c:pt idx="170">
                    <c:v>13</c:v>
                  </c:pt>
                  <c:pt idx="171">
                    <c:v>14</c:v>
                  </c:pt>
                  <c:pt idx="172">
                    <c:v>15</c:v>
                  </c:pt>
                  <c:pt idx="173">
                    <c:v>16</c:v>
                  </c:pt>
                  <c:pt idx="174">
                    <c:v>17</c:v>
                  </c:pt>
                  <c:pt idx="175">
                    <c:v>18</c:v>
                  </c:pt>
                  <c:pt idx="176">
                    <c:v>19</c:v>
                  </c:pt>
                  <c:pt idx="177">
                    <c:v>20</c:v>
                  </c:pt>
                  <c:pt idx="178">
                    <c:v>21</c:v>
                  </c:pt>
                  <c:pt idx="179">
                    <c:v>22</c:v>
                  </c:pt>
                  <c:pt idx="180">
                    <c:v>23</c:v>
                  </c:pt>
                  <c:pt idx="181">
                    <c:v>24</c:v>
                  </c:pt>
                  <c:pt idx="182">
                    <c:v>25</c:v>
                  </c:pt>
                  <c:pt idx="183">
                    <c:v>26</c:v>
                  </c:pt>
                  <c:pt idx="184">
                    <c:v>27</c:v>
                  </c:pt>
                  <c:pt idx="185">
                    <c:v>28</c:v>
                  </c:pt>
                  <c:pt idx="186">
                    <c:v>29</c:v>
                  </c:pt>
                  <c:pt idx="187">
                    <c:v>30</c:v>
                  </c:pt>
                  <c:pt idx="188">
                    <c:v>31</c:v>
                  </c:pt>
                  <c:pt idx="189">
                    <c:v>32</c:v>
                  </c:pt>
                  <c:pt idx="190">
                    <c:v>33</c:v>
                  </c:pt>
                  <c:pt idx="191">
                    <c:v>34</c:v>
                  </c:pt>
                  <c:pt idx="192">
                    <c:v>35</c:v>
                  </c:pt>
                  <c:pt idx="193">
                    <c:v>36</c:v>
                  </c:pt>
                  <c:pt idx="194">
                    <c:v>37</c:v>
                  </c:pt>
                  <c:pt idx="195">
                    <c:v>38</c:v>
                  </c:pt>
                  <c:pt idx="196">
                    <c:v>39</c:v>
                  </c:pt>
                  <c:pt idx="197">
                    <c:v>40</c:v>
                  </c:pt>
                  <c:pt idx="198">
                    <c:v>41</c:v>
                  </c:pt>
                  <c:pt idx="199">
                    <c:v>42</c:v>
                  </c:pt>
                  <c:pt idx="200">
                    <c:v>43</c:v>
                  </c:pt>
                  <c:pt idx="201">
                    <c:v>44</c:v>
                  </c:pt>
                  <c:pt idx="202">
                    <c:v>45</c:v>
                  </c:pt>
                  <c:pt idx="203">
                    <c:v>46</c:v>
                  </c:pt>
                  <c:pt idx="204">
                    <c:v>47</c:v>
                  </c:pt>
                  <c:pt idx="205">
                    <c:v>48</c:v>
                  </c:pt>
                  <c:pt idx="206">
                    <c:v>49</c:v>
                  </c:pt>
                  <c:pt idx="207">
                    <c:v>50</c:v>
                  </c:pt>
                  <c:pt idx="208">
                    <c:v>51</c:v>
                  </c:pt>
                  <c:pt idx="209">
                    <c:v>52</c:v>
                  </c:pt>
                  <c:pt idx="210">
                    <c:v>53</c:v>
                  </c:pt>
                  <c:pt idx="211">
                    <c:v>1</c:v>
                  </c:pt>
                  <c:pt idx="212">
                    <c:v>2</c:v>
                  </c:pt>
                  <c:pt idx="213">
                    <c:v>3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6</c:v>
                  </c:pt>
                  <c:pt idx="217">
                    <c:v>7</c:v>
                  </c:pt>
                  <c:pt idx="218">
                    <c:v>8</c:v>
                  </c:pt>
                  <c:pt idx="219">
                    <c:v>9</c:v>
                  </c:pt>
                  <c:pt idx="220">
                    <c:v>10</c:v>
                  </c:pt>
                  <c:pt idx="221">
                    <c:v>11</c:v>
                  </c:pt>
                  <c:pt idx="222">
                    <c:v>12</c:v>
                  </c:pt>
                  <c:pt idx="223">
                    <c:v>13</c:v>
                  </c:pt>
                  <c:pt idx="224">
                    <c:v>14</c:v>
                  </c:pt>
                  <c:pt idx="225">
                    <c:v>15</c:v>
                  </c:pt>
                  <c:pt idx="226">
                    <c:v>16</c:v>
                  </c:pt>
                  <c:pt idx="227">
                    <c:v>17</c:v>
                  </c:pt>
                  <c:pt idx="228">
                    <c:v>18</c:v>
                  </c:pt>
                  <c:pt idx="229">
                    <c:v>19</c:v>
                  </c:pt>
                  <c:pt idx="230">
                    <c:v>20</c:v>
                  </c:pt>
                  <c:pt idx="231">
                    <c:v>21</c:v>
                  </c:pt>
                  <c:pt idx="232">
                    <c:v>22</c:v>
                  </c:pt>
                  <c:pt idx="233">
                    <c:v>23</c:v>
                  </c:pt>
                  <c:pt idx="234">
                    <c:v>24</c:v>
                  </c:pt>
                  <c:pt idx="235">
                    <c:v>25</c:v>
                  </c:pt>
                  <c:pt idx="236">
                    <c:v>26</c:v>
                  </c:pt>
                  <c:pt idx="237">
                    <c:v>27</c:v>
                  </c:pt>
                  <c:pt idx="238">
                    <c:v>28</c:v>
                  </c:pt>
                  <c:pt idx="239">
                    <c:v>29</c:v>
                  </c:pt>
                  <c:pt idx="240">
                    <c:v>30</c:v>
                  </c:pt>
                  <c:pt idx="241">
                    <c:v>31</c:v>
                  </c:pt>
                  <c:pt idx="242">
                    <c:v>32</c:v>
                  </c:pt>
                  <c:pt idx="243">
                    <c:v>33</c:v>
                  </c:pt>
                  <c:pt idx="244">
                    <c:v>34</c:v>
                  </c:pt>
                  <c:pt idx="245">
                    <c:v>35</c:v>
                  </c:pt>
                  <c:pt idx="246">
                    <c:v>36</c:v>
                  </c:pt>
                  <c:pt idx="247">
                    <c:v>37</c:v>
                  </c:pt>
                  <c:pt idx="248">
                    <c:v>38</c:v>
                  </c:pt>
                  <c:pt idx="249">
                    <c:v>39</c:v>
                  </c:pt>
                  <c:pt idx="250">
                    <c:v>40</c:v>
                  </c:pt>
                  <c:pt idx="251">
                    <c:v>41</c:v>
                  </c:pt>
                  <c:pt idx="252">
                    <c:v>42</c:v>
                  </c:pt>
                  <c:pt idx="253">
                    <c:v>43</c:v>
                  </c:pt>
                  <c:pt idx="254">
                    <c:v>44</c:v>
                  </c:pt>
                  <c:pt idx="255">
                    <c:v>45</c:v>
                  </c:pt>
                  <c:pt idx="256">
                    <c:v>46</c:v>
                  </c:pt>
                  <c:pt idx="257">
                    <c:v>47</c:v>
                  </c:pt>
                  <c:pt idx="258">
                    <c:v>48</c:v>
                  </c:pt>
                  <c:pt idx="259">
                    <c:v>49</c:v>
                  </c:pt>
                  <c:pt idx="260">
                    <c:v>50</c:v>
                  </c:pt>
                  <c:pt idx="261">
                    <c:v>51</c:v>
                  </c:pt>
                  <c:pt idx="262">
                    <c:v>52</c:v>
                  </c:pt>
                  <c:pt idx="263">
                    <c:v>53</c:v>
                  </c:pt>
                </c:lvl>
                <c:lvl>
                  <c:pt idx="0">
                    <c:v>2020</c:v>
                  </c:pt>
                  <c:pt idx="53">
                    <c:v>2021</c:v>
                  </c:pt>
                  <c:pt idx="106">
                    <c:v>2022</c:v>
                  </c:pt>
                  <c:pt idx="158">
                    <c:v>2023</c:v>
                  </c:pt>
                  <c:pt idx="211">
                    <c:v>2024</c:v>
                  </c:pt>
                </c:lvl>
              </c:multiLvlStrCache>
            </c:multiLvlStrRef>
          </c:cat>
          <c:val>
            <c:numRef>
              <c:f>'Headcount Rrequirement'!$D$4:$D$273</c:f>
              <c:numCache>
                <c:formatCode>General</c:formatCode>
                <c:ptCount val="264"/>
                <c:pt idx="158">
                  <c:v>2</c:v>
                </c:pt>
                <c:pt idx="159">
                  <c:v>2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2</c:v>
                </c:pt>
                <c:pt idx="179">
                  <c:v>3</c:v>
                </c:pt>
                <c:pt idx="180">
                  <c:v>2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2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2</c:v>
                </c:pt>
                <c:pt idx="204">
                  <c:v>2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0D-4AA8-BB58-1B68AA792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14951"/>
        <c:axId val="87638023"/>
      </c:lineChart>
      <c:catAx>
        <c:axId val="85714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and Week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8023"/>
        <c:crosses val="autoZero"/>
        <c:auto val="1"/>
        <c:lblAlgn val="ctr"/>
        <c:lblOffset val="100"/>
        <c:noMultiLvlLbl val="0"/>
      </c:catAx>
      <c:valAx>
        <c:axId val="8763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Weekly Headcount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4</xdr:row>
      <xdr:rowOff>114300</xdr:rowOff>
    </xdr:from>
    <xdr:to>
      <xdr:col>20</xdr:col>
      <xdr:colOff>438150</xdr:colOff>
      <xdr:row>49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F08C7-3425-AC59-F04E-CFF3D4D0A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1257300</xdr:colOff>
      <xdr:row>8</xdr:row>
      <xdr:rowOff>171450</xdr:rowOff>
    </xdr:from>
    <xdr:to>
      <xdr:col>28</xdr:col>
      <xdr:colOff>438150</xdr:colOff>
      <xdr:row>52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38E66-E2DA-E3AA-9B14-0C2C93952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3</xdr:row>
      <xdr:rowOff>161925</xdr:rowOff>
    </xdr:from>
    <xdr:to>
      <xdr:col>21</xdr:col>
      <xdr:colOff>447675</xdr:colOff>
      <xdr:row>45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AD9E6-57A9-6747-381F-B182822F5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3885497685" createdVersion="8" refreshedVersion="8" minRefreshableVersion="3" recordCount="1774" xr:uid="{F7D00ADA-7C27-4AA7-BD49-F6986821D7EA}">
  <cacheSource type="worksheet">
    <worksheetSource name="Table1"/>
  </cacheSource>
  <cacheFields count="33">
    <cacheField name="Date" numFmtId="164">
      <sharedItems containsSemiMixedTypes="0" containsNonDate="0" containsDate="1" containsString="0" minDate="2020-01-01T00:00:00" maxDate="2024-12-31T00:00:00"/>
    </cacheField>
    <cacheField name="Day" numFmtId="0">
      <sharedItems containsBlank="1" count="8">
        <s v="Wednesday"/>
        <s v="Thursday"/>
        <s v="Friday"/>
        <s v="Saturday"/>
        <s v="Sunday"/>
        <s v="Monday"/>
        <s v="Tuesday"/>
        <m/>
      </sharedItems>
    </cacheField>
    <cacheField name="Day2" numFmtId="0">
      <sharedItems containsSemiMixedTypes="0" containsString="0" containsNumber="1" containsInteger="1" minValue="1" maxValue="7"/>
    </cacheField>
    <cacheField name="Month" numFmtId="0">
      <sharedItems containsSemiMixedTypes="0" containsString="0" containsNumber="1" containsInteger="1" minValue="1" maxValue="12"/>
    </cacheField>
    <cacheField name="Week" numFmtId="0">
      <sharedItems containsSemiMixedTypes="0" containsString="0" containsNumber="1" containsInteger="1" minValue="1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Actual" numFmtId="0">
      <sharedItems containsString="0" containsBlank="1" containsNumber="1" containsInteger="1" minValue="5" maxValue="627"/>
    </cacheField>
    <cacheField name="Forecast" numFmtId="0">
      <sharedItems containsString="0" containsBlank="1" containsNumber="1" minValue="130.20464408868079" maxValue="377.07461957968951"/>
    </cacheField>
    <cacheField name="RevisedForecast 10% Recution" numFmtId="0">
      <sharedItems containsString="0" containsBlank="1" containsNumber="1" minValue="117.18417967981271" maxValue="339.36715762172059"/>
    </cacheField>
    <cacheField name="RevisedForecast 20% Recution" numFmtId="0">
      <sharedItems containsString="0" containsBlank="1" containsNumber="1" minValue="104.16371527094464" maxValue="301.65969566375162"/>
    </cacheField>
    <cacheField name="RevisedForecast 30% Recution2" numFmtId="0">
      <sharedItems containsString="0" containsBlank="1" containsNumber="1" minValue="104.16371527094464" maxValue="301.65969566375162"/>
    </cacheField>
    <cacheField name="Answered Calls" numFmtId="0">
      <sharedItems containsString="0" containsBlank="1" containsNumber="1" containsInteger="1" minValue="5" maxValue="909"/>
    </cacheField>
    <cacheField name="Answer Rate" numFmtId="0">
      <sharedItems containsString="0" containsBlank="1" containsNumber="1" minValue="0.221" maxValue="1"/>
    </cacheField>
    <cacheField name="Abandoned Calls" numFmtId="0">
      <sharedItems containsString="0" containsBlank="1" containsNumber="1" containsInteger="1" minValue="0" maxValue="704"/>
    </cacheField>
    <cacheField name="Answer Speed (AVG)" numFmtId="0">
      <sharedItems containsNonDate="0" containsDate="1" containsString="0" containsBlank="1" minDate="1899-12-30T00:00:02" maxDate="1899-12-30T00:05:08"/>
    </cacheField>
    <cacheField name="Talk Duration (AVG)" numFmtId="21">
      <sharedItems containsSemiMixedTypes="0" containsNonDate="0" containsDate="1" containsString="0" minDate="1899-12-30T00:00:57" maxDate="1899-12-30T00:04:48"/>
    </cacheField>
    <cacheField name="Waiting Time (AVG)" numFmtId="0">
      <sharedItems containsNonDate="0" containsDate="1" containsString="0" containsBlank="1" minDate="1899-12-30T00:00:03" maxDate="1899-12-30T00:25:51"/>
    </cacheField>
    <cacheField name="Service Level (20 Seconds)" numFmtId="0">
      <sharedItems containsString="0" containsBlank="1" containsNumber="1" minValue="0" maxValue="1"/>
    </cacheField>
    <cacheField name="Actual Workload hours" numFmtId="0">
      <sharedItems containsString="0" containsBlank="1" containsNumber="1" minValue="0.20138888888888892" maxValue="46.460000000000008"/>
    </cacheField>
    <cacheField name="Actual Workload Minutes" numFmtId="0">
      <sharedItems containsString="0" containsBlank="1" containsNumber="1" minValue="12.083333333333336" maxValue="2787.6000000000004"/>
    </cacheField>
    <cacheField name="Required Workload Hours" numFmtId="0">
      <sharedItems containsString="0" containsBlank="1" containsNumber="1" minValue="0.19722222222222222" maxValue="38.677500000000002"/>
    </cacheField>
    <cacheField name="Required Workload Minutes" numFmtId="0">
      <sharedItems containsString="0" containsBlank="1" containsNumber="1" minValue="11.833333333333332" maxValue="2320.65"/>
    </cacheField>
    <cacheField name="Actual Heacount" numFmtId="0">
      <sharedItems containsString="0" containsBlank="1" containsNumber="1" minValue="1" maxValue="7.26"/>
    </cacheField>
    <cacheField name="Required Headcount" numFmtId="0">
      <sharedItems containsString="0" containsBlank="1" containsNumber="1" minValue="1" maxValue="6.0433593750000005"/>
    </cacheField>
    <cacheField name="Staff" numFmtId="0">
      <sharedItems containsString="0" containsBlank="1" containsNumber="1" containsInteger="1" minValue="1" maxValue="2"/>
    </cacheField>
    <cacheField name="Required Headcount Bin" numFmtId="0">
      <sharedItems containsString="0" containsBlank="1" containsNumber="1" containsInteger="1" minValue="1" maxValue="8"/>
    </cacheField>
    <cacheField name="Forecast Workload Hours" numFmtId="0">
      <sharedItems containsString="0" containsBlank="1" containsNumber="1" minValue="3.8482705919543432" maxValue="14.668350593154088"/>
    </cacheField>
    <cacheField name="Forecast WOrkload Minutes" numFmtId="2">
      <sharedItems containsString="0" containsBlank="1" containsNumber="1" minValue="277.07548262071271" maxValue="1056.1212427070943"/>
    </cacheField>
    <cacheField name="Forecast Headcount" numFmtId="2">
      <sharedItems containsString="0" containsBlank="1" containsNumber="1" minValue="1" maxValue="2.7503157362163915"/>
    </cacheField>
    <cacheField name="Forecast Headcount Bin" numFmtId="2">
      <sharedItems containsString="0" containsBlank="1" containsNumber="1" containsInteger="1" minValue="1" maxValue="3"/>
    </cacheField>
    <cacheField name="Lower_Bound" numFmtId="2">
      <sharedItems containsSemiMixedTypes="0" containsString="0" containsNumber="1" minValue="-74.559065073884952" maxValue="266.60462419451648"/>
    </cacheField>
    <cacheField name="Upper_Bound" numFmtId="2">
      <sharedItems containsSemiMixedTypes="0" containsString="0" containsNumber="1" minValue="139.78965068101559" maxValue="497.10019340076349"/>
    </cacheField>
    <cacheField name="Peri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4">
  <r>
    <d v="2020-01-01T00:00:00"/>
    <x v="0"/>
    <n v="4"/>
    <n v="1"/>
    <x v="0"/>
    <x v="0"/>
    <n v="217"/>
    <m/>
    <m/>
    <m/>
    <m/>
    <n v="204"/>
    <n v="0.94010000000000005"/>
    <n v="13"/>
    <d v="1899-12-30T00:00:17"/>
    <d v="1899-12-30T00:02:14"/>
    <d v="1899-12-30T00:02:45"/>
    <n v="0.76280000000000003"/>
    <n v="7.5933333333333337"/>
    <n v="455.6"/>
    <n v="8.0772222222222219"/>
    <n v="484.63333333333333"/>
    <n v="1.1864583333333334"/>
    <n v="1.2620659722222223"/>
    <n v="2"/>
    <n v="2"/>
    <m/>
    <m/>
    <m/>
    <m/>
    <n v="95.453797914284593"/>
    <n v="309.38970533774523"/>
    <s v="Training"/>
  </r>
  <r>
    <d v="2020-01-02T00:00:00"/>
    <x v="1"/>
    <n v="5"/>
    <n v="1"/>
    <x v="0"/>
    <x v="0"/>
    <n v="143"/>
    <m/>
    <m/>
    <m/>
    <m/>
    <n v="182"/>
    <n v="0.91"/>
    <n v="18"/>
    <d v="1899-12-30T00:00:20"/>
    <d v="1899-12-30T00:02:22"/>
    <d v="1899-12-30T00:06:55"/>
    <n v="0.72729999999999995"/>
    <n v="7.1788888888888893"/>
    <n v="430.73333333333335"/>
    <n v="5.6405555555555553"/>
    <n v="338.43333333333334"/>
    <n v="1.1200000000000001"/>
    <n v="1"/>
    <n v="2"/>
    <n v="2"/>
    <m/>
    <m/>
    <m/>
    <m/>
    <n v="86.540583078228138"/>
    <n v="308.33992631595379"/>
    <s v="Training"/>
  </r>
  <r>
    <d v="2020-01-03T00:00:00"/>
    <x v="2"/>
    <n v="6"/>
    <n v="1"/>
    <x v="0"/>
    <x v="0"/>
    <n v="57"/>
    <m/>
    <m/>
    <m/>
    <m/>
    <n v="198"/>
    <n v="0.91669999999999996"/>
    <n v="18"/>
    <d v="1899-12-30T00:00:18"/>
    <d v="1899-12-30T00:02:38"/>
    <d v="1899-12-30T00:03:50"/>
    <n v="0.74299999999999999"/>
    <n v="8.69"/>
    <n v="521.4"/>
    <n v="2.5016666666666665"/>
    <n v="150.1"/>
    <n v="1.36"/>
    <n v="1"/>
    <n v="2"/>
    <n v="2"/>
    <m/>
    <m/>
    <m/>
    <m/>
    <n v="78.814662146181377"/>
    <n v="292.51781580365071"/>
    <s v="Training"/>
  </r>
  <r>
    <d v="2020-01-04T00:00:00"/>
    <x v="3"/>
    <n v="7"/>
    <n v="1"/>
    <x v="0"/>
    <x v="0"/>
    <n v="18"/>
    <m/>
    <m/>
    <m/>
    <m/>
    <n v="145"/>
    <n v="0.9355"/>
    <n v="10"/>
    <d v="1899-12-30T00:00:15"/>
    <d v="1899-12-30T00:02:29"/>
    <d v="1899-12-30T00:03:12"/>
    <n v="0.79610000000000003"/>
    <n v="6.0013888888888891"/>
    <n v="360.08333333333337"/>
    <n v="0.745"/>
    <n v="44.7"/>
    <n v="1"/>
    <n v="1"/>
    <n v="2"/>
    <n v="1"/>
    <m/>
    <m/>
    <m/>
    <m/>
    <n v="76.232357368642894"/>
    <n v="299.8796182456486"/>
    <s v="Training"/>
  </r>
  <r>
    <d v="2020-01-05T00:00:00"/>
    <x v="4"/>
    <n v="1"/>
    <n v="1"/>
    <x v="1"/>
    <x v="0"/>
    <n v="98"/>
    <m/>
    <m/>
    <m/>
    <m/>
    <n v="37"/>
    <n v="1"/>
    <n v="0"/>
    <d v="1899-12-30T00:00:03"/>
    <d v="1899-12-30T00:02:06"/>
    <d v="1899-12-30T00:00:35"/>
    <n v="0.97299999999999998"/>
    <n v="1.2949999999999999"/>
    <n v="77.699999999999989"/>
    <n v="3.43"/>
    <n v="205.8"/>
    <n v="1"/>
    <n v="1"/>
    <n v="1"/>
    <n v="1"/>
    <m/>
    <m/>
    <m/>
    <m/>
    <n v="-8.0739010780395866"/>
    <n v="217.86183840602899"/>
    <s v="Training"/>
  </r>
  <r>
    <d v="2020-01-06T00:00:00"/>
    <x v="5"/>
    <n v="2"/>
    <n v="1"/>
    <x v="1"/>
    <x v="0"/>
    <n v="157"/>
    <m/>
    <m/>
    <m/>
    <m/>
    <n v="304"/>
    <n v="0.96509999999999996"/>
    <n v="11"/>
    <d v="1899-12-30T00:00:18"/>
    <d v="1899-12-30T00:01:35"/>
    <d v="1899-12-30T00:02:37"/>
    <n v="0.77170000000000005"/>
    <n v="8.0222222222222221"/>
    <n v="481.33333333333331"/>
    <n v="4.1430555555555557"/>
    <n v="248.58333333333334"/>
    <n v="1.25"/>
    <n v="1"/>
    <n v="2"/>
    <n v="2"/>
    <m/>
    <m/>
    <m/>
    <m/>
    <n v="97.461966406411534"/>
    <n v="315.19412407611009"/>
    <s v="Training"/>
  </r>
  <r>
    <d v="2020-01-07T00:00:00"/>
    <x v="6"/>
    <n v="3"/>
    <n v="1"/>
    <x v="1"/>
    <x v="0"/>
    <n v="191"/>
    <m/>
    <m/>
    <m/>
    <m/>
    <n v="244"/>
    <n v="0.96830000000000005"/>
    <n v="8"/>
    <d v="1899-12-30T00:00:13"/>
    <d v="1899-12-30T00:01:50"/>
    <d v="1899-12-30T00:02:02"/>
    <n v="0.82"/>
    <n v="7.4555555555555566"/>
    <n v="447.33333333333337"/>
    <n v="5.8361111111111112"/>
    <n v="350.16666666666669"/>
    <n v="1.1599999999999999"/>
    <n v="1"/>
    <n v="2"/>
    <n v="2"/>
    <m/>
    <m/>
    <m/>
    <m/>
    <n v="69.083797189535105"/>
    <n v="296.41772599791108"/>
    <s v="Training"/>
  </r>
  <r>
    <d v="2020-01-08T00:00:00"/>
    <x v="0"/>
    <n v="4"/>
    <n v="1"/>
    <x v="1"/>
    <x v="0"/>
    <n v="155"/>
    <m/>
    <m/>
    <m/>
    <m/>
    <n v="205"/>
    <n v="0.96240000000000003"/>
    <n v="8"/>
    <d v="1899-12-30T00:00:10"/>
    <d v="1899-12-30T00:02:10"/>
    <d v="1899-12-30T00:03:22"/>
    <n v="0.88100000000000001"/>
    <n v="7.4027777777777777"/>
    <n v="444.16666666666669"/>
    <n v="5.5972222222222223"/>
    <n v="335.83333333333331"/>
    <n v="1.1599999999999999"/>
    <n v="1"/>
    <n v="2"/>
    <n v="2"/>
    <m/>
    <m/>
    <m/>
    <m/>
    <n v="92.955953824277927"/>
    <n v="322.07673812868342"/>
    <s v="Training"/>
  </r>
  <r>
    <d v="2020-01-09T00:00:00"/>
    <x v="1"/>
    <n v="5"/>
    <n v="1"/>
    <x v="1"/>
    <x v="0"/>
    <n v="199"/>
    <m/>
    <m/>
    <m/>
    <m/>
    <n v="200"/>
    <n v="0.91320000000000001"/>
    <n v="19"/>
    <d v="1899-12-30T00:00:15"/>
    <d v="1899-12-30T00:02:18"/>
    <d v="1899-12-30T00:06:12"/>
    <n v="0.79449999999999998"/>
    <n v="7.6666666666666679"/>
    <n v="460.00000000000006"/>
    <n v="7.628333333333333"/>
    <n v="457.7"/>
    <n v="1.2"/>
    <n v="1.1919270833333333"/>
    <n v="2"/>
    <n v="2"/>
    <m/>
    <m/>
    <m/>
    <m/>
    <n v="79.49000955558202"/>
    <n v="306.52696503595638"/>
    <s v="Training"/>
  </r>
  <r>
    <d v="2020-01-10T00:00:00"/>
    <x v="2"/>
    <n v="6"/>
    <n v="1"/>
    <x v="1"/>
    <x v="0"/>
    <n v="184"/>
    <m/>
    <m/>
    <m/>
    <m/>
    <n v="348"/>
    <n v="0.93799999999999994"/>
    <n v="23"/>
    <d v="1899-12-30T00:00:19"/>
    <d v="1899-12-30T00:01:40"/>
    <d v="1899-12-30T00:03:29"/>
    <n v="0.73629999999999995"/>
    <n v="9.6666666666666643"/>
    <n v="579.99999999999989"/>
    <n v="5.1111111111111107"/>
    <n v="306.66666666666663"/>
    <n v="1.51"/>
    <n v="1"/>
    <n v="2"/>
    <n v="2"/>
    <m/>
    <m/>
    <m/>
    <m/>
    <n v="71.547494314795202"/>
    <n v="292.6199702137568"/>
    <s v="Training"/>
  </r>
  <r>
    <d v="2020-01-11T00:00:00"/>
    <x v="3"/>
    <n v="7"/>
    <n v="1"/>
    <x v="1"/>
    <x v="0"/>
    <n v="39"/>
    <m/>
    <m/>
    <m/>
    <m/>
    <n v="164"/>
    <n v="0.98799999999999999"/>
    <n v="2"/>
    <d v="1899-12-30T00:00:12"/>
    <d v="1899-12-30T00:02:10"/>
    <d v="1899-12-30T00:02:46"/>
    <n v="0.81330000000000002"/>
    <n v="5.9222222222222225"/>
    <n v="355.33333333333337"/>
    <n v="1.4083333333333334"/>
    <n v="84.5"/>
    <n v="1"/>
    <n v="1"/>
    <n v="2"/>
    <n v="1"/>
    <m/>
    <m/>
    <m/>
    <m/>
    <n v="77.95808226954999"/>
    <n v="294.56844855098581"/>
    <s v="Training"/>
  </r>
  <r>
    <d v="2020-01-12T00:00:00"/>
    <x v="4"/>
    <n v="1"/>
    <n v="1"/>
    <x v="2"/>
    <x v="0"/>
    <n v="307"/>
    <m/>
    <m/>
    <m/>
    <m/>
    <n v="32"/>
    <n v="1"/>
    <n v="0"/>
    <d v="1899-12-30T00:00:02"/>
    <d v="1899-12-30T00:02:03"/>
    <d v="1899-12-30T00:00:03"/>
    <n v="1"/>
    <n v="1.0933333333333333"/>
    <n v="65.599999999999994"/>
    <n v="10.489166666666666"/>
    <n v="629.34999999999991"/>
    <n v="1"/>
    <n v="1.6389322916666664"/>
    <n v="1"/>
    <n v="1"/>
    <m/>
    <m/>
    <m/>
    <m/>
    <n v="-2.104579166150963"/>
    <n v="216.05523658479959"/>
    <s v="Training"/>
  </r>
  <r>
    <d v="2020-01-13T00:00:00"/>
    <x v="5"/>
    <n v="2"/>
    <n v="1"/>
    <x v="2"/>
    <x v="0"/>
    <n v="231"/>
    <m/>
    <m/>
    <m/>
    <m/>
    <n v="222"/>
    <n v="0.96099999999999997"/>
    <n v="9"/>
    <d v="1899-12-30T00:00:08"/>
    <d v="1899-12-30T00:01:49"/>
    <d v="1899-12-30T00:02:18"/>
    <n v="0.86460000000000004"/>
    <n v="6.7216666666666667"/>
    <n v="403.3"/>
    <n v="6.9941666666666666"/>
    <n v="419.65"/>
    <n v="1.05"/>
    <n v="1.0928385416666666"/>
    <n v="2"/>
    <n v="2"/>
    <m/>
    <m/>
    <m/>
    <m/>
    <n v="92.135613368821211"/>
    <n v="307.38897185353773"/>
    <s v="Training"/>
  </r>
  <r>
    <d v="2020-01-14T00:00:00"/>
    <x v="6"/>
    <n v="3"/>
    <n v="1"/>
    <x v="2"/>
    <x v="0"/>
    <n v="205"/>
    <m/>
    <m/>
    <m/>
    <m/>
    <n v="197"/>
    <n v="0.96099999999999997"/>
    <n v="8"/>
    <d v="1899-12-30T00:00:07"/>
    <d v="1899-12-30T00:01:52"/>
    <d v="1899-12-30T00:02:48"/>
    <n v="0.92610000000000003"/>
    <n v="6.1288888888888886"/>
    <n v="367.73333333333329"/>
    <n v="6.3777777777777782"/>
    <n v="382.66666666666669"/>
    <n v="1"/>
    <n v="1"/>
    <n v="2"/>
    <n v="1"/>
    <m/>
    <m/>
    <m/>
    <m/>
    <n v="72.666902338622535"/>
    <n v="301.22147806428649"/>
    <s v="Training"/>
  </r>
  <r>
    <d v="2020-01-15T00:00:00"/>
    <x v="0"/>
    <n v="4"/>
    <n v="1"/>
    <x v="2"/>
    <x v="0"/>
    <n v="338"/>
    <m/>
    <m/>
    <m/>
    <m/>
    <n v="313"/>
    <n v="0.92600000000000005"/>
    <n v="25"/>
    <d v="1899-12-30T00:00:13"/>
    <d v="1899-12-30T00:01:51"/>
    <d v="1899-12-30T00:03:40"/>
    <n v="0.80059999999999998"/>
    <n v="9.6508333333333329"/>
    <n v="579.04999999999995"/>
    <n v="10.421666666666667"/>
    <n v="625.29999999999995"/>
    <n v="1.51"/>
    <n v="1.6283854166666665"/>
    <n v="2"/>
    <n v="2"/>
    <m/>
    <m/>
    <m/>
    <m/>
    <n v="81.050451488626294"/>
    <n v="311.0093706678058"/>
    <s v="Training"/>
  </r>
  <r>
    <d v="2020-01-16T00:00:00"/>
    <x v="1"/>
    <n v="5"/>
    <n v="1"/>
    <x v="2"/>
    <x v="0"/>
    <n v="180"/>
    <m/>
    <m/>
    <m/>
    <m/>
    <n v="174"/>
    <n v="0.9667"/>
    <n v="6"/>
    <d v="1899-12-30T00:00:13"/>
    <d v="1899-12-30T00:02:18"/>
    <d v="1899-12-30T00:03:26"/>
    <n v="0.83799999999999997"/>
    <n v="6.6700000000000008"/>
    <n v="400.20000000000005"/>
    <n v="6.9000000000000012"/>
    <n v="414.00000000000006"/>
    <n v="1.04"/>
    <n v="1.0781250000000002"/>
    <n v="2"/>
    <n v="2"/>
    <m/>
    <m/>
    <m/>
    <m/>
    <n v="77.375242513125755"/>
    <n v="300.08769208231791"/>
    <s v="Training"/>
  </r>
  <r>
    <d v="2020-01-17T00:00:00"/>
    <x v="2"/>
    <n v="6"/>
    <n v="1"/>
    <x v="2"/>
    <x v="0"/>
    <n v="226"/>
    <m/>
    <m/>
    <m/>
    <m/>
    <n v="211"/>
    <n v="0.93359999999999999"/>
    <n v="15"/>
    <d v="1899-12-30T00:00:20"/>
    <d v="1899-12-30T00:02:04"/>
    <d v="1899-12-30T00:04:53"/>
    <n v="0.76229999999999998"/>
    <n v="7.2677777777777779"/>
    <n v="436.06666666666666"/>
    <n v="7.7844444444444445"/>
    <n v="467.06666666666666"/>
    <n v="1.1399999999999999"/>
    <n v="1.2163194444444445"/>
    <n v="2"/>
    <n v="2"/>
    <m/>
    <m/>
    <m/>
    <m/>
    <n v="67.107526115769843"/>
    <n v="288.41124375702628"/>
    <s v="Training"/>
  </r>
  <r>
    <d v="2020-01-18T00:00:00"/>
    <x v="3"/>
    <n v="7"/>
    <n v="1"/>
    <x v="2"/>
    <x v="0"/>
    <n v="226"/>
    <m/>
    <m/>
    <m/>
    <m/>
    <n v="212"/>
    <n v="0.93810000000000004"/>
    <n v="14"/>
    <d v="1899-12-30T00:00:10"/>
    <d v="1899-12-30T00:02:03"/>
    <d v="1899-12-30T00:02:45"/>
    <n v="0.84440000000000004"/>
    <n v="7.2433333333333332"/>
    <n v="434.59999999999997"/>
    <n v="7.7216666666666667"/>
    <n v="463.3"/>
    <n v="1.1299999999999999"/>
    <n v="1.2065104166666667"/>
    <n v="2"/>
    <n v="2"/>
    <m/>
    <m/>
    <m/>
    <m/>
    <n v="81.145712970053026"/>
    <n v="296.77328811380443"/>
    <s v="Training"/>
  </r>
  <r>
    <d v="2020-01-19T00:00:00"/>
    <x v="4"/>
    <n v="1"/>
    <n v="1"/>
    <x v="3"/>
    <x v="0"/>
    <n v="45"/>
    <m/>
    <m/>
    <m/>
    <m/>
    <n v="44"/>
    <n v="0.9778"/>
    <n v="1"/>
    <d v="1899-12-30T00:00:02"/>
    <d v="1899-12-30T00:02:04"/>
    <d v="1899-12-30T00:00:55"/>
    <n v="0.9778"/>
    <n v="1.5155555555555555"/>
    <n v="90.933333333333337"/>
    <n v="1.5499999999999998"/>
    <n v="92.999999999999986"/>
    <n v="1"/>
    <n v="1"/>
    <n v="1"/>
    <n v="1"/>
    <m/>
    <m/>
    <m/>
    <m/>
    <n v="-9.1377032205736359"/>
    <n v="201.04813815674851"/>
    <s v="Training"/>
  </r>
  <r>
    <d v="2020-01-20T00:00:00"/>
    <x v="5"/>
    <n v="2"/>
    <n v="1"/>
    <x v="3"/>
    <x v="0"/>
    <n v="218"/>
    <m/>
    <m/>
    <m/>
    <m/>
    <n v="194"/>
    <n v="0.88990000000000002"/>
    <n v="24"/>
    <d v="1899-12-30T00:00:26"/>
    <d v="1899-12-30T00:02:43"/>
    <d v="1899-12-30T00:06:28"/>
    <n v="0.68979999999999997"/>
    <n v="8.7838888888888889"/>
    <n v="527.0333333333333"/>
    <n v="9.8705555555555549"/>
    <n v="592.23333333333335"/>
    <n v="1.37"/>
    <n v="1.5422743055555557"/>
    <n v="2"/>
    <n v="2"/>
    <m/>
    <m/>
    <m/>
    <m/>
    <n v="88.051441200810132"/>
    <n v="309.81076276136491"/>
    <s v="Training"/>
  </r>
  <r>
    <d v="2020-01-21T00:00:00"/>
    <x v="6"/>
    <n v="3"/>
    <n v="1"/>
    <x v="3"/>
    <x v="0"/>
    <n v="187"/>
    <m/>
    <m/>
    <m/>
    <m/>
    <n v="174"/>
    <n v="0.93049999999999999"/>
    <n v="13"/>
    <d v="1899-12-30T00:00:15"/>
    <d v="1899-12-30T00:02:16"/>
    <d v="1899-12-30T00:04:39"/>
    <n v="0.81520000000000004"/>
    <n v="6.5733333333333333"/>
    <n v="394.4"/>
    <n v="7.0644444444444447"/>
    <n v="423.86666666666667"/>
    <n v="1.03"/>
    <n v="1.1038194444444445"/>
    <n v="2"/>
    <n v="2"/>
    <m/>
    <m/>
    <m/>
    <m/>
    <n v="73.162269492854506"/>
    <n v="288.60467828248642"/>
    <s v="Training"/>
  </r>
  <r>
    <d v="2020-01-22T00:00:00"/>
    <x v="0"/>
    <n v="4"/>
    <n v="1"/>
    <x v="3"/>
    <x v="0"/>
    <n v="191"/>
    <m/>
    <m/>
    <m/>
    <m/>
    <n v="184"/>
    <n v="0.96340000000000003"/>
    <n v="7"/>
    <d v="1899-12-30T00:00:10"/>
    <d v="1899-12-30T00:02:09"/>
    <d v="1899-12-30T00:03:40"/>
    <n v="0.85640000000000005"/>
    <n v="6.5933333333333346"/>
    <n v="395.60000000000008"/>
    <n v="6.8441666666666663"/>
    <n v="410.65"/>
    <n v="1.03"/>
    <n v="1.0694010416666666"/>
    <n v="2"/>
    <n v="2"/>
    <m/>
    <m/>
    <m/>
    <m/>
    <n v="80.491101779156168"/>
    <n v="294.62055656260458"/>
    <s v="Training"/>
  </r>
  <r>
    <d v="2020-01-23T00:00:00"/>
    <x v="1"/>
    <n v="5"/>
    <n v="1"/>
    <x v="3"/>
    <x v="0"/>
    <n v="188"/>
    <m/>
    <m/>
    <m/>
    <m/>
    <n v="174"/>
    <n v="0.92549999999999999"/>
    <n v="14"/>
    <d v="1899-12-30T00:00:15"/>
    <d v="1899-12-30T00:02:25"/>
    <d v="1899-12-30T00:03:09"/>
    <n v="0.76880000000000004"/>
    <n v="7.0083333333333337"/>
    <n v="420.5"/>
    <n v="7.572222222222222"/>
    <n v="454.33333333333331"/>
    <n v="1.1000000000000001"/>
    <n v="1.1831597222222221"/>
    <n v="2"/>
    <n v="2"/>
    <m/>
    <m/>
    <m/>
    <m/>
    <n v="80.294785646728556"/>
    <n v="297.22409884324378"/>
    <s v="Training"/>
  </r>
  <r>
    <d v="2020-01-24T00:00:00"/>
    <x v="2"/>
    <n v="6"/>
    <n v="1"/>
    <x v="3"/>
    <x v="0"/>
    <n v="154"/>
    <m/>
    <m/>
    <m/>
    <m/>
    <n v="148"/>
    <n v="0.96099999999999997"/>
    <n v="6"/>
    <d v="1899-12-30T00:00:10"/>
    <d v="1899-12-30T00:02:27"/>
    <d v="1899-12-30T00:03:36"/>
    <n v="0.85060000000000002"/>
    <n v="6.043333333333333"/>
    <n v="362.59999999999997"/>
    <n v="6.2883333333333331"/>
    <n v="377.3"/>
    <n v="1"/>
    <n v="1"/>
    <n v="2"/>
    <n v="1"/>
    <m/>
    <m/>
    <m/>
    <m/>
    <n v="70.018887307261224"/>
    <n v="278.18102257648911"/>
    <s v="Training"/>
  </r>
  <r>
    <d v="2020-01-25T00:00:00"/>
    <x v="3"/>
    <n v="7"/>
    <n v="1"/>
    <x v="3"/>
    <x v="0"/>
    <n v="166"/>
    <m/>
    <m/>
    <m/>
    <m/>
    <n v="150"/>
    <n v="0.90359999999999996"/>
    <n v="16"/>
    <d v="1899-12-30T00:00:18"/>
    <d v="1899-12-30T00:02:26"/>
    <d v="1899-12-30T00:04:38"/>
    <n v="0.76829999999999998"/>
    <n v="6.083333333333333"/>
    <n v="365"/>
    <n v="6.7322222222222212"/>
    <n v="403.93333333333328"/>
    <n v="1"/>
    <n v="1.051909722222222"/>
    <n v="2"/>
    <n v="1"/>
    <m/>
    <m/>
    <m/>
    <m/>
    <n v="69.816431615925012"/>
    <n v="293.40546781585078"/>
    <s v="Training"/>
  </r>
  <r>
    <d v="2020-01-26T00:00:00"/>
    <x v="4"/>
    <n v="1"/>
    <n v="1"/>
    <x v="4"/>
    <x v="0"/>
    <n v="58"/>
    <m/>
    <m/>
    <m/>
    <m/>
    <n v="57"/>
    <n v="0.98280000000000001"/>
    <n v="1"/>
    <d v="1899-12-30T00:00:04"/>
    <d v="1899-12-30T00:02:26"/>
    <d v="1899-12-30T00:00:58"/>
    <n v="0.94830000000000003"/>
    <n v="2.3116666666666665"/>
    <n v="138.69999999999999"/>
    <n v="2.3522222222222222"/>
    <n v="141.13333333333333"/>
    <n v="1"/>
    <n v="1"/>
    <n v="1"/>
    <n v="1"/>
    <m/>
    <m/>
    <m/>
    <m/>
    <n v="-9.2605906752200191"/>
    <n v="202.95724048613249"/>
    <s v="Training"/>
  </r>
  <r>
    <d v="2020-01-27T00:00:00"/>
    <x v="5"/>
    <n v="2"/>
    <n v="1"/>
    <x v="4"/>
    <x v="0"/>
    <n v="160"/>
    <m/>
    <m/>
    <m/>
    <m/>
    <n v="153"/>
    <n v="0.95630000000000004"/>
    <n v="7"/>
    <d v="1899-12-30T00:00:10"/>
    <d v="1899-12-30T00:02:23"/>
    <d v="1899-12-30T00:02:45"/>
    <n v="0.84909999999999997"/>
    <n v="6.0774999999999997"/>
    <n v="364.65"/>
    <n v="6.355555555555557"/>
    <n v="381.33333333333343"/>
    <n v="1"/>
    <n v="1"/>
    <n v="2"/>
    <n v="1"/>
    <m/>
    <m/>
    <m/>
    <m/>
    <n v="85.510918177943438"/>
    <n v="306.00082802254963"/>
    <s v="Training"/>
  </r>
  <r>
    <d v="2020-01-28T00:00:00"/>
    <x v="6"/>
    <n v="3"/>
    <n v="1"/>
    <x v="4"/>
    <x v="0"/>
    <n v="86"/>
    <m/>
    <m/>
    <m/>
    <m/>
    <n v="79"/>
    <n v="0.91859999999999997"/>
    <n v="7"/>
    <d v="1899-12-30T00:00:32"/>
    <d v="1899-12-30T00:02:43"/>
    <d v="1899-12-30T00:04:40"/>
    <n v="0.61629999999999996"/>
    <n v="3.5769444444444445"/>
    <n v="214.61666666666667"/>
    <n v="3.8938888888888887"/>
    <n v="233.63333333333333"/>
    <n v="1"/>
    <n v="1"/>
    <n v="2"/>
    <n v="1"/>
    <m/>
    <m/>
    <m/>
    <m/>
    <n v="64.531447088088143"/>
    <n v="283.77838903991682"/>
    <s v="Training"/>
  </r>
  <r>
    <d v="2020-01-29T00:00:00"/>
    <x v="0"/>
    <n v="4"/>
    <n v="1"/>
    <x v="4"/>
    <x v="0"/>
    <n v="180"/>
    <m/>
    <m/>
    <m/>
    <m/>
    <n v="170"/>
    <n v="0.94440000000000002"/>
    <n v="10"/>
    <d v="1899-12-30T00:00:23"/>
    <d v="1899-12-30T00:02:31"/>
    <d v="1899-12-30T00:05:45"/>
    <n v="0.77529999999999999"/>
    <n v="7.1305555555555555"/>
    <n v="427.83333333333331"/>
    <n v="7.55"/>
    <n v="453"/>
    <n v="1.1100000000000001"/>
    <n v="1.1796875"/>
    <n v="2"/>
    <n v="2"/>
    <m/>
    <m/>
    <m/>
    <m/>
    <n v="73.087332038628446"/>
    <n v="303.4096642018032"/>
    <s v="Training"/>
  </r>
  <r>
    <d v="2020-01-30T00:00:00"/>
    <x v="1"/>
    <n v="5"/>
    <n v="1"/>
    <x v="4"/>
    <x v="0"/>
    <n v="210"/>
    <m/>
    <m/>
    <m/>
    <m/>
    <n v="192"/>
    <n v="0.9143"/>
    <n v="18"/>
    <d v="1899-12-30T00:00:26"/>
    <d v="1899-12-30T00:02:16"/>
    <d v="1899-12-30T00:05:35"/>
    <n v="0.67459999999999998"/>
    <n v="7.253333333333333"/>
    <n v="435.2"/>
    <n v="7.9333333333333336"/>
    <n v="476"/>
    <n v="1.1299999999999999"/>
    <n v="1.2395833333333333"/>
    <n v="2"/>
    <n v="2"/>
    <m/>
    <m/>
    <m/>
    <m/>
    <n v="68.599042589894466"/>
    <n v="277.90892180780719"/>
    <s v="Training"/>
  </r>
  <r>
    <d v="2020-01-31T00:00:00"/>
    <x v="2"/>
    <n v="6"/>
    <n v="1"/>
    <x v="4"/>
    <x v="0"/>
    <n v="163"/>
    <m/>
    <m/>
    <m/>
    <m/>
    <n v="157"/>
    <n v="0.96319999999999995"/>
    <n v="6"/>
    <d v="1899-12-30T00:00:14"/>
    <d v="1899-12-30T00:02:19"/>
    <d v="1899-12-30T00:02:55"/>
    <n v="0.81369999999999998"/>
    <n v="6.0619444444444435"/>
    <n v="363.71666666666658"/>
    <n v="6.2936111111111108"/>
    <n v="377.61666666666667"/>
    <n v="1"/>
    <n v="1"/>
    <n v="2"/>
    <n v="1"/>
    <m/>
    <m/>
    <m/>
    <m/>
    <n v="70.547707420491662"/>
    <n v="283.88153415429952"/>
    <s v="Training"/>
  </r>
  <r>
    <d v="2020-02-01T00:00:00"/>
    <x v="3"/>
    <n v="7"/>
    <n v="2"/>
    <x v="4"/>
    <x v="0"/>
    <n v="200"/>
    <m/>
    <m/>
    <m/>
    <m/>
    <n v="140"/>
    <n v="0.97899999999999998"/>
    <n v="3"/>
    <d v="1899-12-30T00:00:15"/>
    <d v="1899-12-30T00:02:20"/>
    <d v="1899-12-30T00:04:43"/>
    <n v="0.82520000000000004"/>
    <n v="5.4444444444444446"/>
    <n v="326.66666666666669"/>
    <n v="7.7777777777777777"/>
    <n v="466.66666666666669"/>
    <n v="1"/>
    <n v="1.2152777777777779"/>
    <n v="2"/>
    <n v="1"/>
    <m/>
    <m/>
    <m/>
    <m/>
    <n v="70.766294546075429"/>
    <n v="298.17804278627278"/>
    <s v="Training"/>
  </r>
  <r>
    <d v="2020-02-02T00:00:00"/>
    <x v="4"/>
    <n v="1"/>
    <n v="2"/>
    <x v="5"/>
    <x v="0"/>
    <n v="57"/>
    <m/>
    <m/>
    <m/>
    <m/>
    <n v="55"/>
    <n v="0.96489999999999998"/>
    <n v="2"/>
    <d v="1899-12-30T00:00:06"/>
    <d v="1899-12-30T00:02:03"/>
    <d v="1899-12-30T00:01:50"/>
    <n v="0.9123"/>
    <n v="1.8791666666666667"/>
    <n v="112.75"/>
    <n v="1.9475"/>
    <n v="116.85"/>
    <n v="1"/>
    <n v="1"/>
    <n v="1"/>
    <n v="1"/>
    <m/>
    <m/>
    <m/>
    <m/>
    <n v="-21.925614704917049"/>
    <n v="207.54573813703499"/>
    <s v="Training"/>
  </r>
  <r>
    <d v="2020-02-03T00:00:00"/>
    <x v="5"/>
    <n v="2"/>
    <n v="2"/>
    <x v="5"/>
    <x v="0"/>
    <n v="200"/>
    <m/>
    <m/>
    <m/>
    <m/>
    <n v="172"/>
    <n v="0.96089999999999998"/>
    <n v="7"/>
    <d v="1899-12-30T00:00:13"/>
    <d v="1899-12-30T00:02:17"/>
    <d v="1899-12-30T00:03:23"/>
    <n v="0.82489999999999997"/>
    <n v="6.5455555555555556"/>
    <n v="392.73333333333335"/>
    <n v="7.6111111111111098"/>
    <n v="456.66666666666657"/>
    <n v="1.02"/>
    <n v="1.1892361111111109"/>
    <n v="2"/>
    <n v="2"/>
    <m/>
    <m/>
    <m/>
    <m/>
    <n v="87.980328658350032"/>
    <n v="300.21546423805671"/>
    <s v="Training"/>
  </r>
  <r>
    <d v="2020-02-04T00:00:00"/>
    <x v="6"/>
    <n v="3"/>
    <n v="2"/>
    <x v="5"/>
    <x v="0"/>
    <n v="206"/>
    <m/>
    <m/>
    <m/>
    <m/>
    <n v="184"/>
    <n v="0.94850000000000001"/>
    <n v="10"/>
    <d v="1899-12-30T00:00:24"/>
    <d v="1899-12-30T00:02:24"/>
    <d v="1899-12-30T00:03:19"/>
    <n v="0.70099999999999996"/>
    <n v="7.3600000000000012"/>
    <n v="441.60000000000008"/>
    <n v="8.24"/>
    <n v="494.40000000000003"/>
    <n v="1.1499999999999999"/>
    <n v="1.2875000000000001"/>
    <n v="2"/>
    <n v="2"/>
    <m/>
    <m/>
    <m/>
    <m/>
    <n v="63.610352240976212"/>
    <n v="286.80807710942628"/>
    <s v="Training"/>
  </r>
  <r>
    <d v="2020-02-05T00:00:00"/>
    <x v="0"/>
    <n v="4"/>
    <n v="2"/>
    <x v="5"/>
    <x v="0"/>
    <n v="255"/>
    <m/>
    <m/>
    <m/>
    <m/>
    <n v="196"/>
    <n v="0.97509999999999997"/>
    <n v="5"/>
    <d v="1899-12-30T00:00:15"/>
    <d v="1899-12-30T00:02:16"/>
    <d v="1899-12-30T00:04:53"/>
    <n v="0.81589999999999996"/>
    <n v="7.4044444444444446"/>
    <n v="444.26666666666665"/>
    <n v="9.6333333333333329"/>
    <n v="578"/>
    <n v="1.1599999999999999"/>
    <n v="1.5052083333333333"/>
    <n v="2"/>
    <n v="2"/>
    <m/>
    <m/>
    <m/>
    <m/>
    <n v="76.976075569037718"/>
    <n v="301.62558584047429"/>
    <s v="Training"/>
  </r>
  <r>
    <d v="2020-02-06T00:00:00"/>
    <x v="1"/>
    <n v="5"/>
    <n v="2"/>
    <x v="5"/>
    <x v="0"/>
    <n v="166"/>
    <m/>
    <m/>
    <m/>
    <m/>
    <n v="189"/>
    <n v="0.86699999999999999"/>
    <n v="29"/>
    <d v="1899-12-30T00:00:32"/>
    <d v="1899-12-30T00:02:37"/>
    <d v="1899-12-30T00:08:04"/>
    <n v="0.57410000000000005"/>
    <n v="8.2424999999999997"/>
    <n v="494.54999999999995"/>
    <n v="7.2394444444444446"/>
    <n v="434.36666666666667"/>
    <n v="1.29"/>
    <n v="1.1311631944444445"/>
    <n v="2"/>
    <n v="2"/>
    <m/>
    <m/>
    <m/>
    <m/>
    <n v="83.553259803770416"/>
    <n v="295.57012136644443"/>
    <s v="Training"/>
  </r>
  <r>
    <d v="2020-02-07T00:00:00"/>
    <x v="2"/>
    <n v="6"/>
    <n v="2"/>
    <x v="5"/>
    <x v="0"/>
    <n v="213"/>
    <m/>
    <m/>
    <m/>
    <m/>
    <n v="190"/>
    <n v="0.97940000000000005"/>
    <n v="4"/>
    <d v="1899-12-30T00:00:16"/>
    <d v="1899-12-30T00:02:22"/>
    <d v="1899-12-30T00:02:02"/>
    <n v="0.81769999999999998"/>
    <n v="7.4944444444444445"/>
    <n v="449.66666666666669"/>
    <n v="8.4016666666666673"/>
    <n v="504.1"/>
    <n v="1.17"/>
    <n v="1.3127604166666667"/>
    <n v="2"/>
    <n v="2"/>
    <m/>
    <m/>
    <m/>
    <m/>
    <n v="70.549709652023864"/>
    <n v="296.11396290650367"/>
    <s v="Training"/>
  </r>
  <r>
    <d v="2020-02-08T00:00:00"/>
    <x v="3"/>
    <n v="7"/>
    <n v="2"/>
    <x v="5"/>
    <x v="0"/>
    <n v="24"/>
    <m/>
    <m/>
    <m/>
    <m/>
    <n v="219"/>
    <n v="0.96479999999999999"/>
    <n v="8"/>
    <d v="1899-12-30T00:00:15"/>
    <d v="1899-12-30T00:02:44"/>
    <d v="1899-12-30T00:03:55"/>
    <n v="0.83630000000000004"/>
    <n v="9.9766666666666666"/>
    <n v="598.6"/>
    <n v="1.0933333333333333"/>
    <n v="65.599999999999994"/>
    <n v="1.56"/>
    <n v="1"/>
    <n v="2"/>
    <n v="2"/>
    <m/>
    <m/>
    <m/>
    <m/>
    <n v="78.795787440626412"/>
    <n v="304.86850354064359"/>
    <s v="Training"/>
  </r>
  <r>
    <d v="2020-02-09T00:00:00"/>
    <x v="4"/>
    <n v="1"/>
    <n v="2"/>
    <x v="6"/>
    <x v="0"/>
    <n v="252"/>
    <m/>
    <m/>
    <m/>
    <m/>
    <n v="52"/>
    <n v="1"/>
    <n v="0"/>
    <d v="1899-12-30T00:00:09"/>
    <d v="1899-12-30T00:02:16"/>
    <d v="1899-12-30T00:00:52"/>
    <n v="0.94230000000000003"/>
    <n v="1.9644444444444444"/>
    <n v="117.86666666666666"/>
    <n v="9.52"/>
    <n v="571.19999999999993"/>
    <n v="1"/>
    <n v="1.4874999999999998"/>
    <n v="1"/>
    <n v="1"/>
    <m/>
    <m/>
    <m/>
    <m/>
    <n v="0.71317657931091205"/>
    <n v="213.85385716979081"/>
    <s v="Training"/>
  </r>
  <r>
    <d v="2020-02-10T00:00:00"/>
    <x v="5"/>
    <n v="2"/>
    <n v="2"/>
    <x v="6"/>
    <x v="0"/>
    <n v="184"/>
    <m/>
    <m/>
    <m/>
    <m/>
    <n v="370"/>
    <n v="0.96099999999999997"/>
    <n v="15"/>
    <d v="1899-12-30T00:00:20"/>
    <d v="1899-12-30T00:02:11"/>
    <d v="1899-12-30T00:03:10"/>
    <n v="0.76190000000000002"/>
    <n v="13.463888888888889"/>
    <n v="807.83333333333326"/>
    <n v="6.6955555555555559"/>
    <n v="401.73333333333335"/>
    <n v="2.1"/>
    <n v="1.0461805555555557"/>
    <n v="2"/>
    <n v="3"/>
    <m/>
    <m/>
    <m/>
    <m/>
    <n v="99.042473408474592"/>
    <n v="316.54026771548729"/>
    <s v="Training"/>
  </r>
  <r>
    <d v="2020-02-11T00:00:00"/>
    <x v="6"/>
    <n v="3"/>
    <n v="2"/>
    <x v="6"/>
    <x v="0"/>
    <n v="250"/>
    <m/>
    <m/>
    <m/>
    <m/>
    <n v="130"/>
    <n v="0.94889999999999997"/>
    <n v="7"/>
    <d v="1899-12-30T00:00:16"/>
    <d v="1899-12-30T00:02:26"/>
    <d v="1899-12-30T00:09:47"/>
    <n v="0.7591"/>
    <n v="5.2722222222222221"/>
    <n v="316.33333333333331"/>
    <n v="10.138888888888889"/>
    <n v="608.33333333333337"/>
    <n v="1"/>
    <n v="1.5842013888888891"/>
    <n v="2"/>
    <n v="1"/>
    <m/>
    <m/>
    <m/>
    <m/>
    <n v="86.946630035246699"/>
    <n v="306.70842954815862"/>
    <s v="Training"/>
  </r>
  <r>
    <d v="2020-02-12T00:00:00"/>
    <x v="0"/>
    <n v="4"/>
    <n v="2"/>
    <x v="6"/>
    <x v="0"/>
    <n v="295"/>
    <m/>
    <m/>
    <m/>
    <m/>
    <n v="252"/>
    <n v="0.99209999999999998"/>
    <n v="2"/>
    <d v="1899-12-30T00:00:10"/>
    <d v="1899-12-30T00:02:08"/>
    <d v="1899-12-30T00:01:10"/>
    <n v="0.91339999999999999"/>
    <n v="8.9599999999999991"/>
    <n v="537.59999999999991"/>
    <n v="10.488888888888889"/>
    <n v="629.33333333333337"/>
    <n v="1.4"/>
    <n v="1.6388888888888891"/>
    <n v="2"/>
    <n v="2"/>
    <m/>
    <m/>
    <m/>
    <m/>
    <n v="97.931363832149088"/>
    <n v="327.1585818821132"/>
    <s v="Training"/>
  </r>
  <r>
    <d v="2020-02-13T00:00:00"/>
    <x v="1"/>
    <n v="5"/>
    <n v="2"/>
    <x v="6"/>
    <x v="0"/>
    <n v="211"/>
    <m/>
    <m/>
    <m/>
    <m/>
    <n v="206"/>
    <n v="0.97629999999999995"/>
    <n v="5"/>
    <d v="1899-12-30T00:00:11"/>
    <d v="1899-12-30T00:02:24"/>
    <d v="1899-12-30T00:04:37"/>
    <n v="0.87139999999999995"/>
    <n v="8.24"/>
    <n v="494.40000000000003"/>
    <n v="8.44"/>
    <n v="506.4"/>
    <n v="1.29"/>
    <n v="1.3187499999999999"/>
    <n v="2"/>
    <n v="2"/>
    <m/>
    <m/>
    <m/>
    <m/>
    <n v="102.32679168474461"/>
    <n v="321.09710564102687"/>
    <s v="Training"/>
  </r>
  <r>
    <d v="2020-02-14T00:00:00"/>
    <x v="2"/>
    <n v="6"/>
    <n v="2"/>
    <x v="6"/>
    <x v="0"/>
    <n v="282"/>
    <m/>
    <m/>
    <m/>
    <m/>
    <n v="279"/>
    <n v="0.98939999999999995"/>
    <n v="3"/>
    <d v="1899-12-30T00:00:07"/>
    <d v="1899-12-30T00:02:18"/>
    <d v="1899-12-30T00:01:11"/>
    <n v="0.93210000000000004"/>
    <n v="10.695000000000002"/>
    <n v="641.70000000000016"/>
    <n v="10.81"/>
    <n v="648.6"/>
    <n v="1.67"/>
    <n v="1.6890625000000001"/>
    <n v="2"/>
    <n v="2"/>
    <m/>
    <m/>
    <m/>
    <m/>
    <n v="93.955536396757722"/>
    <n v="307.74589267822461"/>
    <s v="Training"/>
  </r>
  <r>
    <d v="2020-02-15T00:00:00"/>
    <x v="3"/>
    <n v="7"/>
    <n v="2"/>
    <x v="6"/>
    <x v="0"/>
    <n v="262"/>
    <m/>
    <m/>
    <m/>
    <m/>
    <n v="260"/>
    <n v="0.99239999999999995"/>
    <n v="2"/>
    <d v="1899-12-30T00:00:08"/>
    <d v="1899-12-30T00:02:31"/>
    <d v="1899-12-30T00:01:13"/>
    <n v="0.90800000000000003"/>
    <n v="10.905555555555555"/>
    <n v="654.33333333333326"/>
    <n v="10.989444444444445"/>
    <n v="659.36666666666667"/>
    <n v="1.7"/>
    <n v="1.7171006944444445"/>
    <n v="2"/>
    <n v="2"/>
    <m/>
    <m/>
    <m/>
    <m/>
    <n v="104.8060999827367"/>
    <n v="332.14155527052418"/>
    <s v="Training"/>
  </r>
  <r>
    <d v="2020-02-16T00:00:00"/>
    <x v="4"/>
    <n v="1"/>
    <n v="2"/>
    <x v="7"/>
    <x v="0"/>
    <n v="65"/>
    <m/>
    <m/>
    <m/>
    <m/>
    <n v="63"/>
    <n v="0.96919999999999995"/>
    <n v="2"/>
    <d v="1899-12-30T00:00:12"/>
    <d v="1899-12-30T00:02:22"/>
    <d v="1899-12-30T00:02:10"/>
    <n v="0.85940000000000005"/>
    <n v="2.4849999999999999"/>
    <n v="149.1"/>
    <n v="2.5638888888888891"/>
    <n v="153.83333333333334"/>
    <n v="1"/>
    <n v="1"/>
    <n v="1"/>
    <n v="1"/>
    <m/>
    <m/>
    <m/>
    <m/>
    <n v="14.320959899635049"/>
    <n v="233.36483422479861"/>
    <s v="Training"/>
  </r>
  <r>
    <d v="2020-02-17T00:00:00"/>
    <x v="5"/>
    <n v="2"/>
    <n v="2"/>
    <x v="7"/>
    <x v="0"/>
    <n v="325"/>
    <m/>
    <m/>
    <m/>
    <m/>
    <n v="323"/>
    <n v="0.99380000000000002"/>
    <n v="2"/>
    <d v="1899-12-30T00:00:05"/>
    <d v="1899-12-30T00:02:13"/>
    <d v="1899-12-30T00:01:14"/>
    <n v="0.96899999999999997"/>
    <n v="11.933055555555555"/>
    <n v="715.98333333333335"/>
    <n v="12.006944444444445"/>
    <n v="720.41666666666663"/>
    <n v="1.86"/>
    <n v="1.8760850694444444"/>
    <n v="2"/>
    <n v="2"/>
    <m/>
    <m/>
    <m/>
    <m/>
    <n v="124.0895251521336"/>
    <n v="340.08137118641798"/>
    <s v="Training"/>
  </r>
  <r>
    <d v="2020-02-18T00:00:00"/>
    <x v="6"/>
    <n v="3"/>
    <n v="2"/>
    <x v="7"/>
    <x v="0"/>
    <n v="235"/>
    <m/>
    <m/>
    <m/>
    <m/>
    <n v="230"/>
    <n v="0.97870000000000001"/>
    <n v="5"/>
    <d v="1899-12-30T00:00:05"/>
    <d v="1899-12-30T00:02:19"/>
    <d v="1899-12-30T00:00:58"/>
    <n v="0.96140000000000003"/>
    <n v="8.8805555555555564"/>
    <n v="532.83333333333337"/>
    <n v="9.0736111111111111"/>
    <n v="544.41666666666663"/>
    <n v="1.39"/>
    <n v="1.4177517361111109"/>
    <n v="2"/>
    <n v="2"/>
    <m/>
    <m/>
    <m/>
    <m/>
    <n v="102.1535927385179"/>
    <n v="326.29362721078098"/>
    <s v="Training"/>
  </r>
  <r>
    <d v="2020-02-19T00:00:00"/>
    <x v="0"/>
    <n v="4"/>
    <n v="2"/>
    <x v="7"/>
    <x v="0"/>
    <n v="215"/>
    <m/>
    <m/>
    <m/>
    <m/>
    <n v="212"/>
    <n v="0.98599999999999999"/>
    <n v="3"/>
    <d v="1899-12-30T00:00:05"/>
    <d v="1899-12-30T00:02:14"/>
    <d v="1899-12-30T00:00:58"/>
    <n v="0.95809999999999995"/>
    <n v="7.891111111111111"/>
    <n v="473.46666666666664"/>
    <n v="8.0027777777777764"/>
    <n v="480.16666666666657"/>
    <n v="1.23"/>
    <n v="1.2504340277777775"/>
    <n v="2"/>
    <n v="2"/>
    <m/>
    <m/>
    <m/>
    <m/>
    <n v="124.1015863500797"/>
    <n v="335.99519408491949"/>
    <s v="Training"/>
  </r>
  <r>
    <d v="2020-02-20T00:00:00"/>
    <x v="1"/>
    <n v="5"/>
    <n v="2"/>
    <x v="7"/>
    <x v="0"/>
    <n v="85"/>
    <m/>
    <m/>
    <m/>
    <m/>
    <n v="85"/>
    <n v="1"/>
    <n v="0"/>
    <d v="1899-12-30T00:00:03"/>
    <d v="1899-12-30T00:02:26"/>
    <d v="1899-12-30T00:00:55"/>
    <n v="0.97650000000000003"/>
    <n v="3.4472222222222224"/>
    <n v="206.83333333333334"/>
    <n v="3.4472222222222224"/>
    <n v="206.83333333333334"/>
    <n v="1"/>
    <n v="1"/>
    <n v="2"/>
    <n v="1"/>
    <m/>
    <m/>
    <m/>
    <m/>
    <n v="122.8005592172011"/>
    <n v="345.03909717859818"/>
    <s v="Training"/>
  </r>
  <r>
    <d v="2020-02-21T00:00:00"/>
    <x v="2"/>
    <n v="6"/>
    <n v="2"/>
    <x v="7"/>
    <x v="0"/>
    <n v="195"/>
    <m/>
    <m/>
    <m/>
    <m/>
    <n v="195"/>
    <n v="1"/>
    <n v="0"/>
    <d v="1899-12-30T00:00:05"/>
    <d v="1899-12-30T00:02:24"/>
    <d v="1899-12-30T00:02:13"/>
    <n v="0.97440000000000004"/>
    <n v="7.8"/>
    <n v="468"/>
    <n v="7.8"/>
    <n v="468"/>
    <n v="1.22"/>
    <n v="1.21875"/>
    <n v="2"/>
    <n v="2"/>
    <m/>
    <m/>
    <m/>
    <m/>
    <n v="110.71482897763551"/>
    <n v="335.07663036076991"/>
    <s v="Training"/>
  </r>
  <r>
    <d v="2020-02-22T00:00:00"/>
    <x v="3"/>
    <n v="7"/>
    <n v="2"/>
    <x v="7"/>
    <x v="0"/>
    <n v="188"/>
    <m/>
    <m/>
    <m/>
    <m/>
    <n v="182"/>
    <n v="0.96809999999999996"/>
    <n v="6"/>
    <d v="1899-12-30T00:00:15"/>
    <d v="1899-12-30T00:02:14"/>
    <d v="1899-12-30T00:01:51"/>
    <n v="0.83609999999999995"/>
    <n v="6.7744444444444447"/>
    <n v="406.4666666666667"/>
    <n v="6.9977777777777765"/>
    <n v="419.86666666666662"/>
    <n v="1.06"/>
    <n v="1.0934027777777777"/>
    <n v="2"/>
    <n v="2"/>
    <m/>
    <m/>
    <m/>
    <m/>
    <n v="123.75114454095819"/>
    <n v="341.6523481146782"/>
    <s v="Training"/>
  </r>
  <r>
    <d v="2020-02-23T00:00:00"/>
    <x v="4"/>
    <n v="1"/>
    <n v="2"/>
    <x v="8"/>
    <x v="0"/>
    <n v="58"/>
    <m/>
    <m/>
    <m/>
    <m/>
    <n v="58"/>
    <n v="1"/>
    <n v="0"/>
    <d v="1899-12-30T00:00:06"/>
    <d v="1899-12-30T00:02:22"/>
    <d v="1899-12-30T00:00:52"/>
    <n v="0.94830000000000003"/>
    <n v="2.2877777777777779"/>
    <n v="137.26666666666668"/>
    <n v="2.2877777777777779"/>
    <n v="137.26666666666668"/>
    <n v="1"/>
    <n v="1"/>
    <n v="1"/>
    <n v="1"/>
    <m/>
    <m/>
    <m/>
    <m/>
    <n v="22.710342832925129"/>
    <n v="244.42765712724241"/>
    <s v="Training"/>
  </r>
  <r>
    <d v="2020-02-24T00:00:00"/>
    <x v="5"/>
    <n v="2"/>
    <n v="2"/>
    <x v="8"/>
    <x v="0"/>
    <n v="251"/>
    <m/>
    <m/>
    <m/>
    <m/>
    <n v="247"/>
    <n v="0.98409999999999997"/>
    <n v="4"/>
    <d v="1899-12-30T00:00:14"/>
    <d v="1899-12-30T00:02:16"/>
    <d v="1899-12-30T00:01:53"/>
    <n v="0.83530000000000004"/>
    <n v="9.3311111111111114"/>
    <n v="559.86666666666667"/>
    <n v="9.482222222222223"/>
    <n v="568.93333333333339"/>
    <n v="1.46"/>
    <n v="1.4815972222222225"/>
    <n v="2"/>
    <n v="2"/>
    <m/>
    <m/>
    <m/>
    <m/>
    <n v="124.8179671933583"/>
    <n v="346.90466872344427"/>
    <s v="Training"/>
  </r>
  <r>
    <d v="2020-02-25T00:00:00"/>
    <x v="6"/>
    <n v="3"/>
    <n v="2"/>
    <x v="8"/>
    <x v="0"/>
    <n v="181"/>
    <m/>
    <m/>
    <m/>
    <m/>
    <n v="178"/>
    <n v="0.98340000000000005"/>
    <n v="3"/>
    <d v="1899-12-30T00:00:12"/>
    <d v="1899-12-30T00:02:24"/>
    <d v="1899-12-30T00:01:57"/>
    <n v="0.8619"/>
    <n v="7.120000000000001"/>
    <n v="427.20000000000005"/>
    <n v="7.2400000000000011"/>
    <n v="434.40000000000009"/>
    <n v="1.1100000000000001"/>
    <n v="1.1312500000000003"/>
    <n v="2"/>
    <n v="2"/>
    <m/>
    <m/>
    <m/>
    <m/>
    <n v="115.1366334300577"/>
    <n v="332.75283205437529"/>
    <s v="Training"/>
  </r>
  <r>
    <d v="2020-02-26T00:00:00"/>
    <x v="0"/>
    <n v="4"/>
    <n v="2"/>
    <x v="8"/>
    <x v="0"/>
    <n v="228"/>
    <m/>
    <m/>
    <m/>
    <m/>
    <n v="213"/>
    <n v="0.93420000000000003"/>
    <n v="15"/>
    <d v="1899-12-30T00:00:26"/>
    <d v="1899-12-30T00:02:16"/>
    <d v="1899-12-30T00:03:07"/>
    <n v="0.63560000000000005"/>
    <n v="8.0466666666666669"/>
    <n v="482.8"/>
    <n v="8.6133333333333333"/>
    <n v="516.79999999999995"/>
    <n v="1.26"/>
    <n v="1.3458333333333332"/>
    <n v="2"/>
    <n v="2"/>
    <m/>
    <m/>
    <m/>
    <m/>
    <n v="130.11758257391759"/>
    <n v="351.25421292248791"/>
    <s v="Training"/>
  </r>
  <r>
    <d v="2020-02-27T00:00:00"/>
    <x v="1"/>
    <n v="5"/>
    <n v="2"/>
    <x v="8"/>
    <x v="0"/>
    <n v="165"/>
    <m/>
    <m/>
    <m/>
    <m/>
    <n v="163"/>
    <n v="0.9879"/>
    <n v="2"/>
    <d v="1899-12-30T00:00:09"/>
    <d v="1899-12-30T00:02:25"/>
    <d v="1899-12-30T00:02:20"/>
    <n v="0.90239999999999998"/>
    <n v="6.5652777777777782"/>
    <n v="393.91666666666669"/>
    <n v="6.645833333333333"/>
    <n v="398.75"/>
    <n v="1.03"/>
    <n v="1.0384114583333333"/>
    <n v="2"/>
    <n v="2"/>
    <m/>
    <m/>
    <m/>
    <m/>
    <n v="129.2006186274017"/>
    <n v="334.64467178314811"/>
    <s v="Training"/>
  </r>
  <r>
    <d v="2020-02-28T00:00:00"/>
    <x v="2"/>
    <n v="6"/>
    <n v="2"/>
    <x v="8"/>
    <x v="0"/>
    <n v="185"/>
    <m/>
    <m/>
    <m/>
    <m/>
    <n v="179"/>
    <n v="0.96760000000000002"/>
    <n v="6"/>
    <d v="1899-12-30T00:00:17"/>
    <d v="1899-12-30T00:02:17"/>
    <d v="1899-12-30T00:02:33"/>
    <n v="0.78569999999999995"/>
    <n v="6.8119444444444435"/>
    <n v="408.71666666666658"/>
    <n v="7.040277777777777"/>
    <n v="422.41666666666663"/>
    <n v="1.06"/>
    <n v="1.1000434027777777"/>
    <n v="2"/>
    <n v="2"/>
    <m/>
    <m/>
    <m/>
    <m/>
    <n v="108.9351530296871"/>
    <n v="332.94738368088599"/>
    <s v="Training"/>
  </r>
  <r>
    <d v="2020-02-29T00:00:00"/>
    <x v="3"/>
    <n v="7"/>
    <n v="2"/>
    <x v="8"/>
    <x v="0"/>
    <n v="172"/>
    <m/>
    <m/>
    <m/>
    <m/>
    <n v="164"/>
    <n v="0.95350000000000001"/>
    <n v="8"/>
    <d v="1899-12-30T00:00:18"/>
    <d v="1899-12-30T00:02:27"/>
    <d v="1899-12-30T00:04:09"/>
    <n v="0.77059999999999995"/>
    <n v="6.6966666666666663"/>
    <n v="401.79999999999995"/>
    <n v="7.0233333333333334"/>
    <n v="421.4"/>
    <n v="1.05"/>
    <n v="1.0973958333333333"/>
    <n v="2"/>
    <n v="2"/>
    <m/>
    <m/>
    <m/>
    <m/>
    <n v="115.7824951750985"/>
    <n v="328.96469376901558"/>
    <s v="Training"/>
  </r>
  <r>
    <d v="2020-03-01T00:00:00"/>
    <x v="4"/>
    <n v="1"/>
    <n v="3"/>
    <x v="9"/>
    <x v="0"/>
    <n v="216"/>
    <m/>
    <m/>
    <m/>
    <m/>
    <n v="51"/>
    <n v="0.89470000000000005"/>
    <n v="6"/>
    <d v="1899-12-30T00:00:07"/>
    <d v="1899-12-30T00:01:47"/>
    <d v="1899-12-30T00:03:40"/>
    <n v="0.90569999999999995"/>
    <n v="1.5158333333333336"/>
    <n v="90.950000000000017"/>
    <n v="6.42"/>
    <n v="385.2"/>
    <n v="1"/>
    <n v="1.003125"/>
    <n v="1"/>
    <n v="1"/>
    <m/>
    <m/>
    <m/>
    <m/>
    <n v="16.383112097543769"/>
    <n v="243.05957012504399"/>
    <s v="Training"/>
  </r>
  <r>
    <d v="2020-03-02T00:00:00"/>
    <x v="5"/>
    <n v="2"/>
    <n v="3"/>
    <x v="9"/>
    <x v="0"/>
    <n v="179"/>
    <m/>
    <m/>
    <m/>
    <m/>
    <n v="192"/>
    <n v="0.96"/>
    <n v="8"/>
    <d v="1899-12-30T00:00:10"/>
    <d v="1899-12-30T00:02:18"/>
    <d v="1899-12-30T00:02:49"/>
    <n v="0.86429999999999996"/>
    <n v="7.3600000000000012"/>
    <n v="441.60000000000008"/>
    <n v="6.8616666666666664"/>
    <n v="411.7"/>
    <n v="1.1499999999999999"/>
    <n v="1.0721354166666666"/>
    <n v="2"/>
    <n v="2"/>
    <m/>
    <m/>
    <m/>
    <m/>
    <n v="124.87540010451259"/>
    <n v="340.69168109721312"/>
    <s v="Training"/>
  </r>
  <r>
    <d v="2020-03-03T00:00:00"/>
    <x v="6"/>
    <n v="3"/>
    <n v="3"/>
    <x v="9"/>
    <x v="0"/>
    <n v="202"/>
    <m/>
    <m/>
    <m/>
    <m/>
    <n v="199"/>
    <n v="0.98509999999999998"/>
    <n v="3"/>
    <d v="1899-12-30T00:00:08"/>
    <d v="1899-12-30T00:02:05"/>
    <d v="1899-12-30T00:01:17"/>
    <n v="0.91"/>
    <n v="6.9097222222222214"/>
    <n v="414.58333333333326"/>
    <n v="7.0138888888888893"/>
    <n v="420.83333333333337"/>
    <n v="1.08"/>
    <n v="1.0959201388888891"/>
    <n v="2"/>
    <n v="2"/>
    <m/>
    <m/>
    <m/>
    <m/>
    <n v="102.8882541118862"/>
    <n v="315.85090033290282"/>
    <s v="Training"/>
  </r>
  <r>
    <d v="2020-03-04T00:00:00"/>
    <x v="0"/>
    <n v="4"/>
    <n v="3"/>
    <x v="9"/>
    <x v="0"/>
    <n v="194"/>
    <m/>
    <m/>
    <m/>
    <m/>
    <n v="212"/>
    <n v="0.97699999999999998"/>
    <n v="5"/>
    <d v="1899-12-30T00:00:07"/>
    <d v="1899-12-30T00:01:55"/>
    <d v="1899-12-30T00:01:50"/>
    <n v="0.94420000000000004"/>
    <n v="6.7722222222222221"/>
    <n v="406.33333333333331"/>
    <n v="6.197222222222222"/>
    <n v="371.83333333333331"/>
    <n v="1.06"/>
    <n v="1"/>
    <n v="2"/>
    <n v="2"/>
    <m/>
    <m/>
    <m/>
    <m/>
    <n v="101.44251486779601"/>
    <n v="332.54556176453849"/>
    <s v="Training"/>
  </r>
  <r>
    <d v="2020-03-05T00:00:00"/>
    <x v="1"/>
    <n v="5"/>
    <n v="3"/>
    <x v="9"/>
    <x v="0"/>
    <n v="50"/>
    <m/>
    <m/>
    <m/>
    <m/>
    <n v="223"/>
    <n v="0.99109999999999998"/>
    <n v="2"/>
    <d v="1899-12-30T00:00:09"/>
    <d v="1899-12-30T00:02:09"/>
    <d v="1899-12-30T00:01:06"/>
    <n v="0.91930000000000001"/>
    <n v="7.9908333333333346"/>
    <n v="479.45000000000005"/>
    <n v="1.7916666666666667"/>
    <n v="107.5"/>
    <n v="1.25"/>
    <n v="1"/>
    <n v="2"/>
    <n v="2"/>
    <m/>
    <m/>
    <m/>
    <m/>
    <n v="101.1599393071312"/>
    <n v="317.95137468901532"/>
    <s v="Training"/>
  </r>
  <r>
    <d v="2020-03-06T00:00:00"/>
    <x v="2"/>
    <n v="6"/>
    <n v="3"/>
    <x v="9"/>
    <x v="0"/>
    <n v="58"/>
    <m/>
    <m/>
    <m/>
    <m/>
    <n v="231"/>
    <n v="0.98299999999999998"/>
    <n v="4"/>
    <d v="1899-12-30T00:00:08"/>
    <d v="1899-12-30T00:02:19"/>
    <d v="1899-12-30T00:01:06"/>
    <n v="0.95709999999999995"/>
    <n v="8.9191666666666674"/>
    <n v="535.15000000000009"/>
    <n v="2.2394444444444446"/>
    <n v="134.36666666666667"/>
    <n v="1.39"/>
    <n v="1"/>
    <n v="2"/>
    <n v="2"/>
    <m/>
    <m/>
    <m/>
    <m/>
    <n v="79.794812865470533"/>
    <n v="306.32770653909938"/>
    <s v="Training"/>
  </r>
  <r>
    <d v="2020-03-07T00:00:00"/>
    <x v="3"/>
    <n v="7"/>
    <n v="3"/>
    <x v="9"/>
    <x v="0"/>
    <n v="483"/>
    <m/>
    <m/>
    <m/>
    <m/>
    <n v="201"/>
    <n v="0.995"/>
    <n v="1"/>
    <d v="1899-12-30T00:00:08"/>
    <d v="1899-12-30T00:02:21"/>
    <d v="1899-12-30T00:01:53"/>
    <n v="0.94550000000000001"/>
    <n v="7.8725000000000014"/>
    <n v="472.35000000000008"/>
    <n v="18.917500000000004"/>
    <n v="1135.0500000000002"/>
    <n v="1.23"/>
    <n v="2.9558593750000006"/>
    <n v="2"/>
    <n v="2"/>
    <m/>
    <m/>
    <m/>
    <m/>
    <n v="91.695171758728108"/>
    <n v="302.75183673937482"/>
    <s v="Training"/>
  </r>
  <r>
    <d v="2020-03-08T00:00:00"/>
    <x v="4"/>
    <n v="1"/>
    <n v="3"/>
    <x v="10"/>
    <x v="0"/>
    <n v="209"/>
    <m/>
    <m/>
    <m/>
    <m/>
    <n v="39"/>
    <n v="0.90700000000000003"/>
    <n v="4"/>
    <d v="1899-12-30T00:00:11"/>
    <d v="1899-12-30T00:02:15"/>
    <d v="1899-12-30T00:01:50"/>
    <n v="0.76190000000000002"/>
    <n v="1.4625000000000004"/>
    <n v="87.750000000000028"/>
    <n v="7.8375000000000012"/>
    <n v="470.25000000000006"/>
    <n v="1"/>
    <n v="1.2246093750000002"/>
    <n v="1"/>
    <n v="1"/>
    <m/>
    <m/>
    <m/>
    <m/>
    <n v="-0.24482553372344379"/>
    <n v="209.0733948768893"/>
    <s v="Training"/>
  </r>
  <r>
    <d v="2020-03-09T00:00:00"/>
    <x v="5"/>
    <n v="2"/>
    <n v="3"/>
    <x v="10"/>
    <x v="0"/>
    <n v="220"/>
    <m/>
    <m/>
    <m/>
    <m/>
    <n v="187"/>
    <n v="0.96389999999999998"/>
    <n v="7"/>
    <d v="1899-12-30T00:00:10"/>
    <d v="1899-12-30T00:02:27"/>
    <d v="1899-12-30T00:02:30"/>
    <n v="0.87429999999999997"/>
    <n v="7.6358333333333333"/>
    <n v="458.15"/>
    <n v="8.9833333333333325"/>
    <n v="539"/>
    <n v="1.19"/>
    <n v="1.4036458333333333"/>
    <n v="2"/>
    <n v="2"/>
    <m/>
    <m/>
    <m/>
    <m/>
    <n v="78.975505805398299"/>
    <n v="313.343959973182"/>
    <s v="Training"/>
  </r>
  <r>
    <d v="2020-03-10T00:00:00"/>
    <x v="6"/>
    <n v="3"/>
    <n v="3"/>
    <x v="10"/>
    <x v="0"/>
    <n v="168"/>
    <m/>
    <m/>
    <m/>
    <m/>
    <n v="199"/>
    <n v="0.98509999999999998"/>
    <n v="3"/>
    <d v="1899-12-30T00:00:13"/>
    <d v="1899-12-30T00:02:23"/>
    <d v="1899-12-30T00:01:58"/>
    <n v="0.86070000000000002"/>
    <n v="7.9047222222222224"/>
    <n v="474.28333333333336"/>
    <n v="6.6733333333333329"/>
    <n v="400.4"/>
    <n v="1.24"/>
    <n v="1.0427083333333333"/>
    <n v="2"/>
    <n v="2"/>
    <m/>
    <m/>
    <m/>
    <m/>
    <n v="62.370083785697027"/>
    <n v="288.79969025162018"/>
    <s v="Training"/>
  </r>
  <r>
    <d v="2020-03-11T00:00:00"/>
    <x v="0"/>
    <n v="4"/>
    <n v="3"/>
    <x v="10"/>
    <x v="0"/>
    <n v="197"/>
    <m/>
    <m/>
    <m/>
    <m/>
    <n v="140"/>
    <n v="0.95889999999999997"/>
    <n v="6"/>
    <d v="1899-12-30T00:00:12"/>
    <d v="1899-12-30T00:02:13"/>
    <d v="1899-12-30T00:04:35"/>
    <n v="0.83450000000000002"/>
    <n v="5.1722222222222225"/>
    <n v="310.33333333333337"/>
    <n v="7.2780555555555555"/>
    <n v="436.68333333333334"/>
    <n v="1"/>
    <n v="1.1371961805555555"/>
    <n v="2"/>
    <n v="1"/>
    <m/>
    <m/>
    <m/>
    <m/>
    <n v="67.883820343287724"/>
    <n v="285.29242283881553"/>
    <s v="Training"/>
  </r>
  <r>
    <d v="2020-03-12T00:00:00"/>
    <x v="1"/>
    <n v="5"/>
    <n v="3"/>
    <x v="10"/>
    <x v="0"/>
    <n v="239"/>
    <m/>
    <m/>
    <m/>
    <m/>
    <n v="145"/>
    <n v="0.98640000000000005"/>
    <n v="2"/>
    <d v="1899-12-30T00:00:09"/>
    <d v="1899-12-30T00:02:15"/>
    <d v="1899-12-30T00:00:58"/>
    <n v="0.91159999999999997"/>
    <n v="5.4375"/>
    <n v="326.25"/>
    <n v="8.9625000000000004"/>
    <n v="537.75"/>
    <n v="1"/>
    <n v="1.400390625"/>
    <n v="2"/>
    <n v="1"/>
    <m/>
    <m/>
    <m/>
    <m/>
    <n v="63.292901282481949"/>
    <n v="280.99287024166762"/>
    <s v="Training"/>
  </r>
  <r>
    <d v="2020-03-13T00:00:00"/>
    <x v="2"/>
    <n v="6"/>
    <n v="3"/>
    <x v="10"/>
    <x v="0"/>
    <n v="155"/>
    <m/>
    <m/>
    <m/>
    <m/>
    <n v="145"/>
    <n v="0.9355"/>
    <n v="10"/>
    <d v="1899-12-30T00:00:12"/>
    <d v="1899-12-30T00:02:33"/>
    <d v="1899-12-30T00:04:33"/>
    <n v="0.82240000000000002"/>
    <n v="6.1624999999999996"/>
    <n v="369.75"/>
    <n v="6.5875000000000004"/>
    <n v="395.25"/>
    <n v="1"/>
    <n v="1.029296875"/>
    <n v="2"/>
    <n v="1"/>
    <m/>
    <m/>
    <m/>
    <m/>
    <n v="51.181353769672249"/>
    <n v="276.14252767077932"/>
    <s v="Training"/>
  </r>
  <r>
    <d v="2020-03-14T00:00:00"/>
    <x v="3"/>
    <n v="7"/>
    <n v="3"/>
    <x v="10"/>
    <x v="0"/>
    <n v="157"/>
    <m/>
    <m/>
    <m/>
    <m/>
    <n v="156"/>
    <n v="0.99360000000000004"/>
    <n v="1"/>
    <d v="1899-12-30T00:00:09"/>
    <d v="1899-12-30T00:02:24"/>
    <d v="1899-12-30T00:00:53"/>
    <n v="0.92949999999999999"/>
    <n v="6.24"/>
    <n v="374.40000000000003"/>
    <n v="6.28"/>
    <n v="376.8"/>
    <n v="1"/>
    <n v="1"/>
    <n v="2"/>
    <n v="1"/>
    <m/>
    <m/>
    <m/>
    <m/>
    <n v="46.471762658904531"/>
    <n v="280.81019309581887"/>
    <s v="Training"/>
  </r>
  <r>
    <d v="2020-03-15T00:00:00"/>
    <x v="4"/>
    <n v="1"/>
    <n v="3"/>
    <x v="11"/>
    <x v="0"/>
    <n v="38"/>
    <m/>
    <m/>
    <m/>
    <m/>
    <n v="36"/>
    <n v="0.94740000000000002"/>
    <n v="2"/>
    <d v="1899-12-30T00:00:13"/>
    <d v="1899-12-30T00:02:11"/>
    <d v="1899-12-30T00:00:59"/>
    <n v="0.83779999999999999"/>
    <n v="1.31"/>
    <n v="78.600000000000009"/>
    <n v="1.3827777777777779"/>
    <n v="82.966666666666669"/>
    <n v="1"/>
    <n v="1"/>
    <n v="1"/>
    <n v="1"/>
    <m/>
    <m/>
    <m/>
    <m/>
    <n v="-40.256523320745103"/>
    <n v="177.89817954294671"/>
    <s v="Training"/>
  </r>
  <r>
    <d v="2020-03-16T00:00:00"/>
    <x v="5"/>
    <n v="2"/>
    <n v="3"/>
    <x v="11"/>
    <x v="0"/>
    <n v="166"/>
    <m/>
    <m/>
    <m/>
    <m/>
    <n v="162"/>
    <n v="0.97589999999999999"/>
    <n v="4"/>
    <d v="1899-12-30T00:00:09"/>
    <d v="1899-12-30T00:02:29"/>
    <d v="1899-12-30T00:02:45"/>
    <n v="0.89090000000000003"/>
    <n v="6.7050000000000001"/>
    <n v="402.3"/>
    <n v="6.8705555555555557"/>
    <n v="412.23333333333335"/>
    <n v="1.05"/>
    <n v="1.0735243055555557"/>
    <n v="2"/>
    <n v="2"/>
    <m/>
    <m/>
    <m/>
    <m/>
    <n v="48.782784973678908"/>
    <n v="276.52825162231437"/>
    <s v="Training"/>
  </r>
  <r>
    <d v="2020-03-17T00:00:00"/>
    <x v="6"/>
    <n v="3"/>
    <n v="3"/>
    <x v="11"/>
    <x v="0"/>
    <n v="226"/>
    <m/>
    <m/>
    <m/>
    <m/>
    <n v="216"/>
    <n v="0.95579999999999998"/>
    <n v="10"/>
    <d v="1899-12-30T00:00:13"/>
    <d v="1899-12-30T00:02:15"/>
    <d v="1899-12-30T00:01:46"/>
    <n v="0.8145"/>
    <n v="8.1000000000000014"/>
    <n v="486.00000000000011"/>
    <n v="8.4750000000000014"/>
    <n v="508.50000000000011"/>
    <n v="1.27"/>
    <n v="1.3242187500000002"/>
    <n v="2"/>
    <n v="2"/>
    <m/>
    <m/>
    <m/>
    <m/>
    <n v="36.132030114816111"/>
    <n v="250.5111547096611"/>
    <s v="Training"/>
  </r>
  <r>
    <d v="2020-03-18T00:00:00"/>
    <x v="0"/>
    <n v="4"/>
    <n v="3"/>
    <x v="11"/>
    <x v="0"/>
    <n v="253"/>
    <m/>
    <m/>
    <m/>
    <m/>
    <n v="247"/>
    <n v="0.97629999999999995"/>
    <n v="6"/>
    <d v="1899-12-30T00:00:10"/>
    <d v="1899-12-30T00:01:54"/>
    <d v="1899-12-30T00:01:17"/>
    <n v="0.88490000000000002"/>
    <n v="7.8216666666666663"/>
    <n v="469.29999999999995"/>
    <n v="8.0116666666666667"/>
    <n v="480.7"/>
    <n v="1.22"/>
    <n v="1.2518229166666666"/>
    <n v="2"/>
    <n v="2"/>
    <m/>
    <m/>
    <m/>
    <m/>
    <n v="44.633597954513128"/>
    <n v="270.52428853029431"/>
    <s v="Training"/>
  </r>
  <r>
    <d v="2020-03-19T00:00:00"/>
    <x v="1"/>
    <n v="5"/>
    <n v="3"/>
    <x v="11"/>
    <x v="0"/>
    <n v="134"/>
    <m/>
    <m/>
    <m/>
    <m/>
    <n v="134"/>
    <n v="1"/>
    <n v="0"/>
    <d v="1899-12-30T00:00:03"/>
    <d v="1899-12-30T00:02:13"/>
    <d v="1899-12-30T00:00:26"/>
    <n v="1"/>
    <n v="4.9505555555555558"/>
    <n v="297.03333333333336"/>
    <n v="4.9505555555555558"/>
    <n v="297.03333333333336"/>
    <n v="1"/>
    <n v="1"/>
    <n v="2"/>
    <n v="1"/>
    <m/>
    <m/>
    <m/>
    <m/>
    <n v="40.551666468564818"/>
    <n v="257.52733558229988"/>
    <s v="Training"/>
  </r>
  <r>
    <d v="2020-03-20T00:00:00"/>
    <x v="2"/>
    <n v="6"/>
    <n v="3"/>
    <x v="11"/>
    <x v="0"/>
    <n v="70"/>
    <m/>
    <m/>
    <m/>
    <m/>
    <n v="67"/>
    <n v="0.95709999999999995"/>
    <n v="3"/>
    <d v="1899-12-30T00:00:12"/>
    <d v="1899-12-30T00:02:01"/>
    <d v="1899-12-30T00:01:16"/>
    <n v="0.83819999999999995"/>
    <n v="2.2519444444444443"/>
    <n v="135.11666666666665"/>
    <n v="2.3527777777777779"/>
    <n v="141.16666666666669"/>
    <n v="1"/>
    <n v="1"/>
    <n v="2"/>
    <n v="1"/>
    <m/>
    <m/>
    <m/>
    <m/>
    <n v="23.645320758369142"/>
    <n v="248.17136991614899"/>
    <s v="Training"/>
  </r>
  <r>
    <d v="2020-03-21T00:00:00"/>
    <x v="3"/>
    <n v="7"/>
    <n v="3"/>
    <x v="11"/>
    <x v="0"/>
    <n v="83"/>
    <m/>
    <m/>
    <m/>
    <m/>
    <n v="82"/>
    <n v="0.98799999999999999"/>
    <n v="1"/>
    <d v="1899-12-30T00:00:07"/>
    <d v="1899-12-30T00:02:03"/>
    <d v="1899-12-30T00:01:16"/>
    <n v="0.95179999999999998"/>
    <n v="2.8016666666666667"/>
    <n v="168.1"/>
    <n v="2.8358333333333334"/>
    <n v="170.15"/>
    <n v="1"/>
    <n v="1"/>
    <n v="2"/>
    <n v="1"/>
    <m/>
    <m/>
    <m/>
    <m/>
    <n v="31.68679388447886"/>
    <n v="258.39963069495138"/>
    <s v="Training"/>
  </r>
  <r>
    <d v="2020-03-22T00:00:00"/>
    <x v="4"/>
    <n v="1"/>
    <n v="3"/>
    <x v="12"/>
    <x v="0"/>
    <n v="42"/>
    <m/>
    <m/>
    <m/>
    <m/>
    <n v="40"/>
    <n v="0.95240000000000002"/>
    <n v="2"/>
    <d v="1899-12-30T00:00:08"/>
    <d v="1899-12-30T00:01:51"/>
    <d v="1899-12-30T00:01:36"/>
    <n v="0.90239999999999998"/>
    <n v="1.2333333333333334"/>
    <n v="74"/>
    <n v="1.2949999999999999"/>
    <n v="77.699999999999989"/>
    <n v="1"/>
    <n v="1"/>
    <n v="1"/>
    <n v="1"/>
    <m/>
    <m/>
    <m/>
    <m/>
    <n v="-54.585259088467822"/>
    <n v="160.01191536076001"/>
    <s v="Training"/>
  </r>
  <r>
    <d v="2020-03-23T00:00:00"/>
    <x v="5"/>
    <n v="2"/>
    <n v="3"/>
    <x v="12"/>
    <x v="0"/>
    <n v="66"/>
    <m/>
    <m/>
    <m/>
    <m/>
    <n v="64"/>
    <n v="0.96970000000000001"/>
    <n v="2"/>
    <d v="1899-12-30T00:00:05"/>
    <d v="1899-12-30T00:02:00"/>
    <d v="1899-12-30T00:01:39"/>
    <n v="0.95450000000000002"/>
    <n v="2.1333333333333333"/>
    <n v="128"/>
    <n v="2.2000000000000002"/>
    <n v="132"/>
    <n v="1"/>
    <n v="1"/>
    <n v="2"/>
    <n v="1"/>
    <m/>
    <m/>
    <m/>
    <m/>
    <n v="41.454171682016053"/>
    <n v="262.19962316338831"/>
    <s v="Training"/>
  </r>
  <r>
    <d v="2020-03-24T00:00:00"/>
    <x v="6"/>
    <n v="3"/>
    <n v="3"/>
    <x v="12"/>
    <x v="0"/>
    <n v="153"/>
    <m/>
    <m/>
    <m/>
    <m/>
    <n v="146"/>
    <n v="0.95420000000000005"/>
    <n v="7"/>
    <d v="1899-12-30T00:00:20"/>
    <d v="1899-12-30T00:02:08"/>
    <d v="1899-12-30T00:04:32"/>
    <n v="0.76"/>
    <n v="5.1911111111111108"/>
    <n v="311.46666666666664"/>
    <n v="5.44"/>
    <n v="326.40000000000003"/>
    <n v="1"/>
    <n v="1"/>
    <n v="2"/>
    <n v="1"/>
    <m/>
    <m/>
    <m/>
    <m/>
    <n v="26.473132869332531"/>
    <n v="249.03656146981339"/>
    <s v="Training"/>
  </r>
  <r>
    <d v="2020-03-25T00:00:00"/>
    <x v="0"/>
    <n v="4"/>
    <n v="3"/>
    <x v="12"/>
    <x v="0"/>
    <n v="141"/>
    <m/>
    <m/>
    <m/>
    <m/>
    <n v="135"/>
    <n v="0.95740000000000003"/>
    <n v="6"/>
    <d v="1899-12-30T00:00:23"/>
    <d v="1899-12-30T00:02:06"/>
    <d v="1899-12-30T00:02:15"/>
    <n v="0.66910000000000003"/>
    <n v="4.7250000000000014"/>
    <n v="283.50000000000011"/>
    <n v="4.9349999999999996"/>
    <n v="296.09999999999997"/>
    <n v="1"/>
    <n v="1"/>
    <n v="2"/>
    <n v="1"/>
    <m/>
    <m/>
    <m/>
    <m/>
    <n v="30.351829329750291"/>
    <n v="254.01851103377601"/>
    <s v="Training"/>
  </r>
  <r>
    <d v="2020-03-26T00:00:00"/>
    <x v="1"/>
    <n v="5"/>
    <n v="3"/>
    <x v="12"/>
    <x v="0"/>
    <n v="146"/>
    <m/>
    <m/>
    <m/>
    <m/>
    <n v="143"/>
    <n v="0.97950000000000004"/>
    <n v="3"/>
    <d v="1899-12-30T00:00:17"/>
    <d v="1899-12-30T00:01:57"/>
    <d v="1899-12-30T00:02:27"/>
    <n v="0.78320000000000001"/>
    <n v="4.6475"/>
    <n v="278.85000000000002"/>
    <n v="4.7450000000000001"/>
    <n v="284.7"/>
    <n v="1"/>
    <n v="1"/>
    <n v="2"/>
    <n v="1"/>
    <m/>
    <m/>
    <m/>
    <m/>
    <n v="34.466542228294159"/>
    <n v="253.20113002297111"/>
    <s v="Training"/>
  </r>
  <r>
    <d v="2020-03-27T00:00:00"/>
    <x v="2"/>
    <n v="6"/>
    <n v="3"/>
    <x v="12"/>
    <x v="0"/>
    <n v="144"/>
    <m/>
    <m/>
    <m/>
    <m/>
    <n v="140"/>
    <n v="0.97219999999999995"/>
    <n v="4"/>
    <d v="1899-12-30T00:00:12"/>
    <d v="1899-12-30T00:01:53"/>
    <d v="1899-12-30T00:02:05"/>
    <n v="0.84030000000000005"/>
    <n v="4.3944444444444448"/>
    <n v="263.66666666666669"/>
    <n v="4.5199999999999996"/>
    <n v="271.2"/>
    <n v="1"/>
    <n v="1"/>
    <n v="2"/>
    <n v="1"/>
    <m/>
    <m/>
    <m/>
    <m/>
    <n v="26.827689476890988"/>
    <n v="248.12793654647649"/>
    <s v="Training"/>
  </r>
  <r>
    <d v="2020-03-28T00:00:00"/>
    <x v="3"/>
    <n v="7"/>
    <n v="3"/>
    <x v="12"/>
    <x v="0"/>
    <n v="105"/>
    <m/>
    <m/>
    <m/>
    <m/>
    <n v="103"/>
    <n v="0.98099999999999998"/>
    <n v="2"/>
    <d v="1899-12-30T00:00:17"/>
    <d v="1899-12-30T00:01:55"/>
    <d v="1899-12-30T00:02:01"/>
    <n v="0.76190000000000002"/>
    <n v="3.2902777777777779"/>
    <n v="197.41666666666669"/>
    <n v="3.3541666666666665"/>
    <n v="201.25"/>
    <n v="1"/>
    <n v="1"/>
    <n v="2"/>
    <n v="1"/>
    <m/>
    <m/>
    <m/>
    <m/>
    <n v="38.683860122140572"/>
    <n v="261.78466635169622"/>
    <s v="Training"/>
  </r>
  <r>
    <d v="2020-03-29T00:00:00"/>
    <x v="4"/>
    <n v="1"/>
    <n v="3"/>
    <x v="13"/>
    <x v="0"/>
    <n v="36"/>
    <m/>
    <m/>
    <m/>
    <m/>
    <n v="35"/>
    <n v="0.97219999999999995"/>
    <n v="1"/>
    <d v="1899-12-30T00:00:16"/>
    <d v="1899-12-30T00:01:54"/>
    <d v="1899-12-30T00:01:31"/>
    <n v="0.77139999999999997"/>
    <n v="1.1083333333333334"/>
    <n v="66.5"/>
    <n v="1.1399999999999999"/>
    <n v="68.399999999999991"/>
    <n v="1"/>
    <n v="1"/>
    <n v="1"/>
    <n v="1"/>
    <m/>
    <m/>
    <m/>
    <m/>
    <n v="-47.726484062647692"/>
    <n v="175.20673971458541"/>
    <s v="Training"/>
  </r>
  <r>
    <d v="2020-03-30T00:00:00"/>
    <x v="5"/>
    <n v="2"/>
    <n v="3"/>
    <x v="13"/>
    <x v="0"/>
    <n v="61"/>
    <m/>
    <m/>
    <m/>
    <m/>
    <n v="57"/>
    <n v="0.93440000000000001"/>
    <n v="4"/>
    <d v="1899-12-30T00:00:04"/>
    <d v="1899-12-30T00:02:00"/>
    <d v="1899-12-30T00:03:41"/>
    <n v="0.91669999999999996"/>
    <n v="1.9"/>
    <n v="114"/>
    <n v="2.0333333333333332"/>
    <n v="122"/>
    <n v="1"/>
    <n v="1"/>
    <n v="2"/>
    <n v="1"/>
    <m/>
    <m/>
    <m/>
    <m/>
    <n v="47.580465172800373"/>
    <n v="265.58385153093059"/>
    <s v="Training"/>
  </r>
  <r>
    <d v="2020-03-31T00:00:00"/>
    <x v="6"/>
    <n v="3"/>
    <n v="3"/>
    <x v="13"/>
    <x v="0"/>
    <n v="60"/>
    <m/>
    <m/>
    <m/>
    <m/>
    <n v="58"/>
    <n v="0.9667"/>
    <n v="2"/>
    <d v="1899-12-30T00:00:11"/>
    <d v="1899-12-30T00:02:08"/>
    <d v="1899-12-30T00:01:34"/>
    <n v="0.85"/>
    <n v="2.0622222222222222"/>
    <n v="123.73333333333333"/>
    <n v="2.1333333333333329"/>
    <n v="127.99999999999997"/>
    <n v="1"/>
    <n v="1"/>
    <n v="2"/>
    <n v="1"/>
    <m/>
    <m/>
    <m/>
    <m/>
    <n v="42.777410482833417"/>
    <n v="265.30391066029802"/>
    <s v="Training"/>
  </r>
  <r>
    <d v="2020-04-01T00:00:00"/>
    <x v="0"/>
    <n v="4"/>
    <n v="4"/>
    <x v="13"/>
    <x v="0"/>
    <n v="155"/>
    <m/>
    <m/>
    <m/>
    <m/>
    <n v="17"/>
    <n v="0.94440000000000002"/>
    <n v="1"/>
    <d v="1899-12-30T00:00:05"/>
    <d v="1899-12-30T00:02:39"/>
    <d v="1899-12-30T00:00:20"/>
    <n v="1"/>
    <n v="0.75083333333333335"/>
    <n v="45.050000000000004"/>
    <n v="6.8458333333333332"/>
    <n v="410.75"/>
    <n v="1"/>
    <n v="1.0696614583333333"/>
    <n v="2"/>
    <n v="1"/>
    <m/>
    <m/>
    <m/>
    <m/>
    <n v="56.055014622164002"/>
    <n v="273.28720827484818"/>
    <s v="Training"/>
  </r>
  <r>
    <d v="2020-04-02T00:00:00"/>
    <x v="1"/>
    <n v="5"/>
    <n v="4"/>
    <x v="13"/>
    <x v="0"/>
    <n v="194"/>
    <m/>
    <m/>
    <m/>
    <m/>
    <n v="202"/>
    <n v="0.98060000000000003"/>
    <n v="4"/>
    <d v="1899-12-30T00:00:09"/>
    <d v="1899-12-30T00:01:54"/>
    <d v="1899-12-30T00:01:10"/>
    <n v="0.89270000000000005"/>
    <n v="6.3966666666666674"/>
    <n v="383.80000000000007"/>
    <n v="6.1433333333333335"/>
    <n v="368.6"/>
    <n v="1"/>
    <n v="1"/>
    <n v="2"/>
    <n v="1"/>
    <m/>
    <m/>
    <m/>
    <m/>
    <n v="59.710382311540087"/>
    <n v="263.07983644118019"/>
    <s v="Training"/>
  </r>
  <r>
    <d v="2020-04-03T00:00:00"/>
    <x v="2"/>
    <n v="6"/>
    <n v="4"/>
    <x v="13"/>
    <x v="0"/>
    <n v="217"/>
    <m/>
    <m/>
    <m/>
    <m/>
    <n v="193"/>
    <n v="0.99480000000000002"/>
    <n v="1"/>
    <d v="1899-12-30T00:00:11"/>
    <d v="1899-12-30T00:01:57"/>
    <d v="1899-12-30T00:01:34"/>
    <n v="0.84970000000000001"/>
    <n v="6.2725"/>
    <n v="376.35"/>
    <n v="7.0525000000000011"/>
    <n v="423.15000000000009"/>
    <n v="1"/>
    <n v="1.1019531250000003"/>
    <n v="2"/>
    <n v="1"/>
    <m/>
    <m/>
    <m/>
    <m/>
    <n v="42.34634953216549"/>
    <n v="267.44641363572248"/>
    <s v="Training"/>
  </r>
  <r>
    <d v="2020-04-04T00:00:00"/>
    <x v="3"/>
    <n v="7"/>
    <n v="4"/>
    <x v="13"/>
    <x v="0"/>
    <n v="206"/>
    <m/>
    <m/>
    <m/>
    <m/>
    <n v="200"/>
    <n v="0.97089999999999999"/>
    <n v="6"/>
    <d v="1899-12-30T00:00:10"/>
    <d v="1899-12-30T00:02:08"/>
    <d v="1899-12-30T00:02:00"/>
    <n v="0.86270000000000002"/>
    <n v="7.1111111111111107"/>
    <n v="426.66666666666663"/>
    <n v="7.3244444444444445"/>
    <n v="439.4666666666667"/>
    <n v="1.1100000000000001"/>
    <n v="1.1444444444444446"/>
    <n v="2"/>
    <n v="2"/>
    <m/>
    <m/>
    <m/>
    <m/>
    <n v="54.134247063795748"/>
    <n v="273.92517575978741"/>
    <s v="Training"/>
  </r>
  <r>
    <d v="2020-04-05T00:00:00"/>
    <x v="4"/>
    <n v="1"/>
    <n v="4"/>
    <x v="14"/>
    <x v="0"/>
    <n v="290"/>
    <m/>
    <m/>
    <m/>
    <m/>
    <n v="53"/>
    <n v="1"/>
    <n v="0"/>
    <d v="1899-12-30T00:00:18"/>
    <d v="1899-12-30T00:02:08"/>
    <d v="1899-12-30T00:02:10"/>
    <n v="0.77359999999999995"/>
    <n v="1.8844444444444444"/>
    <n v="113.06666666666666"/>
    <n v="10.311111111111108"/>
    <n v="618.66666666666652"/>
    <n v="1"/>
    <n v="1.6111111111111107"/>
    <n v="1"/>
    <n v="1"/>
    <m/>
    <m/>
    <m/>
    <m/>
    <n v="-32.727788457734277"/>
    <n v="191.34796147245751"/>
    <s v="Training"/>
  </r>
  <r>
    <d v="2020-04-06T00:00:00"/>
    <x v="5"/>
    <n v="2"/>
    <n v="4"/>
    <x v="14"/>
    <x v="0"/>
    <n v="75"/>
    <m/>
    <m/>
    <m/>
    <m/>
    <n v="145"/>
    <n v="0.98640000000000005"/>
    <n v="2"/>
    <d v="1899-12-30T00:00:09"/>
    <d v="1899-12-30T00:01:50"/>
    <d v="1899-12-30T00:01:24"/>
    <n v="0.88360000000000005"/>
    <n v="4.4305555555555562"/>
    <n v="265.83333333333337"/>
    <n v="2.2916666666666665"/>
    <n v="137.5"/>
    <n v="1"/>
    <n v="1"/>
    <n v="2"/>
    <n v="1"/>
    <m/>
    <m/>
    <m/>
    <m/>
    <n v="72.928963784057586"/>
    <n v="294.65349160322899"/>
    <s v="Training"/>
  </r>
  <r>
    <d v="2020-04-08T00:00:00"/>
    <x v="6"/>
    <n v="4"/>
    <n v="4"/>
    <x v="14"/>
    <x v="0"/>
    <n v="239"/>
    <m/>
    <m/>
    <m/>
    <m/>
    <n v="197"/>
    <n v="0.98009999999999997"/>
    <n v="4"/>
    <d v="1899-12-30T00:00:09"/>
    <d v="1899-12-30T00:01:59"/>
    <d v="1899-12-30T00:02:23"/>
    <n v="0.90949999999999998"/>
    <n v="6.5119444444444436"/>
    <n v="390.71666666666664"/>
    <n v="7.9002777777777764"/>
    <n v="474.01666666666659"/>
    <n v="1.02"/>
    <n v="1.2344184027777776"/>
    <n v="2"/>
    <n v="2"/>
    <m/>
    <m/>
    <m/>
    <m/>
    <n v="73.345356969677212"/>
    <n v="298.11601634019149"/>
    <s v="Training"/>
  </r>
  <r>
    <d v="2020-04-09T00:00:00"/>
    <x v="0"/>
    <n v="5"/>
    <n v="4"/>
    <x v="14"/>
    <x v="0"/>
    <n v="206"/>
    <m/>
    <m/>
    <m/>
    <m/>
    <n v="198"/>
    <n v="0.98019999999999996"/>
    <n v="4"/>
    <d v="1899-12-30T00:00:10"/>
    <d v="1899-12-30T00:02:09"/>
    <d v="1899-12-30T00:01:11"/>
    <n v="0.88500000000000001"/>
    <n v="7.0950000000000006"/>
    <n v="425.70000000000005"/>
    <n v="7.3816666666666668"/>
    <n v="442.90000000000003"/>
    <n v="1.1100000000000001"/>
    <n v="1.1533854166666668"/>
    <n v="2"/>
    <n v="2"/>
    <m/>
    <m/>
    <m/>
    <m/>
    <n v="66.381337178902712"/>
    <n v="292.65477904623219"/>
    <s v="Training"/>
  </r>
  <r>
    <d v="2020-04-10T00:00:00"/>
    <x v="1"/>
    <n v="6"/>
    <n v="4"/>
    <x v="14"/>
    <x v="0"/>
    <n v="39"/>
    <m/>
    <m/>
    <m/>
    <m/>
    <n v="219"/>
    <n v="0.96899999999999997"/>
    <n v="7"/>
    <d v="1899-12-30T00:00:10"/>
    <d v="1899-12-30T00:02:12"/>
    <d v="1899-12-30T00:02:45"/>
    <n v="0.88"/>
    <n v="8.0299999999999994"/>
    <n v="481.79999999999995"/>
    <n v="1.43"/>
    <n v="85.8"/>
    <n v="1.25"/>
    <n v="1"/>
    <n v="2"/>
    <n v="2"/>
    <m/>
    <m/>
    <m/>
    <m/>
    <n v="53.616916377405722"/>
    <n v="283.8290498015873"/>
    <s v="Training"/>
  </r>
  <r>
    <d v="2020-04-11T00:00:00"/>
    <x v="2"/>
    <n v="7"/>
    <n v="4"/>
    <x v="14"/>
    <x v="0"/>
    <n v="223"/>
    <m/>
    <m/>
    <m/>
    <m/>
    <n v="163"/>
    <n v="0.97599999999999998"/>
    <n v="4"/>
    <d v="1899-12-30T00:00:07"/>
    <d v="1899-12-30T00:02:09"/>
    <d v="1899-12-30T00:01:50"/>
    <n v="0.92769999999999997"/>
    <n v="5.8408333333333333"/>
    <n v="350.45"/>
    <n v="7.9908333333333346"/>
    <n v="479.45000000000005"/>
    <n v="1"/>
    <n v="1.2485677083333335"/>
    <n v="2"/>
    <n v="1"/>
    <m/>
    <m/>
    <m/>
    <m/>
    <n v="72.122222073605599"/>
    <n v="284.952159761573"/>
    <s v="Training"/>
  </r>
  <r>
    <d v="2020-04-12T00:00:00"/>
    <x v="3"/>
    <n v="1"/>
    <n v="4"/>
    <x v="15"/>
    <x v="0"/>
    <n v="241"/>
    <m/>
    <m/>
    <m/>
    <m/>
    <n v="164"/>
    <n v="1"/>
    <n v="0"/>
    <d v="1899-12-30T00:00:11"/>
    <d v="1899-12-30T00:02:17"/>
    <d v="1899-12-30T00:01:45"/>
    <n v="0.89019999999999999"/>
    <n v="6.2411111111111115"/>
    <n v="374.4666666666667"/>
    <n v="9.1713888888888881"/>
    <n v="550.2833333333333"/>
    <n v="1"/>
    <n v="1.4330295138888889"/>
    <n v="2"/>
    <n v="1"/>
    <m/>
    <m/>
    <m/>
    <m/>
    <n v="-14.71760458864083"/>
    <n v="205.12761293738379"/>
    <s v="Training"/>
  </r>
  <r>
    <d v="2020-04-13T00:00:00"/>
    <x v="4"/>
    <n v="2"/>
    <n v="4"/>
    <x v="15"/>
    <x v="0"/>
    <n v="79"/>
    <m/>
    <m/>
    <m/>
    <m/>
    <n v="41"/>
    <n v="0.97619999999999996"/>
    <n v="1"/>
    <d v="1899-12-30T00:00:11"/>
    <d v="1899-12-30T00:02:09"/>
    <d v="1899-12-30T00:01:18"/>
    <n v="0.878"/>
    <n v="1.4691666666666667"/>
    <n v="88.15"/>
    <n v="2.8308333333333335"/>
    <n v="169.85000000000002"/>
    <n v="1"/>
    <n v="1"/>
    <n v="1"/>
    <n v="1"/>
    <m/>
    <m/>
    <m/>
    <m/>
    <n v="80.410573277877845"/>
    <n v="303.06124548902318"/>
    <s v="Training"/>
  </r>
  <r>
    <d v="2020-04-14T00:00:00"/>
    <x v="5"/>
    <n v="3"/>
    <n v="4"/>
    <x v="15"/>
    <x v="0"/>
    <n v="165"/>
    <m/>
    <m/>
    <m/>
    <m/>
    <n v="78"/>
    <n v="0.98729999999999996"/>
    <n v="1"/>
    <d v="1899-12-30T00:00:07"/>
    <d v="1899-12-30T00:02:23"/>
    <d v="1899-12-30T00:00:48"/>
    <n v="0.94869999999999999"/>
    <n v="3.0983333333333332"/>
    <n v="185.89999999999998"/>
    <n v="6.5541666666666663"/>
    <n v="393.25"/>
    <n v="1"/>
    <n v="1.0240885416666667"/>
    <n v="2"/>
    <n v="1"/>
    <m/>
    <m/>
    <m/>
    <m/>
    <n v="68.246953957740956"/>
    <n v="291.87746910948908"/>
    <s v="Training"/>
  </r>
  <r>
    <d v="2020-04-15T00:00:00"/>
    <x v="6"/>
    <n v="4"/>
    <n v="4"/>
    <x v="15"/>
    <x v="0"/>
    <n v="180"/>
    <m/>
    <m/>
    <m/>
    <m/>
    <n v="162"/>
    <n v="0.98180000000000001"/>
    <n v="3"/>
    <d v="1899-12-30T00:00:09"/>
    <d v="1899-12-30T00:02:09"/>
    <d v="1899-12-30T00:01:50"/>
    <n v="0.89700000000000002"/>
    <n v="5.8049999999999997"/>
    <n v="348.29999999999995"/>
    <n v="6.45"/>
    <n v="387"/>
    <n v="1"/>
    <n v="1.0078125"/>
    <n v="2"/>
    <n v="1"/>
    <m/>
    <m/>
    <m/>
    <m/>
    <n v="73.877820964409182"/>
    <n v="298.52005893576808"/>
    <s v="Training"/>
  </r>
  <r>
    <d v="2020-04-16T00:00:00"/>
    <x v="0"/>
    <n v="5"/>
    <n v="4"/>
    <x v="15"/>
    <x v="0"/>
    <n v="179"/>
    <m/>
    <m/>
    <m/>
    <m/>
    <n v="174"/>
    <n v="0.9667"/>
    <n v="6"/>
    <d v="1899-12-30T00:00:16"/>
    <d v="1899-12-30T00:02:16"/>
    <d v="1899-12-30T00:01:43"/>
    <n v="0.77780000000000005"/>
    <n v="6.5733333333333333"/>
    <n v="394.4"/>
    <n v="6.7622222222222224"/>
    <n v="405.73333333333335"/>
    <n v="1.03"/>
    <n v="1.0565972222222222"/>
    <n v="2"/>
    <n v="2"/>
    <m/>
    <m/>
    <m/>
    <m/>
    <n v="84.493269440824605"/>
    <n v="284.95867543350062"/>
    <s v="Training"/>
  </r>
  <r>
    <d v="2020-04-17T00:00:00"/>
    <x v="1"/>
    <n v="6"/>
    <n v="4"/>
    <x v="15"/>
    <x v="0"/>
    <n v="217"/>
    <m/>
    <m/>
    <m/>
    <m/>
    <n v="176"/>
    <n v="0.98319999999999996"/>
    <n v="3"/>
    <d v="1899-12-30T00:00:10"/>
    <d v="1899-12-30T00:02:26"/>
    <d v="1899-12-30T00:01:50"/>
    <n v="0.87639999999999996"/>
    <n v="7.137777777777778"/>
    <n v="428.26666666666665"/>
    <n v="8.8005555555555564"/>
    <n v="528.03333333333342"/>
    <n v="1.1200000000000001"/>
    <n v="1.3750868055555558"/>
    <n v="2"/>
    <n v="2"/>
    <m/>
    <m/>
    <m/>
    <m/>
    <n v="71.373332813792473"/>
    <n v="296.08448642197152"/>
    <s v="Training"/>
  </r>
  <r>
    <d v="2020-04-18T00:00:00"/>
    <x v="2"/>
    <n v="7"/>
    <n v="4"/>
    <x v="15"/>
    <x v="0"/>
    <n v="171"/>
    <m/>
    <m/>
    <m/>
    <m/>
    <n v="215"/>
    <n v="0.99080000000000001"/>
    <n v="2"/>
    <d v="1899-12-30T00:00:08"/>
    <d v="1899-12-30T00:02:08"/>
    <d v="1899-12-30T00:02:07"/>
    <n v="0.91710000000000003"/>
    <n v="7.644444444444443"/>
    <n v="458.66666666666657"/>
    <n v="6.0799999999999992"/>
    <n v="364.79999999999995"/>
    <n v="1.19"/>
    <n v="1"/>
    <n v="2"/>
    <n v="2"/>
    <m/>
    <m/>
    <m/>
    <m/>
    <n v="77.676434211581665"/>
    <n v="294.03198884275469"/>
    <s v="Training"/>
  </r>
  <r>
    <d v="2020-04-19T00:00:00"/>
    <x v="3"/>
    <n v="1"/>
    <n v="4"/>
    <x v="16"/>
    <x v="0"/>
    <n v="37"/>
    <m/>
    <m/>
    <m/>
    <m/>
    <n v="167"/>
    <n v="0.97660000000000002"/>
    <n v="4"/>
    <d v="1899-12-30T00:00:10"/>
    <d v="1899-12-30T00:02:15"/>
    <d v="1899-12-30T00:01:50"/>
    <n v="0.86470000000000002"/>
    <n v="6.2625000000000002"/>
    <n v="375.75"/>
    <n v="1.3875"/>
    <n v="83.25"/>
    <n v="1"/>
    <n v="1"/>
    <n v="2"/>
    <n v="1"/>
    <m/>
    <m/>
    <m/>
    <m/>
    <n v="-9.4763753650390399"/>
    <n v="204.81348286507219"/>
    <s v="Training"/>
  </r>
  <r>
    <d v="2020-04-20T00:00:00"/>
    <x v="4"/>
    <n v="2"/>
    <n v="4"/>
    <x v="16"/>
    <x v="0"/>
    <n v="215"/>
    <m/>
    <m/>
    <m/>
    <m/>
    <n v="37"/>
    <n v="1"/>
    <n v="0"/>
    <d v="1899-12-30T00:00:09"/>
    <d v="1899-12-30T00:01:57"/>
    <d v="1899-12-30T00:01:22"/>
    <n v="0.8649"/>
    <n v="1.2024999999999999"/>
    <n v="72.149999999999991"/>
    <n v="6.9874999999999998"/>
    <n v="419.25"/>
    <n v="1"/>
    <n v="1.091796875"/>
    <n v="1"/>
    <n v="1"/>
    <m/>
    <m/>
    <m/>
    <m/>
    <n v="84.049379494259924"/>
    <n v="300.42668273053681"/>
    <s v="Training"/>
  </r>
  <r>
    <d v="2020-04-21T00:00:00"/>
    <x v="5"/>
    <n v="3"/>
    <n v="4"/>
    <x v="16"/>
    <x v="0"/>
    <n v="218"/>
    <m/>
    <m/>
    <m/>
    <m/>
    <n v="206"/>
    <n v="0.95809999999999995"/>
    <n v="9"/>
    <d v="1899-12-30T00:00:18"/>
    <d v="1899-12-30T00:02:09"/>
    <d v="1899-12-30T00:02:45"/>
    <n v="0.8095"/>
    <n v="7.3816666666666668"/>
    <n v="442.90000000000003"/>
    <n v="7.8116666666666674"/>
    <n v="468.70000000000005"/>
    <n v="1.1499999999999999"/>
    <n v="1.2205729166666668"/>
    <n v="2"/>
    <n v="2"/>
    <m/>
    <m/>
    <m/>
    <m/>
    <n v="70.805513073933028"/>
    <n v="289.92598778613842"/>
    <s v="Training"/>
  </r>
  <r>
    <d v="2020-04-22T00:00:00"/>
    <x v="6"/>
    <n v="4"/>
    <n v="4"/>
    <x v="16"/>
    <x v="0"/>
    <n v="205"/>
    <m/>
    <m/>
    <m/>
    <m/>
    <n v="212"/>
    <n v="0.97250000000000003"/>
    <n v="6"/>
    <d v="1899-12-30T00:00:16"/>
    <d v="1899-12-30T00:02:17"/>
    <d v="1899-12-30T00:02:09"/>
    <n v="0.84260000000000002"/>
    <n v="8.0677777777777777"/>
    <n v="484.06666666666666"/>
    <n v="7.8013888888888889"/>
    <n v="468.08333333333331"/>
    <n v="1.26"/>
    <n v="1.2189670138888888"/>
    <n v="2"/>
    <n v="2"/>
    <m/>
    <m/>
    <m/>
    <m/>
    <n v="89.649197692459026"/>
    <n v="303.64273925738343"/>
    <s v="Training"/>
  </r>
  <r>
    <d v="2020-04-23T00:00:00"/>
    <x v="0"/>
    <n v="5"/>
    <n v="4"/>
    <x v="16"/>
    <x v="0"/>
    <n v="195"/>
    <m/>
    <m/>
    <m/>
    <m/>
    <n v="202"/>
    <n v="0.98540000000000005"/>
    <n v="3"/>
    <d v="1899-12-30T00:00:11"/>
    <d v="1899-12-30T00:02:25"/>
    <d v="1899-12-30T00:01:37"/>
    <n v="0.90690000000000004"/>
    <n v="8.1361111111111111"/>
    <n v="488.16666666666669"/>
    <n v="7.8541666666666679"/>
    <n v="471.25000000000006"/>
    <n v="1.27"/>
    <n v="1.2272135416666667"/>
    <n v="2"/>
    <n v="2"/>
    <m/>
    <m/>
    <m/>
    <m/>
    <n v="80.85069821903538"/>
    <n v="298.99085540634297"/>
    <s v="Training"/>
  </r>
  <r>
    <d v="2020-04-24T00:00:00"/>
    <x v="1"/>
    <n v="6"/>
    <n v="4"/>
    <x v="16"/>
    <x v="0"/>
    <n v="181"/>
    <m/>
    <m/>
    <m/>
    <m/>
    <n v="190"/>
    <n v="0.97440000000000004"/>
    <n v="5"/>
    <d v="1899-12-30T00:00:12"/>
    <d v="1899-12-30T00:02:22"/>
    <d v="1899-12-30T00:01:14"/>
    <n v="0.8901"/>
    <n v="7.4944444444444445"/>
    <n v="449.66666666666669"/>
    <n v="7.139444444444444"/>
    <n v="428.36666666666662"/>
    <n v="1.17"/>
    <n v="1.1155381944444442"/>
    <n v="2"/>
    <n v="2"/>
    <m/>
    <m/>
    <m/>
    <m/>
    <n v="85.298350275172538"/>
    <n v="296.26409784706789"/>
    <s v="Training"/>
  </r>
  <r>
    <d v="2020-04-25T00:00:00"/>
    <x v="2"/>
    <n v="7"/>
    <n v="4"/>
    <x v="16"/>
    <x v="0"/>
    <n v="212"/>
    <m/>
    <m/>
    <m/>
    <m/>
    <n v="176"/>
    <n v="0.97240000000000004"/>
    <n v="5"/>
    <d v="1899-12-30T00:00:13"/>
    <d v="1899-12-30T00:02:13"/>
    <d v="1899-12-30T00:01:16"/>
    <n v="0.82220000000000004"/>
    <n v="6.5022222222222208"/>
    <n v="390.13333333333327"/>
    <n v="7.8322222222222226"/>
    <n v="469.93333333333334"/>
    <n v="1.02"/>
    <n v="1.2237847222222222"/>
    <n v="2"/>
    <n v="2"/>
    <m/>
    <m/>
    <m/>
    <m/>
    <n v="74.382501854164161"/>
    <n v="301.7866191165204"/>
    <s v="Training"/>
  </r>
  <r>
    <d v="2020-04-26T00:00:00"/>
    <x v="3"/>
    <n v="1"/>
    <n v="4"/>
    <x v="17"/>
    <x v="0"/>
    <n v="33"/>
    <m/>
    <m/>
    <m/>
    <m/>
    <n v="206"/>
    <n v="0.97170000000000001"/>
    <n v="6"/>
    <d v="1899-12-30T00:00:11"/>
    <d v="1899-12-30T00:02:20"/>
    <d v="1899-12-30T00:01:49"/>
    <n v="0.89419999999999999"/>
    <n v="8.0111111111111111"/>
    <n v="480.66666666666669"/>
    <n v="1.2833333333333334"/>
    <n v="77"/>
    <n v="1.25"/>
    <n v="1"/>
    <n v="2"/>
    <n v="2"/>
    <m/>
    <m/>
    <m/>
    <m/>
    <n v="-14.44665766335161"/>
    <n v="199.7151735110908"/>
    <s v="Training"/>
  </r>
  <r>
    <d v="2020-04-27T00:00:00"/>
    <x v="4"/>
    <n v="2"/>
    <n v="4"/>
    <x v="17"/>
    <x v="0"/>
    <n v="298"/>
    <m/>
    <m/>
    <m/>
    <m/>
    <n v="32"/>
    <n v="0.96970000000000001"/>
    <n v="1"/>
    <d v="1899-12-30T00:00:08"/>
    <d v="1899-12-30T00:02:28"/>
    <d v="1899-12-30T00:00:55"/>
    <n v="0.90910000000000002"/>
    <n v="1.3155555555555556"/>
    <n v="78.933333333333337"/>
    <n v="12.251111111111113"/>
    <n v="735.06666666666683"/>
    <n v="1"/>
    <n v="1.9142361111111115"/>
    <n v="1"/>
    <n v="1"/>
    <m/>
    <m/>
    <m/>
    <m/>
    <n v="92.235977443165609"/>
    <n v="313.30253662424929"/>
    <s v="Training"/>
  </r>
  <r>
    <d v="2020-04-28T00:00:00"/>
    <x v="5"/>
    <n v="3"/>
    <n v="4"/>
    <x v="17"/>
    <x v="0"/>
    <n v="158"/>
    <m/>
    <m/>
    <m/>
    <m/>
    <n v="287"/>
    <n v="0.96309999999999996"/>
    <n v="11"/>
    <d v="1899-12-30T00:00:13"/>
    <d v="1899-12-30T00:01:35"/>
    <d v="1899-12-30T00:02:51"/>
    <n v="0.83330000000000004"/>
    <n v="7.5736111111111111"/>
    <n v="454.41666666666669"/>
    <n v="4.1694444444444443"/>
    <n v="250.16666666666666"/>
    <n v="1.18"/>
    <n v="1"/>
    <n v="2"/>
    <n v="2"/>
    <m/>
    <m/>
    <m/>
    <m/>
    <n v="74.737794483988537"/>
    <n v="301.24619396067573"/>
    <s v="Training"/>
  </r>
  <r>
    <d v="2020-04-29T00:00:00"/>
    <x v="6"/>
    <n v="4"/>
    <n v="4"/>
    <x v="17"/>
    <x v="0"/>
    <n v="156"/>
    <m/>
    <m/>
    <m/>
    <m/>
    <n v="156"/>
    <n v="0.98729999999999996"/>
    <n v="2"/>
    <d v="1899-12-30T00:00:11"/>
    <d v="1899-12-30T00:02:23"/>
    <d v="1899-12-30T00:01:32"/>
    <n v="0.89810000000000001"/>
    <n v="6.1966666666666663"/>
    <n v="371.79999999999995"/>
    <n v="6.1966666666666663"/>
    <n v="371.79999999999995"/>
    <n v="1"/>
    <n v="1"/>
    <n v="2"/>
    <n v="1"/>
    <m/>
    <m/>
    <m/>
    <m/>
    <n v="64.886707270722539"/>
    <n v="299.33322989526903"/>
    <s v="Training"/>
  </r>
  <r>
    <d v="2020-04-30T00:00:00"/>
    <x v="0"/>
    <n v="5"/>
    <n v="4"/>
    <x v="17"/>
    <x v="0"/>
    <n v="163"/>
    <m/>
    <m/>
    <m/>
    <m/>
    <n v="154"/>
    <n v="0.98719999999999997"/>
    <n v="2"/>
    <d v="1899-12-30T00:00:12"/>
    <d v="1899-12-30T00:02:13"/>
    <d v="1899-12-30T00:01:01"/>
    <n v="0.85809999999999997"/>
    <n v="5.6894444444444447"/>
    <n v="341.36666666666667"/>
    <n v="6.0219444444444443"/>
    <n v="361.31666666666666"/>
    <n v="1"/>
    <n v="1"/>
    <n v="2"/>
    <n v="1"/>
    <m/>
    <m/>
    <m/>
    <m/>
    <n v="76.727918598708754"/>
    <n v="294.94912077508337"/>
    <s v="Training"/>
  </r>
  <r>
    <d v="2020-05-01T00:00:00"/>
    <x v="1"/>
    <n v="6"/>
    <n v="5"/>
    <x v="17"/>
    <x v="0"/>
    <n v="37"/>
    <m/>
    <m/>
    <m/>
    <m/>
    <n v="163"/>
    <n v="1"/>
    <n v="0"/>
    <d v="1899-12-30T00:00:10"/>
    <d v="1899-12-30T00:02:02"/>
    <d v="1899-12-30T00:02:46"/>
    <n v="0.9264"/>
    <n v="5.5238888888888891"/>
    <n v="331.43333333333334"/>
    <n v="1.2538888888888888"/>
    <n v="75.233333333333334"/>
    <n v="1"/>
    <n v="1"/>
    <n v="2"/>
    <n v="1"/>
    <m/>
    <m/>
    <m/>
    <m/>
    <n v="66.225656339636004"/>
    <n v="288.75380754829479"/>
    <s v="Training"/>
  </r>
  <r>
    <d v="2020-05-02T00:00:00"/>
    <x v="2"/>
    <n v="7"/>
    <n v="5"/>
    <x v="17"/>
    <x v="0"/>
    <n v="201"/>
    <m/>
    <m/>
    <m/>
    <m/>
    <n v="98"/>
    <n v="1"/>
    <n v="0"/>
    <d v="1899-12-30T00:00:07"/>
    <d v="1899-12-30T00:02:10"/>
    <d v="1899-12-30T00:01:10"/>
    <n v="0.93879999999999997"/>
    <n v="3.5388888888888888"/>
    <n v="212.33333333333331"/>
    <n v="7.2583333333333337"/>
    <n v="435.5"/>
    <n v="1"/>
    <n v="1.1341145833333333"/>
    <n v="2"/>
    <n v="1"/>
    <m/>
    <m/>
    <m/>
    <m/>
    <n v="73.069039568659008"/>
    <n v="295.20140902008501"/>
    <s v="Training"/>
  </r>
  <r>
    <d v="2020-05-03T00:00:00"/>
    <x v="3"/>
    <n v="1"/>
    <n v="5"/>
    <x v="18"/>
    <x v="0"/>
    <n v="225"/>
    <m/>
    <m/>
    <m/>
    <m/>
    <n v="249"/>
    <n v="0.97650000000000003"/>
    <n v="6"/>
    <d v="1899-12-30T00:00:15"/>
    <d v="1899-12-30T00:02:19"/>
    <d v="1899-12-30T00:05:31"/>
    <n v="0.82679999999999998"/>
    <n v="9.6141666666666659"/>
    <n v="576.84999999999991"/>
    <n v="8.6875"/>
    <n v="521.25"/>
    <n v="1.5"/>
    <n v="1.357421875"/>
    <n v="2"/>
    <n v="2"/>
    <m/>
    <m/>
    <m/>
    <m/>
    <n v="-4.9524207096625084"/>
    <n v="205.08495778554089"/>
    <s v="Training"/>
  </r>
  <r>
    <d v="2020-05-04T00:00:00"/>
    <x v="4"/>
    <n v="2"/>
    <n v="5"/>
    <x v="18"/>
    <x v="0"/>
    <n v="53"/>
    <m/>
    <m/>
    <m/>
    <m/>
    <n v="49"/>
    <n v="0.98"/>
    <n v="1"/>
    <d v="1899-12-30T00:00:08"/>
    <d v="1899-12-30T00:02:02"/>
    <d v="1899-12-30T00:00:57"/>
    <n v="0.92"/>
    <n v="1.6605555555555556"/>
    <n v="99.63333333333334"/>
    <n v="1.7961111111111108"/>
    <n v="107.76666666666665"/>
    <n v="1"/>
    <n v="1"/>
    <n v="1"/>
    <n v="1"/>
    <m/>
    <m/>
    <m/>
    <m/>
    <n v="85.449229123829411"/>
    <n v="309.81733021817962"/>
    <s v="Training"/>
  </r>
  <r>
    <d v="2020-05-05T00:00:00"/>
    <x v="5"/>
    <n v="3"/>
    <n v="5"/>
    <x v="18"/>
    <x v="0"/>
    <n v="296"/>
    <m/>
    <m/>
    <m/>
    <m/>
    <n v="289"/>
    <n v="0.99660000000000004"/>
    <n v="1"/>
    <d v="1899-12-30T00:00:12"/>
    <d v="1899-12-30T00:02:01"/>
    <d v="1899-12-30T00:01:10"/>
    <n v="0.89270000000000005"/>
    <n v="9.7136111111111116"/>
    <n v="582.81666666666672"/>
    <n v="9.948888888888888"/>
    <n v="596.93333333333328"/>
    <n v="1.52"/>
    <n v="1.5545138888888888"/>
    <n v="2"/>
    <n v="2"/>
    <m/>
    <m/>
    <m/>
    <m/>
    <n v="68.146627336044617"/>
    <n v="289.20846171521657"/>
    <s v="Training"/>
  </r>
  <r>
    <d v="2020-05-06T00:00:00"/>
    <x v="6"/>
    <n v="4"/>
    <n v="5"/>
    <x v="18"/>
    <x v="0"/>
    <n v="28"/>
    <m/>
    <m/>
    <m/>
    <m/>
    <n v="281"/>
    <n v="0.94930000000000003"/>
    <n v="15"/>
    <d v="1899-12-30T00:00:22"/>
    <d v="1899-12-30T00:02:08"/>
    <d v="1899-12-30T00:04:30"/>
    <n v="0.73540000000000005"/>
    <n v="9.9911111111111115"/>
    <n v="599.4666666666667"/>
    <n v="0.99555555555555553"/>
    <n v="59.733333333333334"/>
    <n v="1.56"/>
    <n v="1"/>
    <n v="2"/>
    <n v="2"/>
    <m/>
    <m/>
    <m/>
    <m/>
    <n v="80.564500867461433"/>
    <n v="303.7274306261869"/>
    <s v="Training"/>
  </r>
  <r>
    <d v="2020-05-07T00:00:00"/>
    <x v="0"/>
    <n v="5"/>
    <n v="5"/>
    <x v="18"/>
    <x v="0"/>
    <n v="54"/>
    <m/>
    <m/>
    <m/>
    <m/>
    <n v="257"/>
    <n v="0.98850000000000005"/>
    <n v="3"/>
    <d v="1899-12-30T00:00:17"/>
    <d v="1899-12-30T00:02:13"/>
    <d v="1899-12-30T00:01:20"/>
    <n v="0.87160000000000004"/>
    <n v="9.4947222222222223"/>
    <n v="569.68333333333339"/>
    <n v="1.9950000000000001"/>
    <n v="119.7"/>
    <n v="1.48"/>
    <n v="1"/>
    <n v="2"/>
    <n v="2"/>
    <m/>
    <m/>
    <m/>
    <m/>
    <n v="75.598188957969739"/>
    <n v="299.88711487175578"/>
    <s v="Training"/>
  </r>
  <r>
    <d v="2020-05-08T00:00:00"/>
    <x v="1"/>
    <n v="6"/>
    <n v="5"/>
    <x v="18"/>
    <x v="0"/>
    <n v="229"/>
    <m/>
    <m/>
    <m/>
    <m/>
    <n v="193"/>
    <n v="0.96020000000000005"/>
    <n v="8"/>
    <d v="1899-12-30T00:00:19"/>
    <d v="1899-12-30T00:02:23"/>
    <d v="1899-12-30T00:02:02"/>
    <n v="0.76770000000000005"/>
    <n v="7.6663888888888891"/>
    <n v="459.98333333333335"/>
    <n v="9.0963888888888889"/>
    <n v="545.7833333333333"/>
    <n v="1.2"/>
    <n v="1.4213107638888889"/>
    <n v="2"/>
    <n v="2"/>
    <m/>
    <m/>
    <m/>
    <m/>
    <n v="72.369738990032374"/>
    <n v="283.66907587339608"/>
    <s v="Training"/>
  </r>
  <r>
    <d v="2020-05-09T00:00:00"/>
    <x v="2"/>
    <n v="7"/>
    <n v="5"/>
    <x v="18"/>
    <x v="0"/>
    <n v="217"/>
    <m/>
    <m/>
    <m/>
    <m/>
    <n v="131"/>
    <n v="0.99239999999999995"/>
    <n v="1"/>
    <d v="1899-12-30T00:00:17"/>
    <d v="1899-12-30T00:02:13"/>
    <d v="1899-12-30T00:01:30"/>
    <n v="0.76519999999999999"/>
    <n v="4.839722222222222"/>
    <n v="290.38333333333333"/>
    <n v="8.0169444444444444"/>
    <n v="481.01666666666665"/>
    <n v="1"/>
    <n v="1.2526475694444443"/>
    <n v="2"/>
    <n v="1"/>
    <m/>
    <m/>
    <m/>
    <m/>
    <n v="63.265628395499462"/>
    <n v="284.51231479588688"/>
    <s v="Training"/>
  </r>
  <r>
    <d v="2020-05-10T00:00:00"/>
    <x v="3"/>
    <n v="1"/>
    <n v="5"/>
    <x v="19"/>
    <x v="0"/>
    <n v="225"/>
    <m/>
    <m/>
    <m/>
    <m/>
    <n v="165"/>
    <n v="0.98799999999999999"/>
    <n v="2"/>
    <d v="1899-12-30T00:00:09"/>
    <d v="1899-12-30T00:02:06"/>
    <d v="1899-12-30T00:00:57"/>
    <n v="0.92120000000000002"/>
    <n v="5.7750000000000004"/>
    <n v="346.5"/>
    <n v="7.875"/>
    <n v="472.5"/>
    <n v="1"/>
    <n v="1.23046875"/>
    <n v="2"/>
    <n v="1"/>
    <m/>
    <m/>
    <m/>
    <m/>
    <n v="-12.220696355762909"/>
    <n v="212.31821990212981"/>
    <s v="Training"/>
  </r>
  <r>
    <d v="2020-05-11T00:00:00"/>
    <x v="4"/>
    <n v="2"/>
    <n v="5"/>
    <x v="19"/>
    <x v="0"/>
    <n v="240"/>
    <m/>
    <m/>
    <m/>
    <m/>
    <n v="79"/>
    <n v="0.9294"/>
    <n v="6"/>
    <d v="1899-12-30T00:00:18"/>
    <d v="1899-12-30T00:02:25"/>
    <d v="1899-12-30T00:01:53"/>
    <n v="0.77380000000000004"/>
    <n v="3.1819444444444445"/>
    <n v="190.91666666666666"/>
    <n v="9.6666666666666661"/>
    <n v="580"/>
    <n v="1"/>
    <n v="1.5104166666666667"/>
    <n v="1"/>
    <n v="1"/>
    <m/>
    <m/>
    <m/>
    <m/>
    <n v="90.24897876873348"/>
    <n v="305.66026704337838"/>
    <s v="Training"/>
  </r>
  <r>
    <d v="2020-05-12T00:00:00"/>
    <x v="5"/>
    <n v="3"/>
    <n v="5"/>
    <x v="19"/>
    <x v="0"/>
    <n v="211"/>
    <m/>
    <m/>
    <m/>
    <m/>
    <n v="236"/>
    <n v="0.96719999999999995"/>
    <n v="8"/>
    <d v="1899-12-30T00:00:21"/>
    <d v="1899-12-30T00:02:29"/>
    <d v="1899-12-30T00:01:56"/>
    <n v="0.75619999999999998"/>
    <n v="9.767777777777777"/>
    <n v="586.06666666666661"/>
    <n v="8.7330555555555556"/>
    <n v="523.98333333333335"/>
    <n v="1.53"/>
    <n v="1.3645399305555557"/>
    <n v="2"/>
    <n v="2"/>
    <m/>
    <m/>
    <m/>
    <m/>
    <n v="66.993733806222252"/>
    <n v="284.93420495694971"/>
    <s v="Training"/>
  </r>
  <r>
    <d v="2020-05-13T00:00:00"/>
    <x v="6"/>
    <n v="4"/>
    <n v="5"/>
    <x v="19"/>
    <x v="0"/>
    <n v="278"/>
    <m/>
    <m/>
    <m/>
    <m/>
    <n v="182"/>
    <n v="0.97850000000000004"/>
    <n v="4"/>
    <d v="1899-12-30T00:00:14"/>
    <d v="1899-12-30T00:02:13"/>
    <d v="1899-12-30T00:01:38"/>
    <n v="0.7903"/>
    <n v="6.7238888888888875"/>
    <n v="403.43333333333322"/>
    <n v="10.270555555555555"/>
    <n v="616.23333333333335"/>
    <n v="1.05"/>
    <n v="1.6047743055555557"/>
    <n v="2"/>
    <n v="2"/>
    <m/>
    <m/>
    <m/>
    <m/>
    <n v="86.505945571231479"/>
    <n v="299.66534785385312"/>
    <s v="Training"/>
  </r>
  <r>
    <d v="2020-05-14T00:00:00"/>
    <x v="0"/>
    <n v="5"/>
    <n v="5"/>
    <x v="19"/>
    <x v="0"/>
    <n v="272"/>
    <m/>
    <m/>
    <m/>
    <m/>
    <n v="264"/>
    <n v="0.9496"/>
    <n v="14"/>
    <d v="1899-12-30T00:00:19"/>
    <d v="1899-12-30T00:02:20"/>
    <d v="1899-12-30T00:02:10"/>
    <n v="0.76839999999999997"/>
    <n v="10.266666666666667"/>
    <n v="616"/>
    <n v="10.577777777777778"/>
    <n v="634.66666666666663"/>
    <n v="1.6"/>
    <n v="1.6527777777777777"/>
    <n v="2"/>
    <n v="2"/>
    <m/>
    <m/>
    <m/>
    <m/>
    <n v="75.253830017788061"/>
    <n v="289.17833021861929"/>
    <s v="Training"/>
  </r>
  <r>
    <d v="2020-05-15T00:00:00"/>
    <x v="1"/>
    <n v="6"/>
    <n v="5"/>
    <x v="19"/>
    <x v="0"/>
    <n v="218"/>
    <m/>
    <m/>
    <m/>
    <m/>
    <n v="268"/>
    <n v="0.98529999999999995"/>
    <n v="4"/>
    <d v="1899-12-30T00:00:15"/>
    <d v="1899-12-30T00:02:30"/>
    <d v="1899-12-30T00:01:45"/>
    <n v="0.8"/>
    <n v="11.166666666666664"/>
    <n v="669.99999999999989"/>
    <n v="9.0833333333333339"/>
    <n v="545"/>
    <n v="1.74"/>
    <n v="1.4192708333333333"/>
    <n v="2"/>
    <n v="2"/>
    <m/>
    <m/>
    <m/>
    <m/>
    <n v="68.592440422503174"/>
    <n v="285.50816495902978"/>
    <s v="Training"/>
  </r>
  <r>
    <d v="2020-05-16T00:00:00"/>
    <x v="2"/>
    <n v="7"/>
    <n v="5"/>
    <x v="19"/>
    <x v="0"/>
    <n v="152"/>
    <m/>
    <m/>
    <m/>
    <m/>
    <n v="206"/>
    <n v="0.94499999999999995"/>
    <n v="12"/>
    <d v="1899-12-30T00:00:25"/>
    <d v="1899-12-30T00:02:21"/>
    <d v="1899-12-30T00:03:41"/>
    <n v="0.67279999999999995"/>
    <n v="8.0683333333333351"/>
    <n v="484.10000000000014"/>
    <n v="5.953333333333334"/>
    <n v="357.20000000000005"/>
    <n v="1.26"/>
    <n v="1"/>
    <n v="2"/>
    <n v="2"/>
    <m/>
    <m/>
    <m/>
    <m/>
    <n v="66.788400109195194"/>
    <n v="292.97409745454559"/>
    <s v="Training"/>
  </r>
  <r>
    <d v="2020-05-17T00:00:00"/>
    <x v="3"/>
    <n v="1"/>
    <n v="5"/>
    <x v="20"/>
    <x v="0"/>
    <n v="48"/>
    <m/>
    <m/>
    <m/>
    <m/>
    <n v="148"/>
    <n v="0.97370000000000001"/>
    <n v="4"/>
    <d v="1899-12-30T00:00:14"/>
    <d v="1899-12-30T00:02:18"/>
    <d v="1899-12-30T00:01:25"/>
    <n v="0.83330000000000004"/>
    <n v="5.6733333333333329"/>
    <n v="340.4"/>
    <n v="1.8400000000000003"/>
    <n v="110.40000000000002"/>
    <n v="1"/>
    <n v="1"/>
    <n v="2"/>
    <n v="1"/>
    <m/>
    <m/>
    <m/>
    <m/>
    <n v="-17.381822504571481"/>
    <n v="203.03538477355991"/>
    <s v="Training"/>
  </r>
  <r>
    <d v="2020-05-18T00:00:00"/>
    <x v="4"/>
    <n v="2"/>
    <n v="5"/>
    <x v="20"/>
    <x v="0"/>
    <n v="186"/>
    <m/>
    <m/>
    <m/>
    <m/>
    <n v="43"/>
    <n v="0.89580000000000004"/>
    <n v="5"/>
    <d v="1899-12-30T00:00:22"/>
    <d v="1899-12-30T00:02:01"/>
    <d v="1899-12-30T00:01:21"/>
    <n v="0.69569999999999999"/>
    <n v="1.4452777777777779"/>
    <n v="86.716666666666669"/>
    <n v="6.251666666666666"/>
    <n v="375.09999999999997"/>
    <n v="1"/>
    <n v="1"/>
    <n v="1"/>
    <n v="1"/>
    <m/>
    <m/>
    <m/>
    <m/>
    <n v="85.305482620143309"/>
    <n v="297.96479848928828"/>
    <s v="Training"/>
  </r>
  <r>
    <d v="2020-05-19T00:00:00"/>
    <x v="5"/>
    <n v="3"/>
    <n v="5"/>
    <x v="20"/>
    <x v="0"/>
    <n v="182"/>
    <m/>
    <m/>
    <m/>
    <m/>
    <n v="181"/>
    <n v="0.97309999999999997"/>
    <n v="5"/>
    <d v="1899-12-30T00:00:14"/>
    <d v="1899-12-30T00:02:20"/>
    <d v="1899-12-30T00:01:49"/>
    <n v="0.84950000000000003"/>
    <n v="7.0388888888888879"/>
    <n v="422.33333333333326"/>
    <n v="7.0777777777777775"/>
    <n v="424.66666666666663"/>
    <n v="1.1000000000000001"/>
    <n v="1.1059027777777777"/>
    <n v="2"/>
    <n v="2"/>
    <m/>
    <m/>
    <m/>
    <m/>
    <n v="57.932350618555773"/>
    <n v="282.66582911594082"/>
    <s v="Training"/>
  </r>
  <r>
    <d v="2020-05-20T00:00:00"/>
    <x v="6"/>
    <n v="4"/>
    <n v="5"/>
    <x v="20"/>
    <x v="0"/>
    <n v="192"/>
    <m/>
    <m/>
    <m/>
    <m/>
    <n v="180"/>
    <n v="0.98899999999999999"/>
    <n v="2"/>
    <d v="1899-12-30T00:00:08"/>
    <d v="1899-12-30T00:02:10"/>
    <d v="1899-12-30T00:00:58"/>
    <n v="0.93369999999999997"/>
    <n v="6.5"/>
    <n v="390"/>
    <n v="6.9333333333333327"/>
    <n v="415.99999999999994"/>
    <n v="1.02"/>
    <n v="1.0833333333333333"/>
    <n v="2"/>
    <n v="2"/>
    <m/>
    <m/>
    <m/>
    <m/>
    <n v="74.383751894875047"/>
    <n v="294.21696701329302"/>
    <s v="Training"/>
  </r>
  <r>
    <d v="2020-05-21T00:00:00"/>
    <x v="0"/>
    <n v="5"/>
    <n v="5"/>
    <x v="20"/>
    <x v="0"/>
    <n v="155"/>
    <m/>
    <m/>
    <m/>
    <m/>
    <n v="188"/>
    <n v="0.97919999999999996"/>
    <n v="4"/>
    <d v="1899-12-30T00:00:20"/>
    <d v="1899-12-30T00:01:58"/>
    <d v="1899-12-30T00:01:56"/>
    <n v="0.76190000000000002"/>
    <n v="6.1622222222222218"/>
    <n v="369.73333333333329"/>
    <n v="5.0805555555555557"/>
    <n v="304.83333333333337"/>
    <n v="1"/>
    <n v="1"/>
    <n v="2"/>
    <n v="1"/>
    <m/>
    <m/>
    <m/>
    <m/>
    <n v="65.73724078382655"/>
    <n v="283.95674874397338"/>
    <s v="Training"/>
  </r>
  <r>
    <d v="2020-05-22T00:00:00"/>
    <x v="1"/>
    <n v="6"/>
    <n v="5"/>
    <x v="20"/>
    <x v="0"/>
    <n v="144"/>
    <m/>
    <m/>
    <m/>
    <m/>
    <n v="148"/>
    <n v="0.95479999999999998"/>
    <n v="7"/>
    <d v="1899-12-30T00:00:14"/>
    <d v="1899-12-30T00:02:24"/>
    <d v="1899-12-30T00:02:18"/>
    <n v="0.85329999999999995"/>
    <n v="5.92"/>
    <n v="355.2"/>
    <n v="5.76"/>
    <n v="345.59999999999997"/>
    <n v="1"/>
    <n v="1"/>
    <n v="2"/>
    <n v="1"/>
    <m/>
    <m/>
    <m/>
    <m/>
    <n v="65.355608567026735"/>
    <n v="285.6473520046398"/>
    <s v="Training"/>
  </r>
  <r>
    <d v="2020-05-23T00:00:00"/>
    <x v="2"/>
    <n v="7"/>
    <n v="5"/>
    <x v="20"/>
    <x v="0"/>
    <n v="164"/>
    <m/>
    <m/>
    <m/>
    <m/>
    <n v="142"/>
    <n v="0.98609999999999998"/>
    <n v="2"/>
    <d v="1899-12-30T00:00:11"/>
    <d v="1899-12-30T00:02:19"/>
    <d v="1899-12-30T00:01:05"/>
    <n v="0.90210000000000001"/>
    <n v="5.4827777777777778"/>
    <n v="328.96666666666664"/>
    <n v="6.3322222222222226"/>
    <n v="379.93333333333334"/>
    <n v="1"/>
    <n v="1"/>
    <n v="2"/>
    <n v="1"/>
    <m/>
    <m/>
    <m/>
    <m/>
    <n v="78.629743359366842"/>
    <n v="291.42841466792919"/>
    <s v="Training"/>
  </r>
  <r>
    <d v="2020-05-24T00:00:00"/>
    <x v="3"/>
    <n v="1"/>
    <n v="5"/>
    <x v="21"/>
    <x v="0"/>
    <n v="27"/>
    <m/>
    <m/>
    <m/>
    <m/>
    <n v="162"/>
    <n v="0.98780000000000001"/>
    <n v="2"/>
    <d v="1899-12-30T00:00:12"/>
    <d v="1899-12-30T00:02:35"/>
    <d v="1899-12-30T00:01:50"/>
    <n v="0.85370000000000001"/>
    <n v="6.9750000000000014"/>
    <n v="418.50000000000011"/>
    <n v="1.1625000000000001"/>
    <n v="69.75"/>
    <n v="1.0900000000000001"/>
    <n v="1"/>
    <n v="2"/>
    <n v="2"/>
    <m/>
    <m/>
    <m/>
    <m/>
    <n v="-34.447075132915963"/>
    <n v="196.4097805456212"/>
    <s v="Training"/>
  </r>
  <r>
    <d v="2020-05-25T00:00:00"/>
    <x v="4"/>
    <n v="2"/>
    <n v="5"/>
    <x v="21"/>
    <x v="0"/>
    <n v="177"/>
    <m/>
    <m/>
    <m/>
    <m/>
    <n v="26"/>
    <n v="0.96299999999999997"/>
    <n v="1"/>
    <d v="1899-12-30T00:00:11"/>
    <d v="1899-12-30T00:02:04"/>
    <d v="1899-12-30T00:01:17"/>
    <n v="0.81479999999999997"/>
    <n v="0.89555555555555555"/>
    <n v="53.733333333333334"/>
    <n v="6.0966666666666667"/>
    <n v="365.8"/>
    <n v="1"/>
    <n v="1"/>
    <n v="1"/>
    <n v="1"/>
    <m/>
    <m/>
    <m/>
    <m/>
    <n v="69.826022370504987"/>
    <n v="294.78696528930487"/>
    <s v="Training"/>
  </r>
  <r>
    <d v="2020-05-26T00:00:00"/>
    <x v="5"/>
    <n v="3"/>
    <n v="5"/>
    <x v="21"/>
    <x v="0"/>
    <n v="134"/>
    <m/>
    <m/>
    <m/>
    <m/>
    <n v="175"/>
    <n v="0.98870000000000002"/>
    <n v="2"/>
    <d v="1899-12-30T00:00:11"/>
    <d v="1899-12-30T00:02:19"/>
    <d v="1899-12-30T00:01:35"/>
    <n v="0.90859999999999996"/>
    <n v="6.7569444444444446"/>
    <n v="405.41666666666669"/>
    <n v="5.1738888888888885"/>
    <n v="310.43333333333334"/>
    <n v="1.06"/>
    <n v="1"/>
    <n v="2"/>
    <n v="2"/>
    <m/>
    <m/>
    <m/>
    <m/>
    <n v="56.898824765412932"/>
    <n v="278.8197061599559"/>
    <s v="Training"/>
  </r>
  <r>
    <d v="2020-05-27T00:00:00"/>
    <x v="6"/>
    <n v="4"/>
    <n v="5"/>
    <x v="21"/>
    <x v="0"/>
    <n v="125"/>
    <m/>
    <m/>
    <m/>
    <m/>
    <n v="131"/>
    <n v="0.97760000000000002"/>
    <n v="3"/>
    <d v="1899-12-30T00:00:14"/>
    <d v="1899-12-30T00:02:23"/>
    <d v="1899-12-30T00:01:39"/>
    <n v="0.81340000000000001"/>
    <n v="5.203611111111111"/>
    <n v="312.21666666666664"/>
    <n v="4.9652777777777777"/>
    <n v="297.91666666666669"/>
    <n v="1"/>
    <n v="1"/>
    <n v="2"/>
    <n v="1"/>
    <m/>
    <m/>
    <m/>
    <m/>
    <n v="61.713879385144701"/>
    <n v="280.68276517005199"/>
    <s v="Training"/>
  </r>
  <r>
    <d v="2020-05-28T00:00:00"/>
    <x v="0"/>
    <n v="5"/>
    <n v="5"/>
    <x v="21"/>
    <x v="0"/>
    <n v="167"/>
    <m/>
    <m/>
    <m/>
    <m/>
    <n v="120"/>
    <n v="0.96"/>
    <n v="5"/>
    <d v="1899-12-30T00:00:14"/>
    <d v="1899-12-30T00:02:20"/>
    <d v="1899-12-30T00:02:52"/>
    <n v="0.84550000000000003"/>
    <n v="4.666666666666667"/>
    <n v="280"/>
    <n v="6.4944444444444445"/>
    <n v="389.66666666666669"/>
    <n v="1"/>
    <n v="1.0147569444444444"/>
    <n v="2"/>
    <n v="1"/>
    <m/>
    <m/>
    <m/>
    <m/>
    <n v="64.763261174968761"/>
    <n v="284.47465055837313"/>
    <s v="Training"/>
  </r>
  <r>
    <d v="2020-05-29T00:00:00"/>
    <x v="1"/>
    <n v="6"/>
    <n v="5"/>
    <x v="21"/>
    <x v="0"/>
    <n v="169"/>
    <m/>
    <m/>
    <m/>
    <m/>
    <n v="163"/>
    <n v="0.97599999999999998"/>
    <n v="4"/>
    <d v="1899-12-30T00:00:16"/>
    <d v="1899-12-30T00:02:24"/>
    <d v="1899-12-30T00:01:12"/>
    <n v="0.81210000000000004"/>
    <n v="6.52"/>
    <n v="391.2"/>
    <n v="6.76"/>
    <n v="405.59999999999997"/>
    <n v="1.02"/>
    <n v="1.0562499999999999"/>
    <n v="2"/>
    <n v="2"/>
    <m/>
    <m/>
    <m/>
    <m/>
    <n v="59.630585824055863"/>
    <n v="271.15903866071642"/>
    <s v="Training"/>
  </r>
  <r>
    <d v="2020-05-30T00:00:00"/>
    <x v="2"/>
    <n v="7"/>
    <n v="5"/>
    <x v="21"/>
    <x v="0"/>
    <n v="162"/>
    <m/>
    <m/>
    <m/>
    <m/>
    <n v="167"/>
    <n v="0.98819999999999997"/>
    <n v="2"/>
    <d v="1899-12-30T00:00:09"/>
    <d v="1899-12-30T00:02:14"/>
    <d v="1899-12-30T00:01:44"/>
    <n v="0.89939999999999998"/>
    <n v="6.2161111111111111"/>
    <n v="372.9666666666667"/>
    <n v="6.0299999999999994"/>
    <n v="361.79999999999995"/>
    <n v="1"/>
    <n v="1"/>
    <n v="2"/>
    <n v="1"/>
    <m/>
    <m/>
    <m/>
    <m/>
    <n v="60.15940702661694"/>
    <n v="283.67412887547511"/>
    <s v="Training"/>
  </r>
  <r>
    <d v="2020-05-31T00:00:00"/>
    <x v="3"/>
    <n v="1"/>
    <n v="5"/>
    <x v="22"/>
    <x v="0"/>
    <n v="25"/>
    <m/>
    <m/>
    <m/>
    <m/>
    <n v="160"/>
    <n v="0.98770000000000002"/>
    <n v="2"/>
    <d v="1899-12-30T00:00:16"/>
    <d v="1899-12-30T00:02:15"/>
    <d v="1899-12-30T00:01:31"/>
    <n v="0.83130000000000004"/>
    <n v="6"/>
    <n v="360"/>
    <n v="0.9375"/>
    <n v="56.25"/>
    <n v="1"/>
    <n v="1"/>
    <n v="2"/>
    <n v="1"/>
    <m/>
    <m/>
    <m/>
    <m/>
    <n v="-24.779002110680711"/>
    <n v="200.4693819642753"/>
    <s v="Training"/>
  </r>
  <r>
    <d v="2020-06-01T00:00:00"/>
    <x v="4"/>
    <n v="2"/>
    <n v="6"/>
    <x v="22"/>
    <x v="0"/>
    <n v="315"/>
    <m/>
    <m/>
    <m/>
    <m/>
    <n v="25"/>
    <n v="1"/>
    <n v="0"/>
    <d v="1899-12-30T00:00:16"/>
    <d v="1899-12-30T00:02:35"/>
    <d v="1899-12-30T00:00:58"/>
    <n v="0.76"/>
    <n v="1.0763888888888888"/>
    <n v="64.583333333333329"/>
    <n v="13.5625"/>
    <n v="813.75"/>
    <n v="1"/>
    <n v="2.119140625"/>
    <n v="1"/>
    <n v="1"/>
    <m/>
    <m/>
    <m/>
    <m/>
    <n v="73.550568306655947"/>
    <n v="289.37125792986973"/>
    <s v="Training"/>
  </r>
  <r>
    <d v="2020-06-02T00:00:00"/>
    <x v="5"/>
    <n v="3"/>
    <n v="6"/>
    <x v="22"/>
    <x v="0"/>
    <n v="218"/>
    <m/>
    <m/>
    <m/>
    <m/>
    <n v="146"/>
    <n v="0.92989999999999995"/>
    <n v="11"/>
    <d v="1899-12-30T00:00:17"/>
    <d v="1899-12-30T00:02:17"/>
    <d v="1899-12-30T00:01:51"/>
    <n v="0.7974"/>
    <n v="5.556111111111111"/>
    <n v="333.36666666666667"/>
    <n v="8.2961111111111112"/>
    <n v="497.76666666666665"/>
    <n v="1"/>
    <n v="1.2962673611111111"/>
    <n v="2"/>
    <n v="1"/>
    <m/>
    <m/>
    <m/>
    <m/>
    <n v="58.562432679013853"/>
    <n v="282.97105682600261"/>
    <s v="Training"/>
  </r>
  <r>
    <d v="2020-06-03T00:00:00"/>
    <x v="6"/>
    <n v="4"/>
    <n v="6"/>
    <x v="22"/>
    <x v="0"/>
    <n v="235"/>
    <m/>
    <m/>
    <m/>
    <m/>
    <n v="154"/>
    <n v="0.92769999999999997"/>
    <n v="12"/>
    <d v="1899-12-30T00:00:25"/>
    <d v="1899-12-30T00:02:18"/>
    <d v="1899-12-30T00:03:39"/>
    <n v="0.66259999999999997"/>
    <n v="5.9033333333333333"/>
    <n v="354.2"/>
    <n v="9.0083333333333329"/>
    <n v="540.5"/>
    <n v="1"/>
    <n v="1.4075520833333333"/>
    <n v="2"/>
    <n v="1"/>
    <m/>
    <m/>
    <m/>
    <m/>
    <n v="65.069984841667249"/>
    <n v="287.29241355866748"/>
    <s v="Training"/>
  </r>
  <r>
    <d v="2020-06-04T00:00:00"/>
    <x v="0"/>
    <n v="5"/>
    <n v="6"/>
    <x v="22"/>
    <x v="0"/>
    <n v="147"/>
    <m/>
    <m/>
    <m/>
    <m/>
    <n v="55"/>
    <n v="0.94830000000000003"/>
    <n v="3"/>
    <d v="1899-12-30T00:00:16"/>
    <d v="1899-12-30T00:02:11"/>
    <d v="1899-12-30T00:02:45"/>
    <n v="0.74139999999999995"/>
    <n v="2.0013888888888891"/>
    <n v="120.08333333333334"/>
    <n v="5.3491666666666671"/>
    <n v="320.95000000000005"/>
    <n v="1"/>
    <n v="1"/>
    <n v="2"/>
    <n v="1"/>
    <m/>
    <m/>
    <m/>
    <m/>
    <n v="62.415309150544672"/>
    <n v="288.85779148615461"/>
    <s v="Training"/>
  </r>
  <r>
    <d v="2020-06-05T00:00:00"/>
    <x v="1"/>
    <n v="6"/>
    <n v="6"/>
    <x v="22"/>
    <x v="0"/>
    <n v="260"/>
    <m/>
    <m/>
    <m/>
    <m/>
    <n v="74"/>
    <n v="0.98670000000000002"/>
    <n v="1"/>
    <d v="1899-12-30T00:00:15"/>
    <d v="1899-12-30T00:02:13"/>
    <d v="1899-12-30T00:03:18"/>
    <n v="0.84"/>
    <n v="2.733888888888889"/>
    <n v="164.03333333333333"/>
    <n v="9.6055555555555561"/>
    <n v="576.33333333333337"/>
    <n v="1"/>
    <n v="1.5008680555555556"/>
    <n v="2"/>
    <n v="1"/>
    <m/>
    <m/>
    <m/>
    <m/>
    <n v="53.162034439879029"/>
    <n v="277.54755231378448"/>
    <s v="Training"/>
  </r>
  <r>
    <d v="2020-06-06T00:00:00"/>
    <x v="2"/>
    <n v="7"/>
    <n v="6"/>
    <x v="22"/>
    <x v="0"/>
    <n v="108"/>
    <m/>
    <m/>
    <m/>
    <m/>
    <n v="28"/>
    <n v="1"/>
    <n v="0"/>
    <d v="1899-12-30T00:00:07"/>
    <d v="1899-12-30T00:02:28"/>
    <d v="1899-12-30T00:00:51"/>
    <n v="0.96430000000000005"/>
    <n v="1.1511111111111112"/>
    <n v="69.066666666666677"/>
    <n v="4.4400000000000004"/>
    <n v="266.40000000000003"/>
    <n v="1"/>
    <n v="1"/>
    <n v="2"/>
    <n v="1"/>
    <m/>
    <m/>
    <m/>
    <m/>
    <n v="64.648313202136052"/>
    <n v="280.07363021545501"/>
    <s v="Training"/>
  </r>
  <r>
    <d v="2020-06-07T00:00:00"/>
    <x v="3"/>
    <n v="1"/>
    <n v="6"/>
    <x v="23"/>
    <x v="0"/>
    <n v="275"/>
    <m/>
    <m/>
    <m/>
    <m/>
    <n v="107"/>
    <n v="0.99070000000000003"/>
    <n v="1"/>
    <d v="1899-12-30T00:00:09"/>
    <d v="1899-12-30T00:02:11"/>
    <d v="1899-12-30T00:00:59"/>
    <n v="0.94440000000000002"/>
    <n v="3.8936111111111105"/>
    <n v="233.61666666666662"/>
    <n v="10.006944444444445"/>
    <n v="600.41666666666663"/>
    <n v="1"/>
    <n v="1.5635850694444444"/>
    <n v="2"/>
    <n v="1"/>
    <m/>
    <m/>
    <m/>
    <m/>
    <n v="-33.049575539534708"/>
    <n v="195.41922988055151"/>
    <s v="Training"/>
  </r>
  <r>
    <d v="2020-06-08T00:00:00"/>
    <x v="4"/>
    <n v="2"/>
    <n v="6"/>
    <x v="23"/>
    <x v="0"/>
    <n v="194"/>
    <m/>
    <m/>
    <m/>
    <m/>
    <n v="21"/>
    <n v="1"/>
    <n v="0"/>
    <d v="1899-12-30T00:00:07"/>
    <d v="1899-12-30T00:02:58"/>
    <d v="1899-12-30T00:00:58"/>
    <n v="0.95240000000000002"/>
    <n v="1.0383333333333336"/>
    <n v="62.300000000000011"/>
    <n v="9.5922222222222224"/>
    <n v="575.5333333333333"/>
    <n v="1"/>
    <n v="1.4987847222222221"/>
    <n v="1"/>
    <n v="1"/>
    <m/>
    <m/>
    <m/>
    <m/>
    <n v="75.541316291259548"/>
    <n v="295.63832056306882"/>
    <s v="Training"/>
  </r>
  <r>
    <d v="2020-06-09T00:00:00"/>
    <x v="5"/>
    <n v="3"/>
    <n v="6"/>
    <x v="23"/>
    <x v="0"/>
    <n v="24"/>
    <m/>
    <m/>
    <m/>
    <m/>
    <n v="182"/>
    <n v="0.96299999999999997"/>
    <n v="7"/>
    <d v="1899-12-30T00:00:21"/>
    <d v="1899-12-30T00:02:10"/>
    <d v="1899-12-30T00:04:46"/>
    <n v="0.76339999999999997"/>
    <n v="6.572222222222222"/>
    <n v="394.33333333333331"/>
    <n v="0.86666666666666659"/>
    <n v="51.999999999999993"/>
    <n v="1.03"/>
    <n v="1"/>
    <n v="2"/>
    <n v="2"/>
    <m/>
    <m/>
    <m/>
    <m/>
    <n v="59.748838436995243"/>
    <n v="281.43049074057632"/>
    <s v="Training"/>
  </r>
  <r>
    <d v="2020-06-10T00:00:00"/>
    <x v="6"/>
    <n v="4"/>
    <n v="6"/>
    <x v="23"/>
    <x v="0"/>
    <n v="182"/>
    <m/>
    <m/>
    <m/>
    <m/>
    <n v="155"/>
    <n v="0.9627"/>
    <n v="6"/>
    <d v="1899-12-30T00:00:19"/>
    <d v="1899-12-30T00:02:27"/>
    <d v="1899-12-30T00:01:50"/>
    <n v="0.71879999999999999"/>
    <n v="6.3291666666666666"/>
    <n v="379.75"/>
    <n v="7.4316666666666666"/>
    <n v="445.9"/>
    <n v="1"/>
    <n v="1.1611979166666666"/>
    <n v="2"/>
    <n v="1"/>
    <m/>
    <m/>
    <m/>
    <m/>
    <n v="79.485038161311465"/>
    <n v="292.19272557748411"/>
    <s v="Training"/>
  </r>
  <r>
    <d v="2020-06-11T00:00:00"/>
    <x v="0"/>
    <n v="5"/>
    <n v="6"/>
    <x v="23"/>
    <x v="0"/>
    <n v="55"/>
    <m/>
    <m/>
    <m/>
    <m/>
    <n v="151"/>
    <n v="0.97419999999999995"/>
    <n v="4"/>
    <d v="1899-12-30T00:00:17"/>
    <d v="1899-12-30T00:02:20"/>
    <d v="1899-12-30T00:01:49"/>
    <n v="0.80520000000000003"/>
    <n v="5.8722222222222218"/>
    <n v="352.33333333333331"/>
    <n v="2.1388888888888888"/>
    <n v="128.33333333333334"/>
    <n v="1"/>
    <n v="1"/>
    <n v="2"/>
    <n v="1"/>
    <m/>
    <m/>
    <m/>
    <m/>
    <n v="73.177631432602269"/>
    <n v="285.04689109338011"/>
    <s v="Training"/>
  </r>
  <r>
    <d v="2020-06-12T00:00:00"/>
    <x v="1"/>
    <n v="6"/>
    <n v="6"/>
    <x v="23"/>
    <x v="0"/>
    <n v="40"/>
    <m/>
    <m/>
    <m/>
    <m/>
    <n v="150"/>
    <n v="0.93169999999999997"/>
    <n v="11"/>
    <d v="1899-12-30T00:00:17"/>
    <d v="1899-12-30T00:02:22"/>
    <d v="1899-12-30T00:02:45"/>
    <n v="0.75319999999999998"/>
    <n v="5.916666666666667"/>
    <n v="355"/>
    <n v="1.5777777777777777"/>
    <n v="94.666666666666657"/>
    <n v="1"/>
    <n v="1"/>
    <n v="2"/>
    <n v="1"/>
    <m/>
    <m/>
    <m/>
    <m/>
    <n v="61.016335503642132"/>
    <n v="280.00514339786622"/>
    <s v="Training"/>
  </r>
  <r>
    <d v="2020-06-13T00:00:00"/>
    <x v="2"/>
    <n v="7"/>
    <n v="6"/>
    <x v="23"/>
    <x v="0"/>
    <n v="122"/>
    <m/>
    <m/>
    <m/>
    <m/>
    <n v="129"/>
    <n v="0.97729999999999995"/>
    <n v="3"/>
    <d v="1899-12-30T00:00:27"/>
    <d v="1899-12-30T00:02:22"/>
    <d v="1899-12-30T00:02:34"/>
    <n v="0.65149999999999997"/>
    <n v="5.0883333333333329"/>
    <n v="305.29999999999995"/>
    <n v="4.8122222222222222"/>
    <n v="288.73333333333335"/>
    <n v="1"/>
    <n v="1"/>
    <n v="2"/>
    <n v="1"/>
    <m/>
    <m/>
    <m/>
    <m/>
    <n v="69.580952395271026"/>
    <n v="288.46307306710111"/>
    <s v="Training"/>
  </r>
  <r>
    <d v="2020-06-14T00:00:00"/>
    <x v="3"/>
    <n v="1"/>
    <n v="6"/>
    <x v="24"/>
    <x v="0"/>
    <n v="17"/>
    <m/>
    <m/>
    <m/>
    <m/>
    <n v="119"/>
    <n v="0.97540000000000004"/>
    <n v="3"/>
    <d v="1899-12-30T00:00:16"/>
    <d v="1899-12-30T00:02:24"/>
    <d v="1899-12-30T00:01:50"/>
    <n v="0.8"/>
    <n v="4.76"/>
    <n v="285.59999999999997"/>
    <n v="0.68"/>
    <n v="40.800000000000004"/>
    <n v="1"/>
    <n v="1"/>
    <n v="2"/>
    <n v="1"/>
    <m/>
    <m/>
    <m/>
    <m/>
    <n v="-23.9968073457831"/>
    <n v="208.1863723089601"/>
    <s v="Training"/>
  </r>
  <r>
    <d v="2020-06-15T00:00:00"/>
    <x v="4"/>
    <n v="2"/>
    <n v="6"/>
    <x v="24"/>
    <x v="0"/>
    <n v="45"/>
    <m/>
    <m/>
    <m/>
    <m/>
    <n v="17"/>
    <n v="1"/>
    <n v="0"/>
    <d v="1899-12-30T00:00:21"/>
    <d v="1899-12-30T00:02:40"/>
    <d v="1899-12-30T00:00:58"/>
    <n v="0.76470000000000005"/>
    <n v="0.75555555555555565"/>
    <n v="45.333333333333336"/>
    <n v="2.0000000000000004"/>
    <n v="120.00000000000003"/>
    <n v="1"/>
    <n v="1"/>
    <n v="1"/>
    <n v="1"/>
    <m/>
    <m/>
    <m/>
    <m/>
    <n v="86.453701207095605"/>
    <n v="307.59601545668949"/>
    <s v="Training"/>
  </r>
  <r>
    <d v="2020-06-16T00:00:00"/>
    <x v="5"/>
    <n v="3"/>
    <n v="6"/>
    <x v="24"/>
    <x v="0"/>
    <n v="177"/>
    <m/>
    <m/>
    <m/>
    <m/>
    <n v="45"/>
    <n v="1"/>
    <n v="0"/>
    <d v="1899-12-30T00:00:06"/>
    <d v="1899-12-30T00:02:06"/>
    <d v="1899-12-30T00:00:57"/>
    <n v="0.9556"/>
    <n v="1.575"/>
    <n v="94.5"/>
    <n v="6.1950000000000003"/>
    <n v="371.70000000000005"/>
    <n v="1"/>
    <n v="1"/>
    <n v="2"/>
    <n v="1"/>
    <m/>
    <m/>
    <m/>
    <m/>
    <n v="70.879060840033659"/>
    <n v="285.18537725322568"/>
    <s v="Training"/>
  </r>
  <r>
    <d v="2020-06-17T00:00:00"/>
    <x v="6"/>
    <n v="4"/>
    <n v="6"/>
    <x v="24"/>
    <x v="0"/>
    <n v="133"/>
    <m/>
    <m/>
    <m/>
    <m/>
    <n v="172"/>
    <n v="0.9718"/>
    <n v="5"/>
    <d v="1899-12-30T00:00:20"/>
    <d v="1899-12-30T00:02:23"/>
    <d v="1899-12-30T00:02:51"/>
    <n v="0.76"/>
    <n v="6.8322222222222226"/>
    <n v="409.93333333333334"/>
    <n v="5.2830555555555554"/>
    <n v="316.98333333333335"/>
    <n v="1.07"/>
    <n v="1"/>
    <n v="2"/>
    <n v="2"/>
    <m/>
    <m/>
    <m/>
    <m/>
    <n v="82.095794426739516"/>
    <n v="302.30136343709722"/>
    <s v="Training"/>
  </r>
  <r>
    <d v="2020-06-18T00:00:00"/>
    <x v="0"/>
    <n v="5"/>
    <n v="6"/>
    <x v="24"/>
    <x v="0"/>
    <n v="177"/>
    <m/>
    <m/>
    <m/>
    <m/>
    <n v="132"/>
    <n v="0.99250000000000005"/>
    <n v="1"/>
    <d v="1899-12-30T00:00:10"/>
    <d v="1899-12-30T00:02:25"/>
    <d v="1899-12-30T00:00:59"/>
    <n v="0.93230000000000002"/>
    <n v="5.3166666666666664"/>
    <n v="319"/>
    <n v="7.1291666666666673"/>
    <n v="427.75000000000006"/>
    <n v="1"/>
    <n v="1.1139322916666667"/>
    <n v="2"/>
    <n v="1"/>
    <m/>
    <m/>
    <m/>
    <m/>
    <n v="81.936889445874499"/>
    <n v="293.87366629466771"/>
    <s v="Training"/>
  </r>
  <r>
    <d v="2020-06-19T00:00:00"/>
    <x v="1"/>
    <n v="6"/>
    <n v="6"/>
    <x v="24"/>
    <x v="0"/>
    <n v="127"/>
    <m/>
    <m/>
    <m/>
    <m/>
    <n v="167"/>
    <n v="0.94350000000000001"/>
    <n v="10"/>
    <d v="1899-12-30T00:00:15"/>
    <d v="1899-12-30T00:02:22"/>
    <d v="1899-12-30T00:04:35"/>
    <n v="0.83240000000000003"/>
    <n v="6.5872222222222234"/>
    <n v="395.23333333333341"/>
    <n v="5.0094444444444441"/>
    <n v="300.56666666666666"/>
    <n v="1.03"/>
    <n v="1"/>
    <n v="2"/>
    <n v="2"/>
    <m/>
    <m/>
    <m/>
    <m/>
    <n v="69.288043458005106"/>
    <n v="293.59401821415707"/>
    <s v="Training"/>
  </r>
  <r>
    <d v="2020-06-20T00:00:00"/>
    <x v="2"/>
    <n v="7"/>
    <n v="6"/>
    <x v="24"/>
    <x v="0"/>
    <n v="148"/>
    <m/>
    <m/>
    <m/>
    <m/>
    <n v="124"/>
    <n v="0.97640000000000005"/>
    <n v="3"/>
    <d v="1899-12-30T00:00:16"/>
    <d v="1899-12-30T00:02:22"/>
    <d v="1899-12-30T00:01:45"/>
    <n v="0.81889999999999996"/>
    <n v="4.891111111111111"/>
    <n v="293.46666666666664"/>
    <n v="5.8377777777777782"/>
    <n v="350.26666666666671"/>
    <n v="1"/>
    <n v="1"/>
    <n v="2"/>
    <n v="1"/>
    <m/>
    <m/>
    <m/>
    <m/>
    <n v="71.058308462285694"/>
    <n v="296.80248258291039"/>
    <s v="Training"/>
  </r>
  <r>
    <d v="2020-06-21T00:00:00"/>
    <x v="3"/>
    <n v="1"/>
    <n v="6"/>
    <x v="25"/>
    <x v="0"/>
    <n v="23"/>
    <m/>
    <m/>
    <m/>
    <m/>
    <n v="147"/>
    <n v="0.99319999999999997"/>
    <n v="1"/>
    <d v="1899-12-30T00:00:16"/>
    <d v="1899-12-30T00:02:11"/>
    <d v="1899-12-30T00:03:11"/>
    <n v="0.83109999999999995"/>
    <n v="5.3491666666666671"/>
    <n v="320.95000000000005"/>
    <n v="0.83694444444444449"/>
    <n v="50.216666666666669"/>
    <n v="1"/>
    <n v="1"/>
    <n v="2"/>
    <n v="1"/>
    <m/>
    <m/>
    <m/>
    <m/>
    <n v="-6.4328498266119816"/>
    <n v="207.93877365593761"/>
    <s v="Training"/>
  </r>
  <r>
    <d v="2020-06-22T00:00:00"/>
    <x v="4"/>
    <n v="2"/>
    <n v="6"/>
    <x v="25"/>
    <x v="0"/>
    <n v="141"/>
    <m/>
    <m/>
    <m/>
    <m/>
    <n v="23"/>
    <n v="1"/>
    <n v="0"/>
    <d v="1899-12-30T00:00:32"/>
    <d v="1899-12-30T00:02:02"/>
    <d v="1899-12-30T00:02:43"/>
    <n v="0.6522"/>
    <n v="0.77944444444444427"/>
    <n v="46.766666666666659"/>
    <n v="4.7783333333333333"/>
    <n v="286.7"/>
    <n v="1"/>
    <n v="1"/>
    <n v="1"/>
    <n v="1"/>
    <m/>
    <m/>
    <m/>
    <m/>
    <n v="88.045686512987416"/>
    <n v="314.24701770875743"/>
    <s v="Training"/>
  </r>
  <r>
    <d v="2020-06-23T00:00:00"/>
    <x v="5"/>
    <n v="3"/>
    <n v="6"/>
    <x v="25"/>
    <x v="0"/>
    <n v="124"/>
    <m/>
    <m/>
    <m/>
    <m/>
    <n v="134"/>
    <n v="0.95040000000000002"/>
    <n v="7"/>
    <d v="1899-12-30T00:00:24"/>
    <d v="1899-12-30T00:02:38"/>
    <d v="1899-12-30T00:02:29"/>
    <n v="0.72140000000000004"/>
    <n v="5.8811111111111112"/>
    <n v="352.86666666666667"/>
    <n v="5.4422222222222221"/>
    <n v="326.5333333333333"/>
    <n v="1"/>
    <n v="1"/>
    <n v="2"/>
    <n v="1"/>
    <m/>
    <m/>
    <m/>
    <m/>
    <n v="80.49894984409552"/>
    <n v="302.43473869328147"/>
    <s v="Training"/>
  </r>
  <r>
    <d v="2020-06-24T00:00:00"/>
    <x v="6"/>
    <n v="4"/>
    <n v="6"/>
    <x v="25"/>
    <x v="0"/>
    <n v="165"/>
    <m/>
    <m/>
    <m/>
    <m/>
    <n v="120"/>
    <n v="0.9677"/>
    <n v="4"/>
    <d v="1899-12-30T00:00:20"/>
    <d v="1899-12-30T00:02:33"/>
    <d v="1899-12-30T00:02:58"/>
    <n v="0.8226"/>
    <n v="5.0999999999999996"/>
    <n v="306"/>
    <n v="7.0125000000000002"/>
    <n v="420.75"/>
    <n v="1"/>
    <n v="1.095703125"/>
    <n v="2"/>
    <n v="1"/>
    <m/>
    <m/>
    <m/>
    <m/>
    <n v="88.979002741678983"/>
    <n v="311.81005101896881"/>
    <s v="Training"/>
  </r>
  <r>
    <d v="2020-06-25T00:00:00"/>
    <x v="0"/>
    <n v="5"/>
    <n v="6"/>
    <x v="25"/>
    <x v="0"/>
    <n v="168"/>
    <m/>
    <m/>
    <m/>
    <m/>
    <n v="156"/>
    <n v="0.94550000000000001"/>
    <n v="9"/>
    <d v="1899-12-30T00:00:25"/>
    <d v="1899-12-30T00:02:21"/>
    <d v="1899-12-30T00:02:38"/>
    <n v="0.70550000000000002"/>
    <n v="6.11"/>
    <n v="366.6"/>
    <n v="6.58"/>
    <n v="394.8"/>
    <n v="1"/>
    <n v="1.028125"/>
    <n v="2"/>
    <n v="1"/>
    <m/>
    <m/>
    <m/>
    <m/>
    <n v="90.842191860268798"/>
    <n v="301.20800100339619"/>
    <s v="Training"/>
  </r>
  <r>
    <d v="2020-06-26T00:00:00"/>
    <x v="1"/>
    <n v="6"/>
    <n v="6"/>
    <x v="25"/>
    <x v="0"/>
    <n v="198"/>
    <m/>
    <m/>
    <m/>
    <m/>
    <n v="166"/>
    <n v="0.98809999999999998"/>
    <n v="2"/>
    <d v="1899-12-30T00:00:21"/>
    <d v="1899-12-30T00:02:33"/>
    <d v="1899-12-30T00:03:43"/>
    <n v="0.80120000000000002"/>
    <n v="7.0549999999999997"/>
    <n v="423.29999999999995"/>
    <n v="8.4149999999999991"/>
    <n v="504.9"/>
    <n v="1.1000000000000001"/>
    <n v="1.3148437499999999"/>
    <n v="2"/>
    <n v="2"/>
    <m/>
    <m/>
    <m/>
    <m/>
    <n v="75.003264710127254"/>
    <n v="301.98062262988208"/>
    <s v="Training"/>
  </r>
  <r>
    <d v="2020-06-27T00:00:00"/>
    <x v="2"/>
    <n v="7"/>
    <n v="6"/>
    <x v="25"/>
    <x v="0"/>
    <n v="139"/>
    <m/>
    <m/>
    <m/>
    <m/>
    <n v="188"/>
    <n v="0.94950000000000001"/>
    <n v="10"/>
    <d v="1899-12-30T00:00:22"/>
    <d v="1899-12-30T00:02:32"/>
    <d v="1899-12-30T00:02:45"/>
    <n v="0.70920000000000005"/>
    <n v="7.9377777777777778"/>
    <n v="476.26666666666665"/>
    <n v="5.8688888888888888"/>
    <n v="352.13333333333333"/>
    <n v="1.24"/>
    <n v="1"/>
    <n v="2"/>
    <n v="2"/>
    <m/>
    <m/>
    <m/>
    <m/>
    <n v="82.00171066053602"/>
    <n v="311.93442145884649"/>
    <s v="Training"/>
  </r>
  <r>
    <d v="2020-06-28T00:00:00"/>
    <x v="3"/>
    <n v="1"/>
    <n v="6"/>
    <x v="26"/>
    <x v="0"/>
    <n v="46"/>
    <m/>
    <m/>
    <m/>
    <m/>
    <n v="133"/>
    <n v="0.95679999999999998"/>
    <n v="6"/>
    <d v="1899-12-30T00:00:17"/>
    <d v="1899-12-30T00:02:40"/>
    <d v="1899-12-30T00:03:03"/>
    <n v="0.80149999999999999"/>
    <n v="5.9111111111111123"/>
    <n v="354.66666666666674"/>
    <n v="2.0444444444444443"/>
    <n v="122.66666666666666"/>
    <n v="1"/>
    <n v="1"/>
    <n v="2"/>
    <n v="1"/>
    <m/>
    <m/>
    <m/>
    <m/>
    <n v="-1.288878065241956"/>
    <n v="222.60787980337079"/>
    <s v="Training"/>
  </r>
  <r>
    <d v="2020-06-29T00:00:00"/>
    <x v="4"/>
    <n v="2"/>
    <n v="6"/>
    <x v="26"/>
    <x v="0"/>
    <n v="184"/>
    <m/>
    <m/>
    <m/>
    <m/>
    <n v="45"/>
    <n v="0.97829999999999995"/>
    <n v="1"/>
    <d v="1899-12-30T00:00:10"/>
    <d v="1899-12-30T00:02:14"/>
    <d v="1899-12-30T00:01:16"/>
    <n v="0.88890000000000002"/>
    <n v="1.675"/>
    <n v="100.5"/>
    <n v="6.8488888888888892"/>
    <n v="410.93333333333334"/>
    <n v="1"/>
    <n v="1.070138888888889"/>
    <n v="1"/>
    <n v="1"/>
    <m/>
    <m/>
    <m/>
    <m/>
    <n v="97.399321574156687"/>
    <n v="315.08201056455931"/>
    <s v="Training"/>
  </r>
  <r>
    <d v="2020-06-30T00:00:00"/>
    <x v="5"/>
    <n v="3"/>
    <n v="6"/>
    <x v="26"/>
    <x v="0"/>
    <n v="207"/>
    <m/>
    <m/>
    <m/>
    <m/>
    <n v="174"/>
    <n v="0.94569999999999999"/>
    <n v="10"/>
    <d v="1899-12-30T00:00:23"/>
    <d v="1899-12-30T00:02:37"/>
    <d v="1899-12-30T00:04:35"/>
    <n v="0.76539999999999997"/>
    <n v="7.5883333333333329"/>
    <n v="455.29999999999995"/>
    <n v="9.0274999999999999"/>
    <n v="541.65"/>
    <n v="1.19"/>
    <n v="1.4105468749999999"/>
    <n v="2"/>
    <n v="2"/>
    <m/>
    <m/>
    <m/>
    <m/>
    <n v="78.838081821896424"/>
    <n v="295.51552436839899"/>
    <s v="Training"/>
  </r>
  <r>
    <d v="2020-07-01T00:00:00"/>
    <x v="6"/>
    <n v="4"/>
    <n v="7"/>
    <x v="26"/>
    <x v="0"/>
    <n v="252"/>
    <m/>
    <m/>
    <m/>
    <m/>
    <n v="190"/>
    <n v="0.91790000000000005"/>
    <n v="17"/>
    <d v="1899-12-30T00:00:21"/>
    <d v="1899-12-30T00:02:23"/>
    <d v="1899-12-30T00:04:06"/>
    <n v="0.71360000000000001"/>
    <n v="7.5472222222222225"/>
    <n v="452.83333333333337"/>
    <n v="10.01"/>
    <n v="600.6"/>
    <n v="1.18"/>
    <n v="1.5640625000000001"/>
    <n v="2"/>
    <n v="2"/>
    <m/>
    <m/>
    <m/>
    <m/>
    <n v="85.689881799736767"/>
    <n v="308.42874377065363"/>
    <s v="Training"/>
  </r>
  <r>
    <d v="2020-07-02T00:00:00"/>
    <x v="0"/>
    <n v="5"/>
    <n v="7"/>
    <x v="26"/>
    <x v="0"/>
    <n v="194"/>
    <m/>
    <m/>
    <m/>
    <m/>
    <n v="180"/>
    <n v="0.94240000000000002"/>
    <n v="11"/>
    <d v="1899-12-30T00:00:21"/>
    <d v="1899-12-30T00:02:32"/>
    <d v="1899-12-30T00:01:53"/>
    <n v="0.76500000000000001"/>
    <n v="7.6"/>
    <n v="456"/>
    <n v="8.1911111111111126"/>
    <n v="491.46666666666675"/>
    <n v="1.19"/>
    <n v="1.2798611111111113"/>
    <n v="2"/>
    <n v="2"/>
    <m/>
    <m/>
    <m/>
    <m/>
    <n v="80.194937889985184"/>
    <n v="308.11250294691268"/>
    <s v="Training"/>
  </r>
  <r>
    <d v="2020-07-03T00:00:00"/>
    <x v="1"/>
    <n v="6"/>
    <n v="7"/>
    <x v="26"/>
    <x v="0"/>
    <n v="202"/>
    <m/>
    <m/>
    <m/>
    <m/>
    <n v="204"/>
    <n v="0.9577"/>
    <n v="9"/>
    <d v="1899-12-30T00:00:24"/>
    <d v="1899-12-30T00:02:26"/>
    <d v="1899-12-30T00:02:46"/>
    <n v="0.69669999999999999"/>
    <n v="8.2733333333333334"/>
    <n v="496.4"/>
    <n v="8.1922222222222221"/>
    <n v="491.5333333333333"/>
    <n v="1.29"/>
    <n v="1.2800347222222221"/>
    <n v="2"/>
    <n v="2"/>
    <m/>
    <m/>
    <m/>
    <m/>
    <n v="80.307287930728805"/>
    <n v="299.07595157954938"/>
    <s v="Training"/>
  </r>
  <r>
    <d v="2020-07-04T00:00:00"/>
    <x v="2"/>
    <n v="7"/>
    <n v="7"/>
    <x v="26"/>
    <x v="0"/>
    <n v="201"/>
    <m/>
    <m/>
    <m/>
    <m/>
    <n v="451"/>
    <n v="0.93369999999999997"/>
    <n v="32"/>
    <d v="1899-12-30T00:00:16"/>
    <d v="1899-12-30T00:00:57"/>
    <d v="1899-12-30T00:08:45"/>
    <n v="0.79200000000000004"/>
    <n v="7.1408333333333331"/>
    <n v="428.45"/>
    <n v="3.1825000000000001"/>
    <n v="190.95000000000002"/>
    <n v="1.1200000000000001"/>
    <n v="1"/>
    <n v="2"/>
    <n v="2"/>
    <m/>
    <m/>
    <m/>
    <m/>
    <n v="83.140596745099359"/>
    <n v="295.65064875012621"/>
    <s v="Training"/>
  </r>
  <r>
    <d v="2020-07-05T00:00:00"/>
    <x v="3"/>
    <n v="1"/>
    <n v="7"/>
    <x v="27"/>
    <x v="0"/>
    <n v="201"/>
    <m/>
    <m/>
    <m/>
    <m/>
    <n v="526"/>
    <n v="0.96160000000000001"/>
    <n v="21"/>
    <d v="1899-12-30T00:00:19"/>
    <d v="1899-12-30T00:01:21"/>
    <d v="1899-12-30T00:03:54"/>
    <n v="0.81579999999999997"/>
    <n v="11.835000000000001"/>
    <n v="710.1"/>
    <n v="4.5224999999999991"/>
    <n v="271.34999999999997"/>
    <n v="1.85"/>
    <n v="1"/>
    <n v="2"/>
    <n v="2"/>
    <m/>
    <m/>
    <m/>
    <m/>
    <n v="-6.6415975548153652"/>
    <n v="205.60178073105621"/>
    <s v="Training"/>
  </r>
  <r>
    <d v="2020-07-06T00:00:00"/>
    <x v="4"/>
    <n v="2"/>
    <n v="7"/>
    <x v="27"/>
    <x v="0"/>
    <n v="21"/>
    <m/>
    <m/>
    <m/>
    <m/>
    <n v="53"/>
    <n v="0.98150000000000004"/>
    <n v="1"/>
    <d v="1899-12-30T00:00:25"/>
    <d v="1899-12-30T00:02:36"/>
    <d v="1899-12-30T00:01:18"/>
    <n v="0.70369999999999999"/>
    <n v="2.2966666666666669"/>
    <n v="137.80000000000001"/>
    <n v="0.91"/>
    <n v="54.6"/>
    <n v="1"/>
    <n v="1"/>
    <n v="1"/>
    <n v="1"/>
    <m/>
    <m/>
    <m/>
    <m/>
    <n v="96.060337688828852"/>
    <n v="316.58464001963642"/>
    <s v="Training"/>
  </r>
  <r>
    <d v="2020-07-07T00:00:00"/>
    <x v="5"/>
    <n v="3"/>
    <n v="7"/>
    <x v="27"/>
    <x v="0"/>
    <n v="205"/>
    <m/>
    <m/>
    <m/>
    <m/>
    <n v="261"/>
    <n v="0.94910000000000005"/>
    <n v="14"/>
    <d v="1899-12-30T00:00:22"/>
    <d v="1899-12-30T00:02:13"/>
    <d v="1899-12-30T00:02:12"/>
    <n v="0.74439999999999995"/>
    <n v="9.6425000000000001"/>
    <n v="578.54999999999995"/>
    <n v="7.5736111111111111"/>
    <n v="454.41666666666669"/>
    <n v="1.51"/>
    <n v="1.1833767361111112"/>
    <n v="2"/>
    <n v="2"/>
    <m/>
    <m/>
    <m/>
    <m/>
    <n v="73.181394150140491"/>
    <n v="301.9652942698558"/>
    <s v="Training"/>
  </r>
  <r>
    <d v="2020-07-08T00:00:00"/>
    <x v="6"/>
    <n v="4"/>
    <n v="7"/>
    <x v="27"/>
    <x v="0"/>
    <n v="202"/>
    <m/>
    <m/>
    <m/>
    <m/>
    <n v="195"/>
    <n v="0.95120000000000005"/>
    <n v="10"/>
    <d v="1899-12-30T00:00:24"/>
    <d v="1899-12-30T00:02:34"/>
    <d v="1899-12-30T00:03:00"/>
    <n v="0.70789999999999997"/>
    <n v="8.3416666666666668"/>
    <n v="500.5"/>
    <n v="8.6411111111111119"/>
    <n v="518.4666666666667"/>
    <n v="1.3"/>
    <n v="1.3501736111111111"/>
    <n v="2"/>
    <n v="2"/>
    <m/>
    <m/>
    <m/>
    <m/>
    <n v="87.362621577677913"/>
    <n v="296.90093150226232"/>
    <s v="Training"/>
  </r>
  <r>
    <d v="2020-07-09T00:00:00"/>
    <x v="0"/>
    <n v="5"/>
    <n v="7"/>
    <x v="27"/>
    <x v="0"/>
    <n v="248"/>
    <m/>
    <m/>
    <m/>
    <m/>
    <n v="77"/>
    <n v="0.96250000000000002"/>
    <n v="3"/>
    <d v="1899-12-30T00:00:10"/>
    <d v="1899-12-30T00:02:11"/>
    <d v="1899-12-30T00:01:33"/>
    <n v="0.89610000000000001"/>
    <n v="2.8019444444444446"/>
    <n v="168.11666666666667"/>
    <n v="9.0244444444444447"/>
    <n v="541.4666666666667"/>
    <n v="1"/>
    <n v="1.4100694444444446"/>
    <n v="2"/>
    <n v="1"/>
    <m/>
    <m/>
    <m/>
    <m/>
    <n v="86.586336691099092"/>
    <n v="300.94831066918528"/>
    <s v="Training"/>
  </r>
  <r>
    <d v="2020-07-10T00:00:00"/>
    <x v="1"/>
    <n v="6"/>
    <n v="7"/>
    <x v="27"/>
    <x v="0"/>
    <n v="346"/>
    <m/>
    <m/>
    <m/>
    <m/>
    <n v="195"/>
    <n v="0.97499999999999998"/>
    <n v="5"/>
    <d v="1899-12-30T00:00:21"/>
    <d v="1899-12-30T00:02:30"/>
    <d v="1899-12-30T00:02:48"/>
    <n v="0.75249999999999995"/>
    <n v="8.1249999999999982"/>
    <n v="487.49999999999989"/>
    <n v="14.416666666666666"/>
    <n v="865"/>
    <n v="1.27"/>
    <n v="2.2526041666666665"/>
    <n v="2"/>
    <n v="2"/>
    <m/>
    <m/>
    <m/>
    <m/>
    <n v="71.977800511351234"/>
    <n v="291.74742115093261"/>
    <s v="Training"/>
  </r>
  <r>
    <d v="2020-07-11T00:00:00"/>
    <x v="2"/>
    <n v="7"/>
    <n v="7"/>
    <x v="27"/>
    <x v="0"/>
    <n v="59"/>
    <m/>
    <m/>
    <m/>
    <m/>
    <n v="150"/>
    <n v="0.97399999999999998"/>
    <n v="4"/>
    <d v="1899-12-30T00:00:21"/>
    <d v="1899-12-30T00:02:29"/>
    <d v="1899-12-30T00:02:45"/>
    <n v="0.74339999999999995"/>
    <n v="6.2083333333333321"/>
    <n v="372.49999999999994"/>
    <n v="2.4419444444444443"/>
    <n v="146.51666666666665"/>
    <n v="1"/>
    <n v="1"/>
    <n v="2"/>
    <n v="1"/>
    <m/>
    <m/>
    <m/>
    <m/>
    <n v="71.675674817962246"/>
    <n v="301.18901120117857"/>
    <s v="Training"/>
  </r>
  <r>
    <d v="2020-07-12T00:00:00"/>
    <x v="3"/>
    <n v="1"/>
    <n v="7"/>
    <x v="28"/>
    <x v="0"/>
    <n v="192"/>
    <m/>
    <m/>
    <m/>
    <m/>
    <n v="155"/>
    <n v="0.95089999999999997"/>
    <n v="8"/>
    <d v="1899-12-30T00:00:23"/>
    <d v="1899-12-30T00:02:18"/>
    <d v="1899-12-30T00:02:26"/>
    <n v="0.74519999999999997"/>
    <n v="5.9416666666666664"/>
    <n v="356.5"/>
    <n v="7.3600000000000012"/>
    <n v="441.60000000000008"/>
    <n v="1"/>
    <n v="1.1500000000000001"/>
    <n v="2"/>
    <n v="1"/>
    <m/>
    <m/>
    <m/>
    <m/>
    <n v="-12.8232882329453"/>
    <n v="206.26580627799319"/>
    <s v="Training"/>
  </r>
  <r>
    <d v="2020-07-13T00:00:00"/>
    <x v="4"/>
    <n v="2"/>
    <n v="7"/>
    <x v="28"/>
    <x v="0"/>
    <n v="218"/>
    <m/>
    <m/>
    <m/>
    <m/>
    <n v="12"/>
    <n v="1"/>
    <n v="0"/>
    <d v="1899-12-30T00:00:25"/>
    <d v="1899-12-30T00:03:37"/>
    <d v="1899-12-30T00:01:28"/>
    <n v="0.66669999999999996"/>
    <n v="0.72333333333333338"/>
    <n v="43.400000000000006"/>
    <n v="13.140555555555556"/>
    <n v="788.43333333333339"/>
    <n v="1"/>
    <n v="2.0532118055555557"/>
    <n v="1"/>
    <n v="1"/>
    <m/>
    <m/>
    <m/>
    <m/>
    <n v="92.960370792911021"/>
    <n v="306.22318469637588"/>
    <s v="Training"/>
  </r>
  <r>
    <d v="2020-07-14T00:00:00"/>
    <x v="5"/>
    <n v="3"/>
    <n v="7"/>
    <x v="28"/>
    <x v="0"/>
    <n v="172"/>
    <m/>
    <m/>
    <m/>
    <m/>
    <n v="212"/>
    <n v="0.97250000000000003"/>
    <n v="6"/>
    <d v="1899-12-30T00:00:20"/>
    <d v="1899-12-30T00:01:56"/>
    <d v="1899-12-30T00:04:11"/>
    <n v="0.75929999999999997"/>
    <n v="6.8311111111111114"/>
    <n v="409.86666666666667"/>
    <n v="5.5422222222222208"/>
    <n v="332.53333333333325"/>
    <n v="1.07"/>
    <n v="1"/>
    <n v="2"/>
    <n v="2"/>
    <m/>
    <m/>
    <m/>
    <m/>
    <n v="77.975803278623999"/>
    <n v="292.98605843491919"/>
    <s v="Training"/>
  </r>
  <r>
    <d v="2020-07-15T00:00:00"/>
    <x v="6"/>
    <n v="4"/>
    <n v="7"/>
    <x v="28"/>
    <x v="0"/>
    <n v="205"/>
    <m/>
    <m/>
    <m/>
    <m/>
    <n v="163"/>
    <n v="0.94769999999999999"/>
    <n v="9"/>
    <d v="1899-12-30T00:00:18"/>
    <d v="1899-12-30T00:02:09"/>
    <d v="1899-12-30T00:01:53"/>
    <n v="0.81930000000000003"/>
    <n v="5.8408333333333333"/>
    <n v="350.45"/>
    <n v="7.3458333333333332"/>
    <n v="440.75"/>
    <n v="1"/>
    <n v="1.1477864583333333"/>
    <n v="2"/>
    <n v="1"/>
    <m/>
    <m/>
    <m/>
    <m/>
    <n v="79.561673003782857"/>
    <n v="302.45060849442859"/>
    <s v="Training"/>
  </r>
  <r>
    <d v="2020-07-16T00:00:00"/>
    <x v="0"/>
    <n v="5"/>
    <n v="7"/>
    <x v="28"/>
    <x v="0"/>
    <n v="178"/>
    <m/>
    <m/>
    <m/>
    <m/>
    <n v="194"/>
    <n v="0.94630000000000003"/>
    <n v="11"/>
    <d v="1899-12-30T00:00:18"/>
    <d v="1899-12-30T00:02:24"/>
    <d v="1899-12-30T00:01:41"/>
    <n v="0.80600000000000005"/>
    <n v="7.7600000000000007"/>
    <n v="465.6"/>
    <n v="7.120000000000001"/>
    <n v="427.20000000000005"/>
    <n v="1.21"/>
    <n v="1.1125"/>
    <n v="2"/>
    <n v="2"/>
    <m/>
    <m/>
    <m/>
    <m/>
    <n v="77.469511668282806"/>
    <n v="307.12611944691042"/>
    <s v="Training"/>
  </r>
  <r>
    <d v="2020-07-17T00:00:00"/>
    <x v="1"/>
    <n v="6"/>
    <n v="7"/>
    <x v="28"/>
    <x v="0"/>
    <n v="214"/>
    <m/>
    <m/>
    <m/>
    <m/>
    <n v="168"/>
    <n v="0.94379999999999997"/>
    <n v="10"/>
    <d v="1899-12-30T00:00:23"/>
    <d v="1899-12-30T00:02:28"/>
    <d v="1899-12-30T00:02:50"/>
    <n v="0.68969999999999998"/>
    <n v="6.9066666666666681"/>
    <n v="414.40000000000009"/>
    <n v="8.7977777777777781"/>
    <n v="527.86666666666667"/>
    <n v="1.08"/>
    <n v="1.3746527777777777"/>
    <n v="2"/>
    <n v="2"/>
    <m/>
    <m/>
    <m/>
    <m/>
    <n v="68.908163349687953"/>
    <n v="281.91882138396579"/>
    <s v="Training"/>
  </r>
  <r>
    <d v="2020-07-18T00:00:00"/>
    <x v="2"/>
    <n v="7"/>
    <n v="7"/>
    <x v="28"/>
    <x v="0"/>
    <n v="169"/>
    <m/>
    <m/>
    <m/>
    <m/>
    <n v="201"/>
    <n v="0.93930000000000002"/>
    <n v="13"/>
    <d v="1899-12-30T00:00:23"/>
    <d v="1899-12-30T00:02:11"/>
    <d v="1899-12-30T00:02:24"/>
    <n v="0.6603"/>
    <n v="7.3141666666666669"/>
    <n v="438.85"/>
    <n v="6.1497222222222225"/>
    <n v="368.98333333333335"/>
    <n v="1.1399999999999999"/>
    <n v="1"/>
    <n v="2"/>
    <n v="2"/>
    <m/>
    <m/>
    <m/>
    <m/>
    <n v="68.981670842231892"/>
    <n v="291.48644273734573"/>
    <s v="Training"/>
  </r>
  <r>
    <d v="2020-07-19T00:00:00"/>
    <x v="3"/>
    <n v="1"/>
    <n v="7"/>
    <x v="29"/>
    <x v="0"/>
    <n v="46"/>
    <m/>
    <m/>
    <m/>
    <m/>
    <n v="161"/>
    <n v="0.95269999999999999"/>
    <n v="8"/>
    <d v="1899-12-30T00:00:23"/>
    <d v="1899-12-30T00:02:17"/>
    <d v="1899-12-30T00:04:35"/>
    <n v="0.71689999999999998"/>
    <n v="6.1269444444444447"/>
    <n v="367.61666666666667"/>
    <n v="1.7505555555555556"/>
    <n v="105.03333333333333"/>
    <n v="1"/>
    <n v="1"/>
    <n v="2"/>
    <n v="1"/>
    <m/>
    <m/>
    <m/>
    <m/>
    <n v="-21.69119762040075"/>
    <n v="201.99813550134559"/>
    <s v="Training"/>
  </r>
  <r>
    <d v="2020-07-20T00:00:00"/>
    <x v="4"/>
    <n v="2"/>
    <n v="7"/>
    <x v="29"/>
    <x v="0"/>
    <n v="183"/>
    <m/>
    <m/>
    <m/>
    <m/>
    <n v="46"/>
    <n v="1"/>
    <n v="0"/>
    <d v="1899-12-30T00:00:25"/>
    <d v="1899-12-30T00:02:24"/>
    <d v="1899-12-30T00:01:35"/>
    <n v="0.71740000000000004"/>
    <n v="1.8400000000000003"/>
    <n v="110.40000000000002"/>
    <n v="7.32"/>
    <n v="439.20000000000005"/>
    <n v="1"/>
    <n v="1.14375"/>
    <n v="1"/>
    <n v="1"/>
    <m/>
    <m/>
    <m/>
    <m/>
    <n v="80.823761663044053"/>
    <n v="297.30844816562109"/>
    <s v="Training"/>
  </r>
  <r>
    <d v="2020-07-21T00:00:00"/>
    <x v="5"/>
    <n v="3"/>
    <n v="7"/>
    <x v="29"/>
    <x v="0"/>
    <n v="208"/>
    <m/>
    <m/>
    <m/>
    <m/>
    <n v="177"/>
    <n v="0.96719999999999995"/>
    <n v="6"/>
    <d v="1899-12-30T00:00:18"/>
    <d v="1899-12-30T00:02:30"/>
    <d v="1899-12-30T00:01:07"/>
    <n v="0.81110000000000004"/>
    <n v="7.3749999999999991"/>
    <n v="442.49999999999994"/>
    <n v="8.6666666666666661"/>
    <n v="520"/>
    <n v="1.1499999999999999"/>
    <n v="1.3541666666666667"/>
    <n v="2"/>
    <n v="2"/>
    <m/>
    <m/>
    <m/>
    <m/>
    <n v="66.609158137221101"/>
    <n v="280.44635010463611"/>
    <s v="Training"/>
  </r>
  <r>
    <d v="2020-07-22T00:00:00"/>
    <x v="6"/>
    <n v="4"/>
    <n v="7"/>
    <x v="29"/>
    <x v="0"/>
    <n v="234"/>
    <m/>
    <m/>
    <m/>
    <m/>
    <n v="190"/>
    <n v="0.91349999999999998"/>
    <n v="18"/>
    <d v="1899-12-30T00:00:21"/>
    <d v="1899-12-30T00:02:25"/>
    <d v="1899-12-30T00:01:50"/>
    <n v="0.74109999999999998"/>
    <n v="7.6527777777777777"/>
    <n v="459.16666666666669"/>
    <n v="9.4250000000000007"/>
    <n v="565.5"/>
    <n v="1.2"/>
    <n v="1.47265625"/>
    <n v="2"/>
    <n v="2"/>
    <m/>
    <m/>
    <m/>
    <m/>
    <n v="80.811045254486359"/>
    <n v="306.7658651394089"/>
    <s v="Training"/>
  </r>
  <r>
    <d v="2020-07-23T00:00:00"/>
    <x v="0"/>
    <n v="5"/>
    <n v="7"/>
    <x v="29"/>
    <x v="0"/>
    <n v="204"/>
    <m/>
    <m/>
    <m/>
    <m/>
    <n v="224"/>
    <n v="0.95730000000000004"/>
    <n v="10"/>
    <d v="1899-12-30T00:00:22"/>
    <d v="1899-12-30T00:02:15"/>
    <d v="1899-12-30T00:03:20"/>
    <n v="0.74139999999999995"/>
    <n v="8.4"/>
    <n v="504"/>
    <n v="7.6500000000000012"/>
    <n v="459.00000000000006"/>
    <n v="1.31"/>
    <n v="1.1953125000000002"/>
    <n v="2"/>
    <n v="2"/>
    <m/>
    <m/>
    <m/>
    <m/>
    <n v="73.636049338634493"/>
    <n v="296.10560530737229"/>
    <s v="Training"/>
  </r>
  <r>
    <d v="2020-07-24T00:00:00"/>
    <x v="1"/>
    <n v="6"/>
    <n v="7"/>
    <x v="29"/>
    <x v="0"/>
    <n v="204"/>
    <m/>
    <m/>
    <m/>
    <m/>
    <n v="194"/>
    <n v="0.95099999999999996"/>
    <n v="10"/>
    <d v="1899-12-30T00:00:18"/>
    <d v="1899-12-30T00:02:17"/>
    <d v="1899-12-30T00:01:50"/>
    <n v="0.78710000000000002"/>
    <n v="7.3827777777777763"/>
    <n v="442.96666666666658"/>
    <n v="7.7633333333333336"/>
    <n v="465.8"/>
    <n v="1.1499999999999999"/>
    <n v="1.2130208333333334"/>
    <n v="2"/>
    <n v="2"/>
    <m/>
    <m/>
    <m/>
    <m/>
    <n v="66.156833023144614"/>
    <n v="289.73834861043412"/>
    <s v="Training"/>
  </r>
  <r>
    <d v="2020-07-25T00:00:00"/>
    <x v="2"/>
    <n v="7"/>
    <n v="7"/>
    <x v="29"/>
    <x v="0"/>
    <n v="99"/>
    <m/>
    <m/>
    <m/>
    <m/>
    <n v="189"/>
    <n v="0.92649999999999999"/>
    <n v="15"/>
    <d v="1899-12-30T00:00:21"/>
    <d v="1899-12-30T00:02:15"/>
    <d v="1899-12-30T00:03:56"/>
    <n v="0.70789999999999997"/>
    <n v="7.0875000000000012"/>
    <n v="425.25000000000006"/>
    <n v="3.7124999999999999"/>
    <n v="222.75"/>
    <n v="1.1100000000000001"/>
    <n v="1"/>
    <n v="2"/>
    <n v="2"/>
    <m/>
    <m/>
    <m/>
    <m/>
    <n v="69.029102101236489"/>
    <n v="283.52363718416422"/>
    <s v="Training"/>
  </r>
  <r>
    <d v="2020-07-26T00:00:00"/>
    <x v="3"/>
    <n v="1"/>
    <n v="7"/>
    <x v="30"/>
    <x v="0"/>
    <n v="29"/>
    <m/>
    <m/>
    <m/>
    <m/>
    <n v="99"/>
    <n v="1"/>
    <n v="0"/>
    <d v="1899-12-30T00:00:16"/>
    <d v="1899-12-30T00:02:25"/>
    <d v="1899-12-30T00:01:02"/>
    <n v="0.82830000000000004"/>
    <n v="3.9874999999999998"/>
    <n v="239.25"/>
    <n v="1.1680555555555556"/>
    <n v="70.083333333333343"/>
    <n v="1"/>
    <n v="1"/>
    <n v="2"/>
    <n v="1"/>
    <m/>
    <m/>
    <m/>
    <m/>
    <n v="-14.911055692193891"/>
    <n v="197.38095128462189"/>
    <s v="Training"/>
  </r>
  <r>
    <d v="2020-07-27T00:00:00"/>
    <x v="4"/>
    <n v="2"/>
    <n v="7"/>
    <x v="30"/>
    <x v="0"/>
    <n v="167"/>
    <m/>
    <m/>
    <m/>
    <m/>
    <n v="27"/>
    <n v="0.93100000000000005"/>
    <n v="2"/>
    <d v="1899-12-30T00:00:19"/>
    <d v="1899-12-30T00:02:47"/>
    <d v="1899-12-30T00:02:22"/>
    <n v="0.78569999999999995"/>
    <n v="1.2524999999999999"/>
    <n v="75.149999999999991"/>
    <n v="7.7469444444444449"/>
    <n v="464.81666666666672"/>
    <n v="1"/>
    <n v="1.2104600694444445"/>
    <n v="1"/>
    <n v="1"/>
    <m/>
    <m/>
    <m/>
    <m/>
    <n v="69.462088818706505"/>
    <n v="287.14002752947408"/>
    <s v="Training"/>
  </r>
  <r>
    <d v="2020-07-28T00:00:00"/>
    <x v="5"/>
    <n v="3"/>
    <n v="7"/>
    <x v="30"/>
    <x v="0"/>
    <n v="164"/>
    <m/>
    <m/>
    <m/>
    <m/>
    <n v="159"/>
    <n v="0.95209999999999995"/>
    <n v="8"/>
    <d v="1899-12-30T00:00:23"/>
    <d v="1899-12-30T00:02:28"/>
    <d v="1899-12-30T00:04:35"/>
    <n v="0.70479999999999998"/>
    <n v="6.5366666666666671"/>
    <n v="392.20000000000005"/>
    <n v="6.7422222222222219"/>
    <n v="404.5333333333333"/>
    <n v="1.02"/>
    <n v="1.0534722222222221"/>
    <n v="2"/>
    <n v="2"/>
    <m/>
    <m/>
    <m/>
    <m/>
    <n v="51.863430930986617"/>
    <n v="278.38696473997987"/>
    <s v="Training"/>
  </r>
  <r>
    <d v="2020-07-29T00:00:00"/>
    <x v="6"/>
    <n v="4"/>
    <n v="7"/>
    <x v="30"/>
    <x v="0"/>
    <n v="158"/>
    <m/>
    <m/>
    <m/>
    <m/>
    <n v="161"/>
    <n v="0.98170000000000002"/>
    <n v="3"/>
    <d v="1899-12-30T00:00:17"/>
    <d v="1899-12-30T00:02:35"/>
    <d v="1899-12-30T00:01:37"/>
    <n v="0.81710000000000005"/>
    <n v="6.9319444444444445"/>
    <n v="415.91666666666669"/>
    <n v="6.8027777777777771"/>
    <n v="408.16666666666663"/>
    <n v="1.08"/>
    <n v="1.0629340277777777"/>
    <n v="2"/>
    <n v="2"/>
    <m/>
    <m/>
    <m/>
    <m/>
    <n v="68.823429543715193"/>
    <n v="286.86913939096951"/>
    <s v="Training"/>
  </r>
  <r>
    <d v="2020-07-30T00:00:00"/>
    <x v="0"/>
    <n v="5"/>
    <n v="7"/>
    <x v="30"/>
    <x v="0"/>
    <n v="165"/>
    <m/>
    <m/>
    <m/>
    <m/>
    <n v="147"/>
    <n v="0.9304"/>
    <n v="11"/>
    <d v="1899-12-30T00:00:21"/>
    <d v="1899-12-30T00:02:34"/>
    <d v="1899-12-30T00:02:03"/>
    <n v="0.72440000000000004"/>
    <n v="6.2883333333333331"/>
    <n v="377.3"/>
    <n v="7.0583333333333336"/>
    <n v="423.5"/>
    <n v="1"/>
    <n v="1.1028645833333333"/>
    <n v="2"/>
    <n v="1"/>
    <m/>
    <m/>
    <m/>
    <m/>
    <n v="61.055884531537423"/>
    <n v="285.45882529131347"/>
    <s v="Training"/>
  </r>
  <r>
    <d v="2020-07-31T00:00:00"/>
    <x v="1"/>
    <n v="6"/>
    <n v="7"/>
    <x v="30"/>
    <x v="0"/>
    <n v="129"/>
    <m/>
    <m/>
    <m/>
    <m/>
    <n v="161"/>
    <n v="0.9758"/>
    <n v="4"/>
    <d v="1899-12-30T00:00:17"/>
    <d v="1899-12-30T00:02:26"/>
    <d v="1899-12-30T00:01:06"/>
    <n v="0.77910000000000001"/>
    <n v="6.5294444444444437"/>
    <n v="391.76666666666665"/>
    <n v="5.2316666666666665"/>
    <n v="313.89999999999998"/>
    <n v="1.02"/>
    <n v="1"/>
    <n v="2"/>
    <n v="2"/>
    <m/>
    <m/>
    <m/>
    <m/>
    <n v="48.400835653463361"/>
    <n v="275.89496714592968"/>
    <s v="Training"/>
  </r>
  <r>
    <d v="2020-08-01T00:00:00"/>
    <x v="2"/>
    <n v="7"/>
    <n v="8"/>
    <x v="30"/>
    <x v="0"/>
    <n v="213"/>
    <m/>
    <m/>
    <m/>
    <m/>
    <n v="124"/>
    <n v="0.96120000000000005"/>
    <n v="5"/>
    <d v="1899-12-30T00:00:23"/>
    <d v="1899-12-30T00:02:28"/>
    <d v="1899-12-30T00:01:50"/>
    <n v="0.7087"/>
    <n v="5.097777777777778"/>
    <n v="305.86666666666667"/>
    <n v="8.7566666666666677"/>
    <n v="525.40000000000009"/>
    <n v="1"/>
    <n v="1.3682291666666668"/>
    <n v="2"/>
    <n v="1"/>
    <m/>
    <m/>
    <m/>
    <m/>
    <n v="50.474233117298049"/>
    <n v="273.78647927308259"/>
    <s v="Training"/>
  </r>
  <r>
    <d v="2020-08-02T00:00:00"/>
    <x v="3"/>
    <n v="1"/>
    <n v="8"/>
    <x v="31"/>
    <x v="0"/>
    <n v="227"/>
    <m/>
    <m/>
    <m/>
    <m/>
    <n v="149"/>
    <n v="0.96130000000000004"/>
    <n v="6"/>
    <d v="1899-12-30T00:00:23"/>
    <d v="1899-12-30T00:02:26"/>
    <d v="1899-12-30T00:04:19"/>
    <n v="0.74509999999999998"/>
    <n v="6.0427777777777774"/>
    <n v="362.56666666666666"/>
    <n v="9.2061111111111114"/>
    <n v="552.36666666666667"/>
    <n v="1"/>
    <n v="1.4384548611111112"/>
    <n v="2"/>
    <n v="1"/>
    <m/>
    <m/>
    <m/>
    <m/>
    <n v="-34.724910060835093"/>
    <n v="185.32668230476611"/>
    <s v="Training"/>
  </r>
  <r>
    <d v="2020-08-03T00:00:00"/>
    <x v="4"/>
    <n v="2"/>
    <n v="8"/>
    <x v="31"/>
    <x v="0"/>
    <n v="43"/>
    <m/>
    <m/>
    <m/>
    <m/>
    <n v="22"/>
    <n v="0.91669999999999996"/>
    <n v="2"/>
    <d v="1899-12-30T00:00:28"/>
    <d v="1899-12-30T00:02:24"/>
    <d v="1899-12-30T00:01:21"/>
    <n v="0.54169999999999996"/>
    <n v="0.88"/>
    <n v="52.8"/>
    <n v="1.72"/>
    <n v="103.2"/>
    <n v="1"/>
    <n v="1"/>
    <n v="1"/>
    <n v="1"/>
    <m/>
    <m/>
    <m/>
    <m/>
    <n v="59.875823575944679"/>
    <n v="284.43121092354568"/>
    <s v="Training"/>
  </r>
  <r>
    <d v="2020-08-04T00:00:00"/>
    <x v="5"/>
    <n v="3"/>
    <n v="8"/>
    <x v="31"/>
    <x v="0"/>
    <n v="202"/>
    <m/>
    <m/>
    <m/>
    <m/>
    <n v="200"/>
    <n v="0.95689999999999997"/>
    <n v="9"/>
    <d v="1899-12-30T00:00:23"/>
    <d v="1899-12-30T00:02:24"/>
    <d v="1899-12-30T00:02:11"/>
    <n v="0.66669999999999996"/>
    <n v="8.0000000000000018"/>
    <n v="480.00000000000011"/>
    <n v="8.08"/>
    <n v="484.8"/>
    <n v="1.25"/>
    <n v="1.2625"/>
    <n v="2"/>
    <n v="2"/>
    <m/>
    <m/>
    <m/>
    <m/>
    <n v="39.126872630320719"/>
    <n v="265.77986299425271"/>
    <s v="Training"/>
  </r>
  <r>
    <d v="2020-08-05T00:00:00"/>
    <x v="6"/>
    <n v="4"/>
    <n v="8"/>
    <x v="31"/>
    <x v="0"/>
    <n v="132"/>
    <m/>
    <m/>
    <m/>
    <m/>
    <n v="226"/>
    <n v="0.9456"/>
    <n v="13"/>
    <d v="1899-12-30T00:00:26"/>
    <d v="1899-12-30T00:02:19"/>
    <d v="1899-12-30T00:02:50"/>
    <n v="0.67230000000000001"/>
    <n v="8.7261111111111109"/>
    <n v="523.56666666666661"/>
    <n v="5.0966666666666667"/>
    <n v="305.8"/>
    <n v="1.36"/>
    <n v="1"/>
    <n v="2"/>
    <n v="2"/>
    <m/>
    <m/>
    <m/>
    <m/>
    <n v="52.15534664154606"/>
    <n v="277.81595349516039"/>
    <s v="Training"/>
  </r>
  <r>
    <d v="2020-08-06T00:00:00"/>
    <x v="0"/>
    <n v="5"/>
    <n v="8"/>
    <x v="31"/>
    <x v="0"/>
    <n v="189"/>
    <m/>
    <m/>
    <m/>
    <m/>
    <n v="210"/>
    <n v="0.91700000000000004"/>
    <n v="19"/>
    <d v="1899-12-30T00:00:29"/>
    <d v="1899-12-30T00:02:23"/>
    <d v="1899-12-30T00:08:16"/>
    <n v="0.64159999999999995"/>
    <n v="8.3416666666666668"/>
    <n v="500.5"/>
    <n v="7.5075000000000003"/>
    <n v="450.45000000000005"/>
    <n v="1.3"/>
    <n v="1.173046875"/>
    <n v="2"/>
    <n v="2"/>
    <m/>
    <m/>
    <m/>
    <m/>
    <n v="51.343963614865537"/>
    <n v="267.56037663070958"/>
    <s v="Training"/>
  </r>
  <r>
    <d v="2020-08-07T00:00:00"/>
    <x v="1"/>
    <n v="6"/>
    <n v="8"/>
    <x v="31"/>
    <x v="0"/>
    <n v="80"/>
    <m/>
    <m/>
    <m/>
    <m/>
    <n v="172"/>
    <n v="0.88660000000000005"/>
    <n v="22"/>
    <d v="1899-12-30T00:00:23"/>
    <d v="1899-12-30T00:02:20"/>
    <d v="1899-12-30T00:06:16"/>
    <n v="0.66139999999999999"/>
    <n v="6.6888888888888882"/>
    <n v="401.33333333333331"/>
    <n v="3.1111111111111112"/>
    <n v="186.66666666666666"/>
    <n v="1.05"/>
    <n v="1"/>
    <n v="2"/>
    <n v="2"/>
    <m/>
    <m/>
    <m/>
    <m/>
    <n v="32.244660980833757"/>
    <n v="258.70556257720381"/>
    <s v="Training"/>
  </r>
  <r>
    <d v="2020-08-08T00:00:00"/>
    <x v="2"/>
    <n v="7"/>
    <n v="8"/>
    <x v="31"/>
    <x v="0"/>
    <n v="268"/>
    <m/>
    <m/>
    <m/>
    <m/>
    <n v="179"/>
    <n v="0.8861"/>
    <n v="23"/>
    <d v="1899-12-30T00:00:24"/>
    <d v="1899-12-30T00:02:16"/>
    <d v="1899-12-30T00:02:50"/>
    <n v="0.64429999999999998"/>
    <n v="6.7622222222222224"/>
    <n v="405.73333333333335"/>
    <n v="10.124444444444444"/>
    <n v="607.4666666666667"/>
    <n v="1.06"/>
    <n v="1.5819444444444446"/>
    <n v="2"/>
    <n v="2"/>
    <m/>
    <m/>
    <m/>
    <m/>
    <n v="45.772284937498227"/>
    <n v="262.47098356948652"/>
    <s v="Training"/>
  </r>
  <r>
    <d v="2020-08-09T00:00:00"/>
    <x v="3"/>
    <n v="1"/>
    <n v="8"/>
    <x v="32"/>
    <x v="0"/>
    <n v="222"/>
    <m/>
    <m/>
    <m/>
    <m/>
    <n v="254"/>
    <n v="0.94779999999999998"/>
    <n v="14"/>
    <d v="1899-12-30T00:00:15"/>
    <d v="1899-12-30T00:01:51"/>
    <d v="1899-12-30T00:02:40"/>
    <n v="0.81130000000000002"/>
    <n v="7.831666666666667"/>
    <n v="469.90000000000003"/>
    <n v="6.8449999999999998"/>
    <n v="410.7"/>
    <n v="1.22"/>
    <n v="1.06953125"/>
    <n v="2"/>
    <n v="2"/>
    <m/>
    <m/>
    <m/>
    <m/>
    <n v="-49.310704189431419"/>
    <n v="169.6223802981244"/>
    <s v="Training"/>
  </r>
  <r>
    <d v="2020-08-10T00:00:00"/>
    <x v="4"/>
    <n v="2"/>
    <n v="8"/>
    <x v="32"/>
    <x v="0"/>
    <n v="450"/>
    <m/>
    <m/>
    <m/>
    <m/>
    <n v="49"/>
    <n v="0.94230000000000003"/>
    <n v="3"/>
    <d v="1899-12-30T00:00:18"/>
    <d v="1899-12-30T00:02:18"/>
    <d v="1899-12-30T00:02:17"/>
    <n v="0.76470000000000005"/>
    <n v="1.8783333333333336"/>
    <n v="112.70000000000002"/>
    <n v="17.25"/>
    <n v="1035"/>
    <n v="1"/>
    <n v="2.6953125"/>
    <n v="1"/>
    <n v="1"/>
    <m/>
    <m/>
    <m/>
    <m/>
    <n v="52.429377640094152"/>
    <n v="265.59236042432082"/>
    <s v="Training"/>
  </r>
  <r>
    <d v="2020-08-11T00:00:00"/>
    <x v="5"/>
    <n v="3"/>
    <n v="8"/>
    <x v="32"/>
    <x v="0"/>
    <n v="36"/>
    <m/>
    <m/>
    <m/>
    <m/>
    <n v="397"/>
    <n v="0.95889999999999997"/>
    <n v="17"/>
    <d v="1899-12-30T00:00:23"/>
    <d v="1899-12-30T00:01:58"/>
    <d v="1899-12-30T00:05:32"/>
    <n v="0.70730000000000004"/>
    <n v="13.012777777777778"/>
    <n v="780.76666666666665"/>
    <n v="1.18"/>
    <n v="70.8"/>
    <n v="2.0299999999999998"/>
    <n v="1"/>
    <n v="2"/>
    <n v="3"/>
    <m/>
    <m/>
    <m/>
    <m/>
    <n v="24.863470833410421"/>
    <n v="250.2485989028682"/>
    <s v="Training"/>
  </r>
  <r>
    <d v="2020-08-12T00:00:00"/>
    <x v="6"/>
    <n v="4"/>
    <n v="8"/>
    <x v="32"/>
    <x v="0"/>
    <n v="201"/>
    <m/>
    <m/>
    <m/>
    <m/>
    <n v="325"/>
    <n v="0.93930000000000002"/>
    <n v="21"/>
    <d v="1899-12-30T00:00:27"/>
    <d v="1899-12-30T00:02:22"/>
    <d v="1899-12-30T00:02:45"/>
    <n v="0.65690000000000004"/>
    <n v="12.819444444444445"/>
    <n v="769.16666666666663"/>
    <n v="7.9283333333333337"/>
    <n v="475.70000000000005"/>
    <n v="2"/>
    <n v="1.2388020833333335"/>
    <n v="2"/>
    <n v="2"/>
    <m/>
    <m/>
    <m/>
    <m/>
    <n v="48.618761630425134"/>
    <n v="266.7354845530121"/>
    <s v="Training"/>
  </r>
  <r>
    <d v="2020-08-13T00:00:00"/>
    <x v="0"/>
    <n v="5"/>
    <n v="8"/>
    <x v="32"/>
    <x v="0"/>
    <n v="203"/>
    <m/>
    <m/>
    <m/>
    <m/>
    <n v="179"/>
    <n v="0.95720000000000005"/>
    <n v="8"/>
    <d v="1899-12-30T00:00:25"/>
    <d v="1899-12-30T00:02:14"/>
    <d v="1899-12-30T00:02:59"/>
    <n v="0.67030000000000001"/>
    <n v="6.6627777777777775"/>
    <n v="399.76666666666665"/>
    <n v="7.556111111111111"/>
    <n v="453.36666666666667"/>
    <n v="1.04"/>
    <n v="1.1806423611111112"/>
    <n v="2"/>
    <n v="2"/>
    <m/>
    <m/>
    <m/>
    <m/>
    <n v="38.416311349654038"/>
    <n v="257.78485660826811"/>
    <s v="Training"/>
  </r>
  <r>
    <d v="2020-08-14T00:00:00"/>
    <x v="1"/>
    <n v="6"/>
    <n v="8"/>
    <x v="32"/>
    <x v="0"/>
    <n v="204"/>
    <m/>
    <m/>
    <m/>
    <m/>
    <n v="186"/>
    <n v="0.9163"/>
    <n v="17"/>
    <d v="1899-12-30T00:00:24"/>
    <d v="1899-12-30T00:02:38"/>
    <d v="1899-12-30T00:04:35"/>
    <n v="0.69589999999999996"/>
    <n v="8.163333333333334"/>
    <n v="489.80000000000007"/>
    <n v="8.9533333333333331"/>
    <n v="537.20000000000005"/>
    <n v="1.28"/>
    <n v="1.3989583333333335"/>
    <n v="2"/>
    <n v="2"/>
    <m/>
    <m/>
    <m/>
    <m/>
    <n v="29.160818098023231"/>
    <n v="250.04467807357219"/>
    <s v="Training"/>
  </r>
  <r>
    <d v="2020-08-15T00:00:00"/>
    <x v="2"/>
    <n v="7"/>
    <n v="8"/>
    <x v="32"/>
    <x v="0"/>
    <n v="126"/>
    <m/>
    <m/>
    <m/>
    <m/>
    <n v="194"/>
    <n v="0.95099999999999996"/>
    <n v="10"/>
    <d v="1899-12-30T00:00:18"/>
    <d v="1899-12-30T00:02:33"/>
    <d v="1899-12-30T00:02:02"/>
    <n v="0.82410000000000005"/>
    <n v="8.2449999999999992"/>
    <n v="494.69999999999993"/>
    <n v="5.3550000000000004"/>
    <n v="321.3"/>
    <n v="1.29"/>
    <n v="1"/>
    <n v="2"/>
    <n v="2"/>
    <m/>
    <m/>
    <m/>
    <m/>
    <n v="34.738529029511753"/>
    <n v="257.16500005176681"/>
    <s v="Training"/>
  </r>
  <r>
    <d v="2020-08-16T00:00:00"/>
    <x v="3"/>
    <n v="1"/>
    <n v="8"/>
    <x v="33"/>
    <x v="0"/>
    <n v="36"/>
    <m/>
    <m/>
    <m/>
    <m/>
    <n v="121"/>
    <n v="0.96030000000000004"/>
    <n v="5"/>
    <d v="1899-12-30T00:00:21"/>
    <d v="1899-12-30T00:02:32"/>
    <d v="1899-12-30T00:01:51"/>
    <n v="0.70630000000000004"/>
    <n v="5.108888888888889"/>
    <n v="306.53333333333336"/>
    <n v="1.5200000000000002"/>
    <n v="91.200000000000017"/>
    <n v="1"/>
    <n v="1"/>
    <n v="2"/>
    <n v="1"/>
    <m/>
    <m/>
    <m/>
    <m/>
    <n v="-54.884051807848543"/>
    <n v="168.10267977695409"/>
    <s v="Training"/>
  </r>
  <r>
    <d v="2020-08-17T00:00:00"/>
    <x v="4"/>
    <n v="2"/>
    <n v="8"/>
    <x v="33"/>
    <x v="0"/>
    <n v="180"/>
    <m/>
    <m/>
    <m/>
    <m/>
    <n v="36"/>
    <n v="1"/>
    <n v="0"/>
    <d v="1899-12-30T00:00:17"/>
    <d v="1899-12-30T00:02:07"/>
    <d v="1899-12-30T00:01:31"/>
    <n v="0.77780000000000005"/>
    <n v="1.27"/>
    <n v="76.2"/>
    <n v="6.35"/>
    <n v="381"/>
    <n v="1"/>
    <n v="1"/>
    <n v="1"/>
    <n v="1"/>
    <m/>
    <m/>
    <m/>
    <m/>
    <n v="45.166764728259807"/>
    <n v="264.04160180207981"/>
    <s v="Training"/>
  </r>
  <r>
    <d v="2020-08-18T00:00:00"/>
    <x v="5"/>
    <n v="3"/>
    <n v="8"/>
    <x v="33"/>
    <x v="0"/>
    <n v="169"/>
    <m/>
    <m/>
    <m/>
    <m/>
    <n v="165"/>
    <n v="0.91669999999999996"/>
    <n v="15"/>
    <d v="1899-12-30T00:00:27"/>
    <d v="1899-12-30T00:02:30"/>
    <d v="1899-12-30T00:02:19"/>
    <n v="0.66090000000000004"/>
    <n v="6.875"/>
    <n v="412.5"/>
    <n v="7.0416666666666661"/>
    <n v="422.49999999999994"/>
    <n v="1.07"/>
    <n v="1.1002604166666665"/>
    <n v="2"/>
    <n v="2"/>
    <m/>
    <m/>
    <m/>
    <m/>
    <n v="34.849354981775157"/>
    <n v="245.84599412104981"/>
    <s v="Training"/>
  </r>
  <r>
    <d v="2020-08-19T00:00:00"/>
    <x v="6"/>
    <n v="4"/>
    <n v="8"/>
    <x v="33"/>
    <x v="0"/>
    <n v="155"/>
    <m/>
    <m/>
    <m/>
    <m/>
    <n v="162"/>
    <n v="0.95860000000000001"/>
    <n v="7"/>
    <d v="1899-12-30T00:00:20"/>
    <d v="1899-12-30T00:02:25"/>
    <d v="1899-12-30T00:01:53"/>
    <n v="0.74560000000000004"/>
    <n v="6.5250000000000012"/>
    <n v="391.50000000000006"/>
    <n v="6.2430555555555554"/>
    <n v="374.58333333333331"/>
    <n v="1.02"/>
    <n v="1"/>
    <n v="2"/>
    <n v="2"/>
    <m/>
    <m/>
    <m/>
    <m/>
    <n v="41.018647822101457"/>
    <n v="261.15975853449828"/>
    <s v="Training"/>
  </r>
  <r>
    <d v="2020-08-20T00:00:00"/>
    <x v="0"/>
    <n v="5"/>
    <n v="8"/>
    <x v="33"/>
    <x v="0"/>
    <n v="169"/>
    <m/>
    <m/>
    <m/>
    <m/>
    <n v="151"/>
    <n v="0.97419999999999995"/>
    <n v="4"/>
    <d v="1899-12-30T00:00:21"/>
    <d v="1899-12-30T00:02:20"/>
    <d v="1899-12-30T00:02:45"/>
    <n v="0.7097"/>
    <n v="5.8722222222222218"/>
    <n v="352.33333333333331"/>
    <n v="6.572222222222222"/>
    <n v="394.33333333333331"/>
    <n v="1"/>
    <n v="1.0269097222222221"/>
    <n v="2"/>
    <n v="1"/>
    <m/>
    <m/>
    <m/>
    <m/>
    <n v="40.73305786667693"/>
    <n v="263.84493736745247"/>
    <s v="Training"/>
  </r>
  <r>
    <d v="2020-08-21T00:00:00"/>
    <x v="1"/>
    <n v="6"/>
    <n v="8"/>
    <x v="33"/>
    <x v="0"/>
    <n v="61"/>
    <m/>
    <m/>
    <m/>
    <m/>
    <n v="137"/>
    <n v="0.81069999999999998"/>
    <n v="32"/>
    <d v="1899-12-30T00:00:38"/>
    <d v="1899-12-30T00:02:24"/>
    <d v="1899-12-30T00:05:30"/>
    <n v="0.40360000000000001"/>
    <n v="5.4800000000000013"/>
    <n v="328.80000000000007"/>
    <n v="2.44"/>
    <n v="146.4"/>
    <n v="1"/>
    <n v="1"/>
    <n v="2"/>
    <n v="1"/>
    <m/>
    <m/>
    <m/>
    <m/>
    <n v="20.408292338333911"/>
    <n v="252.11344794627831"/>
    <s v="Training"/>
  </r>
  <r>
    <d v="2020-08-22T00:00:00"/>
    <x v="2"/>
    <n v="7"/>
    <n v="8"/>
    <x v="33"/>
    <x v="0"/>
    <n v="167"/>
    <m/>
    <m/>
    <m/>
    <m/>
    <n v="45"/>
    <n v="0.73770000000000002"/>
    <n v="16"/>
    <d v="1899-12-30T00:00:32"/>
    <d v="1899-12-30T00:02:49"/>
    <d v="1899-12-30T00:05:30"/>
    <n v="0.4098"/>
    <n v="2.1124999999999998"/>
    <n v="126.74999999999999"/>
    <n v="7.8397222222222211"/>
    <n v="470.38333333333327"/>
    <n v="1"/>
    <n v="1.2249565972222221"/>
    <n v="2"/>
    <n v="1"/>
    <m/>
    <m/>
    <m/>
    <m/>
    <n v="34.42071267612495"/>
    <n v="244.57269429762101"/>
    <s v="Training"/>
  </r>
  <r>
    <d v="2020-08-23T00:00:00"/>
    <x v="3"/>
    <n v="1"/>
    <n v="8"/>
    <x v="34"/>
    <x v="0"/>
    <n v="32"/>
    <m/>
    <m/>
    <m/>
    <m/>
    <n v="136"/>
    <n v="0.81440000000000001"/>
    <n v="31"/>
    <d v="1899-12-30T00:00:42"/>
    <d v="1899-12-30T00:02:36"/>
    <d v="1899-12-30T00:05:28"/>
    <n v="0.35980000000000001"/>
    <n v="5.8933333333333335"/>
    <n v="353.6"/>
    <n v="1.3866666666666667"/>
    <n v="83.2"/>
    <n v="1"/>
    <n v="1"/>
    <n v="2"/>
    <n v="1"/>
    <m/>
    <m/>
    <m/>
    <m/>
    <n v="-58.471572866830087"/>
    <n v="167.42593964667989"/>
    <s v="Training"/>
  </r>
  <r>
    <d v="2020-08-25T00:00:00"/>
    <x v="4"/>
    <n v="3"/>
    <n v="8"/>
    <x v="34"/>
    <x v="0"/>
    <n v="208"/>
    <m/>
    <m/>
    <m/>
    <m/>
    <n v="27"/>
    <n v="0.84379999999999999"/>
    <n v="5"/>
    <d v="1899-12-30T00:00:35"/>
    <d v="1899-12-30T00:02:22"/>
    <d v="1899-12-30T00:03:10"/>
    <n v="0.53129999999999999"/>
    <n v="1.0649999999999999"/>
    <n v="63.9"/>
    <n v="8.2044444444444444"/>
    <n v="492.26666666666665"/>
    <n v="1"/>
    <n v="1.2819444444444443"/>
    <n v="1"/>
    <n v="1"/>
    <m/>
    <m/>
    <m/>
    <m/>
    <n v="28.907555072981381"/>
    <n v="246.60502704125929"/>
    <s v="Training"/>
  </r>
  <r>
    <d v="2020-08-26T00:00:00"/>
    <x v="5"/>
    <n v="4"/>
    <n v="8"/>
    <x v="34"/>
    <x v="0"/>
    <n v="175"/>
    <m/>
    <m/>
    <m/>
    <m/>
    <n v="148"/>
    <n v="0.64629999999999999"/>
    <n v="81"/>
    <d v="1899-12-30T00:00:36"/>
    <d v="1899-12-30T00:02:48"/>
    <d v="1899-12-30T00:10:39"/>
    <n v="0.43180000000000002"/>
    <n v="6.9066666666666654"/>
    <n v="414.39999999999992"/>
    <n v="8.1666666666666661"/>
    <n v="489.99999999999994"/>
    <n v="1.08"/>
    <n v="1.2760416666666665"/>
    <n v="2"/>
    <n v="2"/>
    <m/>
    <m/>
    <m/>
    <m/>
    <n v="41.706211376108747"/>
    <n v="262.03515293230839"/>
    <s v="Training"/>
  </r>
  <r>
    <d v="2020-08-27T00:00:00"/>
    <x v="6"/>
    <n v="5"/>
    <n v="8"/>
    <x v="34"/>
    <x v="0"/>
    <n v="177"/>
    <m/>
    <m/>
    <m/>
    <m/>
    <n v="204"/>
    <n v="0.98080000000000001"/>
    <n v="4"/>
    <d v="1899-12-30T00:00:19"/>
    <d v="1899-12-30T00:03:06"/>
    <d v="1899-12-30T00:05:14"/>
    <n v="0.77669999999999995"/>
    <n v="10.54"/>
    <n v="632.4"/>
    <n v="9.1449999999999996"/>
    <n v="548.69999999999993"/>
    <n v="1.65"/>
    <n v="1.4289062499999998"/>
    <n v="2"/>
    <n v="2"/>
    <m/>
    <m/>
    <m/>
    <m/>
    <n v="35.650765310718363"/>
    <n v="256.12181523940802"/>
    <s v="Training"/>
  </r>
  <r>
    <d v="2020-08-29T00:00:00"/>
    <x v="0"/>
    <n v="7"/>
    <n v="8"/>
    <x v="34"/>
    <x v="0"/>
    <n v="87"/>
    <m/>
    <m/>
    <m/>
    <m/>
    <n v="168"/>
    <n v="0.96"/>
    <n v="7"/>
    <d v="1899-12-30T00:00:25"/>
    <d v="1899-12-30T00:02:51"/>
    <d v="1899-12-30T00:03:44"/>
    <n v="0.6512"/>
    <n v="7.98"/>
    <n v="478.8"/>
    <n v="4.1325000000000003"/>
    <n v="247.95000000000002"/>
    <n v="1.25"/>
    <n v="1"/>
    <n v="2"/>
    <n v="2"/>
    <m/>
    <m/>
    <m/>
    <m/>
    <n v="41.954460606418181"/>
    <n v="258.1405905548541"/>
    <s v="Training"/>
  </r>
  <r>
    <d v="2020-08-30T00:00:00"/>
    <x v="1"/>
    <n v="1"/>
    <n v="8"/>
    <x v="35"/>
    <x v="0"/>
    <n v="41"/>
    <m/>
    <m/>
    <m/>
    <m/>
    <n v="167"/>
    <n v="0.94350000000000001"/>
    <n v="10"/>
    <d v="1899-12-30T00:00:22"/>
    <d v="1899-12-30T00:02:41"/>
    <d v="1899-12-30T00:04:24"/>
    <n v="0.68389999999999995"/>
    <n v="7.4686111111111115"/>
    <n v="448.11666666666667"/>
    <n v="1.8336111111111111"/>
    <n v="110.01666666666667"/>
    <n v="1.17"/>
    <n v="1"/>
    <n v="2"/>
    <n v="2"/>
    <m/>
    <m/>
    <m/>
    <m/>
    <n v="-45.099284761819973"/>
    <n v="170.45737668783579"/>
    <s v="Training"/>
  </r>
  <r>
    <d v="2020-08-31T00:00:00"/>
    <x v="2"/>
    <n v="2"/>
    <n v="8"/>
    <x v="35"/>
    <x v="0"/>
    <n v="280"/>
    <m/>
    <m/>
    <m/>
    <m/>
    <n v="767"/>
    <n v="0.93310000000000004"/>
    <n v="55"/>
    <d v="1899-12-30T00:00:24"/>
    <d v="1899-12-30T00:01:25"/>
    <d v="1899-12-30T00:04:35"/>
    <n v="0.64400000000000002"/>
    <n v="18.109722222222221"/>
    <n v="1086.5833333333333"/>
    <n v="6.6111111111111098"/>
    <n v="396.66666666666657"/>
    <n v="2.83"/>
    <n v="1.0329861111111109"/>
    <n v="2"/>
    <n v="3"/>
    <m/>
    <m/>
    <m/>
    <m/>
    <n v="52.460503056586077"/>
    <n v="270.75251130749302"/>
    <s v="Training"/>
  </r>
  <r>
    <d v="2020-09-01T00:00:00"/>
    <x v="3"/>
    <n v="3"/>
    <n v="9"/>
    <x v="35"/>
    <x v="0"/>
    <n v="219"/>
    <m/>
    <m/>
    <m/>
    <m/>
    <n v="85"/>
    <n v="0.97699999999999998"/>
    <n v="2"/>
    <d v="1899-12-30T00:00:23"/>
    <d v="1899-12-30T00:02:25"/>
    <d v="1899-12-30T00:02:17"/>
    <n v="0.67820000000000003"/>
    <n v="3.4236111111111112"/>
    <n v="205.41666666666666"/>
    <n v="8.8208333333333329"/>
    <n v="529.25"/>
    <n v="1"/>
    <n v="1.3782552083333333"/>
    <n v="2"/>
    <n v="1"/>
    <m/>
    <m/>
    <m/>
    <m/>
    <n v="37.756353746235767"/>
    <n v="262.52954416494322"/>
    <s v="Training"/>
  </r>
  <r>
    <d v="2020-09-02T00:00:00"/>
    <x v="4"/>
    <n v="4"/>
    <n v="9"/>
    <x v="35"/>
    <x v="0"/>
    <n v="52"/>
    <m/>
    <m/>
    <m/>
    <m/>
    <n v="39"/>
    <n v="0.95120000000000005"/>
    <n v="2"/>
    <d v="1899-12-30T00:00:15"/>
    <d v="1899-12-30T00:02:42"/>
    <d v="1899-12-30T00:01:18"/>
    <n v="0.82499999999999996"/>
    <n v="1.7549999999999999"/>
    <n v="105.3"/>
    <n v="2.34"/>
    <n v="140.39999999999998"/>
    <n v="1"/>
    <n v="1"/>
    <n v="1"/>
    <n v="1"/>
    <m/>
    <m/>
    <m/>
    <m/>
    <n v="44.959421484674088"/>
    <n v="261.70161381548172"/>
    <s v="Training"/>
  </r>
  <r>
    <d v="2020-09-03T00:00:00"/>
    <x v="5"/>
    <n v="5"/>
    <n v="9"/>
    <x v="35"/>
    <x v="0"/>
    <n v="194"/>
    <m/>
    <m/>
    <m/>
    <m/>
    <n v="257"/>
    <n v="0.91790000000000005"/>
    <n v="23"/>
    <d v="1899-12-30T00:00:31"/>
    <d v="1899-12-30T00:02:33"/>
    <d v="1899-12-30T00:07:55"/>
    <n v="0.63870000000000005"/>
    <n v="10.922499999999999"/>
    <n v="655.34999999999991"/>
    <n v="8.2449999999999992"/>
    <n v="494.69999999999993"/>
    <n v="1.71"/>
    <n v="1.2882812499999998"/>
    <n v="2"/>
    <n v="2"/>
    <m/>
    <m/>
    <m/>
    <m/>
    <n v="41.831535301351117"/>
    <n v="270.50735725499578"/>
    <s v="Training"/>
  </r>
  <r>
    <d v="2020-09-04T00:00:00"/>
    <x v="6"/>
    <n v="6"/>
    <n v="9"/>
    <x v="35"/>
    <x v="0"/>
    <n v="226"/>
    <m/>
    <m/>
    <m/>
    <m/>
    <n v="192"/>
    <n v="0.96479999999999999"/>
    <n v="7"/>
    <d v="1899-12-30T00:00:22"/>
    <d v="1899-12-30T00:02:46"/>
    <d v="1899-12-30T00:02:48"/>
    <n v="0.73870000000000002"/>
    <n v="8.8533333333333335"/>
    <n v="531.20000000000005"/>
    <n v="10.421111111111111"/>
    <n v="625.26666666666665"/>
    <n v="1.38"/>
    <n v="1.6282986111111111"/>
    <n v="2"/>
    <n v="2"/>
    <m/>
    <m/>
    <m/>
    <m/>
    <n v="28.377471665158499"/>
    <n v="243.3201868694853"/>
    <s v="Training"/>
  </r>
  <r>
    <d v="2020-09-05T00:00:00"/>
    <x v="0"/>
    <n v="7"/>
    <n v="9"/>
    <x v="35"/>
    <x v="0"/>
    <n v="167"/>
    <m/>
    <m/>
    <m/>
    <m/>
    <n v="239"/>
    <n v="0.94840000000000002"/>
    <n v="13"/>
    <d v="1899-12-30T00:00:29"/>
    <d v="1899-12-30T00:02:29"/>
    <d v="1899-12-30T00:03:36"/>
    <n v="0.6492"/>
    <n v="9.8919444444444444"/>
    <n v="593.51666666666665"/>
    <n v="6.911944444444444"/>
    <n v="414.71666666666664"/>
    <n v="1.55"/>
    <n v="1.0799913194444444"/>
    <n v="2"/>
    <n v="2"/>
    <m/>
    <m/>
    <m/>
    <m/>
    <n v="43.776663824598451"/>
    <n v="260.86286933526549"/>
    <s v="Training"/>
  </r>
  <r>
    <d v="2020-09-06T00:00:00"/>
    <x v="1"/>
    <n v="1"/>
    <n v="9"/>
    <x v="36"/>
    <x v="0"/>
    <n v="161"/>
    <m/>
    <m/>
    <m/>
    <m/>
    <n v="208"/>
    <n v="0.94550000000000001"/>
    <n v="12"/>
    <d v="1899-12-30T00:00:20"/>
    <d v="1899-12-30T00:02:36"/>
    <d v="1899-12-30T00:02:45"/>
    <n v="0.75590000000000002"/>
    <n v="9.0133333333333319"/>
    <n v="540.79999999999995"/>
    <n v="6.9766666666666657"/>
    <n v="418.59999999999997"/>
    <n v="1.41"/>
    <n v="1.0901041666666667"/>
    <n v="2"/>
    <n v="2"/>
    <m/>
    <m/>
    <m/>
    <m/>
    <n v="-40.270466847627908"/>
    <n v="168.5830090491782"/>
    <s v="Training"/>
  </r>
  <r>
    <d v="2020-09-07T00:00:00"/>
    <x v="2"/>
    <n v="2"/>
    <n v="9"/>
    <x v="36"/>
    <x v="0"/>
    <n v="200"/>
    <m/>
    <m/>
    <m/>
    <m/>
    <n v="193"/>
    <n v="0.93689999999999996"/>
    <n v="13"/>
    <d v="1899-12-30T00:00:24"/>
    <d v="1899-12-30T00:02:27"/>
    <d v="1899-12-30T00:03:37"/>
    <n v="0.75490000000000002"/>
    <n v="7.8808333333333334"/>
    <n v="472.85"/>
    <n v="8.1666666666666661"/>
    <n v="489.99999999999994"/>
    <n v="1.23"/>
    <n v="1.2760416666666665"/>
    <n v="2"/>
    <n v="2"/>
    <m/>
    <m/>
    <m/>
    <m/>
    <n v="51.307961526166451"/>
    <n v="266.09286996692651"/>
    <s v="Training"/>
  </r>
  <r>
    <d v="2020-09-08T00:00:00"/>
    <x v="3"/>
    <n v="3"/>
    <n v="9"/>
    <x v="36"/>
    <x v="0"/>
    <n v="52"/>
    <m/>
    <m/>
    <m/>
    <m/>
    <n v="206"/>
    <n v="0.94930000000000003"/>
    <n v="11"/>
    <d v="1899-12-30T00:00:22"/>
    <d v="1899-12-30T00:02:26"/>
    <d v="1899-12-30T00:02:02"/>
    <n v="0.71030000000000004"/>
    <n v="8.354444444444443"/>
    <n v="501.26666666666659"/>
    <n v="2.1088888888888886"/>
    <n v="126.53333333333332"/>
    <n v="1.31"/>
    <n v="1"/>
    <n v="2"/>
    <n v="2"/>
    <m/>
    <m/>
    <m/>
    <m/>
    <n v="34.858806564788168"/>
    <n v="254.69652101909691"/>
    <s v="Training"/>
  </r>
  <r>
    <d v="2020-09-09T00:00:00"/>
    <x v="4"/>
    <n v="4"/>
    <n v="9"/>
    <x v="36"/>
    <x v="0"/>
    <n v="190"/>
    <m/>
    <m/>
    <m/>
    <m/>
    <n v="24"/>
    <n v="1"/>
    <n v="0"/>
    <d v="1899-12-30T00:00:19"/>
    <d v="1899-12-30T00:02:50"/>
    <d v="1899-12-30T00:01:07"/>
    <n v="0.79169999999999996"/>
    <n v="1.1333333333333333"/>
    <n v="68"/>
    <n v="8.9722222222222214"/>
    <n v="538.33333333333326"/>
    <n v="1"/>
    <n v="1.4019097222222221"/>
    <n v="1"/>
    <n v="1"/>
    <m/>
    <m/>
    <m/>
    <m/>
    <n v="48.705980095584387"/>
    <n v="265.24179753759881"/>
    <s v="Training"/>
  </r>
  <r>
    <d v="2020-09-10T00:00:00"/>
    <x v="5"/>
    <n v="5"/>
    <n v="9"/>
    <x v="36"/>
    <x v="0"/>
    <n v="259"/>
    <m/>
    <m/>
    <m/>
    <m/>
    <n v="238"/>
    <n v="0.9597"/>
    <n v="10"/>
    <d v="1899-12-30T00:00:13"/>
    <d v="1899-12-30T00:02:27"/>
    <d v="1899-12-30T00:01:50"/>
    <n v="0.85250000000000004"/>
    <n v="9.7183333333333337"/>
    <n v="583.1"/>
    <n v="10.575833333333334"/>
    <n v="634.55000000000007"/>
    <n v="1.52"/>
    <n v="1.6524739583333334"/>
    <n v="2"/>
    <n v="2"/>
    <m/>
    <m/>
    <m/>
    <m/>
    <n v="42.416165641423433"/>
    <n v="266.31580053587749"/>
    <s v="Training"/>
  </r>
  <r>
    <d v="2020-09-11T00:00:00"/>
    <x v="6"/>
    <n v="6"/>
    <n v="9"/>
    <x v="36"/>
    <x v="0"/>
    <n v="229"/>
    <m/>
    <m/>
    <m/>
    <m/>
    <n v="212"/>
    <n v="0.95499999999999996"/>
    <n v="10"/>
    <d v="1899-12-30T00:00:20"/>
    <d v="1899-12-30T00:02:25"/>
    <d v="1899-12-30T00:03:41"/>
    <n v="0.77729999999999999"/>
    <n v="8.5388888888888896"/>
    <n v="512.33333333333337"/>
    <n v="9.2236111111111114"/>
    <n v="553.41666666666674"/>
    <n v="1.33"/>
    <n v="1.4411892361111114"/>
    <n v="2"/>
    <n v="2"/>
    <m/>
    <m/>
    <m/>
    <m/>
    <n v="32.634077771495441"/>
    <n v="244.6460627081926"/>
    <s v="Training"/>
  </r>
  <r>
    <d v="2020-09-12T00:00:00"/>
    <x v="0"/>
    <n v="7"/>
    <n v="9"/>
    <x v="36"/>
    <x v="0"/>
    <n v="274"/>
    <m/>
    <m/>
    <m/>
    <m/>
    <n v="178"/>
    <n v="0.93679999999999997"/>
    <n v="12"/>
    <d v="1899-12-30T00:00:32"/>
    <d v="1899-12-30T00:02:27"/>
    <d v="1899-12-30T00:02:45"/>
    <n v="0.55079999999999996"/>
    <n v="7.2683333333333335"/>
    <n v="436.1"/>
    <n v="11.188333333333333"/>
    <n v="671.3"/>
    <n v="1.1399999999999999"/>
    <n v="1.7481770833333332"/>
    <n v="2"/>
    <n v="2"/>
    <m/>
    <m/>
    <m/>
    <m/>
    <n v="47.396846420955391"/>
    <n v="259.23242432572738"/>
    <s v="Training"/>
  </r>
  <r>
    <d v="2020-09-13T00:00:00"/>
    <x v="1"/>
    <n v="1"/>
    <n v="9"/>
    <x v="37"/>
    <x v="0"/>
    <n v="21"/>
    <m/>
    <m/>
    <m/>
    <m/>
    <n v="231"/>
    <n v="0.97060000000000002"/>
    <n v="7"/>
    <d v="1899-12-30T00:00:20"/>
    <d v="1899-12-30T00:02:27"/>
    <d v="1899-12-30T00:02:03"/>
    <n v="0.79659999999999997"/>
    <n v="9.4324999999999992"/>
    <n v="565.94999999999993"/>
    <n v="0.85750000000000004"/>
    <n v="51.45"/>
    <n v="1.47"/>
    <n v="1"/>
    <n v="2"/>
    <n v="2"/>
    <m/>
    <m/>
    <m/>
    <m/>
    <n v="-45.358879521331048"/>
    <n v="168.34535933745039"/>
    <s v="Training"/>
  </r>
  <r>
    <d v="2020-09-14T00:00:00"/>
    <x v="2"/>
    <n v="2"/>
    <n v="9"/>
    <x v="37"/>
    <x v="0"/>
    <n v="169"/>
    <m/>
    <m/>
    <m/>
    <m/>
    <n v="205"/>
    <n v="0.95789999999999997"/>
    <n v="9"/>
    <d v="1899-12-30T00:00:20"/>
    <d v="1899-12-30T00:02:34"/>
    <d v="1899-12-30T00:02:34"/>
    <n v="0.79049999999999998"/>
    <n v="8.7694444444444439"/>
    <n v="526.16666666666663"/>
    <n v="7.2294444444444457"/>
    <n v="433.76666666666677"/>
    <n v="1.37"/>
    <n v="1.1296006944444448"/>
    <n v="2"/>
    <n v="2"/>
    <m/>
    <m/>
    <m/>
    <m/>
    <n v="50.433179971183691"/>
    <n v="266.5486392530151"/>
    <s v="Training"/>
  </r>
  <r>
    <d v="2020-09-15T00:00:00"/>
    <x v="3"/>
    <n v="3"/>
    <n v="9"/>
    <x v="37"/>
    <x v="0"/>
    <n v="149"/>
    <m/>
    <m/>
    <m/>
    <m/>
    <n v="176"/>
    <n v="0.94620000000000004"/>
    <n v="10"/>
    <d v="1899-12-30T00:00:23"/>
    <d v="1899-12-30T00:02:15"/>
    <d v="1899-12-30T00:05:03"/>
    <n v="0.70879999999999999"/>
    <n v="6.6000000000000014"/>
    <n v="396.00000000000011"/>
    <n v="5.5875000000000004"/>
    <n v="335.25"/>
    <n v="1.03"/>
    <n v="1"/>
    <n v="2"/>
    <n v="2"/>
    <m/>
    <m/>
    <m/>
    <m/>
    <n v="32.744838495612377"/>
    <n v="244.89741008144301"/>
    <s v="Training"/>
  </r>
  <r>
    <d v="2020-09-16T00:00:00"/>
    <x v="4"/>
    <n v="4"/>
    <n v="9"/>
    <x v="37"/>
    <x v="0"/>
    <n v="171"/>
    <m/>
    <m/>
    <m/>
    <m/>
    <n v="20"/>
    <n v="0.95240000000000002"/>
    <n v="1"/>
    <d v="1899-12-30T00:00:14"/>
    <d v="1899-12-30T00:02:25"/>
    <d v="1899-12-30T00:00:54"/>
    <n v="0.85"/>
    <n v="0.80555555555555569"/>
    <n v="48.333333333333343"/>
    <n v="6.8875000000000002"/>
    <n v="413.25"/>
    <n v="1"/>
    <n v="1.076171875"/>
    <n v="1"/>
    <n v="1"/>
    <m/>
    <m/>
    <m/>
    <m/>
    <n v="40.657319501181952"/>
    <n v="266.31329067010188"/>
    <s v="Training"/>
  </r>
  <r>
    <d v="2020-09-17T00:00:00"/>
    <x v="5"/>
    <n v="5"/>
    <n v="9"/>
    <x v="37"/>
    <x v="0"/>
    <n v="127"/>
    <m/>
    <m/>
    <m/>
    <m/>
    <n v="157"/>
    <n v="0.92900000000000005"/>
    <n v="12"/>
    <d v="1899-12-30T00:00:21"/>
    <d v="1899-12-30T00:02:29"/>
    <d v="1899-12-30T00:04:30"/>
    <n v="0.77710000000000001"/>
    <n v="6.4980555555555553"/>
    <n v="389.88333333333333"/>
    <n v="5.256388888888889"/>
    <n v="315.38333333333333"/>
    <n v="1.02"/>
    <n v="1"/>
    <n v="2"/>
    <n v="2"/>
    <m/>
    <m/>
    <m/>
    <m/>
    <n v="37.928726005322048"/>
    <n v="261.21605620205997"/>
    <s v="Training"/>
  </r>
  <r>
    <d v="2020-09-18T00:00:00"/>
    <x v="6"/>
    <n v="6"/>
    <n v="9"/>
    <x v="37"/>
    <x v="0"/>
    <n v="21"/>
    <m/>
    <m/>
    <m/>
    <m/>
    <n v="141"/>
    <n v="0.94630000000000003"/>
    <n v="8"/>
    <d v="1899-12-30T00:00:16"/>
    <d v="1899-12-30T00:02:38"/>
    <d v="1899-12-30T00:02:37"/>
    <n v="0.79049999999999998"/>
    <n v="6.1883333333333335"/>
    <n v="371.3"/>
    <n v="0.92166666666666663"/>
    <n v="55.3"/>
    <n v="1"/>
    <n v="1"/>
    <n v="2"/>
    <n v="1"/>
    <m/>
    <m/>
    <m/>
    <m/>
    <n v="25.635666863673841"/>
    <n v="247.9795011666528"/>
    <s v="Training"/>
  </r>
  <r>
    <d v="2020-09-19T00:00:00"/>
    <x v="0"/>
    <n v="7"/>
    <n v="9"/>
    <x v="37"/>
    <x v="0"/>
    <n v="5"/>
    <m/>
    <m/>
    <m/>
    <m/>
    <n v="164"/>
    <n v="0.95909999999999995"/>
    <n v="7"/>
    <d v="1899-12-30T00:00:19"/>
    <d v="1899-12-30T00:02:22"/>
    <d v="1899-12-30T00:03:49"/>
    <n v="0.77190000000000003"/>
    <n v="6.4688888888888885"/>
    <n v="388.13333333333333"/>
    <n v="0.19722222222222222"/>
    <n v="11.833333333333332"/>
    <n v="1.01"/>
    <n v="1"/>
    <n v="2"/>
    <n v="2"/>
    <m/>
    <m/>
    <m/>
    <m/>
    <n v="42.837664971633039"/>
    <n v="258.86565044352591"/>
    <s v="Training"/>
  </r>
  <r>
    <d v="2020-09-20T00:00:00"/>
    <x v="1"/>
    <n v="1"/>
    <n v="9"/>
    <x v="38"/>
    <x v="0"/>
    <n v="33"/>
    <m/>
    <m/>
    <m/>
    <m/>
    <n v="122"/>
    <n v="0.96060000000000001"/>
    <n v="5"/>
    <d v="1899-12-30T00:00:13"/>
    <d v="1899-12-30T00:02:22"/>
    <d v="1899-12-30T00:01:25"/>
    <n v="0.878"/>
    <n v="4.8122222222222222"/>
    <n v="288.73333333333335"/>
    <n v="1.3016666666666667"/>
    <n v="78.100000000000009"/>
    <n v="1"/>
    <n v="1"/>
    <n v="2"/>
    <n v="1"/>
    <m/>
    <m/>
    <m/>
    <m/>
    <n v="-57.191807436666977"/>
    <n v="165.38094794984281"/>
    <s v="Training"/>
  </r>
  <r>
    <d v="2020-09-21T00:00:00"/>
    <x v="2"/>
    <n v="2"/>
    <n v="9"/>
    <x v="38"/>
    <x v="0"/>
    <n v="145"/>
    <m/>
    <m/>
    <m/>
    <m/>
    <n v="21"/>
    <n v="1"/>
    <n v="0"/>
    <d v="1899-12-30T00:00:08"/>
    <d v="1899-12-30T00:03:03"/>
    <d v="1899-12-30T00:00:58"/>
    <n v="0.90480000000000005"/>
    <n v="1.0675000000000001"/>
    <n v="64.050000000000011"/>
    <n v="7.3708333333333345"/>
    <n v="442.25000000000006"/>
    <n v="1"/>
    <n v="1.1516927083333335"/>
    <n v="2"/>
    <n v="1"/>
    <m/>
    <m/>
    <m/>
    <m/>
    <n v="45.333453738723072"/>
    <n v="277.03041935666278"/>
    <s v="Training"/>
  </r>
  <r>
    <d v="2020-09-22T00:00:00"/>
    <x v="3"/>
    <n v="3"/>
    <n v="9"/>
    <x v="38"/>
    <x v="0"/>
    <n v="129"/>
    <m/>
    <m/>
    <m/>
    <m/>
    <n v="5"/>
    <n v="1"/>
    <n v="0"/>
    <d v="1899-12-30T00:00:14"/>
    <d v="1899-12-30T00:02:37"/>
    <d v="1899-12-30T00:00:59"/>
    <n v="0.8"/>
    <n v="0.21805555555555556"/>
    <n v="13.083333333333334"/>
    <n v="5.6258333333333335"/>
    <n v="337.55"/>
    <n v="1"/>
    <n v="1"/>
    <n v="2"/>
    <n v="1"/>
    <m/>
    <m/>
    <m/>
    <m/>
    <n v="38.701992779369178"/>
    <n v="250.545605201038"/>
    <s v="Training"/>
  </r>
  <r>
    <d v="2020-09-23T00:00:00"/>
    <x v="4"/>
    <n v="4"/>
    <n v="9"/>
    <x v="38"/>
    <x v="0"/>
    <n v="194"/>
    <m/>
    <m/>
    <m/>
    <m/>
    <n v="32"/>
    <n v="0.96970000000000001"/>
    <n v="1"/>
    <d v="1899-12-30T00:00:26"/>
    <d v="1899-12-30T00:02:04"/>
    <d v="1899-12-30T00:01:45"/>
    <n v="0.66669999999999996"/>
    <n v="1.1022222222222222"/>
    <n v="66.133333333333326"/>
    <n v="6.6822222222222223"/>
    <n v="400.93333333333334"/>
    <n v="1"/>
    <n v="1.0440972222222222"/>
    <n v="1"/>
    <n v="1"/>
    <m/>
    <m/>
    <m/>
    <m/>
    <n v="41.83793770613557"/>
    <n v="258.97466356291233"/>
    <s v="Training"/>
  </r>
  <r>
    <d v="2020-09-24T00:00:00"/>
    <x v="5"/>
    <n v="5"/>
    <n v="9"/>
    <x v="38"/>
    <x v="0"/>
    <n v="194"/>
    <m/>
    <m/>
    <m/>
    <m/>
    <n v="139"/>
    <n v="0.95860000000000001"/>
    <n v="6"/>
    <d v="1899-12-30T00:00:20"/>
    <d v="1899-12-30T00:02:28"/>
    <d v="1899-12-30T00:03:41"/>
    <n v="0.79020000000000001"/>
    <n v="5.7144444444444442"/>
    <n v="342.86666666666667"/>
    <n v="7.9755555555555562"/>
    <n v="478.53333333333336"/>
    <n v="1"/>
    <n v="1.2461805555555556"/>
    <n v="2"/>
    <n v="1"/>
    <m/>
    <m/>
    <m/>
    <m/>
    <n v="42.599083810226432"/>
    <n v="251.85129118939409"/>
    <s v="Training"/>
  </r>
  <r>
    <d v="2020-09-25T00:00:00"/>
    <x v="6"/>
    <n v="6"/>
    <n v="9"/>
    <x v="38"/>
    <x v="0"/>
    <n v="202"/>
    <m/>
    <m/>
    <m/>
    <m/>
    <n v="127"/>
    <n v="0.98450000000000004"/>
    <n v="2"/>
    <d v="1899-12-30T00:00:19"/>
    <d v="1899-12-30T00:02:13"/>
    <d v="1899-12-30T00:01:49"/>
    <n v="0.75590000000000002"/>
    <n v="4.6919444444444443"/>
    <n v="281.51666666666665"/>
    <n v="7.4627777777777782"/>
    <n v="447.76666666666671"/>
    <n v="1"/>
    <n v="1.1660590277777778"/>
    <n v="2"/>
    <n v="1"/>
    <m/>
    <m/>
    <m/>
    <m/>
    <n v="39.25821546655731"/>
    <n v="246.76941602284401"/>
    <s v="Training"/>
  </r>
  <r>
    <d v="2020-09-26T00:00:00"/>
    <x v="0"/>
    <n v="7"/>
    <n v="9"/>
    <x v="38"/>
    <x v="0"/>
    <n v="214"/>
    <m/>
    <m/>
    <m/>
    <m/>
    <n v="178"/>
    <n v="0.91749999999999998"/>
    <n v="16"/>
    <d v="1899-12-30T00:00:26"/>
    <d v="1899-12-30T00:02:36"/>
    <d v="1899-12-30T00:05:20"/>
    <n v="0.67190000000000005"/>
    <n v="7.7133333333333329"/>
    <n v="462.79999999999995"/>
    <n v="9.2733333333333334"/>
    <n v="556.4"/>
    <n v="1.21"/>
    <n v="1.4489583333333333"/>
    <n v="2"/>
    <n v="2"/>
    <m/>
    <m/>
    <m/>
    <m/>
    <n v="38.009451672540202"/>
    <n v="261.43953229851132"/>
    <s v="Training"/>
  </r>
  <r>
    <d v="2020-09-27T00:00:00"/>
    <x v="1"/>
    <n v="1"/>
    <n v="9"/>
    <x v="39"/>
    <x v="0"/>
    <n v="28"/>
    <m/>
    <m/>
    <m/>
    <m/>
    <n v="187"/>
    <n v="0.96389999999999998"/>
    <n v="7"/>
    <d v="1899-12-30T00:00:24"/>
    <d v="1899-12-30T00:02:25"/>
    <d v="1899-12-30T00:03:44"/>
    <n v="0.77249999999999996"/>
    <n v="7.5319444444444441"/>
    <n v="451.91666666666663"/>
    <n v="1.1277777777777778"/>
    <n v="67.666666666666671"/>
    <n v="1.18"/>
    <n v="1"/>
    <n v="2"/>
    <n v="2"/>
    <m/>
    <m/>
    <m/>
    <m/>
    <n v="-46.805629569774453"/>
    <n v="171.55634733869209"/>
    <s v="Training"/>
  </r>
  <r>
    <d v="2020-09-28T00:00:00"/>
    <x v="2"/>
    <n v="2"/>
    <n v="9"/>
    <x v="39"/>
    <x v="0"/>
    <n v="191"/>
    <m/>
    <m/>
    <m/>
    <m/>
    <n v="195"/>
    <n v="0.96530000000000005"/>
    <n v="7"/>
    <d v="1899-12-30T00:00:21"/>
    <d v="1899-12-30T00:02:21"/>
    <d v="1899-12-30T00:02:59"/>
    <n v="0.74750000000000005"/>
    <n v="7.6375000000000002"/>
    <n v="458.25"/>
    <n v="7.4808333333333348"/>
    <n v="448.85000000000008"/>
    <n v="1.19"/>
    <n v="1.1688802083333336"/>
    <n v="2"/>
    <n v="2"/>
    <m/>
    <m/>
    <m/>
    <m/>
    <n v="45.443466440857527"/>
    <n v="274.49225635132859"/>
    <s v="Training"/>
  </r>
  <r>
    <d v="2020-09-29T00:00:00"/>
    <x v="3"/>
    <n v="3"/>
    <n v="9"/>
    <x v="39"/>
    <x v="0"/>
    <n v="205"/>
    <m/>
    <m/>
    <m/>
    <m/>
    <n v="208"/>
    <n v="0.97199999999999998"/>
    <n v="6"/>
    <d v="1899-12-30T00:00:13"/>
    <d v="1899-12-30T00:02:19"/>
    <d v="1899-12-30T00:00:57"/>
    <n v="0.88149999999999995"/>
    <n v="8.0311111111111106"/>
    <n v="481.86666666666662"/>
    <n v="7.9152777777777779"/>
    <n v="474.91666666666669"/>
    <n v="1.25"/>
    <n v="1.2367621527777779"/>
    <n v="2"/>
    <n v="2"/>
    <m/>
    <m/>
    <m/>
    <m/>
    <n v="43.004534297435072"/>
    <n v="257.6684735226811"/>
    <s v="Training"/>
  </r>
  <r>
    <d v="2020-09-30T00:00:00"/>
    <x v="4"/>
    <n v="4"/>
    <n v="9"/>
    <x v="39"/>
    <x v="0"/>
    <n v="198"/>
    <m/>
    <m/>
    <m/>
    <m/>
    <n v="28"/>
    <n v="1"/>
    <n v="0"/>
    <d v="1899-12-30T00:00:13"/>
    <d v="1899-12-30T00:02:13"/>
    <d v="1899-12-30T00:01:18"/>
    <n v="0.89290000000000003"/>
    <n v="1.0344444444444445"/>
    <n v="62.06666666666667"/>
    <n v="7.3150000000000004"/>
    <n v="438.90000000000003"/>
    <n v="1"/>
    <n v="1.1429687500000001"/>
    <n v="1"/>
    <n v="1"/>
    <m/>
    <m/>
    <m/>
    <m/>
    <n v="45.376180030393002"/>
    <n v="274.75305241555742"/>
    <s v="Training"/>
  </r>
  <r>
    <d v="2020-10-01T00:00:00"/>
    <x v="5"/>
    <n v="5"/>
    <n v="10"/>
    <x v="39"/>
    <x v="0"/>
    <n v="371"/>
    <m/>
    <m/>
    <m/>
    <m/>
    <n v="187"/>
    <n v="0.97909999999999997"/>
    <n v="4"/>
    <d v="1899-12-30T00:00:15"/>
    <d v="1899-12-30T00:02:23"/>
    <d v="1899-12-30T00:01:40"/>
    <n v="0.82540000000000002"/>
    <n v="7.4280555555555559"/>
    <n v="445.68333333333334"/>
    <n v="14.736944444444445"/>
    <n v="884.2166666666667"/>
    <n v="1.1599999999999999"/>
    <n v="2.3026475694444444"/>
    <n v="2"/>
    <n v="2"/>
    <m/>
    <m/>
    <m/>
    <m/>
    <n v="51.674089088660097"/>
    <n v="266.43530405074699"/>
    <s v="Training"/>
  </r>
  <r>
    <d v="2020-10-02T00:00:00"/>
    <x v="6"/>
    <n v="6"/>
    <n v="10"/>
    <x v="39"/>
    <x v="0"/>
    <n v="385"/>
    <m/>
    <m/>
    <m/>
    <m/>
    <n v="197"/>
    <n v="0.96099999999999997"/>
    <n v="8"/>
    <d v="1899-12-30T00:00:21"/>
    <d v="1899-12-30T00:02:27"/>
    <d v="1899-12-30T00:02:23"/>
    <n v="0.74380000000000002"/>
    <n v="8.0441666666666674"/>
    <n v="482.65000000000003"/>
    <n v="15.720833333333331"/>
    <n v="943.24999999999989"/>
    <n v="1.26"/>
    <n v="2.456380208333333"/>
    <n v="2"/>
    <n v="2"/>
    <m/>
    <m/>
    <m/>
    <m/>
    <n v="25.56960826035851"/>
    <n v="257.51409853405301"/>
    <s v="Training"/>
  </r>
  <r>
    <d v="2020-10-03T00:00:00"/>
    <x v="0"/>
    <n v="7"/>
    <n v="10"/>
    <x v="39"/>
    <x v="0"/>
    <n v="202"/>
    <m/>
    <m/>
    <m/>
    <m/>
    <n v="196"/>
    <n v="0.9899"/>
    <n v="2"/>
    <d v="1899-12-30T00:00:23"/>
    <d v="1899-12-30T00:02:28"/>
    <d v="1899-12-30T00:02:03"/>
    <n v="0.73599999999999999"/>
    <n v="8.0577777777777779"/>
    <n v="483.4666666666667"/>
    <n v="8.3044444444444441"/>
    <n v="498.26666666666665"/>
    <n v="1.26"/>
    <n v="1.2975694444444443"/>
    <n v="2"/>
    <n v="2"/>
    <m/>
    <m/>
    <m/>
    <m/>
    <n v="47.882827624031997"/>
    <n v="264.60253792997707"/>
    <s v="Training"/>
  </r>
  <r>
    <d v="2020-10-04T00:00:00"/>
    <x v="1"/>
    <n v="1"/>
    <n v="10"/>
    <x v="40"/>
    <x v="0"/>
    <n v="167"/>
    <m/>
    <m/>
    <m/>
    <m/>
    <n v="177"/>
    <n v="0.96199999999999997"/>
    <n v="7"/>
    <d v="1899-12-30T00:00:20"/>
    <d v="1899-12-30T00:02:41"/>
    <d v="1899-12-30T00:01:50"/>
    <n v="0.78569999999999995"/>
    <n v="7.9158333333333335"/>
    <n v="474.95"/>
    <n v="7.4686111111111115"/>
    <n v="448.11666666666667"/>
    <n v="1.24"/>
    <n v="1.1669704861111112"/>
    <n v="2"/>
    <n v="2"/>
    <m/>
    <m/>
    <m/>
    <m/>
    <n v="-49.426221184205552"/>
    <n v="174.61710027687681"/>
    <s v="Training"/>
  </r>
  <r>
    <d v="2020-10-05T00:00:00"/>
    <x v="2"/>
    <n v="2"/>
    <n v="10"/>
    <x v="40"/>
    <x v="0"/>
    <n v="85"/>
    <m/>
    <m/>
    <m/>
    <m/>
    <n v="174"/>
    <n v="0.94569999999999999"/>
    <n v="10"/>
    <d v="1899-12-30T00:00:25"/>
    <d v="1899-12-30T00:02:27"/>
    <d v="1899-12-30T00:02:47"/>
    <n v="0.7"/>
    <n v="7.1050000000000004"/>
    <n v="426.3"/>
    <n v="3.4708333333333328"/>
    <n v="208.24999999999997"/>
    <n v="1.1100000000000001"/>
    <n v="1"/>
    <n v="2"/>
    <n v="2"/>
    <m/>
    <m/>
    <m/>
    <m/>
    <n v="58.270987974032231"/>
    <n v="281.48852952744198"/>
    <s v="Training"/>
  </r>
  <r>
    <d v="2020-10-06T00:00:00"/>
    <x v="3"/>
    <n v="3"/>
    <n v="10"/>
    <x v="40"/>
    <x v="0"/>
    <n v="155"/>
    <m/>
    <m/>
    <m/>
    <m/>
    <n v="160"/>
    <n v="0.95240000000000002"/>
    <n v="8"/>
    <d v="1899-12-30T00:00:26"/>
    <d v="1899-12-30T00:02:25"/>
    <d v="1899-12-30T00:02:04"/>
    <n v="0.68259999999999998"/>
    <n v="6.4444444444444455"/>
    <n v="386.66666666666674"/>
    <n v="6.2430555555555554"/>
    <n v="374.58333333333331"/>
    <n v="1.01"/>
    <n v="1"/>
    <n v="2"/>
    <n v="2"/>
    <m/>
    <m/>
    <m/>
    <m/>
    <n v="43.999789104182767"/>
    <n v="269.02916173621412"/>
    <s v="Training"/>
  </r>
  <r>
    <d v="2020-10-07T00:00:00"/>
    <x v="4"/>
    <n v="4"/>
    <n v="10"/>
    <x v="40"/>
    <x v="0"/>
    <n v="154"/>
    <m/>
    <m/>
    <m/>
    <m/>
    <n v="37"/>
    <n v="0.94869999999999999"/>
    <n v="2"/>
    <d v="1899-12-30T00:00:14"/>
    <d v="1899-12-30T00:02:08"/>
    <d v="1899-12-30T00:01:03"/>
    <n v="0.81079999999999997"/>
    <n v="1.3155555555555554"/>
    <n v="78.933333333333323"/>
    <n v="5.4755555555555553"/>
    <n v="328.5333333333333"/>
    <n v="1"/>
    <n v="1"/>
    <n v="1"/>
    <n v="1"/>
    <m/>
    <m/>
    <m/>
    <m/>
    <n v="57.943834962122963"/>
    <n v="280.17917216323872"/>
    <s v="Training"/>
  </r>
  <r>
    <d v="2020-10-08T00:00:00"/>
    <x v="5"/>
    <n v="5"/>
    <n v="10"/>
    <x v="40"/>
    <x v="0"/>
    <n v="414"/>
    <m/>
    <m/>
    <m/>
    <m/>
    <n v="210"/>
    <n v="0.93330000000000002"/>
    <n v="15"/>
    <d v="1899-12-30T00:00:28"/>
    <d v="1899-12-30T00:02:13"/>
    <d v="1899-12-30T00:02:33"/>
    <n v="0.66969999999999996"/>
    <n v="7.7583333333333337"/>
    <n v="465.5"/>
    <n v="15.295"/>
    <n v="917.7"/>
    <n v="1.21"/>
    <n v="2.3898437500000003"/>
    <n v="2"/>
    <n v="2"/>
    <m/>
    <m/>
    <m/>
    <m/>
    <n v="59.433530293778247"/>
    <n v="277.30058353292782"/>
    <s v="Training"/>
  </r>
  <r>
    <d v="2020-10-09T00:00:00"/>
    <x v="6"/>
    <n v="6"/>
    <n v="10"/>
    <x v="40"/>
    <x v="0"/>
    <n v="238"/>
    <m/>
    <m/>
    <m/>
    <m/>
    <n v="174"/>
    <n v="0.95599999999999996"/>
    <n v="8"/>
    <d v="1899-12-30T00:00:32"/>
    <d v="1899-12-30T00:02:16"/>
    <d v="1899-12-30T00:03:56"/>
    <n v="0.60219999999999996"/>
    <n v="6.5733333333333333"/>
    <n v="394.4"/>
    <n v="8.9911111111111115"/>
    <n v="539.4666666666667"/>
    <n v="1.03"/>
    <n v="1.4048611111111111"/>
    <n v="2"/>
    <n v="2"/>
    <m/>
    <m/>
    <m/>
    <m/>
    <n v="51.238154457598277"/>
    <n v="263.57481047621332"/>
    <s v="Training"/>
  </r>
  <r>
    <d v="2020-10-10T00:00:00"/>
    <x v="0"/>
    <n v="7"/>
    <n v="10"/>
    <x v="40"/>
    <x v="0"/>
    <n v="231"/>
    <m/>
    <m/>
    <m/>
    <m/>
    <n v="305"/>
    <n v="0.88149999999999995"/>
    <n v="41"/>
    <d v="1899-12-30T00:00:45"/>
    <d v="1899-12-30T00:01:57"/>
    <d v="1899-12-30T00:05:07"/>
    <n v="0.45029999999999998"/>
    <n v="9.9124999999999996"/>
    <n v="594.75"/>
    <n v="7.5075000000000003"/>
    <n v="450.45000000000005"/>
    <n v="1.55"/>
    <n v="1.173046875"/>
    <n v="2"/>
    <n v="2"/>
    <m/>
    <m/>
    <m/>
    <m/>
    <n v="64.612673599061822"/>
    <n v="279.73192544159059"/>
    <s v="Training"/>
  </r>
  <r>
    <d v="2020-10-11T00:00:00"/>
    <x v="1"/>
    <n v="1"/>
    <n v="10"/>
    <x v="41"/>
    <x v="0"/>
    <n v="206"/>
    <m/>
    <m/>
    <m/>
    <m/>
    <n v="441"/>
    <n v="0.98"/>
    <n v="9"/>
    <d v="1899-12-30T00:00:19"/>
    <d v="1899-12-30T00:01:53"/>
    <d v="1899-12-30T00:02:31"/>
    <n v="0.78300000000000003"/>
    <n v="13.842499999999998"/>
    <n v="830.54999999999984"/>
    <n v="6.4661111111111111"/>
    <n v="387.9666666666667"/>
    <n v="2.16"/>
    <n v="1.0103298611111111"/>
    <n v="2"/>
    <n v="3"/>
    <m/>
    <m/>
    <m/>
    <m/>
    <n v="-34.698904152281081"/>
    <n v="187.5666416235"/>
    <s v="Training"/>
  </r>
  <r>
    <d v="2020-10-12T00:00:00"/>
    <x v="2"/>
    <n v="2"/>
    <n v="10"/>
    <x v="41"/>
    <x v="0"/>
    <n v="205"/>
    <m/>
    <m/>
    <m/>
    <m/>
    <n v="248"/>
    <n v="0.95750000000000002"/>
    <n v="11"/>
    <d v="1899-12-30T00:00:20"/>
    <d v="1899-12-30T00:02:06"/>
    <d v="1899-12-30T00:01:51"/>
    <n v="0.75390000000000001"/>
    <n v="8.6800000000000015"/>
    <n v="520.80000000000007"/>
    <n v="7.1749999999999998"/>
    <n v="430.5"/>
    <n v="1.36"/>
    <n v="1.12109375"/>
    <n v="2"/>
    <n v="2"/>
    <m/>
    <m/>
    <m/>
    <m/>
    <n v="69.382216246672613"/>
    <n v="300.98920094681341"/>
    <s v="Training"/>
  </r>
  <r>
    <d v="2020-10-13T00:00:00"/>
    <x v="3"/>
    <n v="3"/>
    <n v="10"/>
    <x v="41"/>
    <x v="0"/>
    <n v="202"/>
    <m/>
    <m/>
    <m/>
    <m/>
    <n v="214"/>
    <n v="0.9264"/>
    <n v="17"/>
    <d v="1899-12-30T00:00:18"/>
    <d v="1899-12-30T00:02:06"/>
    <d v="1899-12-30T00:02:31"/>
    <n v="0.79559999999999997"/>
    <n v="7.49"/>
    <n v="449.40000000000003"/>
    <n v="7.0700000000000012"/>
    <n v="424.20000000000005"/>
    <n v="1.17"/>
    <n v="1.1046875"/>
    <n v="2"/>
    <n v="2"/>
    <m/>
    <m/>
    <m/>
    <m/>
    <n v="55.802925512985063"/>
    <n v="280.53039305409322"/>
    <s v="Training"/>
  </r>
  <r>
    <d v="2020-10-14T00:00:00"/>
    <x v="4"/>
    <n v="4"/>
    <n v="10"/>
    <x v="41"/>
    <x v="0"/>
    <n v="153"/>
    <m/>
    <m/>
    <m/>
    <m/>
    <n v="47"/>
    <n v="0.97919999999999996"/>
    <n v="1"/>
    <d v="1899-12-30T00:00:13"/>
    <d v="1899-12-30T00:02:03"/>
    <d v="1899-12-30T00:01:46"/>
    <n v="0.89580000000000004"/>
    <n v="1.6058333333333337"/>
    <n v="96.350000000000023"/>
    <n v="5.2275"/>
    <n v="313.64999999999998"/>
    <n v="1"/>
    <n v="1"/>
    <n v="1"/>
    <n v="1"/>
    <m/>
    <m/>
    <m/>
    <m/>
    <n v="76.048475870488375"/>
    <n v="292.26040648686001"/>
    <s v="Training"/>
  </r>
  <r>
    <d v="2020-10-15T00:00:00"/>
    <x v="5"/>
    <n v="5"/>
    <n v="10"/>
    <x v="41"/>
    <x v="0"/>
    <n v="178"/>
    <m/>
    <m/>
    <m/>
    <m/>
    <n v="236"/>
    <n v="0.95930000000000004"/>
    <n v="10"/>
    <d v="1899-12-30T00:00:20"/>
    <d v="1899-12-30T00:02:11"/>
    <d v="1899-12-30T00:04:36"/>
    <n v="0.79179999999999995"/>
    <n v="8.5877777777777773"/>
    <n v="515.26666666666665"/>
    <n v="6.4772222222222222"/>
    <n v="388.63333333333333"/>
    <n v="1.34"/>
    <n v="1.0120659722222223"/>
    <n v="2"/>
    <n v="2"/>
    <m/>
    <m/>
    <m/>
    <m/>
    <n v="63.335827660568903"/>
    <n v="280.01691158113539"/>
    <s v="Training"/>
  </r>
  <r>
    <d v="2020-10-16T00:00:00"/>
    <x v="6"/>
    <n v="6"/>
    <n v="10"/>
    <x v="41"/>
    <x v="0"/>
    <n v="172"/>
    <m/>
    <m/>
    <m/>
    <m/>
    <n v="195"/>
    <n v="0.96530000000000005"/>
    <n v="7"/>
    <d v="1899-12-30T00:00:25"/>
    <d v="1899-12-30T00:02:15"/>
    <d v="1899-12-30T00:05:33"/>
    <n v="0.745"/>
    <n v="7.3125"/>
    <n v="438.75"/>
    <n v="6.45"/>
    <n v="387"/>
    <n v="1.1399999999999999"/>
    <n v="1.0078125"/>
    <n v="2"/>
    <n v="2"/>
    <m/>
    <m/>
    <m/>
    <m/>
    <n v="52.601063471831488"/>
    <n v="274.22196589466722"/>
    <s v="Training"/>
  </r>
  <r>
    <d v="2020-10-17T00:00:00"/>
    <x v="0"/>
    <n v="7"/>
    <n v="10"/>
    <x v="41"/>
    <x v="0"/>
    <n v="208"/>
    <m/>
    <m/>
    <m/>
    <m/>
    <n v="150"/>
    <n v="0.98040000000000005"/>
    <n v="3"/>
    <d v="1899-12-30T00:00:15"/>
    <d v="1899-12-30T00:02:15"/>
    <d v="1899-12-30T00:02:12"/>
    <n v="0.82240000000000002"/>
    <n v="5.625"/>
    <n v="337.5"/>
    <n v="7.8"/>
    <n v="468"/>
    <n v="1"/>
    <n v="1.21875"/>
    <n v="2"/>
    <n v="1"/>
    <m/>
    <m/>
    <m/>
    <m/>
    <n v="65.088625159515615"/>
    <n v="277.31603137764978"/>
    <s v="Training"/>
  </r>
  <r>
    <d v="2020-10-18T00:00:00"/>
    <x v="1"/>
    <n v="1"/>
    <n v="10"/>
    <x v="42"/>
    <x v="0"/>
    <n v="77"/>
    <m/>
    <m/>
    <m/>
    <m/>
    <n v="172"/>
    <n v="0.96630000000000005"/>
    <n v="6"/>
    <d v="1899-12-30T00:00:19"/>
    <d v="1899-12-30T00:02:15"/>
    <d v="1899-12-30T00:04:35"/>
    <n v="0.78290000000000004"/>
    <n v="6.45"/>
    <n v="387"/>
    <n v="2.8875000000000002"/>
    <n v="173.25"/>
    <n v="1.01"/>
    <n v="1"/>
    <n v="2"/>
    <n v="2"/>
    <m/>
    <m/>
    <m/>
    <m/>
    <n v="-20.96214249507608"/>
    <n v="206.54256716520561"/>
    <s v="Training"/>
  </r>
  <r>
    <d v="2020-10-19T00:00:00"/>
    <x v="2"/>
    <n v="2"/>
    <n v="10"/>
    <x v="42"/>
    <x v="0"/>
    <n v="291"/>
    <m/>
    <m/>
    <m/>
    <m/>
    <n v="165"/>
    <n v="0.95930000000000004"/>
    <n v="7"/>
    <d v="1899-12-30T00:00:19"/>
    <d v="1899-12-30T00:02:24"/>
    <d v="1899-12-30T00:03:24"/>
    <n v="0.79290000000000005"/>
    <n v="6.6000000000000014"/>
    <n v="396.00000000000011"/>
    <n v="11.640000000000002"/>
    <n v="698.40000000000009"/>
    <n v="1.03"/>
    <n v="1.8187500000000003"/>
    <n v="2"/>
    <n v="2"/>
    <m/>
    <m/>
    <m/>
    <m/>
    <n v="78.682621880388965"/>
    <n v="297.54838662035399"/>
    <s v="Training"/>
  </r>
  <r>
    <d v="2020-10-20T00:00:00"/>
    <x v="3"/>
    <n v="3"/>
    <n v="10"/>
    <x v="42"/>
    <x v="0"/>
    <n v="219"/>
    <m/>
    <m/>
    <m/>
    <m/>
    <n v="200"/>
    <n v="0.96150000000000002"/>
    <n v="8"/>
    <d v="1899-12-30T00:00:26"/>
    <d v="1899-12-30T00:02:23"/>
    <d v="1899-12-30T00:03:15"/>
    <n v="0.68779999999999997"/>
    <n v="7.9444444444444438"/>
    <n v="476.66666666666663"/>
    <n v="8.6991666666666667"/>
    <n v="521.95000000000005"/>
    <n v="1.24"/>
    <n v="1.3592447916666668"/>
    <n v="2"/>
    <n v="2"/>
    <m/>
    <m/>
    <m/>
    <m/>
    <n v="64.934454562923776"/>
    <n v="276.31619135449398"/>
    <s v="Training"/>
  </r>
  <r>
    <d v="2020-10-21T00:00:00"/>
    <x v="4"/>
    <n v="4"/>
    <n v="10"/>
    <x v="42"/>
    <x v="0"/>
    <n v="173"/>
    <m/>
    <m/>
    <m/>
    <m/>
    <n v="76"/>
    <n v="0.98699999999999999"/>
    <n v="1"/>
    <d v="1899-12-30T00:00:29"/>
    <d v="1899-12-30T00:02:16"/>
    <d v="1899-12-30T00:01:54"/>
    <n v="0.58440000000000003"/>
    <n v="2.8711111111111109"/>
    <n v="172.26666666666665"/>
    <n v="6.5355555555555567"/>
    <n v="392.13333333333338"/>
    <n v="1"/>
    <n v="1.0211805555555558"/>
    <n v="1"/>
    <n v="1"/>
    <m/>
    <m/>
    <m/>
    <m/>
    <n v="78.029432499975329"/>
    <n v="303.93911269816152"/>
    <s v="Training"/>
  </r>
  <r>
    <d v="2020-10-22T00:00:00"/>
    <x v="5"/>
    <n v="5"/>
    <n v="10"/>
    <x v="42"/>
    <x v="0"/>
    <n v="204"/>
    <m/>
    <m/>
    <m/>
    <m/>
    <n v="250"/>
    <n v="0.85909999999999997"/>
    <n v="41"/>
    <d v="1899-12-30T00:00:41"/>
    <d v="1899-12-30T00:02:20"/>
    <d v="1899-12-30T00:07:10"/>
    <n v="0.5544"/>
    <n v="9.7222222222222214"/>
    <n v="583.33333333333326"/>
    <n v="7.9333333333333336"/>
    <n v="476"/>
    <n v="1.52"/>
    <n v="1.2395833333333333"/>
    <n v="2"/>
    <n v="2"/>
    <m/>
    <m/>
    <m/>
    <m/>
    <n v="66.330866111737095"/>
    <n v="292.82240772375621"/>
    <s v="Training"/>
  </r>
  <r>
    <d v="2020-10-23T00:00:00"/>
    <x v="6"/>
    <n v="6"/>
    <n v="10"/>
    <x v="42"/>
    <x v="0"/>
    <n v="216"/>
    <m/>
    <m/>
    <m/>
    <m/>
    <n v="212"/>
    <n v="0.96799999999999997"/>
    <n v="7"/>
    <d v="1899-12-30T00:00:21"/>
    <d v="1899-12-30T00:02:19"/>
    <d v="1899-12-30T00:01:50"/>
    <n v="0.76849999999999996"/>
    <n v="8.1855555555555561"/>
    <n v="491.13333333333338"/>
    <n v="8.3400000000000016"/>
    <n v="500.40000000000009"/>
    <n v="1.28"/>
    <n v="1.3031250000000003"/>
    <n v="2"/>
    <n v="2"/>
    <m/>
    <m/>
    <m/>
    <m/>
    <n v="56.842666002383787"/>
    <n v="275.38058890104719"/>
    <s v="Training"/>
  </r>
  <r>
    <d v="2020-10-24T00:00:00"/>
    <x v="0"/>
    <n v="7"/>
    <n v="10"/>
    <x v="42"/>
    <x v="0"/>
    <n v="461"/>
    <m/>
    <m/>
    <m/>
    <m/>
    <n v="169"/>
    <n v="0.97689999999999999"/>
    <n v="4"/>
    <d v="1899-12-30T00:00:18"/>
    <d v="1899-12-30T00:02:13"/>
    <d v="1899-12-30T00:02:14"/>
    <n v="0.81399999999999995"/>
    <n v="6.243611111111111"/>
    <n v="374.61666666666667"/>
    <n v="17.031388888888891"/>
    <n v="1021.8833333333334"/>
    <n v="1"/>
    <n v="2.661154513888889"/>
    <n v="2"/>
    <n v="1"/>
    <m/>
    <m/>
    <m/>
    <m/>
    <n v="68.767136088214514"/>
    <n v="284.29606264536699"/>
    <s v="Training"/>
  </r>
  <r>
    <d v="2020-10-25T00:00:00"/>
    <x v="1"/>
    <n v="1"/>
    <n v="10"/>
    <x v="43"/>
    <x v="0"/>
    <n v="56"/>
    <m/>
    <m/>
    <m/>
    <m/>
    <n v="197"/>
    <n v="0.9657"/>
    <n v="7"/>
    <d v="1899-12-30T00:00:17"/>
    <d v="1899-12-30T00:02:23"/>
    <d v="1899-12-30T00:01:57"/>
    <n v="0.8"/>
    <n v="7.8252777777777771"/>
    <n v="469.51666666666665"/>
    <n v="2.224444444444444"/>
    <n v="133.46666666666664"/>
    <n v="1.22"/>
    <n v="1"/>
    <n v="2"/>
    <n v="2"/>
    <m/>
    <m/>
    <m/>
    <m/>
    <n v="-13.103339656019029"/>
    <n v="199.60090477684901"/>
    <s v="Training"/>
  </r>
  <r>
    <d v="2020-10-26T00:00:00"/>
    <x v="2"/>
    <n v="2"/>
    <n v="10"/>
    <x v="43"/>
    <x v="0"/>
    <n v="192"/>
    <m/>
    <m/>
    <m/>
    <m/>
    <n v="185"/>
    <n v="0.85650000000000004"/>
    <n v="31"/>
    <d v="1899-12-30T00:00:30"/>
    <d v="1899-12-30T00:02:17"/>
    <d v="1899-12-30T00:06:26"/>
    <n v="0.61429999999999996"/>
    <n v="7.040277777777777"/>
    <n v="422.41666666666663"/>
    <n v="7.3066666666666658"/>
    <n v="438.39999999999992"/>
    <n v="1.1000000000000001"/>
    <n v="1.1416666666666664"/>
    <n v="2"/>
    <n v="2"/>
    <m/>
    <m/>
    <m/>
    <m/>
    <n v="68.504733170405771"/>
    <n v="285.52533887134871"/>
    <s v="Training"/>
  </r>
  <r>
    <d v="2020-10-27T00:00:00"/>
    <x v="3"/>
    <n v="3"/>
    <n v="10"/>
    <x v="43"/>
    <x v="0"/>
    <n v="382"/>
    <m/>
    <m/>
    <m/>
    <m/>
    <n v="441"/>
    <n v="0.95660000000000001"/>
    <n v="20"/>
    <d v="1899-12-30T00:00:30"/>
    <d v="1899-12-30T00:02:18"/>
    <d v="1899-12-30T00:03:40"/>
    <n v="0.6149"/>
    <n v="16.905000000000001"/>
    <n v="1014.3000000000001"/>
    <n v="14.643333333333333"/>
    <n v="878.59999999999991"/>
    <n v="2.64"/>
    <n v="2.2880208333333329"/>
    <n v="2"/>
    <n v="3"/>
    <m/>
    <m/>
    <m/>
    <m/>
    <n v="57.23823134335796"/>
    <n v="276.37428870710647"/>
    <s v="Training"/>
  </r>
  <r>
    <d v="2020-10-28T00:00:00"/>
    <x v="4"/>
    <n v="4"/>
    <n v="10"/>
    <x v="43"/>
    <x v="0"/>
    <n v="246"/>
    <m/>
    <m/>
    <m/>
    <m/>
    <n v="55"/>
    <n v="0.98209999999999997"/>
    <n v="1"/>
    <d v="1899-12-30T00:00:26"/>
    <d v="1899-12-30T00:02:11"/>
    <d v="1899-12-30T00:01:53"/>
    <n v="0.66069999999999995"/>
    <n v="2.0013888888888891"/>
    <n v="120.08333333333334"/>
    <n v="8.9516666666666662"/>
    <n v="537.1"/>
    <n v="1"/>
    <n v="1.3986979166666667"/>
    <n v="1"/>
    <n v="1"/>
    <m/>
    <m/>
    <m/>
    <m/>
    <n v="60.686859199505562"/>
    <n v="289.23455771355469"/>
    <s v="Training"/>
  </r>
  <r>
    <d v="2020-10-29T00:00:00"/>
    <x v="5"/>
    <n v="5"/>
    <n v="10"/>
    <x v="43"/>
    <x v="0"/>
    <n v="48"/>
    <m/>
    <m/>
    <m/>
    <m/>
    <n v="176"/>
    <n v="0.91669999999999996"/>
    <n v="16"/>
    <d v="1899-12-30T00:00:23"/>
    <d v="1899-12-30T00:02:05"/>
    <d v="1899-12-30T00:02:47"/>
    <n v="0.68279999999999996"/>
    <n v="6.1111111111111098"/>
    <n v="366.66666666666657"/>
    <n v="1.6666666666666667"/>
    <n v="100"/>
    <n v="1"/>
    <n v="1"/>
    <n v="2"/>
    <n v="1"/>
    <m/>
    <m/>
    <m/>
    <m/>
    <n v="59.513337398271851"/>
    <n v="280.71811767205691"/>
    <s v="Training"/>
  </r>
  <r>
    <d v="2020-10-30T00:00:00"/>
    <x v="6"/>
    <n v="6"/>
    <n v="10"/>
    <x v="43"/>
    <x v="0"/>
    <n v="221"/>
    <m/>
    <m/>
    <m/>
    <m/>
    <n v="365"/>
    <n v="0.95550000000000002"/>
    <n v="17"/>
    <d v="1899-12-30T00:00:20"/>
    <d v="1899-12-30T00:01:35"/>
    <d v="1899-12-30T00:02:53"/>
    <n v="0.73140000000000005"/>
    <n v="9.6319444444444446"/>
    <n v="577.91666666666663"/>
    <n v="5.8319444444444448"/>
    <n v="349.91666666666669"/>
    <n v="1.5"/>
    <n v="1"/>
    <n v="2"/>
    <n v="2"/>
    <m/>
    <m/>
    <m/>
    <m/>
    <n v="42.490249909208771"/>
    <n v="271.72634032137239"/>
    <s v="Training"/>
  </r>
  <r>
    <d v="2020-10-31T00:00:00"/>
    <x v="0"/>
    <n v="7"/>
    <n v="10"/>
    <x v="43"/>
    <x v="0"/>
    <n v="275"/>
    <m/>
    <m/>
    <m/>
    <m/>
    <n v="223"/>
    <n v="0.90649999999999997"/>
    <n v="23"/>
    <d v="1899-12-30T00:00:25"/>
    <d v="1899-12-30T00:02:14"/>
    <d v="1899-12-30T00:05:24"/>
    <n v="0.7167"/>
    <n v="8.3005555555555546"/>
    <n v="498.0333333333333"/>
    <n v="10.236111111111111"/>
    <n v="614.16666666666663"/>
    <n v="1.3"/>
    <n v="1.5993923611111109"/>
    <n v="2"/>
    <n v="2"/>
    <m/>
    <m/>
    <m/>
    <m/>
    <n v="57.49117119442591"/>
    <n v="278.58176928151892"/>
    <s v="Training"/>
  </r>
  <r>
    <d v="2020-11-01T00:00:00"/>
    <x v="1"/>
    <n v="1"/>
    <n v="11"/>
    <x v="44"/>
    <x v="0"/>
    <n v="166"/>
    <m/>
    <m/>
    <m/>
    <m/>
    <n v="46"/>
    <n v="0.95830000000000004"/>
    <n v="2"/>
    <d v="1899-12-30T00:00:26"/>
    <d v="1899-12-30T00:02:14"/>
    <d v="1899-12-30T00:01:25"/>
    <n v="0.72340000000000004"/>
    <n v="1.7122222222222223"/>
    <n v="102.73333333333333"/>
    <n v="6.1788888888888893"/>
    <n v="370.73333333333335"/>
    <n v="1"/>
    <n v="1"/>
    <n v="2"/>
    <n v="1"/>
    <m/>
    <m/>
    <m/>
    <m/>
    <n v="-34.945603758512682"/>
    <n v="192.25271950657751"/>
    <s v="Training"/>
  </r>
  <r>
    <d v="2020-11-02T00:00:00"/>
    <x v="2"/>
    <n v="2"/>
    <n v="11"/>
    <x v="44"/>
    <x v="0"/>
    <n v="137"/>
    <m/>
    <m/>
    <m/>
    <m/>
    <n v="205"/>
    <n v="0.92759999999999998"/>
    <n v="16"/>
    <d v="1899-12-30T00:00:26"/>
    <d v="1899-12-30T00:02:15"/>
    <d v="1899-12-30T00:03:15"/>
    <n v="0.63080000000000003"/>
    <n v="7.6875"/>
    <n v="461.25"/>
    <n v="5.1375000000000002"/>
    <n v="308.25"/>
    <n v="1.2"/>
    <n v="1"/>
    <n v="2"/>
    <n v="2"/>
    <m/>
    <m/>
    <m/>
    <m/>
    <n v="63.602912324384803"/>
    <n v="284.23732759830568"/>
    <s v="Training"/>
  </r>
  <r>
    <d v="2020-11-03T00:00:00"/>
    <x v="3"/>
    <n v="3"/>
    <n v="11"/>
    <x v="44"/>
    <x v="0"/>
    <n v="146"/>
    <m/>
    <m/>
    <m/>
    <m/>
    <n v="261"/>
    <n v="0.94910000000000005"/>
    <n v="14"/>
    <d v="1899-12-30T00:00:33"/>
    <d v="1899-12-30T00:02:19"/>
    <d v="1899-12-30T00:02:58"/>
    <n v="0.58520000000000005"/>
    <n v="10.077500000000001"/>
    <n v="604.65000000000009"/>
    <n v="5.6372222222222224"/>
    <n v="338.23333333333335"/>
    <n v="1.57"/>
    <n v="1"/>
    <n v="2"/>
    <n v="2"/>
    <m/>
    <m/>
    <m/>
    <m/>
    <n v="48.469022427420278"/>
    <n v="267.4809936412455"/>
    <s v="Training"/>
  </r>
  <r>
    <d v="2020-11-04T00:00:00"/>
    <x v="4"/>
    <n v="4"/>
    <n v="11"/>
    <x v="44"/>
    <x v="0"/>
    <n v="164"/>
    <m/>
    <m/>
    <m/>
    <m/>
    <n v="36"/>
    <n v="0.92310000000000003"/>
    <n v="3"/>
    <d v="1899-12-30T00:00:19"/>
    <d v="1899-12-30T00:01:53"/>
    <d v="1899-12-30T00:01:52"/>
    <n v="0.77780000000000005"/>
    <n v="1.1299999999999999"/>
    <n v="67.8"/>
    <n v="5.1477777777777778"/>
    <n v="308.86666666666667"/>
    <n v="1"/>
    <n v="1"/>
    <n v="1"/>
    <n v="1"/>
    <m/>
    <m/>
    <m/>
    <m/>
    <n v="49.794382215528309"/>
    <n v="274.31723650756931"/>
    <s v="Training"/>
  </r>
  <r>
    <d v="2020-11-05T00:00:00"/>
    <x v="5"/>
    <n v="5"/>
    <n v="11"/>
    <x v="44"/>
    <x v="0"/>
    <n v="244"/>
    <m/>
    <m/>
    <m/>
    <m/>
    <n v="236"/>
    <n v="0.94399999999999995"/>
    <n v="14"/>
    <d v="1899-12-30T00:00:29"/>
    <d v="1899-12-30T00:02:08"/>
    <d v="1899-12-30T00:04:07"/>
    <n v="0.59040000000000004"/>
    <n v="8.3911111111111119"/>
    <n v="503.4666666666667"/>
    <n v="8.6755555555555546"/>
    <n v="520.5333333333333"/>
    <n v="1.31"/>
    <n v="1.3555555555555554"/>
    <n v="2"/>
    <n v="2"/>
    <m/>
    <m/>
    <m/>
    <m/>
    <n v="50.55681844760641"/>
    <n v="276.59461896366912"/>
    <s v="Training"/>
  </r>
  <r>
    <d v="2020-11-06T00:00:00"/>
    <x v="6"/>
    <n v="6"/>
    <n v="11"/>
    <x v="44"/>
    <x v="0"/>
    <n v="161"/>
    <m/>
    <m/>
    <m/>
    <m/>
    <n v="184"/>
    <n v="0.93400000000000005"/>
    <n v="13"/>
    <d v="1899-12-30T00:00:29"/>
    <d v="1899-12-30T00:02:23"/>
    <d v="1899-12-30T00:03:41"/>
    <n v="0.55610000000000004"/>
    <n v="7.3088888888888892"/>
    <n v="438.53333333333336"/>
    <n v="6.3952777777777774"/>
    <n v="383.71666666666664"/>
    <n v="1.1399999999999999"/>
    <n v="1"/>
    <n v="2"/>
    <n v="2"/>
    <m/>
    <m/>
    <m/>
    <m/>
    <n v="36.974695109779823"/>
    <n v="257.26799729493149"/>
    <s v="Training"/>
  </r>
  <r>
    <d v="2020-11-07T00:00:00"/>
    <x v="0"/>
    <n v="7"/>
    <n v="11"/>
    <x v="44"/>
    <x v="0"/>
    <n v="163"/>
    <m/>
    <m/>
    <m/>
    <m/>
    <n v="208"/>
    <n v="0.93269999999999997"/>
    <n v="15"/>
    <d v="1899-12-30T00:00:28"/>
    <d v="1899-12-30T00:02:21"/>
    <d v="1899-12-30T00:06:51"/>
    <n v="0.72270000000000001"/>
    <n v="8.1466666666666665"/>
    <n v="488.8"/>
    <n v="6.3841666666666663"/>
    <n v="383.04999999999995"/>
    <n v="1.27"/>
    <n v="1"/>
    <n v="2"/>
    <n v="2"/>
    <m/>
    <m/>
    <m/>
    <m/>
    <n v="31.815031133126851"/>
    <n v="258.66957999877019"/>
    <s v="Training"/>
  </r>
  <r>
    <d v="2020-11-08T00:00:00"/>
    <x v="1"/>
    <n v="1"/>
    <n v="11"/>
    <x v="45"/>
    <x v="0"/>
    <n v="346"/>
    <m/>
    <m/>
    <m/>
    <m/>
    <n v="236"/>
    <n v="0.98329999999999995"/>
    <n v="4"/>
    <d v="1899-12-30T00:00:18"/>
    <d v="1899-12-30T00:02:14"/>
    <d v="1899-12-30T00:02:08"/>
    <n v="0.7792"/>
    <n v="8.7844444444444445"/>
    <n v="527.06666666666672"/>
    <n v="12.878888888888889"/>
    <n v="772.73333333333335"/>
    <n v="1.37"/>
    <n v="2.0123263888888889"/>
    <n v="2"/>
    <n v="2"/>
    <m/>
    <m/>
    <m/>
    <m/>
    <n v="-49.796110435918337"/>
    <n v="173.48636112772451"/>
    <s v="Training"/>
  </r>
  <r>
    <d v="2020-11-09T00:00:00"/>
    <x v="2"/>
    <n v="2"/>
    <n v="11"/>
    <x v="45"/>
    <x v="0"/>
    <n v="214"/>
    <m/>
    <m/>
    <m/>
    <m/>
    <n v="52"/>
    <n v="0.94550000000000001"/>
    <n v="3"/>
    <d v="1899-12-30T00:00:16"/>
    <d v="1899-12-30T00:02:19"/>
    <d v="1899-12-30T00:01:42"/>
    <n v="0.78180000000000005"/>
    <n v="2.0077777777777777"/>
    <n v="120.46666666666665"/>
    <n v="8.262777777777778"/>
    <n v="495.76666666666665"/>
    <n v="1"/>
    <n v="1.2910590277777778"/>
    <n v="2"/>
    <n v="1"/>
    <m/>
    <m/>
    <m/>
    <m/>
    <n v="56.544387117618292"/>
    <n v="273.20473545326388"/>
    <s v="Training"/>
  </r>
  <r>
    <d v="2020-11-10T00:00:00"/>
    <x v="3"/>
    <n v="3"/>
    <n v="11"/>
    <x v="45"/>
    <x v="0"/>
    <n v="48"/>
    <m/>
    <m/>
    <m/>
    <m/>
    <n v="54"/>
    <n v="0.9153"/>
    <n v="5"/>
    <d v="1899-12-30T00:00:08"/>
    <d v="1899-12-30T00:02:06"/>
    <d v="1899-12-30T00:02:01"/>
    <n v="0.84750000000000003"/>
    <n v="1.89"/>
    <n v="113.39999999999999"/>
    <n v="1.6800000000000002"/>
    <n v="100.80000000000001"/>
    <n v="1"/>
    <n v="1"/>
    <n v="2"/>
    <n v="1"/>
    <m/>
    <m/>
    <m/>
    <m/>
    <n v="33.853751803337033"/>
    <n v="256.79615585955901"/>
    <s v="Training"/>
  </r>
  <r>
    <d v="2020-11-11T00:00:00"/>
    <x v="4"/>
    <n v="4"/>
    <n v="11"/>
    <x v="45"/>
    <x v="0"/>
    <n v="225"/>
    <m/>
    <m/>
    <m/>
    <m/>
    <n v="31"/>
    <n v="0.86109999999999998"/>
    <n v="5"/>
    <d v="1899-12-30T00:00:11"/>
    <d v="1899-12-30T00:02:22"/>
    <d v="1899-12-30T00:01:56"/>
    <n v="0.72219999999999995"/>
    <n v="1.2227777777777777"/>
    <n v="73.36666666666666"/>
    <n v="8.875"/>
    <n v="532.5"/>
    <n v="1"/>
    <n v="1.38671875"/>
    <n v="1"/>
    <n v="1"/>
    <m/>
    <m/>
    <m/>
    <m/>
    <n v="39.313104184181178"/>
    <n v="263.05941930189118"/>
    <s v="Training"/>
  </r>
  <r>
    <d v="2020-11-12T00:00:00"/>
    <x v="5"/>
    <n v="5"/>
    <n v="11"/>
    <x v="45"/>
    <x v="0"/>
    <n v="177"/>
    <m/>
    <m/>
    <m/>
    <m/>
    <n v="219"/>
    <n v="0.95630000000000004"/>
    <n v="10"/>
    <d v="1899-12-30T00:00:13"/>
    <d v="1899-12-30T00:02:07"/>
    <d v="1899-12-30T00:02:35"/>
    <n v="0.84889999999999999"/>
    <n v="7.7258333333333322"/>
    <n v="463.54999999999995"/>
    <n v="6.2441666666666666"/>
    <n v="374.65"/>
    <n v="1.21"/>
    <n v="1"/>
    <n v="2"/>
    <n v="2"/>
    <m/>
    <m/>
    <m/>
    <m/>
    <n v="34.991550911922481"/>
    <n v="253.44499454849691"/>
    <s v="Training"/>
  </r>
  <r>
    <d v="2020-11-13T00:00:00"/>
    <x v="6"/>
    <n v="6"/>
    <n v="11"/>
    <x v="45"/>
    <x v="0"/>
    <n v="189"/>
    <m/>
    <m/>
    <m/>
    <m/>
    <n v="189"/>
    <n v="0.91749999999999998"/>
    <n v="17"/>
    <d v="1899-12-30T00:00:15"/>
    <d v="1899-12-30T00:02:19"/>
    <d v="1899-12-30T00:03:48"/>
    <n v="0.82830000000000004"/>
    <n v="7.2975000000000003"/>
    <n v="437.85"/>
    <n v="7.2975000000000003"/>
    <n v="437.85"/>
    <n v="1.1399999999999999"/>
    <n v="1.1402343750000001"/>
    <n v="2"/>
    <n v="2"/>
    <m/>
    <m/>
    <m/>
    <m/>
    <n v="19.854445518931449"/>
    <n v="246.2196208867459"/>
    <s v="Training"/>
  </r>
  <r>
    <d v="2020-11-14T00:00:00"/>
    <x v="0"/>
    <n v="7"/>
    <n v="11"/>
    <x v="45"/>
    <x v="0"/>
    <n v="169"/>
    <m/>
    <m/>
    <m/>
    <m/>
    <n v="200"/>
    <n v="0.88890000000000002"/>
    <n v="25"/>
    <d v="1899-12-30T00:00:21"/>
    <d v="1899-12-30T00:02:21"/>
    <d v="1899-12-30T00:04:42"/>
    <n v="0.73109999999999997"/>
    <n v="7.833333333333333"/>
    <n v="470"/>
    <n v="6.6191666666666675"/>
    <n v="397.15000000000003"/>
    <n v="1.22"/>
    <n v="1.0342447916666668"/>
    <n v="2"/>
    <n v="2"/>
    <m/>
    <m/>
    <m/>
    <m/>
    <n v="29.496922372273861"/>
    <n v="252.12602517727859"/>
    <s v="Training"/>
  </r>
  <r>
    <d v="2020-11-15T00:00:00"/>
    <x v="1"/>
    <n v="1"/>
    <n v="11"/>
    <x v="46"/>
    <x v="0"/>
    <n v="41"/>
    <m/>
    <m/>
    <m/>
    <m/>
    <n v="193"/>
    <n v="0.96499999999999997"/>
    <n v="7"/>
    <d v="1899-12-30T00:00:17"/>
    <d v="1899-12-30T00:02:23"/>
    <d v="1899-12-30T00:03:40"/>
    <n v="0.79290000000000005"/>
    <n v="7.6663888888888891"/>
    <n v="459.98333333333335"/>
    <n v="1.628611111111111"/>
    <n v="97.716666666666654"/>
    <n v="1.2"/>
    <n v="1"/>
    <n v="2"/>
    <n v="2"/>
    <m/>
    <m/>
    <m/>
    <m/>
    <n v="-58.808473822980247"/>
    <n v="163.7909485603108"/>
    <s v="Training"/>
  </r>
  <r>
    <d v="2020-11-16T00:00:00"/>
    <x v="2"/>
    <n v="2"/>
    <n v="11"/>
    <x v="46"/>
    <x v="0"/>
    <n v="218"/>
    <m/>
    <m/>
    <m/>
    <m/>
    <n v="179"/>
    <n v="0.94710000000000005"/>
    <n v="10"/>
    <d v="1899-12-30T00:00:22"/>
    <d v="1899-12-30T00:02:10"/>
    <d v="1899-12-30T00:06:41"/>
    <n v="0.78069999999999995"/>
    <n v="6.4638888888888886"/>
    <n v="387.83333333333331"/>
    <n v="7.8722222222222218"/>
    <n v="472.33333333333331"/>
    <n v="1.01"/>
    <n v="1.2300347222222221"/>
    <n v="2"/>
    <n v="2"/>
    <m/>
    <m/>
    <m/>
    <m/>
    <n v="49.408881770880178"/>
    <n v="263.74817992312973"/>
    <s v="Training"/>
  </r>
  <r>
    <d v="2020-11-17T00:00:00"/>
    <x v="3"/>
    <n v="3"/>
    <n v="11"/>
    <x v="46"/>
    <x v="0"/>
    <n v="194"/>
    <m/>
    <m/>
    <m/>
    <m/>
    <n v="159"/>
    <n v="0.94079999999999997"/>
    <n v="10"/>
    <d v="1899-12-30T00:00:22"/>
    <d v="1899-12-30T00:02:23"/>
    <d v="1899-12-30T00:03:26"/>
    <n v="0.73650000000000004"/>
    <n v="6.315833333333333"/>
    <n v="378.95"/>
    <n v="7.7061111111111105"/>
    <n v="462.36666666666662"/>
    <n v="1"/>
    <n v="1.204079861111111"/>
    <n v="2"/>
    <n v="1"/>
    <m/>
    <m/>
    <m/>
    <m/>
    <n v="25.798850647960389"/>
    <n v="250.8865814661514"/>
    <s v="Training"/>
  </r>
  <r>
    <d v="2020-11-18T00:00:00"/>
    <x v="4"/>
    <n v="4"/>
    <n v="11"/>
    <x v="46"/>
    <x v="0"/>
    <n v="176"/>
    <m/>
    <m/>
    <m/>
    <m/>
    <n v="40"/>
    <n v="0.97560000000000002"/>
    <n v="1"/>
    <d v="1899-12-30T00:00:25"/>
    <d v="1899-12-30T00:02:32"/>
    <d v="1899-12-30T00:02:05"/>
    <n v="0.68289999999999995"/>
    <n v="1.6888888888888889"/>
    <n v="101.33333333333333"/>
    <n v="7.431111111111111"/>
    <n v="445.86666666666667"/>
    <n v="1"/>
    <n v="1.1611111111111112"/>
    <n v="1"/>
    <n v="1"/>
    <m/>
    <m/>
    <m/>
    <m/>
    <n v="26.722842889731769"/>
    <n v="255.62978574232221"/>
    <s v="Training"/>
  </r>
  <r>
    <d v="2020-11-19T00:00:00"/>
    <x v="5"/>
    <n v="5"/>
    <n v="11"/>
    <x v="46"/>
    <x v="0"/>
    <n v="181"/>
    <m/>
    <m/>
    <m/>
    <m/>
    <n v="187"/>
    <n v="0.85780000000000001"/>
    <n v="31"/>
    <d v="1899-12-30T00:00:48"/>
    <d v="1899-12-30T00:02:15"/>
    <d v="1899-12-30T00:05:13"/>
    <n v="0.52110000000000001"/>
    <n v="7.0125000000000002"/>
    <n v="420.75"/>
    <n v="6.7875000000000014"/>
    <n v="407.25000000000011"/>
    <n v="1.1000000000000001"/>
    <n v="1.0605468750000002"/>
    <n v="2"/>
    <n v="2"/>
    <m/>
    <m/>
    <m/>
    <m/>
    <n v="38.418793142635231"/>
    <n v="248.20343912943301"/>
    <s v="Training"/>
  </r>
  <r>
    <d v="2020-11-20T00:00:00"/>
    <x v="6"/>
    <n v="6"/>
    <n v="11"/>
    <x v="46"/>
    <x v="0"/>
    <n v="159"/>
    <m/>
    <m/>
    <m/>
    <m/>
    <n v="185"/>
    <n v="0.9536"/>
    <n v="9"/>
    <d v="1899-12-30T00:00:21"/>
    <d v="1899-12-30T00:02:10"/>
    <d v="1899-12-30T00:02:45"/>
    <n v="0.71579999999999999"/>
    <n v="6.6805555555555545"/>
    <n v="400.83333333333326"/>
    <n v="5.7416666666666663"/>
    <n v="344.5"/>
    <n v="1.04"/>
    <n v="1"/>
    <n v="2"/>
    <n v="2"/>
    <m/>
    <m/>
    <m/>
    <m/>
    <n v="20.38714254422845"/>
    <n v="247.86391942255199"/>
    <s v="Training"/>
  </r>
  <r>
    <d v="2020-11-21T00:00:00"/>
    <x v="0"/>
    <n v="7"/>
    <n v="11"/>
    <x v="46"/>
    <x v="0"/>
    <n v="144"/>
    <m/>
    <m/>
    <m/>
    <m/>
    <n v="172"/>
    <n v="0.97729999999999995"/>
    <n v="4"/>
    <d v="1899-12-30T00:00:16"/>
    <d v="1899-12-30T00:02:20"/>
    <d v="1899-12-30T00:02:15"/>
    <n v="0.82079999999999997"/>
    <n v="6.6888888888888882"/>
    <n v="401.33333333333331"/>
    <n v="5.6"/>
    <n v="336"/>
    <n v="1.05"/>
    <n v="1"/>
    <n v="2"/>
    <n v="2"/>
    <m/>
    <m/>
    <m/>
    <m/>
    <n v="34.12783490182948"/>
    <n v="259.95014791986819"/>
    <s v="Training"/>
  </r>
  <r>
    <d v="2020-11-22T00:00:00"/>
    <x v="1"/>
    <n v="1"/>
    <n v="11"/>
    <x v="47"/>
    <x v="0"/>
    <n v="30"/>
    <m/>
    <m/>
    <m/>
    <m/>
    <n v="179"/>
    <n v="0.98899999999999999"/>
    <n v="2"/>
    <d v="1899-12-30T00:00:18"/>
    <d v="1899-12-30T00:02:21"/>
    <d v="1899-12-30T00:02:17"/>
    <n v="0.80559999999999998"/>
    <n v="7.0108333333333341"/>
    <n v="420.65000000000003"/>
    <n v="1.1750000000000003"/>
    <n v="70.500000000000014"/>
    <n v="1.1000000000000001"/>
    <n v="1"/>
    <n v="2"/>
    <n v="2"/>
    <m/>
    <m/>
    <m/>
    <m/>
    <n v="-50.581911845330012"/>
    <n v="164.39261823737741"/>
    <s v="Training"/>
  </r>
  <r>
    <d v="2020-11-23T00:00:00"/>
    <x v="2"/>
    <n v="2"/>
    <n v="11"/>
    <x v="47"/>
    <x v="0"/>
    <n v="197"/>
    <m/>
    <m/>
    <m/>
    <m/>
    <n v="151"/>
    <n v="0.94969999999999999"/>
    <n v="8"/>
    <d v="1899-12-30T00:00:29"/>
    <d v="1899-12-30T00:01:59"/>
    <d v="1899-12-30T00:03:41"/>
    <n v="0.61009999999999998"/>
    <n v="4.9913888888888893"/>
    <n v="299.48333333333335"/>
    <n v="6.5119444444444436"/>
    <n v="390.71666666666664"/>
    <n v="1"/>
    <n v="1.0174913194444444"/>
    <n v="2"/>
    <n v="1"/>
    <m/>
    <m/>
    <m/>
    <m/>
    <n v="37.149676187264348"/>
    <n v="272.5879608262718"/>
    <s v="Training"/>
  </r>
  <r>
    <d v="2020-11-24T00:00:00"/>
    <x v="3"/>
    <n v="3"/>
    <n v="11"/>
    <x v="47"/>
    <x v="0"/>
    <n v="56"/>
    <m/>
    <m/>
    <m/>
    <m/>
    <n v="135"/>
    <n v="0.9375"/>
    <n v="9"/>
    <d v="1899-12-30T00:00:24"/>
    <d v="1899-12-30T00:02:12"/>
    <d v="1899-12-30T00:06:25"/>
    <n v="0.70630000000000004"/>
    <n v="4.95"/>
    <n v="297"/>
    <n v="2.0533333333333337"/>
    <n v="123.20000000000002"/>
    <n v="1"/>
    <n v="1"/>
    <n v="2"/>
    <n v="1"/>
    <m/>
    <m/>
    <m/>
    <m/>
    <n v="23.328021822190941"/>
    <n v="249.49787186970121"/>
    <s v="Training"/>
  </r>
  <r>
    <d v="2020-11-25T00:00:00"/>
    <x v="4"/>
    <n v="4"/>
    <n v="11"/>
    <x v="47"/>
    <x v="0"/>
    <n v="182"/>
    <m/>
    <m/>
    <m/>
    <m/>
    <n v="29"/>
    <n v="0.9667"/>
    <n v="1"/>
    <d v="1899-12-30T00:00:33"/>
    <d v="1899-12-30T00:02:58"/>
    <d v="1899-12-30T00:02:16"/>
    <n v="0.6"/>
    <n v="1.433888888888889"/>
    <n v="86.033333333333346"/>
    <n v="8.9988888888888905"/>
    <n v="539.93333333333339"/>
    <n v="1"/>
    <n v="1.406076388888889"/>
    <n v="1"/>
    <n v="1"/>
    <m/>
    <m/>
    <m/>
    <m/>
    <n v="47.00415754252024"/>
    <n v="262.17280107379588"/>
    <s v="Training"/>
  </r>
  <r>
    <d v="2020-11-26T00:00:00"/>
    <x v="5"/>
    <n v="5"/>
    <n v="11"/>
    <x v="47"/>
    <x v="0"/>
    <n v="178"/>
    <m/>
    <m/>
    <m/>
    <m/>
    <n v="185"/>
    <n v="0.93910000000000005"/>
    <n v="12"/>
    <d v="1899-12-30T00:00:24"/>
    <d v="1899-12-30T00:02:18"/>
    <d v="1899-12-30T00:02:20"/>
    <n v="0.68230000000000002"/>
    <n v="7.0916666666666668"/>
    <n v="425.5"/>
    <n v="6.8233333333333341"/>
    <n v="409.40000000000003"/>
    <n v="1.1100000000000001"/>
    <n v="1.0661458333333333"/>
    <n v="2"/>
    <n v="2"/>
    <m/>
    <m/>
    <m/>
    <m/>
    <n v="45.705806353646437"/>
    <n v="257.88302366972079"/>
    <s v="Training"/>
  </r>
  <r>
    <d v="2020-11-27T00:00:00"/>
    <x v="6"/>
    <n v="6"/>
    <n v="11"/>
    <x v="47"/>
    <x v="0"/>
    <n v="183"/>
    <m/>
    <m/>
    <m/>
    <m/>
    <n v="47"/>
    <n v="0.83930000000000005"/>
    <n v="9"/>
    <d v="1899-12-30T00:00:24"/>
    <d v="1899-12-30T00:02:22"/>
    <d v="1899-12-30T00:02:48"/>
    <n v="0.58930000000000005"/>
    <n v="1.8538888888888889"/>
    <n v="111.23333333333333"/>
    <n v="7.2183333333333337"/>
    <n v="433.1"/>
    <n v="1"/>
    <n v="1.1278645833333334"/>
    <n v="2"/>
    <n v="1"/>
    <m/>
    <m/>
    <m/>
    <m/>
    <n v="34.003946128369058"/>
    <n v="266.90968891870961"/>
    <s v="Training"/>
  </r>
  <r>
    <d v="2020-11-28T00:00:00"/>
    <x v="0"/>
    <n v="7"/>
    <n v="11"/>
    <x v="47"/>
    <x v="0"/>
    <n v="197"/>
    <m/>
    <m/>
    <m/>
    <m/>
    <n v="153"/>
    <n v="0.8407"/>
    <n v="29"/>
    <d v="1899-12-30T00:00:38"/>
    <d v="1899-12-30T00:02:17"/>
    <d v="1899-12-30T00:10:41"/>
    <n v="0.53890000000000005"/>
    <n v="5.8224999999999998"/>
    <n v="349.34999999999997"/>
    <n v="7.4969444444444449"/>
    <n v="449.81666666666672"/>
    <n v="1"/>
    <n v="1.1713975694444445"/>
    <n v="2"/>
    <n v="1"/>
    <m/>
    <m/>
    <m/>
    <m/>
    <n v="32.265655481249652"/>
    <n v="259.40881099260372"/>
    <s v="Training"/>
  </r>
  <r>
    <d v="2020-11-29T00:00:00"/>
    <x v="1"/>
    <n v="1"/>
    <n v="11"/>
    <x v="48"/>
    <x v="0"/>
    <n v="60"/>
    <m/>
    <m/>
    <m/>
    <m/>
    <n v="166"/>
    <n v="0.93259999999999998"/>
    <n v="12"/>
    <d v="1899-12-30T00:00:30"/>
    <d v="1899-12-30T00:02:24"/>
    <d v="1899-12-30T00:05:12"/>
    <n v="0.62070000000000003"/>
    <n v="6.64"/>
    <n v="398.4"/>
    <n v="2.4"/>
    <n v="144"/>
    <n v="1.04"/>
    <n v="1"/>
    <n v="2"/>
    <n v="2"/>
    <m/>
    <m/>
    <m/>
    <m/>
    <n v="-27.327008740910671"/>
    <n v="183.78733796480441"/>
    <s v="Training"/>
  </r>
  <r>
    <d v="2020-11-30T00:00:00"/>
    <x v="2"/>
    <n v="2"/>
    <n v="11"/>
    <x v="48"/>
    <x v="0"/>
    <n v="241"/>
    <m/>
    <m/>
    <m/>
    <m/>
    <n v="164"/>
    <n v="0.8962"/>
    <n v="19"/>
    <d v="1899-12-30T00:00:25"/>
    <d v="1899-12-30T00:02:04"/>
    <d v="1899-12-30T00:03:40"/>
    <n v="0.65910000000000002"/>
    <n v="5.6488888888888891"/>
    <n v="338.93333333333334"/>
    <n v="8.301111111111112"/>
    <n v="498.06666666666672"/>
    <n v="1"/>
    <n v="1.2970486111111112"/>
    <n v="2"/>
    <n v="1"/>
    <m/>
    <m/>
    <m/>
    <m/>
    <n v="64.415189277933777"/>
    <n v="283.24033533374029"/>
    <s v="Training"/>
  </r>
  <r>
    <d v="2020-12-01T00:00:00"/>
    <x v="3"/>
    <n v="3"/>
    <n v="12"/>
    <x v="48"/>
    <x v="0"/>
    <n v="32"/>
    <m/>
    <m/>
    <m/>
    <m/>
    <n v="182"/>
    <n v="0.92390000000000005"/>
    <n v="15"/>
    <d v="1899-12-30T00:00:28"/>
    <d v="1899-12-30T00:02:25"/>
    <d v="1899-12-30T00:04:20"/>
    <n v="0.64800000000000002"/>
    <n v="7.3305555555555557"/>
    <n v="439.83333333333337"/>
    <n v="1.288888888888889"/>
    <n v="77.333333333333343"/>
    <n v="1.1499999999999999"/>
    <n v="1"/>
    <n v="2"/>
    <n v="2"/>
    <m/>
    <m/>
    <m/>
    <m/>
    <n v="44.065005369786881"/>
    <n v="266.94382579400849"/>
    <s v="Training"/>
  </r>
  <r>
    <d v="2020-12-02T00:00:00"/>
    <x v="4"/>
    <n v="4"/>
    <n v="12"/>
    <x v="48"/>
    <x v="0"/>
    <n v="254"/>
    <m/>
    <m/>
    <m/>
    <m/>
    <n v="58"/>
    <n v="0.9667"/>
    <n v="2"/>
    <d v="1899-12-30T00:00:37"/>
    <d v="1899-12-30T00:02:36"/>
    <d v="1899-12-30T00:03:10"/>
    <n v="0.54239999999999999"/>
    <n v="2.5133333333333332"/>
    <n v="150.79999999999998"/>
    <n v="11.006666666666666"/>
    <n v="660.4"/>
    <n v="1"/>
    <n v="1.7197916666666666"/>
    <n v="1"/>
    <n v="1"/>
    <m/>
    <m/>
    <m/>
    <m/>
    <n v="53.477433753696843"/>
    <n v="276.00223953692512"/>
    <s v="Training"/>
  </r>
  <r>
    <d v="2020-12-03T00:00:00"/>
    <x v="5"/>
    <n v="5"/>
    <n v="12"/>
    <x v="48"/>
    <x v="0"/>
    <n v="147"/>
    <m/>
    <m/>
    <m/>
    <m/>
    <n v="224"/>
    <n v="0.92949999999999999"/>
    <n v="17"/>
    <d v="1899-12-30T00:00:23"/>
    <d v="1899-12-30T00:02:25"/>
    <d v="1899-12-30T00:02:45"/>
    <n v="0.7046"/>
    <n v="9.0222222222222221"/>
    <n v="541.33333333333337"/>
    <n v="5.9208333333333334"/>
    <n v="355.25"/>
    <n v="1.41"/>
    <n v="1"/>
    <n v="2"/>
    <n v="2"/>
    <m/>
    <m/>
    <m/>
    <m/>
    <n v="64.074624543070442"/>
    <n v="280.97134387018588"/>
    <s v="Training"/>
  </r>
  <r>
    <d v="2020-12-04T00:00:00"/>
    <x v="6"/>
    <n v="6"/>
    <n v="12"/>
    <x v="48"/>
    <x v="0"/>
    <n v="42"/>
    <m/>
    <m/>
    <m/>
    <m/>
    <n v="295"/>
    <n v="0.96089999999999998"/>
    <n v="12"/>
    <d v="1899-12-30T00:00:29"/>
    <d v="1899-12-30T00:02:16"/>
    <d v="1899-12-30T00:02:45"/>
    <n v="0.60460000000000003"/>
    <n v="11.144444444444444"/>
    <n v="668.66666666666663"/>
    <n v="1.5866666666666667"/>
    <n v="95.2"/>
    <n v="1.74"/>
    <n v="1"/>
    <n v="2"/>
    <n v="2"/>
    <m/>
    <m/>
    <m/>
    <m/>
    <n v="42.429413639739103"/>
    <n v="269.96912136283743"/>
    <s v="Training"/>
  </r>
  <r>
    <d v="2020-12-05T00:00:00"/>
    <x v="0"/>
    <n v="7"/>
    <n v="12"/>
    <x v="48"/>
    <x v="0"/>
    <n v="186"/>
    <m/>
    <m/>
    <m/>
    <m/>
    <n v="289"/>
    <n v="0.97970000000000002"/>
    <n v="6"/>
    <d v="1899-12-30T00:00:26"/>
    <d v="1899-12-30T00:02:23"/>
    <d v="1899-12-30T00:03:11"/>
    <n v="0.70689999999999997"/>
    <n v="11.479722222222222"/>
    <n v="688.7833333333333"/>
    <n v="7.3883333333333336"/>
    <n v="443.3"/>
    <n v="1.79"/>
    <n v="1.1544270833333334"/>
    <n v="2"/>
    <n v="2"/>
    <m/>
    <m/>
    <m/>
    <m/>
    <n v="55.860465974930179"/>
    <n v="275.03505024741668"/>
    <s v="Training"/>
  </r>
  <r>
    <d v="2020-12-06T00:00:00"/>
    <x v="1"/>
    <n v="1"/>
    <n v="12"/>
    <x v="49"/>
    <x v="0"/>
    <n v="132"/>
    <m/>
    <m/>
    <m/>
    <m/>
    <n v="230"/>
    <n v="0.96230000000000004"/>
    <n v="9"/>
    <d v="1899-12-30T00:00:26"/>
    <d v="1899-12-30T00:02:14"/>
    <d v="1899-12-30T00:03:14"/>
    <n v="0.68910000000000005"/>
    <n v="8.5611111111111118"/>
    <n v="513.66666666666674"/>
    <n v="4.9133333333333331"/>
    <n v="294.8"/>
    <n v="1.34"/>
    <n v="1"/>
    <n v="2"/>
    <n v="2"/>
    <m/>
    <m/>
    <m/>
    <m/>
    <n v="-34.914812012478507"/>
    <n v="186.57160658564379"/>
    <s v="Training"/>
  </r>
  <r>
    <d v="2020-12-07T00:00:00"/>
    <x v="2"/>
    <n v="2"/>
    <n v="12"/>
    <x v="49"/>
    <x v="0"/>
    <n v="12"/>
    <m/>
    <m/>
    <m/>
    <m/>
    <n v="231"/>
    <n v="0.95850000000000002"/>
    <n v="10"/>
    <d v="1899-12-30T00:00:23"/>
    <d v="1899-12-30T00:02:25"/>
    <d v="1899-12-30T00:01:52"/>
    <n v="0.72460000000000002"/>
    <n v="9.3041666666666671"/>
    <n v="558.25"/>
    <n v="0.48333333333333334"/>
    <n v="29"/>
    <n v="1.45"/>
    <n v="1"/>
    <n v="2"/>
    <n v="2"/>
    <m/>
    <m/>
    <m/>
    <m/>
    <n v="69.48951523160386"/>
    <n v="300.21458157583947"/>
    <s v="Training"/>
  </r>
  <r>
    <d v="2020-12-08T00:00:00"/>
    <x v="3"/>
    <n v="3"/>
    <n v="12"/>
    <x v="49"/>
    <x v="0"/>
    <n v="187"/>
    <m/>
    <m/>
    <m/>
    <m/>
    <n v="195"/>
    <n v="0.92420000000000002"/>
    <n v="16"/>
    <d v="1899-12-30T00:00:33"/>
    <d v="1899-12-30T00:02:42"/>
    <d v="1899-12-30T00:03:16"/>
    <n v="0.52400000000000002"/>
    <n v="8.7749999999999986"/>
    <n v="526.49999999999989"/>
    <n v="8.4149999999999991"/>
    <n v="504.9"/>
    <n v="1.37"/>
    <n v="1.3148437499999999"/>
    <n v="2"/>
    <n v="2"/>
    <m/>
    <m/>
    <m/>
    <m/>
    <n v="67.621167801455059"/>
    <n v="275.17083832836232"/>
    <s v="Training"/>
  </r>
  <r>
    <d v="2020-12-09T00:00:00"/>
    <x v="4"/>
    <n v="4"/>
    <n v="12"/>
    <x v="49"/>
    <x v="0"/>
    <n v="186"/>
    <m/>
    <m/>
    <m/>
    <m/>
    <n v="35"/>
    <n v="0.875"/>
    <n v="5"/>
    <d v="1899-12-30T00:00:40"/>
    <d v="1899-12-30T00:02:35"/>
    <d v="1899-12-30T00:03:12"/>
    <n v="0.47499999999999998"/>
    <n v="1.5069444444444442"/>
    <n v="90.416666666666657"/>
    <n v="8.0083333333333329"/>
    <n v="480.5"/>
    <n v="1"/>
    <n v="1.2513020833333333"/>
    <n v="1"/>
    <n v="1"/>
    <m/>
    <m/>
    <m/>
    <m/>
    <n v="68.516297623723773"/>
    <n v="289.41630014656693"/>
    <s v="Training"/>
  </r>
  <r>
    <d v="2020-12-10T00:00:00"/>
    <x v="5"/>
    <n v="5"/>
    <n v="12"/>
    <x v="49"/>
    <x v="0"/>
    <n v="246"/>
    <m/>
    <m/>
    <m/>
    <m/>
    <n v="174"/>
    <n v="0.90629999999999999"/>
    <n v="18"/>
    <d v="1899-12-30T00:00:32"/>
    <d v="1899-12-30T00:02:16"/>
    <d v="1899-12-30T00:03:40"/>
    <n v="0.55789999999999995"/>
    <n v="6.5733333333333333"/>
    <n v="394.4"/>
    <n v="9.293333333333333"/>
    <n v="557.6"/>
    <n v="1.03"/>
    <n v="1.4520833333333334"/>
    <n v="2"/>
    <n v="2"/>
    <m/>
    <m/>
    <m/>
    <m/>
    <n v="67.656411896447366"/>
    <n v="285.07737959418068"/>
    <s v="Training"/>
  </r>
  <r>
    <d v="2020-12-11T00:00:00"/>
    <x v="6"/>
    <n v="6"/>
    <n v="12"/>
    <x v="49"/>
    <x v="0"/>
    <n v="200"/>
    <m/>
    <m/>
    <m/>
    <m/>
    <n v="179"/>
    <n v="0.89049999999999996"/>
    <n v="22"/>
    <d v="1899-12-30T00:00:35"/>
    <d v="1899-12-30T00:02:18"/>
    <d v="1899-12-30T00:03:40"/>
    <n v="0.57289999999999996"/>
    <n v="6.8616666666666664"/>
    <n v="411.7"/>
    <n v="7.6666666666666679"/>
    <n v="460.00000000000006"/>
    <n v="1.07"/>
    <n v="1.1979166666666667"/>
    <n v="2"/>
    <n v="2"/>
    <m/>
    <m/>
    <m/>
    <m/>
    <n v="61.111792157687432"/>
    <n v="276.0160903045076"/>
    <s v="Training"/>
  </r>
  <r>
    <d v="2020-12-12T00:00:00"/>
    <x v="0"/>
    <n v="7"/>
    <n v="12"/>
    <x v="49"/>
    <x v="0"/>
    <n v="159"/>
    <m/>
    <m/>
    <m/>
    <m/>
    <n v="247"/>
    <n v="0.90149999999999997"/>
    <n v="27"/>
    <d v="1899-12-30T00:00:28"/>
    <d v="1899-12-30T00:02:10"/>
    <d v="1899-12-30T00:04:04"/>
    <n v="0.63939999999999997"/>
    <n v="8.9194444444444443"/>
    <n v="535.16666666666663"/>
    <n v="5.7416666666666663"/>
    <n v="344.5"/>
    <n v="1.39"/>
    <n v="1"/>
    <n v="2"/>
    <n v="2"/>
    <m/>
    <m/>
    <m/>
    <m/>
    <n v="51.231407695264281"/>
    <n v="287.33826880333248"/>
    <s v="Training"/>
  </r>
  <r>
    <d v="2020-12-13T00:00:00"/>
    <x v="1"/>
    <n v="1"/>
    <n v="12"/>
    <x v="50"/>
    <x v="0"/>
    <n v="33"/>
    <m/>
    <m/>
    <m/>
    <m/>
    <n v="176"/>
    <n v="0.85850000000000004"/>
    <n v="29"/>
    <d v="1899-12-30T00:00:41"/>
    <d v="1899-12-30T00:02:16"/>
    <d v="1899-12-30T00:05:11"/>
    <n v="0.46229999999999999"/>
    <n v="6.6488888888888891"/>
    <n v="398.93333333333334"/>
    <n v="1.2466666666666666"/>
    <n v="74.8"/>
    <n v="1.04"/>
    <n v="1"/>
    <n v="2"/>
    <n v="2"/>
    <m/>
    <m/>
    <m/>
    <m/>
    <n v="-20.13735432083288"/>
    <n v="196.84440000058501"/>
    <s v="Training"/>
  </r>
  <r>
    <d v="2020-12-14T00:00:00"/>
    <x v="2"/>
    <n v="2"/>
    <n v="12"/>
    <x v="50"/>
    <x v="0"/>
    <n v="228"/>
    <m/>
    <m/>
    <m/>
    <m/>
    <n v="160"/>
    <n v="0.90400000000000003"/>
    <n v="17"/>
    <d v="1899-12-30T00:00:28"/>
    <d v="1899-12-30T00:02:20"/>
    <d v="1899-12-30T00:03:59"/>
    <n v="0.59199999999999997"/>
    <n v="6.2222222222222223"/>
    <n v="373.33333333333331"/>
    <n v="8.8666666666666654"/>
    <n v="531.99999999999989"/>
    <n v="1"/>
    <n v="1.3854166666666663"/>
    <n v="2"/>
    <n v="1"/>
    <m/>
    <m/>
    <m/>
    <m/>
    <n v="80.795726537408868"/>
    <n v="294.77225549601582"/>
    <s v="Training"/>
  </r>
  <r>
    <d v="2020-12-15T00:00:00"/>
    <x v="3"/>
    <n v="3"/>
    <n v="12"/>
    <x v="50"/>
    <x v="0"/>
    <n v="177"/>
    <m/>
    <m/>
    <m/>
    <m/>
    <n v="151"/>
    <n v="0.94969999999999999"/>
    <n v="8"/>
    <d v="1899-12-30T00:00:22"/>
    <d v="1899-12-30T00:02:08"/>
    <d v="1899-12-30T00:07:22"/>
    <n v="0.73250000000000004"/>
    <n v="5.3688888888888879"/>
    <n v="322.13333333333327"/>
    <n v="6.2933333333333321"/>
    <n v="377.59999999999991"/>
    <n v="1"/>
    <n v="1"/>
    <n v="2"/>
    <n v="1"/>
    <m/>
    <m/>
    <m/>
    <m/>
    <n v="64.734439008588524"/>
    <n v="288.61976235653839"/>
    <s v="Training"/>
  </r>
  <r>
    <d v="2020-12-16T00:00:00"/>
    <x v="4"/>
    <n v="4"/>
    <n v="12"/>
    <x v="50"/>
    <x v="0"/>
    <n v="197"/>
    <m/>
    <m/>
    <m/>
    <m/>
    <n v="28"/>
    <n v="0.84850000000000003"/>
    <n v="5"/>
    <d v="1899-12-30T00:00:13"/>
    <d v="1899-12-30T00:02:30"/>
    <d v="1899-12-30T00:01:02"/>
    <n v="0.66669999999999996"/>
    <n v="1.1666666666666665"/>
    <n v="69.999999999999986"/>
    <n v="8.2083333333333339"/>
    <n v="492.50000000000006"/>
    <n v="1"/>
    <n v="1.2825520833333335"/>
    <n v="1"/>
    <n v="1"/>
    <m/>
    <m/>
    <m/>
    <m/>
    <n v="66.24687161767487"/>
    <n v="290.08711455611359"/>
    <s v="Training"/>
  </r>
  <r>
    <d v="2020-12-18T00:00:00"/>
    <x v="5"/>
    <n v="6"/>
    <n v="12"/>
    <x v="50"/>
    <x v="0"/>
    <n v="301"/>
    <m/>
    <m/>
    <m/>
    <m/>
    <n v="210"/>
    <n v="0.92110000000000003"/>
    <n v="18"/>
    <d v="1899-12-30T00:00:23"/>
    <d v="1899-12-30T00:02:08"/>
    <d v="1899-12-30T00:03:09"/>
    <n v="0.66669999999999996"/>
    <n v="7.4666666666666668"/>
    <n v="448"/>
    <n v="10.702222222222222"/>
    <n v="642.13333333333333"/>
    <n v="1.17"/>
    <n v="1.6722222222222223"/>
    <n v="2"/>
    <n v="2"/>
    <m/>
    <m/>
    <m/>
    <m/>
    <n v="56.970435543186461"/>
    <n v="271.07053428658622"/>
    <s v="Training"/>
  </r>
  <r>
    <d v="2020-12-19T00:00:00"/>
    <x v="6"/>
    <n v="7"/>
    <n v="12"/>
    <x v="50"/>
    <x v="0"/>
    <n v="179"/>
    <m/>
    <m/>
    <m/>
    <m/>
    <n v="172"/>
    <n v="0.9718"/>
    <n v="5"/>
    <d v="1899-12-30T00:00:25"/>
    <d v="1899-12-30T00:02:15"/>
    <d v="1899-12-30T00:02:52"/>
    <n v="0.69140000000000001"/>
    <n v="6.45"/>
    <n v="387"/>
    <n v="6.7125000000000012"/>
    <n v="402.75000000000006"/>
    <n v="1.01"/>
    <n v="1.0488281250000002"/>
    <n v="2"/>
    <n v="2"/>
    <m/>
    <m/>
    <m/>
    <m/>
    <n v="66.552114686712031"/>
    <n v="291.06776813481281"/>
    <s v="Training"/>
  </r>
  <r>
    <d v="2020-12-20T00:00:00"/>
    <x v="0"/>
    <n v="1"/>
    <n v="12"/>
    <x v="51"/>
    <x v="0"/>
    <n v="45"/>
    <m/>
    <m/>
    <m/>
    <m/>
    <n v="169"/>
    <n v="0.8579"/>
    <n v="28"/>
    <d v="1899-12-30T00:00:34"/>
    <d v="1899-12-30T00:02:30"/>
    <d v="1899-12-30T00:07:41"/>
    <n v="0.55669999999999997"/>
    <n v="7.0416666666666661"/>
    <n v="422.49999999999994"/>
    <n v="1.875"/>
    <n v="112.5"/>
    <n v="1.1000000000000001"/>
    <n v="1"/>
    <n v="2"/>
    <n v="2"/>
    <m/>
    <m/>
    <m/>
    <m/>
    <n v="-28.106464651745139"/>
    <n v="206.3120938557889"/>
    <s v="Training"/>
  </r>
  <r>
    <d v="2020-12-21T00:00:00"/>
    <x v="1"/>
    <n v="2"/>
    <n v="12"/>
    <x v="51"/>
    <x v="0"/>
    <n v="180"/>
    <m/>
    <m/>
    <m/>
    <m/>
    <n v="616"/>
    <n v="0.85440000000000005"/>
    <n v="105"/>
    <d v="1899-12-30T00:00:57"/>
    <d v="1899-12-30T00:01:55"/>
    <d v="1899-12-30T00:05:48"/>
    <n v="0.28310000000000002"/>
    <n v="19.677777777777777"/>
    <n v="1180.6666666666665"/>
    <n v="5.75"/>
    <n v="345"/>
    <n v="3.07"/>
    <n v="1"/>
    <n v="2"/>
    <n v="4"/>
    <m/>
    <m/>
    <m/>
    <m/>
    <n v="71.81248919930097"/>
    <n v="298.70478654223962"/>
    <s v="Training"/>
  </r>
  <r>
    <d v="2020-12-22T00:00:00"/>
    <x v="2"/>
    <n v="3"/>
    <n v="12"/>
    <x v="51"/>
    <x v="0"/>
    <n v="206"/>
    <m/>
    <m/>
    <m/>
    <m/>
    <n v="270"/>
    <n v="0.89700000000000002"/>
    <n v="31"/>
    <d v="1899-12-30T00:00:42"/>
    <d v="1899-12-30T00:02:05"/>
    <d v="1899-12-30T00:10:06"/>
    <n v="0.42470000000000002"/>
    <n v="9.375"/>
    <n v="562.5"/>
    <n v="7.1527777777777768"/>
    <n v="429.16666666666663"/>
    <n v="1.46"/>
    <n v="1.1176215277777777"/>
    <n v="2"/>
    <n v="2"/>
    <m/>
    <m/>
    <m/>
    <m/>
    <n v="60.207368299642042"/>
    <n v="275.66808634035561"/>
    <s v="Training"/>
  </r>
  <r>
    <d v="2020-12-23T00:00:00"/>
    <x v="3"/>
    <n v="4"/>
    <n v="12"/>
    <x v="51"/>
    <x v="0"/>
    <n v="187"/>
    <m/>
    <m/>
    <m/>
    <m/>
    <n v="175"/>
    <n v="0.97770000000000001"/>
    <n v="4"/>
    <d v="1899-12-30T00:00:24"/>
    <d v="1899-12-30T00:02:21"/>
    <d v="1899-12-30T00:03:12"/>
    <n v="0.71350000000000002"/>
    <n v="6.854166666666667"/>
    <n v="411.25"/>
    <n v="7.3241666666666667"/>
    <n v="439.45"/>
    <n v="1.07"/>
    <n v="1.1444010416666666"/>
    <n v="2"/>
    <n v="2"/>
    <m/>
    <m/>
    <m/>
    <m/>
    <n v="71.773643099842047"/>
    <n v="289.62873202101417"/>
    <s v="Training"/>
  </r>
  <r>
    <d v="2020-12-24T00:00:00"/>
    <x v="4"/>
    <n v="5"/>
    <n v="12"/>
    <x v="51"/>
    <x v="0"/>
    <n v="186"/>
    <m/>
    <m/>
    <m/>
    <m/>
    <n v="45"/>
    <n v="1"/>
    <n v="0"/>
    <d v="1899-12-30T00:00:16"/>
    <d v="1899-12-30T00:02:11"/>
    <d v="1899-12-30T00:03:21"/>
    <n v="0.86670000000000003"/>
    <n v="1.6374999999999997"/>
    <n v="98.249999999999986"/>
    <n v="6.7683333333333335"/>
    <n v="406.1"/>
    <n v="1"/>
    <n v="1.0575520833333334"/>
    <n v="1"/>
    <n v="1"/>
    <m/>
    <m/>
    <m/>
    <m/>
    <n v="65.505416055797212"/>
    <n v="290.42431167864368"/>
    <s v="Training"/>
  </r>
  <r>
    <d v="2020-12-25T00:00:00"/>
    <x v="5"/>
    <n v="6"/>
    <n v="12"/>
    <x v="51"/>
    <x v="0"/>
    <n v="189"/>
    <m/>
    <m/>
    <m/>
    <m/>
    <n v="164"/>
    <n v="0.91110000000000002"/>
    <n v="16"/>
    <d v="1899-12-30T00:00:25"/>
    <d v="1899-12-30T00:02:22"/>
    <d v="1899-12-30T00:01:50"/>
    <n v="0.61799999999999999"/>
    <n v="6.4688888888888885"/>
    <n v="388.13333333333333"/>
    <n v="7.4550000000000001"/>
    <n v="447.3"/>
    <n v="1.01"/>
    <n v="1.16484375"/>
    <n v="2"/>
    <n v="2"/>
    <m/>
    <m/>
    <m/>
    <m/>
    <n v="52.517638398896388"/>
    <n v="268.75320309776401"/>
    <s v="Training"/>
  </r>
  <r>
    <d v="2020-12-26T00:00:00"/>
    <x v="6"/>
    <n v="7"/>
    <n v="12"/>
    <x v="51"/>
    <x v="0"/>
    <n v="127"/>
    <m/>
    <m/>
    <m/>
    <m/>
    <n v="200"/>
    <n v="0.97089999999999999"/>
    <n v="6"/>
    <d v="1899-12-30T00:00:22"/>
    <d v="1899-12-30T00:02:19"/>
    <d v="1899-12-30T00:02:07"/>
    <n v="0.74629999999999996"/>
    <n v="7.7222222222222223"/>
    <n v="463.33333333333331"/>
    <n v="4.9036111111111111"/>
    <n v="294.2166666666667"/>
    <n v="1.21"/>
    <n v="1"/>
    <n v="2"/>
    <n v="2"/>
    <m/>
    <m/>
    <m/>
    <m/>
    <n v="56.981735034603737"/>
    <n v="275.93905088753837"/>
    <s v="Training"/>
  </r>
  <r>
    <d v="2020-12-27T00:00:00"/>
    <x v="0"/>
    <n v="1"/>
    <n v="12"/>
    <x v="52"/>
    <x v="0"/>
    <n v="93"/>
    <m/>
    <m/>
    <m/>
    <m/>
    <n v="181"/>
    <n v="0.96789999999999998"/>
    <n v="6"/>
    <d v="1899-12-30T00:00:32"/>
    <d v="1899-12-30T00:02:30"/>
    <d v="1899-12-30T00:03:54"/>
    <n v="0.627"/>
    <n v="7.541666666666667"/>
    <n v="452.5"/>
    <n v="3.8749999999999996"/>
    <n v="232.49999999999997"/>
    <n v="1.18"/>
    <n v="1"/>
    <n v="2"/>
    <n v="2"/>
    <m/>
    <m/>
    <m/>
    <m/>
    <n v="-25.864029671271929"/>
    <n v="196.44071415711741"/>
    <s v="Training"/>
  </r>
  <r>
    <d v="2020-12-28T00:00:00"/>
    <x v="1"/>
    <n v="2"/>
    <n v="12"/>
    <x v="52"/>
    <x v="0"/>
    <n v="328"/>
    <m/>
    <m/>
    <m/>
    <m/>
    <n v="177"/>
    <n v="0.9516"/>
    <n v="9"/>
    <d v="1899-12-30T00:00:28"/>
    <d v="1899-12-30T00:02:22"/>
    <d v="1899-12-30T00:05:30"/>
    <n v="0.67930000000000001"/>
    <n v="6.9816666666666665"/>
    <n v="418.9"/>
    <n v="12.937777777777777"/>
    <n v="776.26666666666665"/>
    <n v="1.0900000000000001"/>
    <n v="2.0215277777777776"/>
    <n v="2"/>
    <n v="2"/>
    <m/>
    <m/>
    <m/>
    <m/>
    <n v="73.420732935929152"/>
    <n v="291.69688285185703"/>
    <s v="Training"/>
  </r>
  <r>
    <d v="2020-12-29T00:00:00"/>
    <x v="2"/>
    <n v="3"/>
    <n v="12"/>
    <x v="52"/>
    <x v="0"/>
    <n v="238"/>
    <m/>
    <m/>
    <m/>
    <m/>
    <n v="180"/>
    <n v="0.95240000000000002"/>
    <n v="9"/>
    <d v="1899-12-30T00:00:35"/>
    <d v="1899-12-30T00:02:15"/>
    <d v="1899-12-30T00:03:24"/>
    <n v="0.5645"/>
    <n v="6.75"/>
    <n v="405"/>
    <n v="8.9250000000000007"/>
    <n v="535.5"/>
    <n v="1.05"/>
    <n v="1.39453125"/>
    <n v="2"/>
    <n v="2"/>
    <m/>
    <m/>
    <m/>
    <m/>
    <n v="60.810558610685113"/>
    <n v="276.99314956002871"/>
    <s v="Training"/>
  </r>
  <r>
    <d v="2020-12-30T00:00:00"/>
    <x v="3"/>
    <n v="4"/>
    <n v="12"/>
    <x v="52"/>
    <x v="0"/>
    <n v="237"/>
    <m/>
    <m/>
    <m/>
    <m/>
    <n v="116"/>
    <n v="0.91339999999999999"/>
    <n v="11"/>
    <d v="1899-12-30T00:00:34"/>
    <d v="1899-12-30T00:02:25"/>
    <d v="1899-12-30T00:02:46"/>
    <n v="0.5645"/>
    <n v="4.6722222222222225"/>
    <n v="280.33333333333337"/>
    <n v="9.5458333333333325"/>
    <n v="572.75"/>
    <n v="1"/>
    <n v="1.4915364583333333"/>
    <n v="2"/>
    <n v="1"/>
    <m/>
    <m/>
    <m/>
    <m/>
    <n v="65.853403206062083"/>
    <n v="292.29983628833912"/>
    <s v="Training"/>
  </r>
  <r>
    <d v="2020-12-31T00:00:00"/>
    <x v="4"/>
    <n v="5"/>
    <n v="12"/>
    <x v="52"/>
    <x v="0"/>
    <n v="257"/>
    <m/>
    <m/>
    <m/>
    <m/>
    <n v="90"/>
    <n v="0.9677"/>
    <n v="3"/>
    <d v="1899-12-30T00:00:26"/>
    <d v="1899-12-30T00:01:57"/>
    <d v="1899-12-30T00:02:57"/>
    <n v="0.63439999999999996"/>
    <n v="2.9250000000000007"/>
    <n v="175.50000000000006"/>
    <n v="8.3524999999999991"/>
    <n v="501.15"/>
    <n v="1"/>
    <n v="1.3050781249999999"/>
    <n v="1"/>
    <n v="1"/>
    <m/>
    <m/>
    <m/>
    <m/>
    <n v="66.492161140737963"/>
    <n v="285.53956209396102"/>
    <s v="Training"/>
  </r>
  <r>
    <d v="2021-01-01T00:00:00"/>
    <x v="5"/>
    <n v="6"/>
    <n v="1"/>
    <x v="0"/>
    <x v="1"/>
    <n v="238"/>
    <m/>
    <m/>
    <m/>
    <m/>
    <n v="292"/>
    <n v="0.89019999999999999"/>
    <n v="36"/>
    <d v="1899-12-30T00:00:37"/>
    <d v="1899-12-30T00:02:17"/>
    <d v="1899-12-30T00:06:25"/>
    <n v="0.49680000000000002"/>
    <n v="11.112222222222222"/>
    <n v="666.73333333333335"/>
    <n v="9.0572222222222205"/>
    <n v="543.43333333333328"/>
    <n v="1.74"/>
    <n v="1.415190972222222"/>
    <n v="2"/>
    <n v="2"/>
    <m/>
    <m/>
    <m/>
    <m/>
    <n v="58.339871151808573"/>
    <n v="275.86003629482082"/>
    <s v="Training"/>
  </r>
  <r>
    <d v="2021-01-02T00:00:00"/>
    <x v="6"/>
    <n v="7"/>
    <n v="1"/>
    <x v="0"/>
    <x v="1"/>
    <n v="208"/>
    <m/>
    <m/>
    <m/>
    <m/>
    <n v="223"/>
    <n v="0.93700000000000006"/>
    <n v="15"/>
    <d v="1899-12-30T00:00:33"/>
    <d v="1899-12-30T00:02:23"/>
    <d v="1899-12-30T00:03:40"/>
    <n v="0.59230000000000005"/>
    <n v="8.8580555555555556"/>
    <n v="531.48333333333335"/>
    <n v="8.2622222222222224"/>
    <n v="495.73333333333335"/>
    <n v="1.38"/>
    <n v="1.2909722222222222"/>
    <n v="2"/>
    <n v="2"/>
    <m/>
    <m/>
    <m/>
    <m/>
    <n v="61.16250723990494"/>
    <n v="280.86188512336838"/>
    <s v="Training"/>
  </r>
  <r>
    <d v="2021-01-03T00:00:00"/>
    <x v="0"/>
    <n v="1"/>
    <n v="1"/>
    <x v="1"/>
    <x v="1"/>
    <n v="230"/>
    <m/>
    <m/>
    <m/>
    <m/>
    <n v="222"/>
    <n v="0.93669999999999998"/>
    <n v="15"/>
    <d v="1899-12-30T00:00:34"/>
    <d v="1899-12-30T00:02:24"/>
    <d v="1899-12-30T00:02:52"/>
    <n v="0.53849999999999998"/>
    <n v="8.8800000000000008"/>
    <n v="532.80000000000007"/>
    <n v="9.1999999999999993"/>
    <n v="552"/>
    <n v="1.39"/>
    <n v="1.4375"/>
    <n v="2"/>
    <n v="2"/>
    <m/>
    <m/>
    <m/>
    <m/>
    <n v="-28.983612833716531"/>
    <n v="187.88300004466299"/>
    <s v="Training"/>
  </r>
  <r>
    <d v="2021-01-04T00:00:00"/>
    <x v="1"/>
    <n v="2"/>
    <n v="1"/>
    <x v="1"/>
    <x v="1"/>
    <n v="14"/>
    <m/>
    <m/>
    <m/>
    <m/>
    <n v="235"/>
    <n v="0.91439999999999999"/>
    <n v="22"/>
    <d v="1899-12-30T00:00:45"/>
    <d v="1899-12-30T00:02:31"/>
    <d v="1899-12-30T00:04:24"/>
    <n v="0.4466"/>
    <n v="9.8569444444444443"/>
    <n v="591.41666666666663"/>
    <n v="0.5872222222222222"/>
    <n v="35.233333333333334"/>
    <n v="1.54"/>
    <n v="1"/>
    <n v="2"/>
    <n v="2"/>
    <m/>
    <m/>
    <m/>
    <m/>
    <n v="66.250980125131434"/>
    <n v="304.78227666786159"/>
    <s v="Training"/>
  </r>
  <r>
    <d v="2021-01-05T00:00:00"/>
    <x v="2"/>
    <n v="3"/>
    <n v="1"/>
    <x v="1"/>
    <x v="1"/>
    <n v="163"/>
    <m/>
    <m/>
    <m/>
    <m/>
    <n v="223"/>
    <n v="0.93700000000000006"/>
    <n v="15"/>
    <d v="1899-12-30T00:00:32"/>
    <d v="1899-12-30T00:02:17"/>
    <d v="1899-12-30T00:03:22"/>
    <n v="0.54700000000000004"/>
    <n v="8.4863888888888876"/>
    <n v="509.18333333333328"/>
    <n v="6.2030555555555544"/>
    <n v="372.18333333333328"/>
    <n v="1.33"/>
    <n v="1"/>
    <n v="2"/>
    <n v="2"/>
    <m/>
    <m/>
    <m/>
    <m/>
    <n v="53.234726981549379"/>
    <n v="280.38238015458262"/>
    <s v="Training"/>
  </r>
  <r>
    <d v="2021-01-06T00:00:00"/>
    <x v="3"/>
    <n v="4"/>
    <n v="1"/>
    <x v="1"/>
    <x v="1"/>
    <n v="124"/>
    <m/>
    <m/>
    <m/>
    <m/>
    <n v="164"/>
    <n v="0.82410000000000005"/>
    <n v="35"/>
    <d v="1899-12-30T00:00:32"/>
    <d v="1899-12-30T00:02:13"/>
    <d v="1899-12-30T00:06:56"/>
    <n v="0.59179999999999999"/>
    <n v="6.0588888888888874"/>
    <n v="363.53333333333325"/>
    <n v="4.5811111111111114"/>
    <n v="274.86666666666667"/>
    <n v="1"/>
    <n v="1"/>
    <n v="2"/>
    <n v="1"/>
    <m/>
    <m/>
    <m/>
    <m/>
    <n v="75.056553639080008"/>
    <n v="292.87263600736929"/>
    <s v="Training"/>
  </r>
  <r>
    <d v="2021-01-07T00:00:00"/>
    <x v="4"/>
    <n v="5"/>
    <n v="1"/>
    <x v="1"/>
    <x v="1"/>
    <n v="170"/>
    <m/>
    <m/>
    <m/>
    <m/>
    <n v="27"/>
    <n v="0.9"/>
    <n v="3"/>
    <d v="1899-12-30T00:00:32"/>
    <d v="1899-12-30T00:02:34"/>
    <d v="1899-12-30T00:02:37"/>
    <n v="0.60709999999999997"/>
    <n v="1.155"/>
    <n v="69.3"/>
    <n v="7.2722222222222221"/>
    <n v="436.33333333333331"/>
    <n v="1"/>
    <n v="1.1362847222222221"/>
    <n v="1"/>
    <n v="1"/>
    <m/>
    <m/>
    <m/>
    <m/>
    <n v="67.701100317391109"/>
    <n v="290.33859115343768"/>
    <s v="Training"/>
  </r>
  <r>
    <d v="2021-01-08T00:00:00"/>
    <x v="5"/>
    <n v="6"/>
    <n v="1"/>
    <x v="1"/>
    <x v="1"/>
    <n v="27"/>
    <m/>
    <m/>
    <m/>
    <m/>
    <n v="163"/>
    <n v="0.92610000000000003"/>
    <n v="13"/>
    <d v="1899-12-30T00:00:38"/>
    <d v="1899-12-30T00:02:05"/>
    <d v="1899-12-30T00:05:30"/>
    <n v="0.54290000000000005"/>
    <n v="5.6597222222222223"/>
    <n v="339.58333333333331"/>
    <n v="0.9375"/>
    <n v="56.25"/>
    <n v="1"/>
    <n v="1"/>
    <n v="2"/>
    <n v="1"/>
    <m/>
    <m/>
    <m/>
    <m/>
    <n v="48.43798147466795"/>
    <n v="272.54621914211822"/>
    <s v="Training"/>
  </r>
  <r>
    <d v="2021-01-09T00:00:00"/>
    <x v="6"/>
    <n v="7"/>
    <n v="1"/>
    <x v="1"/>
    <x v="1"/>
    <n v="146"/>
    <m/>
    <m/>
    <m/>
    <m/>
    <n v="144"/>
    <n v="0.88890000000000002"/>
    <n v="18"/>
    <d v="1899-12-30T00:00:41"/>
    <d v="1899-12-30T00:02:25"/>
    <d v="1899-12-30T00:03:40"/>
    <n v="0.50309999999999999"/>
    <n v="5.8"/>
    <n v="348"/>
    <n v="5.8805555555555555"/>
    <n v="352.83333333333331"/>
    <n v="1"/>
    <n v="1"/>
    <n v="2"/>
    <n v="1"/>
    <m/>
    <m/>
    <m/>
    <m/>
    <n v="61.938436128104698"/>
    <n v="282.09516301244469"/>
    <s v="Training"/>
  </r>
  <r>
    <d v="2021-01-10T00:00:00"/>
    <x v="0"/>
    <n v="1"/>
    <n v="1"/>
    <x v="2"/>
    <x v="1"/>
    <n v="108"/>
    <m/>
    <m/>
    <m/>
    <m/>
    <n v="157"/>
    <n v="0.92900000000000005"/>
    <n v="12"/>
    <d v="1899-12-30T00:00:29"/>
    <d v="1899-12-30T00:02:29"/>
    <d v="1899-12-30T00:01:56"/>
    <n v="0.53890000000000005"/>
    <n v="6.4980555555555553"/>
    <n v="389.88333333333333"/>
    <n v="4.47"/>
    <n v="268.2"/>
    <n v="1.02"/>
    <n v="1"/>
    <n v="2"/>
    <n v="2"/>
    <m/>
    <m/>
    <m/>
    <m/>
    <n v="-37.346449821738368"/>
    <n v="184.07488341231479"/>
    <s v="Training"/>
  </r>
  <r>
    <d v="2021-01-11T00:00:00"/>
    <x v="1"/>
    <n v="2"/>
    <n v="1"/>
    <x v="2"/>
    <x v="1"/>
    <n v="210"/>
    <m/>
    <m/>
    <m/>
    <m/>
    <n v="146"/>
    <n v="0.94189999999999996"/>
    <n v="9"/>
    <d v="1899-12-30T00:00:30"/>
    <d v="1899-12-30T00:02:18"/>
    <d v="1899-12-30T00:03:10"/>
    <n v="0.50980000000000003"/>
    <n v="5.5966666666666667"/>
    <n v="335.8"/>
    <n v="8.0500000000000007"/>
    <n v="483.00000000000006"/>
    <n v="1"/>
    <n v="1.2578125000000002"/>
    <n v="2"/>
    <n v="1"/>
    <m/>
    <m/>
    <m/>
    <m/>
    <n v="73.075051699621312"/>
    <n v="288.09535063548969"/>
    <s v="Training"/>
  </r>
  <r>
    <d v="2021-01-12T00:00:00"/>
    <x v="2"/>
    <n v="3"/>
    <n v="1"/>
    <x v="2"/>
    <x v="1"/>
    <n v="352"/>
    <m/>
    <m/>
    <m/>
    <m/>
    <n v="205"/>
    <n v="0.83"/>
    <n v="42"/>
    <d v="1899-12-30T00:00:49"/>
    <d v="1899-12-30T00:02:26"/>
    <d v="1899-12-30T00:07:36"/>
    <n v="0.38490000000000002"/>
    <n v="8.3138888888888882"/>
    <n v="498.83333333333331"/>
    <n v="14.275555555555556"/>
    <n v="856.5333333333333"/>
    <n v="1.3"/>
    <n v="2.2305555555555556"/>
    <n v="2"/>
    <n v="2"/>
    <m/>
    <m/>
    <m/>
    <m/>
    <n v="49.235148227675047"/>
    <n v="270.86147157295869"/>
    <s v="Training"/>
  </r>
  <r>
    <d v="2021-01-13T00:00:00"/>
    <x v="3"/>
    <n v="4"/>
    <n v="1"/>
    <x v="2"/>
    <x v="1"/>
    <n v="208"/>
    <m/>
    <m/>
    <m/>
    <m/>
    <n v="186"/>
    <n v="0.9738"/>
    <n v="5"/>
    <d v="1899-12-30T00:00:24"/>
    <d v="1899-12-30T00:02:14"/>
    <d v="1899-12-30T00:01:54"/>
    <n v="0.70530000000000004"/>
    <n v="6.923333333333332"/>
    <n v="415.39999999999992"/>
    <n v="7.7422222222222219"/>
    <n v="464.5333333333333"/>
    <n v="1.08"/>
    <n v="1.2097222222222221"/>
    <n v="2"/>
    <n v="2"/>
    <m/>
    <m/>
    <m/>
    <m/>
    <n v="65.572556235209021"/>
    <n v="280.77447921129829"/>
    <s v="Training"/>
  </r>
  <r>
    <d v="2021-01-14T00:00:00"/>
    <x v="4"/>
    <n v="5"/>
    <n v="1"/>
    <x v="2"/>
    <x v="1"/>
    <n v="130"/>
    <m/>
    <m/>
    <m/>
    <m/>
    <n v="29"/>
    <n v="0.9667"/>
    <n v="1"/>
    <d v="1899-12-30T00:00:06"/>
    <d v="1899-12-30T00:02:15"/>
    <d v="1899-12-30T00:00:46"/>
    <n v="0.93330000000000002"/>
    <n v="1.0875000000000001"/>
    <n v="65.250000000000014"/>
    <n v="4.875"/>
    <n v="292.5"/>
    <n v="1"/>
    <n v="1"/>
    <n v="1"/>
    <n v="1"/>
    <m/>
    <m/>
    <m/>
    <m/>
    <n v="52.589188049143729"/>
    <n v="279.48284383025538"/>
    <s v="Training"/>
  </r>
  <r>
    <d v="2021-01-15T00:00:00"/>
    <x v="5"/>
    <n v="6"/>
    <n v="1"/>
    <x v="2"/>
    <x v="1"/>
    <n v="134"/>
    <m/>
    <m/>
    <m/>
    <m/>
    <n v="290"/>
    <n v="0.91769999999999996"/>
    <n v="26"/>
    <d v="1899-12-30T00:00:31"/>
    <d v="1899-12-30T00:02:21"/>
    <d v="1899-12-30T00:04:02"/>
    <n v="0.59160000000000001"/>
    <n v="11.358333333333333"/>
    <n v="681.5"/>
    <n v="5.2483333333333331"/>
    <n v="314.89999999999998"/>
    <n v="1.77"/>
    <n v="1"/>
    <n v="2"/>
    <n v="2"/>
    <m/>
    <m/>
    <m/>
    <m/>
    <n v="47.680690427178213"/>
    <n v="261.57762151151962"/>
    <s v="Training"/>
  </r>
  <r>
    <d v="2021-01-16T00:00:00"/>
    <x v="6"/>
    <n v="7"/>
    <n v="1"/>
    <x v="2"/>
    <x v="1"/>
    <n v="124"/>
    <m/>
    <m/>
    <m/>
    <m/>
    <n v="195"/>
    <n v="0.92420000000000002"/>
    <n v="16"/>
    <d v="1899-12-30T00:00:34"/>
    <d v="1899-12-30T00:02:21"/>
    <d v="1899-12-30T00:06:25"/>
    <n v="0.55769999999999997"/>
    <n v="7.6375000000000002"/>
    <n v="458.25"/>
    <n v="4.8566666666666665"/>
    <n v="291.39999999999998"/>
    <n v="1.19"/>
    <n v="1"/>
    <n v="2"/>
    <n v="2"/>
    <m/>
    <m/>
    <m/>
    <m/>
    <n v="59.977422207477858"/>
    <n v="270.28972845329281"/>
    <s v="Training"/>
  </r>
  <r>
    <d v="2021-01-17T00:00:00"/>
    <x v="0"/>
    <n v="1"/>
    <n v="1"/>
    <x v="3"/>
    <x v="1"/>
    <n v="47"/>
    <m/>
    <m/>
    <m/>
    <m/>
    <n v="169"/>
    <n v="0.8125"/>
    <n v="39"/>
    <d v="1899-12-30T00:00:45"/>
    <d v="1899-12-30T00:02:18"/>
    <d v="1899-12-30T00:07:15"/>
    <n v="0.45850000000000002"/>
    <n v="6.4783333333333335"/>
    <n v="388.7"/>
    <n v="1.801666666666667"/>
    <n v="108.10000000000002"/>
    <n v="1.01"/>
    <n v="1"/>
    <n v="2"/>
    <n v="2"/>
    <m/>
    <m/>
    <m/>
    <m/>
    <n v="-36.403416070152232"/>
    <n v="193.84460943229979"/>
    <s v="Training"/>
  </r>
  <r>
    <d v="2021-01-18T00:00:00"/>
    <x v="1"/>
    <n v="2"/>
    <n v="1"/>
    <x v="3"/>
    <x v="1"/>
    <n v="197"/>
    <m/>
    <m/>
    <m/>
    <m/>
    <n v="124"/>
    <n v="0.95379999999999998"/>
    <n v="6"/>
    <d v="1899-12-30T00:00:22"/>
    <d v="1899-12-30T00:02:17"/>
    <d v="1899-12-30T00:02:15"/>
    <n v="0.68989999999999996"/>
    <n v="4.7188888888888885"/>
    <n v="283.13333333333333"/>
    <n v="7.4969444444444449"/>
    <n v="449.81666666666672"/>
    <n v="1"/>
    <n v="1.1713975694444445"/>
    <n v="2"/>
    <n v="1"/>
    <m/>
    <m/>
    <m/>
    <m/>
    <n v="70.260768595521981"/>
    <n v="282.52345887827329"/>
    <s v="Training"/>
  </r>
  <r>
    <d v="2021-01-19T00:00:00"/>
    <x v="2"/>
    <n v="3"/>
    <n v="1"/>
    <x v="3"/>
    <x v="1"/>
    <n v="158"/>
    <m/>
    <m/>
    <m/>
    <m/>
    <n v="129"/>
    <n v="0.9627"/>
    <n v="5"/>
    <d v="1899-12-30T00:00:24"/>
    <d v="1899-12-30T00:02:12"/>
    <d v="1899-12-30T00:03:28"/>
    <n v="0.70899999999999996"/>
    <n v="4.7300000000000004"/>
    <n v="283.8"/>
    <n v="5.793333333333333"/>
    <n v="347.59999999999997"/>
    <n v="1"/>
    <n v="1"/>
    <n v="2"/>
    <n v="1"/>
    <m/>
    <m/>
    <m/>
    <m/>
    <n v="51.48648740314276"/>
    <n v="266.2593101913007"/>
    <s v="Training"/>
  </r>
  <r>
    <d v="2021-01-20T00:00:00"/>
    <x v="3"/>
    <n v="4"/>
    <n v="1"/>
    <x v="3"/>
    <x v="1"/>
    <n v="163"/>
    <m/>
    <m/>
    <m/>
    <m/>
    <n v="121"/>
    <n v="0.9758"/>
    <n v="3"/>
    <d v="1899-12-30T00:00:27"/>
    <d v="1899-12-30T00:02:19"/>
    <d v="1899-12-30T00:03:19"/>
    <n v="0.70730000000000004"/>
    <n v="4.6719444444444447"/>
    <n v="280.31666666666666"/>
    <n v="6.2936111111111108"/>
    <n v="377.61666666666667"/>
    <n v="1"/>
    <n v="1"/>
    <n v="2"/>
    <n v="1"/>
    <m/>
    <m/>
    <m/>
    <m/>
    <n v="63.73535060949051"/>
    <n v="281.09987729794921"/>
    <s v="Training"/>
  </r>
  <r>
    <d v="2021-01-21T00:00:00"/>
    <x v="4"/>
    <n v="5"/>
    <n v="1"/>
    <x v="3"/>
    <x v="1"/>
    <n v="178"/>
    <m/>
    <m/>
    <m/>
    <m/>
    <n v="43"/>
    <n v="0.91490000000000005"/>
    <n v="4"/>
    <d v="1899-12-30T00:00:37"/>
    <d v="1899-12-30T00:02:18"/>
    <d v="1899-12-30T00:03:16"/>
    <n v="0.54349999999999998"/>
    <n v="1.6483333333333337"/>
    <n v="98.90000000000002"/>
    <n v="6.8233333333333341"/>
    <n v="409.40000000000003"/>
    <n v="1"/>
    <n v="1.0661458333333333"/>
    <n v="1"/>
    <n v="1"/>
    <m/>
    <m/>
    <m/>
    <m/>
    <n v="48.094292918668273"/>
    <n v="273.46857142643131"/>
    <s v="Training"/>
  </r>
  <r>
    <d v="2021-01-22T00:00:00"/>
    <x v="5"/>
    <n v="6"/>
    <n v="1"/>
    <x v="3"/>
    <x v="1"/>
    <n v="151"/>
    <m/>
    <m/>
    <m/>
    <m/>
    <n v="186"/>
    <n v="0.94420000000000004"/>
    <n v="11"/>
    <d v="1899-12-30T00:00:28"/>
    <d v="1899-12-30T00:02:18"/>
    <d v="1899-12-30T00:02:27"/>
    <n v="0.63829999999999998"/>
    <n v="7.1300000000000008"/>
    <n v="427.80000000000007"/>
    <n v="5.7883333333333331"/>
    <n v="347.3"/>
    <n v="1.1100000000000001"/>
    <n v="1"/>
    <n v="2"/>
    <n v="2"/>
    <m/>
    <m/>
    <m/>
    <m/>
    <n v="43.118437705527107"/>
    <n v="267.85317947701873"/>
    <s v="Training"/>
  </r>
  <r>
    <d v="2021-01-23T00:00:00"/>
    <x v="6"/>
    <n v="7"/>
    <n v="1"/>
    <x v="3"/>
    <x v="1"/>
    <n v="118"/>
    <m/>
    <m/>
    <m/>
    <m/>
    <n v="146"/>
    <n v="0.92410000000000003"/>
    <n v="12"/>
    <d v="1899-12-30T00:00:31"/>
    <d v="1899-12-30T00:02:24"/>
    <d v="1899-12-30T00:03:40"/>
    <n v="0.5696"/>
    <n v="5.84"/>
    <n v="350.4"/>
    <n v="4.72"/>
    <n v="283.2"/>
    <n v="1"/>
    <n v="1"/>
    <n v="2"/>
    <n v="1"/>
    <m/>
    <m/>
    <m/>
    <m/>
    <n v="51.938373026364857"/>
    <n v="272.02349300467807"/>
    <s v="Training"/>
  </r>
  <r>
    <d v="2021-01-24T00:00:00"/>
    <x v="0"/>
    <n v="1"/>
    <n v="1"/>
    <x v="4"/>
    <x v="1"/>
    <n v="31"/>
    <m/>
    <m/>
    <m/>
    <m/>
    <n v="151"/>
    <n v="0.9264"/>
    <n v="12"/>
    <d v="1899-12-30T00:00:28"/>
    <d v="1899-12-30T00:02:13"/>
    <d v="1899-12-30T00:04:53"/>
    <n v="0.63749999999999996"/>
    <n v="5.578611111111111"/>
    <n v="334.71666666666664"/>
    <n v="1.1452777777777778"/>
    <n v="68.716666666666669"/>
    <n v="1"/>
    <n v="1"/>
    <n v="2"/>
    <n v="1"/>
    <m/>
    <m/>
    <m/>
    <m/>
    <n v="-41.988124271717368"/>
    <n v="179.53389439015081"/>
    <s v="Training"/>
  </r>
  <r>
    <d v="2021-01-25T00:00:00"/>
    <x v="1"/>
    <n v="2"/>
    <n v="1"/>
    <x v="4"/>
    <x v="1"/>
    <n v="139"/>
    <m/>
    <m/>
    <m/>
    <m/>
    <n v="160"/>
    <n v="0.89890000000000003"/>
    <n v="18"/>
    <d v="1899-12-30T00:00:35"/>
    <d v="1899-12-30T00:02:39"/>
    <d v="1899-12-30T00:04:41"/>
    <n v="0.54490000000000005"/>
    <n v="7.0666666666666664"/>
    <n v="424"/>
    <n v="6.1391666666666653"/>
    <n v="368.34999999999991"/>
    <n v="1.1000000000000001"/>
    <n v="1"/>
    <n v="2"/>
    <n v="2"/>
    <m/>
    <m/>
    <m/>
    <m/>
    <n v="62.815173286727443"/>
    <n v="276.34197326798062"/>
    <s v="Training"/>
  </r>
  <r>
    <d v="2021-01-26T00:00:00"/>
    <x v="2"/>
    <n v="3"/>
    <n v="1"/>
    <x v="4"/>
    <x v="1"/>
    <n v="171"/>
    <m/>
    <m/>
    <m/>
    <m/>
    <n v="128"/>
    <n v="0.84770000000000001"/>
    <n v="23"/>
    <d v="1899-12-30T00:00:35"/>
    <d v="1899-12-30T00:02:23"/>
    <d v="1899-12-30T00:05:38"/>
    <n v="0.53380000000000005"/>
    <n v="5.0844444444444443"/>
    <n v="305.06666666666666"/>
    <n v="6.7925000000000004"/>
    <n v="407.55"/>
    <n v="1"/>
    <n v="1.061328125"/>
    <n v="2"/>
    <n v="1"/>
    <m/>
    <m/>
    <m/>
    <m/>
    <n v="43.918273261360731"/>
    <n v="260.66379701678392"/>
    <s v="Training"/>
  </r>
  <r>
    <d v="2021-01-27T00:00:00"/>
    <x v="3"/>
    <n v="4"/>
    <n v="1"/>
    <x v="4"/>
    <x v="1"/>
    <n v="160"/>
    <m/>
    <m/>
    <m/>
    <m/>
    <n v="106"/>
    <n v="0.89829999999999999"/>
    <n v="12"/>
    <d v="1899-12-30T00:00:33"/>
    <d v="1899-12-30T00:02:25"/>
    <d v="1899-12-30T00:04:32"/>
    <n v="0.55169999999999997"/>
    <n v="4.2694444444444448"/>
    <n v="256.16666666666669"/>
    <n v="6.4444444444444455"/>
    <n v="386.66666666666674"/>
    <n v="1"/>
    <n v="1.0069444444444446"/>
    <n v="2"/>
    <n v="1"/>
    <m/>
    <m/>
    <m/>
    <m/>
    <n v="53.25896827499961"/>
    <n v="270.28239181455638"/>
    <s v="Training"/>
  </r>
  <r>
    <d v="2021-01-28T00:00:00"/>
    <x v="4"/>
    <n v="5"/>
    <n v="1"/>
    <x v="4"/>
    <x v="1"/>
    <n v="177"/>
    <m/>
    <m/>
    <m/>
    <m/>
    <n v="28"/>
    <n v="0.9032"/>
    <n v="3"/>
    <d v="1899-12-30T00:00:40"/>
    <d v="1899-12-30T00:02:40"/>
    <d v="1899-12-30T00:03:12"/>
    <n v="0.43330000000000002"/>
    <n v="1.2444444444444447"/>
    <n v="74.666666666666686"/>
    <n v="7.8666666666666663"/>
    <n v="472"/>
    <n v="1"/>
    <n v="1.2291666666666667"/>
    <n v="1"/>
    <n v="1"/>
    <m/>
    <m/>
    <m/>
    <m/>
    <n v="46.013996912397033"/>
    <n v="268.2136020016232"/>
    <s v="Training"/>
  </r>
  <r>
    <d v="2021-01-29T00:00:00"/>
    <x v="5"/>
    <n v="6"/>
    <n v="1"/>
    <x v="4"/>
    <x v="1"/>
    <n v="187"/>
    <m/>
    <m/>
    <m/>
    <m/>
    <n v="134"/>
    <n v="0.96399999999999997"/>
    <n v="5"/>
    <d v="1899-12-30T00:00:31"/>
    <d v="1899-12-30T00:02:23"/>
    <d v="1899-12-30T00:02:50"/>
    <n v="0.59419999999999995"/>
    <n v="5.3227777777777776"/>
    <n v="319.36666666666667"/>
    <n v="7.4280555555555559"/>
    <n v="445.68333333333334"/>
    <n v="1"/>
    <n v="1.1606336805555555"/>
    <n v="2"/>
    <n v="1"/>
    <m/>
    <m/>
    <m/>
    <m/>
    <n v="42.210515238074187"/>
    <n v="256.99802272249099"/>
    <s v="Training"/>
  </r>
  <r>
    <d v="2021-01-30T00:00:00"/>
    <x v="6"/>
    <n v="7"/>
    <n v="1"/>
    <x v="4"/>
    <x v="1"/>
    <n v="147"/>
    <m/>
    <m/>
    <m/>
    <m/>
    <n v="154"/>
    <n v="0.90059999999999996"/>
    <n v="17"/>
    <d v="1899-12-30T00:00:27"/>
    <d v="1899-12-30T00:02:24"/>
    <d v="1899-12-30T00:06:28"/>
    <n v="0.65659999999999996"/>
    <n v="6.160000000000001"/>
    <n v="369.60000000000008"/>
    <n v="5.8800000000000008"/>
    <n v="352.80000000000007"/>
    <n v="1"/>
    <n v="1"/>
    <n v="2"/>
    <n v="1"/>
    <m/>
    <m/>
    <m/>
    <m/>
    <n v="47.010222741908237"/>
    <n v="264.50007575762538"/>
    <s v="Training"/>
  </r>
  <r>
    <d v="2021-01-31T00:00:00"/>
    <x v="0"/>
    <n v="1"/>
    <n v="1"/>
    <x v="5"/>
    <x v="1"/>
    <n v="35"/>
    <m/>
    <m/>
    <m/>
    <m/>
    <n v="156"/>
    <n v="0.97499999999999998"/>
    <n v="4"/>
    <d v="1899-12-30T00:00:27"/>
    <d v="1899-12-30T00:02:15"/>
    <d v="1899-12-30T00:01:47"/>
    <n v="0.64559999999999995"/>
    <n v="5.8500000000000014"/>
    <n v="351.00000000000011"/>
    <n v="1.3125"/>
    <n v="78.75"/>
    <n v="1"/>
    <n v="1"/>
    <n v="2"/>
    <n v="1"/>
    <m/>
    <m/>
    <m/>
    <m/>
    <n v="-40.845818277143678"/>
    <n v="184.09270854334579"/>
    <s v="Training"/>
  </r>
  <r>
    <d v="2021-02-01T00:00:00"/>
    <x v="1"/>
    <n v="2"/>
    <n v="2"/>
    <x v="5"/>
    <x v="1"/>
    <n v="199"/>
    <m/>
    <m/>
    <m/>
    <m/>
    <n v="169"/>
    <n v="0.95479999999999998"/>
    <n v="8"/>
    <d v="1899-12-30T00:00:29"/>
    <d v="1899-12-30T00:02:31"/>
    <d v="1899-12-30T00:03:40"/>
    <n v="0.64370000000000005"/>
    <n v="7.0886111111111108"/>
    <n v="425.31666666666666"/>
    <n v="8.3469444444444445"/>
    <n v="500.81666666666666"/>
    <n v="1.1100000000000001"/>
    <n v="1.3042100694444445"/>
    <n v="2"/>
    <n v="2"/>
    <m/>
    <m/>
    <m/>
    <m/>
    <n v="57.120174324669392"/>
    <n v="276.33779669593417"/>
    <s v="Training"/>
  </r>
  <r>
    <d v="2021-02-02T00:00:00"/>
    <x v="2"/>
    <n v="3"/>
    <n v="2"/>
    <x v="5"/>
    <x v="1"/>
    <n v="162"/>
    <m/>
    <m/>
    <m/>
    <m/>
    <n v="180"/>
    <n v="0.96260000000000001"/>
    <n v="7"/>
    <d v="1899-12-30T00:00:26"/>
    <d v="1899-12-30T00:02:22"/>
    <d v="1899-12-30T00:05:56"/>
    <n v="0.65590000000000004"/>
    <n v="7.1"/>
    <n v="426"/>
    <n v="6.39"/>
    <n v="383.4"/>
    <n v="1.1100000000000001"/>
    <n v="1"/>
    <n v="2"/>
    <n v="2"/>
    <m/>
    <m/>
    <m/>
    <m/>
    <n v="44.641805805763198"/>
    <n v="264.13688311064749"/>
    <s v="Training"/>
  </r>
  <r>
    <d v="2021-02-03T00:00:00"/>
    <x v="3"/>
    <n v="4"/>
    <n v="2"/>
    <x v="5"/>
    <x v="1"/>
    <n v="177"/>
    <m/>
    <m/>
    <m/>
    <m/>
    <n v="138"/>
    <n v="0.93879999999999997"/>
    <n v="9"/>
    <d v="1899-12-30T00:00:26"/>
    <d v="1899-12-30T00:02:24"/>
    <d v="1899-12-30T00:05:19"/>
    <n v="0.61380000000000001"/>
    <n v="5.52"/>
    <n v="331.2"/>
    <n v="7.080000000000001"/>
    <n v="424.80000000000007"/>
    <n v="1"/>
    <n v="1.1062500000000002"/>
    <n v="2"/>
    <n v="1"/>
    <m/>
    <m/>
    <m/>
    <m/>
    <n v="59.805581813862197"/>
    <n v="286.13257057426222"/>
    <s v="Training"/>
  </r>
  <r>
    <d v="2021-02-04T00:00:00"/>
    <x v="4"/>
    <n v="5"/>
    <n v="2"/>
    <x v="5"/>
    <x v="1"/>
    <n v="43"/>
    <m/>
    <m/>
    <m/>
    <m/>
    <n v="35"/>
    <n v="1"/>
    <n v="0"/>
    <d v="1899-12-30T00:00:08"/>
    <d v="1899-12-30T00:02:10"/>
    <d v="1899-12-30T00:00:47"/>
    <n v="0.88570000000000004"/>
    <n v="1.2638888888888888"/>
    <n v="75.833333333333329"/>
    <n v="1.5527777777777778"/>
    <n v="93.166666666666671"/>
    <n v="1"/>
    <n v="1"/>
    <n v="1"/>
    <n v="1"/>
    <m/>
    <m/>
    <m/>
    <m/>
    <n v="50.905440427645907"/>
    <n v="271.89770335415261"/>
    <s v="Training"/>
  </r>
  <r>
    <d v="2021-02-05T00:00:00"/>
    <x v="5"/>
    <n v="6"/>
    <n v="2"/>
    <x v="5"/>
    <x v="1"/>
    <n v="24"/>
    <m/>
    <m/>
    <m/>
    <m/>
    <n v="194"/>
    <n v="0.93269999999999997"/>
    <n v="14"/>
    <d v="1899-12-30T00:00:35"/>
    <d v="1899-12-30T00:02:26"/>
    <d v="1899-12-30T00:04:26"/>
    <n v="0.56930000000000003"/>
    <n v="7.8677777777777766"/>
    <n v="472.06666666666661"/>
    <n v="0.97333333333333338"/>
    <n v="58.400000000000006"/>
    <n v="1.23"/>
    <n v="1"/>
    <n v="2"/>
    <n v="2"/>
    <m/>
    <m/>
    <m/>
    <m/>
    <n v="51.211986080170028"/>
    <n v="267.21012434555178"/>
    <s v="Training"/>
  </r>
  <r>
    <d v="2021-02-06T00:00:00"/>
    <x v="6"/>
    <n v="7"/>
    <n v="2"/>
    <x v="5"/>
    <x v="1"/>
    <n v="97"/>
    <m/>
    <m/>
    <m/>
    <m/>
    <n v="155"/>
    <n v="0.95679999999999998"/>
    <n v="7"/>
    <d v="1899-12-30T00:00:19"/>
    <d v="1899-12-30T00:02:17"/>
    <d v="1899-12-30T00:03:43"/>
    <n v="0.77990000000000004"/>
    <n v="5.8986111111111112"/>
    <n v="353.91666666666669"/>
    <n v="3.6913888888888882"/>
    <n v="221.48333333333329"/>
    <n v="1"/>
    <n v="1"/>
    <n v="2"/>
    <n v="1"/>
    <m/>
    <m/>
    <m/>
    <m/>
    <n v="54.573448362755293"/>
    <n v="281.2221801502871"/>
    <s v="Training"/>
  </r>
  <r>
    <d v="2021-02-07T00:00:00"/>
    <x v="0"/>
    <n v="1"/>
    <n v="2"/>
    <x v="6"/>
    <x v="1"/>
    <n v="145"/>
    <m/>
    <m/>
    <m/>
    <m/>
    <n v="143"/>
    <n v="0.94079999999999997"/>
    <n v="9"/>
    <d v="1899-12-30T00:00:22"/>
    <d v="1899-12-30T00:02:28"/>
    <d v="1899-12-30T00:03:41"/>
    <n v="0.7"/>
    <n v="5.8788888888888886"/>
    <n v="352.73333333333329"/>
    <n v="5.9611111111111112"/>
    <n v="357.66666666666669"/>
    <n v="1"/>
    <n v="1"/>
    <n v="2"/>
    <n v="1"/>
    <m/>
    <m/>
    <m/>
    <m/>
    <n v="-25.045807276217939"/>
    <n v="195.148863658408"/>
    <s v="Training"/>
  </r>
  <r>
    <d v="2021-02-08T00:00:00"/>
    <x v="1"/>
    <n v="2"/>
    <n v="2"/>
    <x v="6"/>
    <x v="1"/>
    <n v="182"/>
    <m/>
    <m/>
    <m/>
    <m/>
    <n v="125"/>
    <n v="0.94699999999999995"/>
    <n v="7"/>
    <d v="1899-12-30T00:00:26"/>
    <d v="1899-12-30T00:02:07"/>
    <d v="1899-12-30T00:03:52"/>
    <n v="0.68940000000000001"/>
    <n v="4.4097222222222223"/>
    <n v="264.58333333333331"/>
    <n v="6.4205555555555556"/>
    <n v="385.23333333333335"/>
    <n v="1"/>
    <n v="1.0032118055555557"/>
    <n v="2"/>
    <n v="1"/>
    <m/>
    <m/>
    <m/>
    <m/>
    <n v="73.041640068756834"/>
    <n v="287.6801015453326"/>
    <s v="Training"/>
  </r>
  <r>
    <d v="2021-02-09T00:00:00"/>
    <x v="2"/>
    <n v="3"/>
    <n v="2"/>
    <x v="6"/>
    <x v="1"/>
    <n v="110"/>
    <m/>
    <m/>
    <m/>
    <m/>
    <n v="131"/>
    <n v="0.98499999999999999"/>
    <n v="2"/>
    <d v="1899-12-30T00:00:12"/>
    <d v="1899-12-30T00:02:19"/>
    <d v="1899-12-30T00:01:19"/>
    <n v="0.87119999999999997"/>
    <n v="5.0580555555555557"/>
    <n v="303.48333333333335"/>
    <n v="4.2472222222222218"/>
    <n v="254.83333333333331"/>
    <n v="1"/>
    <n v="1"/>
    <n v="2"/>
    <n v="1"/>
    <m/>
    <m/>
    <m/>
    <m/>
    <n v="60.762599301722737"/>
    <n v="278.44209612811511"/>
    <s v="Training"/>
  </r>
  <r>
    <d v="2021-02-10T00:00:00"/>
    <x v="3"/>
    <n v="4"/>
    <n v="2"/>
    <x v="6"/>
    <x v="1"/>
    <n v="128"/>
    <m/>
    <m/>
    <m/>
    <m/>
    <n v="121"/>
    <n v="0.93799999999999994"/>
    <n v="8"/>
    <d v="1899-12-30T00:00:33"/>
    <d v="1899-12-30T00:02:37"/>
    <d v="1899-12-30T00:04:01"/>
    <n v="0.61419999999999997"/>
    <n v="5.2769444444444442"/>
    <n v="316.61666666666667"/>
    <n v="5.5822222222222226"/>
    <n v="334.93333333333334"/>
    <n v="1"/>
    <n v="1"/>
    <n v="2"/>
    <n v="1"/>
    <m/>
    <m/>
    <m/>
    <m/>
    <n v="72.669208247762043"/>
    <n v="298.48732522723031"/>
    <s v="Training"/>
  </r>
  <r>
    <d v="2021-02-11T00:00:00"/>
    <x v="4"/>
    <n v="5"/>
    <n v="2"/>
    <x v="6"/>
    <x v="1"/>
    <n v="190"/>
    <m/>
    <m/>
    <m/>
    <m/>
    <n v="35"/>
    <n v="0.94589999999999996"/>
    <n v="2"/>
    <d v="1899-12-30T00:00:19"/>
    <d v="1899-12-30T00:02:21"/>
    <d v="1899-12-30T00:01:32"/>
    <n v="0.75680000000000003"/>
    <n v="1.3708333333333333"/>
    <n v="82.25"/>
    <n v="7.4416666666666664"/>
    <n v="446.5"/>
    <n v="1"/>
    <n v="1.1627604166666667"/>
    <n v="1"/>
    <n v="1"/>
    <m/>
    <m/>
    <m/>
    <m/>
    <n v="72.67390140546712"/>
    <n v="290.06875392755938"/>
    <s v="Training"/>
  </r>
  <r>
    <d v="2021-02-12T00:00:00"/>
    <x v="5"/>
    <n v="6"/>
    <n v="2"/>
    <x v="6"/>
    <x v="1"/>
    <n v="282"/>
    <m/>
    <m/>
    <m/>
    <m/>
    <n v="54"/>
    <n v="0.96430000000000005"/>
    <n v="2"/>
    <d v="1899-12-30T00:00:13"/>
    <d v="1899-12-30T00:02:33"/>
    <d v="1899-12-30T00:02:13"/>
    <n v="0.87270000000000003"/>
    <n v="2.2949999999999999"/>
    <n v="137.69999999999999"/>
    <n v="11.984999999999998"/>
    <n v="719.09999999999991"/>
    <n v="1"/>
    <n v="1.8726562499999997"/>
    <n v="2"/>
    <n v="1"/>
    <m/>
    <m/>
    <m/>
    <m/>
    <n v="64.450687078617122"/>
    <n v="288.06602860338802"/>
    <s v="Training"/>
  </r>
  <r>
    <d v="2021-02-13T00:00:00"/>
    <x v="6"/>
    <n v="7"/>
    <n v="2"/>
    <x v="6"/>
    <x v="1"/>
    <n v="132"/>
    <m/>
    <m/>
    <m/>
    <m/>
    <n v="210"/>
    <n v="0.97670000000000001"/>
    <n v="5"/>
    <d v="1899-12-30T00:00:12"/>
    <d v="1899-12-30T00:01:34"/>
    <d v="1899-12-30T00:01:42"/>
    <n v="0.87739999999999996"/>
    <n v="5.4833333333333334"/>
    <n v="329"/>
    <n v="3.4466666666666668"/>
    <n v="206.8"/>
    <n v="1"/>
    <n v="1"/>
    <n v="2"/>
    <n v="1"/>
    <m/>
    <m/>
    <m/>
    <m/>
    <n v="72.876537553619443"/>
    <n v="290.82356259888797"/>
    <s v="Training"/>
  </r>
  <r>
    <d v="2021-02-14T00:00:00"/>
    <x v="0"/>
    <n v="1"/>
    <n v="2"/>
    <x v="7"/>
    <x v="1"/>
    <n v="30"/>
    <m/>
    <m/>
    <m/>
    <m/>
    <n v="46"/>
    <n v="0.92"/>
    <n v="4"/>
    <d v="1899-12-30T00:00:14"/>
    <d v="1899-12-30T00:02:42"/>
    <d v="1899-12-30T00:01:13"/>
    <n v="0.72"/>
    <n v="2.0699999999999998"/>
    <n v="124.19999999999999"/>
    <n v="1.3499999999999996"/>
    <n v="80.999999999999972"/>
    <n v="1"/>
    <n v="1"/>
    <n v="2"/>
    <n v="1"/>
    <m/>
    <m/>
    <m/>
    <m/>
    <n v="-8.78405207773279"/>
    <n v="224.3434653838745"/>
    <s v="Training"/>
  </r>
  <r>
    <d v="2021-02-15T00:00:00"/>
    <x v="1"/>
    <n v="2"/>
    <n v="2"/>
    <x v="7"/>
    <x v="1"/>
    <n v="150"/>
    <m/>
    <m/>
    <m/>
    <m/>
    <n v="129"/>
    <n v="0.94850000000000001"/>
    <n v="7"/>
    <d v="1899-12-30T00:00:22"/>
    <d v="1899-12-30T00:02:26"/>
    <d v="1899-12-30T00:02:30"/>
    <n v="0.66420000000000001"/>
    <n v="5.2316666666666665"/>
    <n v="313.89999999999998"/>
    <n v="6.083333333333333"/>
    <n v="365"/>
    <n v="1"/>
    <n v="1"/>
    <n v="2"/>
    <n v="1"/>
    <m/>
    <m/>
    <m/>
    <m/>
    <n v="91.640552446852922"/>
    <n v="316.80767105839118"/>
    <s v="Training"/>
  </r>
  <r>
    <d v="2021-02-16T00:00:00"/>
    <x v="2"/>
    <n v="3"/>
    <n v="2"/>
    <x v="7"/>
    <x v="1"/>
    <n v="160"/>
    <m/>
    <m/>
    <m/>
    <m/>
    <n v="142"/>
    <n v="0.88749999999999996"/>
    <n v="18"/>
    <d v="1899-12-30T00:00:35"/>
    <d v="1899-12-30T00:02:34"/>
    <d v="1899-12-30T00:03:10"/>
    <n v="0.55920000000000003"/>
    <n v="6.0744444444444445"/>
    <n v="364.4666666666667"/>
    <n v="6.8444444444444459"/>
    <n v="410.66666666666674"/>
    <n v="1"/>
    <n v="1.0694444444444446"/>
    <n v="2"/>
    <n v="1"/>
    <m/>
    <m/>
    <m/>
    <m/>
    <n v="86.151332762800962"/>
    <n v="308.78961922679429"/>
    <s v="Training"/>
  </r>
  <r>
    <d v="2021-02-17T00:00:00"/>
    <x v="3"/>
    <n v="4"/>
    <n v="2"/>
    <x v="7"/>
    <x v="1"/>
    <n v="132"/>
    <m/>
    <m/>
    <m/>
    <m/>
    <n v="115"/>
    <n v="0.87119999999999997"/>
    <n v="17"/>
    <d v="1899-12-30T00:00:36"/>
    <d v="1899-12-30T00:02:27"/>
    <d v="1899-12-30T00:04:35"/>
    <n v="0.4884"/>
    <n v="4.6958333333333337"/>
    <n v="281.75"/>
    <n v="5.39"/>
    <n v="323.39999999999998"/>
    <n v="1"/>
    <n v="1"/>
    <n v="2"/>
    <n v="1"/>
    <m/>
    <m/>
    <m/>
    <m/>
    <n v="96.9288209008064"/>
    <n v="323.96936699373128"/>
    <s v="Training"/>
  </r>
  <r>
    <d v="2021-02-18T00:00:00"/>
    <x v="4"/>
    <n v="5"/>
    <n v="2"/>
    <x v="7"/>
    <x v="1"/>
    <n v="161"/>
    <m/>
    <m/>
    <m/>
    <m/>
    <n v="28"/>
    <n v="0.93330000000000002"/>
    <n v="2"/>
    <d v="1899-12-30T00:00:47"/>
    <d v="1899-12-30T00:02:36"/>
    <d v="1899-12-30T00:02:22"/>
    <n v="0.4"/>
    <n v="1.2133333333333334"/>
    <n v="72.8"/>
    <n v="6.9766666666666657"/>
    <n v="418.59999999999997"/>
    <n v="1"/>
    <n v="1.0901041666666667"/>
    <n v="1"/>
    <n v="1"/>
    <m/>
    <m/>
    <m/>
    <m/>
    <n v="89.955078299911449"/>
    <n v="309.15631111300809"/>
    <s v="Training"/>
  </r>
  <r>
    <d v="2021-02-19T00:00:00"/>
    <x v="5"/>
    <n v="6"/>
    <n v="2"/>
    <x v="7"/>
    <x v="1"/>
    <n v="156"/>
    <m/>
    <m/>
    <m/>
    <m/>
    <n v="140"/>
    <n v="0.93330000000000002"/>
    <n v="10"/>
    <d v="1899-12-30T00:00:29"/>
    <d v="1899-12-30T00:02:32"/>
    <d v="1899-12-30T00:02:11"/>
    <n v="0.63090000000000002"/>
    <n v="5.9111111111111114"/>
    <n v="354.66666666666669"/>
    <n v="6.5866666666666669"/>
    <n v="395.2"/>
    <n v="1"/>
    <n v="1.0291666666666666"/>
    <n v="2"/>
    <n v="1"/>
    <m/>
    <m/>
    <m/>
    <m/>
    <n v="96.005817345804118"/>
    <n v="312.53234528033238"/>
    <s v="Training"/>
  </r>
  <r>
    <d v="2021-02-20T00:00:00"/>
    <x v="6"/>
    <n v="7"/>
    <n v="2"/>
    <x v="7"/>
    <x v="1"/>
    <n v="137"/>
    <m/>
    <m/>
    <m/>
    <m/>
    <n v="144"/>
    <n v="0.9"/>
    <n v="16"/>
    <d v="1899-12-30T00:00:46"/>
    <d v="1899-12-30T00:02:39"/>
    <d v="1899-12-30T00:04:25"/>
    <n v="0.49680000000000002"/>
    <n v="6.36"/>
    <n v="381.6"/>
    <n v="6.0508333333333333"/>
    <n v="363.05"/>
    <n v="1"/>
    <n v="1"/>
    <n v="2"/>
    <n v="1"/>
    <m/>
    <m/>
    <m/>
    <m/>
    <n v="95.241353037942034"/>
    <n v="307.27864750142157"/>
    <s v="Training"/>
  </r>
  <r>
    <d v="2021-02-21T00:00:00"/>
    <x v="0"/>
    <n v="1"/>
    <n v="2"/>
    <x v="8"/>
    <x v="1"/>
    <n v="28"/>
    <m/>
    <m/>
    <m/>
    <m/>
    <n v="122"/>
    <n v="0.92420000000000002"/>
    <n v="10"/>
    <d v="1899-12-30T00:00:37"/>
    <d v="1899-12-30T00:02:38"/>
    <d v="1899-12-30T00:03:51"/>
    <n v="0.5"/>
    <n v="5.3544444444444448"/>
    <n v="321.26666666666671"/>
    <n v="1.2288888888888889"/>
    <n v="73.733333333333334"/>
    <n v="1"/>
    <n v="1"/>
    <n v="2"/>
    <n v="1"/>
    <m/>
    <m/>
    <m/>
    <m/>
    <n v="4.3027522222583068"/>
    <n v="225.35996367075421"/>
    <s v="Training"/>
  </r>
  <r>
    <d v="2021-02-22T00:00:00"/>
    <x v="1"/>
    <n v="2"/>
    <n v="2"/>
    <x v="8"/>
    <x v="1"/>
    <n v="141"/>
    <m/>
    <m/>
    <m/>
    <m/>
    <n v="151"/>
    <n v="0.93789999999999996"/>
    <n v="10"/>
    <d v="1899-12-30T00:00:28"/>
    <d v="1899-12-30T00:02:07"/>
    <d v="1899-12-30T00:02:50"/>
    <n v="0.6139"/>
    <n v="5.326944444444444"/>
    <n v="319.61666666666662"/>
    <n v="4.9741666666666671"/>
    <n v="298.45000000000005"/>
    <n v="1"/>
    <n v="1"/>
    <n v="2"/>
    <n v="1"/>
    <m/>
    <m/>
    <m/>
    <m/>
    <n v="109.3128752883601"/>
    <n v="337.5139166902523"/>
    <s v="Training"/>
  </r>
  <r>
    <d v="2021-02-23T00:00:00"/>
    <x v="2"/>
    <n v="3"/>
    <n v="2"/>
    <x v="8"/>
    <x v="1"/>
    <n v="130"/>
    <m/>
    <m/>
    <m/>
    <m/>
    <n v="149"/>
    <n v="0.95509999999999995"/>
    <n v="7"/>
    <d v="1899-12-30T00:00:22"/>
    <d v="1899-12-30T00:02:28"/>
    <d v="1899-12-30T00:04:11"/>
    <n v="0.70320000000000005"/>
    <n v="6.1255555555555565"/>
    <n v="367.53333333333342"/>
    <n v="5.3444444444444441"/>
    <n v="320.66666666666663"/>
    <n v="1"/>
    <n v="1"/>
    <n v="2"/>
    <n v="1"/>
    <m/>
    <m/>
    <m/>
    <m/>
    <n v="99.902749595286437"/>
    <n v="324.06872017949291"/>
    <s v="Training"/>
  </r>
  <r>
    <d v="2021-02-24T00:00:00"/>
    <x v="3"/>
    <n v="4"/>
    <n v="2"/>
    <x v="8"/>
    <x v="1"/>
    <n v="161"/>
    <m/>
    <m/>
    <m/>
    <m/>
    <n v="128"/>
    <n v="0.93430000000000002"/>
    <n v="9"/>
    <d v="1899-12-30T00:00:31"/>
    <d v="1899-12-30T00:02:30"/>
    <d v="1899-12-30T00:05:04"/>
    <n v="0.62690000000000001"/>
    <n v="5.333333333333333"/>
    <n v="320"/>
    <n v="6.708333333333333"/>
    <n v="402.5"/>
    <n v="1"/>
    <n v="1.0481770833333333"/>
    <n v="2"/>
    <n v="1"/>
    <m/>
    <m/>
    <m/>
    <m/>
    <n v="98.728376409255645"/>
    <n v="320.91048619331173"/>
    <s v="Training"/>
  </r>
  <r>
    <d v="2021-02-25T00:00:00"/>
    <x v="4"/>
    <n v="5"/>
    <n v="2"/>
    <x v="8"/>
    <x v="1"/>
    <n v="139"/>
    <m/>
    <m/>
    <m/>
    <m/>
    <n v="25"/>
    <n v="0.89290000000000003"/>
    <n v="3"/>
    <d v="1899-12-30T00:01:00"/>
    <d v="1899-12-30T00:02:47"/>
    <d v="1899-12-30T00:04:46"/>
    <n v="0.32140000000000002"/>
    <n v="1.1597222222222223"/>
    <n v="69.583333333333343"/>
    <n v="6.4480555555555554"/>
    <n v="386.88333333333333"/>
    <n v="1"/>
    <n v="1.0075086805555555"/>
    <n v="1"/>
    <n v="1"/>
    <m/>
    <m/>
    <m/>
    <m/>
    <n v="99.302897923202465"/>
    <n v="320.90222362589537"/>
    <s v="Training"/>
  </r>
  <r>
    <d v="2021-02-26T00:00:00"/>
    <x v="5"/>
    <n v="6"/>
    <n v="2"/>
    <x v="8"/>
    <x v="1"/>
    <n v="167"/>
    <m/>
    <m/>
    <m/>
    <m/>
    <n v="133"/>
    <n v="0.94330000000000003"/>
    <n v="8"/>
    <d v="1899-12-30T00:00:33"/>
    <d v="1899-12-30T00:02:42"/>
    <d v="1899-12-30T00:04:38"/>
    <n v="0.6331"/>
    <n v="5.9850000000000003"/>
    <n v="359.1"/>
    <n v="7.5149999999999997"/>
    <n v="450.9"/>
    <n v="1"/>
    <n v="1.1742187499999999"/>
    <n v="2"/>
    <n v="1"/>
    <m/>
    <m/>
    <m/>
    <m/>
    <n v="96.416861556315567"/>
    <n v="313.29220495602658"/>
    <s v="Training"/>
  </r>
  <r>
    <d v="2021-02-27T00:00:00"/>
    <x v="6"/>
    <n v="7"/>
    <n v="2"/>
    <x v="8"/>
    <x v="1"/>
    <n v="138"/>
    <m/>
    <m/>
    <m/>
    <m/>
    <n v="123"/>
    <n v="0.94620000000000004"/>
    <n v="7"/>
    <d v="1899-12-30T00:00:32"/>
    <d v="1899-12-30T00:02:40"/>
    <d v="1899-12-30T00:02:20"/>
    <n v="0.53490000000000004"/>
    <n v="5.4666666666666668"/>
    <n v="328"/>
    <n v="6.1333333333333346"/>
    <n v="368.00000000000006"/>
    <n v="1"/>
    <n v="1"/>
    <n v="2"/>
    <n v="1"/>
    <m/>
    <m/>
    <m/>
    <m/>
    <n v="83.530947013661191"/>
    <n v="311.84484661414791"/>
    <s v="Training"/>
  </r>
  <r>
    <d v="2021-02-28T00:00:00"/>
    <x v="0"/>
    <n v="1"/>
    <n v="2"/>
    <x v="9"/>
    <x v="1"/>
    <n v="47"/>
    <m/>
    <m/>
    <m/>
    <m/>
    <n v="155"/>
    <n v="0.9627"/>
    <n v="6"/>
    <d v="1899-12-30T00:00:27"/>
    <d v="1899-12-30T00:02:43"/>
    <d v="1899-12-30T00:02:43"/>
    <n v="0.73580000000000001"/>
    <n v="7.0180555555555557"/>
    <n v="421.08333333333337"/>
    <n v="2.1280555555555556"/>
    <n v="127.68333333333334"/>
    <n v="1.1000000000000001"/>
    <n v="1"/>
    <n v="2"/>
    <n v="2"/>
    <m/>
    <m/>
    <m/>
    <m/>
    <n v="10.833319387294351"/>
    <n v="223.33302218185719"/>
    <s v="Training"/>
  </r>
  <r>
    <d v="2021-03-01T00:00:00"/>
    <x v="1"/>
    <n v="2"/>
    <n v="3"/>
    <x v="9"/>
    <x v="1"/>
    <n v="30"/>
    <m/>
    <m/>
    <m/>
    <m/>
    <n v="132"/>
    <n v="0.9496"/>
    <n v="7"/>
    <d v="1899-12-30T00:00:28"/>
    <d v="1899-12-30T00:02:40"/>
    <d v="1899-12-30T00:01:51"/>
    <n v="0.6331"/>
    <n v="5.8666666666666663"/>
    <n v="352"/>
    <n v="1.3333333333333333"/>
    <n v="80"/>
    <n v="1"/>
    <n v="1"/>
    <n v="2"/>
    <n v="1"/>
    <m/>
    <m/>
    <m/>
    <m/>
    <n v="100.0315360534704"/>
    <n v="324.3309077098491"/>
    <s v="Training"/>
  </r>
  <r>
    <d v="2021-03-02T00:00:00"/>
    <x v="2"/>
    <n v="3"/>
    <n v="3"/>
    <x v="9"/>
    <x v="1"/>
    <n v="152"/>
    <m/>
    <m/>
    <m/>
    <m/>
    <n v="130"/>
    <n v="0.77839999999999998"/>
    <n v="37"/>
    <d v="1899-12-30T00:00:29"/>
    <d v="1899-12-30T00:02:34"/>
    <d v="1899-12-30T00:11:56"/>
    <n v="0.54600000000000004"/>
    <n v="5.5611111111111109"/>
    <n v="333.66666666666663"/>
    <n v="6.5022222222222235"/>
    <n v="390.13333333333338"/>
    <n v="1"/>
    <n v="1.0159722222222223"/>
    <n v="2"/>
    <n v="1"/>
    <m/>
    <m/>
    <m/>
    <m/>
    <n v="87.095883938590049"/>
    <n v="302.43734358926253"/>
    <s v="Training"/>
  </r>
  <r>
    <d v="2021-03-03T00:00:00"/>
    <x v="3"/>
    <n v="4"/>
    <n v="3"/>
    <x v="9"/>
    <x v="1"/>
    <n v="159"/>
    <m/>
    <m/>
    <m/>
    <m/>
    <n v="122"/>
    <n v="0.8841"/>
    <n v="16"/>
    <d v="1899-12-30T00:00:35"/>
    <d v="1899-12-30T00:02:49"/>
    <d v="1899-12-30T00:05:30"/>
    <n v="0.57779999999999998"/>
    <n v="5.7272222222222222"/>
    <n v="343.63333333333333"/>
    <n v="7.4641666666666664"/>
    <n v="447.84999999999997"/>
    <n v="1"/>
    <n v="1.1662760416666667"/>
    <n v="2"/>
    <n v="1"/>
    <m/>
    <m/>
    <m/>
    <m/>
    <n v="100.0549608281505"/>
    <n v="315.06519503092699"/>
    <s v="Training"/>
  </r>
  <r>
    <d v="2021-03-04T00:00:00"/>
    <x v="4"/>
    <n v="5"/>
    <n v="3"/>
    <x v="9"/>
    <x v="1"/>
    <n v="74"/>
    <m/>
    <m/>
    <m/>
    <m/>
    <n v="44"/>
    <n v="0.93620000000000003"/>
    <n v="3"/>
    <d v="1899-12-30T00:00:26"/>
    <d v="1899-12-30T00:03:11"/>
    <d v="1899-12-30T00:03:29"/>
    <n v="0.63039999999999996"/>
    <n v="2.3344444444444443"/>
    <n v="140.06666666666666"/>
    <n v="3.9261111111111111"/>
    <n v="235.56666666666666"/>
    <n v="1"/>
    <n v="1"/>
    <n v="1"/>
    <n v="1"/>
    <m/>
    <m/>
    <m/>
    <m/>
    <n v="79.601369264706378"/>
    <n v="301.78759085391908"/>
    <s v="Training"/>
  </r>
  <r>
    <d v="2021-03-05T00:00:00"/>
    <x v="5"/>
    <n v="6"/>
    <n v="3"/>
    <x v="9"/>
    <x v="1"/>
    <n v="146"/>
    <m/>
    <m/>
    <m/>
    <m/>
    <n v="206"/>
    <n v="0.89570000000000005"/>
    <n v="24"/>
    <d v="1899-12-30T00:00:38"/>
    <d v="1899-12-30T00:02:34"/>
    <d v="1899-12-30T00:04:35"/>
    <n v="0.4672"/>
    <n v="8.8122222222222231"/>
    <n v="528.73333333333335"/>
    <n v="6.2455555555555566"/>
    <n v="374.73333333333341"/>
    <n v="1.38"/>
    <n v="1"/>
    <n v="2"/>
    <n v="2"/>
    <m/>
    <m/>
    <m/>
    <m/>
    <n v="72.032297200261439"/>
    <n v="293.35183175472099"/>
    <s v="Training"/>
  </r>
  <r>
    <d v="2021-03-06T00:00:00"/>
    <x v="6"/>
    <n v="7"/>
    <n v="3"/>
    <x v="9"/>
    <x v="1"/>
    <n v="117"/>
    <m/>
    <m/>
    <m/>
    <m/>
    <n v="153"/>
    <n v="0.86439999999999995"/>
    <n v="24"/>
    <d v="1899-12-30T00:00:30"/>
    <d v="1899-12-30T00:02:53"/>
    <d v="1899-12-30T00:04:28"/>
    <n v="0.55489999999999995"/>
    <n v="7.3525"/>
    <n v="441.15"/>
    <n v="5.6224999999999996"/>
    <n v="337.34999999999997"/>
    <n v="1.1499999999999999"/>
    <n v="1"/>
    <n v="2"/>
    <n v="2"/>
    <m/>
    <m/>
    <m/>
    <m/>
    <n v="65.607887293767874"/>
    <n v="281.92339886020602"/>
    <s v="Training"/>
  </r>
  <r>
    <d v="2021-03-07T00:00:00"/>
    <x v="0"/>
    <n v="1"/>
    <n v="3"/>
    <x v="10"/>
    <x v="1"/>
    <n v="144"/>
    <m/>
    <m/>
    <m/>
    <m/>
    <n v="149"/>
    <n v="0.93710000000000004"/>
    <n v="10"/>
    <d v="1899-12-30T00:00:33"/>
    <d v="1899-12-30T00:02:40"/>
    <d v="1899-12-30T00:04:32"/>
    <n v="0.61040000000000005"/>
    <n v="6.6222222222222236"/>
    <n v="397.33333333333343"/>
    <n v="6.4"/>
    <n v="384"/>
    <n v="1.03"/>
    <n v="1"/>
    <n v="2"/>
    <n v="2"/>
    <m/>
    <m/>
    <m/>
    <m/>
    <n v="-33.328987401109202"/>
    <n v="194.59113660371429"/>
    <s v="Training"/>
  </r>
  <r>
    <d v="2021-03-08T00:00:00"/>
    <x v="1"/>
    <n v="2"/>
    <n v="3"/>
    <x v="10"/>
    <x v="1"/>
    <n v="164"/>
    <m/>
    <m/>
    <m/>
    <m/>
    <n v="135"/>
    <n v="0.89400000000000002"/>
    <n v="16"/>
    <d v="1899-12-30T00:00:36"/>
    <d v="1899-12-30T00:02:32"/>
    <d v="1899-12-30T00:04:41"/>
    <n v="0.52739999999999998"/>
    <n v="5.7"/>
    <n v="342"/>
    <n v="6.9244444444444442"/>
    <n v="415.46666666666664"/>
    <n v="1"/>
    <n v="1.0819444444444444"/>
    <n v="2"/>
    <n v="1"/>
    <m/>
    <m/>
    <m/>
    <m/>
    <n v="64.369731049661439"/>
    <n v="293.15815475934693"/>
    <s v="Training"/>
  </r>
  <r>
    <d v="2021-03-09T00:00:00"/>
    <x v="2"/>
    <n v="3"/>
    <n v="3"/>
    <x v="10"/>
    <x v="1"/>
    <n v="342"/>
    <m/>
    <m/>
    <m/>
    <m/>
    <n v="126"/>
    <n v="0.91300000000000003"/>
    <n v="12"/>
    <d v="1899-12-30T00:00:34"/>
    <d v="1899-12-30T00:02:17"/>
    <d v="1899-12-30T00:04:10"/>
    <n v="0.59699999999999998"/>
    <n v="4.7949999999999999"/>
    <n v="287.7"/>
    <n v="13.014999999999999"/>
    <n v="780.9"/>
    <n v="1"/>
    <n v="2.0335937500000001"/>
    <n v="2"/>
    <n v="1"/>
    <m/>
    <m/>
    <m/>
    <m/>
    <n v="48.489474651030847"/>
    <n v="273.67169465917289"/>
    <s v="Training"/>
  </r>
  <r>
    <d v="2021-03-10T00:00:00"/>
    <x v="3"/>
    <n v="4"/>
    <n v="3"/>
    <x v="10"/>
    <x v="1"/>
    <n v="27"/>
    <m/>
    <m/>
    <m/>
    <m/>
    <n v="118"/>
    <n v="1"/>
    <n v="0"/>
    <d v="1899-12-30T00:00:26"/>
    <d v="1899-12-30T00:02:33"/>
    <d v="1899-12-30T00:01:38"/>
    <n v="0.66100000000000003"/>
    <n v="5.0149999999999997"/>
    <n v="300.89999999999998"/>
    <n v="1.1475"/>
    <n v="68.849999999999994"/>
    <n v="1"/>
    <n v="1"/>
    <n v="2"/>
    <n v="1"/>
    <m/>
    <m/>
    <m/>
    <m/>
    <n v="65.372046869563604"/>
    <n v="281.11989138261811"/>
    <s v="Training"/>
  </r>
  <r>
    <d v="2021-03-11T00:00:00"/>
    <x v="4"/>
    <n v="5"/>
    <n v="3"/>
    <x v="10"/>
    <x v="1"/>
    <n v="190"/>
    <m/>
    <m/>
    <m/>
    <m/>
    <n v="21"/>
    <n v="0.95450000000000002"/>
    <n v="1"/>
    <d v="1899-12-30T00:00:42"/>
    <d v="1899-12-30T00:02:24"/>
    <d v="1899-12-30T00:02:56"/>
    <n v="0.52380000000000004"/>
    <n v="0.84000000000000008"/>
    <n v="50.400000000000006"/>
    <n v="7.6000000000000014"/>
    <n v="456.00000000000011"/>
    <n v="1"/>
    <n v="1.1875000000000002"/>
    <n v="1"/>
    <n v="1"/>
    <m/>
    <m/>
    <m/>
    <m/>
    <n v="50.735398920910477"/>
    <n v="258.7331835086452"/>
    <s v="Training"/>
  </r>
  <r>
    <d v="2021-03-12T00:00:00"/>
    <x v="5"/>
    <n v="6"/>
    <n v="3"/>
    <x v="10"/>
    <x v="1"/>
    <n v="429"/>
    <m/>
    <m/>
    <m/>
    <m/>
    <n v="156"/>
    <n v="0.88139999999999996"/>
    <n v="21"/>
    <d v="1899-12-30T00:00:42"/>
    <d v="1899-12-30T00:02:39"/>
    <d v="1899-12-30T00:03:16"/>
    <n v="0.42370000000000002"/>
    <n v="6.8899999999999988"/>
    <n v="413.39999999999992"/>
    <n v="18.947500000000002"/>
    <n v="1136.8500000000001"/>
    <n v="1.08"/>
    <n v="2.9605468750000004"/>
    <n v="2"/>
    <n v="2"/>
    <m/>
    <m/>
    <m/>
    <m/>
    <n v="37.986230865999097"/>
    <n v="251.38835997288521"/>
    <s v="Training"/>
  </r>
  <r>
    <d v="2021-03-13T00:00:00"/>
    <x v="6"/>
    <n v="7"/>
    <n v="3"/>
    <x v="10"/>
    <x v="1"/>
    <n v="121"/>
    <m/>
    <m/>
    <m/>
    <m/>
    <n v="147"/>
    <n v="0.94230000000000003"/>
    <n v="9"/>
    <d v="1899-12-30T00:00:29"/>
    <d v="1899-12-30T00:02:31"/>
    <d v="1899-12-30T00:03:41"/>
    <n v="0.63639999999999997"/>
    <n v="6.1658333333333344"/>
    <n v="369.95000000000005"/>
    <n v="5.075277777777778"/>
    <n v="304.51666666666665"/>
    <n v="1"/>
    <n v="1"/>
    <n v="2"/>
    <n v="1"/>
    <m/>
    <m/>
    <m/>
    <m/>
    <n v="31.767202288251841"/>
    <n v="259.92533401561292"/>
    <s v="Training"/>
  </r>
  <r>
    <d v="2021-03-14T00:00:00"/>
    <x v="0"/>
    <n v="1"/>
    <n v="3"/>
    <x v="11"/>
    <x v="1"/>
    <n v="35"/>
    <m/>
    <m/>
    <m/>
    <m/>
    <n v="121"/>
    <n v="0.98370000000000002"/>
    <n v="2"/>
    <d v="1899-12-30T00:00:26"/>
    <d v="1899-12-30T00:02:28"/>
    <d v="1899-12-30T00:03:29"/>
    <n v="0.64229999999999998"/>
    <n v="4.974444444444444"/>
    <n v="298.46666666666664"/>
    <n v="1.4388888888888889"/>
    <n v="86.333333333333329"/>
    <n v="1"/>
    <n v="1"/>
    <n v="2"/>
    <n v="1"/>
    <m/>
    <m/>
    <m/>
    <m/>
    <n v="-55.213241707492131"/>
    <n v="164.93530008561601"/>
    <s v="Training"/>
  </r>
  <r>
    <d v="2021-03-15T00:00:00"/>
    <x v="1"/>
    <n v="2"/>
    <n v="3"/>
    <x v="11"/>
    <x v="1"/>
    <n v="240"/>
    <m/>
    <m/>
    <m/>
    <m/>
    <n v="125"/>
    <n v="0.96150000000000002"/>
    <n v="5"/>
    <d v="1899-12-30T00:00:26"/>
    <d v="1899-12-30T00:02:29"/>
    <d v="1899-12-30T00:03:28"/>
    <n v="0.66930000000000001"/>
    <n v="5.1736111111111107"/>
    <n v="310.41666666666663"/>
    <n v="9.9333333333333336"/>
    <n v="596"/>
    <n v="1"/>
    <n v="1.5520833333333333"/>
    <n v="2"/>
    <n v="1"/>
    <m/>
    <m/>
    <m/>
    <m/>
    <n v="31.96939779503893"/>
    <n v="260.77015278859687"/>
    <s v="Training"/>
  </r>
  <r>
    <d v="2021-03-16T00:00:00"/>
    <x v="2"/>
    <n v="3"/>
    <n v="3"/>
    <x v="11"/>
    <x v="1"/>
    <n v="130"/>
    <m/>
    <m/>
    <m/>
    <m/>
    <n v="134"/>
    <n v="0.95040000000000002"/>
    <n v="7"/>
    <d v="1899-12-30T00:00:39"/>
    <d v="1899-12-30T00:02:33"/>
    <d v="1899-12-30T00:03:08"/>
    <n v="0.56430000000000002"/>
    <n v="5.6950000000000003"/>
    <n v="341.70000000000005"/>
    <n v="5.5250000000000004"/>
    <n v="331.5"/>
    <n v="1"/>
    <n v="1"/>
    <n v="2"/>
    <n v="1"/>
    <m/>
    <m/>
    <m/>
    <m/>
    <n v="10.508296630011539"/>
    <n v="238.6720831494583"/>
    <s v="Training"/>
  </r>
  <r>
    <d v="2021-03-17T00:00:00"/>
    <x v="3"/>
    <n v="4"/>
    <n v="3"/>
    <x v="11"/>
    <x v="1"/>
    <n v="140"/>
    <m/>
    <m/>
    <m/>
    <m/>
    <n v="113"/>
    <n v="0.93389999999999995"/>
    <n v="8"/>
    <d v="1899-12-30T00:00:38"/>
    <d v="1899-12-30T00:02:38"/>
    <d v="1899-12-30T00:04:18"/>
    <n v="0.50829999999999997"/>
    <n v="4.9594444444444443"/>
    <n v="297.56666666666666"/>
    <n v="6.1444444444444448"/>
    <n v="368.66666666666669"/>
    <n v="1"/>
    <n v="1"/>
    <n v="2"/>
    <n v="1"/>
    <m/>
    <m/>
    <m/>
    <m/>
    <n v="26.06939240314987"/>
    <n v="248.02608307270901"/>
    <s v="Training"/>
  </r>
  <r>
    <d v="2021-03-18T00:00:00"/>
    <x v="4"/>
    <n v="5"/>
    <n v="3"/>
    <x v="11"/>
    <x v="1"/>
    <n v="131"/>
    <m/>
    <m/>
    <m/>
    <m/>
    <n v="31"/>
    <n v="0.88570000000000004"/>
    <n v="4"/>
    <d v="1899-12-30T00:00:34"/>
    <d v="1899-12-30T00:02:05"/>
    <d v="1899-12-30T00:04:29"/>
    <n v="0.47060000000000002"/>
    <n v="1.0763888888888888"/>
    <n v="64.583333333333329"/>
    <n v="4.5486111111111107"/>
    <n v="272.91666666666663"/>
    <n v="1"/>
    <n v="1"/>
    <n v="1"/>
    <n v="1"/>
    <m/>
    <m/>
    <m/>
    <m/>
    <n v="18.067877357700141"/>
    <n v="235.1056232965708"/>
    <s v="Training"/>
  </r>
  <r>
    <d v="2021-03-19T00:00:00"/>
    <x v="5"/>
    <n v="6"/>
    <n v="3"/>
    <x v="11"/>
    <x v="1"/>
    <n v="74"/>
    <m/>
    <m/>
    <m/>
    <m/>
    <n v="226"/>
    <n v="0.94169999999999998"/>
    <n v="14"/>
    <d v="1899-12-30T00:00:36"/>
    <d v="1899-12-30T00:02:15"/>
    <d v="1899-12-30T00:04:06"/>
    <n v="0.57020000000000004"/>
    <n v="8.4750000000000014"/>
    <n v="508.50000000000011"/>
    <n v="2.7749999999999999"/>
    <n v="166.5"/>
    <n v="1.32"/>
    <n v="1"/>
    <n v="2"/>
    <n v="2"/>
    <m/>
    <m/>
    <m/>
    <m/>
    <n v="12.26515243625323"/>
    <n v="221.52305854193239"/>
    <s v="Training"/>
  </r>
  <r>
    <d v="2021-03-20T00:00:00"/>
    <x v="6"/>
    <n v="7"/>
    <n v="3"/>
    <x v="11"/>
    <x v="1"/>
    <n v="24"/>
    <m/>
    <m/>
    <m/>
    <m/>
    <n v="118"/>
    <n v="0.90769999999999995"/>
    <n v="12"/>
    <d v="1899-12-30T00:00:32"/>
    <d v="1899-12-30T00:02:23"/>
    <d v="1899-12-30T00:03:40"/>
    <n v="0.57809999999999995"/>
    <n v="4.6872222222222222"/>
    <n v="281.23333333333335"/>
    <n v="0.95333333333333337"/>
    <n v="57.2"/>
    <n v="1"/>
    <n v="1"/>
    <n v="2"/>
    <n v="1"/>
    <m/>
    <m/>
    <m/>
    <m/>
    <n v="10.67499744221297"/>
    <n v="229.01474676282709"/>
    <s v="Training"/>
  </r>
  <r>
    <d v="2021-03-21T00:00:00"/>
    <x v="0"/>
    <n v="1"/>
    <n v="3"/>
    <x v="12"/>
    <x v="1"/>
    <n v="11"/>
    <m/>
    <m/>
    <m/>
    <m/>
    <n v="130"/>
    <n v="0.92859999999999998"/>
    <n v="10"/>
    <d v="1899-12-30T00:00:29"/>
    <d v="1899-12-30T00:02:31"/>
    <d v="1899-12-30T00:07:35"/>
    <n v="0.62319999999999998"/>
    <n v="5.4527777777777775"/>
    <n v="327.16666666666663"/>
    <n v="0.4613888888888889"/>
    <n v="27.683333333333334"/>
    <n v="1"/>
    <n v="1"/>
    <n v="2"/>
    <n v="1"/>
    <m/>
    <m/>
    <m/>
    <m/>
    <n v="-74.559065073884952"/>
    <n v="139.78965068101559"/>
    <s v="Training"/>
  </r>
  <r>
    <d v="2021-03-22T00:00:00"/>
    <x v="1"/>
    <n v="2"/>
    <n v="3"/>
    <x v="12"/>
    <x v="1"/>
    <n v="28"/>
    <m/>
    <m/>
    <m/>
    <m/>
    <n v="111"/>
    <n v="0.84730000000000005"/>
    <n v="20"/>
    <d v="1899-12-30T00:00:38"/>
    <d v="1899-12-30T00:03:16"/>
    <d v="1899-12-30T00:09:59"/>
    <n v="0.59689999999999999"/>
    <n v="6.043333333333333"/>
    <n v="362.59999999999997"/>
    <n v="1.5244444444444447"/>
    <n v="91.466666666666683"/>
    <n v="1"/>
    <n v="1"/>
    <n v="2"/>
    <n v="1"/>
    <m/>
    <m/>
    <m/>
    <m/>
    <n v="14.009513678294301"/>
    <n v="247.3162445981184"/>
    <s v="Training"/>
  </r>
  <r>
    <d v="2021-03-23T00:00:00"/>
    <x v="2"/>
    <n v="3"/>
    <n v="3"/>
    <x v="12"/>
    <x v="1"/>
    <n v="43"/>
    <m/>
    <m/>
    <m/>
    <m/>
    <n v="74"/>
    <n v="1"/>
    <n v="0"/>
    <d v="1899-12-30T00:00:13"/>
    <d v="1899-12-30T00:02:55"/>
    <d v="1899-12-30T00:01:53"/>
    <n v="0.89190000000000003"/>
    <n v="3.5972222222222219"/>
    <n v="215.83333333333331"/>
    <n v="2.0902777777777777"/>
    <n v="125.41666666666666"/>
    <n v="1"/>
    <n v="1"/>
    <n v="2"/>
    <n v="1"/>
    <m/>
    <m/>
    <m/>
    <m/>
    <n v="6.4628238517915566"/>
    <n v="220.7713260572684"/>
    <s v="Training"/>
  </r>
  <r>
    <d v="2021-03-24T00:00:00"/>
    <x v="3"/>
    <n v="4"/>
    <n v="3"/>
    <x v="12"/>
    <x v="1"/>
    <n v="62"/>
    <m/>
    <m/>
    <m/>
    <m/>
    <n v="24"/>
    <n v="1"/>
    <n v="0"/>
    <d v="1899-12-30T00:00:12"/>
    <d v="1899-12-30T00:02:47"/>
    <d v="1899-12-30T00:00:57"/>
    <n v="0.83330000000000004"/>
    <n v="1.1133333333333333"/>
    <n v="66.8"/>
    <n v="2.8761111111111113"/>
    <n v="172.56666666666666"/>
    <n v="1"/>
    <n v="1"/>
    <n v="2"/>
    <n v="1"/>
    <m/>
    <m/>
    <m/>
    <m/>
    <n v="22.814465808755479"/>
    <n v="239.30874034365911"/>
    <s v="Training"/>
  </r>
  <r>
    <d v="2021-03-25T00:00:00"/>
    <x v="4"/>
    <n v="5"/>
    <n v="3"/>
    <x v="12"/>
    <x v="1"/>
    <n v="70"/>
    <m/>
    <m/>
    <m/>
    <m/>
    <n v="10"/>
    <n v="0.90910000000000002"/>
    <n v="1"/>
    <d v="1899-12-30T00:00:13"/>
    <d v="1899-12-30T00:02:24"/>
    <d v="1899-12-30T00:00:55"/>
    <n v="0.81820000000000004"/>
    <n v="0.4"/>
    <n v="24"/>
    <n v="2.8"/>
    <n v="168"/>
    <n v="1"/>
    <n v="1"/>
    <n v="1"/>
    <n v="1"/>
    <m/>
    <m/>
    <m/>
    <m/>
    <n v="8.1984906463172447"/>
    <n v="242.42678033506559"/>
    <s v="Training"/>
  </r>
  <r>
    <d v="2021-03-26T00:00:00"/>
    <x v="5"/>
    <n v="6"/>
    <n v="3"/>
    <x v="12"/>
    <x v="1"/>
    <n v="107"/>
    <m/>
    <m/>
    <m/>
    <m/>
    <n v="26"/>
    <n v="0.92859999999999998"/>
    <n v="2"/>
    <d v="1899-12-30T00:00:10"/>
    <d v="1899-12-30T00:02:30"/>
    <d v="1899-12-30T00:01:26"/>
    <n v="0.81479999999999997"/>
    <n v="1.0833333333333333"/>
    <n v="65"/>
    <n v="4.458333333333333"/>
    <n v="267.5"/>
    <n v="1"/>
    <n v="1"/>
    <n v="2"/>
    <n v="1"/>
    <m/>
    <m/>
    <m/>
    <m/>
    <n v="4.599765501668478"/>
    <n v="234.0158788971338"/>
    <s v="Training"/>
  </r>
  <r>
    <d v="2021-03-27T00:00:00"/>
    <x v="6"/>
    <n v="7"/>
    <n v="3"/>
    <x v="12"/>
    <x v="1"/>
    <n v="91"/>
    <m/>
    <m/>
    <m/>
    <m/>
    <n v="43"/>
    <n v="1"/>
    <n v="0"/>
    <d v="1899-12-30T00:00:08"/>
    <d v="1899-12-30T00:02:23"/>
    <d v="1899-12-30T00:00:52"/>
    <n v="0.88370000000000004"/>
    <n v="1.7080555555555557"/>
    <n v="102.48333333333333"/>
    <n v="3.6147222222222215"/>
    <n v="216.8833333333333"/>
    <n v="1"/>
    <n v="1"/>
    <n v="2"/>
    <n v="1"/>
    <m/>
    <m/>
    <m/>
    <m/>
    <n v="15.726211285186841"/>
    <n v="231.91827653378149"/>
    <s v="Training"/>
  </r>
  <r>
    <d v="2021-03-28T00:00:00"/>
    <x v="0"/>
    <n v="1"/>
    <n v="3"/>
    <x v="13"/>
    <x v="1"/>
    <n v="25"/>
    <m/>
    <m/>
    <m/>
    <m/>
    <n v="62"/>
    <n v="1"/>
    <n v="0"/>
    <d v="1899-12-30T00:00:17"/>
    <d v="1899-12-30T00:02:12"/>
    <d v="1899-12-30T00:01:26"/>
    <n v="0.8226"/>
    <n v="2.2733333333333334"/>
    <n v="136.4"/>
    <n v="0.91666666666666674"/>
    <n v="55.000000000000007"/>
    <n v="1"/>
    <n v="1"/>
    <n v="2"/>
    <n v="1"/>
    <m/>
    <m/>
    <m/>
    <m/>
    <n v="-69.182506222840672"/>
    <n v="151.7963916847244"/>
    <s v="Training"/>
  </r>
  <r>
    <d v="2021-03-29T00:00:00"/>
    <x v="1"/>
    <n v="2"/>
    <n v="3"/>
    <x v="13"/>
    <x v="1"/>
    <n v="85"/>
    <m/>
    <m/>
    <m/>
    <m/>
    <n v="69"/>
    <n v="0.98570000000000002"/>
    <n v="1"/>
    <d v="1899-12-30T00:00:22"/>
    <d v="1899-12-30T00:02:06"/>
    <d v="1899-12-30T00:08:40"/>
    <n v="0.81430000000000002"/>
    <n v="2.415"/>
    <n v="144.9"/>
    <n v="2.9750000000000001"/>
    <n v="178.5"/>
    <n v="1"/>
    <n v="1"/>
    <n v="2"/>
    <n v="1"/>
    <m/>
    <m/>
    <m/>
    <m/>
    <n v="23.438238361461892"/>
    <n v="242.03008781885981"/>
    <s v="Training"/>
  </r>
  <r>
    <d v="2021-03-30T00:00:00"/>
    <x v="2"/>
    <n v="3"/>
    <n v="3"/>
    <x v="13"/>
    <x v="1"/>
    <n v="91"/>
    <m/>
    <m/>
    <m/>
    <m/>
    <n v="97"/>
    <n v="0.90649999999999997"/>
    <n v="10"/>
    <d v="1899-12-30T00:00:21"/>
    <d v="1899-12-30T00:02:26"/>
    <d v="1899-12-30T00:02:40"/>
    <n v="0.68869999999999998"/>
    <n v="3.9338888888888883"/>
    <n v="236.0333333333333"/>
    <n v="3.690555555555556"/>
    <n v="221.43333333333337"/>
    <n v="1"/>
    <n v="1"/>
    <n v="2"/>
    <n v="1"/>
    <m/>
    <m/>
    <m/>
    <m/>
    <n v="9.7947773607622572"/>
    <n v="232.2215252571344"/>
    <s v="Training"/>
  </r>
  <r>
    <d v="2021-03-31T00:00:00"/>
    <x v="3"/>
    <n v="4"/>
    <n v="3"/>
    <x v="13"/>
    <x v="1"/>
    <n v="48"/>
    <m/>
    <m/>
    <m/>
    <m/>
    <n v="85"/>
    <n v="0.93410000000000004"/>
    <n v="6"/>
    <d v="1899-12-30T00:00:30"/>
    <d v="1899-12-30T00:02:27"/>
    <d v="1899-12-30T00:05:49"/>
    <n v="0.62639999999999996"/>
    <n v="3.4708333333333328"/>
    <n v="208.24999999999997"/>
    <n v="1.96"/>
    <n v="117.6"/>
    <n v="1"/>
    <n v="1"/>
    <n v="2"/>
    <n v="1"/>
    <m/>
    <m/>
    <m/>
    <m/>
    <n v="41.755884732416099"/>
    <n v="244.91799781580741"/>
    <s v="Training"/>
  </r>
  <r>
    <d v="2021-04-01T00:00:00"/>
    <x v="4"/>
    <n v="5"/>
    <n v="4"/>
    <x v="13"/>
    <x v="1"/>
    <n v="176"/>
    <m/>
    <m/>
    <m/>
    <m/>
    <n v="25"/>
    <n v="1"/>
    <n v="0"/>
    <d v="1899-12-30T00:00:11"/>
    <d v="1899-12-30T00:02:40"/>
    <d v="1899-12-30T00:00:55"/>
    <n v="0.84"/>
    <n v="1.1111111111111112"/>
    <n v="66.666666666666671"/>
    <n v="7.8222222222222229"/>
    <n v="469.33333333333337"/>
    <n v="1"/>
    <n v="1.2222222222222223"/>
    <n v="1"/>
    <n v="1"/>
    <m/>
    <m/>
    <m/>
    <m/>
    <n v="25.219623025674839"/>
    <n v="241.68800258957691"/>
    <s v="Training"/>
  </r>
  <r>
    <d v="2021-04-02T00:00:00"/>
    <x v="5"/>
    <n v="6"/>
    <n v="4"/>
    <x v="13"/>
    <x v="1"/>
    <n v="132"/>
    <m/>
    <m/>
    <m/>
    <m/>
    <n v="79"/>
    <n v="0.9294"/>
    <n v="6"/>
    <d v="1899-12-30T00:00:24"/>
    <d v="1899-12-30T00:02:31"/>
    <d v="1899-12-30T00:03:07"/>
    <n v="0.72289999999999999"/>
    <n v="3.3136111111111113"/>
    <n v="198.81666666666666"/>
    <n v="5.5366666666666671"/>
    <n v="332.20000000000005"/>
    <n v="1"/>
    <n v="1"/>
    <n v="2"/>
    <n v="1"/>
    <m/>
    <m/>
    <m/>
    <m/>
    <n v="21.491549584981978"/>
    <n v="244.3153440656136"/>
    <s v="Training"/>
  </r>
  <r>
    <d v="2021-04-03T00:00:00"/>
    <x v="6"/>
    <n v="7"/>
    <n v="4"/>
    <x v="13"/>
    <x v="1"/>
    <n v="151"/>
    <m/>
    <m/>
    <m/>
    <m/>
    <n v="83"/>
    <n v="0.91210000000000002"/>
    <n v="8"/>
    <d v="1899-12-30T00:00:26"/>
    <d v="1899-12-30T00:02:37"/>
    <d v="1899-12-30T00:03:40"/>
    <n v="0.62639999999999996"/>
    <n v="3.6197222222222223"/>
    <n v="217.18333333333334"/>
    <n v="6.5852777777777778"/>
    <n v="395.11666666666667"/>
    <n v="1"/>
    <n v="1.0289496527777777"/>
    <n v="2"/>
    <n v="1"/>
    <m/>
    <m/>
    <m/>
    <m/>
    <n v="31.808515909540091"/>
    <n v="260.91243501846839"/>
    <s v="Training"/>
  </r>
  <r>
    <d v="2021-04-04T00:00:00"/>
    <x v="0"/>
    <n v="1"/>
    <n v="4"/>
    <x v="14"/>
    <x v="1"/>
    <n v="33"/>
    <m/>
    <m/>
    <m/>
    <m/>
    <n v="46"/>
    <n v="0.95830000000000004"/>
    <n v="2"/>
    <d v="1899-12-30T00:00:11"/>
    <d v="1899-12-30T00:02:13"/>
    <d v="1899-12-30T00:01:22"/>
    <n v="0.82979999999999998"/>
    <n v="1.6994444444444445"/>
    <n v="101.96666666666667"/>
    <n v="1.2191666666666667"/>
    <n v="73.150000000000006"/>
    <n v="1"/>
    <n v="1"/>
    <n v="2"/>
    <n v="1"/>
    <m/>
    <m/>
    <m/>
    <m/>
    <n v="-44.057184107192541"/>
    <n v="168.0992608314898"/>
    <s v="Training"/>
  </r>
  <r>
    <d v="2021-04-05T00:00:00"/>
    <x v="1"/>
    <n v="2"/>
    <n v="4"/>
    <x v="14"/>
    <x v="1"/>
    <n v="143"/>
    <m/>
    <m/>
    <m/>
    <m/>
    <n v="11"/>
    <n v="0.78569999999999995"/>
    <n v="3"/>
    <d v="1899-12-30T00:00:18"/>
    <d v="1899-12-30T00:02:27"/>
    <d v="1899-12-30T00:02:45"/>
    <n v="0.61539999999999995"/>
    <n v="0.4491666666666666"/>
    <n v="26.949999999999996"/>
    <n v="5.8391666666666664"/>
    <n v="350.34999999999997"/>
    <n v="1"/>
    <n v="1"/>
    <n v="2"/>
    <n v="1"/>
    <m/>
    <m/>
    <m/>
    <m/>
    <n v="44.455974748490327"/>
    <n v="267.83059907382739"/>
    <s v="Training"/>
  </r>
  <r>
    <d v="2021-04-06T00:00:00"/>
    <x v="2"/>
    <n v="3"/>
    <n v="4"/>
    <x v="14"/>
    <x v="1"/>
    <n v="34"/>
    <m/>
    <m/>
    <m/>
    <m/>
    <n v="42"/>
    <n v="0.97670000000000001"/>
    <n v="1"/>
    <d v="1899-12-30T00:00:22"/>
    <d v="1899-12-30T00:02:47"/>
    <d v="1899-12-30T00:03:15"/>
    <n v="0.73809999999999998"/>
    <n v="1.9483333333333337"/>
    <n v="116.90000000000002"/>
    <n v="1.5772222222222223"/>
    <n v="94.63333333333334"/>
    <n v="1"/>
    <n v="1"/>
    <n v="2"/>
    <n v="1"/>
    <m/>
    <m/>
    <m/>
    <m/>
    <n v="39.493187751517901"/>
    <n v="253.8474746314952"/>
    <s v="Training"/>
  </r>
  <r>
    <d v="2021-04-07T00:00:00"/>
    <x v="3"/>
    <n v="4"/>
    <n v="4"/>
    <x v="14"/>
    <x v="1"/>
    <n v="16"/>
    <m/>
    <m/>
    <m/>
    <m/>
    <n v="69"/>
    <n v="0.93240000000000001"/>
    <n v="5"/>
    <d v="1899-12-30T00:00:23"/>
    <d v="1899-12-30T00:02:31"/>
    <d v="1899-12-30T00:04:48"/>
    <n v="0.7671"/>
    <n v="2.8941666666666666"/>
    <n v="173.65"/>
    <n v="0.6711111111111111"/>
    <n v="40.266666666666666"/>
    <n v="1"/>
    <n v="1"/>
    <n v="2"/>
    <n v="1"/>
    <m/>
    <m/>
    <m/>
    <m/>
    <n v="51.97288115359575"/>
    <n v="269.47179191334379"/>
    <s v="Training"/>
  </r>
  <r>
    <d v="2021-04-08T00:00:00"/>
    <x v="4"/>
    <n v="5"/>
    <n v="4"/>
    <x v="14"/>
    <x v="1"/>
    <n v="160"/>
    <m/>
    <m/>
    <m/>
    <m/>
    <n v="33"/>
    <n v="1"/>
    <n v="0"/>
    <d v="1899-12-30T00:00:14"/>
    <d v="1899-12-30T00:02:25"/>
    <d v="1899-12-30T00:01:29"/>
    <n v="0.81820000000000004"/>
    <n v="1.3291666666666666"/>
    <n v="79.75"/>
    <n v="6.4444444444444455"/>
    <n v="386.66666666666674"/>
    <n v="1"/>
    <n v="1.0069444444444446"/>
    <n v="1"/>
    <n v="1"/>
    <m/>
    <m/>
    <m/>
    <m/>
    <n v="49.599201599113243"/>
    <n v="266.34014016150672"/>
    <s v="Training"/>
  </r>
  <r>
    <d v="2021-04-09T00:00:00"/>
    <x v="5"/>
    <n v="6"/>
    <n v="4"/>
    <x v="14"/>
    <x v="1"/>
    <n v="190"/>
    <m/>
    <m/>
    <m/>
    <m/>
    <n v="112"/>
    <n v="0.9032"/>
    <n v="12"/>
    <d v="1899-12-30T00:00:26"/>
    <d v="1899-12-30T00:02:36"/>
    <d v="1899-12-30T00:05:30"/>
    <n v="0.64749999999999996"/>
    <n v="4.8533333333333335"/>
    <n v="291.2"/>
    <n v="8.2333333333333325"/>
    <n v="493.99999999999994"/>
    <n v="1"/>
    <n v="1.2864583333333333"/>
    <n v="2"/>
    <n v="1"/>
    <m/>
    <m/>
    <m/>
    <m/>
    <n v="44.489799095460228"/>
    <n v="259.83839715327201"/>
    <s v="Training"/>
  </r>
  <r>
    <d v="2021-04-10T00:00:00"/>
    <x v="6"/>
    <n v="7"/>
    <n v="4"/>
    <x v="14"/>
    <x v="1"/>
    <n v="155"/>
    <m/>
    <m/>
    <m/>
    <m/>
    <n v="126"/>
    <n v="0.96919999999999995"/>
    <n v="4"/>
    <d v="1899-12-30T00:00:25"/>
    <d v="1899-12-30T00:02:30"/>
    <d v="1899-12-30T00:02:58"/>
    <n v="0.65890000000000004"/>
    <n v="5.25"/>
    <n v="315"/>
    <n v="6.458333333333333"/>
    <n v="387.5"/>
    <n v="1"/>
    <n v="1.0091145833333333"/>
    <n v="2"/>
    <n v="1"/>
    <m/>
    <m/>
    <m/>
    <m/>
    <n v="50.405017600728797"/>
    <n v="272.48125830864069"/>
    <s v="Training"/>
  </r>
  <r>
    <d v="2021-04-11T00:00:00"/>
    <x v="0"/>
    <n v="1"/>
    <n v="4"/>
    <x v="15"/>
    <x v="1"/>
    <n v="169"/>
    <m/>
    <m/>
    <m/>
    <m/>
    <n v="139"/>
    <n v="1"/>
    <n v="0"/>
    <d v="1899-12-30T00:00:18"/>
    <d v="1899-12-30T00:02:40"/>
    <d v="1899-12-30T00:03:03"/>
    <n v="0.77539999999999998"/>
    <n v="6.177777777777778"/>
    <n v="370.66666666666669"/>
    <n v="7.511111111111112"/>
    <n v="450.66666666666674"/>
    <n v="1"/>
    <n v="1.1736111111111114"/>
    <n v="2"/>
    <n v="1"/>
    <m/>
    <m/>
    <m/>
    <m/>
    <n v="-41.894146237922207"/>
    <n v="189.02752197453859"/>
    <s v="Training"/>
  </r>
  <r>
    <d v="2021-04-12T00:00:00"/>
    <x v="1"/>
    <n v="2"/>
    <n v="4"/>
    <x v="15"/>
    <x v="1"/>
    <n v="310"/>
    <m/>
    <m/>
    <m/>
    <m/>
    <n v="130"/>
    <n v="0.94199999999999995"/>
    <n v="8"/>
    <d v="1899-12-30T00:00:26"/>
    <d v="1899-12-30T00:02:27"/>
    <d v="1899-12-30T00:01:52"/>
    <n v="0.61480000000000001"/>
    <n v="5.3083333333333336"/>
    <n v="318.5"/>
    <n v="12.658333333333333"/>
    <n v="759.5"/>
    <n v="1"/>
    <n v="1.9778645833333333"/>
    <n v="2"/>
    <n v="1"/>
    <m/>
    <m/>
    <m/>
    <m/>
    <n v="58.207646974726217"/>
    <n v="283.24393548995039"/>
    <s v="Training"/>
  </r>
  <r>
    <d v="2021-04-13T00:00:00"/>
    <x v="2"/>
    <n v="3"/>
    <n v="4"/>
    <x v="15"/>
    <x v="1"/>
    <n v="100"/>
    <m/>
    <m/>
    <m/>
    <m/>
    <n v="119"/>
    <n v="0.95199999999999996"/>
    <n v="6"/>
    <d v="1899-12-30T00:00:22"/>
    <d v="1899-12-30T00:02:29"/>
    <d v="1899-12-30T00:03:40"/>
    <n v="0.68"/>
    <n v="4.9252777777777776"/>
    <n v="295.51666666666665"/>
    <n v="4.1388888888888884"/>
    <n v="248.33333333333331"/>
    <n v="1"/>
    <n v="1"/>
    <n v="2"/>
    <n v="1"/>
    <m/>
    <m/>
    <m/>
    <m/>
    <n v="43.459559381130639"/>
    <n v="271.25380872451308"/>
    <s v="Training"/>
  </r>
  <r>
    <d v="2021-04-14T00:00:00"/>
    <x v="3"/>
    <n v="4"/>
    <n v="4"/>
    <x v="15"/>
    <x v="1"/>
    <n v="146"/>
    <m/>
    <m/>
    <m/>
    <m/>
    <n v="96"/>
    <n v="0.97960000000000003"/>
    <n v="2"/>
    <d v="1899-12-30T00:00:20"/>
    <d v="1899-12-30T00:02:36"/>
    <d v="1899-12-30T00:02:53"/>
    <n v="0.7732"/>
    <n v="4.16"/>
    <n v="249.60000000000002"/>
    <n v="6.3266666666666653"/>
    <n v="379.59999999999991"/>
    <n v="1"/>
    <n v="1"/>
    <n v="2"/>
    <n v="1"/>
    <m/>
    <m/>
    <m/>
    <m/>
    <n v="64.701287880454487"/>
    <n v="286.51080144284799"/>
    <s v="Training"/>
  </r>
  <r>
    <d v="2021-04-15T00:00:00"/>
    <x v="4"/>
    <n v="5"/>
    <n v="4"/>
    <x v="15"/>
    <x v="1"/>
    <n v="131"/>
    <m/>
    <m/>
    <m/>
    <m/>
    <n v="12"/>
    <n v="1"/>
    <n v="0"/>
    <d v="1899-12-30T00:00:18"/>
    <d v="1899-12-30T00:03:07"/>
    <d v="1899-12-30T00:01:36"/>
    <n v="0.83330000000000004"/>
    <n v="0.62333333333333329"/>
    <n v="37.4"/>
    <n v="6.8047222222222219"/>
    <n v="408.2833333333333"/>
    <n v="1"/>
    <n v="1.0632378472222221"/>
    <n v="1"/>
    <n v="1"/>
    <m/>
    <m/>
    <m/>
    <m/>
    <n v="60.843150768047508"/>
    <n v="273.74888285546967"/>
    <s v="Training"/>
  </r>
  <r>
    <d v="2021-04-16T00:00:00"/>
    <x v="5"/>
    <n v="6"/>
    <n v="4"/>
    <x v="15"/>
    <x v="1"/>
    <n v="107"/>
    <m/>
    <m/>
    <m/>
    <m/>
    <n v="117"/>
    <n v="0.98319999999999996"/>
    <n v="2"/>
    <d v="1899-12-30T00:00:18"/>
    <d v="1899-12-30T00:02:39"/>
    <d v="1899-12-30T00:02:43"/>
    <n v="0.78149999999999997"/>
    <n v="5.1675000000000004"/>
    <n v="310.05"/>
    <n v="4.7258333333333331"/>
    <n v="283.55"/>
    <n v="1"/>
    <n v="1"/>
    <n v="2"/>
    <n v="1"/>
    <m/>
    <m/>
    <m/>
    <m/>
    <n v="48.51099269228424"/>
    <n v="265.3765699839629"/>
    <s v="Training"/>
  </r>
  <r>
    <d v="2021-04-17T00:00:00"/>
    <x v="6"/>
    <n v="7"/>
    <n v="4"/>
    <x v="15"/>
    <x v="1"/>
    <n v="112"/>
    <m/>
    <m/>
    <m/>
    <m/>
    <n v="96"/>
    <n v="0.96"/>
    <n v="4"/>
    <d v="1899-12-30T00:00:21"/>
    <d v="1899-12-30T00:02:37"/>
    <d v="1899-12-30T00:02:45"/>
    <n v="0.76"/>
    <n v="4.1866666666666674"/>
    <n v="251.20000000000005"/>
    <n v="4.8844444444444441"/>
    <n v="293.06666666666666"/>
    <n v="1"/>
    <n v="1"/>
    <n v="2"/>
    <n v="1"/>
    <m/>
    <m/>
    <m/>
    <m/>
    <n v="65.189295516059204"/>
    <n v="282.80757911787799"/>
    <s v="Training"/>
  </r>
  <r>
    <d v="2021-04-18T00:00:00"/>
    <x v="0"/>
    <n v="1"/>
    <n v="4"/>
    <x v="16"/>
    <x v="1"/>
    <n v="21"/>
    <m/>
    <m/>
    <m/>
    <m/>
    <n v="133"/>
    <n v="0.91100000000000003"/>
    <n v="13"/>
    <d v="1899-12-30T00:00:31"/>
    <d v="1899-12-30T00:02:30"/>
    <d v="1899-12-30T00:03:40"/>
    <n v="0.57750000000000001"/>
    <n v="5.541666666666667"/>
    <n v="332.5"/>
    <n v="0.87499999999999989"/>
    <n v="52.499999999999993"/>
    <n v="1"/>
    <n v="1"/>
    <n v="2"/>
    <n v="1"/>
    <m/>
    <m/>
    <m/>
    <m/>
    <n v="-27.334943640822079"/>
    <n v="190.94855076094441"/>
    <s v="Training"/>
  </r>
  <r>
    <d v="2021-04-19T00:00:00"/>
    <x v="1"/>
    <n v="2"/>
    <n v="4"/>
    <x v="16"/>
    <x v="1"/>
    <n v="125"/>
    <m/>
    <m/>
    <m/>
    <m/>
    <n v="127"/>
    <n v="0.96950000000000003"/>
    <n v="4"/>
    <d v="1899-12-30T00:00:22"/>
    <d v="1899-12-30T00:02:25"/>
    <d v="1899-12-30T00:02:28"/>
    <n v="0.72660000000000002"/>
    <n v="5.115277777777778"/>
    <n v="306.91666666666669"/>
    <n v="5.0347222222222223"/>
    <n v="302.08333333333331"/>
    <n v="1"/>
    <n v="1"/>
    <n v="2"/>
    <n v="1"/>
    <m/>
    <m/>
    <m/>
    <m/>
    <n v="73.12392379813339"/>
    <n v="281.87592167790729"/>
    <s v="Training"/>
  </r>
  <r>
    <d v="2021-04-20T00:00:00"/>
    <x v="2"/>
    <n v="3"/>
    <n v="4"/>
    <x v="16"/>
    <x v="1"/>
    <n v="35"/>
    <m/>
    <m/>
    <m/>
    <m/>
    <n v="104"/>
    <n v="0.97199999999999998"/>
    <n v="3"/>
    <d v="1899-12-30T00:00:08"/>
    <d v="1899-12-30T00:02:27"/>
    <d v="1899-12-30T00:01:36"/>
    <n v="0.92449999999999999"/>
    <n v="4.2466666666666661"/>
    <n v="254.79999999999995"/>
    <n v="1.4291666666666667"/>
    <n v="85.75"/>
    <n v="1"/>
    <n v="1"/>
    <n v="2"/>
    <n v="1"/>
    <m/>
    <m/>
    <m/>
    <m/>
    <n v="48.007815418952219"/>
    <n v="268.73770129286549"/>
    <s v="Training"/>
  </r>
  <r>
    <d v="2021-04-21T00:00:00"/>
    <x v="3"/>
    <n v="4"/>
    <n v="4"/>
    <x v="16"/>
    <x v="1"/>
    <n v="121"/>
    <m/>
    <m/>
    <m/>
    <m/>
    <n v="105"/>
    <n v="0.9375"/>
    <n v="7"/>
    <d v="1899-12-30T00:00:24"/>
    <d v="1899-12-30T00:02:38"/>
    <d v="1899-12-30T00:04:28"/>
    <n v="0.67269999999999996"/>
    <n v="4.6083333333333334"/>
    <n v="276.5"/>
    <n v="5.3105555555555553"/>
    <n v="318.63333333333333"/>
    <n v="1"/>
    <n v="1"/>
    <n v="2"/>
    <n v="1"/>
    <m/>
    <m/>
    <m/>
    <m/>
    <n v="64.139920893014519"/>
    <n v="286.64478847219499"/>
    <s v="Training"/>
  </r>
  <r>
    <d v="2021-04-22T00:00:00"/>
    <x v="4"/>
    <n v="5"/>
    <n v="4"/>
    <x v="16"/>
    <x v="1"/>
    <n v="135"/>
    <m/>
    <m/>
    <m/>
    <m/>
    <n v="21"/>
    <n v="1"/>
    <n v="0"/>
    <d v="1899-12-30T00:00:32"/>
    <d v="1899-12-30T00:02:31"/>
    <d v="1899-12-30T00:01:25"/>
    <n v="0.52380000000000004"/>
    <n v="0.88083333333333336"/>
    <n v="52.85"/>
    <n v="5.6624999999999996"/>
    <n v="339.75"/>
    <n v="1"/>
    <n v="1"/>
    <n v="1"/>
    <n v="1"/>
    <m/>
    <m/>
    <m/>
    <m/>
    <n v="67.441401371014308"/>
    <n v="282.96385586296248"/>
    <s v="Training"/>
  </r>
  <r>
    <d v="2021-04-23T00:00:00"/>
    <x v="5"/>
    <n v="6"/>
    <n v="4"/>
    <x v="16"/>
    <x v="1"/>
    <n v="117"/>
    <m/>
    <m/>
    <m/>
    <m/>
    <n v="104"/>
    <n v="0.83199999999999996"/>
    <n v="21"/>
    <d v="1899-12-30T00:00:37"/>
    <d v="1899-12-30T00:02:44"/>
    <d v="1899-12-30T00:02:45"/>
    <n v="0.44629999999999997"/>
    <n v="4.7377777777777776"/>
    <n v="284.26666666666665"/>
    <n v="5.33"/>
    <n v="319.8"/>
    <n v="1"/>
    <n v="1"/>
    <n v="2"/>
    <n v="1"/>
    <m/>
    <m/>
    <m/>
    <m/>
    <n v="48.933697135737702"/>
    <n v="266.53923192805308"/>
    <s v="Training"/>
  </r>
  <r>
    <d v="2021-04-24T00:00:00"/>
    <x v="6"/>
    <n v="7"/>
    <n v="4"/>
    <x v="16"/>
    <x v="1"/>
    <n v="114"/>
    <m/>
    <m/>
    <m/>
    <m/>
    <n v="34"/>
    <n v="0.97140000000000004"/>
    <n v="1"/>
    <d v="1899-12-30T00:00:24"/>
    <d v="1899-12-30T00:02:12"/>
    <d v="1899-12-30T00:02:16"/>
    <n v="0.7429"/>
    <n v="1.2466666666666666"/>
    <n v="74.8"/>
    <n v="4.18"/>
    <n v="250.79999999999998"/>
    <n v="1"/>
    <n v="1"/>
    <n v="2"/>
    <n v="1"/>
    <m/>
    <m/>
    <m/>
    <m/>
    <n v="62.968944306679951"/>
    <n v="280.94833114749161"/>
    <s v="Training"/>
  </r>
  <r>
    <d v="2021-04-25T00:00:00"/>
    <x v="0"/>
    <n v="1"/>
    <n v="4"/>
    <x v="17"/>
    <x v="1"/>
    <n v="50"/>
    <m/>
    <m/>
    <m/>
    <m/>
    <n v="109"/>
    <n v="0.90080000000000005"/>
    <n v="12"/>
    <d v="1899-12-30T00:00:38"/>
    <d v="1899-12-30T00:02:32"/>
    <d v="1899-12-30T00:05:21"/>
    <n v="0.53779999999999994"/>
    <n v="4.6022222222222222"/>
    <n v="276.13333333333333"/>
    <n v="2.1111111111111112"/>
    <n v="126.66666666666667"/>
    <n v="1"/>
    <n v="1"/>
    <n v="2"/>
    <n v="1"/>
    <m/>
    <m/>
    <m/>
    <m/>
    <n v="-26.45059587483367"/>
    <n v="195.0596501929561"/>
    <s v="Training"/>
  </r>
  <r>
    <d v="2021-04-26T00:00:00"/>
    <x v="1"/>
    <n v="2"/>
    <n v="4"/>
    <x v="17"/>
    <x v="1"/>
    <n v="207"/>
    <m/>
    <m/>
    <m/>
    <m/>
    <n v="122"/>
    <n v="0.90369999999999995"/>
    <n v="13"/>
    <d v="1899-12-30T00:00:32"/>
    <d v="1899-12-30T00:02:34"/>
    <d v="1899-12-30T00:03:08"/>
    <n v="0.57579999999999998"/>
    <n v="5.2188888888888885"/>
    <n v="313.13333333333333"/>
    <n v="8.8550000000000004"/>
    <n v="531.30000000000007"/>
    <n v="1"/>
    <n v="1.3835937500000002"/>
    <n v="2"/>
    <n v="1"/>
    <m/>
    <m/>
    <m/>
    <m/>
    <n v="71.363913966584335"/>
    <n v="290.79721067042459"/>
    <s v="Training"/>
  </r>
  <r>
    <d v="2021-04-27T00:00:00"/>
    <x v="2"/>
    <n v="3"/>
    <n v="4"/>
    <x v="17"/>
    <x v="1"/>
    <n v="189"/>
    <m/>
    <m/>
    <m/>
    <m/>
    <n v="114"/>
    <n v="0.97440000000000004"/>
    <n v="3"/>
    <d v="1899-12-30T00:00:22"/>
    <d v="1899-12-30T00:02:38"/>
    <d v="1899-12-30T00:02:27"/>
    <n v="0.75860000000000005"/>
    <n v="5.003333333333333"/>
    <n v="300.2"/>
    <n v="8.2949999999999999"/>
    <n v="497.7"/>
    <n v="1"/>
    <n v="1.29609375"/>
    <n v="2"/>
    <n v="1"/>
    <m/>
    <m/>
    <m/>
    <m/>
    <n v="47.267534956366767"/>
    <n v="272.05755926295438"/>
    <s v="Training"/>
  </r>
  <r>
    <d v="2021-04-28T00:00:00"/>
    <x v="3"/>
    <n v="4"/>
    <n v="4"/>
    <x v="17"/>
    <x v="1"/>
    <n v="162"/>
    <m/>
    <m/>
    <m/>
    <m/>
    <n v="97"/>
    <n v="0.85089999999999999"/>
    <n v="17"/>
    <d v="1899-12-30T00:00:39"/>
    <d v="1899-12-30T00:02:50"/>
    <d v="1899-12-30T00:08:16"/>
    <n v="0.45129999999999998"/>
    <n v="4.5805555555555548"/>
    <n v="274.83333333333331"/>
    <n v="7.6499999999999986"/>
    <n v="458.99999999999989"/>
    <n v="1"/>
    <n v="1.1953124999999998"/>
    <n v="2"/>
    <n v="1"/>
    <m/>
    <m/>
    <m/>
    <m/>
    <n v="71.522977323163488"/>
    <n v="283.53590862698462"/>
    <s v="Training"/>
  </r>
  <r>
    <d v="2021-04-29T00:00:00"/>
    <x v="4"/>
    <n v="5"/>
    <n v="4"/>
    <x v="17"/>
    <x v="1"/>
    <n v="177"/>
    <m/>
    <m/>
    <m/>
    <m/>
    <n v="49"/>
    <n v="0.98"/>
    <n v="1"/>
    <d v="1899-12-30T00:00:35"/>
    <d v="1899-12-30T00:02:55"/>
    <d v="1899-12-30T00:02:22"/>
    <n v="0.52"/>
    <n v="2.3819444444444446"/>
    <n v="142.91666666666669"/>
    <n v="8.6041666666666661"/>
    <n v="516.25"/>
    <n v="1"/>
    <n v="1.3444010416666667"/>
    <n v="1"/>
    <n v="1"/>
    <m/>
    <m/>
    <m/>
    <m/>
    <n v="61.478541487342191"/>
    <n v="274.42038939357639"/>
    <s v="Training"/>
  </r>
  <r>
    <d v="2021-04-30T00:00:00"/>
    <x v="5"/>
    <n v="6"/>
    <n v="4"/>
    <x v="17"/>
    <x v="1"/>
    <n v="177"/>
    <m/>
    <m/>
    <m/>
    <m/>
    <n v="198"/>
    <n v="0.95650000000000002"/>
    <n v="9"/>
    <d v="1899-12-30T00:00:16"/>
    <d v="1899-12-30T00:02:43"/>
    <d v="1899-12-30T00:03:51"/>
    <n v="0.80489999999999995"/>
    <n v="8.9649999999999999"/>
    <n v="537.9"/>
    <n v="8.0141666666666662"/>
    <n v="480.84999999999997"/>
    <n v="1.4"/>
    <n v="1.2522135416666667"/>
    <n v="2"/>
    <n v="2"/>
    <m/>
    <m/>
    <m/>
    <m/>
    <n v="50.579522601024323"/>
    <n v="272.2075139875372"/>
    <s v="Training"/>
  </r>
  <r>
    <d v="2021-05-01T00:00:00"/>
    <x v="6"/>
    <n v="7"/>
    <n v="5"/>
    <x v="17"/>
    <x v="1"/>
    <n v="162"/>
    <m/>
    <m/>
    <m/>
    <m/>
    <n v="183"/>
    <n v="0.96830000000000005"/>
    <n v="6"/>
    <d v="1899-12-30T00:00:21"/>
    <d v="1899-12-30T00:02:31"/>
    <d v="1899-12-30T00:03:58"/>
    <n v="0.7419"/>
    <n v="7.6758333333333342"/>
    <n v="460.55000000000007"/>
    <n v="6.7949999999999999"/>
    <n v="407.7"/>
    <n v="1.2"/>
    <n v="1.06171875"/>
    <n v="2"/>
    <n v="2"/>
    <m/>
    <m/>
    <m/>
    <m/>
    <n v="56.026880180307373"/>
    <n v="278.32486216008527"/>
    <s v="Training"/>
  </r>
  <r>
    <d v="2021-05-02T00:00:00"/>
    <x v="0"/>
    <n v="1"/>
    <n v="5"/>
    <x v="18"/>
    <x v="1"/>
    <n v="133"/>
    <m/>
    <m/>
    <m/>
    <m/>
    <n v="156"/>
    <n v="0.96299999999999997"/>
    <n v="6"/>
    <d v="1899-12-30T00:00:24"/>
    <d v="1899-12-30T00:02:22"/>
    <d v="1899-12-30T00:02:08"/>
    <n v="0.66459999999999997"/>
    <n v="6.1533333333333333"/>
    <n v="369.2"/>
    <n v="5.2461111111111114"/>
    <n v="314.76666666666671"/>
    <n v="1"/>
    <n v="1"/>
    <n v="2"/>
    <n v="1"/>
    <m/>
    <m/>
    <m/>
    <m/>
    <n v="-29.968771225106629"/>
    <n v="187.23804496074811"/>
    <s v="Training"/>
  </r>
  <r>
    <d v="2021-05-03T00:00:00"/>
    <x v="1"/>
    <n v="2"/>
    <n v="5"/>
    <x v="18"/>
    <x v="1"/>
    <n v="138"/>
    <m/>
    <m/>
    <m/>
    <m/>
    <n v="165"/>
    <n v="0.93220000000000003"/>
    <n v="12"/>
    <d v="1899-12-30T00:00:26"/>
    <d v="1899-12-30T00:02:31"/>
    <d v="1899-12-30T00:03:50"/>
    <n v="0.66469999999999996"/>
    <n v="6.9208333333333334"/>
    <n v="415.25"/>
    <n v="5.7883333333333331"/>
    <n v="347.3"/>
    <n v="1.08"/>
    <n v="1"/>
    <n v="2"/>
    <n v="2"/>
    <m/>
    <m/>
    <m/>
    <m/>
    <n v="67.967101992779121"/>
    <n v="280.66779819627982"/>
    <s v="Training"/>
  </r>
  <r>
    <d v="2021-05-04T00:00:00"/>
    <x v="2"/>
    <n v="3"/>
    <n v="5"/>
    <x v="18"/>
    <x v="1"/>
    <n v="124"/>
    <m/>
    <m/>
    <m/>
    <m/>
    <n v="167"/>
    <n v="0.94350000000000001"/>
    <n v="10"/>
    <d v="1899-12-30T00:00:23"/>
    <d v="1899-12-30T00:02:35"/>
    <d v="1899-12-30T00:02:45"/>
    <n v="0.68969999999999998"/>
    <n v="7.1902777777777782"/>
    <n v="431.41666666666669"/>
    <n v="5.3388888888888886"/>
    <n v="320.33333333333331"/>
    <n v="1.1200000000000001"/>
    <n v="1"/>
    <n v="2"/>
    <n v="2"/>
    <m/>
    <m/>
    <m/>
    <m/>
    <n v="49.008330490032449"/>
    <n v="273.31474369835712"/>
    <s v="Training"/>
  </r>
  <r>
    <d v="2021-05-05T00:00:00"/>
    <x v="3"/>
    <n v="4"/>
    <n v="5"/>
    <x v="18"/>
    <x v="1"/>
    <n v="132"/>
    <m/>
    <m/>
    <m/>
    <m/>
    <n v="134"/>
    <n v="0.82210000000000005"/>
    <n v="29"/>
    <d v="1899-12-30T00:00:38"/>
    <d v="1899-12-30T00:02:42"/>
    <d v="1899-12-30T00:07:16"/>
    <n v="0.47199999999999998"/>
    <n v="6.0299999999999994"/>
    <n v="361.79999999999995"/>
    <n v="5.94"/>
    <n v="356.40000000000003"/>
    <n v="1"/>
    <n v="1"/>
    <n v="2"/>
    <n v="1"/>
    <m/>
    <m/>
    <m/>
    <m/>
    <n v="56.164832971028133"/>
    <n v="296.08280399848007"/>
    <s v="Training"/>
  </r>
  <r>
    <d v="2021-05-06T00:00:00"/>
    <x v="4"/>
    <n v="5"/>
    <n v="5"/>
    <x v="18"/>
    <x v="1"/>
    <n v="53"/>
    <m/>
    <m/>
    <m/>
    <m/>
    <n v="20"/>
    <n v="0.83330000000000004"/>
    <n v="4"/>
    <d v="1899-12-30T00:00:26"/>
    <d v="1899-12-30T00:03:23"/>
    <d v="1899-12-30T00:02:16"/>
    <n v="0.6522"/>
    <n v="1.1277777777777778"/>
    <n v="67.666666666666671"/>
    <n v="2.9886111111111111"/>
    <n v="179.31666666666666"/>
    <n v="1"/>
    <n v="1"/>
    <n v="1"/>
    <n v="1"/>
    <m/>
    <m/>
    <m/>
    <m/>
    <n v="59.476732545002569"/>
    <n v="279.94424838467012"/>
    <s v="Training"/>
  </r>
  <r>
    <d v="2021-05-07T00:00:00"/>
    <x v="5"/>
    <n v="6"/>
    <n v="5"/>
    <x v="18"/>
    <x v="1"/>
    <n v="135"/>
    <m/>
    <m/>
    <m/>
    <m/>
    <n v="139"/>
    <n v="0.95209999999999995"/>
    <n v="7"/>
    <d v="1899-12-30T00:00:18"/>
    <d v="1899-12-30T00:02:34"/>
    <d v="1899-12-30T00:06:21"/>
    <n v="0.75860000000000005"/>
    <n v="5.9461111111111107"/>
    <n v="356.76666666666665"/>
    <n v="5.7750000000000004"/>
    <n v="346.5"/>
    <n v="1"/>
    <n v="1"/>
    <n v="2"/>
    <n v="1"/>
    <m/>
    <m/>
    <m/>
    <m/>
    <n v="45.30039338134884"/>
    <n v="273.43155387217041"/>
    <s v="Training"/>
  </r>
  <r>
    <d v="2021-05-08T00:00:00"/>
    <x v="6"/>
    <n v="7"/>
    <n v="5"/>
    <x v="18"/>
    <x v="1"/>
    <n v="174"/>
    <m/>
    <m/>
    <m/>
    <m/>
    <n v="141"/>
    <n v="0.98599999999999999"/>
    <n v="2"/>
    <d v="1899-12-30T00:00:22"/>
    <d v="1899-12-30T00:02:45"/>
    <d v="1899-12-30T00:02:45"/>
    <n v="0.72030000000000005"/>
    <n v="6.4625000000000004"/>
    <n v="387.75"/>
    <n v="7.9749999999999996"/>
    <n v="478.5"/>
    <n v="1.01"/>
    <n v="1.24609375"/>
    <n v="2"/>
    <n v="2"/>
    <m/>
    <m/>
    <m/>
    <m/>
    <n v="52.30053279944579"/>
    <n v="272.57691489583482"/>
    <s v="Training"/>
  </r>
  <r>
    <d v="2021-05-09T00:00:00"/>
    <x v="0"/>
    <n v="1"/>
    <n v="5"/>
    <x v="19"/>
    <x v="1"/>
    <n v="25"/>
    <m/>
    <m/>
    <m/>
    <m/>
    <n v="122"/>
    <n v="0.92420000000000002"/>
    <n v="10"/>
    <d v="1899-12-30T00:00:31"/>
    <d v="1899-12-30T00:02:28"/>
    <d v="1899-12-30T00:04:36"/>
    <n v="0.56489999999999996"/>
    <n v="5.0155555555555553"/>
    <n v="300.93333333333334"/>
    <n v="1.0277777777777779"/>
    <n v="61.666666666666671"/>
    <n v="1"/>
    <n v="1"/>
    <n v="2"/>
    <n v="1"/>
    <m/>
    <m/>
    <m/>
    <m/>
    <n v="-37.653011219407112"/>
    <n v="181.40493261008609"/>
    <s v="Training"/>
  </r>
  <r>
    <d v="2021-05-10T00:00:00"/>
    <x v="1"/>
    <n v="2"/>
    <n v="5"/>
    <x v="19"/>
    <x v="1"/>
    <n v="116"/>
    <m/>
    <m/>
    <m/>
    <m/>
    <n v="130"/>
    <n v="0.94889999999999997"/>
    <n v="7"/>
    <d v="1899-12-30T00:00:26"/>
    <d v="1899-12-30T00:02:25"/>
    <d v="1899-12-30T00:02:06"/>
    <n v="0.64439999999999997"/>
    <n v="5.2361111111111107"/>
    <n v="314.16666666666663"/>
    <n v="4.6722222222222225"/>
    <n v="280.33333333333337"/>
    <n v="1"/>
    <n v="1"/>
    <n v="2"/>
    <n v="1"/>
    <m/>
    <m/>
    <m/>
    <m/>
    <n v="64.327987969692842"/>
    <n v="280.33342136725889"/>
    <s v="Training"/>
  </r>
  <r>
    <d v="2021-05-11T00:00:00"/>
    <x v="2"/>
    <n v="3"/>
    <n v="5"/>
    <x v="19"/>
    <x v="1"/>
    <n v="52"/>
    <m/>
    <m/>
    <m/>
    <m/>
    <n v="104"/>
    <n v="0.92859999999999998"/>
    <n v="8"/>
    <d v="1899-12-30T00:00:43"/>
    <d v="1899-12-30T00:02:37"/>
    <d v="1899-12-30T00:04:07"/>
    <n v="0.40910000000000002"/>
    <n v="4.5355555555555558"/>
    <n v="272.13333333333333"/>
    <n v="2.2677777777777779"/>
    <n v="136.06666666666666"/>
    <n v="1"/>
    <n v="1"/>
    <n v="2"/>
    <n v="1"/>
    <m/>
    <m/>
    <m/>
    <m/>
    <n v="46.134924420603213"/>
    <n v="271.04020307726898"/>
    <s v="Training"/>
  </r>
  <r>
    <d v="2021-05-12T00:00:00"/>
    <x v="3"/>
    <n v="4"/>
    <n v="5"/>
    <x v="19"/>
    <x v="1"/>
    <n v="102"/>
    <m/>
    <m/>
    <m/>
    <m/>
    <n v="91"/>
    <n v="0.82730000000000004"/>
    <n v="19"/>
    <d v="1899-12-30T00:00:50"/>
    <d v="1899-12-30T00:02:38"/>
    <d v="1899-12-30T00:05:12"/>
    <n v="0.36699999999999999"/>
    <n v="3.9938888888888884"/>
    <n v="239.6333333333333"/>
    <n v="4.4766666666666666"/>
    <n v="268.60000000000002"/>
    <n v="1"/>
    <n v="1"/>
    <n v="2"/>
    <n v="1"/>
    <m/>
    <m/>
    <m/>
    <m/>
    <n v="61.137500899840639"/>
    <n v="287.10794900144441"/>
    <s v="Training"/>
  </r>
  <r>
    <d v="2021-05-13T00:00:00"/>
    <x v="4"/>
    <n v="5"/>
    <n v="5"/>
    <x v="19"/>
    <x v="1"/>
    <n v="144"/>
    <m/>
    <m/>
    <m/>
    <m/>
    <n v="22"/>
    <n v="0.91669999999999996"/>
    <n v="2"/>
    <d v="1899-12-30T00:00:32"/>
    <d v="1899-12-30T00:02:14"/>
    <d v="1899-12-30T00:04:46"/>
    <n v="0.58330000000000004"/>
    <n v="0.81888888888888889"/>
    <n v="49.133333333333333"/>
    <n v="5.36"/>
    <n v="321.60000000000002"/>
    <n v="1"/>
    <n v="1"/>
    <n v="1"/>
    <n v="1"/>
    <m/>
    <m/>
    <m/>
    <m/>
    <n v="55.656205876660188"/>
    <n v="275.04952417037191"/>
    <s v="Training"/>
  </r>
  <r>
    <d v="2021-05-14T00:00:00"/>
    <x v="5"/>
    <n v="6"/>
    <n v="5"/>
    <x v="19"/>
    <x v="1"/>
    <n v="110"/>
    <m/>
    <m/>
    <m/>
    <m/>
    <n v="154"/>
    <n v="0.91669999999999996"/>
    <n v="14"/>
    <d v="1899-12-30T00:00:36"/>
    <d v="1899-12-30T00:02:44"/>
    <d v="1899-12-30T00:03:52"/>
    <n v="0.49399999999999999"/>
    <n v="7.0155555555555553"/>
    <n v="420.93333333333334"/>
    <n v="5.0111111111111111"/>
    <n v="300.66666666666669"/>
    <n v="1.1000000000000001"/>
    <n v="1"/>
    <n v="2"/>
    <n v="2"/>
    <m/>
    <m/>
    <m/>
    <m/>
    <n v="48.32454012541001"/>
    <n v="268.05690367558418"/>
    <s v="Training"/>
  </r>
  <r>
    <d v="2021-05-15T00:00:00"/>
    <x v="6"/>
    <n v="7"/>
    <n v="5"/>
    <x v="19"/>
    <x v="1"/>
    <n v="126"/>
    <m/>
    <m/>
    <m/>
    <m/>
    <n v="116"/>
    <n v="0.79449999999999998"/>
    <n v="30"/>
    <d v="1899-12-30T00:00:42"/>
    <d v="1899-12-30T00:02:28"/>
    <d v="1899-12-30T00:15:00"/>
    <n v="0.54930000000000001"/>
    <n v="4.7688888888888892"/>
    <n v="286.13333333333333"/>
    <n v="5.18"/>
    <n v="310.79999999999995"/>
    <n v="1"/>
    <n v="1"/>
    <n v="2"/>
    <n v="1"/>
    <m/>
    <m/>
    <m/>
    <m/>
    <n v="55.119783590811011"/>
    <n v="275.57550407518818"/>
    <s v="Training"/>
  </r>
  <r>
    <d v="2021-05-16T00:00:00"/>
    <x v="0"/>
    <n v="1"/>
    <n v="5"/>
    <x v="20"/>
    <x v="1"/>
    <n v="24"/>
    <m/>
    <m/>
    <m/>
    <m/>
    <n v="95"/>
    <n v="0.95"/>
    <n v="5"/>
    <d v="1899-12-30T00:00:31"/>
    <d v="1899-12-30T00:02:38"/>
    <d v="1899-12-30T00:02:53"/>
    <n v="0.56999999999999995"/>
    <n v="4.1694444444444443"/>
    <n v="250.16666666666666"/>
    <n v="1.0533333333333332"/>
    <n v="63.199999999999996"/>
    <n v="1"/>
    <n v="1"/>
    <n v="2"/>
    <n v="1"/>
    <m/>
    <m/>
    <m/>
    <m/>
    <n v="-37.357102034515037"/>
    <n v="182.9116762755263"/>
    <s v="Training"/>
  </r>
  <r>
    <d v="2021-05-17T00:00:00"/>
    <x v="1"/>
    <n v="2"/>
    <n v="5"/>
    <x v="20"/>
    <x v="1"/>
    <n v="128"/>
    <m/>
    <m/>
    <m/>
    <m/>
    <n v="131"/>
    <n v="0.90969999999999995"/>
    <n v="13"/>
    <d v="1899-12-30T00:00:26"/>
    <d v="1899-12-30T00:02:27"/>
    <d v="1899-12-30T00:02:37"/>
    <n v="0.63570000000000004"/>
    <n v="5.3491666666666671"/>
    <n v="320.95000000000005"/>
    <n v="5.2266666666666666"/>
    <n v="313.60000000000002"/>
    <n v="1"/>
    <n v="1"/>
    <n v="2"/>
    <n v="1"/>
    <m/>
    <m/>
    <m/>
    <m/>
    <n v="64.1185897696148"/>
    <n v="277.03170458781841"/>
    <s v="Training"/>
  </r>
  <r>
    <d v="2021-05-18T00:00:00"/>
    <x v="2"/>
    <n v="3"/>
    <n v="5"/>
    <x v="20"/>
    <x v="1"/>
    <n v="185"/>
    <m/>
    <m/>
    <m/>
    <m/>
    <n v="104"/>
    <n v="0.94550000000000001"/>
    <n v="6"/>
    <d v="1899-12-30T00:00:24"/>
    <d v="1899-12-30T00:02:26"/>
    <d v="1899-12-30T00:02:22"/>
    <n v="0.64219999999999999"/>
    <n v="4.2177777777777772"/>
    <n v="253.06666666666663"/>
    <n v="7.5027777777777782"/>
    <n v="450.16666666666669"/>
    <n v="1"/>
    <n v="1.1723090277777779"/>
    <n v="2"/>
    <n v="1"/>
    <m/>
    <m/>
    <m/>
    <m/>
    <n v="45.022215904206767"/>
    <n v="262.18782266110071"/>
    <s v="Training"/>
  </r>
  <r>
    <d v="2021-05-19T00:00:00"/>
    <x v="3"/>
    <n v="4"/>
    <n v="5"/>
    <x v="20"/>
    <x v="1"/>
    <n v="136"/>
    <m/>
    <m/>
    <m/>
    <m/>
    <n v="111"/>
    <n v="0.88100000000000001"/>
    <n v="15"/>
    <d v="1899-12-30T00:00:31"/>
    <d v="1899-12-30T00:02:38"/>
    <d v="1899-12-30T00:04:36"/>
    <n v="0.52800000000000002"/>
    <n v="4.871666666666667"/>
    <n v="292.3"/>
    <n v="5.9688888888888885"/>
    <n v="358.13333333333333"/>
    <n v="1"/>
    <n v="1"/>
    <n v="2"/>
    <n v="1"/>
    <m/>
    <m/>
    <m/>
    <m/>
    <n v="61.748334165226602"/>
    <n v="282.73331673323838"/>
    <s v="Training"/>
  </r>
  <r>
    <d v="2021-05-20T00:00:00"/>
    <x v="4"/>
    <n v="5"/>
    <n v="5"/>
    <x v="20"/>
    <x v="1"/>
    <n v="130"/>
    <m/>
    <m/>
    <m/>
    <m/>
    <n v="24"/>
    <n v="1"/>
    <n v="0"/>
    <d v="1899-12-30T00:00:48"/>
    <d v="1899-12-30T00:02:54"/>
    <d v="1899-12-30T00:04:44"/>
    <n v="0.41670000000000001"/>
    <n v="1.1599999999999999"/>
    <n v="69.599999999999994"/>
    <n v="6.2833333333333332"/>
    <n v="377"/>
    <n v="1"/>
    <n v="1"/>
    <n v="1"/>
    <n v="1"/>
    <m/>
    <m/>
    <m/>
    <m/>
    <n v="52.766979922382738"/>
    <n v="274.19202489268793"/>
    <s v="Training"/>
  </r>
  <r>
    <d v="2021-05-21T00:00:00"/>
    <x v="5"/>
    <n v="6"/>
    <n v="5"/>
    <x v="20"/>
    <x v="1"/>
    <n v="103"/>
    <m/>
    <m/>
    <m/>
    <m/>
    <n v="122"/>
    <n v="0.95309999999999995"/>
    <n v="6"/>
    <d v="1899-12-30T00:00:35"/>
    <d v="1899-12-30T00:02:59"/>
    <d v="1899-12-30T00:02:42"/>
    <n v="0.51559999999999995"/>
    <n v="6.0661111111111108"/>
    <n v="363.96666666666664"/>
    <n v="5.1213888888888892"/>
    <n v="307.28333333333336"/>
    <n v="1"/>
    <n v="1"/>
    <n v="2"/>
    <n v="1"/>
    <m/>
    <m/>
    <m/>
    <m/>
    <n v="41.654057735414597"/>
    <n v="266.09381252937112"/>
    <s v="Training"/>
  </r>
  <r>
    <d v="2021-05-22T00:00:00"/>
    <x v="6"/>
    <n v="7"/>
    <n v="5"/>
    <x v="20"/>
    <x v="1"/>
    <n v="99"/>
    <m/>
    <m/>
    <m/>
    <m/>
    <n v="176"/>
    <n v="0.95140000000000002"/>
    <n v="9"/>
    <d v="1899-12-30T00:00:27"/>
    <d v="1899-12-30T00:02:23"/>
    <d v="1899-12-30T00:05:05"/>
    <n v="0.67930000000000001"/>
    <n v="6.9911111111111115"/>
    <n v="419.4666666666667"/>
    <n v="3.9325000000000001"/>
    <n v="235.95000000000002"/>
    <n v="1.0900000000000001"/>
    <n v="1"/>
    <n v="2"/>
    <n v="2"/>
    <m/>
    <m/>
    <m/>
    <m/>
    <n v="51.616357209160412"/>
    <n v="268.69687474275003"/>
    <s v="Training"/>
  </r>
  <r>
    <d v="2021-05-23T00:00:00"/>
    <x v="0"/>
    <n v="1"/>
    <n v="5"/>
    <x v="21"/>
    <x v="1"/>
    <n v="26"/>
    <m/>
    <m/>
    <m/>
    <m/>
    <n v="114"/>
    <n v="0.83819999999999995"/>
    <n v="22"/>
    <d v="1899-12-30T00:00:57"/>
    <d v="1899-12-30T00:02:25"/>
    <d v="1899-12-30T00:05:31"/>
    <n v="0.28789999999999999"/>
    <n v="4.5916666666666668"/>
    <n v="275.5"/>
    <n v="1.0472222222222223"/>
    <n v="62.833333333333336"/>
    <n v="1"/>
    <n v="1"/>
    <n v="2"/>
    <n v="1"/>
    <m/>
    <m/>
    <m/>
    <m/>
    <n v="-34.689437739918219"/>
    <n v="179.91474120081821"/>
    <s v="Training"/>
  </r>
  <r>
    <d v="2021-05-24T00:00:00"/>
    <x v="1"/>
    <n v="2"/>
    <n v="5"/>
    <x v="21"/>
    <x v="1"/>
    <n v="95"/>
    <m/>
    <m/>
    <m/>
    <m/>
    <n v="116"/>
    <n v="0.89229999999999998"/>
    <n v="14"/>
    <d v="1899-12-30T00:00:44"/>
    <d v="1899-12-30T00:02:41"/>
    <d v="1899-12-30T00:06:00"/>
    <n v="0.44440000000000002"/>
    <n v="5.1877777777777778"/>
    <n v="311.26666666666665"/>
    <n v="4.2486111111111109"/>
    <n v="254.91666666666666"/>
    <n v="1"/>
    <n v="1"/>
    <n v="2"/>
    <n v="1"/>
    <m/>
    <m/>
    <m/>
    <m/>
    <n v="63.87014688654795"/>
    <n v="277.53485607060497"/>
    <s v="Training"/>
  </r>
  <r>
    <d v="2021-05-25T00:00:00"/>
    <x v="2"/>
    <n v="3"/>
    <n v="5"/>
    <x v="21"/>
    <x v="1"/>
    <n v="136"/>
    <m/>
    <m/>
    <m/>
    <m/>
    <n v="101"/>
    <n v="0.98060000000000003"/>
    <n v="2"/>
    <d v="1899-12-30T00:00:18"/>
    <d v="1899-12-30T00:02:42"/>
    <d v="1899-12-30T00:02:23"/>
    <n v="0.77449999999999997"/>
    <n v="4.5449999999999999"/>
    <n v="272.7"/>
    <n v="6.12"/>
    <n v="367.2"/>
    <n v="1"/>
    <n v="1"/>
    <n v="2"/>
    <n v="1"/>
    <m/>
    <m/>
    <m/>
    <m/>
    <n v="47.747882462893919"/>
    <n v="263.91030376339609"/>
    <s v="Training"/>
  </r>
  <r>
    <d v="2021-05-26T00:00:00"/>
    <x v="3"/>
    <n v="4"/>
    <n v="5"/>
    <x v="21"/>
    <x v="1"/>
    <n v="37"/>
    <m/>
    <m/>
    <m/>
    <m/>
    <n v="89"/>
    <n v="0.89900000000000002"/>
    <n v="10"/>
    <d v="1899-12-30T00:00:20"/>
    <d v="1899-12-30T00:02:27"/>
    <d v="1899-12-30T00:01:30"/>
    <n v="0.73680000000000001"/>
    <n v="3.6341666666666668"/>
    <n v="218.05"/>
    <n v="1.5108333333333333"/>
    <n v="90.649999999999991"/>
    <n v="1"/>
    <n v="1"/>
    <n v="2"/>
    <n v="1"/>
    <m/>
    <m/>
    <m/>
    <m/>
    <n v="52.723686734690482"/>
    <n v="268.33688253554521"/>
    <s v="Training"/>
  </r>
  <r>
    <d v="2021-05-27T00:00:00"/>
    <x v="4"/>
    <n v="5"/>
    <n v="5"/>
    <x v="21"/>
    <x v="1"/>
    <n v="105"/>
    <m/>
    <m/>
    <m/>
    <m/>
    <n v="24"/>
    <n v="0.92310000000000003"/>
    <n v="2"/>
    <d v="1899-12-30T00:00:23"/>
    <d v="1899-12-30T00:02:00"/>
    <d v="1899-12-30T00:01:53"/>
    <n v="0.68"/>
    <n v="0.8"/>
    <n v="48"/>
    <n v="3.5"/>
    <n v="210"/>
    <n v="1"/>
    <n v="1"/>
    <n v="1"/>
    <n v="1"/>
    <m/>
    <m/>
    <m/>
    <m/>
    <n v="43.971016106902283"/>
    <n v="268.39138147819608"/>
    <s v="Training"/>
  </r>
  <r>
    <d v="2021-05-28T00:00:00"/>
    <x v="5"/>
    <n v="6"/>
    <n v="5"/>
    <x v="21"/>
    <x v="1"/>
    <n v="100"/>
    <m/>
    <m/>
    <m/>
    <m/>
    <n v="94"/>
    <n v="0.98950000000000005"/>
    <n v="1"/>
    <d v="1899-12-30T00:00:21"/>
    <d v="1899-12-30T00:02:31"/>
    <d v="1899-12-30T00:03:34"/>
    <n v="0.75529999999999997"/>
    <n v="3.9427777777777777"/>
    <n v="236.56666666666666"/>
    <n v="4.1944444444444446"/>
    <n v="251.66666666666669"/>
    <n v="1"/>
    <n v="1"/>
    <n v="2"/>
    <n v="1"/>
    <m/>
    <m/>
    <m/>
    <m/>
    <n v="44.874675677187142"/>
    <n v="250.59602088157939"/>
    <s v="Training"/>
  </r>
  <r>
    <d v="2021-05-29T00:00:00"/>
    <x v="6"/>
    <n v="7"/>
    <n v="5"/>
    <x v="21"/>
    <x v="1"/>
    <n v="115"/>
    <m/>
    <m/>
    <m/>
    <m/>
    <n v="131"/>
    <n v="0.96319999999999995"/>
    <n v="5"/>
    <d v="1899-12-30T00:00:17"/>
    <d v="1899-12-30T00:02:29"/>
    <d v="1899-12-30T00:02:21"/>
    <n v="0.81059999999999999"/>
    <n v="5.4219444444444447"/>
    <n v="325.31666666666666"/>
    <n v="4.759722222222222"/>
    <n v="285.58333333333331"/>
    <n v="1"/>
    <n v="1"/>
    <n v="2"/>
    <n v="1"/>
    <m/>
    <m/>
    <m/>
    <m/>
    <n v="33.491672091410258"/>
    <n v="261.86603027671117"/>
    <s v="Training"/>
  </r>
  <r>
    <d v="2021-05-30T00:00:00"/>
    <x v="0"/>
    <n v="1"/>
    <n v="5"/>
    <x v="22"/>
    <x v="1"/>
    <n v="38"/>
    <m/>
    <m/>
    <m/>
    <m/>
    <n v="34"/>
    <n v="0.91890000000000005"/>
    <n v="3"/>
    <d v="1899-12-30T00:00:41"/>
    <d v="1899-12-30T00:02:11"/>
    <d v="1899-12-30T00:05:46"/>
    <n v="0.64859999999999995"/>
    <n v="1.2372222222222222"/>
    <n v="74.233333333333334"/>
    <n v="1.3827777777777779"/>
    <n v="82.966666666666669"/>
    <n v="1"/>
    <n v="1"/>
    <n v="2"/>
    <n v="1"/>
    <m/>
    <m/>
    <m/>
    <m/>
    <n v="-52.907608929695407"/>
    <n v="172.35533715907499"/>
    <s v="Training"/>
  </r>
  <r>
    <d v="2021-05-31T00:00:00"/>
    <x v="1"/>
    <n v="2"/>
    <n v="5"/>
    <x v="22"/>
    <x v="1"/>
    <n v="108"/>
    <m/>
    <m/>
    <m/>
    <m/>
    <n v="100"/>
    <n v="0.95240000000000002"/>
    <n v="5"/>
    <d v="1899-12-30T00:00:22"/>
    <d v="1899-12-30T00:02:30"/>
    <d v="1899-12-30T00:02:12"/>
    <n v="0.7228"/>
    <n v="4.166666666666667"/>
    <n v="250.00000000000003"/>
    <n v="4.5"/>
    <n v="270"/>
    <n v="1"/>
    <n v="1"/>
    <n v="2"/>
    <n v="1"/>
    <m/>
    <m/>
    <m/>
    <m/>
    <n v="53.155079393049967"/>
    <n v="267.37941360138541"/>
    <s v="Training"/>
  </r>
  <r>
    <d v="2021-06-01T00:00:00"/>
    <x v="2"/>
    <n v="3"/>
    <n v="6"/>
    <x v="22"/>
    <x v="1"/>
    <n v="169"/>
    <m/>
    <m/>
    <m/>
    <m/>
    <n v="92"/>
    <n v="0.92"/>
    <n v="8"/>
    <d v="1899-12-30T00:00:30"/>
    <d v="1899-12-30T00:02:27"/>
    <d v="1899-12-30T00:04:35"/>
    <n v="0.63270000000000004"/>
    <n v="3.7566666666666664"/>
    <n v="225.39999999999998"/>
    <n v="6.9008333333333329"/>
    <n v="414.04999999999995"/>
    <n v="1"/>
    <n v="1.0782552083333332"/>
    <n v="2"/>
    <n v="1"/>
    <m/>
    <m/>
    <m/>
    <m/>
    <n v="29.6229975919025"/>
    <n v="261.45240183229117"/>
    <s v="Training"/>
  </r>
  <r>
    <d v="2021-06-02T00:00:00"/>
    <x v="3"/>
    <n v="4"/>
    <n v="6"/>
    <x v="22"/>
    <x v="1"/>
    <n v="129"/>
    <m/>
    <m/>
    <m/>
    <m/>
    <n v="103"/>
    <n v="0.89570000000000005"/>
    <n v="12"/>
    <d v="1899-12-30T00:00:44"/>
    <d v="1899-12-30T00:02:46"/>
    <d v="1899-12-30T00:04:35"/>
    <n v="0.37169999999999997"/>
    <n v="4.7494444444444444"/>
    <n v="284.96666666666664"/>
    <n v="5.9483333333333341"/>
    <n v="356.90000000000003"/>
    <n v="1"/>
    <n v="1"/>
    <n v="2"/>
    <n v="1"/>
    <m/>
    <m/>
    <m/>
    <m/>
    <n v="45.239460291540396"/>
    <n v="275.67074116114952"/>
    <s v="Training"/>
  </r>
  <r>
    <d v="2021-06-03T00:00:00"/>
    <x v="4"/>
    <n v="5"/>
    <n v="6"/>
    <x v="22"/>
    <x v="1"/>
    <n v="118"/>
    <m/>
    <m/>
    <m/>
    <m/>
    <n v="36"/>
    <n v="0.94740000000000002"/>
    <n v="2"/>
    <d v="1899-12-30T00:00:39"/>
    <d v="1899-12-30T00:02:56"/>
    <d v="1899-12-30T00:02:54"/>
    <n v="0.52629999999999999"/>
    <n v="1.76"/>
    <n v="105.6"/>
    <n v="5.7688888888888883"/>
    <n v="346.13333333333333"/>
    <n v="1"/>
    <n v="1"/>
    <n v="1"/>
    <n v="1"/>
    <m/>
    <m/>
    <m/>
    <m/>
    <n v="48.978378435042281"/>
    <n v="262.21987659142502"/>
    <s v="Training"/>
  </r>
  <r>
    <d v="2021-06-04T00:00:00"/>
    <x v="5"/>
    <n v="6"/>
    <n v="6"/>
    <x v="22"/>
    <x v="1"/>
    <n v="130"/>
    <m/>
    <m/>
    <m/>
    <m/>
    <n v="95"/>
    <n v="0.87960000000000005"/>
    <n v="13"/>
    <d v="1899-12-30T00:00:26"/>
    <d v="1899-12-30T00:02:49"/>
    <d v="1899-12-30T00:02:46"/>
    <n v="0.6381"/>
    <n v="4.4597222222222221"/>
    <n v="267.58333333333331"/>
    <n v="6.102777777777777"/>
    <n v="366.16666666666663"/>
    <n v="1"/>
    <n v="1"/>
    <n v="2"/>
    <n v="1"/>
    <m/>
    <m/>
    <m/>
    <m/>
    <n v="34.59943447189049"/>
    <n v="248.47268043287519"/>
    <s v="Training"/>
  </r>
  <r>
    <d v="2021-06-05T00:00:00"/>
    <x v="6"/>
    <n v="7"/>
    <n v="6"/>
    <x v="22"/>
    <x v="1"/>
    <n v="137"/>
    <m/>
    <m/>
    <m/>
    <m/>
    <n v="118"/>
    <n v="0.9516"/>
    <n v="6"/>
    <d v="1899-12-30T00:00:23"/>
    <d v="1899-12-30T00:02:31"/>
    <d v="1899-12-30T00:03:01"/>
    <n v="0.73770000000000002"/>
    <n v="4.9494444444444445"/>
    <n v="296.9666666666667"/>
    <n v="5.7463888888888892"/>
    <n v="344.78333333333336"/>
    <n v="1"/>
    <n v="1"/>
    <n v="2"/>
    <n v="1"/>
    <m/>
    <m/>
    <m/>
    <m/>
    <n v="42.179322897467181"/>
    <n v="267.09674533311602"/>
    <s v="Training"/>
  </r>
  <r>
    <d v="2021-06-06T00:00:00"/>
    <x v="0"/>
    <n v="1"/>
    <n v="6"/>
    <x v="23"/>
    <x v="1"/>
    <n v="29"/>
    <m/>
    <m/>
    <m/>
    <m/>
    <n v="92"/>
    <n v="0.94850000000000001"/>
    <n v="5"/>
    <d v="1899-12-30T00:00:25"/>
    <d v="1899-12-30T00:02:36"/>
    <d v="1899-12-30T00:02:23"/>
    <n v="0.67710000000000004"/>
    <n v="3.9866666666666664"/>
    <n v="239.2"/>
    <n v="1.2566666666666666"/>
    <n v="75.399999999999991"/>
    <n v="1"/>
    <n v="1"/>
    <n v="2"/>
    <n v="1"/>
    <m/>
    <m/>
    <m/>
    <m/>
    <n v="-39.563417651710843"/>
    <n v="183.34616720970209"/>
    <s v="Training"/>
  </r>
  <r>
    <d v="2021-06-07T00:00:00"/>
    <x v="1"/>
    <n v="2"/>
    <n v="6"/>
    <x v="23"/>
    <x v="1"/>
    <n v="137"/>
    <m/>
    <m/>
    <m/>
    <m/>
    <n v="108"/>
    <n v="0.92310000000000003"/>
    <n v="9"/>
    <d v="1899-12-30T00:00:37"/>
    <d v="1899-12-30T00:01:46"/>
    <d v="1899-12-30T00:04:03"/>
    <n v="0.48670000000000002"/>
    <n v="3.18"/>
    <n v="190.8"/>
    <n v="4.0338888888888889"/>
    <n v="242.03333333333333"/>
    <n v="1"/>
    <n v="1"/>
    <n v="2"/>
    <n v="1"/>
    <m/>
    <m/>
    <m/>
    <m/>
    <n v="65.913406451949328"/>
    <n v="283.1562805388624"/>
    <s v="Training"/>
  </r>
  <r>
    <d v="2021-06-08T00:00:00"/>
    <x v="2"/>
    <n v="3"/>
    <n v="6"/>
    <x v="23"/>
    <x v="1"/>
    <n v="235"/>
    <m/>
    <m/>
    <m/>
    <m/>
    <n v="31"/>
    <n v="0.91180000000000005"/>
    <n v="3"/>
    <d v="1899-12-30T00:00:27"/>
    <d v="1899-12-30T00:02:37"/>
    <d v="1899-12-30T00:02:32"/>
    <n v="0.64710000000000001"/>
    <n v="1.3519444444444444"/>
    <n v="81.11666666666666"/>
    <n v="10.248611111111112"/>
    <n v="614.91666666666674"/>
    <n v="1"/>
    <n v="1.6013454861111114"/>
    <n v="2"/>
    <n v="1"/>
    <m/>
    <m/>
    <m/>
    <m/>
    <n v="34.555531321280142"/>
    <n v="259.84162781466068"/>
    <s v="Training"/>
  </r>
  <r>
    <d v="2021-06-09T00:00:00"/>
    <x v="3"/>
    <n v="4"/>
    <n v="6"/>
    <x v="23"/>
    <x v="1"/>
    <n v="169"/>
    <m/>
    <m/>
    <m/>
    <m/>
    <n v="50"/>
    <n v="0.94340000000000002"/>
    <n v="3"/>
    <d v="1899-12-30T00:00:28"/>
    <d v="1899-12-30T00:02:11"/>
    <d v="1899-12-30T00:03:16"/>
    <n v="0.66039999999999999"/>
    <n v="1.8194444444444442"/>
    <n v="109.16666666666666"/>
    <n v="6.1497222222222225"/>
    <n v="368.98333333333335"/>
    <n v="1"/>
    <n v="1"/>
    <n v="2"/>
    <n v="1"/>
    <m/>
    <m/>
    <m/>
    <m/>
    <n v="53.64219047980739"/>
    <n v="271.92457671628853"/>
    <s v="Training"/>
  </r>
  <r>
    <d v="2021-06-10T00:00:00"/>
    <x v="4"/>
    <n v="5"/>
    <n v="6"/>
    <x v="23"/>
    <x v="1"/>
    <n v="117"/>
    <m/>
    <m/>
    <m/>
    <m/>
    <n v="23"/>
    <n v="0.79310000000000003"/>
    <n v="6"/>
    <d v="1899-12-30T00:00:42"/>
    <d v="1899-12-30T00:02:47"/>
    <d v="1899-12-30T00:03:40"/>
    <n v="0.32140000000000002"/>
    <n v="1.0669444444444445"/>
    <n v="64.016666666666666"/>
    <n v="5.4275000000000002"/>
    <n v="325.65000000000003"/>
    <n v="1"/>
    <n v="1"/>
    <n v="1"/>
    <n v="1"/>
    <m/>
    <m/>
    <m/>
    <m/>
    <n v="49.788914443673761"/>
    <n v="275.86088393213947"/>
    <s v="Training"/>
  </r>
  <r>
    <d v="2021-06-11T00:00:00"/>
    <x v="5"/>
    <n v="6"/>
    <n v="6"/>
    <x v="23"/>
    <x v="1"/>
    <n v="144"/>
    <m/>
    <m/>
    <m/>
    <m/>
    <n v="107"/>
    <n v="0.89170000000000005"/>
    <n v="13"/>
    <d v="1899-12-30T00:00:34"/>
    <d v="1899-12-30T00:02:39"/>
    <d v="1899-12-30T00:03:21"/>
    <n v="0.44069999999999998"/>
    <n v="4.7258333333333331"/>
    <n v="283.55"/>
    <n v="6.36"/>
    <n v="381.6"/>
    <n v="1"/>
    <n v="1"/>
    <n v="2"/>
    <n v="1"/>
    <m/>
    <m/>
    <m/>
    <m/>
    <n v="45.961670980234302"/>
    <n v="264.97562167711982"/>
    <s v="Training"/>
  </r>
  <r>
    <d v="2021-06-12T00:00:00"/>
    <x v="6"/>
    <n v="7"/>
    <n v="6"/>
    <x v="23"/>
    <x v="1"/>
    <n v="335"/>
    <m/>
    <m/>
    <m/>
    <m/>
    <n v="100"/>
    <n v="0.93459999999999999"/>
    <n v="7"/>
    <d v="1899-12-30T00:00:33"/>
    <d v="1899-12-30T00:02:33"/>
    <d v="1899-12-30T00:02:08"/>
    <n v="0.51429999999999998"/>
    <n v="4.2499999999999991"/>
    <n v="254.99999999999994"/>
    <n v="14.237499999999997"/>
    <n v="854.24999999999977"/>
    <n v="1"/>
    <n v="2.2246093749999996"/>
    <n v="2"/>
    <n v="1"/>
    <m/>
    <m/>
    <m/>
    <m/>
    <n v="60.338027685178652"/>
    <n v="272.0331151620577"/>
    <s v="Training"/>
  </r>
  <r>
    <d v="2021-06-13T00:00:00"/>
    <x v="0"/>
    <n v="1"/>
    <n v="6"/>
    <x v="24"/>
    <x v="1"/>
    <n v="42"/>
    <m/>
    <m/>
    <m/>
    <m/>
    <n v="159"/>
    <n v="0.91910000000000003"/>
    <n v="14"/>
    <d v="1899-12-30T00:00:47"/>
    <d v="1899-12-30T00:02:44"/>
    <d v="1899-12-30T00:05:30"/>
    <n v="0.39410000000000001"/>
    <n v="7.2433333333333332"/>
    <n v="434.59999999999997"/>
    <n v="1.9133333333333333"/>
    <n v="114.8"/>
    <n v="1.1299999999999999"/>
    <n v="1"/>
    <n v="2"/>
    <n v="2"/>
    <m/>
    <m/>
    <m/>
    <m/>
    <n v="-34.742150664985722"/>
    <n v="178.37583613099341"/>
    <s v="Training"/>
  </r>
  <r>
    <d v="2021-06-14T00:00:00"/>
    <x v="1"/>
    <n v="2"/>
    <n v="6"/>
    <x v="24"/>
    <x v="1"/>
    <n v="181"/>
    <m/>
    <m/>
    <m/>
    <m/>
    <n v="213"/>
    <n v="0.83199999999999996"/>
    <n v="43"/>
    <d v="1899-12-30T00:00:44"/>
    <d v="1899-12-30T00:02:45"/>
    <d v="1899-12-30T00:05:18"/>
    <n v="0.41699999999999998"/>
    <n v="9.7624999999999993"/>
    <n v="585.75"/>
    <n v="8.2958333333333325"/>
    <n v="497.74999999999994"/>
    <n v="1.53"/>
    <n v="1.2962239583333333"/>
    <n v="2"/>
    <n v="2"/>
    <m/>
    <m/>
    <m/>
    <m/>
    <n v="64.189884598604294"/>
    <n v="284.20583082774328"/>
    <s v="Training"/>
  </r>
  <r>
    <d v="2021-06-15T00:00:00"/>
    <x v="2"/>
    <n v="3"/>
    <n v="6"/>
    <x v="24"/>
    <x v="1"/>
    <n v="159"/>
    <m/>
    <m/>
    <m/>
    <m/>
    <n v="174"/>
    <n v="0.87439999999999996"/>
    <n v="25"/>
    <d v="1899-12-30T00:00:36"/>
    <d v="1899-12-30T00:02:35"/>
    <d v="1899-12-30T00:04:35"/>
    <n v="0.53059999999999996"/>
    <n v="7.4916666666666663"/>
    <n v="449.5"/>
    <n v="6.8458333333333332"/>
    <n v="410.75"/>
    <n v="1.17"/>
    <n v="1.0696614583333333"/>
    <n v="2"/>
    <n v="2"/>
    <m/>
    <m/>
    <m/>
    <m/>
    <n v="54.90572916108971"/>
    <n v="271.81964655840937"/>
    <s v="Training"/>
  </r>
  <r>
    <d v="2021-06-16T00:00:00"/>
    <x v="3"/>
    <n v="4"/>
    <n v="6"/>
    <x v="24"/>
    <x v="1"/>
    <n v="142"/>
    <m/>
    <m/>
    <m/>
    <m/>
    <n v="170"/>
    <n v="0.93410000000000004"/>
    <n v="12"/>
    <d v="1899-12-30T00:00:40"/>
    <d v="1899-12-30T00:02:44"/>
    <d v="1899-12-30T00:03:27"/>
    <n v="0.45810000000000001"/>
    <n v="7.7444444444444445"/>
    <n v="464.66666666666669"/>
    <n v="6.4688888888888885"/>
    <n v="388.13333333333333"/>
    <n v="1.21"/>
    <n v="1.0107638888888888"/>
    <n v="2"/>
    <n v="2"/>
    <m/>
    <m/>
    <m/>
    <m/>
    <n v="75.715705935561644"/>
    <n v="284.68135456048878"/>
    <s v="Training"/>
  </r>
  <r>
    <d v="2021-06-17T00:00:00"/>
    <x v="4"/>
    <n v="5"/>
    <n v="6"/>
    <x v="24"/>
    <x v="1"/>
    <n v="194"/>
    <m/>
    <m/>
    <m/>
    <m/>
    <n v="41"/>
    <n v="0.97619999999999996"/>
    <n v="1"/>
    <d v="1899-12-30T00:00:42"/>
    <d v="1899-12-30T00:02:53"/>
    <d v="1899-12-30T00:03:40"/>
    <n v="0.56100000000000005"/>
    <n v="1.9702777777777778"/>
    <n v="118.21666666666667"/>
    <n v="9.3227777777777785"/>
    <n v="559.36666666666667"/>
    <n v="1"/>
    <n v="1.4566840277777777"/>
    <n v="1"/>
    <n v="1"/>
    <m/>
    <m/>
    <m/>
    <m/>
    <n v="53.074881997979872"/>
    <n v="274.41654386020798"/>
    <s v="Training"/>
  </r>
  <r>
    <d v="2021-06-18T00:00:00"/>
    <x v="5"/>
    <n v="6"/>
    <n v="6"/>
    <x v="24"/>
    <x v="1"/>
    <n v="235"/>
    <m/>
    <m/>
    <m/>
    <m/>
    <n v="168"/>
    <n v="0.92820000000000003"/>
    <n v="13"/>
    <d v="1899-12-30T00:00:34"/>
    <d v="1899-12-30T00:02:35"/>
    <d v="1899-12-30T00:02:43"/>
    <n v="0.51690000000000003"/>
    <n v="7.2333333333333334"/>
    <n v="434"/>
    <n v="10.118055555555555"/>
    <n v="607.08333333333337"/>
    <n v="1.1299999999999999"/>
    <n v="1.5809461805555556"/>
    <n v="2"/>
    <n v="2"/>
    <m/>
    <m/>
    <m/>
    <m/>
    <n v="50.582968859804012"/>
    <n v="282.16747469368158"/>
    <s v="Training"/>
  </r>
  <r>
    <d v="2021-06-19T00:00:00"/>
    <x v="6"/>
    <n v="7"/>
    <n v="6"/>
    <x v="24"/>
    <x v="1"/>
    <n v="206"/>
    <m/>
    <m/>
    <m/>
    <m/>
    <n v="147"/>
    <n v="0.92449999999999999"/>
    <n v="12"/>
    <d v="1899-12-30T00:00:30"/>
    <d v="1899-12-30T00:02:36"/>
    <d v="1899-12-30T00:04:39"/>
    <n v="0.58709999999999996"/>
    <n v="6.3699999999999992"/>
    <n v="382.19999999999993"/>
    <n v="8.9266666666666659"/>
    <n v="535.59999999999991"/>
    <n v="1"/>
    <n v="1.3947916666666664"/>
    <n v="2"/>
    <n v="1"/>
    <m/>
    <m/>
    <m/>
    <m/>
    <n v="56.749291296737098"/>
    <n v="283.22043882054368"/>
    <s v="Training"/>
  </r>
  <r>
    <d v="2021-06-20T00:00:00"/>
    <x v="0"/>
    <n v="1"/>
    <n v="6"/>
    <x v="25"/>
    <x v="1"/>
    <n v="58"/>
    <m/>
    <m/>
    <m/>
    <m/>
    <n v="134"/>
    <n v="0.94369999999999998"/>
    <n v="8"/>
    <d v="1899-12-30T00:00:26"/>
    <d v="1899-12-30T00:02:50"/>
    <d v="1899-12-30T00:01:50"/>
    <n v="0.61870000000000003"/>
    <n v="6.3277777777777775"/>
    <n v="379.66666666666663"/>
    <n v="2.7388888888888885"/>
    <n v="164.33333333333331"/>
    <n v="1"/>
    <n v="1"/>
    <n v="2"/>
    <n v="1"/>
    <m/>
    <m/>
    <m/>
    <m/>
    <n v="-29.910141832154281"/>
    <n v="185.84075703493289"/>
    <s v="Training"/>
  </r>
  <r>
    <d v="2021-06-21T00:00:00"/>
    <x v="1"/>
    <n v="2"/>
    <n v="6"/>
    <x v="25"/>
    <x v="1"/>
    <n v="212"/>
    <m/>
    <m/>
    <m/>
    <m/>
    <n v="163"/>
    <n v="0.84019999999999995"/>
    <n v="31"/>
    <d v="1899-12-30T00:00:30"/>
    <d v="1899-12-30T00:02:38"/>
    <d v="1899-12-30T00:05:31"/>
    <n v="0.51039999999999996"/>
    <n v="7.153888888888889"/>
    <n v="429.23333333333335"/>
    <n v="9.3044444444444441"/>
    <n v="558.26666666666665"/>
    <n v="1.1200000000000001"/>
    <n v="1.4538194444444443"/>
    <n v="2"/>
    <n v="2"/>
    <m/>
    <m/>
    <m/>
    <m/>
    <n v="75.965193072299158"/>
    <n v="298.05682451094162"/>
    <s v="Training"/>
  </r>
  <r>
    <d v="2021-06-22T00:00:00"/>
    <x v="2"/>
    <n v="3"/>
    <n v="6"/>
    <x v="25"/>
    <x v="1"/>
    <n v="232"/>
    <m/>
    <m/>
    <m/>
    <m/>
    <n v="210"/>
    <n v="0.89359999999999995"/>
    <n v="25"/>
    <d v="1899-12-30T00:00:38"/>
    <d v="1899-12-30T00:02:53"/>
    <d v="1899-12-30T00:04:35"/>
    <n v="0.48899999999999999"/>
    <n v="10.091666666666667"/>
    <n v="605.5"/>
    <n v="11.148888888888889"/>
    <n v="668.93333333333339"/>
    <n v="1.58"/>
    <n v="1.742013888888889"/>
    <n v="2"/>
    <n v="2"/>
    <m/>
    <m/>
    <m/>
    <m/>
    <n v="60.947356153317287"/>
    <n v="274.78649583145761"/>
    <s v="Training"/>
  </r>
  <r>
    <d v="2021-06-23T00:00:00"/>
    <x v="3"/>
    <n v="4"/>
    <n v="6"/>
    <x v="25"/>
    <x v="1"/>
    <n v="348"/>
    <m/>
    <m/>
    <m/>
    <m/>
    <n v="180"/>
    <n v="0.87380000000000002"/>
    <n v="26"/>
    <d v="1899-12-30T00:00:51"/>
    <d v="1899-12-30T00:02:47"/>
    <d v="1899-12-30T00:07:03"/>
    <n v="0.3861"/>
    <n v="8.35"/>
    <n v="501"/>
    <n v="16.143333333333334"/>
    <n v="968.6"/>
    <n v="1.3"/>
    <n v="2.5223958333333334"/>
    <n v="2"/>
    <n v="2"/>
    <m/>
    <m/>
    <m/>
    <m/>
    <n v="80.144263927907019"/>
    <n v="297.44524844628842"/>
    <s v="Training"/>
  </r>
  <r>
    <d v="2021-06-24T00:00:00"/>
    <x v="4"/>
    <n v="5"/>
    <n v="6"/>
    <x v="25"/>
    <x v="1"/>
    <n v="167"/>
    <m/>
    <m/>
    <m/>
    <m/>
    <n v="47"/>
    <n v="0.81030000000000002"/>
    <n v="11"/>
    <d v="1899-12-30T00:00:48"/>
    <d v="1899-12-30T00:02:36"/>
    <d v="1899-12-30T00:04:35"/>
    <n v="0.42109999999999997"/>
    <n v="2.0366666666666666"/>
    <n v="122.2"/>
    <n v="7.2366666666666664"/>
    <n v="434.2"/>
    <n v="1"/>
    <n v="1.1307291666666666"/>
    <n v="1"/>
    <n v="1"/>
    <m/>
    <m/>
    <m/>
    <m/>
    <n v="68.31862583431834"/>
    <n v="287.53659317236333"/>
    <s v="Training"/>
  </r>
  <r>
    <d v="2021-06-25T00:00:00"/>
    <x v="5"/>
    <n v="6"/>
    <n v="6"/>
    <x v="25"/>
    <x v="1"/>
    <n v="167"/>
    <m/>
    <m/>
    <m/>
    <m/>
    <n v="194"/>
    <n v="0.91510000000000002"/>
    <n v="18"/>
    <d v="1899-12-30T00:00:38"/>
    <d v="1899-12-30T00:02:33"/>
    <d v="1899-12-30T00:04:21"/>
    <n v="0.51200000000000001"/>
    <n v="8.2449999999999992"/>
    <n v="494.69999999999993"/>
    <n v="7.0975000000000001"/>
    <n v="425.85"/>
    <n v="1.29"/>
    <n v="1.1089843750000001"/>
    <n v="2"/>
    <n v="2"/>
    <m/>
    <m/>
    <m/>
    <m/>
    <n v="59.423522639006478"/>
    <n v="280.08205737937089"/>
    <s v="Training"/>
  </r>
  <r>
    <d v="2021-06-26T00:00:00"/>
    <x v="6"/>
    <n v="7"/>
    <n v="6"/>
    <x v="25"/>
    <x v="1"/>
    <n v="166"/>
    <m/>
    <m/>
    <m/>
    <m/>
    <n v="214"/>
    <n v="0.9224"/>
    <n v="18"/>
    <d v="1899-12-30T00:00:34"/>
    <d v="1899-12-30T00:02:36"/>
    <d v="1899-12-30T00:05:30"/>
    <n v="0.55900000000000005"/>
    <n v="9.2733333333333334"/>
    <n v="556.4"/>
    <n v="7.1933333333333334"/>
    <n v="431.6"/>
    <n v="1.45"/>
    <n v="1.1239583333333334"/>
    <n v="2"/>
    <n v="2"/>
    <m/>
    <m/>
    <m/>
    <m/>
    <n v="60.991335207798294"/>
    <n v="283.7897869688727"/>
    <s v="Training"/>
  </r>
  <r>
    <d v="2021-06-27T00:00:00"/>
    <x v="0"/>
    <n v="1"/>
    <n v="6"/>
    <x v="26"/>
    <x v="1"/>
    <n v="32"/>
    <m/>
    <m/>
    <m/>
    <m/>
    <n v="327"/>
    <n v="0.93969999999999998"/>
    <n v="21"/>
    <d v="1899-12-30T00:00:32"/>
    <d v="1899-12-30T00:02:28"/>
    <d v="1899-12-30T00:07:20"/>
    <n v="0.54620000000000002"/>
    <n v="13.443333333333333"/>
    <n v="806.6"/>
    <n v="1.3155555555555556"/>
    <n v="78.933333333333337"/>
    <n v="2.1"/>
    <n v="1"/>
    <n v="2"/>
    <n v="3"/>
    <m/>
    <m/>
    <m/>
    <m/>
    <n v="-22.488572592979619"/>
    <n v="197.5941524653164"/>
    <s v="Training"/>
  </r>
  <r>
    <d v="2021-06-28T00:00:00"/>
    <x v="1"/>
    <n v="2"/>
    <n v="6"/>
    <x v="26"/>
    <x v="1"/>
    <n v="52"/>
    <m/>
    <m/>
    <m/>
    <m/>
    <n v="156"/>
    <n v="0.93410000000000004"/>
    <n v="11"/>
    <d v="1899-12-30T00:00:32"/>
    <d v="1899-12-30T00:02:43"/>
    <d v="1899-12-30T00:02:57"/>
    <n v="0.56789999999999996"/>
    <n v="7.0633333333333335"/>
    <n v="423.8"/>
    <n v="2.3544444444444443"/>
    <n v="141.26666666666665"/>
    <n v="1.1000000000000001"/>
    <n v="1"/>
    <n v="2"/>
    <n v="2"/>
    <m/>
    <m/>
    <m/>
    <m/>
    <n v="86.689387991604789"/>
    <n v="297.99002148647702"/>
    <s v="Training"/>
  </r>
  <r>
    <d v="2021-06-29T00:00:00"/>
    <x v="2"/>
    <n v="3"/>
    <n v="6"/>
    <x v="26"/>
    <x v="1"/>
    <n v="154"/>
    <m/>
    <m/>
    <m/>
    <m/>
    <n v="157"/>
    <n v="0.94010000000000005"/>
    <n v="10"/>
    <d v="1899-12-30T00:00:27"/>
    <d v="1899-12-30T00:02:57"/>
    <d v="1899-12-30T00:05:19"/>
    <n v="0.67479999999999996"/>
    <n v="7.7191666666666681"/>
    <n v="463.15000000000009"/>
    <n v="7.5716666666666681"/>
    <n v="454.30000000000007"/>
    <n v="1.21"/>
    <n v="1.1830729166666669"/>
    <n v="2"/>
    <n v="2"/>
    <m/>
    <m/>
    <m/>
    <m/>
    <n v="61.566336287960532"/>
    <n v="283.43628475744339"/>
    <s v="Training"/>
  </r>
  <r>
    <d v="2021-06-30T00:00:00"/>
    <x v="3"/>
    <n v="4"/>
    <n v="6"/>
    <x v="26"/>
    <x v="1"/>
    <n v="223"/>
    <m/>
    <m/>
    <m/>
    <m/>
    <n v="161"/>
    <n v="0.96989999999999998"/>
    <n v="5"/>
    <d v="1899-12-30T00:00:21"/>
    <d v="1899-12-30T00:02:45"/>
    <d v="1899-12-30T00:01:32"/>
    <n v="0.73329999999999995"/>
    <n v="7.3791666666666664"/>
    <n v="442.75"/>
    <n v="10.220833333333333"/>
    <n v="613.25"/>
    <n v="1.1499999999999999"/>
    <n v="1.5970052083333333"/>
    <n v="2"/>
    <n v="2"/>
    <m/>
    <m/>
    <m/>
    <m/>
    <n v="74.938867385978298"/>
    <n v="291.90872008255968"/>
    <s v="Training"/>
  </r>
  <r>
    <d v="2021-07-01T00:00:00"/>
    <x v="4"/>
    <n v="5"/>
    <n v="7"/>
    <x v="26"/>
    <x v="1"/>
    <n v="155"/>
    <m/>
    <m/>
    <m/>
    <m/>
    <n v="28"/>
    <n v="0.875"/>
    <n v="4"/>
    <d v="1899-12-30T00:00:22"/>
    <d v="1899-12-30T00:02:43"/>
    <d v="1899-12-30T00:07:35"/>
    <n v="0.6452"/>
    <n v="1.2677777777777777"/>
    <n v="76.066666666666663"/>
    <n v="7.0180555555555557"/>
    <n v="421.08333333333337"/>
    <n v="1"/>
    <n v="1.0965711805555556"/>
    <n v="1"/>
    <n v="1"/>
    <m/>
    <m/>
    <m/>
    <m/>
    <n v="78.681008575314905"/>
    <n v="288.76018306830173"/>
    <s v="Training"/>
  </r>
  <r>
    <d v="2021-07-02T00:00:00"/>
    <x v="5"/>
    <n v="6"/>
    <n v="7"/>
    <x v="26"/>
    <x v="1"/>
    <n v="37"/>
    <m/>
    <m/>
    <m/>
    <m/>
    <n v="49"/>
    <n v="0.94230000000000003"/>
    <n v="3"/>
    <d v="1899-12-30T00:00:32"/>
    <d v="1899-12-30T00:02:58"/>
    <d v="1899-12-30T00:03:02"/>
    <n v="0.63460000000000005"/>
    <n v="2.4227777777777777"/>
    <n v="145.36666666666667"/>
    <n v="1.8294444444444444"/>
    <n v="109.76666666666667"/>
    <n v="1"/>
    <n v="1"/>
    <n v="2"/>
    <n v="1"/>
    <m/>
    <m/>
    <m/>
    <m/>
    <n v="57.00990885900589"/>
    <n v="274.30780746260962"/>
    <s v="Training"/>
  </r>
  <r>
    <d v="2021-07-03T00:00:00"/>
    <x v="6"/>
    <n v="7"/>
    <n v="7"/>
    <x v="26"/>
    <x v="1"/>
    <n v="22"/>
    <m/>
    <m/>
    <m/>
    <m/>
    <n v="149"/>
    <n v="0.96750000000000003"/>
    <n v="5"/>
    <d v="1899-12-30T00:00:26"/>
    <d v="1899-12-30T00:02:52"/>
    <d v="1899-12-30T00:01:50"/>
    <n v="0.64900000000000002"/>
    <n v="7.1188888888888888"/>
    <n v="427.13333333333333"/>
    <n v="1.0511111111111111"/>
    <n v="63.066666666666663"/>
    <n v="1.1100000000000001"/>
    <n v="1"/>
    <n v="2"/>
    <n v="2"/>
    <m/>
    <m/>
    <m/>
    <m/>
    <n v="65.988581636515605"/>
    <n v="288.03155900180963"/>
    <s v="Training"/>
  </r>
  <r>
    <d v="2021-07-04T00:00:00"/>
    <x v="0"/>
    <n v="1"/>
    <n v="7"/>
    <x v="27"/>
    <x v="1"/>
    <n v="139"/>
    <m/>
    <m/>
    <m/>
    <m/>
    <n v="218"/>
    <n v="0.97760000000000002"/>
    <n v="5"/>
    <d v="1899-12-30T00:00:18"/>
    <d v="1899-12-30T00:02:07"/>
    <d v="1899-12-30T00:02:00"/>
    <n v="0.80089999999999995"/>
    <n v="7.6905555555555551"/>
    <n v="461.43333333333328"/>
    <n v="4.9036111111111111"/>
    <n v="294.2166666666667"/>
    <n v="1.2"/>
    <n v="1"/>
    <n v="2"/>
    <n v="2"/>
    <m/>
    <m/>
    <m/>
    <m/>
    <n v="-17.94641647390716"/>
    <n v="206.5460700110165"/>
    <s v="Training"/>
  </r>
  <r>
    <d v="2021-07-05T00:00:00"/>
    <x v="1"/>
    <n v="2"/>
    <n v="7"/>
    <x v="27"/>
    <x v="1"/>
    <n v="112"/>
    <m/>
    <m/>
    <m/>
    <m/>
    <n v="157"/>
    <n v="0.92349999999999999"/>
    <n v="13"/>
    <d v="1899-12-30T00:00:17"/>
    <d v="1899-12-30T00:03:04"/>
    <d v="1899-12-30T00:06:25"/>
    <n v="0.78439999999999999"/>
    <n v="8.0244444444444447"/>
    <n v="481.4666666666667"/>
    <n v="5.724444444444444"/>
    <n v="343.46666666666664"/>
    <n v="1.25"/>
    <n v="1"/>
    <n v="2"/>
    <n v="2"/>
    <m/>
    <m/>
    <m/>
    <m/>
    <n v="88.938707384722761"/>
    <n v="307.32711800832698"/>
    <s v="Training"/>
  </r>
  <r>
    <d v="2021-07-06T00:00:00"/>
    <x v="2"/>
    <n v="3"/>
    <n v="7"/>
    <x v="27"/>
    <x v="1"/>
    <n v="120"/>
    <m/>
    <m/>
    <m/>
    <m/>
    <n v="133"/>
    <n v="0.91720000000000002"/>
    <n v="12"/>
    <d v="1899-12-30T00:00:26"/>
    <d v="1899-12-30T00:02:56"/>
    <d v="1899-12-30T00:03:39"/>
    <n v="0.69230000000000003"/>
    <n v="6.5022222222222208"/>
    <n v="390.13333333333327"/>
    <n v="5.8666666666666654"/>
    <n v="351.99999999999994"/>
    <n v="1.02"/>
    <n v="1"/>
    <n v="2"/>
    <n v="2"/>
    <m/>
    <m/>
    <m/>
    <m/>
    <n v="74.866598133598387"/>
    <n v="278.07836248924792"/>
    <s v="Training"/>
  </r>
  <r>
    <d v="2021-07-07T00:00:00"/>
    <x v="3"/>
    <n v="4"/>
    <n v="7"/>
    <x v="27"/>
    <x v="1"/>
    <n v="149"/>
    <m/>
    <m/>
    <m/>
    <m/>
    <n v="138"/>
    <n v="0.95830000000000004"/>
    <n v="6"/>
    <d v="1899-12-30T00:00:17"/>
    <d v="1899-12-30T00:02:53"/>
    <d v="1899-12-30T00:02:45"/>
    <n v="0.83799999999999997"/>
    <n v="6.6316666666666668"/>
    <n v="397.90000000000003"/>
    <n v="7.1602777777777789"/>
    <n v="429.61666666666673"/>
    <n v="1.04"/>
    <n v="1.1187934027777779"/>
    <n v="2"/>
    <n v="2"/>
    <m/>
    <m/>
    <m/>
    <m/>
    <n v="77.701314820148568"/>
    <n v="307.6732968468977"/>
    <s v="Training"/>
  </r>
  <r>
    <d v="2021-07-08T00:00:00"/>
    <x v="4"/>
    <n v="5"/>
    <n v="7"/>
    <x v="27"/>
    <x v="1"/>
    <n v="175"/>
    <m/>
    <m/>
    <m/>
    <m/>
    <n v="15"/>
    <n v="0.9375"/>
    <n v="1"/>
    <d v="1899-12-30T00:00:17"/>
    <d v="1899-12-30T00:03:00"/>
    <d v="1899-12-30T00:02:45"/>
    <n v="0.6875"/>
    <n v="0.75"/>
    <n v="45"/>
    <n v="8.75"/>
    <n v="525"/>
    <n v="1"/>
    <n v="1.3671875"/>
    <n v="1"/>
    <n v="1"/>
    <m/>
    <m/>
    <m/>
    <m/>
    <n v="67.018845831164299"/>
    <n v="282.71318926646268"/>
    <s v="Training"/>
  </r>
  <r>
    <d v="2021-07-09T00:00:00"/>
    <x v="5"/>
    <n v="6"/>
    <n v="7"/>
    <x v="27"/>
    <x v="1"/>
    <n v="130"/>
    <m/>
    <m/>
    <m/>
    <m/>
    <n v="131"/>
    <n v="0.97040000000000004"/>
    <n v="4"/>
    <d v="1899-12-30T00:00:20"/>
    <d v="1899-12-30T00:02:37"/>
    <d v="1899-12-30T00:02:00"/>
    <n v="0.76119999999999999"/>
    <n v="5.713055555555556"/>
    <n v="342.78333333333336"/>
    <n v="5.6694444444444443"/>
    <n v="340.16666666666663"/>
    <n v="1"/>
    <n v="1"/>
    <n v="2"/>
    <n v="1"/>
    <m/>
    <m/>
    <m/>
    <m/>
    <n v="67.880498897246554"/>
    <n v="289.82901770256728"/>
    <s v="Training"/>
  </r>
  <r>
    <d v="2021-07-10T00:00:00"/>
    <x v="6"/>
    <n v="7"/>
    <n v="7"/>
    <x v="27"/>
    <x v="1"/>
    <n v="113"/>
    <m/>
    <m/>
    <m/>
    <m/>
    <n v="133"/>
    <n v="0.9708"/>
    <n v="4"/>
    <d v="1899-12-30T00:00:24"/>
    <d v="1899-12-30T00:02:49"/>
    <d v="1899-12-30T00:02:46"/>
    <n v="0.69120000000000004"/>
    <n v="6.243611111111111"/>
    <n v="374.61666666666667"/>
    <n v="5.304722222222221"/>
    <n v="318.28333333333325"/>
    <n v="1"/>
    <n v="1"/>
    <n v="2"/>
    <n v="1"/>
    <m/>
    <m/>
    <m/>
    <m/>
    <n v="66.195285550673646"/>
    <n v="292.70328271144422"/>
    <s v="Training"/>
  </r>
  <r>
    <d v="2021-07-11T00:00:00"/>
    <x v="0"/>
    <n v="1"/>
    <n v="7"/>
    <x v="28"/>
    <x v="1"/>
    <n v="36"/>
    <m/>
    <m/>
    <m/>
    <m/>
    <n v="144"/>
    <n v="0.96640000000000004"/>
    <n v="5"/>
    <d v="1899-12-30T00:00:17"/>
    <d v="1899-12-30T00:02:39"/>
    <d v="1899-12-30T00:02:02"/>
    <n v="0.8276"/>
    <n v="6.36"/>
    <n v="381.6"/>
    <n v="1.59"/>
    <n v="95.4"/>
    <n v="1"/>
    <n v="1"/>
    <n v="2"/>
    <n v="1"/>
    <m/>
    <m/>
    <m/>
    <m/>
    <n v="-24.03294206688739"/>
    <n v="199.80686576961111"/>
    <s v="Training"/>
  </r>
  <r>
    <d v="2021-07-12T00:00:00"/>
    <x v="1"/>
    <n v="2"/>
    <n v="7"/>
    <x v="28"/>
    <x v="1"/>
    <n v="313"/>
    <m/>
    <m/>
    <m/>
    <m/>
    <n v="143"/>
    <n v="0.92259999999999998"/>
    <n v="12"/>
    <d v="1899-12-30T00:00:16"/>
    <d v="1899-12-30T00:02:41"/>
    <d v="1899-12-30T00:06:25"/>
    <n v="0.8014"/>
    <n v="6.3952777777777774"/>
    <n v="383.71666666666664"/>
    <n v="13.998055555555554"/>
    <n v="839.88333333333321"/>
    <n v="1"/>
    <n v="2.1871961805555551"/>
    <n v="2"/>
    <n v="1"/>
    <m/>
    <m/>
    <m/>
    <m/>
    <n v="79.39442493949106"/>
    <n v="292.81378277185308"/>
    <s v="Training"/>
  </r>
  <r>
    <d v="2021-07-13T00:00:00"/>
    <x v="2"/>
    <n v="3"/>
    <n v="7"/>
    <x v="28"/>
    <x v="1"/>
    <n v="163"/>
    <m/>
    <m/>
    <m/>
    <m/>
    <n v="121"/>
    <n v="0.94530000000000003"/>
    <n v="7"/>
    <d v="1899-12-30T00:00:19"/>
    <d v="1899-12-30T00:02:55"/>
    <d v="1899-12-30T00:04:35"/>
    <n v="0.77780000000000005"/>
    <n v="5.8819444444444446"/>
    <n v="352.91666666666669"/>
    <n v="7.9236111111111107"/>
    <n v="475.41666666666663"/>
    <n v="1"/>
    <n v="1.2380642361111109"/>
    <n v="2"/>
    <n v="1"/>
    <m/>
    <m/>
    <m/>
    <m/>
    <n v="56.350240856037352"/>
    <n v="276.73020645118532"/>
    <s v="Training"/>
  </r>
  <r>
    <d v="2021-07-14T00:00:00"/>
    <x v="3"/>
    <n v="4"/>
    <n v="7"/>
    <x v="28"/>
    <x v="1"/>
    <n v="160"/>
    <m/>
    <m/>
    <m/>
    <m/>
    <n v="125"/>
    <n v="0.93279999999999996"/>
    <n v="9"/>
    <d v="1899-12-30T00:00:21"/>
    <d v="1899-12-30T00:02:38"/>
    <d v="1899-12-30T00:03:18"/>
    <n v="0.72519999999999996"/>
    <n v="5.4861111111111107"/>
    <n v="329.16666666666663"/>
    <n v="7.0222222222222213"/>
    <n v="421.33333333333326"/>
    <n v="1"/>
    <n v="1.0972222222222221"/>
    <n v="2"/>
    <n v="1"/>
    <m/>
    <m/>
    <m/>
    <m/>
    <n v="70.61966757466152"/>
    <n v="294.45207213485662"/>
    <s v="Training"/>
  </r>
  <r>
    <d v="2021-07-15T00:00:00"/>
    <x v="4"/>
    <n v="5"/>
    <n v="7"/>
    <x v="28"/>
    <x v="1"/>
    <n v="132"/>
    <m/>
    <m/>
    <m/>
    <m/>
    <n v="21"/>
    <n v="1"/>
    <n v="0"/>
    <d v="1899-12-30T00:00:23"/>
    <d v="1899-12-30T00:02:37"/>
    <d v="1899-12-30T00:02:50"/>
    <n v="0.76190000000000002"/>
    <n v="0.9158333333333335"/>
    <n v="54.95000000000001"/>
    <n v="5.7566666666666668"/>
    <n v="345.40000000000003"/>
    <n v="1"/>
    <n v="1"/>
    <n v="1"/>
    <n v="1"/>
    <m/>
    <m/>
    <m/>
    <m/>
    <n v="61.156788121744107"/>
    <n v="284.84788570732701"/>
    <s v="Training"/>
  </r>
  <r>
    <d v="2021-07-16T00:00:00"/>
    <x v="5"/>
    <n v="6"/>
    <n v="7"/>
    <x v="28"/>
    <x v="1"/>
    <n v="131"/>
    <m/>
    <m/>
    <m/>
    <m/>
    <n v="138"/>
    <n v="0.92"/>
    <n v="12"/>
    <d v="1899-12-30T00:00:30"/>
    <d v="1899-12-30T00:02:52"/>
    <d v="1899-12-30T00:04:16"/>
    <n v="0.5867"/>
    <n v="6.5933333333333346"/>
    <n v="395.60000000000008"/>
    <n v="6.2588888888888885"/>
    <n v="375.5333333333333"/>
    <n v="1.03"/>
    <n v="1"/>
    <n v="2"/>
    <n v="2"/>
    <m/>
    <m/>
    <m/>
    <m/>
    <n v="62.596882843979451"/>
    <n v="279.07629255455481"/>
    <s v="Training"/>
  </r>
  <r>
    <d v="2021-07-17T00:00:00"/>
    <x v="6"/>
    <n v="7"/>
    <n v="7"/>
    <x v="28"/>
    <x v="1"/>
    <n v="158"/>
    <m/>
    <m/>
    <m/>
    <m/>
    <n v="158"/>
    <n v="0.96930000000000005"/>
    <n v="5"/>
    <d v="1899-12-30T00:00:14"/>
    <d v="1899-12-30T00:02:28"/>
    <d v="1899-12-30T00:02:01"/>
    <n v="0.81989999999999996"/>
    <n v="6.4955555555555557"/>
    <n v="389.73333333333335"/>
    <n v="6.4955555555555557"/>
    <n v="389.73333333333335"/>
    <n v="1.01"/>
    <n v="1.0149305555555557"/>
    <n v="2"/>
    <n v="2"/>
    <m/>
    <m/>
    <m/>
    <m/>
    <n v="58.636429140538922"/>
    <n v="282.49623244845401"/>
    <s v="Training"/>
  </r>
  <r>
    <d v="2021-07-18T00:00:00"/>
    <x v="0"/>
    <n v="1"/>
    <n v="7"/>
    <x v="29"/>
    <x v="1"/>
    <n v="19"/>
    <m/>
    <m/>
    <m/>
    <m/>
    <n v="151"/>
    <n v="0.94379999999999997"/>
    <n v="9"/>
    <d v="1899-12-30T00:00:12"/>
    <d v="1899-12-30T00:02:39"/>
    <d v="1899-12-30T00:02:57"/>
    <n v="0.87180000000000002"/>
    <n v="6.6691666666666656"/>
    <n v="400.14999999999992"/>
    <n v="0.83916666666666662"/>
    <n v="50.349999999999994"/>
    <n v="1.04"/>
    <n v="1"/>
    <n v="2"/>
    <n v="2"/>
    <m/>
    <m/>
    <m/>
    <m/>
    <n v="-20.253991995635889"/>
    <n v="194.1088204723039"/>
    <s v="Training"/>
  </r>
  <r>
    <d v="2021-07-19T00:00:00"/>
    <x v="1"/>
    <n v="2"/>
    <n v="7"/>
    <x v="29"/>
    <x v="1"/>
    <n v="151"/>
    <m/>
    <m/>
    <m/>
    <m/>
    <n v="125"/>
    <n v="0.94699999999999995"/>
    <n v="7"/>
    <d v="1899-12-30T00:00:30"/>
    <d v="1899-12-30T00:02:46"/>
    <d v="1899-12-30T00:03:47"/>
    <n v="0.6462"/>
    <n v="5.7638888888888893"/>
    <n v="345.83333333333337"/>
    <n v="6.9627777777777782"/>
    <n v="417.76666666666671"/>
    <n v="1"/>
    <n v="1.0879340277777778"/>
    <n v="2"/>
    <n v="1"/>
    <m/>
    <m/>
    <m/>
    <m/>
    <n v="69.119533857349552"/>
    <n v="300.21514717433439"/>
    <s v="Training"/>
  </r>
  <r>
    <d v="2021-07-20T00:00:00"/>
    <x v="2"/>
    <n v="3"/>
    <n v="7"/>
    <x v="29"/>
    <x v="1"/>
    <n v="139"/>
    <m/>
    <m/>
    <m/>
    <m/>
    <n v="126"/>
    <n v="0.96179999999999999"/>
    <n v="5"/>
    <d v="1899-12-30T00:00:17"/>
    <d v="1899-12-30T00:02:47"/>
    <d v="1899-12-30T00:02:35"/>
    <n v="0.78290000000000004"/>
    <n v="5.8449999999999998"/>
    <n v="350.7"/>
    <n v="6.4480555555555554"/>
    <n v="386.88333333333333"/>
    <n v="1"/>
    <n v="1.0075086805555555"/>
    <n v="2"/>
    <n v="1"/>
    <m/>
    <m/>
    <m/>
    <m/>
    <n v="51.13402986803731"/>
    <n v="284.21218973152531"/>
    <s v="Training"/>
  </r>
  <r>
    <d v="2021-07-21T00:00:00"/>
    <x v="3"/>
    <n v="4"/>
    <n v="7"/>
    <x v="29"/>
    <x v="1"/>
    <n v="166"/>
    <m/>
    <m/>
    <m/>
    <m/>
    <n v="146"/>
    <n v="0.92410000000000003"/>
    <n v="12"/>
    <d v="1899-12-30T00:00:21"/>
    <d v="1899-12-30T00:02:42"/>
    <d v="1899-12-30T00:03:40"/>
    <n v="0.75319999999999998"/>
    <n v="6.57"/>
    <n v="394.20000000000005"/>
    <n v="7.4699999999999989"/>
    <n v="448.19999999999993"/>
    <n v="1.03"/>
    <n v="1.1671874999999998"/>
    <n v="2"/>
    <n v="2"/>
    <m/>
    <m/>
    <m/>
    <m/>
    <n v="67.709500777565182"/>
    <n v="285.43649245539098"/>
    <s v="Training"/>
  </r>
  <r>
    <d v="2021-07-22T00:00:00"/>
    <x v="4"/>
    <n v="5"/>
    <n v="7"/>
    <x v="29"/>
    <x v="1"/>
    <n v="258"/>
    <m/>
    <m/>
    <m/>
    <m/>
    <n v="16"/>
    <n v="0.84209999999999996"/>
    <n v="3"/>
    <d v="1899-12-30T00:00:51"/>
    <d v="1899-12-30T00:02:46"/>
    <d v="1899-12-30T00:04:14"/>
    <n v="0.47370000000000001"/>
    <n v="0.73777777777777775"/>
    <n v="44.266666666666666"/>
    <n v="11.896666666666668"/>
    <n v="713.80000000000007"/>
    <n v="1"/>
    <n v="1.8588541666666669"/>
    <n v="1"/>
    <n v="1"/>
    <m/>
    <m/>
    <m/>
    <m/>
    <n v="67.483768810533064"/>
    <n v="281.52204734459281"/>
    <s v="Training"/>
  </r>
  <r>
    <d v="2021-07-23T00:00:00"/>
    <x v="5"/>
    <n v="6"/>
    <n v="7"/>
    <x v="29"/>
    <x v="1"/>
    <n v="203"/>
    <m/>
    <m/>
    <m/>
    <m/>
    <n v="128"/>
    <n v="0.84770000000000001"/>
    <n v="23"/>
    <d v="1899-12-30T00:00:52"/>
    <d v="1899-12-30T00:02:30"/>
    <d v="1899-12-30T00:05:38"/>
    <n v="0.37930000000000003"/>
    <n v="5.333333333333333"/>
    <n v="320"/>
    <n v="8.4583333333333321"/>
    <n v="507.49999999999994"/>
    <n v="1"/>
    <n v="1.3216145833333333"/>
    <n v="2"/>
    <n v="1"/>
    <m/>
    <m/>
    <m/>
    <m/>
    <n v="63.873027912351667"/>
    <n v="281.10665732917761"/>
    <s v="Training"/>
  </r>
  <r>
    <d v="2021-07-24T00:00:00"/>
    <x v="6"/>
    <n v="7"/>
    <n v="7"/>
    <x v="29"/>
    <x v="1"/>
    <n v="182"/>
    <m/>
    <m/>
    <m/>
    <m/>
    <n v="128"/>
    <n v="0.92090000000000005"/>
    <n v="11"/>
    <d v="1899-12-30T00:00:32"/>
    <d v="1899-12-30T00:02:44"/>
    <d v="1899-12-30T00:03:34"/>
    <n v="0.51800000000000002"/>
    <n v="5.8311111111111114"/>
    <n v="349.86666666666667"/>
    <n v="8.2911111111111104"/>
    <n v="497.46666666666664"/>
    <n v="1"/>
    <n v="1.2954861111111111"/>
    <n v="2"/>
    <n v="1"/>
    <m/>
    <m/>
    <m/>
    <m/>
    <n v="59.118568905382602"/>
    <n v="282.3295720331007"/>
    <s v="Training"/>
  </r>
  <r>
    <d v="2021-07-25T00:00:00"/>
    <x v="0"/>
    <n v="1"/>
    <n v="7"/>
    <x v="30"/>
    <x v="1"/>
    <n v="18"/>
    <m/>
    <m/>
    <m/>
    <m/>
    <n v="135"/>
    <n v="0.81330000000000002"/>
    <n v="31"/>
    <d v="1899-12-30T00:00:41"/>
    <d v="1899-12-30T00:02:40"/>
    <d v="1899-12-30T00:05:09"/>
    <n v="0.46500000000000002"/>
    <n v="6"/>
    <n v="360"/>
    <n v="0.8"/>
    <n v="48"/>
    <n v="1"/>
    <n v="1"/>
    <n v="2"/>
    <n v="1"/>
    <m/>
    <m/>
    <m/>
    <m/>
    <n v="-36.253538161641252"/>
    <n v="190.9175759147667"/>
    <s v="Training"/>
  </r>
  <r>
    <d v="2021-07-26T00:00:00"/>
    <x v="1"/>
    <n v="2"/>
    <n v="7"/>
    <x v="30"/>
    <x v="1"/>
    <n v="215"/>
    <m/>
    <m/>
    <m/>
    <m/>
    <n v="196"/>
    <n v="0.75970000000000004"/>
    <n v="62"/>
    <d v="1899-12-30T00:01:10"/>
    <d v="1899-12-30T00:02:30"/>
    <d v="1899-12-30T00:07:51"/>
    <n v="0.2429"/>
    <n v="8.1666666666666661"/>
    <n v="489.99999999999994"/>
    <n v="8.9583333333333339"/>
    <n v="537.5"/>
    <n v="1.28"/>
    <n v="1.3997395833333333"/>
    <n v="2"/>
    <n v="2"/>
    <m/>
    <m/>
    <m/>
    <m/>
    <n v="65.167267277644342"/>
    <n v="290.28359662600423"/>
    <s v="Training"/>
  </r>
  <r>
    <d v="2021-07-27T00:00:00"/>
    <x v="2"/>
    <n v="3"/>
    <n v="7"/>
    <x v="30"/>
    <x v="1"/>
    <n v="209"/>
    <m/>
    <m/>
    <m/>
    <m/>
    <n v="176"/>
    <n v="0.86699999999999999"/>
    <n v="27"/>
    <d v="1899-12-30T00:00:40"/>
    <d v="1899-12-30T00:02:30"/>
    <d v="1899-12-30T00:09:09"/>
    <n v="0.44779999999999998"/>
    <n v="7.3333333333333321"/>
    <n v="439.99999999999994"/>
    <n v="8.7083333333333339"/>
    <n v="522.5"/>
    <n v="1.1499999999999999"/>
    <n v="1.3606770833333333"/>
    <n v="2"/>
    <n v="2"/>
    <m/>
    <m/>
    <m/>
    <m/>
    <n v="48.454844079648488"/>
    <n v="275.15154479166989"/>
    <s v="Training"/>
  </r>
  <r>
    <d v="2021-07-28T00:00:00"/>
    <x v="3"/>
    <n v="4"/>
    <n v="7"/>
    <x v="30"/>
    <x v="1"/>
    <n v="140"/>
    <m/>
    <m/>
    <m/>
    <m/>
    <n v="162"/>
    <n v="0.8901"/>
    <n v="20"/>
    <d v="1899-12-30T00:00:25"/>
    <d v="1899-12-30T00:02:48"/>
    <d v="1899-12-30T00:03:40"/>
    <n v="0.59430000000000005"/>
    <n v="7.56"/>
    <n v="453.59999999999997"/>
    <n v="6.5333333333333323"/>
    <n v="391.99999999999994"/>
    <n v="1.18"/>
    <n v="1.0208333333333333"/>
    <n v="2"/>
    <n v="2"/>
    <m/>
    <m/>
    <m/>
    <m/>
    <n v="52.479049905889468"/>
    <n v="282.30417425567867"/>
    <s v="Training"/>
  </r>
  <r>
    <d v="2021-07-29T00:00:00"/>
    <x v="4"/>
    <n v="5"/>
    <n v="7"/>
    <x v="30"/>
    <x v="1"/>
    <n v="124"/>
    <m/>
    <m/>
    <m/>
    <m/>
    <n v="17"/>
    <n v="0.94440000000000002"/>
    <n v="1"/>
    <d v="1899-12-30T00:00:55"/>
    <d v="1899-12-30T00:04:01"/>
    <d v="1899-12-30T00:05:46"/>
    <n v="0.5"/>
    <n v="1.1380555555555556"/>
    <n v="68.283333333333331"/>
    <n v="8.301111111111112"/>
    <n v="498.06666666666672"/>
    <n v="1"/>
    <n v="1.2970486111111112"/>
    <n v="1"/>
    <n v="1"/>
    <m/>
    <m/>
    <m/>
    <m/>
    <n v="50.831062851542796"/>
    <n v="272.07222025546162"/>
    <s v="Training"/>
  </r>
  <r>
    <d v="2021-07-30T00:00:00"/>
    <x v="5"/>
    <n v="6"/>
    <n v="7"/>
    <x v="30"/>
    <x v="1"/>
    <n v="179"/>
    <m/>
    <m/>
    <m/>
    <m/>
    <n v="170"/>
    <n v="0.79069999999999996"/>
    <n v="45"/>
    <d v="1899-12-30T00:00:55"/>
    <d v="1899-12-30T00:02:49"/>
    <d v="1899-12-30T00:07:26"/>
    <n v="0.43059999999999998"/>
    <n v="7.9805555555555552"/>
    <n v="478.83333333333331"/>
    <n v="8.4030555555555555"/>
    <n v="504.18333333333334"/>
    <n v="1.25"/>
    <n v="1.3129774305555555"/>
    <n v="2"/>
    <n v="2"/>
    <m/>
    <m/>
    <m/>
    <m/>
    <n v="47.149426303919967"/>
    <n v="260.83194443102929"/>
    <s v="Training"/>
  </r>
  <r>
    <d v="2021-07-31T00:00:00"/>
    <x v="6"/>
    <n v="7"/>
    <n v="7"/>
    <x v="30"/>
    <x v="1"/>
    <n v="163"/>
    <m/>
    <m/>
    <m/>
    <m/>
    <n v="203"/>
    <n v="0.97130000000000005"/>
    <n v="6"/>
    <d v="1899-12-30T00:00:25"/>
    <d v="1899-12-30T00:02:42"/>
    <d v="1899-12-30T00:03:40"/>
    <n v="0.74880000000000002"/>
    <n v="9.1349999999999998"/>
    <n v="548.1"/>
    <n v="7.335"/>
    <n v="440.1"/>
    <n v="1.43"/>
    <n v="1.1460937500000001"/>
    <n v="2"/>
    <n v="2"/>
    <m/>
    <m/>
    <m/>
    <m/>
    <n v="41.891042973004083"/>
    <n v="269.82587925080361"/>
    <s v="Training"/>
  </r>
  <r>
    <d v="2021-08-01T00:00:00"/>
    <x v="0"/>
    <n v="1"/>
    <n v="8"/>
    <x v="31"/>
    <x v="1"/>
    <n v="247"/>
    <m/>
    <m/>
    <m/>
    <m/>
    <n v="134"/>
    <n v="0.95709999999999995"/>
    <n v="6"/>
    <d v="1899-12-30T00:00:20"/>
    <d v="1899-12-30T00:02:59"/>
    <d v="1899-12-30T00:03:21"/>
    <n v="0.76259999999999994"/>
    <n v="6.6627777777777775"/>
    <n v="399.76666666666665"/>
    <n v="12.281388888888889"/>
    <n v="736.88333333333333"/>
    <n v="1.04"/>
    <n v="1.9189670138888888"/>
    <n v="2"/>
    <n v="2"/>
    <m/>
    <m/>
    <m/>
    <m/>
    <n v="-39.668777697842977"/>
    <n v="178.11263794424431"/>
    <s v="Training"/>
  </r>
  <r>
    <d v="2021-08-02T00:00:00"/>
    <x v="1"/>
    <n v="2"/>
    <n v="8"/>
    <x v="31"/>
    <x v="1"/>
    <n v="56"/>
    <m/>
    <m/>
    <m/>
    <m/>
    <n v="110"/>
    <n v="0.8871"/>
    <n v="14"/>
    <d v="1899-12-30T00:00:15"/>
    <d v="1899-12-30T00:02:56"/>
    <d v="1899-12-30T00:08:16"/>
    <n v="0.81820000000000004"/>
    <n v="5.3777777777777782"/>
    <n v="322.66666666666669"/>
    <n v="2.7377777777777776"/>
    <n v="164.26666666666665"/>
    <n v="1"/>
    <n v="1"/>
    <n v="2"/>
    <n v="1"/>
    <m/>
    <m/>
    <m/>
    <m/>
    <n v="56.457160177639373"/>
    <n v="278.07510654903632"/>
    <s v="Training"/>
  </r>
  <r>
    <d v="2021-08-03T00:00:00"/>
    <x v="2"/>
    <n v="3"/>
    <n v="8"/>
    <x v="31"/>
    <x v="1"/>
    <n v="177"/>
    <m/>
    <m/>
    <m/>
    <m/>
    <n v="163"/>
    <n v="0.91059999999999997"/>
    <n v="16"/>
    <d v="1899-12-30T00:00:23"/>
    <d v="1899-12-30T00:02:44"/>
    <d v="1899-12-30T00:04:17"/>
    <n v="0.71589999999999998"/>
    <n v="7.4255555555555555"/>
    <n v="445.5333333333333"/>
    <n v="8.0633333333333326"/>
    <n v="483.79999999999995"/>
    <n v="1.1599999999999999"/>
    <n v="1.2598958333333332"/>
    <n v="2"/>
    <n v="2"/>
    <m/>
    <m/>
    <m/>
    <m/>
    <n v="36.534130894533483"/>
    <n v="255.84879744895849"/>
    <s v="Training"/>
  </r>
  <r>
    <d v="2021-08-04T00:00:00"/>
    <x v="3"/>
    <n v="4"/>
    <n v="8"/>
    <x v="31"/>
    <x v="1"/>
    <n v="138"/>
    <m/>
    <m/>
    <m/>
    <m/>
    <n v="161"/>
    <n v="0.98770000000000002"/>
    <n v="2"/>
    <d v="1899-12-30T00:00:10"/>
    <d v="1899-12-30T00:02:40"/>
    <d v="1899-12-30T00:01:51"/>
    <n v="0.94410000000000005"/>
    <n v="7.1555555555555559"/>
    <n v="429.33333333333337"/>
    <n v="6.1333333333333346"/>
    <n v="368.00000000000006"/>
    <n v="1.1200000000000001"/>
    <n v="1"/>
    <n v="2"/>
    <n v="2"/>
    <m/>
    <m/>
    <m/>
    <m/>
    <n v="46.871152910236532"/>
    <n v="269.87452233027648"/>
    <s v="Training"/>
  </r>
  <r>
    <d v="2021-08-05T00:00:00"/>
    <x v="4"/>
    <n v="5"/>
    <n v="8"/>
    <x v="31"/>
    <x v="1"/>
    <n v="110"/>
    <m/>
    <m/>
    <m/>
    <m/>
    <n v="27"/>
    <n v="1"/>
    <n v="0"/>
    <d v="1899-12-30T00:00:05"/>
    <d v="1899-12-30T00:02:48"/>
    <d v="1899-12-30T00:00:19"/>
    <n v="1"/>
    <n v="1.26"/>
    <n v="75.599999999999994"/>
    <n v="5.1333333333333337"/>
    <n v="308"/>
    <n v="1"/>
    <n v="1"/>
    <n v="1"/>
    <n v="1"/>
    <m/>
    <m/>
    <m/>
    <m/>
    <n v="46.819122455136757"/>
    <n v="265.29834878370252"/>
    <s v="Training"/>
  </r>
  <r>
    <d v="2021-08-06T00:00:00"/>
    <x v="5"/>
    <n v="6"/>
    <n v="8"/>
    <x v="31"/>
    <x v="1"/>
    <n v="107"/>
    <m/>
    <m/>
    <m/>
    <m/>
    <n v="175"/>
    <n v="0.96150000000000002"/>
    <n v="7"/>
    <d v="1899-12-30T00:00:19"/>
    <d v="1899-12-30T00:02:38"/>
    <d v="1899-12-30T00:03:08"/>
    <n v="0.79890000000000005"/>
    <n v="7.6805555555555554"/>
    <n v="460.83333333333331"/>
    <n v="4.6961111111111107"/>
    <n v="281.76666666666665"/>
    <n v="1.2"/>
    <n v="1"/>
    <n v="2"/>
    <n v="2"/>
    <m/>
    <m/>
    <m/>
    <m/>
    <n v="23.263080409547609"/>
    <n v="256.52904389318547"/>
    <s v="Training"/>
  </r>
  <r>
    <d v="2021-08-07T00:00:00"/>
    <x v="6"/>
    <n v="7"/>
    <n v="8"/>
    <x v="31"/>
    <x v="1"/>
    <n v="155"/>
    <m/>
    <m/>
    <m/>
    <m/>
    <n v="159"/>
    <n v="0.96950000000000003"/>
    <n v="5"/>
    <d v="1899-12-30T00:00:11"/>
    <d v="1899-12-30T00:02:23"/>
    <d v="1899-12-30T00:06:28"/>
    <n v="0.90180000000000005"/>
    <n v="6.315833333333333"/>
    <n v="378.95"/>
    <n v="6.1569444444444441"/>
    <n v="369.41666666666663"/>
    <n v="1"/>
    <n v="1"/>
    <n v="2"/>
    <n v="1"/>
    <m/>
    <m/>
    <m/>
    <m/>
    <n v="33.147878002280542"/>
    <n v="256.89123996804551"/>
    <s v="Training"/>
  </r>
  <r>
    <d v="2021-08-08T00:00:00"/>
    <x v="0"/>
    <n v="1"/>
    <n v="8"/>
    <x v="32"/>
    <x v="1"/>
    <n v="25"/>
    <m/>
    <m/>
    <m/>
    <m/>
    <n v="159"/>
    <n v="0.99380000000000002"/>
    <n v="1"/>
    <d v="1899-12-30T00:00:05"/>
    <d v="1899-12-30T00:02:40"/>
    <d v="1899-12-30T00:00:58"/>
    <n v="0.98740000000000006"/>
    <n v="7.0666666666666664"/>
    <n v="424"/>
    <n v="1.1111111111111112"/>
    <n v="66.666666666666671"/>
    <n v="1.1000000000000001"/>
    <n v="1"/>
    <n v="2"/>
    <n v="2"/>
    <m/>
    <m/>
    <m/>
    <m/>
    <n v="-62.586408540844928"/>
    <n v="172.09365131524581"/>
    <s v="Training"/>
  </r>
  <r>
    <d v="2021-08-09T00:00:00"/>
    <x v="1"/>
    <n v="2"/>
    <n v="8"/>
    <x v="32"/>
    <x v="1"/>
    <n v="22"/>
    <m/>
    <m/>
    <m/>
    <m/>
    <n v="155"/>
    <n v="0.89080000000000004"/>
    <n v="19"/>
    <d v="1899-12-30T00:00:16"/>
    <d v="1899-12-30T00:02:41"/>
    <d v="1899-12-30T00:06:39"/>
    <n v="0.77059999999999995"/>
    <n v="6.9319444444444445"/>
    <n v="415.91666666666669"/>
    <n v="0.98388888888888892"/>
    <n v="59.033333333333339"/>
    <n v="1.08"/>
    <n v="1"/>
    <n v="2"/>
    <n v="2"/>
    <m/>
    <m/>
    <m/>
    <m/>
    <n v="46.602533792688817"/>
    <n v="266.35578623289962"/>
    <s v="Training"/>
  </r>
  <r>
    <d v="2021-08-10T00:00:00"/>
    <x v="2"/>
    <n v="3"/>
    <n v="8"/>
    <x v="32"/>
    <x v="1"/>
    <n v="107"/>
    <m/>
    <m/>
    <m/>
    <m/>
    <n v="230"/>
    <n v="0.97870000000000001"/>
    <n v="5"/>
    <d v="1899-12-30T00:00:05"/>
    <d v="1899-12-30T00:02:27"/>
    <d v="1899-12-30T00:01:50"/>
    <n v="0.95740000000000003"/>
    <n v="9.3916666666666675"/>
    <n v="563.5"/>
    <n v="4.3691666666666658"/>
    <n v="262.14999999999992"/>
    <n v="1.47"/>
    <n v="1"/>
    <n v="2"/>
    <n v="2"/>
    <m/>
    <m/>
    <m/>
    <m/>
    <n v="35.286373515162254"/>
    <n v="250.59649074669281"/>
    <s v="Training"/>
  </r>
  <r>
    <d v="2021-08-11T00:00:00"/>
    <x v="3"/>
    <n v="4"/>
    <n v="8"/>
    <x v="32"/>
    <x v="1"/>
    <n v="155"/>
    <m/>
    <m/>
    <m/>
    <m/>
    <n v="174"/>
    <n v="0.99429999999999996"/>
    <n v="1"/>
    <d v="1899-12-30T00:00:04"/>
    <d v="1899-12-30T00:02:26"/>
    <d v="1899-12-30T00:01:53"/>
    <n v="0.98860000000000003"/>
    <n v="7.0566666666666666"/>
    <n v="423.4"/>
    <n v="6.2861111111111114"/>
    <n v="377.16666666666669"/>
    <n v="1.1000000000000001"/>
    <n v="1"/>
    <n v="2"/>
    <n v="2"/>
    <m/>
    <m/>
    <m/>
    <m/>
    <n v="43.45454030937892"/>
    <n v="256.91703375992267"/>
    <s v="Training"/>
  </r>
  <r>
    <d v="2021-08-12T00:00:00"/>
    <x v="4"/>
    <n v="5"/>
    <n v="8"/>
    <x v="32"/>
    <x v="1"/>
    <n v="251"/>
    <m/>
    <m/>
    <m/>
    <m/>
    <n v="25"/>
    <n v="1"/>
    <n v="0"/>
    <d v="1899-12-30T00:00:04"/>
    <d v="1899-12-30T00:03:15"/>
    <d v="1899-12-30T00:00:55"/>
    <n v="0.96"/>
    <n v="1.3541666666666665"/>
    <n v="81.249999999999986"/>
    <n v="13.595833333333333"/>
    <n v="815.75"/>
    <n v="1"/>
    <n v="2.1243489583333335"/>
    <n v="1"/>
    <n v="1"/>
    <m/>
    <m/>
    <m/>
    <m/>
    <n v="34.494694076741403"/>
    <n v="253.17316622450591"/>
    <s v="Training"/>
  </r>
  <r>
    <d v="2021-08-13T00:00:00"/>
    <x v="5"/>
    <n v="6"/>
    <n v="8"/>
    <x v="32"/>
    <x v="1"/>
    <n v="143"/>
    <m/>
    <m/>
    <m/>
    <m/>
    <n v="167"/>
    <n v="0.98240000000000005"/>
    <n v="3"/>
    <d v="1899-12-30T00:00:06"/>
    <d v="1899-12-30T00:02:35"/>
    <d v="1899-12-30T00:03:40"/>
    <n v="0.94079999999999997"/>
    <n v="7.1902777777777782"/>
    <n v="431.41666666666669"/>
    <n v="6.1569444444444441"/>
    <n v="369.41666666666663"/>
    <n v="1.1200000000000001"/>
    <n v="1"/>
    <n v="2"/>
    <n v="2"/>
    <m/>
    <m/>
    <m/>
    <m/>
    <n v="14.98536865028812"/>
    <n v="242.18528323097891"/>
    <s v="Training"/>
  </r>
  <r>
    <d v="2021-08-14T00:00:00"/>
    <x v="6"/>
    <n v="7"/>
    <n v="8"/>
    <x v="32"/>
    <x v="1"/>
    <n v="100"/>
    <m/>
    <m/>
    <m/>
    <m/>
    <n v="168"/>
    <n v="0.89839999999999998"/>
    <n v="19"/>
    <d v="1899-12-30T00:00:26"/>
    <d v="1899-12-30T00:02:20"/>
    <d v="1899-12-30T00:04:49"/>
    <n v="0.70430000000000004"/>
    <n v="6.5333333333333323"/>
    <n v="391.99999999999994"/>
    <n v="3.8888888888888888"/>
    <n v="233.33333333333334"/>
    <n v="1.02"/>
    <n v="1"/>
    <n v="2"/>
    <n v="2"/>
    <m/>
    <m/>
    <m/>
    <m/>
    <n v="25.957117303899821"/>
    <n v="250.85510220378001"/>
    <s v="Training"/>
  </r>
  <r>
    <d v="2021-08-15T00:00:00"/>
    <x v="0"/>
    <n v="1"/>
    <n v="8"/>
    <x v="33"/>
    <x v="1"/>
    <n v="17"/>
    <m/>
    <m/>
    <m/>
    <m/>
    <n v="51"/>
    <n v="0.96230000000000004"/>
    <n v="2"/>
    <d v="1899-12-30T00:00:06"/>
    <d v="1899-12-30T00:02:29"/>
    <d v="1899-12-30T00:01:50"/>
    <n v="0.88680000000000003"/>
    <n v="2.1108333333333333"/>
    <n v="126.65"/>
    <n v="0.70361111111111108"/>
    <n v="42.216666666666661"/>
    <n v="1"/>
    <n v="1"/>
    <n v="2"/>
    <n v="1"/>
    <m/>
    <m/>
    <m/>
    <m/>
    <n v="-64.649043775968082"/>
    <n v="158.4578535493259"/>
    <s v="Training"/>
  </r>
  <r>
    <d v="2021-08-16T00:00:00"/>
    <x v="1"/>
    <n v="2"/>
    <n v="8"/>
    <x v="33"/>
    <x v="1"/>
    <n v="113"/>
    <m/>
    <m/>
    <m/>
    <m/>
    <n v="117"/>
    <n v="0.96689999999999998"/>
    <n v="4"/>
    <d v="1899-12-30T00:00:13"/>
    <d v="1899-12-30T00:02:36"/>
    <d v="1899-12-30T00:02:41"/>
    <n v="0.85829999999999995"/>
    <n v="5.07"/>
    <n v="304.20000000000005"/>
    <n v="4.8966666666666665"/>
    <n v="293.8"/>
    <n v="1"/>
    <n v="1"/>
    <n v="2"/>
    <n v="1"/>
    <m/>
    <m/>
    <m/>
    <m/>
    <n v="36.409416558060443"/>
    <n v="251.08652114405629"/>
    <s v="Training"/>
  </r>
  <r>
    <d v="2021-08-17T00:00:00"/>
    <x v="2"/>
    <n v="3"/>
    <n v="8"/>
    <x v="33"/>
    <x v="1"/>
    <n v="139"/>
    <m/>
    <m/>
    <m/>
    <m/>
    <n v="139"/>
    <n v="0.97199999999999998"/>
    <n v="4"/>
    <d v="1899-12-30T00:00:05"/>
    <d v="1899-12-30T00:02:26"/>
    <d v="1899-12-30T00:01:56"/>
    <n v="0.94410000000000005"/>
    <n v="5.6372222222222224"/>
    <n v="338.23333333333335"/>
    <n v="5.6372222222222224"/>
    <n v="338.23333333333335"/>
    <n v="1"/>
    <n v="1"/>
    <n v="2"/>
    <n v="1"/>
    <m/>
    <m/>
    <m/>
    <m/>
    <n v="25.697538806244651"/>
    <n v="244.81793178597329"/>
    <s v="Training"/>
  </r>
  <r>
    <d v="2021-08-18T00:00:00"/>
    <x v="3"/>
    <n v="4"/>
    <n v="8"/>
    <x v="33"/>
    <x v="1"/>
    <n v="135"/>
    <m/>
    <m/>
    <m/>
    <m/>
    <n v="96"/>
    <n v="0.96"/>
    <n v="4"/>
    <d v="1899-12-30T00:00:06"/>
    <d v="1899-12-30T00:02:28"/>
    <d v="1899-12-30T00:01:50"/>
    <n v="0.91920000000000002"/>
    <n v="3.9466666666666668"/>
    <n v="236.8"/>
    <n v="5.55"/>
    <n v="333"/>
    <n v="1"/>
    <n v="1"/>
    <n v="2"/>
    <n v="1"/>
    <m/>
    <m/>
    <m/>
    <m/>
    <n v="38.080927564668571"/>
    <n v="245.59101398954971"/>
    <s v="Training"/>
  </r>
  <r>
    <d v="2021-08-19T00:00:00"/>
    <x v="4"/>
    <n v="5"/>
    <n v="8"/>
    <x v="33"/>
    <x v="1"/>
    <n v="29"/>
    <m/>
    <m/>
    <m/>
    <m/>
    <n v="17"/>
    <n v="1"/>
    <n v="0"/>
    <d v="1899-12-30T00:00:08"/>
    <d v="1899-12-30T00:02:55"/>
    <d v="1899-12-30T00:00:59"/>
    <n v="0.88239999999999996"/>
    <n v="0.82638888888888884"/>
    <n v="49.583333333333329"/>
    <n v="1.4097222222222223"/>
    <n v="84.583333333333343"/>
    <n v="1"/>
    <n v="1"/>
    <n v="1"/>
    <n v="1"/>
    <m/>
    <m/>
    <m/>
    <m/>
    <n v="26.67107309661526"/>
    <n v="251.0901444056145"/>
    <s v="Training"/>
  </r>
  <r>
    <d v="2021-08-20T00:00:00"/>
    <x v="5"/>
    <n v="6"/>
    <n v="8"/>
    <x v="33"/>
    <x v="1"/>
    <n v="120"/>
    <m/>
    <m/>
    <m/>
    <m/>
    <n v="110"/>
    <n v="0.97350000000000003"/>
    <n v="3"/>
    <d v="1899-12-30T00:00:08"/>
    <d v="1899-12-30T00:02:33"/>
    <d v="1899-12-30T00:01:18"/>
    <n v="0.90180000000000005"/>
    <n v="4.6749999999999998"/>
    <n v="280.5"/>
    <n v="5.0999999999999996"/>
    <n v="306"/>
    <n v="1"/>
    <n v="1"/>
    <n v="2"/>
    <n v="1"/>
    <m/>
    <m/>
    <m/>
    <m/>
    <n v="19.424853803859431"/>
    <n v="241.02399732191671"/>
    <s v="Training"/>
  </r>
  <r>
    <d v="2021-08-21T00:00:00"/>
    <x v="6"/>
    <n v="7"/>
    <n v="8"/>
    <x v="33"/>
    <x v="1"/>
    <n v="115"/>
    <m/>
    <m/>
    <m/>
    <m/>
    <n v="128"/>
    <n v="0.92090000000000005"/>
    <n v="11"/>
    <d v="1899-12-30T00:00:13"/>
    <d v="1899-12-30T00:02:38"/>
    <d v="1899-12-30T00:03:40"/>
    <n v="0.82010000000000005"/>
    <n v="5.6177777777777775"/>
    <n v="337.06666666666666"/>
    <n v="5.0472222222222225"/>
    <n v="302.83333333333337"/>
    <n v="1"/>
    <n v="1"/>
    <n v="2"/>
    <n v="1"/>
    <m/>
    <m/>
    <m/>
    <m/>
    <n v="32.087356748485739"/>
    <n v="251.09556850449121"/>
    <s v="Training"/>
  </r>
  <r>
    <d v="2021-08-22T00:00:00"/>
    <x v="0"/>
    <n v="1"/>
    <n v="8"/>
    <x v="34"/>
    <x v="1"/>
    <n v="14"/>
    <m/>
    <m/>
    <m/>
    <m/>
    <n v="134"/>
    <n v="0.99260000000000004"/>
    <n v="1"/>
    <d v="1899-12-30T00:00:04"/>
    <d v="1899-12-30T00:02:34"/>
    <d v="1899-12-30T00:01:50"/>
    <n v="0.98519999999999996"/>
    <n v="5.7322222222222221"/>
    <n v="343.93333333333334"/>
    <n v="0.59888888888888892"/>
    <n v="35.933333333333337"/>
    <n v="1"/>
    <n v="1"/>
    <n v="2"/>
    <n v="1"/>
    <m/>
    <m/>
    <m/>
    <m/>
    <n v="-44.783711924785671"/>
    <n v="165.97972217659091"/>
    <s v="Training"/>
  </r>
  <r>
    <d v="2021-08-23T00:00:00"/>
    <x v="1"/>
    <n v="2"/>
    <n v="8"/>
    <x v="34"/>
    <x v="1"/>
    <n v="107"/>
    <m/>
    <m/>
    <m/>
    <m/>
    <n v="29"/>
    <n v="1"/>
    <n v="0"/>
    <d v="1899-12-30T00:00:15"/>
    <d v="1899-12-30T00:03:13"/>
    <d v="1899-12-30T00:01:29"/>
    <n v="0.79310000000000003"/>
    <n v="1.5547222222222221"/>
    <n v="93.283333333333331"/>
    <n v="5.7363888888888885"/>
    <n v="344.18333333333334"/>
    <n v="1"/>
    <n v="1"/>
    <n v="2"/>
    <n v="1"/>
    <m/>
    <m/>
    <m/>
    <m/>
    <n v="36.892345118120758"/>
    <n v="247.25939021280919"/>
    <s v="Training"/>
  </r>
  <r>
    <d v="2021-08-24T00:00:00"/>
    <x v="2"/>
    <n v="3"/>
    <n v="8"/>
    <x v="34"/>
    <x v="1"/>
    <n v="137"/>
    <m/>
    <m/>
    <m/>
    <m/>
    <n v="116"/>
    <n v="0.9667"/>
    <n v="4"/>
    <d v="1899-12-30T00:00:05"/>
    <d v="1899-12-30T00:02:43"/>
    <d v="1899-12-30T00:02:45"/>
    <n v="0.95830000000000004"/>
    <n v="5.2522222222222226"/>
    <n v="315.13333333333333"/>
    <n v="6.2030555555555562"/>
    <n v="372.18333333333339"/>
    <n v="1"/>
    <n v="1"/>
    <n v="2"/>
    <n v="1"/>
    <m/>
    <m/>
    <m/>
    <m/>
    <n v="18.04488862603332"/>
    <n v="245.67471532521651"/>
    <s v="Training"/>
  </r>
  <r>
    <d v="2021-08-25T00:00:00"/>
    <x v="3"/>
    <n v="4"/>
    <n v="8"/>
    <x v="34"/>
    <x v="1"/>
    <n v="106"/>
    <m/>
    <m/>
    <m/>
    <m/>
    <n v="108"/>
    <n v="0.93910000000000005"/>
    <n v="7"/>
    <d v="1899-12-30T00:00:09"/>
    <d v="1899-12-30T00:02:50"/>
    <d v="1899-12-30T00:04:25"/>
    <n v="0.88700000000000001"/>
    <n v="5.0999999999999988"/>
    <n v="305.99999999999994"/>
    <n v="5.0055555555555546"/>
    <n v="300.33333333333326"/>
    <n v="1"/>
    <n v="1"/>
    <n v="2"/>
    <n v="1"/>
    <m/>
    <m/>
    <m/>
    <m/>
    <n v="28.58178891926876"/>
    <n v="261.02991061965429"/>
    <s v="Training"/>
  </r>
  <r>
    <d v="2021-08-26T00:00:00"/>
    <x v="4"/>
    <n v="5"/>
    <n v="8"/>
    <x v="34"/>
    <x v="1"/>
    <n v="116"/>
    <m/>
    <m/>
    <m/>
    <m/>
    <n v="14"/>
    <n v="1"/>
    <n v="0"/>
    <d v="1899-12-30T00:00:14"/>
    <d v="1899-12-30T00:02:17"/>
    <d v="1899-12-30T00:01:14"/>
    <n v="0.78569999999999995"/>
    <n v="0.53277777777777768"/>
    <n v="31.966666666666661"/>
    <n v="4.4144444444444435"/>
    <n v="264.86666666666662"/>
    <n v="1"/>
    <n v="1"/>
    <n v="1"/>
    <n v="1"/>
    <m/>
    <m/>
    <m/>
    <m/>
    <n v="29.646257492747111"/>
    <n v="252.37527120900191"/>
    <s v="Training"/>
  </r>
  <r>
    <d v="2021-08-27T00:00:00"/>
    <x v="5"/>
    <n v="6"/>
    <n v="8"/>
    <x v="34"/>
    <x v="1"/>
    <n v="120"/>
    <m/>
    <m/>
    <m/>
    <m/>
    <n v="104"/>
    <n v="0.97199999999999998"/>
    <n v="3"/>
    <d v="1899-12-30T00:00:07"/>
    <d v="1899-12-30T00:02:29"/>
    <d v="1899-12-30T00:00:58"/>
    <n v="0.90569999999999995"/>
    <n v="4.3044444444444441"/>
    <n v="258.26666666666665"/>
    <n v="4.9666666666666668"/>
    <n v="298"/>
    <n v="1"/>
    <n v="1"/>
    <n v="2"/>
    <n v="1"/>
    <m/>
    <m/>
    <m/>
    <m/>
    <n v="31.19438213661417"/>
    <n v="242.58907187725271"/>
    <s v="Training"/>
  </r>
  <r>
    <d v="2021-08-28T00:00:00"/>
    <x v="6"/>
    <n v="7"/>
    <n v="8"/>
    <x v="34"/>
    <x v="1"/>
    <n v="123"/>
    <m/>
    <m/>
    <m/>
    <m/>
    <n v="128"/>
    <n v="0.93430000000000002"/>
    <n v="9"/>
    <d v="1899-12-30T00:00:10"/>
    <d v="1899-12-30T00:02:30"/>
    <d v="1899-12-30T00:02:03"/>
    <n v="0.85289999999999999"/>
    <n v="5.333333333333333"/>
    <n v="320"/>
    <n v="5.125"/>
    <n v="307.5"/>
    <n v="1"/>
    <n v="1"/>
    <n v="2"/>
    <n v="1"/>
    <m/>
    <m/>
    <m/>
    <m/>
    <n v="41.250714233506507"/>
    <n v="251.3258070253616"/>
    <s v="Training"/>
  </r>
  <r>
    <d v="2021-08-29T00:00:00"/>
    <x v="0"/>
    <n v="1"/>
    <n v="8"/>
    <x v="35"/>
    <x v="1"/>
    <n v="31"/>
    <m/>
    <m/>
    <m/>
    <m/>
    <n v="105"/>
    <n v="0.99060000000000004"/>
    <n v="1"/>
    <d v="1899-12-30T00:00:11"/>
    <d v="1899-12-30T00:02:47"/>
    <d v="1899-12-30T00:01:53"/>
    <n v="0.85850000000000004"/>
    <n v="4.8708333333333336"/>
    <n v="292.25"/>
    <n v="1.4380555555555556"/>
    <n v="86.283333333333331"/>
    <n v="1"/>
    <n v="1"/>
    <n v="2"/>
    <n v="1"/>
    <m/>
    <m/>
    <m/>
    <m/>
    <n v="-43.942905168896758"/>
    <n v="165.93400811095"/>
    <s v="Training"/>
  </r>
  <r>
    <d v="2021-08-30T00:00:00"/>
    <x v="1"/>
    <n v="2"/>
    <n v="8"/>
    <x v="35"/>
    <x v="1"/>
    <n v="140"/>
    <m/>
    <m/>
    <m/>
    <m/>
    <n v="108"/>
    <n v="0.93100000000000005"/>
    <n v="8"/>
    <d v="1899-12-30T00:00:19"/>
    <d v="1899-12-30T00:02:26"/>
    <d v="1899-12-30T00:02:33"/>
    <n v="0.8407"/>
    <n v="4.38"/>
    <n v="262.8"/>
    <n v="5.677777777777778"/>
    <n v="340.66666666666669"/>
    <n v="1"/>
    <n v="1"/>
    <n v="2"/>
    <n v="1"/>
    <m/>
    <m/>
    <m/>
    <m/>
    <n v="43.885532821568333"/>
    <n v="258.01091009022008"/>
    <s v="Training"/>
  </r>
  <r>
    <d v="2021-08-31T00:00:00"/>
    <x v="2"/>
    <n v="3"/>
    <n v="8"/>
    <x v="35"/>
    <x v="1"/>
    <n v="168"/>
    <m/>
    <m/>
    <m/>
    <m/>
    <n v="117"/>
    <n v="0.97499999999999998"/>
    <n v="3"/>
    <d v="1899-12-30T00:00:09"/>
    <d v="1899-12-30T00:02:37"/>
    <d v="1899-12-30T00:01:05"/>
    <n v="0.90759999999999996"/>
    <n v="5.1025"/>
    <n v="306.14999999999998"/>
    <n v="7.326666666666668"/>
    <n v="439.60000000000008"/>
    <n v="1"/>
    <n v="1.1447916666666669"/>
    <n v="2"/>
    <n v="1"/>
    <m/>
    <m/>
    <m/>
    <m/>
    <n v="27.918075057868808"/>
    <n v="241.38895832802729"/>
    <s v="Training"/>
  </r>
  <r>
    <d v="2021-09-01T00:00:00"/>
    <x v="3"/>
    <n v="4"/>
    <n v="9"/>
    <x v="35"/>
    <x v="1"/>
    <n v="191"/>
    <m/>
    <m/>
    <m/>
    <m/>
    <n v="121"/>
    <n v="0.98370000000000002"/>
    <n v="2"/>
    <d v="1899-12-30T00:00:07"/>
    <d v="1899-12-30T00:02:27"/>
    <d v="1899-12-30T00:01:55"/>
    <n v="0.91059999999999997"/>
    <n v="4.940833333333333"/>
    <n v="296.45"/>
    <n v="7.7991666666666664"/>
    <n v="467.95"/>
    <n v="1"/>
    <n v="1.2186197916666666"/>
    <n v="2"/>
    <n v="1"/>
    <m/>
    <m/>
    <m/>
    <m/>
    <n v="46.301299705607818"/>
    <n v="266.26773626142659"/>
    <s v="Training"/>
  </r>
  <r>
    <d v="2021-09-02T00:00:00"/>
    <x v="4"/>
    <n v="5"/>
    <n v="9"/>
    <x v="35"/>
    <x v="1"/>
    <n v="215"/>
    <m/>
    <m/>
    <m/>
    <m/>
    <n v="31"/>
    <n v="1"/>
    <n v="0"/>
    <d v="1899-12-30T00:00:03"/>
    <d v="1899-12-30T00:02:18"/>
    <d v="1899-12-30T00:00:03"/>
    <n v="1"/>
    <n v="1.1883333333333332"/>
    <n v="71.3"/>
    <n v="8.2416666666666671"/>
    <n v="494.5"/>
    <n v="1"/>
    <n v="1.2877604166666667"/>
    <n v="1"/>
    <n v="1"/>
    <m/>
    <m/>
    <m/>
    <m/>
    <n v="43.167579955525682"/>
    <n v="267.1571574512547"/>
    <s v="Training"/>
  </r>
  <r>
    <d v="2021-09-03T00:00:00"/>
    <x v="5"/>
    <n v="6"/>
    <n v="9"/>
    <x v="35"/>
    <x v="1"/>
    <n v="156"/>
    <m/>
    <m/>
    <m/>
    <m/>
    <n v="139"/>
    <n v="0.9929"/>
    <n v="1"/>
    <d v="1899-12-30T00:00:08"/>
    <d v="1899-12-30T00:02:39"/>
    <d v="1899-12-30T00:01:11"/>
    <n v="0.9214"/>
    <n v="6.1391666666666653"/>
    <n v="368.34999999999991"/>
    <n v="6.8899999999999988"/>
    <n v="413.39999999999992"/>
    <n v="1"/>
    <n v="1.0765624999999999"/>
    <n v="2"/>
    <n v="1"/>
    <m/>
    <m/>
    <m/>
    <m/>
    <n v="38.422919030074823"/>
    <n v="256.97767378616311"/>
    <s v="Training"/>
  </r>
  <r>
    <d v="2021-09-04T00:00:00"/>
    <x v="6"/>
    <n v="7"/>
    <n v="9"/>
    <x v="35"/>
    <x v="1"/>
    <n v="125"/>
    <m/>
    <m/>
    <m/>
    <m/>
    <n v="161"/>
    <n v="0.95830000000000004"/>
    <n v="7"/>
    <d v="1899-12-30T00:00:18"/>
    <d v="1899-12-30T00:02:24"/>
    <d v="1899-12-30T00:02:24"/>
    <n v="0.73650000000000004"/>
    <n v="6.4400000000000013"/>
    <n v="386.40000000000009"/>
    <n v="5"/>
    <n v="300"/>
    <n v="1.01"/>
    <n v="1"/>
    <n v="2"/>
    <n v="2"/>
    <m/>
    <m/>
    <m/>
    <m/>
    <n v="35.919181173353842"/>
    <n v="261.18059585699592"/>
    <s v="Training"/>
  </r>
  <r>
    <d v="2021-09-05T00:00:00"/>
    <x v="0"/>
    <n v="1"/>
    <n v="9"/>
    <x v="36"/>
    <x v="1"/>
    <n v="24"/>
    <m/>
    <m/>
    <m/>
    <m/>
    <n v="144"/>
    <n v="0.98629999999999995"/>
    <n v="2"/>
    <d v="1899-12-30T00:00:06"/>
    <d v="1899-12-30T00:02:38"/>
    <d v="1899-12-30T00:00:58"/>
    <n v="0.94479999999999997"/>
    <n v="6.3199999999999994"/>
    <n v="379.2"/>
    <n v="1.0533333333333332"/>
    <n v="63.199999999999996"/>
    <n v="1"/>
    <n v="1"/>
    <n v="2"/>
    <n v="1"/>
    <m/>
    <m/>
    <m/>
    <m/>
    <n v="-42.892787675204268"/>
    <n v="176.5383836896348"/>
    <s v="Training"/>
  </r>
  <r>
    <d v="2021-09-06T00:00:00"/>
    <x v="1"/>
    <n v="2"/>
    <n v="9"/>
    <x v="36"/>
    <x v="1"/>
    <n v="173"/>
    <m/>
    <m/>
    <m/>
    <m/>
    <n v="106"/>
    <n v="0.96360000000000001"/>
    <n v="4"/>
    <d v="1899-12-30T00:00:15"/>
    <d v="1899-12-30T00:02:50"/>
    <d v="1899-12-30T00:02:30"/>
    <n v="0.8"/>
    <n v="5.0055555555555546"/>
    <n v="300.33333333333326"/>
    <n v="8.1694444444444443"/>
    <n v="490.16666666666663"/>
    <n v="1"/>
    <n v="1.2764756944444444"/>
    <n v="2"/>
    <n v="1"/>
    <m/>
    <m/>
    <m/>
    <m/>
    <n v="45.066982905178357"/>
    <n v="270.99774055336451"/>
    <s v="Training"/>
  </r>
  <r>
    <d v="2021-09-07T00:00:00"/>
    <x v="2"/>
    <n v="3"/>
    <n v="9"/>
    <x v="36"/>
    <x v="1"/>
    <n v="128"/>
    <m/>
    <m/>
    <m/>
    <m/>
    <n v="333"/>
    <n v="0.97370000000000001"/>
    <n v="9"/>
    <d v="1899-12-30T00:00:15"/>
    <d v="1899-12-30T00:02:10"/>
    <d v="1899-12-30T00:02:39"/>
    <n v="0.81420000000000003"/>
    <n v="12.025000000000002"/>
    <n v="721.50000000000011"/>
    <n v="4.6222222222222218"/>
    <n v="277.33333333333331"/>
    <n v="1.88"/>
    <n v="1"/>
    <n v="2"/>
    <n v="2"/>
    <m/>
    <m/>
    <m/>
    <m/>
    <n v="37.016657173222903"/>
    <n v="259.50285835900257"/>
    <s v="Training"/>
  </r>
  <r>
    <d v="2021-09-08T00:00:00"/>
    <x v="3"/>
    <n v="4"/>
    <n v="9"/>
    <x v="36"/>
    <x v="1"/>
    <n v="170"/>
    <m/>
    <m/>
    <m/>
    <m/>
    <n v="183"/>
    <n v="0.96319999999999995"/>
    <n v="7"/>
    <d v="1899-12-30T00:00:16"/>
    <d v="1899-12-30T00:02:32"/>
    <d v="1899-12-30T00:01:59"/>
    <n v="0.78949999999999998"/>
    <n v="7.7266666666666657"/>
    <n v="463.59999999999997"/>
    <n v="7.1777777777777771"/>
    <n v="430.66666666666663"/>
    <n v="1.21"/>
    <n v="1.1215277777777777"/>
    <n v="2"/>
    <n v="2"/>
    <m/>
    <m/>
    <m/>
    <m/>
    <n v="49.951371654397761"/>
    <n v="268.30808677855771"/>
    <s v="Training"/>
  </r>
  <r>
    <d v="2021-09-09T00:00:00"/>
    <x v="4"/>
    <n v="5"/>
    <n v="9"/>
    <x v="36"/>
    <x v="1"/>
    <n v="5"/>
    <m/>
    <m/>
    <m/>
    <m/>
    <n v="24"/>
    <n v="0.96"/>
    <n v="1"/>
    <d v="1899-12-30T00:00:06"/>
    <d v="1899-12-30T00:02:22"/>
    <d v="1899-12-30T00:00:48"/>
    <n v="0.91669999999999996"/>
    <n v="0.94666666666666677"/>
    <n v="56.800000000000004"/>
    <n v="0.19722222222222222"/>
    <n v="11.833333333333332"/>
    <n v="1"/>
    <n v="1"/>
    <n v="1"/>
    <n v="1"/>
    <m/>
    <m/>
    <m/>
    <m/>
    <n v="41.516143108157493"/>
    <n v="261.69125524418848"/>
    <s v="Training"/>
  </r>
  <r>
    <d v="2021-09-10T00:00:00"/>
    <x v="5"/>
    <n v="6"/>
    <n v="9"/>
    <x v="36"/>
    <x v="1"/>
    <n v="146"/>
    <m/>
    <m/>
    <m/>
    <m/>
    <n v="162"/>
    <n v="0.95860000000000001"/>
    <n v="7"/>
    <d v="1899-12-30T00:00:09"/>
    <d v="1899-12-30T00:02:31"/>
    <d v="1899-12-30T00:04:36"/>
    <n v="0.89159999999999995"/>
    <n v="6.7949999999999999"/>
    <n v="407.7"/>
    <n v="6.1238888888888887"/>
    <n v="367.43333333333334"/>
    <n v="1.06"/>
    <n v="1"/>
    <n v="2"/>
    <n v="2"/>
    <m/>
    <m/>
    <m/>
    <m/>
    <n v="25.9560614116727"/>
    <n v="246.79040353836081"/>
    <s v="Training"/>
  </r>
  <r>
    <d v="2021-09-11T00:00:00"/>
    <x v="6"/>
    <n v="7"/>
    <n v="9"/>
    <x v="36"/>
    <x v="1"/>
    <n v="159"/>
    <m/>
    <m/>
    <m/>
    <m/>
    <n v="129"/>
    <n v="0.99229999999999996"/>
    <n v="1"/>
    <d v="1899-12-30T00:00:11"/>
    <d v="1899-12-30T00:02:30"/>
    <d v="1899-12-30T00:01:52"/>
    <n v="0.86919999999999997"/>
    <n v="5.375"/>
    <n v="322.5"/>
    <n v="6.6249999999999991"/>
    <n v="397.49999999999994"/>
    <n v="1"/>
    <n v="1.0351562499999998"/>
    <n v="2"/>
    <n v="1"/>
    <m/>
    <m/>
    <m/>
    <m/>
    <n v="35.668206202626237"/>
    <n v="264.17806381805309"/>
    <s v="Training"/>
  </r>
  <r>
    <d v="2021-09-12T00:00:00"/>
    <x v="0"/>
    <n v="1"/>
    <n v="9"/>
    <x v="37"/>
    <x v="1"/>
    <n v="190"/>
    <m/>
    <m/>
    <m/>
    <m/>
    <n v="20"/>
    <n v="0.90910000000000002"/>
    <n v="2"/>
    <d v="1899-12-30T00:00:09"/>
    <d v="1899-12-30T00:03:15"/>
    <d v="1899-12-30T00:01:50"/>
    <n v="0.90480000000000005"/>
    <n v="1.0833333333333333"/>
    <n v="65"/>
    <n v="10.291666666666666"/>
    <n v="617.5"/>
    <n v="1"/>
    <n v="1.6080729166666667"/>
    <n v="2"/>
    <n v="1"/>
    <m/>
    <m/>
    <m/>
    <m/>
    <n v="-49.582717058736883"/>
    <n v="172.62395493934511"/>
    <s v="Training"/>
  </r>
  <r>
    <d v="2021-09-13T00:00:00"/>
    <x v="1"/>
    <n v="2"/>
    <n v="9"/>
    <x v="37"/>
    <x v="1"/>
    <n v="126"/>
    <m/>
    <m/>
    <m/>
    <m/>
    <n v="5"/>
    <n v="1"/>
    <n v="0"/>
    <d v="1899-12-30T00:00:28"/>
    <d v="1899-12-30T00:02:25"/>
    <d v="1899-12-30T00:01:14"/>
    <n v="0.6"/>
    <n v="0.20138888888888892"/>
    <n v="12.083333333333336"/>
    <n v="5.0750000000000002"/>
    <n v="304.5"/>
    <n v="1"/>
    <n v="1"/>
    <n v="2"/>
    <n v="1"/>
    <m/>
    <m/>
    <m/>
    <m/>
    <n v="52.272045180369389"/>
    <n v="275.7793769732952"/>
    <s v="Training"/>
  </r>
  <r>
    <d v="2021-09-14T00:00:00"/>
    <x v="2"/>
    <n v="3"/>
    <n v="9"/>
    <x v="37"/>
    <x v="1"/>
    <n v="122"/>
    <m/>
    <m/>
    <m/>
    <m/>
    <n v="115"/>
    <n v="0.96640000000000004"/>
    <n v="4"/>
    <d v="1899-12-30T00:00:11"/>
    <d v="1899-12-30T00:02:28"/>
    <d v="1899-12-30T00:01:50"/>
    <n v="0.86439999999999995"/>
    <n v="4.7277777777777779"/>
    <n v="283.66666666666669"/>
    <n v="5.0155555555555553"/>
    <n v="300.93333333333334"/>
    <n v="1"/>
    <n v="1"/>
    <n v="2"/>
    <n v="1"/>
    <m/>
    <m/>
    <m/>
    <m/>
    <n v="27.920667943526119"/>
    <n v="257.59062900204549"/>
    <s v="Training"/>
  </r>
  <r>
    <d v="2021-09-15T00:00:00"/>
    <x v="3"/>
    <n v="4"/>
    <n v="9"/>
    <x v="37"/>
    <x v="1"/>
    <n v="113"/>
    <m/>
    <m/>
    <m/>
    <m/>
    <n v="138"/>
    <n v="0.98570000000000002"/>
    <n v="2"/>
    <d v="1899-12-30T00:00:09"/>
    <d v="1899-12-30T00:02:17"/>
    <d v="1899-12-30T00:02:11"/>
    <n v="0.9214"/>
    <n v="5.2516666666666669"/>
    <n v="315.10000000000002"/>
    <n v="4.3002777777777776"/>
    <n v="258.01666666666665"/>
    <n v="1"/>
    <n v="1"/>
    <n v="2"/>
    <n v="1"/>
    <m/>
    <m/>
    <m/>
    <m/>
    <n v="42.857281076860112"/>
    <n v="270.7179304346763"/>
    <s v="Training"/>
  </r>
  <r>
    <d v="2021-09-16T00:00:00"/>
    <x v="4"/>
    <n v="5"/>
    <n v="9"/>
    <x v="37"/>
    <x v="1"/>
    <n v="119"/>
    <m/>
    <m/>
    <m/>
    <m/>
    <n v="22"/>
    <n v="1"/>
    <n v="0"/>
    <d v="1899-12-30T00:00:06"/>
    <d v="1899-12-30T00:02:21"/>
    <d v="1899-12-30T00:00:48"/>
    <n v="0.90910000000000002"/>
    <n v="0.8616666666666668"/>
    <n v="51.70000000000001"/>
    <n v="4.6608333333333336"/>
    <n v="279.65000000000003"/>
    <n v="1"/>
    <n v="1"/>
    <n v="1"/>
    <n v="1"/>
    <m/>
    <m/>
    <m/>
    <m/>
    <n v="35.590784714306963"/>
    <n v="261.49101451436348"/>
    <s v="Training"/>
  </r>
  <r>
    <d v="2021-09-17T00:00:00"/>
    <x v="5"/>
    <n v="6"/>
    <n v="9"/>
    <x v="37"/>
    <x v="1"/>
    <n v="134"/>
    <m/>
    <m/>
    <m/>
    <m/>
    <n v="124"/>
    <n v="0.98409999999999997"/>
    <n v="2"/>
    <d v="1899-12-30T00:00:08"/>
    <d v="1899-12-30T00:02:35"/>
    <d v="1899-12-30T00:00:58"/>
    <n v="0.94399999999999995"/>
    <n v="5.3388888888888886"/>
    <n v="320.33333333333331"/>
    <n v="5.7694444444444448"/>
    <n v="346.16666666666669"/>
    <n v="1"/>
    <n v="1"/>
    <n v="2"/>
    <n v="1"/>
    <m/>
    <m/>
    <m/>
    <m/>
    <n v="38.134171930611338"/>
    <n v="255.0621131876614"/>
    <s v="Training"/>
  </r>
  <r>
    <d v="2021-09-18T00:00:00"/>
    <x v="6"/>
    <n v="7"/>
    <n v="9"/>
    <x v="37"/>
    <x v="1"/>
    <n v="101"/>
    <m/>
    <m/>
    <m/>
    <m/>
    <n v="111"/>
    <n v="0.90980000000000005"/>
    <n v="11"/>
    <d v="1899-12-30T00:00:13"/>
    <d v="1899-12-30T00:02:43"/>
    <d v="1899-12-30T00:02:13"/>
    <n v="0.77690000000000003"/>
    <n v="5.0258333333333329"/>
    <n v="301.54999999999995"/>
    <n v="4.5730555555555554"/>
    <n v="274.38333333333333"/>
    <n v="1"/>
    <n v="1"/>
    <n v="2"/>
    <n v="1"/>
    <m/>
    <m/>
    <m/>
    <m/>
    <n v="33.462001638730513"/>
    <n v="268.9402619858401"/>
    <s v="Training"/>
  </r>
  <r>
    <d v="2021-09-19T00:00:00"/>
    <x v="0"/>
    <n v="1"/>
    <n v="9"/>
    <x v="38"/>
    <x v="1"/>
    <n v="20"/>
    <m/>
    <m/>
    <m/>
    <m/>
    <n v="108"/>
    <n v="0.95579999999999998"/>
    <n v="5"/>
    <d v="1899-12-30T00:00:13"/>
    <d v="1899-12-30T00:02:31"/>
    <d v="1899-12-30T00:01:27"/>
    <n v="0.82879999999999998"/>
    <n v="4.53"/>
    <n v="271.8"/>
    <n v="0.83888888888888891"/>
    <n v="50.333333333333336"/>
    <n v="1"/>
    <n v="1"/>
    <n v="2"/>
    <n v="1"/>
    <m/>
    <m/>
    <m/>
    <m/>
    <n v="-45.700311430417891"/>
    <n v="162.91474197239609"/>
    <s v="Training"/>
  </r>
  <r>
    <d v="2021-09-20T00:00:00"/>
    <x v="1"/>
    <n v="2"/>
    <n v="9"/>
    <x v="38"/>
    <x v="1"/>
    <n v="169"/>
    <m/>
    <m/>
    <m/>
    <m/>
    <n v="109"/>
    <n v="0.91600000000000004"/>
    <n v="10"/>
    <d v="1899-12-30T00:00:17"/>
    <d v="1899-12-30T00:02:36"/>
    <d v="1899-12-30T00:05:15"/>
    <n v="0.83620000000000005"/>
    <n v="4.7233333333333336"/>
    <n v="283.40000000000003"/>
    <n v="7.3233333333333324"/>
    <n v="439.39999999999992"/>
    <n v="1"/>
    <n v="1.1442708333333331"/>
    <n v="2"/>
    <n v="1"/>
    <m/>
    <m/>
    <m/>
    <m/>
    <n v="59.182357537076903"/>
    <n v="280.333169775496"/>
    <s v="Training"/>
  </r>
  <r>
    <d v="2021-09-21T00:00:00"/>
    <x v="2"/>
    <n v="3"/>
    <n v="9"/>
    <x v="38"/>
    <x v="1"/>
    <n v="137"/>
    <m/>
    <m/>
    <m/>
    <m/>
    <n v="119"/>
    <n v="0.8881"/>
    <n v="15"/>
    <d v="1899-12-30T00:00:24"/>
    <d v="1899-12-30T00:02:46"/>
    <d v="1899-12-30T00:02:45"/>
    <n v="0.63429999999999997"/>
    <n v="5.487222222222222"/>
    <n v="329.23333333333335"/>
    <n v="6.3172222222222221"/>
    <n v="379.0333333333333"/>
    <n v="1"/>
    <n v="1"/>
    <n v="2"/>
    <n v="1"/>
    <m/>
    <m/>
    <m/>
    <m/>
    <n v="35.028423448864402"/>
    <n v="256.03491551728399"/>
    <s v="Training"/>
  </r>
  <r>
    <d v="2021-09-22T00:00:00"/>
    <x v="3"/>
    <n v="4"/>
    <n v="9"/>
    <x v="38"/>
    <x v="1"/>
    <n v="133"/>
    <m/>
    <m/>
    <m/>
    <m/>
    <n v="97"/>
    <n v="0.96040000000000003"/>
    <n v="4"/>
    <d v="1899-12-30T00:00:16"/>
    <d v="1899-12-30T00:02:33"/>
    <d v="1899-12-30T00:01:38"/>
    <n v="0.77"/>
    <n v="4.1224999999999996"/>
    <n v="247.34999999999997"/>
    <n v="5.6524999999999999"/>
    <n v="339.15"/>
    <n v="1"/>
    <n v="1"/>
    <n v="2"/>
    <n v="1"/>
    <m/>
    <m/>
    <m/>
    <m/>
    <n v="42.042543545600459"/>
    <n v="267.13081149145842"/>
    <s v="Training"/>
  </r>
  <r>
    <d v="2021-09-23T00:00:00"/>
    <x v="4"/>
    <n v="5"/>
    <n v="9"/>
    <x v="38"/>
    <x v="1"/>
    <n v="184"/>
    <m/>
    <m/>
    <m/>
    <m/>
    <n v="20"/>
    <n v="1"/>
    <n v="0"/>
    <d v="1899-12-30T00:00:04"/>
    <d v="1899-12-30T00:02:24"/>
    <d v="1899-12-30T00:00:18"/>
    <n v="1"/>
    <n v="0.8"/>
    <n v="48"/>
    <n v="7.3600000000000012"/>
    <n v="441.60000000000008"/>
    <n v="1"/>
    <n v="1.1500000000000001"/>
    <n v="1"/>
    <n v="1"/>
    <m/>
    <m/>
    <m/>
    <m/>
    <n v="38.334457370250149"/>
    <n v="259.73113519976732"/>
    <s v="Training"/>
  </r>
  <r>
    <d v="2021-09-24T00:00:00"/>
    <x v="5"/>
    <n v="6"/>
    <n v="9"/>
    <x v="38"/>
    <x v="1"/>
    <n v="145"/>
    <m/>
    <m/>
    <m/>
    <m/>
    <n v="162"/>
    <n v="0.95860000000000001"/>
    <n v="7"/>
    <d v="1899-12-30T00:00:17"/>
    <d v="1899-12-30T00:02:32"/>
    <d v="1899-12-30T00:05:31"/>
    <n v="0.80120000000000002"/>
    <n v="6.839999999999999"/>
    <n v="410.39999999999992"/>
    <n v="6.1222222222222218"/>
    <n v="367.33333333333331"/>
    <n v="1.07"/>
    <n v="1"/>
    <n v="2"/>
    <n v="2"/>
    <m/>
    <m/>
    <m/>
    <m/>
    <n v="37.583232078411768"/>
    <n v="252.81446614602999"/>
    <s v="Training"/>
  </r>
  <r>
    <d v="2021-09-25T00:00:00"/>
    <x v="6"/>
    <n v="7"/>
    <n v="9"/>
    <x v="38"/>
    <x v="1"/>
    <n v="114"/>
    <m/>
    <m/>
    <m/>
    <m/>
    <n v="133"/>
    <n v="0.9708"/>
    <n v="4"/>
    <d v="1899-12-30T00:00:29"/>
    <d v="1899-12-30T00:02:37"/>
    <d v="1899-12-30T00:02:42"/>
    <n v="0.62039999999999995"/>
    <n v="5.8002777777777785"/>
    <n v="348.01666666666671"/>
    <n v="4.9716666666666667"/>
    <n v="298.3"/>
    <n v="1"/>
    <n v="1"/>
    <n v="2"/>
    <n v="1"/>
    <m/>
    <m/>
    <m/>
    <m/>
    <n v="36.949549662423969"/>
    <n v="258.09823883936087"/>
    <s v="Training"/>
  </r>
  <r>
    <d v="2021-09-26T00:00:00"/>
    <x v="0"/>
    <n v="1"/>
    <n v="9"/>
    <x v="39"/>
    <x v="1"/>
    <n v="24"/>
    <m/>
    <m/>
    <m/>
    <m/>
    <n v="127"/>
    <n v="0.95489999999999997"/>
    <n v="6"/>
    <d v="1899-12-30T00:00:18"/>
    <d v="1899-12-30T00:02:39"/>
    <d v="1899-12-30T00:04:36"/>
    <n v="0.81950000000000001"/>
    <n v="5.6091666666666669"/>
    <n v="336.55"/>
    <n v="1.06"/>
    <n v="63.6"/>
    <n v="1"/>
    <n v="1"/>
    <n v="2"/>
    <n v="1"/>
    <m/>
    <m/>
    <m/>
    <m/>
    <n v="-54.811897100265512"/>
    <n v="176.19305446969801"/>
    <s v="Training"/>
  </r>
  <r>
    <d v="2021-09-27T00:00:00"/>
    <x v="1"/>
    <n v="2"/>
    <n v="9"/>
    <x v="39"/>
    <x v="1"/>
    <n v="143"/>
    <m/>
    <m/>
    <m/>
    <m/>
    <n v="179"/>
    <n v="0.9728"/>
    <n v="5"/>
    <d v="1899-12-30T00:00:10"/>
    <d v="1899-12-30T00:02:03"/>
    <d v="1899-12-30T00:02:44"/>
    <n v="0.90559999999999996"/>
    <n v="6.1158333333333346"/>
    <n v="366.95000000000005"/>
    <n v="4.8858333333333333"/>
    <n v="293.14999999999998"/>
    <n v="1"/>
    <n v="1"/>
    <n v="2"/>
    <n v="1"/>
    <m/>
    <m/>
    <m/>
    <m/>
    <n v="48.746619770307589"/>
    <n v="271.92391194559531"/>
    <s v="Training"/>
  </r>
  <r>
    <d v="2021-09-28T00:00:00"/>
    <x v="2"/>
    <n v="3"/>
    <n v="9"/>
    <x v="39"/>
    <x v="1"/>
    <n v="119"/>
    <m/>
    <m/>
    <m/>
    <m/>
    <n v="135"/>
    <n v="0.93100000000000005"/>
    <n v="10"/>
    <d v="1899-12-30T00:00:21"/>
    <d v="1899-12-30T00:02:35"/>
    <d v="1899-12-30T00:03:10"/>
    <n v="0.74129999999999996"/>
    <n v="5.8125"/>
    <n v="348.75"/>
    <n v="5.1236111111111109"/>
    <n v="307.41666666666663"/>
    <n v="1"/>
    <n v="1"/>
    <n v="2"/>
    <n v="1"/>
    <m/>
    <m/>
    <m/>
    <m/>
    <n v="46.915638367293347"/>
    <n v="257.15906604024121"/>
    <s v="Training"/>
  </r>
  <r>
    <d v="2021-09-29T00:00:00"/>
    <x v="3"/>
    <n v="4"/>
    <n v="9"/>
    <x v="39"/>
    <x v="1"/>
    <n v="123"/>
    <m/>
    <m/>
    <m/>
    <m/>
    <n v="108"/>
    <n v="0.94740000000000002"/>
    <n v="6"/>
    <d v="1899-12-30T00:00:14"/>
    <d v="1899-12-30T00:02:31"/>
    <d v="1899-12-30T00:02:33"/>
    <n v="0.82879999999999998"/>
    <n v="4.53"/>
    <n v="271.8"/>
    <n v="5.1591666666666667"/>
    <n v="309.55"/>
    <n v="1"/>
    <n v="1"/>
    <n v="2"/>
    <n v="1"/>
    <m/>
    <m/>
    <m/>
    <m/>
    <n v="47.258440928295002"/>
    <n v="261.71065790263589"/>
    <s v="Training"/>
  </r>
  <r>
    <d v="2021-09-30T00:00:00"/>
    <x v="4"/>
    <n v="5"/>
    <n v="9"/>
    <x v="39"/>
    <x v="1"/>
    <n v="145"/>
    <m/>
    <m/>
    <m/>
    <m/>
    <n v="23"/>
    <n v="0.95830000000000004"/>
    <n v="1"/>
    <d v="1899-12-30T00:00:05"/>
    <d v="1899-12-30T00:02:12"/>
    <d v="1899-12-30T00:00:55"/>
    <n v="0.95830000000000004"/>
    <n v="0.84333333333333349"/>
    <n v="50.600000000000009"/>
    <n v="5.3166666666666664"/>
    <n v="319"/>
    <n v="1"/>
    <n v="1"/>
    <n v="1"/>
    <n v="1"/>
    <m/>
    <m/>
    <m/>
    <m/>
    <n v="45.673114732464008"/>
    <n v="266.20319490689081"/>
    <s v="Training"/>
  </r>
  <r>
    <d v="2021-10-01T00:00:00"/>
    <x v="5"/>
    <n v="6"/>
    <n v="10"/>
    <x v="39"/>
    <x v="1"/>
    <n v="30"/>
    <m/>
    <m/>
    <m/>
    <m/>
    <n v="136"/>
    <n v="0.95099999999999996"/>
    <n v="7"/>
    <d v="1899-12-30T00:00:09"/>
    <d v="1899-12-30T00:02:32"/>
    <d v="1899-12-30T00:05:30"/>
    <n v="0.84509999999999996"/>
    <n v="5.7422222222222219"/>
    <n v="344.5333333333333"/>
    <n v="1.2666666666666666"/>
    <n v="76"/>
    <n v="1"/>
    <n v="1"/>
    <n v="2"/>
    <n v="1"/>
    <m/>
    <m/>
    <m/>
    <m/>
    <n v="31.82926607941419"/>
    <n v="269.61676040212762"/>
    <s v="Training"/>
  </r>
  <r>
    <d v="2021-10-02T00:00:00"/>
    <x v="6"/>
    <n v="7"/>
    <n v="10"/>
    <x v="39"/>
    <x v="1"/>
    <n v="50"/>
    <m/>
    <m/>
    <m/>
    <m/>
    <n v="114"/>
    <n v="0.95799999999999996"/>
    <n v="5"/>
    <d v="1899-12-30T00:00:08"/>
    <d v="1899-12-30T00:02:22"/>
    <d v="1899-12-30T00:01:19"/>
    <n v="0.90600000000000003"/>
    <n v="4.496666666666667"/>
    <n v="269.8"/>
    <n v="1.9722222222222223"/>
    <n v="118.33333333333334"/>
    <n v="1"/>
    <n v="1"/>
    <n v="2"/>
    <n v="1"/>
    <m/>
    <m/>
    <m/>
    <m/>
    <n v="52.412913386148439"/>
    <n v="262.95601942954443"/>
    <s v="Training"/>
  </r>
  <r>
    <d v="2021-10-03T00:00:00"/>
    <x v="0"/>
    <n v="1"/>
    <n v="10"/>
    <x v="40"/>
    <x v="1"/>
    <n v="123"/>
    <m/>
    <m/>
    <m/>
    <m/>
    <n v="118"/>
    <n v="0.95930000000000004"/>
    <n v="5"/>
    <d v="1899-12-30T00:00:21"/>
    <d v="1899-12-30T00:02:46"/>
    <d v="1899-12-30T00:02:44"/>
    <n v="0.70730000000000004"/>
    <n v="5.4411111111111108"/>
    <n v="326.46666666666664"/>
    <n v="5.6716666666666669"/>
    <n v="340.3"/>
    <n v="1"/>
    <n v="1"/>
    <n v="2"/>
    <n v="1"/>
    <m/>
    <m/>
    <m/>
    <m/>
    <n v="-33.89606383884334"/>
    <n v="185.9992827324148"/>
    <s v="Training"/>
  </r>
  <r>
    <d v="2021-10-04T00:00:00"/>
    <x v="1"/>
    <n v="2"/>
    <n v="10"/>
    <x v="40"/>
    <x v="1"/>
    <n v="98"/>
    <m/>
    <m/>
    <m/>
    <m/>
    <n v="141"/>
    <n v="0.97240000000000004"/>
    <n v="4"/>
    <d v="1899-12-30T00:00:14"/>
    <d v="1899-12-30T00:02:36"/>
    <d v="1899-12-30T00:01:50"/>
    <n v="0.83330000000000004"/>
    <n v="6.11"/>
    <n v="366.6"/>
    <n v="4.2466666666666661"/>
    <n v="254.79999999999995"/>
    <n v="1"/>
    <n v="1"/>
    <n v="2"/>
    <n v="1"/>
    <m/>
    <m/>
    <m/>
    <m/>
    <n v="63.405600548066133"/>
    <n v="281.27248283248201"/>
    <s v="Training"/>
  </r>
  <r>
    <d v="2021-10-05T00:00:00"/>
    <x v="2"/>
    <n v="3"/>
    <n v="10"/>
    <x v="40"/>
    <x v="1"/>
    <n v="168"/>
    <m/>
    <m/>
    <m/>
    <m/>
    <n v="106"/>
    <n v="0.98150000000000004"/>
    <n v="2"/>
    <d v="1899-12-30T00:00:26"/>
    <d v="1899-12-30T00:02:50"/>
    <d v="1899-12-30T00:04:57"/>
    <n v="0.68220000000000003"/>
    <n v="5.0055555555555546"/>
    <n v="300.33333333333326"/>
    <n v="7.9333333333333336"/>
    <n v="476"/>
    <n v="1"/>
    <n v="1.2395833333333333"/>
    <n v="2"/>
    <n v="1"/>
    <m/>
    <m/>
    <m/>
    <m/>
    <n v="48.775467337953408"/>
    <n v="266.15909094942538"/>
    <s v="Training"/>
  </r>
  <r>
    <d v="2021-10-06T00:00:00"/>
    <x v="3"/>
    <n v="4"/>
    <n v="10"/>
    <x v="40"/>
    <x v="1"/>
    <n v="256"/>
    <m/>
    <m/>
    <m/>
    <m/>
    <n v="125"/>
    <n v="0.97660000000000002"/>
    <n v="3"/>
    <d v="1899-12-30T00:00:13"/>
    <d v="1899-12-30T00:02:45"/>
    <d v="1899-12-30T00:01:42"/>
    <n v="0.82679999999999998"/>
    <n v="5.729166666666667"/>
    <n v="343.75"/>
    <n v="11.733333333333333"/>
    <n v="704"/>
    <n v="1"/>
    <n v="1.8333333333333333"/>
    <n v="2"/>
    <n v="1"/>
    <m/>
    <m/>
    <m/>
    <m/>
    <n v="68.264745203251977"/>
    <n v="278.86027242318647"/>
    <s v="Training"/>
  </r>
  <r>
    <d v="2021-10-07T00:00:00"/>
    <x v="4"/>
    <n v="5"/>
    <n v="10"/>
    <x v="40"/>
    <x v="1"/>
    <n v="134"/>
    <m/>
    <m/>
    <m/>
    <m/>
    <n v="26"/>
    <n v="0.96299999999999997"/>
    <n v="1"/>
    <d v="1899-12-30T00:00:20"/>
    <d v="1899-12-30T00:02:51"/>
    <d v="1899-12-30T00:02:40"/>
    <n v="0.84619999999999995"/>
    <n v="1.2350000000000001"/>
    <n v="74.100000000000009"/>
    <n v="6.3650000000000011"/>
    <n v="381.90000000000009"/>
    <n v="1"/>
    <n v="1"/>
    <n v="1"/>
    <n v="1"/>
    <m/>
    <m/>
    <m/>
    <m/>
    <n v="55.251937606986417"/>
    <n v="274.33550685752112"/>
    <s v="Training"/>
  </r>
  <r>
    <d v="2021-10-08T00:00:00"/>
    <x v="5"/>
    <n v="6"/>
    <n v="10"/>
    <x v="40"/>
    <x v="1"/>
    <n v="187"/>
    <m/>
    <m/>
    <m/>
    <m/>
    <n v="151"/>
    <n v="0.97419999999999995"/>
    <n v="4"/>
    <d v="1899-12-30T00:00:11"/>
    <d v="1899-12-30T00:02:32"/>
    <d v="1899-12-30T00:02:18"/>
    <n v="0.89610000000000001"/>
    <n v="6.3755555555555556"/>
    <n v="382.53333333333336"/>
    <n v="7.8955555555555552"/>
    <n v="473.73333333333329"/>
    <n v="1"/>
    <n v="1.2336805555555554"/>
    <n v="2"/>
    <n v="1"/>
    <m/>
    <m/>
    <m/>
    <m/>
    <n v="47.698821932777442"/>
    <n v="274.16738672194509"/>
    <s v="Training"/>
  </r>
  <r>
    <d v="2021-10-09T00:00:00"/>
    <x v="6"/>
    <n v="7"/>
    <n v="10"/>
    <x v="40"/>
    <x v="1"/>
    <n v="119"/>
    <m/>
    <m/>
    <m/>
    <m/>
    <n v="110"/>
    <n v="0.94830000000000003"/>
    <n v="6"/>
    <d v="1899-12-30T00:00:18"/>
    <d v="1899-12-30T00:02:23"/>
    <d v="1899-12-30T00:02:47"/>
    <n v="0.75"/>
    <n v="4.3694444444444445"/>
    <n v="262.16666666666669"/>
    <n v="4.7269444444444444"/>
    <n v="283.61666666666667"/>
    <n v="1"/>
    <n v="1"/>
    <n v="2"/>
    <n v="1"/>
    <m/>
    <m/>
    <m/>
    <m/>
    <n v="62.208619244970301"/>
    <n v="276.32340322867589"/>
    <s v="Training"/>
  </r>
  <r>
    <d v="2021-10-10T00:00:00"/>
    <x v="0"/>
    <n v="1"/>
    <n v="10"/>
    <x v="41"/>
    <x v="1"/>
    <n v="29"/>
    <m/>
    <m/>
    <m/>
    <m/>
    <n v="111"/>
    <n v="0.94869999999999999"/>
    <n v="6"/>
    <d v="1899-12-30T00:00:18"/>
    <d v="1899-12-30T00:02:43"/>
    <d v="1899-12-30T00:02:06"/>
    <n v="0.76519999999999999"/>
    <n v="5.0258333333333329"/>
    <n v="301.54999999999995"/>
    <n v="1.3130555555555556"/>
    <n v="78.783333333333331"/>
    <n v="1"/>
    <n v="1"/>
    <n v="2"/>
    <n v="1"/>
    <m/>
    <m/>
    <m/>
    <m/>
    <n v="-24.639225673240851"/>
    <n v="184.77220286761519"/>
    <s v="Training"/>
  </r>
  <r>
    <d v="2021-10-11T00:00:00"/>
    <x v="1"/>
    <n v="2"/>
    <n v="10"/>
    <x v="41"/>
    <x v="1"/>
    <n v="115"/>
    <m/>
    <m/>
    <m/>
    <m/>
    <n v="105"/>
    <n v="0.92920000000000003"/>
    <n v="8"/>
    <d v="1899-12-30T00:00:31"/>
    <d v="1899-12-30T00:02:37"/>
    <d v="1899-12-30T00:03:40"/>
    <n v="0.53979999999999995"/>
    <n v="4.5791666666666666"/>
    <n v="274.75"/>
    <n v="5.0152777777777775"/>
    <n v="300.91666666666663"/>
    <n v="1"/>
    <n v="1"/>
    <n v="2"/>
    <n v="1"/>
    <m/>
    <m/>
    <m/>
    <m/>
    <n v="76.790313630292943"/>
    <n v="296.67241623081679"/>
    <s v="Training"/>
  </r>
  <r>
    <d v="2021-10-12T00:00:00"/>
    <x v="2"/>
    <n v="3"/>
    <n v="10"/>
    <x v="41"/>
    <x v="1"/>
    <n v="188"/>
    <m/>
    <m/>
    <m/>
    <m/>
    <n v="101"/>
    <n v="0.94389999999999996"/>
    <n v="6"/>
    <d v="1899-12-30T00:00:23"/>
    <d v="1899-12-30T00:02:44"/>
    <d v="1899-12-30T00:03:11"/>
    <n v="0.73580000000000001"/>
    <n v="4.6011111111111109"/>
    <n v="276.06666666666666"/>
    <n v="8.5644444444444439"/>
    <n v="513.86666666666667"/>
    <n v="1"/>
    <n v="1.3381944444444445"/>
    <n v="2"/>
    <n v="1"/>
    <m/>
    <m/>
    <m/>
    <m/>
    <n v="56.859975699905291"/>
    <n v="285.19539007170789"/>
    <s v="Training"/>
  </r>
  <r>
    <d v="2021-10-13T00:00:00"/>
    <x v="3"/>
    <n v="4"/>
    <n v="10"/>
    <x v="41"/>
    <x v="1"/>
    <n v="174"/>
    <m/>
    <m/>
    <m/>
    <m/>
    <n v="141"/>
    <n v="0.96579999999999999"/>
    <n v="5"/>
    <d v="1899-12-30T00:00:25"/>
    <d v="1899-12-30T00:02:22"/>
    <d v="1899-12-30T00:02:46"/>
    <n v="0.65749999999999997"/>
    <n v="5.5616666666666665"/>
    <n v="333.7"/>
    <n v="6.8633333333333333"/>
    <n v="411.8"/>
    <n v="1"/>
    <n v="1.0723958333333334"/>
    <n v="2"/>
    <n v="1"/>
    <m/>
    <m/>
    <m/>
    <m/>
    <n v="73.134773249889335"/>
    <n v="288.42991971681653"/>
    <s v="Training"/>
  </r>
  <r>
    <d v="2021-10-14T00:00:00"/>
    <x v="4"/>
    <n v="5"/>
    <n v="10"/>
    <x v="41"/>
    <x v="1"/>
    <n v="168"/>
    <m/>
    <m/>
    <m/>
    <m/>
    <n v="26"/>
    <n v="0.89659999999999995"/>
    <n v="3"/>
    <d v="1899-12-30T00:00:09"/>
    <d v="1899-12-30T00:02:37"/>
    <d v="1899-12-30T00:01:50"/>
    <n v="0.85709999999999997"/>
    <n v="1.1338888888888889"/>
    <n v="68.033333333333331"/>
    <n v="7.326666666666668"/>
    <n v="439.60000000000008"/>
    <n v="1"/>
    <n v="1.1447916666666669"/>
    <n v="1"/>
    <n v="1"/>
    <m/>
    <m/>
    <m/>
    <m/>
    <n v="70.804411490424428"/>
    <n v="293.43606424024472"/>
    <s v="Training"/>
  </r>
  <r>
    <d v="2021-10-15T00:00:00"/>
    <x v="5"/>
    <n v="6"/>
    <n v="10"/>
    <x v="41"/>
    <x v="1"/>
    <n v="135"/>
    <m/>
    <m/>
    <m/>
    <m/>
    <n v="228"/>
    <n v="0.98699999999999999"/>
    <n v="3"/>
    <d v="1899-12-30T00:00:15"/>
    <d v="1899-12-30T00:02:09"/>
    <d v="1899-12-30T00:03:26"/>
    <n v="0.81389999999999996"/>
    <n v="8.1700000000000017"/>
    <n v="490.2000000000001"/>
    <n v="4.8375000000000004"/>
    <n v="290.25"/>
    <n v="1.28"/>
    <n v="1"/>
    <n v="2"/>
    <n v="2"/>
    <m/>
    <m/>
    <m/>
    <m/>
    <n v="61.847492278014748"/>
    <n v="277.60853674180601"/>
    <s v="Training"/>
  </r>
  <r>
    <d v="2021-10-16T00:00:00"/>
    <x v="6"/>
    <n v="7"/>
    <n v="10"/>
    <x v="41"/>
    <x v="1"/>
    <n v="122"/>
    <m/>
    <m/>
    <m/>
    <m/>
    <n v="215"/>
    <n v="0.89959999999999996"/>
    <n v="24"/>
    <d v="1899-12-30T00:00:23"/>
    <d v="1899-12-30T00:02:36"/>
    <d v="1899-12-30T00:04:35"/>
    <n v="0.66669999999999996"/>
    <n v="9.3166666666666664"/>
    <n v="559"/>
    <n v="5.2866666666666671"/>
    <n v="317.20000000000005"/>
    <n v="1.46"/>
    <n v="1"/>
    <n v="2"/>
    <n v="2"/>
    <m/>
    <m/>
    <m/>
    <m/>
    <n v="69.778666474112839"/>
    <n v="295.41714634354298"/>
    <s v="Training"/>
  </r>
  <r>
    <d v="2021-10-17T00:00:00"/>
    <x v="0"/>
    <n v="1"/>
    <n v="10"/>
    <x v="42"/>
    <x v="1"/>
    <n v="13"/>
    <m/>
    <m/>
    <m/>
    <m/>
    <n v="154"/>
    <n v="0.8851"/>
    <n v="20"/>
    <d v="1899-12-30T00:00:29"/>
    <d v="1899-12-30T00:02:40"/>
    <d v="1899-12-30T00:05:08"/>
    <n v="0.61309999999999998"/>
    <n v="6.8444444444444459"/>
    <n v="410.66666666666674"/>
    <n v="0.57777777777777772"/>
    <n v="34.666666666666664"/>
    <n v="1.07"/>
    <n v="1"/>
    <n v="2"/>
    <n v="2"/>
    <m/>
    <m/>
    <m/>
    <m/>
    <n v="-13.378919844574609"/>
    <n v="196.36372926934689"/>
    <s v="Training"/>
  </r>
  <r>
    <d v="2021-10-18T00:00:00"/>
    <x v="1"/>
    <n v="2"/>
    <n v="10"/>
    <x v="42"/>
    <x v="1"/>
    <n v="20"/>
    <m/>
    <m/>
    <m/>
    <m/>
    <n v="163"/>
    <n v="0.97019999999999995"/>
    <n v="5"/>
    <d v="1899-12-30T00:00:21"/>
    <d v="1899-12-30T00:02:49"/>
    <d v="1899-12-30T00:02:45"/>
    <n v="0.70660000000000001"/>
    <n v="7.6519444444444433"/>
    <n v="459.11666666666662"/>
    <n v="0.93888888888888888"/>
    <n v="56.333333333333336"/>
    <n v="1.2"/>
    <n v="1"/>
    <n v="2"/>
    <n v="2"/>
    <m/>
    <m/>
    <m/>
    <m/>
    <n v="77.856592543722172"/>
    <n v="303.38273495285461"/>
    <s v="Training"/>
  </r>
  <r>
    <d v="2021-10-19T00:00:00"/>
    <x v="2"/>
    <n v="3"/>
    <n v="10"/>
    <x v="42"/>
    <x v="1"/>
    <n v="152"/>
    <m/>
    <m/>
    <m/>
    <m/>
    <n v="128"/>
    <n v="0.94810000000000005"/>
    <n v="7"/>
    <d v="1899-12-30T00:00:18"/>
    <d v="1899-12-30T00:02:36"/>
    <d v="1899-12-30T00:05:30"/>
    <n v="0.72589999999999999"/>
    <n v="5.5466666666666669"/>
    <n v="332.8"/>
    <n v="6.5866666666666669"/>
    <n v="395.2"/>
    <n v="1"/>
    <n v="1.0291666666666666"/>
    <n v="2"/>
    <n v="1"/>
    <m/>
    <m/>
    <m/>
    <m/>
    <n v="67.20824350800298"/>
    <n v="281.44275737455769"/>
    <s v="Training"/>
  </r>
  <r>
    <d v="2021-10-20T00:00:00"/>
    <x v="3"/>
    <n v="4"/>
    <n v="10"/>
    <x v="42"/>
    <x v="1"/>
    <n v="132"/>
    <m/>
    <m/>
    <m/>
    <m/>
    <n v="113"/>
    <n v="0.92620000000000002"/>
    <n v="9"/>
    <d v="1899-12-30T00:00:30"/>
    <d v="1899-12-30T00:02:49"/>
    <d v="1899-12-30T00:03:40"/>
    <n v="0.61160000000000003"/>
    <n v="5.304722222222221"/>
    <n v="318.28333333333325"/>
    <n v="6.1966666666666663"/>
    <n v="371.79999999999995"/>
    <n v="1"/>
    <n v="1"/>
    <n v="2"/>
    <n v="1"/>
    <m/>
    <m/>
    <m/>
    <m/>
    <n v="89.072876744060537"/>
    <n v="304.67689515590843"/>
    <s v="Training"/>
  </r>
  <r>
    <d v="2021-10-21T00:00:00"/>
    <x v="4"/>
    <n v="5"/>
    <n v="10"/>
    <x v="42"/>
    <x v="1"/>
    <n v="180"/>
    <m/>
    <m/>
    <m/>
    <m/>
    <n v="12"/>
    <n v="0.92310000000000003"/>
    <n v="1"/>
    <d v="1899-12-30T00:00:24"/>
    <d v="1899-12-30T00:02:45"/>
    <d v="1899-12-30T00:01:12"/>
    <n v="0.66669999999999996"/>
    <n v="0.54999999999999993"/>
    <n v="32.999999999999993"/>
    <n v="8.25"/>
    <n v="495"/>
    <n v="1"/>
    <n v="1.2890625"/>
    <n v="1"/>
    <n v="1"/>
    <m/>
    <m/>
    <m/>
    <m/>
    <n v="70.49215542707465"/>
    <n v="296.75146736113447"/>
    <s v="Training"/>
  </r>
  <r>
    <d v="2021-10-22T00:00:00"/>
    <x v="5"/>
    <n v="6"/>
    <n v="10"/>
    <x v="42"/>
    <x v="1"/>
    <n v="193"/>
    <m/>
    <m/>
    <m/>
    <m/>
    <n v="18"/>
    <n v="0.9"/>
    <n v="2"/>
    <d v="1899-12-30T00:00:23"/>
    <d v="1899-12-30T00:02:43"/>
    <d v="1899-12-30T00:02:44"/>
    <n v="0.73680000000000001"/>
    <n v="0.81499999999999995"/>
    <n v="48.9"/>
    <n v="8.738611111111112"/>
    <n v="524.31666666666672"/>
    <n v="1"/>
    <n v="1.3654079861111112"/>
    <n v="2"/>
    <n v="1"/>
    <m/>
    <m/>
    <m/>
    <m/>
    <n v="72.405643192207009"/>
    <n v="282.71724332865159"/>
    <s v="Training"/>
  </r>
  <r>
    <d v="2021-10-23T00:00:00"/>
    <x v="6"/>
    <n v="7"/>
    <n v="10"/>
    <x v="42"/>
    <x v="1"/>
    <n v="245"/>
    <m/>
    <m/>
    <m/>
    <m/>
    <n v="141"/>
    <n v="0.92759999999999998"/>
    <n v="11"/>
    <d v="1899-12-30T00:00:22"/>
    <d v="1899-12-30T00:02:41"/>
    <d v="1899-12-30T00:04:29"/>
    <n v="0.7"/>
    <n v="6.3058333333333332"/>
    <n v="378.34999999999997"/>
    <n v="10.956944444444444"/>
    <n v="657.41666666666663"/>
    <n v="1"/>
    <n v="1.7120225694444444"/>
    <n v="2"/>
    <n v="1"/>
    <m/>
    <m/>
    <m/>
    <m/>
    <n v="74.292214120710597"/>
    <n v="301.70218136303708"/>
    <s v="Training"/>
  </r>
  <r>
    <d v="2021-10-24T00:00:00"/>
    <x v="0"/>
    <n v="1"/>
    <n v="10"/>
    <x v="43"/>
    <x v="1"/>
    <n v="35"/>
    <m/>
    <m/>
    <m/>
    <m/>
    <n v="131"/>
    <n v="0.99239999999999995"/>
    <n v="1"/>
    <d v="1899-12-30T00:00:12"/>
    <d v="1899-12-30T00:02:39"/>
    <d v="1899-12-30T00:02:00"/>
    <n v="0.87019999999999997"/>
    <n v="5.7858333333333336"/>
    <n v="347.15000000000003"/>
    <n v="1.5458333333333332"/>
    <n v="92.749999999999986"/>
    <n v="1"/>
    <n v="1"/>
    <n v="2"/>
    <n v="1"/>
    <m/>
    <m/>
    <m/>
    <m/>
    <n v="-7.5894796915678926"/>
    <n v="208.22285372570551"/>
    <s v="Training"/>
  </r>
  <r>
    <d v="2021-10-25T00:00:00"/>
    <x v="1"/>
    <n v="2"/>
    <n v="10"/>
    <x v="43"/>
    <x v="1"/>
    <n v="198"/>
    <m/>
    <m/>
    <m/>
    <m/>
    <n v="171"/>
    <n v="0.95"/>
    <n v="9"/>
    <d v="1899-12-30T00:00:21"/>
    <d v="1899-12-30T00:02:51"/>
    <d v="1899-12-30T00:02:39"/>
    <n v="0.71909999999999996"/>
    <n v="8.1225000000000005"/>
    <n v="487.35"/>
    <n v="9.4049999999999994"/>
    <n v="564.29999999999995"/>
    <n v="1.27"/>
    <n v="1.46953125"/>
    <n v="2"/>
    <n v="2"/>
    <m/>
    <m/>
    <m/>
    <m/>
    <n v="87.569237981958807"/>
    <n v="310.56981373849851"/>
    <s v="Training"/>
  </r>
  <r>
    <d v="2021-10-26T00:00:00"/>
    <x v="2"/>
    <n v="3"/>
    <n v="10"/>
    <x v="43"/>
    <x v="1"/>
    <n v="47"/>
    <m/>
    <m/>
    <m/>
    <m/>
    <n v="189"/>
    <n v="0.97929999999999995"/>
    <n v="4"/>
    <d v="1899-12-30T00:00:13"/>
    <d v="1899-12-30T00:02:35"/>
    <d v="1899-12-30T00:02:26"/>
    <n v="0.82899999999999996"/>
    <n v="8.1374999999999993"/>
    <n v="488.24999999999994"/>
    <n v="2.0236111111111112"/>
    <n v="121.41666666666667"/>
    <n v="1.27"/>
    <n v="1"/>
    <n v="2"/>
    <n v="2"/>
    <m/>
    <m/>
    <m/>
    <m/>
    <n v="60.030939024303329"/>
    <n v="283.71029870059641"/>
    <s v="Training"/>
  </r>
  <r>
    <d v="2021-10-27T00:00:00"/>
    <x v="3"/>
    <n v="4"/>
    <n v="10"/>
    <x v="43"/>
    <x v="1"/>
    <n v="187"/>
    <m/>
    <m/>
    <m/>
    <m/>
    <n v="236"/>
    <n v="0.96330000000000005"/>
    <n v="9"/>
    <d v="1899-12-30T00:00:13"/>
    <d v="1899-12-30T00:02:44"/>
    <d v="1899-12-30T00:02:20"/>
    <n v="0.82789999999999997"/>
    <n v="10.751111111111111"/>
    <n v="645.06666666666672"/>
    <n v="8.5188888888888883"/>
    <n v="511.13333333333333"/>
    <n v="1.68"/>
    <n v="1.3310763888888888"/>
    <n v="2"/>
    <n v="2"/>
    <m/>
    <m/>
    <m/>
    <m/>
    <n v="84.458073127933801"/>
    <n v="284.04540317863518"/>
    <s v="Training"/>
  </r>
  <r>
    <d v="2021-10-28T00:00:00"/>
    <x v="4"/>
    <n v="5"/>
    <n v="10"/>
    <x v="43"/>
    <x v="1"/>
    <n v="57"/>
    <m/>
    <m/>
    <m/>
    <m/>
    <n v="34"/>
    <n v="0.97140000000000004"/>
    <n v="1"/>
    <d v="1899-12-30T00:00:11"/>
    <d v="1899-12-30T00:02:11"/>
    <d v="1899-12-30T00:01:44"/>
    <n v="0.88239999999999996"/>
    <n v="1.2372222222222222"/>
    <n v="74.233333333333334"/>
    <n v="2.0741666666666663"/>
    <n v="124.44999999999997"/>
    <n v="1"/>
    <n v="1"/>
    <n v="1"/>
    <n v="1"/>
    <m/>
    <m/>
    <m/>
    <m/>
    <n v="70.637017441848329"/>
    <n v="293.6872402923438"/>
    <s v="Training"/>
  </r>
  <r>
    <d v="2021-10-29T00:00:00"/>
    <x v="5"/>
    <n v="6"/>
    <n v="10"/>
    <x v="43"/>
    <x v="1"/>
    <n v="169"/>
    <m/>
    <m/>
    <m/>
    <m/>
    <n v="190"/>
    <n v="0.95960000000000001"/>
    <n v="8"/>
    <d v="1899-12-30T00:00:12"/>
    <d v="1899-12-30T00:02:38"/>
    <d v="1899-12-30T00:01:22"/>
    <n v="0.84689999999999999"/>
    <n v="8.3388888888888886"/>
    <n v="500.33333333333331"/>
    <n v="7.4172222222222226"/>
    <n v="445.03333333333336"/>
    <n v="1.3"/>
    <n v="1.1589409722222224"/>
    <n v="2"/>
    <n v="2"/>
    <m/>
    <m/>
    <m/>
    <m/>
    <n v="61.733897219202618"/>
    <n v="285.12926222716243"/>
    <s v="Training"/>
  </r>
  <r>
    <d v="2021-10-30T00:00:00"/>
    <x v="6"/>
    <n v="7"/>
    <n v="10"/>
    <x v="43"/>
    <x v="1"/>
    <n v="337"/>
    <m/>
    <m/>
    <m/>
    <m/>
    <n v="47"/>
    <n v="1"/>
    <n v="0"/>
    <d v="1899-12-30T00:00:06"/>
    <d v="1899-12-30T00:02:09"/>
    <d v="1899-12-30T00:00:57"/>
    <n v="0.93620000000000003"/>
    <n v="1.6841666666666668"/>
    <n v="101.05000000000001"/>
    <n v="12.075833333333335"/>
    <n v="724.55000000000018"/>
    <n v="1"/>
    <n v="1.8868489583333339"/>
    <n v="2"/>
    <n v="1"/>
    <m/>
    <m/>
    <m/>
    <m/>
    <n v="72.537390446626077"/>
    <n v="284.98321526340862"/>
    <s v="Training"/>
  </r>
  <r>
    <d v="2021-10-31T00:00:00"/>
    <x v="0"/>
    <n v="1"/>
    <n v="10"/>
    <x v="44"/>
    <x v="1"/>
    <n v="44"/>
    <m/>
    <m/>
    <m/>
    <m/>
    <n v="186"/>
    <n v="0.99470000000000003"/>
    <n v="1"/>
    <d v="1899-12-30T00:00:07"/>
    <d v="1899-12-30T00:02:30"/>
    <d v="1899-12-30T00:02:45"/>
    <n v="0.93579999999999997"/>
    <n v="7.7499999999999991"/>
    <n v="464.99999999999994"/>
    <n v="1.833333333333333"/>
    <n v="109.99999999999999"/>
    <n v="1.21"/>
    <n v="1"/>
    <n v="2"/>
    <n v="2"/>
    <m/>
    <m/>
    <m/>
    <m/>
    <n v="-27.60287041454513"/>
    <n v="193.13079262088641"/>
    <s v="Training"/>
  </r>
  <r>
    <d v="2021-11-01T00:00:00"/>
    <x v="1"/>
    <n v="2"/>
    <n v="11"/>
    <x v="44"/>
    <x v="1"/>
    <n v="316"/>
    <m/>
    <m/>
    <m/>
    <m/>
    <n v="54"/>
    <n v="0.94740000000000002"/>
    <n v="3"/>
    <d v="1899-12-30T00:00:07"/>
    <d v="1899-12-30T00:02:37"/>
    <d v="1899-12-30T00:00:55"/>
    <n v="0.91069999999999995"/>
    <n v="2.355"/>
    <n v="141.30000000000001"/>
    <n v="13.781111111111111"/>
    <n v="826.86666666666667"/>
    <n v="1"/>
    <n v="2.153298611111111"/>
    <n v="2"/>
    <n v="1"/>
    <m/>
    <m/>
    <m/>
    <m/>
    <n v="77.641735196778939"/>
    <n v="293.66386053093731"/>
    <s v="Training"/>
  </r>
  <r>
    <d v="2021-11-02T00:00:00"/>
    <x v="2"/>
    <n v="3"/>
    <n v="11"/>
    <x v="44"/>
    <x v="1"/>
    <n v="136"/>
    <m/>
    <m/>
    <m/>
    <m/>
    <n v="162"/>
    <n v="0.95860000000000001"/>
    <n v="7"/>
    <d v="1899-12-30T00:00:09"/>
    <d v="1899-12-30T00:02:39"/>
    <d v="1899-12-30T00:01:50"/>
    <n v="0.88170000000000004"/>
    <n v="7.1549999999999994"/>
    <n v="429.29999999999995"/>
    <n v="6.0066666666666668"/>
    <n v="360.40000000000003"/>
    <n v="1.1200000000000001"/>
    <n v="1"/>
    <n v="2"/>
    <n v="2"/>
    <m/>
    <m/>
    <m/>
    <m/>
    <n v="48.723252137996212"/>
    <n v="274.84082364946539"/>
    <s v="Training"/>
  </r>
  <r>
    <d v="2021-11-03T00:00:00"/>
    <x v="3"/>
    <n v="4"/>
    <n v="11"/>
    <x v="44"/>
    <x v="1"/>
    <n v="130"/>
    <m/>
    <m/>
    <m/>
    <m/>
    <n v="316"/>
    <n v="0.93769999999999998"/>
    <n v="21"/>
    <d v="1899-12-30T00:00:23"/>
    <d v="1899-12-30T00:02:13"/>
    <d v="1899-12-30T00:05:17"/>
    <n v="0.72919999999999996"/>
    <n v="11.674444444444445"/>
    <n v="700.4666666666667"/>
    <n v="4.802777777777778"/>
    <n v="288.16666666666669"/>
    <n v="1.82"/>
    <n v="1"/>
    <n v="2"/>
    <n v="2"/>
    <m/>
    <m/>
    <m/>
    <m/>
    <n v="67.496229152754452"/>
    <n v="296.33850322066507"/>
    <s v="Training"/>
  </r>
  <r>
    <d v="2021-11-04T00:00:00"/>
    <x v="4"/>
    <n v="5"/>
    <n v="11"/>
    <x v="44"/>
    <x v="1"/>
    <n v="12"/>
    <m/>
    <m/>
    <m/>
    <m/>
    <n v="43"/>
    <n v="0.97729999999999995"/>
    <n v="1"/>
    <d v="1899-12-30T00:00:09"/>
    <d v="1899-12-30T00:02:35"/>
    <d v="1899-12-30T00:01:50"/>
    <n v="0.84089999999999998"/>
    <n v="1.8513888888888885"/>
    <n v="111.08333333333331"/>
    <n v="0.51666666666666672"/>
    <n v="31.000000000000004"/>
    <n v="1"/>
    <n v="1"/>
    <n v="1"/>
    <n v="1"/>
    <m/>
    <m/>
    <m/>
    <m/>
    <n v="56.205392837322528"/>
    <n v="276.88094935380713"/>
    <s v="Training"/>
  </r>
  <r>
    <d v="2021-11-05T00:00:00"/>
    <x v="5"/>
    <n v="6"/>
    <n v="11"/>
    <x v="44"/>
    <x v="1"/>
    <n v="146"/>
    <m/>
    <m/>
    <m/>
    <m/>
    <n v="206"/>
    <n v="0.98099999999999998"/>
    <n v="4"/>
    <d v="1899-12-30T00:00:12"/>
    <d v="1899-12-30T00:02:39"/>
    <d v="1899-12-30T00:02:32"/>
    <n v="0.87080000000000002"/>
    <n v="9.0983333333333327"/>
    <n v="545.9"/>
    <n v="6.4483333333333324"/>
    <n v="386.89999999999992"/>
    <n v="1.42"/>
    <n v="1.0075520833333331"/>
    <n v="2"/>
    <n v="2"/>
    <m/>
    <m/>
    <m/>
    <m/>
    <n v="47.537324529293556"/>
    <n v="266.03988018170179"/>
    <s v="Training"/>
  </r>
  <r>
    <d v="2021-11-06T00:00:00"/>
    <x v="6"/>
    <n v="7"/>
    <n v="11"/>
    <x v="44"/>
    <x v="1"/>
    <n v="199"/>
    <m/>
    <m/>
    <m/>
    <m/>
    <n v="186"/>
    <n v="0.97889999999999999"/>
    <n v="4"/>
    <d v="1899-12-30T00:00:17"/>
    <d v="1899-12-30T00:02:22"/>
    <d v="1899-12-30T00:04:53"/>
    <n v="0.84130000000000005"/>
    <n v="7.3366666666666669"/>
    <n v="440.2"/>
    <n v="7.849444444444444"/>
    <n v="470.96666666666664"/>
    <n v="1.1499999999999999"/>
    <n v="1.2264756944444444"/>
    <n v="2"/>
    <n v="2"/>
    <m/>
    <m/>
    <m/>
    <m/>
    <n v="55.118604312095258"/>
    <n v="274.65398024414532"/>
    <s v="Training"/>
  </r>
  <r>
    <d v="2021-11-07T00:00:00"/>
    <x v="0"/>
    <n v="1"/>
    <n v="11"/>
    <x v="45"/>
    <x v="1"/>
    <n v="21"/>
    <m/>
    <m/>
    <m/>
    <m/>
    <n v="182"/>
    <n v="0.95789999999999997"/>
    <n v="8"/>
    <d v="1899-12-30T00:00:10"/>
    <d v="1899-12-30T00:02:40"/>
    <d v="1899-12-30T00:01:38"/>
    <n v="0.87029999999999996"/>
    <n v="8.0888888888888886"/>
    <n v="485.33333333333331"/>
    <n v="0.93333333333333335"/>
    <n v="56"/>
    <n v="1.26"/>
    <n v="1"/>
    <n v="2"/>
    <n v="2"/>
    <m/>
    <m/>
    <m/>
    <m/>
    <n v="-41.123161869057419"/>
    <n v="191.74364921100599"/>
    <s v="Training"/>
  </r>
  <r>
    <d v="2021-11-08T00:00:00"/>
    <x v="1"/>
    <n v="2"/>
    <n v="11"/>
    <x v="45"/>
    <x v="1"/>
    <n v="53"/>
    <m/>
    <m/>
    <m/>
    <m/>
    <n v="168"/>
    <n v="0.99409999999999998"/>
    <n v="1"/>
    <d v="1899-12-30T00:00:11"/>
    <d v="1899-12-30T00:02:25"/>
    <d v="1899-12-30T00:01:48"/>
    <n v="0.88170000000000004"/>
    <n v="6.7666666666666666"/>
    <n v="406"/>
    <n v="2.1347222222222224"/>
    <n v="128.08333333333334"/>
    <n v="1.06"/>
    <n v="1"/>
    <n v="2"/>
    <n v="2"/>
    <m/>
    <m/>
    <m/>
    <m/>
    <n v="63.048209332656619"/>
    <n v="288.45212084764779"/>
    <s v="Training"/>
  </r>
  <r>
    <d v="2021-11-09T00:00:00"/>
    <x v="2"/>
    <n v="3"/>
    <n v="11"/>
    <x v="45"/>
    <x v="1"/>
    <n v="140"/>
    <m/>
    <m/>
    <m/>
    <m/>
    <n v="50"/>
    <n v="0.96150000000000002"/>
    <n v="2"/>
    <d v="1899-12-30T00:00:06"/>
    <d v="1899-12-30T00:02:34"/>
    <d v="1899-12-30T00:00:58"/>
    <n v="0.92159999999999997"/>
    <n v="2.1388888888888893"/>
    <n v="128.33333333333337"/>
    <n v="5.9888888888888889"/>
    <n v="359.33333333333331"/>
    <n v="1"/>
    <n v="1"/>
    <n v="2"/>
    <n v="1"/>
    <m/>
    <m/>
    <m/>
    <m/>
    <n v="36.550901271557251"/>
    <n v="262.61836932565637"/>
    <s v="Training"/>
  </r>
  <r>
    <d v="2021-11-10T00:00:00"/>
    <x v="3"/>
    <n v="4"/>
    <n v="11"/>
    <x v="45"/>
    <x v="1"/>
    <n v="231"/>
    <m/>
    <m/>
    <m/>
    <m/>
    <n v="137"/>
    <n v="0.95140000000000002"/>
    <n v="7"/>
    <d v="1899-12-30T00:00:14"/>
    <d v="1899-12-30T00:02:36"/>
    <d v="1899-12-30T00:02:56"/>
    <n v="0.77080000000000004"/>
    <n v="5.9366666666666656"/>
    <n v="356.19999999999993"/>
    <n v="10.01"/>
    <n v="600.6"/>
    <n v="1"/>
    <n v="1.5640625000000001"/>
    <n v="2"/>
    <n v="1"/>
    <m/>
    <m/>
    <m/>
    <m/>
    <n v="53.693032649619077"/>
    <n v="277.76518401916007"/>
    <s v="Training"/>
  </r>
  <r>
    <d v="2021-11-11T00:00:00"/>
    <x v="4"/>
    <n v="5"/>
    <n v="11"/>
    <x v="45"/>
    <x v="1"/>
    <n v="186"/>
    <m/>
    <m/>
    <m/>
    <m/>
    <n v="36"/>
    <n v="1"/>
    <n v="0"/>
    <d v="1899-12-30T00:00:15"/>
    <d v="1899-12-30T00:02:53"/>
    <d v="1899-12-30T00:01:41"/>
    <n v="0.80559999999999998"/>
    <n v="1.73"/>
    <n v="103.8"/>
    <n v="8.9383333333333326"/>
    <n v="536.29999999999995"/>
    <n v="1"/>
    <n v="1.3966145833333332"/>
    <n v="1"/>
    <n v="1"/>
    <m/>
    <m/>
    <m/>
    <m/>
    <n v="50.096099414634438"/>
    <n v="269.84858215600019"/>
    <s v="Training"/>
  </r>
  <r>
    <d v="2021-11-12T00:00:00"/>
    <x v="5"/>
    <n v="6"/>
    <n v="11"/>
    <x v="45"/>
    <x v="1"/>
    <n v="166"/>
    <m/>
    <m/>
    <m/>
    <m/>
    <n v="148"/>
    <n v="0.95479999999999998"/>
    <n v="7"/>
    <d v="1899-12-30T00:00:14"/>
    <d v="1899-12-30T00:02:26"/>
    <d v="1899-12-30T00:03:23"/>
    <n v="0.81289999999999996"/>
    <n v="6.0022222222222226"/>
    <n v="360.13333333333333"/>
    <n v="6.7322222222222212"/>
    <n v="403.93333333333328"/>
    <n v="1"/>
    <n v="1.051909722222222"/>
    <n v="2"/>
    <n v="1"/>
    <m/>
    <m/>
    <m/>
    <m/>
    <n v="37.631736053444321"/>
    <n v="260.87987493367473"/>
    <s v="Training"/>
  </r>
  <r>
    <d v="2021-11-13T00:00:00"/>
    <x v="6"/>
    <n v="7"/>
    <n v="11"/>
    <x v="45"/>
    <x v="1"/>
    <n v="146"/>
    <m/>
    <m/>
    <m/>
    <m/>
    <n v="154"/>
    <n v="0.96860000000000002"/>
    <n v="5"/>
    <d v="1899-12-30T00:00:16"/>
    <d v="1899-12-30T00:02:41"/>
    <d v="1899-12-30T00:02:12"/>
    <n v="0.78620000000000001"/>
    <n v="6.8872222222222224"/>
    <n v="413.23333333333335"/>
    <n v="6.5294444444444455"/>
    <n v="391.76666666666671"/>
    <n v="1.08"/>
    <n v="1.0202256944444446"/>
    <n v="2"/>
    <n v="2"/>
    <m/>
    <m/>
    <m/>
    <m/>
    <n v="52.721296998023831"/>
    <n v="272.07325937352641"/>
    <s v="Training"/>
  </r>
  <r>
    <d v="2021-11-14T00:00:00"/>
    <x v="0"/>
    <n v="1"/>
    <n v="11"/>
    <x v="46"/>
    <x v="1"/>
    <n v="41"/>
    <m/>
    <m/>
    <m/>
    <m/>
    <n v="110"/>
    <n v="0.95650000000000002"/>
    <n v="5"/>
    <d v="1899-12-30T00:00:14"/>
    <d v="1899-12-30T00:02:28"/>
    <d v="1899-12-30T00:02:17"/>
    <n v="0.83189999999999997"/>
    <n v="4.522222222222223"/>
    <n v="271.33333333333337"/>
    <n v="1.6855555555555555"/>
    <n v="101.13333333333333"/>
    <n v="1"/>
    <n v="1"/>
    <n v="2"/>
    <n v="1"/>
    <m/>
    <m/>
    <m/>
    <m/>
    <n v="-53.5434892711571"/>
    <n v="182.49346418583369"/>
    <s v="Training"/>
  </r>
  <r>
    <d v="2021-11-18T00:00:00"/>
    <x v="1"/>
    <n v="5"/>
    <n v="11"/>
    <x v="46"/>
    <x v="1"/>
    <n v="173"/>
    <m/>
    <m/>
    <m/>
    <m/>
    <n v="173"/>
    <n v="0.93010000000000004"/>
    <n v="13"/>
    <d v="1899-12-30T00:00:19"/>
    <d v="1899-12-30T00:02:39"/>
    <d v="1899-12-30T00:02:44"/>
    <n v="0.73509999999999998"/>
    <n v="7.6408333333333323"/>
    <n v="458.44999999999993"/>
    <n v="7.6408333333333323"/>
    <n v="458.44999999999993"/>
    <n v="1.19"/>
    <n v="1.1938802083333331"/>
    <n v="2"/>
    <n v="2"/>
    <m/>
    <m/>
    <m/>
    <m/>
    <n v="52.151672342031929"/>
    <n v="274.94970693916417"/>
    <s v="Training"/>
  </r>
  <r>
    <d v="2021-11-19T00:00:00"/>
    <x v="2"/>
    <n v="6"/>
    <n v="11"/>
    <x v="46"/>
    <x v="1"/>
    <n v="176"/>
    <m/>
    <m/>
    <m/>
    <m/>
    <n v="157"/>
    <n v="0.94010000000000005"/>
    <n v="10"/>
    <d v="1899-12-30T00:00:23"/>
    <d v="1899-12-30T00:02:32"/>
    <d v="1899-12-30T00:02:49"/>
    <n v="0.67679999999999996"/>
    <n v="6.6288888888888877"/>
    <n v="397.73333333333323"/>
    <n v="7.431111111111111"/>
    <n v="445.86666666666667"/>
    <n v="1.04"/>
    <n v="1.1611111111111112"/>
    <n v="2"/>
    <n v="2"/>
    <m/>
    <m/>
    <m/>
    <m/>
    <n v="31.262178112135999"/>
    <n v="252.7497097963157"/>
    <s v="Training"/>
  </r>
  <r>
    <d v="2021-11-20T00:00:00"/>
    <x v="3"/>
    <n v="7"/>
    <n v="11"/>
    <x v="46"/>
    <x v="1"/>
    <n v="147"/>
    <m/>
    <m/>
    <m/>
    <m/>
    <n v="142"/>
    <n v="0.97260000000000002"/>
    <n v="4"/>
    <d v="1899-12-30T00:00:22"/>
    <d v="1899-12-30T00:02:42"/>
    <d v="1899-12-30T00:01:59"/>
    <n v="0.66900000000000004"/>
    <n v="6.39"/>
    <n v="383.4"/>
    <n v="6.6150000000000002"/>
    <n v="396.90000000000003"/>
    <n v="1"/>
    <n v="1.0335937500000001"/>
    <n v="2"/>
    <n v="1"/>
    <m/>
    <m/>
    <m/>
    <m/>
    <n v="41.898266079648849"/>
    <n v="263.02164107905128"/>
    <s v="Training"/>
  </r>
  <r>
    <d v="2021-11-21T00:00:00"/>
    <x v="4"/>
    <n v="1"/>
    <n v="11"/>
    <x v="47"/>
    <x v="1"/>
    <n v="84"/>
    <m/>
    <m/>
    <m/>
    <m/>
    <n v="31"/>
    <n v="0.75609999999999999"/>
    <n v="10"/>
    <d v="1899-12-30T00:00:39"/>
    <d v="1899-12-30T00:03:43"/>
    <d v="1899-12-30T00:03:40"/>
    <n v="0.48780000000000001"/>
    <n v="1.9202777777777775"/>
    <n v="115.21666666666665"/>
    <n v="5.2033333333333331"/>
    <n v="312.2"/>
    <n v="1"/>
    <n v="1"/>
    <n v="1"/>
    <n v="1"/>
    <m/>
    <m/>
    <m/>
    <m/>
    <n v="-44.694422940948492"/>
    <n v="176.11181216194089"/>
    <s v="Training"/>
  </r>
  <r>
    <d v="2021-11-27T00:00:00"/>
    <x v="5"/>
    <n v="7"/>
    <n v="11"/>
    <x v="47"/>
    <x v="1"/>
    <n v="378"/>
    <m/>
    <m/>
    <m/>
    <m/>
    <n v="85"/>
    <n v="0.45950000000000002"/>
    <n v="100"/>
    <d v="1899-12-30T00:01:49"/>
    <d v="1899-12-30T00:02:46"/>
    <d v="1899-12-30T00:11:01"/>
    <n v="3.7999999999999999E-2"/>
    <n v="3.9194444444444447"/>
    <n v="235.16666666666669"/>
    <n v="17.430000000000003"/>
    <n v="1045.8000000000002"/>
    <n v="1"/>
    <n v="2.7234375000000006"/>
    <n v="2"/>
    <n v="1"/>
    <m/>
    <m/>
    <m/>
    <m/>
    <n v="60.150103068026183"/>
    <n v="280.06869699962459"/>
    <s v="Training"/>
  </r>
  <r>
    <d v="2021-11-28T00:00:00"/>
    <x v="6"/>
    <n v="1"/>
    <n v="11"/>
    <x v="48"/>
    <x v="1"/>
    <n v="80"/>
    <m/>
    <m/>
    <m/>
    <m/>
    <n v="83"/>
    <n v="0.55700000000000005"/>
    <n v="66"/>
    <d v="1899-12-30T00:01:38"/>
    <d v="1899-12-30T00:02:18"/>
    <d v="1899-12-30T00:10:06"/>
    <n v="4.8300000000000003E-2"/>
    <n v="3.1816666666666671"/>
    <n v="190.90000000000003"/>
    <n v="3.0666666666666673"/>
    <n v="184.00000000000003"/>
    <n v="1"/>
    <n v="1"/>
    <n v="2"/>
    <n v="1"/>
    <m/>
    <m/>
    <m/>
    <m/>
    <n v="-30.186388168311339"/>
    <n v="189.0674929248689"/>
    <s v="Training"/>
  </r>
  <r>
    <d v="2021-11-29T00:00:00"/>
    <x v="0"/>
    <n v="2"/>
    <n v="11"/>
    <x v="48"/>
    <x v="1"/>
    <n v="356"/>
    <m/>
    <m/>
    <m/>
    <m/>
    <n v="115"/>
    <n v="0.63890000000000002"/>
    <n v="65"/>
    <d v="1899-12-30T00:01:04"/>
    <d v="1899-12-30T00:02:33"/>
    <d v="1899-12-30T00:12:50"/>
    <n v="0.23860000000000001"/>
    <n v="4.8875000000000002"/>
    <n v="293.25"/>
    <n v="15.13"/>
    <n v="907.80000000000007"/>
    <n v="1"/>
    <n v="2.3640625000000002"/>
    <n v="2"/>
    <n v="1"/>
    <m/>
    <m/>
    <m/>
    <m/>
    <n v="71.136749677811935"/>
    <n v="296.25680952083871"/>
    <s v="Training"/>
  </r>
  <r>
    <d v="2021-11-30T00:00:00"/>
    <x v="1"/>
    <n v="3"/>
    <n v="11"/>
    <x v="48"/>
    <x v="1"/>
    <n v="409"/>
    <m/>
    <m/>
    <m/>
    <m/>
    <n v="144"/>
    <n v="0.83240000000000003"/>
    <n v="29"/>
    <d v="1899-12-30T00:00:38"/>
    <d v="1899-12-30T00:03:00"/>
    <d v="1899-12-30T00:05:32"/>
    <n v="0.4647"/>
    <n v="7.2"/>
    <n v="432"/>
    <n v="20.45"/>
    <n v="1227"/>
    <n v="1.1299999999999999"/>
    <n v="3.1953125"/>
    <n v="2"/>
    <n v="2"/>
    <m/>
    <m/>
    <m/>
    <m/>
    <n v="52.773233869489289"/>
    <n v="273.07671329272358"/>
    <s v="Training"/>
  </r>
  <r>
    <d v="2021-12-01T00:00:00"/>
    <x v="2"/>
    <n v="4"/>
    <n v="12"/>
    <x v="48"/>
    <x v="1"/>
    <n v="211"/>
    <m/>
    <m/>
    <m/>
    <m/>
    <n v="158"/>
    <n v="0.89770000000000005"/>
    <n v="18"/>
    <d v="1899-12-30T00:00:20"/>
    <d v="1899-12-30T00:02:33"/>
    <d v="1899-12-30T00:05:15"/>
    <n v="0.70350000000000001"/>
    <n v="6.7149999999999999"/>
    <n v="402.9"/>
    <n v="8.9674999999999994"/>
    <n v="538.04999999999995"/>
    <n v="1.05"/>
    <n v="1.401171875"/>
    <n v="2"/>
    <n v="2"/>
    <m/>
    <m/>
    <m/>
    <m/>
    <n v="77.268009324332041"/>
    <n v="297.62020905930041"/>
    <s v="Training"/>
  </r>
  <r>
    <d v="2021-12-02T00:00:00"/>
    <x v="3"/>
    <n v="5"/>
    <n v="12"/>
    <x v="48"/>
    <x v="1"/>
    <n v="160"/>
    <m/>
    <m/>
    <m/>
    <m/>
    <n v="120"/>
    <n v="0.81630000000000003"/>
    <n v="27"/>
    <d v="1899-12-30T00:00:46"/>
    <d v="1899-12-30T00:02:39"/>
    <d v="1899-12-30T00:04:16"/>
    <n v="0.39729999999999999"/>
    <n v="5.3"/>
    <n v="318"/>
    <n v="7.0666666666666664"/>
    <n v="424"/>
    <n v="1"/>
    <n v="1.1041666666666667"/>
    <n v="2"/>
    <n v="1"/>
    <m/>
    <m/>
    <m/>
    <m/>
    <n v="73.272354398465254"/>
    <n v="294.49120225655969"/>
    <s v="Training"/>
  </r>
  <r>
    <d v="2021-12-03T00:00:00"/>
    <x v="4"/>
    <n v="6"/>
    <n v="12"/>
    <x v="48"/>
    <x v="1"/>
    <n v="141"/>
    <m/>
    <m/>
    <m/>
    <m/>
    <n v="77"/>
    <n v="0.91669999999999996"/>
    <n v="7"/>
    <d v="1899-12-30T00:00:17"/>
    <d v="1899-12-30T00:02:07"/>
    <d v="1899-12-30T00:04:30"/>
    <n v="0.7349"/>
    <n v="2.716388888888889"/>
    <n v="162.98333333333335"/>
    <n v="4.9741666666666671"/>
    <n v="298.45000000000005"/>
    <n v="1"/>
    <n v="1"/>
    <n v="1"/>
    <n v="1"/>
    <m/>
    <m/>
    <m/>
    <m/>
    <n v="70.643054518458683"/>
    <n v="284.67888519887163"/>
    <s v="Training"/>
  </r>
  <r>
    <d v="2021-12-04T00:00:00"/>
    <x v="5"/>
    <n v="7"/>
    <n v="12"/>
    <x v="48"/>
    <x v="1"/>
    <n v="119"/>
    <m/>
    <m/>
    <m/>
    <m/>
    <n v="78"/>
    <n v="0.24"/>
    <n v="247"/>
    <d v="1899-12-30T00:03:13"/>
    <d v="1899-12-30T00:03:01"/>
    <d v="1899-12-30T00:17:27"/>
    <n v="0"/>
    <n v="3.921666666666666"/>
    <n v="235.29999999999995"/>
    <n v="5.9830555555555556"/>
    <n v="358.98333333333335"/>
    <n v="1"/>
    <n v="1"/>
    <n v="2"/>
    <n v="1"/>
    <m/>
    <m/>
    <m/>
    <m/>
    <n v="75.709977877088647"/>
    <n v="291.97045933376052"/>
    <s v="Training"/>
  </r>
  <r>
    <d v="2021-12-05T00:00:00"/>
    <x v="6"/>
    <n v="1"/>
    <n v="12"/>
    <x v="49"/>
    <x v="1"/>
    <n v="100"/>
    <m/>
    <m/>
    <m/>
    <m/>
    <n v="103"/>
    <n v="0.2336"/>
    <n v="338"/>
    <d v="1899-12-30T00:04:04"/>
    <d v="1899-12-30T00:02:43"/>
    <d v="1899-12-30T00:15:38"/>
    <n v="2.3E-3"/>
    <n v="4.6636111111111109"/>
    <n v="279.81666666666666"/>
    <n v="4.5277777777777777"/>
    <n v="271.66666666666669"/>
    <n v="1"/>
    <n v="1"/>
    <n v="2"/>
    <n v="1"/>
    <m/>
    <m/>
    <m/>
    <m/>
    <n v="-20.786931965632579"/>
    <n v="202.43849197363889"/>
    <s v="Training"/>
  </r>
  <r>
    <d v="2021-12-06T00:00:00"/>
    <x v="0"/>
    <n v="2"/>
    <n v="12"/>
    <x v="49"/>
    <x v="1"/>
    <n v="182"/>
    <m/>
    <m/>
    <m/>
    <m/>
    <n v="116"/>
    <n v="0.221"/>
    <n v="409"/>
    <d v="1899-12-30T00:05:08"/>
    <d v="1899-12-30T00:03:08"/>
    <d v="1899-12-30T00:22:56"/>
    <n v="0"/>
    <n v="6.0577777777777779"/>
    <n v="363.4666666666667"/>
    <n v="9.5044444444444451"/>
    <n v="570.26666666666665"/>
    <n v="1"/>
    <n v="1.4850694444444443"/>
    <n v="2"/>
    <n v="1"/>
    <m/>
    <m/>
    <m/>
    <m/>
    <n v="94.984819223746442"/>
    <n v="303.32162834363322"/>
    <s v="Training"/>
  </r>
  <r>
    <d v="2021-12-07T00:00:00"/>
    <x v="1"/>
    <n v="3"/>
    <n v="12"/>
    <x v="49"/>
    <x v="1"/>
    <n v="150"/>
    <m/>
    <m/>
    <m/>
    <m/>
    <n v="201"/>
    <n v="0.32950000000000002"/>
    <n v="409"/>
    <d v="1899-12-30T00:03:13"/>
    <d v="1899-12-30T00:02:52"/>
    <d v="1899-12-30T00:19:15"/>
    <n v="3.5200000000000002E-2"/>
    <n v="9.6033333333333353"/>
    <n v="576.20000000000016"/>
    <n v="7.166666666666667"/>
    <n v="430"/>
    <n v="1.5"/>
    <n v="1.1197916666666667"/>
    <n v="2"/>
    <n v="2"/>
    <m/>
    <m/>
    <m/>
    <m/>
    <n v="77.245629158376829"/>
    <n v="281.05180699395561"/>
    <s v="Training"/>
  </r>
  <r>
    <d v="2021-12-08T00:00:00"/>
    <x v="2"/>
    <n v="4"/>
    <n v="12"/>
    <x v="49"/>
    <x v="1"/>
    <n v="121"/>
    <m/>
    <m/>
    <m/>
    <m/>
    <n v="282"/>
    <n v="0.66039999999999999"/>
    <n v="145"/>
    <d v="1899-12-30T00:01:02"/>
    <d v="1899-12-30T00:02:49"/>
    <d v="1899-12-30T00:14:42"/>
    <n v="0.24879999999999999"/>
    <n v="13.238333333333333"/>
    <n v="794.3"/>
    <n v="5.6802777777777775"/>
    <n v="340.81666666666666"/>
    <n v="2.0699999999999998"/>
    <n v="1"/>
    <n v="2"/>
    <n v="3"/>
    <m/>
    <m/>
    <m/>
    <m/>
    <n v="83.221314060296976"/>
    <n v="307.84082980277822"/>
    <s v="Training"/>
  </r>
  <r>
    <d v="2021-12-09T00:00:00"/>
    <x v="3"/>
    <n v="5"/>
    <n v="12"/>
    <x v="49"/>
    <x v="1"/>
    <n v="22"/>
    <m/>
    <m/>
    <m/>
    <m/>
    <n v="331"/>
    <n v="0.87570000000000003"/>
    <n v="47"/>
    <d v="1899-12-30T00:00:43"/>
    <d v="1899-12-30T00:02:37"/>
    <d v="1899-12-30T00:05:30"/>
    <n v="0.40329999999999999"/>
    <n v="14.435277777777779"/>
    <n v="866.11666666666679"/>
    <n v="0.95944444444444443"/>
    <n v="57.566666666666663"/>
    <n v="2.2599999999999998"/>
    <n v="1"/>
    <n v="2"/>
    <n v="3"/>
    <m/>
    <m/>
    <m/>
    <m/>
    <n v="80.160428185461342"/>
    <n v="295.27191502278907"/>
    <s v="Training"/>
  </r>
  <r>
    <d v="2021-12-10T00:00:00"/>
    <x v="4"/>
    <n v="6"/>
    <n v="12"/>
    <x v="49"/>
    <x v="1"/>
    <n v="239"/>
    <m/>
    <m/>
    <m/>
    <m/>
    <n v="67"/>
    <n v="0.83750000000000002"/>
    <n v="13"/>
    <d v="1899-12-30T00:00:38"/>
    <d v="1899-12-30T00:03:12"/>
    <d v="1899-12-30T00:05:30"/>
    <n v="0.46250000000000002"/>
    <n v="3.5733333333333328"/>
    <n v="214.39999999999998"/>
    <n v="12.746666666666666"/>
    <n v="764.8"/>
    <n v="1"/>
    <n v="1.9916666666666665"/>
    <n v="1"/>
    <n v="1"/>
    <m/>
    <m/>
    <m/>
    <m/>
    <n v="76.96330891747084"/>
    <n v="293.08443664047383"/>
    <s v="Training"/>
  </r>
  <r>
    <d v="2021-12-11T00:00:00"/>
    <x v="5"/>
    <n v="7"/>
    <n v="12"/>
    <x v="49"/>
    <x v="1"/>
    <n v="167"/>
    <m/>
    <m/>
    <m/>
    <m/>
    <n v="320"/>
    <n v="0.89890000000000003"/>
    <n v="36"/>
    <d v="1899-12-30T00:00:34"/>
    <d v="1899-12-30T00:02:52"/>
    <d v="1899-12-30T00:05:30"/>
    <n v="0.52559999999999996"/>
    <n v="15.28888888888889"/>
    <n v="917.33333333333337"/>
    <n v="7.9788888888888891"/>
    <n v="478.73333333333335"/>
    <n v="2.39"/>
    <n v="1.2467013888888889"/>
    <n v="2"/>
    <n v="3"/>
    <m/>
    <m/>
    <m/>
    <m/>
    <n v="90.41188792280478"/>
    <n v="300.561238433867"/>
    <s v="Training"/>
  </r>
  <r>
    <d v="2021-12-12T00:00:00"/>
    <x v="6"/>
    <n v="1"/>
    <n v="12"/>
    <x v="50"/>
    <x v="1"/>
    <n v="73"/>
    <m/>
    <m/>
    <m/>
    <m/>
    <n v="355"/>
    <n v="0.86799999999999999"/>
    <n v="54"/>
    <d v="1899-12-30T00:00:44"/>
    <d v="1899-12-30T00:02:55"/>
    <d v="1899-12-30T00:04:21"/>
    <n v="0.39700000000000002"/>
    <n v="17.256944444444443"/>
    <n v="1035.4166666666665"/>
    <n v="3.5486111111111107"/>
    <n v="212.91666666666663"/>
    <n v="2.7"/>
    <n v="1"/>
    <n v="2"/>
    <n v="3"/>
    <m/>
    <m/>
    <m/>
    <m/>
    <n v="-5.3719857437214147"/>
    <n v="217.78354541683541"/>
    <s v="Training"/>
  </r>
  <r>
    <d v="2021-12-13T00:00:00"/>
    <x v="0"/>
    <n v="2"/>
    <n v="12"/>
    <x v="50"/>
    <x v="1"/>
    <n v="170"/>
    <m/>
    <m/>
    <m/>
    <m/>
    <n v="302"/>
    <n v="0.85799999999999998"/>
    <n v="50"/>
    <d v="1899-12-30T00:00:41"/>
    <d v="1899-12-30T00:03:03"/>
    <d v="1899-12-30T00:05:49"/>
    <n v="0.47399999999999998"/>
    <n v="15.351666666666668"/>
    <n v="921.10000000000014"/>
    <n v="8.6416666666666675"/>
    <n v="518.5"/>
    <n v="2.4"/>
    <n v="1.3502604166666667"/>
    <n v="2"/>
    <n v="3"/>
    <m/>
    <m/>
    <m/>
    <m/>
    <n v="93.930883529513224"/>
    <n v="320.702858868661"/>
    <s v="Training"/>
  </r>
  <r>
    <d v="2021-12-14T00:00:00"/>
    <x v="1"/>
    <n v="3"/>
    <n v="12"/>
    <x v="50"/>
    <x v="1"/>
    <n v="188"/>
    <m/>
    <m/>
    <m/>
    <m/>
    <n v="239"/>
    <n v="0.84750000000000003"/>
    <n v="43"/>
    <d v="1899-12-30T00:00:39"/>
    <d v="1899-12-30T00:03:06"/>
    <d v="1899-12-30T00:08:26"/>
    <n v="0.51070000000000004"/>
    <n v="12.348333333333334"/>
    <n v="740.90000000000009"/>
    <n v="9.7133333333333329"/>
    <n v="582.79999999999995"/>
    <n v="1.93"/>
    <n v="1.5177083333333332"/>
    <n v="2"/>
    <n v="2"/>
    <m/>
    <m/>
    <m/>
    <m/>
    <n v="79.274977368743109"/>
    <n v="299.4169439968494"/>
    <s v="Training"/>
  </r>
  <r>
    <d v="2021-12-15T00:00:00"/>
    <x v="2"/>
    <n v="4"/>
    <n v="12"/>
    <x v="50"/>
    <x v="1"/>
    <n v="306"/>
    <m/>
    <m/>
    <m/>
    <m/>
    <n v="390"/>
    <n v="0.90910000000000002"/>
    <n v="39"/>
    <d v="1899-12-30T00:00:38"/>
    <d v="1899-12-30T00:02:41"/>
    <d v="1899-12-30T00:03:40"/>
    <n v="0.4466"/>
    <n v="17.441666666666666"/>
    <n v="1046.5"/>
    <n v="13.685"/>
    <n v="821.1"/>
    <n v="2.73"/>
    <n v="2.1382812499999999"/>
    <n v="2"/>
    <n v="3"/>
    <m/>
    <m/>
    <m/>
    <m/>
    <n v="96.896226283845209"/>
    <n v="315.81476674350381"/>
    <s v="Training"/>
  </r>
  <r>
    <d v="2021-12-16T00:00:00"/>
    <x v="3"/>
    <n v="5"/>
    <n v="12"/>
    <x v="50"/>
    <x v="1"/>
    <n v="201"/>
    <m/>
    <m/>
    <m/>
    <m/>
    <n v="285"/>
    <n v="0.9194"/>
    <n v="25"/>
    <d v="1899-12-30T00:00:33"/>
    <d v="1899-12-30T00:02:45"/>
    <d v="1899-12-30T00:04:12"/>
    <n v="0.56110000000000004"/>
    <n v="13.0625"/>
    <n v="783.75"/>
    <n v="9.2125000000000004"/>
    <n v="552.75"/>
    <n v="2.04"/>
    <n v="1.439453125"/>
    <n v="2"/>
    <n v="3"/>
    <m/>
    <m/>
    <m/>
    <m/>
    <n v="89.654800727991855"/>
    <n v="309.49651460058089"/>
    <s v="Training"/>
  </r>
  <r>
    <d v="2021-12-17T00:00:00"/>
    <x v="4"/>
    <n v="6"/>
    <n v="12"/>
    <x v="50"/>
    <x v="1"/>
    <n v="188"/>
    <m/>
    <m/>
    <m/>
    <m/>
    <n v="94"/>
    <n v="0.92159999999999997"/>
    <n v="8"/>
    <d v="1899-12-30T00:00:29"/>
    <d v="1899-12-30T00:02:40"/>
    <d v="1899-12-30T00:02:48"/>
    <n v="0.63729999999999998"/>
    <n v="4.177777777777778"/>
    <n v="250.66666666666669"/>
    <n v="8.3555555555555561"/>
    <n v="501.33333333333337"/>
    <n v="1"/>
    <n v="1.3055555555555556"/>
    <n v="1"/>
    <n v="1"/>
    <m/>
    <m/>
    <m/>
    <m/>
    <n v="82.675656899299256"/>
    <n v="297.50980606887691"/>
    <s v="Training"/>
  </r>
  <r>
    <d v="2021-12-18T00:00:00"/>
    <x v="5"/>
    <n v="7"/>
    <n v="12"/>
    <x v="50"/>
    <x v="1"/>
    <n v="148"/>
    <m/>
    <m/>
    <m/>
    <m/>
    <n v="297"/>
    <n v="0.88660000000000005"/>
    <n v="38"/>
    <d v="1899-12-30T00:00:39"/>
    <d v="1899-12-30T00:02:33"/>
    <d v="1899-12-30T00:03:42"/>
    <n v="0.43640000000000001"/>
    <n v="12.622499999999999"/>
    <n v="757.34999999999991"/>
    <n v="6.29"/>
    <n v="377.4"/>
    <n v="1.97"/>
    <n v="1"/>
    <n v="2"/>
    <n v="2"/>
    <m/>
    <m/>
    <m/>
    <m/>
    <n v="79.755293912860338"/>
    <n v="302.5747554616546"/>
    <s v="Training"/>
  </r>
  <r>
    <d v="2021-12-19T00:00:00"/>
    <x v="6"/>
    <n v="1"/>
    <n v="12"/>
    <x v="51"/>
    <x v="1"/>
    <n v="21"/>
    <m/>
    <m/>
    <m/>
    <m/>
    <n v="291"/>
    <n v="0.92969999999999997"/>
    <n v="22"/>
    <d v="1899-12-30T00:00:26"/>
    <d v="1899-12-30T00:02:25"/>
    <d v="1899-12-30T00:03:42"/>
    <n v="0.64290000000000003"/>
    <n v="11.720833333333333"/>
    <n v="703.25"/>
    <n v="0.84583333333333333"/>
    <n v="50.75"/>
    <n v="1.83"/>
    <n v="1"/>
    <n v="2"/>
    <n v="2"/>
    <m/>
    <m/>
    <m/>
    <m/>
    <n v="-0.57301860750763278"/>
    <n v="217.63741027113781"/>
    <s v="Training"/>
  </r>
  <r>
    <d v="2021-12-20T00:00:00"/>
    <x v="0"/>
    <n v="2"/>
    <n v="12"/>
    <x v="51"/>
    <x v="1"/>
    <n v="148"/>
    <m/>
    <m/>
    <m/>
    <m/>
    <n v="240"/>
    <n v="0.95620000000000005"/>
    <n v="11"/>
    <d v="1899-12-30T00:00:24"/>
    <d v="1899-12-30T00:02:42"/>
    <d v="1899-12-30T00:02:45"/>
    <n v="0.67200000000000004"/>
    <n v="10.799999999999997"/>
    <n v="647.99999999999977"/>
    <n v="6.6599999999999993"/>
    <n v="399.59999999999997"/>
    <n v="1.69"/>
    <n v="1.0406249999999999"/>
    <n v="2"/>
    <n v="2"/>
    <m/>
    <m/>
    <m/>
    <m/>
    <n v="105.6807064374173"/>
    <n v="317.93330167081291"/>
    <s v="Training"/>
  </r>
  <r>
    <d v="2021-12-21T00:00:00"/>
    <x v="1"/>
    <n v="3"/>
    <n v="12"/>
    <x v="51"/>
    <x v="1"/>
    <n v="167"/>
    <m/>
    <m/>
    <m/>
    <m/>
    <n v="176"/>
    <n v="0.92630000000000001"/>
    <n v="14"/>
    <d v="1899-12-30T00:00:24"/>
    <d v="1899-12-30T00:02:31"/>
    <d v="1899-12-30T00:03:53"/>
    <n v="0.67720000000000002"/>
    <n v="7.3822222222222225"/>
    <n v="442.93333333333334"/>
    <n v="7.004722222222223"/>
    <n v="420.28333333333336"/>
    <n v="1.1499999999999999"/>
    <n v="1.0944878472222224"/>
    <n v="2"/>
    <n v="2"/>
    <m/>
    <m/>
    <m/>
    <m/>
    <n v="79.470065816053506"/>
    <n v="301.69560347419912"/>
    <s v="Training"/>
  </r>
  <r>
    <d v="2021-12-22T00:00:00"/>
    <x v="2"/>
    <n v="4"/>
    <n v="12"/>
    <x v="51"/>
    <x v="1"/>
    <n v="169"/>
    <m/>
    <m/>
    <m/>
    <m/>
    <n v="170"/>
    <n v="0.90429999999999999"/>
    <n v="18"/>
    <d v="1899-12-30T00:00:34"/>
    <d v="1899-12-30T00:02:49"/>
    <d v="1899-12-30T00:06:25"/>
    <n v="0.5323"/>
    <n v="7.9805555555555552"/>
    <n v="478.83333333333331"/>
    <n v="7.9336111111111105"/>
    <n v="476.01666666666665"/>
    <n v="1.25"/>
    <n v="1.2396267361111111"/>
    <n v="2"/>
    <n v="2"/>
    <m/>
    <m/>
    <m/>
    <m/>
    <n v="94.675259778222824"/>
    <n v="309.04228772322813"/>
    <s v="Training"/>
  </r>
  <r>
    <d v="2021-12-23T00:00:00"/>
    <x v="3"/>
    <n v="5"/>
    <n v="12"/>
    <x v="51"/>
    <x v="1"/>
    <n v="175"/>
    <m/>
    <m/>
    <m/>
    <m/>
    <n v="160"/>
    <n v="0.96389999999999998"/>
    <n v="6"/>
    <d v="1899-12-30T00:00:15"/>
    <d v="1899-12-30T00:02:40"/>
    <d v="1899-12-30T00:02:45"/>
    <n v="0.81820000000000004"/>
    <n v="7.1111111111111107"/>
    <n v="426.66666666666663"/>
    <n v="7.7777777777777777"/>
    <n v="466.66666666666669"/>
    <n v="1.1100000000000001"/>
    <n v="1.2152777777777779"/>
    <n v="2"/>
    <n v="2"/>
    <m/>
    <m/>
    <m/>
    <m/>
    <n v="94.645627245148987"/>
    <n v="311.9567318239715"/>
    <s v="Training"/>
  </r>
  <r>
    <d v="2021-12-24T00:00:00"/>
    <x v="4"/>
    <n v="6"/>
    <n v="12"/>
    <x v="51"/>
    <x v="1"/>
    <n v="193"/>
    <m/>
    <m/>
    <m/>
    <m/>
    <n v="68"/>
    <n v="0.93149999999999999"/>
    <n v="5"/>
    <d v="1899-12-30T00:00:15"/>
    <d v="1899-12-30T00:02:13"/>
    <d v="1899-12-30T00:02:28"/>
    <n v="0.78869999999999996"/>
    <n v="2.5122222222222224"/>
    <n v="150.73333333333335"/>
    <n v="7.1302777777777777"/>
    <n v="427.81666666666666"/>
    <n v="1"/>
    <n v="1.1141059027777778"/>
    <n v="1"/>
    <n v="1"/>
    <m/>
    <m/>
    <m/>
    <m/>
    <n v="82.367827917168938"/>
    <n v="298.97415566509682"/>
    <s v="Training"/>
  </r>
  <r>
    <d v="2021-12-25T00:00:00"/>
    <x v="5"/>
    <n v="7"/>
    <n v="12"/>
    <x v="51"/>
    <x v="1"/>
    <n v="154"/>
    <m/>
    <m/>
    <m/>
    <m/>
    <n v="159"/>
    <n v="0.93530000000000002"/>
    <n v="11"/>
    <d v="1899-12-30T00:00:20"/>
    <d v="1899-12-30T00:02:40"/>
    <d v="1899-12-30T00:04:51"/>
    <n v="0.73209999999999997"/>
    <n v="7.0666666666666664"/>
    <n v="424"/>
    <n v="6.8444444444444459"/>
    <n v="410.66666666666674"/>
    <n v="1.1000000000000001"/>
    <n v="1.0694444444444446"/>
    <n v="2"/>
    <n v="2"/>
    <m/>
    <m/>
    <m/>
    <m/>
    <n v="87.366640544657528"/>
    <n v="300.9014353358458"/>
    <s v="Training"/>
  </r>
  <r>
    <d v="2021-12-26T00:00:00"/>
    <x v="6"/>
    <n v="1"/>
    <n v="12"/>
    <x v="52"/>
    <x v="1"/>
    <n v="35"/>
    <m/>
    <m/>
    <m/>
    <m/>
    <n v="181"/>
    <n v="0.96279999999999999"/>
    <n v="7"/>
    <d v="1899-12-30T00:00:23"/>
    <d v="1899-12-30T00:02:39"/>
    <d v="1899-12-30T00:03:01"/>
    <n v="0.68279999999999996"/>
    <n v="7.9941666666666666"/>
    <n v="479.65"/>
    <n v="1.5458333333333332"/>
    <n v="92.749999999999986"/>
    <n v="1.25"/>
    <n v="1"/>
    <n v="2"/>
    <n v="2"/>
    <m/>
    <m/>
    <m/>
    <m/>
    <n v="-1.5497750494696809"/>
    <n v="220.19888615154679"/>
    <s v="Training"/>
  </r>
  <r>
    <d v="2021-12-27T00:00:00"/>
    <x v="0"/>
    <n v="2"/>
    <n v="12"/>
    <x v="52"/>
    <x v="1"/>
    <n v="172"/>
    <m/>
    <m/>
    <m/>
    <m/>
    <n v="262"/>
    <n v="0.85619999999999996"/>
    <n v="44"/>
    <d v="1899-12-30T00:00:44"/>
    <d v="1899-12-30T00:02:48"/>
    <d v="1899-12-30T00:07:37"/>
    <n v="0.46329999999999999"/>
    <n v="12.226666666666667"/>
    <n v="733.6"/>
    <n v="8.0266666666666673"/>
    <n v="481.6"/>
    <n v="1.91"/>
    <n v="1.2541666666666667"/>
    <n v="2"/>
    <n v="2"/>
    <m/>
    <m/>
    <m/>
    <m/>
    <n v="96.540038321165667"/>
    <n v="317.105480290537"/>
    <s v="Training"/>
  </r>
  <r>
    <d v="2021-12-28T00:00:00"/>
    <x v="1"/>
    <n v="3"/>
    <n v="12"/>
    <x v="52"/>
    <x v="1"/>
    <n v="195"/>
    <m/>
    <m/>
    <m/>
    <m/>
    <n v="185"/>
    <n v="0.9204"/>
    <n v="16"/>
    <d v="1899-12-30T00:00:23"/>
    <d v="1899-12-30T00:02:38"/>
    <d v="1899-12-30T00:02:46"/>
    <n v="0.6734"/>
    <n v="8.1194444444444436"/>
    <n v="487.16666666666663"/>
    <n v="8.5583333333333336"/>
    <n v="513.5"/>
    <n v="1.27"/>
    <n v="1.3372395833333333"/>
    <n v="2"/>
    <n v="2"/>
    <m/>
    <m/>
    <m/>
    <m/>
    <n v="86.868284007269423"/>
    <n v="305.22413815758472"/>
    <s v="Training"/>
  </r>
  <r>
    <d v="2021-12-29T00:00:00"/>
    <x v="2"/>
    <n v="4"/>
    <n v="12"/>
    <x v="52"/>
    <x v="1"/>
    <n v="163"/>
    <m/>
    <m/>
    <m/>
    <m/>
    <n v="184"/>
    <n v="0.97870000000000001"/>
    <n v="4"/>
    <d v="1899-12-30T00:00:17"/>
    <d v="1899-12-30T00:02:36"/>
    <d v="1899-12-30T00:02:22"/>
    <n v="0.79259999999999997"/>
    <n v="7.9733333333333327"/>
    <n v="478.4"/>
    <n v="7.0633333333333335"/>
    <n v="423.8"/>
    <n v="1.25"/>
    <n v="1.1036458333333334"/>
    <n v="2"/>
    <n v="2"/>
    <m/>
    <m/>
    <m/>
    <m/>
    <n v="94.494998875227054"/>
    <n v="310.77589612873788"/>
    <s v="Training"/>
  </r>
  <r>
    <d v="2021-12-30T00:00:00"/>
    <x v="3"/>
    <n v="5"/>
    <n v="12"/>
    <x v="52"/>
    <x v="1"/>
    <n v="134"/>
    <m/>
    <m/>
    <m/>
    <m/>
    <n v="131"/>
    <n v="0.8851"/>
    <n v="17"/>
    <d v="1899-12-30T00:00:31"/>
    <d v="1899-12-30T00:02:51"/>
    <d v="1899-12-30T00:03:36"/>
    <n v="0.53059999999999996"/>
    <n v="6.2225000000000001"/>
    <n v="373.35"/>
    <n v="6.3650000000000011"/>
    <n v="381.90000000000009"/>
    <n v="1"/>
    <n v="1"/>
    <n v="2"/>
    <n v="1"/>
    <m/>
    <m/>
    <m/>
    <m/>
    <n v="85.9555263827869"/>
    <n v="303.60218636314607"/>
    <s v="Training"/>
  </r>
  <r>
    <d v="2021-12-31T00:00:00"/>
    <x v="4"/>
    <n v="6"/>
    <n v="12"/>
    <x v="52"/>
    <x v="1"/>
    <n v="158"/>
    <m/>
    <m/>
    <m/>
    <m/>
    <n v="17"/>
    <n v="0.8095"/>
    <n v="4"/>
    <d v="1899-12-30T00:00:52"/>
    <d v="1899-12-30T00:03:29"/>
    <d v="1899-12-30T00:11:00"/>
    <n v="0.52380000000000004"/>
    <n v="0.9869444444444444"/>
    <n v="59.216666666666661"/>
    <n v="9.1727777777777781"/>
    <n v="550.36666666666667"/>
    <n v="1"/>
    <n v="1.4332465277777777"/>
    <n v="1"/>
    <n v="1"/>
    <m/>
    <m/>
    <m/>
    <m/>
    <n v="82.26907070626045"/>
    <n v="301.68070275441812"/>
    <s v="Training"/>
  </r>
  <r>
    <d v="2022-01-01T00:00:00"/>
    <x v="5"/>
    <n v="7"/>
    <n v="1"/>
    <x v="0"/>
    <x v="2"/>
    <n v="161"/>
    <m/>
    <m/>
    <m/>
    <m/>
    <n v="129"/>
    <n v="0.87160000000000004"/>
    <n v="19"/>
    <d v="1899-12-30T00:00:40"/>
    <d v="1899-12-30T00:03:01"/>
    <d v="1899-12-30T00:06:56"/>
    <n v="0.45519999999999999"/>
    <n v="6.4858333333333329"/>
    <n v="389.15"/>
    <n v="8.0947222222222219"/>
    <n v="485.68333333333334"/>
    <n v="1.01"/>
    <n v="1.2648003472222222"/>
    <n v="2"/>
    <n v="2"/>
    <m/>
    <m/>
    <m/>
    <m/>
    <n v="91.950208220338936"/>
    <n v="305.96192930069111"/>
    <s v="Training"/>
  </r>
  <r>
    <d v="2022-01-02T00:00:00"/>
    <x v="6"/>
    <n v="1"/>
    <n v="1"/>
    <x v="1"/>
    <x v="2"/>
    <n v="270"/>
    <m/>
    <m/>
    <m/>
    <m/>
    <n v="154"/>
    <n v="0.92220000000000002"/>
    <n v="13"/>
    <d v="1899-12-30T00:00:17"/>
    <d v="1899-12-30T00:02:43"/>
    <d v="1899-12-30T00:02:49"/>
    <n v="0.7349"/>
    <n v="6.9727777777777789"/>
    <n v="418.36666666666673"/>
    <n v="12.225"/>
    <n v="733.5"/>
    <n v="1.0900000000000001"/>
    <n v="1.91015625"/>
    <n v="2"/>
    <n v="2"/>
    <m/>
    <m/>
    <m/>
    <m/>
    <n v="-6.7482072060275451"/>
    <n v="217.98403908053541"/>
    <s v="Training"/>
  </r>
  <r>
    <d v="2022-01-03T00:00:00"/>
    <x v="0"/>
    <n v="2"/>
    <n v="1"/>
    <x v="1"/>
    <x v="2"/>
    <n v="429"/>
    <m/>
    <m/>
    <m/>
    <m/>
    <n v="158"/>
    <n v="0.93489999999999995"/>
    <n v="11"/>
    <d v="1899-12-30T00:00:16"/>
    <d v="1899-12-30T00:02:36"/>
    <d v="1899-12-30T00:01:44"/>
    <n v="0.75"/>
    <n v="6.8466666666666658"/>
    <n v="410.79999999999995"/>
    <n v="18.59"/>
    <n v="1115.4000000000001"/>
    <n v="1.07"/>
    <n v="2.9046875000000001"/>
    <n v="2"/>
    <n v="2"/>
    <m/>
    <m/>
    <m/>
    <m/>
    <n v="92.127621298619744"/>
    <n v="309.74867527709688"/>
    <s v="Training"/>
  </r>
  <r>
    <d v="2022-01-04T00:00:00"/>
    <x v="1"/>
    <n v="3"/>
    <n v="1"/>
    <x v="1"/>
    <x v="2"/>
    <n v="24"/>
    <m/>
    <m/>
    <m/>
    <m/>
    <n v="163"/>
    <n v="0.93140000000000001"/>
    <n v="12"/>
    <d v="1899-12-30T00:00:22"/>
    <d v="1899-12-30T00:02:37"/>
    <d v="1899-12-30T00:02:18"/>
    <n v="0.71099999999999997"/>
    <n v="7.1086111111111121"/>
    <n v="426.51666666666671"/>
    <n v="1.0466666666666669"/>
    <n v="62.800000000000011"/>
    <n v="1.1100000000000001"/>
    <n v="1"/>
    <n v="2"/>
    <n v="2"/>
    <m/>
    <m/>
    <m/>
    <m/>
    <n v="88.990075416614928"/>
    <n v="301.87586817421078"/>
    <s v="Training"/>
  </r>
  <r>
    <d v="2022-01-05T00:00:00"/>
    <x v="2"/>
    <n v="4"/>
    <n v="1"/>
    <x v="1"/>
    <x v="2"/>
    <n v="112"/>
    <m/>
    <m/>
    <m/>
    <m/>
    <n v="183"/>
    <n v="0.94820000000000004"/>
    <n v="10"/>
    <d v="1899-12-30T00:00:16"/>
    <d v="1899-12-30T00:02:49"/>
    <d v="1899-12-30T00:02:48"/>
    <n v="0.80210000000000004"/>
    <n v="8.5908333333333342"/>
    <n v="515.45000000000005"/>
    <n v="5.2577777777777781"/>
    <n v="315.4666666666667"/>
    <n v="1.34"/>
    <n v="1"/>
    <n v="2"/>
    <n v="2"/>
    <m/>
    <m/>
    <m/>
    <m/>
    <n v="84.549776348500586"/>
    <n v="308.21302460633609"/>
    <s v="Training"/>
  </r>
  <r>
    <d v="2022-01-08T00:00:00"/>
    <x v="3"/>
    <n v="7"/>
    <n v="1"/>
    <x v="1"/>
    <x v="2"/>
    <n v="170"/>
    <m/>
    <m/>
    <m/>
    <m/>
    <n v="144"/>
    <n v="0.93510000000000004"/>
    <n v="10"/>
    <d v="1899-12-30T00:00:20"/>
    <d v="1899-12-30T00:02:41"/>
    <d v="1899-12-30T00:02:54"/>
    <n v="0.73509999999999998"/>
    <n v="6.44"/>
    <n v="386.40000000000003"/>
    <n v="7.6027777777777787"/>
    <n v="456.16666666666674"/>
    <n v="1.01"/>
    <n v="1.1879340277777779"/>
    <n v="2"/>
    <n v="2"/>
    <m/>
    <m/>
    <m/>
    <m/>
    <n v="79.809222056357299"/>
    <n v="315.0115882180977"/>
    <s v="Training"/>
  </r>
  <r>
    <d v="2022-01-09T00:00:00"/>
    <x v="4"/>
    <n v="1"/>
    <n v="1"/>
    <x v="2"/>
    <x v="2"/>
    <n v="224"/>
    <m/>
    <m/>
    <m/>
    <m/>
    <n v="34"/>
    <n v="0.97140000000000004"/>
    <n v="1"/>
    <d v="1899-12-30T00:00:14"/>
    <d v="1899-12-30T00:03:06"/>
    <d v="1899-12-30T00:00:58"/>
    <n v="0.77139999999999997"/>
    <n v="1.7566666666666668"/>
    <n v="105.4"/>
    <n v="11.573333333333334"/>
    <n v="694.40000000000009"/>
    <n v="1"/>
    <n v="1.8083333333333336"/>
    <n v="1"/>
    <n v="1"/>
    <m/>
    <m/>
    <m/>
    <m/>
    <n v="-2.628961849398324"/>
    <n v="209.92002701852539"/>
    <s v="Training"/>
  </r>
  <r>
    <d v="2022-01-10T00:00:00"/>
    <x v="5"/>
    <n v="2"/>
    <n v="1"/>
    <x v="2"/>
    <x v="2"/>
    <n v="176"/>
    <m/>
    <m/>
    <m/>
    <m/>
    <n v="161"/>
    <n v="0.93600000000000005"/>
    <n v="11"/>
    <d v="1899-12-30T00:00:20"/>
    <d v="1899-12-30T00:02:48"/>
    <d v="1899-12-30T00:02:32"/>
    <n v="0.72089999999999999"/>
    <n v="7.5133333333333328"/>
    <n v="450.79999999999995"/>
    <n v="8.2133333333333329"/>
    <n v="492.79999999999995"/>
    <n v="1.17"/>
    <n v="1.2833333333333332"/>
    <n v="2"/>
    <n v="2"/>
    <m/>
    <m/>
    <m/>
    <m/>
    <n v="100.3752748118572"/>
    <n v="323.69224699094372"/>
    <s v="Training"/>
  </r>
  <r>
    <d v="2022-01-11T00:00:00"/>
    <x v="6"/>
    <n v="3"/>
    <n v="1"/>
    <x v="2"/>
    <x v="2"/>
    <n v="328"/>
    <m/>
    <m/>
    <m/>
    <m/>
    <n v="182"/>
    <n v="0.93330000000000002"/>
    <n v="13"/>
    <d v="1899-12-30T00:00:24"/>
    <d v="1899-12-30T00:02:51"/>
    <d v="1899-12-30T00:03:10"/>
    <n v="0.66839999999999999"/>
    <n v="8.6449999999999996"/>
    <n v="518.69999999999993"/>
    <n v="15.58"/>
    <n v="934.8"/>
    <n v="1.35"/>
    <n v="2.4343749999999997"/>
    <n v="2"/>
    <n v="2"/>
    <m/>
    <m/>
    <m/>
    <m/>
    <n v="79.635671084886567"/>
    <n v="294.29440973715742"/>
    <s v="Training"/>
  </r>
  <r>
    <d v="2022-01-12T00:00:00"/>
    <x v="0"/>
    <n v="4"/>
    <n v="1"/>
    <x v="2"/>
    <x v="2"/>
    <n v="230"/>
    <m/>
    <m/>
    <m/>
    <m/>
    <n v="157"/>
    <n v="0.96319999999999995"/>
    <n v="6"/>
    <d v="1899-12-30T00:00:17"/>
    <d v="1899-12-30T00:02:46"/>
    <d v="1899-12-30T00:05:33"/>
    <n v="0.82210000000000005"/>
    <n v="7.2394444444444446"/>
    <n v="434.36666666666667"/>
    <n v="10.605555555555556"/>
    <n v="636.33333333333337"/>
    <n v="1.1299999999999999"/>
    <n v="1.6571180555555556"/>
    <n v="2"/>
    <n v="2"/>
    <m/>
    <m/>
    <m/>
    <m/>
    <n v="96.563721491424857"/>
    <n v="310.55668753864802"/>
    <s v="Training"/>
  </r>
  <r>
    <d v="2022-01-13T00:00:00"/>
    <x v="1"/>
    <n v="5"/>
    <n v="1"/>
    <x v="2"/>
    <x v="2"/>
    <n v="180"/>
    <m/>
    <m/>
    <m/>
    <m/>
    <n v="126"/>
    <n v="0.94030000000000002"/>
    <n v="8"/>
    <d v="1899-12-30T00:00:30"/>
    <d v="1899-12-30T00:02:58"/>
    <d v="1899-12-30T00:04:59"/>
    <n v="0.63570000000000004"/>
    <n v="6.23"/>
    <n v="373.8"/>
    <n v="8.9"/>
    <n v="534"/>
    <n v="1"/>
    <n v="1.390625"/>
    <n v="2"/>
    <n v="1"/>
    <m/>
    <m/>
    <m/>
    <m/>
    <n v="93.534630459139279"/>
    <n v="313.52661053181407"/>
    <s v="Training"/>
  </r>
  <r>
    <d v="2022-01-14T00:00:00"/>
    <x v="2"/>
    <n v="6"/>
    <n v="1"/>
    <x v="2"/>
    <x v="2"/>
    <n v="192"/>
    <m/>
    <m/>
    <m/>
    <m/>
    <n v="142"/>
    <n v="0.89870000000000005"/>
    <n v="16"/>
    <d v="1899-12-30T00:00:25"/>
    <d v="1899-12-30T00:02:45"/>
    <d v="1899-12-30T00:02:56"/>
    <n v="0.59350000000000003"/>
    <n v="6.5083333333333337"/>
    <n v="390.5"/>
    <n v="8.7999999999999989"/>
    <n v="527.99999999999989"/>
    <n v="1.02"/>
    <n v="1.3749999999999998"/>
    <n v="2"/>
    <n v="2"/>
    <m/>
    <m/>
    <m/>
    <m/>
    <n v="73.637604536133068"/>
    <n v="298.42015047136351"/>
    <s v="Training"/>
  </r>
  <r>
    <d v="2022-01-15T00:00:00"/>
    <x v="3"/>
    <n v="7"/>
    <n v="1"/>
    <x v="2"/>
    <x v="2"/>
    <n v="194"/>
    <m/>
    <m/>
    <m/>
    <m/>
    <n v="144"/>
    <n v="0.89439999999999997"/>
    <n v="17"/>
    <d v="1899-12-30T00:00:34"/>
    <d v="1899-12-30T00:02:49"/>
    <d v="1899-12-30T00:05:00"/>
    <n v="0.53129999999999999"/>
    <n v="6.7599999999999989"/>
    <n v="405.59999999999991"/>
    <n v="9.107222222222223"/>
    <n v="546.43333333333339"/>
    <n v="1.06"/>
    <n v="1.4230034722222225"/>
    <n v="2"/>
    <n v="2"/>
    <m/>
    <m/>
    <m/>
    <m/>
    <n v="75.971269495567512"/>
    <n v="304.20999416493731"/>
    <s v="Training"/>
  </r>
  <r>
    <d v="2022-01-16T00:00:00"/>
    <x v="4"/>
    <n v="1"/>
    <n v="1"/>
    <x v="3"/>
    <x v="2"/>
    <n v="37"/>
    <m/>
    <m/>
    <m/>
    <m/>
    <n v="34"/>
    <n v="0.94440000000000002"/>
    <n v="2"/>
    <d v="1899-12-30T00:00:20"/>
    <d v="1899-12-30T00:02:05"/>
    <d v="1899-12-30T00:01:57"/>
    <n v="0.72219999999999995"/>
    <n v="1.1805555555555556"/>
    <n v="70.833333333333329"/>
    <n v="1.2847222222222223"/>
    <n v="77.083333333333343"/>
    <n v="1"/>
    <n v="1"/>
    <n v="1"/>
    <n v="1"/>
    <m/>
    <m/>
    <m/>
    <m/>
    <n v="-1.650260537844551"/>
    <n v="216.71527017071861"/>
    <s v="Training"/>
  </r>
  <r>
    <d v="2022-01-17T00:00:00"/>
    <x v="5"/>
    <n v="2"/>
    <n v="1"/>
    <x v="3"/>
    <x v="2"/>
    <n v="180"/>
    <m/>
    <m/>
    <m/>
    <m/>
    <n v="136"/>
    <n v="0.92520000000000002"/>
    <n v="11"/>
    <d v="1899-12-30T00:00:17"/>
    <d v="1899-12-30T00:02:55"/>
    <d v="1899-12-30T00:03:15"/>
    <n v="0.7671"/>
    <n v="6.6111111111111107"/>
    <n v="396.66666666666663"/>
    <n v="8.75"/>
    <n v="525"/>
    <n v="1.03"/>
    <n v="1.3671875"/>
    <n v="2"/>
    <n v="2"/>
    <m/>
    <m/>
    <m/>
    <m/>
    <n v="94.260302847049246"/>
    <n v="313.46875606273147"/>
    <s v="Training"/>
  </r>
  <r>
    <d v="2022-01-18T00:00:00"/>
    <x v="6"/>
    <n v="3"/>
    <n v="1"/>
    <x v="3"/>
    <x v="2"/>
    <n v="213"/>
    <m/>
    <m/>
    <m/>
    <m/>
    <n v="130"/>
    <n v="0.99239999999999995"/>
    <n v="1"/>
    <d v="1899-12-30T00:00:18"/>
    <d v="1899-12-30T00:02:47"/>
    <d v="1899-12-30T00:03:18"/>
    <n v="0.76919999999999999"/>
    <n v="6.0305555555555559"/>
    <n v="361.83333333333337"/>
    <n v="9.8808333333333334"/>
    <n v="592.85"/>
    <n v="1"/>
    <n v="1.5438802083333334"/>
    <n v="2"/>
    <n v="1"/>
    <m/>
    <m/>
    <m/>
    <m/>
    <n v="82.357294964572432"/>
    <n v="293.85109941018192"/>
    <s v="Training"/>
  </r>
  <r>
    <d v="2022-01-19T00:00:00"/>
    <x v="0"/>
    <n v="4"/>
    <n v="1"/>
    <x v="3"/>
    <x v="2"/>
    <n v="251"/>
    <m/>
    <m/>
    <m/>
    <m/>
    <n v="120"/>
    <n v="0.9375"/>
    <n v="8"/>
    <d v="1899-12-30T00:00:22"/>
    <d v="1899-12-30T00:02:47"/>
    <d v="1899-12-30T00:01:54"/>
    <n v="0.6825"/>
    <n v="5.5666666666666664"/>
    <n v="334"/>
    <n v="11.643611111111111"/>
    <n v="698.61666666666667"/>
    <n v="1"/>
    <n v="1.8193142361111112"/>
    <n v="2"/>
    <n v="1"/>
    <m/>
    <m/>
    <m/>
    <m/>
    <n v="85.602656090952394"/>
    <n v="315.20617200198342"/>
    <s v="Training"/>
  </r>
  <r>
    <d v="2022-01-20T00:00:00"/>
    <x v="1"/>
    <n v="5"/>
    <n v="1"/>
    <x v="3"/>
    <x v="2"/>
    <n v="200"/>
    <m/>
    <m/>
    <m/>
    <m/>
    <n v="119"/>
    <n v="0.875"/>
    <n v="17"/>
    <d v="1899-12-30T00:00:26"/>
    <d v="1899-12-30T00:02:52"/>
    <d v="1899-12-30T00:04:35"/>
    <n v="0.60150000000000003"/>
    <n v="5.6855555555555553"/>
    <n v="341.13333333333333"/>
    <n v="9.5555555555555554"/>
    <n v="573.33333333333337"/>
    <n v="1"/>
    <n v="1.4930555555555556"/>
    <n v="2"/>
    <n v="1"/>
    <m/>
    <m/>
    <m/>
    <m/>
    <n v="85.841297452393803"/>
    <n v="317.58210014370849"/>
    <s v="Training"/>
  </r>
  <r>
    <d v="2022-01-21T00:00:00"/>
    <x v="2"/>
    <n v="6"/>
    <n v="1"/>
    <x v="3"/>
    <x v="2"/>
    <n v="214"/>
    <m/>
    <m/>
    <m/>
    <m/>
    <n v="209"/>
    <n v="0.92889999999999995"/>
    <n v="16"/>
    <d v="1899-12-30T00:00:19"/>
    <d v="1899-12-30T00:02:29"/>
    <d v="1899-12-30T00:04:06"/>
    <n v="0.76019999999999999"/>
    <n v="8.6502777777777773"/>
    <n v="519.01666666666665"/>
    <n v="8.857222222222223"/>
    <n v="531.43333333333339"/>
    <n v="1.35"/>
    <n v="1.3839409722222225"/>
    <n v="2"/>
    <n v="2"/>
    <m/>
    <m/>
    <m/>
    <m/>
    <n v="71.95929993447308"/>
    <n v="290.71867370183293"/>
    <s v="Training"/>
  </r>
  <r>
    <d v="2022-01-22T00:00:00"/>
    <x v="3"/>
    <n v="7"/>
    <n v="1"/>
    <x v="3"/>
    <x v="2"/>
    <n v="185"/>
    <m/>
    <m/>
    <m/>
    <m/>
    <n v="151"/>
    <n v="0.9042"/>
    <n v="16"/>
    <d v="1899-12-30T00:00:19"/>
    <d v="1899-12-30T00:02:27"/>
    <d v="1899-12-30T00:02:44"/>
    <n v="0.73329999999999995"/>
    <n v="6.1658333333333326"/>
    <n v="369.94999999999993"/>
    <n v="7.5541666666666654"/>
    <n v="453.24999999999994"/>
    <n v="1"/>
    <n v="1.1803385416666665"/>
    <n v="2"/>
    <n v="1"/>
    <m/>
    <m/>
    <m/>
    <m/>
    <n v="78.896277637400729"/>
    <n v="303.87324364476581"/>
    <s v="Training"/>
  </r>
  <r>
    <d v="2022-01-23T00:00:00"/>
    <x v="4"/>
    <n v="1"/>
    <n v="1"/>
    <x v="4"/>
    <x v="2"/>
    <n v="49"/>
    <m/>
    <m/>
    <m/>
    <m/>
    <n v="46"/>
    <n v="0.95830000000000004"/>
    <n v="2"/>
    <d v="1899-12-30T00:00:16"/>
    <d v="1899-12-30T00:02:26"/>
    <d v="1899-12-30T00:02:38"/>
    <n v="0.78720000000000001"/>
    <n v="1.8655555555555556"/>
    <n v="111.93333333333334"/>
    <n v="1.9872222222222222"/>
    <n v="119.23333333333333"/>
    <n v="1"/>
    <n v="1"/>
    <n v="1"/>
    <n v="1"/>
    <m/>
    <m/>
    <m/>
    <m/>
    <n v="-12.085030288576689"/>
    <n v="210.45545629117569"/>
    <s v="Training"/>
  </r>
  <r>
    <d v="2022-01-24T00:00:00"/>
    <x v="5"/>
    <n v="2"/>
    <n v="1"/>
    <x v="4"/>
    <x v="2"/>
    <n v="193"/>
    <m/>
    <m/>
    <m/>
    <m/>
    <n v="204"/>
    <n v="0.87929999999999997"/>
    <n v="28"/>
    <d v="1899-12-30T00:00:32"/>
    <d v="1899-12-30T00:02:22"/>
    <d v="1899-12-30T00:03:56"/>
    <n v="0.55410000000000004"/>
    <n v="8.0466666666666669"/>
    <n v="482.8"/>
    <n v="7.6127777777777785"/>
    <n v="456.76666666666671"/>
    <n v="1.26"/>
    <n v="1.1894965277777778"/>
    <n v="2"/>
    <n v="2"/>
    <m/>
    <m/>
    <m/>
    <m/>
    <n v="83.742429472641504"/>
    <n v="308.92874168319349"/>
    <s v="Training"/>
  </r>
  <r>
    <d v="2022-01-25T00:00:00"/>
    <x v="6"/>
    <n v="3"/>
    <n v="1"/>
    <x v="4"/>
    <x v="2"/>
    <n v="195"/>
    <m/>
    <m/>
    <m/>
    <m/>
    <n v="187"/>
    <n v="0.94440000000000002"/>
    <n v="11"/>
    <d v="1899-12-30T00:00:27"/>
    <d v="1899-12-30T00:02:48"/>
    <d v="1899-12-30T00:03:13"/>
    <n v="0.60199999999999998"/>
    <n v="8.7266666666666666"/>
    <n v="523.6"/>
    <n v="9.1"/>
    <n v="546"/>
    <n v="1.36"/>
    <n v="1.421875"/>
    <n v="2"/>
    <n v="2"/>
    <m/>
    <m/>
    <m/>
    <m/>
    <n v="72.370173963399154"/>
    <n v="283.52705706471761"/>
    <s v="Training"/>
  </r>
  <r>
    <d v="2022-01-26T00:00:00"/>
    <x v="0"/>
    <n v="4"/>
    <n v="1"/>
    <x v="4"/>
    <x v="2"/>
    <n v="211"/>
    <m/>
    <m/>
    <m/>
    <m/>
    <n v="163"/>
    <n v="0.95320000000000005"/>
    <n v="8"/>
    <d v="1899-12-30T00:00:19"/>
    <d v="1899-12-30T00:02:41"/>
    <d v="1899-12-30T00:02:48"/>
    <n v="0.69410000000000005"/>
    <n v="7.2897222222222222"/>
    <n v="437.38333333333333"/>
    <n v="9.4363888888888887"/>
    <n v="566.18333333333328"/>
    <n v="1.1399999999999999"/>
    <n v="1.4744357638888888"/>
    <n v="2"/>
    <n v="2"/>
    <m/>
    <m/>
    <m/>
    <m/>
    <n v="84.551773961520027"/>
    <n v="307.25232021264361"/>
    <s v="Training"/>
  </r>
  <r>
    <d v="2022-01-27T00:00:00"/>
    <x v="1"/>
    <n v="5"/>
    <n v="1"/>
    <x v="4"/>
    <x v="2"/>
    <n v="200"/>
    <m/>
    <m/>
    <m/>
    <m/>
    <n v="173"/>
    <n v="0.96109999999999995"/>
    <n v="7"/>
    <d v="1899-12-30T00:00:31"/>
    <d v="1899-12-30T00:02:49"/>
    <d v="1899-12-30T00:08:13"/>
    <n v="0.72219999999999995"/>
    <n v="8.1213888888888874"/>
    <n v="487.28333333333325"/>
    <n v="9.3888888888888893"/>
    <n v="563.33333333333337"/>
    <n v="1.27"/>
    <n v="1.4670138888888891"/>
    <n v="2"/>
    <n v="2"/>
    <m/>
    <m/>
    <m/>
    <m/>
    <n v="81.489858252555194"/>
    <n v="305.88216175685551"/>
    <s v="Training"/>
  </r>
  <r>
    <d v="2022-01-28T00:00:00"/>
    <x v="2"/>
    <n v="6"/>
    <n v="1"/>
    <x v="4"/>
    <x v="2"/>
    <n v="48"/>
    <m/>
    <m/>
    <m/>
    <m/>
    <n v="175"/>
    <n v="0.91149999999999998"/>
    <n v="17"/>
    <d v="1899-12-30T00:00:26"/>
    <d v="1899-12-30T00:03:01"/>
    <d v="1899-12-30T00:03:40"/>
    <n v="0.61580000000000001"/>
    <n v="8.7986111111111107"/>
    <n v="527.91666666666663"/>
    <n v="2.4133333333333336"/>
    <n v="144.80000000000001"/>
    <n v="1.37"/>
    <n v="1"/>
    <n v="2"/>
    <n v="2"/>
    <m/>
    <m/>
    <m/>
    <m/>
    <n v="77.551094752185207"/>
    <n v="294.04099223598388"/>
    <s v="Training"/>
  </r>
  <r>
    <d v="2022-01-29T00:00:00"/>
    <x v="3"/>
    <n v="7"/>
    <n v="1"/>
    <x v="4"/>
    <x v="2"/>
    <n v="164"/>
    <m/>
    <m/>
    <m/>
    <m/>
    <n v="180"/>
    <n v="0.92779999999999996"/>
    <n v="14"/>
    <d v="1899-12-30T00:00:25"/>
    <d v="1899-12-30T00:02:50"/>
    <d v="1899-12-30T00:04:03"/>
    <n v="0.68389999999999995"/>
    <n v="8.4999999999999982"/>
    <n v="509.99999999999989"/>
    <n v="7.7444444444444436"/>
    <n v="464.66666666666663"/>
    <n v="1.33"/>
    <n v="1.2100694444444444"/>
    <n v="2"/>
    <n v="2"/>
    <m/>
    <m/>
    <m/>
    <m/>
    <n v="73.04192392977707"/>
    <n v="298.63800261822689"/>
    <s v="Training"/>
  </r>
  <r>
    <d v="2022-01-30T00:00:00"/>
    <x v="4"/>
    <n v="1"/>
    <n v="1"/>
    <x v="5"/>
    <x v="2"/>
    <n v="43"/>
    <m/>
    <m/>
    <m/>
    <m/>
    <n v="27"/>
    <n v="0.72970000000000002"/>
    <n v="10"/>
    <d v="1899-12-30T00:00:35"/>
    <d v="1899-12-30T00:02:53"/>
    <d v="1899-12-30T00:02:58"/>
    <n v="0.5"/>
    <n v="1.2975000000000001"/>
    <n v="77.850000000000009"/>
    <n v="2.0663888888888891"/>
    <n v="123.98333333333335"/>
    <n v="1"/>
    <n v="1"/>
    <n v="1"/>
    <n v="1"/>
    <m/>
    <m/>
    <m/>
    <m/>
    <n v="-17.096766227982329"/>
    <n v="208.93338717703921"/>
    <s v="Training"/>
  </r>
  <r>
    <d v="2022-01-31T00:00:00"/>
    <x v="5"/>
    <n v="2"/>
    <n v="1"/>
    <x v="5"/>
    <x v="2"/>
    <n v="236"/>
    <m/>
    <m/>
    <m/>
    <m/>
    <n v="169"/>
    <n v="0.93889999999999996"/>
    <n v="11"/>
    <d v="1899-12-30T00:00:23"/>
    <d v="1899-12-30T00:02:44"/>
    <d v="1899-12-30T00:02:05"/>
    <n v="0.67979999999999996"/>
    <n v="7.6988888888888889"/>
    <n v="461.93333333333334"/>
    <n v="10.751111111111111"/>
    <n v="645.06666666666672"/>
    <n v="1.2"/>
    <n v="1.6798611111111112"/>
    <n v="2"/>
    <n v="2"/>
    <m/>
    <m/>
    <m/>
    <m/>
    <n v="89.003006552937961"/>
    <n v="309.59716921180359"/>
    <s v="Training"/>
  </r>
  <r>
    <d v="2022-02-01T00:00:00"/>
    <x v="6"/>
    <n v="3"/>
    <n v="2"/>
    <x v="5"/>
    <x v="2"/>
    <n v="36"/>
    <m/>
    <m/>
    <m/>
    <m/>
    <n v="198"/>
    <n v="0.92959999999999998"/>
    <n v="15"/>
    <d v="1899-12-30T00:00:16"/>
    <d v="1899-12-30T00:02:47"/>
    <d v="1899-12-30T00:06:21"/>
    <n v="0.77249999999999996"/>
    <n v="9.1850000000000005"/>
    <n v="551.1"/>
    <n v="1.67"/>
    <n v="100.19999999999999"/>
    <n v="1.44"/>
    <n v="1"/>
    <n v="2"/>
    <n v="2"/>
    <m/>
    <m/>
    <m/>
    <m/>
    <n v="75.923262932957002"/>
    <n v="284.67668737415642"/>
    <s v="Training"/>
  </r>
  <r>
    <d v="2022-02-02T00:00:00"/>
    <x v="0"/>
    <n v="4"/>
    <n v="2"/>
    <x v="5"/>
    <x v="2"/>
    <n v="304"/>
    <m/>
    <m/>
    <m/>
    <m/>
    <n v="239"/>
    <n v="0.95220000000000005"/>
    <n v="12"/>
    <d v="1899-12-30T00:00:21"/>
    <d v="1899-12-30T00:02:18"/>
    <d v="1899-12-30T00:02:48"/>
    <n v="0.7177"/>
    <n v="9.1616666666666671"/>
    <n v="549.70000000000005"/>
    <n v="11.653333333333334"/>
    <n v="699.2"/>
    <n v="1.43"/>
    <n v="1.8208333333333335"/>
    <n v="2"/>
    <n v="2"/>
    <m/>
    <m/>
    <m/>
    <m/>
    <n v="91.073219247734926"/>
    <n v="310.75592422384682"/>
    <s v="Training"/>
  </r>
  <r>
    <d v="2022-02-03T00:00:00"/>
    <x v="1"/>
    <n v="5"/>
    <n v="2"/>
    <x v="5"/>
    <x v="2"/>
    <n v="499"/>
    <m/>
    <m/>
    <m/>
    <m/>
    <n v="189"/>
    <n v="0.94499999999999995"/>
    <n v="11"/>
    <d v="1899-12-30T00:00:19"/>
    <d v="1899-12-30T00:02:53"/>
    <d v="1899-12-30T00:04:36"/>
    <n v="0.76259999999999994"/>
    <n v="9.0824999999999996"/>
    <n v="544.94999999999993"/>
    <n v="23.979722222222222"/>
    <n v="1438.7833333333333"/>
    <n v="1.42"/>
    <n v="3.7468315972222221"/>
    <n v="2"/>
    <n v="2"/>
    <m/>
    <m/>
    <m/>
    <m/>
    <n v="85.738576103846583"/>
    <n v="302.65238259590541"/>
    <s v="Training"/>
  </r>
  <r>
    <d v="2022-02-04T00:00:00"/>
    <x v="2"/>
    <n v="6"/>
    <n v="2"/>
    <x v="5"/>
    <x v="2"/>
    <n v="106"/>
    <m/>
    <m/>
    <m/>
    <m/>
    <n v="205"/>
    <n v="0.95789999999999997"/>
    <n v="9"/>
    <d v="1899-12-30T00:00:25"/>
    <d v="1899-12-30T00:02:48"/>
    <d v="1899-12-30T00:07:17"/>
    <n v="0.71960000000000002"/>
    <n v="9.5666666666666664"/>
    <n v="574"/>
    <n v="4.9466666666666663"/>
    <n v="296.79999999999995"/>
    <n v="1.49"/>
    <n v="1"/>
    <n v="2"/>
    <n v="2"/>
    <m/>
    <m/>
    <m/>
    <m/>
    <n v="84.101039567784184"/>
    <n v="306.74385853280302"/>
    <s v="Training"/>
  </r>
  <r>
    <d v="2022-02-05T00:00:00"/>
    <x v="3"/>
    <n v="7"/>
    <n v="2"/>
    <x v="5"/>
    <x v="2"/>
    <n v="482"/>
    <m/>
    <m/>
    <m/>
    <m/>
    <n v="154"/>
    <n v="0.83240000000000003"/>
    <n v="31"/>
    <d v="1899-12-30T00:00:47"/>
    <d v="1899-12-30T00:02:56"/>
    <d v="1899-12-30T00:03:16"/>
    <n v="0.35909999999999997"/>
    <n v="7.5288888888888881"/>
    <n v="451.73333333333329"/>
    <n v="23.56444444444444"/>
    <n v="1413.8666666666663"/>
    <n v="1.18"/>
    <n v="3.6819444444444436"/>
    <n v="2"/>
    <n v="2"/>
    <m/>
    <m/>
    <m/>
    <m/>
    <n v="80.970100197605575"/>
    <n v="304.32656829318512"/>
    <s v="Training"/>
  </r>
  <r>
    <d v="2022-02-08T00:00:00"/>
    <x v="4"/>
    <n v="3"/>
    <n v="2"/>
    <x v="6"/>
    <x v="2"/>
    <n v="154"/>
    <m/>
    <m/>
    <m/>
    <m/>
    <n v="46"/>
    <n v="0.93879999999999997"/>
    <n v="3"/>
    <d v="1899-12-30T00:00:38"/>
    <d v="1899-12-30T00:02:21"/>
    <d v="1899-12-30T00:02:16"/>
    <n v="0.52080000000000004"/>
    <n v="1.801666666666667"/>
    <n v="108.10000000000002"/>
    <n v="6.0316666666666681"/>
    <n v="361.90000000000009"/>
    <n v="1"/>
    <n v="1"/>
    <n v="1"/>
    <n v="1"/>
    <m/>
    <m/>
    <m/>
    <m/>
    <n v="94.751104917465369"/>
    <n v="312.08794381799231"/>
    <s v="Training"/>
  </r>
  <r>
    <d v="2022-02-09T00:00:00"/>
    <x v="5"/>
    <n v="4"/>
    <n v="2"/>
    <x v="6"/>
    <x v="2"/>
    <n v="170"/>
    <m/>
    <m/>
    <m/>
    <m/>
    <n v="185"/>
    <n v="0.95850000000000002"/>
    <n v="8"/>
    <d v="1899-12-30T00:00:21"/>
    <d v="1899-12-30T00:02:51"/>
    <d v="1899-12-30T00:03:57"/>
    <n v="0.75790000000000002"/>
    <n v="8.7874999999999996"/>
    <n v="527.25"/>
    <n v="8.0750000000000011"/>
    <n v="484.50000000000006"/>
    <n v="1.37"/>
    <n v="1.2617187500000002"/>
    <n v="2"/>
    <n v="2"/>
    <m/>
    <m/>
    <m/>
    <m/>
    <n v="105.1157900786126"/>
    <n v="319.97934445711411"/>
    <s v="Training"/>
  </r>
  <r>
    <d v="2022-02-10T00:00:00"/>
    <x v="6"/>
    <n v="5"/>
    <n v="2"/>
    <x v="6"/>
    <x v="2"/>
    <n v="61"/>
    <m/>
    <m/>
    <m/>
    <m/>
    <n v="184"/>
    <n v="0.94359999999999999"/>
    <n v="11"/>
    <d v="1899-12-30T00:00:22"/>
    <d v="1899-12-30T00:02:39"/>
    <d v="1899-12-30T00:02:38"/>
    <n v="0.7"/>
    <n v="8.1266666666666652"/>
    <n v="487.59999999999991"/>
    <n v="2.6941666666666668"/>
    <n v="161.65"/>
    <n v="1.27"/>
    <n v="1"/>
    <n v="2"/>
    <n v="2"/>
    <m/>
    <m/>
    <m/>
    <m/>
    <n v="106.4193098697685"/>
    <n v="326.59441764880478"/>
    <s v="Training"/>
  </r>
  <r>
    <d v="2022-02-11T00:00:00"/>
    <x v="0"/>
    <n v="6"/>
    <n v="2"/>
    <x v="6"/>
    <x v="2"/>
    <n v="234"/>
    <m/>
    <m/>
    <m/>
    <m/>
    <n v="195"/>
    <n v="0.92420000000000002"/>
    <n v="16"/>
    <d v="1899-12-30T00:00:34"/>
    <d v="1899-12-30T00:02:51"/>
    <d v="1899-12-30T00:04:31"/>
    <n v="0.56940000000000002"/>
    <n v="9.2625000000000028"/>
    <n v="555.75000000000023"/>
    <n v="11.115000000000002"/>
    <n v="666.90000000000009"/>
    <n v="1.45"/>
    <n v="1.7367187500000003"/>
    <n v="2"/>
    <n v="2"/>
    <m/>
    <m/>
    <m/>
    <m/>
    <n v="90.288549193413004"/>
    <n v="321.88456220457198"/>
    <s v="Training"/>
  </r>
  <r>
    <d v="2022-02-12T00:00:00"/>
    <x v="1"/>
    <n v="7"/>
    <n v="2"/>
    <x v="6"/>
    <x v="2"/>
    <n v="174"/>
    <m/>
    <m/>
    <m/>
    <m/>
    <n v="190"/>
    <n v="0.95"/>
    <n v="10"/>
    <d v="1899-12-30T00:00:15"/>
    <d v="1899-12-30T00:02:56"/>
    <d v="1899-12-30T00:03:06"/>
    <n v="0.80930000000000002"/>
    <n v="9.2888888888888896"/>
    <n v="557.33333333333337"/>
    <n v="8.5066666666666659"/>
    <n v="510.4"/>
    <n v="1.45"/>
    <n v="1.3291666666666666"/>
    <n v="2"/>
    <n v="2"/>
    <m/>
    <m/>
    <m/>
    <m/>
    <n v="108.309055045631"/>
    <n v="324.21252279192589"/>
    <s v="Training"/>
  </r>
  <r>
    <d v="2022-02-13T00:00:00"/>
    <x v="2"/>
    <n v="1"/>
    <n v="2"/>
    <x v="7"/>
    <x v="2"/>
    <n v="70"/>
    <m/>
    <m/>
    <m/>
    <m/>
    <n v="47"/>
    <n v="0.97919999999999996"/>
    <n v="1"/>
    <d v="1899-12-30T00:00:15"/>
    <d v="1899-12-30T00:03:13"/>
    <d v="1899-12-30T00:02:58"/>
    <n v="0.8125"/>
    <n v="2.5197222222222222"/>
    <n v="151.18333333333334"/>
    <n v="3.7527777777777773"/>
    <n v="225.16666666666663"/>
    <n v="1"/>
    <n v="1"/>
    <n v="2"/>
    <n v="1"/>
    <m/>
    <m/>
    <m/>
    <m/>
    <n v="18.360836852568749"/>
    <n v="242.85952682493721"/>
    <s v="Training"/>
  </r>
  <r>
    <d v="2022-02-14T00:00:00"/>
    <x v="3"/>
    <n v="2"/>
    <n v="2"/>
    <x v="7"/>
    <x v="2"/>
    <n v="287"/>
    <m/>
    <m/>
    <m/>
    <m/>
    <n v="159"/>
    <n v="0.96950000000000003"/>
    <n v="5"/>
    <d v="1899-12-30T00:00:20"/>
    <d v="1899-12-30T00:02:51"/>
    <d v="1899-12-30T00:04:47"/>
    <n v="0.77780000000000005"/>
    <n v="7.5525000000000002"/>
    <n v="453.15000000000003"/>
    <n v="13.632500000000002"/>
    <n v="817.95000000000016"/>
    <n v="1.18"/>
    <n v="2.1300781250000003"/>
    <n v="2"/>
    <n v="2"/>
    <m/>
    <m/>
    <m/>
    <m/>
    <n v="129.72869596044421"/>
    <n v="342.57132280996149"/>
    <s v="Training"/>
  </r>
  <r>
    <d v="2022-02-15T00:00:00"/>
    <x v="4"/>
    <n v="3"/>
    <n v="2"/>
    <x v="7"/>
    <x v="2"/>
    <n v="298"/>
    <m/>
    <m/>
    <m/>
    <m/>
    <n v="42"/>
    <n v="0.97670000000000001"/>
    <n v="1"/>
    <d v="1899-12-30T00:00:14"/>
    <d v="1899-12-30T00:02:32"/>
    <d v="1899-12-30T00:02:34"/>
    <n v="0.83720000000000006"/>
    <n v="1.7733333333333334"/>
    <n v="106.4"/>
    <n v="12.582222222222221"/>
    <n v="754.93333333333328"/>
    <n v="1"/>
    <n v="1.965972222222222"/>
    <n v="1"/>
    <n v="1"/>
    <m/>
    <m/>
    <m/>
    <m/>
    <n v="106.22570906956319"/>
    <n v="339.21283334594409"/>
    <s v="Training"/>
  </r>
  <r>
    <d v="2022-02-16T00:00:00"/>
    <x v="5"/>
    <n v="4"/>
    <n v="2"/>
    <x v="7"/>
    <x v="2"/>
    <n v="347"/>
    <m/>
    <m/>
    <m/>
    <m/>
    <n v="223"/>
    <n v="0.94489999999999996"/>
    <n v="13"/>
    <d v="1899-12-30T00:00:26"/>
    <d v="1899-12-30T00:02:46"/>
    <d v="1899-12-30T00:03:38"/>
    <n v="0.64829999999999999"/>
    <n v="10.282777777777778"/>
    <n v="616.9666666666667"/>
    <n v="16.000555555555554"/>
    <n v="960.03333333333319"/>
    <n v="1.61"/>
    <n v="2.5000868055555552"/>
    <n v="2"/>
    <n v="2"/>
    <m/>
    <m/>
    <m/>
    <m/>
    <n v="131.60303650310689"/>
    <n v="341.4876237175402"/>
    <s v="Training"/>
  </r>
  <r>
    <d v="2022-02-17T00:00:00"/>
    <x v="6"/>
    <n v="5"/>
    <n v="2"/>
    <x v="7"/>
    <x v="2"/>
    <n v="414"/>
    <m/>
    <m/>
    <m/>
    <m/>
    <n v="262"/>
    <n v="0.97040000000000004"/>
    <n v="8"/>
    <d v="1899-12-30T00:00:15"/>
    <d v="1899-12-30T00:02:36"/>
    <d v="1899-12-30T00:02:08"/>
    <n v="0.83209999999999995"/>
    <n v="11.353333333333332"/>
    <n v="681.19999999999993"/>
    <n v="17.939999999999998"/>
    <n v="1076.3999999999999"/>
    <n v="1.77"/>
    <n v="2.8031249999999996"/>
    <n v="2"/>
    <n v="2"/>
    <m/>
    <m/>
    <m/>
    <m/>
    <n v="128.3618298725458"/>
    <n v="343.84925344317497"/>
    <s v="Training"/>
  </r>
  <r>
    <d v="2022-02-18T00:00:00"/>
    <x v="0"/>
    <n v="6"/>
    <n v="2"/>
    <x v="7"/>
    <x v="2"/>
    <n v="406"/>
    <m/>
    <m/>
    <m/>
    <m/>
    <n v="262"/>
    <n v="0.86180000000000001"/>
    <n v="42"/>
    <d v="1899-12-30T00:00:34"/>
    <d v="1899-12-30T00:02:56"/>
    <d v="1899-12-30T00:07:01"/>
    <n v="0.56620000000000004"/>
    <n v="12.808888888888889"/>
    <n v="768.5333333333333"/>
    <n v="19.84888888888889"/>
    <n v="1190.9333333333334"/>
    <n v="2"/>
    <n v="3.1013888888888892"/>
    <n v="2"/>
    <n v="2"/>
    <m/>
    <m/>
    <m/>
    <m/>
    <n v="135.28072963613349"/>
    <n v="339.76377260727003"/>
    <s v="Training"/>
  </r>
  <r>
    <d v="2022-02-19T00:00:00"/>
    <x v="1"/>
    <n v="7"/>
    <n v="2"/>
    <x v="7"/>
    <x v="2"/>
    <n v="366"/>
    <m/>
    <m/>
    <m/>
    <m/>
    <n v="270"/>
    <n v="0.94410000000000005"/>
    <n v="16"/>
    <d v="1899-12-30T00:00:20"/>
    <d v="1899-12-30T00:02:48"/>
    <d v="1899-12-30T00:03:06"/>
    <n v="0.71479999999999999"/>
    <n v="12.6"/>
    <n v="756"/>
    <n v="17.079999999999998"/>
    <n v="1024.8"/>
    <n v="1.97"/>
    <n v="2.6687499999999997"/>
    <n v="2"/>
    <n v="2"/>
    <m/>
    <m/>
    <m/>
    <m/>
    <n v="134.36478585429569"/>
    <n v="351.72229236586571"/>
    <s v="Training"/>
  </r>
  <r>
    <d v="2022-02-20T00:00:00"/>
    <x v="2"/>
    <n v="1"/>
    <n v="2"/>
    <x v="8"/>
    <x v="2"/>
    <n v="68"/>
    <m/>
    <m/>
    <m/>
    <m/>
    <n v="284"/>
    <n v="0.89590000000000003"/>
    <n v="33"/>
    <d v="1899-12-30T00:00:30"/>
    <d v="1899-12-30T00:02:48"/>
    <d v="1899-12-30T00:08:16"/>
    <n v="0.6603"/>
    <n v="13.253333333333332"/>
    <n v="795.19999999999993"/>
    <n v="3.1733333333333333"/>
    <n v="190.4"/>
    <n v="2.0699999999999998"/>
    <n v="1"/>
    <n v="2"/>
    <n v="3"/>
    <m/>
    <m/>
    <m/>
    <m/>
    <n v="46.723416015065347"/>
    <n v="271.64121337523102"/>
    <s v="Training"/>
  </r>
  <r>
    <d v="2022-02-21T00:00:00"/>
    <x v="3"/>
    <n v="2"/>
    <n v="2"/>
    <x v="8"/>
    <x v="2"/>
    <n v="350"/>
    <m/>
    <m/>
    <m/>
    <m/>
    <n v="396"/>
    <n v="0.84079999999999999"/>
    <n v="75"/>
    <d v="1899-12-30T00:00:59"/>
    <d v="1899-12-30T00:02:41"/>
    <d v="1899-12-30T00:05:29"/>
    <n v="0.308"/>
    <n v="17.71"/>
    <n v="1062.6000000000001"/>
    <n v="15.652777777777779"/>
    <n v="939.16666666666674"/>
    <n v="2.77"/>
    <n v="2.4457465277777781"/>
    <n v="2"/>
    <n v="3"/>
    <m/>
    <m/>
    <m/>
    <m/>
    <n v="142.08043489519281"/>
    <n v="358.33041577327742"/>
    <s v="Training"/>
  </r>
  <r>
    <d v="2022-02-22T00:00:00"/>
    <x v="4"/>
    <n v="3"/>
    <n v="2"/>
    <x v="8"/>
    <x v="2"/>
    <n v="437"/>
    <m/>
    <m/>
    <m/>
    <m/>
    <n v="44"/>
    <n v="0.91669999999999996"/>
    <n v="4"/>
    <d v="1899-12-30T00:00:29"/>
    <d v="1899-12-30T00:02:31"/>
    <d v="1899-12-30T00:03:07"/>
    <n v="0.65959999999999996"/>
    <n v="1.8455555555555556"/>
    <n v="110.73333333333333"/>
    <n v="18.329722222222223"/>
    <n v="1099.7833333333333"/>
    <n v="1"/>
    <n v="2.8640190972222221"/>
    <n v="1"/>
    <n v="1"/>
    <m/>
    <m/>
    <m/>
    <m/>
    <n v="133.16373101862021"/>
    <n v="349.83526897601678"/>
    <s v="Training"/>
  </r>
  <r>
    <d v="2022-02-23T00:00:00"/>
    <x v="5"/>
    <n v="4"/>
    <n v="2"/>
    <x v="8"/>
    <x v="2"/>
    <n v="484"/>
    <m/>
    <m/>
    <m/>
    <m/>
    <n v="317"/>
    <n v="0.84530000000000005"/>
    <n v="58"/>
    <d v="1899-12-30T00:00:43"/>
    <d v="1899-12-30T00:02:52"/>
    <d v="1899-12-30T00:05:06"/>
    <n v="0.40870000000000001"/>
    <n v="15.145555555555555"/>
    <n v="908.73333333333335"/>
    <n v="23.124444444444446"/>
    <n v="1387.4666666666667"/>
    <n v="2.37"/>
    <n v="3.6131944444444444"/>
    <n v="2"/>
    <n v="3"/>
    <m/>
    <m/>
    <m/>
    <m/>
    <n v="138.94988620493649"/>
    <n v="359.18908339133122"/>
    <s v="Training"/>
  </r>
  <r>
    <d v="2022-02-24T00:00:00"/>
    <x v="6"/>
    <n v="5"/>
    <n v="2"/>
    <x v="8"/>
    <x v="2"/>
    <n v="405"/>
    <m/>
    <m/>
    <m/>
    <m/>
    <n v="309"/>
    <n v="0.94499999999999995"/>
    <n v="18"/>
    <d v="1899-12-30T00:00:22"/>
    <d v="1899-12-30T00:02:48"/>
    <d v="1899-12-30T00:03:46"/>
    <n v="0.68210000000000004"/>
    <n v="14.42"/>
    <n v="865.2"/>
    <n v="18.899999999999999"/>
    <n v="1134"/>
    <n v="2.25"/>
    <n v="2.953125"/>
    <n v="2"/>
    <n v="3"/>
    <m/>
    <m/>
    <m/>
    <m/>
    <n v="128.30267003376099"/>
    <n v="356.33493303679552"/>
    <s v="Training"/>
  </r>
  <r>
    <d v="2022-02-26T00:00:00"/>
    <x v="0"/>
    <n v="7"/>
    <n v="2"/>
    <x v="8"/>
    <x v="2"/>
    <n v="424"/>
    <m/>
    <m/>
    <m/>
    <m/>
    <n v="316"/>
    <n v="0.86339999999999995"/>
    <n v="50"/>
    <d v="1899-12-30T00:00:37"/>
    <d v="1899-12-30T00:02:44"/>
    <d v="1899-12-30T00:05:11"/>
    <n v="0.53739999999999999"/>
    <n v="14.395555555555555"/>
    <n v="863.73333333333335"/>
    <n v="19.315555555555555"/>
    <n v="1158.9333333333334"/>
    <n v="2.25"/>
    <n v="3.0180555555555557"/>
    <n v="2"/>
    <n v="3"/>
    <m/>
    <m/>
    <m/>
    <m/>
    <n v="133.6947746873675"/>
    <n v="347.17055744352228"/>
    <s v="Training"/>
  </r>
  <r>
    <d v="2022-02-27T00:00:00"/>
    <x v="1"/>
    <n v="1"/>
    <n v="2"/>
    <x v="9"/>
    <x v="2"/>
    <n v="60"/>
    <m/>
    <m/>
    <m/>
    <m/>
    <n v="105"/>
    <n v="0.86780000000000002"/>
    <n v="16"/>
    <d v="1899-12-30T00:00:47"/>
    <d v="1899-12-30T00:03:00"/>
    <d v="1899-12-30T00:08:41"/>
    <n v="0.6"/>
    <n v="5.25"/>
    <n v="315"/>
    <n v="3"/>
    <n v="180"/>
    <n v="1"/>
    <n v="1"/>
    <n v="2"/>
    <n v="1"/>
    <m/>
    <m/>
    <m/>
    <m/>
    <n v="48.091943568745172"/>
    <n v="268.82075456643582"/>
    <s v="Training"/>
  </r>
  <r>
    <d v="2022-02-28T00:00:00"/>
    <x v="2"/>
    <n v="2"/>
    <n v="2"/>
    <x v="9"/>
    <x v="2"/>
    <n v="497"/>
    <m/>
    <m/>
    <m/>
    <m/>
    <n v="266"/>
    <n v="0.92679999999999996"/>
    <n v="21"/>
    <d v="1899-12-30T00:00:34"/>
    <d v="1899-12-30T00:03:06"/>
    <d v="1899-12-30T00:04:08"/>
    <n v="0.59719999999999995"/>
    <n v="13.743333333333334"/>
    <n v="824.6"/>
    <n v="25.678333333333335"/>
    <n v="1540.7"/>
    <n v="2.15"/>
    <n v="4.0122395833333337"/>
    <n v="2"/>
    <n v="3"/>
    <m/>
    <m/>
    <m/>
    <m/>
    <n v="140.4071490060214"/>
    <n v="364.52586452221158"/>
    <s v="Training"/>
  </r>
  <r>
    <d v="2022-03-01T00:00:00"/>
    <x v="3"/>
    <n v="3"/>
    <n v="3"/>
    <x v="9"/>
    <x v="2"/>
    <n v="147"/>
    <m/>
    <m/>
    <m/>
    <m/>
    <n v="277"/>
    <n v="0.92949999999999999"/>
    <n v="21"/>
    <d v="1899-12-30T00:00:39"/>
    <d v="1899-12-30T00:03:08"/>
    <d v="1899-12-30T00:03:35"/>
    <n v="0.51180000000000003"/>
    <n v="14.465555555555556"/>
    <n v="867.93333333333328"/>
    <n v="7.6766666666666667"/>
    <n v="460.6"/>
    <n v="2.2599999999999998"/>
    <n v="1.1994791666666667"/>
    <n v="2"/>
    <n v="3"/>
    <m/>
    <m/>
    <m/>
    <m/>
    <n v="126.2607078512341"/>
    <n v="333.03374118708672"/>
    <s v="Training"/>
  </r>
  <r>
    <d v="2022-03-02T00:00:00"/>
    <x v="4"/>
    <n v="4"/>
    <n v="3"/>
    <x v="9"/>
    <x v="2"/>
    <n v="286"/>
    <m/>
    <m/>
    <m/>
    <m/>
    <n v="56"/>
    <n v="0.8"/>
    <n v="14"/>
    <d v="1899-12-30T00:00:46"/>
    <d v="1899-12-30T00:03:23"/>
    <d v="1899-12-30T00:05:08"/>
    <n v="0.45710000000000001"/>
    <n v="3.1577777777777776"/>
    <n v="189.46666666666664"/>
    <n v="16.127222222222223"/>
    <n v="967.63333333333333"/>
    <n v="1"/>
    <n v="2.5198784722222221"/>
    <n v="1"/>
    <n v="1"/>
    <m/>
    <m/>
    <m/>
    <m/>
    <n v="135.74403569623439"/>
    <n v="348.77593508104769"/>
    <s v="Training"/>
  </r>
  <r>
    <d v="2022-03-04T00:00:00"/>
    <x v="5"/>
    <n v="6"/>
    <n v="3"/>
    <x v="9"/>
    <x v="2"/>
    <n v="52"/>
    <m/>
    <m/>
    <m/>
    <m/>
    <n v="255"/>
    <n v="0.88849999999999996"/>
    <n v="32"/>
    <d v="1899-12-30T00:00:40"/>
    <d v="1899-12-30T00:03:30"/>
    <d v="1899-12-30T00:04:09"/>
    <n v="0.46810000000000002"/>
    <n v="14.875"/>
    <n v="892.5"/>
    <n v="3.0333333333333332"/>
    <n v="182"/>
    <n v="2.3199999999999998"/>
    <n v="1"/>
    <n v="2"/>
    <n v="3"/>
    <m/>
    <m/>
    <m/>
    <m/>
    <n v="116.0052723005487"/>
    <n v="336.09013326920058"/>
    <s v="Training"/>
  </r>
  <r>
    <d v="2022-03-06T00:00:00"/>
    <x v="6"/>
    <n v="1"/>
    <n v="3"/>
    <x v="10"/>
    <x v="2"/>
    <n v="436"/>
    <m/>
    <m/>
    <m/>
    <m/>
    <n v="259"/>
    <n v="0.86909999999999998"/>
    <n v="39"/>
    <d v="1899-12-30T00:00:30"/>
    <d v="1899-12-30T00:03:14"/>
    <d v="1899-12-30T00:07:15"/>
    <n v="0.57969999999999999"/>
    <n v="13.957222222222223"/>
    <n v="837.43333333333339"/>
    <n v="23.495555555555555"/>
    <n v="1409.7333333333333"/>
    <n v="2.1800000000000002"/>
    <n v="3.6711805555555554"/>
    <n v="2"/>
    <n v="3"/>
    <m/>
    <m/>
    <m/>
    <m/>
    <n v="28.094514326374089"/>
    <n v="246.83168546770179"/>
    <s v="Training"/>
  </r>
  <r>
    <d v="2022-03-07T00:00:00"/>
    <x v="0"/>
    <n v="2"/>
    <n v="3"/>
    <x v="10"/>
    <x v="2"/>
    <n v="63"/>
    <m/>
    <m/>
    <m/>
    <m/>
    <n v="317"/>
    <n v="0.91349999999999998"/>
    <n v="30"/>
    <d v="1899-12-30T00:00:30"/>
    <d v="1899-12-30T00:03:11"/>
    <d v="1899-12-30T00:05:52"/>
    <n v="0.59770000000000001"/>
    <n v="16.81861111111111"/>
    <n v="1009.1166666666666"/>
    <n v="3.3424999999999998"/>
    <n v="200.54999999999998"/>
    <n v="2.63"/>
    <n v="1"/>
    <n v="2"/>
    <n v="3"/>
    <m/>
    <m/>
    <m/>
    <m/>
    <n v="113.93846431808871"/>
    <n v="339.53290029975938"/>
    <s v="Training"/>
  </r>
  <r>
    <d v="2022-03-08T00:00:00"/>
    <x v="1"/>
    <n v="3"/>
    <n v="3"/>
    <x v="10"/>
    <x v="2"/>
    <n v="165"/>
    <m/>
    <m/>
    <m/>
    <m/>
    <n v="356"/>
    <n v="0.8599"/>
    <n v="58"/>
    <d v="1899-12-30T00:00:43"/>
    <d v="1899-12-30T00:03:27"/>
    <d v="1899-12-30T00:15:32"/>
    <n v="0.47149999999999997"/>
    <n v="20.469999999999995"/>
    <n v="1228.1999999999998"/>
    <n v="9.4874999999999972"/>
    <n v="569.24999999999977"/>
    <n v="3.2"/>
    <n v="1.4824218749999993"/>
    <n v="2"/>
    <n v="4"/>
    <m/>
    <m/>
    <m/>
    <m/>
    <n v="95.278610300662677"/>
    <n v="316.10303192247682"/>
    <s v="Training"/>
  </r>
  <r>
    <d v="2022-03-09T00:00:00"/>
    <x v="2"/>
    <n v="4"/>
    <n v="3"/>
    <x v="10"/>
    <x v="2"/>
    <n v="161"/>
    <m/>
    <m/>
    <m/>
    <m/>
    <n v="362"/>
    <n v="0.89159999999999995"/>
    <n v="44"/>
    <d v="1899-12-30T00:00:37"/>
    <d v="1899-12-30T00:03:02"/>
    <d v="1899-12-30T00:05:17"/>
    <n v="0.53480000000000005"/>
    <n v="18.301111111111112"/>
    <n v="1098.0666666666666"/>
    <n v="8.1394444444444431"/>
    <n v="488.36666666666656"/>
    <n v="2.86"/>
    <n v="1.2717881944444442"/>
    <n v="2"/>
    <n v="3"/>
    <m/>
    <m/>
    <m/>
    <m/>
    <n v="105.02868129073779"/>
    <n v="317.43250056348739"/>
    <s v="Training"/>
  </r>
  <r>
    <d v="2022-03-10T00:00:00"/>
    <x v="3"/>
    <n v="5"/>
    <n v="3"/>
    <x v="10"/>
    <x v="2"/>
    <n v="166"/>
    <m/>
    <m/>
    <m/>
    <m/>
    <n v="322"/>
    <n v="0.87980000000000003"/>
    <n v="44"/>
    <d v="1899-12-30T00:00:35"/>
    <d v="1899-12-30T00:03:03"/>
    <d v="1899-12-30T00:11:12"/>
    <n v="0.5706"/>
    <n v="16.368333333333332"/>
    <n v="982.09999999999991"/>
    <n v="8.4383333333333326"/>
    <n v="506.29999999999995"/>
    <n v="2.56"/>
    <n v="1.3184895833333332"/>
    <n v="2"/>
    <n v="3"/>
    <m/>
    <m/>
    <m/>
    <m/>
    <n v="85.529742490667431"/>
    <n v="309.43176766060049"/>
    <s v="Training"/>
  </r>
  <r>
    <d v="2022-03-11T00:00:00"/>
    <x v="4"/>
    <n v="6"/>
    <n v="3"/>
    <x v="10"/>
    <x v="2"/>
    <n v="37"/>
    <m/>
    <m/>
    <m/>
    <m/>
    <n v="64"/>
    <n v="0.94120000000000004"/>
    <n v="4"/>
    <d v="1899-12-30T00:00:14"/>
    <d v="1899-12-30T00:02:58"/>
    <d v="1899-12-30T00:02:04"/>
    <n v="0.82350000000000001"/>
    <n v="3.1644444444444444"/>
    <n v="189.86666666666667"/>
    <n v="1.8294444444444444"/>
    <n v="109.76666666666667"/>
    <n v="1"/>
    <n v="1"/>
    <n v="1"/>
    <n v="1"/>
    <m/>
    <m/>
    <m/>
    <m/>
    <n v="77.781707288243595"/>
    <n v="303.34995391498569"/>
    <s v="Training"/>
  </r>
  <r>
    <d v="2022-03-12T00:00:00"/>
    <x v="5"/>
    <n v="7"/>
    <n v="3"/>
    <x v="10"/>
    <x v="2"/>
    <n v="240"/>
    <m/>
    <m/>
    <m/>
    <m/>
    <n v="320"/>
    <n v="0.9143"/>
    <n v="30"/>
    <d v="1899-12-30T00:00:37"/>
    <d v="1899-12-30T00:03:13"/>
    <d v="1899-12-30T00:05:39"/>
    <n v="0.54179999999999995"/>
    <n v="17.155555555555555"/>
    <n v="1029.3333333333333"/>
    <n v="12.866666666666667"/>
    <n v="772"/>
    <n v="2.68"/>
    <n v="2.0104166666666665"/>
    <n v="2"/>
    <n v="3"/>
    <m/>
    <m/>
    <m/>
    <m/>
    <n v="81.980506069370875"/>
    <n v="296.40597032343072"/>
    <s v="Training"/>
  </r>
  <r>
    <d v="2022-03-13T00:00:00"/>
    <x v="6"/>
    <n v="1"/>
    <n v="3"/>
    <x v="11"/>
    <x v="2"/>
    <n v="116"/>
    <m/>
    <m/>
    <m/>
    <m/>
    <n v="352"/>
    <n v="0.80549999999999999"/>
    <n v="85"/>
    <d v="1899-12-30T00:00:52"/>
    <d v="1899-12-30T00:03:01"/>
    <d v="1899-12-30T00:09:33"/>
    <n v="0.41260000000000002"/>
    <n v="17.697777777777777"/>
    <n v="1061.8666666666666"/>
    <n v="5.8322222222222226"/>
    <n v="349.93333333333334"/>
    <n v="2.77"/>
    <n v="1"/>
    <n v="2"/>
    <n v="3"/>
    <m/>
    <m/>
    <m/>
    <m/>
    <n v="-21.651110016622621"/>
    <n v="207.1059310805083"/>
    <s v="Training"/>
  </r>
  <r>
    <d v="2022-03-15T00:00:00"/>
    <x v="0"/>
    <n v="3"/>
    <n v="3"/>
    <x v="11"/>
    <x v="2"/>
    <n v="416"/>
    <m/>
    <m/>
    <m/>
    <m/>
    <n v="438"/>
    <n v="0.90500000000000003"/>
    <n v="46"/>
    <d v="1899-12-30T00:00:45"/>
    <d v="1899-12-30T00:02:57"/>
    <d v="1899-12-30T00:05:47"/>
    <n v="0.44790000000000002"/>
    <n v="21.535"/>
    <n v="1292.0999999999999"/>
    <n v="20.453333333333337"/>
    <n v="1227.2000000000003"/>
    <n v="3.36"/>
    <n v="3.1958333333333342"/>
    <n v="2"/>
    <n v="4"/>
    <m/>
    <m/>
    <m/>
    <m/>
    <n v="55.513180317513097"/>
    <n v="286.27717023339642"/>
    <s v="Training"/>
  </r>
  <r>
    <d v="2022-03-19T00:00:00"/>
    <x v="1"/>
    <n v="7"/>
    <n v="3"/>
    <x v="11"/>
    <x v="2"/>
    <n v="244"/>
    <m/>
    <m/>
    <m/>
    <m/>
    <n v="368"/>
    <n v="0.90859999999999996"/>
    <n v="37"/>
    <d v="1899-12-30T00:00:35"/>
    <d v="1899-12-30T00:03:09"/>
    <d v="1899-12-30T00:05:41"/>
    <n v="0.58099999999999996"/>
    <n v="19.32"/>
    <n v="1159.2"/>
    <n v="12.810000000000002"/>
    <n v="768.60000000000014"/>
    <n v="3.02"/>
    <n v="2.0015625000000004"/>
    <n v="2"/>
    <n v="4"/>
    <m/>
    <m/>
    <m/>
    <m/>
    <n v="55.226705486951822"/>
    <n v="272.4363913405686"/>
    <s v="Training"/>
  </r>
  <r>
    <d v="2022-03-20T00:00:00"/>
    <x v="2"/>
    <n v="1"/>
    <n v="3"/>
    <x v="12"/>
    <x v="2"/>
    <n v="51"/>
    <m/>
    <m/>
    <m/>
    <m/>
    <n v="368"/>
    <n v="0.64559999999999995"/>
    <n v="202"/>
    <d v="1899-12-30T00:01:11"/>
    <d v="1899-12-30T00:03:24"/>
    <d v="1899-12-30T00:25:51"/>
    <n v="0.2354"/>
    <n v="20.853333333333332"/>
    <n v="1251.1999999999998"/>
    <n v="2.89"/>
    <n v="173.4"/>
    <n v="3.26"/>
    <n v="1"/>
    <n v="2"/>
    <n v="4"/>
    <m/>
    <m/>
    <m/>
    <m/>
    <n v="-31.193695235158561"/>
    <n v="177.17287963044421"/>
    <s v="Training"/>
  </r>
  <r>
    <d v="2022-03-21T00:00:00"/>
    <x v="3"/>
    <n v="2"/>
    <n v="3"/>
    <x v="12"/>
    <x v="2"/>
    <n v="202"/>
    <m/>
    <m/>
    <m/>
    <m/>
    <n v="384"/>
    <n v="0.90569999999999995"/>
    <n v="40"/>
    <d v="1899-12-30T00:00:49"/>
    <d v="1899-12-30T00:03:14"/>
    <d v="1899-12-30T00:08:56"/>
    <n v="0.3952"/>
    <n v="20.693333333333332"/>
    <n v="1241.5999999999999"/>
    <n v="10.885555555555555"/>
    <n v="653.13333333333333"/>
    <n v="3.23"/>
    <n v="1.7008680555555555"/>
    <n v="2"/>
    <n v="4"/>
    <m/>
    <m/>
    <m/>
    <m/>
    <n v="69.283641893071646"/>
    <n v="291.44206036957178"/>
    <s v="Training"/>
  </r>
  <r>
    <d v="2022-03-22T00:00:00"/>
    <x v="4"/>
    <n v="3"/>
    <n v="3"/>
    <x v="12"/>
    <x v="2"/>
    <n v="128"/>
    <m/>
    <m/>
    <m/>
    <m/>
    <n v="57"/>
    <n v="0.95"/>
    <n v="3"/>
    <d v="1899-12-30T00:00:32"/>
    <d v="1899-12-30T00:03:19"/>
    <d v="1899-12-30T00:03:00"/>
    <n v="0.55930000000000002"/>
    <n v="3.1508333333333329"/>
    <n v="189.04999999999998"/>
    <n v="7.0755555555555558"/>
    <n v="424.53333333333336"/>
    <n v="1"/>
    <n v="1.1055555555555556"/>
    <n v="1"/>
    <n v="1"/>
    <m/>
    <m/>
    <m/>
    <m/>
    <n v="46.826467259723657"/>
    <n v="258.27485204050782"/>
    <s v="Training"/>
  </r>
  <r>
    <d v="2022-03-23T00:00:00"/>
    <x v="5"/>
    <n v="4"/>
    <n v="3"/>
    <x v="12"/>
    <x v="2"/>
    <n v="102"/>
    <m/>
    <m/>
    <m/>
    <m/>
    <n v="442"/>
    <n v="0.88929999999999998"/>
    <n v="55"/>
    <d v="1899-12-30T00:00:48"/>
    <d v="1899-12-30T00:01:36"/>
    <d v="1899-12-30T00:10:45"/>
    <n v="0.57579999999999998"/>
    <n v="11.786666666666667"/>
    <n v="707.2"/>
    <n v="2.72"/>
    <n v="163.20000000000002"/>
    <n v="1.84"/>
    <n v="1"/>
    <n v="2"/>
    <n v="2"/>
    <m/>
    <m/>
    <m/>
    <m/>
    <n v="59.961283557311248"/>
    <n v="273.46325354076959"/>
    <s v="Training"/>
  </r>
  <r>
    <d v="2022-03-24T00:00:00"/>
    <x v="6"/>
    <n v="5"/>
    <n v="3"/>
    <x v="12"/>
    <x v="2"/>
    <n v="201"/>
    <m/>
    <m/>
    <m/>
    <m/>
    <n v="378"/>
    <n v="0.88109999999999999"/>
    <n v="51"/>
    <d v="1899-12-30T00:00:37"/>
    <d v="1899-12-30T00:02:05"/>
    <d v="1899-12-30T00:10:55"/>
    <n v="0.55289999999999995"/>
    <n v="13.125"/>
    <n v="787.5"/>
    <n v="6.979166666666667"/>
    <n v="418.75"/>
    <n v="2.0499999999999998"/>
    <n v="1.0904947916666667"/>
    <n v="2"/>
    <n v="3"/>
    <m/>
    <m/>
    <m/>
    <m/>
    <n v="51.990074419490362"/>
    <n v="272.06510654336341"/>
    <s v="Training"/>
  </r>
  <r>
    <d v="2022-03-25T00:00:00"/>
    <x v="0"/>
    <n v="6"/>
    <n v="3"/>
    <x v="12"/>
    <x v="2"/>
    <n v="261"/>
    <m/>
    <m/>
    <m/>
    <m/>
    <n v="388"/>
    <n v="0.77759999999999996"/>
    <n v="111"/>
    <d v="1899-12-30T00:00:54"/>
    <d v="1899-12-30T00:02:15"/>
    <d v="1899-12-30T00:16:59"/>
    <n v="0.47760000000000002"/>
    <n v="14.550000000000002"/>
    <n v="873.00000000000011"/>
    <n v="9.7874999999999996"/>
    <n v="587.25"/>
    <n v="2.27"/>
    <n v="1.529296875"/>
    <n v="2"/>
    <n v="3"/>
    <m/>
    <m/>
    <m/>
    <m/>
    <n v="43.354526975691137"/>
    <n v="256.63205787965251"/>
    <s v="Training"/>
  </r>
  <r>
    <d v="2022-03-26T00:00:00"/>
    <x v="1"/>
    <n v="7"/>
    <n v="3"/>
    <x v="12"/>
    <x v="2"/>
    <n v="201"/>
    <m/>
    <m/>
    <m/>
    <m/>
    <n v="434"/>
    <n v="0.85099999999999998"/>
    <n v="76"/>
    <d v="1899-12-30T00:00:48"/>
    <d v="1899-12-30T00:03:29"/>
    <d v="1899-12-30T00:10:21"/>
    <n v="0.4219"/>
    <n v="25.196111111111115"/>
    <n v="1511.7666666666669"/>
    <n v="11.669166666666667"/>
    <n v="700.15000000000009"/>
    <n v="3.94"/>
    <n v="1.8233072916666668"/>
    <n v="2"/>
    <n v="4"/>
    <m/>
    <m/>
    <m/>
    <m/>
    <n v="53.909792069455463"/>
    <n v="269.62148344728149"/>
    <s v="Training"/>
  </r>
  <r>
    <d v="2022-03-27T00:00:00"/>
    <x v="2"/>
    <n v="1"/>
    <n v="3"/>
    <x v="13"/>
    <x v="2"/>
    <n v="64"/>
    <m/>
    <m/>
    <m/>
    <m/>
    <n v="458"/>
    <n v="0.83420000000000005"/>
    <n v="91"/>
    <d v="1899-12-30T00:01:13"/>
    <d v="1899-12-30T00:03:35"/>
    <d v="1899-12-30T00:09:12"/>
    <n v="0.29070000000000001"/>
    <n v="27.352777777777781"/>
    <n v="1641.166666666667"/>
    <n v="3.8222222222222224"/>
    <n v="229.33333333333334"/>
    <n v="4.2699999999999996"/>
    <n v="1"/>
    <n v="2"/>
    <n v="5"/>
    <m/>
    <m/>
    <m/>
    <m/>
    <n v="-37.239337825145668"/>
    <n v="186.7936347429804"/>
    <s v="Training"/>
  </r>
  <r>
    <d v="2022-03-28T00:00:00"/>
    <x v="3"/>
    <n v="2"/>
    <n v="3"/>
    <x v="13"/>
    <x v="2"/>
    <n v="200"/>
    <m/>
    <m/>
    <m/>
    <m/>
    <n v="444"/>
    <n v="0.75249999999999995"/>
    <n v="146"/>
    <d v="1899-12-30T00:01:23"/>
    <d v="1899-12-30T00:03:34"/>
    <d v="1899-12-30T00:08:58"/>
    <n v="0.1903"/>
    <n v="26.393333333333334"/>
    <n v="1583.6000000000001"/>
    <n v="11.888888888888889"/>
    <n v="713.33333333333337"/>
    <n v="4.12"/>
    <n v="1.8576388888888891"/>
    <n v="2"/>
    <n v="5"/>
    <m/>
    <m/>
    <m/>
    <m/>
    <n v="72.503481030384194"/>
    <n v="287.26088979598211"/>
    <s v="Training"/>
  </r>
  <r>
    <d v="2022-03-29T00:00:00"/>
    <x v="4"/>
    <n v="3"/>
    <n v="3"/>
    <x v="13"/>
    <x v="2"/>
    <n v="158"/>
    <m/>
    <m/>
    <m/>
    <m/>
    <n v="120"/>
    <n v="0.87590000000000001"/>
    <n v="17"/>
    <d v="1899-12-30T00:00:58"/>
    <d v="1899-12-30T00:03:11"/>
    <d v="1899-12-30T00:05:22"/>
    <n v="0.33090000000000003"/>
    <n v="6.3666666666666663"/>
    <n v="382"/>
    <n v="8.3827777777777772"/>
    <n v="502.96666666666664"/>
    <n v="1"/>
    <n v="1.3098090277777776"/>
    <n v="1"/>
    <n v="1"/>
    <m/>
    <m/>
    <m/>
    <m/>
    <n v="53.756456809740968"/>
    <n v="283.51739952111751"/>
    <s v="Training"/>
  </r>
  <r>
    <d v="2022-03-30T00:00:00"/>
    <x v="5"/>
    <n v="4"/>
    <n v="3"/>
    <x v="13"/>
    <x v="2"/>
    <n v="174"/>
    <m/>
    <m/>
    <m/>
    <m/>
    <n v="476"/>
    <n v="0.79600000000000004"/>
    <n v="122"/>
    <d v="1899-12-30T00:00:58"/>
    <d v="1899-12-30T00:03:39"/>
    <d v="1899-12-30T00:08:45"/>
    <n v="0.32029999999999997"/>
    <n v="28.956666666666663"/>
    <n v="1737.3999999999999"/>
    <n v="10.585000000000001"/>
    <n v="635.1"/>
    <n v="4.5199999999999996"/>
    <n v="1.6539062500000001"/>
    <n v="2"/>
    <n v="5"/>
    <m/>
    <m/>
    <m/>
    <m/>
    <n v="71.666950179905371"/>
    <n v="286.05029959057708"/>
    <s v="Training"/>
  </r>
  <r>
    <d v="2022-03-31T00:00:00"/>
    <x v="6"/>
    <n v="5"/>
    <n v="3"/>
    <x v="13"/>
    <x v="2"/>
    <n v="67"/>
    <m/>
    <m/>
    <m/>
    <m/>
    <n v="180"/>
    <n v="0.7792"/>
    <n v="51"/>
    <d v="1899-12-30T00:01:04"/>
    <d v="1899-12-30T00:03:33"/>
    <d v="1899-12-30T00:09:07"/>
    <n v="0.33779999999999999"/>
    <n v="10.65"/>
    <n v="639"/>
    <n v="3.964166666666666"/>
    <n v="237.84999999999997"/>
    <n v="1.66"/>
    <n v="1"/>
    <n v="2"/>
    <n v="2"/>
    <m/>
    <m/>
    <m/>
    <m/>
    <n v="70.856485796198257"/>
    <n v="293.15841863893212"/>
    <s v="Training"/>
  </r>
  <r>
    <d v="2022-04-01T00:00:00"/>
    <x v="0"/>
    <n v="6"/>
    <n v="4"/>
    <x v="13"/>
    <x v="2"/>
    <n v="131"/>
    <m/>
    <m/>
    <m/>
    <m/>
    <n v="362"/>
    <n v="0.5"/>
    <n v="362"/>
    <d v="1899-12-30T00:02:01"/>
    <d v="1899-12-30T00:03:55"/>
    <d v="1899-12-30T00:12:18"/>
    <n v="0.1166"/>
    <n v="23.630555555555556"/>
    <n v="1417.8333333333335"/>
    <n v="8.5513888888888889"/>
    <n v="513.08333333333337"/>
    <n v="3.69"/>
    <n v="1.3361545138888891"/>
    <n v="2"/>
    <n v="4"/>
    <m/>
    <m/>
    <m/>
    <m/>
    <n v="61.86664647269037"/>
    <n v="273.24921813567619"/>
    <s v="Training"/>
  </r>
  <r>
    <d v="2022-04-02T00:00:00"/>
    <x v="1"/>
    <n v="7"/>
    <n v="4"/>
    <x v="13"/>
    <x v="2"/>
    <n v="317"/>
    <m/>
    <m/>
    <m/>
    <m/>
    <n v="367"/>
    <n v="0.50139999999999996"/>
    <n v="365"/>
    <d v="1899-12-30T00:02:48"/>
    <d v="1899-12-30T00:02:52"/>
    <d v="1899-12-30T00:16:38"/>
    <n v="8.09E-2"/>
    <n v="17.534444444444443"/>
    <n v="1052.0666666666666"/>
    <n v="15.145555555555555"/>
    <n v="908.73333333333335"/>
    <n v="2.74"/>
    <n v="2.3664930555555554"/>
    <n v="2"/>
    <n v="3"/>
    <m/>
    <m/>
    <m/>
    <m/>
    <n v="63.886573472697158"/>
    <n v="300.4109039129562"/>
    <s v="Training"/>
  </r>
  <r>
    <d v="2022-04-04T00:00:00"/>
    <x v="2"/>
    <n v="2"/>
    <n v="4"/>
    <x v="14"/>
    <x v="2"/>
    <n v="223"/>
    <m/>
    <m/>
    <m/>
    <m/>
    <n v="301"/>
    <n v="0.51719999999999999"/>
    <n v="281"/>
    <d v="1899-12-30T00:02:41"/>
    <d v="1899-12-30T00:04:13"/>
    <d v="1899-12-30T00:21:42"/>
    <n v="0.1208"/>
    <n v="21.153611111111111"/>
    <n v="1269.2166666666667"/>
    <n v="15.671944444444444"/>
    <n v="940.31666666666661"/>
    <n v="3.31"/>
    <n v="2.4487413194444443"/>
    <n v="2"/>
    <n v="4"/>
    <m/>
    <m/>
    <m/>
    <m/>
    <n v="84.101288776074284"/>
    <n v="306.9805665261718"/>
    <s v="Training"/>
  </r>
  <r>
    <d v="2022-04-05T00:00:00"/>
    <x v="3"/>
    <n v="3"/>
    <n v="4"/>
    <x v="14"/>
    <x v="2"/>
    <n v="490"/>
    <m/>
    <m/>
    <m/>
    <m/>
    <n v="344"/>
    <n v="0.55389999999999995"/>
    <n v="277"/>
    <d v="1899-12-30T00:02:07"/>
    <d v="1899-12-30T00:03:29"/>
    <d v="1899-12-30T00:12:24"/>
    <n v="0.1447"/>
    <n v="19.97111111111111"/>
    <n v="1198.2666666666667"/>
    <n v="28.447222222222223"/>
    <n v="1706.8333333333335"/>
    <n v="3.12"/>
    <n v="4.4448784722222223"/>
    <n v="2"/>
    <n v="4"/>
    <m/>
    <m/>
    <m/>
    <m/>
    <n v="71.23843527158391"/>
    <n v="284.35800637529888"/>
    <s v="Training"/>
  </r>
  <r>
    <d v="2022-04-06T00:00:00"/>
    <x v="4"/>
    <n v="4"/>
    <n v="4"/>
    <x v="14"/>
    <x v="2"/>
    <n v="191"/>
    <m/>
    <m/>
    <m/>
    <m/>
    <n v="106"/>
    <n v="0.91379999999999995"/>
    <n v="10"/>
    <d v="1899-12-30T00:00:34"/>
    <d v="1899-12-30T00:04:23"/>
    <d v="1899-12-30T00:04:44"/>
    <n v="0.62929999999999997"/>
    <n v="7.7438888888888879"/>
    <n v="464.63333333333327"/>
    <n v="13.953611111111108"/>
    <n v="837.21666666666647"/>
    <n v="1.21"/>
    <n v="2.1802517361111104"/>
    <n v="1"/>
    <n v="2"/>
    <m/>
    <m/>
    <m/>
    <m/>
    <n v="89.139850099137803"/>
    <n v="313.00623235962831"/>
    <s v="Training"/>
  </r>
  <r>
    <d v="2022-04-07T00:00:00"/>
    <x v="5"/>
    <n v="5"/>
    <n v="4"/>
    <x v="14"/>
    <x v="2"/>
    <n v="573"/>
    <m/>
    <m/>
    <m/>
    <m/>
    <n v="300"/>
    <n v="0.56289999999999996"/>
    <n v="233"/>
    <d v="1899-12-30T00:02:12"/>
    <d v="1899-12-30T00:04:03"/>
    <d v="1899-12-30T00:12:24"/>
    <n v="0.1255"/>
    <n v="20.25"/>
    <n v="1215"/>
    <n v="38.677500000000002"/>
    <n v="2320.65"/>
    <n v="3.16"/>
    <n v="6.0433593750000005"/>
    <n v="2"/>
    <n v="4"/>
    <m/>
    <m/>
    <m/>
    <m/>
    <n v="90.713687615533459"/>
    <n v="307.50509382858951"/>
    <s v="Training"/>
  </r>
  <r>
    <d v="2022-04-08T00:00:00"/>
    <x v="6"/>
    <n v="6"/>
    <n v="4"/>
    <x v="14"/>
    <x v="2"/>
    <n v="153"/>
    <m/>
    <m/>
    <m/>
    <m/>
    <n v="322"/>
    <n v="0.77400000000000002"/>
    <n v="94"/>
    <d v="1899-12-30T00:01:04"/>
    <d v="1899-12-30T00:03:34"/>
    <d v="1899-12-30T00:06:12"/>
    <n v="0.38590000000000002"/>
    <n v="19.141111111111112"/>
    <n v="1148.4666666666667"/>
    <n v="9.0950000000000006"/>
    <n v="545.70000000000005"/>
    <n v="2.99"/>
    <n v="1.42109375"/>
    <n v="2"/>
    <n v="3"/>
    <m/>
    <m/>
    <m/>
    <m/>
    <n v="75.362481294545617"/>
    <n v="307.44498333354608"/>
    <s v="Training"/>
  </r>
  <r>
    <d v="2022-04-09T00:00:00"/>
    <x v="0"/>
    <n v="7"/>
    <n v="4"/>
    <x v="14"/>
    <x v="2"/>
    <n v="37"/>
    <m/>
    <m/>
    <m/>
    <m/>
    <n v="259"/>
    <n v="0.62409999999999999"/>
    <n v="156"/>
    <d v="1899-12-30T00:02:10"/>
    <d v="1899-12-30T00:03:57"/>
    <d v="1899-12-30T00:13:38"/>
    <n v="0.1789"/>
    <n v="17.05083333333333"/>
    <n v="1023.0499999999997"/>
    <n v="2.4358333333333326"/>
    <n v="146.14999999999995"/>
    <n v="2.66"/>
    <n v="1"/>
    <n v="2"/>
    <n v="3"/>
    <m/>
    <m/>
    <m/>
    <m/>
    <n v="80.647684517246773"/>
    <n v="305.92222016220131"/>
    <s v="Training"/>
  </r>
  <r>
    <d v="2022-04-10T00:00:00"/>
    <x v="1"/>
    <n v="1"/>
    <n v="4"/>
    <x v="15"/>
    <x v="2"/>
    <n v="191"/>
    <m/>
    <m/>
    <m/>
    <m/>
    <n v="289"/>
    <n v="0.66739999999999999"/>
    <n v="144"/>
    <d v="1899-12-30T00:01:42"/>
    <d v="1899-12-30T00:03:28"/>
    <d v="1899-12-30T00:13:12"/>
    <n v="0.22950000000000001"/>
    <n v="16.697777777777777"/>
    <n v="1001.8666666666666"/>
    <n v="11.035555555555556"/>
    <n v="662.13333333333333"/>
    <n v="2.61"/>
    <n v="1.7243055555555555"/>
    <n v="2"/>
    <n v="3"/>
    <m/>
    <m/>
    <m/>
    <m/>
    <n v="7.4320819859400231"/>
    <n v="225.32452731916419"/>
    <s v="Training"/>
  </r>
  <r>
    <d v="2022-04-11T00:00:00"/>
    <x v="2"/>
    <n v="2"/>
    <n v="4"/>
    <x v="15"/>
    <x v="2"/>
    <n v="185"/>
    <m/>
    <m/>
    <m/>
    <m/>
    <n v="284"/>
    <n v="0.62560000000000004"/>
    <n v="170"/>
    <d v="1899-12-30T00:01:53"/>
    <d v="1899-12-30T00:03:34"/>
    <d v="1899-12-30T00:19:22"/>
    <n v="0.24440000000000001"/>
    <n v="16.882222222222225"/>
    <n v="1012.9333333333335"/>
    <n v="10.997222222222224"/>
    <n v="659.83333333333337"/>
    <n v="2.64"/>
    <n v="1.7183159722222223"/>
    <n v="2"/>
    <n v="3"/>
    <m/>
    <m/>
    <m/>
    <m/>
    <n v="113.7442273360456"/>
    <n v="334.5248952197702"/>
    <s v="Training"/>
  </r>
  <r>
    <d v="2022-04-12T00:00:00"/>
    <x v="3"/>
    <n v="3"/>
    <n v="4"/>
    <x v="15"/>
    <x v="2"/>
    <n v="35"/>
    <m/>
    <m/>
    <m/>
    <m/>
    <n v="195"/>
    <n v="0.79920000000000002"/>
    <n v="49"/>
    <d v="1899-12-30T00:01:25"/>
    <d v="1899-12-30T00:03:51"/>
    <d v="1899-12-30T00:11:22"/>
    <n v="0.36670000000000003"/>
    <n v="12.512499999999999"/>
    <n v="750.75"/>
    <n v="2.2458333333333331"/>
    <n v="134.75"/>
    <n v="1.96"/>
    <n v="1"/>
    <n v="2"/>
    <n v="2"/>
    <m/>
    <m/>
    <m/>
    <m/>
    <n v="97.39541438560957"/>
    <n v="313.69311400024333"/>
    <s v="Training"/>
  </r>
  <r>
    <d v="2022-04-13T00:00:00"/>
    <x v="4"/>
    <n v="4"/>
    <n v="4"/>
    <x v="15"/>
    <x v="2"/>
    <n v="389"/>
    <m/>
    <m/>
    <m/>
    <m/>
    <n v="48"/>
    <n v="0.94120000000000004"/>
    <n v="3"/>
    <d v="1899-12-30T00:00:14"/>
    <d v="1899-12-30T00:03:26"/>
    <d v="1899-12-30T00:03:21"/>
    <n v="0.84309999999999996"/>
    <n v="2.7466666666666661"/>
    <n v="164.79999999999995"/>
    <n v="22.259444444444444"/>
    <n v="1335.5666666666666"/>
    <n v="1"/>
    <n v="3.4780381944444443"/>
    <n v="1"/>
    <n v="1"/>
    <m/>
    <m/>
    <m/>
    <m/>
    <n v="109.5619432821438"/>
    <n v="336.44174580409901"/>
    <s v="Training"/>
  </r>
  <r>
    <d v="2022-04-24T00:00:00"/>
    <x v="5"/>
    <n v="1"/>
    <n v="4"/>
    <x v="17"/>
    <x v="2"/>
    <n v="252"/>
    <m/>
    <m/>
    <m/>
    <m/>
    <n v="176"/>
    <n v="0.87129999999999996"/>
    <n v="26"/>
    <d v="1899-12-30T00:00:24"/>
    <d v="1899-12-30T00:03:42"/>
    <d v="1899-12-30T00:05:28"/>
    <n v="0.67159999999999997"/>
    <n v="10.853333333333333"/>
    <n v="651.20000000000005"/>
    <n v="15.54"/>
    <n v="932.4"/>
    <n v="1.7"/>
    <n v="2.4281250000000001"/>
    <n v="2"/>
    <n v="2"/>
    <m/>
    <m/>
    <m/>
    <m/>
    <n v="12.95258955912405"/>
    <n v="233.9684283879979"/>
    <s v="Training"/>
  </r>
  <r>
    <d v="2022-05-01T00:00:00"/>
    <x v="6"/>
    <n v="1"/>
    <n v="5"/>
    <x v="18"/>
    <x v="2"/>
    <n v="128"/>
    <m/>
    <m/>
    <m/>
    <m/>
    <n v="118"/>
    <n v="0.92190000000000005"/>
    <n v="10"/>
    <d v="1899-12-30T00:00:30"/>
    <d v="1899-12-30T00:03:42"/>
    <d v="1899-12-30T00:07:53"/>
    <n v="0.74019999999999997"/>
    <n v="7.2766666666666664"/>
    <n v="436.59999999999997"/>
    <n v="7.8933333333333335"/>
    <n v="473.6"/>
    <n v="1.1399999999999999"/>
    <n v="1.2333333333333334"/>
    <n v="2"/>
    <n v="2"/>
    <m/>
    <m/>
    <m/>
    <m/>
    <n v="11.312053558279439"/>
    <n v="232.68140839095551"/>
    <s v="Training"/>
  </r>
  <r>
    <d v="2022-05-02T00:00:00"/>
    <x v="0"/>
    <n v="2"/>
    <n v="5"/>
    <x v="18"/>
    <x v="2"/>
    <n v="471"/>
    <m/>
    <m/>
    <m/>
    <m/>
    <n v="100"/>
    <n v="0.98040000000000005"/>
    <n v="2"/>
    <d v="1899-12-30T00:00:14"/>
    <d v="1899-12-30T00:03:32"/>
    <d v="1899-12-30T00:03:09"/>
    <n v="0.85289999999999999"/>
    <n v="5.8888888888888893"/>
    <n v="353.33333333333337"/>
    <n v="27.736666666666661"/>
    <n v="1664.1999999999996"/>
    <n v="1"/>
    <n v="4.3338541666666659"/>
    <n v="2"/>
    <n v="1"/>
    <m/>
    <m/>
    <m/>
    <m/>
    <n v="114.3381050994161"/>
    <n v="331.70144983518389"/>
    <s v="Training"/>
  </r>
  <r>
    <d v="2022-05-04T00:00:00"/>
    <x v="1"/>
    <n v="4"/>
    <n v="5"/>
    <x v="18"/>
    <x v="2"/>
    <n v="274"/>
    <m/>
    <m/>
    <m/>
    <m/>
    <n v="169"/>
    <n v="0.84079999999999999"/>
    <n v="32"/>
    <d v="1899-12-30T00:00:32"/>
    <d v="1899-12-30T00:03:25"/>
    <d v="1899-12-30T00:06:12"/>
    <n v="0.58079999999999998"/>
    <n v="9.6236111111111118"/>
    <n v="577.41666666666674"/>
    <n v="15.602777777777778"/>
    <n v="936.16666666666663"/>
    <n v="1.5"/>
    <n v="2.4379340277777777"/>
    <n v="2"/>
    <n v="2"/>
    <m/>
    <m/>
    <m/>
    <m/>
    <n v="113.2660348723436"/>
    <n v="331.23668804157728"/>
    <s v="Training"/>
  </r>
  <r>
    <d v="2022-05-05T00:00:00"/>
    <x v="2"/>
    <n v="5"/>
    <n v="5"/>
    <x v="18"/>
    <x v="2"/>
    <n v="462"/>
    <m/>
    <m/>
    <m/>
    <m/>
    <n v="195"/>
    <n v="0.74709999999999999"/>
    <n v="66"/>
    <d v="1899-12-30T00:01:01"/>
    <d v="1899-12-30T00:03:27"/>
    <d v="1899-12-30T00:07:55"/>
    <n v="0.37980000000000003"/>
    <n v="11.2125"/>
    <n v="672.75"/>
    <n v="26.564999999999998"/>
    <n v="1593.8999999999999"/>
    <n v="1.75"/>
    <n v="4.1507812499999996"/>
    <n v="2"/>
    <n v="2"/>
    <m/>
    <m/>
    <m/>
    <m/>
    <n v="109.7633201976643"/>
    <n v="320.43017884366691"/>
    <s v="Training"/>
  </r>
  <r>
    <d v="2022-05-06T00:00:00"/>
    <x v="3"/>
    <n v="6"/>
    <n v="5"/>
    <x v="18"/>
    <x v="2"/>
    <n v="68"/>
    <m/>
    <m/>
    <m/>
    <m/>
    <n v="173"/>
    <n v="0.86070000000000002"/>
    <n v="28"/>
    <d v="1899-12-30T00:00:41"/>
    <d v="1899-12-30T00:03:15"/>
    <d v="1899-12-30T00:06:50"/>
    <n v="0.59499999999999997"/>
    <n v="9.3708333333333336"/>
    <n v="562.25"/>
    <n v="3.6833333333333327"/>
    <n v="220.99999999999997"/>
    <n v="1.46"/>
    <n v="1"/>
    <n v="2"/>
    <n v="2"/>
    <m/>
    <m/>
    <m/>
    <m/>
    <n v="99.86155278085478"/>
    <n v="328.16547787844121"/>
    <s v="Training"/>
  </r>
  <r>
    <d v="2022-05-07T00:00:00"/>
    <x v="4"/>
    <n v="7"/>
    <n v="5"/>
    <x v="18"/>
    <x v="2"/>
    <n v="391"/>
    <m/>
    <m/>
    <m/>
    <m/>
    <n v="61"/>
    <n v="0.95309999999999995"/>
    <n v="3"/>
    <d v="1899-12-30T00:00:09"/>
    <d v="1899-12-30T00:03:15"/>
    <d v="1899-12-30T00:02:23"/>
    <n v="0.92059999999999997"/>
    <n v="3.3041666666666663"/>
    <n v="198.24999999999997"/>
    <n v="21.179166666666667"/>
    <n v="1270.75"/>
    <n v="1"/>
    <n v="3.3092447916666665"/>
    <n v="1"/>
    <n v="1"/>
    <m/>
    <m/>
    <m/>
    <m/>
    <n v="106.8964300938548"/>
    <n v="319.96684073771422"/>
    <s v="Training"/>
  </r>
  <r>
    <d v="2022-05-08T00:00:00"/>
    <x v="5"/>
    <n v="1"/>
    <n v="5"/>
    <x v="19"/>
    <x v="2"/>
    <n v="175"/>
    <m/>
    <m/>
    <m/>
    <m/>
    <n v="168"/>
    <n v="0.84"/>
    <n v="32"/>
    <d v="1899-12-30T00:00:51"/>
    <d v="1899-12-30T00:03:23"/>
    <d v="1899-12-30T00:06:46"/>
    <n v="0.4874"/>
    <n v="9.4733333333333327"/>
    <n v="568.4"/>
    <n v="9.8680555555555554"/>
    <n v="592.08333333333337"/>
    <n v="1.48"/>
    <n v="1.5418836805555556"/>
    <n v="2"/>
    <n v="2"/>
    <m/>
    <m/>
    <m/>
    <m/>
    <n v="21.189161092145799"/>
    <n v="234.7585732549407"/>
    <s v="Training"/>
  </r>
  <r>
    <d v="2022-05-09T00:00:00"/>
    <x v="6"/>
    <n v="2"/>
    <n v="5"/>
    <x v="19"/>
    <x v="2"/>
    <n v="183"/>
    <m/>
    <m/>
    <m/>
    <m/>
    <n v="148"/>
    <n v="0.93669999999999998"/>
    <n v="10"/>
    <d v="1899-12-30T00:00:30"/>
    <d v="1899-12-30T00:03:17"/>
    <d v="1899-12-30T00:04:08"/>
    <n v="0.56689999999999996"/>
    <n v="8.0988888888888884"/>
    <n v="485.93333333333328"/>
    <n v="10.014166666666666"/>
    <n v="600.85"/>
    <n v="1.27"/>
    <n v="1.5647135416666667"/>
    <n v="2"/>
    <n v="2"/>
    <m/>
    <m/>
    <m/>
    <m/>
    <n v="115.77824244481771"/>
    <n v="337.63366896219873"/>
    <s v="Training"/>
  </r>
  <r>
    <d v="2022-05-10T00:00:00"/>
    <x v="0"/>
    <n v="3"/>
    <n v="5"/>
    <x v="19"/>
    <x v="2"/>
    <n v="171"/>
    <m/>
    <m/>
    <m/>
    <m/>
    <n v="155"/>
    <n v="0.89080000000000004"/>
    <n v="19"/>
    <d v="1899-12-30T00:00:26"/>
    <d v="1899-12-30T00:03:01"/>
    <d v="1899-12-30T00:05:10"/>
    <n v="0.62350000000000005"/>
    <n v="7.7930555555555552"/>
    <n v="467.58333333333331"/>
    <n v="8.5975000000000001"/>
    <n v="515.85"/>
    <n v="1.22"/>
    <n v="1.3433593750000001"/>
    <n v="2"/>
    <n v="2"/>
    <m/>
    <m/>
    <m/>
    <m/>
    <n v="91.768157956000877"/>
    <n v="313.6624119308625"/>
    <s v="Training"/>
  </r>
  <r>
    <d v="2022-05-11T00:00:00"/>
    <x v="1"/>
    <n v="4"/>
    <n v="5"/>
    <x v="19"/>
    <x v="2"/>
    <n v="139"/>
    <m/>
    <m/>
    <m/>
    <m/>
    <n v="64"/>
    <n v="0.95520000000000005"/>
    <n v="3"/>
    <d v="1899-12-30T00:00:26"/>
    <d v="1899-12-30T00:03:31"/>
    <d v="1899-12-30T00:04:58"/>
    <n v="0.71209999999999996"/>
    <n v="3.7511111111111113"/>
    <n v="225.06666666666666"/>
    <n v="8.1469444444444452"/>
    <n v="488.81666666666672"/>
    <n v="1"/>
    <n v="1.2729600694444445"/>
    <n v="2"/>
    <n v="1"/>
    <m/>
    <m/>
    <m/>
    <m/>
    <n v="115.41258938863299"/>
    <n v="328.79654569583948"/>
    <s v="Training"/>
  </r>
  <r>
    <d v="2022-05-12T00:00:00"/>
    <x v="2"/>
    <n v="5"/>
    <n v="5"/>
    <x v="19"/>
    <x v="2"/>
    <n v="198"/>
    <m/>
    <m/>
    <m/>
    <m/>
    <n v="23"/>
    <n v="0.95830000000000004"/>
    <n v="1"/>
    <d v="1899-12-30T00:00:23"/>
    <d v="1899-12-30T00:02:50"/>
    <d v="1899-12-30T00:02:01"/>
    <n v="0.75"/>
    <n v="1.086111111111111"/>
    <n v="65.166666666666657"/>
    <n v="9.3499999999999979"/>
    <n v="560.99999999999989"/>
    <n v="1"/>
    <n v="1.4609374999999998"/>
    <n v="2"/>
    <n v="1"/>
    <m/>
    <m/>
    <m/>
    <m/>
    <n v="102.7278430440404"/>
    <n v="326.50801753820031"/>
    <s v="Training"/>
  </r>
  <r>
    <d v="2022-05-13T00:00:00"/>
    <x v="3"/>
    <n v="6"/>
    <n v="5"/>
    <x v="19"/>
    <x v="2"/>
    <n v="464"/>
    <m/>
    <m/>
    <m/>
    <m/>
    <n v="92"/>
    <n v="0.8679"/>
    <n v="14"/>
    <d v="1899-12-30T00:00:44"/>
    <d v="1899-12-30T00:03:03"/>
    <d v="1899-12-30T00:05:04"/>
    <n v="0.45629999999999998"/>
    <n v="4.6766666666666667"/>
    <n v="280.60000000000002"/>
    <n v="23.586666666666666"/>
    <n v="1415.2"/>
    <n v="1"/>
    <n v="3.6854166666666668"/>
    <n v="2"/>
    <n v="1"/>
    <m/>
    <m/>
    <m/>
    <m/>
    <n v="100.6254746036529"/>
    <n v="309.18328228177188"/>
    <s v="Training"/>
  </r>
  <r>
    <d v="2022-05-14T00:00:00"/>
    <x v="4"/>
    <n v="7"/>
    <n v="5"/>
    <x v="19"/>
    <x v="2"/>
    <n v="302"/>
    <m/>
    <m/>
    <m/>
    <m/>
    <n v="50"/>
    <n v="0.96150000000000002"/>
    <n v="2"/>
    <d v="1899-12-30T00:00:11"/>
    <d v="1899-12-30T00:03:19"/>
    <d v="1899-12-30T00:01:24"/>
    <n v="0.88460000000000005"/>
    <n v="2.7638888888888888"/>
    <n v="165.83333333333334"/>
    <n v="16.693888888888889"/>
    <n v="1001.6333333333333"/>
    <n v="1"/>
    <n v="2.608420138888889"/>
    <n v="1"/>
    <n v="1"/>
    <m/>
    <m/>
    <m/>
    <m/>
    <n v="97.275554650209656"/>
    <n v="335.05045671257841"/>
    <s v="Training"/>
  </r>
  <r>
    <d v="2022-05-15T00:00:00"/>
    <x v="5"/>
    <n v="1"/>
    <n v="5"/>
    <x v="20"/>
    <x v="2"/>
    <n v="47"/>
    <m/>
    <m/>
    <m/>
    <m/>
    <n v="203"/>
    <n v="0.9103"/>
    <n v="20"/>
    <d v="1899-12-30T00:00:31"/>
    <d v="1899-12-30T00:03:18"/>
    <d v="1899-12-30T00:04:11"/>
    <n v="0.621"/>
    <n v="11.164999999999999"/>
    <n v="669.9"/>
    <n v="2.585"/>
    <n v="155.1"/>
    <n v="1.74"/>
    <n v="1"/>
    <n v="2"/>
    <n v="2"/>
    <m/>
    <m/>
    <m/>
    <m/>
    <n v="13.437834283373279"/>
    <n v="233.42850593856011"/>
    <s v="Training"/>
  </r>
  <r>
    <d v="2022-05-16T00:00:00"/>
    <x v="6"/>
    <n v="2"/>
    <n v="5"/>
    <x v="20"/>
    <x v="2"/>
    <n v="293"/>
    <m/>
    <m/>
    <m/>
    <m/>
    <n v="233"/>
    <n v="0.85040000000000004"/>
    <n v="41"/>
    <d v="1899-12-30T00:00:48"/>
    <d v="1899-12-30T00:03:27"/>
    <d v="1899-12-30T00:05:10"/>
    <n v="0.36059999999999998"/>
    <n v="13.397500000000001"/>
    <n v="803.85"/>
    <n v="16.847499999999997"/>
    <n v="1010.8499999999998"/>
    <n v="2.09"/>
    <n v="2.6324218749999995"/>
    <n v="2"/>
    <n v="3"/>
    <m/>
    <m/>
    <m/>
    <m/>
    <n v="111.4577372690292"/>
    <n v="341.05089361164079"/>
    <s v="Training"/>
  </r>
  <r>
    <d v="2022-05-17T00:00:00"/>
    <x v="0"/>
    <n v="3"/>
    <n v="5"/>
    <x v="20"/>
    <x v="2"/>
    <n v="245"/>
    <m/>
    <m/>
    <m/>
    <m/>
    <n v="263"/>
    <n v="0.93930000000000002"/>
    <n v="17"/>
    <d v="1899-12-30T00:00:23"/>
    <d v="1899-12-30T00:03:13"/>
    <d v="1899-12-30T00:03:50"/>
    <n v="0.6764"/>
    <n v="14.099722222222221"/>
    <n v="845.98333333333323"/>
    <n v="13.134722222222223"/>
    <n v="788.08333333333337"/>
    <n v="2.2000000000000002"/>
    <n v="2.0523003472222223"/>
    <n v="2"/>
    <n v="3"/>
    <m/>
    <m/>
    <m/>
    <m/>
    <n v="94.092586616889633"/>
    <n v="320.72776676920938"/>
    <s v="Training"/>
  </r>
  <r>
    <d v="2022-05-18T00:00:00"/>
    <x v="1"/>
    <n v="4"/>
    <n v="5"/>
    <x v="20"/>
    <x v="2"/>
    <n v="295"/>
    <m/>
    <m/>
    <m/>
    <m/>
    <n v="468"/>
    <n v="0.87639999999999996"/>
    <n v="66"/>
    <d v="1899-12-30T00:00:30"/>
    <d v="1899-12-30T00:02:46"/>
    <d v="1899-12-30T00:04:39"/>
    <n v="0.57469999999999999"/>
    <n v="21.58"/>
    <n v="1294.8"/>
    <n v="13.60277777777778"/>
    <n v="816.16666666666674"/>
    <n v="3.37"/>
    <n v="2.1254340277777781"/>
    <n v="2"/>
    <n v="4"/>
    <m/>
    <m/>
    <m/>
    <m/>
    <n v="108.5217630770874"/>
    <n v="324.75505256138678"/>
    <s v="Training"/>
  </r>
  <r>
    <d v="2022-05-19T00:00:00"/>
    <x v="2"/>
    <n v="5"/>
    <n v="5"/>
    <x v="20"/>
    <x v="2"/>
    <n v="205"/>
    <m/>
    <m/>
    <m/>
    <m/>
    <n v="300"/>
    <n v="0.95240000000000002"/>
    <n v="15"/>
    <d v="1899-12-30T00:00:24"/>
    <d v="1899-12-30T00:03:11"/>
    <d v="1899-12-30T00:02:50"/>
    <n v="0.70230000000000004"/>
    <n v="15.916666666666666"/>
    <n v="955"/>
    <n v="10.876388888888888"/>
    <n v="652.58333333333326"/>
    <n v="2.4900000000000002"/>
    <n v="1.6994357638888886"/>
    <n v="2"/>
    <n v="3"/>
    <m/>
    <m/>
    <m/>
    <m/>
    <n v="95.564950050117019"/>
    <n v="325.17030146437088"/>
    <s v="Training"/>
  </r>
  <r>
    <d v="2022-05-20T00:00:00"/>
    <x v="3"/>
    <n v="6"/>
    <n v="5"/>
    <x v="20"/>
    <x v="2"/>
    <n v="249"/>
    <m/>
    <m/>
    <m/>
    <m/>
    <n v="113"/>
    <n v="0.92620000000000002"/>
    <n v="9"/>
    <d v="1899-12-30T00:00:20"/>
    <d v="1899-12-30T00:02:58"/>
    <d v="1899-12-30T00:02:19"/>
    <n v="0.76670000000000005"/>
    <n v="5.5872222222222225"/>
    <n v="335.23333333333335"/>
    <n v="12.311666666666667"/>
    <n v="738.7"/>
    <n v="1"/>
    <n v="1.9236979166666668"/>
    <n v="2"/>
    <n v="1"/>
    <m/>
    <m/>
    <m/>
    <m/>
    <n v="102.0152227803209"/>
    <n v="317.86899242200252"/>
    <s v="Training"/>
  </r>
  <r>
    <d v="2022-05-21T00:00:00"/>
    <x v="4"/>
    <n v="7"/>
    <n v="5"/>
    <x v="20"/>
    <x v="2"/>
    <n v="236"/>
    <m/>
    <m/>
    <m/>
    <m/>
    <n v="60"/>
    <n v="0.95240000000000002"/>
    <n v="3"/>
    <d v="1899-12-30T00:00:21"/>
    <d v="1899-12-30T00:02:51"/>
    <d v="1899-12-30T00:02:52"/>
    <n v="0.7419"/>
    <n v="2.85"/>
    <n v="171"/>
    <n v="11.21"/>
    <n v="672.6"/>
    <n v="1"/>
    <n v="1.7515625000000001"/>
    <n v="1"/>
    <n v="1"/>
    <m/>
    <m/>
    <m/>
    <m/>
    <n v="100.5153114482104"/>
    <n v="327.1384306943807"/>
    <s v="Training"/>
  </r>
  <r>
    <d v="2022-05-22T00:00:00"/>
    <x v="5"/>
    <n v="1"/>
    <n v="5"/>
    <x v="21"/>
    <x v="2"/>
    <n v="39"/>
    <m/>
    <m/>
    <m/>
    <m/>
    <n v="368"/>
    <n v="0.91539999999999999"/>
    <n v="34"/>
    <d v="1899-12-30T00:00:32"/>
    <d v="1899-12-30T00:03:07"/>
    <d v="1899-12-30T00:03:06"/>
    <n v="0.54179999999999995"/>
    <n v="19.115555555555556"/>
    <n v="1146.9333333333334"/>
    <n v="2.0258333333333334"/>
    <n v="121.55"/>
    <n v="2.99"/>
    <n v="1"/>
    <n v="2"/>
    <n v="3"/>
    <m/>
    <m/>
    <m/>
    <m/>
    <n v="6.8282589879771578"/>
    <n v="231.55930884490331"/>
    <s v="Training"/>
  </r>
  <r>
    <d v="2022-05-23T00:00:00"/>
    <x v="6"/>
    <n v="2"/>
    <n v="5"/>
    <x v="21"/>
    <x v="2"/>
    <n v="208"/>
    <m/>
    <m/>
    <m/>
    <m/>
    <n v="370"/>
    <n v="0.89590000000000003"/>
    <n v="43"/>
    <d v="1899-12-30T00:00:29"/>
    <d v="1899-12-30T00:03:10"/>
    <d v="1899-12-30T00:03:22"/>
    <n v="0.58420000000000005"/>
    <n v="19.527777777777779"/>
    <n v="1171.6666666666667"/>
    <n v="10.977777777777778"/>
    <n v="658.66666666666663"/>
    <n v="3.05"/>
    <n v="1.7152777777777777"/>
    <n v="2"/>
    <n v="4"/>
    <m/>
    <m/>
    <m/>
    <m/>
    <n v="100.8540020360855"/>
    <n v="336.21052682566727"/>
    <s v="Training"/>
  </r>
  <r>
    <d v="2022-05-24T00:00:00"/>
    <x v="0"/>
    <n v="3"/>
    <n v="5"/>
    <x v="21"/>
    <x v="2"/>
    <n v="39"/>
    <m/>
    <m/>
    <m/>
    <m/>
    <n v="346"/>
    <n v="0.88949999999999996"/>
    <n v="43"/>
    <d v="1899-12-30T00:00:36"/>
    <d v="1899-12-30T00:03:21"/>
    <d v="1899-12-30T00:05:10"/>
    <n v="0.49869999999999998"/>
    <n v="19.318333333333332"/>
    <n v="1159.0999999999999"/>
    <n v="2.1774999999999998"/>
    <n v="130.64999999999998"/>
    <n v="3.02"/>
    <n v="1"/>
    <n v="2"/>
    <n v="4"/>
    <m/>
    <m/>
    <m/>
    <m/>
    <n v="95.329100079986674"/>
    <n v="317.10819463050223"/>
    <s v="Training"/>
  </r>
  <r>
    <d v="2022-05-25T00:00:00"/>
    <x v="1"/>
    <n v="4"/>
    <n v="5"/>
    <x v="21"/>
    <x v="2"/>
    <n v="115"/>
    <m/>
    <m/>
    <m/>
    <m/>
    <n v="308"/>
    <n v="0.62219999999999998"/>
    <n v="187"/>
    <d v="1899-12-30T00:01:31"/>
    <d v="1899-12-30T00:03:25"/>
    <d v="1899-12-30T00:16:35"/>
    <n v="0.18559999999999999"/>
    <n v="17.538888888888888"/>
    <n v="1052.3333333333333"/>
    <n v="6.5486111111111107"/>
    <n v="392.91666666666663"/>
    <n v="2.74"/>
    <n v="1.0232204861111109"/>
    <n v="2"/>
    <n v="3"/>
    <m/>
    <m/>
    <m/>
    <m/>
    <n v="108.6674940587433"/>
    <n v="326.36311637351099"/>
    <s v="Training"/>
  </r>
  <r>
    <d v="2022-05-26T00:00:00"/>
    <x v="2"/>
    <n v="5"/>
    <n v="5"/>
    <x v="21"/>
    <x v="2"/>
    <n v="338"/>
    <m/>
    <m/>
    <m/>
    <m/>
    <n v="340"/>
    <n v="0.47749999999999998"/>
    <n v="372"/>
    <d v="1899-12-30T00:02:00"/>
    <d v="1899-12-30T00:03:26"/>
    <d v="1899-12-30T00:16:25"/>
    <n v="0.1226"/>
    <n v="19.455555555555556"/>
    <n v="1167.3333333333333"/>
    <n v="19.341111111111111"/>
    <n v="1160.4666666666667"/>
    <n v="3.04"/>
    <n v="3.0220486111111113"/>
    <n v="2"/>
    <n v="4"/>
    <m/>
    <m/>
    <m/>
    <m/>
    <n v="99.521323567192169"/>
    <n v="322.66197133004403"/>
    <s v="Training"/>
  </r>
  <r>
    <d v="2022-05-27T00:00:00"/>
    <x v="3"/>
    <n v="6"/>
    <n v="5"/>
    <x v="21"/>
    <x v="2"/>
    <n v="404"/>
    <m/>
    <m/>
    <m/>
    <m/>
    <n v="602"/>
    <n v="0.56950000000000001"/>
    <n v="455"/>
    <d v="1899-12-30T00:01:44"/>
    <d v="1899-12-30T00:02:33"/>
    <d v="1899-12-30T00:12:24"/>
    <n v="0.1149"/>
    <n v="25.584999999999997"/>
    <n v="1535.1"/>
    <n v="17.169999999999998"/>
    <n v="1030.1999999999998"/>
    <n v="4"/>
    <n v="2.6828124999999994"/>
    <n v="2"/>
    <n v="4"/>
    <m/>
    <m/>
    <m/>
    <m/>
    <n v="89.94741457513409"/>
    <n v="307.53782627948033"/>
    <s v="Training"/>
  </r>
  <r>
    <d v="2022-05-28T00:00:00"/>
    <x v="4"/>
    <n v="7"/>
    <n v="5"/>
    <x v="21"/>
    <x v="2"/>
    <n v="436"/>
    <m/>
    <m/>
    <m/>
    <m/>
    <n v="321"/>
    <n v="0.51770000000000005"/>
    <n v="299"/>
    <d v="1899-12-30T00:02:42"/>
    <d v="1899-12-30T00:03:13"/>
    <d v="1899-12-30T00:16:34"/>
    <n v="0.1087"/>
    <n v="17.209166666666665"/>
    <n v="1032.55"/>
    <n v="23.374444444444446"/>
    <n v="1402.4666666666667"/>
    <n v="2.69"/>
    <n v="3.6522569444444444"/>
    <n v="1"/>
    <n v="3"/>
    <m/>
    <m/>
    <m/>
    <m/>
    <n v="99.014912611021416"/>
    <n v="316.97031795493501"/>
    <s v="Training"/>
  </r>
  <r>
    <d v="2022-05-29T00:00:00"/>
    <x v="5"/>
    <n v="1"/>
    <n v="5"/>
    <x v="22"/>
    <x v="2"/>
    <n v="73"/>
    <m/>
    <m/>
    <m/>
    <m/>
    <n v="871"/>
    <n v="0.55300000000000005"/>
    <n v="704"/>
    <d v="1899-12-30T00:01:32"/>
    <d v="1899-12-30T00:02:33"/>
    <d v="1899-12-30T00:22:45"/>
    <n v="0.13930000000000001"/>
    <n v="37.017499999999998"/>
    <n v="2221.0499999999997"/>
    <n v="3.1025"/>
    <n v="186.15"/>
    <n v="5.78"/>
    <n v="1"/>
    <n v="2"/>
    <n v="6"/>
    <m/>
    <m/>
    <m/>
    <m/>
    <n v="-2.7739438196785891"/>
    <n v="229.44027737361759"/>
    <s v="Training"/>
  </r>
  <r>
    <d v="2022-05-30T00:00:00"/>
    <x v="6"/>
    <n v="2"/>
    <n v="5"/>
    <x v="22"/>
    <x v="2"/>
    <n v="521"/>
    <m/>
    <m/>
    <m/>
    <m/>
    <n v="775"/>
    <n v="0.57450000000000001"/>
    <n v="574"/>
    <d v="1899-12-30T00:01:46"/>
    <d v="1899-12-30T00:03:10"/>
    <d v="1899-12-30T00:15:53"/>
    <n v="0.1216"/>
    <n v="40.902777777777779"/>
    <n v="2454.1666666666665"/>
    <n v="27.497222222222224"/>
    <n v="1649.8333333333335"/>
    <n v="6.39"/>
    <n v="4.2964409722222223"/>
    <n v="2"/>
    <n v="7"/>
    <m/>
    <m/>
    <m/>
    <m/>
    <n v="105.880739246175"/>
    <n v="326.27181533604499"/>
    <s v="Training"/>
  </r>
  <r>
    <d v="2022-06-01T00:00:00"/>
    <x v="0"/>
    <n v="4"/>
    <n v="6"/>
    <x v="22"/>
    <x v="2"/>
    <n v="136"/>
    <m/>
    <m/>
    <m/>
    <m/>
    <n v="454"/>
    <n v="0.45450000000000002"/>
    <n v="545"/>
    <d v="1899-12-30T00:02:48"/>
    <d v="1899-12-30T00:03:14"/>
    <d v="1899-12-30T00:13:24"/>
    <n v="4.07E-2"/>
    <n v="24.46555555555555"/>
    <n v="1467.9333333333329"/>
    <n v="7.3288888888888879"/>
    <n v="439.73333333333329"/>
    <n v="3.82"/>
    <n v="1.1451388888888887"/>
    <n v="2"/>
    <n v="4"/>
    <m/>
    <m/>
    <m/>
    <m/>
    <n v="104.6827636752575"/>
    <n v="320.53138634694261"/>
    <s v="Training"/>
  </r>
  <r>
    <d v="2022-06-02T00:00:00"/>
    <x v="1"/>
    <n v="5"/>
    <n v="6"/>
    <x v="22"/>
    <x v="2"/>
    <n v="48"/>
    <m/>
    <m/>
    <m/>
    <m/>
    <n v="547"/>
    <n v="0.56510000000000005"/>
    <n v="421"/>
    <d v="1899-12-30T00:02:26"/>
    <d v="1899-12-30T00:03:18"/>
    <d v="1899-12-30T00:14:13"/>
    <n v="0.1171"/>
    <n v="30.085000000000004"/>
    <n v="1805.1000000000004"/>
    <n v="2.64"/>
    <n v="158.4"/>
    <n v="4.7"/>
    <n v="1"/>
    <n v="2"/>
    <n v="5"/>
    <m/>
    <m/>
    <m/>
    <m/>
    <n v="91.146524445692933"/>
    <n v="325.92419126046741"/>
    <s v="Training"/>
  </r>
  <r>
    <d v="2022-06-03T00:00:00"/>
    <x v="2"/>
    <n v="6"/>
    <n v="6"/>
    <x v="22"/>
    <x v="2"/>
    <n v="137"/>
    <m/>
    <m/>
    <m/>
    <m/>
    <n v="453"/>
    <n v="0.42499999999999999"/>
    <n v="613"/>
    <d v="1899-12-30T00:05:04"/>
    <d v="1899-12-30T00:03:39"/>
    <d v="1899-12-30T00:22:37"/>
    <n v="2.24E-2"/>
    <n v="27.557500000000001"/>
    <n v="1653.45"/>
    <n v="8.3341666666666665"/>
    <n v="500.05"/>
    <n v="4.3099999999999996"/>
    <n v="1.3022135416666667"/>
    <n v="2"/>
    <n v="5"/>
    <m/>
    <m/>
    <m/>
    <m/>
    <n v="91.805896442283597"/>
    <n v="303.96969630038171"/>
    <s v="Training"/>
  </r>
  <r>
    <d v="2022-06-04T00:00:00"/>
    <x v="3"/>
    <n v="7"/>
    <n v="6"/>
    <x v="22"/>
    <x v="2"/>
    <n v="280"/>
    <m/>
    <m/>
    <m/>
    <m/>
    <n v="633"/>
    <n v="0.80330000000000001"/>
    <n v="155"/>
    <d v="1899-12-30T00:01:13"/>
    <d v="1899-12-30T00:03:23"/>
    <d v="1899-12-30T00:12:26"/>
    <n v="0.20880000000000001"/>
    <n v="35.694166666666668"/>
    <n v="2141.65"/>
    <n v="15.788888888888891"/>
    <n v="947.33333333333348"/>
    <n v="5.58"/>
    <n v="2.4670138888888893"/>
    <n v="2"/>
    <n v="6"/>
    <m/>
    <m/>
    <m/>
    <m/>
    <n v="94.959121105494404"/>
    <n v="316.47429711558237"/>
    <s v="Training"/>
  </r>
  <r>
    <d v="2022-06-05T00:00:00"/>
    <x v="4"/>
    <n v="1"/>
    <n v="6"/>
    <x v="23"/>
    <x v="2"/>
    <n v="428"/>
    <m/>
    <m/>
    <m/>
    <m/>
    <n v="213"/>
    <n v="0.84519999999999995"/>
    <n v="39"/>
    <d v="1899-12-30T00:00:53"/>
    <d v="1899-12-30T00:03:31"/>
    <d v="1899-12-30T00:08:17"/>
    <n v="0.44080000000000003"/>
    <n v="12.484166666666669"/>
    <n v="749.05000000000007"/>
    <n v="25.085555555555551"/>
    <n v="1505.133333333333"/>
    <n v="1.95"/>
    <n v="3.9196180555555546"/>
    <n v="1"/>
    <n v="2"/>
    <m/>
    <m/>
    <m/>
    <m/>
    <n v="12.27226808392966"/>
    <n v="227.12064919666631"/>
    <s v="Training"/>
  </r>
  <r>
    <d v="2022-06-06T00:00:00"/>
    <x v="5"/>
    <n v="2"/>
    <n v="6"/>
    <x v="23"/>
    <x v="2"/>
    <n v="498"/>
    <m/>
    <m/>
    <m/>
    <m/>
    <n v="625"/>
    <n v="0.74229999999999996"/>
    <n v="217"/>
    <d v="1899-12-30T00:01:11"/>
    <d v="1899-12-30T00:03:10"/>
    <d v="1899-12-30T00:14:28"/>
    <n v="0.26929999999999998"/>
    <n v="32.986111111111114"/>
    <n v="1979.166666666667"/>
    <n v="26.283333333333335"/>
    <n v="1577"/>
    <n v="5.15"/>
    <n v="4.106770833333333"/>
    <n v="2"/>
    <n v="6"/>
    <m/>
    <m/>
    <m/>
    <m/>
    <n v="110.15143784802819"/>
    <n v="329.54907064355592"/>
    <s v="Training"/>
  </r>
  <r>
    <d v="2022-06-08T00:00:00"/>
    <x v="6"/>
    <n v="4"/>
    <n v="6"/>
    <x v="23"/>
    <x v="2"/>
    <n v="241"/>
    <m/>
    <m/>
    <m/>
    <m/>
    <n v="722"/>
    <n v="0.85240000000000005"/>
    <n v="125"/>
    <d v="1899-12-30T00:00:54"/>
    <d v="1899-12-30T00:03:04"/>
    <d v="1899-12-30T00:08:05"/>
    <n v="0.33489999999999998"/>
    <n v="36.902222222222221"/>
    <n v="2214.1333333333332"/>
    <n v="12.317777777777778"/>
    <n v="739.06666666666661"/>
    <n v="5.77"/>
    <n v="1.9246527777777775"/>
    <n v="2"/>
    <n v="6"/>
    <m/>
    <m/>
    <m/>
    <m/>
    <n v="110.0622115563216"/>
    <n v="329.78353721398167"/>
    <s v="Training"/>
  </r>
  <r>
    <d v="2022-06-09T00:00:00"/>
    <x v="0"/>
    <n v="5"/>
    <n v="6"/>
    <x v="23"/>
    <x v="2"/>
    <n v="221"/>
    <m/>
    <m/>
    <m/>
    <m/>
    <n v="615"/>
    <n v="0.76880000000000004"/>
    <n v="185"/>
    <d v="1899-12-30T00:01:07"/>
    <d v="1899-12-30T00:03:25"/>
    <d v="1899-12-30T00:07:24"/>
    <n v="0.23980000000000001"/>
    <n v="35.020833333333336"/>
    <n v="2101.25"/>
    <n v="12.584722222222222"/>
    <n v="755.08333333333337"/>
    <n v="5.47"/>
    <n v="1.9663628472222223"/>
    <n v="2"/>
    <n v="6"/>
    <m/>
    <m/>
    <m/>
    <m/>
    <n v="104.59245334121719"/>
    <n v="326.84956091856372"/>
    <s v="Training"/>
  </r>
  <r>
    <d v="2022-06-10T00:00:00"/>
    <x v="1"/>
    <n v="6"/>
    <n v="6"/>
    <x v="23"/>
    <x v="2"/>
    <n v="153"/>
    <m/>
    <m/>
    <m/>
    <m/>
    <n v="823"/>
    <n v="0.74819999999999998"/>
    <n v="277"/>
    <d v="1899-12-30T00:01:08"/>
    <d v="1899-12-30T00:03:18"/>
    <d v="1899-12-30T00:15:31"/>
    <n v="0.29649999999999999"/>
    <n v="45.265000000000001"/>
    <n v="2715.9"/>
    <n v="8.4149999999999991"/>
    <n v="504.9"/>
    <n v="7.07"/>
    <n v="1.3148437499999999"/>
    <n v="2"/>
    <n v="8"/>
    <m/>
    <m/>
    <m/>
    <m/>
    <n v="90.036863933161371"/>
    <n v="318.19638387419081"/>
    <s v="Training"/>
  </r>
  <r>
    <d v="2022-06-11T00:00:00"/>
    <x v="2"/>
    <n v="7"/>
    <n v="6"/>
    <x v="23"/>
    <x v="2"/>
    <n v="13"/>
    <m/>
    <m/>
    <m/>
    <m/>
    <n v="909"/>
    <n v="0.7319"/>
    <n v="333"/>
    <d v="1899-12-30T00:01:23"/>
    <d v="1899-12-30T00:03:04"/>
    <d v="1899-12-30T00:11:11"/>
    <n v="0.19"/>
    <n v="46.460000000000008"/>
    <n v="2787.6000000000004"/>
    <n v="0.66444444444444439"/>
    <n v="39.86666666666666"/>
    <n v="7.26"/>
    <n v="1"/>
    <n v="2"/>
    <n v="8"/>
    <m/>
    <m/>
    <m/>
    <m/>
    <n v="109.5514708764422"/>
    <n v="327.16508770883598"/>
    <s v="Training"/>
  </r>
  <r>
    <d v="2022-06-12T00:00:00"/>
    <x v="3"/>
    <n v="1"/>
    <n v="6"/>
    <x v="24"/>
    <x v="2"/>
    <n v="189"/>
    <m/>
    <m/>
    <m/>
    <m/>
    <n v="460"/>
    <n v="0.62839999999999996"/>
    <n v="272"/>
    <d v="1899-12-30T00:01:31"/>
    <d v="1899-12-30T00:03:12"/>
    <d v="1899-12-30T00:10:29"/>
    <n v="0.1792"/>
    <n v="24.533333333333335"/>
    <n v="1472"/>
    <n v="10.08"/>
    <n v="604.79999999999995"/>
    <n v="3.83"/>
    <n v="1.575"/>
    <n v="2"/>
    <n v="4"/>
    <m/>
    <m/>
    <m/>
    <m/>
    <n v="14.781101109572189"/>
    <n v="236.2773820762722"/>
    <s v="Training"/>
  </r>
  <r>
    <d v="2022-06-13T00:00:00"/>
    <x v="4"/>
    <n v="2"/>
    <n v="6"/>
    <x v="24"/>
    <x v="2"/>
    <n v="266"/>
    <m/>
    <m/>
    <m/>
    <m/>
    <n v="104"/>
    <n v="0.92859999999999998"/>
    <n v="8"/>
    <d v="1899-12-30T00:00:34"/>
    <d v="1899-12-30T00:03:21"/>
    <d v="1899-12-30T00:04:13"/>
    <n v="0.56359999999999999"/>
    <n v="5.8066666666666666"/>
    <n v="348.4"/>
    <n v="14.851666666666665"/>
    <n v="891.09999999999991"/>
    <n v="1"/>
    <n v="2.3205729166666664"/>
    <n v="1"/>
    <n v="1"/>
    <m/>
    <m/>
    <m/>
    <m/>
    <n v="121.19274989033499"/>
    <n v="339.03525102664508"/>
    <s v="Training"/>
  </r>
  <r>
    <d v="2022-06-14T00:00:00"/>
    <x v="5"/>
    <n v="3"/>
    <n v="6"/>
    <x v="24"/>
    <x v="2"/>
    <n v="242"/>
    <m/>
    <m/>
    <m/>
    <m/>
    <n v="434"/>
    <n v="0.90039999999999998"/>
    <n v="48"/>
    <d v="1899-12-30T00:00:41"/>
    <d v="1899-12-30T00:03:01"/>
    <d v="1899-12-30T00:11:01"/>
    <n v="0.47439999999999999"/>
    <n v="21.820555555555554"/>
    <n v="1309.2333333333333"/>
    <n v="12.167222222222222"/>
    <n v="730.0333333333333"/>
    <n v="3.41"/>
    <n v="1.9011284722222221"/>
    <n v="2"/>
    <n v="4"/>
    <m/>
    <m/>
    <m/>
    <m/>
    <n v="111.4481556648648"/>
    <n v="323.8449091725077"/>
    <s v="Training"/>
  </r>
  <r>
    <d v="2022-06-15T00:00:00"/>
    <x v="6"/>
    <n v="4"/>
    <n v="6"/>
    <x v="24"/>
    <x v="2"/>
    <n v="241"/>
    <m/>
    <m/>
    <m/>
    <m/>
    <n v="484"/>
    <n v="0.84909999999999997"/>
    <n v="86"/>
    <d v="1899-12-30T00:00:51"/>
    <d v="1899-12-30T00:03:07"/>
    <d v="1899-12-30T00:11:48"/>
    <n v="0.36899999999999999"/>
    <n v="25.141111111111112"/>
    <n v="1508.4666666666667"/>
    <n v="12.518611111111111"/>
    <n v="751.11666666666667"/>
    <n v="3.93"/>
    <n v="1.9560329861111112"/>
    <n v="2"/>
    <n v="4"/>
    <m/>
    <m/>
    <m/>
    <m/>
    <n v="114.2837726854937"/>
    <n v="340.27886873207723"/>
    <s v="Training"/>
  </r>
  <r>
    <d v="2022-06-16T00:00:00"/>
    <x v="0"/>
    <n v="5"/>
    <n v="6"/>
    <x v="24"/>
    <x v="2"/>
    <n v="279"/>
    <m/>
    <m/>
    <m/>
    <m/>
    <n v="398"/>
    <n v="0.81220000000000003"/>
    <n v="92"/>
    <d v="1899-12-30T00:00:50"/>
    <d v="1899-12-30T00:03:17"/>
    <d v="1899-12-30T00:21:44"/>
    <n v="0.36099999999999999"/>
    <n v="21.779444444444444"/>
    <n v="1306.7666666666667"/>
    <n v="15.267500000000002"/>
    <n v="916.05000000000007"/>
    <n v="3.4"/>
    <n v="2.3855468750000002"/>
    <n v="2"/>
    <n v="4"/>
    <m/>
    <m/>
    <m/>
    <m/>
    <n v="113.95221714802101"/>
    <n v="329.6131302872792"/>
    <s v="Training"/>
  </r>
  <r>
    <d v="2022-06-17T00:00:00"/>
    <x v="1"/>
    <n v="6"/>
    <n v="6"/>
    <x v="24"/>
    <x v="2"/>
    <n v="73"/>
    <m/>
    <m/>
    <m/>
    <m/>
    <n v="311"/>
    <n v="0.67320000000000002"/>
    <n v="151"/>
    <d v="1899-12-30T00:01:11"/>
    <d v="1899-12-30T00:03:17"/>
    <d v="1899-12-30T00:08:50"/>
    <n v="0.26340000000000002"/>
    <n v="17.01861111111111"/>
    <n v="1021.1166666666666"/>
    <n v="3.9947222222222223"/>
    <n v="239.68333333333334"/>
    <n v="2.66"/>
    <n v="1"/>
    <n v="2"/>
    <n v="3"/>
    <m/>
    <m/>
    <m/>
    <m/>
    <n v="105.04676868538139"/>
    <n v="332.69994398649459"/>
    <s v="Training"/>
  </r>
  <r>
    <d v="2022-06-18T00:00:00"/>
    <x v="2"/>
    <n v="7"/>
    <n v="6"/>
    <x v="24"/>
    <x v="2"/>
    <n v="226"/>
    <m/>
    <m/>
    <m/>
    <m/>
    <n v="373"/>
    <n v="0.87150000000000005"/>
    <n v="55"/>
    <d v="1899-12-30T00:00:40"/>
    <d v="1899-12-30T00:02:58"/>
    <d v="1899-12-30T00:07:01"/>
    <n v="0.50600000000000001"/>
    <n v="18.442777777777778"/>
    <n v="1106.5666666666666"/>
    <n v="11.174444444444445"/>
    <n v="670.4666666666667"/>
    <n v="2.88"/>
    <n v="1.7460069444444446"/>
    <n v="2"/>
    <n v="3"/>
    <m/>
    <m/>
    <m/>
    <m/>
    <n v="113.0359906001438"/>
    <n v="330.19229849257363"/>
    <s v="Training"/>
  </r>
  <r>
    <d v="2022-06-19T00:00:00"/>
    <x v="3"/>
    <n v="1"/>
    <n v="6"/>
    <x v="25"/>
    <x v="2"/>
    <n v="43"/>
    <m/>
    <m/>
    <m/>
    <m/>
    <n v="312"/>
    <n v="0.79390000000000005"/>
    <n v="81"/>
    <d v="1899-12-30T00:01:02"/>
    <d v="1899-12-30T00:03:16"/>
    <d v="1899-12-30T00:08:16"/>
    <n v="0.314"/>
    <n v="16.986666666666668"/>
    <n v="1019.2"/>
    <n v="2.3411111111111111"/>
    <n v="140.46666666666667"/>
    <n v="2.65"/>
    <n v="1"/>
    <n v="2"/>
    <n v="3"/>
    <m/>
    <m/>
    <m/>
    <m/>
    <n v="24.958194043436158"/>
    <n v="252.90734029589521"/>
    <s v="Training"/>
  </r>
  <r>
    <d v="2022-06-20T00:00:00"/>
    <x v="4"/>
    <n v="2"/>
    <n v="6"/>
    <x v="25"/>
    <x v="2"/>
    <n v="311"/>
    <m/>
    <m/>
    <m/>
    <m/>
    <n v="50"/>
    <n v="0.86209999999999998"/>
    <n v="8"/>
    <d v="1899-12-30T00:00:29"/>
    <d v="1899-12-30T00:03:04"/>
    <d v="1899-12-30T00:03:06"/>
    <n v="0.6724"/>
    <n v="2.5555555555555554"/>
    <n v="153.33333333333331"/>
    <n v="15.895555555555555"/>
    <n v="953.73333333333335"/>
    <n v="1"/>
    <n v="2.4836805555555554"/>
    <n v="1"/>
    <n v="1"/>
    <m/>
    <m/>
    <m/>
    <m/>
    <n v="132.4019274932858"/>
    <n v="352.73188521756231"/>
    <s v="Training"/>
  </r>
  <r>
    <d v="2022-06-21T00:00:00"/>
    <x v="5"/>
    <n v="3"/>
    <n v="6"/>
    <x v="25"/>
    <x v="2"/>
    <n v="251"/>
    <m/>
    <m/>
    <m/>
    <m/>
    <n v="279"/>
    <n v="0.88290000000000002"/>
    <n v="37"/>
    <d v="1899-12-30T00:00:40"/>
    <d v="1899-12-30T00:02:58"/>
    <d v="1899-12-30T00:03:31"/>
    <n v="0.44159999999999999"/>
    <n v="13.795"/>
    <n v="827.7"/>
    <n v="12.410555555555558"/>
    <n v="744.63333333333344"/>
    <n v="2.16"/>
    <n v="1.9391493055555558"/>
    <n v="2"/>
    <n v="3"/>
    <m/>
    <m/>
    <m/>
    <m/>
    <n v="115.1096061247171"/>
    <n v="335.46052319935342"/>
    <s v="Training"/>
  </r>
  <r>
    <d v="2022-06-22T00:00:00"/>
    <x v="6"/>
    <n v="4"/>
    <n v="6"/>
    <x v="25"/>
    <x v="2"/>
    <n v="339"/>
    <m/>
    <m/>
    <m/>
    <m/>
    <n v="274"/>
    <n v="0.91949999999999998"/>
    <n v="24"/>
    <d v="1899-12-30T00:00:30"/>
    <d v="1899-12-30T00:02:59"/>
    <d v="1899-12-30T00:03:02"/>
    <n v="0.55779999999999996"/>
    <n v="13.62388888888889"/>
    <n v="817.43333333333339"/>
    <n v="16.855833333333333"/>
    <n v="1011.35"/>
    <n v="2.13"/>
    <n v="2.6337239583333334"/>
    <n v="2"/>
    <n v="3"/>
    <m/>
    <m/>
    <m/>
    <m/>
    <n v="128.908834090369"/>
    <n v="349.92080363071329"/>
    <s v="Training"/>
  </r>
  <r>
    <d v="2022-06-23T00:00:00"/>
    <x v="0"/>
    <n v="5"/>
    <n v="6"/>
    <x v="25"/>
    <x v="2"/>
    <n v="323"/>
    <m/>
    <m/>
    <m/>
    <m/>
    <n v="275"/>
    <n v="0.89290000000000003"/>
    <n v="33"/>
    <d v="1899-12-30T00:00:40"/>
    <d v="1899-12-30T00:02:56"/>
    <d v="1899-12-30T00:06:54"/>
    <n v="0.51629999999999998"/>
    <n v="13.444444444444443"/>
    <n v="806.66666666666652"/>
    <n v="15.791111111111109"/>
    <n v="947.46666666666647"/>
    <n v="2.1"/>
    <n v="2.4673611111111104"/>
    <n v="2"/>
    <n v="3"/>
    <m/>
    <m/>
    <m/>
    <m/>
    <n v="116.79224547608371"/>
    <n v="339.92955560448593"/>
    <s v="Training"/>
  </r>
  <r>
    <d v="2022-06-24T00:00:00"/>
    <x v="1"/>
    <n v="6"/>
    <n v="6"/>
    <x v="25"/>
    <x v="2"/>
    <n v="289"/>
    <m/>
    <m/>
    <m/>
    <m/>
    <n v="242"/>
    <n v="0.93440000000000001"/>
    <n v="17"/>
    <d v="1899-12-30T00:00:16"/>
    <d v="1899-12-30T00:02:54"/>
    <d v="1899-12-30T00:04:09"/>
    <n v="0.78259999999999996"/>
    <n v="11.696666666666667"/>
    <n v="701.80000000000007"/>
    <n v="13.968333333333332"/>
    <n v="838.09999999999991"/>
    <n v="1.83"/>
    <n v="2.1825520833333329"/>
    <n v="2"/>
    <n v="2"/>
    <m/>
    <m/>
    <m/>
    <m/>
    <n v="123.0758626180819"/>
    <n v="338.81288698938482"/>
    <s v="Training"/>
  </r>
  <r>
    <d v="2022-06-25T00:00:00"/>
    <x v="2"/>
    <n v="7"/>
    <n v="6"/>
    <x v="25"/>
    <x v="2"/>
    <n v="310"/>
    <m/>
    <m/>
    <m/>
    <m/>
    <n v="391"/>
    <n v="0.8427"/>
    <n v="73"/>
    <d v="1899-12-30T00:00:55"/>
    <d v="1899-12-30T00:03:31"/>
    <d v="1899-12-30T00:05:13"/>
    <n v="0.35449999999999998"/>
    <n v="22.916944444444443"/>
    <n v="1375.0166666666667"/>
    <n v="18.169444444444441"/>
    <n v="1090.1666666666665"/>
    <n v="3.58"/>
    <n v="2.8389756944444442"/>
    <n v="2"/>
    <n v="4"/>
    <m/>
    <m/>
    <m/>
    <m/>
    <n v="114.15888690859239"/>
    <n v="342.92827821100178"/>
    <s v="Training"/>
  </r>
  <r>
    <d v="2022-06-26T00:00:00"/>
    <x v="3"/>
    <n v="1"/>
    <n v="6"/>
    <x v="26"/>
    <x v="2"/>
    <n v="33"/>
    <m/>
    <m/>
    <m/>
    <m/>
    <n v="275"/>
    <n v="0.91059999999999997"/>
    <n v="27"/>
    <d v="1899-12-30T00:00:30"/>
    <d v="1899-12-30T00:03:02"/>
    <d v="1899-12-30T00:09:54"/>
    <n v="0.56040000000000001"/>
    <n v="13.902777777777775"/>
    <n v="834.16666666666652"/>
    <n v="1.6683333333333332"/>
    <n v="100.1"/>
    <n v="2.17"/>
    <n v="1"/>
    <n v="2"/>
    <n v="3"/>
    <m/>
    <m/>
    <m/>
    <m/>
    <n v="25.941046159722958"/>
    <n v="252.0074737185424"/>
    <s v="Training"/>
  </r>
  <r>
    <d v="2022-06-27T00:00:00"/>
    <x v="4"/>
    <n v="2"/>
    <n v="6"/>
    <x v="26"/>
    <x v="2"/>
    <n v="346"/>
    <m/>
    <m/>
    <m/>
    <m/>
    <n v="45"/>
    <n v="0.95740000000000003"/>
    <n v="2"/>
    <d v="1899-12-30T00:00:12"/>
    <d v="1899-12-30T00:02:41"/>
    <d v="1899-12-30T00:02:37"/>
    <n v="0.85109999999999997"/>
    <n v="2.0124999999999997"/>
    <n v="120.74999999999999"/>
    <n v="15.473888888888888"/>
    <n v="928.43333333333328"/>
    <n v="1"/>
    <n v="2.4177951388888888"/>
    <n v="1"/>
    <n v="1"/>
    <m/>
    <m/>
    <m/>
    <m/>
    <n v="141.8651437443333"/>
    <n v="359.58002736127997"/>
    <s v="Training"/>
  </r>
  <r>
    <d v="2022-06-28T00:00:00"/>
    <x v="5"/>
    <n v="3"/>
    <n v="6"/>
    <x v="26"/>
    <x v="2"/>
    <n v="325"/>
    <m/>
    <m/>
    <m/>
    <m/>
    <n v="279"/>
    <n v="0.95220000000000005"/>
    <n v="14"/>
    <d v="1899-12-30T00:00:22"/>
    <d v="1899-12-30T00:02:53"/>
    <d v="1899-12-30T00:02:57"/>
    <n v="0.67469999999999997"/>
    <n v="13.407499999999999"/>
    <n v="804.44999999999993"/>
    <n v="15.618055555555554"/>
    <n v="937.08333333333326"/>
    <n v="2.09"/>
    <n v="2.4403211805555554"/>
    <n v="2"/>
    <n v="3"/>
    <m/>
    <m/>
    <m/>
    <m/>
    <n v="123.5848341839388"/>
    <n v="341.98008871423758"/>
    <s v="Training"/>
  </r>
  <r>
    <d v="2022-07-01T00:00:00"/>
    <x v="6"/>
    <n v="6"/>
    <n v="7"/>
    <x v="26"/>
    <x v="2"/>
    <n v="225"/>
    <m/>
    <m/>
    <m/>
    <m/>
    <n v="225"/>
    <n v="0.91839999999999999"/>
    <n v="20"/>
    <d v="1899-12-30T00:00:18"/>
    <d v="1899-12-30T00:02:55"/>
    <d v="1899-12-30T00:04:11"/>
    <n v="0.73550000000000004"/>
    <n v="10.9375"/>
    <n v="656.25"/>
    <n v="10.9375"/>
    <n v="656.25"/>
    <n v="1.71"/>
    <n v="1.708984375"/>
    <n v="2"/>
    <n v="2"/>
    <m/>
    <m/>
    <m/>
    <m/>
    <n v="121.166311137375"/>
    <n v="340.1988023673469"/>
    <s v="Training"/>
  </r>
  <r>
    <d v="2022-07-02T00:00:00"/>
    <x v="0"/>
    <n v="7"/>
    <n v="7"/>
    <x v="26"/>
    <x v="2"/>
    <n v="375"/>
    <m/>
    <m/>
    <m/>
    <m/>
    <n v="227"/>
    <n v="0.76949999999999996"/>
    <n v="68"/>
    <d v="1899-12-30T00:00:48"/>
    <d v="1899-12-30T00:03:19"/>
    <d v="1899-12-30T00:05:42"/>
    <n v="0.44790000000000002"/>
    <n v="12.548055555555553"/>
    <n v="752.88333333333321"/>
    <n v="20.729166666666668"/>
    <n v="1243.75"/>
    <n v="1.96"/>
    <n v="3.2389322916666665"/>
    <n v="2"/>
    <n v="2"/>
    <m/>
    <m/>
    <m/>
    <m/>
    <n v="128.2699693212233"/>
    <n v="342.65880963754051"/>
    <s v="Training"/>
  </r>
  <r>
    <d v="2022-07-04T00:00:00"/>
    <x v="1"/>
    <n v="2"/>
    <n v="7"/>
    <x v="27"/>
    <x v="2"/>
    <n v="534"/>
    <m/>
    <m/>
    <m/>
    <m/>
    <n v="196"/>
    <n v="0.95609999999999995"/>
    <n v="9"/>
    <d v="1899-12-30T00:00:20"/>
    <d v="1899-12-30T00:03:06"/>
    <d v="1899-12-30T00:05:10"/>
    <n v="0.73660000000000003"/>
    <n v="10.126666666666667"/>
    <n v="607.6"/>
    <n v="27.59"/>
    <n v="1655.4"/>
    <n v="1.58"/>
    <n v="4.3109375000000005"/>
    <n v="2"/>
    <n v="2"/>
    <m/>
    <m/>
    <m/>
    <m/>
    <n v="137.21286351238521"/>
    <n v="359.90996511750558"/>
    <s v="Training"/>
  </r>
  <r>
    <d v="2022-07-05T00:00:00"/>
    <x v="2"/>
    <n v="3"/>
    <n v="7"/>
    <x v="27"/>
    <x v="2"/>
    <n v="393"/>
    <m/>
    <m/>
    <m/>
    <m/>
    <n v="215"/>
    <n v="0.86350000000000005"/>
    <n v="34"/>
    <d v="1899-12-30T00:00:40"/>
    <d v="1899-12-30T00:02:58"/>
    <d v="1899-12-30T00:24:51"/>
    <n v="0.46089999999999998"/>
    <n v="10.630555555555556"/>
    <n v="637.83333333333337"/>
    <n v="19.431666666666668"/>
    <n v="1165.9000000000001"/>
    <n v="1.66"/>
    <n v="3.0361979166666671"/>
    <n v="2"/>
    <n v="2"/>
    <m/>
    <m/>
    <m/>
    <m/>
    <n v="118.71954457874629"/>
    <n v="338.35975041495811"/>
    <s v="Training"/>
  </r>
  <r>
    <d v="2022-07-06T00:00:00"/>
    <x v="3"/>
    <n v="4"/>
    <n v="7"/>
    <x v="27"/>
    <x v="2"/>
    <n v="358"/>
    <m/>
    <m/>
    <m/>
    <m/>
    <n v="213"/>
    <n v="0.90249999999999997"/>
    <n v="23"/>
    <d v="1899-12-30T00:00:26"/>
    <d v="1899-12-30T00:03:14"/>
    <d v="1899-12-30T00:03:54"/>
    <n v="0.63360000000000005"/>
    <n v="11.478333333333333"/>
    <n v="688.7"/>
    <n v="19.292222222222218"/>
    <n v="1157.5333333333331"/>
    <n v="1.79"/>
    <n v="3.0144097222222217"/>
    <n v="2"/>
    <n v="2"/>
    <m/>
    <m/>
    <m/>
    <m/>
    <n v="134.8311442463602"/>
    <n v="347.83996781283258"/>
    <s v="Training"/>
  </r>
  <r>
    <d v="2022-07-07T00:00:00"/>
    <x v="4"/>
    <n v="5"/>
    <n v="7"/>
    <x v="27"/>
    <x v="2"/>
    <n v="343"/>
    <m/>
    <m/>
    <m/>
    <m/>
    <n v="39"/>
    <n v="1"/>
    <n v="0"/>
    <d v="1899-12-30T00:00:14"/>
    <d v="1899-12-30T00:02:30"/>
    <d v="1899-12-30T00:02:27"/>
    <n v="0.87180000000000002"/>
    <n v="1.625"/>
    <n v="97.5"/>
    <n v="14.291666666666664"/>
    <n v="857.49999999999989"/>
    <n v="1"/>
    <n v="2.2330729166666665"/>
    <n v="1"/>
    <n v="1"/>
    <m/>
    <m/>
    <m/>
    <m/>
    <n v="140.4788145289115"/>
    <n v="343.21788820692569"/>
    <s v="Training"/>
  </r>
  <r>
    <d v="2022-07-08T00:00:00"/>
    <x v="5"/>
    <n v="6"/>
    <n v="7"/>
    <x v="27"/>
    <x v="2"/>
    <n v="14"/>
    <m/>
    <m/>
    <m/>
    <m/>
    <n v="194"/>
    <n v="0.93269999999999997"/>
    <n v="14"/>
    <d v="1899-12-30T00:00:17"/>
    <d v="1899-12-30T00:02:54"/>
    <d v="1899-12-30T00:02:59"/>
    <n v="0.76959999999999995"/>
    <n v="9.3766666666666669"/>
    <n v="562.6"/>
    <n v="0.67666666666666664"/>
    <n v="40.6"/>
    <n v="1.47"/>
    <n v="1"/>
    <n v="2"/>
    <n v="2"/>
    <m/>
    <m/>
    <m/>
    <m/>
    <n v="116.67797243082521"/>
    <n v="330.10189304798968"/>
    <s v="Training"/>
  </r>
  <r>
    <d v="2022-07-09T00:00:00"/>
    <x v="6"/>
    <n v="7"/>
    <n v="7"/>
    <x v="27"/>
    <x v="2"/>
    <n v="202"/>
    <m/>
    <m/>
    <m/>
    <m/>
    <n v="38"/>
    <n v="0.97440000000000004"/>
    <n v="1"/>
    <d v="1899-12-30T00:00:04"/>
    <d v="1899-12-30T00:02:21"/>
    <d v="1899-12-30T00:01:02"/>
    <n v="0.94869999999999999"/>
    <n v="1.4883333333333335"/>
    <n v="89.300000000000011"/>
    <n v="7.9116666666666671"/>
    <n v="474.70000000000005"/>
    <n v="1"/>
    <n v="1.2361979166666668"/>
    <n v="2"/>
    <n v="1"/>
    <m/>
    <m/>
    <m/>
    <m/>
    <n v="127.6659835067816"/>
    <n v="339.82481794994197"/>
    <s v="Training"/>
  </r>
  <r>
    <d v="2022-07-10T00:00:00"/>
    <x v="0"/>
    <n v="1"/>
    <n v="7"/>
    <x v="28"/>
    <x v="2"/>
    <n v="183"/>
    <m/>
    <m/>
    <m/>
    <m/>
    <n v="110"/>
    <n v="0.95650000000000002"/>
    <n v="5"/>
    <d v="1899-12-30T00:00:08"/>
    <d v="1899-12-30T00:02:46"/>
    <d v="1899-12-30T00:04:12"/>
    <n v="0.90429999999999999"/>
    <n v="5.072222222222222"/>
    <n v="304.33333333333331"/>
    <n v="8.4383333333333326"/>
    <n v="506.29999999999995"/>
    <n v="1"/>
    <n v="1.3184895833333332"/>
    <n v="2"/>
    <n v="1"/>
    <m/>
    <m/>
    <m/>
    <m/>
    <n v="39.71059639044276"/>
    <n v="259.19537352383742"/>
    <s v="Training"/>
  </r>
  <r>
    <d v="2022-07-11T00:00:00"/>
    <x v="1"/>
    <n v="2"/>
    <n v="7"/>
    <x v="28"/>
    <x v="2"/>
    <n v="161"/>
    <m/>
    <m/>
    <m/>
    <m/>
    <n v="308"/>
    <n v="0.91120000000000001"/>
    <n v="30"/>
    <d v="1899-12-30T00:00:27"/>
    <d v="1899-12-30T00:02:50"/>
    <d v="1899-12-30T00:04:11"/>
    <n v="0.63100000000000001"/>
    <n v="14.544444444444444"/>
    <n v="872.66666666666663"/>
    <n v="7.602777777777777"/>
    <n v="456.16666666666663"/>
    <n v="2.27"/>
    <n v="1.1879340277777777"/>
    <n v="2"/>
    <n v="3"/>
    <m/>
    <m/>
    <m/>
    <m/>
    <n v="142.41315189659329"/>
    <n v="359.79602788918351"/>
    <s v="Training"/>
  </r>
  <r>
    <d v="2022-07-12T00:00:00"/>
    <x v="2"/>
    <n v="3"/>
    <n v="7"/>
    <x v="28"/>
    <x v="2"/>
    <n v="229"/>
    <m/>
    <m/>
    <m/>
    <m/>
    <n v="320"/>
    <n v="0.79210000000000003"/>
    <n v="84"/>
    <d v="1899-12-30T00:00:45"/>
    <d v="1899-12-30T00:02:58"/>
    <d v="1899-12-30T00:11:53"/>
    <n v="0.51390000000000002"/>
    <n v="15.822222222222225"/>
    <n v="949.33333333333348"/>
    <n v="11.32277777777778"/>
    <n v="679.36666666666679"/>
    <n v="2.4700000000000002"/>
    <n v="1.7691840277777782"/>
    <n v="2"/>
    <n v="3"/>
    <m/>
    <m/>
    <m/>
    <m/>
    <n v="112.3611049154327"/>
    <n v="341.06339731026151"/>
    <s v="Training"/>
  </r>
  <r>
    <d v="2022-07-13T00:00:00"/>
    <x v="3"/>
    <n v="4"/>
    <n v="7"/>
    <x v="28"/>
    <x v="2"/>
    <n v="258"/>
    <m/>
    <m/>
    <m/>
    <m/>
    <n v="393"/>
    <n v="0.90139999999999998"/>
    <n v="43"/>
    <d v="1899-12-30T00:00:26"/>
    <d v="1899-12-30T00:02:51"/>
    <d v="1899-12-30T00:06:13"/>
    <n v="0.65259999999999996"/>
    <n v="18.6675"/>
    <n v="1120.05"/>
    <n v="12.255000000000001"/>
    <n v="735.30000000000007"/>
    <n v="2.92"/>
    <n v="1.9148437500000002"/>
    <n v="2"/>
    <n v="3"/>
    <m/>
    <m/>
    <m/>
    <m/>
    <n v="127.0829627149964"/>
    <n v="349.83106038126459"/>
    <s v="Training"/>
  </r>
  <r>
    <d v="2022-07-14T00:00:00"/>
    <x v="4"/>
    <n v="5"/>
    <n v="7"/>
    <x v="28"/>
    <x v="2"/>
    <n v="282"/>
    <m/>
    <m/>
    <m/>
    <m/>
    <n v="72"/>
    <n v="0.98629999999999995"/>
    <n v="1"/>
    <d v="1899-12-30T00:00:07"/>
    <d v="1899-12-30T00:02:46"/>
    <d v="1899-12-30T00:01:43"/>
    <n v="0.93149999999999999"/>
    <n v="3.32"/>
    <n v="199.2"/>
    <n v="13.003333333333334"/>
    <n v="780.2"/>
    <n v="1"/>
    <n v="2.0317708333333333"/>
    <n v="1"/>
    <n v="1"/>
    <m/>
    <m/>
    <m/>
    <m/>
    <n v="129.77429081084841"/>
    <n v="345.5315360284178"/>
    <s v="Training"/>
  </r>
  <r>
    <d v="2022-07-15T00:00:00"/>
    <x v="5"/>
    <n v="6"/>
    <n v="7"/>
    <x v="28"/>
    <x v="2"/>
    <n v="253"/>
    <m/>
    <m/>
    <m/>
    <m/>
    <n v="492"/>
    <n v="0.94430000000000003"/>
    <n v="29"/>
    <d v="1899-12-30T00:00:17"/>
    <d v="1899-12-30T00:02:45"/>
    <d v="1899-12-30T00:03:23"/>
    <n v="0.78939999999999999"/>
    <n v="22.55"/>
    <n v="1353"/>
    <n v="11.595833333333333"/>
    <n v="695.75"/>
    <n v="3.52"/>
    <n v="1.8118489583333333"/>
    <n v="2"/>
    <n v="4"/>
    <m/>
    <m/>
    <m/>
    <m/>
    <n v="110.75937145200049"/>
    <n v="341.45654620497822"/>
    <s v="Training"/>
  </r>
  <r>
    <d v="2022-07-16T00:00:00"/>
    <x v="6"/>
    <n v="7"/>
    <n v="7"/>
    <x v="28"/>
    <x v="2"/>
    <n v="266"/>
    <m/>
    <m/>
    <m/>
    <m/>
    <n v="564"/>
    <n v="0.87039999999999995"/>
    <n v="84"/>
    <d v="1899-12-30T00:00:27"/>
    <d v="1899-12-30T00:02:46"/>
    <d v="1899-12-30T00:05:25"/>
    <n v="0.61360000000000003"/>
    <n v="26.006666666666668"/>
    <n v="1560.4"/>
    <n v="12.265555555555556"/>
    <n v="735.93333333333339"/>
    <n v="4.0599999999999996"/>
    <n v="1.9164930555555557"/>
    <n v="2"/>
    <n v="5"/>
    <m/>
    <m/>
    <m/>
    <m/>
    <n v="117.28736664143111"/>
    <n v="346.18286112837347"/>
    <s v="Training"/>
  </r>
  <r>
    <d v="2022-07-17T00:00:00"/>
    <x v="0"/>
    <n v="1"/>
    <n v="7"/>
    <x v="29"/>
    <x v="2"/>
    <n v="30"/>
    <m/>
    <m/>
    <m/>
    <m/>
    <n v="592"/>
    <n v="0.81210000000000004"/>
    <n v="137"/>
    <d v="1899-12-30T00:00:55"/>
    <d v="1899-12-30T00:02:53"/>
    <d v="1899-12-30T00:07:29"/>
    <n v="0.35830000000000001"/>
    <n v="28.448888888888888"/>
    <n v="1706.9333333333334"/>
    <n v="1.4416666666666667"/>
    <n v="86.5"/>
    <n v="4.45"/>
    <n v="1"/>
    <n v="2"/>
    <n v="5"/>
    <m/>
    <m/>
    <m/>
    <m/>
    <n v="32.154750912173057"/>
    <n v="253.40524445765541"/>
    <s v="Training"/>
  </r>
  <r>
    <d v="2022-07-18T00:00:00"/>
    <x v="1"/>
    <n v="2"/>
    <n v="7"/>
    <x v="29"/>
    <x v="2"/>
    <n v="258"/>
    <m/>
    <m/>
    <m/>
    <m/>
    <n v="718"/>
    <n v="0.60029999999999994"/>
    <n v="478"/>
    <d v="1899-12-30T00:01:52"/>
    <d v="1899-12-30T00:03:09"/>
    <d v="1899-12-30T00:11:06"/>
    <n v="0.1462"/>
    <n v="37.695"/>
    <n v="2261.6999999999998"/>
    <n v="13.545000000000002"/>
    <n v="812.7"/>
    <n v="5.89"/>
    <n v="2.1164062500000003"/>
    <n v="2"/>
    <n v="6"/>
    <m/>
    <m/>
    <m/>
    <m/>
    <n v="124.17004185532249"/>
    <n v="354.86291075246652"/>
    <s v="Training"/>
  </r>
  <r>
    <d v="2022-07-19T00:00:00"/>
    <x v="2"/>
    <n v="3"/>
    <n v="7"/>
    <x v="29"/>
    <x v="2"/>
    <n v="293"/>
    <m/>
    <m/>
    <m/>
    <m/>
    <n v="323"/>
    <n v="0.74080000000000001"/>
    <n v="113"/>
    <d v="1899-12-30T00:00:44"/>
    <d v="1899-12-30T00:03:02"/>
    <d v="1899-12-30T00:06:12"/>
    <n v="0.4375"/>
    <n v="16.329444444444444"/>
    <n v="979.76666666666665"/>
    <n v="14.812777777777777"/>
    <n v="888.76666666666665"/>
    <n v="2.5499999999999998"/>
    <n v="2.3144965277777776"/>
    <n v="2"/>
    <n v="3"/>
    <m/>
    <m/>
    <m/>
    <m/>
    <n v="118.1911835107426"/>
    <n v="327.14459201855192"/>
    <s v="Training"/>
  </r>
  <r>
    <d v="2022-07-20T00:00:00"/>
    <x v="3"/>
    <n v="4"/>
    <n v="7"/>
    <x v="29"/>
    <x v="2"/>
    <n v="377"/>
    <m/>
    <m/>
    <m/>
    <m/>
    <n v="178"/>
    <n v="0.93189999999999995"/>
    <n v="13"/>
    <d v="1899-12-30T00:00:16"/>
    <d v="1899-12-30T00:02:51"/>
    <d v="1899-12-30T00:04:08"/>
    <n v="0.80530000000000002"/>
    <n v="8.4550000000000001"/>
    <n v="507.3"/>
    <n v="17.907500000000002"/>
    <n v="1074.45"/>
    <n v="1.32"/>
    <n v="2.7980468750000003"/>
    <n v="2"/>
    <n v="2"/>
    <m/>
    <m/>
    <m/>
    <m/>
    <n v="123.7946104284984"/>
    <n v="345.8597323151933"/>
    <s v="Training"/>
  </r>
  <r>
    <d v="2022-07-21T00:00:00"/>
    <x v="4"/>
    <n v="5"/>
    <n v="7"/>
    <x v="29"/>
    <x v="2"/>
    <n v="196"/>
    <m/>
    <m/>
    <m/>
    <m/>
    <n v="68"/>
    <n v="1"/>
    <n v="0"/>
    <d v="1899-12-30T00:00:05"/>
    <d v="1899-12-30T00:02:56"/>
    <d v="1899-12-30T00:01:39"/>
    <n v="0.98529999999999995"/>
    <n v="3.3244444444444445"/>
    <n v="199.46666666666667"/>
    <n v="9.5822222222222209"/>
    <n v="574.93333333333328"/>
    <n v="1"/>
    <n v="1.497222222222222"/>
    <n v="1"/>
    <n v="1"/>
    <m/>
    <m/>
    <m/>
    <m/>
    <n v="122.8704619761956"/>
    <n v="346.26071337703178"/>
    <s v="Training"/>
  </r>
  <r>
    <d v="2022-07-22T00:00:00"/>
    <x v="5"/>
    <n v="6"/>
    <n v="7"/>
    <x v="29"/>
    <x v="2"/>
    <n v="192"/>
    <m/>
    <m/>
    <m/>
    <m/>
    <n v="429"/>
    <n v="0.86140000000000005"/>
    <n v="69"/>
    <d v="1899-12-30T00:00:34"/>
    <d v="1899-12-30T00:03:09"/>
    <d v="1899-12-30T00:04:12"/>
    <n v="0.5071"/>
    <n v="22.522500000000001"/>
    <n v="1351.3500000000001"/>
    <n v="10.08"/>
    <n v="604.79999999999995"/>
    <n v="3.52"/>
    <n v="1.575"/>
    <n v="2"/>
    <n v="4"/>
    <m/>
    <m/>
    <m/>
    <m/>
    <n v="102.74004665810349"/>
    <n v="327.61664664137692"/>
    <s v="Training"/>
  </r>
  <r>
    <d v="2022-07-23T00:00:00"/>
    <x v="6"/>
    <n v="7"/>
    <n v="7"/>
    <x v="29"/>
    <x v="2"/>
    <n v="185"/>
    <m/>
    <m/>
    <m/>
    <m/>
    <n v="329"/>
    <n v="0.91900000000000004"/>
    <n v="29"/>
    <d v="1899-12-30T00:00:21"/>
    <d v="1899-12-30T00:03:03"/>
    <d v="1899-12-30T00:02:15"/>
    <n v="0.66949999999999998"/>
    <n v="16.724166666666665"/>
    <n v="1003.4499999999999"/>
    <n v="9.4041666666666668"/>
    <n v="564.25"/>
    <n v="2.61"/>
    <n v="1.4694010416666667"/>
    <n v="2"/>
    <n v="3"/>
    <m/>
    <m/>
    <m/>
    <m/>
    <n v="120.56137401893039"/>
    <n v="331.16929513150228"/>
    <s v="Training"/>
  </r>
  <r>
    <d v="2022-07-24T00:00:00"/>
    <x v="0"/>
    <n v="1"/>
    <n v="7"/>
    <x v="30"/>
    <x v="2"/>
    <n v="27"/>
    <m/>
    <m/>
    <m/>
    <m/>
    <n v="302"/>
    <n v="0.88819999999999999"/>
    <n v="38"/>
    <d v="1899-12-30T00:00:24"/>
    <d v="1899-12-30T00:02:50"/>
    <d v="1899-12-30T00:05:10"/>
    <n v="0.65669999999999995"/>
    <n v="14.261111111111109"/>
    <n v="855.66666666666652"/>
    <n v="1.2749999999999997"/>
    <n v="76.499999999999986"/>
    <n v="2.23"/>
    <n v="1"/>
    <n v="2"/>
    <n v="3"/>
    <m/>
    <m/>
    <m/>
    <m/>
    <n v="27.33981202576377"/>
    <n v="248.1212873441562"/>
    <s v="Training"/>
  </r>
  <r>
    <d v="2022-07-25T00:00:00"/>
    <x v="1"/>
    <n v="2"/>
    <n v="7"/>
    <x v="30"/>
    <x v="2"/>
    <n v="222"/>
    <m/>
    <m/>
    <m/>
    <m/>
    <n v="306"/>
    <n v="0.95030000000000003"/>
    <n v="16"/>
    <d v="1899-12-30T00:00:16"/>
    <d v="1899-12-30T00:02:39"/>
    <d v="1899-12-30T00:06:17"/>
    <n v="0.77739999999999998"/>
    <n v="13.515000000000001"/>
    <n v="810.90000000000009"/>
    <n v="9.8049999999999997"/>
    <n v="588.29999999999995"/>
    <n v="2.11"/>
    <n v="1.53203125"/>
    <n v="2"/>
    <n v="3"/>
    <m/>
    <m/>
    <m/>
    <m/>
    <n v="135.4843710168102"/>
    <n v="350.90594054106748"/>
    <s v="Training"/>
  </r>
  <r>
    <d v="2022-07-26T00:00:00"/>
    <x v="2"/>
    <n v="3"/>
    <n v="7"/>
    <x v="30"/>
    <x v="2"/>
    <n v="217"/>
    <m/>
    <m/>
    <m/>
    <m/>
    <n v="282"/>
    <n v="0.95269999999999999"/>
    <n v="14"/>
    <d v="1899-12-30T00:00:18"/>
    <d v="1899-12-30T00:02:37"/>
    <d v="1899-12-30T00:02:45"/>
    <n v="0.76529999999999998"/>
    <n v="12.298333333333336"/>
    <n v="737.90000000000009"/>
    <n v="9.4636111111111116"/>
    <n v="567.81666666666672"/>
    <n v="1.92"/>
    <n v="1.4786892361111112"/>
    <n v="2"/>
    <n v="2"/>
    <m/>
    <m/>
    <m/>
    <m/>
    <n v="106.5372463668035"/>
    <n v="324.66675163228479"/>
    <s v="Training"/>
  </r>
  <r>
    <d v="2022-07-27T00:00:00"/>
    <x v="3"/>
    <n v="4"/>
    <n v="7"/>
    <x v="30"/>
    <x v="2"/>
    <n v="204"/>
    <m/>
    <m/>
    <m/>
    <m/>
    <n v="234"/>
    <n v="0.88639999999999997"/>
    <n v="30"/>
    <d v="1899-12-30T00:00:20"/>
    <d v="1899-12-30T00:02:34"/>
    <d v="1899-12-30T00:04:54"/>
    <n v="0.69879999999999998"/>
    <n v="10.01"/>
    <n v="600.6"/>
    <n v="8.7266666666666666"/>
    <n v="523.6"/>
    <n v="1.56"/>
    <n v="1.3635416666666667"/>
    <n v="2"/>
    <n v="2"/>
    <m/>
    <m/>
    <m/>
    <m/>
    <n v="120.4900059872059"/>
    <n v="344.33916698177012"/>
    <s v="Training"/>
  </r>
  <r>
    <d v="2022-07-28T00:00:00"/>
    <x v="4"/>
    <n v="5"/>
    <n v="7"/>
    <x v="30"/>
    <x v="2"/>
    <n v="191"/>
    <m/>
    <m/>
    <m/>
    <m/>
    <n v="51"/>
    <n v="0.98080000000000001"/>
    <n v="1"/>
    <d v="1899-12-30T00:00:06"/>
    <d v="1899-12-30T00:02:36"/>
    <d v="1899-12-30T00:01:05"/>
    <n v="0.94120000000000004"/>
    <n v="2.21"/>
    <n v="132.6"/>
    <n v="8.2766666666666673"/>
    <n v="496.6"/>
    <n v="1"/>
    <n v="1.2932291666666667"/>
    <n v="1"/>
    <n v="1"/>
    <m/>
    <m/>
    <m/>
    <m/>
    <n v="114.6075526471043"/>
    <n v="332.725576278576"/>
    <s v="Training"/>
  </r>
  <r>
    <d v="2022-07-29T00:00:00"/>
    <x v="5"/>
    <n v="6"/>
    <n v="7"/>
    <x v="30"/>
    <x v="2"/>
    <n v="176"/>
    <m/>
    <m/>
    <m/>
    <m/>
    <n v="264"/>
    <n v="0.99250000000000005"/>
    <n v="2"/>
    <d v="1899-12-30T00:00:09"/>
    <d v="1899-12-30T00:02:39"/>
    <d v="1899-12-30T00:02:01"/>
    <n v="0.90980000000000005"/>
    <n v="11.66"/>
    <n v="699.6"/>
    <n v="7.7733333333333334"/>
    <n v="466.4"/>
    <n v="1.82"/>
    <n v="1.2145833333333333"/>
    <n v="2"/>
    <n v="2"/>
    <m/>
    <m/>
    <m/>
    <m/>
    <n v="100.2433422901459"/>
    <n v="329.34623524343948"/>
    <s v="Training"/>
  </r>
  <r>
    <d v="2022-07-30T00:00:00"/>
    <x v="6"/>
    <n v="7"/>
    <n v="7"/>
    <x v="30"/>
    <x v="2"/>
    <n v="176"/>
    <m/>
    <m/>
    <m/>
    <m/>
    <n v="238"/>
    <n v="0.98350000000000004"/>
    <n v="4"/>
    <d v="1899-12-30T00:00:09"/>
    <d v="1899-12-30T00:02:45"/>
    <d v="1899-12-30T00:02:30"/>
    <n v="0.90459999999999996"/>
    <n v="10.908333333333333"/>
    <n v="654.5"/>
    <n v="8.0666666666666664"/>
    <n v="484"/>
    <n v="1.7"/>
    <n v="1.2604166666666667"/>
    <n v="2"/>
    <n v="2"/>
    <m/>
    <m/>
    <m/>
    <m/>
    <n v="103.2326543669942"/>
    <n v="330.67375337735513"/>
    <s v="Training"/>
  </r>
  <r>
    <d v="2022-07-31T00:00:00"/>
    <x v="0"/>
    <n v="1"/>
    <n v="7"/>
    <x v="31"/>
    <x v="2"/>
    <n v="26"/>
    <m/>
    <m/>
    <m/>
    <m/>
    <n v="228"/>
    <n v="0.94610000000000005"/>
    <n v="13"/>
    <d v="1899-12-30T00:00:19"/>
    <d v="1899-12-30T00:02:48"/>
    <d v="1899-12-30T00:06:08"/>
    <n v="0.79579999999999995"/>
    <n v="10.64"/>
    <n v="638.40000000000009"/>
    <n v="1.2133333333333334"/>
    <n v="72.8"/>
    <n v="1.66"/>
    <n v="1"/>
    <n v="2"/>
    <n v="2"/>
    <m/>
    <m/>
    <m/>
    <m/>
    <n v="20.679302677485939"/>
    <n v="233.70229201399621"/>
    <s v="Training"/>
  </r>
  <r>
    <d v="2022-08-01T00:00:00"/>
    <x v="1"/>
    <n v="2"/>
    <n v="8"/>
    <x v="31"/>
    <x v="2"/>
    <n v="167"/>
    <m/>
    <m/>
    <m/>
    <m/>
    <n v="269"/>
    <n v="0.96419999999999995"/>
    <n v="10"/>
    <d v="1899-12-30T00:00:08"/>
    <d v="1899-12-30T00:02:43"/>
    <d v="1899-12-30T00:03:07"/>
    <n v="0.91300000000000003"/>
    <n v="12.179722222222223"/>
    <n v="730.78333333333342"/>
    <n v="7.5613888888888887"/>
    <n v="453.68333333333334"/>
    <n v="1.9"/>
    <n v="1.181467013888889"/>
    <n v="2"/>
    <n v="2"/>
    <m/>
    <m/>
    <m/>
    <m/>
    <n v="113.3823418310203"/>
    <n v="335.08300062492538"/>
    <s v="Training"/>
  </r>
  <r>
    <d v="2022-08-02T00:00:00"/>
    <x v="2"/>
    <n v="3"/>
    <n v="8"/>
    <x v="31"/>
    <x v="2"/>
    <n v="327"/>
    <m/>
    <m/>
    <m/>
    <m/>
    <n v="72"/>
    <n v="0.98629999999999995"/>
    <n v="1"/>
    <d v="1899-12-30T00:00:08"/>
    <d v="1899-12-30T00:03:04"/>
    <d v="1899-12-30T00:02:10"/>
    <n v="0.91779999999999995"/>
    <n v="3.6800000000000006"/>
    <n v="220.80000000000004"/>
    <n v="16.713333333333335"/>
    <n v="1002.8000000000001"/>
    <n v="1"/>
    <n v="2.6114583333333337"/>
    <n v="2"/>
    <n v="1"/>
    <m/>
    <m/>
    <m/>
    <m/>
    <n v="100.49623849334949"/>
    <n v="322.39036662028451"/>
    <s v="Training"/>
  </r>
  <r>
    <d v="2022-08-03T00:00:00"/>
    <x v="3"/>
    <n v="4"/>
    <n v="8"/>
    <x v="31"/>
    <x v="2"/>
    <n v="231"/>
    <m/>
    <m/>
    <m/>
    <m/>
    <n v="218"/>
    <n v="0.96460000000000001"/>
    <n v="8"/>
    <d v="1899-12-30T00:00:08"/>
    <d v="1899-12-30T00:02:54"/>
    <d v="1899-12-30T00:02:47"/>
    <n v="0.91859999999999997"/>
    <n v="10.536666666666667"/>
    <n v="632.20000000000005"/>
    <n v="11.164999999999999"/>
    <n v="669.9"/>
    <n v="1.65"/>
    <n v="1.7445312499999999"/>
    <n v="2"/>
    <n v="2"/>
    <m/>
    <m/>
    <m/>
    <m/>
    <n v="108.5089989598339"/>
    <n v="333.52272225341801"/>
    <s v="Training"/>
  </r>
  <r>
    <d v="2022-08-04T00:00:00"/>
    <x v="4"/>
    <n v="5"/>
    <n v="8"/>
    <x v="31"/>
    <x v="2"/>
    <n v="315"/>
    <m/>
    <m/>
    <m/>
    <m/>
    <n v="42"/>
    <n v="0.97670000000000001"/>
    <n v="1"/>
    <d v="1899-12-30T00:00:11"/>
    <d v="1899-12-30T00:02:38"/>
    <d v="1899-12-30T00:01:17"/>
    <n v="0.83720000000000006"/>
    <n v="1.8433333333333333"/>
    <n v="110.6"/>
    <n v="13.824999999999999"/>
    <n v="829.5"/>
    <n v="1"/>
    <n v="2.16015625"/>
    <n v="1"/>
    <n v="1"/>
    <m/>
    <m/>
    <m/>
    <m/>
    <n v="102.3536031737455"/>
    <n v="328.71942795854102"/>
    <s v="Training"/>
  </r>
  <r>
    <d v="2022-08-05T00:00:00"/>
    <x v="5"/>
    <n v="6"/>
    <n v="8"/>
    <x v="31"/>
    <x v="2"/>
    <n v="58"/>
    <m/>
    <m/>
    <m/>
    <m/>
    <n v="255"/>
    <n v="0.81989999999999996"/>
    <n v="56"/>
    <d v="1899-12-30T00:00:45"/>
    <d v="1899-12-30T00:02:55"/>
    <d v="1899-12-30T00:04:50"/>
    <n v="0.4718"/>
    <n v="12.395833333333334"/>
    <n v="743.75"/>
    <n v="2.8194444444444446"/>
    <n v="169.16666666666669"/>
    <n v="1.94"/>
    <n v="1"/>
    <n v="2"/>
    <n v="2"/>
    <m/>
    <m/>
    <m/>
    <m/>
    <n v="88.272110498083421"/>
    <n v="315.56149154667082"/>
    <s v="Training"/>
  </r>
  <r>
    <d v="2022-08-06T00:00:00"/>
    <x v="6"/>
    <n v="7"/>
    <n v="8"/>
    <x v="31"/>
    <x v="2"/>
    <n v="340"/>
    <m/>
    <m/>
    <m/>
    <m/>
    <n v="210"/>
    <n v="0.8367"/>
    <n v="41"/>
    <d v="1899-12-30T00:00:26"/>
    <d v="1899-12-30T00:02:54"/>
    <d v="1899-12-30T00:09:18"/>
    <n v="0.63519999999999999"/>
    <n v="10.15"/>
    <n v="609"/>
    <n v="16.433333333333334"/>
    <n v="986"/>
    <n v="1.59"/>
    <n v="2.5677083333333335"/>
    <n v="2"/>
    <n v="2"/>
    <m/>
    <m/>
    <m/>
    <m/>
    <n v="99.60059936870374"/>
    <n v="318.79716551282178"/>
    <s v="Training"/>
  </r>
  <r>
    <d v="2022-08-07T00:00:00"/>
    <x v="0"/>
    <n v="1"/>
    <n v="8"/>
    <x v="32"/>
    <x v="2"/>
    <n v="401"/>
    <m/>
    <m/>
    <m/>
    <m/>
    <n v="313"/>
    <n v="0.92330000000000001"/>
    <n v="26"/>
    <d v="1899-12-30T00:00:12"/>
    <d v="1899-12-30T00:02:02"/>
    <d v="1899-12-30T00:06:41"/>
    <n v="0.82089999999999996"/>
    <n v="10.607222222222223"/>
    <n v="636.43333333333339"/>
    <n v="13.589444444444444"/>
    <n v="815.36666666666667"/>
    <n v="1.66"/>
    <n v="2.1233506944444445"/>
    <n v="2"/>
    <n v="2"/>
    <m/>
    <m/>
    <m/>
    <m/>
    <n v="6.7712080073473766"/>
    <n v="221.94865686199131"/>
    <s v="Training"/>
  </r>
  <r>
    <d v="2022-08-08T00:00:00"/>
    <x v="1"/>
    <n v="2"/>
    <n v="8"/>
    <x v="32"/>
    <x v="2"/>
    <n v="57"/>
    <m/>
    <m/>
    <m/>
    <m/>
    <n v="261"/>
    <n v="0.80800000000000005"/>
    <n v="62"/>
    <d v="1899-12-30T00:00:41"/>
    <d v="1899-12-30T00:02:57"/>
    <d v="1899-12-30T00:09:27"/>
    <n v="0.53990000000000005"/>
    <n v="12.832500000000001"/>
    <n v="769.95"/>
    <n v="2.8025000000000002"/>
    <n v="168.15"/>
    <n v="2.0099999999999998"/>
    <n v="1"/>
    <n v="2"/>
    <n v="3"/>
    <m/>
    <m/>
    <m/>
    <m/>
    <n v="105.1267592219493"/>
    <n v="326.04993452567538"/>
    <s v="Training"/>
  </r>
  <r>
    <d v="2022-08-09T00:00:00"/>
    <x v="2"/>
    <n v="3"/>
    <n v="8"/>
    <x v="32"/>
    <x v="2"/>
    <n v="193"/>
    <m/>
    <m/>
    <m/>
    <m/>
    <n v="265"/>
    <n v="0.91700000000000004"/>
    <n v="24"/>
    <d v="1899-12-30T00:00:11"/>
    <d v="1899-12-30T00:03:00"/>
    <d v="1899-12-30T00:05:42"/>
    <n v="0.8327"/>
    <n v="13.25"/>
    <n v="795"/>
    <n v="9.65"/>
    <n v="579"/>
    <n v="2.0699999999999998"/>
    <n v="1.5078125"/>
    <n v="2"/>
    <n v="3"/>
    <m/>
    <m/>
    <m/>
    <m/>
    <n v="80.729147275445428"/>
    <n v="304.43707296565071"/>
    <s v="Training"/>
  </r>
  <r>
    <d v="2022-08-10T00:00:00"/>
    <x v="3"/>
    <n v="4"/>
    <n v="8"/>
    <x v="32"/>
    <x v="2"/>
    <n v="14"/>
    <m/>
    <m/>
    <m/>
    <m/>
    <n v="281"/>
    <n v="0.90649999999999997"/>
    <n v="29"/>
    <d v="1899-12-30T00:00:15"/>
    <d v="1899-12-30T00:02:41"/>
    <d v="1899-12-30T00:02:57"/>
    <n v="0.79120000000000001"/>
    <n v="12.566944444444445"/>
    <n v="754.01666666666665"/>
    <n v="0.62611111111111106"/>
    <n v="37.566666666666663"/>
    <n v="1.96"/>
    <n v="1"/>
    <n v="2"/>
    <n v="2"/>
    <m/>
    <m/>
    <m/>
    <m/>
    <n v="98.409057060135709"/>
    <n v="320.81419883699988"/>
    <s v="Training"/>
  </r>
  <r>
    <d v="2022-08-11T00:00:00"/>
    <x v="4"/>
    <n v="5"/>
    <n v="8"/>
    <x v="32"/>
    <x v="2"/>
    <n v="149"/>
    <m/>
    <m/>
    <m/>
    <m/>
    <n v="31"/>
    <n v="0.93940000000000001"/>
    <n v="2"/>
    <d v="1899-12-30T00:00:14"/>
    <d v="1899-12-30T00:02:53"/>
    <d v="1899-12-30T00:02:07"/>
    <n v="0.84850000000000003"/>
    <n v="1.4897222222222222"/>
    <n v="89.383333333333326"/>
    <n v="7.1602777777777789"/>
    <n v="429.61666666666673"/>
    <n v="1"/>
    <n v="1.1187934027777779"/>
    <n v="1"/>
    <n v="1"/>
    <m/>
    <m/>
    <m/>
    <m/>
    <n v="85.423048696836346"/>
    <n v="314.89122006810152"/>
    <s v="Training"/>
  </r>
  <r>
    <d v="2022-08-12T00:00:00"/>
    <x v="5"/>
    <n v="6"/>
    <n v="8"/>
    <x v="32"/>
    <x v="2"/>
    <n v="254"/>
    <m/>
    <m/>
    <m/>
    <m/>
    <n v="318"/>
    <n v="0.91910000000000003"/>
    <n v="28"/>
    <d v="1899-12-30T00:00:12"/>
    <d v="1899-12-30T00:02:36"/>
    <d v="1899-12-30T00:03:32"/>
    <n v="0.82489999999999997"/>
    <n v="13.779999999999998"/>
    <n v="826.79999999999984"/>
    <n v="11.006666666666666"/>
    <n v="660.4"/>
    <n v="2.15"/>
    <n v="1.7197916666666666"/>
    <n v="2"/>
    <n v="3"/>
    <m/>
    <m/>
    <m/>
    <m/>
    <n v="81.745604887840742"/>
    <n v="302.75016519413742"/>
    <s v="Training"/>
  </r>
  <r>
    <d v="2022-08-13T00:00:00"/>
    <x v="6"/>
    <n v="7"/>
    <n v="8"/>
    <x v="32"/>
    <x v="2"/>
    <n v="203"/>
    <m/>
    <m/>
    <m/>
    <m/>
    <n v="285"/>
    <n v="0.87690000000000001"/>
    <n v="40"/>
    <d v="1899-12-30T00:00:32"/>
    <d v="1899-12-30T00:02:45"/>
    <d v="1899-12-30T00:09:39"/>
    <n v="0.60819999999999996"/>
    <n v="13.0625"/>
    <n v="783.75"/>
    <n v="9.3041666666666671"/>
    <n v="558.25"/>
    <n v="2.04"/>
    <n v="1.4537760416666667"/>
    <n v="2"/>
    <n v="3"/>
    <m/>
    <m/>
    <m/>
    <m/>
    <n v="92.588921182081918"/>
    <n v="308.26128437944328"/>
    <s v="Training"/>
  </r>
  <r>
    <d v="2022-08-14T00:00:00"/>
    <x v="0"/>
    <n v="1"/>
    <n v="8"/>
    <x v="33"/>
    <x v="2"/>
    <n v="33"/>
    <m/>
    <m/>
    <m/>
    <m/>
    <n v="504"/>
    <n v="0.80379999999999996"/>
    <n v="123"/>
    <d v="1899-12-30T00:00:37"/>
    <d v="1899-12-30T00:03:20"/>
    <d v="1899-12-30T00:19:42"/>
    <n v="0.56930000000000003"/>
    <n v="27.999999999999996"/>
    <n v="1679.9999999999998"/>
    <n v="1.833333333333333"/>
    <n v="109.99999999999999"/>
    <n v="4.38"/>
    <n v="1"/>
    <n v="2"/>
    <n v="5"/>
    <m/>
    <m/>
    <m/>
    <m/>
    <n v="-0.22952147198688019"/>
    <n v="219.35563154879091"/>
    <s v="Training"/>
  </r>
  <r>
    <d v="2022-08-15T00:00:00"/>
    <x v="1"/>
    <n v="2"/>
    <n v="8"/>
    <x v="33"/>
    <x v="2"/>
    <n v="220"/>
    <m/>
    <m/>
    <m/>
    <m/>
    <n v="631"/>
    <n v="0.69720000000000004"/>
    <n v="274"/>
    <d v="1899-12-30T00:01:23"/>
    <d v="1899-12-30T00:03:42"/>
    <d v="1899-12-30T00:12:04"/>
    <n v="0.25679999999999997"/>
    <n v="38.911666666666669"/>
    <n v="2334.7000000000003"/>
    <n v="13.566666666666666"/>
    <n v="814"/>
    <n v="6.08"/>
    <n v="2.1197916666666665"/>
    <n v="2"/>
    <n v="7"/>
    <m/>
    <m/>
    <m/>
    <m/>
    <n v="87.453475059648952"/>
    <n v="316.72348906484632"/>
    <s v="Training"/>
  </r>
  <r>
    <d v="2022-08-16T00:00:00"/>
    <x v="2"/>
    <n v="3"/>
    <n v="8"/>
    <x v="33"/>
    <x v="2"/>
    <n v="185"/>
    <m/>
    <m/>
    <m/>
    <m/>
    <n v="610"/>
    <n v="0.53459999999999996"/>
    <n v="531"/>
    <d v="1899-12-30T00:01:46"/>
    <d v="1899-12-30T00:03:12"/>
    <d v="1899-12-30T00:25:51"/>
    <n v="0.14549999999999999"/>
    <n v="32.533333333333331"/>
    <n v="1952"/>
    <n v="9.8666666666666671"/>
    <n v="592"/>
    <n v="5.08"/>
    <n v="1.5416666666666667"/>
    <n v="2"/>
    <n v="6"/>
    <m/>
    <m/>
    <m/>
    <m/>
    <n v="88.349712074532434"/>
    <n v="305.83267693671019"/>
    <s v="Training"/>
  </r>
  <r>
    <d v="2022-08-17T00:00:00"/>
    <x v="3"/>
    <n v="4"/>
    <n v="8"/>
    <x v="33"/>
    <x v="2"/>
    <n v="203"/>
    <m/>
    <m/>
    <m/>
    <m/>
    <n v="511"/>
    <n v="0.59209999999999996"/>
    <n v="352"/>
    <d v="1899-12-30T00:02:07"/>
    <d v="1899-12-30T00:03:03"/>
    <d v="1899-12-30T00:15:43"/>
    <n v="0.12130000000000001"/>
    <n v="25.975833333333338"/>
    <n v="1558.5500000000002"/>
    <n v="10.319166666666669"/>
    <n v="619.1500000000002"/>
    <n v="4.0599999999999996"/>
    <n v="1.6123697916666673"/>
    <n v="2"/>
    <n v="5"/>
    <m/>
    <m/>
    <m/>
    <m/>
    <n v="96.643412763278192"/>
    <n v="312.22759861070409"/>
    <s v="Training"/>
  </r>
  <r>
    <d v="2022-08-18T00:00:00"/>
    <x v="4"/>
    <n v="5"/>
    <n v="8"/>
    <x v="33"/>
    <x v="2"/>
    <n v="218"/>
    <m/>
    <m/>
    <m/>
    <m/>
    <n v="56"/>
    <n v="0.88890000000000002"/>
    <n v="7"/>
    <d v="1899-12-30T00:00:16"/>
    <d v="1899-12-30T00:02:31"/>
    <d v="1899-12-30T00:04:08"/>
    <n v="0.7097"/>
    <n v="2.3488888888888888"/>
    <n v="140.93333333333334"/>
    <n v="9.1438888888888883"/>
    <n v="548.63333333333333"/>
    <n v="1"/>
    <n v="1.4287326388888888"/>
    <n v="1"/>
    <n v="1"/>
    <m/>
    <m/>
    <m/>
    <m/>
    <n v="84.605900071993503"/>
    <n v="313.03634725458039"/>
    <s v="Training"/>
  </r>
  <r>
    <d v="2022-08-19T00:00:00"/>
    <x v="5"/>
    <n v="6"/>
    <n v="8"/>
    <x v="33"/>
    <x v="2"/>
    <n v="204"/>
    <m/>
    <m/>
    <m/>
    <m/>
    <n v="487"/>
    <n v="0.84989999999999999"/>
    <n v="86"/>
    <d v="1899-12-30T00:00:56"/>
    <d v="1899-12-30T00:02:45"/>
    <d v="1899-12-30T00:05:43"/>
    <n v="0.34989999999999999"/>
    <n v="22.320833333333333"/>
    <n v="1339.25"/>
    <n v="9.35"/>
    <n v="561"/>
    <n v="3.49"/>
    <n v="1.4609375"/>
    <n v="2"/>
    <n v="4"/>
    <m/>
    <m/>
    <m/>
    <m/>
    <n v="65.708481091073153"/>
    <n v="294.60798904970801"/>
    <s v="Training"/>
  </r>
  <r>
    <d v="2022-08-20T00:00:00"/>
    <x v="6"/>
    <n v="7"/>
    <n v="8"/>
    <x v="33"/>
    <x v="2"/>
    <n v="242"/>
    <m/>
    <m/>
    <m/>
    <m/>
    <n v="323"/>
    <n v="0.82609999999999995"/>
    <n v="68"/>
    <d v="1899-12-30T00:00:46"/>
    <d v="1899-12-30T00:03:08"/>
    <d v="1899-12-30T00:08:16"/>
    <n v="0.42709999999999998"/>
    <n v="16.867777777777775"/>
    <n v="1012.0666666666665"/>
    <n v="12.637777777777778"/>
    <n v="758.26666666666665"/>
    <n v="2.64"/>
    <n v="1.9746527777777778"/>
    <n v="2"/>
    <n v="3"/>
    <m/>
    <m/>
    <m/>
    <m/>
    <n v="80.070267620769499"/>
    <n v="308.74767647121661"/>
    <s v="Training"/>
  </r>
  <r>
    <d v="2022-08-21T00:00:00"/>
    <x v="0"/>
    <n v="1"/>
    <n v="8"/>
    <x v="34"/>
    <x v="2"/>
    <n v="29"/>
    <m/>
    <m/>
    <m/>
    <m/>
    <n v="355"/>
    <n v="0.67490000000000006"/>
    <n v="171"/>
    <d v="1899-12-30T00:01:29"/>
    <d v="1899-12-30T00:03:50"/>
    <d v="1899-12-30T00:18:47"/>
    <n v="0.224"/>
    <n v="22.680555555555557"/>
    <n v="1360.8333333333335"/>
    <n v="1.8527777777777779"/>
    <n v="111.16666666666667"/>
    <n v="3.54"/>
    <n v="1"/>
    <n v="2"/>
    <n v="4"/>
    <m/>
    <m/>
    <m/>
    <m/>
    <n v="-1.0686229692192839"/>
    <n v="211.14277167105871"/>
    <s v="Training"/>
  </r>
  <r>
    <d v="2022-08-22T00:00:00"/>
    <x v="1"/>
    <n v="2"/>
    <n v="8"/>
    <x v="34"/>
    <x v="2"/>
    <n v="171"/>
    <m/>
    <m/>
    <m/>
    <m/>
    <n v="309"/>
    <n v="0.90090000000000003"/>
    <n v="34"/>
    <d v="1899-12-30T00:00:39"/>
    <d v="1899-12-30T00:03:24"/>
    <d v="1899-12-30T00:05:10"/>
    <n v="0.48820000000000002"/>
    <n v="17.510000000000002"/>
    <n v="1050.6000000000001"/>
    <n v="9.69"/>
    <n v="581.4"/>
    <n v="2.74"/>
    <n v="1.5140624999999999"/>
    <n v="2"/>
    <n v="3"/>
    <m/>
    <m/>
    <m/>
    <m/>
    <n v="95.138161225978166"/>
    <n v="313.57048818738588"/>
    <s v="Training"/>
  </r>
  <r>
    <d v="2022-08-23T00:00:00"/>
    <x v="2"/>
    <n v="3"/>
    <n v="8"/>
    <x v="34"/>
    <x v="2"/>
    <n v="190"/>
    <m/>
    <m/>
    <m/>
    <m/>
    <n v="346"/>
    <n v="0.86280000000000001"/>
    <n v="55"/>
    <d v="1899-12-30T00:00:41"/>
    <d v="1899-12-30T00:03:13"/>
    <d v="1899-12-30T00:05:10"/>
    <n v="0.44269999999999998"/>
    <n v="18.549444444444443"/>
    <n v="1112.9666666666667"/>
    <n v="10.186111111111112"/>
    <n v="611.16666666666674"/>
    <n v="2.9"/>
    <n v="1.5915798611111114"/>
    <n v="2"/>
    <n v="3"/>
    <m/>
    <m/>
    <m/>
    <m/>
    <n v="84.140998601342432"/>
    <n v="299.84060725320649"/>
    <s v="Training"/>
  </r>
  <r>
    <d v="2022-08-24T00:00:00"/>
    <x v="3"/>
    <n v="4"/>
    <n v="8"/>
    <x v="34"/>
    <x v="2"/>
    <n v="221"/>
    <m/>
    <m/>
    <m/>
    <m/>
    <n v="239"/>
    <n v="0.85050000000000003"/>
    <n v="42"/>
    <d v="1899-12-30T00:00:41"/>
    <d v="1899-12-30T00:03:07"/>
    <d v="1899-12-30T00:03:20"/>
    <n v="0.42549999999999999"/>
    <n v="12.414722222222222"/>
    <n v="744.88333333333333"/>
    <n v="11.479722222222222"/>
    <n v="688.7833333333333"/>
    <n v="1.94"/>
    <n v="1.7937065972222221"/>
    <n v="2"/>
    <n v="2"/>
    <m/>
    <m/>
    <m/>
    <m/>
    <n v="100.3176801269399"/>
    <n v="309.96949124802438"/>
    <s v="Training"/>
  </r>
  <r>
    <d v="2022-08-25T00:00:00"/>
    <x v="4"/>
    <n v="5"/>
    <n v="8"/>
    <x v="34"/>
    <x v="2"/>
    <n v="297"/>
    <m/>
    <m/>
    <m/>
    <m/>
    <n v="39"/>
    <n v="0.8478"/>
    <n v="7"/>
    <d v="1899-12-30T00:00:11"/>
    <d v="1899-12-30T00:03:09"/>
    <d v="1899-12-30T00:04:09"/>
    <n v="0.80430000000000001"/>
    <n v="2.0475000000000003"/>
    <n v="122.85000000000002"/>
    <n v="15.592500000000001"/>
    <n v="935.55000000000007"/>
    <n v="1"/>
    <n v="2.4363281250000002"/>
    <n v="1"/>
    <n v="1"/>
    <m/>
    <m/>
    <m/>
    <m/>
    <n v="95.594567807928755"/>
    <n v="304.87127854190021"/>
    <s v="Training"/>
  </r>
  <r>
    <d v="2022-08-26T00:00:00"/>
    <x v="5"/>
    <n v="6"/>
    <n v="8"/>
    <x v="34"/>
    <x v="2"/>
    <n v="233"/>
    <m/>
    <m/>
    <m/>
    <m/>
    <n v="323"/>
    <n v="0.90480000000000005"/>
    <n v="34"/>
    <d v="1899-12-30T00:00:32"/>
    <d v="1899-12-30T00:03:08"/>
    <d v="1899-12-30T00:07:14"/>
    <n v="0.60909999999999997"/>
    <n v="16.867777777777775"/>
    <n v="1012.0666666666665"/>
    <n v="12.167777777777776"/>
    <n v="730.06666666666649"/>
    <n v="2.64"/>
    <n v="1.9012152777777773"/>
    <n v="2"/>
    <n v="3"/>
    <m/>
    <m/>
    <m/>
    <m/>
    <n v="80.279180122208359"/>
    <n v="297.11070494315419"/>
    <s v="Training"/>
  </r>
  <r>
    <d v="2022-08-27T00:00:00"/>
    <x v="6"/>
    <n v="7"/>
    <n v="8"/>
    <x v="34"/>
    <x v="2"/>
    <n v="198"/>
    <m/>
    <m/>
    <m/>
    <m/>
    <n v="255"/>
    <n v="0.91069999999999995"/>
    <n v="25"/>
    <d v="1899-12-30T00:00:34"/>
    <d v="1899-12-30T00:03:02"/>
    <d v="1899-12-30T00:03:31"/>
    <n v="0.52900000000000003"/>
    <n v="12.891666666666664"/>
    <n v="773.49999999999989"/>
    <n v="10.01"/>
    <n v="600.6"/>
    <n v="2.0099999999999998"/>
    <n v="1.5640625000000001"/>
    <n v="2"/>
    <n v="3"/>
    <m/>
    <m/>
    <m/>
    <m/>
    <n v="86.571081157114634"/>
    <n v="317.42546390645208"/>
    <s v="Training"/>
  </r>
  <r>
    <d v="2022-08-28T00:00:00"/>
    <x v="0"/>
    <n v="1"/>
    <n v="8"/>
    <x v="35"/>
    <x v="2"/>
    <n v="15"/>
    <m/>
    <m/>
    <m/>
    <m/>
    <n v="247"/>
    <n v="0.95740000000000003"/>
    <n v="11"/>
    <d v="1899-12-30T00:00:25"/>
    <d v="1899-12-30T00:02:57"/>
    <d v="1899-12-30T00:04:12"/>
    <n v="0.70199999999999996"/>
    <n v="12.144166666666669"/>
    <n v="728.65000000000009"/>
    <n v="0.73750000000000004"/>
    <n v="44.25"/>
    <n v="1.9"/>
    <n v="1"/>
    <n v="2"/>
    <n v="2"/>
    <m/>
    <m/>
    <m/>
    <m/>
    <n v="1.0487961478787911"/>
    <n v="225.99548484640979"/>
    <s v="Training"/>
  </r>
  <r>
    <d v="2022-08-29T00:00:00"/>
    <x v="1"/>
    <n v="2"/>
    <n v="8"/>
    <x v="35"/>
    <x v="2"/>
    <n v="27"/>
    <m/>
    <m/>
    <m/>
    <m/>
    <n v="255"/>
    <n v="0.90429999999999999"/>
    <n v="27"/>
    <d v="1899-12-30T00:00:18"/>
    <d v="1899-12-30T00:02:47"/>
    <d v="1899-12-30T00:04:09"/>
    <n v="0.74729999999999996"/>
    <n v="11.829166666666667"/>
    <n v="709.75"/>
    <n v="1.2524999999999999"/>
    <n v="75.149999999999991"/>
    <n v="1.85"/>
    <n v="1"/>
    <n v="2"/>
    <n v="2"/>
    <m/>
    <m/>
    <m/>
    <m/>
    <n v="107.3730594254977"/>
    <n v="325.30419288582908"/>
    <s v="Training"/>
  </r>
  <r>
    <d v="2022-08-30T00:00:00"/>
    <x v="2"/>
    <n v="3"/>
    <n v="8"/>
    <x v="35"/>
    <x v="2"/>
    <n v="7"/>
    <m/>
    <m/>
    <m/>
    <m/>
    <n v="240"/>
    <n v="0.9486"/>
    <n v="13"/>
    <d v="1899-12-30T00:00:18"/>
    <d v="1899-12-30T00:02:41"/>
    <d v="1899-12-30T00:06:11"/>
    <n v="0.752"/>
    <n v="10.733333333333333"/>
    <n v="644"/>
    <n v="0.31305555555555553"/>
    <n v="18.783333333333331"/>
    <n v="1.68"/>
    <n v="1"/>
    <n v="2"/>
    <n v="2"/>
    <m/>
    <m/>
    <m/>
    <m/>
    <n v="87.637695424831662"/>
    <n v="309.43368788027482"/>
    <s v="Training"/>
  </r>
  <r>
    <d v="2022-08-31T00:00:00"/>
    <x v="3"/>
    <n v="4"/>
    <n v="8"/>
    <x v="35"/>
    <x v="2"/>
    <n v="169"/>
    <m/>
    <m/>
    <m/>
    <m/>
    <n v="232"/>
    <n v="0.87219999999999998"/>
    <n v="34"/>
    <d v="1899-12-30T00:00:37"/>
    <d v="1899-12-30T00:02:49"/>
    <d v="1899-12-30T00:06:11"/>
    <n v="0.57589999999999997"/>
    <n v="10.891111111111108"/>
    <n v="653.46666666666647"/>
    <n v="7.9336111111111105"/>
    <n v="476.01666666666665"/>
    <n v="1.7"/>
    <n v="1.2396267361111111"/>
    <n v="2"/>
    <n v="2"/>
    <m/>
    <m/>
    <m/>
    <m/>
    <n v="89.687573635074884"/>
    <n v="318.47518070462502"/>
    <s v="Training"/>
  </r>
  <r>
    <d v="2022-09-01T00:00:00"/>
    <x v="4"/>
    <n v="5"/>
    <n v="9"/>
    <x v="35"/>
    <x v="2"/>
    <n v="48"/>
    <m/>
    <m/>
    <m/>
    <m/>
    <n v="29"/>
    <n v="0.9667"/>
    <n v="1"/>
    <d v="1899-12-30T00:00:10"/>
    <d v="1899-12-30T00:03:21"/>
    <d v="1899-12-30T00:00:49"/>
    <n v="0.9"/>
    <n v="1.6191666666666666"/>
    <n v="97.15"/>
    <n v="2.68"/>
    <n v="160.80000000000001"/>
    <n v="1"/>
    <n v="1"/>
    <n v="1"/>
    <n v="1"/>
    <m/>
    <m/>
    <m/>
    <m/>
    <n v="102.0967405187552"/>
    <n v="313.27440301069271"/>
    <s v="Training"/>
  </r>
  <r>
    <d v="2022-09-02T00:00:00"/>
    <x v="5"/>
    <n v="6"/>
    <n v="9"/>
    <x v="35"/>
    <x v="2"/>
    <n v="366"/>
    <m/>
    <m/>
    <m/>
    <m/>
    <n v="230"/>
    <n v="0.89149999999999996"/>
    <n v="28"/>
    <d v="1899-12-30T00:00:33"/>
    <d v="1899-12-30T00:03:01"/>
    <d v="1899-12-30T00:04:14"/>
    <n v="0.53539999999999999"/>
    <n v="11.563888888888888"/>
    <n v="693.83333333333326"/>
    <n v="18.401666666666667"/>
    <n v="1104.1000000000001"/>
    <n v="1.81"/>
    <n v="2.8752604166666669"/>
    <n v="2"/>
    <n v="2"/>
    <m/>
    <m/>
    <m/>
    <m/>
    <n v="92.518953659864295"/>
    <n v="301.37345528426619"/>
    <s v="Training"/>
  </r>
  <r>
    <d v="2022-09-04T00:00:00"/>
    <x v="6"/>
    <n v="1"/>
    <n v="9"/>
    <x v="36"/>
    <x v="2"/>
    <n v="122"/>
    <m/>
    <m/>
    <m/>
    <m/>
    <n v="282"/>
    <n v="0.96250000000000002"/>
    <n v="11"/>
    <d v="1899-12-30T00:00:23"/>
    <d v="1899-12-30T00:02:39"/>
    <d v="1899-12-30T00:02:38"/>
    <n v="0.70240000000000002"/>
    <n v="12.455"/>
    <n v="747.3"/>
    <n v="5.3883333333333336"/>
    <n v="323.3"/>
    <n v="1.95"/>
    <n v="1"/>
    <n v="2"/>
    <n v="2"/>
    <m/>
    <m/>
    <m/>
    <m/>
    <n v="4.478032414771647"/>
    <n v="232.19461448140379"/>
    <s v="Training"/>
  </r>
  <r>
    <d v="2022-09-05T00:00:00"/>
    <x v="0"/>
    <n v="2"/>
    <n v="9"/>
    <x v="36"/>
    <x v="2"/>
    <n v="316"/>
    <m/>
    <m/>
    <m/>
    <m/>
    <n v="341"/>
    <n v="0.90449999999999997"/>
    <n v="36"/>
    <d v="1899-12-30T00:00:20"/>
    <d v="1899-12-30T00:02:21"/>
    <d v="1899-12-30T00:03:09"/>
    <n v="0.68279999999999996"/>
    <n v="13.355833333333335"/>
    <n v="801.35000000000014"/>
    <n v="12.376666666666667"/>
    <n v="742.6"/>
    <n v="2.09"/>
    <n v="1.9338541666666667"/>
    <n v="2"/>
    <n v="3"/>
    <m/>
    <m/>
    <m/>
    <m/>
    <n v="105.6947451144782"/>
    <n v="318.06398882352272"/>
    <s v="Training"/>
  </r>
  <r>
    <d v="2022-09-06T00:00:00"/>
    <x v="1"/>
    <n v="3"/>
    <n v="9"/>
    <x v="36"/>
    <x v="2"/>
    <n v="322"/>
    <m/>
    <m/>
    <m/>
    <m/>
    <n v="182"/>
    <n v="0.92859999999999998"/>
    <n v="14"/>
    <d v="1899-12-30T00:00:28"/>
    <d v="1899-12-30T00:02:37"/>
    <d v="1899-12-30T00:02:54"/>
    <n v="0.61860000000000004"/>
    <n v="7.9372222222222222"/>
    <n v="476.23333333333335"/>
    <n v="14.042777777777779"/>
    <n v="842.56666666666672"/>
    <n v="1.24"/>
    <n v="2.1941840277777778"/>
    <n v="2"/>
    <n v="2"/>
    <m/>
    <m/>
    <m/>
    <m/>
    <n v="86.733583442941637"/>
    <n v="315.46780842171228"/>
    <s v="Training"/>
  </r>
  <r>
    <d v="2022-09-07T00:00:00"/>
    <x v="2"/>
    <n v="4"/>
    <n v="9"/>
    <x v="36"/>
    <x v="2"/>
    <n v="281"/>
    <m/>
    <m/>
    <m/>
    <m/>
    <n v="173"/>
    <n v="0.90100000000000002"/>
    <n v="19"/>
    <d v="1899-12-30T00:00:33"/>
    <d v="1899-12-30T00:02:44"/>
    <d v="1899-12-30T00:06:39"/>
    <n v="0.61780000000000002"/>
    <n v="7.8811111111111112"/>
    <n v="472.86666666666667"/>
    <n v="12.801111111111112"/>
    <n v="768.06666666666672"/>
    <n v="1.23"/>
    <n v="2.0001736111111112"/>
    <n v="2"/>
    <n v="2"/>
    <m/>
    <m/>
    <m/>
    <m/>
    <n v="107.21318217077039"/>
    <n v="328.74046184204849"/>
    <s v="Training"/>
  </r>
  <r>
    <d v="2022-09-09T00:00:00"/>
    <x v="3"/>
    <n v="6"/>
    <n v="9"/>
    <x v="36"/>
    <x v="2"/>
    <n v="201"/>
    <m/>
    <m/>
    <m/>
    <m/>
    <n v="178"/>
    <n v="0.96220000000000006"/>
    <n v="7"/>
    <d v="1899-12-30T00:00:17"/>
    <d v="1899-12-30T00:02:46"/>
    <d v="1899-12-30T00:03:09"/>
    <n v="0.7772"/>
    <n v="8.2077777777777783"/>
    <n v="492.4666666666667"/>
    <n v="9.2683333333333326"/>
    <n v="556.09999999999991"/>
    <n v="1.28"/>
    <n v="1.4481770833333332"/>
    <n v="2"/>
    <n v="2"/>
    <m/>
    <m/>
    <m/>
    <m/>
    <n v="89.756241333007125"/>
    <n v="305.82259030176772"/>
    <s v="Training"/>
  </r>
  <r>
    <d v="2022-09-10T00:00:00"/>
    <x v="4"/>
    <n v="7"/>
    <n v="9"/>
    <x v="36"/>
    <x v="2"/>
    <n v="18"/>
    <m/>
    <m/>
    <m/>
    <m/>
    <n v="25"/>
    <n v="0.92589999999999995"/>
    <n v="2"/>
    <d v="1899-12-30T00:00:18"/>
    <d v="1899-12-30T00:02:09"/>
    <d v="1899-12-30T00:03:07"/>
    <n v="0.74070000000000003"/>
    <n v="0.89583333333333337"/>
    <n v="53.75"/>
    <n v="0.64500000000000013"/>
    <n v="38.70000000000001"/>
    <n v="1"/>
    <n v="1"/>
    <n v="1"/>
    <n v="1"/>
    <m/>
    <m/>
    <m/>
    <m/>
    <n v="99.012098492345601"/>
    <n v="313.80523787570343"/>
    <s v="Training"/>
  </r>
  <r>
    <d v="2022-09-11T00:00:00"/>
    <x v="5"/>
    <n v="1"/>
    <n v="9"/>
    <x v="37"/>
    <x v="2"/>
    <n v="178"/>
    <m/>
    <m/>
    <m/>
    <m/>
    <n v="214"/>
    <n v="0.96399999999999997"/>
    <n v="8"/>
    <d v="1899-12-30T00:00:18"/>
    <d v="1899-12-30T00:02:57"/>
    <d v="1899-12-30T00:06:12"/>
    <n v="0.74660000000000004"/>
    <n v="10.521666666666667"/>
    <n v="631.29999999999995"/>
    <n v="8.7516666666666669"/>
    <n v="525.1"/>
    <n v="1.64"/>
    <n v="1.3674479166666667"/>
    <n v="2"/>
    <n v="2"/>
    <m/>
    <m/>
    <m/>
    <m/>
    <n v="9.4305739763950793"/>
    <n v="218.91205007247461"/>
    <s v="Training"/>
  </r>
  <r>
    <d v="2022-09-12T00:00:00"/>
    <x v="6"/>
    <n v="2"/>
    <n v="9"/>
    <x v="37"/>
    <x v="2"/>
    <n v="584"/>
    <m/>
    <m/>
    <m/>
    <m/>
    <n v="198"/>
    <n v="0.91239999999999999"/>
    <n v="19"/>
    <d v="1899-12-30T00:00:09"/>
    <d v="1899-12-30T00:02:43"/>
    <d v="1899-12-30T00:02:57"/>
    <n v="0.88829999999999998"/>
    <n v="8.9649999999999999"/>
    <n v="537.9"/>
    <n v="26.442222222222224"/>
    <n v="1586.5333333333335"/>
    <n v="1.4"/>
    <n v="4.131597222222223"/>
    <n v="2"/>
    <n v="2"/>
    <m/>
    <m/>
    <m/>
    <m/>
    <n v="96.829125554574645"/>
    <n v="326.07962727359438"/>
    <s v="Training"/>
  </r>
  <r>
    <d v="2022-09-13T00:00:00"/>
    <x v="0"/>
    <n v="3"/>
    <n v="9"/>
    <x v="37"/>
    <x v="2"/>
    <n v="225"/>
    <m/>
    <m/>
    <m/>
    <m/>
    <n v="197"/>
    <n v="0.9657"/>
    <n v="7"/>
    <d v="1899-12-30T00:00:17"/>
    <d v="1899-12-30T00:02:40"/>
    <d v="1899-12-30T00:03:50"/>
    <n v="0.79700000000000004"/>
    <n v="8.7555555555555564"/>
    <n v="525.33333333333337"/>
    <n v="10"/>
    <n v="600"/>
    <n v="1.37"/>
    <n v="1.5625"/>
    <n v="2"/>
    <n v="2"/>
    <m/>
    <m/>
    <m/>
    <m/>
    <n v="96.68644592402768"/>
    <n v="316.48001495230432"/>
    <s v="Training"/>
  </r>
  <r>
    <d v="2022-09-14T00:00:00"/>
    <x v="1"/>
    <n v="4"/>
    <n v="9"/>
    <x v="37"/>
    <x v="2"/>
    <n v="204"/>
    <m/>
    <m/>
    <m/>
    <m/>
    <n v="181"/>
    <n v="0.9476"/>
    <n v="10"/>
    <d v="1899-12-30T00:00:12"/>
    <d v="1899-12-30T00:02:46"/>
    <d v="1899-12-30T00:04:44"/>
    <n v="0.87229999999999996"/>
    <n v="8.3461111111111119"/>
    <n v="500.76666666666671"/>
    <n v="9.4066666666666663"/>
    <n v="564.4"/>
    <n v="1.3"/>
    <n v="1.4697916666666666"/>
    <n v="2"/>
    <n v="2"/>
    <m/>
    <m/>
    <m/>
    <m/>
    <n v="103.17656575310571"/>
    <n v="323.41263757684879"/>
    <s v="Training"/>
  </r>
  <r>
    <d v="2022-09-15T00:00:00"/>
    <x v="2"/>
    <n v="5"/>
    <n v="9"/>
    <x v="37"/>
    <x v="2"/>
    <n v="221"/>
    <m/>
    <m/>
    <m/>
    <m/>
    <n v="157"/>
    <n v="0.89200000000000002"/>
    <n v="19"/>
    <d v="1899-12-30T00:00:17"/>
    <d v="1899-12-30T00:02:51"/>
    <d v="1899-12-30T00:04:08"/>
    <n v="0.73529999999999995"/>
    <n v="7.4574999999999996"/>
    <n v="447.45"/>
    <n v="10.4975"/>
    <n v="629.85"/>
    <n v="1.17"/>
    <n v="1.6402343750000001"/>
    <n v="2"/>
    <n v="2"/>
    <m/>
    <m/>
    <m/>
    <m/>
    <n v="102.9888395913825"/>
    <n v="320.83087672037209"/>
    <s v="Training"/>
  </r>
  <r>
    <d v="2022-09-16T00:00:00"/>
    <x v="3"/>
    <n v="6"/>
    <n v="9"/>
    <x v="37"/>
    <x v="2"/>
    <n v="172"/>
    <m/>
    <m/>
    <m/>
    <m/>
    <n v="163"/>
    <n v="0.92610000000000003"/>
    <n v="13"/>
    <d v="1899-12-30T00:00:24"/>
    <d v="1899-12-30T00:03:11"/>
    <d v="1899-12-30T00:03:07"/>
    <n v="0.64159999999999995"/>
    <n v="8.6480555555555547"/>
    <n v="518.88333333333333"/>
    <n v="9.1255555555555556"/>
    <n v="547.5333333333333"/>
    <n v="1.35"/>
    <n v="1.4258680555555554"/>
    <n v="2"/>
    <n v="2"/>
    <m/>
    <m/>
    <m/>
    <m/>
    <n v="87.371955034534082"/>
    <n v="307.275976860046"/>
    <s v="Training"/>
  </r>
  <r>
    <d v="2022-09-17T00:00:00"/>
    <x v="4"/>
    <n v="7"/>
    <n v="9"/>
    <x v="37"/>
    <x v="2"/>
    <n v="161"/>
    <m/>
    <m/>
    <m/>
    <m/>
    <n v="26"/>
    <n v="1"/>
    <n v="0"/>
    <d v="1899-12-30T00:00:24"/>
    <d v="1899-12-30T00:03:03"/>
    <d v="1899-12-30T00:01:57"/>
    <n v="0.69230000000000003"/>
    <n v="1.3216666666666668"/>
    <n v="79.300000000000011"/>
    <n v="8.1841666666666661"/>
    <n v="491.04999999999995"/>
    <n v="1"/>
    <n v="1.2787760416666665"/>
    <n v="1"/>
    <n v="1"/>
    <m/>
    <m/>
    <m/>
    <m/>
    <n v="94.42954913218945"/>
    <n v="316.12447817326267"/>
    <s v="Training"/>
  </r>
  <r>
    <d v="2022-09-18T00:00:00"/>
    <x v="5"/>
    <n v="1"/>
    <n v="9"/>
    <x v="38"/>
    <x v="2"/>
    <n v="17"/>
    <m/>
    <m/>
    <m/>
    <m/>
    <n v="167"/>
    <n v="0.98240000000000005"/>
    <n v="3"/>
    <d v="1899-12-30T00:00:16"/>
    <d v="1899-12-30T00:02:47"/>
    <d v="1899-12-30T00:02:08"/>
    <n v="0.79410000000000003"/>
    <n v="7.7469444444444449"/>
    <n v="464.81666666666672"/>
    <n v="0.78861111111111115"/>
    <n v="47.31666666666667"/>
    <n v="1.21"/>
    <n v="1"/>
    <n v="2"/>
    <n v="2"/>
    <m/>
    <m/>
    <m/>
    <m/>
    <n v="8.7786621999163827"/>
    <n v="231.82968511762229"/>
    <s v="Training"/>
  </r>
  <r>
    <d v="2022-09-19T00:00:00"/>
    <x v="6"/>
    <n v="2"/>
    <n v="9"/>
    <x v="38"/>
    <x v="2"/>
    <n v="168"/>
    <m/>
    <m/>
    <m/>
    <m/>
    <n v="147"/>
    <n v="0.95450000000000002"/>
    <n v="7"/>
    <d v="1899-12-30T00:00:21"/>
    <d v="1899-12-30T00:03:02"/>
    <d v="1899-12-30T00:03:47"/>
    <n v="0.75160000000000005"/>
    <n v="7.4316666666666666"/>
    <n v="445.9"/>
    <n v="8.4933333333333323"/>
    <n v="509.59999999999991"/>
    <n v="1.1599999999999999"/>
    <n v="1.3270833333333332"/>
    <n v="2"/>
    <n v="2"/>
    <m/>
    <m/>
    <m/>
    <m/>
    <n v="98.622710111095699"/>
    <n v="325.48124371741261"/>
    <s v="Training"/>
  </r>
  <r>
    <d v="2022-09-20T00:00:00"/>
    <x v="0"/>
    <n v="3"/>
    <n v="9"/>
    <x v="38"/>
    <x v="2"/>
    <n v="160"/>
    <m/>
    <m/>
    <m/>
    <m/>
    <n v="152"/>
    <n v="0.92120000000000002"/>
    <n v="13"/>
    <d v="1899-12-30T00:00:17"/>
    <d v="1899-12-30T00:02:58"/>
    <d v="1899-12-30T00:03:40"/>
    <n v="0.8075"/>
    <n v="7.5155555555555562"/>
    <n v="450.93333333333339"/>
    <n v="7.9111111111111123"/>
    <n v="474.66666666666674"/>
    <n v="1.17"/>
    <n v="1.2361111111111114"/>
    <n v="2"/>
    <n v="2"/>
    <m/>
    <m/>
    <m/>
    <m/>
    <n v="84.395351732708505"/>
    <n v="302.47257631485257"/>
    <s v="Training"/>
  </r>
  <r>
    <d v="2022-09-21T00:00:00"/>
    <x v="1"/>
    <n v="4"/>
    <n v="9"/>
    <x v="38"/>
    <x v="2"/>
    <n v="185"/>
    <m/>
    <m/>
    <m/>
    <m/>
    <n v="143"/>
    <n v="0.93459999999999999"/>
    <n v="10"/>
    <d v="1899-12-30T00:00:19"/>
    <d v="1899-12-30T00:03:05"/>
    <d v="1899-12-30T00:03:15"/>
    <n v="0.77629999999999999"/>
    <n v="7.3486111111111123"/>
    <n v="440.91666666666674"/>
    <n v="9.5069444444444446"/>
    <n v="570.41666666666663"/>
    <n v="1.1499999999999999"/>
    <n v="1.4854600694444444"/>
    <n v="2"/>
    <n v="2"/>
    <m/>
    <m/>
    <m/>
    <m/>
    <n v="95.918617940717056"/>
    <n v="324.3608586344522"/>
    <s v="Training"/>
  </r>
  <r>
    <d v="2022-09-22T00:00:00"/>
    <x v="2"/>
    <n v="5"/>
    <n v="9"/>
    <x v="38"/>
    <x v="2"/>
    <n v="155"/>
    <m/>
    <m/>
    <m/>
    <m/>
    <n v="169"/>
    <n v="0.9657"/>
    <n v="6"/>
    <d v="1899-12-30T00:00:11"/>
    <d v="1899-12-30T00:02:17"/>
    <d v="1899-12-30T00:02:12"/>
    <n v="0.85629999999999995"/>
    <n v="6.4313888888888888"/>
    <n v="385.88333333333333"/>
    <n v="5.8986111111111112"/>
    <n v="353.91666666666669"/>
    <n v="1"/>
    <n v="1"/>
    <n v="2"/>
    <n v="1"/>
    <m/>
    <m/>
    <m/>
    <m/>
    <n v="97.099136108574925"/>
    <n v="311.76307152849051"/>
    <s v="Training"/>
  </r>
  <r>
    <d v="2022-09-23T00:00:00"/>
    <x v="3"/>
    <n v="6"/>
    <n v="9"/>
    <x v="38"/>
    <x v="2"/>
    <n v="188"/>
    <m/>
    <m/>
    <m/>
    <m/>
    <n v="214"/>
    <n v="0.88800000000000001"/>
    <n v="27"/>
    <d v="1899-12-30T00:00:29"/>
    <d v="1899-12-30T00:03:00"/>
    <d v="1899-12-30T00:14:33"/>
    <n v="0.6623"/>
    <n v="10.7"/>
    <n v="642"/>
    <n v="9.4"/>
    <n v="564"/>
    <n v="1.67"/>
    <n v="1.46875"/>
    <n v="2"/>
    <n v="2"/>
    <m/>
    <m/>
    <m/>
    <m/>
    <n v="83.524099086751391"/>
    <n v="310.77636843975989"/>
    <s v="Training"/>
  </r>
  <r>
    <d v="2022-09-24T00:00:00"/>
    <x v="4"/>
    <n v="7"/>
    <n v="9"/>
    <x v="38"/>
    <x v="2"/>
    <n v="152"/>
    <m/>
    <m/>
    <m/>
    <m/>
    <n v="14"/>
    <n v="1"/>
    <n v="0"/>
    <d v="1899-12-30T00:00:16"/>
    <d v="1899-12-30T00:02:46"/>
    <d v="1899-12-30T00:01:27"/>
    <n v="0.85709999999999997"/>
    <n v="0.64555555555555555"/>
    <n v="38.733333333333334"/>
    <n v="7.0088888888888885"/>
    <n v="420.5333333333333"/>
    <n v="1"/>
    <n v="1.0951388888888889"/>
    <n v="1"/>
    <n v="1"/>
    <m/>
    <m/>
    <m/>
    <m/>
    <n v="99.862099920587468"/>
    <n v="321.12827325838703"/>
    <s v="Training"/>
  </r>
  <r>
    <d v="2022-09-25T00:00:00"/>
    <x v="5"/>
    <n v="1"/>
    <n v="9"/>
    <x v="39"/>
    <x v="2"/>
    <n v="26"/>
    <m/>
    <m/>
    <m/>
    <m/>
    <n v="55"/>
    <n v="0.96489999999999998"/>
    <n v="2"/>
    <d v="1899-12-30T00:00:12"/>
    <d v="1899-12-30T00:02:35"/>
    <d v="1899-12-30T00:02:07"/>
    <n v="0.85960000000000003"/>
    <n v="2.3680555555555554"/>
    <n v="142.08333333333331"/>
    <n v="1.1194444444444442"/>
    <n v="67.166666666666657"/>
    <n v="1"/>
    <n v="1"/>
    <n v="2"/>
    <n v="1"/>
    <m/>
    <m/>
    <m/>
    <m/>
    <n v="10.658853998599261"/>
    <n v="232.29682805189839"/>
    <s v="Training"/>
  </r>
  <r>
    <d v="2022-09-26T00:00:00"/>
    <x v="6"/>
    <n v="2"/>
    <n v="9"/>
    <x v="39"/>
    <x v="2"/>
    <n v="152"/>
    <m/>
    <m/>
    <m/>
    <m/>
    <n v="644"/>
    <n v="0.67510000000000003"/>
    <n v="310"/>
    <d v="1899-12-30T00:01:14"/>
    <d v="1899-12-30T00:02:05"/>
    <d v="1899-12-30T00:11:12"/>
    <n v="0.26329999999999998"/>
    <n v="22.361111111111111"/>
    <n v="1341.6666666666667"/>
    <n v="5.2777777777777768"/>
    <n v="316.66666666666663"/>
    <n v="3.49"/>
    <n v="1"/>
    <n v="2"/>
    <n v="4"/>
    <m/>
    <m/>
    <m/>
    <m/>
    <n v="110.92118979387659"/>
    <n v="333.17445949428151"/>
    <s v="Training"/>
  </r>
  <r>
    <d v="2022-09-27T00:00:00"/>
    <x v="0"/>
    <n v="3"/>
    <n v="9"/>
    <x v="39"/>
    <x v="2"/>
    <n v="130"/>
    <m/>
    <m/>
    <m/>
    <m/>
    <n v="344"/>
    <n v="0.91979999999999995"/>
    <n v="30"/>
    <d v="1899-12-30T00:00:28"/>
    <d v="1899-12-30T00:03:03"/>
    <d v="1899-12-30T00:08:52"/>
    <n v="0.61850000000000005"/>
    <n v="17.486666666666668"/>
    <n v="1049.2"/>
    <n v="6.6083333333333334"/>
    <n v="396.5"/>
    <n v="2.73"/>
    <n v="1.0325520833333333"/>
    <n v="2"/>
    <n v="3"/>
    <m/>
    <m/>
    <m/>
    <m/>
    <n v="91.698664874723605"/>
    <n v="313.92613164219028"/>
    <s v="Training"/>
  </r>
  <r>
    <d v="2022-09-28T00:00:00"/>
    <x v="1"/>
    <n v="4"/>
    <n v="9"/>
    <x v="39"/>
    <x v="2"/>
    <n v="191"/>
    <m/>
    <m/>
    <m/>
    <m/>
    <n v="245"/>
    <n v="0.92449999999999999"/>
    <n v="20"/>
    <d v="1899-12-30T00:00:31"/>
    <d v="1899-12-30T00:03:05"/>
    <d v="1899-12-30T00:03:21"/>
    <n v="0.56699999999999995"/>
    <n v="12.590277777777779"/>
    <n v="755.41666666666674"/>
    <n v="9.8152777777777782"/>
    <n v="588.91666666666674"/>
    <n v="1.97"/>
    <n v="1.5336371527777779"/>
    <n v="2"/>
    <n v="2"/>
    <m/>
    <m/>
    <m/>
    <m/>
    <n v="106.28273612999639"/>
    <n v="325.84097900273349"/>
    <s v="Training"/>
  </r>
  <r>
    <d v="2022-09-29T00:00:00"/>
    <x v="2"/>
    <n v="5"/>
    <n v="9"/>
    <x v="39"/>
    <x v="2"/>
    <n v="254"/>
    <m/>
    <m/>
    <m/>
    <m/>
    <n v="205"/>
    <n v="0.9234"/>
    <n v="17"/>
    <d v="1899-12-30T00:00:20"/>
    <d v="1899-12-30T00:03:12"/>
    <d v="1899-12-30T00:02:10"/>
    <n v="0.72689999999999999"/>
    <n v="10.933333333333334"/>
    <n v="656"/>
    <n v="13.546666666666667"/>
    <n v="812.8"/>
    <n v="1.71"/>
    <n v="2.1166666666666667"/>
    <n v="2"/>
    <n v="2"/>
    <m/>
    <m/>
    <m/>
    <m/>
    <n v="98.029116183484447"/>
    <n v="320.28303140438737"/>
    <s v="Training"/>
  </r>
  <r>
    <d v="2022-09-30T00:00:00"/>
    <x v="3"/>
    <n v="6"/>
    <n v="9"/>
    <x v="39"/>
    <x v="2"/>
    <n v="213"/>
    <m/>
    <m/>
    <m/>
    <m/>
    <n v="192"/>
    <n v="0.94579999999999997"/>
    <n v="11"/>
    <d v="1899-12-30T00:00:27"/>
    <d v="1899-12-30T00:03:04"/>
    <d v="1899-12-30T00:04:07"/>
    <n v="0.68659999999999999"/>
    <n v="9.8133333333333326"/>
    <n v="588.79999999999995"/>
    <n v="10.886666666666667"/>
    <n v="653.20000000000005"/>
    <n v="1.53"/>
    <n v="1.7010416666666668"/>
    <n v="2"/>
    <n v="2"/>
    <m/>
    <m/>
    <m/>
    <m/>
    <n v="99.282859050710854"/>
    <n v="312.65511875994241"/>
    <s v="Training"/>
  </r>
  <r>
    <d v="2022-10-01T00:00:00"/>
    <x v="4"/>
    <n v="7"/>
    <n v="10"/>
    <x v="39"/>
    <x v="2"/>
    <n v="232"/>
    <m/>
    <m/>
    <m/>
    <m/>
    <n v="31"/>
    <n v="0.93940000000000001"/>
    <n v="2"/>
    <d v="1899-12-30T00:00:29"/>
    <d v="1899-12-30T00:02:15"/>
    <d v="1899-12-30T00:05:43"/>
    <n v="0.78129999999999999"/>
    <n v="1.1625000000000001"/>
    <n v="69.75"/>
    <n v="8.7000000000000011"/>
    <n v="522.00000000000011"/>
    <n v="1"/>
    <n v="1.3593750000000002"/>
    <n v="1"/>
    <n v="1"/>
    <m/>
    <m/>
    <m/>
    <m/>
    <n v="108.0097051047788"/>
    <n v="319.48634003868801"/>
    <s v="Training"/>
  </r>
  <r>
    <d v="2022-10-02T00:00:00"/>
    <x v="5"/>
    <n v="1"/>
    <n v="10"/>
    <x v="40"/>
    <x v="2"/>
    <n v="121"/>
    <m/>
    <m/>
    <m/>
    <m/>
    <n v="195"/>
    <n v="0.88639999999999997"/>
    <n v="25"/>
    <d v="1899-12-30T00:00:28"/>
    <d v="1899-12-30T00:02:45"/>
    <d v="1899-12-30T00:03:06"/>
    <n v="0.59619999999999995"/>
    <n v="8.9375"/>
    <n v="536.25"/>
    <n v="5.5458333333333334"/>
    <n v="332.75"/>
    <n v="1.4"/>
    <n v="1"/>
    <n v="2"/>
    <n v="2"/>
    <m/>
    <m/>
    <m/>
    <m/>
    <n v="16.043089512436492"/>
    <n v="231.90429331513391"/>
    <s v="Training"/>
  </r>
  <r>
    <d v="2022-10-04T00:00:00"/>
    <x v="6"/>
    <n v="3"/>
    <n v="10"/>
    <x v="40"/>
    <x v="2"/>
    <n v="63"/>
    <m/>
    <m/>
    <m/>
    <m/>
    <n v="177"/>
    <n v="0.95679999999999998"/>
    <n v="8"/>
    <d v="1899-12-30T00:00:16"/>
    <d v="1899-12-30T00:02:33"/>
    <d v="1899-12-30T00:03:08"/>
    <n v="0.80110000000000003"/>
    <n v="7.5225"/>
    <n v="451.35"/>
    <n v="2.6775000000000002"/>
    <n v="160.65"/>
    <n v="1.18"/>
    <n v="1"/>
    <n v="2"/>
    <n v="2"/>
    <m/>
    <m/>
    <m/>
    <m/>
    <n v="110.841409852881"/>
    <n v="328.40872942642881"/>
    <s v="Training"/>
  </r>
  <r>
    <d v="2022-10-05T00:00:00"/>
    <x v="0"/>
    <n v="4"/>
    <n v="10"/>
    <x v="40"/>
    <x v="2"/>
    <n v="298"/>
    <m/>
    <m/>
    <m/>
    <m/>
    <n v="172"/>
    <n v="0.84730000000000005"/>
    <n v="31"/>
    <d v="1899-12-30T00:00:34"/>
    <d v="1899-12-30T00:02:53"/>
    <d v="1899-12-30T00:05:06"/>
    <n v="0.52790000000000004"/>
    <n v="8.2655555555555562"/>
    <n v="495.93333333333339"/>
    <n v="14.320555555555558"/>
    <n v="859.23333333333346"/>
    <n v="1.29"/>
    <n v="2.2375868055555559"/>
    <n v="2"/>
    <n v="2"/>
    <m/>
    <m/>
    <m/>
    <m/>
    <n v="122.2011276131793"/>
    <n v="336.95702018752468"/>
    <s v="Training"/>
  </r>
  <r>
    <d v="2022-10-06T00:00:00"/>
    <x v="1"/>
    <n v="5"/>
    <n v="10"/>
    <x v="40"/>
    <x v="2"/>
    <n v="296"/>
    <m/>
    <m/>
    <m/>
    <m/>
    <n v="193"/>
    <n v="0.88529999999999998"/>
    <n v="25"/>
    <d v="1899-12-30T00:00:34"/>
    <d v="1899-12-30T00:02:58"/>
    <d v="1899-12-30T00:07:34"/>
    <n v="0.61970000000000003"/>
    <n v="9.5427777777777774"/>
    <n v="572.56666666666661"/>
    <n v="14.635555555555555"/>
    <n v="878.13333333333333"/>
    <n v="1.49"/>
    <n v="2.2868055555555555"/>
    <n v="2"/>
    <n v="2"/>
    <m/>
    <m/>
    <m/>
    <m/>
    <n v="109.9417255420566"/>
    <n v="336.40541777814099"/>
    <s v="Training"/>
  </r>
  <r>
    <d v="2022-10-07T00:00:00"/>
    <x v="2"/>
    <n v="6"/>
    <n v="10"/>
    <x v="40"/>
    <x v="2"/>
    <n v="46"/>
    <m/>
    <m/>
    <m/>
    <m/>
    <n v="194"/>
    <n v="0.95099999999999996"/>
    <n v="10"/>
    <d v="1899-12-30T00:00:16"/>
    <d v="1899-12-30T00:02:52"/>
    <d v="1899-12-30T00:03:06"/>
    <n v="0.81310000000000004"/>
    <n v="9.2688888888888883"/>
    <n v="556.13333333333333"/>
    <n v="2.1977777777777781"/>
    <n v="131.86666666666667"/>
    <n v="1.45"/>
    <n v="1"/>
    <n v="2"/>
    <n v="2"/>
    <m/>
    <m/>
    <m/>
    <m/>
    <n v="97.504931370138451"/>
    <n v="334.48601048403748"/>
    <s v="Training"/>
  </r>
  <r>
    <d v="2022-10-08T00:00:00"/>
    <x v="3"/>
    <n v="7"/>
    <n v="10"/>
    <x v="40"/>
    <x v="2"/>
    <n v="374"/>
    <m/>
    <m/>
    <m/>
    <m/>
    <n v="211"/>
    <n v="0.87190000000000001"/>
    <n v="31"/>
    <d v="1899-12-30T00:00:44"/>
    <d v="1899-12-30T00:02:57"/>
    <d v="1899-12-30T00:06:08"/>
    <n v="0.47699999999999998"/>
    <n v="10.374166666666667"/>
    <n v="622.45000000000005"/>
    <n v="18.388333333333339"/>
    <n v="1103.3000000000004"/>
    <n v="1.62"/>
    <n v="2.8731770833333345"/>
    <n v="2"/>
    <n v="2"/>
    <m/>
    <m/>
    <m/>
    <m/>
    <n v="114.6818380785778"/>
    <n v="341.44917185451408"/>
    <s v="Training"/>
  </r>
  <r>
    <d v="2022-10-09T00:00:00"/>
    <x v="4"/>
    <n v="1"/>
    <n v="10"/>
    <x v="41"/>
    <x v="2"/>
    <n v="193"/>
    <m/>
    <m/>
    <m/>
    <m/>
    <n v="29"/>
    <n v="1"/>
    <n v="0"/>
    <d v="1899-12-30T00:00:08"/>
    <d v="1899-12-30T00:02:40"/>
    <d v="1899-12-30T00:00:44"/>
    <n v="0.89659999999999995"/>
    <n v="1.288888888888889"/>
    <n v="77.333333333333343"/>
    <n v="8.5777777777777775"/>
    <n v="514.66666666666663"/>
    <n v="1"/>
    <n v="1.3402777777777777"/>
    <n v="1"/>
    <n v="1"/>
    <m/>
    <m/>
    <m/>
    <m/>
    <n v="26.088626513868959"/>
    <n v="254.15043768092741"/>
    <s v="Training"/>
  </r>
  <r>
    <d v="2022-10-10T00:00:00"/>
    <x v="5"/>
    <n v="2"/>
    <n v="10"/>
    <x v="41"/>
    <x v="2"/>
    <n v="159"/>
    <m/>
    <m/>
    <m/>
    <m/>
    <n v="163"/>
    <n v="0.95320000000000005"/>
    <n v="8"/>
    <d v="1899-12-30T00:00:24"/>
    <d v="1899-12-30T00:02:58"/>
    <d v="1899-12-30T00:03:19"/>
    <n v="0.69230000000000003"/>
    <n v="8.0594444444444449"/>
    <n v="483.56666666666672"/>
    <n v="7.8616666666666672"/>
    <n v="471.70000000000005"/>
    <n v="1.26"/>
    <n v="1.2283854166666668"/>
    <n v="2"/>
    <n v="2"/>
    <m/>
    <m/>
    <m/>
    <m/>
    <n v="123.0385830752512"/>
    <n v="343.04692830026329"/>
    <s v="Training"/>
  </r>
  <r>
    <d v="2022-10-11T00:00:00"/>
    <x v="6"/>
    <n v="3"/>
    <n v="10"/>
    <x v="41"/>
    <x v="2"/>
    <n v="224"/>
    <m/>
    <m/>
    <m/>
    <m/>
    <n v="166"/>
    <n v="0.87370000000000003"/>
    <n v="24"/>
    <d v="1899-12-30T00:00:46"/>
    <d v="1899-12-30T00:02:59"/>
    <d v="1899-12-30T00:09:20"/>
    <n v="0.42249999999999999"/>
    <n v="8.2538888888888895"/>
    <n v="495.23333333333335"/>
    <n v="11.137777777777778"/>
    <n v="668.26666666666665"/>
    <n v="1.29"/>
    <n v="1.7402777777777778"/>
    <n v="2"/>
    <n v="2"/>
    <m/>
    <m/>
    <m/>
    <m/>
    <n v="115.3400335047606"/>
    <n v="339.65929012910078"/>
    <s v="Training"/>
  </r>
  <r>
    <d v="2022-10-13T00:00:00"/>
    <x v="0"/>
    <n v="5"/>
    <n v="10"/>
    <x v="41"/>
    <x v="2"/>
    <n v="194"/>
    <m/>
    <m/>
    <m/>
    <m/>
    <n v="196"/>
    <n v="0.88690000000000002"/>
    <n v="25"/>
    <d v="1899-12-30T00:00:33"/>
    <d v="1899-12-30T00:02:57"/>
    <d v="1899-12-30T00:05:25"/>
    <n v="0.53669999999999995"/>
    <n v="9.6366666666666667"/>
    <n v="578.20000000000005"/>
    <n v="9.538333333333334"/>
    <n v="572.30000000000007"/>
    <n v="1.51"/>
    <n v="1.4903645833333334"/>
    <n v="2"/>
    <n v="2"/>
    <m/>
    <m/>
    <m/>
    <m/>
    <n v="127.5455905201365"/>
    <n v="341.86353237914022"/>
    <s v="Training"/>
  </r>
  <r>
    <d v="2022-10-14T00:00:00"/>
    <x v="1"/>
    <n v="6"/>
    <n v="10"/>
    <x v="41"/>
    <x v="2"/>
    <n v="390"/>
    <m/>
    <m/>
    <m/>
    <m/>
    <n v="241"/>
    <n v="0.81140000000000001"/>
    <n v="56"/>
    <d v="1899-12-30T00:00:49"/>
    <d v="1899-12-30T00:03:11"/>
    <d v="1899-12-30T00:06:52"/>
    <n v="0.44829999999999998"/>
    <n v="12.78638888888889"/>
    <n v="767.18333333333339"/>
    <n v="20.691666666666666"/>
    <n v="1241.5"/>
    <n v="2"/>
    <n v="3.2330729166666665"/>
    <n v="2"/>
    <n v="2"/>
    <m/>
    <m/>
    <m/>
    <m/>
    <n v="113.8580772581178"/>
    <n v="339.61955609735531"/>
    <s v="Training"/>
  </r>
  <r>
    <d v="2022-10-15T00:00:00"/>
    <x v="2"/>
    <n v="7"/>
    <n v="10"/>
    <x v="41"/>
    <x v="2"/>
    <n v="238"/>
    <m/>
    <m/>
    <m/>
    <m/>
    <n v="214"/>
    <n v="0.91849999999999998"/>
    <n v="19"/>
    <d v="1899-12-30T00:00:26"/>
    <d v="1899-12-30T00:02:49"/>
    <d v="1899-12-30T00:03:53"/>
    <n v="0.625"/>
    <n v="10.046111111111109"/>
    <n v="602.76666666666654"/>
    <n v="11.172777777777778"/>
    <n v="670.36666666666667"/>
    <n v="1.57"/>
    <n v="1.7457465277777777"/>
    <n v="2"/>
    <n v="2"/>
    <m/>
    <m/>
    <m/>
    <m/>
    <n v="127.38680500109059"/>
    <n v="346.01674024488858"/>
    <s v="Training"/>
  </r>
  <r>
    <d v="2022-10-16T00:00:00"/>
    <x v="3"/>
    <n v="1"/>
    <n v="10"/>
    <x v="42"/>
    <x v="2"/>
    <n v="29"/>
    <m/>
    <m/>
    <m/>
    <m/>
    <n v="191"/>
    <n v="0.96460000000000001"/>
    <n v="7"/>
    <d v="1899-12-30T00:00:14"/>
    <d v="1899-12-30T00:03:01"/>
    <d v="1899-12-30T00:02:09"/>
    <n v="0.82740000000000002"/>
    <n v="9.6030555555555548"/>
    <n v="576.18333333333328"/>
    <n v="1.4580555555555557"/>
    <n v="87.483333333333334"/>
    <n v="1.5"/>
    <n v="1"/>
    <n v="2"/>
    <n v="2"/>
    <m/>
    <m/>
    <m/>
    <m/>
    <n v="42.291863219010523"/>
    <n v="260.91487082966478"/>
    <s v="Training"/>
  </r>
  <r>
    <d v="2022-10-17T00:00:00"/>
    <x v="4"/>
    <n v="2"/>
    <n v="10"/>
    <x v="42"/>
    <x v="2"/>
    <n v="30"/>
    <m/>
    <m/>
    <m/>
    <m/>
    <n v="15"/>
    <n v="1"/>
    <n v="0"/>
    <d v="1899-12-30T00:00:04"/>
    <d v="1899-12-30T00:03:19"/>
    <d v="1899-12-30T00:00:14"/>
    <n v="1"/>
    <n v="0.82916666666666672"/>
    <n v="49.75"/>
    <n v="1.6583333333333334"/>
    <n v="99.5"/>
    <n v="1"/>
    <n v="1"/>
    <n v="1"/>
    <n v="1"/>
    <m/>
    <m/>
    <m/>
    <m/>
    <n v="145.2413841944913"/>
    <n v="358.72216470682741"/>
    <s v="Training"/>
  </r>
  <r>
    <d v="2022-10-18T00:00:00"/>
    <x v="5"/>
    <n v="3"/>
    <n v="10"/>
    <x v="42"/>
    <x v="2"/>
    <n v="287"/>
    <m/>
    <m/>
    <m/>
    <m/>
    <n v="25"/>
    <n v="0.92589999999999995"/>
    <n v="2"/>
    <d v="1899-12-30T00:00:08"/>
    <d v="1899-12-30T00:02:34"/>
    <d v="1899-12-30T00:02:04"/>
    <n v="0.88890000000000002"/>
    <n v="1.0694444444444446"/>
    <n v="64.166666666666686"/>
    <n v="12.277222222222225"/>
    <n v="736.63333333333344"/>
    <n v="1"/>
    <n v="1.9183159722222225"/>
    <n v="2"/>
    <n v="1"/>
    <m/>
    <m/>
    <m/>
    <m/>
    <n v="123.2329790153937"/>
    <n v="349.27874042465709"/>
    <s v="Training"/>
  </r>
  <r>
    <d v="2022-10-19T00:00:00"/>
    <x v="6"/>
    <n v="4"/>
    <n v="10"/>
    <x v="42"/>
    <x v="2"/>
    <n v="474"/>
    <m/>
    <m/>
    <m/>
    <m/>
    <n v="6"/>
    <n v="0.85709999999999997"/>
    <n v="1"/>
    <d v="1899-12-30T00:00:03"/>
    <d v="1899-12-30T00:04:48"/>
    <d v="1899-12-30T00:00:31"/>
    <n v="0.85709999999999997"/>
    <n v="0.48"/>
    <n v="28.799999999999997"/>
    <n v="37.92"/>
    <n v="2275.2000000000003"/>
    <n v="1"/>
    <n v="5.9250000000000007"/>
    <n v="2"/>
    <n v="1"/>
    <m/>
    <m/>
    <m/>
    <m/>
    <n v="141.44380327682049"/>
    <n v="366.68111113184131"/>
    <s v="Training"/>
  </r>
  <r>
    <d v="2022-10-20T00:00:00"/>
    <x v="0"/>
    <n v="5"/>
    <n v="10"/>
    <x v="42"/>
    <x v="2"/>
    <n v="277"/>
    <m/>
    <m/>
    <m/>
    <m/>
    <n v="144"/>
    <n v="0.85209999999999997"/>
    <n v="25"/>
    <d v="1899-12-30T00:00:33"/>
    <d v="1899-12-30T00:02:36"/>
    <d v="1899-12-30T00:08:31"/>
    <n v="0.56359999999999999"/>
    <n v="6.24"/>
    <n v="374.40000000000003"/>
    <n v="12.003333333333334"/>
    <n v="720.2"/>
    <n v="1"/>
    <n v="1.8755208333333335"/>
    <n v="2"/>
    <n v="1"/>
    <m/>
    <m/>
    <m/>
    <m/>
    <n v="138.1553603263535"/>
    <n v="352.06740189843032"/>
    <s v="Training"/>
  </r>
  <r>
    <d v="2022-10-21T00:00:00"/>
    <x v="1"/>
    <n v="6"/>
    <n v="10"/>
    <x v="42"/>
    <x v="2"/>
    <n v="173"/>
    <m/>
    <m/>
    <m/>
    <m/>
    <n v="206"/>
    <n v="0.91959999999999997"/>
    <n v="18"/>
    <d v="1899-12-30T00:00:20"/>
    <d v="1899-12-30T00:02:35"/>
    <d v="1899-12-30T00:02:26"/>
    <n v="0.70720000000000005"/>
    <n v="8.8694444444444436"/>
    <n v="532.16666666666663"/>
    <n v="7.4486111111111111"/>
    <n v="446.91666666666669"/>
    <n v="1.39"/>
    <n v="1.1638454861111112"/>
    <n v="2"/>
    <n v="2"/>
    <m/>
    <m/>
    <m/>
    <m/>
    <n v="127.56565517271009"/>
    <n v="342.95543824831992"/>
    <s v="Training"/>
  </r>
  <r>
    <d v="2022-10-22T00:00:00"/>
    <x v="2"/>
    <n v="7"/>
    <n v="10"/>
    <x v="42"/>
    <x v="2"/>
    <n v="167"/>
    <m/>
    <m/>
    <m/>
    <m/>
    <n v="160"/>
    <n v="0.94120000000000004"/>
    <n v="10"/>
    <d v="1899-12-30T00:00:28"/>
    <d v="1899-12-30T00:03:01"/>
    <d v="1899-12-30T00:05:10"/>
    <n v="0.62350000000000005"/>
    <n v="8.0444444444444443"/>
    <n v="482.66666666666663"/>
    <n v="8.3963888888888896"/>
    <n v="503.78333333333336"/>
    <n v="1.26"/>
    <n v="1.3119357638888889"/>
    <n v="2"/>
    <n v="2"/>
    <m/>
    <m/>
    <m/>
    <m/>
    <n v="127.5962624602429"/>
    <n v="351.33528105534862"/>
    <s v="Training"/>
  </r>
  <r>
    <d v="2022-10-23T00:00:00"/>
    <x v="3"/>
    <n v="1"/>
    <n v="10"/>
    <x v="43"/>
    <x v="2"/>
    <n v="27"/>
    <m/>
    <m/>
    <m/>
    <m/>
    <n v="149"/>
    <n v="0.92549999999999999"/>
    <n v="12"/>
    <d v="1899-12-30T00:00:24"/>
    <d v="1899-12-30T00:03:08"/>
    <d v="1899-12-30T00:02:34"/>
    <n v="0.68130000000000002"/>
    <n v="7.7811111111111098"/>
    <n v="466.86666666666656"/>
    <n v="1.41"/>
    <n v="84.6"/>
    <n v="1.22"/>
    <n v="1"/>
    <n v="2"/>
    <n v="2"/>
    <m/>
    <m/>
    <m/>
    <m/>
    <n v="48.349592945669819"/>
    <n v="267.73670114683938"/>
    <s v="Training"/>
  </r>
  <r>
    <d v="2022-10-24T00:00:00"/>
    <x v="4"/>
    <n v="2"/>
    <n v="10"/>
    <x v="43"/>
    <x v="2"/>
    <n v="173"/>
    <m/>
    <m/>
    <m/>
    <m/>
    <n v="35"/>
    <n v="0.94589999999999996"/>
    <n v="2"/>
    <d v="1899-12-30T00:00:12"/>
    <d v="1899-12-30T00:02:48"/>
    <d v="1899-12-30T00:01:03"/>
    <n v="0.80559999999999998"/>
    <n v="1.6333333333333331"/>
    <n v="97.999999999999986"/>
    <n v="8.0733333333333341"/>
    <n v="484.40000000000003"/>
    <n v="1"/>
    <n v="1.2614583333333333"/>
    <n v="1"/>
    <n v="1"/>
    <m/>
    <m/>
    <m/>
    <m/>
    <n v="145.7490562622439"/>
    <n v="362.72636913620022"/>
    <s v="Training"/>
  </r>
  <r>
    <d v="2022-10-25T00:00:00"/>
    <x v="5"/>
    <n v="3"/>
    <n v="10"/>
    <x v="43"/>
    <x v="2"/>
    <n v="36"/>
    <m/>
    <m/>
    <m/>
    <m/>
    <n v="169"/>
    <n v="0.92349999999999999"/>
    <n v="14"/>
    <d v="1899-12-30T00:00:32"/>
    <d v="1899-12-30T00:02:58"/>
    <d v="1899-12-30T00:04:28"/>
    <n v="0.59889999999999999"/>
    <n v="8.3561111111111117"/>
    <n v="501.36666666666667"/>
    <n v="1.7800000000000002"/>
    <n v="106.80000000000001"/>
    <n v="1.31"/>
    <n v="1"/>
    <n v="2"/>
    <n v="2"/>
    <m/>
    <m/>
    <m/>
    <m/>
    <n v="130.72523896242359"/>
    <n v="350.75533891592858"/>
    <s v="Training"/>
  </r>
  <r>
    <d v="2022-10-26T00:00:00"/>
    <x v="6"/>
    <n v="4"/>
    <n v="10"/>
    <x v="43"/>
    <x v="2"/>
    <n v="186"/>
    <m/>
    <m/>
    <m/>
    <m/>
    <n v="206"/>
    <n v="0.93210000000000004"/>
    <n v="15"/>
    <d v="1899-12-30T00:00:30"/>
    <d v="1899-12-30T00:02:54"/>
    <d v="1899-12-30T00:04:23"/>
    <n v="0.58179999999999998"/>
    <n v="9.956666666666667"/>
    <n v="597.4"/>
    <n v="8.99"/>
    <n v="539.4"/>
    <n v="1.56"/>
    <n v="1.4046874999999999"/>
    <n v="2"/>
    <n v="2"/>
    <m/>
    <m/>
    <m/>
    <m/>
    <n v="136.60091790993749"/>
    <n v="359.41101806485392"/>
    <s v="Training"/>
  </r>
  <r>
    <d v="2022-10-27T00:00:00"/>
    <x v="0"/>
    <n v="5"/>
    <n v="10"/>
    <x v="43"/>
    <x v="2"/>
    <n v="160"/>
    <m/>
    <m/>
    <m/>
    <m/>
    <n v="193"/>
    <n v="0.95540000000000003"/>
    <n v="9"/>
    <d v="1899-12-30T00:00:18"/>
    <d v="1899-12-30T00:02:53"/>
    <d v="1899-12-30T00:02:48"/>
    <n v="0.75380000000000003"/>
    <n v="9.2747222222222216"/>
    <n v="556.48333333333335"/>
    <n v="7.6888888888888891"/>
    <n v="461.33333333333337"/>
    <n v="1.45"/>
    <n v="1.2013888888888891"/>
    <n v="2"/>
    <n v="2"/>
    <m/>
    <m/>
    <m/>
    <m/>
    <n v="137.76379056939729"/>
    <n v="350.3175414610925"/>
    <s v="Training"/>
  </r>
  <r>
    <d v="2022-10-28T00:00:00"/>
    <x v="1"/>
    <n v="6"/>
    <n v="10"/>
    <x v="43"/>
    <x v="2"/>
    <n v="233"/>
    <m/>
    <m/>
    <m/>
    <m/>
    <n v="163"/>
    <n v="0.84460000000000002"/>
    <n v="30"/>
    <d v="1899-12-30T00:00:36"/>
    <d v="1899-12-30T00:03:12"/>
    <d v="1899-12-30T00:05:12"/>
    <n v="0.53400000000000003"/>
    <n v="8.6933333333333334"/>
    <n v="521.6"/>
    <n v="12.426666666666666"/>
    <n v="745.59999999999991"/>
    <n v="1.36"/>
    <n v="1.9416666666666664"/>
    <n v="2"/>
    <n v="2"/>
    <m/>
    <m/>
    <m/>
    <m/>
    <n v="126.0538732826369"/>
    <n v="345.98202747448443"/>
    <s v="Training"/>
  </r>
  <r>
    <d v="2022-10-29T00:00:00"/>
    <x v="2"/>
    <n v="7"/>
    <n v="10"/>
    <x v="43"/>
    <x v="2"/>
    <n v="162"/>
    <m/>
    <m/>
    <m/>
    <m/>
    <n v="196"/>
    <n v="0.97509999999999997"/>
    <n v="5"/>
    <d v="1899-12-30T00:00:10"/>
    <d v="1899-12-30T00:02:43"/>
    <d v="1899-12-30T00:02:32"/>
    <n v="0.89"/>
    <n v="8.8744444444444461"/>
    <n v="532.46666666666681"/>
    <n v="7.3350000000000009"/>
    <n v="440.1"/>
    <n v="1.39"/>
    <n v="1.1460937500000001"/>
    <n v="2"/>
    <n v="2"/>
    <m/>
    <m/>
    <m/>
    <m/>
    <n v="130.08795475919041"/>
    <n v="353.17373129243151"/>
    <s v="Training"/>
  </r>
  <r>
    <d v="2022-10-30T00:00:00"/>
    <x v="3"/>
    <n v="1"/>
    <n v="10"/>
    <x v="44"/>
    <x v="2"/>
    <n v="27"/>
    <m/>
    <m/>
    <m/>
    <m/>
    <n v="180"/>
    <n v="0.93259999999999998"/>
    <n v="13"/>
    <d v="1899-12-30T00:00:21"/>
    <d v="1899-12-30T00:02:42"/>
    <d v="1899-12-30T00:03:17"/>
    <n v="0.73160000000000003"/>
    <n v="8.1"/>
    <n v="486"/>
    <n v="1.2150000000000001"/>
    <n v="72.900000000000006"/>
    <n v="1.27"/>
    <n v="1"/>
    <n v="2"/>
    <n v="2"/>
    <m/>
    <m/>
    <m/>
    <m/>
    <n v="32.782368282073811"/>
    <n v="261.43740314441237"/>
    <s v="Training"/>
  </r>
  <r>
    <d v="2022-10-31T00:00:00"/>
    <x v="4"/>
    <n v="2"/>
    <n v="10"/>
    <x v="44"/>
    <x v="2"/>
    <n v="168"/>
    <m/>
    <m/>
    <m/>
    <m/>
    <n v="25"/>
    <n v="0.92589999999999995"/>
    <n v="2"/>
    <d v="1899-12-30T00:00:25"/>
    <d v="1899-12-30T00:02:03"/>
    <d v="1899-12-30T00:02:07"/>
    <n v="0.66669999999999996"/>
    <n v="0.85416666666666663"/>
    <n v="51.25"/>
    <n v="5.74"/>
    <n v="344.40000000000003"/>
    <n v="1"/>
    <n v="1"/>
    <n v="1"/>
    <n v="1"/>
    <m/>
    <m/>
    <m/>
    <m/>
    <n v="135.8347041121107"/>
    <n v="355.69035303578681"/>
    <s v="Training"/>
  </r>
  <r>
    <d v="2022-11-01T00:00:00"/>
    <x v="5"/>
    <n v="3"/>
    <n v="11"/>
    <x v="44"/>
    <x v="2"/>
    <n v="198"/>
    <m/>
    <m/>
    <m/>
    <m/>
    <n v="206"/>
    <n v="0.90749999999999997"/>
    <n v="21"/>
    <d v="1899-12-30T00:00:29"/>
    <d v="1899-12-30T00:03:01"/>
    <d v="1899-12-30T00:04:26"/>
    <n v="0.66669999999999996"/>
    <n v="10.357222222222223"/>
    <n v="621.43333333333339"/>
    <n v="9.9550000000000001"/>
    <n v="597.29999999999995"/>
    <n v="1.62"/>
    <n v="1.55546875"/>
    <n v="2"/>
    <n v="2"/>
    <m/>
    <m/>
    <m/>
    <m/>
    <n v="121.99842511435141"/>
    <n v="339.31047884907179"/>
    <s v="Training"/>
  </r>
  <r>
    <d v="2022-11-02T00:00:00"/>
    <x v="6"/>
    <n v="4"/>
    <n v="11"/>
    <x v="44"/>
    <x v="2"/>
    <n v="287"/>
    <m/>
    <m/>
    <m/>
    <m/>
    <n v="199"/>
    <n v="0.88439999999999996"/>
    <n v="26"/>
    <d v="1899-12-30T00:00:35"/>
    <d v="1899-12-30T00:02:58"/>
    <d v="1899-12-30T00:05:19"/>
    <n v="0.52680000000000005"/>
    <n v="9.839444444444446"/>
    <n v="590.36666666666679"/>
    <n v="14.190555555555555"/>
    <n v="851.43333333333328"/>
    <n v="1.54"/>
    <n v="2.2172743055555553"/>
    <n v="2"/>
    <n v="2"/>
    <m/>
    <m/>
    <m/>
    <m/>
    <n v="124.75964647664441"/>
    <n v="349.561167404625"/>
    <s v="Training"/>
  </r>
  <r>
    <d v="2022-11-04T00:00:00"/>
    <x v="0"/>
    <n v="6"/>
    <n v="11"/>
    <x v="44"/>
    <x v="2"/>
    <n v="402"/>
    <m/>
    <m/>
    <m/>
    <m/>
    <n v="193"/>
    <n v="0.94610000000000005"/>
    <n v="11"/>
    <d v="1899-12-30T00:00:33"/>
    <d v="1899-12-30T00:02:39"/>
    <d v="1899-12-30T00:05:21"/>
    <n v="0.58819999999999995"/>
    <n v="8.524166666666666"/>
    <n v="511.44999999999993"/>
    <n v="17.754999999999999"/>
    <n v="1065.3"/>
    <n v="1.33"/>
    <n v="2.7742187499999997"/>
    <n v="2"/>
    <n v="2"/>
    <m/>
    <m/>
    <m/>
    <m/>
    <n v="107.5724169130136"/>
    <n v="329.03502710084069"/>
    <s v="Training"/>
  </r>
  <r>
    <d v="2022-11-05T00:00:00"/>
    <x v="1"/>
    <n v="7"/>
    <n v="11"/>
    <x v="44"/>
    <x v="2"/>
    <n v="308"/>
    <m/>
    <m/>
    <m/>
    <m/>
    <n v="194"/>
    <n v="0.87780000000000002"/>
    <n v="27"/>
    <d v="1899-12-30T00:00:29"/>
    <d v="1899-12-30T00:02:48"/>
    <d v="1899-12-30T00:05:05"/>
    <n v="0.60729999999999995"/>
    <n v="9.0533333333333328"/>
    <n v="543.19999999999993"/>
    <n v="14.373333333333333"/>
    <n v="862.4"/>
    <n v="1.41"/>
    <n v="2.2458333333333331"/>
    <n v="2"/>
    <n v="2"/>
    <m/>
    <m/>
    <m/>
    <m/>
    <n v="111.2857160251427"/>
    <n v="337.59304895652372"/>
    <s v="Training"/>
  </r>
  <r>
    <d v="2022-11-06T00:00:00"/>
    <x v="2"/>
    <n v="1"/>
    <n v="11"/>
    <x v="45"/>
    <x v="2"/>
    <n v="264"/>
    <m/>
    <m/>
    <m/>
    <m/>
    <n v="154"/>
    <n v="0.89529999999999998"/>
    <n v="18"/>
    <d v="1899-12-30T00:00:34"/>
    <d v="1899-12-30T00:03:09"/>
    <d v="1899-12-30T00:03:06"/>
    <n v="0.54169999999999996"/>
    <n v="8.0850000000000009"/>
    <n v="485.1"/>
    <n v="13.86"/>
    <n v="831.59999999999991"/>
    <n v="1.26"/>
    <n v="2.1656249999999999"/>
    <n v="2"/>
    <n v="2"/>
    <m/>
    <m/>
    <m/>
    <m/>
    <n v="29.570415035148709"/>
    <n v="245.62929437720521"/>
    <s v="Training"/>
  </r>
  <r>
    <d v="2022-11-07T00:00:00"/>
    <x v="3"/>
    <n v="2"/>
    <n v="11"/>
    <x v="45"/>
    <x v="2"/>
    <n v="357"/>
    <m/>
    <m/>
    <m/>
    <m/>
    <n v="150"/>
    <n v="0.93169999999999997"/>
    <n v="11"/>
    <d v="1899-12-30T00:00:36"/>
    <d v="1899-12-30T00:02:51"/>
    <d v="1899-12-30T00:05:53"/>
    <n v="0.52800000000000002"/>
    <n v="7.125"/>
    <n v="427.5"/>
    <n v="16.957500000000003"/>
    <n v="1017.4500000000002"/>
    <n v="1.1100000000000001"/>
    <n v="2.6496093750000003"/>
    <n v="2"/>
    <n v="2"/>
    <m/>
    <m/>
    <m/>
    <m/>
    <n v="121.2724772481297"/>
    <n v="350.21939070355671"/>
    <s v="Training"/>
  </r>
  <r>
    <d v="2022-11-08T00:00:00"/>
    <x v="4"/>
    <n v="3"/>
    <n v="11"/>
    <x v="45"/>
    <x v="2"/>
    <n v="265"/>
    <m/>
    <m/>
    <m/>
    <m/>
    <n v="14"/>
    <n v="0.82350000000000001"/>
    <n v="3"/>
    <d v="1899-12-30T00:00:47"/>
    <d v="1899-12-30T00:03:08"/>
    <d v="1899-12-30T00:02:52"/>
    <n v="0.4118"/>
    <n v="0.73111111111111116"/>
    <n v="43.866666666666667"/>
    <n v="13.838888888888887"/>
    <n v="830.33333333333326"/>
    <n v="1"/>
    <n v="2.1623263888888888"/>
    <n v="1"/>
    <n v="1"/>
    <m/>
    <m/>
    <m/>
    <m/>
    <n v="109.6981058349523"/>
    <n v="322.22096975149219"/>
    <s v="Training"/>
  </r>
  <r>
    <d v="2022-11-09T00:00:00"/>
    <x v="5"/>
    <n v="4"/>
    <n v="11"/>
    <x v="45"/>
    <x v="2"/>
    <n v="27"/>
    <m/>
    <m/>
    <m/>
    <m/>
    <n v="145"/>
    <n v="0.86309999999999998"/>
    <n v="23"/>
    <d v="1899-12-30T00:00:38"/>
    <d v="1899-12-30T00:02:57"/>
    <d v="1899-12-30T00:04:08"/>
    <n v="0.50609999999999999"/>
    <n v="7.1291666666666673"/>
    <n v="427.75000000000006"/>
    <n v="1.3275000000000003"/>
    <n v="79.65000000000002"/>
    <n v="1.1100000000000001"/>
    <n v="1"/>
    <n v="2"/>
    <n v="2"/>
    <m/>
    <m/>
    <m/>
    <m/>
    <n v="118.6223934385884"/>
    <n v="330.97967796920472"/>
    <s v="Training"/>
  </r>
  <r>
    <d v="2022-11-10T00:00:00"/>
    <x v="6"/>
    <n v="5"/>
    <n v="11"/>
    <x v="45"/>
    <x v="2"/>
    <n v="143"/>
    <m/>
    <m/>
    <m/>
    <m/>
    <n v="142"/>
    <n v="0.88749999999999996"/>
    <n v="18"/>
    <d v="1899-12-30T00:00:33"/>
    <d v="1899-12-30T00:02:44"/>
    <d v="1899-12-30T00:09:18"/>
    <n v="0.54139999999999999"/>
    <n v="6.4688888888888885"/>
    <n v="388.13333333333333"/>
    <n v="6.514444444444444"/>
    <n v="390.86666666666662"/>
    <n v="1.01"/>
    <n v="1.0178819444444442"/>
    <n v="2"/>
    <n v="2"/>
    <m/>
    <m/>
    <m/>
    <m/>
    <n v="111.9785585533202"/>
    <n v="330.68035367480428"/>
    <s v="Training"/>
  </r>
  <r>
    <d v="2022-11-11T00:00:00"/>
    <x v="0"/>
    <n v="6"/>
    <n v="11"/>
    <x v="45"/>
    <x v="2"/>
    <n v="277"/>
    <m/>
    <m/>
    <m/>
    <m/>
    <n v="159"/>
    <n v="0.85950000000000004"/>
    <n v="26"/>
    <d v="1899-12-30T00:00:41"/>
    <d v="1899-12-30T00:02:56"/>
    <d v="1899-12-30T00:05:43"/>
    <n v="0.42699999999999999"/>
    <n v="7.7733333333333325"/>
    <n v="466.4"/>
    <n v="13.542222222222222"/>
    <n v="812.5333333333333"/>
    <n v="1.21"/>
    <n v="2.1159722222222221"/>
    <n v="2"/>
    <n v="2"/>
    <m/>
    <m/>
    <m/>
    <m/>
    <n v="102.3246122271743"/>
    <n v="324.15215889682628"/>
    <s v="Training"/>
  </r>
  <r>
    <d v="2022-11-12T00:00:00"/>
    <x v="1"/>
    <n v="7"/>
    <n v="11"/>
    <x v="45"/>
    <x v="2"/>
    <n v="150"/>
    <m/>
    <m/>
    <m/>
    <m/>
    <n v="146"/>
    <n v="0.94189999999999996"/>
    <n v="9"/>
    <d v="1899-12-30T00:00:28"/>
    <d v="1899-12-30T00:02:49"/>
    <d v="1899-12-30T00:03:27"/>
    <n v="0.65159999999999996"/>
    <n v="6.8538888888888891"/>
    <n v="411.23333333333335"/>
    <n v="7.0416666666666661"/>
    <n v="422.49999999999994"/>
    <n v="1.07"/>
    <n v="1.1002604166666665"/>
    <n v="2"/>
    <n v="2"/>
    <m/>
    <m/>
    <m/>
    <m/>
    <n v="106.6800767328868"/>
    <n v="327.1791531433941"/>
    <s v="Training"/>
  </r>
  <r>
    <d v="2022-11-13T00:00:00"/>
    <x v="2"/>
    <n v="1"/>
    <n v="11"/>
    <x v="46"/>
    <x v="2"/>
    <n v="26"/>
    <m/>
    <m/>
    <m/>
    <m/>
    <n v="172"/>
    <n v="0.91490000000000005"/>
    <n v="16"/>
    <d v="1899-12-30T00:00:28"/>
    <d v="1899-12-30T00:02:39"/>
    <d v="1899-12-30T00:03:04"/>
    <n v="0.5978"/>
    <n v="7.5966666666666658"/>
    <n v="455.79999999999995"/>
    <n v="1.1483333333333334"/>
    <n v="68.900000000000006"/>
    <n v="1.19"/>
    <n v="1"/>
    <n v="2"/>
    <n v="2"/>
    <m/>
    <m/>
    <m/>
    <m/>
    <n v="8.4510557681317966"/>
    <n v="232.70926505044599"/>
    <s v="Training"/>
  </r>
  <r>
    <d v="2022-11-14T00:00:00"/>
    <x v="3"/>
    <n v="2"/>
    <n v="11"/>
    <x v="46"/>
    <x v="2"/>
    <n v="177"/>
    <m/>
    <m/>
    <m/>
    <m/>
    <n v="120"/>
    <n v="0.78949999999999998"/>
    <n v="32"/>
    <d v="1899-12-30T00:00:29"/>
    <d v="1899-12-30T00:02:54"/>
    <d v="1899-12-30T00:06:35"/>
    <n v="0.53059999999999996"/>
    <n v="5.8"/>
    <n v="348"/>
    <n v="8.5549999999999997"/>
    <n v="513.29999999999995"/>
    <n v="1"/>
    <n v="1.33671875"/>
    <n v="2"/>
    <n v="1"/>
    <m/>
    <m/>
    <m/>
    <m/>
    <n v="109.79442943233229"/>
    <n v="339.89152206737231"/>
    <s v="Training"/>
  </r>
  <r>
    <d v="2022-11-15T00:00:00"/>
    <x v="4"/>
    <n v="3"/>
    <n v="11"/>
    <x v="46"/>
    <x v="2"/>
    <n v="149"/>
    <m/>
    <m/>
    <m/>
    <m/>
    <n v="26"/>
    <n v="1"/>
    <n v="0"/>
    <d v="1899-12-30T00:00:17"/>
    <d v="1899-12-30T00:03:01"/>
    <d v="1899-12-30T00:01:18"/>
    <n v="0.80769999999999997"/>
    <n v="1.3072222222222223"/>
    <n v="78.433333333333337"/>
    <n v="7.4913888888888893"/>
    <n v="449.48333333333335"/>
    <n v="1"/>
    <n v="1.1705295138888889"/>
    <n v="1"/>
    <n v="1"/>
    <m/>
    <m/>
    <m/>
    <m/>
    <n v="106.512670058675"/>
    <n v="323.32524566080059"/>
    <s v="Training"/>
  </r>
  <r>
    <d v="2022-11-16T00:00:00"/>
    <x v="5"/>
    <n v="4"/>
    <n v="11"/>
    <x v="46"/>
    <x v="2"/>
    <n v="147"/>
    <m/>
    <m/>
    <m/>
    <m/>
    <n v="140"/>
    <n v="0.92110000000000003"/>
    <n v="12"/>
    <d v="1899-12-30T00:00:21"/>
    <d v="1899-12-30T00:02:58"/>
    <d v="1899-12-30T00:06:40"/>
    <n v="0.70669999999999999"/>
    <n v="6.9222222222222225"/>
    <n v="415.33333333333337"/>
    <n v="7.2683333333333335"/>
    <n v="436.1"/>
    <n v="1.08"/>
    <n v="1.1356770833333334"/>
    <n v="2"/>
    <n v="2"/>
    <m/>
    <m/>
    <m/>
    <m/>
    <n v="108.3548459358372"/>
    <n v="325.35623983847188"/>
    <s v="Training"/>
  </r>
  <r>
    <d v="2022-11-17T00:00:00"/>
    <x v="6"/>
    <n v="5"/>
    <n v="11"/>
    <x v="46"/>
    <x v="2"/>
    <n v="140"/>
    <m/>
    <m/>
    <m/>
    <m/>
    <n v="125"/>
    <n v="0.96150000000000002"/>
    <n v="5"/>
    <d v="1899-12-30T00:00:08"/>
    <d v="1899-12-30T00:02:39"/>
    <d v="1899-12-30T00:01:02"/>
    <n v="0.92"/>
    <n v="5.520833333333333"/>
    <n v="331.25"/>
    <n v="6.1833333333333327"/>
    <n v="370.99999999999994"/>
    <n v="1"/>
    <n v="1"/>
    <n v="2"/>
    <n v="1"/>
    <m/>
    <m/>
    <m/>
    <m/>
    <n v="100.3250363460815"/>
    <n v="324.50688414839152"/>
    <s v="Training"/>
  </r>
  <r>
    <d v="2022-11-18T00:00:00"/>
    <x v="0"/>
    <n v="6"/>
    <n v="11"/>
    <x v="46"/>
    <x v="2"/>
    <n v="177"/>
    <m/>
    <m/>
    <m/>
    <m/>
    <n v="187"/>
    <n v="0.97909999999999997"/>
    <n v="4"/>
    <d v="1899-12-30T00:00:18"/>
    <d v="1899-12-30T00:02:33"/>
    <d v="1899-12-30T00:02:53"/>
    <n v="0.83069999999999999"/>
    <n v="7.9474999999999989"/>
    <n v="476.84999999999991"/>
    <n v="7.5225"/>
    <n v="451.35"/>
    <n v="1.24"/>
    <n v="1.1753906250000001"/>
    <n v="2"/>
    <n v="2"/>
    <m/>
    <m/>
    <m/>
    <m/>
    <n v="104.9893895489289"/>
    <n v="309.76496420537347"/>
    <s v="Training"/>
  </r>
  <r>
    <d v="2022-11-19T00:00:00"/>
    <x v="1"/>
    <n v="7"/>
    <n v="11"/>
    <x v="46"/>
    <x v="2"/>
    <n v="169"/>
    <m/>
    <m/>
    <m/>
    <m/>
    <n v="227"/>
    <n v="0.89370000000000005"/>
    <n v="27"/>
    <d v="1899-12-30T00:00:33"/>
    <d v="1899-12-30T00:02:57"/>
    <d v="1899-12-30T00:04:35"/>
    <n v="0.56569999999999998"/>
    <n v="11.160833333333333"/>
    <n v="669.65"/>
    <n v="8.3091666666666679"/>
    <n v="498.55000000000007"/>
    <n v="1.74"/>
    <n v="1.2983072916666669"/>
    <n v="2"/>
    <n v="2"/>
    <m/>
    <m/>
    <m/>
    <m/>
    <n v="105.6885100080527"/>
    <n v="328.35329487273469"/>
    <s v="Training"/>
  </r>
  <r>
    <d v="2022-11-20T00:00:00"/>
    <x v="2"/>
    <n v="1"/>
    <n v="11"/>
    <x v="47"/>
    <x v="2"/>
    <n v="26"/>
    <m/>
    <m/>
    <m/>
    <m/>
    <n v="188"/>
    <n v="0.88260000000000005"/>
    <n v="25"/>
    <d v="1899-12-30T00:00:30"/>
    <d v="1899-12-30T00:02:52"/>
    <d v="1899-12-30T00:05:10"/>
    <n v="0.54810000000000003"/>
    <n v="8.982222222222223"/>
    <n v="538.93333333333339"/>
    <n v="1.2422222222222221"/>
    <n v="74.533333333333331"/>
    <n v="1.4"/>
    <n v="1"/>
    <n v="2"/>
    <n v="2"/>
    <m/>
    <m/>
    <m/>
    <m/>
    <n v="16.514746279486442"/>
    <n v="233.49189812783709"/>
    <s v="Training"/>
  </r>
  <r>
    <d v="2022-11-21T00:00:00"/>
    <x v="3"/>
    <n v="2"/>
    <n v="11"/>
    <x v="47"/>
    <x v="2"/>
    <n v="147"/>
    <m/>
    <m/>
    <m/>
    <m/>
    <n v="151"/>
    <n v="0.85799999999999998"/>
    <n v="25"/>
    <d v="1899-12-30T00:00:32"/>
    <d v="1899-12-30T00:02:45"/>
    <d v="1899-12-30T00:06:12"/>
    <n v="0.5575"/>
    <n v="6.9208333333333334"/>
    <n v="415.25"/>
    <n v="6.7374999999999989"/>
    <n v="404.24999999999994"/>
    <n v="1.08"/>
    <n v="1.0527343749999998"/>
    <n v="2"/>
    <n v="2"/>
    <m/>
    <m/>
    <m/>
    <m/>
    <n v="115.3252001132083"/>
    <n v="330.82128859225048"/>
    <s v="Training"/>
  </r>
  <r>
    <d v="2022-11-22T00:00:00"/>
    <x v="4"/>
    <n v="3"/>
    <n v="11"/>
    <x v="47"/>
    <x v="2"/>
    <n v="127"/>
    <m/>
    <m/>
    <m/>
    <m/>
    <n v="59"/>
    <n v="0.96719999999999995"/>
    <n v="2"/>
    <d v="1899-12-30T00:00:16"/>
    <d v="1899-12-30T00:01:31"/>
    <d v="1899-12-30T00:03:06"/>
    <n v="0.80330000000000001"/>
    <n v="1.4913888888888889"/>
    <n v="89.483333333333334"/>
    <n v="3.2102777777777778"/>
    <n v="192.61666666666667"/>
    <n v="1"/>
    <n v="1"/>
    <n v="1"/>
    <n v="1"/>
    <m/>
    <m/>
    <m/>
    <m/>
    <n v="100.0627071533756"/>
    <n v="314.79486012562529"/>
    <s v="Training"/>
  </r>
  <r>
    <d v="2022-11-23T00:00:00"/>
    <x v="5"/>
    <n v="4"/>
    <n v="11"/>
    <x v="47"/>
    <x v="2"/>
    <n v="141"/>
    <m/>
    <m/>
    <m/>
    <m/>
    <n v="154"/>
    <n v="0.92769999999999997"/>
    <n v="12"/>
    <d v="1899-12-30T00:00:28"/>
    <d v="1899-12-30T00:02:56"/>
    <d v="1899-12-30T00:03:16"/>
    <n v="0.61819999999999997"/>
    <n v="7.5288888888888881"/>
    <n v="451.73333333333329"/>
    <n v="6.8933333333333335"/>
    <n v="413.6"/>
    <n v="1.18"/>
    <n v="1.0770833333333334"/>
    <n v="2"/>
    <n v="2"/>
    <m/>
    <m/>
    <m/>
    <m/>
    <n v="113.71500661271639"/>
    <n v="330.56610990371041"/>
    <s v="Training"/>
  </r>
  <r>
    <d v="2022-11-24T00:00:00"/>
    <x v="6"/>
    <n v="5"/>
    <n v="11"/>
    <x v="47"/>
    <x v="2"/>
    <n v="208"/>
    <m/>
    <m/>
    <m/>
    <m/>
    <n v="172"/>
    <n v="0.90049999999999997"/>
    <n v="19"/>
    <d v="1899-12-30T00:00:21"/>
    <d v="1899-12-30T00:02:40"/>
    <d v="1899-12-30T00:03:23"/>
    <n v="0.73770000000000002"/>
    <n v="7.6444444444444448"/>
    <n v="458.66666666666669"/>
    <n v="9.2444444444444436"/>
    <n v="554.66666666666663"/>
    <n v="1.19"/>
    <n v="1.4444444444444444"/>
    <n v="2"/>
    <n v="2"/>
    <m/>
    <m/>
    <m/>
    <m/>
    <n v="105.4597472626766"/>
    <n v="328.09966706766431"/>
    <s v="Training"/>
  </r>
  <r>
    <d v="2022-11-25T00:00:00"/>
    <x v="0"/>
    <n v="6"/>
    <n v="11"/>
    <x v="47"/>
    <x v="2"/>
    <n v="178"/>
    <m/>
    <m/>
    <m/>
    <m/>
    <n v="157"/>
    <n v="0.91810000000000003"/>
    <n v="14"/>
    <d v="1899-12-30T00:00:19"/>
    <d v="1899-12-30T00:02:34"/>
    <d v="1899-12-30T00:02:07"/>
    <n v="0.72619999999999996"/>
    <n v="6.7161111111111111"/>
    <n v="402.9666666666667"/>
    <n v="7.6144444444444446"/>
    <n v="456.86666666666667"/>
    <n v="1.05"/>
    <n v="1.1897569444444445"/>
    <n v="2"/>
    <n v="2"/>
    <m/>
    <m/>
    <m/>
    <m/>
    <n v="105.8645084918266"/>
    <n v="329.76916763874868"/>
    <s v="Training"/>
  </r>
  <r>
    <d v="2022-11-26T00:00:00"/>
    <x v="1"/>
    <n v="7"/>
    <n v="11"/>
    <x v="47"/>
    <x v="2"/>
    <n v="198"/>
    <m/>
    <m/>
    <m/>
    <m/>
    <n v="124"/>
    <n v="0.8105"/>
    <n v="29"/>
    <d v="1899-12-30T00:00:50"/>
    <d v="1899-12-30T00:03:04"/>
    <d v="1899-12-30T00:06:01"/>
    <n v="0.45329999999999998"/>
    <n v="6.3377777777777782"/>
    <n v="380.26666666666671"/>
    <n v="10.119999999999999"/>
    <n v="607.19999999999993"/>
    <n v="1"/>
    <n v="1.5812499999999998"/>
    <n v="2"/>
    <n v="1"/>
    <m/>
    <m/>
    <m/>
    <m/>
    <n v="111.2419799570885"/>
    <n v="328.55753866919378"/>
    <s v="Training"/>
  </r>
  <r>
    <d v="2022-11-27T00:00:00"/>
    <x v="2"/>
    <n v="1"/>
    <n v="11"/>
    <x v="48"/>
    <x v="2"/>
    <n v="21"/>
    <m/>
    <m/>
    <m/>
    <m/>
    <n v="158"/>
    <n v="0.86339999999999995"/>
    <n v="25"/>
    <d v="1899-12-30T00:00:33"/>
    <d v="1899-12-30T00:02:52"/>
    <d v="1899-12-30T00:05:10"/>
    <n v="0.51910000000000001"/>
    <n v="7.5488888888888903"/>
    <n v="452.93333333333339"/>
    <n v="1.0033333333333334"/>
    <n v="60.2"/>
    <n v="1.18"/>
    <n v="1"/>
    <n v="2"/>
    <n v="2"/>
    <m/>
    <m/>
    <m/>
    <m/>
    <n v="19.164329892258401"/>
    <n v="242.7949662235099"/>
    <s v="Training"/>
  </r>
  <r>
    <d v="2022-11-28T00:00:00"/>
    <x v="3"/>
    <n v="2"/>
    <n v="11"/>
    <x v="48"/>
    <x v="2"/>
    <n v="171"/>
    <m/>
    <m/>
    <m/>
    <m/>
    <n v="14"/>
    <n v="1"/>
    <n v="0"/>
    <d v="1899-12-30T00:00:15"/>
    <d v="1899-12-30T00:03:43"/>
    <d v="1899-12-30T00:01:32"/>
    <n v="0.85709999999999997"/>
    <n v="0.86722222222222223"/>
    <n v="52.033333333333331"/>
    <n v="10.592499999999999"/>
    <n v="635.54999999999995"/>
    <n v="1"/>
    <n v="1.655078125"/>
    <n v="2"/>
    <n v="1"/>
    <m/>
    <m/>
    <m/>
    <m/>
    <n v="127.3861123779957"/>
    <n v="352.10271879713628"/>
    <s v="Training"/>
  </r>
  <r>
    <d v="2022-11-29T00:00:00"/>
    <x v="4"/>
    <n v="3"/>
    <n v="11"/>
    <x v="48"/>
    <x v="2"/>
    <n v="200"/>
    <m/>
    <m/>
    <m/>
    <m/>
    <n v="18"/>
    <n v="1"/>
    <n v="0"/>
    <d v="1899-12-30T00:00:03"/>
    <d v="1899-12-30T00:02:56"/>
    <d v="1899-12-30T00:00:06"/>
    <n v="1"/>
    <n v="0.88"/>
    <n v="52.8"/>
    <n v="9.7777777777777786"/>
    <n v="586.66666666666674"/>
    <n v="1"/>
    <n v="1.5277777777777779"/>
    <n v="1"/>
    <n v="1"/>
    <m/>
    <m/>
    <m/>
    <m/>
    <n v="123.4431563045468"/>
    <n v="329.64549223372069"/>
    <s v="Training"/>
  </r>
  <r>
    <d v="2022-11-30T00:00:00"/>
    <x v="5"/>
    <n v="4"/>
    <n v="11"/>
    <x v="48"/>
    <x v="2"/>
    <n v="166"/>
    <m/>
    <m/>
    <m/>
    <m/>
    <n v="148"/>
    <n v="0.93079999999999996"/>
    <n v="11"/>
    <d v="1899-12-30T00:00:22"/>
    <d v="1899-12-30T00:02:36"/>
    <d v="1899-12-30T00:03:15"/>
    <n v="0.69430000000000003"/>
    <n v="6.4133333333333322"/>
    <n v="384.79999999999995"/>
    <n v="7.1933333333333334"/>
    <n v="431.6"/>
    <n v="1"/>
    <n v="1.1239583333333334"/>
    <n v="2"/>
    <n v="1"/>
    <m/>
    <m/>
    <m/>
    <m/>
    <n v="129.9732384081149"/>
    <n v="351.71871241250892"/>
    <s v="Training"/>
  </r>
  <r>
    <d v="2022-12-01T00:00:00"/>
    <x v="6"/>
    <n v="5"/>
    <n v="12"/>
    <x v="48"/>
    <x v="2"/>
    <n v="171"/>
    <m/>
    <m/>
    <m/>
    <m/>
    <n v="134"/>
    <n v="0.93710000000000004"/>
    <n v="9"/>
    <d v="1899-12-30T00:00:22"/>
    <d v="1899-12-30T00:02:51"/>
    <d v="1899-12-30T00:05:10"/>
    <n v="0.74099999999999999"/>
    <n v="6.3650000000000011"/>
    <n v="381.90000000000009"/>
    <n v="8.1225000000000005"/>
    <n v="487.35"/>
    <n v="1"/>
    <n v="1.2691406250000001"/>
    <n v="2"/>
    <n v="1"/>
    <m/>
    <m/>
    <m/>
    <m/>
    <n v="125.6735959554652"/>
    <n v="341.69349067464168"/>
    <s v="Training"/>
  </r>
  <r>
    <d v="2022-12-02T00:00:00"/>
    <x v="0"/>
    <n v="6"/>
    <n v="12"/>
    <x v="48"/>
    <x v="2"/>
    <n v="298"/>
    <m/>
    <m/>
    <m/>
    <m/>
    <n v="175"/>
    <n v="0.89739999999999998"/>
    <n v="20"/>
    <d v="1899-12-30T00:00:29"/>
    <d v="1899-12-30T00:02:47"/>
    <d v="1899-12-30T00:04:11"/>
    <n v="0.61580000000000001"/>
    <n v="8.1180555555555554"/>
    <n v="487.08333333333331"/>
    <n v="13.823888888888888"/>
    <n v="829.43333333333328"/>
    <n v="1.27"/>
    <n v="2.1599826388888888"/>
    <n v="2"/>
    <n v="2"/>
    <m/>
    <m/>
    <m/>
    <m/>
    <n v="119.25069709577841"/>
    <n v="342.19963425596512"/>
    <s v="Training"/>
  </r>
  <r>
    <d v="2022-12-04T00:00:00"/>
    <x v="1"/>
    <n v="1"/>
    <n v="12"/>
    <x v="49"/>
    <x v="2"/>
    <n v="413"/>
    <m/>
    <m/>
    <m/>
    <m/>
    <n v="150"/>
    <n v="0.7732"/>
    <n v="44"/>
    <d v="1899-12-30T00:00:37"/>
    <d v="1899-12-30T00:02:47"/>
    <d v="1899-12-30T00:04:17"/>
    <n v="0.47339999999999999"/>
    <n v="6.9583333333333339"/>
    <n v="417.50000000000006"/>
    <n v="19.15861111111111"/>
    <n v="1149.5166666666667"/>
    <n v="1.0900000000000001"/>
    <n v="2.9935329861111111"/>
    <n v="2"/>
    <n v="2"/>
    <m/>
    <m/>
    <m/>
    <m/>
    <n v="35.697914879392563"/>
    <n v="257.42466521157581"/>
    <s v="Training"/>
  </r>
  <r>
    <d v="2022-12-05T00:00:00"/>
    <x v="2"/>
    <n v="2"/>
    <n v="12"/>
    <x v="49"/>
    <x v="2"/>
    <n v="259"/>
    <m/>
    <m/>
    <m/>
    <m/>
    <n v="362"/>
    <n v="0.92820000000000003"/>
    <n v="28"/>
    <d v="1899-12-30T00:00:31"/>
    <d v="1899-12-30T00:02:50"/>
    <d v="1899-12-30T00:05:46"/>
    <n v="0.5948"/>
    <n v="17.094444444444441"/>
    <n v="1025.6666666666665"/>
    <n v="12.230555555555556"/>
    <n v="733.83333333333337"/>
    <n v="2.67"/>
    <n v="1.9110243055555556"/>
    <n v="2"/>
    <n v="3"/>
    <m/>
    <m/>
    <m/>
    <m/>
    <n v="142.7965873004845"/>
    <n v="363.70452990164739"/>
    <s v="Training"/>
  </r>
  <r>
    <d v="2022-12-06T00:00:00"/>
    <x v="3"/>
    <n v="3"/>
    <n v="12"/>
    <x v="49"/>
    <x v="2"/>
    <n v="52"/>
    <m/>
    <m/>
    <m/>
    <m/>
    <n v="205"/>
    <n v="0.86129999999999995"/>
    <n v="33"/>
    <d v="1899-12-30T00:00:29"/>
    <d v="1899-12-30T00:02:18"/>
    <d v="1899-12-30T00:05:10"/>
    <n v="0.60870000000000002"/>
    <n v="7.8583333333333334"/>
    <n v="471.5"/>
    <n v="1.9933333333333336"/>
    <n v="119.60000000000002"/>
    <n v="1.23"/>
    <n v="1"/>
    <n v="2"/>
    <n v="2"/>
    <m/>
    <m/>
    <m/>
    <m/>
    <n v="128.36404760434459"/>
    <n v="350.8335320796669"/>
    <s v="Training"/>
  </r>
  <r>
    <d v="2022-12-07T00:00:00"/>
    <x v="4"/>
    <n v="4"/>
    <n v="12"/>
    <x v="49"/>
    <x v="2"/>
    <n v="280"/>
    <m/>
    <m/>
    <m/>
    <m/>
    <n v="28"/>
    <n v="0.96550000000000002"/>
    <n v="1"/>
    <d v="1899-12-30T00:00:09"/>
    <d v="1899-12-30T00:02:28"/>
    <d v="1899-12-30T00:01:05"/>
    <n v="0.89290000000000003"/>
    <n v="1.1511111111111112"/>
    <n v="69.066666666666677"/>
    <n v="11.511111111111111"/>
    <n v="690.66666666666663"/>
    <n v="1"/>
    <n v="1.7986111111111109"/>
    <n v="1"/>
    <n v="1"/>
    <m/>
    <m/>
    <m/>
    <m/>
    <n v="141.76693605755159"/>
    <n v="355.330110123569"/>
    <s v="Training"/>
  </r>
  <r>
    <d v="2022-12-08T00:00:00"/>
    <x v="5"/>
    <n v="5"/>
    <n v="12"/>
    <x v="49"/>
    <x v="2"/>
    <n v="222"/>
    <m/>
    <m/>
    <m/>
    <m/>
    <n v="29"/>
    <n v="0.9667"/>
    <n v="1"/>
    <d v="1899-12-30T00:00:19"/>
    <d v="1899-12-30T00:02:30"/>
    <d v="1899-12-30T00:02:31"/>
    <n v="0.83330000000000004"/>
    <n v="1.208333333333333"/>
    <n v="72.499999999999986"/>
    <n v="9.25"/>
    <n v="555"/>
    <n v="1"/>
    <n v="1.4453125"/>
    <n v="2"/>
    <n v="1"/>
    <m/>
    <m/>
    <m/>
    <m/>
    <n v="137.45093502029351"/>
    <n v="348.70936325602992"/>
    <s v="Training"/>
  </r>
  <r>
    <d v="2022-12-09T00:00:00"/>
    <x v="6"/>
    <n v="6"/>
    <n v="12"/>
    <x v="49"/>
    <x v="2"/>
    <n v="227"/>
    <m/>
    <m/>
    <m/>
    <m/>
    <n v="273"/>
    <n v="0.95120000000000005"/>
    <n v="14"/>
    <d v="1899-12-30T00:00:16"/>
    <d v="1899-12-30T00:02:20"/>
    <d v="1899-12-30T00:03:06"/>
    <n v="0.79"/>
    <n v="10.616666666666667"/>
    <n v="637"/>
    <n v="8.8277777777777775"/>
    <n v="529.66666666666663"/>
    <n v="1.66"/>
    <n v="1.3793402777777777"/>
    <n v="2"/>
    <n v="2"/>
    <m/>
    <m/>
    <m/>
    <m/>
    <n v="129.69123877443701"/>
    <n v="350.39538966822357"/>
    <s v="Training"/>
  </r>
  <r>
    <d v="2022-12-10T00:00:00"/>
    <x v="0"/>
    <n v="7"/>
    <n v="12"/>
    <x v="49"/>
    <x v="2"/>
    <n v="195"/>
    <m/>
    <m/>
    <m/>
    <m/>
    <n v="380"/>
    <n v="0.80169999999999997"/>
    <n v="94"/>
    <d v="1899-12-30T00:00:39"/>
    <d v="1899-12-30T00:02:08"/>
    <d v="1899-12-30T00:07:58"/>
    <n v="0.47420000000000001"/>
    <n v="13.511111111111109"/>
    <n v="810.66666666666652"/>
    <n v="6.9333333333333327"/>
    <n v="415.99999999999994"/>
    <n v="2.11"/>
    <n v="1.0833333333333333"/>
    <n v="2"/>
    <n v="3"/>
    <m/>
    <m/>
    <m/>
    <m/>
    <n v="139.64871135964739"/>
    <n v="357.45492259041879"/>
    <s v="Training"/>
  </r>
  <r>
    <d v="2022-12-11T00:00:00"/>
    <x v="1"/>
    <n v="1"/>
    <n v="12"/>
    <x v="50"/>
    <x v="2"/>
    <n v="188"/>
    <m/>
    <m/>
    <m/>
    <m/>
    <n v="230"/>
    <n v="0.83030000000000004"/>
    <n v="47"/>
    <d v="1899-12-30T00:00:40"/>
    <d v="1899-12-30T00:02:52"/>
    <d v="1899-12-30T00:06:13"/>
    <n v="0.46179999999999999"/>
    <n v="10.988888888888889"/>
    <n v="659.33333333333337"/>
    <n v="8.982222222222223"/>
    <n v="538.93333333333339"/>
    <n v="1.72"/>
    <n v="1.4034722222222225"/>
    <n v="2"/>
    <n v="2"/>
    <m/>
    <m/>
    <m/>
    <m/>
    <n v="57.653924352920583"/>
    <n v="275.28711622228502"/>
    <s v="Training"/>
  </r>
  <r>
    <d v="2022-12-12T00:00:00"/>
    <x v="2"/>
    <n v="2"/>
    <n v="12"/>
    <x v="50"/>
    <x v="2"/>
    <n v="521"/>
    <m/>
    <m/>
    <m/>
    <m/>
    <n v="163"/>
    <n v="0.94220000000000004"/>
    <n v="10"/>
    <d v="1899-12-30T00:00:17"/>
    <d v="1899-12-30T00:02:46"/>
    <d v="1899-12-30T00:02:44"/>
    <n v="0.77190000000000003"/>
    <n v="7.516111111111111"/>
    <n v="450.96666666666664"/>
    <n v="24.023888888888887"/>
    <n v="1441.4333333333332"/>
    <n v="1.17"/>
    <n v="3.7537326388888883"/>
    <n v="2"/>
    <n v="2"/>
    <m/>
    <m/>
    <m/>
    <m/>
    <n v="153.7837650112846"/>
    <n v="368.43135098976768"/>
    <s v="Training"/>
  </r>
  <r>
    <d v="2022-12-13T00:00:00"/>
    <x v="3"/>
    <n v="3"/>
    <n v="12"/>
    <x v="50"/>
    <x v="2"/>
    <n v="330"/>
    <m/>
    <m/>
    <m/>
    <m/>
    <n v="152"/>
    <n v="0.91020000000000001"/>
    <n v="15"/>
    <d v="1899-12-30T00:00:13"/>
    <d v="1899-12-30T00:02:37"/>
    <d v="1899-12-30T00:05:10"/>
    <n v="0.84150000000000003"/>
    <n v="6.6288888888888895"/>
    <n v="397.73333333333335"/>
    <n v="14.391666666666667"/>
    <n v="863.5"/>
    <n v="1.04"/>
    <n v="2.2486979166666665"/>
    <n v="2"/>
    <n v="2"/>
    <m/>
    <m/>
    <m/>
    <m/>
    <n v="129.65985979952941"/>
    <n v="357.82449654475221"/>
    <s v="Training"/>
  </r>
  <r>
    <d v="2022-12-14T00:00:00"/>
    <x v="4"/>
    <n v="4"/>
    <n v="12"/>
    <x v="50"/>
    <x v="2"/>
    <n v="298"/>
    <m/>
    <m/>
    <m/>
    <m/>
    <n v="24"/>
    <n v="0.88890000000000002"/>
    <n v="3"/>
    <d v="1899-12-30T00:00:20"/>
    <d v="1899-12-30T00:02:05"/>
    <d v="1899-12-30T00:03:43"/>
    <n v="0.76919999999999999"/>
    <n v="0.83333333333333337"/>
    <n v="50"/>
    <n v="10.347222222222221"/>
    <n v="620.83333333333326"/>
    <n v="1"/>
    <n v="1.6167534722222221"/>
    <n v="1"/>
    <n v="1"/>
    <m/>
    <m/>
    <m/>
    <m/>
    <n v="141.71625291164409"/>
    <n v="368.98254160082712"/>
    <s v="Training"/>
  </r>
  <r>
    <d v="2022-12-15T00:00:00"/>
    <x v="5"/>
    <n v="5"/>
    <n v="12"/>
    <x v="50"/>
    <x v="2"/>
    <n v="294"/>
    <m/>
    <m/>
    <m/>
    <m/>
    <n v="153"/>
    <n v="0.88439999999999996"/>
    <n v="20"/>
    <d v="1899-12-30T00:00:29"/>
    <d v="1899-12-30T00:02:46"/>
    <d v="1899-12-30T00:03:06"/>
    <n v="0.57989999999999997"/>
    <n v="7.0549999999999997"/>
    <n v="423.29999999999995"/>
    <n v="13.556666666666667"/>
    <n v="813.4"/>
    <n v="1.1000000000000001"/>
    <n v="2.1182291666666666"/>
    <n v="2"/>
    <n v="2"/>
    <m/>
    <m/>
    <m/>
    <m/>
    <n v="146.58182882056519"/>
    <n v="365.77615339280862"/>
    <s v="Training"/>
  </r>
  <r>
    <d v="2022-12-16T00:00:00"/>
    <x v="6"/>
    <n v="6"/>
    <n v="12"/>
    <x v="50"/>
    <x v="2"/>
    <n v="261"/>
    <m/>
    <m/>
    <m/>
    <m/>
    <n v="27"/>
    <n v="0.75"/>
    <n v="9"/>
    <d v="1899-12-30T00:00:36"/>
    <d v="1899-12-30T00:02:55"/>
    <d v="1899-12-30T00:03:57"/>
    <n v="0.41670000000000001"/>
    <n v="1.3125"/>
    <n v="78.75"/>
    <n v="12.687499999999998"/>
    <n v="761.24999999999989"/>
    <n v="1"/>
    <n v="1.9824218749999998"/>
    <n v="2"/>
    <n v="1"/>
    <m/>
    <m/>
    <m/>
    <m/>
    <n v="141.17478077479211"/>
    <n v="345.36311008673738"/>
    <s v="Training"/>
  </r>
  <r>
    <d v="2022-12-17T00:00:00"/>
    <x v="0"/>
    <n v="7"/>
    <n v="12"/>
    <x v="50"/>
    <x v="2"/>
    <n v="223"/>
    <m/>
    <m/>
    <m/>
    <m/>
    <n v="171"/>
    <n v="0.9194"/>
    <n v="15"/>
    <d v="1899-12-30T00:00:27"/>
    <d v="1899-12-30T00:02:49"/>
    <d v="1899-12-30T00:03:28"/>
    <n v="0.64480000000000004"/>
    <n v="8.0274999999999999"/>
    <n v="481.65"/>
    <n v="10.468611111111111"/>
    <n v="628.11666666666667"/>
    <n v="1.25"/>
    <n v="1.6357204861111112"/>
    <n v="2"/>
    <n v="2"/>
    <m/>
    <m/>
    <m/>
    <m/>
    <n v="151.9980357474935"/>
    <n v="363.91420936615361"/>
    <s v="Training"/>
  </r>
  <r>
    <d v="2022-12-18T00:00:00"/>
    <x v="1"/>
    <n v="1"/>
    <n v="12"/>
    <x v="51"/>
    <x v="2"/>
    <n v="59"/>
    <m/>
    <m/>
    <m/>
    <m/>
    <n v="149"/>
    <n v="0.93130000000000002"/>
    <n v="11"/>
    <d v="1899-12-30T00:00:23"/>
    <d v="1899-12-30T00:02:47"/>
    <d v="1899-12-30T00:04:52"/>
    <n v="0.74050000000000005"/>
    <n v="6.911944444444444"/>
    <n v="414.71666666666664"/>
    <n v="2.7369444444444446"/>
    <n v="164.21666666666667"/>
    <n v="1.08"/>
    <n v="1"/>
    <n v="2"/>
    <n v="2"/>
    <m/>
    <m/>
    <m/>
    <m/>
    <n v="55.832085521048711"/>
    <n v="278.38975673705471"/>
    <s v="Training"/>
  </r>
  <r>
    <d v="2022-12-19T00:00:00"/>
    <x v="2"/>
    <n v="2"/>
    <n v="12"/>
    <x v="51"/>
    <x v="2"/>
    <n v="340"/>
    <m/>
    <m/>
    <m/>
    <m/>
    <n v="215"/>
    <n v="0.92269999999999996"/>
    <n v="18"/>
    <d v="1899-12-30T00:00:22"/>
    <d v="1899-12-30T00:02:34"/>
    <d v="1899-12-30T00:08:08"/>
    <n v="0.74119999999999997"/>
    <n v="9.1972222222222229"/>
    <n v="551.83333333333337"/>
    <n v="14.544444444444444"/>
    <n v="872.66666666666663"/>
    <n v="1.44"/>
    <n v="2.2725694444444442"/>
    <n v="2"/>
    <n v="2"/>
    <m/>
    <m/>
    <m/>
    <m/>
    <n v="154.54070974742061"/>
    <n v="369.62039075061608"/>
    <s v="Training"/>
  </r>
  <r>
    <d v="2022-12-20T00:00:00"/>
    <x v="3"/>
    <n v="3"/>
    <n v="12"/>
    <x v="51"/>
    <x v="2"/>
    <n v="287"/>
    <m/>
    <m/>
    <m/>
    <m/>
    <n v="157"/>
    <n v="0.96909999999999996"/>
    <n v="5"/>
    <d v="1899-12-30T00:00:13"/>
    <d v="1899-12-30T00:02:32"/>
    <d v="1899-12-30T00:05:10"/>
    <n v="0.82720000000000005"/>
    <n v="6.6288888888888877"/>
    <n v="397.73333333333323"/>
    <n v="12.117777777777775"/>
    <n v="727.06666666666649"/>
    <n v="1.04"/>
    <n v="1.8934027777777773"/>
    <n v="2"/>
    <n v="2"/>
    <m/>
    <m/>
    <m/>
    <m/>
    <n v="136.70862145681309"/>
    <n v="359.46154228449609"/>
    <s v="Training"/>
  </r>
  <r>
    <d v="2022-12-21T00:00:00"/>
    <x v="4"/>
    <n v="4"/>
    <n v="12"/>
    <x v="51"/>
    <x v="2"/>
    <n v="269"/>
    <m/>
    <m/>
    <m/>
    <m/>
    <n v="24"/>
    <n v="0.88890000000000002"/>
    <n v="3"/>
    <d v="1899-12-30T00:00:18"/>
    <d v="1899-12-30T00:02:10"/>
    <d v="1899-12-30T00:03:51"/>
    <n v="0.70369999999999999"/>
    <n v="0.86666666666666659"/>
    <n v="51.999999999999993"/>
    <n v="9.7138888888888886"/>
    <n v="582.83333333333326"/>
    <n v="1"/>
    <n v="1.5177951388888886"/>
    <n v="1"/>
    <n v="1"/>
    <m/>
    <m/>
    <m/>
    <m/>
    <n v="160.21271991331679"/>
    <n v="370.08029766345749"/>
    <s v="Training"/>
  </r>
  <r>
    <d v="2022-12-22T00:00:00"/>
    <x v="5"/>
    <n v="5"/>
    <n v="12"/>
    <x v="51"/>
    <x v="2"/>
    <n v="270"/>
    <m/>
    <m/>
    <m/>
    <m/>
    <n v="155"/>
    <n v="0.92259999999999998"/>
    <n v="13"/>
    <d v="1899-12-30T00:00:26"/>
    <d v="1899-12-30T00:03:18"/>
    <d v="1899-12-30T00:03:08"/>
    <n v="0.64880000000000004"/>
    <n v="8.5250000000000004"/>
    <n v="511.5"/>
    <n v="14.85"/>
    <n v="891"/>
    <n v="1.33"/>
    <n v="2.3203125"/>
    <n v="2"/>
    <n v="2"/>
    <m/>
    <m/>
    <m/>
    <m/>
    <n v="148.44580348058059"/>
    <n v="362.78698131110912"/>
    <s v="Training"/>
  </r>
  <r>
    <d v="2022-12-23T00:00:00"/>
    <x v="6"/>
    <n v="6"/>
    <n v="12"/>
    <x v="51"/>
    <x v="2"/>
    <n v="285"/>
    <m/>
    <m/>
    <m/>
    <m/>
    <n v="301"/>
    <n v="0.91769999999999996"/>
    <n v="27"/>
    <d v="1899-12-30T00:00:23"/>
    <d v="1899-12-30T00:02:29"/>
    <d v="1899-12-30T00:06:59"/>
    <n v="0.67910000000000004"/>
    <n v="12.458055555555555"/>
    <n v="747.48333333333335"/>
    <n v="11.795833333333333"/>
    <n v="707.75"/>
    <n v="1.95"/>
    <n v="1.8430989583333333"/>
    <n v="2"/>
    <n v="2"/>
    <m/>
    <m/>
    <m/>
    <m/>
    <n v="131.59510283986609"/>
    <n v="354.38585368203479"/>
    <s v="Training"/>
  </r>
  <r>
    <d v="2022-12-24T00:00:00"/>
    <x v="0"/>
    <n v="7"/>
    <n v="12"/>
    <x v="51"/>
    <x v="2"/>
    <n v="251"/>
    <m/>
    <m/>
    <m/>
    <m/>
    <n v="208"/>
    <n v="0.88890000000000002"/>
    <n v="26"/>
    <d v="1899-12-30T00:00:20"/>
    <d v="1899-12-30T00:02:44"/>
    <d v="1899-12-30T00:05:18"/>
    <n v="0.72250000000000003"/>
    <n v="9.4755555555555553"/>
    <n v="568.5333333333333"/>
    <n v="11.434444444444445"/>
    <n v="686.06666666666672"/>
    <n v="1.48"/>
    <n v="1.7866319444444445"/>
    <n v="2"/>
    <n v="2"/>
    <m/>
    <m/>
    <m/>
    <m/>
    <n v="144.2065944202225"/>
    <n v="360.59453078705019"/>
    <s v="Training"/>
  </r>
  <r>
    <d v="2022-12-25T00:00:00"/>
    <x v="1"/>
    <n v="1"/>
    <n v="12"/>
    <x v="52"/>
    <x v="2"/>
    <n v="47"/>
    <m/>
    <m/>
    <m/>
    <m/>
    <n v="34"/>
    <n v="0.91890000000000005"/>
    <n v="3"/>
    <d v="1899-12-30T00:00:14"/>
    <d v="1899-12-30T00:02:16"/>
    <d v="1899-12-30T00:03:44"/>
    <n v="0.83779999999999999"/>
    <n v="1.2844444444444445"/>
    <n v="77.066666666666663"/>
    <n v="1.7755555555555556"/>
    <n v="106.53333333333333"/>
    <n v="1"/>
    <n v="1"/>
    <n v="2"/>
    <n v="1"/>
    <m/>
    <m/>
    <m/>
    <m/>
    <n v="46.249846675551382"/>
    <n v="269.3564443244212"/>
    <s v="Training"/>
  </r>
  <r>
    <d v="2022-12-26T00:00:00"/>
    <x v="2"/>
    <n v="2"/>
    <n v="12"/>
    <x v="52"/>
    <x v="2"/>
    <n v="233"/>
    <m/>
    <m/>
    <m/>
    <m/>
    <n v="167"/>
    <n v="0.90269999999999995"/>
    <n v="18"/>
    <d v="1899-12-30T00:00:18"/>
    <d v="1899-12-30T00:02:43"/>
    <d v="1899-12-30T00:06:12"/>
    <n v="0.73509999999999998"/>
    <n v="7.5613888888888887"/>
    <n v="453.68333333333334"/>
    <n v="10.549722222222222"/>
    <n v="632.98333333333335"/>
    <n v="1.18"/>
    <n v="1.6483940972222222"/>
    <n v="2"/>
    <n v="2"/>
    <m/>
    <m/>
    <m/>
    <m/>
    <n v="159.14067078053779"/>
    <n v="376.24942798444368"/>
    <s v="Training"/>
  </r>
  <r>
    <d v="2022-12-27T00:00:00"/>
    <x v="3"/>
    <n v="3"/>
    <n v="12"/>
    <x v="52"/>
    <x v="2"/>
    <n v="257"/>
    <m/>
    <m/>
    <m/>
    <m/>
    <n v="132"/>
    <n v="0.9496"/>
    <n v="7"/>
    <d v="1899-12-30T00:00:10"/>
    <d v="1899-12-30T00:02:57"/>
    <d v="1899-12-30T00:03:28"/>
    <n v="0.88319999999999999"/>
    <n v="6.4900000000000011"/>
    <n v="389.40000000000009"/>
    <n v="12.635833333333334"/>
    <n v="758.15000000000009"/>
    <n v="1.01"/>
    <n v="1.9743489583333336"/>
    <n v="2"/>
    <n v="2"/>
    <m/>
    <m/>
    <m/>
    <m/>
    <n v="139.28989072952359"/>
    <n v="358.99006147183621"/>
    <s v="Training"/>
  </r>
  <r>
    <d v="2022-12-28T00:00:00"/>
    <x v="4"/>
    <n v="4"/>
    <n v="12"/>
    <x v="52"/>
    <x v="2"/>
    <n v="245"/>
    <m/>
    <m/>
    <m/>
    <m/>
    <n v="11"/>
    <n v="0.84619999999999995"/>
    <n v="2"/>
    <d v="1899-12-30T00:00:46"/>
    <d v="1899-12-30T00:02:07"/>
    <d v="1899-12-30T00:02:35"/>
    <n v="0.41670000000000001"/>
    <n v="0.38805555555555554"/>
    <n v="23.283333333333331"/>
    <n v="8.6430555555555557"/>
    <n v="518.58333333333337"/>
    <n v="1"/>
    <n v="1.3504774305555556"/>
    <n v="1"/>
    <n v="1"/>
    <m/>
    <m/>
    <m/>
    <m/>
    <n v="146.55155263773969"/>
    <n v="371.78022528253609"/>
    <s v="Training"/>
  </r>
  <r>
    <d v="2022-12-29T00:00:00"/>
    <x v="5"/>
    <n v="5"/>
    <n v="12"/>
    <x v="52"/>
    <x v="2"/>
    <n v="267"/>
    <m/>
    <m/>
    <m/>
    <m/>
    <n v="152"/>
    <n v="0.94410000000000005"/>
    <n v="9"/>
    <d v="1899-12-30T00:00:23"/>
    <d v="1899-12-30T00:02:28"/>
    <d v="1899-12-30T00:02:52"/>
    <n v="0.69620000000000004"/>
    <n v="6.2488888888888887"/>
    <n v="374.93333333333334"/>
    <n v="10.976666666666667"/>
    <n v="658.6"/>
    <n v="1"/>
    <n v="1.7151041666666667"/>
    <n v="2"/>
    <n v="1"/>
    <m/>
    <m/>
    <m/>
    <m/>
    <n v="140.60991500429051"/>
    <n v="359.64922481517021"/>
    <s v="Training"/>
  </r>
  <r>
    <d v="2022-12-30T00:00:00"/>
    <x v="6"/>
    <n v="6"/>
    <n v="12"/>
    <x v="52"/>
    <x v="2"/>
    <n v="231"/>
    <m/>
    <m/>
    <m/>
    <m/>
    <n v="144"/>
    <n v="0.96640000000000004"/>
    <n v="5"/>
    <d v="1899-12-30T00:00:15"/>
    <d v="1899-12-30T00:02:46"/>
    <d v="1899-12-30T00:03:01"/>
    <n v="0.83109999999999995"/>
    <n v="6.64"/>
    <n v="398.4"/>
    <n v="10.651666666666669"/>
    <n v="639.10000000000014"/>
    <n v="1.04"/>
    <n v="1.6643229166666671"/>
    <n v="2"/>
    <n v="2"/>
    <m/>
    <m/>
    <m/>
    <m/>
    <n v="132.25241370294751"/>
    <n v="359.60353154351782"/>
    <s v="Training"/>
  </r>
  <r>
    <d v="2022-12-31T00:00:00"/>
    <x v="0"/>
    <n v="7"/>
    <n v="12"/>
    <x v="52"/>
    <x v="2"/>
    <n v="236"/>
    <m/>
    <m/>
    <m/>
    <m/>
    <n v="167"/>
    <n v="0.93820000000000003"/>
    <n v="11"/>
    <d v="1899-12-30T00:00:22"/>
    <d v="1899-12-30T00:02:42"/>
    <d v="1899-12-30T00:05:24"/>
    <n v="0.74860000000000004"/>
    <n v="7.5149999999999997"/>
    <n v="450.9"/>
    <n v="10.62"/>
    <n v="637.19999999999993"/>
    <n v="1.17"/>
    <n v="1.6593749999999998"/>
    <n v="2"/>
    <n v="2"/>
    <m/>
    <m/>
    <m/>
    <m/>
    <n v="135.21490631019341"/>
    <n v="354.05631970288158"/>
    <s v="Training"/>
  </r>
  <r>
    <d v="2023-01-01T00:00:00"/>
    <x v="1"/>
    <n v="1"/>
    <n v="1"/>
    <x v="0"/>
    <x v="3"/>
    <n v="81"/>
    <n v="163.26833315440459"/>
    <n v="146.94149983896412"/>
    <n v="130.61466652352368"/>
    <n v="130.61466652352368"/>
    <n v="210"/>
    <n v="0.9375"/>
    <n v="14"/>
    <d v="1899-12-30T00:00:21"/>
    <d v="1899-12-30T00:03:00"/>
    <d v="1899-12-30T00:04:47"/>
    <n v="0.72519999999999996"/>
    <n v="10.5"/>
    <n v="630"/>
    <n v="4.0500000000000007"/>
    <n v="243.00000000000006"/>
    <n v="1.640625"/>
    <n v="1"/>
    <n v="2"/>
    <n v="2"/>
    <n v="6.5307333261761835"/>
    <n v="470.21279948468515"/>
    <n v="1.2245124986580342"/>
    <n v="2"/>
    <n v="49.165437422468173"/>
    <n v="274.78267987222131"/>
    <s v="Forecast"/>
  </r>
  <r>
    <d v="2023-01-02T00:00:00"/>
    <x v="2"/>
    <n v="2"/>
    <n v="1"/>
    <x v="0"/>
    <x v="3"/>
    <n v="281"/>
    <n v="263.07728365535621"/>
    <n v="236.7695552898206"/>
    <n v="210.46182692428499"/>
    <n v="210.46182692428499"/>
    <n v="273"/>
    <n v="0.98560000000000003"/>
    <n v="4"/>
    <d v="1899-12-30T00:00:10"/>
    <d v="1899-12-30T00:02:00"/>
    <d v="1899-12-30T00:02:03"/>
    <n v="0.89739999999999998"/>
    <n v="9.1000000000000014"/>
    <n v="546.00000000000011"/>
    <n v="9.3666666666666671"/>
    <n v="562"/>
    <n v="1.4218750000000002"/>
    <n v="1.4635416666666667"/>
    <n v="2"/>
    <n v="2"/>
    <n v="7.0153942308095001"/>
    <n v="505.10838461828394"/>
    <n v="1.3153864182767812"/>
    <n v="2"/>
    <n v="155.40149315175071"/>
    <n v="376.4736291944638"/>
    <s v="Forecast"/>
  </r>
  <r>
    <d v="2023-01-03T00:00:00"/>
    <x v="3"/>
    <n v="3"/>
    <n v="1"/>
    <x v="0"/>
    <x v="3"/>
    <n v="399"/>
    <n v="247.00154944050001"/>
    <n v="222.30139449645003"/>
    <n v="197.60123955240002"/>
    <n v="197.60123955240002"/>
    <n v="172"/>
    <n v="0.91490000000000005"/>
    <n v="16"/>
    <d v="1899-12-30T00:00:20"/>
    <d v="1899-12-30T00:02:41"/>
    <d v="1899-12-30T00:03:36"/>
    <n v="0.72189999999999999"/>
    <n v="7.6922222222222221"/>
    <n v="461.5333333333333"/>
    <n v="17.844166666666666"/>
    <n v="1070.6500000000001"/>
    <n v="1.2019097222222221"/>
    <n v="2.7881510416666671"/>
    <n v="2"/>
    <n v="2"/>
    <n v="8.8371665466490015"/>
    <n v="636.27599135872811"/>
    <n v="1.6569687274966878"/>
    <n v="2"/>
    <n v="136.5344778331939"/>
    <n v="359.3593077495633"/>
    <s v="Forecast"/>
  </r>
  <r>
    <d v="2023-01-04T00:00:00"/>
    <x v="4"/>
    <n v="4"/>
    <n v="1"/>
    <x v="0"/>
    <x v="3"/>
    <n v="291"/>
    <n v="259.23927892522198"/>
    <n v="233.31535103269979"/>
    <n v="207.39142314017761"/>
    <n v="207.39142314017761"/>
    <n v="22"/>
    <n v="0.84619999999999995"/>
    <n v="4"/>
    <d v="1899-12-30T00:00:34"/>
    <d v="1899-12-30T00:02:23"/>
    <d v="1899-12-30T00:06:18"/>
    <n v="0.68"/>
    <n v="0.87388888888888894"/>
    <n v="52.433333333333337"/>
    <n v="11.559166666666666"/>
    <n v="693.55"/>
    <n v="1"/>
    <n v="1.8061197916666665"/>
    <n v="1"/>
    <n v="1"/>
    <n v="8.2380481969570543"/>
    <n v="593.13947018090789"/>
    <n v="1.5446340369294476"/>
    <n v="2"/>
    <n v="153.6655180697505"/>
    <n v="366.41329176092108"/>
    <s v="Forecast"/>
  </r>
  <r>
    <d v="2023-01-05T00:00:00"/>
    <x v="5"/>
    <n v="5"/>
    <n v="1"/>
    <x v="0"/>
    <x v="3"/>
    <n v="290"/>
    <n v="254.50137130371351"/>
    <n v="229.05123417334215"/>
    <n v="203.60109704297082"/>
    <n v="203.60109704297082"/>
    <n v="167"/>
    <n v="0.94350000000000001"/>
    <n v="10"/>
    <d v="1899-12-30T00:00:35"/>
    <d v="1899-12-30T00:02:56"/>
    <d v="1899-12-30T00:03:15"/>
    <n v="0.5625"/>
    <n v="8.1644444444444435"/>
    <n v="489.86666666666662"/>
    <n v="14.177777777777775"/>
    <n v="850.66666666666652"/>
    <n v="1.2756944444444442"/>
    <n v="2.2152777777777772"/>
    <n v="2"/>
    <n v="2"/>
    <n v="9.9538314109896842"/>
    <n v="716.67586159125722"/>
    <n v="1.8663433895605657"/>
    <n v="2"/>
    <n v="135.32868001249241"/>
    <n v="365.83166177427972"/>
    <s v="Forecast"/>
  </r>
  <r>
    <d v="2023-01-06T00:00:00"/>
    <x v="6"/>
    <n v="6"/>
    <n v="1"/>
    <x v="0"/>
    <x v="3"/>
    <n v="230"/>
    <n v="245.66217597179951"/>
    <n v="221.09595837461956"/>
    <n v="196.52974077743963"/>
    <n v="196.52974077743963"/>
    <n v="144"/>
    <n v="0.96640000000000004"/>
    <n v="5"/>
    <d v="1899-12-30T00:00:28"/>
    <d v="1899-12-30T00:02:47"/>
    <d v="1899-12-30T00:03:48"/>
    <n v="0.66220000000000001"/>
    <n v="6.68"/>
    <n v="400.79999999999995"/>
    <n v="10.669444444444444"/>
    <n v="640.16666666666663"/>
    <n v="1.04375"/>
    <n v="1.6671006944444444"/>
    <n v="2"/>
    <n v="2"/>
    <n v="9.1167963082867836"/>
    <n v="656.40933419664839"/>
    <n v="1.7093993078037719"/>
    <n v="2"/>
    <n v="135.02398151518219"/>
    <n v="361.37180012647019"/>
    <s v="Forecast"/>
  </r>
  <r>
    <d v="2023-01-07T00:00:00"/>
    <x v="0"/>
    <n v="7"/>
    <n v="1"/>
    <x v="0"/>
    <x v="3"/>
    <n v="236"/>
    <n v="252.81957267214031"/>
    <n v="227.53761540492627"/>
    <n v="202.25565813771226"/>
    <n v="202.25565813771226"/>
    <n v="147"/>
    <n v="1"/>
    <n v="0"/>
    <d v="1899-12-30T00:00:11"/>
    <d v="1899-12-30T00:02:51"/>
    <d v="1899-12-30T00:02:03"/>
    <n v="0.85709999999999997"/>
    <n v="6.9824999999999999"/>
    <n v="418.95"/>
    <n v="11.21"/>
    <n v="672.6"/>
    <n v="1.091015625"/>
    <n v="1.7515625000000001"/>
    <n v="2"/>
    <n v="2"/>
    <n v="9.6071437615413338"/>
    <n v="691.71435083097606"/>
    <n v="1.8013394552890001"/>
    <n v="2"/>
    <n v="143.2194443728992"/>
    <n v="362.87877539901132"/>
    <s v="Forecast"/>
  </r>
  <r>
    <d v="2023-01-08T00:00:00"/>
    <x v="1"/>
    <n v="1"/>
    <n v="1"/>
    <x v="1"/>
    <x v="3"/>
    <n v="45"/>
    <n v="164.11359385229039"/>
    <n v="147.70223446706134"/>
    <n v="131.29087508183233"/>
    <n v="131.29087508183233"/>
    <n v="134"/>
    <n v="0.95709999999999995"/>
    <n v="6"/>
    <d v="1899-12-30T00:00:19"/>
    <d v="1899-12-30T00:02:44"/>
    <d v="1899-12-30T00:08:19"/>
    <n v="0.78569999999999995"/>
    <n v="6.104444444444443"/>
    <n v="366.26666666666659"/>
    <n v="2.0499999999999998"/>
    <n v="122.99999999999999"/>
    <n v="1"/>
    <n v="1"/>
    <n v="2"/>
    <n v="1"/>
    <n v="5.9810287537279168"/>
    <n v="430.63407026841003"/>
    <n v="1.1214428913239844"/>
    <n v="2"/>
    <n v="46.52601101094217"/>
    <n v="267.3886670994624"/>
    <s v="Forecast"/>
  </r>
  <r>
    <d v="2023-01-09T00:00:00"/>
    <x v="2"/>
    <n v="2"/>
    <n v="1"/>
    <x v="1"/>
    <x v="3"/>
    <n v="249"/>
    <n v="263.88587048632951"/>
    <n v="237.49728343769655"/>
    <n v="211.10869638906362"/>
    <n v="211.10869638906362"/>
    <n v="163"/>
    <n v="0.92090000000000005"/>
    <n v="14"/>
    <d v="1899-12-30T00:00:19"/>
    <d v="1899-12-30T00:02:35"/>
    <d v="1899-12-30T00:07:16"/>
    <n v="0.7571"/>
    <n v="7.0180555555555557"/>
    <n v="421.08333333333337"/>
    <n v="10.720833333333333"/>
    <n v="643.25"/>
    <n v="1.0965711805555556"/>
    <n v="1.6751302083333333"/>
    <n v="2"/>
    <n v="2"/>
    <n v="9.0894022056402388"/>
    <n v="654.43695880609721"/>
    <n v="1.7042629135575449"/>
    <n v="2"/>
    <n v="152.73606630901111"/>
    <n v="377.87173215188659"/>
    <s v="Forecast"/>
  </r>
  <r>
    <d v="2023-01-10T00:00:00"/>
    <x v="3"/>
    <n v="3"/>
    <n v="1"/>
    <x v="1"/>
    <x v="3"/>
    <n v="350"/>
    <n v="247.68548465304039"/>
    <n v="222.91693618773635"/>
    <n v="198.14838772243232"/>
    <n v="198.14838772243232"/>
    <n v="169"/>
    <n v="1"/>
    <n v="0"/>
    <d v="1899-12-30T00:00:09"/>
    <d v="1899-12-30T00:02:45"/>
    <d v="1899-12-30T00:01:05"/>
    <n v="0.89939999999999998"/>
    <n v="7.7458333333333336"/>
    <n v="464.75"/>
    <n v="16.041666666666668"/>
    <n v="962.50000000000011"/>
    <n v="1.2102864583333333"/>
    <n v="2.506510416666667"/>
    <n v="2"/>
    <n v="2"/>
    <n v="9.0818011039448141"/>
    <n v="653.88967948402649"/>
    <n v="1.7028377069896523"/>
    <n v="2"/>
    <n v="142.91170965992379"/>
    <n v="356.28155374152288"/>
    <s v="Forecast"/>
  </r>
  <r>
    <d v="2023-01-11T00:00:00"/>
    <x v="4"/>
    <n v="4"/>
    <n v="1"/>
    <x v="1"/>
    <x v="3"/>
    <n v="361"/>
    <n v="259.7092163673899"/>
    <n v="233.73829473065092"/>
    <n v="207.76737309391194"/>
    <n v="207.76737309391194"/>
    <n v="21"/>
    <n v="0.80769999999999997"/>
    <n v="5"/>
    <d v="1899-12-30T00:00:27"/>
    <d v="1899-12-30T00:02:28"/>
    <d v="1899-12-30T00:02:04"/>
    <n v="0.48"/>
    <n v="0.86333333333333351"/>
    <n v="51.800000000000011"/>
    <n v="14.841111111111111"/>
    <n v="890.4666666666667"/>
    <n v="1"/>
    <n v="2.3189236111111113"/>
    <n v="1"/>
    <n v="1"/>
    <n v="8.5415475605274924"/>
    <n v="614.99142435797933"/>
    <n v="1.6015401675989045"/>
    <n v="2"/>
    <n v="154.6362492002753"/>
    <n v="376.74274208865938"/>
    <s v="Forecast"/>
  </r>
  <r>
    <d v="2023-01-12T00:00:00"/>
    <x v="5"/>
    <n v="5"/>
    <n v="1"/>
    <x v="1"/>
    <x v="3"/>
    <n v="262"/>
    <n v="254.6702771858925"/>
    <n v="229.20324946730327"/>
    <n v="203.736221748714"/>
    <n v="203.736221748714"/>
    <n v="140"/>
    <n v="0.95240000000000002"/>
    <n v="7"/>
    <d v="1899-12-30T00:00:12"/>
    <d v="1899-12-30T00:02:48"/>
    <d v="1899-12-30T00:02:11"/>
    <n v="0.85519999999999996"/>
    <n v="6.5333333333333323"/>
    <n v="391.99999999999994"/>
    <n v="12.226666666666667"/>
    <n v="733.6"/>
    <n v="1.0208333333333333"/>
    <n v="1.9104166666666667"/>
    <n v="2"/>
    <n v="2"/>
    <n v="9.5076903482733197"/>
    <n v="684.55370507567898"/>
    <n v="1.7826919403012473"/>
    <n v="2"/>
    <n v="135.3739382923666"/>
    <n v="356.45824401372658"/>
    <s v="Forecast"/>
  </r>
  <r>
    <d v="2023-01-13T00:00:00"/>
    <x v="6"/>
    <n v="6"/>
    <n v="1"/>
    <x v="1"/>
    <x v="3"/>
    <n v="302"/>
    <n v="245.44906064583171"/>
    <n v="220.90415458124855"/>
    <n v="196.35924851666539"/>
    <n v="196.35924851666539"/>
    <n v="122"/>
    <n v="0.96060000000000001"/>
    <n v="5"/>
    <d v="1899-12-30T00:00:21"/>
    <d v="1899-12-30T00:02:48"/>
    <d v="1899-12-30T00:02:07"/>
    <n v="0.7087"/>
    <n v="5.6933333333333334"/>
    <n v="341.6"/>
    <n v="14.093333333333334"/>
    <n v="845.6"/>
    <n v="1"/>
    <n v="2.2020833333333334"/>
    <n v="2"/>
    <n v="1"/>
    <n v="9.1634315974443847"/>
    <n v="659.76707501599572"/>
    <n v="1.7181434245208222"/>
    <n v="2"/>
    <n v="133.91263605714201"/>
    <n v="354.93690426075477"/>
    <s v="Forecast"/>
  </r>
  <r>
    <d v="2023-01-14T00:00:00"/>
    <x v="0"/>
    <n v="7"/>
    <n v="1"/>
    <x v="1"/>
    <x v="3"/>
    <n v="299"/>
    <n v="252.15316531085219"/>
    <n v="226.93784877976697"/>
    <n v="201.72253224868177"/>
    <n v="201.72253224868177"/>
    <n v="135"/>
    <n v="0.95740000000000003"/>
    <n v="6"/>
    <d v="1899-12-30T00:00:17"/>
    <d v="1899-12-30T00:02:27"/>
    <d v="1899-12-30T00:04:08"/>
    <n v="0.78010000000000002"/>
    <n v="5.5125000000000002"/>
    <n v="330.75"/>
    <n v="12.209166666666665"/>
    <n v="732.54999999999984"/>
    <n v="1"/>
    <n v="1.9076822916666663"/>
    <n v="2"/>
    <n v="1"/>
    <n v="8.2370034001545047"/>
    <n v="593.06424481112435"/>
    <n v="1.5444381375289697"/>
    <n v="2"/>
    <n v="141.8373419125038"/>
    <n v="358.16470345626459"/>
    <s v="Forecast"/>
  </r>
  <r>
    <d v="2023-01-15T00:00:00"/>
    <x v="1"/>
    <n v="1"/>
    <n v="1"/>
    <x v="2"/>
    <x v="3"/>
    <n v="50"/>
    <n v="162.9358505459671"/>
    <n v="146.64226549137038"/>
    <n v="130.34868043677369"/>
    <n v="130.34868043677369"/>
    <n v="181"/>
    <n v="0.87019999999999997"/>
    <n v="27"/>
    <d v="1899-12-30T00:00:38"/>
    <d v="1899-12-30T00:02:39"/>
    <d v="1899-12-30T00:04:08"/>
    <n v="0.49020000000000002"/>
    <n v="7.9941666666666666"/>
    <n v="479.65"/>
    <n v="2.208333333333333"/>
    <n v="132.49999999999997"/>
    <n v="1.2490885416666666"/>
    <n v="1"/>
    <n v="2"/>
    <n v="2"/>
    <n v="5.7570667192908376"/>
    <n v="414.50880378894033"/>
    <n v="1.0794500098670321"/>
    <n v="2"/>
    <n v="53.745161341920927"/>
    <n v="272.85636448065031"/>
    <s v="Forecast"/>
  </r>
  <r>
    <d v="2023-01-16T00:00:00"/>
    <x v="2"/>
    <n v="2"/>
    <n v="1"/>
    <x v="2"/>
    <x v="3"/>
    <n v="285"/>
    <n v="262.15520786565929"/>
    <n v="235.93968707909337"/>
    <n v="209.72416629252746"/>
    <n v="209.72416629252746"/>
    <n v="163"/>
    <n v="0.91569999999999996"/>
    <n v="15"/>
    <d v="1899-12-30T00:00:33"/>
    <d v="1899-12-30T00:02:54"/>
    <d v="1899-12-30T00:04:58"/>
    <n v="0.54800000000000004"/>
    <n v="7.8783333333333321"/>
    <n v="472.69999999999993"/>
    <n v="13.775"/>
    <n v="826.5"/>
    <n v="1.2309895833333331"/>
    <n v="2.15234375"/>
    <n v="2"/>
    <n v="2"/>
    <n v="10.136668037472161"/>
    <n v="729.84009869799559"/>
    <n v="1.9006252570260302"/>
    <n v="2"/>
    <n v="142.83840434961729"/>
    <n v="374.90036040300822"/>
    <s v="Forecast"/>
  </r>
  <r>
    <d v="2023-01-17T00:00:00"/>
    <x v="3"/>
    <n v="3"/>
    <n v="1"/>
    <x v="2"/>
    <x v="3"/>
    <n v="77"/>
    <n v="245.37963570054029"/>
    <n v="220.84167213048627"/>
    <n v="196.30370856043226"/>
    <n v="196.30370856043226"/>
    <n v="190"/>
    <n v="0.95960000000000001"/>
    <n v="8"/>
    <d v="1899-12-30T00:00:25"/>
    <d v="1899-12-30T00:02:32"/>
    <d v="1899-12-30T00:02:22"/>
    <n v="0.67010000000000003"/>
    <n v="8.0222222222222221"/>
    <n v="481.33333333333331"/>
    <n v="3.2511111111111104"/>
    <n v="195.06666666666663"/>
    <n v="1.2534722222222221"/>
    <n v="1"/>
    <n v="2"/>
    <n v="2"/>
    <n v="8.2883788058849177"/>
    <n v="596.76327402371408"/>
    <n v="1.5540710261034221"/>
    <n v="2"/>
    <n v="140.94040217387959"/>
    <n v="351.0579550590038"/>
    <s v="Forecast"/>
  </r>
  <r>
    <d v="2023-01-18T00:00:00"/>
    <x v="4"/>
    <n v="4"/>
    <n v="1"/>
    <x v="2"/>
    <x v="3"/>
    <n v="332"/>
    <n v="256.82761253732048"/>
    <n v="231.14485128358842"/>
    <n v="205.4620900298564"/>
    <n v="205.4620900298564"/>
    <n v="17"/>
    <n v="0.8095"/>
    <n v="4"/>
    <d v="1899-12-30T00:00:44"/>
    <d v="1899-12-30T00:03:31"/>
    <d v="1899-12-30T00:04:37"/>
    <n v="0.47620000000000001"/>
    <n v="0.99638888888888877"/>
    <n v="59.783333333333324"/>
    <n v="19.45888888888889"/>
    <n v="1167.5333333333333"/>
    <n v="1"/>
    <n v="3.0404513888888887"/>
    <n v="1"/>
    <n v="1"/>
    <n v="12.042361387861025"/>
    <n v="867.05001992599375"/>
    <n v="2.2579427602239419"/>
    <n v="3"/>
    <n v="140.564107025353"/>
    <n v="367.63843271823401"/>
    <s v="Forecast"/>
  </r>
  <r>
    <d v="2023-01-19T00:00:00"/>
    <x v="5"/>
    <n v="5"/>
    <n v="1"/>
    <x v="2"/>
    <x v="3"/>
    <n v="282"/>
    <n v="251.23587120866031"/>
    <n v="226.11228408779428"/>
    <n v="200.98869696692827"/>
    <n v="200.98869696692827"/>
    <n v="161"/>
    <n v="0.9415"/>
    <n v="10"/>
    <d v="1899-12-30T00:00:16"/>
    <d v="1899-12-30T00:02:35"/>
    <d v="1899-12-30T00:06:14"/>
    <n v="0.81440000000000001"/>
    <n v="6.9319444444444445"/>
    <n v="415.91666666666669"/>
    <n v="12.141666666666667"/>
    <n v="728.5"/>
    <n v="1.0831163194444444"/>
    <n v="1.8971354166666667"/>
    <n v="2"/>
    <n v="2"/>
    <n v="8.6536800082983003"/>
    <n v="623.06496059747758"/>
    <n v="1.6225650015559312"/>
    <n v="2"/>
    <n v="141.56460455188071"/>
    <n v="365.7544387046778"/>
    <s v="Forecast"/>
  </r>
  <r>
    <d v="2023-01-20T00:00:00"/>
    <x v="6"/>
    <n v="6"/>
    <n v="1"/>
    <x v="2"/>
    <x v="3"/>
    <n v="256"/>
    <n v="241.5095172210516"/>
    <n v="217.35856549894643"/>
    <n v="193.2076137768413"/>
    <n v="193.2076137768413"/>
    <n v="196"/>
    <n v="0.98"/>
    <n v="4"/>
    <d v="1899-12-30T00:00:09"/>
    <d v="1899-12-30T00:02:51"/>
    <d v="1899-12-30T00:02:01"/>
    <n v="0.91920000000000002"/>
    <n v="9.31"/>
    <n v="558.6"/>
    <n v="12.160000000000002"/>
    <n v="729.60000000000014"/>
    <n v="1.4546875000000001"/>
    <n v="1.9000000000000004"/>
    <n v="2"/>
    <n v="2"/>
    <n v="9.1773616543999612"/>
    <n v="660.77003911679719"/>
    <n v="1.7207553101999926"/>
    <n v="2"/>
    <n v="128.6025774971726"/>
    <n v="360.92000226007411"/>
    <s v="Forecast"/>
  </r>
  <r>
    <d v="2023-01-21T00:00:00"/>
    <x v="0"/>
    <n v="7"/>
    <n v="1"/>
    <x v="2"/>
    <x v="3"/>
    <n v="177"/>
    <n v="247.7813620178616"/>
    <n v="223.00322581607543"/>
    <n v="198.22508961428929"/>
    <n v="198.22508961428929"/>
    <n v="157"/>
    <n v="0.94579999999999997"/>
    <n v="9"/>
    <d v="1899-12-30T00:00:24"/>
    <d v="1899-12-30T00:02:40"/>
    <d v="1899-12-30T00:01:54"/>
    <n v="0.64629999999999999"/>
    <n v="6.9777777777777779"/>
    <n v="418.66666666666669"/>
    <n v="7.8666666666666663"/>
    <n v="472"/>
    <n v="1.0902777777777779"/>
    <n v="1.2291666666666667"/>
    <n v="2"/>
    <n v="2"/>
    <n v="8.8100039828573014"/>
    <n v="634.32028676572565"/>
    <n v="1.6518757467857439"/>
    <n v="2"/>
    <n v="131.75554130195019"/>
    <n v="358.86613302799952"/>
    <s v="Forecast"/>
  </r>
  <r>
    <d v="2023-01-22T00:00:00"/>
    <x v="1"/>
    <n v="1"/>
    <n v="1"/>
    <x v="3"/>
    <x v="3"/>
    <n v="27"/>
    <n v="158.22964837970741"/>
    <n v="142.40668354173667"/>
    <n v="126.58371870376594"/>
    <n v="126.58371870376594"/>
    <n v="217"/>
    <n v="0.94350000000000001"/>
    <n v="13"/>
    <d v="1899-12-30T00:00:27"/>
    <d v="1899-12-30T00:02:39"/>
    <d v="1899-12-30T00:02:03"/>
    <n v="0.57210000000000005"/>
    <n v="9.5841666666666665"/>
    <n v="575.04999999999995"/>
    <n v="1.1924999999999999"/>
    <n v="71.55"/>
    <n v="1.4975260416666665"/>
    <n v="1"/>
    <n v="2"/>
    <n v="2"/>
    <n v="5.5907809094163285"/>
    <n v="402.53622547797568"/>
    <n v="1.0482714205155617"/>
    <n v="2"/>
    <n v="53.098790987016663"/>
    <n v="273.08639463498582"/>
    <s v="Forecast"/>
  </r>
  <r>
    <d v="2023-01-23T00:00:00"/>
    <x v="2"/>
    <n v="2"/>
    <n v="1"/>
    <x v="3"/>
    <x v="3"/>
    <n v="307"/>
    <n v="257.23646942035322"/>
    <n v="231.5128224783179"/>
    <n v="205.78917553628258"/>
    <n v="205.78917553628258"/>
    <n v="168"/>
    <n v="0.96550000000000002"/>
    <n v="6"/>
    <d v="1899-12-30T00:00:24"/>
    <d v="1899-12-30T00:02:57"/>
    <d v="1899-12-30T00:02:54"/>
    <n v="0.69589999999999996"/>
    <n v="8.26"/>
    <n v="495.59999999999997"/>
    <n v="15.094166666666668"/>
    <n v="905.65000000000009"/>
    <n v="1.2906249999999999"/>
    <n v="2.3584635416666671"/>
    <n v="2"/>
    <n v="2"/>
    <n v="10.117967797200562"/>
    <n v="728.49368139844046"/>
    <n v="1.8971189619751054"/>
    <n v="2"/>
    <n v="143.52626781394281"/>
    <n v="370.33434677170271"/>
    <s v="Forecast"/>
  </r>
  <r>
    <d v="2023-01-24T00:00:00"/>
    <x v="3"/>
    <n v="3"/>
    <n v="1"/>
    <x v="3"/>
    <x v="3"/>
    <n v="587"/>
    <n v="240.39248871830239"/>
    <n v="216.35323984647215"/>
    <n v="192.31399097464191"/>
    <n v="192.31399097464191"/>
    <n v="185"/>
    <n v="0.77080000000000004"/>
    <n v="55"/>
    <d v="1899-12-30T00:01:00"/>
    <d v="1899-12-30T00:03:02"/>
    <d v="1899-12-30T00:05:00"/>
    <n v="0.2979"/>
    <n v="9.3527777777777779"/>
    <n v="561.16666666666663"/>
    <n v="29.676111111111112"/>
    <n v="1780.5666666666666"/>
    <n v="1.4613715277777777"/>
    <n v="4.6368923611111112"/>
    <n v="2"/>
    <n v="2"/>
    <n v="9.7225406548291176"/>
    <n v="700.02292714769646"/>
    <n v="1.8229763727804595"/>
    <n v="2"/>
    <n v="129.65366375680111"/>
    <n v="352.18841561148452"/>
    <s v="Forecast"/>
  </r>
  <r>
    <d v="2023-01-25T00:00:00"/>
    <x v="4"/>
    <n v="4"/>
    <n v="1"/>
    <x v="3"/>
    <x v="3"/>
    <n v="270"/>
    <n v="251.93597682163511"/>
    <n v="226.74237913947161"/>
    <n v="201.54878145730811"/>
    <n v="201.54878145730811"/>
    <n v="27"/>
    <n v="0.77139999999999997"/>
    <n v="8"/>
    <d v="1899-12-30T00:00:48"/>
    <d v="1899-12-30T00:02:56"/>
    <d v="1899-12-30T00:03:53"/>
    <n v="0.43330000000000002"/>
    <n v="1.3199999999999998"/>
    <n v="79.199999999999989"/>
    <n v="13.199999999999998"/>
    <n v="791.99999999999989"/>
    <n v="1"/>
    <n v="2.0624999999999996"/>
    <n v="1"/>
    <n v="1"/>
    <n v="9.8534959823572841"/>
    <n v="709.45171072972437"/>
    <n v="1.8475304966919905"/>
    <n v="2"/>
    <n v="139.1383204607815"/>
    <n v="367.49044612205762"/>
    <s v="Forecast"/>
  </r>
  <r>
    <d v="2023-01-26T00:00:00"/>
    <x v="5"/>
    <n v="5"/>
    <n v="1"/>
    <x v="3"/>
    <x v="3"/>
    <n v="307"/>
    <n v="246.62028723712029"/>
    <n v="221.95825851340828"/>
    <n v="197.29622978969624"/>
    <n v="197.29622978969624"/>
    <n v="179"/>
    <n v="0.90400000000000003"/>
    <n v="19"/>
    <d v="1899-12-30T00:00:27"/>
    <d v="1899-12-30T00:02:41"/>
    <d v="1899-12-30T00:09:40"/>
    <n v="0.60099999999999998"/>
    <n v="8.0052777777777759"/>
    <n v="480.31666666666655"/>
    <n v="13.729722222222222"/>
    <n v="823.7833333333333"/>
    <n v="1.2508246527777775"/>
    <n v="2.1452690972222221"/>
    <n v="2"/>
    <n v="2"/>
    <n v="8.8235258322614154"/>
    <n v="635.29385992282187"/>
    <n v="1.6544110935490153"/>
    <n v="2"/>
    <n v="134.27321311724381"/>
    <n v="356.03619908313487"/>
    <s v="Forecast"/>
  </r>
  <r>
    <d v="2023-01-27T00:00:00"/>
    <x v="6"/>
    <n v="6"/>
    <n v="1"/>
    <x v="3"/>
    <x v="3"/>
    <n v="242"/>
    <n v="237.36333465739449"/>
    <n v="213.62700119165504"/>
    <n v="189.89066772591559"/>
    <n v="189.89066772591559"/>
    <n v="181"/>
    <n v="0.9577"/>
    <n v="8"/>
    <d v="1899-12-30T00:00:19"/>
    <d v="1899-12-30T00:02:59"/>
    <d v="1899-12-30T00:02:44"/>
    <n v="0.71430000000000005"/>
    <n v="8.9997222222222231"/>
    <n v="539.98333333333335"/>
    <n v="12.032777777777779"/>
    <n v="721.96666666666681"/>
    <n v="1.4062065972222222"/>
    <n v="1.8801215277777781"/>
    <n v="2"/>
    <n v="2"/>
    <n v="9.4417859785941349"/>
    <n v="679.80859045877764"/>
    <n v="1.7703348709864002"/>
    <n v="2"/>
    <n v="127.7767373859793"/>
    <n v="353.45470454327028"/>
    <s v="Forecast"/>
  </r>
  <r>
    <d v="2023-01-28T00:00:00"/>
    <x v="0"/>
    <n v="7"/>
    <n v="1"/>
    <x v="3"/>
    <x v="3"/>
    <n v="194"/>
    <n v="244.30636516071041"/>
    <n v="219.87572864463937"/>
    <n v="195.44509212856835"/>
    <n v="195.44509212856835"/>
    <n v="219"/>
    <n v="0.95630000000000004"/>
    <n v="10"/>
    <d v="1899-12-30T00:00:30"/>
    <d v="1899-12-30T00:03:15"/>
    <d v="1899-12-30T00:06:25"/>
    <n v="0.59209999999999996"/>
    <n v="11.862499999999997"/>
    <n v="711.74999999999977"/>
    <n v="10.508333333333331"/>
    <n v="630.49999999999989"/>
    <n v="1.8535156249999993"/>
    <n v="1.641927083333333"/>
    <n v="2"/>
    <n v="2"/>
    <n v="10.586609156964117"/>
    <n v="762.23585930141633"/>
    <n v="1.9849892169307717"/>
    <n v="2"/>
    <n v="136.37900753185599"/>
    <n v="356.27504973054079"/>
    <s v="Forecast"/>
  </r>
  <r>
    <d v="2023-01-29T00:00:00"/>
    <x v="1"/>
    <n v="1"/>
    <n v="1"/>
    <x v="4"/>
    <x v="3"/>
    <n v="21"/>
    <n v="155.63121290455271"/>
    <n v="140.06809161409745"/>
    <n v="124.50497032364217"/>
    <n v="124.50497032364217"/>
    <n v="235"/>
    <n v="0.92520000000000002"/>
    <n v="19"/>
    <d v="1899-12-30T00:00:27"/>
    <d v="1899-12-30T00:02:56"/>
    <d v="1899-12-30T00:03:52"/>
    <n v="0.5968"/>
    <n v="11.488888888888889"/>
    <n v="689.33333333333337"/>
    <n v="1.0266666666666666"/>
    <n v="61.599999999999994"/>
    <n v="1.7951388888888891"/>
    <n v="1"/>
    <n v="2"/>
    <n v="2"/>
    <n v="6.086909660266949"/>
    <n v="438.25749553922032"/>
    <n v="1.1412955613000528"/>
    <n v="2"/>
    <n v="43.984131656642752"/>
    <n v="259.76182087593833"/>
    <s v="Forecast"/>
  </r>
  <r>
    <d v="2023-01-30T00:00:00"/>
    <x v="2"/>
    <n v="2"/>
    <n v="1"/>
    <x v="4"/>
    <x v="3"/>
    <n v="291"/>
    <n v="255.71836005201101"/>
    <n v="230.1465240468099"/>
    <n v="204.57468804160882"/>
    <n v="204.57468804160882"/>
    <n v="521"/>
    <n v="0.8921"/>
    <n v="63"/>
    <d v="1899-12-30T00:00:29"/>
    <d v="1899-12-30T00:02:16"/>
    <d v="1899-12-30T00:04:21"/>
    <n v="0.58299999999999996"/>
    <n v="19.682222222222222"/>
    <n v="1180.9333333333334"/>
    <n v="10.993333333333334"/>
    <n v="659.6"/>
    <n v="3.0753472222222222"/>
    <n v="1.7177083333333334"/>
    <n v="2"/>
    <n v="4"/>
    <n v="7.728377103794112"/>
    <n v="556.44315147317604"/>
    <n v="1.4490707069613959"/>
    <n v="2"/>
    <n v="149.83895469350469"/>
    <n v="369.39632364145109"/>
    <s v="Forecast"/>
  </r>
  <r>
    <d v="2023-01-31T00:00:00"/>
    <x v="3"/>
    <n v="3"/>
    <n v="1"/>
    <x v="4"/>
    <x v="3"/>
    <n v="516"/>
    <n v="240.15142028757899"/>
    <n v="216.13627825882108"/>
    <n v="192.1211362300632"/>
    <n v="192.1211362300632"/>
    <n v="551"/>
    <n v="0.97699999999999998"/>
    <n v="13"/>
    <d v="1899-12-30T00:00:12"/>
    <d v="1899-12-30T00:01:40"/>
    <d v="1899-12-30T00:01:46"/>
    <n v="0.83960000000000001"/>
    <n v="15.305555555555554"/>
    <n v="918.33333333333326"/>
    <n v="14.333333333333334"/>
    <n v="860"/>
    <n v="2.3914930555555554"/>
    <n v="2.2395833333333335"/>
    <n v="2"/>
    <n v="3"/>
    <n v="5.3366982286128657"/>
    <n v="384.24227246012634"/>
    <n v="1.0006309178649124"/>
    <n v="2"/>
    <n v="132.22494712374839"/>
    <n v="348.50507820442709"/>
    <s v="Forecast"/>
  </r>
  <r>
    <d v="2023-02-01T00:00:00"/>
    <x v="4"/>
    <n v="4"/>
    <n v="2"/>
    <x v="4"/>
    <x v="3"/>
    <n v="452"/>
    <n v="253.1560711140117"/>
    <n v="227.84046400261053"/>
    <n v="202.52485689120937"/>
    <n v="202.52485689120937"/>
    <n v="149"/>
    <n v="0.99329999999999996"/>
    <n v="1"/>
    <d v="1899-12-30T00:00:10"/>
    <d v="1899-12-30T00:01:40"/>
    <d v="1899-12-30T00:02:11"/>
    <n v="0.89329999999999998"/>
    <n v="4.1388888888888884"/>
    <n v="248.33333333333331"/>
    <n v="12.555555555555555"/>
    <n v="753.33333333333337"/>
    <n v="1"/>
    <n v="1.9618055555555556"/>
    <n v="1"/>
    <n v="1"/>
    <n v="5.6256904692002596"/>
    <n v="405.04971378241868"/>
    <n v="1.0548169629750486"/>
    <n v="2"/>
    <n v="138.92284650262931"/>
    <n v="363.51842075989367"/>
    <s v="Forecast"/>
  </r>
  <r>
    <d v="2023-02-02T00:00:00"/>
    <x v="5"/>
    <n v="5"/>
    <n v="2"/>
    <x v="4"/>
    <x v="3"/>
    <n v="375"/>
    <n v="249.4675648041827"/>
    <n v="224.52080832376444"/>
    <n v="199.57405184334618"/>
    <n v="199.57405184334618"/>
    <n v="499"/>
    <n v="0.95779999999999998"/>
    <n v="22"/>
    <d v="1899-12-30T00:00:23"/>
    <d v="1899-12-30T00:01:36"/>
    <d v="1899-12-30T00:03:04"/>
    <n v="0.70930000000000004"/>
    <n v="13.306666666666667"/>
    <n v="798.4"/>
    <n v="10"/>
    <n v="600"/>
    <n v="2.0791666666666666"/>
    <n v="1.5625"/>
    <n v="2"/>
    <n v="3"/>
    <n v="5.3219747158225648"/>
    <n v="383.18217953922465"/>
    <n v="1"/>
    <n v="1"/>
    <n v="138.51297696800609"/>
    <n v="349.26804210497522"/>
    <s v="Forecast"/>
  </r>
  <r>
    <d v="2023-02-03T00:00:00"/>
    <x v="6"/>
    <n v="6"/>
    <n v="2"/>
    <x v="4"/>
    <x v="3"/>
    <n v="306"/>
    <n v="241.98038409960679"/>
    <n v="217.78234568964612"/>
    <n v="193.58430727968545"/>
    <n v="193.58430727968545"/>
    <n v="309"/>
    <n v="0.93640000000000001"/>
    <n v="21"/>
    <d v="1899-12-30T00:00:21"/>
    <d v="1899-12-30T00:03:19"/>
    <d v="1899-12-30T00:06:32"/>
    <n v="0.69540000000000002"/>
    <n v="17.080833333333334"/>
    <n v="1024.8500000000001"/>
    <n v="16.914999999999999"/>
    <n v="1014.9"/>
    <n v="2.6688802083333338"/>
    <n v="2.6429687500000001"/>
    <n v="2"/>
    <n v="3"/>
    <n v="10.700910319071502"/>
    <n v="770.4655429731481"/>
    <n v="2.0064206848259065"/>
    <n v="3"/>
    <n v="126.1146890364687"/>
    <n v="361.65551437908209"/>
    <s v="Forecast"/>
  </r>
  <r>
    <d v="2023-02-04T00:00:00"/>
    <x v="0"/>
    <n v="7"/>
    <n v="2"/>
    <x v="4"/>
    <x v="3"/>
    <n v="241"/>
    <n v="250.807332134962"/>
    <n v="225.72659892146581"/>
    <n v="200.64586570796962"/>
    <n v="200.64586570796962"/>
    <n v="288"/>
    <n v="0.96640000000000004"/>
    <n v="10"/>
    <d v="1899-12-30T00:00:13"/>
    <d v="1899-12-30T00:03:20"/>
    <d v="1899-12-30T00:04:03"/>
    <n v="0.84750000000000003"/>
    <n v="16"/>
    <n v="960"/>
    <n v="13.388888888888889"/>
    <n v="803.33333333333337"/>
    <n v="2.5"/>
    <n v="2.0920138888888888"/>
    <n v="2"/>
    <n v="3"/>
    <n v="11.146992539331645"/>
    <n v="802.58346283187836"/>
    <n v="2.0900611011246832"/>
    <n v="3"/>
    <n v="143.01939892120711"/>
    <n v="358.48360762994548"/>
    <s v="Forecast"/>
  </r>
  <r>
    <d v="2023-02-05T00:00:00"/>
    <x v="1"/>
    <n v="1"/>
    <n v="2"/>
    <x v="5"/>
    <x v="3"/>
    <n v="34"/>
    <n v="164.0972471848473"/>
    <n v="147.68752246636257"/>
    <n v="131.27779774787786"/>
    <n v="131.27779774787786"/>
    <n v="287"/>
    <n v="0.97619999999999996"/>
    <n v="7"/>
    <d v="1899-12-30T00:00:14"/>
    <d v="1899-12-30T00:03:28"/>
    <d v="1899-12-30T00:03:19"/>
    <n v="0.82250000000000001"/>
    <n v="16.582222222222221"/>
    <n v="994.93333333333328"/>
    <n v="1.9644444444444444"/>
    <n v="117.86666666666666"/>
    <n v="2.5909722222222222"/>
    <n v="1"/>
    <n v="2"/>
    <n v="3"/>
    <n v="7.5849394254329434"/>
    <n v="546.11563863117192"/>
    <n v="1.4221761422686769"/>
    <n v="2"/>
    <n v="55.60529879411051"/>
    <n v="266.97203778300047"/>
    <s v="Forecast"/>
  </r>
  <r>
    <d v="2023-02-06T00:00:00"/>
    <x v="2"/>
    <n v="2"/>
    <n v="2"/>
    <x v="5"/>
    <x v="3"/>
    <n v="248"/>
    <n v="266.19365142918139"/>
    <n v="239.57428628626326"/>
    <n v="212.95492114334513"/>
    <n v="212.95492114334513"/>
    <n v="253"/>
    <n v="0.96930000000000005"/>
    <n v="8"/>
    <d v="1899-12-30T00:00:10"/>
    <d v="1899-12-30T00:03:03"/>
    <d v="1899-12-30T00:05:48"/>
    <n v="0.89959999999999996"/>
    <n v="12.860833333333336"/>
    <n v="771.65000000000009"/>
    <n v="12.606666666666669"/>
    <n v="756.40000000000009"/>
    <n v="2.0095052083333336"/>
    <n v="1.9697916666666668"/>
    <n v="2"/>
    <n v="3"/>
    <n v="10.825208491453377"/>
    <n v="779.41501138464321"/>
    <n v="2.0297265921475085"/>
    <n v="3"/>
    <n v="157.884158347972"/>
    <n v="375.17200378745042"/>
    <s v="Forecast"/>
  </r>
  <r>
    <d v="2023-02-07T00:00:00"/>
    <x v="3"/>
    <n v="3"/>
    <n v="2"/>
    <x v="5"/>
    <x v="3"/>
    <n v="323"/>
    <n v="252.6399430103433"/>
    <n v="227.37594870930897"/>
    <n v="202.11195440827464"/>
    <n v="202.11195440827464"/>
    <n v="210"/>
    <n v="0.94169999999999998"/>
    <n v="13"/>
    <d v="1899-12-30T00:00:16"/>
    <d v="1899-12-30T00:03:07"/>
    <d v="1899-12-30T00:05:23"/>
    <n v="0.80089999999999995"/>
    <n v="10.908333333333333"/>
    <n v="654.5"/>
    <n v="16.778055555555557"/>
    <n v="1006.6833333333334"/>
    <n v="1.7044270833333333"/>
    <n v="2.6215711805555557"/>
    <n v="2"/>
    <n v="2"/>
    <n v="10.498593187318711"/>
    <n v="755.89870948694727"/>
    <n v="1.9684862226222586"/>
    <n v="2"/>
    <n v="140.2640302722686"/>
    <n v="358.34413265541798"/>
    <s v="Forecast"/>
  </r>
  <r>
    <d v="2023-02-08T00:00:00"/>
    <x v="4"/>
    <n v="4"/>
    <n v="2"/>
    <x v="5"/>
    <x v="3"/>
    <n v="260"/>
    <n v="267.61914220984761"/>
    <n v="240.85722798886286"/>
    <n v="214.09531376787811"/>
    <n v="214.09531376787811"/>
    <n v="58"/>
    <n v="0.98309999999999997"/>
    <n v="1"/>
    <d v="1899-12-30T00:00:21"/>
    <d v="1899-12-30T00:03:41"/>
    <d v="1899-12-30T00:03:12"/>
    <n v="0.74580000000000002"/>
    <n v="3.5605555555555557"/>
    <n v="213.63333333333335"/>
    <n v="15.96111111111111"/>
    <n v="957.66666666666663"/>
    <n v="1"/>
    <n v="2.4939236111111112"/>
    <n v="1"/>
    <n v="1"/>
    <n v="13.143073428528075"/>
    <n v="946.30128685402133"/>
    <n v="2.4643262678490139"/>
    <n v="3"/>
    <n v="156.89176240808911"/>
    <n v="368.90265401899262"/>
    <s v="Forecast"/>
  </r>
  <r>
    <d v="2023-02-09T00:00:00"/>
    <x v="5"/>
    <n v="5"/>
    <n v="2"/>
    <x v="5"/>
    <x v="3"/>
    <n v="316"/>
    <n v="265.82230423834193"/>
    <n v="239.24007381450775"/>
    <n v="212.65784339067355"/>
    <n v="212.65784339067355"/>
    <n v="327"/>
    <n v="0.96179999999999999"/>
    <n v="13"/>
    <d v="1899-12-30T00:00:21"/>
    <d v="1899-12-30T00:01:55"/>
    <d v="1899-12-30T00:03:46"/>
    <n v="0.77610000000000001"/>
    <n v="10.445833333333333"/>
    <n v="626.75"/>
    <n v="10.094444444444445"/>
    <n v="605.66666666666674"/>
    <n v="1.6321614583333333"/>
    <n v="1.5772569444444446"/>
    <n v="2"/>
    <n v="2"/>
    <n v="6.7932366638687371"/>
    <n v="489.11303979854904"/>
    <n v="1.273731874475388"/>
    <n v="2"/>
    <n v="155.0727540269971"/>
    <n v="368.17683263104391"/>
    <s v="Forecast"/>
  </r>
  <r>
    <d v="2023-02-10T00:00:00"/>
    <x v="6"/>
    <n v="6"/>
    <n v="2"/>
    <x v="5"/>
    <x v="3"/>
    <n v="60"/>
    <n v="260.09914475436779"/>
    <n v="234.08923027893101"/>
    <n v="208.07931580349424"/>
    <n v="208.07931580349424"/>
    <n v="280"/>
    <n v="0.97560000000000002"/>
    <n v="7"/>
    <d v="1899-12-30T00:00:13"/>
    <d v="1899-12-30T00:03:05"/>
    <d v="1899-12-30T00:01:56"/>
    <n v="0.84319999999999995"/>
    <n v="14.388888888888891"/>
    <n v="863.33333333333348"/>
    <n v="3.0833333333333339"/>
    <n v="185.00000000000003"/>
    <n v="2.2482638888888893"/>
    <n v="1"/>
    <n v="2"/>
    <n v="3"/>
    <n v="10.692964839901787"/>
    <n v="769.8934684729287"/>
    <n v="2.0049309074815853"/>
    <n v="3"/>
    <n v="151.49886595514539"/>
    <n v="375.52132007443879"/>
    <s v="Forecast"/>
  </r>
  <r>
    <d v="2023-02-11T00:00:00"/>
    <x v="0"/>
    <n v="7"/>
    <n v="2"/>
    <x v="5"/>
    <x v="3"/>
    <n v="267"/>
    <n v="270.5181454442195"/>
    <n v="243.46633089979755"/>
    <n v="216.41451635537561"/>
    <n v="216.41451635537561"/>
    <n v="257"/>
    <n v="0.95540000000000003"/>
    <n v="12"/>
    <d v="1899-12-30T00:00:16"/>
    <d v="1899-12-30T00:03:04"/>
    <d v="1899-12-30T00:03:49"/>
    <n v="0.82020000000000004"/>
    <n v="13.135555555555555"/>
    <n v="788.13333333333333"/>
    <n v="13.646666666666668"/>
    <n v="818.80000000000007"/>
    <n v="2.0524305555555555"/>
    <n v="2.1322916666666667"/>
    <n v="2"/>
    <n v="3"/>
    <n v="11.061186391496976"/>
    <n v="796.40542018778217"/>
    <n v="2.0739724484056827"/>
    <n v="3"/>
    <n v="158.10534047801039"/>
    <n v="381.56602463676143"/>
    <s v="Forecast"/>
  </r>
  <r>
    <d v="2023-02-12T00:00:00"/>
    <x v="1"/>
    <n v="1"/>
    <n v="2"/>
    <x v="6"/>
    <x v="3"/>
    <n v="30"/>
    <n v="185.18530650397159"/>
    <n v="166.66677585357442"/>
    <n v="148.14824520317728"/>
    <n v="148.14824520317728"/>
    <n v="261"/>
    <n v="0.9667"/>
    <n v="9"/>
    <d v="1899-12-30T00:00:12"/>
    <d v="1899-12-30T00:03:06"/>
    <d v="1899-12-30T00:04:29"/>
    <n v="0.85870000000000002"/>
    <n v="13.484999999999999"/>
    <n v="809.09999999999991"/>
    <n v="1.5499999999999998"/>
    <n v="92.999999999999986"/>
    <n v="2.1070312499999999"/>
    <n v="1"/>
    <n v="2"/>
    <n v="3"/>
    <n v="7.6543260021641597"/>
    <n v="551.11147215581946"/>
    <n v="1.4351861254057798"/>
    <n v="2"/>
    <n v="69.834942012604373"/>
    <n v="292.68668320267471"/>
    <s v="Forecast"/>
  </r>
  <r>
    <d v="2023-02-13T00:00:00"/>
    <x v="2"/>
    <n v="2"/>
    <n v="2"/>
    <x v="6"/>
    <x v="3"/>
    <n v="247"/>
    <n v="288.40383039260621"/>
    <n v="259.56344735334562"/>
    <n v="230.72306431408498"/>
    <n v="230.72306431408498"/>
    <n v="273"/>
    <n v="0.95789999999999997"/>
    <n v="12"/>
    <d v="1899-12-30T00:00:12"/>
    <d v="1899-12-30T00:03:14"/>
    <d v="1899-12-30T00:02:53"/>
    <n v="0.85360000000000003"/>
    <n v="14.711666666666666"/>
    <n v="882.69999999999993"/>
    <n v="13.310555555555554"/>
    <n v="798.63333333333321"/>
    <n v="2.2986979166666663"/>
    <n v="2.0797743055555551"/>
    <n v="2"/>
    <n v="3"/>
    <n v="12.433409576925689"/>
    <n v="895.20548953864954"/>
    <n v="2.3312642956735665"/>
    <n v="3"/>
    <n v="179.49738084220991"/>
    <n v="397.57928116144251"/>
    <s v="Forecast"/>
  </r>
  <r>
    <d v="2023-02-14T00:00:00"/>
    <x v="3"/>
    <n v="3"/>
    <n v="2"/>
    <x v="6"/>
    <x v="3"/>
    <n v="376"/>
    <n v="275.68032087685771"/>
    <n v="248.11228878917194"/>
    <n v="220.54425670148618"/>
    <n v="220.54425670148618"/>
    <n v="229"/>
    <n v="0.91239999999999999"/>
    <n v="22"/>
    <d v="1899-12-30T00:00:22"/>
    <d v="1899-12-30T00:02:59"/>
    <d v="1899-12-30T00:03:06"/>
    <n v="0.73060000000000003"/>
    <n v="11.386388888888888"/>
    <n v="683.18333333333328"/>
    <n v="18.695555555555554"/>
    <n v="1121.7333333333333"/>
    <n v="1.7791232638888888"/>
    <n v="2.9211805555555554"/>
    <n v="2"/>
    <n v="2"/>
    <n v="10.965950541546119"/>
    <n v="789.54843899132061"/>
    <n v="2.0561157265398973"/>
    <n v="3"/>
    <n v="160.02255740552181"/>
    <n v="381.75477845786509"/>
    <s v="Forecast"/>
  </r>
  <r>
    <d v="2023-02-15T00:00:00"/>
    <x v="4"/>
    <n v="4"/>
    <n v="2"/>
    <x v="6"/>
    <x v="3"/>
    <n v="316"/>
    <n v="291.16548311407718"/>
    <n v="262.04893480266946"/>
    <n v="232.93238649126175"/>
    <n v="232.93238649126175"/>
    <n v="47"/>
    <n v="1"/>
    <n v="0"/>
    <d v="1899-12-30T00:00:13"/>
    <d v="1899-12-30T00:03:03"/>
    <d v="1899-12-30T00:01:29"/>
    <n v="0.87229999999999996"/>
    <n v="2.3891666666666667"/>
    <n v="143.35"/>
    <n v="16.063333333333336"/>
    <n v="963.80000000000018"/>
    <n v="1"/>
    <n v="2.5098958333333337"/>
    <n v="1"/>
    <n v="1"/>
    <n v="11.84072964663914"/>
    <n v="852.53253455801803"/>
    <n v="2.2201368087448388"/>
    <n v="3"/>
    <n v="179.2947303243017"/>
    <n v="408.47110536860743"/>
    <s v="Forecast"/>
  </r>
  <r>
    <d v="2023-02-16T00:00:00"/>
    <x v="5"/>
    <n v="5"/>
    <n v="2"/>
    <x v="6"/>
    <x v="3"/>
    <n v="310"/>
    <n v="289.52341302980801"/>
    <n v="260.5710717268272"/>
    <n v="231.61873042384642"/>
    <n v="231.61873042384642"/>
    <n v="225"/>
    <n v="0.9657"/>
    <n v="8"/>
    <d v="1899-12-30T00:00:13"/>
    <d v="1899-12-30T00:03:02"/>
    <d v="1899-12-30T00:01:57"/>
    <n v="0.84719999999999995"/>
    <n v="11.375"/>
    <n v="682.5"/>
    <n v="15.672222222222222"/>
    <n v="940.33333333333337"/>
    <n v="1.77734375"/>
    <n v="2.4487847222222223"/>
    <n v="2"/>
    <n v="2"/>
    <n v="11.709613593650012"/>
    <n v="843.09217874280091"/>
    <n v="2.1955525488093772"/>
    <n v="3"/>
    <n v="178.7528576114328"/>
    <n v="399.72134990374587"/>
    <s v="Forecast"/>
  </r>
  <r>
    <d v="2023-02-17T00:00:00"/>
    <x v="6"/>
    <n v="6"/>
    <n v="2"/>
    <x v="6"/>
    <x v="3"/>
    <n v="340"/>
    <n v="283.58299928808361"/>
    <n v="255.22469935927526"/>
    <n v="226.86639943046691"/>
    <n v="226.86639943046691"/>
    <n v="248"/>
    <n v="0.96499999999999997"/>
    <n v="9"/>
    <d v="1899-12-30T00:00:14"/>
    <d v="1899-12-30T00:03:14"/>
    <d v="1899-12-30T00:03:42"/>
    <n v="0.83399999999999996"/>
    <n v="13.364444444444445"/>
    <n v="801.86666666666667"/>
    <n v="18.322222222222219"/>
    <n v="1099.3333333333333"/>
    <n v="2.0881944444444445"/>
    <n v="2.8628472222222219"/>
    <n v="2"/>
    <n v="3"/>
    <n v="12.225578191530715"/>
    <n v="880.2416297902115"/>
    <n v="2.2922959109120091"/>
    <n v="3"/>
    <n v="166.9444581394217"/>
    <n v="398.01991585795298"/>
    <s v="Forecast"/>
  </r>
  <r>
    <d v="2023-02-18T00:00:00"/>
    <x v="0"/>
    <n v="7"/>
    <n v="2"/>
    <x v="6"/>
    <x v="3"/>
    <n v="306"/>
    <n v="293.39868444986422"/>
    <n v="264.05881600487783"/>
    <n v="234.71894755989138"/>
    <n v="234.71894755989138"/>
    <n v="234"/>
    <n v="0.95509999999999995"/>
    <n v="11"/>
    <d v="1899-12-30T00:00:11"/>
    <d v="1899-12-30T00:03:01"/>
    <d v="1899-12-30T00:01:56"/>
    <n v="0.85950000000000004"/>
    <n v="11.765000000000001"/>
    <n v="705.90000000000009"/>
    <n v="15.384999999999998"/>
    <n v="923.09999999999991"/>
    <n v="1.8382812500000003"/>
    <n v="2.4039062499999999"/>
    <n v="2"/>
    <n v="2"/>
    <n v="11.801147085650094"/>
    <n v="849.68259016680679"/>
    <n v="2.2127150785593925"/>
    <n v="3"/>
    <n v="192.36921375054959"/>
    <n v="404.52619385801398"/>
    <s v="Forecast"/>
  </r>
  <r>
    <d v="2023-02-19T00:00:00"/>
    <x v="1"/>
    <n v="1"/>
    <n v="2"/>
    <x v="7"/>
    <x v="3"/>
    <n v="40"/>
    <n v="207.06973398896201"/>
    <n v="186.36276059006582"/>
    <n v="165.65578719116962"/>
    <n v="165.65578719116962"/>
    <n v="265"/>
    <n v="0.99250000000000005"/>
    <n v="2"/>
    <d v="1899-12-30T00:00:05"/>
    <d v="1899-12-30T00:02:59"/>
    <d v="1899-12-30T00:01:13"/>
    <n v="0.97360000000000002"/>
    <n v="13.176388888888889"/>
    <n v="790.58333333333337"/>
    <n v="1.9888888888888889"/>
    <n v="119.33333333333334"/>
    <n v="2.0588107638888888"/>
    <n v="1"/>
    <n v="2"/>
    <n v="3"/>
    <n v="8.2367738631164897"/>
    <n v="593.0477181443872"/>
    <n v="1.5443950993343416"/>
    <n v="2"/>
    <n v="95.494475209633805"/>
    <n v="320.53285397296389"/>
    <s v="Forecast"/>
  </r>
  <r>
    <d v="2023-02-20T00:00:00"/>
    <x v="2"/>
    <n v="2"/>
    <n v="2"/>
    <x v="7"/>
    <x v="3"/>
    <n v="378"/>
    <n v="308.90028246515789"/>
    <n v="278.0102542186421"/>
    <n v="247.12022597212632"/>
    <n v="247.12022597212632"/>
    <n v="224"/>
    <n v="0.96970000000000001"/>
    <n v="7"/>
    <d v="1899-12-30T00:00:11"/>
    <d v="1899-12-30T00:02:56"/>
    <d v="1899-12-30T00:02:54"/>
    <n v="0.86580000000000001"/>
    <n v="10.951111111111111"/>
    <n v="657.06666666666661"/>
    <n v="18.479999999999997"/>
    <n v="1108.7999999999997"/>
    <n v="1.711111111111111"/>
    <n v="2.8874999999999993"/>
    <n v="2"/>
    <n v="2"/>
    <n v="12.081433269748397"/>
    <n v="869.86319542188448"/>
    <n v="2.265268738077824"/>
    <n v="3"/>
    <n v="195.4354909631241"/>
    <n v="422.80255014188248"/>
    <s v="Forecast"/>
  </r>
  <r>
    <d v="2023-02-21T00:00:00"/>
    <x v="3"/>
    <n v="3"/>
    <n v="2"/>
    <x v="7"/>
    <x v="3"/>
    <n v="424"/>
    <n v="294.40572931721232"/>
    <n v="264.96515638549107"/>
    <n v="235.52458345376988"/>
    <n v="235.52458345376988"/>
    <n v="226"/>
    <n v="0.95760000000000001"/>
    <n v="10"/>
    <d v="1899-12-30T00:00:19"/>
    <d v="1899-12-30T00:03:04"/>
    <d v="1899-12-30T00:03:06"/>
    <n v="0.75"/>
    <n v="11.551111111111112"/>
    <n v="693.06666666666672"/>
    <n v="21.671111111111109"/>
    <n v="1300.2666666666667"/>
    <n v="1.8048611111111112"/>
    <n v="3.3861111111111111"/>
    <n v="2"/>
    <n v="2"/>
    <n v="12.037923154303796"/>
    <n v="866.7304671098733"/>
    <n v="2.2571105914319616"/>
    <n v="3"/>
    <n v="184.19832194230301"/>
    <n v="414.81272237307593"/>
    <s v="Forecast"/>
  </r>
  <r>
    <d v="2023-02-22T00:00:00"/>
    <x v="4"/>
    <n v="4"/>
    <n v="2"/>
    <x v="7"/>
    <x v="3"/>
    <n v="356"/>
    <n v="307.75346230291672"/>
    <n v="276.97811607262503"/>
    <n v="246.2027698423334"/>
    <n v="246.2027698423334"/>
    <n v="78"/>
    <n v="0.96299999999999997"/>
    <n v="3"/>
    <d v="1899-12-30T00:00:11"/>
    <d v="1899-12-30T00:02:57"/>
    <d v="1899-12-30T00:00:58"/>
    <n v="0.8125"/>
    <n v="3.8350000000000004"/>
    <n v="230.10000000000002"/>
    <n v="17.503333333333334"/>
    <n v="1050.2"/>
    <n v="1"/>
    <n v="2.7348958333333333"/>
    <n v="1"/>
    <n v="1"/>
    <n v="12.104969517248058"/>
    <n v="871.55780524186014"/>
    <n v="2.2696817844840109"/>
    <n v="3"/>
    <n v="204.4354893351782"/>
    <n v="417.62942705674789"/>
    <s v="Forecast"/>
  </r>
  <r>
    <d v="2023-02-23T00:00:00"/>
    <x v="5"/>
    <n v="5"/>
    <n v="2"/>
    <x v="7"/>
    <x v="3"/>
    <n v="320"/>
    <n v="303.63199321410451"/>
    <n v="273.26879389269408"/>
    <n v="242.90559457128361"/>
    <n v="242.90559457128361"/>
    <n v="273"/>
    <n v="0.97150000000000003"/>
    <n v="8"/>
    <d v="1899-12-30T00:00:11"/>
    <d v="1899-12-30T00:03:02"/>
    <d v="1899-12-30T00:03:21"/>
    <n v="0.88490000000000002"/>
    <n v="13.801666666666666"/>
    <n v="828.09999999999991"/>
    <n v="16.177777777777777"/>
    <n v="970.66666666666663"/>
    <n v="2.1565104166666664"/>
    <n v="2.5277777777777777"/>
    <n v="2"/>
    <n v="3"/>
    <n v="12.280227281103782"/>
    <n v="884.17636423947226"/>
    <n v="2.302542615206959"/>
    <n v="3"/>
    <n v="188.17839255522179"/>
    <n v="419.54506533422119"/>
    <s v="Forecast"/>
  </r>
  <r>
    <d v="2023-02-24T00:00:00"/>
    <x v="6"/>
    <n v="6"/>
    <n v="2"/>
    <x v="7"/>
    <x v="3"/>
    <n v="351"/>
    <n v="294.90202977511888"/>
    <n v="265.41182679760698"/>
    <n v="235.92162382009511"/>
    <n v="235.92162382009511"/>
    <n v="387"/>
    <n v="0.96989999999999998"/>
    <n v="12"/>
    <d v="1899-12-30T00:00:11"/>
    <d v="1899-12-30T00:02:51"/>
    <d v="1899-12-30T00:02:25"/>
    <n v="0.86360000000000003"/>
    <n v="18.3825"/>
    <n v="1102.95"/>
    <n v="16.672499999999999"/>
    <n v="1000.3499999999999"/>
    <n v="2.8722656250000003"/>
    <n v="2.6050781249999999"/>
    <n v="2"/>
    <n v="3"/>
    <n v="11.206277131454518"/>
    <n v="806.85195346472528"/>
    <n v="2.1011769621477221"/>
    <n v="3"/>
    <n v="181.36359474697699"/>
    <n v="406.1400817074894"/>
    <s v="Forecast"/>
  </r>
  <r>
    <d v="2023-02-25T00:00:00"/>
    <x v="0"/>
    <n v="7"/>
    <n v="2"/>
    <x v="7"/>
    <x v="3"/>
    <n v="85"/>
    <n v="301.65673518017218"/>
    <n v="271.49106166215495"/>
    <n v="241.32538814413775"/>
    <n v="241.32538814413775"/>
    <n v="287"/>
    <n v="0.98629999999999995"/>
    <n v="4"/>
    <d v="1899-12-30T00:00:11"/>
    <d v="1899-12-30T00:02:36"/>
    <d v="1899-12-30T00:03:38"/>
    <n v="0.87970000000000004"/>
    <n v="12.436666666666664"/>
    <n v="746.19999999999982"/>
    <n v="3.6833333333333327"/>
    <n v="220.99999999999997"/>
    <n v="1.9432291666666661"/>
    <n v="1"/>
    <n v="2"/>
    <n v="2"/>
    <n v="10.457433486245968"/>
    <n v="752.93521100970963"/>
    <n v="1.9607687786711188"/>
    <n v="2"/>
    <n v="201.67709627548169"/>
    <n v="410.71076249851501"/>
    <s v="Forecast"/>
  </r>
  <r>
    <d v="2023-02-26T00:00:00"/>
    <x v="1"/>
    <n v="1"/>
    <n v="2"/>
    <x v="8"/>
    <x v="3"/>
    <n v="44"/>
    <n v="212.0403330121988"/>
    <n v="190.83629971097892"/>
    <n v="169.63226640975904"/>
    <n v="169.63226640975904"/>
    <n v="281"/>
    <n v="0.96899999999999997"/>
    <n v="9"/>
    <d v="1899-12-30T00:00:07"/>
    <d v="1899-12-30T00:03:03"/>
    <d v="1899-12-30T00:01:00"/>
    <n v="0.91639999999999999"/>
    <n v="14.284166666666666"/>
    <n v="857.05"/>
    <n v="2.2366666666666668"/>
    <n v="134.20000000000002"/>
    <n v="2.2319010416666667"/>
    <n v="1"/>
    <n v="2"/>
    <n v="3"/>
    <n v="8.6229735424960854"/>
    <n v="620.85409505971813"/>
    <n v="1.6168075392180159"/>
    <n v="2"/>
    <n v="102.1192461708425"/>
    <n v="330.30880143490748"/>
    <s v="Forecast"/>
  </r>
  <r>
    <d v="2023-02-27T00:00:00"/>
    <x v="2"/>
    <n v="2"/>
    <n v="2"/>
    <x v="8"/>
    <x v="3"/>
    <n v="388"/>
    <n v="310.40733992471678"/>
    <n v="279.36660593224514"/>
    <n v="248.32587193977344"/>
    <n v="248.32587193977344"/>
    <n v="227"/>
    <n v="0.98699999999999999"/>
    <n v="3"/>
    <d v="1899-12-30T00:00:08"/>
    <d v="1899-12-30T00:03:06"/>
    <d v="1899-12-30T00:01:12"/>
    <n v="0.91669999999999996"/>
    <n v="11.728333333333333"/>
    <n v="703.7"/>
    <n v="20.046666666666667"/>
    <n v="1202.8"/>
    <n v="1.8325520833333335"/>
    <n v="3.1322916666666667"/>
    <n v="2"/>
    <n v="2"/>
    <n v="12.830170050221628"/>
    <n v="923.77224361595722"/>
    <n v="2.4056568844165551"/>
    <n v="3"/>
    <n v="200.40385404700189"/>
    <n v="413.84010828692698"/>
    <s v="Forecast"/>
  </r>
  <r>
    <d v="2023-02-28T00:00:00"/>
    <x v="3"/>
    <n v="3"/>
    <n v="2"/>
    <x v="8"/>
    <x v="3"/>
    <n v="283"/>
    <n v="292.32801536596759"/>
    <n v="263.09521382937083"/>
    <n v="233.86241229277408"/>
    <n v="233.86241229277408"/>
    <n v="216"/>
    <n v="0.9153"/>
    <n v="20"/>
    <d v="1899-12-30T00:00:17"/>
    <d v="1899-12-30T00:03:09"/>
    <d v="1899-12-30T00:02:54"/>
    <n v="0.70689999999999997"/>
    <n v="11.34"/>
    <n v="680.4"/>
    <n v="14.857500000000002"/>
    <n v="891.45"/>
    <n v="1.7718749999999999"/>
    <n v="2.3214843750000003"/>
    <n v="2"/>
    <n v="2"/>
    <n v="12.277776645370642"/>
    <n v="883.99991846668615"/>
    <n v="2.3020831210069952"/>
    <n v="3"/>
    <n v="186.4155747634961"/>
    <n v="395.09288015560122"/>
    <s v="Forecast"/>
  </r>
  <r>
    <d v="2023-03-01T00:00:00"/>
    <x v="4"/>
    <n v="4"/>
    <n v="3"/>
    <x v="8"/>
    <x v="3"/>
    <n v="241"/>
    <n v="302.0280265581905"/>
    <n v="271.82522390237148"/>
    <n v="241.62242124655242"/>
    <n v="241.62242124655242"/>
    <n v="44"/>
    <n v="0.9778"/>
    <n v="1"/>
    <d v="1899-12-30T00:00:05"/>
    <d v="1899-12-30T00:02:45"/>
    <d v="1899-12-30T00:01:56"/>
    <n v="0.93330000000000002"/>
    <n v="2.0166666666666666"/>
    <n v="121"/>
    <n v="11.045833333333333"/>
    <n v="662.75"/>
    <n v="1"/>
    <n v="1.7259114583333333"/>
    <n v="1"/>
    <n v="1"/>
    <n v="11.074360973800319"/>
    <n v="797.35399011362301"/>
    <n v="2.0764426825875599"/>
    <n v="3"/>
    <n v="190.66330449296859"/>
    <n v="414.45534505713829"/>
    <s v="Forecast"/>
  </r>
  <r>
    <d v="2023-03-02T00:00:00"/>
    <x v="5"/>
    <n v="5"/>
    <n v="3"/>
    <x v="8"/>
    <x v="3"/>
    <n v="280"/>
    <n v="294.25643642613181"/>
    <n v="264.83079278351863"/>
    <n v="235.40514914090545"/>
    <n v="235.40514914090545"/>
    <n v="238"/>
    <n v="0.95579999999999998"/>
    <n v="11"/>
    <d v="1899-12-30T00:00:11"/>
    <d v="1899-12-30T00:02:42"/>
    <d v="1899-12-30T00:01:58"/>
    <n v="0.86529999999999996"/>
    <n v="10.71"/>
    <n v="642.6"/>
    <n v="12.6"/>
    <n v="756"/>
    <n v="1.6734375000000001"/>
    <n v="1.96875"/>
    <n v="2"/>
    <n v="2"/>
    <n v="10.593231711340744"/>
    <n v="762.71268321653361"/>
    <n v="1.9862309458763896"/>
    <n v="2"/>
    <n v="185.10139565947051"/>
    <n v="412.42745248971869"/>
    <s v="Forecast"/>
  </r>
  <r>
    <d v="2023-03-03T00:00:00"/>
    <x v="6"/>
    <n v="6"/>
    <n v="3"/>
    <x v="8"/>
    <x v="3"/>
    <n v="294"/>
    <n v="281.93556381572779"/>
    <n v="253.74200743415503"/>
    <n v="225.54845105258224"/>
    <n v="225.54845105258224"/>
    <n v="328"/>
    <n v="0.93710000000000004"/>
    <n v="22"/>
    <d v="1899-12-30T00:00:28"/>
    <d v="1899-12-30T00:02:31"/>
    <d v="1899-12-30T00:02:28"/>
    <n v="0.58260000000000001"/>
    <n v="13.757777777777777"/>
    <n v="825.46666666666658"/>
    <n v="12.331666666666669"/>
    <n v="739.90000000000009"/>
    <n v="2.1496527777777774"/>
    <n v="1.9268229166666668"/>
    <n v="2"/>
    <n v="3"/>
    <n v="9.4605044747055338"/>
    <n v="681.1563221787984"/>
    <n v="1.7738445890072876"/>
    <n v="2"/>
    <n v="172.3686179945131"/>
    <n v="392.26715857202157"/>
    <s v="Forecast"/>
  </r>
  <r>
    <d v="2023-03-04T00:00:00"/>
    <x v="0"/>
    <n v="7"/>
    <n v="3"/>
    <x v="8"/>
    <x v="3"/>
    <n v="290"/>
    <n v="285.21999462011757"/>
    <n v="256.69799515810581"/>
    <n v="228.17599569609408"/>
    <n v="228.17599569609408"/>
    <n v="306"/>
    <n v="0.84760000000000002"/>
    <n v="55"/>
    <d v="1899-12-30T00:00:27"/>
    <d v="1899-12-30T00:02:26"/>
    <d v="1899-12-30T00:06:41"/>
    <n v="0.60170000000000001"/>
    <n v="12.41"/>
    <n v="744.6"/>
    <n v="11.761111111111111"/>
    <n v="705.66666666666663"/>
    <n v="1.9390625000000001"/>
    <n v="1.8376736111111109"/>
    <n v="2"/>
    <n v="2"/>
    <n v="9.2538042698971488"/>
    <n v="666.27390743259468"/>
    <n v="1.7350883006057154"/>
    <n v="2"/>
    <n v="174.91173757406159"/>
    <n v="392.57981353711102"/>
    <s v="Forecast"/>
  </r>
  <r>
    <d v="2023-03-05T00:00:00"/>
    <x v="1"/>
    <n v="1"/>
    <n v="3"/>
    <x v="9"/>
    <x v="3"/>
    <n v="32"/>
    <n v="192.3139298309774"/>
    <n v="173.08253684787965"/>
    <n v="153.85114386478193"/>
    <n v="153.85114386478193"/>
    <n v="256"/>
    <n v="0.97709999999999997"/>
    <n v="6"/>
    <d v="1899-12-30T00:00:13"/>
    <d v="1899-12-30T00:02:50"/>
    <d v="1899-12-30T00:02:54"/>
    <n v="0.86150000000000004"/>
    <n v="12.088888888888887"/>
    <n v="725.33333333333326"/>
    <n v="1.5111111111111108"/>
    <n v="90.666666666666657"/>
    <n v="1.8888888888888886"/>
    <n v="1"/>
    <n v="2"/>
    <n v="2"/>
    <n v="7.2651929047258124"/>
    <n v="523.09388914025851"/>
    <n v="1.3622236696360899"/>
    <n v="2"/>
    <n v="79.573359019085714"/>
    <n v="302.28025537221902"/>
    <s v="Forecast"/>
  </r>
  <r>
    <d v="2023-03-06T00:00:00"/>
    <x v="2"/>
    <n v="2"/>
    <n v="3"/>
    <x v="9"/>
    <x v="3"/>
    <n v="270"/>
    <n v="287.629181559534"/>
    <n v="258.8662634035806"/>
    <n v="230.1033452476272"/>
    <n v="230.1033452476272"/>
    <n v="288"/>
    <n v="0.9536"/>
    <n v="14"/>
    <d v="1899-12-30T00:00:21"/>
    <d v="1899-12-30T00:02:56"/>
    <d v="1899-12-30T00:02:59"/>
    <n v="0.71099999999999997"/>
    <n v="14.08"/>
    <n v="844.8"/>
    <n v="13.199999999999998"/>
    <n v="791.99999999999989"/>
    <n v="2.1999999999999997"/>
    <n v="2.0624999999999996"/>
    <n v="2"/>
    <n v="3"/>
    <n v="11.249496878772883"/>
    <n v="809.96377527164759"/>
    <n v="2.1092806647699156"/>
    <n v="3"/>
    <n v="179.2399366438612"/>
    <n v="397.09253295466613"/>
    <s v="Forecast"/>
  </r>
  <r>
    <d v="2023-03-07T00:00:00"/>
    <x v="3"/>
    <n v="3"/>
    <n v="3"/>
    <x v="9"/>
    <x v="3"/>
    <n v="212"/>
    <n v="266.78943469750487"/>
    <n v="240.11049122775438"/>
    <n v="213.43154775800392"/>
    <n v="213.43154775800392"/>
    <n v="268"/>
    <n v="0.89629999999999999"/>
    <n v="31"/>
    <d v="1899-12-30T00:00:28"/>
    <d v="1899-12-30T00:02:49"/>
    <d v="1899-12-30T00:02:58"/>
    <n v="0.55410000000000004"/>
    <n v="12.581111111111111"/>
    <n v="754.86666666666667"/>
    <n v="9.9522222222222219"/>
    <n v="597.13333333333333"/>
    <n v="1.9657986111111112"/>
    <n v="1.5550347222222223"/>
    <n v="2"/>
    <n v="2"/>
    <n v="10.019425436417405"/>
    <n v="721.3986314220532"/>
    <n v="1.8786422693282636"/>
    <n v="2"/>
    <n v="164.77248858970449"/>
    <n v="374.25363347891192"/>
    <s v="Forecast"/>
  </r>
  <r>
    <d v="2023-03-08T00:00:00"/>
    <x v="4"/>
    <n v="4"/>
    <n v="3"/>
    <x v="9"/>
    <x v="3"/>
    <n v="246"/>
    <n v="274.06879981691532"/>
    <n v="246.66191983522378"/>
    <n v="219.25503985353225"/>
    <n v="219.25503985353225"/>
    <n v="49"/>
    <n v="0.98"/>
    <n v="1"/>
    <d v="1899-12-30T00:00:24"/>
    <d v="1899-12-30T00:02:55"/>
    <d v="1899-12-30T00:02:08"/>
    <n v="0.76"/>
    <n v="2.3819444444444446"/>
    <n v="142.91666666666669"/>
    <n v="11.958333333333332"/>
    <n v="717.49999999999989"/>
    <n v="1"/>
    <n v="1.868489583333333"/>
    <n v="1"/>
    <n v="1"/>
    <n v="10.658231103991151"/>
    <n v="767.39263948736289"/>
    <n v="1.9984183319983408"/>
    <n v="2"/>
    <n v="160.75540043853789"/>
    <n v="381.92960029521402"/>
    <s v="Forecast"/>
  </r>
  <r>
    <d v="2023-03-09T00:00:00"/>
    <x v="5"/>
    <n v="5"/>
    <n v="3"/>
    <x v="9"/>
    <x v="3"/>
    <n v="194"/>
    <n v="264.25879074683922"/>
    <n v="237.83291167215532"/>
    <n v="211.40703259747139"/>
    <n v="211.40703259747139"/>
    <n v="273"/>
    <n v="0.95789999999999997"/>
    <n v="12"/>
    <d v="1899-12-30T00:00:21"/>
    <d v="1899-12-30T00:02:49"/>
    <d v="1899-12-30T00:03:30"/>
    <n v="0.76160000000000005"/>
    <n v="12.815833333333334"/>
    <n v="768.95"/>
    <n v="9.107222222222223"/>
    <n v="546.43333333333339"/>
    <n v="2.0024739583333333"/>
    <n v="1.4230034722222225"/>
    <n v="2"/>
    <n v="3"/>
    <n v="9.9243856969368505"/>
    <n v="714.55577017945325"/>
    <n v="1.8608223181756596"/>
    <n v="2"/>
    <n v="152.32808897402899"/>
    <n v="376.65970467964291"/>
    <s v="Forecast"/>
  </r>
  <r>
    <d v="2023-03-10T00:00:00"/>
    <x v="6"/>
    <n v="6"/>
    <n v="3"/>
    <x v="9"/>
    <x v="3"/>
    <n v="179"/>
    <n v="250.3172995929107"/>
    <n v="225.28556963361964"/>
    <n v="200.25383967432856"/>
    <n v="200.25383967432856"/>
    <n v="75"/>
    <n v="0.97399999999999998"/>
    <n v="2"/>
    <d v="1899-12-30T00:00:09"/>
    <d v="1899-12-30T00:02:43"/>
    <d v="1899-12-30T00:02:10"/>
    <n v="0.92110000000000003"/>
    <n v="3.3958333333333335"/>
    <n v="203.75"/>
    <n v="8.1047222222222235"/>
    <n v="486.28333333333342"/>
    <n v="1"/>
    <n v="1.2663628472222224"/>
    <n v="2"/>
    <n v="1"/>
    <n v="9.0670488519209886"/>
    <n v="652.82751733831117"/>
    <n v="1.7000716597351853"/>
    <n v="2"/>
    <n v="141.4449356162514"/>
    <n v="360.95432545173799"/>
    <s v="Forecast"/>
  </r>
  <r>
    <d v="2023-03-11T00:00:00"/>
    <x v="0"/>
    <n v="7"/>
    <n v="3"/>
    <x v="9"/>
    <x v="3"/>
    <n v="67"/>
    <n v="252.4268683919577"/>
    <n v="227.18418155276194"/>
    <n v="201.94149471356616"/>
    <n v="201.94149471356616"/>
    <n v="321"/>
    <n v="0.96689999999999998"/>
    <n v="11"/>
    <d v="1899-12-30T00:00:17"/>
    <d v="1899-12-30T00:02:58"/>
    <d v="1899-12-30T00:03:34"/>
    <n v="0.80659999999999998"/>
    <n v="15.871666666666666"/>
    <n v="952.3"/>
    <n v="3.3127777777777778"/>
    <n v="198.76666666666668"/>
    <n v="2.4799479166666667"/>
    <n v="1"/>
    <n v="2"/>
    <n v="3"/>
    <n v="9.9848850163929939"/>
    <n v="718.91172118029556"/>
    <n v="1.8721659405736863"/>
    <n v="2"/>
    <n v="147.3058057472324"/>
    <n v="361.93351622181871"/>
    <s v="Forecast"/>
  </r>
  <r>
    <d v="2023-03-12T00:00:00"/>
    <x v="1"/>
    <n v="1"/>
    <n v="3"/>
    <x v="10"/>
    <x v="3"/>
    <n v="27"/>
    <n v="158.81146056850329"/>
    <n v="142.93031451165297"/>
    <n v="127.04916845480264"/>
    <n v="127.04916845480264"/>
    <n v="266"/>
    <n v="0.94330000000000003"/>
    <n v="16"/>
    <d v="1899-12-30T00:00:22"/>
    <d v="1899-12-30T00:03:10"/>
    <d v="1899-12-30T00:08:12"/>
    <n v="0.7429"/>
    <n v="14.03888888888889"/>
    <n v="842.33333333333337"/>
    <n v="1.425"/>
    <n v="85.5"/>
    <n v="2.1935763888888888"/>
    <n v="1"/>
    <n v="2"/>
    <n v="3"/>
    <n v="6.7053727795590294"/>
    <n v="482.78684012825011"/>
    <n v="1.2572573961673179"/>
    <n v="2"/>
    <n v="44.092148889541377"/>
    <n v="264.03439025307381"/>
    <s v="Forecast"/>
  </r>
  <r>
    <d v="2023-03-13T00:00:00"/>
    <x v="2"/>
    <n v="2"/>
    <n v="3"/>
    <x v="10"/>
    <x v="3"/>
    <n v="190"/>
    <n v="253.89405661193459"/>
    <n v="228.50465095074114"/>
    <n v="203.11524528954769"/>
    <n v="203.11524528954769"/>
    <n v="248"/>
    <n v="0.96879999999999999"/>
    <n v="8"/>
    <d v="1899-12-30T00:00:14"/>
    <d v="1899-12-30T00:03:00"/>
    <d v="1899-12-30T00:03:52"/>
    <n v="0.82350000000000001"/>
    <n v="12.399999999999999"/>
    <n v="743.99999999999989"/>
    <n v="9.5"/>
    <n v="570"/>
    <n v="1.9374999999999998"/>
    <n v="1.484375"/>
    <n v="2"/>
    <n v="2"/>
    <n v="10.155762264477383"/>
    <n v="731.21488304237164"/>
    <n v="1.9042054245895095"/>
    <n v="2"/>
    <n v="149.95072204492601"/>
    <n v="352.9945124094578"/>
    <s v="Forecast"/>
  </r>
  <r>
    <d v="2023-03-14T00:00:00"/>
    <x v="3"/>
    <n v="3"/>
    <n v="3"/>
    <x v="10"/>
    <x v="3"/>
    <n v="213"/>
    <n v="233.30070083158259"/>
    <n v="209.97063074842433"/>
    <n v="186.64056066526609"/>
    <n v="186.64056066526609"/>
    <n v="176"/>
    <n v="0.99439999999999995"/>
    <n v="1"/>
    <d v="1899-12-30T00:00:12"/>
    <d v="1899-12-30T00:02:37"/>
    <d v="1899-12-30T00:01:45"/>
    <n v="0.83520000000000005"/>
    <n v="7.6755555555555555"/>
    <n v="460.5333333333333"/>
    <n v="9.2891666666666666"/>
    <n v="557.35"/>
    <n v="1.1993055555555554"/>
    <n v="1.4514322916666667"/>
    <n v="2"/>
    <n v="2"/>
    <n v="8.1396022290129952"/>
    <n v="586.05136048893564"/>
    <n v="1.5261754179399365"/>
    <n v="2"/>
    <n v="120.4685797385783"/>
    <n v="347.31512110099249"/>
    <s v="Forecast"/>
  </r>
  <r>
    <d v="2023-03-15T00:00:00"/>
    <x v="4"/>
    <n v="4"/>
    <n v="3"/>
    <x v="10"/>
    <x v="3"/>
    <n v="208"/>
    <n v="241.29902962359279"/>
    <n v="217.16912666123352"/>
    <n v="193.03922369887425"/>
    <n v="193.03922369887425"/>
    <n v="24"/>
    <n v="0.88890000000000002"/>
    <n v="3"/>
    <d v="1899-12-30T00:00:13"/>
    <d v="1899-12-30T00:02:15"/>
    <d v="1899-12-30T00:01:08"/>
    <n v="0.74070000000000003"/>
    <n v="0.90000000000000013"/>
    <n v="54.000000000000007"/>
    <n v="7.8"/>
    <n v="468"/>
    <n v="1"/>
    <n v="1.21875"/>
    <n v="1"/>
    <n v="1"/>
    <n v="7.2389708887077857"/>
    <n v="521.20590398696061"/>
    <n v="1.35730704163271"/>
    <n v="2"/>
    <n v="118.6036655566582"/>
    <n v="359.27555425582159"/>
    <s v="Forecast"/>
  </r>
  <r>
    <d v="2023-03-16T00:00:00"/>
    <x v="5"/>
    <n v="5"/>
    <n v="3"/>
    <x v="10"/>
    <x v="3"/>
    <n v="166"/>
    <n v="232.66541500575369"/>
    <n v="209.39887350517833"/>
    <n v="186.13233200460297"/>
    <n v="186.13233200460297"/>
    <n v="305"/>
    <n v="0.99350000000000005"/>
    <n v="2"/>
    <d v="1899-12-30T00:00:09"/>
    <d v="1899-12-30T00:03:01"/>
    <d v="1899-12-30T00:01:42"/>
    <n v="0.91800000000000004"/>
    <n v="15.334722222222222"/>
    <n v="920.08333333333337"/>
    <n v="8.3461111111111101"/>
    <n v="500.76666666666659"/>
    <n v="2.3960503472222223"/>
    <n v="1.3040798611111108"/>
    <n v="2"/>
    <n v="3"/>
    <n v="9.3583200257869805"/>
    <n v="673.7990418566626"/>
    <n v="1.7546850048350588"/>
    <n v="2"/>
    <n v="122.6902119595798"/>
    <n v="353.59754955233097"/>
    <s v="Forecast"/>
  </r>
  <r>
    <d v="2023-03-17T00:00:00"/>
    <x v="6"/>
    <n v="6"/>
    <n v="3"/>
    <x v="10"/>
    <x v="3"/>
    <n v="169"/>
    <n v="220.3342920072659"/>
    <n v="198.30086280653933"/>
    <n v="176.26743360581273"/>
    <n v="176.26743360581273"/>
    <n v="577"/>
    <n v="0.98299999999999998"/>
    <n v="10"/>
    <d v="1899-12-30T00:00:10"/>
    <d v="1899-12-30T00:02:08"/>
    <d v="1899-12-30T00:01:56"/>
    <n v="0.9194"/>
    <n v="20.515555555555554"/>
    <n v="1230.9333333333332"/>
    <n v="6.0088888888888885"/>
    <n v="360.5333333333333"/>
    <n v="3.2055555555555553"/>
    <n v="1"/>
    <n v="2"/>
    <n v="4"/>
    <n v="6.2672865282066743"/>
    <n v="451.24463003088056"/>
    <n v="1.1751162240387514"/>
    <n v="2"/>
    <n v="112.1660843331484"/>
    <n v="333.7844511406131"/>
    <s v="Forecast"/>
  </r>
  <r>
    <d v="2023-03-18T00:00:00"/>
    <x v="0"/>
    <n v="7"/>
    <n v="3"/>
    <x v="10"/>
    <x v="3"/>
    <n v="175"/>
    <n v="224.45696051045229"/>
    <n v="202.01126445940707"/>
    <n v="179.56556840836186"/>
    <n v="179.56556840836186"/>
    <n v="265"/>
    <n v="0.98150000000000004"/>
    <n v="5"/>
    <d v="1899-12-30T00:00:07"/>
    <d v="1899-12-30T00:02:44"/>
    <d v="1899-12-30T00:01:56"/>
    <n v="0.91790000000000005"/>
    <n v="12.072222222222221"/>
    <n v="724.33333333333326"/>
    <n v="7.9722222222222223"/>
    <n v="478.33333333333331"/>
    <n v="1.8862847222222221"/>
    <n v="1.2456597222222221"/>
    <n v="2"/>
    <n v="2"/>
    <n v="8.180209227492039"/>
    <n v="588.97506437942673"/>
    <n v="1.5337892301547571"/>
    <n v="2"/>
    <n v="117.55318496848381"/>
    <n v="331.71511008960988"/>
    <s v="Forecast"/>
  </r>
  <r>
    <d v="2023-03-19T00:00:00"/>
    <x v="1"/>
    <n v="1"/>
    <n v="3"/>
    <x v="11"/>
    <x v="3"/>
    <n v="43"/>
    <n v="133.21905194502531"/>
    <n v="119.89714675052278"/>
    <n v="106.57524155602026"/>
    <n v="106.57524155602026"/>
    <n v="297"/>
    <n v="0.96740000000000004"/>
    <n v="10"/>
    <d v="1899-12-30T00:00:14"/>
    <d v="1899-12-30T00:02:59"/>
    <d v="1899-12-30T00:02:55"/>
    <n v="0.82240000000000002"/>
    <n v="14.7675"/>
    <n v="886.05"/>
    <n v="2.1380555555555554"/>
    <n v="128.28333333333333"/>
    <n v="2.3074218749999997"/>
    <n v="1"/>
    <n v="2"/>
    <n v="3"/>
    <n v="5.2991578440354523"/>
    <n v="381.5393647705526"/>
    <n v="1"/>
    <n v="1"/>
    <n v="22.450307282114611"/>
    <n v="245.95937055686011"/>
    <s v="Forecast"/>
  </r>
  <r>
    <d v="2023-03-20T00:00:00"/>
    <x v="2"/>
    <n v="2"/>
    <n v="3"/>
    <x v="11"/>
    <x v="3"/>
    <n v="24"/>
    <n v="230.99896859925369"/>
    <n v="207.89907173932832"/>
    <n v="184.79917487940295"/>
    <n v="184.79917487940295"/>
    <n v="238"/>
    <n v="0.98350000000000004"/>
    <n v="4"/>
    <d v="1899-12-30T00:00:06"/>
    <d v="1899-12-30T00:02:42"/>
    <d v="1899-12-30T00:01:55"/>
    <n v="0.94630000000000003"/>
    <n v="10.71"/>
    <n v="642.6"/>
    <n v="1.08"/>
    <n v="64.800000000000011"/>
    <n v="1.6734375000000001"/>
    <n v="1"/>
    <n v="2"/>
    <n v="2"/>
    <n v="8.3159628695731325"/>
    <n v="598.74932660926549"/>
    <n v="1.5592430380449622"/>
    <n v="2"/>
    <n v="119.3252172568247"/>
    <n v="338.9164034536654"/>
    <s v="Forecast"/>
  </r>
  <r>
    <d v="2023-03-21T00:00:00"/>
    <x v="3"/>
    <n v="3"/>
    <n v="3"/>
    <x v="11"/>
    <x v="3"/>
    <n v="26"/>
    <n v="213.3729023147489"/>
    <n v="192.035612083274"/>
    <n v="170.69832185179914"/>
    <n v="170.69832185179914"/>
    <n v="182"/>
    <n v="0.93810000000000004"/>
    <n v="12"/>
    <d v="1899-12-30T00:00:12"/>
    <d v="1899-12-30T00:02:57"/>
    <d v="1899-12-30T00:01:36"/>
    <n v="0.8115"/>
    <n v="8.9483333333333341"/>
    <n v="536.90000000000009"/>
    <n v="1.2783333333333335"/>
    <n v="76.700000000000017"/>
    <n v="1.3981770833333336"/>
    <n v="1"/>
    <n v="2"/>
    <n v="2"/>
    <n v="8.392667491046792"/>
    <n v="604.27205935536904"/>
    <n v="1.5736251545712736"/>
    <n v="2"/>
    <n v="95.850946369800837"/>
    <n v="318.83294655300659"/>
    <s v="Forecast"/>
  </r>
  <r>
    <d v="2023-03-22T00:00:00"/>
    <x v="4"/>
    <n v="4"/>
    <n v="3"/>
    <x v="11"/>
    <x v="3"/>
    <n v="42"/>
    <n v="224.5544399443254"/>
    <n v="202.09899594989287"/>
    <n v="179.64355195546034"/>
    <n v="179.64355195546034"/>
    <n v="21"/>
    <n v="1"/>
    <n v="0"/>
    <d v="1899-12-30T00:00:12"/>
    <d v="1899-12-30T00:03:07"/>
    <d v="1899-12-30T00:01:34"/>
    <n v="0.90480000000000005"/>
    <n v="1.0908333333333333"/>
    <n v="65.45"/>
    <n v="2.1816666666666666"/>
    <n v="130.9"/>
    <n v="1"/>
    <n v="1"/>
    <n v="1"/>
    <n v="1"/>
    <n v="9.3314845043530781"/>
    <n v="671.86688431342156"/>
    <n v="1.7496533445662019"/>
    <n v="2"/>
    <n v="107.7696100028801"/>
    <n v="336.4906411772223"/>
    <s v="Forecast"/>
  </r>
  <r>
    <d v="2023-03-23T00:00:00"/>
    <x v="5"/>
    <n v="5"/>
    <n v="3"/>
    <x v="11"/>
    <x v="3"/>
    <n v="37"/>
    <n v="219.26286390964191"/>
    <n v="197.33657751867773"/>
    <n v="175.41029112771355"/>
    <n v="175.41029112771355"/>
    <n v="288"/>
    <n v="0.98970000000000002"/>
    <n v="3"/>
    <d v="1899-12-30T00:00:07"/>
    <d v="1899-12-30T00:02:46"/>
    <d v="1899-12-30T00:01:24"/>
    <n v="0.93789999999999996"/>
    <n v="13.28"/>
    <n v="796.8"/>
    <n v="1.7061111111111111"/>
    <n v="102.36666666666667"/>
    <n v="2.0749999999999997"/>
    <n v="1"/>
    <n v="2"/>
    <n v="3"/>
    <n v="8.0883634242223472"/>
    <n v="582.36216654400891"/>
    <n v="1.5165681420416899"/>
    <n v="2"/>
    <n v="101.5090578823031"/>
    <n v="330.62547300158349"/>
    <s v="Forecast"/>
  </r>
  <r>
    <d v="2023-03-24T00:00:00"/>
    <x v="6"/>
    <n v="6"/>
    <n v="3"/>
    <x v="11"/>
    <x v="3"/>
    <n v="60"/>
    <n v="210.37368927617209"/>
    <n v="189.33632034855489"/>
    <n v="168.29895142093767"/>
    <n v="168.29895142093767"/>
    <n v="479"/>
    <n v="0.92830000000000001"/>
    <n v="37"/>
    <d v="1899-12-30T00:00:26"/>
    <d v="1899-12-30T00:02:40"/>
    <d v="1899-12-30T00:03:31"/>
    <n v="0.63800000000000001"/>
    <n v="21.288888888888888"/>
    <n v="1277.3333333333333"/>
    <n v="2.6666666666666665"/>
    <n v="160"/>
    <n v="3.3263888888888888"/>
    <n v="1"/>
    <n v="2"/>
    <n v="4"/>
    <n v="7.4799533964861196"/>
    <n v="538.55664454700059"/>
    <n v="1.4024912618411474"/>
    <n v="2"/>
    <n v="104.25421534355409"/>
    <n v="324.76579786622892"/>
    <s v="Forecast"/>
  </r>
  <r>
    <d v="2023-03-25T00:00:00"/>
    <x v="0"/>
    <n v="7"/>
    <n v="3"/>
    <x v="11"/>
    <x v="3"/>
    <n v="82"/>
    <n v="217.97869970534819"/>
    <n v="196.18082973481339"/>
    <n v="174.38295976427855"/>
    <n v="174.38295976427855"/>
    <n v="447"/>
    <n v="0.9889"/>
    <n v="5"/>
    <d v="1899-12-30T00:00:06"/>
    <d v="1899-12-30T00:02:04"/>
    <d v="1899-12-30T00:03:52"/>
    <n v="0.94440000000000002"/>
    <n v="15.396666666666667"/>
    <n v="923.8"/>
    <n v="2.8244444444444445"/>
    <n v="169.46666666666667"/>
    <n v="2.4057291666666667"/>
    <n v="1"/>
    <n v="2"/>
    <n v="3"/>
    <n v="6.0065241696584843"/>
    <n v="432.46974021541081"/>
    <n v="1.1262232818109656"/>
    <n v="2"/>
    <n v="104.41886032166769"/>
    <n v="334.63445325712689"/>
    <s v="Forecast"/>
  </r>
  <r>
    <d v="2023-03-26T00:00:00"/>
    <x v="1"/>
    <n v="1"/>
    <n v="3"/>
    <x v="12"/>
    <x v="3"/>
    <n v="31"/>
    <n v="130.20464408868079"/>
    <n v="117.18417967981271"/>
    <n v="104.16371527094464"/>
    <n v="104.16371527094464"/>
    <n v="375"/>
    <n v="1"/>
    <n v="0"/>
    <d v="1899-12-30T00:00:05"/>
    <d v="1899-12-30T00:02:13"/>
    <d v="1899-12-30T00:01:05"/>
    <n v="0.96530000000000005"/>
    <n v="13.854166666666666"/>
    <n v="831.25"/>
    <n v="1.1452777777777778"/>
    <n v="68.716666666666669"/>
    <n v="2.1647135416666665"/>
    <n v="1"/>
    <n v="2"/>
    <n v="3"/>
    <n v="3.8482705919543432"/>
    <n v="277.07548262071271"/>
    <n v="1"/>
    <n v="1"/>
    <n v="18.290706460339159"/>
    <n v="235.12212652143731"/>
    <s v="Forecast"/>
  </r>
  <r>
    <d v="2023-03-27T00:00:00"/>
    <x v="2"/>
    <n v="2"/>
    <n v="3"/>
    <x v="12"/>
    <x v="3"/>
    <n v="178"/>
    <n v="231.372873350449"/>
    <n v="208.2355860154041"/>
    <n v="185.09829868035922"/>
    <n v="185.09829868035922"/>
    <n v="287"/>
    <n v="0.93789999999999996"/>
    <n v="19"/>
    <d v="1899-12-30T00:00:19"/>
    <d v="1899-12-30T00:02:15"/>
    <d v="1899-12-30T00:04:50"/>
    <n v="0.76319999999999999"/>
    <n v="10.762500000000003"/>
    <n v="645.75000000000023"/>
    <n v="6.6749999999999998"/>
    <n v="400.5"/>
    <n v="1.6816406250000007"/>
    <n v="1.04296875"/>
    <n v="2"/>
    <n v="2"/>
    <n v="6.9411862005134717"/>
    <n v="499.76540643696995"/>
    <n v="1.301472412596276"/>
    <n v="2"/>
    <n v="120.52169366789551"/>
    <n v="341.38094654293502"/>
    <s v="Forecast"/>
  </r>
  <r>
    <d v="2023-03-28T00:00:00"/>
    <x v="3"/>
    <n v="3"/>
    <n v="3"/>
    <x v="12"/>
    <x v="3"/>
    <n v="183"/>
    <n v="217.00549695922231"/>
    <n v="195.30494726330008"/>
    <n v="173.60439756737787"/>
    <n v="173.60439756737787"/>
    <n v="235"/>
    <n v="0.97509999999999997"/>
    <n v="6"/>
    <d v="1899-12-30T00:00:15"/>
    <d v="1899-12-30T00:02:40"/>
    <d v="1899-12-30T00:01:57"/>
    <n v="0.80330000000000001"/>
    <n v="10.444444444444445"/>
    <n v="626.66666666666663"/>
    <n v="8.1333333333333329"/>
    <n v="488"/>
    <n v="1.6319444444444444"/>
    <n v="1.2708333333333333"/>
    <n v="2"/>
    <n v="2"/>
    <n v="7.7157510029945717"/>
    <n v="555.53407221560917"/>
    <n v="1.4467033130614821"/>
    <n v="2"/>
    <n v="109.3505249176869"/>
    <n v="321.65865847926432"/>
    <s v="Forecast"/>
  </r>
  <r>
    <d v="2023-03-29T00:00:00"/>
    <x v="4"/>
    <n v="4"/>
    <n v="3"/>
    <x v="12"/>
    <x v="3"/>
    <n v="39"/>
    <n v="231.2660409781281"/>
    <n v="208.13943688031529"/>
    <n v="185.0128327825025"/>
    <n v="185.0128327825025"/>
    <n v="34"/>
    <n v="1"/>
    <n v="0"/>
    <d v="1899-12-30T00:00:18"/>
    <d v="1899-12-30T00:03:01"/>
    <d v="1899-12-30T00:02:08"/>
    <n v="0.85289999999999999"/>
    <n v="1.7094444444444445"/>
    <n v="102.56666666666668"/>
    <n v="1.960833333333333"/>
    <n v="117.64999999999998"/>
    <n v="1"/>
    <n v="1"/>
    <n v="1"/>
    <n v="1"/>
    <n v="9.3020340926758198"/>
    <n v="669.74645467265896"/>
    <n v="1.7441313923767161"/>
    <n v="2"/>
    <n v="126.02835544910251"/>
    <n v="346.09037574454652"/>
    <s v="Forecast"/>
  </r>
  <r>
    <d v="2023-03-30T00:00:00"/>
    <x v="5"/>
    <n v="5"/>
    <n v="3"/>
    <x v="12"/>
    <x v="3"/>
    <n v="170"/>
    <n v="228.8286927679855"/>
    <n v="205.94582349118696"/>
    <n v="183.06295421438841"/>
    <n v="183.06295421438841"/>
    <n v="238"/>
    <n v="0.9597"/>
    <n v="10"/>
    <d v="1899-12-30T00:00:19"/>
    <d v="1899-12-30T00:02:43"/>
    <d v="1899-12-30T00:04:33"/>
    <n v="0.7409"/>
    <n v="10.776111111111112"/>
    <n v="646.56666666666672"/>
    <n v="7.697222222222222"/>
    <n v="461.83333333333331"/>
    <n v="1.6837673611111112"/>
    <n v="1.2026909722222221"/>
    <n v="2"/>
    <n v="2"/>
    <n v="8.288683760262586"/>
    <n v="596.78523073890619"/>
    <n v="1.5541282050492349"/>
    <n v="2"/>
    <n v="123.8133714809407"/>
    <n v="332.96660918612582"/>
    <s v="Forecast"/>
  </r>
  <r>
    <d v="2023-03-31T00:00:00"/>
    <x v="6"/>
    <n v="6"/>
    <n v="3"/>
    <x v="12"/>
    <x v="3"/>
    <n v="180"/>
    <n v="222.5296533949741"/>
    <n v="200.27668805547671"/>
    <n v="178.02372271597929"/>
    <n v="178.02372271597929"/>
    <n v="307"/>
    <n v="0.95050000000000001"/>
    <n v="16"/>
    <d v="1899-12-30T00:00:13"/>
    <d v="1899-12-30T00:02:42"/>
    <d v="1899-12-30T00:03:28"/>
    <n v="0.82699999999999996"/>
    <n v="13.814999999999998"/>
    <n v="828.89999999999986"/>
    <n v="8.1"/>
    <n v="486"/>
    <n v="2.1585937499999996"/>
    <n v="1.265625"/>
    <n v="2"/>
    <n v="3"/>
    <n v="8.0110675222190686"/>
    <n v="576.79686159977291"/>
    <n v="1.5020751604160754"/>
    <n v="2"/>
    <n v="116.61424167427499"/>
    <n v="328.06107996876477"/>
    <s v="Forecast"/>
  </r>
  <r>
    <d v="2023-04-01T00:00:00"/>
    <x v="0"/>
    <n v="7"/>
    <n v="4"/>
    <x v="12"/>
    <x v="3"/>
    <n v="24"/>
    <n v="232.42784309419861"/>
    <n v="209.18505878477876"/>
    <n v="185.94227447535889"/>
    <n v="185.94227447535889"/>
    <n v="257"/>
    <n v="0.98850000000000005"/>
    <n v="3"/>
    <d v="1899-12-30T00:00:10"/>
    <d v="1899-12-30T00:02:29"/>
    <d v="1899-12-30T00:01:42"/>
    <n v="0.91120000000000001"/>
    <n v="10.636944444444444"/>
    <n v="638.21666666666658"/>
    <n v="0.99333333333333351"/>
    <n v="59.600000000000009"/>
    <n v="1.6620225694444442"/>
    <n v="1"/>
    <n v="2"/>
    <n v="2"/>
    <n v="7.695944138007909"/>
    <n v="554.10797793656945"/>
    <n v="1.4429895258764829"/>
    <n v="2"/>
    <n v="126.1133395147463"/>
    <n v="344.31675919790791"/>
    <s v="Forecast"/>
  </r>
  <r>
    <d v="2023-04-02T00:00:00"/>
    <x v="1"/>
    <n v="1"/>
    <n v="4"/>
    <x v="13"/>
    <x v="3"/>
    <n v="7"/>
    <n v="146.62410831075101"/>
    <n v="131.96169747967591"/>
    <n v="117.29928664860081"/>
    <n v="117.29928664860081"/>
    <n v="311"/>
    <n v="0.98419999999999996"/>
    <n v="5"/>
    <d v="1899-12-30T00:00:10"/>
    <d v="1899-12-30T00:02:41"/>
    <d v="1899-12-30T00:02:54"/>
    <n v="0.87539999999999996"/>
    <n v="13.908611111111112"/>
    <n v="834.51666666666677"/>
    <n v="0.31305555555555553"/>
    <n v="18.783333333333331"/>
    <n v="2.1732204861111115"/>
    <n v="1"/>
    <n v="2"/>
    <n v="3"/>
    <n v="5.2458847640068695"/>
    <n v="377.70370300849459"/>
    <n v="1"/>
    <n v="1"/>
    <n v="36.176261517102162"/>
    <n v="260.58002267539428"/>
    <s v="Forecast"/>
  </r>
  <r>
    <d v="2023-04-03T00:00:00"/>
    <x v="2"/>
    <n v="2"/>
    <n v="4"/>
    <x v="13"/>
    <x v="3"/>
    <n v="181"/>
    <n v="249.42120057531301"/>
    <n v="224.47908051778171"/>
    <n v="199.53696046025041"/>
    <n v="199.53696046025041"/>
    <n v="59"/>
    <n v="0.98329999999999995"/>
    <n v="1"/>
    <d v="1899-12-30T00:00:03"/>
    <d v="1899-12-30T00:02:41"/>
    <d v="1899-12-30T00:01:55"/>
    <n v="0.98329999999999995"/>
    <n v="2.638611111111111"/>
    <n v="158.31666666666666"/>
    <n v="8.0947222222222237"/>
    <n v="485.68333333333339"/>
    <n v="1"/>
    <n v="1.2648003472222225"/>
    <n v="2"/>
    <n v="1"/>
    <n v="8.9237362872500885"/>
    <n v="642.50901268200641"/>
    <n v="1.6732005538593917"/>
    <n v="2"/>
    <n v="136.23197171459111"/>
    <n v="365.99088082013321"/>
    <s v="Forecast"/>
  </r>
  <r>
    <d v="2023-04-04T00:00:00"/>
    <x v="3"/>
    <n v="3"/>
    <n v="4"/>
    <x v="13"/>
    <x v="3"/>
    <n v="209"/>
    <n v="236.330101721251"/>
    <n v="212.6970915491259"/>
    <n v="189.0640813770008"/>
    <n v="189.0640813770008"/>
    <n v="251"/>
    <n v="0.94010000000000005"/>
    <n v="16"/>
    <d v="1899-12-30T00:00:19"/>
    <d v="1899-12-30T00:02:27"/>
    <d v="1899-12-30T00:07:44"/>
    <n v="0.75560000000000005"/>
    <n v="10.249166666666667"/>
    <n v="614.95000000000005"/>
    <n v="8.5341666666666658"/>
    <n v="512.04999999999995"/>
    <n v="1.6014322916666668"/>
    <n v="1.3334635416666665"/>
    <n v="2"/>
    <n v="2"/>
    <n v="7.7201166562275327"/>
    <n v="555.84839924838229"/>
    <n v="1.4475218730426622"/>
    <n v="2"/>
    <n v="133.06601022559661"/>
    <n v="346.17407379055982"/>
    <s v="Forecast"/>
  </r>
  <r>
    <d v="2023-04-05T00:00:00"/>
    <x v="4"/>
    <n v="4"/>
    <n v="4"/>
    <x v="13"/>
    <x v="3"/>
    <n v="180"/>
    <n v="251.51067656045109"/>
    <n v="226.35960890440597"/>
    <n v="201.20854124836089"/>
    <n v="201.20854124836089"/>
    <n v="29"/>
    <n v="0.9667"/>
    <n v="1"/>
    <d v="1899-12-30T00:00:08"/>
    <d v="1899-12-30T00:02:00"/>
    <d v="1899-12-30T00:00:46"/>
    <n v="0.93100000000000005"/>
    <n v="0.96666666666666667"/>
    <n v="58"/>
    <n v="6"/>
    <n v="360"/>
    <n v="1"/>
    <n v="1"/>
    <n v="1"/>
    <n v="1"/>
    <n v="6.7069513749453638"/>
    <n v="482.90049899606618"/>
    <n v="1.2575533828022556"/>
    <n v="2"/>
    <n v="141.41088651189651"/>
    <n v="355.83134511402761"/>
    <s v="Forecast"/>
  </r>
  <r>
    <d v="2023-04-06T00:00:00"/>
    <x v="5"/>
    <n v="5"/>
    <n v="4"/>
    <x v="13"/>
    <x v="3"/>
    <n v="221"/>
    <n v="249.64074167580901"/>
    <n v="224.67666750822812"/>
    <n v="199.71259334064723"/>
    <n v="199.71259334064723"/>
    <n v="238"/>
    <n v="0.96360000000000001"/>
    <n v="9"/>
    <d v="1899-12-30T00:00:13"/>
    <d v="1899-12-30T00:02:35"/>
    <d v="1899-12-30T00:02:54"/>
    <n v="0.83330000000000004"/>
    <n v="10.247222222222222"/>
    <n v="614.83333333333326"/>
    <n v="9.5152777777777775"/>
    <n v="570.91666666666663"/>
    <n v="1.6011284722222221"/>
    <n v="1.4867621527777777"/>
    <n v="2"/>
    <n v="2"/>
    <n v="8.5987366577223128"/>
    <n v="619.10903935600641"/>
    <n v="1.6122631233229334"/>
    <n v="2"/>
    <n v="133.0443754880487"/>
    <n v="359.25507750477419"/>
    <s v="Forecast"/>
  </r>
  <r>
    <d v="2023-04-07T00:00:00"/>
    <x v="6"/>
    <n v="6"/>
    <n v="4"/>
    <x v="13"/>
    <x v="3"/>
    <n v="254"/>
    <n v="243.56707906766249"/>
    <n v="219.21037116089624"/>
    <n v="194.85366325413"/>
    <n v="194.85366325413"/>
    <n v="365"/>
    <n v="0.97070000000000001"/>
    <n v="11"/>
    <d v="1899-12-30T00:00:15"/>
    <d v="1899-12-30T00:03:00"/>
    <d v="1899-12-30T00:03:30"/>
    <n v="0.81769999999999998"/>
    <n v="18.25"/>
    <n v="1095"/>
    <n v="12.7"/>
    <n v="762"/>
    <n v="2.8515625"/>
    <n v="1.984375"/>
    <n v="2"/>
    <n v="3"/>
    <n v="9.7426831627065003"/>
    <n v="701.473187714868"/>
    <n v="1.8267530930074687"/>
    <n v="2"/>
    <n v="137.9498671313255"/>
    <n v="354.28296008095401"/>
    <s v="Forecast"/>
  </r>
  <r>
    <d v="2023-04-08T00:00:00"/>
    <x v="0"/>
    <n v="7"/>
    <n v="4"/>
    <x v="13"/>
    <x v="3"/>
    <n v="627"/>
    <n v="253.36565156467771"/>
    <n v="228.02908640820993"/>
    <n v="202.69252125174216"/>
    <n v="202.69252125174216"/>
    <n v="306"/>
    <n v="0.96840000000000004"/>
    <n v="10"/>
    <d v="1899-12-30T00:00:13"/>
    <d v="1899-12-30T00:02:55"/>
    <d v="1899-12-30T00:01:58"/>
    <n v="0.82799999999999996"/>
    <n v="14.875"/>
    <n v="892.5"/>
    <n v="30.479166666666664"/>
    <n v="1828.7499999999998"/>
    <n v="2.32421875"/>
    <n v="4.7623697916666661"/>
    <n v="2"/>
    <n v="3"/>
    <n v="9.8531086719596885"/>
    <n v="709.42382438109757"/>
    <n v="1.8474578759924416"/>
    <n v="2"/>
    <n v="140.8231287557937"/>
    <n v="369.32649850513008"/>
    <s v="Forecast"/>
  </r>
  <r>
    <d v="2023-04-09T00:00:00"/>
    <x v="1"/>
    <n v="1"/>
    <n v="4"/>
    <x v="14"/>
    <x v="3"/>
    <n v="167"/>
    <n v="167.16018364268379"/>
    <n v="150.44416527841543"/>
    <n v="133.72814691414703"/>
    <n v="133.72814691414703"/>
    <n v="304"/>
    <n v="0.98060000000000003"/>
    <n v="6"/>
    <d v="1899-12-30T00:00:07"/>
    <d v="1899-12-30T00:02:51"/>
    <d v="1899-12-30T00:01:40"/>
    <n v="0.92159999999999997"/>
    <n v="14.44"/>
    <n v="866.4"/>
    <n v="7.932500000000001"/>
    <n v="475.95000000000005"/>
    <n v="2.2562500000000001"/>
    <n v="1.239453125"/>
    <n v="2"/>
    <n v="3"/>
    <n v="6.3520869784219851"/>
    <n v="457.35026244638294"/>
    <n v="1.1910163084541223"/>
    <n v="2"/>
    <n v="53.614834513022338"/>
    <n v="277.78346922169271"/>
    <s v="Forecast"/>
  </r>
  <r>
    <d v="2023-04-10T00:00:00"/>
    <x v="2"/>
    <n v="2"/>
    <n v="4"/>
    <x v="14"/>
    <x v="3"/>
    <n v="599"/>
    <n v="269.28139612593998"/>
    <n v="242.353256513346"/>
    <n v="215.42511690075199"/>
    <n v="215.42511690075199"/>
    <n v="327"/>
    <n v="0.96179999999999999"/>
    <n v="13"/>
    <d v="1899-12-30T00:00:23"/>
    <d v="1899-12-30T00:02:55"/>
    <d v="1899-12-30T00:02:34"/>
    <n v="0.71340000000000003"/>
    <n v="15.895833333333332"/>
    <n v="953.74999999999989"/>
    <n v="29.11805555555555"/>
    <n v="1747.083333333333"/>
    <n v="2.483723958333333"/>
    <n v="4.5496961805555545"/>
    <n v="2"/>
    <n v="3"/>
    <n v="10.472054293786554"/>
    <n v="753.98790915263191"/>
    <n v="1.963510180084979"/>
    <n v="2"/>
    <n v="165.01229506574771"/>
    <n v="380.96498888380438"/>
    <s v="Forecast"/>
  </r>
  <r>
    <d v="2023-04-11T00:00:00"/>
    <x v="3"/>
    <n v="3"/>
    <n v="4"/>
    <x v="14"/>
    <x v="3"/>
    <n v="304"/>
    <n v="255.272490127813"/>
    <n v="229.74524111503172"/>
    <n v="204.21799210225041"/>
    <n v="204.21799210225041"/>
    <n v="289"/>
    <n v="0.94440000000000002"/>
    <n v="17"/>
    <d v="1899-12-30T00:00:24"/>
    <d v="1899-12-30T00:02:43"/>
    <d v="1899-12-30T00:05:04"/>
    <n v="0.69740000000000002"/>
    <n v="13.085277777777778"/>
    <n v="785.11666666666667"/>
    <n v="13.764444444444445"/>
    <n v="825.86666666666667"/>
    <n v="2.0445746527777779"/>
    <n v="2.1506944444444445"/>
    <n v="2"/>
    <n v="3"/>
    <n v="9.2465368646296717"/>
    <n v="665.75065425333639"/>
    <n v="1.7337256621180634"/>
    <n v="2"/>
    <n v="141.0310259942737"/>
    <n v="366.22804394622"/>
    <s v="Forecast"/>
  </r>
  <r>
    <d v="2023-04-12T00:00:00"/>
    <x v="4"/>
    <n v="4"/>
    <n v="4"/>
    <x v="14"/>
    <x v="3"/>
    <n v="267"/>
    <n v="269.32888423095778"/>
    <n v="242.39599580786202"/>
    <n v="215.46310738476623"/>
    <n v="215.46310738476623"/>
    <n v="40"/>
    <n v="1"/>
    <n v="0"/>
    <d v="1899-12-30T00:00:05"/>
    <d v="1899-12-30T00:02:46"/>
    <d v="1899-12-30T00:00:51"/>
    <n v="0.97499999999999998"/>
    <n v="1.8444444444444446"/>
    <n v="110.66666666666667"/>
    <n v="12.311666666666667"/>
    <n v="738.7"/>
    <n v="1"/>
    <n v="1.9236979166666668"/>
    <n v="1"/>
    <n v="1"/>
    <n v="9.9352432849642209"/>
    <n v="715.33751651742386"/>
    <n v="1.8628581159307913"/>
    <n v="2"/>
    <n v="154.44999104299961"/>
    <n v="384.47204133337681"/>
    <s v="Forecast"/>
  </r>
  <r>
    <d v="2023-04-13T00:00:00"/>
    <x v="5"/>
    <n v="5"/>
    <n v="4"/>
    <x v="14"/>
    <x v="3"/>
    <n v="286"/>
    <n v="266.16631788798679"/>
    <n v="239.54968609918811"/>
    <n v="212.93305431038945"/>
    <n v="212.93305431038945"/>
    <n v="370"/>
    <n v="0.9788"/>
    <n v="8"/>
    <d v="1899-12-30T00:00:11"/>
    <d v="1899-12-30T00:02:52"/>
    <d v="1899-12-30T00:02:36"/>
    <n v="0.86699999999999999"/>
    <n v="17.677777777777781"/>
    <n v="1060.6666666666667"/>
    <n v="13.664444444444445"/>
    <n v="819.86666666666667"/>
    <n v="2.7621527777777781"/>
    <n v="2.1350694444444445"/>
    <n v="2"/>
    <n v="3"/>
    <n v="10.173468150385274"/>
    <n v="732.48970682773972"/>
    <n v="1.9075252781972389"/>
    <n v="2"/>
    <n v="147.4676337540227"/>
    <n v="379.87946367098459"/>
    <s v="Forecast"/>
  </r>
  <r>
    <d v="2023-04-14T00:00:00"/>
    <x v="6"/>
    <n v="6"/>
    <n v="4"/>
    <x v="14"/>
    <x v="3"/>
    <n v="196"/>
    <n v="258.67087488355628"/>
    <n v="232.80378739520066"/>
    <n v="206.93669990684504"/>
    <n v="206.93669990684504"/>
    <n v="416"/>
    <n v="0.98109999999999997"/>
    <n v="8"/>
    <d v="1899-12-30T00:00:14"/>
    <d v="1899-12-30T00:02:54"/>
    <d v="1899-12-30T00:03:41"/>
    <n v="0.83889999999999998"/>
    <n v="20.106666666666666"/>
    <n v="1206.3999999999999"/>
    <n v="9.4733333333333327"/>
    <n v="568.4"/>
    <n v="3.1416666666666662"/>
    <n v="1.4802083333333333"/>
    <n v="2"/>
    <n v="4"/>
    <n v="10.001940495497509"/>
    <n v="720.13971567582064"/>
    <n v="1.8753638429057828"/>
    <n v="2"/>
    <n v="152.21200773921021"/>
    <n v="372.81015589994348"/>
    <s v="Forecast"/>
  </r>
  <r>
    <d v="2023-04-15T00:00:00"/>
    <x v="0"/>
    <n v="7"/>
    <n v="4"/>
    <x v="14"/>
    <x v="3"/>
    <n v="191"/>
    <n v="266.95820902697432"/>
    <n v="240.2623881242769"/>
    <n v="213.56656722157948"/>
    <n v="213.56656722157948"/>
    <n v="353"/>
    <n v="0.99160000000000004"/>
    <n v="3"/>
    <d v="1899-12-30T00:00:05"/>
    <d v="1899-12-30T00:02:48"/>
    <d v="1899-12-30T00:01:04"/>
    <n v="0.97170000000000001"/>
    <n v="16.473333333333333"/>
    <n v="988.4"/>
    <n v="8.913333333333334"/>
    <n v="534.80000000000007"/>
    <n v="2.5739583333333331"/>
    <n v="1.3927083333333334"/>
    <n v="2"/>
    <n v="3"/>
    <n v="9.9664398036737083"/>
    <n v="717.58366586450688"/>
    <n v="1.8687074631888201"/>
    <n v="2"/>
    <n v="153.4158253156765"/>
    <n v="379.11819035163398"/>
    <s v="Forecast"/>
  </r>
  <r>
    <d v="2023-04-16T00:00:00"/>
    <x v="1"/>
    <n v="1"/>
    <n v="4"/>
    <x v="15"/>
    <x v="3"/>
    <n v="60"/>
    <n v="179.19116043132809"/>
    <n v="161.27204438819527"/>
    <n v="143.35292834506248"/>
    <n v="143.35292834506248"/>
    <n v="308"/>
    <n v="0.96250000000000002"/>
    <n v="12"/>
    <d v="1899-12-30T00:00:10"/>
    <d v="1899-12-30T00:02:33"/>
    <d v="1899-12-30T00:03:24"/>
    <n v="0.88990000000000002"/>
    <n v="13.09"/>
    <n v="785.4"/>
    <n v="2.5499999999999998"/>
    <n v="153"/>
    <n v="2.0453125000000001"/>
    <n v="1"/>
    <n v="2"/>
    <n v="3"/>
    <n v="6.0924994546651545"/>
    <n v="438.6599607358911"/>
    <n v="1.1423436477497164"/>
    <n v="2"/>
    <n v="72.829685015265184"/>
    <n v="287.01754860722627"/>
    <s v="Forecast"/>
  </r>
  <r>
    <d v="2023-04-17T00:00:00"/>
    <x v="2"/>
    <n v="2"/>
    <n v="4"/>
    <x v="15"/>
    <x v="3"/>
    <n v="215"/>
    <n v="279.73807444777941"/>
    <n v="251.76426700300146"/>
    <n v="223.79045955822355"/>
    <n v="223.79045955822355"/>
    <n v="341"/>
    <n v="0.97150000000000003"/>
    <n v="10"/>
    <d v="1899-12-30T00:00:11"/>
    <d v="1899-12-30T00:02:50"/>
    <d v="1899-12-30T00:01:49"/>
    <n v="0.86250000000000004"/>
    <n v="16.102777777777774"/>
    <n v="966.16666666666652"/>
    <n v="10.152777777777779"/>
    <n v="609.16666666666674"/>
    <n v="2.5160590277777772"/>
    <n v="1.5863715277777779"/>
    <n v="2"/>
    <n v="3"/>
    <n v="10.567882812471664"/>
    <n v="760.88756249795983"/>
    <n v="1.9814780273384371"/>
    <n v="2"/>
    <n v="165.17301294826009"/>
    <n v="387.51803031306758"/>
    <s v="Forecast"/>
  </r>
  <r>
    <d v="2023-04-18T00:00:00"/>
    <x v="3"/>
    <n v="3"/>
    <n v="4"/>
    <x v="15"/>
    <x v="3"/>
    <n v="221"/>
    <n v="264.17744045160413"/>
    <n v="237.75969640644371"/>
    <n v="211.34195236128332"/>
    <n v="211.34195236128332"/>
    <n v="83"/>
    <n v="0.97650000000000003"/>
    <n v="2"/>
    <d v="1899-12-30T00:00:13"/>
    <d v="1899-12-30T00:02:47"/>
    <d v="1899-12-30T00:03:44"/>
    <n v="0.85880000000000001"/>
    <n v="3.8502777777777779"/>
    <n v="231.01666666666668"/>
    <n v="10.251944444444444"/>
    <n v="615.11666666666667"/>
    <n v="1"/>
    <n v="1.6018663194444445"/>
    <n v="2"/>
    <n v="1"/>
    <n v="9.8039183456484214"/>
    <n v="705.88212088668638"/>
    <n v="1.8382346898090791"/>
    <n v="2"/>
    <n v="158.13571340453481"/>
    <n v="378.3537596321745"/>
    <s v="Forecast"/>
  </r>
  <r>
    <d v="2023-04-19T00:00:00"/>
    <x v="4"/>
    <n v="4"/>
    <n v="4"/>
    <x v="15"/>
    <x v="3"/>
    <n v="201"/>
    <n v="276.73687404977989"/>
    <n v="249.0631866448019"/>
    <n v="221.38949923982392"/>
    <n v="221.38949923982392"/>
    <n v="43"/>
    <n v="0.97729999999999995"/>
    <n v="1"/>
    <d v="1899-12-30T00:00:09"/>
    <d v="1899-12-30T00:02:33"/>
    <d v="1899-12-30T00:03:52"/>
    <n v="0.84089999999999998"/>
    <n v="1.8274999999999999"/>
    <n v="109.64999999999999"/>
    <n v="8.5424999999999986"/>
    <n v="512.54999999999995"/>
    <n v="1"/>
    <n v="1.334765625"/>
    <n v="1"/>
    <n v="1"/>
    <n v="9.4090537176925153"/>
    <n v="677.45186767386099"/>
    <n v="1.7641975720673464"/>
    <n v="2"/>
    <n v="171.13090920501909"/>
    <n v="398.57367302876497"/>
    <s v="Forecast"/>
  </r>
  <r>
    <d v="2023-04-20T00:00:00"/>
    <x v="5"/>
    <n v="5"/>
    <n v="4"/>
    <x v="15"/>
    <x v="3"/>
    <n v="205"/>
    <n v="272.16057250741011"/>
    <n v="244.94451525666909"/>
    <n v="217.7284580059281"/>
    <n v="217.7284580059281"/>
    <n v="363"/>
    <n v="0.93559999999999999"/>
    <n v="25"/>
    <d v="1899-12-30T00:00:19"/>
    <d v="1899-12-30T00:03:06"/>
    <d v="1899-12-30T00:02:54"/>
    <n v="0.752"/>
    <n v="18.754999999999999"/>
    <n v="1125.3"/>
    <n v="10.591666666666667"/>
    <n v="635.5"/>
    <n v="2.9304687499999997"/>
    <n v="1.6549479166666667"/>
    <n v="2"/>
    <n v="3"/>
    <n v="11.249303663639619"/>
    <n v="809.9498637820526"/>
    <n v="2.1092444369324288"/>
    <n v="3"/>
    <n v="160.55662761234609"/>
    <n v="384.15315409166288"/>
    <s v="Forecast"/>
  </r>
  <r>
    <d v="2023-04-21T00:00:00"/>
    <x v="6"/>
    <n v="6"/>
    <n v="4"/>
    <x v="15"/>
    <x v="3"/>
    <n v="201"/>
    <n v="263.35881092110992"/>
    <n v="237.02292982899894"/>
    <n v="210.68704873688796"/>
    <n v="210.68704873688796"/>
    <n v="280"/>
    <n v="0.98939999999999995"/>
    <n v="3"/>
    <d v="1899-12-30T00:00:06"/>
    <d v="1899-12-30T00:03:05"/>
    <d v="1899-12-30T00:01:49"/>
    <n v="0.95730000000000004"/>
    <n v="14.388888888888891"/>
    <n v="863.33333333333348"/>
    <n v="10.329166666666667"/>
    <n v="619.75"/>
    <n v="2.2482638888888893"/>
    <n v="1.6139322916666667"/>
    <n v="2"/>
    <n v="3"/>
    <n v="10.826973337867853"/>
    <n v="779.54208032648546"/>
    <n v="2.0300575008502224"/>
    <n v="3"/>
    <n v="153.57599602497189"/>
    <n v="374.04109352434142"/>
    <s v="Forecast"/>
  </r>
  <r>
    <d v="2023-04-22T00:00:00"/>
    <x v="0"/>
    <n v="7"/>
    <n v="4"/>
    <x v="15"/>
    <x v="3"/>
    <n v="140"/>
    <n v="270.46677153486218"/>
    <n v="243.42009438137597"/>
    <n v="216.37341722788975"/>
    <n v="216.37341722788975"/>
    <n v="238"/>
    <n v="0.98760000000000003"/>
    <n v="3"/>
    <d v="1899-12-30T00:00:05"/>
    <d v="1899-12-30T00:02:55"/>
    <d v="1899-12-30T00:03:16"/>
    <n v="0.9667"/>
    <n v="11.569444444444445"/>
    <n v="694.16666666666663"/>
    <n v="6.8055555555555554"/>
    <n v="408.33333333333331"/>
    <n v="1.8077256944444444"/>
    <n v="1.0633680555555556"/>
    <n v="2"/>
    <n v="2"/>
    <n v="10.518152226355749"/>
    <n v="757.30696029761395"/>
    <n v="1.9721535424417029"/>
    <n v="2"/>
    <n v="158.0838244600439"/>
    <n v="383.27023461623583"/>
    <s v="Forecast"/>
  </r>
  <r>
    <d v="2023-04-23T00:00:00"/>
    <x v="1"/>
    <n v="1"/>
    <n v="4"/>
    <x v="16"/>
    <x v="3"/>
    <n v="29"/>
    <n v="181.66190114423989"/>
    <n v="163.49571102981591"/>
    <n v="145.32952091539192"/>
    <n v="145.32952091539192"/>
    <n v="273"/>
    <n v="0.97499999999999998"/>
    <n v="7"/>
    <d v="1899-12-30T00:00:09"/>
    <d v="1899-12-30T00:02:46"/>
    <d v="1899-12-30T00:03:38"/>
    <n v="0.8821"/>
    <n v="12.588333333333335"/>
    <n v="755.30000000000007"/>
    <n v="1.3372222222222223"/>
    <n v="80.233333333333334"/>
    <n v="1.9669270833333334"/>
    <n v="1"/>
    <n v="2"/>
    <n v="2"/>
    <n v="6.701305686654182"/>
    <n v="482.49400943910109"/>
    <n v="1.256494816247659"/>
    <n v="2"/>
    <n v="72.893917397994443"/>
    <n v="291.17069907302402"/>
    <s v="Forecast"/>
  </r>
  <r>
    <d v="2023-04-24T00:00:00"/>
    <x v="2"/>
    <n v="2"/>
    <n v="4"/>
    <x v="16"/>
    <x v="3"/>
    <n v="398"/>
    <n v="281.32211146767662"/>
    <n v="253.18990032090898"/>
    <n v="225.0576891741413"/>
    <n v="225.0576891741413"/>
    <n v="273"/>
    <n v="0.92859999999999998"/>
    <n v="21"/>
    <d v="1899-12-30T00:00:26"/>
    <d v="1899-12-30T00:03:16"/>
    <d v="1899-12-30T00:02:44"/>
    <n v="0.61770000000000003"/>
    <n v="14.863333333333333"/>
    <n v="891.8"/>
    <n v="21.66888888888889"/>
    <n v="1300.1333333333334"/>
    <n v="2.3223958333333332"/>
    <n v="3.385763888888889"/>
    <n v="2"/>
    <n v="3"/>
    <n v="12.253140855036584"/>
    <n v="882.2261415626341"/>
    <n v="2.2974639103193595"/>
    <n v="3"/>
    <n v="167.66733181326131"/>
    <n v="397.71364836319322"/>
    <s v="Forecast"/>
  </r>
  <r>
    <d v="2023-04-25T00:00:00"/>
    <x v="3"/>
    <n v="3"/>
    <n v="4"/>
    <x v="16"/>
    <x v="3"/>
    <n v="255"/>
    <n v="265.03043873278801"/>
    <n v="238.52739485950923"/>
    <n v="212.02435098623042"/>
    <n v="212.02435098623042"/>
    <n v="246"/>
    <n v="0.84830000000000005"/>
    <n v="44"/>
    <d v="1899-12-30T00:00:27"/>
    <d v="1899-12-30T00:03:04"/>
    <d v="1899-12-30T00:04:44"/>
    <n v="0.63859999999999995"/>
    <n v="12.573333333333336"/>
    <n v="754.4000000000002"/>
    <n v="13.033333333333335"/>
    <n v="782.00000000000011"/>
    <n v="1.9645833333333338"/>
    <n v="2.0364583333333335"/>
    <n v="2"/>
    <n v="2"/>
    <n v="10.836800161518445"/>
    <n v="780.249611629328"/>
    <n v="2.0319000302847083"/>
    <n v="3"/>
    <n v="146.838502512887"/>
    <n v="381.07134844203802"/>
    <s v="Forecast"/>
  </r>
  <r>
    <d v="2023-04-26T00:00:00"/>
    <x v="4"/>
    <n v="4"/>
    <n v="4"/>
    <x v="16"/>
    <x v="3"/>
    <n v="283"/>
    <n v="277.01418141567018"/>
    <n v="249.31276327410316"/>
    <n v="221.61134513253614"/>
    <n v="221.61134513253614"/>
    <n v="32"/>
    <n v="1"/>
    <n v="0"/>
    <d v="1899-12-30T00:00:06"/>
    <d v="1899-12-30T00:02:43"/>
    <d v="1899-12-30T00:01:10"/>
    <n v="0.96879999999999999"/>
    <n v="1.4488888888888889"/>
    <n v="86.933333333333337"/>
    <n v="12.813611111111113"/>
    <n v="768.81666666666683"/>
    <n v="1"/>
    <n v="2.0021267361111117"/>
    <n v="1"/>
    <n v="1"/>
    <n v="10.034069237945387"/>
    <n v="722.45298513206785"/>
    <n v="1.8813879821147601"/>
    <n v="2"/>
    <n v="164.83990665886679"/>
    <n v="392.27661775993852"/>
    <s v="Forecast"/>
  </r>
  <r>
    <d v="2023-04-27T00:00:00"/>
    <x v="5"/>
    <n v="5"/>
    <n v="4"/>
    <x v="16"/>
    <x v="3"/>
    <n v="230"/>
    <n v="272.01263781321438"/>
    <n v="244.81137403189294"/>
    <n v="217.61011025057152"/>
    <n v="217.61011025057152"/>
    <n v="263"/>
    <n v="0.97409999999999997"/>
    <n v="7"/>
    <d v="1899-12-30T00:00:12"/>
    <d v="1899-12-30T00:02:52"/>
    <d v="1899-12-30T00:02:00"/>
    <n v="0.85450000000000004"/>
    <n v="12.565555555555557"/>
    <n v="753.93333333333339"/>
    <n v="10.988888888888889"/>
    <n v="659.33333333333337"/>
    <n v="1.9633680555555557"/>
    <n v="1.7170138888888891"/>
    <n v="2"/>
    <n v="2"/>
    <n v="10.39692748974953"/>
    <n v="748.57877926196602"/>
    <n v="1.9494239043280366"/>
    <n v="2"/>
    <n v="161.83292893178549"/>
    <n v="379.2816168905245"/>
    <s v="Forecast"/>
  </r>
  <r>
    <d v="2023-04-28T00:00:00"/>
    <x v="6"/>
    <n v="6"/>
    <n v="4"/>
    <x v="16"/>
    <x v="3"/>
    <n v="185"/>
    <n v="262.92699964857297"/>
    <n v="236.63429968371568"/>
    <n v="210.34159971885839"/>
    <n v="210.34159971885839"/>
    <n v="208"/>
    <n v="0.98109999999999997"/>
    <n v="4"/>
    <d v="1899-12-30T00:00:08"/>
    <d v="1899-12-30T00:02:43"/>
    <d v="1899-12-30T00:02:34"/>
    <n v="0.91"/>
    <n v="9.4177777777777774"/>
    <n v="565.06666666666661"/>
    <n v="8.37638888888889"/>
    <n v="502.58333333333337"/>
    <n v="1.4715277777777775"/>
    <n v="1.3088107638888891"/>
    <n v="2"/>
    <n v="2"/>
    <n v="9.5238002094927552"/>
    <n v="685.71361508347843"/>
    <n v="1.7857125392798918"/>
    <n v="2"/>
    <n v="154.15701656433191"/>
    <n v="373.18761224052952"/>
    <s v="Forecast"/>
  </r>
  <r>
    <d v="2023-04-29T00:00:00"/>
    <x v="0"/>
    <n v="7"/>
    <n v="4"/>
    <x v="16"/>
    <x v="3"/>
    <n v="197"/>
    <n v="269.87967993713153"/>
    <n v="242.89171194341839"/>
    <n v="215.90374394970524"/>
    <n v="215.90374394970524"/>
    <n v="238"/>
    <n v="0.96750000000000003"/>
    <n v="8"/>
    <d v="1899-12-30T00:00:07"/>
    <d v="1899-12-30T00:02:53"/>
    <d v="1899-12-30T00:03:48"/>
    <n v="0.91839999999999999"/>
    <n v="11.437222222222223"/>
    <n v="686.23333333333335"/>
    <n v="9.4669444444444437"/>
    <n v="568.01666666666665"/>
    <n v="1.7870659722222222"/>
    <n v="1.4792100694444443"/>
    <n v="2"/>
    <n v="2"/>
    <n v="10.375374362027502"/>
    <n v="747.02695406598002"/>
    <n v="1.9453826928801563"/>
    <n v="2"/>
    <n v="161.38127400965499"/>
    <n v="380.33839232771811"/>
    <s v="Forecast"/>
  </r>
  <r>
    <d v="2023-04-30T00:00:00"/>
    <x v="1"/>
    <n v="1"/>
    <n v="4"/>
    <x v="17"/>
    <x v="3"/>
    <n v="15"/>
    <n v="181.03225347690301"/>
    <n v="162.92902812921272"/>
    <n v="144.82580278152241"/>
    <n v="144.82580278152241"/>
    <n v="190"/>
    <n v="0.97940000000000005"/>
    <n v="4"/>
    <d v="1899-12-30T00:00:08"/>
    <d v="1899-12-30T00:02:43"/>
    <d v="1899-12-30T00:03:34"/>
    <n v="0.92779999999999996"/>
    <n v="8.6027777777777796"/>
    <n v="516.16666666666674"/>
    <n v="0.6791666666666667"/>
    <n v="40.75"/>
    <n v="1.3441840277777779"/>
    <n v="1"/>
    <n v="2"/>
    <n v="2"/>
    <n v="6.5573905148300424"/>
    <n v="472.13211706776303"/>
    <n v="1.2295107215306329"/>
    <n v="2"/>
    <n v="72.174983919488213"/>
    <n v="287.48478109033209"/>
    <s v="Forecast"/>
  </r>
  <r>
    <d v="2023-05-01T00:00:00"/>
    <x v="2"/>
    <n v="2"/>
    <n v="5"/>
    <x v="17"/>
    <x v="3"/>
    <n v="230"/>
    <n v="280.7443063411244"/>
    <n v="252.66987570701195"/>
    <n v="224.59544507289954"/>
    <n v="224.59544507289954"/>
    <n v="176"/>
    <n v="0.98319999999999996"/>
    <n v="3"/>
    <d v="1899-12-30T00:00:06"/>
    <d v="1899-12-30T00:02:44"/>
    <d v="1899-12-30T00:01:43"/>
    <n v="0.96050000000000002"/>
    <n v="8.017777777777777"/>
    <n v="481.06666666666661"/>
    <n v="10.477777777777778"/>
    <n v="628.66666666666663"/>
    <n v="1.2527777777777775"/>
    <n v="1.6371527777777777"/>
    <n v="2"/>
    <n v="2"/>
    <n v="10.231570275543202"/>
    <n v="736.67305983911058"/>
    <n v="1.9184194266643504"/>
    <n v="2"/>
    <n v="167.94944065522861"/>
    <n v="387.53440547189359"/>
    <s v="Forecast"/>
  </r>
  <r>
    <d v="2023-05-02T00:00:00"/>
    <x v="3"/>
    <n v="3"/>
    <n v="5"/>
    <x v="17"/>
    <x v="3"/>
    <n v="232"/>
    <n v="264.57879073773961"/>
    <n v="238.12091166396564"/>
    <n v="211.6630325901917"/>
    <n v="211.6630325901917"/>
    <n v="65"/>
    <n v="0.97009999999999996"/>
    <n v="2"/>
    <d v="1899-12-30T00:00:09"/>
    <d v="1899-12-30T00:02:36"/>
    <d v="1899-12-30T00:01:59"/>
    <n v="0.89549999999999996"/>
    <n v="2.8166666666666669"/>
    <n v="169"/>
    <n v="10.053333333333333"/>
    <n v="603.19999999999993"/>
    <n v="1"/>
    <n v="1.5708333333333331"/>
    <n v="2"/>
    <n v="1"/>
    <n v="9.1720647455749731"/>
    <n v="660.38866168139805"/>
    <n v="1.7197621397953073"/>
    <n v="2"/>
    <n v="145.76871009094759"/>
    <n v="374.48877547001308"/>
    <s v="Forecast"/>
  </r>
  <r>
    <d v="2023-05-03T00:00:00"/>
    <x v="4"/>
    <n v="4"/>
    <n v="5"/>
    <x v="17"/>
    <x v="3"/>
    <n v="237"/>
    <n v="276.74188347839532"/>
    <n v="249.06769513055579"/>
    <n v="221.39350678271626"/>
    <n v="221.39350678271626"/>
    <n v="27"/>
    <n v="1"/>
    <n v="0"/>
    <d v="1899-12-30T00:00:09"/>
    <d v="1899-12-30T00:02:27"/>
    <d v="1899-12-30T00:01:33"/>
    <n v="0.88890000000000002"/>
    <n v="1.1025"/>
    <n v="66.150000000000006"/>
    <n v="9.6775000000000002"/>
    <n v="580.65"/>
    <n v="1"/>
    <n v="1.5121093749999999"/>
    <n v="1"/>
    <n v="1"/>
    <n v="9.0402348602942482"/>
    <n v="650.89690994118587"/>
    <n v="1.6950440363051715"/>
    <n v="2"/>
    <n v="172.25269454117691"/>
    <n v="386.01019555948233"/>
    <s v="Forecast"/>
  </r>
  <r>
    <d v="2023-05-04T00:00:00"/>
    <x v="5"/>
    <n v="5"/>
    <n v="5"/>
    <x v="17"/>
    <x v="3"/>
    <n v="42"/>
    <n v="271.95144879350352"/>
    <n v="244.75630391415316"/>
    <n v="217.56115903480281"/>
    <n v="217.56115903480281"/>
    <n v="183"/>
    <n v="0.96319999999999995"/>
    <n v="7"/>
    <d v="1899-12-30T00:00:09"/>
    <d v="1899-12-30T00:02:38"/>
    <d v="1899-12-30T00:02:54"/>
    <n v="0.87829999999999997"/>
    <n v="8.0316666666666681"/>
    <n v="481.90000000000009"/>
    <n v="1.8433333333333333"/>
    <n v="110.6"/>
    <n v="1.2549479166666668"/>
    <n v="1"/>
    <n v="2"/>
    <n v="2"/>
    <n v="9.5485175354163463"/>
    <n v="687.49326254997686"/>
    <n v="1.7903470378905648"/>
    <n v="2"/>
    <n v="165.02530889539051"/>
    <n v="380.82559388778333"/>
    <s v="Forecast"/>
  </r>
  <r>
    <d v="2023-05-05T00:00:00"/>
    <x v="6"/>
    <n v="6"/>
    <n v="5"/>
    <x v="17"/>
    <x v="3"/>
    <n v="215"/>
    <n v="263.08764110422487"/>
    <n v="236.77887699380238"/>
    <n v="210.4701128833799"/>
    <n v="210.4701128833799"/>
    <n v="205"/>
    <n v="0.96240000000000003"/>
    <n v="8"/>
    <d v="1899-12-30T00:00:10"/>
    <d v="1899-12-30T00:02:38"/>
    <d v="1899-12-30T00:05:02"/>
    <n v="0.88149999999999995"/>
    <n v="8.9972222222222218"/>
    <n v="539.83333333333326"/>
    <n v="9.4361111111111118"/>
    <n v="566.16666666666674"/>
    <n v="1.4058159722222221"/>
    <n v="1.4743923611111114"/>
    <n v="2"/>
    <n v="2"/>
    <n v="9.2372993987705616"/>
    <n v="665.08555671148031"/>
    <n v="1.73199363726948"/>
    <n v="2"/>
    <n v="150.15259844744651"/>
    <n v="375.1325052386963"/>
    <s v="Forecast"/>
  </r>
  <r>
    <d v="2023-05-06T00:00:00"/>
    <x v="0"/>
    <n v="7"/>
    <n v="5"/>
    <x v="17"/>
    <x v="3"/>
    <n v="153"/>
    <n v="270.25290627750189"/>
    <n v="243.2276156497517"/>
    <n v="216.20232502200153"/>
    <n v="216.20232502200153"/>
    <n v="205"/>
    <n v="0.98560000000000003"/>
    <n v="3"/>
    <d v="1899-12-30T00:00:04"/>
    <d v="1899-12-30T00:02:36"/>
    <d v="1899-12-30T00:02:53"/>
    <n v="0.97089999999999999"/>
    <n v="8.8833333333333329"/>
    <n v="533"/>
    <n v="6.63"/>
    <n v="397.8"/>
    <n v="1.3880208333333333"/>
    <n v="1.0359375"/>
    <n v="2"/>
    <n v="2"/>
    <n v="9.3687674176200648"/>
    <n v="674.55125406864465"/>
    <n v="1.756643890803762"/>
    <n v="2"/>
    <n v="159.16876717690951"/>
    <n v="382.61902992229528"/>
    <s v="Forecast"/>
  </r>
  <r>
    <d v="2023-05-07T00:00:00"/>
    <x v="1"/>
    <n v="1"/>
    <n v="5"/>
    <x v="18"/>
    <x v="3"/>
    <n v="39"/>
    <n v="181.59054145085119"/>
    <n v="163.43148730576607"/>
    <n v="145.27243316068095"/>
    <n v="145.27243316068095"/>
    <n v="165"/>
    <n v="0.99399999999999999"/>
    <n v="1"/>
    <d v="1899-12-30T00:00:08"/>
    <d v="1899-12-30T00:02:41"/>
    <d v="1899-12-30T00:03:31"/>
    <n v="0.92769999999999997"/>
    <n v="7.3791666666666664"/>
    <n v="442.75"/>
    <n v="1.7441666666666664"/>
    <n v="104.64999999999999"/>
    <n v="1.1529947916666667"/>
    <n v="1"/>
    <n v="2"/>
    <n v="2"/>
    <n v="6.496906038574898"/>
    <n v="467.77723477739266"/>
    <n v="1.2181698822327933"/>
    <n v="2"/>
    <n v="68.716380575223994"/>
    <n v="298.79352651754999"/>
    <s v="Forecast"/>
  </r>
  <r>
    <d v="2023-05-08T00:00:00"/>
    <x v="2"/>
    <n v="2"/>
    <n v="5"/>
    <x v="18"/>
    <x v="3"/>
    <n v="334"/>
    <n v="281.4440934409289"/>
    <n v="253.29968409683602"/>
    <n v="225.15527475274314"/>
    <n v="225.15527475274314"/>
    <n v="161"/>
    <n v="0.95269999999999999"/>
    <n v="8"/>
    <d v="1899-12-30T00:00:18"/>
    <d v="1899-12-30T00:02:52"/>
    <d v="1899-12-30T00:03:37"/>
    <n v="0.73960000000000004"/>
    <n v="7.6922222222222221"/>
    <n v="461.5333333333333"/>
    <n v="15.957777777777778"/>
    <n v="957.4666666666667"/>
    <n v="1.2019097222222221"/>
    <n v="2.4934027777777779"/>
    <n v="2"/>
    <n v="2"/>
    <n v="10.757418682631062"/>
    <n v="774.53414514943654"/>
    <n v="2.0170160029933242"/>
    <n v="3"/>
    <n v="173.8316310027856"/>
    <n v="392.64935739485412"/>
    <s v="Forecast"/>
  </r>
  <r>
    <d v="2023-05-09T00:00:00"/>
    <x v="3"/>
    <n v="3"/>
    <n v="5"/>
    <x v="18"/>
    <x v="3"/>
    <n v="236"/>
    <n v="265.36317804224268"/>
    <n v="238.82686023801841"/>
    <n v="212.29054243379414"/>
    <n v="212.29054243379414"/>
    <n v="167"/>
    <n v="0.95430000000000004"/>
    <n v="8"/>
    <d v="1899-12-30T00:00:10"/>
    <d v="1899-12-30T00:02:29"/>
    <d v="1899-12-30T00:03:52"/>
    <n v="0.8629"/>
    <n v="6.911944444444444"/>
    <n v="414.71666666666664"/>
    <n v="9.767777777777777"/>
    <n v="586.06666666666661"/>
    <n v="1.0799913194444444"/>
    <n v="1.5262152777777775"/>
    <n v="2"/>
    <n v="2"/>
    <n v="8.786469672954258"/>
    <n v="632.62581645270654"/>
    <n v="1.6474630636789234"/>
    <n v="2"/>
    <n v="157.85377728314009"/>
    <n v="381.37414041551318"/>
    <s v="Forecast"/>
  </r>
  <r>
    <d v="2023-05-10T00:00:00"/>
    <x v="4"/>
    <n v="4"/>
    <n v="5"/>
    <x v="18"/>
    <x v="3"/>
    <n v="186"/>
    <n v="277.54370708260052"/>
    <n v="249.78933637434048"/>
    <n v="222.03496566608044"/>
    <n v="222.03496566608044"/>
    <n v="43"/>
    <n v="1"/>
    <n v="0"/>
    <d v="1899-12-30T00:00:04"/>
    <d v="1899-12-30T00:02:42"/>
    <d v="1899-12-30T00:00:29"/>
    <n v="1"/>
    <n v="1.9350000000000001"/>
    <n v="116.10000000000001"/>
    <n v="8.3699999999999992"/>
    <n v="502.19999999999993"/>
    <n v="1"/>
    <n v="1.3078124999999998"/>
    <n v="1"/>
    <n v="1"/>
    <n v="9.9915734549736186"/>
    <n v="719.39328875810054"/>
    <n v="1.8734200228075535"/>
    <n v="2"/>
    <n v="162.5196587482167"/>
    <n v="382.2099179606443"/>
    <s v="Forecast"/>
  </r>
  <r>
    <d v="2023-05-11T00:00:00"/>
    <x v="5"/>
    <n v="5"/>
    <n v="5"/>
    <x v="18"/>
    <x v="3"/>
    <n v="202"/>
    <n v="272.69661552371667"/>
    <n v="245.426953971345"/>
    <n v="218.15729241897336"/>
    <n v="218.15729241897336"/>
    <n v="24"/>
    <n v="1"/>
    <n v="0"/>
    <d v="1899-12-30T00:00:03"/>
    <d v="1899-12-30T00:02:46"/>
    <d v="1899-12-30T00:00:03"/>
    <n v="1"/>
    <n v="1.1066666666666667"/>
    <n v="66.400000000000006"/>
    <n v="9.3144444444444439"/>
    <n v="558.86666666666667"/>
    <n v="1"/>
    <n v="1.4553819444444445"/>
    <n v="2"/>
    <n v="1"/>
    <n v="10.05947515043044"/>
    <n v="724.28221083099163"/>
    <n v="1.8861515907057074"/>
    <n v="2"/>
    <n v="161.44920530368219"/>
    <n v="380.43091530797841"/>
    <s v="Forecast"/>
  </r>
  <r>
    <d v="2023-05-12T00:00:00"/>
    <x v="6"/>
    <n v="6"/>
    <n v="5"/>
    <x v="18"/>
    <x v="3"/>
    <n v="185"/>
    <n v="263.69861890445662"/>
    <n v="237.32875701401096"/>
    <n v="210.9588951235653"/>
    <n v="210.9588951235653"/>
    <n v="26"/>
    <n v="1"/>
    <n v="0"/>
    <d v="1899-12-30T00:00:05"/>
    <d v="1899-12-30T00:02:52"/>
    <d v="1899-12-30T00:00:58"/>
    <n v="0.92310000000000003"/>
    <n v="1.2422222222222221"/>
    <n v="74.533333333333331"/>
    <n v="8.8388888888888903"/>
    <n v="530.33333333333337"/>
    <n v="1"/>
    <n v="1.3810763888888891"/>
    <n v="2"/>
    <n v="1"/>
    <n v="10.079147211459231"/>
    <n v="725.69859922506464"/>
    <n v="1.8898401021486058"/>
    <n v="2"/>
    <n v="154.76389665029731"/>
    <n v="368.9555253881303"/>
    <s v="Forecast"/>
  </r>
  <r>
    <d v="2023-05-13T00:00:00"/>
    <x v="0"/>
    <n v="7"/>
    <n v="5"/>
    <x v="18"/>
    <x v="3"/>
    <n v="38"/>
    <n v="270.65225753825843"/>
    <n v="243.58703178443258"/>
    <n v="216.52180603060674"/>
    <n v="216.52180603060674"/>
    <n v="41"/>
    <n v="0.97619999999999996"/>
    <n v="1"/>
    <d v="1899-12-30T00:00:03"/>
    <d v="1899-12-30T00:02:41"/>
    <d v="1899-12-30T00:00:03"/>
    <n v="1"/>
    <n v="1.8336111111111111"/>
    <n v="110.01666666666667"/>
    <n v="1.6994444444444445"/>
    <n v="101.96666666666667"/>
    <n v="1"/>
    <n v="1"/>
    <n v="2"/>
    <n v="1"/>
    <n v="9.6833363252576898"/>
    <n v="697.20021541855363"/>
    <n v="1.8156255609858167"/>
    <n v="2"/>
    <n v="166.3033338260216"/>
    <n v="387.04753027986391"/>
    <s v="Forecast"/>
  </r>
  <r>
    <d v="2023-05-14T00:00:00"/>
    <x v="1"/>
    <n v="1"/>
    <n v="5"/>
    <x v="19"/>
    <x v="3"/>
    <n v="25"/>
    <n v="181.70438867469861"/>
    <n v="163.53394980722874"/>
    <n v="145.3635109397589"/>
    <n v="145.3635109397589"/>
    <n v="36"/>
    <n v="0.97299999999999998"/>
    <n v="1"/>
    <d v="1899-12-30T00:00:05"/>
    <d v="1899-12-30T00:02:24"/>
    <d v="1899-12-30T00:04:50"/>
    <n v="0.94589999999999996"/>
    <n v="1.44"/>
    <n v="86.399999999999991"/>
    <n v="1.0000000000000002"/>
    <n v="60.000000000000014"/>
    <n v="1"/>
    <n v="1"/>
    <n v="2"/>
    <n v="1"/>
    <n v="5.814540437590356"/>
    <n v="418.64691150650566"/>
    <n v="1.0902263320481917"/>
    <n v="2"/>
    <n v="76.989919404832563"/>
    <n v="296.14148292268078"/>
    <s v="Forecast"/>
  </r>
  <r>
    <d v="2023-05-15T00:00:00"/>
    <x v="2"/>
    <n v="2"/>
    <n v="5"/>
    <x v="19"/>
    <x v="3"/>
    <n v="203"/>
    <n v="281.205410879694"/>
    <n v="253.0848697917246"/>
    <n v="224.9643287037552"/>
    <n v="224.9643287037552"/>
    <n v="60"/>
    <n v="1"/>
    <n v="0"/>
    <d v="1899-12-30T00:00:05"/>
    <d v="1899-12-30T00:03:07"/>
    <d v="1899-12-30T00:01:01"/>
    <n v="0.9667"/>
    <n v="3.1166666666666663"/>
    <n v="186.99999999999997"/>
    <n v="10.544722222222223"/>
    <n v="632.68333333333339"/>
    <n v="1"/>
    <n v="1.6476128472222225"/>
    <n v="2"/>
    <n v="1"/>
    <n v="11.68564707433395"/>
    <n v="841.36658935204434"/>
    <n v="2.1910588264376156"/>
    <n v="3"/>
    <n v="172.58807411145199"/>
    <n v="394.32351695318653"/>
    <s v="Forecast"/>
  </r>
  <r>
    <d v="2023-05-16T00:00:00"/>
    <x v="3"/>
    <n v="3"/>
    <n v="5"/>
    <x v="19"/>
    <x v="3"/>
    <n v="296"/>
    <n v="264.71481015575739"/>
    <n v="238.24332914018166"/>
    <n v="211.77184812460592"/>
    <n v="211.77184812460592"/>
    <n v="81"/>
    <n v="0.98780000000000001"/>
    <n v="1"/>
    <d v="1899-12-30T00:00:03"/>
    <d v="1899-12-30T00:02:24"/>
    <d v="1899-12-30T00:00:58"/>
    <n v="0.97560000000000002"/>
    <n v="3.24"/>
    <n v="194.4"/>
    <n v="11.84"/>
    <n v="710.4"/>
    <n v="1"/>
    <n v="1.8499999999999999"/>
    <n v="2"/>
    <n v="1"/>
    <n v="8.4708739249842377"/>
    <n v="609.90292259886508"/>
    <n v="1.5882888609345445"/>
    <n v="2"/>
    <n v="165.26696712998239"/>
    <n v="375.89569785971719"/>
    <s v="Forecast"/>
  </r>
  <r>
    <d v="2023-05-17T00:00:00"/>
    <x v="4"/>
    <n v="4"/>
    <n v="5"/>
    <x v="19"/>
    <x v="3"/>
    <n v="233"/>
    <n v="276.44102457597171"/>
    <n v="248.79692211837454"/>
    <n v="221.15281966077737"/>
    <n v="221.15281966077737"/>
    <n v="31"/>
    <n v="1"/>
    <n v="0"/>
    <d v="1899-12-30T00:00:06"/>
    <d v="1899-12-30T00:02:20"/>
    <d v="1899-12-30T00:01:01"/>
    <n v="0.9355"/>
    <n v="1.2055555555555555"/>
    <n v="72.333333333333329"/>
    <n v="9.06111111111111"/>
    <n v="543.66666666666663"/>
    <n v="1"/>
    <n v="1.4157986111111109"/>
    <n v="1"/>
    <n v="1"/>
    <n v="8.6003874312524538"/>
    <n v="619.2278950501767"/>
    <n v="1.6125726433598351"/>
    <n v="2"/>
    <n v="167.8179929072661"/>
    <n v="386.74733833107661"/>
    <s v="Forecast"/>
  </r>
  <r>
    <d v="2023-05-18T00:00:00"/>
    <x v="5"/>
    <n v="5"/>
    <n v="5"/>
    <x v="19"/>
    <x v="3"/>
    <n v="198"/>
    <n v="271.10973203416802"/>
    <n v="243.99875883075123"/>
    <n v="216.88778562733444"/>
    <n v="216.88778562733444"/>
    <n v="171"/>
    <n v="0.9607"/>
    <n v="7"/>
    <d v="1899-12-30T00:00:16"/>
    <d v="1899-12-30T00:02:43"/>
    <d v="1899-12-30T00:02:06"/>
    <n v="0.76139999999999997"/>
    <n v="7.7425000000000006"/>
    <n v="464.55"/>
    <n v="8.9649999999999999"/>
    <n v="537.9"/>
    <n v="1.209765625"/>
    <n v="1.4007812499999999"/>
    <n v="2"/>
    <n v="2"/>
    <n v="9.8201969603487527"/>
    <n v="707.05418114511008"/>
    <n v="1.8412869300653909"/>
    <n v="2"/>
    <n v="159.30656912463019"/>
    <n v="380.03789030235248"/>
    <s v="Forecast"/>
  </r>
  <r>
    <d v="2023-05-19T00:00:00"/>
    <x v="6"/>
    <n v="6"/>
    <n v="5"/>
    <x v="19"/>
    <x v="3"/>
    <n v="181"/>
    <n v="261.61410568508649"/>
    <n v="235.45269511657784"/>
    <n v="209.2912845480692"/>
    <n v="209.2912845480692"/>
    <n v="175"/>
    <n v="0.95630000000000004"/>
    <n v="8"/>
    <d v="1899-12-30T00:00:13"/>
    <d v="1899-12-30T00:02:27"/>
    <d v="1899-12-30T00:04:38"/>
    <n v="0.85560000000000003"/>
    <n v="7.1458333333333321"/>
    <n v="428.74999999999994"/>
    <n v="7.3908333333333323"/>
    <n v="443.44999999999993"/>
    <n v="1.1165364583333333"/>
    <n v="1.1548177083333331"/>
    <n v="2"/>
    <n v="2"/>
    <n v="8.5460607857128252"/>
    <n v="615.31637657132342"/>
    <n v="1.6023863973211547"/>
    <n v="2"/>
    <n v="152.86999675615419"/>
    <n v="382.54475534646588"/>
    <s v="Forecast"/>
  </r>
  <r>
    <d v="2023-05-20T00:00:00"/>
    <x v="0"/>
    <n v="7"/>
    <n v="5"/>
    <x v="19"/>
    <x v="3"/>
    <n v="166"/>
    <n v="268.07430935976078"/>
    <n v="241.2668784237847"/>
    <n v="214.45944748780863"/>
    <n v="214.45944748780863"/>
    <n v="37"/>
    <n v="0.94869999999999999"/>
    <n v="2"/>
    <d v="1899-12-30T00:00:03"/>
    <d v="1899-12-30T00:02:53"/>
    <d v="1899-12-30T00:00:58"/>
    <n v="0.97370000000000001"/>
    <n v="1.7780555555555555"/>
    <n v="106.68333333333334"/>
    <n v="7.9772222222222222"/>
    <n v="478.63333333333333"/>
    <n v="1"/>
    <n v="1.2464409722222223"/>
    <n v="2"/>
    <n v="1"/>
    <n v="10.305967893164137"/>
    <n v="742.02968830781788"/>
    <n v="1.9323689799682757"/>
    <n v="2"/>
    <n v="157.5156332230905"/>
    <n v="378.28853990709013"/>
    <s v="Forecast"/>
  </r>
  <r>
    <d v="2023-05-21T00:00:00"/>
    <x v="1"/>
    <n v="1"/>
    <n v="5"/>
    <x v="20"/>
    <x v="3"/>
    <n v="19"/>
    <n v="178.6554110933325"/>
    <n v="160.78986998399927"/>
    <n v="142.924328874666"/>
    <n v="142.924328874666"/>
    <n v="167"/>
    <n v="0.98240000000000005"/>
    <n v="3"/>
    <d v="1899-12-30T00:00:12"/>
    <d v="1899-12-30T00:02:24"/>
    <d v="1899-12-30T00:02:50"/>
    <n v="0.85289999999999999"/>
    <n v="6.6800000000000006"/>
    <n v="400.8"/>
    <n v="0.76000000000000012"/>
    <n v="45.600000000000009"/>
    <n v="1.04375"/>
    <n v="1"/>
    <n v="2"/>
    <n v="2"/>
    <n v="5.7169731549866407"/>
    <n v="411.62206715903807"/>
    <n v="1.071932466559995"/>
    <n v="2"/>
    <n v="74.148738870957004"/>
    <n v="291.42109598371297"/>
    <s v="Forecast"/>
  </r>
  <r>
    <d v="2023-05-22T00:00:00"/>
    <x v="2"/>
    <n v="2"/>
    <n v="5"/>
    <x v="20"/>
    <x v="3"/>
    <n v="196"/>
    <n v="277.72601655325212"/>
    <n v="249.9534148979269"/>
    <n v="222.18081324260172"/>
    <n v="222.18081324260172"/>
    <n v="168"/>
    <n v="0.93330000000000002"/>
    <n v="12"/>
    <d v="1899-12-30T00:00:12"/>
    <d v="1899-12-30T00:02:46"/>
    <d v="1899-12-30T00:04:29"/>
    <n v="0.83150000000000002"/>
    <n v="7.746666666666667"/>
    <n v="464.8"/>
    <n v="9.0377777777777784"/>
    <n v="542.26666666666665"/>
    <n v="1.2104166666666667"/>
    <n v="1.4121527777777778"/>
    <n v="2"/>
    <n v="2"/>
    <n v="10.245004166186636"/>
    <n v="737.64029996543775"/>
    <n v="1.9209382811599942"/>
    <n v="2"/>
    <n v="165.38802815753411"/>
    <n v="389.5492624836142"/>
    <s v="Forecast"/>
  </r>
  <r>
    <d v="2023-05-23T00:00:00"/>
    <x v="3"/>
    <n v="3"/>
    <n v="5"/>
    <x v="20"/>
    <x v="3"/>
    <n v="176"/>
    <n v="260.86322948585291"/>
    <n v="234.77690653726762"/>
    <n v="208.69058358868233"/>
    <n v="208.69058358868233"/>
    <n v="24"/>
    <n v="1"/>
    <n v="0"/>
    <d v="1899-12-30T00:00:04"/>
    <d v="1899-12-30T00:02:36"/>
    <d v="1899-12-30T00:00:21"/>
    <n v="1"/>
    <n v="1.04"/>
    <n v="62.400000000000006"/>
    <n v="7.6266666666666669"/>
    <n v="457.6"/>
    <n v="1"/>
    <n v="1.1916666666666667"/>
    <n v="2"/>
    <n v="1"/>
    <n v="9.0432586221762339"/>
    <n v="651.11462079668877"/>
    <n v="1.6956109916580437"/>
    <n v="2"/>
    <n v="149.57977573971741"/>
    <n v="365.94209107244001"/>
    <s v="Forecast"/>
  </r>
  <r>
    <d v="2023-05-24T00:00:00"/>
    <x v="4"/>
    <n v="4"/>
    <n v="5"/>
    <x v="20"/>
    <x v="3"/>
    <n v="221"/>
    <n v="272.2919531427587"/>
    <n v="245.06275782848283"/>
    <n v="217.83356251420696"/>
    <n v="217.83356251420696"/>
    <n v="7"/>
    <n v="1"/>
    <n v="0"/>
    <d v="1899-12-30T00:00:33"/>
    <d v="1899-12-30T00:02:39"/>
    <d v="1899-12-30T00:01:33"/>
    <n v="0.42859999999999998"/>
    <n v="0.30916666666666665"/>
    <n v="18.549999999999997"/>
    <n v="9.7608333333333341"/>
    <n v="585.65000000000009"/>
    <n v="1"/>
    <n v="1.5251302083333336"/>
    <n v="1"/>
    <n v="1"/>
    <n v="9.6209823443774738"/>
    <n v="692.71072879517817"/>
    <n v="1.8039341895707766"/>
    <n v="2"/>
    <n v="172.66135325068009"/>
    <n v="382.19816415176041"/>
    <s v="Forecast"/>
  </r>
  <r>
    <d v="2023-05-25T00:00:00"/>
    <x v="5"/>
    <n v="5"/>
    <n v="5"/>
    <x v="20"/>
    <x v="3"/>
    <n v="196"/>
    <n v="266.75265355273632"/>
    <n v="240.07738819746268"/>
    <n v="213.40212284218907"/>
    <n v="213.40212284218907"/>
    <n v="181"/>
    <n v="1"/>
    <n v="0"/>
    <d v="1899-12-30T00:00:12"/>
    <d v="1899-12-30T00:02:47"/>
    <d v="1899-12-30T00:01:29"/>
    <n v="0.87849999999999995"/>
    <n v="8.3963888888888896"/>
    <n v="503.78333333333336"/>
    <n v="9.0922222222222224"/>
    <n v="545.5333333333333"/>
    <n v="1.3119357638888889"/>
    <n v="1.4206597222222221"/>
    <n v="2"/>
    <n v="2"/>
    <n v="9.8994873651793274"/>
    <n v="712.76309029291144"/>
    <n v="1.8561538809711235"/>
    <n v="2"/>
    <n v="155.14258308717271"/>
    <n v="377.65662874394462"/>
    <s v="Forecast"/>
  </r>
  <r>
    <d v="2023-05-26T00:00:00"/>
    <x v="6"/>
    <n v="6"/>
    <n v="5"/>
    <x v="20"/>
    <x v="3"/>
    <n v="211"/>
    <n v="257.15114413424578"/>
    <n v="231.43602972082121"/>
    <n v="205.72091530739664"/>
    <n v="205.72091530739664"/>
    <n v="206"/>
    <n v="0.98560000000000003"/>
    <n v="3"/>
    <d v="1899-12-30T00:00:05"/>
    <d v="1899-12-30T00:02:42"/>
    <d v="1899-12-30T00:00:58"/>
    <n v="0.95169999999999999"/>
    <n v="9.27"/>
    <n v="556.19999999999993"/>
    <n v="9.4949999999999992"/>
    <n v="569.69999999999993"/>
    <n v="1.4484374999999998"/>
    <n v="1.4835937499999998"/>
    <n v="2"/>
    <n v="2"/>
    <n v="9.2574411888328481"/>
    <n v="666.53576559596502"/>
    <n v="1.7357702229061589"/>
    <n v="2"/>
    <n v="142.78767549012781"/>
    <n v="361.52663836804737"/>
    <s v="Forecast"/>
  </r>
  <r>
    <d v="2023-05-27T00:00:00"/>
    <x v="0"/>
    <n v="7"/>
    <n v="5"/>
    <x v="20"/>
    <x v="3"/>
    <n v="201"/>
    <n v="263.61767707187698"/>
    <n v="237.2559093646893"/>
    <n v="210.89414165750159"/>
    <n v="210.89414165750159"/>
    <n v="179"/>
    <n v="0.99439999999999995"/>
    <n v="1"/>
    <d v="1899-12-30T00:00:04"/>
    <d v="1899-12-30T00:02:28"/>
    <d v="1899-12-30T00:01:02"/>
    <n v="0.97209999999999996"/>
    <n v="7.358888888888889"/>
    <n v="441.53333333333336"/>
    <n v="8.2633333333333336"/>
    <n v="495.8"/>
    <n v="1.1498263888888889"/>
    <n v="1.2911458333333334"/>
    <n v="2"/>
    <n v="2"/>
    <n v="8.6700924903639542"/>
    <n v="624.24665930620472"/>
    <n v="1.6256423419432415"/>
    <n v="2"/>
    <n v="156.2417308857633"/>
    <n v="380.12834597873069"/>
    <s v="Forecast"/>
  </r>
  <r>
    <d v="2023-05-28T00:00:00"/>
    <x v="1"/>
    <n v="1"/>
    <n v="5"/>
    <x v="21"/>
    <x v="3"/>
    <n v="23"/>
    <n v="174.32453063002299"/>
    <n v="156.89207756702069"/>
    <n v="139.45962450401839"/>
    <n v="139.45962450401839"/>
    <n v="203"/>
    <n v="0.91859999999999997"/>
    <n v="18"/>
    <d v="1899-12-30T00:00:12"/>
    <d v="1899-12-30T00:02:43"/>
    <d v="1899-12-30T00:02:55"/>
    <n v="0.87319999999999998"/>
    <n v="9.1913888888888895"/>
    <n v="551.48333333333335"/>
    <n v="1.0413888888888889"/>
    <n v="62.483333333333334"/>
    <n v="1.4361545138888889"/>
    <n v="1"/>
    <n v="2"/>
    <n v="2"/>
    <n v="6.3144218872652784"/>
    <n v="454.63837588310003"/>
    <n v="1.1839541038622396"/>
    <n v="2"/>
    <n v="58.569758202634979"/>
    <n v="283.39244634681597"/>
    <s v="Forecast"/>
  </r>
  <r>
    <d v="2023-05-29T00:00:00"/>
    <x v="2"/>
    <n v="2"/>
    <n v="5"/>
    <x v="21"/>
    <x v="3"/>
    <n v="225"/>
    <n v="273.64440281955711"/>
    <n v="246.27996253760142"/>
    <n v="218.9155222556457"/>
    <n v="218.9155222556457"/>
    <n v="248"/>
    <n v="0.97640000000000005"/>
    <n v="6"/>
    <d v="1899-12-30T00:00:10"/>
    <d v="1899-12-30T00:02:48"/>
    <d v="1899-12-30T00:03:07"/>
    <n v="0.90869999999999995"/>
    <n v="11.573333333333334"/>
    <n v="694.40000000000009"/>
    <n v="10.5"/>
    <n v="630"/>
    <n v="1.8083333333333336"/>
    <n v="1.640625"/>
    <n v="2"/>
    <n v="2"/>
    <n v="10.216057705263465"/>
    <n v="735.55615477896947"/>
    <n v="1.9155108197368997"/>
    <n v="2"/>
    <n v="169.16463829535721"/>
    <n v="389.60461793156571"/>
    <s v="Forecast"/>
  </r>
  <r>
    <d v="2023-05-30T00:00:00"/>
    <x v="3"/>
    <n v="3"/>
    <n v="5"/>
    <x v="21"/>
    <x v="3"/>
    <n v="202"/>
    <n v="257.15522454844148"/>
    <n v="231.43970209359733"/>
    <n v="205.72417963875318"/>
    <n v="205.72417963875318"/>
    <n v="577"/>
    <n v="0.92030000000000001"/>
    <n v="50"/>
    <d v="1899-12-30T00:00:41"/>
    <d v="1899-12-30T00:02:39"/>
    <d v="1899-12-30T00:05:20"/>
    <n v="0.47810000000000002"/>
    <n v="25.484166666666667"/>
    <n v="1529.05"/>
    <n v="8.9216666666666669"/>
    <n v="535.29999999999995"/>
    <n v="3.9819010416666667"/>
    <n v="1.3940104166666665"/>
    <n v="2"/>
    <n v="4"/>
    <n v="9.0861512673782663"/>
    <n v="654.2028912512352"/>
    <n v="1.7036533626334249"/>
    <n v="2"/>
    <n v="153.90210198287301"/>
    <n v="373.10561902748839"/>
    <s v="Forecast"/>
  </r>
  <r>
    <d v="2023-05-31T00:00:00"/>
    <x v="4"/>
    <n v="4"/>
    <n v="5"/>
    <x v="21"/>
    <x v="3"/>
    <n v="191"/>
    <n v="269.07940948216498"/>
    <n v="242.17146853394848"/>
    <n v="215.26352758573199"/>
    <n v="215.26352758573199"/>
    <n v="159"/>
    <n v="0.95209999999999995"/>
    <n v="8"/>
    <d v="1899-12-30T00:00:18"/>
    <d v="1899-12-30T00:03:10"/>
    <d v="1899-12-30T00:03:55"/>
    <n v="0.76049999999999995"/>
    <n v="8.3916666666666675"/>
    <n v="503.50000000000006"/>
    <n v="10.080555555555556"/>
    <n v="604.83333333333337"/>
    <n v="1.3111979166666667"/>
    <n v="1.5750868055555556"/>
    <n v="1"/>
    <n v="2"/>
    <n v="11.361130622580301"/>
    <n v="818.00140482578161"/>
    <n v="2.1302119917338063"/>
    <n v="3"/>
    <n v="150.56711617857491"/>
    <n v="376.89448081395523"/>
    <s v="Forecast"/>
  </r>
  <r>
    <d v="2023-06-01T00:00:00"/>
    <x v="5"/>
    <n v="5"/>
    <n v="6"/>
    <x v="21"/>
    <x v="3"/>
    <n v="212"/>
    <n v="264.15166193581609"/>
    <n v="237.7364957422345"/>
    <n v="211.3213295486529"/>
    <n v="211.3213295486529"/>
    <n v="554"/>
    <n v="0.92490000000000006"/>
    <n v="45"/>
    <d v="1899-12-30T00:00:25"/>
    <d v="1899-12-30T00:02:35"/>
    <d v="1899-12-30T00:04:50"/>
    <n v="0.63560000000000005"/>
    <n v="23.852777777777778"/>
    <n v="1431.1666666666667"/>
    <n v="9.1277777777777782"/>
    <n v="547.66666666666674"/>
    <n v="3.7269965277777781"/>
    <n v="1.4262152777777779"/>
    <n v="2"/>
    <n v="4"/>
    <n v="9.098557244455888"/>
    <n v="655.09612160082395"/>
    <n v="1.7059794833354791"/>
    <n v="2"/>
    <n v="152.24953548094791"/>
    <n v="377.16206119544148"/>
    <s v="Forecast"/>
  </r>
  <r>
    <d v="2023-06-02T00:00:00"/>
    <x v="6"/>
    <n v="6"/>
    <n v="6"/>
    <x v="21"/>
    <x v="3"/>
    <n v="210"/>
    <n v="255.26889996612391"/>
    <n v="229.74200996951151"/>
    <n v="204.21511997289915"/>
    <n v="204.21511997289915"/>
    <n v="300"/>
    <n v="0.98680000000000001"/>
    <n v="4"/>
    <d v="1899-12-30T00:00:07"/>
    <d v="1899-12-30T00:02:35"/>
    <d v="1899-12-30T00:02:55"/>
    <n v="0.92410000000000003"/>
    <n v="12.916666666666666"/>
    <n v="775"/>
    <n v="9.0416666666666661"/>
    <n v="542.5"/>
    <n v="2.0182291666666665"/>
    <n v="1.4127604166666667"/>
    <n v="2"/>
    <n v="3"/>
    <n v="8.7925954432776017"/>
    <n v="633.06687191598724"/>
    <n v="1.6486116456145501"/>
    <n v="2"/>
    <n v="141.47850054701121"/>
    <n v="356.3621773111048"/>
    <s v="Forecast"/>
  </r>
  <r>
    <d v="2023-06-03T00:00:00"/>
    <x v="0"/>
    <n v="7"/>
    <n v="6"/>
    <x v="21"/>
    <x v="3"/>
    <n v="167"/>
    <n v="262.54957408509819"/>
    <n v="236.29461667658836"/>
    <n v="210.03965926807857"/>
    <n v="210.03965926807857"/>
    <n v="260"/>
    <n v="0.9738"/>
    <n v="7"/>
    <d v="1899-12-30T00:00:08"/>
    <d v="1899-12-30T00:02:56"/>
    <d v="1899-12-30T00:01:54"/>
    <n v="0.90910000000000002"/>
    <n v="12.711111111111109"/>
    <n v="762.66666666666652"/>
    <n v="8.1644444444444435"/>
    <n v="489.86666666666662"/>
    <n v="1.9861111111111107"/>
    <n v="1.2756944444444442"/>
    <n v="2"/>
    <n v="2"/>
    <n v="10.268605564217173"/>
    <n v="739.33960062363644"/>
    <n v="1.9253635432907199"/>
    <n v="2"/>
    <n v="148.56552041980351"/>
    <n v="380.24900041847297"/>
    <s v="Forecast"/>
  </r>
  <r>
    <d v="2023-06-04T00:00:00"/>
    <x v="1"/>
    <n v="1"/>
    <n v="6"/>
    <x v="22"/>
    <x v="3"/>
    <n v="12"/>
    <n v="174.15156327013031"/>
    <n v="156.73640694311729"/>
    <n v="139.32125061610427"/>
    <n v="139.32125061610427"/>
    <n v="281"/>
    <n v="0.98250000000000004"/>
    <n v="5"/>
    <d v="1899-12-30T00:00:11"/>
    <d v="1899-12-30T00:02:40"/>
    <d v="1899-12-30T00:02:54"/>
    <n v="0.86970000000000003"/>
    <n v="12.488888888888889"/>
    <n v="749.33333333333337"/>
    <n v="0.53333333333333333"/>
    <n v="32"/>
    <n v="1.9513888888888891"/>
    <n v="1"/>
    <n v="2"/>
    <n v="2"/>
    <n v="6.1920555829379662"/>
    <n v="445.82800197153352"/>
    <n v="1.1610104218008686"/>
    <n v="2"/>
    <n v="59.085246277783973"/>
    <n v="285.10358001873988"/>
    <s v="Forecast"/>
  </r>
  <r>
    <d v="2023-06-05T00:00:00"/>
    <x v="2"/>
    <n v="2"/>
    <n v="6"/>
    <x v="22"/>
    <x v="3"/>
    <m/>
    <n v="274.43094893349678"/>
    <n v="246.98785404014711"/>
    <n v="219.54475914679745"/>
    <n v="219.54475914679745"/>
    <n v="192"/>
    <n v="0.97960000000000003"/>
    <n v="4"/>
    <d v="1899-12-30T00:00:13"/>
    <d v="1899-12-30T00:02:43"/>
    <d v="1899-12-30T00:02:06"/>
    <n v="0.85640000000000005"/>
    <n v="8.6933333333333334"/>
    <n v="521.6"/>
    <m/>
    <m/>
    <m/>
    <m/>
    <n v="2"/>
    <m/>
    <n v="9.9404988169244408"/>
    <n v="715.71591481855967"/>
    <n v="1.8638435281733325"/>
    <n v="2"/>
    <n v="170.51488122793251"/>
    <n v="379.49161405038188"/>
    <s v="Forecast"/>
  </r>
  <r>
    <d v="2023-06-06T00:00:00"/>
    <x v="3"/>
    <n v="3"/>
    <n v="6"/>
    <x v="22"/>
    <x v="3"/>
    <m/>
    <n v="258.9472682954314"/>
    <n v="233.05254146588825"/>
    <n v="207.15781463634514"/>
    <n v="207.15781463634514"/>
    <n v="189"/>
    <n v="0.98950000000000005"/>
    <n v="2"/>
    <d v="1899-12-30T00:00:11"/>
    <d v="1899-12-30T00:03:00"/>
    <d v="1899-12-30T00:02:34"/>
    <n v="0.88419999999999999"/>
    <n v="9.4499999999999993"/>
    <n v="567"/>
    <m/>
    <m/>
    <m/>
    <m/>
    <n v="2"/>
    <m/>
    <n v="10.357890731817257"/>
    <n v="745.76813269084244"/>
    <n v="1.9421045122157354"/>
    <n v="2"/>
    <n v="151.49732929721901"/>
    <n v="370.00849802810382"/>
    <s v="Forecast"/>
  </r>
  <r>
    <d v="2023-06-07T00:00:00"/>
    <x v="4"/>
    <n v="4"/>
    <n v="6"/>
    <x v="22"/>
    <x v="3"/>
    <m/>
    <n v="271.90325112028597"/>
    <n v="244.71292600825737"/>
    <n v="217.52260089622879"/>
    <n v="217.52260089622879"/>
    <n v="60"/>
    <n v="1"/>
    <n v="0"/>
    <d v="1899-12-30T00:00:06"/>
    <d v="1899-12-30T00:01:58"/>
    <d v="1899-12-30T00:00:59"/>
    <n v="0.9667"/>
    <n v="1.9666666666666666"/>
    <n v="118"/>
    <m/>
    <m/>
    <m/>
    <m/>
    <n v="1"/>
    <m/>
    <n v="7.1299074738208335"/>
    <n v="513.35333811509997"/>
    <n v="1.3368576513414061"/>
    <n v="2"/>
    <n v="160.25014707467699"/>
    <n v="378.44295107694182"/>
    <s v="Forecast"/>
  </r>
  <r>
    <d v="2023-06-08T00:00:00"/>
    <x v="5"/>
    <n v="5"/>
    <n v="6"/>
    <x v="22"/>
    <x v="3"/>
    <m/>
    <n v="268.01314669341411"/>
    <n v="241.21183202407272"/>
    <n v="214.4105173547313"/>
    <n v="214.4105173547313"/>
    <n v="207"/>
    <n v="0.96279999999999999"/>
    <n v="8"/>
    <d v="1899-12-30T00:00:10"/>
    <d v="1899-12-30T00:02:40"/>
    <d v="1899-12-30T00:01:44"/>
    <n v="0.90429999999999999"/>
    <n v="9.1999999999999993"/>
    <n v="552"/>
    <m/>
    <m/>
    <m/>
    <m/>
    <n v="2"/>
    <m/>
    <n v="9.5293563268769468"/>
    <n v="686.11365553514008"/>
    <n v="1.7867543112894273"/>
    <n v="2"/>
    <n v="150.42997789898411"/>
    <n v="378.29820760657651"/>
    <s v="Forecast"/>
  </r>
  <r>
    <d v="2023-06-09T00:00:00"/>
    <x v="6"/>
    <n v="6"/>
    <n v="6"/>
    <x v="22"/>
    <x v="3"/>
    <m/>
    <n v="260.15318302181362"/>
    <n v="234.13786471963226"/>
    <n v="208.12254641745091"/>
    <n v="208.12254641745091"/>
    <n v="213"/>
    <n v="0.96379999999999999"/>
    <n v="8"/>
    <d v="1899-12-30T00:00:08"/>
    <d v="1899-12-30T00:02:35"/>
    <d v="1899-12-30T00:01:47"/>
    <n v="0.90449999999999997"/>
    <n v="9.1708333333333325"/>
    <n v="550.25"/>
    <m/>
    <m/>
    <m/>
    <m/>
    <n v="2"/>
    <m/>
    <n v="8.9608318596402476"/>
    <n v="645.17989389409775"/>
    <n v="1.6801559736825462"/>
    <n v="2"/>
    <n v="147.38530310061199"/>
    <n v="375.08577578174828"/>
    <s v="Forecast"/>
  </r>
  <r>
    <d v="2023-06-10T00:00:00"/>
    <x v="0"/>
    <n v="7"/>
    <n v="6"/>
    <x v="22"/>
    <x v="3"/>
    <m/>
    <n v="268.42142319940041"/>
    <n v="241.57928087946038"/>
    <n v="214.73713855952033"/>
    <n v="214.73713855952033"/>
    <n v="193"/>
    <n v="0.96020000000000005"/>
    <n v="8"/>
    <d v="1899-12-30T00:00:03"/>
    <d v="1899-12-30T00:02:46"/>
    <d v="1899-12-30T00:00:58"/>
    <n v="0.98450000000000004"/>
    <n v="8.8994444444444447"/>
    <n v="533.9666666666667"/>
    <m/>
    <m/>
    <m/>
    <m/>
    <n v="2"/>
    <m/>
    <n v="9.9017680558001047"/>
    <n v="712.92730001760742"/>
    <n v="1.8565815104625194"/>
    <n v="2"/>
    <n v="152.25948794652729"/>
    <n v="379.90211466328873"/>
    <s v="Forecast"/>
  </r>
  <r>
    <d v="2023-06-11T00:00:00"/>
    <x v="1"/>
    <n v="1"/>
    <n v="6"/>
    <x v="23"/>
    <x v="3"/>
    <m/>
    <n v="180.9561852700289"/>
    <n v="162.860566743026"/>
    <n v="144.76494821602313"/>
    <n v="144.76494821602313"/>
    <n v="202"/>
    <n v="0.98540000000000005"/>
    <n v="3"/>
    <d v="1899-12-30T00:00:05"/>
    <d v="1899-12-30T00:02:48"/>
    <d v="1899-12-30T00:01:09"/>
    <n v="0.96060000000000001"/>
    <n v="9.4266666666666659"/>
    <n v="565.59999999999991"/>
    <m/>
    <m/>
    <m/>
    <m/>
    <n v="2"/>
    <m/>
    <n v="6.7556975834144124"/>
    <n v="486.41022600583767"/>
    <n v="1.2666932968902023"/>
    <n v="2"/>
    <n v="69.197990794752869"/>
    <n v="289.59795410085093"/>
    <s v="Forecast"/>
  </r>
  <r>
    <d v="2023-06-12T00:00:00"/>
    <x v="2"/>
    <n v="2"/>
    <n v="6"/>
    <x v="23"/>
    <x v="3"/>
    <m/>
    <n v="282.09531152118382"/>
    <n v="253.88578036906543"/>
    <n v="225.67624921694707"/>
    <n v="225.67624921694707"/>
    <n v="194"/>
    <n v="0.96519999999999995"/>
    <n v="7"/>
    <d v="1899-12-30T00:00:14"/>
    <d v="1899-12-30T00:02:44"/>
    <d v="1899-12-30T00:02:29"/>
    <n v="0.84260000000000002"/>
    <n v="8.8377777777777773"/>
    <n v="530.26666666666665"/>
    <m/>
    <m/>
    <m/>
    <m/>
    <n v="2"/>
    <m/>
    <n v="10.280806908772032"/>
    <n v="740.21809743158622"/>
    <n v="1.9276512953947558"/>
    <n v="2"/>
    <n v="166.644924526739"/>
    <n v="390.55375181042808"/>
    <s v="Forecast"/>
  </r>
  <r>
    <d v="2023-06-13T00:00:00"/>
    <x v="3"/>
    <n v="3"/>
    <n v="6"/>
    <x v="23"/>
    <x v="3"/>
    <m/>
    <n v="267.38187491779252"/>
    <n v="240.64368742601326"/>
    <n v="213.90549993423403"/>
    <n v="213.90549993423403"/>
    <n v="132"/>
    <n v="0.94289999999999996"/>
    <n v="8"/>
    <d v="1899-12-30T00:00:07"/>
    <d v="1899-12-30T00:01:51"/>
    <d v="1899-12-30T00:01:56"/>
    <n v="0.92479999999999996"/>
    <n v="4.07"/>
    <n v="244.20000000000002"/>
    <m/>
    <m/>
    <m/>
    <m/>
    <n v="2"/>
    <m/>
    <n v="6.5954195813055501"/>
    <n v="474.8702098539996"/>
    <n v="1.2366411714947907"/>
    <n v="2"/>
    <n v="158.88525499656481"/>
    <n v="381.81521587951732"/>
    <s v="Forecast"/>
  </r>
  <r>
    <d v="2023-06-14T00:00:00"/>
    <x v="4"/>
    <n v="4"/>
    <n v="6"/>
    <x v="23"/>
    <x v="3"/>
    <m/>
    <n v="281.00431430090367"/>
    <n v="252.90388287081331"/>
    <n v="224.80345144072294"/>
    <n v="224.80345144072294"/>
    <n v="28"/>
    <n v="0.96550000000000002"/>
    <n v="1"/>
    <d v="1899-12-30T00:00:13"/>
    <d v="1899-12-30T00:03:09"/>
    <d v="1899-12-30T00:01:47"/>
    <n v="0.8276"/>
    <n v="1.4700000000000002"/>
    <n v="88.200000000000017"/>
    <m/>
    <m/>
    <m/>
    <m/>
    <n v="1"/>
    <m/>
    <n v="11.802181200637955"/>
    <n v="849.7570464459327"/>
    <n v="2.2129089751196163"/>
    <n v="3"/>
    <n v="167.20673633127251"/>
    <n v="387.70183156177558"/>
    <s v="Forecast"/>
  </r>
  <r>
    <d v="2023-06-15T00:00:00"/>
    <x v="5"/>
    <n v="5"/>
    <n v="6"/>
    <x v="23"/>
    <x v="3"/>
    <m/>
    <n v="277.66509462334841"/>
    <n v="249.89858516101359"/>
    <n v="222.13207569867873"/>
    <n v="222.13207569867873"/>
    <n v="372"/>
    <n v="0.93469999999999998"/>
    <n v="26"/>
    <d v="1899-12-30T00:00:21"/>
    <d v="1899-12-30T00:02:51"/>
    <d v="1899-12-30T00:04:13"/>
    <n v="0.72519999999999996"/>
    <n v="17.670000000000002"/>
    <n v="1060.2"/>
    <m/>
    <m/>
    <m/>
    <m/>
    <n v="2"/>
    <m/>
    <n v="10.55127359568724"/>
    <n v="759.69169888948124"/>
    <n v="1.9783637991913574"/>
    <n v="2"/>
    <n v="173.13855227937981"/>
    <n v="383.08830717252192"/>
    <s v="Forecast"/>
  </r>
  <r>
    <d v="2023-06-16T00:00:00"/>
    <x v="6"/>
    <n v="6"/>
    <n v="6"/>
    <x v="23"/>
    <x v="3"/>
    <m/>
    <n v="270.2314256201085"/>
    <n v="243.20828305809766"/>
    <n v="216.1851404960868"/>
    <n v="216.1851404960868"/>
    <n v="249"/>
    <n v="0.97650000000000003"/>
    <n v="6"/>
    <d v="1899-12-30T00:00:15"/>
    <d v="1899-12-30T00:03:01"/>
    <d v="1899-12-30T00:02:09"/>
    <n v="0.83330000000000004"/>
    <n v="12.519166666666665"/>
    <n v="751.14999999999986"/>
    <m/>
    <m/>
    <m/>
    <m/>
    <n v="2"/>
    <m/>
    <n v="10.869308452719919"/>
    <n v="782.59020859583416"/>
    <n v="2.0379953348849846"/>
    <n v="3"/>
    <n v="165.67324735164061"/>
    <n v="383.60878678727681"/>
    <s v="Forecast"/>
  </r>
  <r>
    <d v="2023-06-17T00:00:00"/>
    <x v="0"/>
    <n v="7"/>
    <n v="6"/>
    <x v="23"/>
    <x v="3"/>
    <m/>
    <n v="278.79529750541332"/>
    <n v="250.91576775487198"/>
    <n v="223.03623800433067"/>
    <n v="223.03623800433067"/>
    <n v="278"/>
    <n v="0.98229999999999995"/>
    <n v="5"/>
    <d v="1899-12-30T00:00:17"/>
    <d v="1899-12-30T00:02:38"/>
    <d v="1899-12-30T00:01:59"/>
    <n v="0.79569999999999996"/>
    <n v="12.201111111111112"/>
    <n v="732.06666666666672"/>
    <m/>
    <m/>
    <m/>
    <m/>
    <n v="2"/>
    <m/>
    <n v="9.7888126679678464"/>
    <n v="704.79451209368494"/>
    <n v="1.8354023752439712"/>
    <n v="2"/>
    <n v="170.29572816526891"/>
    <n v="386.76238959124038"/>
    <s v="Forecast"/>
  </r>
  <r>
    <d v="2023-06-18T00:00:00"/>
    <x v="1"/>
    <n v="1"/>
    <n v="6"/>
    <x v="24"/>
    <x v="3"/>
    <m/>
    <n v="191.4919960825207"/>
    <n v="172.34279647426862"/>
    <n v="153.19359686601658"/>
    <n v="153.19359686601658"/>
    <n v="222"/>
    <n v="0.96519999999999995"/>
    <n v="8"/>
    <d v="1899-12-30T00:00:21"/>
    <d v="1899-12-30T00:02:46"/>
    <d v="1899-12-30T00:02:45"/>
    <n v="0.72250000000000003"/>
    <n v="10.236666666666666"/>
    <n v="614.19999999999993"/>
    <m/>
    <m/>
    <m/>
    <m/>
    <n v="2"/>
    <m/>
    <n v="7.063926966599654"/>
    <n v="508.60274159517508"/>
    <n v="1.324486306237435"/>
    <n v="2"/>
    <n v="88.447537940543356"/>
    <n v="301.95715761538628"/>
    <s v="Forecast"/>
  </r>
  <r>
    <d v="2023-06-19T00:00:00"/>
    <x v="2"/>
    <n v="2"/>
    <n v="6"/>
    <x v="24"/>
    <x v="3"/>
    <m/>
    <n v="292.6593817226161"/>
    <n v="263.3934435503545"/>
    <n v="234.12750537809291"/>
    <n v="234.12750537809291"/>
    <n v="183"/>
    <n v="0.98919999999999997"/>
    <n v="2"/>
    <d v="1899-12-30T00:00:10"/>
    <d v="1899-12-30T00:03:15"/>
    <d v="1899-12-30T00:01:20"/>
    <n v="0.89729999999999999"/>
    <n v="9.9124999999999979"/>
    <n v="594.74999999999989"/>
    <m/>
    <m/>
    <m/>
    <m/>
    <n v="2"/>
    <m/>
    <n v="12.681906541313365"/>
    <n v="913.09727097456232"/>
    <n v="2.3778574764962559"/>
    <n v="3"/>
    <n v="184.47762050202519"/>
    <n v="402.89258891919491"/>
    <s v="Forecast"/>
  </r>
  <r>
    <d v="2023-06-20T00:00:00"/>
    <x v="3"/>
    <n v="3"/>
    <n v="6"/>
    <x v="24"/>
    <x v="3"/>
    <m/>
    <n v="277.84352095242781"/>
    <n v="250.05916885718503"/>
    <n v="222.27481676194225"/>
    <n v="222.27481676194225"/>
    <n v="194"/>
    <n v="0.98480000000000001"/>
    <n v="3"/>
    <d v="1899-12-30T00:00:13"/>
    <d v="1899-12-30T00:02:49"/>
    <d v="1899-12-30T00:02:01"/>
    <n v="0.82650000000000001"/>
    <n v="9.107222222222223"/>
    <n v="546.43333333333339"/>
    <m/>
    <m/>
    <m/>
    <m/>
    <n v="2"/>
    <m/>
    <n v="10.434567786880066"/>
    <n v="751.28888065536478"/>
    <n v="1.9564814600400124"/>
    <n v="2"/>
    <n v="165.51036582152321"/>
    <n v="394.51244143609858"/>
    <s v="Forecast"/>
  </r>
  <r>
    <d v="2023-06-21T00:00:00"/>
    <x v="4"/>
    <n v="4"/>
    <n v="6"/>
    <x v="24"/>
    <x v="3"/>
    <m/>
    <n v="291.23866572383912"/>
    <n v="262.1147991514552"/>
    <n v="232.99093257907131"/>
    <n v="232.99093257907131"/>
    <n v="14"/>
    <n v="0.93330000000000002"/>
    <n v="1"/>
    <d v="1899-12-30T00:00:12"/>
    <d v="1899-12-30T00:03:14"/>
    <d v="1899-12-30T00:01:48"/>
    <n v="0.86670000000000003"/>
    <n v="0.75444444444444447"/>
    <n v="45.266666666666666"/>
    <m/>
    <m/>
    <m/>
    <m/>
    <n v="1"/>
    <m/>
    <n v="12.555622477872173"/>
    <n v="904.00481840679652"/>
    <n v="2.3541792146010327"/>
    <n v="3"/>
    <n v="175.30792336559409"/>
    <n v="402.38575495821942"/>
    <s v="Forecast"/>
  </r>
  <r>
    <d v="2023-06-22T00:00:00"/>
    <x v="5"/>
    <n v="5"/>
    <n v="6"/>
    <x v="24"/>
    <x v="3"/>
    <m/>
    <n v="287.55568240053071"/>
    <n v="258.80011416047768"/>
    <n v="230.04454592042458"/>
    <n v="230.04454592042458"/>
    <n v="228"/>
    <n v="0.99129999999999996"/>
    <n v="2"/>
    <d v="1899-12-30T00:00:07"/>
    <d v="1899-12-30T00:02:47"/>
    <d v="1899-12-30T00:01:01"/>
    <n v="0.93889999999999996"/>
    <n v="10.576666666666666"/>
    <n v="634.6"/>
    <m/>
    <m/>
    <m/>
    <m/>
    <n v="2"/>
    <m/>
    <n v="10.671510880197475"/>
    <n v="768.34878337421821"/>
    <n v="2.0009082900370267"/>
    <n v="3"/>
    <n v="180.88271493479331"/>
    <n v="405.75158901027959"/>
    <s v="Forecast"/>
  </r>
  <r>
    <d v="2023-06-23T00:00:00"/>
    <x v="6"/>
    <n v="6"/>
    <n v="6"/>
    <x v="24"/>
    <x v="3"/>
    <m/>
    <n v="279.67247172425061"/>
    <n v="251.70522455182555"/>
    <n v="223.73797737940049"/>
    <n v="223.73797737940049"/>
    <n v="224"/>
    <n v="0.96550000000000002"/>
    <n v="8"/>
    <d v="1899-12-30T00:00:12"/>
    <d v="1899-12-30T00:02:51"/>
    <d v="1899-12-30T00:01:34"/>
    <n v="0.86460000000000004"/>
    <n v="10.64"/>
    <n v="638.40000000000009"/>
    <m/>
    <m/>
    <m/>
    <m/>
    <n v="2"/>
    <m/>
    <n v="10.627553925521523"/>
    <n v="765.18388263754969"/>
    <n v="1.9926663610352857"/>
    <n v="2"/>
    <n v="161.87335907300539"/>
    <n v="395.02926652045852"/>
    <s v="Forecast"/>
  </r>
  <r>
    <d v="2023-06-24T00:00:00"/>
    <x v="0"/>
    <n v="7"/>
    <n v="6"/>
    <x v="24"/>
    <x v="3"/>
    <m/>
    <n v="287.69364806835512"/>
    <n v="258.92428326151963"/>
    <n v="230.15491845468409"/>
    <n v="230.15491845468409"/>
    <n v="231"/>
    <n v="0.97470000000000001"/>
    <n v="6"/>
    <d v="1899-12-30T00:00:11"/>
    <d v="1899-12-30T00:03:01"/>
    <d v="1899-12-30T00:01:59"/>
    <n v="0.87709999999999999"/>
    <n v="11.614166666666666"/>
    <n v="696.84999999999991"/>
    <m/>
    <m/>
    <m/>
    <m/>
    <n v="2"/>
    <m/>
    <n v="11.571677844527171"/>
    <n v="833.16080480595633"/>
    <n v="2.1696895958488445"/>
    <n v="3"/>
    <n v="177.23338213254311"/>
    <n v="399.56655297714008"/>
    <s v="Forecast"/>
  </r>
  <r>
    <d v="2023-06-25T00:00:00"/>
    <x v="1"/>
    <n v="1"/>
    <n v="6"/>
    <x v="25"/>
    <x v="3"/>
    <m/>
    <n v="199.76865164041411"/>
    <n v="179.79178647637269"/>
    <n v="159.81492131233131"/>
    <n v="159.81492131233131"/>
    <n v="39"/>
    <n v="0.92859999999999998"/>
    <n v="3"/>
    <d v="1899-12-30T00:00:17"/>
    <d v="1899-12-30T00:02:51"/>
    <d v="1899-12-30T00:01:40"/>
    <n v="0.78569999999999995"/>
    <n v="1.8525000000000003"/>
    <n v="111.15000000000002"/>
    <m/>
    <m/>
    <m/>
    <m/>
    <n v="2"/>
    <m/>
    <n v="7.5912087623357376"/>
    <n v="546.56703088817312"/>
    <n v="1.4233516429379509"/>
    <n v="2"/>
    <n v="89.909322140027029"/>
    <n v="310.11263184815698"/>
    <s v="Forecast"/>
  </r>
  <r>
    <d v="2023-06-26T00:00:00"/>
    <x v="2"/>
    <n v="2"/>
    <n v="6"/>
    <x v="25"/>
    <x v="3"/>
    <m/>
    <n v="300.25059055218662"/>
    <n v="270.22553149696796"/>
    <n v="240.2004724417493"/>
    <n v="240.2004724417493"/>
    <n v="211"/>
    <n v="0.98140000000000005"/>
    <n v="4"/>
    <d v="1899-12-30T00:00:06"/>
    <d v="1899-12-30T00:03:06"/>
    <d v="1899-12-30T00:02:54"/>
    <n v="0.94810000000000005"/>
    <n v="10.901666666666667"/>
    <n v="654.1"/>
    <m/>
    <m/>
    <m/>
    <m/>
    <n v="2"/>
    <m/>
    <n v="12.410357742823713"/>
    <n v="893.54575748330728"/>
    <n v="2.3269420767794462"/>
    <n v="3"/>
    <n v="191.84067015749019"/>
    <n v="407.71771125167959"/>
    <s v="Forecast"/>
  </r>
  <r>
    <d v="2023-06-27T00:00:00"/>
    <x v="3"/>
    <n v="3"/>
    <n v="6"/>
    <x v="25"/>
    <x v="3"/>
    <m/>
    <n v="284.70141479985858"/>
    <n v="256.23127331987274"/>
    <n v="227.76113183988687"/>
    <n v="227.76113183988687"/>
    <n v="152"/>
    <n v="0.99350000000000005"/>
    <n v="1"/>
    <d v="1899-12-30T00:00:04"/>
    <d v="1899-12-30T00:02:35"/>
    <d v="1899-12-30T00:00:55"/>
    <n v="0.9869"/>
    <n v="6.5444444444444443"/>
    <n v="392.66666666666663"/>
    <m/>
    <m/>
    <m/>
    <m/>
    <n v="2"/>
    <m/>
    <n v="9.8063820653284601"/>
    <n v="706.05950870364916"/>
    <n v="1.8386966372490863"/>
    <n v="2"/>
    <n v="181.64897474281881"/>
    <n v="393.18689784627929"/>
    <s v="Forecast"/>
  </r>
  <r>
    <d v="2023-06-28T00:00:00"/>
    <x v="4"/>
    <n v="4"/>
    <n v="6"/>
    <x v="25"/>
    <x v="3"/>
    <m/>
    <n v="297.33143094231258"/>
    <n v="267.59828784808133"/>
    <n v="237.86514475385007"/>
    <n v="237.86514475385007"/>
    <n v="39"/>
    <n v="1"/>
    <n v="0"/>
    <d v="1899-12-30T00:00:14"/>
    <d v="1899-12-30T00:03:42"/>
    <d v="1899-12-30T00:01:37"/>
    <n v="0.84619999999999995"/>
    <n v="2.4049999999999998"/>
    <n v="144.29999999999998"/>
    <m/>
    <m/>
    <m/>
    <m/>
    <n v="1"/>
    <m/>
    <n v="14.668350593154088"/>
    <n v="1056.1212427070943"/>
    <n v="2.7503157362163915"/>
    <n v="3"/>
    <n v="191.49217126388851"/>
    <n v="410.96984776796057"/>
    <s v="Forecast"/>
  </r>
  <r>
    <d v="2023-06-29T00:00:00"/>
    <x v="5"/>
    <n v="5"/>
    <n v="6"/>
    <x v="25"/>
    <x v="3"/>
    <m/>
    <n v="292.86727326482179"/>
    <n v="263.58054593833964"/>
    <n v="234.29381861185743"/>
    <n v="234.29381861185743"/>
    <n v="322"/>
    <n v="0.96409999999999996"/>
    <n v="12"/>
    <d v="1899-12-30T00:00:17"/>
    <d v="1899-12-30T00:02:56"/>
    <d v="1899-12-30T00:02:18"/>
    <n v="0.77129999999999999"/>
    <n v="15.742222222222223"/>
    <n v="944.53333333333342"/>
    <m/>
    <m/>
    <m/>
    <m/>
    <n v="2"/>
    <m/>
    <n v="11.454364465468585"/>
    <n v="824.7142415137381"/>
    <n v="2.1476933372753595"/>
    <n v="3"/>
    <n v="181.42503329870291"/>
    <n v="395.59055837974859"/>
    <s v="Forecast"/>
  </r>
  <r>
    <d v="2023-06-30T00:00:00"/>
    <x v="6"/>
    <n v="6"/>
    <n v="6"/>
    <x v="25"/>
    <x v="3"/>
    <m/>
    <n v="284.2018860487363"/>
    <n v="255.78169744386267"/>
    <n v="227.36150883898904"/>
    <n v="227.36150883898904"/>
    <n v="225"/>
    <n v="0.95340000000000003"/>
    <n v="11"/>
    <d v="1899-12-30T00:00:13"/>
    <d v="1899-12-30T00:02:53"/>
    <d v="1899-12-30T00:01:56"/>
    <n v="0.85089999999999999"/>
    <n v="10.8125"/>
    <n v="648.75"/>
    <m/>
    <m/>
    <m/>
    <m/>
    <n v="2"/>
    <m/>
    <n v="10.925983619206974"/>
    <n v="786.67082058290202"/>
    <n v="2.0486219286013072"/>
    <n v="3"/>
    <n v="175.87445746103191"/>
    <n v="396.29900992791789"/>
    <s v="Forecast"/>
  </r>
  <r>
    <d v="2023-07-01T00:00:00"/>
    <x v="0"/>
    <n v="7"/>
    <n v="7"/>
    <x v="25"/>
    <x v="3"/>
    <m/>
    <n v="291.45379785524898"/>
    <n v="262.3084180697241"/>
    <n v="233.16303828419919"/>
    <n v="233.16303828419919"/>
    <n v="182"/>
    <n v="0.97850000000000004"/>
    <n v="4"/>
    <d v="1899-12-30T00:00:08"/>
    <d v="1899-12-30T00:02:38"/>
    <d v="1899-12-30T00:02:10"/>
    <n v="0.95109999999999995"/>
    <n v="7.9877777777777768"/>
    <n v="479.26666666666659"/>
    <m/>
    <m/>
    <m/>
    <m/>
    <n v="2"/>
    <m/>
    <n v="10.233266680250965"/>
    <n v="736.79520097806937"/>
    <n v="1.9187375025470557"/>
    <n v="2"/>
    <n v="178.4020965466008"/>
    <n v="398.08486443951728"/>
    <s v="Forecast"/>
  </r>
  <r>
    <d v="2023-07-02T00:00:00"/>
    <x v="1"/>
    <n v="1"/>
    <n v="7"/>
    <x v="26"/>
    <x v="3"/>
    <m/>
    <n v="202.7848729514821"/>
    <n v="182.50638565633389"/>
    <n v="162.22789836118568"/>
    <n v="162.22789836118568"/>
    <n v="197"/>
    <n v="0.97519999999999996"/>
    <n v="5"/>
    <d v="1899-12-30T00:00:13"/>
    <d v="1899-12-30T00:02:33"/>
    <d v="1899-12-30T00:01:56"/>
    <n v="0.87"/>
    <n v="8.3724999999999987"/>
    <n v="502.34999999999991"/>
    <m/>
    <m/>
    <m/>
    <m/>
    <n v="2"/>
    <m/>
    <n v="6.8946856803503902"/>
    <n v="496.41736898522805"/>
    <n v="1.2927535650656981"/>
    <n v="2"/>
    <n v="93.781342440414832"/>
    <n v="308.47277821409051"/>
    <s v="Forecast"/>
  </r>
  <r>
    <d v="2023-07-03T00:00:00"/>
    <x v="2"/>
    <n v="2"/>
    <n v="7"/>
    <x v="26"/>
    <x v="3"/>
    <m/>
    <n v="302.55884682414438"/>
    <n v="272.30296214172995"/>
    <n v="242.04707745931552"/>
    <n v="242.04707745931552"/>
    <n v="182"/>
    <n v="0.98380000000000001"/>
    <n v="3"/>
    <d v="1899-12-30T00:00:08"/>
    <d v="1899-12-30T00:02:49"/>
    <d v="1899-12-30T00:02:33"/>
    <n v="0.90269999999999995"/>
    <n v="8.5438888888888886"/>
    <n v="512.63333333333333"/>
    <m/>
    <m/>
    <m/>
    <m/>
    <n v="2"/>
    <m/>
    <n v="11.362765580728977"/>
    <n v="818.11912181248624"/>
    <n v="2.1305185463866829"/>
    <n v="3"/>
    <n v="191.9632597274551"/>
    <n v="409.62273018538099"/>
    <s v="Forecast"/>
  </r>
  <r>
    <d v="2023-07-04T00:00:00"/>
    <x v="3"/>
    <n v="3"/>
    <n v="7"/>
    <x v="26"/>
    <x v="3"/>
    <m/>
    <n v="286.3462561064805"/>
    <n v="257.71163049583248"/>
    <n v="229.07700488518441"/>
    <n v="229.07700488518441"/>
    <n v="38"/>
    <n v="1"/>
    <n v="0"/>
    <d v="1899-12-30T00:00:04"/>
    <d v="1899-12-30T00:03:26"/>
    <d v="1899-12-30T00:00:57"/>
    <n v="0.97370000000000001"/>
    <n v="2.1744444444444446"/>
    <n v="130.46666666666667"/>
    <m/>
    <m/>
    <m/>
    <m/>
    <n v="2"/>
    <m/>
    <n v="13.108295279541107"/>
    <n v="943.79726012695971"/>
    <n v="2.4578053649139577"/>
    <n v="3"/>
    <n v="178.28326961233401"/>
    <n v="394.11515782832538"/>
    <s v="Forecast"/>
  </r>
  <r>
    <d v="2023-07-05T00:00:00"/>
    <x v="4"/>
    <n v="4"/>
    <n v="7"/>
    <x v="26"/>
    <x v="3"/>
    <m/>
    <n v="298.3637780486053"/>
    <n v="268.52740024374475"/>
    <n v="238.69102243888426"/>
    <n v="238.69102243888426"/>
    <n v="24"/>
    <n v="0.96"/>
    <n v="1"/>
    <d v="1899-12-30T00:00:03"/>
    <d v="1899-12-30T00:02:44"/>
    <d v="1899-12-30T00:00:46"/>
    <n v="0.96"/>
    <n v="1.0933333333333333"/>
    <n v="65.599999999999994"/>
    <m/>
    <m/>
    <m/>
    <m/>
    <n v="1"/>
    <m/>
    <n v="10.873702133326949"/>
    <n v="782.9065535995403"/>
    <n v="2.0388191499988029"/>
    <n v="3"/>
    <n v="180.037889052466"/>
    <n v="412.583865037377"/>
    <s v="Forecast"/>
  </r>
  <r>
    <d v="2023-07-06T00:00:00"/>
    <x v="5"/>
    <n v="5"/>
    <n v="7"/>
    <x v="26"/>
    <x v="3"/>
    <m/>
    <n v="293.34209953225718"/>
    <n v="264.00788957903148"/>
    <n v="234.67367962580576"/>
    <n v="234.67367962580576"/>
    <n v="195"/>
    <n v="0.96060000000000001"/>
    <n v="8"/>
    <d v="1899-12-30T00:00:08"/>
    <d v="1899-12-30T00:02:38"/>
    <d v="1899-12-30T00:08:34"/>
    <n v="0.88560000000000005"/>
    <n v="8.5583333333333336"/>
    <n v="513.5"/>
    <m/>
    <m/>
    <m/>
    <m/>
    <n v="2"/>
    <m/>
    <n v="10.299567050243697"/>
    <n v="741.56882761754616"/>
    <n v="1.9311688219206931"/>
    <n v="2"/>
    <n v="188.9067447922792"/>
    <n v="401.70806150130659"/>
    <s v="Forecast"/>
  </r>
  <r>
    <d v="2023-07-07T00:00:00"/>
    <x v="6"/>
    <n v="6"/>
    <n v="7"/>
    <x v="26"/>
    <x v="3"/>
    <m/>
    <n v="284.17587224899421"/>
    <n v="255.75828502409479"/>
    <n v="227.34069779919537"/>
    <n v="227.34069779919537"/>
    <n v="292"/>
    <n v="0.98650000000000004"/>
    <n v="4"/>
    <d v="1899-12-30T00:00:04"/>
    <d v="1899-12-30T00:02:40"/>
    <d v="1899-12-30T00:00:58"/>
    <n v="0.98629999999999995"/>
    <n v="12.977777777777778"/>
    <n v="778.66666666666663"/>
    <m/>
    <m/>
    <m/>
    <m/>
    <n v="2"/>
    <m/>
    <n v="10.104031013297572"/>
    <n v="727.49023295742518"/>
    <n v="1.8945058149932947"/>
    <n v="2"/>
    <n v="173.73219592437829"/>
    <n v="390.54472123919129"/>
    <s v="Forecast"/>
  </r>
  <r>
    <d v="2023-07-08T00:00:00"/>
    <x v="0"/>
    <n v="7"/>
    <n v="7"/>
    <x v="26"/>
    <x v="3"/>
    <m/>
    <n v="290.9830346848351"/>
    <n v="261.88473121635161"/>
    <n v="232.78642774786809"/>
    <n v="232.78642774786809"/>
    <n v="223"/>
    <n v="0.95709999999999995"/>
    <n v="10"/>
    <d v="1899-12-30T00:00:09"/>
    <d v="1899-12-30T00:02:47"/>
    <d v="1899-12-30T00:01:46"/>
    <n v="0.87829999999999997"/>
    <n v="10.344722222222222"/>
    <n v="620.68333333333328"/>
    <m/>
    <m/>
    <m/>
    <m/>
    <n v="2"/>
    <m/>
    <n v="10.798703731637213"/>
    <n v="777.50666867787936"/>
    <n v="2.0247569496819775"/>
    <n v="3"/>
    <n v="170.02538453911731"/>
    <n v="394.48084683603088"/>
    <s v="Forecast"/>
  </r>
  <r>
    <d v="2023-07-09T00:00:00"/>
    <x v="1"/>
    <n v="1"/>
    <n v="7"/>
    <x v="27"/>
    <x v="3"/>
    <m/>
    <n v="201.9226835469737"/>
    <n v="181.73041519227633"/>
    <n v="161.53814683757898"/>
    <n v="161.53814683757898"/>
    <n v="194"/>
    <n v="0.9798"/>
    <n v="4"/>
    <d v="1899-12-30T00:00:08"/>
    <d v="1899-12-30T00:02:42"/>
    <d v="1899-12-30T00:01:43"/>
    <n v="0.91790000000000005"/>
    <n v="8.7299999999999986"/>
    <n v="523.79999999999995"/>
    <m/>
    <m/>
    <m/>
    <m/>
    <n v="2"/>
    <m/>
    <n v="7.2692166076910532"/>
    <n v="523.3835957537558"/>
    <n v="1.3629781139420725"/>
    <n v="2"/>
    <n v="96.70038090044973"/>
    <n v="309.88131109135031"/>
    <s v="Forecast"/>
  </r>
  <r>
    <d v="2023-07-10T00:00:00"/>
    <x v="2"/>
    <n v="2"/>
    <n v="7"/>
    <x v="27"/>
    <x v="3"/>
    <m/>
    <n v="301.35379695323252"/>
    <n v="271.21841725790927"/>
    <n v="241.08303756258601"/>
    <n v="241.08303756258601"/>
    <n v="179"/>
    <n v="0.98899999999999999"/>
    <n v="2"/>
    <d v="1899-12-30T00:00:04"/>
    <d v="1899-12-30T00:02:39"/>
    <d v="1899-12-30T00:00:48"/>
    <n v="0.99439999999999995"/>
    <n v="7.9058333333333319"/>
    <n v="474.34999999999991"/>
    <m/>
    <m/>
    <m/>
    <m/>
    <n v="2"/>
    <m/>
    <n v="10.647834159014215"/>
    <n v="766.64405944902342"/>
    <n v="1.9964689048151651"/>
    <n v="2"/>
    <n v="192.8946000192804"/>
    <n v="409.24134344767691"/>
    <s v="Forecast"/>
  </r>
  <r>
    <d v="2023-07-11T00:00:00"/>
    <x v="3"/>
    <n v="3"/>
    <n v="7"/>
    <x v="27"/>
    <x v="3"/>
    <m/>
    <n v="284.84041310041232"/>
    <n v="256.3563717903711"/>
    <n v="227.87233048032988"/>
    <n v="227.87233048032988"/>
    <n v="162"/>
    <n v="0.97589999999999999"/>
    <n v="4"/>
    <d v="1899-12-30T00:00:06"/>
    <d v="1899-12-30T00:02:39"/>
    <d v="1899-12-30T00:01:01"/>
    <n v="0.93869999999999998"/>
    <n v="7.1549999999999994"/>
    <n v="429.29999999999995"/>
    <m/>
    <m/>
    <m/>
    <m/>
    <n v="2"/>
    <m/>
    <n v="10.064361262881237"/>
    <n v="724.63401092744891"/>
    <n v="1.8870677367902315"/>
    <n v="2"/>
    <n v="183.7191583440385"/>
    <n v="395.22013074973302"/>
    <s v="Forecast"/>
  </r>
  <r>
    <d v="2023-07-12T00:00:00"/>
    <x v="4"/>
    <n v="4"/>
    <n v="7"/>
    <x v="27"/>
    <x v="3"/>
    <m/>
    <n v="296.59127117473878"/>
    <n v="266.93214405726491"/>
    <n v="237.27301693979103"/>
    <n v="237.27301693979103"/>
    <n v="19"/>
    <n v="1"/>
    <n v="0"/>
    <d v="1899-12-30T00:00:03"/>
    <d v="1899-12-30T00:02:27"/>
    <d v="1899-12-30T00:00:03"/>
    <n v="1"/>
    <n v="0.77583333333333315"/>
    <n v="46.54999999999999"/>
    <m/>
    <m/>
    <m/>
    <m/>
    <n v="1"/>
    <m/>
    <n v="9.6886481917081344"/>
    <n v="697.58266980298572"/>
    <n v="1.8166215359452753"/>
    <n v="2"/>
    <n v="181.25907174032929"/>
    <n v="400.6906627607375"/>
    <s v="Forecast"/>
  </r>
  <r>
    <d v="2023-07-13T00:00:00"/>
    <x v="5"/>
    <n v="5"/>
    <n v="7"/>
    <x v="27"/>
    <x v="3"/>
    <m/>
    <n v="291.32802462733378"/>
    <n v="262.19522216460041"/>
    <n v="233.06241970186704"/>
    <n v="233.06241970186704"/>
    <n v="181"/>
    <n v="0.92349999999999999"/>
    <n v="15"/>
    <d v="1899-12-30T00:00:14"/>
    <d v="1899-12-30T00:02:37"/>
    <d v="1899-12-30T00:02:36"/>
    <n v="0.78129999999999999"/>
    <n v="7.8936111111111122"/>
    <n v="473.61666666666673"/>
    <m/>
    <m/>
    <m/>
    <m/>
    <n v="2"/>
    <m/>
    <n v="10.164111081442536"/>
    <n v="731.81599786386255"/>
    <n v="1.9057708277704755"/>
    <n v="2"/>
    <n v="177.16765512818469"/>
    <n v="400.77339839999189"/>
    <s v="Forecast"/>
  </r>
  <r>
    <d v="2023-07-14T00:00:00"/>
    <x v="6"/>
    <n v="6"/>
    <n v="7"/>
    <x v="27"/>
    <x v="3"/>
    <m/>
    <n v="281.93557235270168"/>
    <n v="253.74201511743152"/>
    <n v="225.54845788216136"/>
    <n v="225.54845788216136"/>
    <n v="172"/>
    <n v="0.97729999999999995"/>
    <n v="4"/>
    <d v="1899-12-30T00:00:16"/>
    <d v="1899-12-30T00:02:30"/>
    <d v="1899-12-30T00:02:56"/>
    <n v="0.79430000000000001"/>
    <n v="7.166666666666667"/>
    <n v="430"/>
    <m/>
    <m/>
    <m/>
    <m/>
    <n v="2"/>
    <m/>
    <n v="9.3978524117567233"/>
    <n v="676.64537364648402"/>
    <n v="1.7620973272043854"/>
    <n v="2"/>
    <n v="175.537625973308"/>
    <n v="386.52417227060272"/>
    <s v="Forecast"/>
  </r>
  <r>
    <d v="2023-07-15T00:00:00"/>
    <x v="0"/>
    <n v="7"/>
    <n v="7"/>
    <x v="27"/>
    <x v="3"/>
    <m/>
    <n v="288.52177647814477"/>
    <n v="259.6695988303303"/>
    <n v="230.81742118251583"/>
    <n v="230.81742118251583"/>
    <n v="209"/>
    <n v="0.94569999999999999"/>
    <n v="12"/>
    <d v="1899-12-30T00:00:12"/>
    <d v="1899-12-30T00:02:42"/>
    <d v="1899-12-30T00:02:50"/>
    <n v="0.8387"/>
    <n v="9.4049999999999994"/>
    <n v="564.29999999999995"/>
    <m/>
    <m/>
    <m/>
    <m/>
    <n v="2"/>
    <m/>
    <n v="10.386783953213213"/>
    <n v="747.8484446313513"/>
    <n v="1.9475219912274773"/>
    <n v="2"/>
    <n v="179.51883992163039"/>
    <n v="403.85145560477878"/>
    <s v="Forecast"/>
  </r>
  <r>
    <d v="2023-07-16T00:00:00"/>
    <x v="1"/>
    <n v="1"/>
    <n v="7"/>
    <x v="28"/>
    <x v="3"/>
    <m/>
    <n v="199.2357369458353"/>
    <n v="179.31216325125177"/>
    <n v="159.38858955666825"/>
    <n v="159.38858955666825"/>
    <n v="191"/>
    <n v="0.97450000000000003"/>
    <n v="5"/>
    <d v="1899-12-30T00:00:14"/>
    <d v="1899-12-30T00:02:51"/>
    <d v="1899-12-30T00:05:54"/>
    <n v="0.86009999999999998"/>
    <n v="9.0725000000000016"/>
    <n v="544.35000000000014"/>
    <m/>
    <m/>
    <m/>
    <m/>
    <n v="2"/>
    <m/>
    <n v="7.5709580039417421"/>
    <n v="545.10897628380542"/>
    <n v="1.4195546257390765"/>
    <n v="2"/>
    <n v="86.908719913792083"/>
    <n v="307.71558853382618"/>
    <s v="Forecast"/>
  </r>
  <r>
    <d v="2023-07-17T00:00:00"/>
    <x v="2"/>
    <n v="2"/>
    <n v="7"/>
    <x v="28"/>
    <x v="3"/>
    <m/>
    <n v="298.42691262505519"/>
    <n v="268.58422136254967"/>
    <n v="238.74153010004417"/>
    <n v="238.74153010004417"/>
    <n v="202"/>
    <n v="0.95730000000000004"/>
    <n v="9"/>
    <d v="1899-12-30T00:00:15"/>
    <d v="1899-12-30T00:02:46"/>
    <d v="1899-12-30T00:02:54"/>
    <n v="0.79330000000000001"/>
    <n v="9.3144444444444439"/>
    <n v="558.86666666666667"/>
    <m/>
    <m/>
    <m/>
    <m/>
    <n v="2"/>
    <m/>
    <n v="11.008637221279816"/>
    <n v="792.62187993214673"/>
    <n v="2.0641194789899653"/>
    <n v="3"/>
    <n v="186.17162656685039"/>
    <n v="406.69429571634072"/>
    <s v="Forecast"/>
  </r>
  <r>
    <d v="2023-07-18T00:00:00"/>
    <x v="3"/>
    <n v="3"/>
    <n v="7"/>
    <x v="28"/>
    <x v="3"/>
    <m/>
    <n v="281.65068032386728"/>
    <n v="253.48561229148055"/>
    <n v="225.32054425909382"/>
    <n v="225.32054425909382"/>
    <n v="194"/>
    <n v="0.96519999999999995"/>
    <n v="7"/>
    <d v="1899-12-30T00:00:16"/>
    <d v="1899-12-30T00:02:49"/>
    <d v="1899-12-30T00:03:28"/>
    <n v="0.81410000000000005"/>
    <n v="9.107222222222223"/>
    <n v="546.43333333333339"/>
    <m/>
    <m/>
    <m/>
    <m/>
    <n v="2"/>
    <m/>
    <n v="10.577547772163014"/>
    <n v="761.58343959573699"/>
    <n v="1.9832902072805652"/>
    <n v="2"/>
    <n v="176.45476649170249"/>
    <n v="388.09218240416459"/>
    <s v="Forecast"/>
  </r>
  <r>
    <d v="2023-07-19T00:00:00"/>
    <x v="4"/>
    <n v="4"/>
    <n v="7"/>
    <x v="28"/>
    <x v="3"/>
    <m/>
    <n v="293.10832670963009"/>
    <n v="263.79749403866708"/>
    <n v="234.48666136770407"/>
    <n v="234.48666136770407"/>
    <n v="22"/>
    <n v="0.95650000000000002"/>
    <n v="1"/>
    <d v="1899-12-30T00:00:10"/>
    <d v="1899-12-30T00:03:02"/>
    <d v="1899-12-30T00:01:02"/>
    <n v="0.82609999999999995"/>
    <n v="1.112222222222222"/>
    <n v="66.73333333333332"/>
    <m/>
    <m/>
    <m/>
    <m/>
    <n v="1"/>
    <m/>
    <n v="11.854603435811704"/>
    <n v="853.53144737844275"/>
    <n v="2.2227381442146945"/>
    <n v="3"/>
    <n v="177.79524517414961"/>
    <n v="393.91187536070282"/>
    <s v="Forecast"/>
  </r>
  <r>
    <d v="2023-07-20T00:00:00"/>
    <x v="5"/>
    <n v="5"/>
    <n v="7"/>
    <x v="28"/>
    <x v="3"/>
    <m/>
    <n v="287.51557244716821"/>
    <n v="258.76401520245139"/>
    <n v="230.01245795773457"/>
    <n v="230.01245795773457"/>
    <n v="210"/>
    <n v="0.93330000000000002"/>
    <n v="15"/>
    <d v="1899-12-30T00:00:10"/>
    <d v="1899-12-30T00:02:37"/>
    <d v="1899-12-30T00:03:37"/>
    <n v="0.85909999999999997"/>
    <n v="9.1583333333333332"/>
    <n v="549.5"/>
    <m/>
    <m/>
    <m/>
    <m/>
    <n v="2"/>
    <m/>
    <n v="10.031098860934536"/>
    <n v="722.23911798728648"/>
    <n v="1.8808310364252252"/>
    <n v="2"/>
    <n v="177.62157463915679"/>
    <n v="400.18859674742117"/>
    <s v="Forecast"/>
  </r>
  <r>
    <d v="2023-07-21T00:00:00"/>
    <x v="6"/>
    <n v="6"/>
    <n v="7"/>
    <x v="28"/>
    <x v="3"/>
    <m/>
    <n v="277.75316453472249"/>
    <n v="249.97784808125024"/>
    <n v="222.202531627778"/>
    <n v="222.202531627778"/>
    <n v="195"/>
    <n v="0.96530000000000005"/>
    <n v="7"/>
    <d v="1899-12-30T00:00:11"/>
    <d v="1899-12-30T00:02:47"/>
    <d v="1899-12-30T00:01:52"/>
    <n v="0.86799999999999999"/>
    <n v="9.0458333333333325"/>
    <n v="542.75"/>
    <m/>
    <m/>
    <m/>
    <m/>
    <n v="2"/>
    <m/>
    <n v="10.307728550510813"/>
    <n v="742.15645563677856"/>
    <n v="1.9326991032207774"/>
    <n v="2"/>
    <n v="164.1294488353598"/>
    <n v="383.64871750910811"/>
    <s v="Forecast"/>
  </r>
  <r>
    <d v="2023-07-22T00:00:00"/>
    <x v="0"/>
    <n v="7"/>
    <n v="7"/>
    <x v="28"/>
    <x v="3"/>
    <m/>
    <n v="283.92679750208498"/>
    <n v="255.53411775187649"/>
    <n v="227.14143800166801"/>
    <n v="227.14143800166801"/>
    <n v="184"/>
    <n v="0.96340000000000003"/>
    <n v="7"/>
    <d v="1899-12-30T00:00:07"/>
    <d v="1899-12-30T00:02:50"/>
    <d v="1899-12-30T00:01:56"/>
    <n v="0.92549999999999999"/>
    <n v="8.6888888888888882"/>
    <n v="521.33333333333326"/>
    <m/>
    <m/>
    <m/>
    <m/>
    <n v="2"/>
    <m/>
    <n v="10.726123461189877"/>
    <n v="772.28088920567109"/>
    <n v="2.0111481489731018"/>
    <n v="3"/>
    <n v="167.47923452173691"/>
    <n v="391.24423509170498"/>
    <s v="Forecast"/>
  </r>
  <r>
    <d v="2023-07-23T00:00:00"/>
    <x v="1"/>
    <n v="1"/>
    <n v="7"/>
    <x v="29"/>
    <x v="3"/>
    <m/>
    <n v="194.18552736823449"/>
    <n v="174.76697463141105"/>
    <n v="155.3484218945876"/>
    <n v="155.3484218945876"/>
    <n v="209"/>
    <n v="0.98580000000000001"/>
    <n v="3"/>
    <d v="1899-12-30T00:00:10"/>
    <d v="1899-12-30T00:02:51"/>
    <d v="1899-12-30T00:01:45"/>
    <n v="0.89100000000000001"/>
    <n v="9.927500000000002"/>
    <n v="595.65000000000009"/>
    <m/>
    <m/>
    <m/>
    <m/>
    <n v="2"/>
    <m/>
    <n v="7.3790500399929115"/>
    <n v="531.29160287948969"/>
    <n v="1.3835718824986711"/>
    <n v="2"/>
    <n v="82.613728838886914"/>
    <n v="302.2267860877331"/>
    <s v="Forecast"/>
  </r>
  <r>
    <d v="2023-07-24T00:00:00"/>
    <x v="2"/>
    <n v="2"/>
    <n v="7"/>
    <x v="29"/>
    <x v="3"/>
    <m/>
    <n v="292.8809637322899"/>
    <n v="263.5928673590609"/>
    <n v="234.30477098583194"/>
    <n v="234.30477098583194"/>
    <n v="203"/>
    <n v="0.9667"/>
    <n v="7"/>
    <d v="1899-12-30T00:00:12"/>
    <d v="1899-12-30T00:03:22"/>
    <d v="1899-12-30T00:03:52"/>
    <n v="0.85240000000000005"/>
    <n v="11.390555555555556"/>
    <n v="683.43333333333339"/>
    <m/>
    <m/>
    <m/>
    <m/>
    <n v="2"/>
    <m/>
    <n v="13.147101038649462"/>
    <n v="946.59127478276127"/>
    <n v="2.4650814447467742"/>
    <n v="3"/>
    <n v="183.78421702481731"/>
    <n v="416.15789717244081"/>
    <s v="Forecast"/>
  </r>
  <r>
    <d v="2023-07-25T00:00:00"/>
    <x v="3"/>
    <n v="3"/>
    <n v="7"/>
    <x v="29"/>
    <x v="3"/>
    <m/>
    <n v="275.57282904839502"/>
    <n v="248.01554614355553"/>
    <n v="220.45826323871603"/>
    <n v="220.45826323871603"/>
    <n v="159"/>
    <n v="0.95209999999999995"/>
    <n v="8"/>
    <d v="1899-12-30T00:00:16"/>
    <d v="1899-12-30T00:03:16"/>
    <d v="1899-12-30T00:02:42"/>
    <n v="0.83030000000000004"/>
    <n v="8.6566666666666681"/>
    <n v="519.40000000000009"/>
    <m/>
    <m/>
    <m/>
    <m/>
    <n v="2"/>
    <m/>
    <n v="12.002727665218984"/>
    <n v="864.19639189576685"/>
    <n v="2.2505114372285595"/>
    <n v="3"/>
    <n v="161.5342340694946"/>
    <n v="388.43875261860791"/>
    <s v="Forecast"/>
  </r>
  <r>
    <d v="2023-07-26T00:00:00"/>
    <x v="4"/>
    <n v="4"/>
    <n v="7"/>
    <x v="29"/>
    <x v="3"/>
    <m/>
    <n v="286.46887987469648"/>
    <n v="257.82199188722683"/>
    <n v="229.1751038997572"/>
    <n v="229.1751038997572"/>
    <n v="11"/>
    <n v="0.91669999999999996"/>
    <n v="1"/>
    <d v="1899-12-30T00:00:03"/>
    <d v="1899-12-30T00:02:12"/>
    <d v="1899-12-30T00:00:58"/>
    <n v="0.91669999999999996"/>
    <n v="0.40333333333333332"/>
    <n v="24.2"/>
    <m/>
    <m/>
    <m/>
    <m/>
    <n v="1"/>
    <m/>
    <n v="8.4030871429910992"/>
    <n v="605.02227429535913"/>
    <n v="1.575578839310831"/>
    <n v="2"/>
    <n v="183.93924372800129"/>
    <n v="397.96937198706428"/>
    <s v="Forecast"/>
  </r>
  <r>
    <d v="2023-07-27T00:00:00"/>
    <x v="7"/>
    <n v="5"/>
    <n v="7"/>
    <x v="29"/>
    <x v="3"/>
    <m/>
    <n v="280.29329128838378"/>
    <n v="252.2639621595454"/>
    <n v="224.23463303070704"/>
    <n v="224.23463303070704"/>
    <m/>
    <m/>
    <m/>
    <m/>
    <d v="1899-12-30T00:02:46"/>
    <m/>
    <m/>
    <m/>
    <m/>
    <m/>
    <m/>
    <m/>
    <m/>
    <m/>
    <m/>
    <n v="10.329229824758219"/>
    <n v="743.70454738259173"/>
    <n v="1.936730592142166"/>
    <n v="2"/>
    <n v="169.15443961185099"/>
    <n v="391.21107136745451"/>
    <s v="Forecast"/>
  </r>
  <r>
    <d v="2023-07-28T00:00:00"/>
    <x v="7"/>
    <n v="6"/>
    <n v="7"/>
    <x v="29"/>
    <x v="3"/>
    <m/>
    <n v="269.93704435825492"/>
    <n v="242.94333992242943"/>
    <n v="215.94963548660394"/>
    <n v="215.94963548660394"/>
    <m/>
    <m/>
    <m/>
    <m/>
    <d v="1899-12-30T00:02:46"/>
    <m/>
    <m/>
    <m/>
    <m/>
    <m/>
    <m/>
    <m/>
    <m/>
    <m/>
    <m/>
    <n v="9.9491740732209148"/>
    <n v="716.34053327190588"/>
    <n v="1.8654701387289216"/>
    <n v="2"/>
    <n v="161.8534228662202"/>
    <n v="390.4023424913396"/>
    <s v="Forecast"/>
  </r>
  <r>
    <d v="2023-07-29T00:00:00"/>
    <x v="7"/>
    <n v="7"/>
    <n v="7"/>
    <x v="29"/>
    <x v="3"/>
    <m/>
    <n v="275.51758316145742"/>
    <n v="247.96582484531169"/>
    <n v="220.41406652916595"/>
    <n v="220.41406652916595"/>
    <m/>
    <m/>
    <m/>
    <m/>
    <d v="1899-12-30T00:02:46"/>
    <m/>
    <m/>
    <m/>
    <m/>
    <m/>
    <m/>
    <m/>
    <m/>
    <m/>
    <m/>
    <n v="10.15477703528123"/>
    <n v="731.14394654024852"/>
    <n v="1.9040206941152304"/>
    <n v="2"/>
    <n v="160.80400399932751"/>
    <n v="386.62990140370363"/>
    <s v="Forecast"/>
  </r>
  <r>
    <d v="2023-07-30T00:00:00"/>
    <x v="7"/>
    <n v="1"/>
    <n v="7"/>
    <x v="30"/>
    <x v="3"/>
    <m/>
    <n v="185.1969128118094"/>
    <n v="166.67722153062846"/>
    <n v="148.15753024944752"/>
    <n v="148.15753024944752"/>
    <m/>
    <m/>
    <m/>
    <m/>
    <d v="1899-12-30T00:02:46"/>
    <m/>
    <m/>
    <m/>
    <m/>
    <m/>
    <m/>
    <m/>
    <m/>
    <m/>
    <m/>
    <n v="6.8234569543460522"/>
    <n v="491.28890071291573"/>
    <n v="1.2793981789398847"/>
    <n v="2"/>
    <n v="73.037064698386018"/>
    <n v="291.8949095839161"/>
    <s v="Forecast"/>
  </r>
  <r>
    <d v="2023-07-31T00:00:00"/>
    <x v="7"/>
    <n v="2"/>
    <n v="7"/>
    <x v="30"/>
    <x v="3"/>
    <m/>
    <n v="283.34043293627337"/>
    <n v="255.00638964264604"/>
    <n v="226.67234634901871"/>
    <n v="226.67234634901871"/>
    <m/>
    <m/>
    <m/>
    <m/>
    <d v="1899-12-30T00:02:46"/>
    <m/>
    <m/>
    <m/>
    <m/>
    <m/>
    <m/>
    <m/>
    <m/>
    <m/>
    <m/>
    <n v="10.434664000717254"/>
    <n v="751.29580805164221"/>
    <n v="1.9564995001344849"/>
    <n v="2"/>
    <n v="175.44669015487469"/>
    <n v="392.29879330600522"/>
    <s v="Forecast"/>
  </r>
  <r>
    <d v="2023-08-01T00:00:00"/>
    <x v="7"/>
    <n v="3"/>
    <n v="8"/>
    <x v="30"/>
    <x v="3"/>
    <m/>
    <n v="265.52210597369458"/>
    <n v="238.96989537632513"/>
    <n v="212.41768477895567"/>
    <n v="212.41768477895567"/>
    <m/>
    <m/>
    <m/>
    <m/>
    <d v="1899-12-30T00:02:46"/>
    <m/>
    <m/>
    <m/>
    <m/>
    <m/>
    <m/>
    <m/>
    <m/>
    <m/>
    <m/>
    <n v="9.7772073515024953"/>
    <n v="703.95892930817968"/>
    <n v="1.833226378406718"/>
    <n v="2"/>
    <n v="158.4385390082212"/>
    <n v="378.36916307775903"/>
    <s v="Forecast"/>
  </r>
  <r>
    <d v="2023-08-02T00:00:00"/>
    <x v="7"/>
    <n v="4"/>
    <n v="8"/>
    <x v="30"/>
    <x v="3"/>
    <m/>
    <n v="275.9639663408754"/>
    <n v="248.36756970678786"/>
    <n v="220.77117307270032"/>
    <n v="220.77117307270032"/>
    <m/>
    <m/>
    <m/>
    <m/>
    <d v="1899-12-30T00:02:46"/>
    <m/>
    <m/>
    <m/>
    <m/>
    <m/>
    <m/>
    <m/>
    <m/>
    <m/>
    <m/>
    <n v="10.168983233025065"/>
    <n v="732.16679277780463"/>
    <n v="1.9066843561921996"/>
    <n v="2"/>
    <n v="165.31333847808509"/>
    <n v="384.19895589639123"/>
    <s v="Forecast"/>
  </r>
  <r>
    <d v="2023-08-03T00:00:00"/>
    <x v="7"/>
    <n v="5"/>
    <n v="8"/>
    <x v="30"/>
    <x v="3"/>
    <m/>
    <n v="269.40408353656238"/>
    <n v="242.46367518290614"/>
    <n v="215.52326682924991"/>
    <n v="215.52326682924991"/>
    <m/>
    <m/>
    <m/>
    <m/>
    <d v="1899-12-30T00:02:46"/>
    <m/>
    <m/>
    <m/>
    <m/>
    <m/>
    <m/>
    <m/>
    <m/>
    <m/>
    <m/>
    <n v="9.9249198292292977"/>
    <n v="714.59422770450931"/>
    <n v="1.860922467980493"/>
    <n v="2"/>
    <n v="157.43276107919991"/>
    <n v="379.06074660682663"/>
    <s v="Forecast"/>
  </r>
  <r>
    <d v="2023-08-04T00:00:00"/>
    <x v="7"/>
    <n v="6"/>
    <n v="8"/>
    <x v="30"/>
    <x v="3"/>
    <m/>
    <n v="258.74653122316857"/>
    <n v="232.87187810085172"/>
    <n v="206.99722497853486"/>
    <n v="206.99722497853486"/>
    <m/>
    <m/>
    <m/>
    <m/>
    <d v="1899-12-30T00:02:46"/>
    <m/>
    <m/>
    <m/>
    <m/>
    <m/>
    <m/>
    <m/>
    <m/>
    <m/>
    <m/>
    <n v="9.5316377587288201"/>
    <n v="686.27791862847494"/>
    <n v="1.7871820797616536"/>
    <n v="2"/>
    <n v="139.18605882854209"/>
    <n v="366.95976561443752"/>
    <s v="Forecast"/>
  </r>
  <r>
    <d v="2023-08-05T00:00:00"/>
    <x v="7"/>
    <n v="7"/>
    <n v="8"/>
    <x v="30"/>
    <x v="3"/>
    <m/>
    <n v="264.1206408653203"/>
    <n v="237.70857677878828"/>
    <n v="211.29651269225624"/>
    <n v="211.29651269225624"/>
    <m/>
    <m/>
    <m/>
    <m/>
    <d v="1899-12-30T00:02:46"/>
    <m/>
    <m/>
    <m/>
    <m/>
    <m/>
    <m/>
    <m/>
    <m/>
    <m/>
    <m/>
    <n v="9.7366125482619506"/>
    <n v="701.0361034748604"/>
    <n v="1.8256148527991156"/>
    <n v="2"/>
    <n v="154.00902318982031"/>
    <n v="369.58863506305988"/>
    <s v="Forecast"/>
  </r>
  <r>
    <d v="2023-08-06T00:00:00"/>
    <x v="7"/>
    <n v="1"/>
    <n v="8"/>
    <x v="31"/>
    <x v="3"/>
    <m/>
    <n v="173.69872304220021"/>
    <n v="156.32885073798019"/>
    <n v="138.95897843376017"/>
    <n v="138.95897843376017"/>
    <m/>
    <m/>
    <m/>
    <m/>
    <d v="1899-12-30T00:02:46"/>
    <m/>
    <m/>
    <m/>
    <m/>
    <m/>
    <m/>
    <m/>
    <m/>
    <m/>
    <m/>
    <n v="6.3960203860108171"/>
    <n v="460.51346779277878"/>
    <n v="1.1992538223770282"/>
    <n v="2"/>
    <n v="62.797189882855903"/>
    <n v="276.61755214763821"/>
    <s v="Forecast"/>
  </r>
  <r>
    <d v="2023-08-07T00:00:00"/>
    <x v="7"/>
    <n v="2"/>
    <n v="8"/>
    <x v="31"/>
    <x v="3"/>
    <m/>
    <n v="271.8545618090368"/>
    <n v="244.66910562813311"/>
    <n v="217.48364944722945"/>
    <n v="217.48364944722945"/>
    <m/>
    <m/>
    <m/>
    <m/>
    <d v="1899-12-30T00:02:46"/>
    <m/>
    <m/>
    <m/>
    <m/>
    <m/>
    <m/>
    <m/>
    <m/>
    <m/>
    <m/>
    <n v="9.9994672094818924"/>
    <n v="719.96163908269614"/>
    <n v="1.8749001017778546"/>
    <n v="2"/>
    <n v="164.4222409461361"/>
    <n v="378.41647564948681"/>
    <s v="Forecast"/>
  </r>
  <r>
    <d v="2023-08-08T00:00:00"/>
    <x v="7"/>
    <n v="3"/>
    <n v="8"/>
    <x v="31"/>
    <x v="3"/>
    <m/>
    <n v="254.1682913483277"/>
    <n v="228.75146221349493"/>
    <n v="203.33463307866216"/>
    <n v="203.33463307866216"/>
    <m/>
    <m/>
    <m/>
    <m/>
    <d v="1899-12-30T00:02:45"/>
    <m/>
    <m/>
    <m/>
    <m/>
    <m/>
    <m/>
    <m/>
    <m/>
    <m/>
    <m/>
    <n v="9.3439197476248026"/>
    <n v="672.76222182898584"/>
    <n v="1.7519849526796507"/>
    <n v="2"/>
    <n v="138.91044633725971"/>
    <n v="359.52349266641789"/>
    <s v="Forecast"/>
  </r>
  <r>
    <d v="2023-08-09T00:00:00"/>
    <x v="7"/>
    <n v="4"/>
    <n v="8"/>
    <x v="31"/>
    <x v="3"/>
    <m/>
    <n v="264.8656695106115"/>
    <n v="238.37910255955035"/>
    <n v="211.8925356084892"/>
    <n v="211.8925356084892"/>
    <m/>
    <m/>
    <m/>
    <m/>
    <d v="1899-12-30T00:02:45"/>
    <m/>
    <m/>
    <m/>
    <m/>
    <m/>
    <m/>
    <m/>
    <m/>
    <m/>
    <m/>
    <n v="9.7368722544691533"/>
    <n v="701.05480232177899"/>
    <n v="1.8256635477129661"/>
    <n v="2"/>
    <n v="159.70026142323391"/>
    <n v="382.20476246256891"/>
    <s v="Forecast"/>
  </r>
  <r>
    <d v="2023-08-10T00:00:00"/>
    <x v="7"/>
    <n v="5"/>
    <n v="8"/>
    <x v="31"/>
    <x v="3"/>
    <m/>
    <n v="258.68586830422782"/>
    <n v="232.81728147380505"/>
    <n v="206.94869464338228"/>
    <n v="206.94869464338228"/>
    <m/>
    <m/>
    <m/>
    <m/>
    <d v="1899-12-30T00:02:45"/>
    <m/>
    <m/>
    <m/>
    <m/>
    <m/>
    <m/>
    <m/>
    <m/>
    <m/>
    <m/>
    <n v="9.493267830414851"/>
    <n v="683.51528378986927"/>
    <n v="1.7799877182027846"/>
    <n v="2"/>
    <n v="147.60529406365319"/>
    <n v="372.44352309526522"/>
    <s v="Forecast"/>
  </r>
  <r>
    <d v="2023-08-11T00:00:00"/>
    <x v="7"/>
    <n v="6"/>
    <n v="8"/>
    <x v="31"/>
    <x v="3"/>
    <m/>
    <n v="248.53133862644961"/>
    <n v="223.67820476380464"/>
    <n v="198.82507090115971"/>
    <n v="198.82507090115971"/>
    <m/>
    <m/>
    <m/>
    <m/>
    <d v="1899-12-30T00:02:45"/>
    <m/>
    <m/>
    <m/>
    <m/>
    <m/>
    <m/>
    <m/>
    <m/>
    <m/>
    <m/>
    <n v="9.1108822082921339"/>
    <n v="655.98351899703357"/>
    <n v="1.708290414054775"/>
    <n v="2"/>
    <n v="141.92031394534149"/>
    <n v="356.5446393329413"/>
    <s v="Forecast"/>
  </r>
  <r>
    <d v="2023-08-12T00:00:00"/>
    <x v="7"/>
    <n v="7"/>
    <n v="8"/>
    <x v="31"/>
    <x v="3"/>
    <m/>
    <n v="254.52703116005549"/>
    <n v="229.07432804404993"/>
    <n v="203.62162492804441"/>
    <n v="203.62162492804441"/>
    <m/>
    <m/>
    <m/>
    <m/>
    <d v="1899-12-30T00:02:45"/>
    <m/>
    <m/>
    <m/>
    <m/>
    <m/>
    <m/>
    <m/>
    <m/>
    <m/>
    <m/>
    <n v="9.3317163411989981"/>
    <n v="671.88357656632775"/>
    <n v="1.7496968139748119"/>
    <n v="2"/>
    <n v="144.61029979376681"/>
    <n v="360.80787750088501"/>
    <s v="Forecast"/>
  </r>
  <r>
    <d v="2023-08-13T00:00:00"/>
    <x v="7"/>
    <n v="1"/>
    <n v="8"/>
    <x v="32"/>
    <x v="3"/>
    <m/>
    <n v="164.83815795002559"/>
    <n v="148.35434215502303"/>
    <n v="131.87052636002048"/>
    <n v="131.87052636002048"/>
    <m/>
    <m/>
    <m/>
    <m/>
    <d v="1899-12-30T00:02:45"/>
    <m/>
    <m/>
    <m/>
    <m/>
    <m/>
    <m/>
    <m/>
    <m/>
    <m/>
    <m/>
    <n v="6.0410539736004827"/>
    <n v="434.95588609923476"/>
    <n v="1.1326976200500904"/>
    <n v="2"/>
    <n v="54.555421759932443"/>
    <n v="275.98810757469391"/>
    <s v="Forecast"/>
  </r>
  <r>
    <d v="2023-08-14T00:00:00"/>
    <x v="7"/>
    <n v="2"/>
    <n v="8"/>
    <x v="32"/>
    <x v="3"/>
    <m/>
    <n v="263.82879940535031"/>
    <n v="237.44591946481529"/>
    <n v="211.06303952428027"/>
    <n v="211.06303952428027"/>
    <m/>
    <m/>
    <m/>
    <m/>
    <d v="1899-12-30T00:02:45"/>
    <m/>
    <m/>
    <m/>
    <m/>
    <m/>
    <m/>
    <m/>
    <m/>
    <m/>
    <m/>
    <n v="9.6699529435526621"/>
    <n v="696.23661193579164"/>
    <n v="1.8131161769161241"/>
    <n v="2"/>
    <n v="154.19804653889909"/>
    <n v="378.0894948522045"/>
    <s v="Forecast"/>
  </r>
  <r>
    <d v="2023-08-15T00:00:00"/>
    <x v="7"/>
    <n v="3"/>
    <n v="8"/>
    <x v="32"/>
    <x v="3"/>
    <m/>
    <n v="247.0669633783676"/>
    <n v="222.36026704053086"/>
    <n v="197.65357070269408"/>
    <n v="197.65357070269408"/>
    <m/>
    <m/>
    <m/>
    <m/>
    <d v="1899-12-30T00:02:45"/>
    <m/>
    <m/>
    <m/>
    <m/>
    <m/>
    <m/>
    <m/>
    <m/>
    <m/>
    <m/>
    <n v="9.05145384240552"/>
    <n v="651.70467665319745"/>
    <n v="1.6971475954510351"/>
    <n v="2"/>
    <n v="136.7013960442163"/>
    <n v="362.4842632504654"/>
    <s v="Forecast"/>
  </r>
  <r>
    <d v="2023-08-16T00:00:00"/>
    <x v="7"/>
    <n v="4"/>
    <n v="8"/>
    <x v="32"/>
    <x v="3"/>
    <m/>
    <n v="258.7641064227538"/>
    <n v="232.88769578047842"/>
    <n v="207.01128513820305"/>
    <n v="207.01128513820305"/>
    <m/>
    <m/>
    <m/>
    <m/>
    <d v="1899-12-30T00:02:45"/>
    <m/>
    <m/>
    <m/>
    <m/>
    <m/>
    <m/>
    <m/>
    <m/>
    <m/>
    <m/>
    <n v="9.480985813521114"/>
    <n v="682.63097857352022"/>
    <n v="1.777684840035209"/>
    <n v="2"/>
    <n v="146.23418837037551"/>
    <n v="362.95539109898181"/>
    <s v="Forecast"/>
  </r>
  <r>
    <d v="2023-08-17T00:00:00"/>
    <x v="7"/>
    <n v="5"/>
    <n v="8"/>
    <x v="32"/>
    <x v="3"/>
    <m/>
    <n v="253.64323104034969"/>
    <n v="228.27890793631474"/>
    <n v="202.91458483227976"/>
    <n v="202.91458483227976"/>
    <m/>
    <m/>
    <m/>
    <m/>
    <d v="1899-12-30T00:02:45"/>
    <m/>
    <m/>
    <m/>
    <m/>
    <m/>
    <m/>
    <m/>
    <m/>
    <m/>
    <m/>
    <n v="9.2938218963355563"/>
    <n v="669.15517653616007"/>
    <n v="1.7425916055629169"/>
    <n v="2"/>
    <n v="133.3724371224416"/>
    <n v="362.9919827651039"/>
    <s v="Forecast"/>
  </r>
  <r>
    <d v="2023-08-18T00:00:00"/>
    <x v="7"/>
    <n v="6"/>
    <n v="8"/>
    <x v="32"/>
    <x v="3"/>
    <m/>
    <n v="244.58910836102839"/>
    <n v="220.13019752492556"/>
    <n v="195.67128668882273"/>
    <n v="195.67128668882273"/>
    <m/>
    <m/>
    <m/>
    <m/>
    <d v="1899-12-30T00:02:45"/>
    <m/>
    <m/>
    <m/>
    <m/>
    <m/>
    <m/>
    <m/>
    <m/>
    <m/>
    <m/>
    <n v="8.9665807334955101"/>
    <n v="645.59381281167668"/>
    <n v="1.681233887530408"/>
    <n v="2"/>
    <n v="137.78591135129261"/>
    <n v="360.36259640145158"/>
    <s v="Forecast"/>
  </r>
  <r>
    <d v="2023-08-19T00:00:00"/>
    <x v="7"/>
    <n v="7"/>
    <n v="8"/>
    <x v="32"/>
    <x v="3"/>
    <m/>
    <n v="251.70789898687909"/>
    <n v="226.53710908819119"/>
    <n v="201.36631918950329"/>
    <n v="201.36631918950329"/>
    <m/>
    <m/>
    <m/>
    <m/>
    <d v="1899-12-30T00:02:45"/>
    <m/>
    <m/>
    <m/>
    <m/>
    <m/>
    <m/>
    <m/>
    <m/>
    <m/>
    <m/>
    <n v="9.2369473885173932"/>
    <n v="665.06021197325231"/>
    <n v="1.7319276353470112"/>
    <n v="2"/>
    <n v="135.50841565150219"/>
    <n v="354.09599152996827"/>
    <s v="Forecast"/>
  </r>
  <r>
    <d v="2023-08-20T00:00:00"/>
    <x v="7"/>
    <n v="1"/>
    <n v="8"/>
    <x v="33"/>
    <x v="3"/>
    <m/>
    <n v="163.14534620848059"/>
    <n v="146.83081158763252"/>
    <n v="130.51627696678449"/>
    <n v="130.51627696678449"/>
    <m/>
    <m/>
    <m/>
    <m/>
    <d v="1899-12-30T00:02:45"/>
    <m/>
    <m/>
    <m/>
    <m/>
    <m/>
    <m/>
    <m/>
    <m/>
    <m/>
    <m/>
    <n v="5.9893776087146708"/>
    <n v="431.23518782745629"/>
    <n v="1.1230083016340007"/>
    <n v="2"/>
    <n v="50.672595045511542"/>
    <n v="275.53978282505108"/>
    <s v="Forecast"/>
  </r>
  <r>
    <d v="2023-08-21T00:00:00"/>
    <x v="7"/>
    <n v="2"/>
    <n v="8"/>
    <x v="33"/>
    <x v="3"/>
    <m/>
    <n v="263.24583521161151"/>
    <n v="236.92125169045036"/>
    <n v="210.59666816928922"/>
    <n v="210.59666816928922"/>
    <m/>
    <m/>
    <m/>
    <m/>
    <d v="1899-12-30T00:02:45"/>
    <m/>
    <m/>
    <m/>
    <m/>
    <m/>
    <m/>
    <m/>
    <m/>
    <m/>
    <m/>
    <n v="9.6681963185991826"/>
    <n v="696.11013493914118"/>
    <n v="1.8127868097373467"/>
    <n v="2"/>
    <n v="149.37023103700491"/>
    <n v="375.98173566864392"/>
    <s v="Forecast"/>
  </r>
  <r>
    <d v="2023-08-22T00:00:00"/>
    <x v="7"/>
    <n v="3"/>
    <n v="8"/>
    <x v="33"/>
    <x v="3"/>
    <m/>
    <n v="247.55791329710931"/>
    <n v="222.80212196739839"/>
    <n v="198.04633063768745"/>
    <n v="198.04633063768745"/>
    <m/>
    <m/>
    <m/>
    <m/>
    <d v="1899-12-30T00:02:45"/>
    <m/>
    <m/>
    <m/>
    <m/>
    <m/>
    <m/>
    <m/>
    <m/>
    <m/>
    <m/>
    <n v="9.0967945504079193"/>
    <n v="654.9692076293702"/>
    <n v="1.705648978201485"/>
    <n v="2"/>
    <n v="142.4579879371604"/>
    <n v="355.18105653259789"/>
    <s v="Forecast"/>
  </r>
  <r>
    <d v="2023-08-23T00:00:00"/>
    <x v="7"/>
    <n v="4"/>
    <n v="8"/>
    <x v="33"/>
    <x v="3"/>
    <m/>
    <n v="260.27426938069902"/>
    <n v="234.24684244262912"/>
    <n v="208.21941550455924"/>
    <n v="208.21941550455924"/>
    <m/>
    <m/>
    <m/>
    <m/>
    <d v="1899-12-30T00:02:45"/>
    <m/>
    <m/>
    <m/>
    <m/>
    <m/>
    <m/>
    <m/>
    <m/>
    <m/>
    <m/>
    <n v="9.566426868024994"/>
    <n v="688.78273449779954"/>
    <n v="1.7937050377546864"/>
    <n v="2"/>
    <n v="150.8560501637844"/>
    <n v="375.46819812386099"/>
    <s v="Forecast"/>
  </r>
  <r>
    <d v="2023-08-24T00:00:00"/>
    <x v="7"/>
    <n v="5"/>
    <n v="8"/>
    <x v="33"/>
    <x v="3"/>
    <m/>
    <n v="256.10027486867398"/>
    <n v="230.4902473818066"/>
    <n v="204.88021989493919"/>
    <n v="204.88021989493919"/>
    <m/>
    <m/>
    <m/>
    <m/>
    <d v="1899-12-30T00:02:45"/>
    <m/>
    <m/>
    <m/>
    <m/>
    <m/>
    <m/>
    <m/>
    <m/>
    <m/>
    <m/>
    <n v="9.4094996459343889"/>
    <n v="677.483974507276"/>
    <n v="1.7642811836126979"/>
    <n v="2"/>
    <n v="144.86294394155519"/>
    <n v="366.76302682318311"/>
    <s v="Forecast"/>
  </r>
  <r>
    <d v="2023-08-25T00:00:00"/>
    <x v="7"/>
    <n v="6"/>
    <n v="8"/>
    <x v="33"/>
    <x v="3"/>
    <m/>
    <n v="247.90462407867619"/>
    <n v="223.11416167080858"/>
    <n v="198.32369926294098"/>
    <n v="198.32369926294098"/>
    <m/>
    <m/>
    <m/>
    <m/>
    <d v="1899-12-30T00:02:45"/>
    <m/>
    <m/>
    <m/>
    <m/>
    <m/>
    <m/>
    <m/>
    <m/>
    <m/>
    <m/>
    <n v="9.11679046321599"/>
    <n v="656.40891335155129"/>
    <n v="1.7093982118529982"/>
    <n v="2"/>
    <n v="140.08424121197959"/>
    <n v="354.47508101868408"/>
    <s v="Forecast"/>
  </r>
  <r>
    <d v="2023-08-26T00:00:00"/>
    <x v="7"/>
    <n v="7"/>
    <n v="8"/>
    <x v="33"/>
    <x v="3"/>
    <m/>
    <n v="255.77933638218639"/>
    <n v="230.20140274396775"/>
    <n v="204.62346910574911"/>
    <n v="204.62346910574911"/>
    <m/>
    <m/>
    <m/>
    <m/>
    <d v="1899-12-30T00:02:46"/>
    <m/>
    <m/>
    <m/>
    <m/>
    <m/>
    <m/>
    <m/>
    <m/>
    <m/>
    <m/>
    <n v="9.4082396698663491"/>
    <n v="677.39325623037701"/>
    <n v="1.7640449380999401"/>
    <n v="2"/>
    <n v="143.8713518702148"/>
    <n v="366.99909097503007"/>
    <s v="Forecast"/>
  </r>
  <r>
    <d v="2023-08-27T00:00:00"/>
    <x v="7"/>
    <n v="1"/>
    <n v="8"/>
    <x v="34"/>
    <x v="3"/>
    <m/>
    <n v="167.85828472062201"/>
    <n v="151.0724562485598"/>
    <n v="134.28662777649762"/>
    <n v="134.28662777649762"/>
    <m/>
    <m/>
    <m/>
    <m/>
    <d v="1899-12-30T00:02:46"/>
    <m/>
    <m/>
    <m/>
    <m/>
    <m/>
    <m/>
    <m/>
    <m/>
    <m/>
    <m/>
    <n v="6.1741044563237768"/>
    <n v="444.53552085531192"/>
    <n v="1.157644585560708"/>
    <n v="2"/>
    <n v="53.648337328732971"/>
    <n v="278.21793681154548"/>
    <s v="Forecast"/>
  </r>
  <r>
    <d v="2023-08-28T00:00:00"/>
    <x v="7"/>
    <n v="2"/>
    <n v="8"/>
    <x v="34"/>
    <x v="3"/>
    <m/>
    <n v="268.47653581848959"/>
    <n v="241.62888223664064"/>
    <n v="214.78122865479168"/>
    <n v="214.78122865479168"/>
    <m/>
    <m/>
    <m/>
    <m/>
    <d v="1899-12-30T00:02:45"/>
    <m/>
    <m/>
    <m/>
    <m/>
    <m/>
    <m/>
    <m/>
    <m/>
    <m/>
    <m/>
    <n v="9.871395037564481"/>
    <n v="710.74044270464265"/>
    <n v="1.8508865695433403"/>
    <n v="2"/>
    <n v="152.09769697886429"/>
    <n v="370.16070607304891"/>
    <s v="Forecast"/>
  </r>
  <r>
    <d v="2023-08-29T00:00:00"/>
    <x v="7"/>
    <n v="3"/>
    <n v="8"/>
    <x v="34"/>
    <x v="3"/>
    <m/>
    <n v="253.17609023400689"/>
    <n v="227.85848121060621"/>
    <n v="202.54087218720554"/>
    <n v="202.54087218720554"/>
    <m/>
    <m/>
    <m/>
    <m/>
    <d v="1899-12-30T00:02:45"/>
    <m/>
    <m/>
    <m/>
    <m/>
    <m/>
    <m/>
    <m/>
    <m/>
    <m/>
    <m/>
    <n v="9.3111688528023357"/>
    <n v="670.4041574017682"/>
    <n v="1.745844159900438"/>
    <n v="2"/>
    <n v="150.748630616425"/>
    <n v="365.29755516358341"/>
    <s v="Forecast"/>
  </r>
  <r>
    <d v="2023-08-30T00:00:00"/>
    <x v="7"/>
    <n v="4"/>
    <n v="8"/>
    <x v="34"/>
    <x v="3"/>
    <m/>
    <n v="266.14601528409378"/>
    <n v="239.53141375568441"/>
    <n v="212.91681222727505"/>
    <n v="212.91681222727505"/>
    <m/>
    <m/>
    <m/>
    <m/>
    <d v="1899-12-30T00:02:46"/>
    <m/>
    <m/>
    <m/>
    <m/>
    <m/>
    <m/>
    <m/>
    <m/>
    <m/>
    <m/>
    <n v="9.800052662603326"/>
    <n v="705.60379170743943"/>
    <n v="1.8375098742381235"/>
    <n v="2"/>
    <n v="160.77582852070199"/>
    <n v="382.05457231815342"/>
    <s v="Forecast"/>
  </r>
  <r>
    <d v="2023-08-31T00:00:00"/>
    <x v="7"/>
    <n v="5"/>
    <n v="8"/>
    <x v="34"/>
    <x v="3"/>
    <m/>
    <n v="262.09106940468149"/>
    <n v="235.88196246421336"/>
    <n v="209.6728555237452"/>
    <n v="209.6728555237452"/>
    <m/>
    <m/>
    <m/>
    <m/>
    <d v="1899-12-30T00:02:46"/>
    <m/>
    <m/>
    <m/>
    <m/>
    <m/>
    <m/>
    <m/>
    <m/>
    <m/>
    <m/>
    <n v="9.6391466960344108"/>
    <n v="694.01856211447762"/>
    <n v="1.8073400055064521"/>
    <n v="2"/>
    <n v="155.84291170380021"/>
    <n v="377.65610192643618"/>
    <s v="Forecast"/>
  </r>
  <r>
    <d v="2023-09-01T00:00:00"/>
    <x v="7"/>
    <n v="6"/>
    <n v="9"/>
    <x v="34"/>
    <x v="3"/>
    <m/>
    <n v="253.88235440706549"/>
    <n v="228.49411896635894"/>
    <n v="203.10588352565242"/>
    <n v="203.10588352565242"/>
    <m/>
    <m/>
    <m/>
    <m/>
    <d v="1899-12-30T00:02:46"/>
    <m/>
    <m/>
    <m/>
    <m/>
    <m/>
    <m/>
    <m/>
    <m/>
    <m/>
    <m/>
    <n v="9.3485843514264619"/>
    <n v="673.09807330270519"/>
    <n v="1.7528595658924615"/>
    <n v="2"/>
    <n v="150.67142489181171"/>
    <n v="359.9881427785927"/>
    <s v="Forecast"/>
  </r>
  <r>
    <d v="2023-09-02T00:00:00"/>
    <x v="7"/>
    <n v="7"/>
    <n v="9"/>
    <x v="34"/>
    <x v="3"/>
    <m/>
    <n v="261.61725789777972"/>
    <n v="235.45553210800176"/>
    <n v="209.2938063182238"/>
    <n v="209.2938063182238"/>
    <m/>
    <m/>
    <m/>
    <m/>
    <d v="1899-12-30T00:02:46"/>
    <m/>
    <m/>
    <m/>
    <m/>
    <m/>
    <m/>
    <m/>
    <m/>
    <m/>
    <m/>
    <n v="9.6473673559499531"/>
    <n v="694.61044962839662"/>
    <n v="1.8088813792406162"/>
    <n v="2"/>
    <n v="153.23728578493089"/>
    <n v="377.13522192194642"/>
    <s v="Forecast"/>
  </r>
  <r>
    <d v="2023-09-03T00:00:00"/>
    <x v="7"/>
    <n v="1"/>
    <n v="9"/>
    <x v="35"/>
    <x v="3"/>
    <m/>
    <n v="173.43785242166871"/>
    <n v="156.09406717950185"/>
    <n v="138.75028193733496"/>
    <n v="138.75028193733496"/>
    <m/>
    <m/>
    <m/>
    <m/>
    <d v="1899-12-30T00:02:46"/>
    <m/>
    <m/>
    <m/>
    <m/>
    <m/>
    <m/>
    <m/>
    <m/>
    <m/>
    <m/>
    <n v="6.3967334571064862"/>
    <n v="460.56480891166694"/>
    <n v="1.199387523207466"/>
    <n v="2"/>
    <n v="67.460094835911306"/>
    <n v="288.31017244114662"/>
    <s v="Forecast"/>
  </r>
  <r>
    <d v="2023-09-04T00:00:00"/>
    <x v="7"/>
    <n v="2"/>
    <n v="9"/>
    <x v="35"/>
    <x v="3"/>
    <m/>
    <n v="273.69004025276541"/>
    <n v="246.32103622748889"/>
    <n v="218.95203220221234"/>
    <n v="218.95203220221234"/>
    <m/>
    <m/>
    <m/>
    <m/>
    <d v="1899-12-30T00:02:46"/>
    <m/>
    <m/>
    <m/>
    <m/>
    <m/>
    <m/>
    <m/>
    <m/>
    <m/>
    <m/>
    <n v="10.105016003296081"/>
    <n v="727.56115223731786"/>
    <n v="1.8946905006180152"/>
    <n v="2"/>
    <n v="167.6865974593033"/>
    <n v="388.51286790116768"/>
    <s v="Forecast"/>
  </r>
  <r>
    <d v="2023-09-05T00:00:00"/>
    <x v="7"/>
    <n v="3"/>
    <n v="9"/>
    <x v="35"/>
    <x v="3"/>
    <m/>
    <n v="257.92903719814421"/>
    <n v="232.13613347832981"/>
    <n v="206.34322975851538"/>
    <n v="206.34322975851538"/>
    <m/>
    <m/>
    <m/>
    <m/>
    <d v="1899-12-30T00:02:46"/>
    <m/>
    <m/>
    <m/>
    <m/>
    <m/>
    <m/>
    <m/>
    <m/>
    <m/>
    <m/>
    <n v="9.5194264959001398"/>
    <n v="685.39870770481002"/>
    <n v="1.7848924679812761"/>
    <n v="2"/>
    <n v="149.06571607623249"/>
    <n v="370.73974327947741"/>
    <s v="Forecast"/>
  </r>
  <r>
    <d v="2023-09-06T00:00:00"/>
    <x v="7"/>
    <n v="4"/>
    <n v="9"/>
    <x v="35"/>
    <x v="3"/>
    <m/>
    <n v="270.35919510056777"/>
    <n v="243.323275590511"/>
    <n v="216.28735608045423"/>
    <n v="216.28735608045423"/>
    <m/>
    <m/>
    <m/>
    <m/>
    <d v="1899-12-30T00:02:46"/>
    <m/>
    <m/>
    <m/>
    <m/>
    <m/>
    <m/>
    <m/>
    <m/>
    <m/>
    <m/>
    <n v="9.9905872474590076"/>
    <n v="719.32228181704852"/>
    <n v="1.8732351088985639"/>
    <n v="2"/>
    <n v="162.8765985992915"/>
    <n v="384.11917288949269"/>
    <s v="Forecast"/>
  </r>
  <r>
    <d v="2023-09-07T00:00:00"/>
    <x v="7"/>
    <n v="5"/>
    <n v="9"/>
    <x v="35"/>
    <x v="3"/>
    <m/>
    <n v="265.70226950946238"/>
    <n v="239.13204255851616"/>
    <n v="212.56181560756991"/>
    <n v="212.56181560756991"/>
    <m/>
    <m/>
    <m/>
    <m/>
    <d v="1899-12-30T00:02:46"/>
    <m/>
    <m/>
    <m/>
    <m/>
    <m/>
    <m/>
    <m/>
    <m/>
    <m/>
    <m/>
    <n v="9.8186590452795528"/>
    <n v="706.94345126012774"/>
    <n v="1.8409985709899159"/>
    <n v="2"/>
    <n v="153.682484327758"/>
    <n v="380.76195743128892"/>
    <s v="Forecast"/>
  </r>
  <r>
    <d v="2023-09-08T00:00:00"/>
    <x v="7"/>
    <n v="6"/>
    <n v="9"/>
    <x v="35"/>
    <x v="3"/>
    <m/>
    <n v="256.84767789771882"/>
    <n v="231.16291010794694"/>
    <n v="205.47814231817506"/>
    <n v="205.47814231817506"/>
    <m/>
    <m/>
    <m/>
    <m/>
    <d v="1899-12-30T00:02:46"/>
    <m/>
    <m/>
    <m/>
    <m/>
    <m/>
    <m/>
    <m/>
    <m/>
    <m/>
    <m/>
    <n v="9.4969395788515456"/>
    <n v="683.77964967731134"/>
    <n v="1.780676171034665"/>
    <n v="2"/>
    <n v="144.8251548877767"/>
    <n v="368.92148490503769"/>
    <s v="Forecast"/>
  </r>
  <r>
    <d v="2023-09-09T00:00:00"/>
    <x v="7"/>
    <n v="7"/>
    <n v="9"/>
    <x v="35"/>
    <x v="3"/>
    <m/>
    <n v="263.9120204111062"/>
    <n v="237.5208183699956"/>
    <n v="211.12961632888496"/>
    <n v="211.12961632888496"/>
    <m/>
    <m/>
    <m/>
    <m/>
    <d v="1899-12-30T00:02:46"/>
    <m/>
    <m/>
    <m/>
    <m/>
    <m/>
    <m/>
    <m/>
    <m/>
    <m/>
    <m/>
    <n v="9.7621926378549002"/>
    <n v="702.87786992555277"/>
    <n v="1.8304111195977937"/>
    <n v="2"/>
    <n v="155.05024141386801"/>
    <n v="376.40310837669921"/>
    <s v="Forecast"/>
  </r>
  <r>
    <d v="2023-09-10T00:00:00"/>
    <x v="7"/>
    <n v="1"/>
    <n v="9"/>
    <x v="36"/>
    <x v="3"/>
    <m/>
    <n v="175.05703992197419"/>
    <n v="157.55133592977677"/>
    <n v="140.04563193757937"/>
    <n v="140.04563193757937"/>
    <m/>
    <m/>
    <m/>
    <m/>
    <d v="1899-12-30T00:02:46"/>
    <m/>
    <m/>
    <m/>
    <m/>
    <m/>
    <m/>
    <m/>
    <m/>
    <m/>
    <m/>
    <n v="6.475220012953411"/>
    <n v="466.21584093264556"/>
    <n v="1.2141037524287646"/>
    <n v="2"/>
    <n v="64.066114232128442"/>
    <n v="283.40316194061859"/>
    <s v="Forecast"/>
  </r>
  <r>
    <d v="2023-09-11T00:00:00"/>
    <x v="7"/>
    <n v="2"/>
    <n v="9"/>
    <x v="36"/>
    <x v="3"/>
    <m/>
    <n v="274.64832079213232"/>
    <n v="247.18348871291909"/>
    <n v="219.71865663370588"/>
    <n v="219.71865663370588"/>
    <m/>
    <m/>
    <m/>
    <m/>
    <d v="1899-12-30T00:02:46"/>
    <m/>
    <m/>
    <m/>
    <m/>
    <m/>
    <m/>
    <m/>
    <m/>
    <m/>
    <m/>
    <n v="10.161560993167194"/>
    <n v="731.63239150803793"/>
    <n v="1.9052926862188488"/>
    <n v="2"/>
    <n v="169.5004796225551"/>
    <n v="381.50446226628992"/>
    <s v="Forecast"/>
  </r>
  <r>
    <d v="2023-09-12T00:00:00"/>
    <x v="7"/>
    <n v="3"/>
    <n v="9"/>
    <x v="36"/>
    <x v="3"/>
    <m/>
    <n v="258.26033017179913"/>
    <n v="232.43429715461923"/>
    <n v="206.60826413743931"/>
    <n v="206.60826413743931"/>
    <m/>
    <m/>
    <m/>
    <m/>
    <d v="1899-12-30T00:02:47"/>
    <m/>
    <m/>
    <m/>
    <m/>
    <m/>
    <m/>
    <m/>
    <m/>
    <m/>
    <m/>
    <n v="9.5651498349271176"/>
    <n v="688.69078811475242"/>
    <n v="1.7934655940488344"/>
    <n v="2"/>
    <n v="141.4614183333658"/>
    <n v="369.33243483723243"/>
    <s v="Forecast"/>
  </r>
  <r>
    <d v="2023-09-13T00:00:00"/>
    <x v="7"/>
    <n v="4"/>
    <n v="9"/>
    <x v="36"/>
    <x v="3"/>
    <m/>
    <n v="270.1158116929613"/>
    <n v="243.10423052366517"/>
    <n v="216.09264935436906"/>
    <n v="216.09264935436906"/>
    <m/>
    <m/>
    <m/>
    <m/>
    <d v="1899-12-30T00:02:47"/>
    <m/>
    <m/>
    <m/>
    <m/>
    <m/>
    <m/>
    <m/>
    <m/>
    <m/>
    <m/>
    <n v="10.006296050612599"/>
    <n v="720.45331564410708"/>
    <n v="1.8761805094898623"/>
    <n v="2"/>
    <n v="155.73827386616739"/>
    <n v="380.53121630731027"/>
    <s v="Forecast"/>
  </r>
  <r>
    <d v="2023-09-14T00:00:00"/>
    <x v="7"/>
    <n v="5"/>
    <n v="9"/>
    <x v="36"/>
    <x v="3"/>
    <m/>
    <n v="264.95364768664899"/>
    <n v="238.45828291798409"/>
    <n v="211.96291814931919"/>
    <n v="211.96291814931919"/>
    <m/>
    <m/>
    <m/>
    <m/>
    <d v="1899-12-30T00:02:47"/>
    <m/>
    <m/>
    <m/>
    <m/>
    <m/>
    <m/>
    <m/>
    <m/>
    <m/>
    <m/>
    <n v="9.8143511471546745"/>
    <n v="706.63328259513662"/>
    <n v="1.8401908400915017"/>
    <n v="2"/>
    <n v="155.86287315886241"/>
    <n v="371.77675309105911"/>
    <s v="Forecast"/>
  </r>
  <r>
    <d v="2023-09-15T00:00:00"/>
    <x v="7"/>
    <n v="6"/>
    <n v="9"/>
    <x v="36"/>
    <x v="3"/>
    <m/>
    <n v="255.67874420249191"/>
    <n v="230.11086978224273"/>
    <n v="204.54299536199355"/>
    <n v="204.54299536199355"/>
    <m/>
    <m/>
    <m/>
    <m/>
    <d v="1899-12-30T00:02:47"/>
    <m/>
    <m/>
    <m/>
    <m/>
    <m/>
    <m/>
    <m/>
    <m/>
    <m/>
    <m/>
    <n v="9.474874674966836"/>
    <n v="682.19097659761223"/>
    <n v="1.7765390015562819"/>
    <n v="2"/>
    <n v="147.97996739876029"/>
    <n v="368.30285854639789"/>
    <s v="Forecast"/>
  </r>
  <r>
    <d v="2023-09-16T00:00:00"/>
    <x v="7"/>
    <n v="7"/>
    <n v="9"/>
    <x v="36"/>
    <x v="3"/>
    <m/>
    <n v="262.42121876412148"/>
    <n v="236.17909688770933"/>
    <n v="209.93697501129719"/>
    <n v="209.93697501129719"/>
    <m/>
    <m/>
    <m/>
    <m/>
    <d v="1899-12-30T00:02:47"/>
    <m/>
    <m/>
    <m/>
    <m/>
    <m/>
    <m/>
    <m/>
    <m/>
    <m/>
    <m/>
    <n v="9.7120694091085387"/>
    <n v="699.26899745581466"/>
    <n v="1.8210130142078507"/>
    <n v="2"/>
    <n v="157.92756844384721"/>
    <n v="371.67651896235918"/>
    <s v="Forecast"/>
  </r>
  <r>
    <d v="2023-09-17T00:00:00"/>
    <x v="7"/>
    <n v="1"/>
    <n v="9"/>
    <x v="37"/>
    <x v="3"/>
    <m/>
    <n v="173.35407445948039"/>
    <n v="156.01866701353237"/>
    <n v="138.68325956758432"/>
    <n v="138.68325956758432"/>
    <m/>
    <m/>
    <m/>
    <m/>
    <d v="1899-12-30T00:02:47"/>
    <m/>
    <m/>
    <m/>
    <m/>
    <m/>
    <m/>
    <m/>
    <m/>
    <m/>
    <m/>
    <n v="6.4198975540616683"/>
    <n v="462.23262389244013"/>
    <n v="1.2037307913865629"/>
    <n v="2"/>
    <n v="68.371403485339826"/>
    <n v="274.44226205763869"/>
    <s v="Forecast"/>
  </r>
  <r>
    <d v="2023-09-18T00:00:00"/>
    <x v="7"/>
    <n v="2"/>
    <n v="9"/>
    <x v="37"/>
    <x v="3"/>
    <m/>
    <n v="272.85166533690722"/>
    <n v="245.56649880321649"/>
    <n v="218.28133226952579"/>
    <n v="218.28133226952579"/>
    <m/>
    <m/>
    <m/>
    <m/>
    <d v="1899-12-30T00:02:47"/>
    <m/>
    <m/>
    <m/>
    <m/>
    <m/>
    <m/>
    <m/>
    <m/>
    <m/>
    <m/>
    <n v="10.111237500040467"/>
    <n v="728.00910000291367"/>
    <n v="1.8958570312575878"/>
    <n v="2"/>
    <n v="158.69574396410931"/>
    <n v="383.38110724946188"/>
    <s v="Forecast"/>
  </r>
  <r>
    <d v="2023-09-19T00:00:00"/>
    <x v="7"/>
    <n v="3"/>
    <n v="9"/>
    <x v="37"/>
    <x v="3"/>
    <m/>
    <n v="256.49456113328392"/>
    <n v="230.84510501995553"/>
    <n v="205.19564890662716"/>
    <n v="205.19564890662716"/>
    <m/>
    <m/>
    <m/>
    <m/>
    <d v="1899-12-30T00:02:47"/>
    <m/>
    <m/>
    <m/>
    <m/>
    <m/>
    <m/>
    <m/>
    <m/>
    <m/>
    <m/>
    <n v="9.500159417996354"/>
    <n v="684.01147809573752"/>
    <n v="1.7812798908743164"/>
    <n v="2"/>
    <n v="141.96729244576809"/>
    <n v="364.57184476518557"/>
    <s v="Forecast"/>
  </r>
  <r>
    <d v="2023-09-20T00:00:00"/>
    <x v="7"/>
    <n v="4"/>
    <n v="9"/>
    <x v="37"/>
    <x v="3"/>
    <m/>
    <n v="268.50882398105102"/>
    <n v="241.65794158294594"/>
    <n v="214.80705918484082"/>
    <n v="214.80705918484082"/>
    <m/>
    <m/>
    <m/>
    <m/>
    <d v="1899-12-30T00:02:47"/>
    <m/>
    <m/>
    <m/>
    <m/>
    <m/>
    <m/>
    <m/>
    <m/>
    <m/>
    <m/>
    <n v="9.948870220675575"/>
    <n v="716.31865588864127"/>
    <n v="1.86541316637667"/>
    <n v="2"/>
    <n v="157.37188737725191"/>
    <n v="383.98512750818168"/>
    <s v="Forecast"/>
  </r>
  <r>
    <d v="2023-09-21T00:00:00"/>
    <x v="7"/>
    <n v="5"/>
    <n v="9"/>
    <x v="37"/>
    <x v="3"/>
    <m/>
    <n v="263.63381456448042"/>
    <n v="237.27043310803239"/>
    <n v="210.90705165158434"/>
    <n v="210.90705165158434"/>
    <m/>
    <m/>
    <m/>
    <m/>
    <d v="1899-12-30T00:02:47"/>
    <m/>
    <m/>
    <m/>
    <m/>
    <m/>
    <m/>
    <m/>
    <m/>
    <m/>
    <m/>
    <n v="9.7702851043852288"/>
    <n v="703.46052751573643"/>
    <n v="1.8319284570722303"/>
    <n v="2"/>
    <n v="157.65550563942179"/>
    <n v="371.9830357608958"/>
    <s v="Forecast"/>
  </r>
  <r>
    <d v="2023-09-22T00:00:00"/>
    <x v="7"/>
    <n v="6"/>
    <n v="9"/>
    <x v="37"/>
    <x v="3"/>
    <m/>
    <n v="254.77208191003911"/>
    <n v="229.29487371903519"/>
    <n v="203.81766552803128"/>
    <n v="203.81766552803128"/>
    <m/>
    <m/>
    <m/>
    <m/>
    <d v="1899-12-30T00:02:47"/>
    <m/>
    <m/>
    <m/>
    <m/>
    <m/>
    <m/>
    <m/>
    <m/>
    <m/>
    <m/>
    <n v="9.4348686208213728"/>
    <n v="679.31054069913887"/>
    <n v="1.7690378664040074"/>
    <n v="2"/>
    <n v="144.40902301229141"/>
    <n v="368.10363943866128"/>
    <s v="Forecast"/>
  </r>
  <r>
    <d v="2023-09-23T00:00:00"/>
    <x v="7"/>
    <n v="7"/>
    <n v="9"/>
    <x v="37"/>
    <x v="3"/>
    <m/>
    <n v="262.04861528308157"/>
    <n v="235.84375375477342"/>
    <n v="209.63889222646526"/>
    <n v="209.63889222646526"/>
    <m/>
    <m/>
    <m/>
    <m/>
    <d v="1899-12-30T00:02:47"/>
    <m/>
    <m/>
    <m/>
    <m/>
    <m/>
    <m/>
    <m/>
    <m/>
    <m/>
    <m/>
    <n v="9.7308126011899994"/>
    <n v="700.61850728567993"/>
    <n v="1.8245273627231249"/>
    <n v="2"/>
    <n v="153.2211413534263"/>
    <n v="375.99430870204208"/>
    <s v="Forecast"/>
  </r>
  <r>
    <d v="2023-09-24T00:00:00"/>
    <x v="7"/>
    <n v="1"/>
    <n v="9"/>
    <x v="38"/>
    <x v="3"/>
    <m/>
    <n v="173.62863903093319"/>
    <n v="156.26577512783987"/>
    <n v="138.90291122474656"/>
    <n v="138.90291122474656"/>
    <m/>
    <m/>
    <m/>
    <m/>
    <d v="1899-12-30T00:02:47"/>
    <m/>
    <m/>
    <m/>
    <m/>
    <m/>
    <m/>
    <m/>
    <m/>
    <m/>
    <m/>
    <n v="6.4500198883928102"/>
    <n v="464.40143196428227"/>
    <n v="1.2093787290736517"/>
    <n v="2"/>
    <n v="51.377045275258261"/>
    <n v="277.23303145216511"/>
    <s v="Forecast"/>
  </r>
  <r>
    <d v="2023-09-25T00:00:00"/>
    <x v="7"/>
    <n v="2"/>
    <n v="9"/>
    <x v="38"/>
    <x v="3"/>
    <m/>
    <n v="273.87625140580491"/>
    <n v="246.48862626522441"/>
    <n v="219.10100112464394"/>
    <n v="219.10100112464394"/>
    <m/>
    <m/>
    <m/>
    <m/>
    <d v="1899-12-30T00:02:47"/>
    <m/>
    <m/>
    <m/>
    <m/>
    <m/>
    <m/>
    <m/>
    <m/>
    <m/>
    <m/>
    <n v="10.180975614418625"/>
    <n v="733.03024423814088"/>
    <n v="1.9089329277034919"/>
    <n v="2"/>
    <n v="165.34947006731531"/>
    <n v="381.71362261520471"/>
    <s v="Forecast"/>
  </r>
  <r>
    <d v="2023-09-26T00:00:00"/>
    <x v="7"/>
    <n v="3"/>
    <n v="9"/>
    <x v="38"/>
    <x v="3"/>
    <m/>
    <n v="258.3595104222635"/>
    <n v="232.52355938003714"/>
    <n v="206.68760833781081"/>
    <n v="206.68760833781081"/>
    <m/>
    <m/>
    <m/>
    <m/>
    <d v="1899-12-30T00:02:47"/>
    <m/>
    <m/>
    <m/>
    <m/>
    <m/>
    <m/>
    <m/>
    <m/>
    <m/>
    <m/>
    <n v="9.604849498623258"/>
    <n v="691.54916390087453"/>
    <n v="1.8009092809918608"/>
    <n v="2"/>
    <n v="149.7849224841209"/>
    <n v="372.93466813394872"/>
    <s v="Forecast"/>
  </r>
  <r>
    <d v="2023-09-27T00:00:00"/>
    <x v="7"/>
    <n v="4"/>
    <n v="9"/>
    <x v="38"/>
    <x v="3"/>
    <m/>
    <n v="271.28997354326441"/>
    <n v="244.16097618893798"/>
    <n v="217.03197883461155"/>
    <n v="217.03197883461155"/>
    <m/>
    <m/>
    <m/>
    <m/>
    <d v="1899-12-30T00:02:47"/>
    <m/>
    <m/>
    <m/>
    <m/>
    <m/>
    <m/>
    <m/>
    <m/>
    <m/>
    <m/>
    <n v="10.085158059285453"/>
    <n v="726.13138026855256"/>
    <n v="1.8909671361160223"/>
    <n v="2"/>
    <n v="154.16650887069639"/>
    <n v="378.24401626130782"/>
    <s v="Forecast"/>
  </r>
  <r>
    <d v="2023-09-28T00:00:00"/>
    <x v="7"/>
    <n v="5"/>
    <n v="9"/>
    <x v="38"/>
    <x v="3"/>
    <m/>
    <n v="267.39080210632687"/>
    <n v="240.65172189569418"/>
    <n v="213.91264168506152"/>
    <n v="213.91264168506152"/>
    <m/>
    <m/>
    <m/>
    <m/>
    <d v="1899-12-30T00:02:47"/>
    <m/>
    <m/>
    <m/>
    <m/>
    <m/>
    <m/>
    <m/>
    <m/>
    <m/>
    <m/>
    <n v="9.9420322455111219"/>
    <n v="715.82632167680083"/>
    <n v="1.8641310460333356"/>
    <n v="2"/>
    <n v="149.0174590918844"/>
    <n v="376.55464860644759"/>
    <s v="Forecast"/>
  </r>
  <r>
    <d v="2023-09-29T00:00:00"/>
    <x v="7"/>
    <n v="6"/>
    <n v="9"/>
    <x v="38"/>
    <x v="3"/>
    <m/>
    <n v="259.54697760926649"/>
    <n v="233.59227984833984"/>
    <n v="207.63758208741319"/>
    <n v="207.63758208741319"/>
    <m/>
    <m/>
    <m/>
    <m/>
    <d v="1899-12-30T00:02:48"/>
    <m/>
    <m/>
    <m/>
    <m/>
    <m/>
    <m/>
    <m/>
    <m/>
    <m/>
    <m/>
    <n v="9.6807431408236528"/>
    <n v="697.01350613930288"/>
    <n v="1.8151393389044346"/>
    <n v="2"/>
    <n v="155.0173496247543"/>
    <n v="369.67881681148651"/>
    <s v="Forecast"/>
  </r>
  <r>
    <d v="2023-09-30T00:00:00"/>
    <x v="7"/>
    <n v="7"/>
    <n v="9"/>
    <x v="38"/>
    <x v="3"/>
    <m/>
    <n v="267.86490092230707"/>
    <n v="241.07841083007636"/>
    <n v="214.29192073784566"/>
    <n v="214.29192073784566"/>
    <m/>
    <m/>
    <m/>
    <m/>
    <d v="1899-12-30T00:02:48"/>
    <m/>
    <m/>
    <m/>
    <m/>
    <m/>
    <m/>
    <m/>
    <m/>
    <m/>
    <m/>
    <n v="9.9792206790274065"/>
    <n v="718.50388888997327"/>
    <n v="1.8711038773176387"/>
    <n v="2"/>
    <n v="157.38423773688379"/>
    <n v="378.81022853329318"/>
    <s v="Forecast"/>
  </r>
  <r>
    <d v="2023-10-01T00:00:00"/>
    <x v="7"/>
    <n v="1"/>
    <n v="10"/>
    <x v="39"/>
    <x v="3"/>
    <m/>
    <n v="180.49054772052739"/>
    <n v="162.44149294847466"/>
    <n v="144.3924381764219"/>
    <n v="144.3924381764219"/>
    <m/>
    <m/>
    <m/>
    <m/>
    <d v="1899-12-30T00:02:48"/>
    <m/>
    <m/>
    <m/>
    <m/>
    <m/>
    <m/>
    <m/>
    <m/>
    <m/>
    <m/>
    <n v="6.7228600401069345"/>
    <n v="484.04592288769925"/>
    <n v="1.2605362575200501"/>
    <n v="2"/>
    <n v="69.983377474054677"/>
    <n v="289.25432833356672"/>
    <s v="Forecast"/>
  </r>
  <r>
    <d v="2023-10-02T00:00:00"/>
    <x v="7"/>
    <n v="2"/>
    <n v="10"/>
    <x v="39"/>
    <x v="3"/>
    <m/>
    <n v="281.76847367871801"/>
    <n v="253.59162631084621"/>
    <n v="225.41477894297441"/>
    <n v="225.41477894297441"/>
    <m/>
    <m/>
    <m/>
    <m/>
    <d v="1899-12-30T00:02:47"/>
    <m/>
    <m/>
    <m/>
    <m/>
    <m/>
    <m/>
    <m/>
    <m/>
    <m/>
    <m/>
    <n v="10.487398188511541"/>
    <n v="755.09266957283091"/>
    <n v="1.9663871603459138"/>
    <n v="2"/>
    <n v="165.72814486092051"/>
    <n v="384.56629161530969"/>
    <s v="Forecast"/>
  </r>
  <r>
    <d v="2023-10-03T00:00:00"/>
    <x v="7"/>
    <n v="3"/>
    <n v="10"/>
    <x v="39"/>
    <x v="3"/>
    <m/>
    <n v="267.2472651777241"/>
    <n v="240.52253865995169"/>
    <n v="213.79781214217928"/>
    <n v="213.79781214217928"/>
    <m/>
    <m/>
    <m/>
    <m/>
    <d v="1899-12-30T00:02:48"/>
    <m/>
    <m/>
    <m/>
    <m/>
    <m/>
    <m/>
    <m/>
    <m/>
    <m/>
    <m/>
    <n v="9.9521870903843972"/>
    <n v="716.55747050767661"/>
    <n v="1.8660350794470746"/>
    <n v="2"/>
    <n v="161.87968145045841"/>
    <n v="376.48387906506503"/>
    <s v="Forecast"/>
  </r>
  <r>
    <d v="2023-10-04T00:00:00"/>
    <x v="7"/>
    <n v="4"/>
    <n v="10"/>
    <x v="39"/>
    <x v="3"/>
    <m/>
    <n v="281.11943539714048"/>
    <n v="253.00749185742643"/>
    <n v="224.89554831771238"/>
    <n v="224.89554831771238"/>
    <m/>
    <m/>
    <m/>
    <m/>
    <d v="1899-12-30T00:02:48"/>
    <m/>
    <m/>
    <m/>
    <m/>
    <m/>
    <m/>
    <m/>
    <m/>
    <m/>
    <m/>
    <n v="10.469702938520632"/>
    <n v="753.81861157348544"/>
    <n v="1.9630693009726183"/>
    <n v="2"/>
    <n v="173.5155951390723"/>
    <n v="385.97140484044058"/>
    <s v="Forecast"/>
  </r>
  <r>
    <d v="2023-10-05T00:00:00"/>
    <x v="7"/>
    <n v="5"/>
    <n v="10"/>
    <x v="39"/>
    <x v="3"/>
    <m/>
    <n v="278.08987026850332"/>
    <n v="250.28088324165299"/>
    <n v="222.47189621480265"/>
    <n v="222.47189621480265"/>
    <m/>
    <m/>
    <m/>
    <m/>
    <d v="1899-12-30T00:02:47"/>
    <m/>
    <m/>
    <m/>
    <m/>
    <m/>
    <m/>
    <m/>
    <m/>
    <m/>
    <m/>
    <n v="10.341044289427749"/>
    <n v="744.55518883879802"/>
    <n v="1.9389458042677032"/>
    <n v="2"/>
    <n v="166.03191512017571"/>
    <n v="380.23803923887152"/>
    <s v="Forecast"/>
  </r>
  <r>
    <d v="2023-10-06T00:00:00"/>
    <x v="7"/>
    <n v="6"/>
    <n v="10"/>
    <x v="39"/>
    <x v="3"/>
    <m/>
    <n v="271.02636560049768"/>
    <n v="243.92372904044791"/>
    <n v="216.82109248039816"/>
    <n v="216.82109248039816"/>
    <m/>
    <m/>
    <m/>
    <m/>
    <d v="1899-12-30T00:02:47"/>
    <m/>
    <m/>
    <m/>
    <m/>
    <m/>
    <m/>
    <m/>
    <m/>
    <m/>
    <m/>
    <n v="10.07744482829038"/>
    <n v="725.57602763690738"/>
    <n v="1.8895209053044464"/>
    <n v="2"/>
    <n v="160.09832908699951"/>
    <n v="388.52004126110609"/>
    <s v="Forecast"/>
  </r>
  <r>
    <d v="2023-10-07T00:00:00"/>
    <x v="7"/>
    <n v="7"/>
    <n v="10"/>
    <x v="39"/>
    <x v="3"/>
    <m/>
    <n v="280.0195213196248"/>
    <n v="252.01756918766233"/>
    <n v="224.01561705569986"/>
    <n v="224.01561705569986"/>
    <m/>
    <m/>
    <m/>
    <m/>
    <d v="1899-12-30T00:02:47"/>
    <m/>
    <m/>
    <m/>
    <m/>
    <m/>
    <m/>
    <m/>
    <m/>
    <m/>
    <m/>
    <n v="10.396317936062029"/>
    <n v="748.53489139646615"/>
    <n v="1.9493096130116305"/>
    <n v="2"/>
    <n v="171.00713303531981"/>
    <n v="389.87487483482619"/>
    <s v="Forecast"/>
  </r>
  <r>
    <d v="2023-10-08T00:00:00"/>
    <x v="7"/>
    <n v="1"/>
    <n v="10"/>
    <x v="40"/>
    <x v="3"/>
    <m/>
    <n v="193.20116178548241"/>
    <n v="173.88104560693418"/>
    <n v="154.56092942838595"/>
    <n v="154.56092942838595"/>
    <m/>
    <m/>
    <m/>
    <m/>
    <d v="1899-12-30T00:02:47"/>
    <m/>
    <m/>
    <m/>
    <m/>
    <m/>
    <m/>
    <m/>
    <m/>
    <m/>
    <m/>
    <n v="7.1730313212340366"/>
    <n v="516.45825512885062"/>
    <n v="1.3449433727313818"/>
    <n v="2"/>
    <n v="78.121323831650471"/>
    <n v="303.79127132804609"/>
    <s v="Forecast"/>
  </r>
  <r>
    <d v="2023-10-09T00:00:00"/>
    <x v="7"/>
    <n v="2"/>
    <n v="10"/>
    <x v="40"/>
    <x v="3"/>
    <m/>
    <n v="294.90357217885429"/>
    <n v="265.41321496096884"/>
    <n v="235.92285774308345"/>
    <n v="235.92285774308345"/>
    <m/>
    <m/>
    <m/>
    <m/>
    <d v="1899-12-30T00:02:47"/>
    <m/>
    <m/>
    <m/>
    <m/>
    <m/>
    <m/>
    <m/>
    <m/>
    <m/>
    <m/>
    <n v="10.946558629627313"/>
    <n v="788.15222133316661"/>
    <n v="2.0524797430551214"/>
    <n v="3"/>
    <n v="179.43684479276189"/>
    <n v="402.59282753310652"/>
    <s v="Forecast"/>
  </r>
  <r>
    <d v="2023-10-10T00:00:00"/>
    <x v="7"/>
    <n v="3"/>
    <n v="10"/>
    <x v="40"/>
    <x v="3"/>
    <m/>
    <n v="280.66514401387121"/>
    <n v="252.5986296124841"/>
    <n v="224.53211521109699"/>
    <n v="224.53211521109699"/>
    <m/>
    <m/>
    <m/>
    <m/>
    <d v="1899-12-30T00:02:47"/>
    <m/>
    <m/>
    <m/>
    <m/>
    <m/>
    <m/>
    <m/>
    <m/>
    <m/>
    <m/>
    <n v="10.40990124532658"/>
    <n v="749.51288966351376"/>
    <n v="1.9518564834987338"/>
    <n v="2"/>
    <n v="172.28046763307211"/>
    <n v="396.18652092052662"/>
    <s v="Forecast"/>
  </r>
  <r>
    <d v="2023-10-11T00:00:00"/>
    <x v="7"/>
    <n v="4"/>
    <n v="10"/>
    <x v="40"/>
    <x v="3"/>
    <m/>
    <n v="294.67042774927199"/>
    <n v="265.20338497434483"/>
    <n v="235.73634219941761"/>
    <n v="235.73634219941761"/>
    <m/>
    <m/>
    <m/>
    <m/>
    <d v="1899-12-30T00:02:47"/>
    <m/>
    <m/>
    <m/>
    <m/>
    <m/>
    <m/>
    <m/>
    <m/>
    <m/>
    <m/>
    <n v="10.926852997774761"/>
    <n v="786.73341583978265"/>
    <n v="2.0487849370827673"/>
    <n v="3"/>
    <n v="178.7149477848547"/>
    <n v="411.29379428949619"/>
    <s v="Forecast"/>
  </r>
  <r>
    <d v="2023-10-12T00:00:00"/>
    <x v="7"/>
    <n v="5"/>
    <n v="10"/>
    <x v="40"/>
    <x v="3"/>
    <m/>
    <n v="291.61869589490612"/>
    <n v="262.45682630541552"/>
    <n v="233.29495671592491"/>
    <n v="233.29495671592491"/>
    <m/>
    <m/>
    <m/>
    <m/>
    <d v="1899-12-30T00:02:47"/>
    <m/>
    <m/>
    <m/>
    <m/>
    <m/>
    <m/>
    <m/>
    <m/>
    <m/>
    <m/>
    <n v="10.802102185932243"/>
    <n v="777.7513573871214"/>
    <n v="2.0253941598622953"/>
    <n v="3"/>
    <n v="180.67491032468351"/>
    <n v="397.95868437189091"/>
    <s v="Forecast"/>
  </r>
  <r>
    <d v="2023-10-13T00:00:00"/>
    <x v="7"/>
    <n v="6"/>
    <n v="10"/>
    <x v="40"/>
    <x v="3"/>
    <m/>
    <n v="284.3745575594682"/>
    <n v="255.93710180352139"/>
    <n v="227.49964604757457"/>
    <n v="227.49964604757457"/>
    <m/>
    <m/>
    <m/>
    <m/>
    <d v="1899-12-30T00:02:47"/>
    <m/>
    <m/>
    <m/>
    <m/>
    <m/>
    <m/>
    <m/>
    <m/>
    <m/>
    <m/>
    <n v="10.540668943600743"/>
    <n v="758.92816393925352"/>
    <n v="1.9763754269251395"/>
    <n v="2"/>
    <n v="170.25121646686"/>
    <n v="389.30988027987883"/>
    <s v="Forecast"/>
  </r>
  <r>
    <d v="2023-10-14T00:00:00"/>
    <x v="7"/>
    <n v="7"/>
    <n v="10"/>
    <x v="40"/>
    <x v="3"/>
    <m/>
    <n v="293.02789074303809"/>
    <n v="263.72510166873428"/>
    <n v="234.42231259443048"/>
    <n v="234.42231259443048"/>
    <m/>
    <m/>
    <m/>
    <m/>
    <d v="1899-12-30T00:02:46"/>
    <m/>
    <m/>
    <m/>
    <m/>
    <m/>
    <m/>
    <m/>
    <m/>
    <m/>
    <m/>
    <n v="10.82782000326808"/>
    <n v="779.60304023530182"/>
    <n v="2.030216250612765"/>
    <n v="3"/>
    <n v="178.5735836401619"/>
    <n v="401.62675698179311"/>
    <s v="Forecast"/>
  </r>
  <r>
    <d v="2023-10-15T00:00:00"/>
    <x v="7"/>
    <n v="1"/>
    <n v="10"/>
    <x v="41"/>
    <x v="3"/>
    <m/>
    <n v="205.71226228224219"/>
    <n v="185.14103605401797"/>
    <n v="164.56980982579375"/>
    <n v="164.56980982579375"/>
    <m/>
    <m/>
    <m/>
    <m/>
    <d v="1899-12-30T00:02:46"/>
    <m/>
    <m/>
    <m/>
    <m/>
    <m/>
    <m/>
    <m/>
    <m/>
    <m/>
    <m/>
    <n v="7.5972246393049216"/>
    <n v="547.00017402995434"/>
    <n v="1.4244796198696728"/>
    <n v="2"/>
    <n v="106.355598239016"/>
    <n v="309.82696682627181"/>
    <s v="Forecast"/>
  </r>
  <r>
    <d v="2023-10-16T00:00:00"/>
    <x v="7"/>
    <n v="2"/>
    <n v="10"/>
    <x v="41"/>
    <x v="3"/>
    <m/>
    <n v="306.76412693960202"/>
    <n v="276.08771424564185"/>
    <n v="245.41130155168162"/>
    <n v="245.41130155168162"/>
    <m/>
    <m/>
    <m/>
    <m/>
    <d v="1899-12-30T00:02:46"/>
    <m/>
    <m/>
    <m/>
    <m/>
    <m/>
    <m/>
    <m/>
    <m/>
    <m/>
    <m/>
    <n v="11.324864953351009"/>
    <n v="815.39027664127264"/>
    <n v="2.123412178753314"/>
    <n v="3"/>
    <n v="190.83251500996371"/>
    <n v="424.7967734894695"/>
    <s v="Forecast"/>
  </r>
  <r>
    <d v="2023-10-17T00:00:00"/>
    <x v="7"/>
    <n v="3"/>
    <n v="10"/>
    <x v="41"/>
    <x v="3"/>
    <m/>
    <n v="291.72840063775863"/>
    <n v="262.55556057398275"/>
    <n v="233.38272051020692"/>
    <n v="233.38272051020692"/>
    <m/>
    <m/>
    <m/>
    <m/>
    <d v="1899-12-30T00:02:46"/>
    <m/>
    <m/>
    <m/>
    <m/>
    <m/>
    <m/>
    <m/>
    <m/>
    <m/>
    <m/>
    <n v="10.774712527760554"/>
    <n v="775.77930199875993"/>
    <n v="2.0202585989551038"/>
    <n v="3"/>
    <n v="184.86508504642561"/>
    <n v="406.29774868998561"/>
    <s v="Forecast"/>
  </r>
  <r>
    <d v="2023-10-18T00:00:00"/>
    <x v="7"/>
    <n v="4"/>
    <n v="10"/>
    <x v="41"/>
    <x v="3"/>
    <m/>
    <n v="304.7984081185121"/>
    <n v="274.3185673066609"/>
    <n v="243.83872649480969"/>
    <n v="243.83872649480969"/>
    <m/>
    <m/>
    <m/>
    <m/>
    <d v="1899-12-30T00:02:46"/>
    <m/>
    <m/>
    <m/>
    <m/>
    <m/>
    <m/>
    <m/>
    <m/>
    <m/>
    <m/>
    <n v="11.265798788303208"/>
    <n v="811.1375127578309"/>
    <n v="2.1123372728068515"/>
    <n v="3"/>
    <n v="185.55285493043471"/>
    <n v="410.75482689998557"/>
    <s v="Forecast"/>
  </r>
  <r>
    <d v="2023-10-19T00:00:00"/>
    <x v="7"/>
    <n v="5"/>
    <n v="10"/>
    <x v="41"/>
    <x v="3"/>
    <m/>
    <n v="300.68431101166499"/>
    <n v="270.61587991049851"/>
    <n v="240.547448809332"/>
    <n v="240.547448809332"/>
    <m/>
    <m/>
    <m/>
    <m/>
    <d v="1899-12-30T00:02:46"/>
    <m/>
    <m/>
    <m/>
    <m/>
    <m/>
    <m/>
    <m/>
    <m/>
    <m/>
    <m/>
    <n v="11.11206624492352"/>
    <n v="800.06876963449349"/>
    <n v="2.0835124209231601"/>
    <n v="3"/>
    <n v="185.54371187506069"/>
    <n v="398.10099998327581"/>
    <s v="Forecast"/>
  </r>
  <r>
    <d v="2023-10-20T00:00:00"/>
    <x v="7"/>
    <n v="6"/>
    <n v="10"/>
    <x v="41"/>
    <x v="3"/>
    <m/>
    <n v="292.26356005795071"/>
    <n v="263.03720405215563"/>
    <n v="233.81084804636058"/>
    <n v="233.81084804636058"/>
    <m/>
    <m/>
    <m/>
    <m/>
    <d v="1899-12-30T00:02:46"/>
    <m/>
    <m/>
    <m/>
    <m/>
    <m/>
    <m/>
    <m/>
    <m/>
    <m/>
    <m/>
    <n v="10.776773296931946"/>
    <n v="775.92767737910015"/>
    <n v="2.0206449931747401"/>
    <n v="3"/>
    <n v="176.78319788893279"/>
    <n v="401.35981119117997"/>
    <s v="Forecast"/>
  </r>
  <r>
    <d v="2023-10-21T00:00:00"/>
    <x v="7"/>
    <n v="7"/>
    <n v="10"/>
    <x v="41"/>
    <x v="3"/>
    <m/>
    <n v="299.64064070730092"/>
    <n v="269.67657663657081"/>
    <n v="239.71251256584074"/>
    <n v="239.71251256584074"/>
    <m/>
    <m/>
    <m/>
    <m/>
    <d v="1899-12-30T00:02:46"/>
    <m/>
    <m/>
    <m/>
    <m/>
    <m/>
    <m/>
    <m/>
    <m/>
    <m/>
    <m/>
    <n v="11.049993352059627"/>
    <n v="795.59952134829302"/>
    <n v="2.0718737535111797"/>
    <n v="3"/>
    <n v="190.5001990598978"/>
    <n v="414.69166657545207"/>
    <s v="Forecast"/>
  </r>
  <r>
    <d v="2023-10-22T00:00:00"/>
    <x v="7"/>
    <n v="1"/>
    <n v="10"/>
    <x v="42"/>
    <x v="3"/>
    <m/>
    <n v="210.96528499843421"/>
    <n v="189.86875649859078"/>
    <n v="168.77222799874738"/>
    <n v="168.77222799874738"/>
    <m/>
    <m/>
    <m/>
    <m/>
    <d v="1899-12-30T00:02:46"/>
    <m/>
    <m/>
    <m/>
    <m/>
    <m/>
    <m/>
    <m/>
    <m/>
    <m/>
    <m/>
    <n v="7.7833518678018043"/>
    <n v="560.40133448172992"/>
    <n v="1.4593784752128383"/>
    <n v="2"/>
    <n v="102.4350430868066"/>
    <n v="318.15926889904819"/>
    <s v="Forecast"/>
  </r>
  <r>
    <d v="2023-10-23T00:00:00"/>
    <x v="7"/>
    <n v="2"/>
    <n v="10"/>
    <x v="42"/>
    <x v="3"/>
    <m/>
    <n v="310.5914442283073"/>
    <n v="279.53229980547655"/>
    <n v="248.47315538264584"/>
    <n v="248.47315538264584"/>
    <m/>
    <m/>
    <m/>
    <m/>
    <d v="1899-12-30T00:02:46"/>
    <m/>
    <m/>
    <m/>
    <m/>
    <m/>
    <m/>
    <m/>
    <m/>
    <m/>
    <m/>
    <n v="11.462843861476331"/>
    <n v="825.32475802629585"/>
    <n v="2.1492832240268123"/>
    <n v="3"/>
    <n v="200.3317230349235"/>
    <n v="421.83665612563902"/>
    <s v="Forecast"/>
  </r>
  <r>
    <d v="2023-10-24T00:00:00"/>
    <x v="7"/>
    <n v="3"/>
    <n v="10"/>
    <x v="42"/>
    <x v="3"/>
    <m/>
    <n v="294.08262041018787"/>
    <n v="264.67435836916911"/>
    <n v="235.2660963281503"/>
    <n v="235.2660963281503"/>
    <m/>
    <m/>
    <m/>
    <m/>
    <d v="1899-12-30T00:02:46"/>
    <m/>
    <m/>
    <m/>
    <m/>
    <m/>
    <m/>
    <m/>
    <m/>
    <m/>
    <m/>
    <n v="10.852998562626414"/>
    <n v="781.4158965091018"/>
    <n v="2.0349372304924525"/>
    <n v="3"/>
    <n v="176.9350092168348"/>
    <n v="410.87695472166041"/>
    <s v="Forecast"/>
  </r>
  <r>
    <d v="2023-10-25T00:00:00"/>
    <x v="7"/>
    <n v="4"/>
    <n v="10"/>
    <x v="42"/>
    <x v="3"/>
    <m/>
    <n v="305.65155976174577"/>
    <n v="275.08640378557118"/>
    <n v="244.52124780939664"/>
    <n v="244.52124780939664"/>
    <m/>
    <m/>
    <m/>
    <m/>
    <d v="1899-12-30T00:02:46"/>
    <m/>
    <m/>
    <m/>
    <m/>
    <m/>
    <m/>
    <m/>
    <m/>
    <m/>
    <m/>
    <n v="11.282529540179899"/>
    <n v="812.34212689295271"/>
    <n v="2.115474288783731"/>
    <n v="3"/>
    <n v="194.82506873391529"/>
    <n v="428.23310966892819"/>
    <s v="Forecast"/>
  </r>
  <r>
    <d v="2023-10-26T00:00:00"/>
    <x v="7"/>
    <n v="5"/>
    <n v="10"/>
    <x v="42"/>
    <x v="3"/>
    <m/>
    <n v="300.02841710887401"/>
    <n v="270.02557539798664"/>
    <n v="240.02273368709922"/>
    <n v="240.02273368709922"/>
    <m/>
    <m/>
    <m/>
    <m/>
    <d v="1899-12-30T00:02:46"/>
    <m/>
    <m/>
    <m/>
    <m/>
    <m/>
    <m/>
    <m/>
    <m/>
    <m/>
    <m/>
    <n v="11.07939174227457"/>
    <n v="797.71620544376901"/>
    <n v="2.0773859516764817"/>
    <n v="3"/>
    <n v="194.21100387910209"/>
    <n v="417.17086481436411"/>
    <s v="Forecast"/>
  </r>
  <r>
    <d v="2023-10-27T00:00:00"/>
    <x v="7"/>
    <n v="6"/>
    <n v="10"/>
    <x v="42"/>
    <x v="3"/>
    <m/>
    <n v="290.11093780034582"/>
    <n v="261.09984402031125"/>
    <n v="232.08875024027668"/>
    <n v="232.08875024027668"/>
    <m/>
    <m/>
    <m/>
    <m/>
    <d v="1899-12-30T00:02:46"/>
    <m/>
    <m/>
    <m/>
    <m/>
    <m/>
    <m/>
    <m/>
    <m/>
    <m/>
    <m/>
    <n v="10.717484098018323"/>
    <n v="771.65885505731922"/>
    <n v="2.0095282683784355"/>
    <n v="3"/>
    <n v="182.11269214414429"/>
    <n v="393.84234556215341"/>
    <s v="Forecast"/>
  </r>
  <r>
    <d v="2023-10-28T00:00:00"/>
    <x v="7"/>
    <n v="7"/>
    <n v="10"/>
    <x v="42"/>
    <x v="3"/>
    <m/>
    <n v="296.02392914192433"/>
    <n v="266.42153622773191"/>
    <n v="236.81914331353948"/>
    <n v="236.81914331353948"/>
    <m/>
    <m/>
    <m/>
    <m/>
    <d v="1899-12-30T00:02:46"/>
    <m/>
    <m/>
    <m/>
    <m/>
    <m/>
    <m/>
    <m/>
    <m/>
    <m/>
    <m/>
    <n v="10.947756028781253"/>
    <n v="788.23843407225024"/>
    <n v="2.0527042553964852"/>
    <n v="3"/>
    <n v="185.4988587212649"/>
    <n v="403.28583420422962"/>
    <s v="Forecast"/>
  </r>
  <r>
    <d v="2023-10-29T00:00:00"/>
    <x v="7"/>
    <n v="1"/>
    <n v="10"/>
    <x v="43"/>
    <x v="3"/>
    <m/>
    <n v="205.93719702395279"/>
    <n v="185.34347732155751"/>
    <n v="164.74975761916224"/>
    <n v="164.74975761916224"/>
    <m/>
    <m/>
    <m/>
    <m/>
    <d v="1899-12-30T00:02:47"/>
    <m/>
    <m/>
    <m/>
    <m/>
    <m/>
    <m/>
    <m/>
    <m/>
    <m/>
    <m/>
    <n v="7.6201377104497157"/>
    <n v="548.64991515237955"/>
    <n v="1.4287758207093217"/>
    <n v="2"/>
    <n v="91.215537551457302"/>
    <n v="322.05831738478543"/>
    <s v="Forecast"/>
  </r>
  <r>
    <d v="2023-10-30T00:00:00"/>
    <x v="7"/>
    <n v="2"/>
    <n v="10"/>
    <x v="43"/>
    <x v="3"/>
    <m/>
    <n v="304.22424498093199"/>
    <n v="273.80182048283882"/>
    <n v="243.3793959847456"/>
    <n v="243.3793959847456"/>
    <m/>
    <m/>
    <m/>
    <m/>
    <d v="1899-12-30T00:02:47"/>
    <m/>
    <m/>
    <m/>
    <m/>
    <m/>
    <m/>
    <m/>
    <m/>
    <m/>
    <m/>
    <n v="11.267410206081083"/>
    <n v="811.25353483783795"/>
    <n v="2.1126394136402031"/>
    <n v="3"/>
    <n v="195.51333862435089"/>
    <n v="416.47181455935879"/>
    <s v="Forecast"/>
  </r>
  <r>
    <d v="2023-10-31T00:00:00"/>
    <x v="7"/>
    <n v="3"/>
    <n v="10"/>
    <x v="43"/>
    <x v="3"/>
    <m/>
    <n v="286.46733643087668"/>
    <n v="257.82060278778903"/>
    <n v="229.17386914470137"/>
    <n v="229.17386914470137"/>
    <m/>
    <m/>
    <m/>
    <m/>
    <d v="1899-12-30T00:02:47"/>
    <m/>
    <m/>
    <m/>
    <m/>
    <m/>
    <m/>
    <m/>
    <m/>
    <m/>
    <m/>
    <n v="10.612531003590931"/>
    <n v="764.10223225854702"/>
    <n v="1.9898495631732995"/>
    <n v="2"/>
    <n v="183.28220997699549"/>
    <n v="395.24619840223272"/>
    <s v="Forecast"/>
  </r>
  <r>
    <d v="2023-11-01T00:00:00"/>
    <x v="7"/>
    <n v="4"/>
    <n v="11"/>
    <x v="43"/>
    <x v="3"/>
    <m/>
    <n v="296.89692609690098"/>
    <n v="267.20723348721089"/>
    <n v="237.51754087752079"/>
    <n v="237.51754087752079"/>
    <m/>
    <m/>
    <m/>
    <m/>
    <d v="1899-12-30T00:02:47"/>
    <m/>
    <m/>
    <m/>
    <m/>
    <m/>
    <m/>
    <m/>
    <m/>
    <m/>
    <m/>
    <n v="10.996261343150394"/>
    <n v="791.73081670682836"/>
    <n v="2.0617990018406989"/>
    <n v="3"/>
    <n v="182.64951197762349"/>
    <n v="410.67123721731912"/>
    <s v="Forecast"/>
  </r>
  <r>
    <d v="2023-11-02T00:00:00"/>
    <x v="7"/>
    <n v="5"/>
    <n v="11"/>
    <x v="43"/>
    <x v="3"/>
    <m/>
    <n v="290.2595723042399"/>
    <n v="261.23361507381594"/>
    <n v="232.20765784339193"/>
    <n v="232.20765784339193"/>
    <m/>
    <m/>
    <m/>
    <m/>
    <d v="1899-12-30T00:02:47"/>
    <m/>
    <m/>
    <m/>
    <m/>
    <m/>
    <m/>
    <m/>
    <m/>
    <m/>
    <m/>
    <n v="10.750834264410221"/>
    <n v="774.06006703753587"/>
    <n v="2.0157814245769163"/>
    <n v="3"/>
    <n v="175.00935620710399"/>
    <n v="408.90349186610541"/>
    <s v="Forecast"/>
  </r>
  <r>
    <d v="2023-11-03T00:00:00"/>
    <x v="7"/>
    <n v="6"/>
    <n v="11"/>
    <x v="43"/>
    <x v="3"/>
    <m/>
    <n v="279.46787960197861"/>
    <n v="251.52109164178074"/>
    <n v="223.5743036815829"/>
    <n v="223.5743036815829"/>
    <m/>
    <m/>
    <m/>
    <m/>
    <d v="1899-12-30T00:02:47"/>
    <m/>
    <m/>
    <m/>
    <m/>
    <m/>
    <m/>
    <m/>
    <m/>
    <m/>
    <m/>
    <n v="10.349774130387988"/>
    <n v="745.18373738793514"/>
    <n v="1.9405826494477478"/>
    <n v="2"/>
    <n v="167.82438346479421"/>
    <n v="377.79357487186621"/>
    <s v="Forecast"/>
  </r>
  <r>
    <d v="2023-11-04T00:00:00"/>
    <x v="7"/>
    <n v="7"/>
    <n v="11"/>
    <x v="43"/>
    <x v="3"/>
    <m/>
    <n v="284.6597466441504"/>
    <n v="256.19377197973535"/>
    <n v="227.72779731532034"/>
    <n v="227.72779731532034"/>
    <m/>
    <m/>
    <m/>
    <m/>
    <d v="1899-12-30T00:02:47"/>
    <m/>
    <m/>
    <m/>
    <m/>
    <m/>
    <m/>
    <m/>
    <m/>
    <m/>
    <m/>
    <n v="10.532975580491717"/>
    <n v="758.37424179540358"/>
    <n v="1.9749329213421969"/>
    <n v="2"/>
    <n v="170.6776932485898"/>
    <n v="392.78361652494971"/>
    <s v="Forecast"/>
  </r>
  <r>
    <d v="2023-11-05T00:00:00"/>
    <x v="7"/>
    <n v="1"/>
    <n v="11"/>
    <x v="44"/>
    <x v="3"/>
    <m/>
    <n v="194.0160979487155"/>
    <n v="174.61448815384395"/>
    <n v="155.2128783589724"/>
    <n v="155.2128783589724"/>
    <m/>
    <m/>
    <m/>
    <m/>
    <d v="1899-12-30T00:02:47"/>
    <m/>
    <m/>
    <m/>
    <m/>
    <m/>
    <m/>
    <m/>
    <m/>
    <m/>
    <m/>
    <n v="7.1828122196422743"/>
    <n v="517.16247981424374"/>
    <n v="1.3467772911829263"/>
    <n v="2"/>
    <n v="87.885863357461574"/>
    <n v="312.98162306075278"/>
    <s v="Forecast"/>
  </r>
  <r>
    <d v="2023-11-06T00:00:00"/>
    <x v="7"/>
    <n v="2"/>
    <n v="11"/>
    <x v="44"/>
    <x v="3"/>
    <m/>
    <n v="291.91939979066728"/>
    <n v="262.72745981160057"/>
    <n v="233.53551983253385"/>
    <n v="233.53551983253385"/>
    <m/>
    <m/>
    <m/>
    <m/>
    <d v="1899-12-30T00:02:47"/>
    <m/>
    <m/>
    <m/>
    <m/>
    <m/>
    <m/>
    <m/>
    <m/>
    <m/>
    <m/>
    <n v="10.807118299877617"/>
    <n v="778.11251759118829"/>
    <n v="2.0263346812270528"/>
    <n v="3"/>
    <n v="181.5336872412484"/>
    <n v="402.32873436063687"/>
    <s v="Forecast"/>
  </r>
  <r>
    <d v="2023-11-07T00:00:00"/>
    <x v="7"/>
    <n v="3"/>
    <n v="11"/>
    <x v="44"/>
    <x v="3"/>
    <m/>
    <n v="273.95856395728123"/>
    <n v="246.56270756155311"/>
    <n v="219.16685116582499"/>
    <n v="219.16685116582499"/>
    <m/>
    <m/>
    <m/>
    <m/>
    <d v="1899-12-30T00:02:47"/>
    <m/>
    <m/>
    <m/>
    <m/>
    <m/>
    <m/>
    <m/>
    <m/>
    <m/>
    <m/>
    <n v="10.140254144742137"/>
    <n v="730.09829842143392"/>
    <n v="1.9012976521391509"/>
    <n v="2"/>
    <n v="173.13871061584911"/>
    <n v="392.46388557966799"/>
    <s v="Forecast"/>
  </r>
  <r>
    <d v="2023-11-08T00:00:00"/>
    <x v="7"/>
    <n v="4"/>
    <n v="11"/>
    <x v="44"/>
    <x v="3"/>
    <m/>
    <n v="284.36824833916762"/>
    <n v="255.93142350525088"/>
    <n v="227.4945986713341"/>
    <n v="227.4945986713341"/>
    <m/>
    <m/>
    <m/>
    <m/>
    <d v="1899-12-30T00:02:47"/>
    <m/>
    <m/>
    <m/>
    <m/>
    <m/>
    <m/>
    <m/>
    <m/>
    <m/>
    <m/>
    <n v="10.5229354660665"/>
    <n v="757.65135355678797"/>
    <n v="1.9730503998874687"/>
    <n v="2"/>
    <n v="168.5526411571357"/>
    <n v="397.88664405178241"/>
    <s v="Forecast"/>
  </r>
  <r>
    <d v="2023-11-09T00:00:00"/>
    <x v="7"/>
    <n v="5"/>
    <n v="11"/>
    <x v="44"/>
    <x v="3"/>
    <m/>
    <n v="277.89666890110658"/>
    <n v="250.10700201099593"/>
    <n v="222.31733512088528"/>
    <n v="222.31733512088528"/>
    <m/>
    <m/>
    <m/>
    <m/>
    <d v="1899-12-30T00:02:46"/>
    <m/>
    <m/>
    <m/>
    <m/>
    <m/>
    <m/>
    <m/>
    <m/>
    <m/>
    <m/>
    <n v="10.262980427665997"/>
    <n v="738.93459079195179"/>
    <n v="1.9243088301873745"/>
    <n v="2"/>
    <n v="173.61093157627809"/>
    <n v="392.40020397334922"/>
    <s v="Forecast"/>
  </r>
  <r>
    <d v="2023-11-10T00:00:00"/>
    <x v="7"/>
    <n v="6"/>
    <n v="11"/>
    <x v="44"/>
    <x v="3"/>
    <m/>
    <n v="267.45547518920102"/>
    <n v="240.70992767028093"/>
    <n v="213.96438015136084"/>
    <n v="213.96438015136084"/>
    <m/>
    <m/>
    <m/>
    <m/>
    <d v="1899-12-30T00:02:46"/>
    <m/>
    <m/>
    <m/>
    <m/>
    <m/>
    <m/>
    <m/>
    <m/>
    <m/>
    <m/>
    <n v="9.8608186834431777"/>
    <n v="709.97894520790885"/>
    <n v="1.848903503145596"/>
    <n v="2"/>
    <n v="155.43822898548959"/>
    <n v="378.02960492148378"/>
    <s v="Forecast"/>
  </r>
  <r>
    <d v="2023-11-11T00:00:00"/>
    <x v="7"/>
    <n v="7"/>
    <n v="11"/>
    <x v="44"/>
    <x v="3"/>
    <m/>
    <n v="273.17896675528863"/>
    <n v="245.86107007975977"/>
    <n v="218.54317340423091"/>
    <n v="218.54317340423091"/>
    <m/>
    <m/>
    <m/>
    <m/>
    <d v="1899-12-30T00:02:46"/>
    <m/>
    <m/>
    <m/>
    <m/>
    <m/>
    <m/>
    <m/>
    <m/>
    <m/>
    <m/>
    <n v="10.091077297745082"/>
    <n v="726.55756543764596"/>
    <n v="1.892076993327203"/>
    <n v="2"/>
    <n v="163.00663775757911"/>
    <n v="376.86630575198649"/>
    <s v="Forecast"/>
  </r>
  <r>
    <d v="2023-11-12T00:00:00"/>
    <x v="7"/>
    <n v="1"/>
    <n v="11"/>
    <x v="45"/>
    <x v="3"/>
    <m/>
    <n v="183.24183126350869"/>
    <n v="164.91764813715781"/>
    <n v="146.59346501080697"/>
    <n v="146.59346501080697"/>
    <m/>
    <m/>
    <m/>
    <m/>
    <d v="1899-12-30T00:02:46"/>
    <m/>
    <m/>
    <m/>
    <m/>
    <m/>
    <m/>
    <m/>
    <m/>
    <m/>
    <m/>
    <n v="6.7690007120033409"/>
    <n v="487.36805126424048"/>
    <n v="1.2691876335006262"/>
    <n v="2"/>
    <n v="69.951529778397258"/>
    <n v="288.34807551682349"/>
    <s v="Forecast"/>
  </r>
  <r>
    <d v="2023-11-13T00:00:00"/>
    <x v="7"/>
    <n v="2"/>
    <n v="11"/>
    <x v="45"/>
    <x v="3"/>
    <m/>
    <n v="282.01770624162538"/>
    <n v="253.81593561746286"/>
    <n v="225.61416499330031"/>
    <n v="225.61416499330031"/>
    <m/>
    <m/>
    <m/>
    <m/>
    <d v="1899-12-30T00:02:46"/>
    <m/>
    <m/>
    <m/>
    <m/>
    <m/>
    <m/>
    <m/>
    <m/>
    <m/>
    <m/>
    <n v="10.418025544073732"/>
    <n v="750.09783917330867"/>
    <n v="1.9533797895138247"/>
    <n v="2"/>
    <n v="175.38462710601479"/>
    <n v="390.60692700868901"/>
    <s v="Forecast"/>
  </r>
  <r>
    <d v="2023-11-14T00:00:00"/>
    <x v="7"/>
    <n v="3"/>
    <n v="11"/>
    <x v="45"/>
    <x v="3"/>
    <m/>
    <n v="265.08416942769918"/>
    <n v="238.57575248492927"/>
    <n v="212.06733554215936"/>
    <n v="212.06733554215936"/>
    <m/>
    <m/>
    <m/>
    <m/>
    <d v="1899-12-30T00:02:46"/>
    <m/>
    <m/>
    <m/>
    <m/>
    <m/>
    <m/>
    <m/>
    <m/>
    <m/>
    <m/>
    <n v="9.7926911502399037"/>
    <n v="705.07376281727306"/>
    <n v="1.8361295906699819"/>
    <n v="2"/>
    <n v="150.11750583617291"/>
    <n v="375.5054874543485"/>
    <s v="Forecast"/>
  </r>
  <r>
    <d v="2023-11-15T00:00:00"/>
    <x v="7"/>
    <n v="4"/>
    <n v="11"/>
    <x v="45"/>
    <x v="3"/>
    <m/>
    <n v="276.66216729682401"/>
    <n v="248.99595056714162"/>
    <n v="221.32973383745923"/>
    <n v="221.32973383745923"/>
    <m/>
    <m/>
    <m/>
    <m/>
    <d v="1899-12-30T00:02:46"/>
    <m/>
    <m/>
    <m/>
    <m/>
    <m/>
    <m/>
    <m/>
    <m/>
    <m/>
    <m/>
    <n v="10.220655497517214"/>
    <n v="735.8871958212394"/>
    <n v="1.9163729057844776"/>
    <n v="2"/>
    <n v="165.8832112210865"/>
    <n v="384.59954929781549"/>
    <s v="Forecast"/>
  </r>
  <r>
    <d v="2023-11-16T00:00:00"/>
    <x v="7"/>
    <n v="5"/>
    <n v="11"/>
    <x v="45"/>
    <x v="3"/>
    <m/>
    <n v="271.48399625713267"/>
    <n v="244.33559663141941"/>
    <n v="217.18719700570614"/>
    <n v="217.18719700570614"/>
    <m/>
    <m/>
    <m/>
    <m/>
    <d v="1899-12-30T00:02:46"/>
    <m/>
    <m/>
    <m/>
    <m/>
    <m/>
    <m/>
    <m/>
    <m/>
    <m/>
    <m/>
    <n v="10.029652590333496"/>
    <n v="722.13498650401175"/>
    <n v="1.8805598606875307"/>
    <n v="2"/>
    <n v="155.9011965593069"/>
    <n v="381.34031471677872"/>
    <s v="Forecast"/>
  </r>
  <r>
    <d v="2023-11-17T00:00:00"/>
    <x v="7"/>
    <n v="6"/>
    <n v="11"/>
    <x v="45"/>
    <x v="3"/>
    <m/>
    <n v="262.44338785352522"/>
    <n v="236.19904906817271"/>
    <n v="209.9547102828202"/>
    <n v="209.9547102828202"/>
    <m/>
    <m/>
    <m/>
    <m/>
    <d v="1899-12-30T00:02:46"/>
    <m/>
    <m/>
    <m/>
    <m/>
    <m/>
    <m/>
    <m/>
    <m/>
    <m/>
    <m/>
    <n v="9.6959554464241879"/>
    <n v="698.10879214254146"/>
    <n v="1.8179916462045351"/>
    <n v="2"/>
    <n v="145.07629522824851"/>
    <n v="378.40730561734608"/>
    <s v="Forecast"/>
  </r>
  <r>
    <d v="2023-11-18T00:00:00"/>
    <x v="7"/>
    <n v="7"/>
    <n v="11"/>
    <x v="45"/>
    <x v="3"/>
    <m/>
    <n v="269.65497373482498"/>
    <n v="242.68947636134249"/>
    <n v="215.72397898785999"/>
    <n v="215.72397898785999"/>
    <m/>
    <m/>
    <m/>
    <m/>
    <d v="1899-12-30T00:02:46"/>
    <m/>
    <m/>
    <m/>
    <m/>
    <m/>
    <m/>
    <m/>
    <m/>
    <m/>
    <m/>
    <n v="9.9626289631998812"/>
    <n v="717.30928535039141"/>
    <n v="1.8679929305999776"/>
    <n v="2"/>
    <n v="157.33465491884289"/>
    <n v="387.86385255716061"/>
    <s v="Forecast"/>
  </r>
  <r>
    <d v="2023-11-19T00:00:00"/>
    <x v="7"/>
    <n v="1"/>
    <n v="11"/>
    <x v="46"/>
    <x v="3"/>
    <m/>
    <n v="181.27230866391179"/>
    <n v="163.1450777975206"/>
    <n v="145.01784693112944"/>
    <n v="145.01784693112944"/>
    <m/>
    <m/>
    <m/>
    <m/>
    <d v="1899-12-30T00:02:46"/>
    <m/>
    <m/>
    <m/>
    <m/>
    <m/>
    <m/>
    <m/>
    <m/>
    <m/>
    <m/>
    <n v="6.6974361836413303"/>
    <n v="482.21540522217578"/>
    <n v="1.2557692844327495"/>
    <n v="2"/>
    <n v="70.497453937208363"/>
    <n v="297.24505319084989"/>
    <s v="Forecast"/>
  </r>
  <r>
    <d v="2023-11-20T00:00:00"/>
    <x v="7"/>
    <n v="2"/>
    <n v="11"/>
    <x v="46"/>
    <x v="3"/>
    <m/>
    <n v="281.64675016279858"/>
    <n v="253.48207514651872"/>
    <n v="225.31740013023887"/>
    <n v="225.31740013023887"/>
    <m/>
    <m/>
    <m/>
    <m/>
    <d v="1899-12-30T00:02:46"/>
    <m/>
    <m/>
    <m/>
    <m/>
    <m/>
    <m/>
    <m/>
    <m/>
    <m/>
    <m/>
    <n v="10.406240193331177"/>
    <n v="749.24929391984472"/>
    <n v="1.9511700362495956"/>
    <n v="2"/>
    <n v="172.28642422285111"/>
    <n v="391.15509116131301"/>
    <s v="Forecast"/>
  </r>
  <r>
    <d v="2023-11-21T00:00:00"/>
    <x v="7"/>
    <n v="3"/>
    <n v="11"/>
    <x v="46"/>
    <x v="3"/>
    <m/>
    <n v="266.33279549897043"/>
    <n v="239.6995159490734"/>
    <n v="213.06623639917635"/>
    <n v="213.06623639917635"/>
    <m/>
    <m/>
    <m/>
    <m/>
    <d v="1899-12-30T00:02:46"/>
    <m/>
    <m/>
    <m/>
    <m/>
    <m/>
    <m/>
    <m/>
    <m/>
    <m/>
    <m/>
    <n v="9.8406306279887179"/>
    <n v="708.52540521518756"/>
    <n v="1.8451182427478843"/>
    <n v="2"/>
    <n v="154.0199946998128"/>
    <n v="377.6397339720171"/>
    <s v="Forecast"/>
  </r>
  <r>
    <d v="2023-11-22T00:00:00"/>
    <x v="7"/>
    <n v="4"/>
    <n v="11"/>
    <x v="46"/>
    <x v="3"/>
    <m/>
    <n v="279.52788048367972"/>
    <n v="251.57509243531175"/>
    <n v="223.6223043869438"/>
    <n v="223.6223043869438"/>
    <m/>
    <m/>
    <m/>
    <m/>
    <d v="1899-12-30T00:02:46"/>
    <m/>
    <m/>
    <m/>
    <m/>
    <m/>
    <m/>
    <m/>
    <m/>
    <m/>
    <m/>
    <n v="10.328500380323877"/>
    <n v="743.65202738331914"/>
    <n v="1.936593821310727"/>
    <n v="2"/>
    <n v="163.91882897563011"/>
    <n v="381.9180308257703"/>
    <s v="Forecast"/>
  </r>
  <r>
    <d v="2023-11-23T00:00:00"/>
    <x v="7"/>
    <n v="5"/>
    <n v="11"/>
    <x v="46"/>
    <x v="3"/>
    <m/>
    <n v="275.94074866480929"/>
    <n v="248.34667379832837"/>
    <n v="220.75259893184744"/>
    <n v="220.75259893184744"/>
    <m/>
    <m/>
    <m/>
    <m/>
    <d v="1899-12-30T00:02:46"/>
    <m/>
    <m/>
    <m/>
    <m/>
    <m/>
    <m/>
    <m/>
    <m/>
    <m/>
    <m/>
    <n v="10.196388240791174"/>
    <n v="734.13995333696448"/>
    <n v="1.9118227951483451"/>
    <n v="2"/>
    <n v="173.99172132034781"/>
    <n v="387.30252123788028"/>
    <s v="Forecast"/>
  </r>
  <r>
    <d v="2023-11-24T00:00:00"/>
    <x v="7"/>
    <n v="6"/>
    <n v="11"/>
    <x v="46"/>
    <x v="3"/>
    <m/>
    <n v="268.44193560369769"/>
    <n v="241.59774204332791"/>
    <n v="214.75354848295817"/>
    <n v="214.75354848295817"/>
    <m/>
    <m/>
    <m/>
    <m/>
    <d v="1899-12-30T00:02:46"/>
    <m/>
    <m/>
    <m/>
    <m/>
    <m/>
    <m/>
    <m/>
    <m/>
    <m/>
    <m/>
    <n v="9.9197700989232835"/>
    <n v="714.22344712247639"/>
    <n v="1.8599568935481157"/>
    <n v="2"/>
    <n v="157.007384434009"/>
    <n v="379.09885667438772"/>
    <s v="Forecast"/>
  </r>
  <r>
    <d v="2023-11-25T00:00:00"/>
    <x v="7"/>
    <n v="7"/>
    <n v="11"/>
    <x v="46"/>
    <x v="3"/>
    <m/>
    <n v="277.12363673166112"/>
    <n v="249.41127305849503"/>
    <n v="221.6989093853289"/>
    <n v="221.6989093853289"/>
    <m/>
    <m/>
    <m/>
    <m/>
    <d v="1899-12-30T00:02:46"/>
    <m/>
    <m/>
    <m/>
    <m/>
    <m/>
    <m/>
    <m/>
    <m/>
    <m/>
    <m/>
    <n v="10.241082327962626"/>
    <n v="737.35792761330902"/>
    <n v="1.9202029364929922"/>
    <n v="2"/>
    <n v="170.116163348014"/>
    <n v="386.65253209837073"/>
    <s v="Forecast"/>
  </r>
  <r>
    <d v="2023-11-26T00:00:00"/>
    <x v="7"/>
    <n v="1"/>
    <n v="11"/>
    <x v="47"/>
    <x v="3"/>
    <m/>
    <n v="190.1181293063955"/>
    <n v="171.10631637575597"/>
    <n v="152.0945034451164"/>
    <n v="152.0945034451164"/>
    <m/>
    <m/>
    <m/>
    <m/>
    <d v="1899-12-30T00:02:46"/>
    <m/>
    <m/>
    <m/>
    <m/>
    <m/>
    <m/>
    <m/>
    <m/>
    <m/>
    <m/>
    <n v="7.0262570086773062"/>
    <n v="505.89050462476604"/>
    <n v="1.317423189126995"/>
    <n v="2"/>
    <n v="79.260960365650547"/>
    <n v="301.63455799572358"/>
    <s v="Forecast"/>
  </r>
  <r>
    <d v="2023-11-27T00:00:00"/>
    <x v="7"/>
    <n v="2"/>
    <n v="11"/>
    <x v="47"/>
    <x v="3"/>
    <m/>
    <n v="291.75703897186622"/>
    <n v="262.5813350746796"/>
    <n v="233.40563117749298"/>
    <n v="233.40563117749298"/>
    <m/>
    <m/>
    <m/>
    <m/>
    <d v="1899-12-30T00:02:46"/>
    <m/>
    <m/>
    <m/>
    <m/>
    <m/>
    <m/>
    <m/>
    <m/>
    <m/>
    <m/>
    <n v="10.783372711702521"/>
    <n v="776.40283524258143"/>
    <n v="2.0218823834442223"/>
    <n v="3"/>
    <n v="185.69000673143131"/>
    <n v="402.32177461010622"/>
    <s v="Forecast"/>
  </r>
  <r>
    <d v="2023-11-28T00:00:00"/>
    <x v="7"/>
    <n v="3"/>
    <n v="11"/>
    <x v="47"/>
    <x v="3"/>
    <m/>
    <n v="277.5770433687448"/>
    <n v="249.81933903187033"/>
    <n v="222.06163469499586"/>
    <n v="222.06163469499586"/>
    <m/>
    <m/>
    <m/>
    <m/>
    <d v="1899-12-30T00:02:46"/>
    <m/>
    <m/>
    <m/>
    <m/>
    <m/>
    <m/>
    <m/>
    <m/>
    <m/>
    <m/>
    <n v="10.260049336039677"/>
    <n v="738.72355219485667"/>
    <n v="1.9237592505074392"/>
    <n v="2"/>
    <n v="167.5471037419741"/>
    <n v="381.77869190164932"/>
    <s v="Forecast"/>
  </r>
  <r>
    <d v="2023-11-29T00:00:00"/>
    <x v="7"/>
    <n v="4"/>
    <n v="11"/>
    <x v="47"/>
    <x v="3"/>
    <m/>
    <n v="291.76000904909432"/>
    <n v="262.58400814418491"/>
    <n v="233.40800723927546"/>
    <n v="233.40800723927546"/>
    <m/>
    <m/>
    <m/>
    <m/>
    <d v="1899-12-30T00:02:46"/>
    <m/>
    <m/>
    <m/>
    <m/>
    <m/>
    <m/>
    <m/>
    <m/>
    <m/>
    <m/>
    <n v="10.785150254759339"/>
    <n v="776.53081834267232"/>
    <n v="2.0222156727673757"/>
    <n v="3"/>
    <n v="175.9988611287495"/>
    <n v="405.63801214750208"/>
    <s v="Forecast"/>
  </r>
  <r>
    <d v="2023-11-30T00:00:00"/>
    <x v="7"/>
    <n v="5"/>
    <n v="11"/>
    <x v="47"/>
    <x v="3"/>
    <m/>
    <n v="289.00166228581321"/>
    <n v="260.10149605723188"/>
    <n v="231.20132982865059"/>
    <n v="231.20132982865059"/>
    <m/>
    <m/>
    <m/>
    <m/>
    <d v="1899-12-30T00:02:46"/>
    <m/>
    <m/>
    <m/>
    <m/>
    <m/>
    <m/>
    <m/>
    <m/>
    <m/>
    <m/>
    <n v="10.684032294949265"/>
    <n v="769.25032523634707"/>
    <n v="2.003256055302987"/>
    <n v="3"/>
    <n v="180.79994607713721"/>
    <n v="402.27797788706158"/>
    <s v="Forecast"/>
  </r>
  <r>
    <d v="2023-12-01T00:00:00"/>
    <x v="7"/>
    <n v="6"/>
    <n v="12"/>
    <x v="47"/>
    <x v="3"/>
    <m/>
    <n v="282.16233093134122"/>
    <n v="253.94609783820709"/>
    <n v="225.72986474507297"/>
    <n v="225.72986474507297"/>
    <m/>
    <m/>
    <m/>
    <m/>
    <d v="1899-12-30T00:02:46"/>
    <m/>
    <m/>
    <m/>
    <m/>
    <m/>
    <m/>
    <m/>
    <m/>
    <m/>
    <m/>
    <n v="10.432069181465145"/>
    <n v="751.10898106549041"/>
    <n v="1.9560129715247145"/>
    <n v="2"/>
    <n v="175.1511480810168"/>
    <n v="396.42654446410552"/>
    <s v="Forecast"/>
  </r>
  <r>
    <d v="2023-12-02T00:00:00"/>
    <x v="7"/>
    <n v="7"/>
    <n v="12"/>
    <x v="47"/>
    <x v="3"/>
    <m/>
    <n v="291.32701893213351"/>
    <n v="262.19431703892019"/>
    <n v="233.06161514570681"/>
    <n v="233.06161514570681"/>
    <m/>
    <m/>
    <m/>
    <m/>
    <d v="1899-12-30T00:02:46"/>
    <m/>
    <m/>
    <m/>
    <m/>
    <m/>
    <m/>
    <m/>
    <m/>
    <m/>
    <m/>
    <n v="10.771809797165627"/>
    <n v="775.57030539592517"/>
    <n v="2.0197143369685553"/>
    <n v="3"/>
    <n v="178.6739958743776"/>
    <n v="401.10588745219673"/>
    <s v="Forecast"/>
  </r>
  <r>
    <d v="2023-12-03T00:00:00"/>
    <x v="7"/>
    <n v="1"/>
    <n v="12"/>
    <x v="48"/>
    <x v="3"/>
    <m/>
    <n v="204.6239780091453"/>
    <n v="184.16158020823079"/>
    <n v="163.69918240731624"/>
    <n v="163.69918240731624"/>
    <m/>
    <m/>
    <m/>
    <m/>
    <d v="1899-12-30T00:02:46"/>
    <m/>
    <m/>
    <m/>
    <m/>
    <m/>
    <m/>
    <m/>
    <m/>
    <m/>
    <m/>
    <n v="7.5666049447800088"/>
    <n v="544.79555602416065"/>
    <n v="1.4187384271462518"/>
    <n v="2"/>
    <n v="94.66562051005009"/>
    <n v="316.14716480807232"/>
    <s v="Forecast"/>
  </r>
  <r>
    <d v="2023-12-04T00:00:00"/>
    <x v="7"/>
    <n v="2"/>
    <n v="12"/>
    <x v="48"/>
    <x v="3"/>
    <m/>
    <n v="306.38406204598289"/>
    <n v="275.74565584138463"/>
    <n v="245.10724963678632"/>
    <n v="245.10724963678632"/>
    <m/>
    <m/>
    <m/>
    <m/>
    <d v="1899-12-30T00:02:46"/>
    <m/>
    <m/>
    <m/>
    <m/>
    <m/>
    <m/>
    <m/>
    <m/>
    <m/>
    <m/>
    <n v="11.330410512717341"/>
    <n v="815.78955691564852"/>
    <n v="2.1244519711345013"/>
    <n v="3"/>
    <n v="194.7588040735443"/>
    <n v="414.38391904603378"/>
    <s v="Forecast"/>
  </r>
  <r>
    <d v="2023-12-05T00:00:00"/>
    <x v="7"/>
    <n v="3"/>
    <n v="12"/>
    <x v="48"/>
    <x v="3"/>
    <m/>
    <n v="292.14645290917122"/>
    <n v="262.93180761825408"/>
    <n v="233.71716232733698"/>
    <n v="233.71716232733698"/>
    <m/>
    <m/>
    <m/>
    <m/>
    <d v="1899-12-30T00:02:46"/>
    <m/>
    <m/>
    <m/>
    <m/>
    <m/>
    <m/>
    <m/>
    <m/>
    <m/>
    <m/>
    <n v="10.804663852587126"/>
    <n v="777.93579738627307"/>
    <n v="2.0258744723600861"/>
    <n v="3"/>
    <n v="186.86436561001449"/>
    <n v="397.84028933875697"/>
    <s v="Forecast"/>
  </r>
  <r>
    <d v="2023-12-06T00:00:00"/>
    <x v="7"/>
    <n v="4"/>
    <n v="12"/>
    <x v="48"/>
    <x v="3"/>
    <m/>
    <n v="306.09875163036901"/>
    <n v="275.48887646733209"/>
    <n v="244.87900130429523"/>
    <n v="244.87900130429523"/>
    <m/>
    <m/>
    <m/>
    <m/>
    <d v="1899-12-30T00:02:46"/>
    <m/>
    <m/>
    <m/>
    <m/>
    <m/>
    <m/>
    <m/>
    <m/>
    <m/>
    <m/>
    <n v="11.321449403822287"/>
    <n v="815.14435707520454"/>
    <n v="2.1227717632166785"/>
    <n v="3"/>
    <n v="205.5621611140329"/>
    <n v="409.79619163331489"/>
    <s v="Forecast"/>
  </r>
  <r>
    <d v="2023-12-07T00:00:00"/>
    <x v="7"/>
    <n v="5"/>
    <n v="12"/>
    <x v="48"/>
    <x v="3"/>
    <m/>
    <n v="302.94553472030373"/>
    <n v="272.65098124827335"/>
    <n v="242.35642777624298"/>
    <n v="242.35642777624298"/>
    <m/>
    <m/>
    <m/>
    <m/>
    <d v="1899-12-30T00:02:46"/>
    <m/>
    <m/>
    <m/>
    <m/>
    <m/>
    <m/>
    <m/>
    <m/>
    <m/>
    <m/>
    <n v="11.205558096077516"/>
    <n v="806.80018291758108"/>
    <n v="2.1010421430145341"/>
    <n v="3"/>
    <n v="191.63068698198151"/>
    <n v="416.5244651897429"/>
    <s v="Forecast"/>
  </r>
  <r>
    <d v="2023-12-08T00:00:00"/>
    <x v="7"/>
    <n v="6"/>
    <n v="12"/>
    <x v="48"/>
    <x v="3"/>
    <m/>
    <n v="295.55891355097509"/>
    <n v="266.00302219587758"/>
    <n v="236.44713084078009"/>
    <n v="236.44713084078009"/>
    <m/>
    <m/>
    <m/>
    <m/>
    <d v="1899-12-30T00:02:46"/>
    <m/>
    <m/>
    <m/>
    <m/>
    <m/>
    <m/>
    <m/>
    <m/>
    <m/>
    <m/>
    <n v="10.933006676380797"/>
    <n v="787.17648069941743"/>
    <n v="2.0499387518213994"/>
    <n v="3"/>
    <n v="189.73258848538561"/>
    <n v="410.02848364202612"/>
    <s v="Forecast"/>
  </r>
  <r>
    <d v="2023-12-09T00:00:00"/>
    <x v="7"/>
    <n v="7"/>
    <n v="12"/>
    <x v="48"/>
    <x v="3"/>
    <m/>
    <n v="304.03836086036517"/>
    <n v="273.63452477432867"/>
    <n v="243.23068868829216"/>
    <n v="243.23068868829216"/>
    <m/>
    <m/>
    <m/>
    <m/>
    <d v="1899-12-30T00:02:46"/>
    <m/>
    <m/>
    <m/>
    <m/>
    <m/>
    <m/>
    <m/>
    <m/>
    <m/>
    <m/>
    <n v="11.247339496256989"/>
    <n v="809.8084437305032"/>
    <n v="2.1088761555481854"/>
    <n v="3"/>
    <n v="197.82745108637789"/>
    <n v="410.43935816475789"/>
    <s v="Forecast"/>
  </r>
  <r>
    <d v="2023-12-10T00:00:00"/>
    <x v="7"/>
    <n v="1"/>
    <n v="12"/>
    <x v="49"/>
    <x v="3"/>
    <m/>
    <n v="216.5289729740505"/>
    <n v="194.87607567664546"/>
    <n v="173.22317837924041"/>
    <n v="173.22317837924041"/>
    <m/>
    <m/>
    <m/>
    <m/>
    <d v="1899-12-30T00:02:46"/>
    <m/>
    <m/>
    <m/>
    <m/>
    <m/>
    <m/>
    <m/>
    <m/>
    <m/>
    <m/>
    <n v="8.0106001102711648"/>
    <n v="576.7632079395238"/>
    <n v="1.5019875206758433"/>
    <n v="2"/>
    <n v="105.3773263036631"/>
    <n v="329.96240897524291"/>
    <s v="Forecast"/>
  </r>
  <r>
    <d v="2023-12-11T00:00:00"/>
    <x v="7"/>
    <n v="2"/>
    <n v="12"/>
    <x v="49"/>
    <x v="3"/>
    <m/>
    <n v="317.38045901553261"/>
    <n v="285.64241311397933"/>
    <n v="253.90436721242611"/>
    <n v="253.90436721242611"/>
    <m/>
    <m/>
    <m/>
    <m/>
    <d v="1899-12-30T00:02:46"/>
    <m/>
    <m/>
    <m/>
    <m/>
    <m/>
    <m/>
    <m/>
    <m/>
    <m/>
    <m/>
    <n v="11.742305325790463"/>
    <n v="845.44598345691338"/>
    <n v="2.2016822485857119"/>
    <n v="3"/>
    <n v="200.4777870928973"/>
    <n v="423.98115818140138"/>
    <s v="Forecast"/>
  </r>
  <r>
    <d v="2023-12-12T00:00:00"/>
    <x v="7"/>
    <n v="3"/>
    <n v="12"/>
    <x v="49"/>
    <x v="3"/>
    <m/>
    <n v="302.15245308655238"/>
    <n v="271.93720777789713"/>
    <n v="241.72196246924193"/>
    <n v="241.72196246924193"/>
    <m/>
    <m/>
    <m/>
    <m/>
    <d v="1899-12-30T00:02:46"/>
    <m/>
    <m/>
    <m/>
    <m/>
    <m/>
    <m/>
    <m/>
    <m/>
    <m/>
    <m/>
    <n v="11.179513053466232"/>
    <n v="804.92493984956877"/>
    <n v="2.0961586975249187"/>
    <n v="3"/>
    <n v="196.09254039021749"/>
    <n v="417.85209621098483"/>
    <s v="Forecast"/>
  </r>
  <r>
    <d v="2023-12-13T00:00:00"/>
    <x v="7"/>
    <n v="4"/>
    <n v="12"/>
    <x v="49"/>
    <x v="3"/>
    <m/>
    <n v="315.0541520234255"/>
    <n v="283.54873682108297"/>
    <n v="252.04332161874041"/>
    <n v="252.04332161874041"/>
    <m/>
    <m/>
    <m/>
    <m/>
    <d v="1899-12-30T00:02:47"/>
    <m/>
    <m/>
    <m/>
    <m/>
    <m/>
    <m/>
    <m/>
    <m/>
    <m/>
    <m/>
    <n v="11.657512136921005"/>
    <n v="839.34087385831231"/>
    <n v="2.1857835256726883"/>
    <n v="3"/>
    <n v="202.0356525324359"/>
    <n v="424.48031329918001"/>
    <s v="Forecast"/>
  </r>
  <r>
    <d v="2023-12-14T00:00:00"/>
    <x v="7"/>
    <n v="5"/>
    <n v="12"/>
    <x v="49"/>
    <x v="3"/>
    <m/>
    <n v="310.81238841329127"/>
    <n v="279.73114957196213"/>
    <n v="248.64991073063302"/>
    <n v="248.64991073063302"/>
    <m/>
    <m/>
    <m/>
    <m/>
    <d v="1899-12-30T00:02:47"/>
    <m/>
    <m/>
    <m/>
    <m/>
    <m/>
    <m/>
    <m/>
    <m/>
    <m/>
    <m/>
    <n v="11.501238097906803"/>
    <n v="828.08914304928987"/>
    <n v="2.1564821433575259"/>
    <n v="3"/>
    <n v="205.70604728468791"/>
    <n v="424.1264715764006"/>
    <s v="Forecast"/>
  </r>
  <r>
    <d v="2023-12-15T00:00:00"/>
    <x v="7"/>
    <n v="6"/>
    <n v="12"/>
    <x v="49"/>
    <x v="3"/>
    <m/>
    <n v="302.32168776496388"/>
    <n v="272.08951898846749"/>
    <n v="241.85735021197112"/>
    <n v="241.85735021197112"/>
    <m/>
    <m/>
    <m/>
    <m/>
    <d v="1899-12-30T00:02:47"/>
    <m/>
    <m/>
    <m/>
    <m/>
    <m/>
    <m/>
    <m/>
    <m/>
    <m/>
    <m/>
    <n v="11.187689495528145"/>
    <n v="805.51364367802648"/>
    <n v="2.0976917804115272"/>
    <n v="3"/>
    <n v="181.5606250474741"/>
    <n v="409.90006965722972"/>
    <s v="Forecast"/>
  </r>
  <r>
    <d v="2023-12-16T00:00:00"/>
    <x v="7"/>
    <n v="7"/>
    <n v="12"/>
    <x v="49"/>
    <x v="3"/>
    <m/>
    <n v="309.70358561644889"/>
    <n v="278.73322705480399"/>
    <n v="247.76286849315912"/>
    <n v="247.76286849315912"/>
    <m/>
    <m/>
    <m/>
    <m/>
    <d v="1899-12-30T00:02:47"/>
    <m/>
    <m/>
    <m/>
    <m/>
    <m/>
    <m/>
    <m/>
    <m/>
    <m/>
    <m/>
    <n v="11.461395406095198"/>
    <n v="825.22046923885421"/>
    <n v="2.1490116386428495"/>
    <n v="3"/>
    <n v="200.84311982569349"/>
    <n v="420.88839600605542"/>
    <s v="Forecast"/>
  </r>
  <r>
    <d v="2023-12-17T00:00:00"/>
    <x v="7"/>
    <n v="1"/>
    <n v="12"/>
    <x v="50"/>
    <x v="3"/>
    <m/>
    <n v="221.12438542861"/>
    <n v="199.01194688574901"/>
    <n v="176.899508342888"/>
    <n v="176.899508342888"/>
    <m/>
    <m/>
    <m/>
    <m/>
    <d v="1899-12-30T00:02:47"/>
    <m/>
    <m/>
    <m/>
    <m/>
    <m/>
    <m/>
    <m/>
    <m/>
    <m/>
    <m/>
    <n v="8.1837640779237883"/>
    <n v="589.23101361051272"/>
    <n v="1.5344557646107102"/>
    <n v="2"/>
    <n v="100.84397451199079"/>
    <n v="333.43958280192851"/>
    <s v="Forecast"/>
  </r>
  <r>
    <d v="2023-12-18T00:00:00"/>
    <x v="7"/>
    <n v="2"/>
    <n v="12"/>
    <x v="50"/>
    <x v="3"/>
    <m/>
    <n v="320.95366097907072"/>
    <n v="288.85829488116366"/>
    <n v="256.7629287832566"/>
    <n v="256.7629287832566"/>
    <m/>
    <m/>
    <m/>
    <m/>
    <d v="1899-12-30T00:02:47"/>
    <m/>
    <m/>
    <m/>
    <m/>
    <m/>
    <m/>
    <m/>
    <m/>
    <m/>
    <m/>
    <n v="11.878984984021919"/>
    <n v="855.28691884957823"/>
    <n v="2.2273096845041098"/>
    <n v="3"/>
    <n v="213.30924666830049"/>
    <n v="433.02183050166099"/>
    <s v="Forecast"/>
  </r>
  <r>
    <d v="2023-12-19T00:00:00"/>
    <x v="7"/>
    <n v="3"/>
    <n v="12"/>
    <x v="50"/>
    <x v="3"/>
    <m/>
    <n v="304.76911158773788"/>
    <n v="274.29220042896412"/>
    <n v="243.81528927019031"/>
    <n v="243.81528927019031"/>
    <m/>
    <m/>
    <m/>
    <m/>
    <d v="1899-12-30T00:02:47"/>
    <m/>
    <m/>
    <m/>
    <m/>
    <m/>
    <m/>
    <m/>
    <m/>
    <m/>
    <m/>
    <n v="11.280356458098135"/>
    <n v="812.18566498306564"/>
    <n v="2.1150668358933999"/>
    <n v="3"/>
    <n v="193.74730894992479"/>
    <n v="417.40861335227828"/>
    <s v="Forecast"/>
  </r>
  <r>
    <d v="2023-12-20T00:00:00"/>
    <x v="7"/>
    <n v="4"/>
    <n v="12"/>
    <x v="50"/>
    <x v="3"/>
    <m/>
    <n v="316.79578467919191"/>
    <n v="285.11620621127275"/>
    <n v="253.43662774335354"/>
    <n v="253.43662774335354"/>
    <m/>
    <m/>
    <m/>
    <m/>
    <d v="1899-12-30T00:02:47"/>
    <m/>
    <m/>
    <m/>
    <m/>
    <m/>
    <m/>
    <m/>
    <m/>
    <m/>
    <m/>
    <n v="11.725884504358801"/>
    <n v="844.26368431383366"/>
    <n v="2.198603344567275"/>
    <n v="3"/>
    <n v="198.45006145069399"/>
    <n v="429.3608174010501"/>
    <s v="Forecast"/>
  </r>
  <r>
    <d v="2023-12-21T00:00:00"/>
    <x v="7"/>
    <n v="5"/>
    <n v="12"/>
    <x v="50"/>
    <x v="3"/>
    <m/>
    <n v="311.77378651452148"/>
    <n v="280.59640786306932"/>
    <n v="249.41902921161719"/>
    <n v="249.41902921161719"/>
    <m/>
    <m/>
    <m/>
    <m/>
    <d v="1899-12-30T00:02:47"/>
    <m/>
    <m/>
    <m/>
    <m/>
    <m/>
    <m/>
    <m/>
    <m/>
    <m/>
    <m/>
    <n v="11.540270080982722"/>
    <n v="830.89944583075589"/>
    <n v="2.16380064018426"/>
    <n v="3"/>
    <n v="197.7691675242925"/>
    <n v="424.02314977341979"/>
    <s v="Forecast"/>
  </r>
  <r>
    <d v="2023-12-22T00:00:00"/>
    <x v="7"/>
    <n v="6"/>
    <n v="12"/>
    <x v="50"/>
    <x v="3"/>
    <m/>
    <n v="302.60804004576897"/>
    <n v="272.3472360411921"/>
    <n v="242.08643203661518"/>
    <n v="242.08643203661518"/>
    <m/>
    <m/>
    <m/>
    <m/>
    <d v="1899-12-30T00:02:47"/>
    <m/>
    <m/>
    <m/>
    <m/>
    <m/>
    <m/>
    <m/>
    <m/>
    <m/>
    <m/>
    <n v="11.201305722807954"/>
    <n v="806.4940120421727"/>
    <n v="2.1002448230264914"/>
    <n v="3"/>
    <n v="190.099401978895"/>
    <n v="421.83444730295639"/>
    <s v="Forecast"/>
  </r>
  <r>
    <d v="2023-12-23T00:00:00"/>
    <x v="7"/>
    <n v="7"/>
    <n v="12"/>
    <x v="50"/>
    <x v="3"/>
    <m/>
    <n v="309.42737436741572"/>
    <n v="278.48463693067418"/>
    <n v="247.54189949393259"/>
    <n v="247.54189949393259"/>
    <m/>
    <m/>
    <m/>
    <m/>
    <d v="1899-12-30T00:02:47"/>
    <m/>
    <m/>
    <m/>
    <m/>
    <m/>
    <m/>
    <m/>
    <m/>
    <m/>
    <m/>
    <n v="11.453911271768241"/>
    <n v="824.68161156731333"/>
    <n v="2.1476083634565453"/>
    <n v="3"/>
    <n v="203.74910600671771"/>
    <n v="424.85911737446952"/>
    <s v="Forecast"/>
  </r>
  <r>
    <d v="2023-12-24T00:00:00"/>
    <x v="7"/>
    <n v="1"/>
    <n v="12"/>
    <x v="51"/>
    <x v="3"/>
    <m/>
    <n v="220.40213366008089"/>
    <n v="198.3619202940728"/>
    <n v="176.32170692806471"/>
    <n v="176.32170692806471"/>
    <m/>
    <m/>
    <m/>
    <m/>
    <d v="1899-12-30T00:02:47"/>
    <m/>
    <m/>
    <m/>
    <m/>
    <m/>
    <m/>
    <m/>
    <m/>
    <m/>
    <m/>
    <n v="8.1586399885868612"/>
    <n v="587.42207917825397"/>
    <n v="1.5297449978600364"/>
    <n v="2"/>
    <n v="108.7036189843229"/>
    <n v="322.84269974137402"/>
    <s v="Forecast"/>
  </r>
  <r>
    <d v="2023-12-25T00:00:00"/>
    <x v="7"/>
    <n v="2"/>
    <n v="12"/>
    <x v="51"/>
    <x v="3"/>
    <m/>
    <n v="319.90261449823498"/>
    <n v="287.91235304841149"/>
    <n v="255.922091598588"/>
    <n v="255.922091598588"/>
    <m/>
    <m/>
    <m/>
    <m/>
    <d v="1899-12-30T00:02:47"/>
    <m/>
    <m/>
    <m/>
    <m/>
    <m/>
    <m/>
    <m/>
    <m/>
    <m/>
    <m/>
    <n v="11.841981501981724"/>
    <n v="852.62266814268412"/>
    <n v="2.2203715316215731"/>
    <n v="3"/>
    <n v="210.81137440404299"/>
    <n v="434.21607923774093"/>
    <s v="Forecast"/>
  </r>
  <r>
    <d v="2023-12-26T00:00:00"/>
    <x v="7"/>
    <n v="3"/>
    <n v="12"/>
    <x v="51"/>
    <x v="3"/>
    <m/>
    <n v="303.5039429560702"/>
    <n v="273.15354866046317"/>
    <n v="242.80315436485617"/>
    <n v="242.80315436485617"/>
    <m/>
    <m/>
    <m/>
    <m/>
    <d v="1899-12-30T00:02:47"/>
    <m/>
    <m/>
    <m/>
    <m/>
    <m/>
    <m/>
    <m/>
    <m/>
    <m/>
    <m/>
    <n v="11.235021320035861"/>
    <n v="808.92153504258192"/>
    <n v="2.1065664975067238"/>
    <n v="3"/>
    <n v="194.0159524597064"/>
    <n v="413.93286357843982"/>
    <s v="Forecast"/>
  </r>
  <r>
    <d v="2023-12-27T00:00:00"/>
    <x v="7"/>
    <n v="4"/>
    <n v="12"/>
    <x v="51"/>
    <x v="3"/>
    <m/>
    <n v="315.42540689798813"/>
    <n v="283.88286620818934"/>
    <n v="252.3403255183905"/>
    <n v="252.3403255183905"/>
    <m/>
    <m/>
    <m/>
    <m/>
    <d v="1899-12-30T00:02:47"/>
    <m/>
    <m/>
    <m/>
    <m/>
    <m/>
    <m/>
    <m/>
    <m/>
    <m/>
    <m/>
    <n v="11.676410675526112"/>
    <n v="840.70156863788009"/>
    <n v="2.1893270016611459"/>
    <n v="3"/>
    <n v="195.58687262374059"/>
    <n v="429.92654740667592"/>
    <s v="Forecast"/>
  </r>
  <r>
    <d v="2023-12-28T00:00:00"/>
    <x v="7"/>
    <n v="5"/>
    <n v="12"/>
    <x v="51"/>
    <x v="3"/>
    <m/>
    <n v="310.39836287473452"/>
    <n v="279.35852658726105"/>
    <n v="248.31869029978762"/>
    <n v="248.31869029978762"/>
    <m/>
    <m/>
    <m/>
    <m/>
    <d v="1899-12-30T00:02:47"/>
    <m/>
    <m/>
    <m/>
    <m/>
    <m/>
    <m/>
    <m/>
    <m/>
    <m/>
    <m/>
    <n v="11.490376332649312"/>
    <n v="827.30709595075052"/>
    <n v="2.154445562371746"/>
    <n v="3"/>
    <n v="202.3059901888127"/>
    <n v="421.77828037394761"/>
    <s v="Forecast"/>
  </r>
  <r>
    <d v="2023-12-29T00:00:00"/>
    <x v="7"/>
    <n v="6"/>
    <n v="12"/>
    <x v="51"/>
    <x v="3"/>
    <m/>
    <n v="301.31627285553122"/>
    <n v="271.1846455699781"/>
    <n v="241.05301828442498"/>
    <n v="241.05301828442498"/>
    <m/>
    <m/>
    <m/>
    <m/>
    <d v="1899-12-30T00:02:47"/>
    <m/>
    <m/>
    <m/>
    <m/>
    <m/>
    <m/>
    <m/>
    <m/>
    <m/>
    <m/>
    <n v="11.154121430034209"/>
    <n v="803.09674296246305"/>
    <n v="2.0913977681314142"/>
    <n v="3"/>
    <n v="193.30400682626501"/>
    <n v="412.84388015634681"/>
    <s v="Forecast"/>
  </r>
  <r>
    <d v="2023-12-30T00:00:00"/>
    <x v="7"/>
    <n v="7"/>
    <n v="12"/>
    <x v="51"/>
    <x v="3"/>
    <m/>
    <n v="308.29414925711552"/>
    <n v="277.46473433140397"/>
    <n v="246.63531940569243"/>
    <n v="246.63531940569243"/>
    <m/>
    <m/>
    <m/>
    <m/>
    <d v="1899-12-30T00:02:47"/>
    <m/>
    <m/>
    <m/>
    <m/>
    <m/>
    <m/>
    <m/>
    <m/>
    <m/>
    <m/>
    <n v="11.41235206027965"/>
    <n v="821.68934834013476"/>
    <n v="2.1398160113024343"/>
    <n v="3"/>
    <n v="202.72577132050881"/>
    <n v="413.64444912160093"/>
    <s v="Forecast"/>
  </r>
  <r>
    <d v="2023-12-31T00:00:00"/>
    <x v="7"/>
    <n v="1"/>
    <n v="12"/>
    <x v="52"/>
    <x v="3"/>
    <m/>
    <n v="219.48658796790849"/>
    <n v="197.53792917111764"/>
    <n v="175.58927037432682"/>
    <n v="175.58927037432682"/>
    <m/>
    <m/>
    <m/>
    <m/>
    <d v="1899-12-30T00:02:47"/>
    <m/>
    <m/>
    <m/>
    <m/>
    <m/>
    <m/>
    <m/>
    <m/>
    <m/>
    <m/>
    <n v="8.1248477304443085"/>
    <n v="584.98903659199016"/>
    <n v="1.5234089494583076"/>
    <n v="2"/>
    <n v="110.7972861139184"/>
    <n v="316.74214838815698"/>
    <s v="Forecast"/>
  </r>
  <r>
    <d v="2024-01-01T00:00:00"/>
    <x v="7"/>
    <n v="2"/>
    <n v="1"/>
    <x v="0"/>
    <x v="4"/>
    <m/>
    <n v="319.246688035972"/>
    <n v="287.32201923237483"/>
    <n v="255.3973504287776"/>
    <n v="255.3973504287776"/>
    <m/>
    <m/>
    <m/>
    <m/>
    <d v="1899-12-30T00:02:47"/>
    <m/>
    <m/>
    <m/>
    <m/>
    <m/>
    <m/>
    <m/>
    <m/>
    <m/>
    <m/>
    <n v="11.817598580289596"/>
    <n v="850.86709778085094"/>
    <n v="2.2157997338042992"/>
    <n v="3"/>
    <n v="212.85909791242531"/>
    <n v="435.58067281016372"/>
    <s v="Forecast"/>
  </r>
  <r>
    <d v="2024-01-02T00:00:00"/>
    <x v="7"/>
    <n v="3"/>
    <n v="1"/>
    <x v="0"/>
    <x v="4"/>
    <m/>
    <n v="303.13145743093651"/>
    <n v="272.81831168784288"/>
    <n v="242.50516594474922"/>
    <n v="242.50516594474922"/>
    <m/>
    <m/>
    <m/>
    <m/>
    <d v="1899-12-30T00:02:47"/>
    <m/>
    <m/>
    <m/>
    <m/>
    <m/>
    <m/>
    <m/>
    <m/>
    <m/>
    <m/>
    <n v="11.221080602621456"/>
    <n v="807.9178033887448"/>
    <n v="2.1039526129915229"/>
    <n v="3"/>
    <n v="189.4241105029146"/>
    <n v="412.51993107483042"/>
    <s v="Forecast"/>
  </r>
  <r>
    <d v="2024-01-03T00:00:00"/>
    <x v="7"/>
    <n v="4"/>
    <n v="1"/>
    <x v="0"/>
    <x v="4"/>
    <m/>
    <n v="315.34170673859199"/>
    <n v="283.8075360647328"/>
    <n v="252.27336539087361"/>
    <n v="252.27336539087361"/>
    <m/>
    <m/>
    <m/>
    <m/>
    <d v="1899-12-30T00:02:47"/>
    <m/>
    <m/>
    <m/>
    <m/>
    <m/>
    <m/>
    <m/>
    <m/>
    <m/>
    <m/>
    <n v="11.673022125662369"/>
    <n v="840.45759304769058"/>
    <n v="2.1886916485616941"/>
    <n v="3"/>
    <n v="213.26228006337871"/>
    <n v="422.94886394324283"/>
    <s v="Forecast"/>
  </r>
  <r>
    <d v="2024-01-04T00:00:00"/>
    <x v="7"/>
    <n v="5"/>
    <n v="1"/>
    <x v="0"/>
    <x v="4"/>
    <m/>
    <n v="310.59053547092168"/>
    <n v="279.53148192382952"/>
    <n v="248.47242837673735"/>
    <n v="248.47242837673735"/>
    <m/>
    <m/>
    <m/>
    <m/>
    <d v="1899-12-30T00:02:47"/>
    <m/>
    <m/>
    <m/>
    <m/>
    <m/>
    <m/>
    <m/>
    <m/>
    <m/>
    <m/>
    <n v="11.497029959701543"/>
    <n v="827.78615709851113"/>
    <n v="2.1556931174440392"/>
    <n v="3"/>
    <n v="193.79687716386249"/>
    <n v="419.40729924253247"/>
    <s v="Forecast"/>
  </r>
  <r>
    <d v="2024-01-05T00:00:00"/>
    <x v="7"/>
    <n v="6"/>
    <n v="1"/>
    <x v="0"/>
    <x v="4"/>
    <m/>
    <n v="301.75395065760108"/>
    <n v="271.578555591841"/>
    <n v="241.40316052608088"/>
    <n v="241.40316052608088"/>
    <m/>
    <m/>
    <m/>
    <m/>
    <d v="1899-12-30T00:02:47"/>
    <m/>
    <m/>
    <m/>
    <m/>
    <m/>
    <m/>
    <m/>
    <m/>
    <m/>
    <m/>
    <n v="11.169867560026374"/>
    <n v="804.23046432189892"/>
    <n v="2.094350167504945"/>
    <n v="3"/>
    <n v="178.57066608692421"/>
    <n v="408.51014300605772"/>
    <s v="Forecast"/>
  </r>
  <r>
    <d v="2024-01-06T00:00:00"/>
    <x v="7"/>
    <n v="7"/>
    <n v="1"/>
    <x v="0"/>
    <x v="4"/>
    <m/>
    <n v="308.93088017639161"/>
    <n v="278.03779215875244"/>
    <n v="247.14470414111329"/>
    <n v="247.14470414111329"/>
    <m/>
    <m/>
    <m/>
    <m/>
    <d v="1899-12-30T00:02:47"/>
    <m/>
    <m/>
    <m/>
    <m/>
    <m/>
    <m/>
    <m/>
    <m/>
    <m/>
    <m/>
    <n v="11.435428749917532"/>
    <n v="823.35086999406235"/>
    <n v="2.1441428906095372"/>
    <n v="3"/>
    <n v="196.68334598187309"/>
    <n v="424.81702905090958"/>
    <s v="Forecast"/>
  </r>
  <r>
    <d v="2024-01-07T00:00:00"/>
    <x v="7"/>
    <n v="1"/>
    <n v="1"/>
    <x v="1"/>
    <x v="4"/>
    <m/>
    <n v="220.26174450400379"/>
    <n v="198.23557005360342"/>
    <n v="176.20939560320303"/>
    <n v="176.20939560320303"/>
    <m/>
    <m/>
    <m/>
    <m/>
    <d v="1899-12-30T00:02:47"/>
    <m/>
    <m/>
    <m/>
    <m/>
    <m/>
    <m/>
    <m/>
    <m/>
    <m/>
    <m/>
    <n v="8.1531491880924261"/>
    <n v="587.02674154265469"/>
    <n v="1.52871547276733"/>
    <n v="2"/>
    <n v="112.7767704452762"/>
    <n v="331.76186157080173"/>
    <s v="Forecast"/>
  </r>
  <r>
    <d v="2024-01-08T00:00:00"/>
    <x v="7"/>
    <n v="2"/>
    <n v="1"/>
    <x v="1"/>
    <x v="4"/>
    <m/>
    <n v="320.08786996095949"/>
    <n v="288.07908296486357"/>
    <n v="256.0702959687676"/>
    <n v="256.0702959687676"/>
    <m/>
    <m/>
    <m/>
    <m/>
    <d v="1899-12-30T00:02:47"/>
    <m/>
    <m/>
    <m/>
    <m/>
    <m/>
    <m/>
    <m/>
    <m/>
    <m/>
    <m/>
    <n v="11.848235640110122"/>
    <n v="853.07296608792876"/>
    <n v="2.2215441825206477"/>
    <n v="3"/>
    <n v="213.4062542151336"/>
    <n v="430.61767501270663"/>
    <s v="Forecast"/>
  </r>
  <r>
    <d v="2024-01-09T00:00:00"/>
    <x v="7"/>
    <n v="3"/>
    <n v="1"/>
    <x v="1"/>
    <x v="4"/>
    <m/>
    <n v="303.95732810905838"/>
    <n v="273.56159529815255"/>
    <n v="243.16586248724673"/>
    <n v="243.16586248724673"/>
    <m/>
    <m/>
    <m/>
    <m/>
    <d v="1899-12-30T00:02:47"/>
    <m/>
    <m/>
    <m/>
    <m/>
    <m/>
    <m/>
    <m/>
    <m/>
    <m/>
    <m/>
    <n v="11.250819075291489"/>
    <n v="810.05897342098717"/>
    <n v="2.1095285766171541"/>
    <n v="3"/>
    <n v="183.5999617567513"/>
    <n v="411.71189059512631"/>
    <s v="Forecast"/>
  </r>
  <r>
    <d v="2024-01-10T00:00:00"/>
    <x v="7"/>
    <n v="4"/>
    <n v="1"/>
    <x v="1"/>
    <x v="4"/>
    <m/>
    <n v="316.06518967288929"/>
    <n v="284.45867070560035"/>
    <n v="252.85215173831145"/>
    <n v="252.85215173831145"/>
    <m/>
    <m/>
    <m/>
    <m/>
    <d v="1899-12-30T00:02:47"/>
    <m/>
    <m/>
    <m/>
    <m/>
    <m/>
    <m/>
    <m/>
    <m/>
    <m/>
    <m/>
    <n v="11.698589630764246"/>
    <n v="842.29845341502573"/>
    <n v="2.1934855557682962"/>
    <n v="3"/>
    <n v="207.23763428000029"/>
    <n v="430.67906311892091"/>
    <s v="Forecast"/>
  </r>
  <r>
    <d v="2024-01-11T00:00:00"/>
    <x v="7"/>
    <n v="5"/>
    <n v="1"/>
    <x v="1"/>
    <x v="4"/>
    <m/>
    <n v="311.12228585966278"/>
    <n v="280.01005727369653"/>
    <n v="248.89782868773023"/>
    <n v="248.89782868773023"/>
    <m/>
    <m/>
    <m/>
    <m/>
    <d v="1899-12-30T00:02:47"/>
    <m/>
    <m/>
    <m/>
    <m/>
    <m/>
    <m/>
    <m/>
    <m/>
    <m/>
    <m/>
    <n v="11.515170415184862"/>
    <n v="829.09226989331012"/>
    <n v="2.1590944528471616"/>
    <n v="3"/>
    <n v="201.34125817210349"/>
    <n v="417.55355276986649"/>
    <s v="Forecast"/>
  </r>
  <r>
    <d v="2024-01-12T00:00:00"/>
    <x v="7"/>
    <n v="6"/>
    <n v="1"/>
    <x v="1"/>
    <x v="4"/>
    <m/>
    <n v="302.00600693326129"/>
    <n v="271.80540623993517"/>
    <n v="241.60480554660904"/>
    <n v="241.60480554660904"/>
    <m/>
    <m/>
    <m/>
    <m/>
    <d v="1899-12-30T00:02:47"/>
    <m/>
    <m/>
    <m/>
    <m/>
    <m/>
    <m/>
    <m/>
    <m/>
    <m/>
    <m/>
    <n v="11.177296750547342"/>
    <n v="804.7653660394086"/>
    <n v="2.0957431407276266"/>
    <n v="3"/>
    <n v="188.6746693329643"/>
    <n v="407.95964635598853"/>
    <s v="Forecast"/>
  </r>
  <r>
    <d v="2024-01-13T00:00:00"/>
    <x v="7"/>
    <n v="7"/>
    <n v="1"/>
    <x v="1"/>
    <x v="4"/>
    <m/>
    <n v="308.82039305302021"/>
    <n v="277.93835374771822"/>
    <n v="247.05631444241618"/>
    <n v="247.05631444241618"/>
    <m/>
    <m/>
    <m/>
    <m/>
    <d v="1899-12-30T00:02:47"/>
    <m/>
    <m/>
    <m/>
    <m/>
    <m/>
    <m/>
    <m/>
    <m/>
    <m/>
    <m/>
    <n v="11.429023207821036"/>
    <n v="822.88967096311455"/>
    <n v="2.142941851466444"/>
    <n v="3"/>
    <n v="198.32468337225191"/>
    <n v="426.96095347745512"/>
    <s v="Forecast"/>
  </r>
  <r>
    <d v="2024-01-14T00:00:00"/>
    <x v="7"/>
    <n v="1"/>
    <n v="1"/>
    <x v="2"/>
    <x v="4"/>
    <m/>
    <n v="219.71467619155129"/>
    <n v="197.74320857239616"/>
    <n v="175.77174095324105"/>
    <n v="175.77174095324105"/>
    <m/>
    <m/>
    <m/>
    <m/>
    <d v="1899-12-30T00:02:47"/>
    <m/>
    <m/>
    <m/>
    <m/>
    <m/>
    <m/>
    <m/>
    <m/>
    <m/>
    <m/>
    <n v="8.1309864137777126"/>
    <n v="585.43102179199525"/>
    <n v="1.5245599525833209"/>
    <n v="2"/>
    <n v="111.7703204079278"/>
    <n v="332.60189291848559"/>
    <s v="Forecast"/>
  </r>
  <r>
    <d v="2024-01-15T00:00:00"/>
    <x v="7"/>
    <n v="2"/>
    <n v="1"/>
    <x v="2"/>
    <x v="4"/>
    <m/>
    <n v="319.04255413494019"/>
    <n v="287.13829872144618"/>
    <n v="255.23404330795216"/>
    <n v="255.23404330795216"/>
    <m/>
    <m/>
    <m/>
    <m/>
    <d v="1899-12-30T00:02:47"/>
    <m/>
    <m/>
    <m/>
    <m/>
    <m/>
    <m/>
    <m/>
    <m/>
    <m/>
    <m/>
    <n v="11.805946189347267"/>
    <n v="850.02812563300324"/>
    <n v="2.2136149105026126"/>
    <n v="3"/>
    <n v="210.32836088630029"/>
    <n v="425.98489499236308"/>
    <s v="Forecast"/>
  </r>
  <r>
    <d v="2024-01-16T00:00:00"/>
    <x v="7"/>
    <n v="3"/>
    <n v="1"/>
    <x v="2"/>
    <x v="4"/>
    <m/>
    <n v="302.36778206857679"/>
    <n v="272.13100386171914"/>
    <n v="241.89422565486143"/>
    <n v="241.89422565486143"/>
    <m/>
    <m/>
    <m/>
    <m/>
    <d v="1899-12-30T00:02:47"/>
    <m/>
    <m/>
    <m/>
    <m/>
    <m/>
    <m/>
    <m/>
    <m/>
    <m/>
    <m/>
    <n v="11.188200394445968"/>
    <n v="805.55042840010958"/>
    <n v="2.0977875739586187"/>
    <n v="3"/>
    <n v="192.1968132938635"/>
    <n v="409.9737292476965"/>
    <s v="Forecast"/>
  </r>
  <r>
    <d v="2024-01-17T00:00:00"/>
    <x v="7"/>
    <n v="4"/>
    <n v="1"/>
    <x v="2"/>
    <x v="4"/>
    <m/>
    <n v="313.90407393363421"/>
    <n v="282.51366654027078"/>
    <n v="251.12325914690737"/>
    <n v="251.12325914690737"/>
    <m/>
    <m/>
    <m/>
    <m/>
    <d v="1899-12-30T00:02:46"/>
    <m/>
    <m/>
    <m/>
    <m/>
    <m/>
    <m/>
    <m/>
    <m/>
    <m/>
    <m/>
    <n v="11.614344835758251"/>
    <n v="836.23282817459403"/>
    <n v="2.177689656704672"/>
    <n v="3"/>
    <n v="193.18787836138111"/>
    <n v="416.94493968621612"/>
    <s v="Forecast"/>
  </r>
  <r>
    <d v="2024-01-18T00:00:00"/>
    <x v="7"/>
    <n v="5"/>
    <n v="1"/>
    <x v="2"/>
    <x v="4"/>
    <m/>
    <n v="308.38341317012112"/>
    <n v="277.54507185310899"/>
    <n v="246.7067305360969"/>
    <n v="246.7067305360969"/>
    <m/>
    <m/>
    <m/>
    <m/>
    <d v="1899-12-30T00:02:46"/>
    <m/>
    <m/>
    <m/>
    <m/>
    <m/>
    <m/>
    <m/>
    <m/>
    <m/>
    <m/>
    <n v="11.409447467907889"/>
    <n v="821.48021768936803"/>
    <n v="2.1392714002327291"/>
    <n v="3"/>
    <n v="203.13157240435811"/>
    <n v="416.34015282054048"/>
    <s v="Forecast"/>
  </r>
  <r>
    <d v="2024-01-19T00:00:00"/>
    <x v="7"/>
    <n v="6"/>
    <n v="1"/>
    <x v="2"/>
    <x v="4"/>
    <m/>
    <n v="298.70631227638319"/>
    <n v="268.8356810487449"/>
    <n v="238.96504982110656"/>
    <n v="238.96504982110656"/>
    <m/>
    <m/>
    <m/>
    <m/>
    <d v="1899-12-30T00:02:46"/>
    <m/>
    <m/>
    <m/>
    <m/>
    <m/>
    <m/>
    <m/>
    <m/>
    <m/>
    <m/>
    <n v="11.050742291133227"/>
    <n v="795.65344496159241"/>
    <n v="2.0720141795874802"/>
    <n v="3"/>
    <n v="186.17109747915029"/>
    <n v="414.60125964893808"/>
    <s v="Forecast"/>
  </r>
  <r>
    <d v="2024-01-20T00:00:00"/>
    <x v="7"/>
    <n v="7"/>
    <n v="1"/>
    <x v="2"/>
    <x v="4"/>
    <m/>
    <n v="305.00128839958012"/>
    <n v="274.50115955962212"/>
    <n v="244.0010307196641"/>
    <n v="244.0010307196641"/>
    <m/>
    <m/>
    <m/>
    <m/>
    <d v="1899-12-30T00:02:46"/>
    <m/>
    <m/>
    <m/>
    <m/>
    <m/>
    <m/>
    <m/>
    <m/>
    <m/>
    <m/>
    <n v="11.282921430958034"/>
    <n v="812.37034302897848"/>
    <n v="2.1155477683046313"/>
    <n v="3"/>
    <n v="204.6009483941649"/>
    <n v="417.31496634038348"/>
    <s v="Forecast"/>
  </r>
  <r>
    <d v="2024-01-21T00:00:00"/>
    <x v="7"/>
    <n v="1"/>
    <n v="1"/>
    <x v="3"/>
    <x v="4"/>
    <m/>
    <n v="215.44272835964611"/>
    <n v="193.89845552368149"/>
    <n v="172.3541826877169"/>
    <n v="172.3541826877169"/>
    <m/>
    <m/>
    <m/>
    <m/>
    <d v="1899-12-30T00:02:46"/>
    <m/>
    <m/>
    <m/>
    <m/>
    <m/>
    <m/>
    <m/>
    <m/>
    <m/>
    <m/>
    <n v="7.969490540796289"/>
    <n v="573.80331893733285"/>
    <n v="1.4942794763993044"/>
    <n v="2"/>
    <n v="96.456185872252675"/>
    <n v="321.59651300289499"/>
    <s v="Forecast"/>
  </r>
  <r>
    <d v="2024-01-22T00:00:00"/>
    <x v="7"/>
    <n v="2"/>
    <n v="1"/>
    <x v="3"/>
    <x v="4"/>
    <m/>
    <n v="314.40944072901931"/>
    <n v="282.9684966561174"/>
    <n v="251.52755258321545"/>
    <n v="251.52755258321545"/>
    <m/>
    <m/>
    <m/>
    <m/>
    <d v="1899-12-30T00:02:46"/>
    <m/>
    <m/>
    <m/>
    <m/>
    <m/>
    <m/>
    <m/>
    <m/>
    <m/>
    <m/>
    <n v="11.629828394156812"/>
    <n v="837.34764437929039"/>
    <n v="2.1805928239044019"/>
    <n v="3"/>
    <n v="202.06814783318919"/>
    <n v="417.98701232110022"/>
    <s v="Forecast"/>
  </r>
  <r>
    <d v="2024-01-23T00:00:00"/>
    <x v="7"/>
    <n v="3"/>
    <n v="1"/>
    <x v="3"/>
    <x v="4"/>
    <m/>
    <n v="297.48949874783182"/>
    <n v="267.74054887304862"/>
    <n v="237.99159899826546"/>
    <n v="237.99159899826546"/>
    <m/>
    <m/>
    <m/>
    <m/>
    <d v="1899-12-30T00:02:46"/>
    <m/>
    <m/>
    <m/>
    <m/>
    <m/>
    <m/>
    <m/>
    <m/>
    <m/>
    <m/>
    <n v="11.003586465085206"/>
    <n v="792.25822548613473"/>
    <n v="2.0631724622034757"/>
    <n v="3"/>
    <n v="186.26416837925109"/>
    <n v="410.29141849695952"/>
    <s v="Forecast"/>
  </r>
  <r>
    <d v="2024-01-24T00:00:00"/>
    <x v="7"/>
    <n v="4"/>
    <n v="1"/>
    <x v="3"/>
    <x v="4"/>
    <m/>
    <n v="308.91938573011163"/>
    <n v="278.02744715710048"/>
    <n v="247.13550858408931"/>
    <n v="247.13550858408931"/>
    <m/>
    <m/>
    <m/>
    <m/>
    <d v="1899-12-30T00:02:46"/>
    <m/>
    <m/>
    <m/>
    <m/>
    <m/>
    <m/>
    <m/>
    <m/>
    <m/>
    <m/>
    <n v="11.425955204562317"/>
    <n v="822.66877472848682"/>
    <n v="2.1423666008554343"/>
    <n v="3"/>
    <n v="199.4584317472881"/>
    <n v="419.35373477670049"/>
    <s v="Forecast"/>
  </r>
  <r>
    <d v="2024-01-25T00:00:00"/>
    <x v="7"/>
    <n v="5"/>
    <n v="1"/>
    <x v="3"/>
    <x v="4"/>
    <m/>
    <n v="303.45156275606502"/>
    <n v="273.10640648045853"/>
    <n v="242.76125020485202"/>
    <n v="242.76125020485202"/>
    <m/>
    <m/>
    <m/>
    <m/>
    <d v="1899-12-30T00:02:46"/>
    <m/>
    <m/>
    <m/>
    <m/>
    <m/>
    <m/>
    <m/>
    <m/>
    <m/>
    <m/>
    <n v="11.223342560924122"/>
    <n v="808.0806643865368"/>
    <n v="2.1043767301732728"/>
    <n v="3"/>
    <n v="194.67601596689369"/>
    <n v="410.98602597507102"/>
    <s v="Forecast"/>
  </r>
  <r>
    <d v="2024-01-26T00:00:00"/>
    <x v="7"/>
    <n v="6"/>
    <n v="1"/>
    <x v="3"/>
    <x v="4"/>
    <m/>
    <n v="294.0040184606965"/>
    <n v="264.60361661462684"/>
    <n v="235.20321476855722"/>
    <n v="235.20321476855722"/>
    <m/>
    <m/>
    <m/>
    <m/>
    <d v="1899-12-30T00:02:46"/>
    <m/>
    <m/>
    <m/>
    <m/>
    <m/>
    <m/>
    <m/>
    <m/>
    <m/>
    <m/>
    <n v="10.873632204559811"/>
    <n v="782.90151872830643"/>
    <n v="2.0388060383549647"/>
    <n v="3"/>
    <n v="178.96039763954079"/>
    <n v="400.32298174385818"/>
    <s v="Forecast"/>
  </r>
  <r>
    <d v="2024-01-27T00:00:00"/>
    <x v="7"/>
    <n v="7"/>
    <n v="1"/>
    <x v="3"/>
    <x v="4"/>
    <m/>
    <n v="300.71908815457289"/>
    <n v="270.64717933911561"/>
    <n v="240.57527052365833"/>
    <n v="240.57527052365833"/>
    <m/>
    <m/>
    <m/>
    <m/>
    <d v="1899-12-30T00:02:46"/>
    <m/>
    <m/>
    <m/>
    <m/>
    <m/>
    <m/>
    <m/>
    <m/>
    <m/>
    <m/>
    <n v="11.121714099306827"/>
    <n v="800.76341515009153"/>
    <n v="2.0853213936200299"/>
    <n v="3"/>
    <n v="187.51082354678849"/>
    <n v="410.07749129852158"/>
    <s v="Forecast"/>
  </r>
  <r>
    <d v="2024-01-28T00:00:00"/>
    <x v="7"/>
    <n v="1"/>
    <n v="1"/>
    <x v="4"/>
    <x v="4"/>
    <m/>
    <n v="211.78073483606221"/>
    <n v="190.60266135245598"/>
    <n v="169.42458786884978"/>
    <n v="169.42458786884978"/>
    <m/>
    <m/>
    <m/>
    <m/>
    <d v="1899-12-30T00:02:46"/>
    <m/>
    <m/>
    <m/>
    <m/>
    <m/>
    <m/>
    <m/>
    <m/>
    <m/>
    <m/>
    <n v="7.8323268216079089"/>
    <n v="563.92753115576943"/>
    <n v="1.4685612790514828"/>
    <n v="2"/>
    <n v="108.3029379673667"/>
    <n v="318.13039132850241"/>
    <s v="Forecast"/>
  </r>
  <r>
    <d v="2024-01-29T00:00:00"/>
    <x v="7"/>
    <n v="2"/>
    <n v="1"/>
    <x v="4"/>
    <x v="4"/>
    <m/>
    <n v="311.57260745367552"/>
    <n v="280.41534670830799"/>
    <n v="249.25808596294041"/>
    <n v="249.25808596294041"/>
    <m/>
    <m/>
    <m/>
    <m/>
    <d v="1899-12-30T00:02:46"/>
    <m/>
    <m/>
    <m/>
    <m/>
    <m/>
    <m/>
    <m/>
    <m/>
    <m/>
    <m/>
    <n v="11.522706885705693"/>
    <n v="829.63489577080986"/>
    <n v="2.1605075410698173"/>
    <n v="3"/>
    <n v="208.80773730673479"/>
    <n v="425.46684432398092"/>
    <s v="Forecast"/>
  </r>
  <r>
    <d v="2024-01-30T00:00:00"/>
    <x v="7"/>
    <n v="3"/>
    <n v="1"/>
    <x v="4"/>
    <x v="4"/>
    <m/>
    <n v="295.68249603848022"/>
    <n v="266.11424643463221"/>
    <n v="236.54599683078419"/>
    <n v="236.54599683078419"/>
    <m/>
    <m/>
    <m/>
    <m/>
    <d v="1899-12-30T00:02:46"/>
    <m/>
    <m/>
    <m/>
    <m/>
    <m/>
    <m/>
    <m/>
    <m/>
    <m/>
    <m/>
    <n v="10.935137646723526"/>
    <n v="787.32991056409389"/>
    <n v="2.050338308760661"/>
    <n v="3"/>
    <n v="181.3427824305052"/>
    <n v="410.87839082314167"/>
    <s v="Forecast"/>
  </r>
  <r>
    <d v="2024-01-31T00:00:00"/>
    <x v="7"/>
    <n v="4"/>
    <n v="1"/>
    <x v="4"/>
    <x v="4"/>
    <m/>
    <n v="308.3412088291073"/>
    <n v="277.50708794619658"/>
    <n v="246.67296706328585"/>
    <n v="246.67296706328585"/>
    <m/>
    <m/>
    <m/>
    <m/>
    <d v="1899-12-30T00:02:46"/>
    <m/>
    <m/>
    <m/>
    <m/>
    <m/>
    <m/>
    <m/>
    <m/>
    <m/>
    <m/>
    <n v="11.403439127683255"/>
    <n v="821.04761719319436"/>
    <n v="2.1381448364406102"/>
    <n v="3"/>
    <n v="193.222474352679"/>
    <n v="418.84838094583313"/>
    <s v="Forecast"/>
  </r>
  <r>
    <d v="2024-02-01T00:00:00"/>
    <x v="7"/>
    <n v="5"/>
    <n v="2"/>
    <x v="4"/>
    <x v="4"/>
    <m/>
    <n v="304.29000189134291"/>
    <n v="273.86100170220863"/>
    <n v="243.43200151307434"/>
    <n v="243.43200151307434"/>
    <m/>
    <m/>
    <m/>
    <m/>
    <d v="1899-12-30T00:02:46"/>
    <m/>
    <m/>
    <m/>
    <m/>
    <m/>
    <m/>
    <m/>
    <m/>
    <m/>
    <m/>
    <n v="11.253800316705297"/>
    <n v="810.27362280278123"/>
    <n v="2.1100875593822428"/>
    <n v="3"/>
    <n v="193.68554320846371"/>
    <n v="419.64788081902827"/>
    <s v="Forecast"/>
  </r>
  <r>
    <d v="2024-02-02T00:00:00"/>
    <x v="7"/>
    <n v="6"/>
    <n v="2"/>
    <x v="4"/>
    <x v="4"/>
    <m/>
    <n v="296.43012862435239"/>
    <n v="266.78711576191716"/>
    <n v="237.14410289948194"/>
    <n v="237.14410289948194"/>
    <m/>
    <m/>
    <m/>
    <m/>
    <d v="1899-12-30T00:02:46"/>
    <m/>
    <m/>
    <m/>
    <m/>
    <m/>
    <m/>
    <m/>
    <m/>
    <m/>
    <m/>
    <n v="10.963250154879173"/>
    <n v="789.35401115130037"/>
    <n v="2.0556094040398447"/>
    <n v="3"/>
    <n v="179.51726333266959"/>
    <n v="404.70615739226008"/>
    <s v="Forecast"/>
  </r>
  <r>
    <d v="2024-02-03T00:00:00"/>
    <x v="7"/>
    <n v="7"/>
    <n v="2"/>
    <x v="4"/>
    <x v="4"/>
    <m/>
    <n v="304.88180061251228"/>
    <n v="274.39362055126105"/>
    <n v="243.90544049000982"/>
    <n v="243.90544049000982"/>
    <m/>
    <m/>
    <m/>
    <m/>
    <d v="1899-12-30T00:02:46"/>
    <m/>
    <m/>
    <m/>
    <m/>
    <m/>
    <m/>
    <m/>
    <m/>
    <m/>
    <m/>
    <n v="11.275893957393169"/>
    <n v="811.86436493230815"/>
    <n v="2.114230117011219"/>
    <n v="3"/>
    <n v="203.55949882390701"/>
    <n v="410.77360248015242"/>
    <s v="Forecast"/>
  </r>
  <r>
    <d v="2024-02-04T00:00:00"/>
    <x v="7"/>
    <n v="1"/>
    <n v="2"/>
    <x v="5"/>
    <x v="4"/>
    <m/>
    <n v="217.8017530173168"/>
    <n v="196.02157771558512"/>
    <n v="174.24140241385345"/>
    <n v="174.24140241385345"/>
    <m/>
    <m/>
    <m/>
    <m/>
    <d v="1899-12-30T00:02:46"/>
    <m/>
    <m/>
    <m/>
    <m/>
    <m/>
    <m/>
    <m/>
    <m/>
    <m/>
    <m/>
    <n v="8.0553420583236104"/>
    <n v="579.98462819929989"/>
    <n v="1.5103766359356767"/>
    <n v="2"/>
    <n v="106.0311372437823"/>
    <n v="327.55551158321708"/>
    <s v="Forecast"/>
  </r>
  <r>
    <d v="2024-02-05T00:00:00"/>
    <x v="7"/>
    <n v="2"/>
    <n v="2"/>
    <x v="5"/>
    <x v="4"/>
    <m/>
    <n v="319.54172688206438"/>
    <n v="287.58755419385795"/>
    <n v="255.63338150565153"/>
    <n v="255.63338150565153"/>
    <m/>
    <m/>
    <m/>
    <m/>
    <d v="1899-12-30T00:02:46"/>
    <m/>
    <m/>
    <m/>
    <m/>
    <m/>
    <m/>
    <m/>
    <m/>
    <m/>
    <m/>
    <n v="11.818501225050715"/>
    <n v="850.93208820365146"/>
    <n v="2.215968979697009"/>
    <n v="3"/>
    <n v="209.58340426556001"/>
    <n v="427.74718118419878"/>
    <s v="Forecast"/>
  </r>
  <r>
    <d v="2024-02-06T00:00:00"/>
    <x v="7"/>
    <n v="3"/>
    <n v="2"/>
    <x v="5"/>
    <x v="4"/>
    <m/>
    <n v="305.65348130837452"/>
    <n v="275.08813317753709"/>
    <n v="244.52278504669962"/>
    <n v="244.52278504669962"/>
    <m/>
    <m/>
    <m/>
    <m/>
    <d v="1899-12-30T00:02:46"/>
    <m/>
    <m/>
    <m/>
    <m/>
    <m/>
    <m/>
    <m/>
    <m/>
    <m/>
    <m/>
    <n v="11.305142939383821"/>
    <n v="813.97029163563514"/>
    <n v="2.1197143011344663"/>
    <n v="3"/>
    <n v="188.20655716017001"/>
    <n v="407.35635006593469"/>
    <s v="Forecast"/>
  </r>
  <r>
    <d v="2024-02-07T00:00:00"/>
    <x v="7"/>
    <n v="4"/>
    <n v="2"/>
    <x v="5"/>
    <x v="4"/>
    <m/>
    <n v="320.32835042119501"/>
    <n v="288.29551537907554"/>
    <n v="256.26268033695601"/>
    <n v="256.26268033695601"/>
    <m/>
    <m/>
    <m/>
    <m/>
    <d v="1899-12-30T00:02:46"/>
    <m/>
    <m/>
    <m/>
    <m/>
    <m/>
    <m/>
    <m/>
    <m/>
    <m/>
    <m/>
    <n v="11.848197153169753"/>
    <n v="853.0701950282222"/>
    <n v="2.2215369662193285"/>
    <n v="3"/>
    <n v="204.57640109367031"/>
    <n v="433.20520961736702"/>
    <s v="Forecast"/>
  </r>
  <r>
    <d v="2024-02-08T00:00:00"/>
    <x v="7"/>
    <n v="5"/>
    <n v="2"/>
    <x v="5"/>
    <x v="4"/>
    <m/>
    <n v="318.2654620500283"/>
    <n v="286.43891584502546"/>
    <n v="254.61236964002265"/>
    <n v="254.61236964002265"/>
    <m/>
    <m/>
    <m/>
    <m/>
    <d v="1899-12-30T00:02:46"/>
    <m/>
    <m/>
    <m/>
    <m/>
    <m/>
    <m/>
    <m/>
    <m/>
    <m/>
    <m/>
    <n v="11.77213714133344"/>
    <n v="847.5938741760076"/>
    <n v="2.2072757140000197"/>
    <n v="3"/>
    <n v="209.99762938483161"/>
    <n v="438.51856353302588"/>
    <s v="Forecast"/>
  </r>
  <r>
    <d v="2024-02-09T00:00:00"/>
    <x v="7"/>
    <n v="6"/>
    <n v="2"/>
    <x v="5"/>
    <x v="4"/>
    <m/>
    <n v="312.32216886420417"/>
    <n v="281.08995197778376"/>
    <n v="249.85773509136334"/>
    <n v="249.85773509136334"/>
    <m/>
    <m/>
    <m/>
    <m/>
    <d v="1899-12-30T00:02:46"/>
    <m/>
    <m/>
    <m/>
    <m/>
    <m/>
    <m/>
    <m/>
    <m/>
    <m/>
    <m/>
    <n v="11.552548802459832"/>
    <n v="831.78351377710794"/>
    <n v="2.1661029004612185"/>
    <n v="3"/>
    <n v="195.6576791620472"/>
    <n v="417.51523805157512"/>
    <s v="Forecast"/>
  </r>
  <r>
    <d v="2024-02-10T00:00:00"/>
    <x v="7"/>
    <n v="7"/>
    <n v="2"/>
    <x v="5"/>
    <x v="4"/>
    <m/>
    <n v="322.57396404677212"/>
    <n v="290.31656764209492"/>
    <n v="258.05917123741773"/>
    <n v="258.05917123741773"/>
    <m/>
    <m/>
    <m/>
    <m/>
    <d v="1899-12-30T00:02:46"/>
    <m/>
    <m/>
    <m/>
    <m/>
    <m/>
    <m/>
    <m/>
    <m/>
    <m/>
    <m/>
    <n v="11.931984161829659"/>
    <n v="859.10285965173546"/>
    <n v="2.2372470303430609"/>
    <n v="3"/>
    <n v="214.32769460150001"/>
    <n v="433.05708490560949"/>
    <s v="Forecast"/>
  </r>
  <r>
    <d v="2024-02-11T00:00:00"/>
    <x v="7"/>
    <n v="1"/>
    <n v="2"/>
    <x v="6"/>
    <x v="4"/>
    <m/>
    <n v="237.13305305963121"/>
    <n v="213.4197477536681"/>
    <n v="189.70644244770497"/>
    <n v="189.70644244770497"/>
    <m/>
    <m/>
    <m/>
    <m/>
    <d v="1899-12-30T00:02:46"/>
    <m/>
    <m/>
    <m/>
    <m/>
    <m/>
    <m/>
    <m/>
    <m/>
    <m/>
    <m/>
    <n v="8.7716696006777042"/>
    <n v="631.56021124879464"/>
    <n v="1.6446880501270693"/>
    <n v="2"/>
    <n v="132.321302638558"/>
    <n v="343.41463337194068"/>
    <s v="Forecast"/>
  </r>
  <r>
    <d v="2024-02-12T00:00:00"/>
    <x v="7"/>
    <n v="2"/>
    <n v="2"/>
    <x v="6"/>
    <x v="4"/>
    <m/>
    <n v="340.30787045628102"/>
    <n v="306.27708341065295"/>
    <n v="272.24629636502482"/>
    <n v="272.24629636502482"/>
    <m/>
    <m/>
    <m/>
    <m/>
    <d v="1899-12-30T00:02:46"/>
    <m/>
    <m/>
    <m/>
    <m/>
    <m/>
    <m/>
    <m/>
    <m/>
    <m/>
    <m/>
    <n v="12.588309410317361"/>
    <n v="906.35827754285003"/>
    <n v="2.3603080144345054"/>
    <n v="3"/>
    <n v="235.87840619004291"/>
    <n v="453.43088912337709"/>
    <s v="Forecast"/>
  </r>
  <r>
    <d v="2024-02-13T00:00:00"/>
    <x v="7"/>
    <n v="3"/>
    <n v="2"/>
    <x v="6"/>
    <x v="4"/>
    <m/>
    <n v="327.60913009748259"/>
    <n v="294.84821708773433"/>
    <n v="262.08730407798606"/>
    <n v="262.08730407798606"/>
    <m/>
    <m/>
    <m/>
    <m/>
    <d v="1899-12-30T00:02:46"/>
    <m/>
    <m/>
    <m/>
    <m/>
    <m/>
    <m/>
    <m/>
    <m/>
    <m/>
    <m/>
    <n v="12.11859634129927"/>
    <n v="872.5389365735474"/>
    <n v="2.2722368139936129"/>
    <n v="3"/>
    <n v="211.836044464548"/>
    <n v="438.91523626158079"/>
    <s v="Forecast"/>
  </r>
  <r>
    <d v="2024-02-14T00:00:00"/>
    <x v="7"/>
    <n v="4"/>
    <n v="2"/>
    <x v="6"/>
    <x v="4"/>
    <m/>
    <n v="343.19039847068473"/>
    <n v="308.87135862361629"/>
    <n v="274.55231877654779"/>
    <n v="274.55231877654779"/>
    <m/>
    <m/>
    <m/>
    <m/>
    <d v="1899-12-30T00:02:46"/>
    <m/>
    <m/>
    <m/>
    <m/>
    <m/>
    <m/>
    <m/>
    <m/>
    <m/>
    <m/>
    <n v="12.694927388796792"/>
    <n v="914.03477199336896"/>
    <n v="2.3802988853993985"/>
    <n v="3"/>
    <n v="236.60726113043779"/>
    <n v="446.58409557042262"/>
    <s v="Forecast"/>
  </r>
  <r>
    <d v="2024-02-15T00:00:00"/>
    <x v="7"/>
    <n v="5"/>
    <n v="2"/>
    <x v="6"/>
    <x v="4"/>
    <m/>
    <n v="341.7172828658629"/>
    <n v="307.5455545792766"/>
    <n v="273.37382629269035"/>
    <n v="273.37382629269035"/>
    <m/>
    <m/>
    <m/>
    <m/>
    <d v="1899-12-30T00:02:46"/>
    <m/>
    <m/>
    <m/>
    <m/>
    <m/>
    <m/>
    <m/>
    <m/>
    <m/>
    <m/>
    <n v="12.640289822162858"/>
    <n v="910.10086719572575"/>
    <n v="2.370054341655536"/>
    <n v="3"/>
    <n v="226.25547454608301"/>
    <n v="447.35134511940117"/>
    <s v="Forecast"/>
  </r>
  <r>
    <d v="2024-02-16T00:00:00"/>
    <x v="7"/>
    <n v="6"/>
    <n v="2"/>
    <x v="6"/>
    <x v="4"/>
    <m/>
    <n v="336.01876063037668"/>
    <n v="302.41688456733903"/>
    <n v="268.81500850430137"/>
    <n v="268.81500850430137"/>
    <m/>
    <m/>
    <m/>
    <m/>
    <d v="1899-12-30T00:02:46"/>
    <m/>
    <m/>
    <m/>
    <m/>
    <m/>
    <m/>
    <m/>
    <m/>
    <m/>
    <m/>
    <n v="12.429323689928019"/>
    <n v="894.9113056748173"/>
    <n v="2.3304981918615035"/>
    <n v="3"/>
    <n v="214.05020357963281"/>
    <n v="447.76046646620699"/>
    <s v="Forecast"/>
  </r>
  <r>
    <d v="2024-02-17T00:00:00"/>
    <x v="7"/>
    <n v="7"/>
    <n v="2"/>
    <x v="6"/>
    <x v="4"/>
    <m/>
    <n v="346.14789836556628"/>
    <n v="311.53310852900967"/>
    <n v="276.91831869245306"/>
    <n v="276.91831869245306"/>
    <m/>
    <m/>
    <m/>
    <m/>
    <d v="1899-12-30T00:02:46"/>
    <m/>
    <m/>
    <m/>
    <m/>
    <m/>
    <m/>
    <m/>
    <m/>
    <m/>
    <m/>
    <n v="12.803847060720612"/>
    <n v="921.87698837188395"/>
    <n v="2.4007213238851146"/>
    <n v="3"/>
    <n v="228.6112245784004"/>
    <n v="456.39552854213588"/>
    <s v="Forecast"/>
  </r>
  <r>
    <d v="2024-02-18T00:00:00"/>
    <x v="7"/>
    <n v="1"/>
    <n v="2"/>
    <x v="7"/>
    <x v="4"/>
    <m/>
    <n v="260.20111130214821"/>
    <n v="234.18100017193339"/>
    <n v="208.16088904171858"/>
    <n v="208.16088904171858"/>
    <m/>
    <m/>
    <m/>
    <m/>
    <d v="1899-12-30T00:02:46"/>
    <m/>
    <m/>
    <m/>
    <m/>
    <m/>
    <m/>
    <m/>
    <m/>
    <m/>
    <m/>
    <n v="9.6245964998376152"/>
    <n v="692.97094798830824"/>
    <n v="1.8046118437195526"/>
    <n v="2"/>
    <n v="146.29642085442831"/>
    <n v="367.64555577607911"/>
    <s v="Forecast"/>
  </r>
  <r>
    <d v="2024-02-19T00:00:00"/>
    <x v="7"/>
    <n v="2"/>
    <n v="2"/>
    <x v="7"/>
    <x v="4"/>
    <m/>
    <n v="362.47823294733149"/>
    <n v="326.23040965259833"/>
    <n v="289.98258635786522"/>
    <n v="289.98258635786522"/>
    <m/>
    <m/>
    <m/>
    <m/>
    <d v="1899-12-30T00:02:46"/>
    <m/>
    <m/>
    <m/>
    <m/>
    <m/>
    <m/>
    <m/>
    <m/>
    <m/>
    <m/>
    <n v="13.407580129596118"/>
    <n v="965.34576933092046"/>
    <n v="2.513921274299272"/>
    <n v="3"/>
    <n v="249.35337124233251"/>
    <n v="473.28151450550519"/>
    <s v="Forecast"/>
  </r>
  <r>
    <d v="2024-02-20T00:00:00"/>
    <x v="7"/>
    <n v="3"/>
    <n v="2"/>
    <x v="7"/>
    <x v="4"/>
    <m/>
    <n v="348.48896747765002"/>
    <n v="313.64007072988505"/>
    <n v="278.79117398212003"/>
    <n v="278.79117398212003"/>
    <m/>
    <m/>
    <m/>
    <m/>
    <d v="1899-12-30T00:02:46"/>
    <m/>
    <m/>
    <m/>
    <m/>
    <m/>
    <m/>
    <m/>
    <m/>
    <m/>
    <m/>
    <n v="12.890092666326259"/>
    <n v="928.08667197549062"/>
    <n v="2.4168923749361735"/>
    <n v="3"/>
    <n v="239.39441208480841"/>
    <n v="456.3328120726278"/>
    <s v="Forecast"/>
  </r>
  <r>
    <d v="2024-02-21T00:00:00"/>
    <x v="7"/>
    <n v="4"/>
    <n v="2"/>
    <x v="7"/>
    <x v="4"/>
    <m/>
    <n v="362.39370210336119"/>
    <n v="326.15433189302507"/>
    <n v="289.91496168268895"/>
    <n v="289.91496168268895"/>
    <m/>
    <m/>
    <m/>
    <m/>
    <d v="1899-12-30T00:02:46"/>
    <m/>
    <m/>
    <m/>
    <m/>
    <m/>
    <m/>
    <m/>
    <m/>
    <m/>
    <m/>
    <n v="13.404295808248374"/>
    <n v="965.10929819388286"/>
    <n v="2.51330546404657"/>
    <n v="3"/>
    <n v="255.93180612100761"/>
    <n v="480.57877337657442"/>
    <s v="Forecast"/>
  </r>
  <r>
    <d v="2024-02-22T00:00:00"/>
    <x v="7"/>
    <n v="5"/>
    <n v="2"/>
    <x v="7"/>
    <x v="4"/>
    <m/>
    <n v="358.87276245016238"/>
    <n v="322.98548620514617"/>
    <n v="287.09820996012991"/>
    <n v="287.09820996012991"/>
    <m/>
    <m/>
    <m/>
    <m/>
    <d v="1899-12-30T00:02:46"/>
    <m/>
    <m/>
    <m/>
    <m/>
    <m/>
    <m/>
    <m/>
    <m/>
    <m/>
    <m/>
    <n v="13.273952918613102"/>
    <n v="955.72461014014323"/>
    <n v="2.4888661722399563"/>
    <n v="3"/>
    <n v="249.00396846837631"/>
    <n v="460.75060813674872"/>
    <s v="Forecast"/>
  </r>
  <r>
    <d v="2024-02-23T00:00:00"/>
    <x v="7"/>
    <n v="6"/>
    <n v="2"/>
    <x v="7"/>
    <x v="4"/>
    <m/>
    <n v="350.77763252020071"/>
    <n v="315.69986926818063"/>
    <n v="280.62210601616056"/>
    <n v="280.62210601616056"/>
    <m/>
    <m/>
    <m/>
    <m/>
    <d v="1899-12-30T00:02:46"/>
    <m/>
    <m/>
    <m/>
    <m/>
    <m/>
    <m/>
    <m/>
    <m/>
    <m/>
    <m/>
    <n v="12.974446033657431"/>
    <n v="934.1601144233349"/>
    <n v="2.432708631310768"/>
    <n v="3"/>
    <n v="234.75417300290701"/>
    <n v="454.45907324362582"/>
    <s v="Forecast"/>
  </r>
  <r>
    <d v="2024-02-24T00:00:00"/>
    <x v="7"/>
    <n v="7"/>
    <n v="2"/>
    <x v="7"/>
    <x v="4"/>
    <m/>
    <n v="358.19138762541098"/>
    <n v="322.37224886286987"/>
    <n v="286.55311010032881"/>
    <n v="286.55311010032881"/>
    <m/>
    <m/>
    <m/>
    <m/>
    <d v="1899-12-30T00:02:46"/>
    <m/>
    <m/>
    <m/>
    <m/>
    <m/>
    <m/>
    <m/>
    <m/>
    <m/>
    <m/>
    <n v="13.248606821352613"/>
    <n v="953.89969113738812"/>
    <n v="2.4841137790036147"/>
    <n v="3"/>
    <n v="244.85079196823389"/>
    <n v="472.63193197819538"/>
    <s v="Forecast"/>
  </r>
  <r>
    <d v="2024-02-25T00:00:00"/>
    <x v="7"/>
    <n v="1"/>
    <n v="2"/>
    <x v="8"/>
    <x v="4"/>
    <m/>
    <n v="269.24749434171378"/>
    <n v="242.32274490754241"/>
    <n v="215.39799547337103"/>
    <n v="215.39799547337103"/>
    <m/>
    <m/>
    <m/>
    <m/>
    <d v="1899-12-30T00:02:46"/>
    <m/>
    <m/>
    <m/>
    <m/>
    <m/>
    <m/>
    <m/>
    <m/>
    <m/>
    <m/>
    <n v="9.9589362426313262"/>
    <n v="717.04340946945547"/>
    <n v="1.8673005454933735"/>
    <n v="2"/>
    <n v="158.21399136080609"/>
    <n v="385.21114547085182"/>
    <s v="Forecast"/>
  </r>
  <r>
    <d v="2024-02-26T00:00:00"/>
    <x v="7"/>
    <n v="2"/>
    <n v="2"/>
    <x v="8"/>
    <x v="4"/>
    <m/>
    <n v="368.28925560609969"/>
    <n v="331.46033004548974"/>
    <n v="294.63140448487974"/>
    <n v="294.63140448487974"/>
    <m/>
    <m/>
    <m/>
    <m/>
    <d v="1899-12-30T00:02:46"/>
    <m/>
    <m/>
    <m/>
    <m/>
    <m/>
    <m/>
    <m/>
    <m/>
    <m/>
    <m/>
    <n v="13.622706241952923"/>
    <n v="980.83484942061034"/>
    <n v="2.5542574203661728"/>
    <n v="3"/>
    <n v="262.5607658863297"/>
    <n v="484.57775188545628"/>
    <s v="Forecast"/>
  </r>
  <r>
    <d v="2024-02-27T00:00:00"/>
    <x v="7"/>
    <n v="3"/>
    <n v="2"/>
    <x v="8"/>
    <x v="4"/>
    <m/>
    <n v="350.87548552779418"/>
    <n v="315.78793697501476"/>
    <n v="280.70038842223533"/>
    <n v="280.70038842223533"/>
    <m/>
    <m/>
    <m/>
    <m/>
    <d v="1899-12-30T00:02:46"/>
    <m/>
    <m/>
    <m/>
    <m/>
    <m/>
    <m/>
    <m/>
    <m/>
    <m/>
    <m/>
    <n v="12.978748717680773"/>
    <n v="934.46990767301554"/>
    <n v="2.4335153845651445"/>
    <n v="3"/>
    <n v="244.29323474871231"/>
    <n v="461.19168666644299"/>
    <s v="Forecast"/>
  </r>
  <r>
    <d v="2024-02-28T00:00:00"/>
    <x v="7"/>
    <n v="4"/>
    <n v="2"/>
    <x v="8"/>
    <x v="4"/>
    <m/>
    <n v="361.22040706236521"/>
    <n v="325.09836635612868"/>
    <n v="288.9763256498922"/>
    <n v="288.9763256498922"/>
    <m/>
    <m/>
    <m/>
    <m/>
    <d v="1899-12-30T00:02:46"/>
    <m/>
    <m/>
    <m/>
    <m/>
    <m/>
    <m/>
    <m/>
    <m/>
    <m/>
    <m/>
    <n v="13.361569987022435"/>
    <n v="962.03303906561518"/>
    <n v="2.5052943725667061"/>
    <n v="3"/>
    <n v="243.1063748684422"/>
    <n v="467.05280811388462"/>
    <s v="Forecast"/>
  </r>
  <r>
    <d v="2024-02-29T00:00:00"/>
    <x v="7"/>
    <n v="5"/>
    <n v="2"/>
    <x v="8"/>
    <x v="4"/>
    <m/>
    <n v="354.06187497040469"/>
    <n v="318.65568747336425"/>
    <n v="283.24949997632376"/>
    <n v="283.24949997632376"/>
    <m/>
    <m/>
    <m/>
    <m/>
    <d v="1899-12-30T00:02:46"/>
    <m/>
    <m/>
    <m/>
    <m/>
    <m/>
    <m/>
    <m/>
    <m/>
    <m/>
    <m/>
    <n v="13.096937625331305"/>
    <n v="942.97950902385401"/>
    <n v="2.4556758047496197"/>
    <n v="3"/>
    <n v="244.99568947093721"/>
    <n v="462.78341927656282"/>
    <s v="Forecast"/>
  </r>
  <r>
    <d v="2024-03-01T00:00:00"/>
    <x v="7"/>
    <n v="6"/>
    <n v="3"/>
    <x v="8"/>
    <x v="4"/>
    <m/>
    <n v="342.31146802207297"/>
    <n v="308.08032121986571"/>
    <n v="273.84917441765839"/>
    <n v="273.84917441765839"/>
    <m/>
    <m/>
    <m/>
    <m/>
    <d v="1899-12-30T00:02:46"/>
    <m/>
    <m/>
    <m/>
    <m/>
    <m/>
    <m/>
    <m/>
    <m/>
    <m/>
    <m/>
    <n v="12.662439653187143"/>
    <n v="911.69565502947432"/>
    <n v="2.3742074349725892"/>
    <n v="3"/>
    <n v="235.54033020414849"/>
    <n v="450.66007071819882"/>
    <s v="Forecast"/>
  </r>
  <r>
    <d v="2024-03-02T00:00:00"/>
    <x v="7"/>
    <n v="7"/>
    <n v="3"/>
    <x v="8"/>
    <x v="4"/>
    <m/>
    <n v="346.11372373410597"/>
    <n v="311.5023513606954"/>
    <n v="276.89097898728477"/>
    <n v="276.89097898728477"/>
    <m/>
    <m/>
    <m/>
    <m/>
    <d v="1899-12-30T00:02:46"/>
    <m/>
    <m/>
    <m/>
    <m/>
    <m/>
    <m/>
    <m/>
    <m/>
    <m/>
    <m/>
    <n v="12.80324495713687"/>
    <n v="921.83363691385455"/>
    <n v="2.4006084294631629"/>
    <n v="3"/>
    <n v="230.37990552847339"/>
    <n v="459.33403687920429"/>
    <s v="Forecast"/>
  </r>
  <r>
    <d v="2024-03-03T00:00:00"/>
    <x v="7"/>
    <n v="1"/>
    <n v="3"/>
    <x v="9"/>
    <x v="4"/>
    <m/>
    <n v="253.6636964773854"/>
    <n v="228.29732682964686"/>
    <n v="202.93095718190833"/>
    <n v="202.93095718190833"/>
    <m/>
    <m/>
    <m/>
    <m/>
    <d v="1899-12-30T00:02:46"/>
    <m/>
    <m/>
    <m/>
    <m/>
    <m/>
    <m/>
    <m/>
    <m/>
    <m/>
    <m/>
    <n v="9.3834982646746443"/>
    <n v="675.61187505657438"/>
    <n v="1.7594059246264957"/>
    <n v="2"/>
    <n v="140.7462601495474"/>
    <n v="360.98182395387983"/>
    <s v="Forecast"/>
  </r>
  <r>
    <d v="2024-03-04T00:00:00"/>
    <x v="7"/>
    <n v="2"/>
    <n v="3"/>
    <x v="9"/>
    <x v="4"/>
    <m/>
    <n v="349.36514513658688"/>
    <n v="314.42863062292821"/>
    <n v="279.49211610926949"/>
    <n v="279.49211610926949"/>
    <m/>
    <m/>
    <m/>
    <m/>
    <d v="1899-12-30T00:02:46"/>
    <m/>
    <m/>
    <m/>
    <m/>
    <m/>
    <m/>
    <m/>
    <m/>
    <m/>
    <m/>
    <n v="12.923828515439675"/>
    <n v="930.51565311165655"/>
    <n v="2.4232178466449388"/>
    <n v="3"/>
    <n v="232.51918928146071"/>
    <n v="455.41090359418553"/>
    <s v="Forecast"/>
  </r>
  <r>
    <d v="2024-03-05T00:00:00"/>
    <x v="7"/>
    <n v="3"/>
    <n v="3"/>
    <x v="9"/>
    <x v="4"/>
    <m/>
    <n v="328.83496352397191"/>
    <n v="295.95146717157473"/>
    <n v="263.06797081917756"/>
    <n v="263.06797081917756"/>
    <m/>
    <m/>
    <m/>
    <m/>
    <d v="1899-12-30T00:02:46"/>
    <m/>
    <m/>
    <m/>
    <m/>
    <m/>
    <m/>
    <m/>
    <m/>
    <m/>
    <m/>
    <n v="12.164512253859964"/>
    <n v="875.84488227791746"/>
    <n v="2.2808460475987435"/>
    <n v="3"/>
    <n v="202.90570295584001"/>
    <n v="434.36125794394837"/>
    <s v="Forecast"/>
  </r>
  <r>
    <d v="2024-03-06T00:00:00"/>
    <x v="7"/>
    <n v="4"/>
    <n v="3"/>
    <x v="9"/>
    <x v="4"/>
    <m/>
    <n v="336.3418752216042"/>
    <n v="302.7076876994438"/>
    <n v="269.07350017728339"/>
    <n v="269.07350017728339"/>
    <m/>
    <m/>
    <m/>
    <m/>
    <d v="1899-12-30T00:02:46"/>
    <m/>
    <m/>
    <m/>
    <m/>
    <m/>
    <m/>
    <m/>
    <m/>
    <m/>
    <m/>
    <n v="12.442358008855273"/>
    <n v="895.84977663757957"/>
    <n v="2.3329421266603636"/>
    <n v="3"/>
    <n v="225.11041029815709"/>
    <n v="437.15274381867181"/>
    <s v="Forecast"/>
  </r>
  <r>
    <d v="2024-03-07T00:00:00"/>
    <x v="7"/>
    <n v="5"/>
    <n v="3"/>
    <x v="9"/>
    <x v="4"/>
    <m/>
    <n v="326.67352297945092"/>
    <n v="294.00617068150586"/>
    <n v="261.33881838356075"/>
    <n v="261.33881838356075"/>
    <m/>
    <m/>
    <m/>
    <m/>
    <d v="1899-12-30T00:02:46"/>
    <m/>
    <m/>
    <m/>
    <m/>
    <m/>
    <m/>
    <m/>
    <m/>
    <m/>
    <m/>
    <n v="12.084833277154805"/>
    <n v="870.10799595514595"/>
    <n v="2.2659062394665259"/>
    <n v="3"/>
    <n v="217.78300451797529"/>
    <n v="442.14064536592008"/>
    <s v="Forecast"/>
  </r>
  <r>
    <d v="2024-03-08T00:00:00"/>
    <x v="7"/>
    <n v="6"/>
    <n v="3"/>
    <x v="9"/>
    <x v="4"/>
    <m/>
    <n v="312.785522833225"/>
    <n v="281.50697054990252"/>
    <n v="250.22841826658001"/>
    <n v="250.22841826658001"/>
    <m/>
    <m/>
    <m/>
    <m/>
    <d v="1899-12-30T00:02:46"/>
    <m/>
    <m/>
    <m/>
    <m/>
    <m/>
    <m/>
    <m/>
    <m/>
    <m/>
    <m/>
    <n v="11.571197504627023"/>
    <n v="833.12622033314551"/>
    <n v="2.1695995321175663"/>
    <n v="3"/>
    <n v="210.1954412139622"/>
    <n v="432.3728414803075"/>
    <s v="Forecast"/>
  </r>
  <r>
    <d v="2024-03-09T00:00:00"/>
    <x v="7"/>
    <n v="7"/>
    <n v="3"/>
    <x v="9"/>
    <x v="4"/>
    <m/>
    <n v="314.85978031099052"/>
    <n v="283.37380227989149"/>
    <n v="251.88782424879241"/>
    <n v="251.88782424879241"/>
    <m/>
    <m/>
    <m/>
    <m/>
    <d v="1899-12-30T00:02:46"/>
    <m/>
    <m/>
    <m/>
    <m/>
    <m/>
    <m/>
    <m/>
    <m/>
    <m/>
    <m/>
    <n v="11.648062796086455"/>
    <n v="838.66052131822471"/>
    <n v="2.1840117742662102"/>
    <n v="3"/>
    <n v="194.9550170394958"/>
    <n v="424.25564400528208"/>
    <s v="Forecast"/>
  </r>
  <r>
    <d v="2024-03-10T00:00:00"/>
    <x v="7"/>
    <n v="1"/>
    <n v="3"/>
    <x v="10"/>
    <x v="4"/>
    <m/>
    <n v="221.12127088280579"/>
    <n v="199.00914379452522"/>
    <n v="176.89701670624464"/>
    <n v="176.89701670624464"/>
    <m/>
    <m/>
    <m/>
    <m/>
    <d v="1899-12-30T00:02:46"/>
    <m/>
    <m/>
    <m/>
    <m/>
    <m/>
    <m/>
    <m/>
    <m/>
    <m/>
    <m/>
    <n v="8.1803476934707131"/>
    <n v="588.9850339298913"/>
    <n v="1.5338151925257586"/>
    <n v="2"/>
    <n v="105.98744454390889"/>
    <n v="336.26118958946972"/>
    <s v="Forecast"/>
  </r>
  <r>
    <d v="2024-03-11T00:00:00"/>
    <x v="7"/>
    <n v="2"/>
    <n v="3"/>
    <x v="10"/>
    <x v="4"/>
    <m/>
    <n v="315.99560890119818"/>
    <n v="284.39604801107839"/>
    <n v="252.79648712095855"/>
    <n v="252.79648712095855"/>
    <m/>
    <m/>
    <m/>
    <m/>
    <d v="1899-12-30T00:02:46"/>
    <m/>
    <m/>
    <m/>
    <m/>
    <m/>
    <m/>
    <m/>
    <m/>
    <m/>
    <m/>
    <n v="11.690332556773809"/>
    <n v="841.70394408771426"/>
    <n v="2.1919373543950891"/>
    <n v="3"/>
    <n v="203.15506777199269"/>
    <n v="427.87395596614328"/>
    <s v="Forecast"/>
  </r>
  <r>
    <d v="2024-03-12T00:00:00"/>
    <x v="7"/>
    <n v="3"/>
    <n v="3"/>
    <x v="10"/>
    <x v="4"/>
    <m/>
    <n v="295.11303257783669"/>
    <n v="265.60172932005304"/>
    <n v="236.09042606226936"/>
    <n v="236.09042606226936"/>
    <m/>
    <m/>
    <m/>
    <m/>
    <d v="1899-12-30T00:02:46"/>
    <m/>
    <m/>
    <m/>
    <m/>
    <m/>
    <m/>
    <m/>
    <m/>
    <m/>
    <m/>
    <n v="10.917887881887625"/>
    <n v="786.08792749590896"/>
    <n v="2.0471039778539297"/>
    <n v="3"/>
    <n v="184.58447777260201"/>
    <n v="403.26964893289698"/>
    <s v="Forecast"/>
  </r>
  <r>
    <d v="2024-03-13T00:00:00"/>
    <x v="7"/>
    <n v="4"/>
    <n v="3"/>
    <x v="10"/>
    <x v="4"/>
    <m/>
    <n v="302.74683693532961"/>
    <n v="272.47215324179666"/>
    <n v="242.19746954826371"/>
    <n v="242.19746954826371"/>
    <m/>
    <m/>
    <m/>
    <m/>
    <d v="1899-12-30T00:02:46"/>
    <m/>
    <m/>
    <m/>
    <m/>
    <m/>
    <m/>
    <m/>
    <m/>
    <m/>
    <m/>
    <n v="11.200413505225621"/>
    <n v="806.42977237624473"/>
    <n v="2.100077532229804"/>
    <n v="3"/>
    <n v="190.18866456421739"/>
    <n v="404.74449154107577"/>
    <s v="Forecast"/>
  </r>
  <r>
    <d v="2024-03-14T00:00:00"/>
    <x v="7"/>
    <n v="5"/>
    <n v="3"/>
    <x v="10"/>
    <x v="4"/>
    <m/>
    <n v="293.68039079468599"/>
    <n v="264.3123517152174"/>
    <n v="234.94431263574882"/>
    <n v="234.94431263574882"/>
    <m/>
    <m/>
    <m/>
    <m/>
    <d v="1899-12-30T00:02:46"/>
    <m/>
    <m/>
    <m/>
    <m/>
    <m/>
    <m/>
    <m/>
    <m/>
    <m/>
    <m/>
    <n v="10.865089942888337"/>
    <n v="782.28647588796025"/>
    <n v="2.0372043642915632"/>
    <n v="3"/>
    <n v="189.6617494366908"/>
    <n v="405.58747623896619"/>
    <s v="Forecast"/>
  </r>
  <r>
    <d v="2024-03-15T00:00:00"/>
    <x v="7"/>
    <n v="6"/>
    <n v="3"/>
    <x v="10"/>
    <x v="4"/>
    <m/>
    <n v="280.85630942369801"/>
    <n v="252.77067848132822"/>
    <n v="224.68504753895843"/>
    <n v="224.68504753895843"/>
    <m/>
    <m/>
    <m/>
    <m/>
    <d v="1899-12-30T00:02:46"/>
    <m/>
    <m/>
    <m/>
    <m/>
    <m/>
    <m/>
    <m/>
    <m/>
    <m/>
    <m/>
    <n v="10.390734007349552"/>
    <n v="748.13284852916775"/>
    <n v="1.9482626263780409"/>
    <n v="2"/>
    <n v="175.25164116137719"/>
    <n v="383.30230319514618"/>
    <s v="Forecast"/>
  </r>
  <r>
    <d v="2024-03-16T00:00:00"/>
    <x v="7"/>
    <n v="7"/>
    <n v="3"/>
    <x v="10"/>
    <x v="4"/>
    <m/>
    <n v="284.43507714326398"/>
    <n v="255.99156942893759"/>
    <n v="227.54806171461121"/>
    <n v="227.54806171461121"/>
    <m/>
    <m/>
    <m/>
    <m/>
    <d v="1899-12-30T00:02:46"/>
    <m/>
    <m/>
    <m/>
    <m/>
    <m/>
    <m/>
    <m/>
    <m/>
    <m/>
    <m/>
    <n v="10.523218167497394"/>
    <n v="757.67170805981232"/>
    <n v="1.9731034064057613"/>
    <n v="2"/>
    <n v="170.88487981033811"/>
    <n v="391.3555427720749"/>
    <s v="Forecast"/>
  </r>
  <r>
    <d v="2024-03-17T00:00:00"/>
    <x v="7"/>
    <n v="1"/>
    <n v="3"/>
    <x v="11"/>
    <x v="4"/>
    <m/>
    <n v="192.6123145514587"/>
    <n v="173.35108309631283"/>
    <n v="154.08985164116697"/>
    <n v="154.08985164116697"/>
    <m/>
    <m/>
    <m/>
    <m/>
    <d v="1899-12-30T00:02:46"/>
    <m/>
    <m/>
    <m/>
    <m/>
    <m/>
    <m/>
    <m/>
    <m/>
    <m/>
    <m/>
    <n v="7.1261106097768545"/>
    <n v="513.0799639039335"/>
    <n v="1.3361457393331602"/>
    <n v="2"/>
    <n v="78.645504615158984"/>
    <n v="306.42360239487232"/>
    <s v="Forecast"/>
  </r>
  <r>
    <d v="2024-03-18T00:00:00"/>
    <x v="7"/>
    <n v="2"/>
    <n v="3"/>
    <x v="11"/>
    <x v="4"/>
    <m/>
    <n v="289.77700285346128"/>
    <n v="260.79930256811514"/>
    <n v="231.82160228276905"/>
    <n v="231.82160228276905"/>
    <m/>
    <m/>
    <m/>
    <m/>
    <d v="1899-12-30T00:02:46"/>
    <m/>
    <m/>
    <m/>
    <m/>
    <m/>
    <m/>
    <m/>
    <m/>
    <m/>
    <m/>
    <n v="10.720997649981873"/>
    <n v="771.91183079869484"/>
    <n v="2.0101870593716011"/>
    <n v="3"/>
    <n v="179.46756838536061"/>
    <n v="407.17355742312299"/>
    <s v="Forecast"/>
  </r>
  <r>
    <d v="2024-03-19T00:00:00"/>
    <x v="7"/>
    <n v="3"/>
    <n v="3"/>
    <x v="11"/>
    <x v="4"/>
    <m/>
    <n v="271.51627713156103"/>
    <n v="244.36464941840492"/>
    <n v="217.21302170524882"/>
    <n v="217.21302170524882"/>
    <m/>
    <m/>
    <m/>
    <m/>
    <d v="1899-12-30T00:02:46"/>
    <m/>
    <m/>
    <m/>
    <m/>
    <m/>
    <m/>
    <m/>
    <m/>
    <m/>
    <m/>
    <n v="10.045455068951457"/>
    <n v="723.27276496450474"/>
    <n v="1.8835228254283978"/>
    <n v="2"/>
    <n v="153.63152038138341"/>
    <n v="382.84776345730182"/>
    <s v="Forecast"/>
  </r>
  <r>
    <d v="2024-03-20T00:00:00"/>
    <x v="7"/>
    <n v="4"/>
    <n v="3"/>
    <x v="11"/>
    <x v="4"/>
    <m/>
    <n v="282.0548012129139"/>
    <n v="253.84932109162253"/>
    <n v="225.64384097033113"/>
    <n v="225.64384097033113"/>
    <m/>
    <m/>
    <m/>
    <m/>
    <d v="1899-12-30T00:02:46"/>
    <m/>
    <m/>
    <m/>
    <m/>
    <m/>
    <m/>
    <m/>
    <m/>
    <m/>
    <m/>
    <n v="10.43540679871783"/>
    <n v="751.34928950768381"/>
    <n v="1.9566387747595932"/>
    <n v="2"/>
    <n v="174.66384038104741"/>
    <n v="390.71192125490057"/>
    <s v="Forecast"/>
  </r>
  <r>
    <d v="2024-03-21T00:00:00"/>
    <x v="7"/>
    <n v="5"/>
    <n v="3"/>
    <x v="11"/>
    <x v="4"/>
    <m/>
    <n v="276.12283783828468"/>
    <n v="248.51055405445621"/>
    <n v="220.89827027062776"/>
    <n v="220.89827027062776"/>
    <m/>
    <m/>
    <m/>
    <m/>
    <d v="1899-12-30T00:02:46"/>
    <m/>
    <m/>
    <m/>
    <m/>
    <m/>
    <m/>
    <m/>
    <m/>
    <m/>
    <m/>
    <n v="10.215980380702799"/>
    <n v="735.55058741060145"/>
    <n v="1.9154963213817746"/>
    <n v="2"/>
    <n v="160.82325881365111"/>
    <n v="384.29402233404352"/>
    <s v="Forecast"/>
  </r>
  <r>
    <d v="2024-03-22T00:00:00"/>
    <x v="7"/>
    <n v="6"/>
    <n v="3"/>
    <x v="11"/>
    <x v="4"/>
    <m/>
    <n v="266.60656086588682"/>
    <n v="239.94590477929813"/>
    <n v="213.28524869270947"/>
    <n v="213.28524869270947"/>
    <m/>
    <m/>
    <m/>
    <m/>
    <d v="1899-12-30T00:02:46"/>
    <m/>
    <m/>
    <m/>
    <m/>
    <m/>
    <m/>
    <m/>
    <m/>
    <m/>
    <m/>
    <n v="9.8639330502607372"/>
    <n v="710.20317961877311"/>
    <n v="1.8494874469238882"/>
    <n v="2"/>
    <n v="155.12000291764289"/>
    <n v="372.91274987757163"/>
    <s v="Forecast"/>
  </r>
  <r>
    <d v="2024-03-23T00:00:00"/>
    <x v="7"/>
    <n v="7"/>
    <n v="3"/>
    <x v="11"/>
    <x v="4"/>
    <m/>
    <n v="273.60787701161951"/>
    <n v="246.24708931045757"/>
    <n v="218.88630160929563"/>
    <n v="218.88630160929563"/>
    <m/>
    <m/>
    <m/>
    <m/>
    <d v="1899-12-30T00:02:46"/>
    <m/>
    <m/>
    <m/>
    <m/>
    <m/>
    <m/>
    <m/>
    <m/>
    <m/>
    <m/>
    <n v="10.122998596490442"/>
    <n v="728.85589894731174"/>
    <n v="1.8980622368419577"/>
    <n v="2"/>
    <n v="156.01613676462719"/>
    <n v="374.87187460136352"/>
    <s v="Forecast"/>
  </r>
  <r>
    <d v="2024-03-24T00:00:00"/>
    <x v="7"/>
    <n v="1"/>
    <n v="3"/>
    <x v="12"/>
    <x v="4"/>
    <m/>
    <n v="185.26292375941489"/>
    <n v="166.73663138347339"/>
    <n v="148.21033900753193"/>
    <n v="148.21033900753193"/>
    <m/>
    <m/>
    <m/>
    <m/>
    <d v="1899-12-30T00:02:46"/>
    <m/>
    <m/>
    <m/>
    <m/>
    <m/>
    <m/>
    <m/>
    <m/>
    <m/>
    <m/>
    <n v="6.8544109286767974"/>
    <n v="493.51758686472937"/>
    <n v="1.2852020491268994"/>
    <n v="2"/>
    <n v="69.446330700386042"/>
    <n v="298.14407733552588"/>
    <s v="Forecast"/>
  </r>
  <r>
    <d v="2024-03-25T00:00:00"/>
    <x v="7"/>
    <n v="2"/>
    <n v="3"/>
    <x v="12"/>
    <x v="4"/>
    <m/>
    <n v="285.90152734745328"/>
    <n v="257.31137461270794"/>
    <n v="228.72122187796265"/>
    <n v="228.72122187796265"/>
    <m/>
    <m/>
    <m/>
    <m/>
    <d v="1899-12-30T00:02:46"/>
    <m/>
    <m/>
    <m/>
    <m/>
    <m/>
    <m/>
    <m/>
    <m/>
    <m/>
    <m/>
    <n v="10.577886515118257"/>
    <n v="761.60782908851445"/>
    <n v="1.983353721584673"/>
    <n v="2"/>
    <n v="182.52286993089859"/>
    <n v="402.79246667406233"/>
    <s v="Forecast"/>
  </r>
  <r>
    <d v="2024-03-26T00:00:00"/>
    <x v="7"/>
    <n v="3"/>
    <n v="3"/>
    <x v="12"/>
    <x v="4"/>
    <m/>
    <n v="271.05320424721401"/>
    <n v="243.94788382249263"/>
    <n v="216.84256339777122"/>
    <n v="216.84256339777122"/>
    <m/>
    <m/>
    <m/>
    <m/>
    <d v="1899-12-30T00:02:46"/>
    <m/>
    <m/>
    <m/>
    <m/>
    <m/>
    <m/>
    <m/>
    <m/>
    <m/>
    <m/>
    <n v="10.028536134448775"/>
    <n v="722.05460168031175"/>
    <n v="1.8803505252091453"/>
    <n v="2"/>
    <n v="165.2002974705384"/>
    <n v="377.12125345370453"/>
    <s v="Forecast"/>
  </r>
  <r>
    <d v="2024-03-27T00:00:00"/>
    <x v="7"/>
    <n v="4"/>
    <n v="3"/>
    <x v="12"/>
    <x v="4"/>
    <m/>
    <n v="284.88769123868099"/>
    <n v="256.39892211481288"/>
    <n v="227.91015299094479"/>
    <n v="227.91015299094479"/>
    <m/>
    <m/>
    <m/>
    <m/>
    <d v="1899-12-30T00:02:46"/>
    <m/>
    <m/>
    <m/>
    <m/>
    <m/>
    <m/>
    <m/>
    <m/>
    <m/>
    <m/>
    <n v="10.540397785418431"/>
    <n v="758.90864055012696"/>
    <n v="1.9763245847659556"/>
    <n v="2"/>
    <n v="166.81464531431041"/>
    <n v="389.4557166899429"/>
    <s v="Forecast"/>
  </r>
  <r>
    <d v="2024-03-28T00:00:00"/>
    <x v="7"/>
    <n v="5"/>
    <n v="3"/>
    <x v="12"/>
    <x v="4"/>
    <m/>
    <n v="282.08409175563128"/>
    <n v="253.87568258006814"/>
    <n v="225.66727340450504"/>
    <n v="225.66727340450504"/>
    <m/>
    <m/>
    <m/>
    <m/>
    <d v="1899-12-30T00:02:46"/>
    <m/>
    <m/>
    <m/>
    <m/>
    <m/>
    <m/>
    <m/>
    <m/>
    <m/>
    <m/>
    <n v="10.436671276646775"/>
    <n v="751.44033191856784"/>
    <n v="1.9568758643712705"/>
    <n v="2"/>
    <n v="172.63161172118879"/>
    <n v="394.19639689949622"/>
    <s v="Forecast"/>
  </r>
  <r>
    <d v="2024-03-29T00:00:00"/>
    <x v="7"/>
    <n v="6"/>
    <n v="3"/>
    <x v="12"/>
    <x v="4"/>
    <m/>
    <n v="275.48216137515698"/>
    <n v="247.9339452376413"/>
    <n v="220.38572910012559"/>
    <n v="220.38572910012559"/>
    <m/>
    <m/>
    <m/>
    <m/>
    <d v="1899-12-30T00:02:46"/>
    <m/>
    <m/>
    <m/>
    <m/>
    <m/>
    <m/>
    <m/>
    <m/>
    <m/>
    <m/>
    <n v="10.192407224369255"/>
    <n v="733.85332015458641"/>
    <n v="1.9110763545692355"/>
    <n v="2"/>
    <n v="163.50742042442729"/>
    <n v="386.96579525699161"/>
    <s v="Forecast"/>
  </r>
  <r>
    <d v="2024-03-30T00:00:00"/>
    <x v="7"/>
    <n v="7"/>
    <n v="3"/>
    <x v="12"/>
    <x v="4"/>
    <m/>
    <n v="285.1429788303011"/>
    <n v="256.62868094727099"/>
    <n v="228.11438306424088"/>
    <n v="228.11438306424088"/>
    <m/>
    <m/>
    <m/>
    <m/>
    <d v="1899-12-30T00:02:46"/>
    <m/>
    <m/>
    <m/>
    <m/>
    <m/>
    <m/>
    <m/>
    <m/>
    <m/>
    <m/>
    <n v="10.549833806883361"/>
    <n v="759.58803409560198"/>
    <n v="1.9780938387906302"/>
    <n v="2"/>
    <n v="174.86576858764349"/>
    <n v="404.62340622868697"/>
    <s v="Forecast"/>
  </r>
  <r>
    <d v="2024-03-31T00:00:00"/>
    <x v="7"/>
    <n v="1"/>
    <n v="3"/>
    <x v="13"/>
    <x v="4"/>
    <m/>
    <n v="199.16815127847579"/>
    <n v="179.25133615062822"/>
    <n v="159.33452102278065"/>
    <n v="159.33452102278065"/>
    <m/>
    <m/>
    <m/>
    <m/>
    <d v="1899-12-30T00:02:46"/>
    <m/>
    <m/>
    <m/>
    <m/>
    <m/>
    <m/>
    <m/>
    <m/>
    <m/>
    <m/>
    <n v="7.3688927572743701"/>
    <n v="530.56027852375462"/>
    <n v="1.3816673919889444"/>
    <n v="2"/>
    <n v="86.226458031249848"/>
    <n v="307.45120155095373"/>
    <s v="Forecast"/>
  </r>
  <r>
    <d v="2024-04-01T00:00:00"/>
    <x v="7"/>
    <n v="2"/>
    <n v="4"/>
    <x v="13"/>
    <x v="4"/>
    <m/>
    <n v="301.85982350362411"/>
    <n v="271.67384115326172"/>
    <n v="241.4878588028993"/>
    <n v="241.4878588028993"/>
    <m/>
    <m/>
    <m/>
    <m/>
    <d v="1899-12-30T00:02:46"/>
    <m/>
    <m/>
    <m/>
    <m/>
    <m/>
    <m/>
    <m/>
    <m/>
    <m/>
    <m/>
    <n v="11.168293745010029"/>
    <n v="804.117149640722"/>
    <n v="2.0940550771893802"/>
    <n v="3"/>
    <n v="198.4237613148519"/>
    <n v="422.72665239931848"/>
    <s v="Forecast"/>
  </r>
  <r>
    <d v="2024-04-02T00:00:00"/>
    <x v="7"/>
    <n v="3"/>
    <n v="4"/>
    <x v="13"/>
    <x v="4"/>
    <m/>
    <n v="288.72706418651711"/>
    <n v="259.85435776786539"/>
    <n v="230.98165134921371"/>
    <n v="230.98165134921371"/>
    <m/>
    <m/>
    <m/>
    <m/>
    <d v="1899-12-30T00:02:46"/>
    <m/>
    <m/>
    <m/>
    <m/>
    <m/>
    <m/>
    <m/>
    <m/>
    <m/>
    <m/>
    <n v="10.682379029522043"/>
    <n v="769.13129012558704"/>
    <n v="2.0029460680353828"/>
    <n v="3"/>
    <n v="171.80513880243879"/>
    <n v="397.97751131654252"/>
    <s v="Forecast"/>
  </r>
  <r>
    <d v="2024-04-03T00:00:00"/>
    <x v="7"/>
    <n v="4"/>
    <n v="4"/>
    <x v="13"/>
    <x v="4"/>
    <m/>
    <n v="303.92660826438691"/>
    <n v="273.53394743794826"/>
    <n v="243.14128661150954"/>
    <n v="243.14128661150954"/>
    <m/>
    <m/>
    <m/>
    <m/>
    <d v="1899-12-30T00:02:46"/>
    <m/>
    <m/>
    <m/>
    <m/>
    <m/>
    <m/>
    <m/>
    <m/>
    <m/>
    <m/>
    <n v="11.244701754250176"/>
    <n v="809.61852630601265"/>
    <n v="2.1083815789219078"/>
    <n v="3"/>
    <n v="190.865142626867"/>
    <n v="417.91618538881909"/>
    <s v="Forecast"/>
  </r>
  <r>
    <d v="2024-04-04T00:00:00"/>
    <x v="7"/>
    <n v="5"/>
    <n v="4"/>
    <x v="13"/>
    <x v="4"/>
    <m/>
    <n v="302.13204125335648"/>
    <n v="271.91883712802081"/>
    <n v="241.7056330026852"/>
    <n v="241.7056330026852"/>
    <m/>
    <m/>
    <m/>
    <m/>
    <d v="1899-12-30T00:02:46"/>
    <m/>
    <m/>
    <m/>
    <m/>
    <m/>
    <m/>
    <m/>
    <m/>
    <m/>
    <m/>
    <n v="11.178268254192654"/>
    <n v="804.83531430187099"/>
    <n v="2.0959252976611222"/>
    <n v="3"/>
    <n v="186.59676032787249"/>
    <n v="409.18248265640091"/>
    <s v="Forecast"/>
  </r>
  <r>
    <d v="2024-04-05T00:00:00"/>
    <x v="7"/>
    <n v="6"/>
    <n v="4"/>
    <x v="13"/>
    <x v="4"/>
    <m/>
    <n v="296.18495090175992"/>
    <n v="266.56645581158392"/>
    <n v="236.94796072140795"/>
    <n v="236.94796072140795"/>
    <m/>
    <m/>
    <m/>
    <m/>
    <d v="1899-12-30T00:02:46"/>
    <m/>
    <m/>
    <m/>
    <m/>
    <m/>
    <m/>
    <m/>
    <m/>
    <m/>
    <m/>
    <n v="10.958196990175386"/>
    <n v="788.99018329262776"/>
    <n v="2.0546619356578848"/>
    <n v="3"/>
    <n v="192.69216218703031"/>
    <n v="408.3291083289368"/>
    <s v="Forecast"/>
  </r>
  <r>
    <d v="2024-04-06T00:00:00"/>
    <x v="7"/>
    <n v="7"/>
    <n v="4"/>
    <x v="13"/>
    <x v="4"/>
    <m/>
    <n v="306.15529921266011"/>
    <n v="275.53976929139412"/>
    <n v="244.92423937012811"/>
    <n v="244.92423937012811"/>
    <m/>
    <m/>
    <m/>
    <m/>
    <d v="1899-12-30T00:02:46"/>
    <m/>
    <m/>
    <m/>
    <m/>
    <m/>
    <m/>
    <m/>
    <m/>
    <m/>
    <m/>
    <n v="11.327031776823368"/>
    <n v="815.54628793128256"/>
    <n v="2.1238184581543815"/>
    <n v="3"/>
    <n v="188.2705302745361"/>
    <n v="427.68846372519931"/>
    <s v="Forecast"/>
  </r>
  <r>
    <d v="2024-04-07T00:00:00"/>
    <x v="7"/>
    <n v="1"/>
    <n v="4"/>
    <x v="14"/>
    <x v="4"/>
    <m/>
    <n v="220.16017420163789"/>
    <n v="198.14415678147409"/>
    <n v="176.12813936131033"/>
    <n v="176.12813936131033"/>
    <m/>
    <m/>
    <m/>
    <m/>
    <d v="1899-12-30T00:02:46"/>
    <m/>
    <m/>
    <m/>
    <m/>
    <m/>
    <m/>
    <m/>
    <m/>
    <m/>
    <m/>
    <n v="8.1453773651210692"/>
    <n v="586.46717028871694"/>
    <n v="1.5272582559602004"/>
    <n v="2"/>
    <n v="113.33144222513179"/>
    <n v="333.66166529218998"/>
    <s v="Forecast"/>
  </r>
  <r>
    <d v="2024-04-08T00:00:00"/>
    <x v="7"/>
    <n v="2"/>
    <n v="4"/>
    <x v="14"/>
    <x v="4"/>
    <m/>
    <n v="322.52320532021048"/>
    <n v="290.27088478818945"/>
    <n v="258.01856425616842"/>
    <n v="258.01856425616842"/>
    <m/>
    <m/>
    <m/>
    <m/>
    <d v="1899-12-30T00:02:46"/>
    <m/>
    <m/>
    <m/>
    <m/>
    <m/>
    <m/>
    <m/>
    <m/>
    <m/>
    <m/>
    <n v="11.932498810986546"/>
    <n v="859.13991439103131"/>
    <n v="2.2373435270599775"/>
    <n v="3"/>
    <n v="216.3426058677563"/>
    <n v="432.05038876617078"/>
    <s v="Forecast"/>
  </r>
  <r>
    <d v="2024-04-09T00:00:00"/>
    <x v="7"/>
    <n v="3"/>
    <n v="4"/>
    <x v="14"/>
    <x v="4"/>
    <m/>
    <n v="308.78023318131818"/>
    <n v="277.90220986318639"/>
    <n v="247.02418654505456"/>
    <n v="247.02418654505456"/>
    <m/>
    <m/>
    <m/>
    <m/>
    <d v="1899-12-30T00:02:46"/>
    <m/>
    <m/>
    <m/>
    <m/>
    <m/>
    <m/>
    <m/>
    <m/>
    <m/>
    <m/>
    <n v="11.423990235890734"/>
    <n v="822.52729698413293"/>
    <n v="2.1419981692295127"/>
    <n v="3"/>
    <n v="188.96393903630729"/>
    <n v="421.53925505209691"/>
    <s v="Forecast"/>
  </r>
  <r>
    <d v="2024-04-10T00:00:00"/>
    <x v="7"/>
    <n v="4"/>
    <n v="4"/>
    <x v="14"/>
    <x v="4"/>
    <m/>
    <n v="323.11923284050857"/>
    <n v="290.80730955645771"/>
    <n v="258.49538627240685"/>
    <n v="258.49538627240685"/>
    <m/>
    <m/>
    <m/>
    <m/>
    <d v="1899-12-30T00:02:46"/>
    <m/>
    <m/>
    <m/>
    <m/>
    <m/>
    <m/>
    <m/>
    <m/>
    <m/>
    <m/>
    <n v="11.954432311068887"/>
    <n v="860.71912639695972"/>
    <n v="2.2414560583254159"/>
    <n v="3"/>
    <n v="211.21477161460089"/>
    <n v="441.70031768709731"/>
    <s v="Forecast"/>
  </r>
  <r>
    <d v="2024-04-11T00:00:00"/>
    <x v="7"/>
    <n v="5"/>
    <n v="4"/>
    <x v="14"/>
    <x v="4"/>
    <m/>
    <n v="320.24859894497672"/>
    <n v="288.22373905047908"/>
    <n v="256.19887915598139"/>
    <n v="256.19887915598139"/>
    <m/>
    <m/>
    <m/>
    <m/>
    <d v="1899-12-30T00:02:46"/>
    <m/>
    <m/>
    <m/>
    <m/>
    <m/>
    <m/>
    <m/>
    <m/>
    <m/>
    <m/>
    <n v="11.848166235617191"/>
    <n v="853.06796896443768"/>
    <n v="2.2215311691782231"/>
    <n v="3"/>
    <n v="203.72505872425299"/>
    <n v="435.66462744598391"/>
    <s v="Forecast"/>
  </r>
  <r>
    <d v="2024-04-12T00:00:00"/>
    <x v="7"/>
    <n v="6"/>
    <n v="4"/>
    <x v="14"/>
    <x v="4"/>
    <m/>
    <n v="313.04734213082941"/>
    <n v="281.74260791774645"/>
    <n v="250.43787370466353"/>
    <n v="250.43787370466353"/>
    <m/>
    <m/>
    <m/>
    <m/>
    <d v="1899-12-30T00:02:46"/>
    <m/>
    <m/>
    <m/>
    <m/>
    <m/>
    <m/>
    <m/>
    <m/>
    <m/>
    <m/>
    <n v="11.581681693194582"/>
    <n v="833.88108191000993"/>
    <n v="2.1715653174739842"/>
    <n v="3"/>
    <n v="199.18861509245781"/>
    <n v="431.88814557130559"/>
    <s v="Forecast"/>
  </r>
  <r>
    <d v="2024-04-13T00:00:00"/>
    <x v="7"/>
    <n v="7"/>
    <n v="4"/>
    <x v="14"/>
    <x v="4"/>
    <m/>
    <n v="321.62447469074579"/>
    <n v="289.46202722167124"/>
    <n v="257.29957975259663"/>
    <n v="257.29957975259663"/>
    <m/>
    <m/>
    <m/>
    <m/>
    <d v="1899-12-30T00:02:46"/>
    <m/>
    <m/>
    <m/>
    <m/>
    <m/>
    <m/>
    <m/>
    <m/>
    <m/>
    <m/>
    <n v="11.898941970447781"/>
    <n v="856.72382187224014"/>
    <n v="2.2310516194589587"/>
    <n v="3"/>
    <n v="206.892502229727"/>
    <n v="431.50155493113408"/>
    <s v="Forecast"/>
  </r>
  <r>
    <d v="2024-04-14T00:00:00"/>
    <x v="7"/>
    <n v="1"/>
    <n v="4"/>
    <x v="15"/>
    <x v="4"/>
    <m/>
    <n v="234.13677014464079"/>
    <n v="210.72309313017672"/>
    <n v="187.30941611571265"/>
    <n v="187.30941611571265"/>
    <m/>
    <m/>
    <m/>
    <m/>
    <d v="1899-12-30T00:02:46"/>
    <m/>
    <m/>
    <m/>
    <m/>
    <m/>
    <m/>
    <m/>
    <m/>
    <m/>
    <m/>
    <n v="8.6621657660248736"/>
    <n v="623.67593515379087"/>
    <n v="1.6241560811296638"/>
    <n v="2"/>
    <n v="124.1402123251769"/>
    <n v="336.78342768229498"/>
    <s v="Forecast"/>
  </r>
  <r>
    <d v="2024-04-15T00:00:00"/>
    <x v="7"/>
    <n v="2"/>
    <n v="4"/>
    <x v="15"/>
    <x v="4"/>
    <m/>
    <n v="334.94720556400853"/>
    <n v="301.45248500760766"/>
    <n v="267.95776445120686"/>
    <n v="267.95776445120686"/>
    <m/>
    <m/>
    <m/>
    <m/>
    <d v="1899-12-30T00:02:46"/>
    <m/>
    <m/>
    <m/>
    <m/>
    <m/>
    <m/>
    <m/>
    <m/>
    <m/>
    <m/>
    <n v="12.391698376665669"/>
    <n v="892.20228311992821"/>
    <n v="2.3234434456248132"/>
    <n v="3"/>
    <n v="216.6784265395633"/>
    <n v="455.94937098992148"/>
    <s v="Forecast"/>
  </r>
  <r>
    <d v="2024-04-16T00:00:00"/>
    <x v="7"/>
    <n v="3"/>
    <n v="4"/>
    <x v="15"/>
    <x v="4"/>
    <m/>
    <n v="319.62970121146219"/>
    <n v="287.66673109031598"/>
    <n v="255.70376096916976"/>
    <n v="255.70376096916976"/>
    <m/>
    <m/>
    <m/>
    <m/>
    <d v="1899-12-30T00:02:46"/>
    <m/>
    <m/>
    <m/>
    <m/>
    <m/>
    <m/>
    <m/>
    <m/>
    <m/>
    <m/>
    <n v="11.824947360583963"/>
    <n v="851.3962099620453"/>
    <n v="2.217177630109493"/>
    <n v="3"/>
    <n v="202.64744059022149"/>
    <n v="432.6780825464441"/>
    <s v="Forecast"/>
  </r>
  <r>
    <d v="2024-04-17T00:00:00"/>
    <x v="7"/>
    <n v="4"/>
    <n v="4"/>
    <x v="15"/>
    <x v="4"/>
    <m/>
    <n v="332.40817908294741"/>
    <n v="299.16736117465268"/>
    <n v="265.92654326635795"/>
    <n v="265.92654326635795"/>
    <m/>
    <m/>
    <m/>
    <m/>
    <d v="1899-12-30T00:02:46"/>
    <m/>
    <m/>
    <m/>
    <m/>
    <m/>
    <m/>
    <m/>
    <m/>
    <m/>
    <m/>
    <n v="12.297629462481122"/>
    <n v="885.42932129864073"/>
    <n v="2.3058055242152102"/>
    <n v="3"/>
    <n v="221.05631612117651"/>
    <n v="445.91713154574131"/>
    <s v="Forecast"/>
  </r>
  <r>
    <d v="2024-04-18T00:00:00"/>
    <x v="7"/>
    <n v="5"/>
    <n v="4"/>
    <x v="15"/>
    <x v="4"/>
    <m/>
    <n v="328.02406884489392"/>
    <n v="295.22166196040456"/>
    <n v="262.41925507591515"/>
    <n v="262.41925507591515"/>
    <m/>
    <m/>
    <m/>
    <m/>
    <d v="1899-12-30T00:02:46"/>
    <m/>
    <m/>
    <m/>
    <m/>
    <m/>
    <m/>
    <m/>
    <m/>
    <m/>
    <m/>
    <n v="12.135370689018146"/>
    <n v="873.74668960930649"/>
    <n v="2.2753820041909023"/>
    <n v="3"/>
    <n v="212.25084855979549"/>
    <n v="441.54928828887012"/>
    <s v="Forecast"/>
  </r>
  <r>
    <d v="2024-04-19T00:00:00"/>
    <x v="7"/>
    <n v="6"/>
    <n v="4"/>
    <x v="15"/>
    <x v="4"/>
    <m/>
    <n v="319.38582809919171"/>
    <n v="287.44724528927253"/>
    <n v="255.50866247935338"/>
    <n v="255.50866247935338"/>
    <m/>
    <m/>
    <m/>
    <m/>
    <d v="1899-12-30T00:02:46"/>
    <m/>
    <m/>
    <m/>
    <m/>
    <m/>
    <m/>
    <m/>
    <m/>
    <m/>
    <m/>
    <n v="11.815730607143305"/>
    <n v="850.73260371431786"/>
    <n v="2.2154494888393694"/>
    <n v="3"/>
    <n v="205.439554703406"/>
    <n v="427.55146473403107"/>
    <s v="Forecast"/>
  </r>
  <r>
    <d v="2024-04-20T00:00:00"/>
    <x v="7"/>
    <n v="7"/>
    <n v="4"/>
    <x v="15"/>
    <x v="4"/>
    <m/>
    <n v="326.6277694905296"/>
    <n v="293.96499254147665"/>
    <n v="261.30221559242369"/>
    <n v="261.30221559242369"/>
    <m/>
    <m/>
    <m/>
    <m/>
    <d v="1899-12-30T00:02:46"/>
    <m/>
    <m/>
    <m/>
    <m/>
    <m/>
    <m/>
    <m/>
    <m/>
    <m/>
    <m/>
    <n v="12.083580568686452"/>
    <n v="870.0178009454246"/>
    <n v="2.2656713566287099"/>
    <n v="3"/>
    <n v="210.00957645051611"/>
    <n v="440.15035094385911"/>
    <s v="Forecast"/>
  </r>
  <r>
    <d v="2024-04-21T00:00:00"/>
    <x v="7"/>
    <n v="1"/>
    <n v="4"/>
    <x v="16"/>
    <x v="4"/>
    <m/>
    <n v="237.9273904111547"/>
    <n v="214.13465137003925"/>
    <n v="190.34191232892377"/>
    <n v="190.34191232892377"/>
    <m/>
    <m/>
    <m/>
    <m/>
    <d v="1899-12-30T00:02:46"/>
    <m/>
    <m/>
    <m/>
    <m/>
    <m/>
    <m/>
    <m/>
    <m/>
    <m/>
    <m/>
    <n v="8.8020654841571808"/>
    <n v="633.74871485931703"/>
    <n v="1.6503872782794715"/>
    <n v="2"/>
    <n v="127.22214732619349"/>
    <n v="353.06866487950668"/>
    <s v="Forecast"/>
  </r>
  <r>
    <d v="2024-04-22T00:00:00"/>
    <x v="7"/>
    <n v="2"/>
    <n v="4"/>
    <x v="16"/>
    <x v="4"/>
    <m/>
    <n v="337.66352166200329"/>
    <n v="303.89716949580298"/>
    <n v="270.13081732960262"/>
    <n v="270.13081732960262"/>
    <m/>
    <m/>
    <m/>
    <m/>
    <d v="1899-12-30T00:02:46"/>
    <m/>
    <m/>
    <m/>
    <m/>
    <m/>
    <m/>
    <m/>
    <m/>
    <m/>
    <m/>
    <n v="12.491710668210217"/>
    <n v="899.40316811113564"/>
    <n v="2.3421957502894157"/>
    <n v="3"/>
    <n v="226.04998735919051"/>
    <n v="454.99365510767183"/>
    <s v="Forecast"/>
  </r>
  <r>
    <d v="2024-04-23T00:00:00"/>
    <x v="7"/>
    <n v="3"/>
    <n v="4"/>
    <x v="16"/>
    <x v="4"/>
    <m/>
    <n v="321.42091339354249"/>
    <n v="289.27882205418825"/>
    <n v="257.13673071483402"/>
    <n v="257.13673071483402"/>
    <m/>
    <m/>
    <m/>
    <m/>
    <d v="1899-12-30T00:02:46"/>
    <m/>
    <m/>
    <m/>
    <m/>
    <m/>
    <m/>
    <m/>
    <m/>
    <m/>
    <m/>
    <n v="11.890757804368775"/>
    <n v="856.1345619145518"/>
    <n v="2.2295170883191453"/>
    <n v="3"/>
    <n v="214.02095857333501"/>
    <n v="433.89753033372602"/>
    <s v="Forecast"/>
  </r>
  <r>
    <d v="2024-04-24T00:00:00"/>
    <x v="7"/>
    <n v="4"/>
    <n v="4"/>
    <x v="16"/>
    <x v="4"/>
    <m/>
    <n v="333.4292799024247"/>
    <n v="300.08635191218224"/>
    <n v="266.74342392193978"/>
    <n v="266.74342392193978"/>
    <m/>
    <m/>
    <m/>
    <m/>
    <d v="1899-12-30T00:02:46"/>
    <m/>
    <m/>
    <m/>
    <m/>
    <m/>
    <m/>
    <m/>
    <m/>
    <m/>
    <m/>
    <n v="12.334932897205785"/>
    <n v="888.11516859881647"/>
    <n v="2.3127999182260846"/>
    <n v="3"/>
    <n v="211.59862690744779"/>
    <n v="441.51782664488081"/>
    <s v="Forecast"/>
  </r>
  <r>
    <d v="2024-04-25T00:00:00"/>
    <x v="7"/>
    <n v="5"/>
    <n v="4"/>
    <x v="16"/>
    <x v="4"/>
    <m/>
    <n v="328.43092804434127"/>
    <n v="295.58783523990718"/>
    <n v="262.74474243547303"/>
    <n v="262.74474243547303"/>
    <m/>
    <m/>
    <m/>
    <m/>
    <d v="1899-12-30T00:02:46"/>
    <m/>
    <m/>
    <m/>
    <m/>
    <m/>
    <m/>
    <m/>
    <m/>
    <m/>
    <m/>
    <n v="12.149957364096249"/>
    <n v="874.79693021492983"/>
    <n v="2.2781170057680464"/>
    <n v="3"/>
    <n v="215.9053664942391"/>
    <n v="433.24075708494598"/>
    <s v="Forecast"/>
  </r>
  <r>
    <d v="2024-04-26T00:00:00"/>
    <x v="7"/>
    <n v="6"/>
    <n v="4"/>
    <x v="16"/>
    <x v="4"/>
    <m/>
    <n v="319.33052893539889"/>
    <n v="287.39747604185902"/>
    <n v="255.46442314831913"/>
    <n v="255.46442314831913"/>
    <m/>
    <m/>
    <m/>
    <m/>
    <d v="1899-12-30T00:02:46"/>
    <m/>
    <m/>
    <m/>
    <m/>
    <m/>
    <m/>
    <m/>
    <m/>
    <m/>
    <m/>
    <n v="11.813236417232234"/>
    <n v="850.55302204072075"/>
    <n v="2.2149818282310436"/>
    <n v="3"/>
    <n v="205.15685343359641"/>
    <n v="424.8466381876537"/>
    <s v="Forecast"/>
  </r>
  <r>
    <d v="2024-04-27T00:00:00"/>
    <x v="7"/>
    <n v="7"/>
    <n v="4"/>
    <x v="16"/>
    <x v="4"/>
    <m/>
    <n v="326.25431489139538"/>
    <n v="293.62888340225584"/>
    <n v="261.00345191311629"/>
    <n v="261.00345191311629"/>
    <m/>
    <m/>
    <m/>
    <m/>
    <d v="1899-12-30T00:02:46"/>
    <m/>
    <m/>
    <m/>
    <m/>
    <m/>
    <m/>
    <m/>
    <m/>
    <m/>
    <m/>
    <n v="12.069313948420316"/>
    <n v="868.99060428626274"/>
    <n v="2.2629963653288092"/>
    <n v="3"/>
    <n v="220.21622788454181"/>
    <n v="428.90784223262278"/>
    <s v="Forecast"/>
  </r>
  <r>
    <d v="2024-04-28T00:00:00"/>
    <x v="7"/>
    <n v="1"/>
    <n v="4"/>
    <x v="17"/>
    <x v="4"/>
    <m/>
    <n v="237.3678838752345"/>
    <n v="213.63109548771106"/>
    <n v="189.8943071001876"/>
    <n v="189.8943071001876"/>
    <m/>
    <m/>
    <m/>
    <m/>
    <d v="1899-12-30T00:02:46"/>
    <m/>
    <m/>
    <m/>
    <m/>
    <m/>
    <m/>
    <m/>
    <m/>
    <m/>
    <m/>
    <n v="8.7810467192147943"/>
    <n v="632.23536378346512"/>
    <n v="1.6464462598527738"/>
    <n v="2"/>
    <n v="122.2073746994968"/>
    <n v="350.13475285834272"/>
    <s v="Forecast"/>
  </r>
  <r>
    <d v="2024-04-29T00:00:00"/>
    <x v="7"/>
    <n v="2"/>
    <n v="4"/>
    <x v="17"/>
    <x v="4"/>
    <m/>
    <n v="337.03491177525518"/>
    <n v="303.33142059772968"/>
    <n v="269.62792942020417"/>
    <n v="269.62792942020417"/>
    <m/>
    <m/>
    <m/>
    <m/>
    <d v="1899-12-30T00:02:46"/>
    <m/>
    <m/>
    <m/>
    <m/>
    <m/>
    <m/>
    <m/>
    <m/>
    <m/>
    <m/>
    <n v="12.468016805784448"/>
    <n v="897.6972100164802"/>
    <n v="2.3377531510845837"/>
    <n v="3"/>
    <n v="227.10384005111919"/>
    <n v="451.1869953185552"/>
    <s v="Forecast"/>
  </r>
  <r>
    <d v="2024-04-30T00:00:00"/>
    <x v="7"/>
    <n v="3"/>
    <n v="4"/>
    <x v="17"/>
    <x v="4"/>
    <m/>
    <n v="320.82237278079288"/>
    <n v="288.7401355027136"/>
    <n v="256.65789822463432"/>
    <n v="256.65789822463432"/>
    <m/>
    <m/>
    <m/>
    <m/>
    <d v="1899-12-30T00:02:46"/>
    <m/>
    <m/>
    <m/>
    <m/>
    <m/>
    <m/>
    <m/>
    <m/>
    <m/>
    <m/>
    <n v="11.86821614655627"/>
    <n v="854.51156255205137"/>
    <n v="2.2252905274793005"/>
    <n v="3"/>
    <n v="206.37770544022061"/>
    <n v="432.67898672993817"/>
    <s v="Forecast"/>
  </r>
  <r>
    <d v="2024-05-01T00:00:00"/>
    <x v="7"/>
    <n v="4"/>
    <n v="5"/>
    <x v="17"/>
    <x v="4"/>
    <m/>
    <n v="332.94026982978511"/>
    <n v="299.64624284680662"/>
    <n v="266.35221586382812"/>
    <n v="266.35221586382812"/>
    <m/>
    <m/>
    <m/>
    <m/>
    <d v="1899-12-30T00:02:46"/>
    <m/>
    <m/>
    <m/>
    <m/>
    <m/>
    <m/>
    <m/>
    <m/>
    <m/>
    <m/>
    <n v="12.316451492670815"/>
    <n v="886.78450747229874"/>
    <n v="2.3093346548757778"/>
    <n v="3"/>
    <n v="220.43017199574521"/>
    <n v="444.43632986738032"/>
    <s v="Forecast"/>
  </r>
  <r>
    <d v="2024-05-02T00:00:00"/>
    <x v="7"/>
    <n v="5"/>
    <n v="5"/>
    <x v="17"/>
    <x v="4"/>
    <m/>
    <n v="328.10997935330943"/>
    <n v="295.2989814179785"/>
    <n v="262.48798348264756"/>
    <n v="262.48798348264756"/>
    <m/>
    <m/>
    <m/>
    <m/>
    <d v="1899-12-30T00:02:46"/>
    <m/>
    <m/>
    <m/>
    <m/>
    <m/>
    <m/>
    <m/>
    <m/>
    <m/>
    <m/>
    <n v="12.137729949998292"/>
    <n v="873.91655639987698"/>
    <n v="2.2758243656246795"/>
    <n v="3"/>
    <n v="221.57707851121069"/>
    <n v="432.1326947423629"/>
    <s v="Forecast"/>
  </r>
  <r>
    <d v="2024-05-03T00:00:00"/>
    <x v="7"/>
    <n v="6"/>
    <n v="5"/>
    <x v="17"/>
    <x v="4"/>
    <m/>
    <n v="319.21474904242382"/>
    <n v="287.29327413818146"/>
    <n v="255.37179923393907"/>
    <n v="255.37179923393907"/>
    <m/>
    <m/>
    <m/>
    <m/>
    <d v="1899-12-30T00:02:46"/>
    <m/>
    <m/>
    <m/>
    <m/>
    <m/>
    <m/>
    <m/>
    <m/>
    <m/>
    <m/>
    <n v="11.808642732467655"/>
    <n v="850.22227673767111"/>
    <n v="2.214120512337685"/>
    <n v="3"/>
    <n v="217.44073745236139"/>
    <n v="423.62651089292018"/>
    <s v="Forecast"/>
  </r>
  <r>
    <d v="2024-05-04T00:00:00"/>
    <x v="7"/>
    <n v="7"/>
    <n v="5"/>
    <x v="17"/>
    <x v="4"/>
    <m/>
    <n v="326.35960986887881"/>
    <n v="293.72364888199093"/>
    <n v="261.08768789510304"/>
    <n v="261.08768789510304"/>
    <m/>
    <m/>
    <m/>
    <m/>
    <d v="1899-12-30T00:02:46"/>
    <m/>
    <m/>
    <m/>
    <m/>
    <m/>
    <m/>
    <m/>
    <m/>
    <m/>
    <m/>
    <n v="12.072930060331185"/>
    <n v="869.25096434384534"/>
    <n v="2.2636743863120974"/>
    <n v="3"/>
    <n v="212.66277486629471"/>
    <n v="438.30916993113851"/>
    <s v="Forecast"/>
  </r>
  <r>
    <d v="2024-05-05T00:00:00"/>
    <x v="7"/>
    <n v="1"/>
    <n v="5"/>
    <x v="18"/>
    <x v="4"/>
    <m/>
    <n v="237.68986463744889"/>
    <n v="213.92087817370401"/>
    <n v="190.15189170995913"/>
    <n v="190.15189170995913"/>
    <m/>
    <m/>
    <m/>
    <m/>
    <d v="1899-12-30T00:02:46"/>
    <m/>
    <m/>
    <m/>
    <m/>
    <m/>
    <m/>
    <m/>
    <m/>
    <m/>
    <m/>
    <n v="8.7927840485701818"/>
    <n v="633.0804514970531"/>
    <n v="1.6486470091069092"/>
    <n v="2"/>
    <n v="123.57094757018579"/>
    <n v="349.1068948392288"/>
    <s v="Forecast"/>
  </r>
  <r>
    <d v="2024-05-06T00:00:00"/>
    <x v="7"/>
    <n v="2"/>
    <n v="5"/>
    <x v="18"/>
    <x v="4"/>
    <m/>
    <n v="337.55043473336991"/>
    <n v="303.79539126003294"/>
    <n v="270.04034778669592"/>
    <n v="270.04034778669592"/>
    <m/>
    <m/>
    <m/>
    <m/>
    <d v="1899-12-30T00:02:46"/>
    <m/>
    <m/>
    <m/>
    <m/>
    <m/>
    <m/>
    <m/>
    <m/>
    <m/>
    <m/>
    <n v="12.486885307363117"/>
    <n v="899.05574213014449"/>
    <n v="2.3412909951305845"/>
    <n v="3"/>
    <n v="229.5402585585521"/>
    <n v="451.10621243208982"/>
    <s v="Forecast"/>
  </r>
  <r>
    <d v="2024-05-07T00:00:00"/>
    <x v="7"/>
    <n v="3"/>
    <n v="5"/>
    <x v="18"/>
    <x v="4"/>
    <m/>
    <n v="321.4916484309955"/>
    <n v="289.34248358789597"/>
    <n v="257.19331874479639"/>
    <n v="257.19331874479639"/>
    <m/>
    <m/>
    <m/>
    <m/>
    <d v="1899-12-30T00:02:46"/>
    <m/>
    <m/>
    <m/>
    <m/>
    <m/>
    <m/>
    <m/>
    <m/>
    <m/>
    <m/>
    <n v="11.892827099832465"/>
    <n v="856.28355118793741"/>
    <n v="2.229905081218587"/>
    <n v="3"/>
    <n v="213.92844798118369"/>
    <n v="429.30811971298118"/>
    <s v="Forecast"/>
  </r>
  <r>
    <d v="2024-05-08T00:00:00"/>
    <x v="7"/>
    <n v="4"/>
    <n v="5"/>
    <x v="18"/>
    <x v="4"/>
    <m/>
    <n v="333.70945807783079"/>
    <n v="300.33851227004772"/>
    <n v="266.96756646226464"/>
    <n v="266.96756646226464"/>
    <m/>
    <m/>
    <m/>
    <m/>
    <d v="1899-12-30T00:02:46"/>
    <m/>
    <m/>
    <m/>
    <m/>
    <m/>
    <m/>
    <m/>
    <m/>
    <m/>
    <m/>
    <n v="12.344800654364089"/>
    <n v="888.82564711421435"/>
    <n v="2.3146501226932665"/>
    <n v="3"/>
    <n v="218.5155411691845"/>
    <n v="440.77907295776032"/>
    <s v="Forecast"/>
  </r>
  <r>
    <d v="2024-05-09T00:00:00"/>
    <x v="7"/>
    <n v="5"/>
    <n v="5"/>
    <x v="18"/>
    <x v="4"/>
    <m/>
    <n v="328.91417829633662"/>
    <n v="296.02276046670295"/>
    <n v="263.13134263706928"/>
    <n v="263.13134263706928"/>
    <m/>
    <m/>
    <m/>
    <m/>
    <d v="1899-12-30T00:02:46"/>
    <m/>
    <m/>
    <m/>
    <m/>
    <m/>
    <m/>
    <m/>
    <m/>
    <m/>
    <m/>
    <n v="12.167420404605972"/>
    <n v="876.05426913163001"/>
    <n v="2.2813913258636198"/>
    <n v="3"/>
    <n v="219.82616323013869"/>
    <n v="447.54921796774789"/>
    <s v="Forecast"/>
  </r>
  <r>
    <d v="2024-05-10T00:00:00"/>
    <x v="7"/>
    <n v="6"/>
    <n v="5"/>
    <x v="18"/>
    <x v="4"/>
    <m/>
    <n v="319.98127473803089"/>
    <n v="287.9831472642278"/>
    <n v="255.98501979042473"/>
    <n v="255.98501979042473"/>
    <m/>
    <m/>
    <m/>
    <m/>
    <d v="1899-12-30T00:02:46"/>
    <m/>
    <m/>
    <m/>
    <m/>
    <m/>
    <m/>
    <m/>
    <m/>
    <m/>
    <m/>
    <n v="11.836981843539274"/>
    <n v="852.26269273482774"/>
    <n v="2.219434095663614"/>
    <n v="3"/>
    <n v="212.96514760697031"/>
    <n v="434.20419028364182"/>
    <s v="Forecast"/>
  </r>
  <r>
    <d v="2024-05-11T00:00:00"/>
    <x v="7"/>
    <n v="7"/>
    <n v="5"/>
    <x v="18"/>
    <x v="4"/>
    <m/>
    <n v="327.0114584991303"/>
    <n v="294.31031264921728"/>
    <n v="261.60916679930426"/>
    <n v="261.60916679930426"/>
    <m/>
    <m/>
    <m/>
    <m/>
    <d v="1899-12-30T00:02:46"/>
    <m/>
    <m/>
    <m/>
    <m/>
    <m/>
    <m/>
    <m/>
    <m/>
    <m/>
    <m/>
    <n v="12.097065531108999"/>
    <n v="870.98871823984791"/>
    <n v="2.2681997870829371"/>
    <n v="3"/>
    <n v="224.03078443036199"/>
    <n v="436.27900805174681"/>
    <s v="Forecast"/>
  </r>
  <r>
    <d v="2024-05-12T00:00:00"/>
    <x v="7"/>
    <n v="1"/>
    <n v="5"/>
    <x v="19"/>
    <x v="4"/>
    <m/>
    <n v="238.14924557070211"/>
    <n v="214.33432101363189"/>
    <n v="190.51939645656171"/>
    <n v="190.51939645656171"/>
    <m/>
    <m/>
    <m/>
    <m/>
    <d v="1899-12-30T00:02:46"/>
    <m/>
    <m/>
    <m/>
    <m/>
    <m/>
    <m/>
    <m/>
    <m/>
    <m/>
    <m/>
    <n v="8.80982049982725"/>
    <n v="634.30707598756192"/>
    <n v="1.6518413437176092"/>
    <n v="2"/>
    <n v="117.62135407712211"/>
    <n v="344.45095786764921"/>
    <s v="Forecast"/>
  </r>
  <r>
    <d v="2024-05-13T00:00:00"/>
    <x v="7"/>
    <n v="2"/>
    <n v="5"/>
    <x v="19"/>
    <x v="4"/>
    <m/>
    <n v="337.74226329529989"/>
    <n v="303.9680369657699"/>
    <n v="270.1938106362399"/>
    <n v="270.1938106362399"/>
    <m/>
    <m/>
    <m/>
    <m/>
    <d v="1899-12-30T00:02:46"/>
    <m/>
    <m/>
    <m/>
    <m/>
    <m/>
    <m/>
    <m/>
    <m/>
    <m/>
    <m/>
    <n v="12.494076495833008"/>
    <n v="899.57350769997652"/>
    <n v="2.3426393429686887"/>
    <n v="3"/>
    <n v="223.52131019737911"/>
    <n v="443.19682367862998"/>
    <s v="Forecast"/>
  </r>
  <r>
    <d v="2024-05-14T00:00:00"/>
    <x v="7"/>
    <n v="3"/>
    <n v="5"/>
    <x v="19"/>
    <x v="4"/>
    <m/>
    <n v="321.34689067476393"/>
    <n v="289.21220160728757"/>
    <n v="257.07751253981115"/>
    <n v="257.07751253981115"/>
    <m/>
    <m/>
    <m/>
    <m/>
    <d v="1899-12-30T00:02:46"/>
    <m/>
    <m/>
    <m/>
    <m/>
    <m/>
    <m/>
    <m/>
    <m/>
    <m/>
    <m/>
    <n v="11.887591225156878"/>
    <n v="855.90656821129517"/>
    <n v="2.2289233547169145"/>
    <n v="3"/>
    <n v="219.97354477983851"/>
    <n v="430.26924431114861"/>
    <s v="Forecast"/>
  </r>
  <r>
    <d v="2024-05-15T00:00:00"/>
    <x v="7"/>
    <n v="4"/>
    <n v="5"/>
    <x v="19"/>
    <x v="4"/>
    <m/>
    <n v="333.16822633269919"/>
    <n v="299.85140369942928"/>
    <n v="266.53458106615938"/>
    <n v="266.53458106615938"/>
    <m/>
    <m/>
    <m/>
    <m/>
    <d v="1899-12-30T00:02:46"/>
    <m/>
    <m/>
    <m/>
    <m/>
    <m/>
    <m/>
    <m/>
    <m/>
    <m/>
    <m/>
    <n v="12.32492871050216"/>
    <n v="887.39486715615556"/>
    <n v="2.3109241332191552"/>
    <n v="3"/>
    <n v="224.78629283166251"/>
    <n v="446.73827123466111"/>
    <s v="Forecast"/>
  </r>
  <r>
    <d v="2024-05-16T00:00:00"/>
    <x v="7"/>
    <n v="5"/>
    <n v="5"/>
    <x v="19"/>
    <x v="4"/>
    <m/>
    <n v="327.92848554356573"/>
    <n v="295.13563698920916"/>
    <n v="262.34278843485259"/>
    <n v="262.34278843485259"/>
    <m/>
    <m/>
    <m/>
    <m/>
    <d v="1899-12-30T00:02:46"/>
    <m/>
    <m/>
    <m/>
    <m/>
    <m/>
    <m/>
    <m/>
    <m/>
    <m/>
    <m/>
    <n v="12.13112718728453"/>
    <n v="873.4411574844861"/>
    <n v="2.2745863476158492"/>
    <n v="3"/>
    <n v="226.8978726495105"/>
    <n v="433.50653208106411"/>
    <s v="Forecast"/>
  </r>
  <r>
    <d v="2024-05-17T00:00:00"/>
    <x v="7"/>
    <n v="6"/>
    <n v="5"/>
    <x v="19"/>
    <x v="4"/>
    <m/>
    <n v="318.51736759421817"/>
    <n v="286.66563083479639"/>
    <n v="254.81389407537455"/>
    <n v="254.81389407537455"/>
    <m/>
    <m/>
    <m/>
    <m/>
    <d v="1899-12-30T00:02:46"/>
    <m/>
    <m/>
    <m/>
    <m/>
    <m/>
    <m/>
    <m/>
    <m/>
    <m/>
    <m/>
    <n v="11.783011007563218"/>
    <n v="848.37679254455156"/>
    <n v="2.2093145639181029"/>
    <n v="3"/>
    <n v="209.2821451451872"/>
    <n v="432.84795610507831"/>
    <s v="Forecast"/>
  </r>
  <r>
    <d v="2024-05-18T00:00:00"/>
    <x v="7"/>
    <n v="7"/>
    <n v="5"/>
    <x v="19"/>
    <x v="4"/>
    <m/>
    <n v="325.051662429695"/>
    <n v="292.54649618672551"/>
    <n v="260.04132994375601"/>
    <n v="260.04132994375601"/>
    <m/>
    <m/>
    <m/>
    <m/>
    <d v="1899-12-30T00:02:46"/>
    <m/>
    <m/>
    <m/>
    <m/>
    <m/>
    <m/>
    <m/>
    <m/>
    <m/>
    <m/>
    <n v="12.024766947323846"/>
    <n v="865.78322020731684"/>
    <n v="2.2546438026232209"/>
    <n v="3"/>
    <n v="217.30954545846569"/>
    <n v="437.57464293493717"/>
    <s v="Forecast"/>
  </r>
  <r>
    <d v="2024-05-19T00:00:00"/>
    <x v="7"/>
    <n v="1"/>
    <n v="5"/>
    <x v="20"/>
    <x v="4"/>
    <m/>
    <n v="235.6932714614959"/>
    <n v="212.12394431534631"/>
    <n v="188.55461716919672"/>
    <n v="188.55461716919672"/>
    <m/>
    <m/>
    <m/>
    <m/>
    <d v="1899-12-30T00:02:46"/>
    <m/>
    <m/>
    <m/>
    <m/>
    <m/>
    <m/>
    <m/>
    <m/>
    <m/>
    <m/>
    <n v="8.719117186330223"/>
    <n v="627.77643741577606"/>
    <n v="1.6348344724369168"/>
    <n v="2"/>
    <n v="130.43081673607671"/>
    <n v="350.24067721649578"/>
    <s v="Forecast"/>
  </r>
  <r>
    <d v="2024-05-20T00:00:00"/>
    <x v="7"/>
    <n v="2"/>
    <n v="5"/>
    <x v="20"/>
    <x v="4"/>
    <m/>
    <n v="334.80794122338762"/>
    <n v="301.32714710104887"/>
    <n v="267.84635297871012"/>
    <n v="267.84635297871012"/>
    <m/>
    <m/>
    <m/>
    <m/>
    <d v="1899-12-30T00:02:46"/>
    <m/>
    <m/>
    <m/>
    <m/>
    <m/>
    <m/>
    <m/>
    <m/>
    <m/>
    <m/>
    <n v="12.38574381865109"/>
    <n v="891.77355494287838"/>
    <n v="2.3223269659970791"/>
    <n v="3"/>
    <n v="223.1177054733343"/>
    <n v="437.94906323808613"/>
    <s v="Forecast"/>
  </r>
  <r>
    <d v="2024-05-21T00:00:00"/>
    <x v="7"/>
    <n v="3"/>
    <n v="5"/>
    <x v="20"/>
    <x v="4"/>
    <m/>
    <n v="317.97031415076509"/>
    <n v="286.17328273568859"/>
    <n v="254.37625132061208"/>
    <n v="254.37625132061208"/>
    <m/>
    <m/>
    <m/>
    <m/>
    <d v="1899-12-30T00:02:46"/>
    <m/>
    <m/>
    <m/>
    <m/>
    <m/>
    <m/>
    <m/>
    <m/>
    <m/>
    <m/>
    <n v="11.762886787983243"/>
    <n v="846.92784873479354"/>
    <n v="2.2055412727468582"/>
    <n v="3"/>
    <n v="209.96649963702509"/>
    <n v="432.32256239304883"/>
    <s v="Forecast"/>
  </r>
  <r>
    <d v="2024-05-22T00:00:00"/>
    <x v="7"/>
    <n v="4"/>
    <n v="5"/>
    <x v="20"/>
    <x v="4"/>
    <m/>
    <n v="329.40330791634909"/>
    <n v="296.4629771247142"/>
    <n v="263.52264633307931"/>
    <n v="263.52264633307931"/>
    <m/>
    <m/>
    <m/>
    <m/>
    <d v="1899-12-30T00:02:46"/>
    <m/>
    <m/>
    <m/>
    <m/>
    <m/>
    <m/>
    <m/>
    <m/>
    <m/>
    <m/>
    <n v="12.185862570660388"/>
    <n v="877.38210508754798"/>
    <n v="2.2848492319988227"/>
    <n v="3"/>
    <n v="221.25460437198771"/>
    <n v="441.86081367204031"/>
    <s v="Forecast"/>
  </r>
  <r>
    <d v="2024-05-23T00:00:00"/>
    <x v="7"/>
    <n v="5"/>
    <n v="5"/>
    <x v="20"/>
    <x v="4"/>
    <m/>
    <n v="323.84594206284112"/>
    <n v="291.46134785655704"/>
    <n v="259.07675365027291"/>
    <n v="259.07675365027291"/>
    <m/>
    <m/>
    <m/>
    <m/>
    <d v="1899-12-30T00:02:46"/>
    <m/>
    <m/>
    <m/>
    <m/>
    <m/>
    <m/>
    <m/>
    <m/>
    <m/>
    <m/>
    <n v="11.980298886182611"/>
    <n v="862.58151980514788"/>
    <n v="2.2463060411592393"/>
    <n v="3"/>
    <n v="219.53454618256009"/>
    <n v="431.88625416670078"/>
    <s v="Forecast"/>
  </r>
  <r>
    <d v="2024-05-24T00:00:00"/>
    <x v="7"/>
    <n v="6"/>
    <n v="5"/>
    <x v="20"/>
    <x v="4"/>
    <m/>
    <n v="314.20316974926391"/>
    <n v="282.78285277433753"/>
    <n v="251.36253579941115"/>
    <n v="251.36253579941115"/>
    <m/>
    <m/>
    <m/>
    <m/>
    <d v="1899-12-30T00:02:46"/>
    <m/>
    <m/>
    <m/>
    <m/>
    <m/>
    <m/>
    <m/>
    <m/>
    <m/>
    <m/>
    <n v="11.623596520695404"/>
    <n v="836.89894949006907"/>
    <n v="2.1794243476303881"/>
    <n v="3"/>
    <n v="197.62256603032981"/>
    <n v="418.03433444027121"/>
    <s v="Forecast"/>
  </r>
  <r>
    <d v="2024-05-25T00:00:00"/>
    <x v="7"/>
    <n v="7"/>
    <n v="5"/>
    <x v="20"/>
    <x v="4"/>
    <m/>
    <n v="320.60499884594498"/>
    <n v="288.54449896135048"/>
    <n v="256.48399907675599"/>
    <n v="256.48399907675599"/>
    <m/>
    <m/>
    <m/>
    <m/>
    <d v="1899-12-30T00:02:46"/>
    <m/>
    <m/>
    <m/>
    <m/>
    <m/>
    <m/>
    <m/>
    <m/>
    <m/>
    <m/>
    <n v="11.860443710102748"/>
    <n v="853.95194712739783"/>
    <n v="2.2238331956442652"/>
    <n v="3"/>
    <n v="210.64853847893741"/>
    <n v="425.84803290273749"/>
    <s v="Forecast"/>
  </r>
  <r>
    <d v="2024-05-26T00:00:00"/>
    <x v="7"/>
    <n v="1"/>
    <n v="5"/>
    <x v="21"/>
    <x v="4"/>
    <m/>
    <n v="231.2240908838285"/>
    <n v="208.10168179544564"/>
    <n v="184.97927270706282"/>
    <n v="184.97927270706282"/>
    <m/>
    <m/>
    <m/>
    <m/>
    <d v="1899-12-30T00:02:46"/>
    <m/>
    <m/>
    <m/>
    <m/>
    <m/>
    <m/>
    <m/>
    <m/>
    <m/>
    <m/>
    <n v="8.5539032481057671"/>
    <n v="615.88103386361524"/>
    <n v="1.6038568590198314"/>
    <n v="2"/>
    <n v="125.5304195588491"/>
    <n v="356.58322402599731"/>
    <s v="Forecast"/>
  </r>
  <r>
    <d v="2024-05-27T00:00:00"/>
    <x v="7"/>
    <n v="2"/>
    <n v="5"/>
    <x v="21"/>
    <x v="4"/>
    <m/>
    <n v="330.43414813565829"/>
    <n v="297.39073332209244"/>
    <n v="264.34731850852666"/>
    <n v="264.34731850852666"/>
    <m/>
    <m/>
    <m/>
    <m/>
    <d v="1899-12-30T00:02:46"/>
    <m/>
    <m/>
    <m/>
    <m/>
    <m/>
    <m/>
    <m/>
    <m/>
    <m/>
    <m/>
    <n v="12.224094572452378"/>
    <n v="880.13480921657117"/>
    <n v="2.2920177323348208"/>
    <n v="3"/>
    <n v="216.36430700400379"/>
    <n v="446.08561950452281"/>
    <s v="Forecast"/>
  </r>
  <r>
    <d v="2024-05-28T00:00:00"/>
    <x v="7"/>
    <n v="3"/>
    <n v="5"/>
    <x v="21"/>
    <x v="4"/>
    <m/>
    <n v="313.81470235014291"/>
    <n v="282.43323211512865"/>
    <n v="251.05176188011433"/>
    <n v="251.05176188011433"/>
    <m/>
    <m/>
    <m/>
    <m/>
    <d v="1899-12-30T00:02:46"/>
    <m/>
    <m/>
    <m/>
    <m/>
    <m/>
    <m/>
    <m/>
    <m/>
    <m/>
    <m/>
    <n v="11.609286202528919"/>
    <n v="835.86860658208218"/>
    <n v="2.1767411629741722"/>
    <n v="3"/>
    <n v="194.87085674529419"/>
    <n v="430.51297154613218"/>
    <s v="Forecast"/>
  </r>
  <r>
    <d v="2024-05-29T00:00:00"/>
    <x v="7"/>
    <n v="4"/>
    <n v="5"/>
    <x v="21"/>
    <x v="4"/>
    <m/>
    <n v="325.59032326026897"/>
    <n v="293.03129093424207"/>
    <n v="260.47225860821521"/>
    <n v="260.47225860821521"/>
    <m/>
    <m/>
    <m/>
    <m/>
    <d v="1899-12-30T00:02:46"/>
    <m/>
    <m/>
    <m/>
    <m/>
    <m/>
    <m/>
    <m/>
    <m/>
    <m/>
    <m/>
    <n v="12.044925365725303"/>
    <n v="867.23462633222186"/>
    <n v="2.2584235060734943"/>
    <n v="3"/>
    <n v="213.3571225658545"/>
    <n v="436.68003680966399"/>
    <s v="Forecast"/>
  </r>
  <r>
    <d v="2024-05-30T00:00:00"/>
    <x v="7"/>
    <n v="5"/>
    <n v="5"/>
    <x v="21"/>
    <x v="4"/>
    <m/>
    <n v="320.49836956478379"/>
    <n v="288.44853260830541"/>
    <n v="256.39869565182704"/>
    <n v="256.39869565182704"/>
    <m/>
    <m/>
    <m/>
    <m/>
    <d v="1899-12-30T00:02:46"/>
    <m/>
    <m/>
    <m/>
    <m/>
    <m/>
    <m/>
    <m/>
    <m/>
    <m/>
    <m/>
    <n v="11.856562546189473"/>
    <n v="853.67250332564197"/>
    <n v="2.2231054774105261"/>
    <n v="3"/>
    <n v="217.41129334013311"/>
    <n v="428.2589368256281"/>
    <s v="Forecast"/>
  </r>
  <r>
    <d v="2024-05-31T00:00:00"/>
    <x v="7"/>
    <n v="6"/>
    <n v="5"/>
    <x v="21"/>
    <x v="4"/>
    <m/>
    <n v="311.43884135981239"/>
    <n v="280.29495722383115"/>
    <n v="249.15107308784991"/>
    <n v="249.15107308784991"/>
    <m/>
    <m/>
    <m/>
    <m/>
    <d v="1899-12-30T00:02:46"/>
    <m/>
    <m/>
    <m/>
    <m/>
    <m/>
    <m/>
    <m/>
    <m/>
    <m/>
    <m/>
    <n v="11.52142214953582"/>
    <n v="829.54239476657892"/>
    <n v="2.1602666530379659"/>
    <n v="3"/>
    <n v="206.98713063607349"/>
    <n v="429.0342374715849"/>
    <s v="Forecast"/>
  </r>
  <r>
    <d v="2024-06-01T00:00:00"/>
    <x v="7"/>
    <n v="7"/>
    <n v="6"/>
    <x v="21"/>
    <x v="4"/>
    <m/>
    <n v="318.53361661352147"/>
    <n v="286.68025495216932"/>
    <n v="254.8268932908172"/>
    <n v="254.8268932908172"/>
    <m/>
    <m/>
    <m/>
    <m/>
    <d v="1899-12-30T00:02:46"/>
    <m/>
    <m/>
    <m/>
    <m/>
    <m/>
    <m/>
    <m/>
    <m/>
    <m/>
    <m/>
    <n v="11.783897179641357"/>
    <n v="848.44059693417762"/>
    <n v="2.2094807211827541"/>
    <n v="3"/>
    <n v="209.60225486376021"/>
    <n v="432.22108442954362"/>
    <s v="Forecast"/>
  </r>
  <r>
    <d v="2024-06-02T00:00:00"/>
    <x v="7"/>
    <n v="1"/>
    <n v="6"/>
    <x v="22"/>
    <x v="4"/>
    <m/>
    <n v="229.9442558504328"/>
    <n v="206.94983026538952"/>
    <n v="183.95540468034625"/>
    <n v="183.95540468034625"/>
    <m/>
    <m/>
    <m/>
    <m/>
    <d v="1899-12-30T00:02:46"/>
    <m/>
    <m/>
    <m/>
    <m/>
    <m/>
    <m/>
    <m/>
    <m/>
    <m/>
    <m/>
    <n v="8.5066123886273903"/>
    <n v="612.47609198117209"/>
    <n v="1.5949898228676356"/>
    <n v="2"/>
    <n v="100.4499066176605"/>
    <n v="342.65500349898201"/>
    <s v="Forecast"/>
  </r>
  <r>
    <d v="2024-06-03T00:00:00"/>
    <x v="7"/>
    <n v="2"/>
    <n v="6"/>
    <x v="22"/>
    <x v="4"/>
    <m/>
    <n v="330.03067841722441"/>
    <n v="297.02761057550197"/>
    <n v="264.02454273377953"/>
    <n v="264.02454273377953"/>
    <m/>
    <m/>
    <m/>
    <m/>
    <d v="1899-12-30T00:02:46"/>
    <m/>
    <m/>
    <m/>
    <m/>
    <m/>
    <m/>
    <m/>
    <m/>
    <m/>
    <m/>
    <n v="12.209246429163928"/>
    <n v="879.06574289980279"/>
    <n v="2.2892337054682366"/>
    <n v="3"/>
    <n v="217.54902203071671"/>
    <n v="439.07909414645889"/>
    <s v="Forecast"/>
  </r>
  <r>
    <d v="2024-06-04T00:00:00"/>
    <x v="7"/>
    <n v="3"/>
    <n v="6"/>
    <x v="22"/>
    <x v="4"/>
    <m/>
    <n v="314.35631464570491"/>
    <n v="282.92068318113445"/>
    <n v="251.48505171656393"/>
    <n v="251.48505171656393"/>
    <m/>
    <m/>
    <m/>
    <m/>
    <d v="1899-12-30T00:02:46"/>
    <m/>
    <m/>
    <m/>
    <m/>
    <m/>
    <m/>
    <m/>
    <m/>
    <m/>
    <m/>
    <n v="11.629398625232247"/>
    <n v="837.31670101672171"/>
    <n v="2.1805122422310461"/>
    <n v="3"/>
    <n v="197.71026862350351"/>
    <n v="426.43382772405067"/>
    <s v="Forecast"/>
  </r>
  <r>
    <d v="2024-06-05T00:00:00"/>
    <x v="7"/>
    <n v="4"/>
    <n v="6"/>
    <x v="22"/>
    <x v="4"/>
    <m/>
    <n v="327.12774079151592"/>
    <n v="294.41496671236433"/>
    <n v="261.70219263321275"/>
    <n v="261.70219263321275"/>
    <m/>
    <m/>
    <m/>
    <m/>
    <d v="1899-12-30T00:02:46"/>
    <m/>
    <m/>
    <m/>
    <m/>
    <m/>
    <m/>
    <m/>
    <m/>
    <m/>
    <m/>
    <n v="12.101884935420369"/>
    <n v="871.33571535026647"/>
    <n v="2.2691034253913189"/>
    <n v="3"/>
    <n v="211.63732626162019"/>
    <n v="438.86879880241338"/>
    <s v="Forecast"/>
  </r>
  <r>
    <d v="2024-06-06T00:00:00"/>
    <x v="7"/>
    <n v="5"/>
    <n v="6"/>
    <x v="22"/>
    <x v="4"/>
    <m/>
    <n v="323.06290654537042"/>
    <n v="290.75661589083342"/>
    <n v="258.45032523629635"/>
    <n v="258.45032523629635"/>
    <m/>
    <m/>
    <m/>
    <m/>
    <d v="1899-12-30T00:02:46"/>
    <m/>
    <m/>
    <m/>
    <m/>
    <m/>
    <m/>
    <m/>
    <m/>
    <m/>
    <m/>
    <n v="11.951526225803729"/>
    <n v="860.50988825786851"/>
    <n v="2.2409111673381994"/>
    <n v="3"/>
    <n v="207.0339878701208"/>
    <n v="439.99301930578781"/>
    <s v="Forecast"/>
  </r>
  <r>
    <d v="2024-06-07T00:00:00"/>
    <x v="7"/>
    <n v="6"/>
    <n v="6"/>
    <x v="22"/>
    <x v="4"/>
    <m/>
    <n v="315.04149989521659"/>
    <n v="283.53734990569495"/>
    <n v="252.03319991617329"/>
    <n v="252.03319991617329"/>
    <m/>
    <m/>
    <m/>
    <m/>
    <d v="1899-12-30T00:02:46"/>
    <m/>
    <m/>
    <m/>
    <m/>
    <m/>
    <m/>
    <m/>
    <m/>
    <m/>
    <m/>
    <n v="11.654796276173613"/>
    <n v="839.14533188450014"/>
    <n v="2.1852743017825524"/>
    <n v="3"/>
    <n v="195.29902148988671"/>
    <n v="419.04267832405588"/>
    <s v="Forecast"/>
  </r>
  <r>
    <d v="2024-06-08T00:00:00"/>
    <x v="7"/>
    <n v="7"/>
    <n v="6"/>
    <x v="22"/>
    <x v="4"/>
    <m/>
    <n v="323.1647169063628"/>
    <n v="290.84824521572654"/>
    <n v="258.53177352509027"/>
    <n v="258.53177352509027"/>
    <m/>
    <m/>
    <m/>
    <m/>
    <d v="1899-12-30T00:02:46"/>
    <m/>
    <m/>
    <m/>
    <m/>
    <m/>
    <m/>
    <m/>
    <m/>
    <m/>
    <m/>
    <n v="11.955329383422589"/>
    <n v="860.78371560642631"/>
    <n v="2.241624259391735"/>
    <n v="3"/>
    <n v="221.28479363793869"/>
    <n v="443.60713845951921"/>
    <s v="Forecast"/>
  </r>
  <r>
    <d v="2024-06-09T00:00:00"/>
    <x v="7"/>
    <n v="1"/>
    <n v="6"/>
    <x v="23"/>
    <x v="4"/>
    <m/>
    <n v="235.57360511891861"/>
    <n v="212.01624460702675"/>
    <n v="188.45888409513489"/>
    <n v="188.45888409513489"/>
    <m/>
    <m/>
    <m/>
    <m/>
    <d v="1899-12-30T00:02:46"/>
    <m/>
    <m/>
    <m/>
    <m/>
    <m/>
    <m/>
    <m/>
    <m/>
    <m/>
    <m/>
    <n v="8.7149512698267877"/>
    <n v="627.47649142752869"/>
    <n v="1.6340533630925227"/>
    <n v="2"/>
    <n v="119.6150940383742"/>
    <n v="350.35687058285453"/>
    <s v="Forecast"/>
  </r>
  <r>
    <d v="2024-06-10T00:00:00"/>
    <x v="7"/>
    <n v="2"/>
    <n v="6"/>
    <x v="23"/>
    <x v="4"/>
    <m/>
    <n v="336.60826852939817"/>
    <n v="302.94744167645837"/>
    <n v="269.28661482351856"/>
    <n v="269.28661482351856"/>
    <m/>
    <m/>
    <m/>
    <m/>
    <d v="1899-12-30T00:02:46"/>
    <m/>
    <m/>
    <m/>
    <m/>
    <m/>
    <m/>
    <m/>
    <m/>
    <m/>
    <m/>
    <n v="12.452710031438555"/>
    <n v="896.59512226357594"/>
    <n v="2.3348831308947289"/>
    <n v="3"/>
    <n v="223.52323635397059"/>
    <n v="454.91498661159869"/>
    <s v="Forecast"/>
  </r>
  <r>
    <d v="2024-06-11T00:00:00"/>
    <x v="7"/>
    <n v="3"/>
    <n v="6"/>
    <x v="23"/>
    <x v="4"/>
    <m/>
    <n v="321.81352354459813"/>
    <n v="289.63217119013831"/>
    <n v="257.45081883567849"/>
    <n v="257.45081883567849"/>
    <m/>
    <m/>
    <m/>
    <m/>
    <d v="1899-12-30T00:02:46"/>
    <m/>
    <m/>
    <m/>
    <m/>
    <m/>
    <m/>
    <m/>
    <m/>
    <m/>
    <m/>
    <n v="11.905404925797686"/>
    <n v="857.18915465743339"/>
    <n v="2.232263423587066"/>
    <n v="3"/>
    <n v="211.5617489368633"/>
    <n v="432.84661070462698"/>
    <s v="Forecast"/>
  </r>
  <r>
    <d v="2024-06-12T00:00:00"/>
    <x v="7"/>
    <n v="4"/>
    <n v="6"/>
    <x v="23"/>
    <x v="4"/>
    <m/>
    <n v="335.37899876391162"/>
    <n v="301.84109888752045"/>
    <n v="268.30319901112932"/>
    <n v="268.30319901112932"/>
    <m/>
    <m/>
    <m/>
    <m/>
    <d v="1899-12-30T00:02:46"/>
    <m/>
    <m/>
    <m/>
    <m/>
    <m/>
    <m/>
    <m/>
    <m/>
    <m/>
    <m/>
    <n v="12.407277024317699"/>
    <n v="893.32394575087426"/>
    <n v="2.3263644420595684"/>
    <n v="3"/>
    <n v="222.75634718504449"/>
    <n v="442.0258375290785"/>
    <s v="Forecast"/>
  </r>
  <r>
    <d v="2024-06-13T00:00:00"/>
    <x v="7"/>
    <n v="5"/>
    <n v="6"/>
    <x v="23"/>
    <x v="4"/>
    <m/>
    <n v="332.00777566810859"/>
    <n v="298.80699810129772"/>
    <n v="265.60622053448691"/>
    <n v="265.60622053448691"/>
    <m/>
    <m/>
    <m/>
    <m/>
    <d v="1899-12-30T00:02:46"/>
    <m/>
    <m/>
    <m/>
    <m/>
    <m/>
    <m/>
    <m/>
    <m/>
    <m/>
    <m/>
    <n v="12.282576835286537"/>
    <n v="884.34553214063067"/>
    <n v="2.3029831566162255"/>
    <n v="3"/>
    <n v="215.01326350847231"/>
    <n v="447.75599745155807"/>
    <s v="Forecast"/>
  </r>
  <r>
    <d v="2024-06-14T00:00:00"/>
    <x v="7"/>
    <n v="6"/>
    <n v="6"/>
    <x v="23"/>
    <x v="4"/>
    <m/>
    <n v="324.56710393091458"/>
    <n v="292.11039353782314"/>
    <n v="259.6536831447317"/>
    <n v="259.6536831447317"/>
    <m/>
    <m/>
    <m/>
    <m/>
    <d v="1899-12-30T00:02:46"/>
    <m/>
    <m/>
    <m/>
    <m/>
    <m/>
    <m/>
    <m/>
    <m/>
    <m/>
    <m/>
    <n v="12.007326197090395"/>
    <n v="864.52748619050828"/>
    <n v="2.2513736619544487"/>
    <n v="3"/>
    <n v="214.71599593633209"/>
    <n v="433.74707809594543"/>
    <s v="Forecast"/>
  </r>
  <r>
    <d v="2024-06-15T00:00:00"/>
    <x v="7"/>
    <n v="7"/>
    <n v="6"/>
    <x v="23"/>
    <x v="4"/>
    <m/>
    <n v="333.14844980104448"/>
    <n v="299.83360482094002"/>
    <n v="266.51875984083557"/>
    <n v="266.51875984083557"/>
    <m/>
    <m/>
    <m/>
    <m/>
    <d v="1899-12-30T00:02:46"/>
    <m/>
    <m/>
    <m/>
    <m/>
    <m/>
    <m/>
    <m/>
    <m/>
    <m/>
    <m/>
    <n v="12.324807203042953"/>
    <n v="887.3861186190926"/>
    <n v="2.3109013505705538"/>
    <n v="3"/>
    <n v="218.06624139768579"/>
    <n v="447.88797072553882"/>
    <s v="Forecast"/>
  </r>
  <r>
    <d v="2024-06-16T00:00:00"/>
    <x v="7"/>
    <n v="1"/>
    <n v="6"/>
    <x v="24"/>
    <x v="4"/>
    <m/>
    <n v="245.88603933293061"/>
    <n v="221.29743539963755"/>
    <n v="196.70883146634449"/>
    <n v="196.70883146634449"/>
    <m/>
    <m/>
    <m/>
    <m/>
    <d v="1899-12-30T00:02:46"/>
    <m/>
    <m/>
    <m/>
    <m/>
    <m/>
    <m/>
    <m/>
    <m/>
    <m/>
    <m/>
    <n v="9.0965496154420507"/>
    <n v="654.95157231182759"/>
    <n v="1.7056030528953843"/>
    <n v="2"/>
    <n v="133.22790983678971"/>
    <n v="355.65688072712868"/>
    <s v="Forecast"/>
  </r>
  <r>
    <d v="2024-06-17T00:00:00"/>
    <x v="7"/>
    <n v="2"/>
    <n v="6"/>
    <x v="24"/>
    <x v="4"/>
    <m/>
    <n v="347.11617987080808"/>
    <n v="312.4045618837273"/>
    <n v="277.69294389664645"/>
    <n v="277.69294389664645"/>
    <m/>
    <m/>
    <m/>
    <m/>
    <d v="1899-12-30T00:02:46"/>
    <m/>
    <m/>
    <m/>
    <m/>
    <m/>
    <m/>
    <m/>
    <m/>
    <m/>
    <m/>
    <n v="12.841569803908294"/>
    <n v="924.59302588139712"/>
    <n v="2.4077943382328049"/>
    <n v="3"/>
    <n v="239.48564845790551"/>
    <n v="460.74631222063869"/>
    <s v="Forecast"/>
  </r>
  <r>
    <d v="2024-06-18T00:00:00"/>
    <x v="7"/>
    <n v="3"/>
    <n v="6"/>
    <x v="24"/>
    <x v="4"/>
    <m/>
    <n v="332.38294707966293"/>
    <n v="299.14465237169662"/>
    <n v="265.90635766373038"/>
    <n v="265.90635766373038"/>
    <m/>
    <m/>
    <m/>
    <m/>
    <d v="1899-12-30T00:02:46"/>
    <m/>
    <m/>
    <m/>
    <m/>
    <m/>
    <m/>
    <m/>
    <m/>
    <m/>
    <m/>
    <n v="12.296524690896698"/>
    <n v="885.34977774456229"/>
    <n v="2.305598379543131"/>
    <n v="3"/>
    <n v="222.32501584921161"/>
    <n v="446.3693936336752"/>
    <s v="Forecast"/>
  </r>
  <r>
    <d v="2024-06-19T00:00:00"/>
    <x v="7"/>
    <n v="4"/>
    <n v="6"/>
    <x v="24"/>
    <x v="4"/>
    <m/>
    <n v="345.87823078324828"/>
    <n v="311.29040770492344"/>
    <n v="276.70258462659865"/>
    <n v="276.70258462659865"/>
    <m/>
    <m/>
    <m/>
    <m/>
    <d v="1899-12-30T00:02:46"/>
    <m/>
    <m/>
    <m/>
    <m/>
    <m/>
    <m/>
    <m/>
    <m/>
    <m/>
    <m/>
    <n v="12.795793665001739"/>
    <n v="921.29714388012519"/>
    <n v="2.399211312187826"/>
    <n v="3"/>
    <n v="247.2044303685569"/>
    <n v="457.50007177794208"/>
    <s v="Forecast"/>
  </r>
  <r>
    <d v="2024-06-20T00:00:00"/>
    <x v="7"/>
    <n v="5"/>
    <n v="6"/>
    <x v="24"/>
    <x v="4"/>
    <m/>
    <n v="342.3102395424383"/>
    <n v="308.07921558819447"/>
    <n v="273.84819163395065"/>
    <n v="273.84819163395065"/>
    <m/>
    <m/>
    <m/>
    <m/>
    <d v="1899-12-30T00:02:46"/>
    <m/>
    <m/>
    <m/>
    <m/>
    <m/>
    <m/>
    <m/>
    <m/>
    <m/>
    <m/>
    <n v="12.663804360763503"/>
    <n v="911.79391397497227"/>
    <n v="2.3744633176431571"/>
    <n v="3"/>
    <n v="236.7416885777626"/>
    <n v="449.57211232505131"/>
    <s v="Forecast"/>
  </r>
  <r>
    <d v="2024-06-21T00:00:00"/>
    <x v="7"/>
    <n v="6"/>
    <n v="6"/>
    <x v="24"/>
    <x v="4"/>
    <m/>
    <n v="334.55400288873699"/>
    <n v="301.09860259986328"/>
    <n v="267.64320231098958"/>
    <n v="267.64320231098958"/>
    <m/>
    <m/>
    <m/>
    <m/>
    <d v="1899-12-30T00:02:46"/>
    <m/>
    <m/>
    <m/>
    <m/>
    <m/>
    <m/>
    <m/>
    <m/>
    <m/>
    <m/>
    <n v="12.376868894444126"/>
    <n v="891.13456039997698"/>
    <n v="2.3206629177082734"/>
    <n v="3"/>
    <n v="223.09820283862771"/>
    <n v="444.38946213454818"/>
    <s v="Forecast"/>
  </r>
  <r>
    <d v="2024-06-22T00:00:00"/>
    <x v="7"/>
    <n v="7"/>
    <n v="6"/>
    <x v="24"/>
    <x v="4"/>
    <m/>
    <n v="342.71113702076372"/>
    <n v="308.44002331868734"/>
    <n v="274.16890961661096"/>
    <n v="274.16890961661096"/>
    <m/>
    <m/>
    <m/>
    <m/>
    <d v="1899-12-30T00:02:46"/>
    <m/>
    <m/>
    <m/>
    <m/>
    <m/>
    <m/>
    <m/>
    <m/>
    <m/>
    <m/>
    <n v="12.678649356391869"/>
    <n v="912.86275366021448"/>
    <n v="2.3772467543234752"/>
    <n v="3"/>
    <n v="234.8905386401041"/>
    <n v="458.39802859846168"/>
    <s v="Forecast"/>
  </r>
  <r>
    <d v="2024-06-23T00:00:00"/>
    <x v="7"/>
    <n v="1"/>
    <n v="6"/>
    <x v="25"/>
    <x v="4"/>
    <m/>
    <n v="254.92804502745639"/>
    <n v="229.43524052471076"/>
    <n v="203.94243602196514"/>
    <n v="203.94243602196514"/>
    <m/>
    <m/>
    <m/>
    <m/>
    <d v="1899-12-30T00:02:46"/>
    <m/>
    <m/>
    <m/>
    <m/>
    <m/>
    <m/>
    <m/>
    <m/>
    <m/>
    <m/>
    <n v="9.4311045076236972"/>
    <n v="679.03952454890612"/>
    <n v="1.768332095179443"/>
    <n v="2"/>
    <n v="143.78137781898701"/>
    <n v="359.6766676583876"/>
    <s v="Forecast"/>
  </r>
  <r>
    <d v="2024-06-24T00:00:00"/>
    <x v="7"/>
    <n v="2"/>
    <n v="6"/>
    <x v="25"/>
    <x v="4"/>
    <m/>
    <n v="355.55484594983233"/>
    <n v="319.9993613548491"/>
    <n v="284.44387675986587"/>
    <n v="284.44387675986587"/>
    <m/>
    <m/>
    <m/>
    <m/>
    <d v="1899-12-30T00:02:46"/>
    <m/>
    <m/>
    <m/>
    <m/>
    <m/>
    <m/>
    <m/>
    <m/>
    <m/>
    <m/>
    <n v="13.153813140480668"/>
    <n v="947.07454611460798"/>
    <n v="2.4663399638401251"/>
    <n v="3"/>
    <n v="248.86299331285991"/>
    <n v="466.0178260798138"/>
    <s v="Forecast"/>
  </r>
  <r>
    <d v="2024-06-25T00:00:00"/>
    <x v="7"/>
    <n v="3"/>
    <n v="6"/>
    <x v="25"/>
    <x v="4"/>
    <m/>
    <n v="340.15063218430532"/>
    <n v="306.13556896587482"/>
    <n v="272.12050574744427"/>
    <n v="272.12050574744427"/>
    <m/>
    <m/>
    <m/>
    <m/>
    <d v="1899-12-30T00:02:46"/>
    <m/>
    <m/>
    <m/>
    <m/>
    <m/>
    <m/>
    <m/>
    <m/>
    <m/>
    <m/>
    <n v="12.583933898326755"/>
    <n v="906.04324067952632"/>
    <n v="2.3594876059362666"/>
    <n v="3"/>
    <n v="224.66085498564371"/>
    <n v="453.71505540288553"/>
    <s v="Forecast"/>
  </r>
  <r>
    <d v="2024-06-26T00:00:00"/>
    <x v="7"/>
    <n v="4"/>
    <n v="6"/>
    <x v="25"/>
    <x v="4"/>
    <m/>
    <n v="352.92306161080052"/>
    <n v="317.63075544972048"/>
    <n v="282.33844928864045"/>
    <n v="282.33844928864045"/>
    <m/>
    <m/>
    <m/>
    <m/>
    <d v="1899-12-30T00:02:46"/>
    <m/>
    <m/>
    <m/>
    <m/>
    <m/>
    <m/>
    <m/>
    <m/>
    <m/>
    <m/>
    <n v="13.056453322310253"/>
    <n v="940.06463920633814"/>
    <n v="2.4480849979331722"/>
    <n v="3"/>
    <n v="241.62130681393671"/>
    <n v="471.97012447402199"/>
    <s v="Forecast"/>
  </r>
  <r>
    <d v="2024-06-27T00:00:00"/>
    <x v="7"/>
    <n v="5"/>
    <n v="6"/>
    <x v="25"/>
    <x v="4"/>
    <m/>
    <n v="348.59639803049902"/>
    <n v="313.73675822744912"/>
    <n v="278.87711842439921"/>
    <n v="278.87711842439921"/>
    <m/>
    <m/>
    <m/>
    <m/>
    <d v="1899-12-30T00:02:46"/>
    <m/>
    <m/>
    <m/>
    <m/>
    <m/>
    <m/>
    <m/>
    <m/>
    <m/>
    <m/>
    <n v="12.896387434048401"/>
    <n v="928.53989525148495"/>
    <n v="2.4180726438840754"/>
    <n v="3"/>
    <n v="236.04820998382499"/>
    <n v="453.97507759071328"/>
    <s v="Forecast"/>
  </r>
  <r>
    <d v="2024-06-28T00:00:00"/>
    <x v="7"/>
    <n v="6"/>
    <n v="6"/>
    <x v="25"/>
    <x v="4"/>
    <m/>
    <n v="340.06155261050998"/>
    <n v="306.05539734945899"/>
    <n v="272.04924208840799"/>
    <n v="272.04924208840799"/>
    <m/>
    <m/>
    <m/>
    <m/>
    <d v="1899-12-30T00:02:46"/>
    <m/>
    <m/>
    <m/>
    <m/>
    <m/>
    <m/>
    <m/>
    <m/>
    <m/>
    <m/>
    <n v="12.58063789722501"/>
    <n v="905.80592860020067"/>
    <n v="2.3588696057296894"/>
    <n v="3"/>
    <n v="235.6080628933548"/>
    <n v="454.67503406207112"/>
    <s v="Forecast"/>
  </r>
  <r>
    <d v="2024-06-29T00:00:00"/>
    <x v="7"/>
    <n v="7"/>
    <n v="6"/>
    <x v="25"/>
    <x v="4"/>
    <m/>
    <n v="347.43540563598918"/>
    <n v="312.69186507239027"/>
    <n v="277.94832450879136"/>
    <n v="277.94832450879136"/>
    <m/>
    <m/>
    <m/>
    <m/>
    <d v="1899-12-30T00:02:46"/>
    <m/>
    <m/>
    <m/>
    <m/>
    <m/>
    <m/>
    <m/>
    <m/>
    <m/>
    <m/>
    <n v="12.853432331355622"/>
    <n v="925.44712785760464"/>
    <n v="2.4100185621291788"/>
    <n v="3"/>
    <n v="231.05521202943379"/>
    <n v="467.91469750112549"/>
    <s v="Forecast"/>
  </r>
  <r>
    <d v="2024-06-30T00:00:00"/>
    <x v="7"/>
    <n v="1"/>
    <n v="6"/>
    <x v="26"/>
    <x v="4"/>
    <m/>
    <n v="258.87859245217572"/>
    <n v="232.99073320695817"/>
    <n v="207.10287396174058"/>
    <n v="207.10287396174058"/>
    <m/>
    <m/>
    <m/>
    <m/>
    <d v="1899-12-30T00:02:46"/>
    <m/>
    <m/>
    <m/>
    <m/>
    <m/>
    <m/>
    <m/>
    <m/>
    <m/>
    <m/>
    <n v="9.5772551136493345"/>
    <n v="689.56236818275204"/>
    <n v="1.7957353338092501"/>
    <n v="2"/>
    <n v="150.89496280302239"/>
    <n v="373.99164117591891"/>
    <s v="Forecast"/>
  </r>
  <r>
    <d v="2024-07-01T00:00:00"/>
    <x v="7"/>
    <n v="2"/>
    <n v="7"/>
    <x v="26"/>
    <x v="4"/>
    <m/>
    <n v="358.75405970670118"/>
    <n v="322.87865373603108"/>
    <n v="287.00324776536098"/>
    <n v="287.00324776536098"/>
    <m/>
    <m/>
    <m/>
    <m/>
    <d v="1899-12-30T00:02:46"/>
    <m/>
    <m/>
    <m/>
    <m/>
    <m/>
    <m/>
    <m/>
    <m/>
    <m/>
    <m/>
    <n v="13.272159177327497"/>
    <n v="955.59546076757977"/>
    <n v="2.4885298457489058"/>
    <n v="3"/>
    <n v="248.19388331935929"/>
    <n v="471.57227304003538"/>
    <s v="Forecast"/>
  </r>
  <r>
    <d v="2024-07-02T00:00:00"/>
    <x v="7"/>
    <n v="3"/>
    <n v="7"/>
    <x v="26"/>
    <x v="4"/>
    <m/>
    <n v="342.63200178709297"/>
    <n v="308.36880160838371"/>
    <n v="274.10560142967438"/>
    <n v="274.10560142967438"/>
    <m/>
    <m/>
    <m/>
    <m/>
    <d v="1899-12-30T00:02:46"/>
    <m/>
    <m/>
    <m/>
    <m/>
    <m/>
    <m/>
    <m/>
    <m/>
    <m/>
    <m/>
    <n v="12.675715637976138"/>
    <n v="912.65152593428195"/>
    <n v="2.3766966821205258"/>
    <n v="3"/>
    <n v="236.30685793558541"/>
    <n v="452.28576410946408"/>
    <s v="Forecast"/>
  </r>
  <r>
    <d v="2024-07-03T00:00:00"/>
    <x v="7"/>
    <n v="4"/>
    <n v="7"/>
    <x v="26"/>
    <x v="4"/>
    <m/>
    <n v="354.72919259907661"/>
    <n v="319.25627333916896"/>
    <n v="283.7833540792613"/>
    <n v="283.7833540792613"/>
    <m/>
    <m/>
    <m/>
    <m/>
    <d v="1899-12-30T00:02:46"/>
    <m/>
    <m/>
    <m/>
    <m/>
    <m/>
    <m/>
    <m/>
    <m/>
    <m/>
    <m/>
    <n v="13.123246029066909"/>
    <n v="944.87371409281741"/>
    <n v="2.4606086304500452"/>
    <n v="3"/>
    <n v="245.51673717177019"/>
    <n v="452.43910304029782"/>
    <s v="Forecast"/>
  </r>
  <r>
    <d v="2024-07-04T00:00:00"/>
    <x v="7"/>
    <n v="5"/>
    <n v="7"/>
    <x v="26"/>
    <x v="4"/>
    <m/>
    <n v="349.77683310233579"/>
    <n v="314.79914979210224"/>
    <n v="279.82146648186864"/>
    <n v="279.82146648186864"/>
    <m/>
    <m/>
    <m/>
    <m/>
    <d v="1899-12-30T00:02:46"/>
    <m/>
    <m/>
    <m/>
    <m/>
    <m/>
    <m/>
    <m/>
    <m/>
    <m/>
    <m/>
    <n v="12.940025434176061"/>
    <n v="931.6818312606764"/>
    <n v="2.4262547689080116"/>
    <n v="3"/>
    <n v="239.75215302259059"/>
    <n v="455.58705814886798"/>
    <s v="Forecast"/>
  </r>
  <r>
    <d v="2024-07-05T00:00:00"/>
    <x v="7"/>
    <n v="6"/>
    <n v="7"/>
    <x v="26"/>
    <x v="4"/>
    <m/>
    <n v="340.67047206983142"/>
    <n v="306.60342486284827"/>
    <n v="272.53637765586512"/>
    <n v="272.53637765586512"/>
    <m/>
    <m/>
    <m/>
    <m/>
    <d v="1899-12-30T00:02:46"/>
    <m/>
    <m/>
    <m/>
    <m/>
    <m/>
    <m/>
    <m/>
    <m/>
    <m/>
    <m/>
    <n v="12.603126744316333"/>
    <n v="907.42512559077591"/>
    <n v="2.3630862645593123"/>
    <n v="3"/>
    <n v="229.0572165920675"/>
    <n v="451.32326188550508"/>
    <s v="Forecast"/>
  </r>
  <r>
    <d v="2024-07-06T00:00:00"/>
    <x v="7"/>
    <n v="7"/>
    <n v="7"/>
    <x v="26"/>
    <x v="4"/>
    <m/>
    <n v="347.52928191676313"/>
    <n v="312.77635372508684"/>
    <n v="278.02342553341049"/>
    <n v="278.02342553341049"/>
    <m/>
    <m/>
    <m/>
    <m/>
    <d v="1899-12-30T00:02:46"/>
    <m/>
    <m/>
    <m/>
    <m/>
    <m/>
    <m/>
    <m/>
    <m/>
    <m/>
    <m/>
    <n v="12.85685999550074"/>
    <n v="925.69391967605316"/>
    <n v="2.4106612491563886"/>
    <n v="3"/>
    <n v="231.15439510979749"/>
    <n v="457.42021007946698"/>
    <s v="Forecast"/>
  </r>
  <r>
    <d v="2024-07-07T00:00:00"/>
    <x v="7"/>
    <n v="1"/>
    <n v="7"/>
    <x v="27"/>
    <x v="4"/>
    <m/>
    <n v="258.51387379603852"/>
    <n v="232.66248641643469"/>
    <n v="206.81109903683083"/>
    <n v="206.81109903683083"/>
    <m/>
    <m/>
    <m/>
    <m/>
    <d v="1899-12-30T00:02:46"/>
    <m/>
    <m/>
    <m/>
    <m/>
    <m/>
    <m/>
    <m/>
    <m/>
    <m/>
    <m/>
    <n v="9.5637242911106632"/>
    <n v="688.58814895996773"/>
    <n v="1.7931983045832494"/>
    <n v="2"/>
    <n v="145.88639384067969"/>
    <n v="370.19304021550857"/>
    <s v="Forecast"/>
  </r>
  <r>
    <d v="2024-07-08T00:00:00"/>
    <x v="7"/>
    <n v="2"/>
    <n v="7"/>
    <x v="27"/>
    <x v="4"/>
    <m/>
    <n v="357.98495611695711"/>
    <n v="322.18646050526138"/>
    <n v="286.38796489356571"/>
    <n v="286.38796489356571"/>
    <m/>
    <m/>
    <m/>
    <m/>
    <d v="1899-12-30T00:02:46"/>
    <m/>
    <m/>
    <m/>
    <m/>
    <m/>
    <m/>
    <m/>
    <m/>
    <m/>
    <m/>
    <n v="13.243648053537282"/>
    <n v="953.5426598546843"/>
    <n v="2.4831840100382405"/>
    <n v="3"/>
    <n v="248.69182905275491"/>
    <n v="469.47173704773542"/>
    <s v="Forecast"/>
  </r>
  <r>
    <d v="2024-07-09T00:00:00"/>
    <x v="7"/>
    <n v="3"/>
    <n v="7"/>
    <x v="27"/>
    <x v="4"/>
    <m/>
    <n v="341.50844228609412"/>
    <n v="307.35759805748472"/>
    <n v="273.20675382887532"/>
    <n v="273.20675382887532"/>
    <m/>
    <m/>
    <m/>
    <m/>
    <d v="1899-12-30T00:02:46"/>
    <m/>
    <m/>
    <m/>
    <m/>
    <m/>
    <m/>
    <m/>
    <m/>
    <m/>
    <m/>
    <n v="12.634089415533401"/>
    <n v="909.65443791840482"/>
    <n v="2.3688917654125126"/>
    <n v="3"/>
    <n v="227.07671750522911"/>
    <n v="450.66612669299212"/>
    <s v="Forecast"/>
  </r>
  <r>
    <d v="2024-07-10T00:00:00"/>
    <x v="7"/>
    <n v="4"/>
    <n v="7"/>
    <x v="27"/>
    <x v="4"/>
    <m/>
    <n v="353.29501667891287"/>
    <n v="317.96551501102158"/>
    <n v="282.63601334313029"/>
    <n v="282.63601334313029"/>
    <m/>
    <m/>
    <m/>
    <m/>
    <d v="1899-12-30T00:02:46"/>
    <m/>
    <m/>
    <m/>
    <m/>
    <m/>
    <m/>
    <m/>
    <m/>
    <m/>
    <m/>
    <n v="13.07012219953492"/>
    <n v="941.04879836651412"/>
    <n v="2.4506479124127973"/>
    <n v="3"/>
    <n v="239.81973214496679"/>
    <n v="464.61614054944329"/>
    <s v="Forecast"/>
  </r>
  <r>
    <d v="2024-07-11T00:00:00"/>
    <x v="7"/>
    <n v="5"/>
    <n v="7"/>
    <x v="27"/>
    <x v="4"/>
    <m/>
    <n v="348.06827131707882"/>
    <n v="313.26144418537098"/>
    <n v="278.45461705366307"/>
    <n v="278.45461705366307"/>
    <m/>
    <m/>
    <m/>
    <m/>
    <d v="1899-12-30T00:02:46"/>
    <m/>
    <m/>
    <m/>
    <m/>
    <m/>
    <m/>
    <m/>
    <m/>
    <m/>
    <m/>
    <n v="12.876747988123773"/>
    <n v="927.12585514491161"/>
    <n v="2.4143902477732073"/>
    <n v="3"/>
    <n v="231.25044958607009"/>
    <n v="451.51669990920777"/>
    <s v="Forecast"/>
  </r>
  <r>
    <d v="2024-07-12T00:00:00"/>
    <x v="7"/>
    <n v="6"/>
    <n v="7"/>
    <x v="27"/>
    <x v="4"/>
    <m/>
    <n v="338.71496117419179"/>
    <n v="304.84346505677263"/>
    <n v="270.97196893935342"/>
    <n v="270.97196893935342"/>
    <m/>
    <m/>
    <m/>
    <m/>
    <d v="1899-12-30T00:02:46"/>
    <m/>
    <m/>
    <m/>
    <m/>
    <m/>
    <m/>
    <m/>
    <m/>
    <m/>
    <m/>
    <n v="12.53071217211132"/>
    <n v="902.21127639201507"/>
    <n v="2.3495085322708724"/>
    <n v="3"/>
    <n v="230.94719026599969"/>
    <n v="451.81575537303331"/>
    <s v="Forecast"/>
  </r>
  <r>
    <d v="2024-07-13T00:00:00"/>
    <x v="7"/>
    <n v="7"/>
    <n v="7"/>
    <x v="27"/>
    <x v="4"/>
    <m/>
    <n v="345.3446491669269"/>
    <n v="310.81018425023422"/>
    <n v="276.27571933354153"/>
    <n v="276.27571933354153"/>
    <m/>
    <m/>
    <m/>
    <m/>
    <d v="1899-12-30T00:02:46"/>
    <m/>
    <m/>
    <m/>
    <m/>
    <m/>
    <m/>
    <m/>
    <m/>
    <m/>
    <m/>
    <n v="12.775965011987688"/>
    <n v="919.86948086311349"/>
    <n v="2.3954934397476912"/>
    <n v="3"/>
    <n v="244.7563643803928"/>
    <n v="454.86349251242677"/>
    <s v="Forecast"/>
  </r>
  <r>
    <d v="2024-07-14T00:00:00"/>
    <x v="7"/>
    <n v="1"/>
    <n v="7"/>
    <x v="28"/>
    <x v="4"/>
    <m/>
    <n v="256.10791325640702"/>
    <n v="230.49712193076633"/>
    <n v="204.88633060512564"/>
    <n v="204.88633060512564"/>
    <m/>
    <m/>
    <m/>
    <m/>
    <d v="1899-12-30T00:02:46"/>
    <m/>
    <m/>
    <m/>
    <m/>
    <m/>
    <m/>
    <m/>
    <m/>
    <m/>
    <m/>
    <n v="9.4746588932936149"/>
    <n v="682.17544031714021"/>
    <n v="1.7764985424925526"/>
    <n v="2"/>
    <n v="141.77637997421931"/>
    <n v="369.79647786759642"/>
    <s v="Forecast"/>
  </r>
  <r>
    <d v="2024-07-15T00:00:00"/>
    <x v="7"/>
    <n v="2"/>
    <n v="7"/>
    <x v="28"/>
    <x v="4"/>
    <m/>
    <n v="355.35540746407361"/>
    <n v="319.81986671766623"/>
    <n v="284.28432597125891"/>
    <n v="284.28432597125891"/>
    <m/>
    <m/>
    <m/>
    <m/>
    <d v="1899-12-30T00:02:46"/>
    <m/>
    <m/>
    <m/>
    <m/>
    <m/>
    <m/>
    <m/>
    <m/>
    <m/>
    <m/>
    <n v="13.146287183915938"/>
    <n v="946.53267724194745"/>
    <n v="2.4649288469842383"/>
    <n v="3"/>
    <n v="246.23156474872539"/>
    <n v="463.31693520918827"/>
    <s v="Forecast"/>
  </r>
  <r>
    <d v="2024-07-16T00:00:00"/>
    <x v="7"/>
    <n v="3"/>
    <n v="7"/>
    <x v="28"/>
    <x v="4"/>
    <m/>
    <n v="338.64337001894938"/>
    <n v="304.77903301705447"/>
    <n v="270.91469601515951"/>
    <n v="270.91469601515951"/>
    <m/>
    <m/>
    <m/>
    <m/>
    <d v="1899-12-30T00:02:46"/>
    <m/>
    <m/>
    <m/>
    <m/>
    <m/>
    <m/>
    <m/>
    <m/>
    <m/>
    <m/>
    <n v="12.528017882966825"/>
    <n v="902.01728757361138"/>
    <n v="2.3490033530562795"/>
    <n v="3"/>
    <n v="234.42681936904199"/>
    <n v="455.90490965530807"/>
    <s v="Forecast"/>
  </r>
  <r>
    <d v="2024-07-17T00:00:00"/>
    <x v="7"/>
    <n v="4"/>
    <n v="7"/>
    <x v="28"/>
    <x v="4"/>
    <m/>
    <n v="350.17357519642781"/>
    <n v="315.15621767678505"/>
    <n v="280.13886015714223"/>
    <n v="280.13886015714223"/>
    <m/>
    <m/>
    <m/>
    <m/>
    <d v="1899-12-30T00:02:46"/>
    <m/>
    <m/>
    <m/>
    <m/>
    <m/>
    <m/>
    <m/>
    <m/>
    <m/>
    <m/>
    <n v="12.954562772556523"/>
    <n v="932.72851962406958"/>
    <n v="2.4289805198543477"/>
    <n v="3"/>
    <n v="230.87089132019489"/>
    <n v="468.01487596123008"/>
    <s v="Forecast"/>
  </r>
  <r>
    <d v="2024-07-18T00:00:00"/>
    <x v="7"/>
    <n v="5"/>
    <n v="7"/>
    <x v="28"/>
    <x v="4"/>
    <m/>
    <n v="344.66182939537629"/>
    <n v="310.19564645583864"/>
    <n v="275.72946351630105"/>
    <n v="275.72946351630105"/>
    <m/>
    <m/>
    <m/>
    <m/>
    <d v="1899-12-30T00:02:46"/>
    <m/>
    <m/>
    <m/>
    <m/>
    <m/>
    <m/>
    <m/>
    <m/>
    <m/>
    <m/>
    <n v="12.750645887586117"/>
    <n v="918.04650390620031"/>
    <n v="2.3907461039223965"/>
    <n v="3"/>
    <n v="235.92102275889579"/>
    <n v="455.39874360068018"/>
    <s v="Forecast"/>
  </r>
  <r>
    <d v="2024-07-19T00:00:00"/>
    <x v="7"/>
    <n v="6"/>
    <n v="7"/>
    <x v="28"/>
    <x v="4"/>
    <m/>
    <n v="334.98854829570388"/>
    <n v="301.48969346613347"/>
    <n v="267.99083863656313"/>
    <n v="267.99083863656313"/>
    <m/>
    <m/>
    <m/>
    <m/>
    <d v="1899-12-30T00:02:46"/>
    <m/>
    <m/>
    <m/>
    <m/>
    <m/>
    <m/>
    <m/>
    <m/>
    <m/>
    <m/>
    <n v="12.392775112799326"/>
    <n v="892.27980812155147"/>
    <n v="2.3236453336498735"/>
    <n v="3"/>
    <n v="236.07280486004311"/>
    <n v="450.83887277578617"/>
    <s v="Forecast"/>
  </r>
  <r>
    <d v="2024-07-20T00:00:00"/>
    <x v="7"/>
    <n v="7"/>
    <n v="7"/>
    <x v="28"/>
    <x v="4"/>
    <m/>
    <n v="341.25867624861468"/>
    <n v="307.13280862375319"/>
    <n v="273.00694099889176"/>
    <n v="273.00694099889176"/>
    <m/>
    <m/>
    <m/>
    <m/>
    <d v="1899-12-30T00:02:46"/>
    <m/>
    <m/>
    <m/>
    <m/>
    <m/>
    <m/>
    <m/>
    <m/>
    <m/>
    <m/>
    <n v="12.624725100462985"/>
    <n v="908.98020723333491"/>
    <n v="2.3671359563368095"/>
    <n v="3"/>
    <n v="223.14939209523871"/>
    <n v="451.32339168019831"/>
    <s v="Forecast"/>
  </r>
  <r>
    <d v="2024-07-21T00:00:00"/>
    <x v="7"/>
    <n v="1"/>
    <n v="7"/>
    <x v="29"/>
    <x v="4"/>
    <m/>
    <n v="251.62011188429159"/>
    <n v="226.45810069586244"/>
    <n v="201.29608950743329"/>
    <n v="201.29608950743329"/>
    <m/>
    <m/>
    <m/>
    <m/>
    <d v="1899-12-30T00:02:46"/>
    <m/>
    <m/>
    <m/>
    <m/>
    <m/>
    <m/>
    <m/>
    <m/>
    <m/>
    <m/>
    <n v="9.3085751720968481"/>
    <n v="670.21741239097298"/>
    <n v="1.7453578447681588"/>
    <n v="2"/>
    <n v="141.46751666426101"/>
    <n v="367.04445436514169"/>
    <s v="Forecast"/>
  </r>
  <r>
    <d v="2024-07-22T00:00:00"/>
    <x v="7"/>
    <n v="2"/>
    <n v="7"/>
    <x v="29"/>
    <x v="4"/>
    <m/>
    <n v="350.42292500171732"/>
    <n v="315.38063250154562"/>
    <n v="280.33834000137387"/>
    <n v="280.33834000137387"/>
    <m/>
    <m/>
    <m/>
    <m/>
    <d v="1899-12-30T00:02:46"/>
    <m/>
    <m/>
    <m/>
    <m/>
    <m/>
    <m/>
    <m/>
    <m/>
    <m/>
    <m/>
    <n v="12.963731036779025"/>
    <n v="933.38863464808981"/>
    <n v="2.4306995693960673"/>
    <n v="3"/>
    <n v="243.26094631991779"/>
    <n v="463.98130491798719"/>
    <s v="Forecast"/>
  </r>
  <r>
    <d v="2024-07-23T00:00:00"/>
    <x v="7"/>
    <n v="3"/>
    <n v="7"/>
    <x v="29"/>
    <x v="4"/>
    <m/>
    <n v="333.22495308899829"/>
    <n v="299.90245778009847"/>
    <n v="266.57996247119866"/>
    <n v="266.57996247119866"/>
    <m/>
    <m/>
    <m/>
    <m/>
    <d v="1899-12-30T00:02:46"/>
    <m/>
    <m/>
    <m/>
    <m/>
    <m/>
    <m/>
    <m/>
    <m/>
    <m/>
    <m/>
    <n v="12.327490394916559"/>
    <n v="887.5793084339922"/>
    <n v="2.3114044490468548"/>
    <n v="3"/>
    <n v="227.0599152344123"/>
    <n v="442.15558238105012"/>
    <s v="Forecast"/>
  </r>
  <r>
    <d v="2024-07-24T00:00:00"/>
    <x v="7"/>
    <n v="4"/>
    <n v="7"/>
    <x v="29"/>
    <x v="4"/>
    <m/>
    <n v="344.23177120925868"/>
    <n v="309.80859408833282"/>
    <n v="275.38541696740697"/>
    <n v="275.38541696740697"/>
    <m/>
    <m/>
    <m/>
    <m/>
    <d v="1899-12-30T00:02:46"/>
    <m/>
    <m/>
    <m/>
    <m/>
    <m/>
    <m/>
    <m/>
    <m/>
    <m/>
    <m/>
    <n v="12.73467245157814"/>
    <n v="916.89641651362604"/>
    <n v="2.3877510846709011"/>
    <n v="3"/>
    <n v="241.27261759138611"/>
    <n v="462.3810654755743"/>
    <s v="Forecast"/>
  </r>
  <r>
    <d v="2024-07-25T00:00:00"/>
    <x v="7"/>
    <n v="5"/>
    <n v="7"/>
    <x v="29"/>
    <x v="4"/>
    <m/>
    <n v="338.16513504420709"/>
    <n v="304.34862153978639"/>
    <n v="270.5321080353657"/>
    <n v="270.5321080353657"/>
    <m/>
    <m/>
    <m/>
    <m/>
    <d v="1899-12-30T00:02:46"/>
    <m/>
    <m/>
    <m/>
    <m/>
    <m/>
    <m/>
    <m/>
    <m/>
    <m/>
    <m/>
    <n v="12.510231405545593"/>
    <n v="900.73666119928259"/>
    <n v="2.3456683885397984"/>
    <n v="3"/>
    <n v="225.4808869280688"/>
    <n v="458.45862358800781"/>
    <s v="Forecast"/>
  </r>
  <r>
    <d v="2024-07-26T00:00:00"/>
    <x v="7"/>
    <n v="6"/>
    <n v="7"/>
    <x v="29"/>
    <x v="4"/>
    <m/>
    <n v="327.91343530355113"/>
    <n v="295.12209177319602"/>
    <n v="262.33074824284091"/>
    <n v="262.33074824284091"/>
    <m/>
    <m/>
    <m/>
    <m/>
    <d v="1899-12-30T00:02:46"/>
    <m/>
    <m/>
    <m/>
    <m/>
    <m/>
    <m/>
    <m/>
    <m/>
    <m/>
    <m/>
    <n v="12.13096715914352"/>
    <n v="873.42963545833334"/>
    <n v="2.2745563423394097"/>
    <n v="3"/>
    <n v="216.44259499731169"/>
    <n v="440.43415000702839"/>
    <s v="Forecast"/>
  </r>
  <r>
    <d v="2024-07-27T00:00:00"/>
    <x v="7"/>
    <n v="7"/>
    <n v="7"/>
    <x v="29"/>
    <x v="4"/>
    <m/>
    <n v="333.59142805936682"/>
    <n v="300.23228525343012"/>
    <n v="266.87314244749348"/>
    <n v="266.87314244749348"/>
    <m/>
    <m/>
    <m/>
    <m/>
    <d v="1899-12-30T00:02:46"/>
    <m/>
    <m/>
    <m/>
    <m/>
    <m/>
    <m/>
    <m/>
    <m/>
    <m/>
    <m/>
    <n v="12.341013255172196"/>
    <n v="888.55295437239818"/>
    <n v="2.3139399853447871"/>
    <n v="3"/>
    <n v="225.603285680038"/>
    <n v="446.7369645833881"/>
    <s v="Forecast"/>
  </r>
  <r>
    <d v="2024-07-28T00:00:00"/>
    <x v="7"/>
    <n v="1"/>
    <n v="7"/>
    <x v="30"/>
    <x v="4"/>
    <m/>
    <n v="243.35841036230201"/>
    <n v="219.02256932607182"/>
    <n v="194.68672828984162"/>
    <n v="194.68672828984162"/>
    <m/>
    <m/>
    <m/>
    <m/>
    <d v="1899-12-30T00:02:46"/>
    <m/>
    <m/>
    <m/>
    <m/>
    <m/>
    <m/>
    <m/>
    <m/>
    <m/>
    <m/>
    <n v="9.0028918852772808"/>
    <n v="648.2082157399642"/>
    <n v="1.68804222848949"/>
    <n v="2"/>
    <n v="132.37889415923399"/>
    <n v="356.79694393762497"/>
    <s v="Forecast"/>
  </r>
  <r>
    <d v="2024-07-29T00:00:00"/>
    <x v="7"/>
    <n v="2"/>
    <n v="7"/>
    <x v="30"/>
    <x v="4"/>
    <m/>
    <n v="341.57713333944088"/>
    <n v="307.41942000549682"/>
    <n v="273.2617066715527"/>
    <n v="273.2617066715527"/>
    <m/>
    <m/>
    <m/>
    <m/>
    <d v="1899-12-30T00:02:46"/>
    <m/>
    <m/>
    <m/>
    <m/>
    <m/>
    <m/>
    <m/>
    <m/>
    <m/>
    <m/>
    <n v="12.636424939747705"/>
    <n v="909.82259566183473"/>
    <n v="2.3693296762026947"/>
    <n v="3"/>
    <n v="224.84768554786669"/>
    <n v="467.74511659123982"/>
    <s v="Forecast"/>
  </r>
  <r>
    <d v="2024-07-30T00:00:00"/>
    <x v="7"/>
    <n v="3"/>
    <n v="7"/>
    <x v="30"/>
    <x v="4"/>
    <m/>
    <n v="323.81904984960869"/>
    <n v="291.43714486464785"/>
    <n v="259.05523987968695"/>
    <n v="259.05523987968695"/>
    <m/>
    <m/>
    <m/>
    <m/>
    <d v="1899-12-30T00:02:46"/>
    <m/>
    <m/>
    <m/>
    <m/>
    <m/>
    <m/>
    <m/>
    <m/>
    <m/>
    <m/>
    <n v="11.979469994295203"/>
    <n v="862.52183958925445"/>
    <n v="2.2461506239303501"/>
    <n v="3"/>
    <n v="212.2524312648749"/>
    <n v="433.3340228760722"/>
    <s v="Forecast"/>
  </r>
  <r>
    <d v="2024-07-31T00:00:00"/>
    <x v="7"/>
    <n v="4"/>
    <n v="7"/>
    <x v="30"/>
    <x v="4"/>
    <m/>
    <n v="334.30390045943301"/>
    <n v="300.87351041348973"/>
    <n v="267.44312036754644"/>
    <n v="267.44312036754644"/>
    <m/>
    <m/>
    <m/>
    <m/>
    <d v="1899-12-30T00:02:46"/>
    <m/>
    <m/>
    <m/>
    <m/>
    <m/>
    <m/>
    <m/>
    <m/>
    <m/>
    <m/>
    <n v="12.367344292692042"/>
    <n v="890.44878907382702"/>
    <n v="2.3188770548797577"/>
    <n v="3"/>
    <n v="229.15226357476331"/>
    <n v="439.17790625721261"/>
    <s v="Forecast"/>
  </r>
  <r>
    <d v="2024-08-01T00:00:00"/>
    <x v="7"/>
    <n v="5"/>
    <n v="8"/>
    <x v="30"/>
    <x v="4"/>
    <m/>
    <n v="327.76774858517001"/>
    <n v="294.99097372665301"/>
    <n v="262.21419886813601"/>
    <n v="262.21419886813601"/>
    <m/>
    <m/>
    <m/>
    <m/>
    <d v="1899-12-30T00:02:46"/>
    <m/>
    <m/>
    <m/>
    <m/>
    <m/>
    <m/>
    <m/>
    <m/>
    <m/>
    <m/>
    <n v="12.125538741857419"/>
    <n v="873.03878941373421"/>
    <n v="2.273538514098266"/>
    <n v="3"/>
    <n v="208.11365966661279"/>
    <n v="440.61973369813541"/>
    <s v="Forecast"/>
  </r>
  <r>
    <d v="2024-08-02T00:00:00"/>
    <x v="7"/>
    <n v="6"/>
    <n v="8"/>
    <x v="30"/>
    <x v="4"/>
    <m/>
    <n v="317.11301476199628"/>
    <n v="285.40171328579669"/>
    <n v="253.69041180959704"/>
    <n v="253.69041180959704"/>
    <m/>
    <m/>
    <m/>
    <m/>
    <d v="1899-12-30T00:02:46"/>
    <m/>
    <m/>
    <m/>
    <m/>
    <m/>
    <m/>
    <m/>
    <m/>
    <m/>
    <m/>
    <n v="11.731369954098986"/>
    <n v="844.65863669512692"/>
    <n v="2.1996318663935597"/>
    <n v="3"/>
    <n v="205.09576318175891"/>
    <n v="429.08344329518468"/>
    <s v="Forecast"/>
  </r>
  <r>
    <d v="2024-08-03T00:00:00"/>
    <x v="7"/>
    <n v="7"/>
    <n v="8"/>
    <x v="30"/>
    <x v="4"/>
    <m/>
    <n v="322.46778672209308"/>
    <n v="290.22100804988378"/>
    <n v="257.97422937767448"/>
    <n v="257.97422937767448"/>
    <m/>
    <m/>
    <m/>
    <m/>
    <d v="1899-12-30T00:02:46"/>
    <m/>
    <m/>
    <m/>
    <m/>
    <m/>
    <m/>
    <m/>
    <m/>
    <m/>
    <m/>
    <n v="11.929462065575878"/>
    <n v="858.92126872146321"/>
    <n v="2.2367741372954772"/>
    <n v="3"/>
    <n v="212.61823311614009"/>
    <n v="432.94682703703478"/>
    <s v="Forecast"/>
  </r>
  <r>
    <d v="2024-08-04T00:00:00"/>
    <x v="7"/>
    <n v="1"/>
    <n v="8"/>
    <x v="31"/>
    <x v="4"/>
    <m/>
    <n v="232.00358675613049"/>
    <n v="208.80322808051744"/>
    <n v="185.6028694049044"/>
    <n v="185.6028694049044"/>
    <m/>
    <m/>
    <m/>
    <m/>
    <d v="1899-12-30T00:02:46"/>
    <m/>
    <m/>
    <m/>
    <m/>
    <m/>
    <m/>
    <m/>
    <m/>
    <m/>
    <m/>
    <n v="8.5828021841968045"/>
    <n v="617.96175726216995"/>
    <n v="1.6092754095369008"/>
    <n v="2"/>
    <n v="118.4014431395826"/>
    <n v="349.29237014047732"/>
    <s v="Forecast"/>
  </r>
  <r>
    <d v="2024-08-05T00:00:00"/>
    <x v="7"/>
    <n v="2"/>
    <n v="8"/>
    <x v="31"/>
    <x v="4"/>
    <m/>
    <n v="330.09390037554192"/>
    <n v="297.08451033798775"/>
    <n v="264.07512030043353"/>
    <n v="264.07512030043353"/>
    <m/>
    <m/>
    <m/>
    <m/>
    <d v="1899-12-30T00:02:46"/>
    <m/>
    <m/>
    <m/>
    <m/>
    <m/>
    <m/>
    <m/>
    <m/>
    <m/>
    <m/>
    <n v="12.211578477872591"/>
    <n v="879.23365040682654"/>
    <n v="2.2896709646011106"/>
    <n v="3"/>
    <n v="224.05374979627959"/>
    <n v="443.89556417308017"/>
    <s v="Forecast"/>
  </r>
  <r>
    <d v="2024-08-06T00:00:00"/>
    <x v="7"/>
    <n v="3"/>
    <n v="8"/>
    <x v="31"/>
    <x v="4"/>
    <m/>
    <n v="312.31907447984878"/>
    <n v="281.08716703186388"/>
    <n v="249.85525958387905"/>
    <n v="249.85525958387905"/>
    <m/>
    <m/>
    <m/>
    <m/>
    <d v="1899-12-30T00:02:46"/>
    <m/>
    <m/>
    <m/>
    <m/>
    <m/>
    <m/>
    <m/>
    <m/>
    <m/>
    <m/>
    <n v="11.554009959638091"/>
    <n v="831.88871709394255"/>
    <n v="2.1663768674321422"/>
    <n v="3"/>
    <n v="195.90309131676639"/>
    <n v="423.08900494443259"/>
    <s v="Forecast"/>
  </r>
  <r>
    <d v="2024-08-07T00:00:00"/>
    <x v="7"/>
    <n v="4"/>
    <n v="8"/>
    <x v="31"/>
    <x v="4"/>
    <m/>
    <n v="322.90559896174659"/>
    <n v="290.61503906557192"/>
    <n v="258.32447916939731"/>
    <n v="258.32447916939731"/>
    <m/>
    <m/>
    <m/>
    <m/>
    <d v="1899-12-30T00:02:46"/>
    <m/>
    <m/>
    <m/>
    <m/>
    <m/>
    <m/>
    <m/>
    <m/>
    <m/>
    <m/>
    <n v="11.945648971043067"/>
    <n v="860.08672591510083"/>
    <n v="2.2398091820705752"/>
    <n v="3"/>
    <n v="212.82945591501581"/>
    <n v="432.77330754524502"/>
    <s v="Forecast"/>
  </r>
  <r>
    <d v="2024-08-08T00:00:00"/>
    <x v="7"/>
    <n v="5"/>
    <n v="8"/>
    <x v="31"/>
    <x v="4"/>
    <m/>
    <n v="316.59389149556762"/>
    <n v="284.93450234601085"/>
    <n v="253.2751131964541"/>
    <n v="253.2751131964541"/>
    <m/>
    <m/>
    <m/>
    <m/>
    <d v="1899-12-30T00:02:46"/>
    <m/>
    <m/>
    <m/>
    <m/>
    <m/>
    <m/>
    <m/>
    <m/>
    <m/>
    <m/>
    <n v="11.712151209322318"/>
    <n v="843.27488707120688"/>
    <n v="2.1960283517479344"/>
    <n v="3"/>
    <n v="209.31017856679591"/>
    <n v="433.72366391976448"/>
    <s v="Forecast"/>
  </r>
  <r>
    <d v="2024-08-09T00:00:00"/>
    <x v="7"/>
    <n v="6"/>
    <n v="8"/>
    <x v="31"/>
    <x v="4"/>
    <m/>
    <n v="306.28814287998119"/>
    <n v="275.65932859198307"/>
    <n v="245.03051430398497"/>
    <n v="245.03051430398497"/>
    <m/>
    <m/>
    <m/>
    <m/>
    <d v="1899-12-30T00:02:46"/>
    <m/>
    <m/>
    <m/>
    <m/>
    <m/>
    <m/>
    <m/>
    <m/>
    <m/>
    <m/>
    <n v="11.33089753753157"/>
    <n v="815.82462270227302"/>
    <n v="2.1245432882871693"/>
    <n v="3"/>
    <n v="197.25086819220499"/>
    <n v="421.37451583675238"/>
    <s v="Forecast"/>
  </r>
  <r>
    <d v="2024-08-10T00:00:00"/>
    <x v="7"/>
    <n v="7"/>
    <n v="8"/>
    <x v="31"/>
    <x v="4"/>
    <m/>
    <n v="312.11550530498761"/>
    <n v="280.90395477448885"/>
    <n v="249.6924042439901"/>
    <n v="249.6924042439901"/>
    <m/>
    <m/>
    <m/>
    <m/>
    <d v="1899-12-30T00:02:46"/>
    <m/>
    <m/>
    <m/>
    <m/>
    <m/>
    <m/>
    <m/>
    <m/>
    <m/>
    <m/>
    <n v="11.546476656720536"/>
    <n v="831.34631928387864"/>
    <n v="2.1649643731351005"/>
    <n v="3"/>
    <n v="198.72773696489489"/>
    <n v="426.78096876839908"/>
    <s v="Forecast"/>
  </r>
  <r>
    <d v="2024-08-11T00:00:00"/>
    <x v="7"/>
    <n v="1"/>
    <n v="8"/>
    <x v="32"/>
    <x v="4"/>
    <m/>
    <n v="222.2438088662625"/>
    <n v="200.01942797963625"/>
    <n v="177.79504709301"/>
    <n v="177.79504709301"/>
    <m/>
    <m/>
    <m/>
    <m/>
    <d v="1899-12-30T00:02:46"/>
    <m/>
    <m/>
    <m/>
    <m/>
    <m/>
    <m/>
    <m/>
    <m/>
    <m/>
    <m/>
    <n v="8.2217419418196389"/>
    <n v="591.96541981101393"/>
    <n v="1.5415766140911822"/>
    <n v="2"/>
    <n v="111.0621034243478"/>
    <n v="329.1293074363287"/>
    <s v="Forecast"/>
  </r>
  <r>
    <d v="2024-08-12T00:00:00"/>
    <x v="7"/>
    <n v="2"/>
    <n v="8"/>
    <x v="32"/>
    <x v="4"/>
    <m/>
    <n v="321.04011221636188"/>
    <n v="288.93610099472568"/>
    <n v="256.83208977308954"/>
    <n v="256.83208977308954"/>
    <m/>
    <m/>
    <m/>
    <m/>
    <d v="1899-12-30T00:02:46"/>
    <m/>
    <m/>
    <m/>
    <m/>
    <m/>
    <m/>
    <m/>
    <m/>
    <m/>
    <m/>
    <n v="11.876638065533154"/>
    <n v="855.1179407183871"/>
    <n v="2.2268696372874666"/>
    <n v="3"/>
    <n v="207.81551076923159"/>
    <n v="435.62469397229751"/>
    <s v="Forecast"/>
  </r>
  <r>
    <d v="2024-08-13T00:00:00"/>
    <x v="7"/>
    <n v="3"/>
    <n v="8"/>
    <x v="32"/>
    <x v="4"/>
    <m/>
    <n v="304.07569544888958"/>
    <n v="273.66812590400065"/>
    <n v="243.26055635911166"/>
    <n v="243.26055635911166"/>
    <m/>
    <m/>
    <m/>
    <m/>
    <d v="1899-12-30T00:02:46"/>
    <m/>
    <m/>
    <m/>
    <m/>
    <m/>
    <m/>
    <m/>
    <m/>
    <m/>
    <m/>
    <n v="11.249054109229634"/>
    <n v="809.93189586453366"/>
    <n v="2.1091976454805565"/>
    <n v="3"/>
    <n v="193.31227447977921"/>
    <n v="416.49980573640619"/>
    <s v="Forecast"/>
  </r>
  <r>
    <d v="2024-08-14T00:00:00"/>
    <x v="7"/>
    <n v="4"/>
    <n v="8"/>
    <x v="32"/>
    <x v="4"/>
    <m/>
    <n v="315.56550702861517"/>
    <n v="284.00895632575367"/>
    <n v="252.45240562289214"/>
    <n v="252.45240562289214"/>
    <m/>
    <m/>
    <m/>
    <m/>
    <d v="1899-12-30T00:02:46"/>
    <m/>
    <m/>
    <m/>
    <m/>
    <m/>
    <m/>
    <m/>
    <m/>
    <m/>
    <m/>
    <n v="11.674113643751301"/>
    <n v="840.53618235009367"/>
    <n v="2.1888963082033688"/>
    <n v="3"/>
    <n v="203.94474432929931"/>
    <n v="429.28634494179119"/>
    <s v="Forecast"/>
  </r>
  <r>
    <d v="2024-08-15T00:00:00"/>
    <x v="7"/>
    <n v="5"/>
    <n v="8"/>
    <x v="32"/>
    <x v="4"/>
    <m/>
    <n v="310.2361805008855"/>
    <n v="279.21256245079695"/>
    <n v="248.18894440070841"/>
    <n v="248.18894440070841"/>
    <m/>
    <m/>
    <m/>
    <m/>
    <d v="1899-12-30T00:02:46"/>
    <m/>
    <m/>
    <m/>
    <m/>
    <m/>
    <m/>
    <m/>
    <m/>
    <m/>
    <m/>
    <n v="11.476962071008549"/>
    <n v="826.34126911261546"/>
    <n v="2.1519303883141028"/>
    <n v="3"/>
    <n v="195.19687743349411"/>
    <n v="420.89521390658712"/>
    <s v="Forecast"/>
  </r>
  <r>
    <d v="2024-08-16T00:00:00"/>
    <x v="7"/>
    <n v="6"/>
    <n v="8"/>
    <x v="32"/>
    <x v="4"/>
    <m/>
    <n v="300.97617250414561"/>
    <n v="270.87855525373107"/>
    <n v="240.78093800331649"/>
    <n v="240.78093800331649"/>
    <m/>
    <m/>
    <m/>
    <m/>
    <d v="1899-12-30T00:02:46"/>
    <m/>
    <m/>
    <m/>
    <m/>
    <m/>
    <m/>
    <m/>
    <m/>
    <m/>
    <m/>
    <n v="11.134398086508705"/>
    <n v="801.67666222862681"/>
    <n v="2.0876996412203823"/>
    <n v="3"/>
    <n v="186.83271245955109"/>
    <n v="411.67232874739591"/>
    <s v="Forecast"/>
  </r>
  <r>
    <d v="2024-08-17T00:00:00"/>
    <x v="7"/>
    <n v="7"/>
    <n v="8"/>
    <x v="32"/>
    <x v="4"/>
    <m/>
    <n v="307.89529700303058"/>
    <n v="277.10576730272754"/>
    <n v="246.31623760242448"/>
    <n v="246.31623760242448"/>
    <m/>
    <m/>
    <m/>
    <m/>
    <d v="1899-12-30T00:02:46"/>
    <m/>
    <m/>
    <m/>
    <m/>
    <m/>
    <m/>
    <m/>
    <m/>
    <m/>
    <m/>
    <n v="11.390369909075291"/>
    <n v="820.10663345342084"/>
    <n v="2.1356943579516168"/>
    <n v="3"/>
    <n v="198.4845216307113"/>
    <n v="424.66192087864567"/>
    <s v="Forecast"/>
  </r>
  <r>
    <d v="2024-08-18T00:00:00"/>
    <x v="7"/>
    <n v="1"/>
    <n v="8"/>
    <x v="33"/>
    <x v="4"/>
    <m/>
    <n v="219.14283217869129"/>
    <n v="197.22854896082217"/>
    <n v="175.31426574295304"/>
    <n v="175.31426574295304"/>
    <m/>
    <m/>
    <m/>
    <m/>
    <d v="1899-12-30T00:02:46"/>
    <m/>
    <m/>
    <m/>
    <m/>
    <m/>
    <m/>
    <m/>
    <m/>
    <m/>
    <m/>
    <n v="8.1070378307367008"/>
    <n v="583.70672381304246"/>
    <n v="1.5200695932631314"/>
    <n v="2"/>
    <n v="98.93482575846194"/>
    <n v="333.29444512291082"/>
    <s v="Forecast"/>
  </r>
  <r>
    <d v="2024-08-19T00:00:00"/>
    <x v="7"/>
    <n v="2"/>
    <n v="8"/>
    <x v="33"/>
    <x v="4"/>
    <m/>
    <n v="319.06649581013119"/>
    <n v="287.1598462291181"/>
    <n v="255.25319664810496"/>
    <n v="255.25319664810496"/>
    <m/>
    <m/>
    <m/>
    <m/>
    <d v="1899-12-30T00:02:46"/>
    <m/>
    <m/>
    <m/>
    <m/>
    <m/>
    <m/>
    <m/>
    <m/>
    <m/>
    <m/>
    <n v="11.803649348024567"/>
    <n v="849.86275305776883"/>
    <n v="2.2131842527546062"/>
    <n v="3"/>
    <n v="208.56610427646461"/>
    <n v="440.33916437221438"/>
    <s v="Forecast"/>
  </r>
  <r>
    <d v="2024-08-20T00:00:00"/>
    <x v="7"/>
    <n v="3"/>
    <n v="8"/>
    <x v="33"/>
    <x v="4"/>
    <m/>
    <n v="303.21788630001902"/>
    <n v="272.89609767001713"/>
    <n v="242.57430904001524"/>
    <n v="242.57430904001524"/>
    <m/>
    <m/>
    <m/>
    <m/>
    <d v="1899-12-30T00:02:46"/>
    <m/>
    <m/>
    <m/>
    <m/>
    <m/>
    <m/>
    <m/>
    <m/>
    <m/>
    <m/>
    <n v="11.217345293880244"/>
    <n v="807.64886115937759"/>
    <n v="2.103252242602546"/>
    <n v="3"/>
    <n v="195.9224418030372"/>
    <n v="418.45307878055138"/>
    <s v="Forecast"/>
  </r>
  <r>
    <d v="2024-08-21T00:00:00"/>
    <x v="7"/>
    <n v="4"/>
    <n v="8"/>
    <x v="33"/>
    <x v="4"/>
    <m/>
    <n v="315.79238961877479"/>
    <n v="284.21315065689731"/>
    <n v="252.63391169501983"/>
    <n v="252.63391169501983"/>
    <m/>
    <m/>
    <m/>
    <m/>
    <d v="1899-12-30T00:02:46"/>
    <m/>
    <m/>
    <m/>
    <m/>
    <m/>
    <m/>
    <m/>
    <m/>
    <m/>
    <m/>
    <n v="11.682535642628437"/>
    <n v="841.14256626924748"/>
    <n v="2.190475432992832"/>
    <n v="3"/>
    <n v="201.164784516704"/>
    <n v="438.95152370065699"/>
    <s v="Forecast"/>
  </r>
  <r>
    <d v="2024-08-22T00:00:00"/>
    <x v="7"/>
    <n v="5"/>
    <n v="8"/>
    <x v="33"/>
    <x v="4"/>
    <m/>
    <n v="311.49765608675642"/>
    <n v="280.34789047808079"/>
    <n v="249.19812486940515"/>
    <n v="249.19812486940515"/>
    <m/>
    <m/>
    <m/>
    <m/>
    <d v="1899-12-30T00:02:46"/>
    <m/>
    <m/>
    <m/>
    <m/>
    <m/>
    <m/>
    <m/>
    <m/>
    <m/>
    <m/>
    <n v="11.523659707967855"/>
    <n v="829.70349897368556"/>
    <n v="2.1606861952439727"/>
    <n v="3"/>
    <n v="201.9058770738757"/>
    <n v="425.69925441503568"/>
    <s v="Forecast"/>
  </r>
  <r>
    <d v="2024-08-23T00:00:00"/>
    <x v="7"/>
    <n v="6"/>
    <n v="8"/>
    <x v="33"/>
    <x v="4"/>
    <m/>
    <n v="303.20418675000042"/>
    <n v="272.88376807500038"/>
    <n v="242.56334940000033"/>
    <n v="242.56334940000033"/>
    <m/>
    <m/>
    <m/>
    <m/>
    <d v="1899-12-30T00:02:46"/>
    <m/>
    <m/>
    <m/>
    <m/>
    <m/>
    <m/>
    <m/>
    <m/>
    <m/>
    <m/>
    <n v="11.216852913976298"/>
    <n v="807.61340980629336"/>
    <n v="2.1031599213705556"/>
    <n v="3"/>
    <n v="195.04507792179371"/>
    <n v="413.90915674738523"/>
    <s v="Forecast"/>
  </r>
  <r>
    <d v="2024-08-24T00:00:00"/>
    <x v="7"/>
    <n v="7"/>
    <n v="8"/>
    <x v="33"/>
    <x v="4"/>
    <m/>
    <n v="311.00529284844731"/>
    <n v="279.90476356360261"/>
    <n v="248.80423427875786"/>
    <n v="248.80423427875786"/>
    <m/>
    <m/>
    <m/>
    <m/>
    <d v="1899-12-30T00:02:46"/>
    <m/>
    <m/>
    <m/>
    <m/>
    <m/>
    <m/>
    <m/>
    <m/>
    <m/>
    <m/>
    <n v="11.505455066627805"/>
    <n v="828.39276479720195"/>
    <n v="2.1572728249927136"/>
    <n v="3"/>
    <n v="206.02363817615091"/>
    <n v="424.67695529129321"/>
    <s v="Forecast"/>
  </r>
  <r>
    <d v="2024-08-25T00:00:00"/>
    <x v="7"/>
    <n v="1"/>
    <n v="8"/>
    <x v="34"/>
    <x v="4"/>
    <m/>
    <n v="223.0355940523165"/>
    <n v="200.73203464708484"/>
    <n v="178.42847524185322"/>
    <n v="178.42847524185322"/>
    <m/>
    <m/>
    <m/>
    <m/>
    <d v="1899-12-30T00:02:46"/>
    <m/>
    <m/>
    <m/>
    <m/>
    <m/>
    <m/>
    <m/>
    <m/>
    <m/>
    <m/>
    <n v="8.2510721670718326"/>
    <n v="594.07719602917189"/>
    <n v="1.5470760313259684"/>
    <n v="2"/>
    <n v="115.59868100049999"/>
    <n v="338.18574881438781"/>
    <s v="Forecast"/>
  </r>
  <r>
    <d v="2024-08-26T00:00:00"/>
    <x v="7"/>
    <n v="2"/>
    <n v="8"/>
    <x v="34"/>
    <x v="4"/>
    <m/>
    <n v="323.63034147846031"/>
    <n v="291.2673073306143"/>
    <n v="258.90427318276824"/>
    <n v="258.90427318276824"/>
    <m/>
    <m/>
    <m/>
    <m/>
    <d v="1899-12-30T00:02:46"/>
    <m/>
    <m/>
    <m/>
    <m/>
    <m/>
    <m/>
    <m/>
    <m/>
    <m/>
    <m/>
    <n v="11.972521478375665"/>
    <n v="862.0215464430479"/>
    <n v="2.2448477771954374"/>
    <n v="3"/>
    <n v="212.5080802083784"/>
    <n v="440.90823571691533"/>
    <s v="Forecast"/>
  </r>
  <r>
    <d v="2024-08-27T00:00:00"/>
    <x v="7"/>
    <n v="3"/>
    <n v="8"/>
    <x v="34"/>
    <x v="4"/>
    <m/>
    <n v="308.33115399393222"/>
    <n v="277.49803859453903"/>
    <n v="246.66492319514578"/>
    <n v="246.66492319514578"/>
    <m/>
    <m/>
    <m/>
    <m/>
    <d v="1899-12-30T00:02:46"/>
    <m/>
    <m/>
    <m/>
    <m/>
    <m/>
    <m/>
    <m/>
    <m/>
    <m/>
    <m/>
    <n v="11.406541433545287"/>
    <n v="821.27098321526057"/>
    <n v="2.1387265187897411"/>
    <n v="3"/>
    <n v="203.28746276876751"/>
    <n v="424.29823042492268"/>
    <s v="Forecast"/>
  </r>
  <r>
    <d v="2024-08-28T00:00:00"/>
    <x v="7"/>
    <n v="4"/>
    <n v="8"/>
    <x v="34"/>
    <x v="4"/>
    <m/>
    <n v="321.3261608461184"/>
    <n v="289.19354476150659"/>
    <n v="257.06092867689472"/>
    <n v="257.06092867689472"/>
    <m/>
    <m/>
    <m/>
    <m/>
    <d v="1899-12-30T00:02:46"/>
    <m/>
    <m/>
    <m/>
    <m/>
    <m/>
    <m/>
    <m/>
    <m/>
    <m/>
    <m/>
    <n v="11.887289353409358"/>
    <n v="855.88483344547376"/>
    <n v="2.2288667537642546"/>
    <n v="3"/>
    <n v="209.69798192060509"/>
    <n v="427.79246918165182"/>
    <s v="Forecast"/>
  </r>
  <r>
    <d v="2024-08-29T00:00:00"/>
    <x v="7"/>
    <n v="5"/>
    <n v="8"/>
    <x v="34"/>
    <x v="4"/>
    <m/>
    <n v="317.31864886781727"/>
    <n v="285.58678398103558"/>
    <n v="253.85491909425383"/>
    <n v="253.85491909425383"/>
    <m/>
    <m/>
    <m/>
    <m/>
    <d v="1899-12-30T00:02:46"/>
    <m/>
    <m/>
    <m/>
    <m/>
    <m/>
    <m/>
    <m/>
    <m/>
    <m/>
    <m/>
    <n v="11.73903813897029"/>
    <n v="845.21074600586087"/>
    <n v="2.2010696510569292"/>
    <n v="3"/>
    <n v="203.9357229590216"/>
    <n v="433.86710991773788"/>
    <s v="Forecast"/>
  </r>
  <r>
    <d v="2024-08-30T00:00:00"/>
    <x v="7"/>
    <n v="6"/>
    <n v="8"/>
    <x v="34"/>
    <x v="4"/>
    <m/>
    <n v="309.17775005740708"/>
    <n v="278.2599750516664"/>
    <n v="247.34220004592567"/>
    <n v="247.34220004592567"/>
    <m/>
    <m/>
    <m/>
    <m/>
    <d v="1899-12-30T00:02:46"/>
    <m/>
    <m/>
    <m/>
    <m/>
    <m/>
    <m/>
    <m/>
    <m/>
    <m/>
    <m/>
    <n v="11.437874050455859"/>
    <n v="823.52693163282186"/>
    <n v="2.1446013844604734"/>
    <n v="3"/>
    <n v="193.29960511891079"/>
    <n v="423.0221752175645"/>
    <s v="Forecast"/>
  </r>
  <r>
    <d v="2024-08-31T00:00:00"/>
    <x v="7"/>
    <n v="7"/>
    <n v="8"/>
    <x v="34"/>
    <x v="4"/>
    <m/>
    <n v="316.99843085453261"/>
    <n v="285.29858776907935"/>
    <n v="253.59874468362611"/>
    <n v="253.59874468362611"/>
    <m/>
    <m/>
    <m/>
    <m/>
    <d v="1899-12-30T00:02:46"/>
    <m/>
    <m/>
    <m/>
    <m/>
    <m/>
    <m/>
    <m/>
    <m/>
    <m/>
    <m/>
    <n v="11.727200267851552"/>
    <n v="844.35841928531181"/>
    <n v="2.1988500502221662"/>
    <n v="3"/>
    <n v="210.40576177381149"/>
    <n v="433.03787875562591"/>
    <s v="Forecast"/>
  </r>
  <r>
    <d v="2024-09-01T00:00:00"/>
    <x v="7"/>
    <n v="1"/>
    <n v="9"/>
    <x v="35"/>
    <x v="4"/>
    <m/>
    <n v="228.91994843689159"/>
    <n v="206.02795359320243"/>
    <n v="183.13595874951329"/>
    <n v="183.13595874951329"/>
    <m/>
    <m/>
    <m/>
    <m/>
    <d v="1899-12-30T00:02:46"/>
    <m/>
    <m/>
    <m/>
    <m/>
    <m/>
    <m/>
    <m/>
    <m/>
    <m/>
    <m/>
    <n v="8.4687831181070408"/>
    <n v="609.75238450370693"/>
    <n v="1.5878968346450701"/>
    <n v="2"/>
    <n v="112.48560839926181"/>
    <n v="343.52512268008331"/>
    <s v="Forecast"/>
  </r>
  <r>
    <d v="2024-09-02T00:00:00"/>
    <x v="7"/>
    <n v="2"/>
    <n v="9"/>
    <x v="35"/>
    <x v="4"/>
    <m/>
    <n v="329.28506150025561"/>
    <n v="296.35655535023005"/>
    <n v="263.4280492002045"/>
    <n v="263.4280492002045"/>
    <m/>
    <m/>
    <m/>
    <m/>
    <d v="1899-12-30T00:02:46"/>
    <m/>
    <m/>
    <m/>
    <m/>
    <m/>
    <m/>
    <m/>
    <m/>
    <m/>
    <m/>
    <n v="12.181745808548515"/>
    <n v="877.08569821549293"/>
    <n v="2.2840773391028462"/>
    <n v="3"/>
    <n v="219.1759034976595"/>
    <n v="445.34723404724451"/>
    <s v="Forecast"/>
  </r>
  <r>
    <d v="2024-09-03T00:00:00"/>
    <x v="7"/>
    <n v="3"/>
    <n v="9"/>
    <x v="35"/>
    <x v="4"/>
    <m/>
    <n v="313.64558722495309"/>
    <n v="282.28102850245779"/>
    <n v="250.91646977996248"/>
    <n v="250.91646977996248"/>
    <m/>
    <m/>
    <m/>
    <m/>
    <d v="1899-12-30T00:02:46"/>
    <m/>
    <m/>
    <m/>
    <m/>
    <m/>
    <m/>
    <m/>
    <m/>
    <m/>
    <m/>
    <n v="11.603174124315426"/>
    <n v="835.42853695071074"/>
    <n v="2.1755951483091427"/>
    <n v="3"/>
    <n v="211.9062544300661"/>
    <n v="433.68175366756651"/>
    <s v="Forecast"/>
  </r>
  <r>
    <d v="2024-09-04T00:00:00"/>
    <x v="7"/>
    <n v="4"/>
    <n v="9"/>
    <x v="35"/>
    <x v="4"/>
    <m/>
    <n v="326.20230229426471"/>
    <n v="293.58207206483826"/>
    <n v="260.9618418354118"/>
    <n v="260.9618418354118"/>
    <m/>
    <m/>
    <m/>
    <m/>
    <d v="1899-12-30T00:02:46"/>
    <m/>
    <m/>
    <m/>
    <m/>
    <m/>
    <m/>
    <m/>
    <m/>
    <m/>
    <m/>
    <n v="12.067707211847431"/>
    <n v="868.87491925301504"/>
    <n v="2.2626951022213935"/>
    <n v="3"/>
    <n v="217.32368319579211"/>
    <n v="445.24416717185699"/>
    <s v="Forecast"/>
  </r>
  <r>
    <d v="2024-09-05T00:00:00"/>
    <x v="7"/>
    <n v="5"/>
    <n v="9"/>
    <x v="35"/>
    <x v="4"/>
    <m/>
    <n v="321.67329252682919"/>
    <n v="289.50596327414627"/>
    <n v="257.33863402146335"/>
    <n v="257.33863402146335"/>
    <m/>
    <m/>
    <m/>
    <m/>
    <d v="1899-12-30T00:02:46"/>
    <m/>
    <m/>
    <m/>
    <m/>
    <m/>
    <m/>
    <m/>
    <m/>
    <m/>
    <m/>
    <n v="11.900161455300525"/>
    <n v="856.81162478163776"/>
    <n v="2.2312802728688483"/>
    <n v="3"/>
    <n v="216.62052561238551"/>
    <n v="432.7832810543992"/>
    <s v="Forecast"/>
  </r>
  <r>
    <d v="2024-09-06T00:00:00"/>
    <x v="7"/>
    <n v="6"/>
    <n v="9"/>
    <x v="35"/>
    <x v="4"/>
    <m/>
    <n v="312.94429452891148"/>
    <n v="281.64986507602032"/>
    <n v="250.35543562312921"/>
    <n v="250.35543562312921"/>
    <m/>
    <m/>
    <m/>
    <m/>
    <d v="1899-12-30T00:02:46"/>
    <m/>
    <m/>
    <m/>
    <m/>
    <m/>
    <m/>
    <m/>
    <m/>
    <m/>
    <m/>
    <n v="11.577238645684668"/>
    <n v="833.56118248929602"/>
    <n v="2.1707322460658749"/>
    <n v="3"/>
    <n v="206.03810775587709"/>
    <n v="430.53274144996311"/>
    <s v="Forecast"/>
  </r>
  <r>
    <d v="2024-09-07T00:00:00"/>
    <x v="7"/>
    <n v="7"/>
    <n v="9"/>
    <x v="35"/>
    <x v="4"/>
    <m/>
    <n v="320.128299389571"/>
    <n v="288.11546945061389"/>
    <n v="256.10263951165683"/>
    <n v="256.10263951165683"/>
    <m/>
    <m/>
    <m/>
    <m/>
    <d v="1899-12-30T00:02:46"/>
    <m/>
    <m/>
    <m/>
    <m/>
    <m/>
    <m/>
    <m/>
    <m/>
    <m/>
    <m/>
    <n v="11.843010247895579"/>
    <n v="852.69673784848158"/>
    <n v="2.2205644214804208"/>
    <n v="3"/>
    <n v="213.97718540935011"/>
    <n v="429.36175054416509"/>
    <s v="Forecast"/>
  </r>
  <r>
    <d v="2024-09-08T00:00:00"/>
    <x v="7"/>
    <n v="1"/>
    <n v="9"/>
    <x v="36"/>
    <x v="4"/>
    <m/>
    <n v="231.38359326834831"/>
    <n v="208.24523394151348"/>
    <n v="185.10687461467865"/>
    <n v="185.10687461467865"/>
    <m/>
    <m/>
    <m/>
    <m/>
    <d v="1899-12-30T00:02:46"/>
    <m/>
    <m/>
    <m/>
    <m/>
    <m/>
    <m/>
    <m/>
    <m/>
    <m/>
    <m/>
    <n v="8.5599392275498563"/>
    <n v="616.31562438358969"/>
    <n v="1.6049886051655982"/>
    <n v="2"/>
    <n v="117.6025467381661"/>
    <n v="343.85388220229288"/>
    <s v="Forecast"/>
  </r>
  <r>
    <d v="2024-09-09T00:00:00"/>
    <x v="7"/>
    <n v="2"/>
    <n v="9"/>
    <x v="36"/>
    <x v="4"/>
    <m/>
    <n v="331.0725324652912"/>
    <n v="297.96527921876208"/>
    <n v="264.85802597223295"/>
    <n v="264.85802597223295"/>
    <m/>
    <m/>
    <m/>
    <m/>
    <d v="1899-12-30T00:02:46"/>
    <m/>
    <m/>
    <m/>
    <m/>
    <m/>
    <m/>
    <m/>
    <m/>
    <m/>
    <m/>
    <n v="12.247891975265842"/>
    <n v="881.84822221914067"/>
    <n v="2.2964797453623453"/>
    <n v="3"/>
    <n v="221.40315992649681"/>
    <n v="440.63622525051699"/>
    <s v="Forecast"/>
  </r>
  <r>
    <d v="2024-09-10T00:00:00"/>
    <x v="7"/>
    <n v="3"/>
    <n v="9"/>
    <x v="36"/>
    <x v="4"/>
    <m/>
    <n v="314.76665510803429"/>
    <n v="283.28998959723089"/>
    <n v="251.81332408642743"/>
    <n v="251.81332408642743"/>
    <m/>
    <m/>
    <m/>
    <m/>
    <d v="1899-12-30T00:02:46"/>
    <m/>
    <m/>
    <m/>
    <m/>
    <m/>
    <m/>
    <m/>
    <m/>
    <m/>
    <m/>
    <n v="11.644664650291844"/>
    <n v="838.41585482101277"/>
    <n v="2.1833746219297208"/>
    <n v="3"/>
    <n v="191.04465009554571"/>
    <n v="420.47120765602511"/>
    <s v="Forecast"/>
  </r>
  <r>
    <d v="2024-09-11T00:00:00"/>
    <x v="7"/>
    <n v="4"/>
    <n v="9"/>
    <x v="36"/>
    <x v="4"/>
    <m/>
    <n v="326.68613781490819"/>
    <n v="294.01752403341737"/>
    <n v="261.34891025192655"/>
    <n v="261.34891025192655"/>
    <m/>
    <m/>
    <m/>
    <m/>
    <d v="1899-12-30T00:02:46"/>
    <m/>
    <m/>
    <m/>
    <m/>
    <m/>
    <m/>
    <m/>
    <m/>
    <m/>
    <m/>
    <n v="12.085622899351353"/>
    <n v="870.16484875329741"/>
    <n v="2.2660542936283785"/>
    <n v="3"/>
    <n v="215.63547740848341"/>
    <n v="448.96056681921488"/>
    <s v="Forecast"/>
  </r>
  <r>
    <d v="2024-09-12T00:00:00"/>
    <x v="7"/>
    <n v="5"/>
    <n v="9"/>
    <x v="36"/>
    <x v="4"/>
    <m/>
    <n v="321.56771216405639"/>
    <n v="289.41094094765077"/>
    <n v="257.2541697312451"/>
    <n v="257.2541697312451"/>
    <m/>
    <m/>
    <m/>
    <m/>
    <d v="1899-12-30T00:02:46"/>
    <m/>
    <m/>
    <m/>
    <m/>
    <m/>
    <m/>
    <m/>
    <m/>
    <m/>
    <m/>
    <n v="11.896270468995708"/>
    <n v="856.53147376769095"/>
    <n v="2.230550712936695"/>
    <n v="3"/>
    <n v="212.86337325519011"/>
    <n v="445.33116728496901"/>
    <s v="Forecast"/>
  </r>
  <r>
    <d v="2024-09-13T00:00:00"/>
    <x v="7"/>
    <n v="6"/>
    <n v="9"/>
    <x v="36"/>
    <x v="4"/>
    <m/>
    <n v="312.31459418717401"/>
    <n v="281.0831347684566"/>
    <n v="249.85167534973922"/>
    <n v="249.85167534973922"/>
    <m/>
    <m/>
    <m/>
    <m/>
    <d v="1899-12-30T00:02:46"/>
    <m/>
    <m/>
    <m/>
    <m/>
    <m/>
    <m/>
    <m/>
    <m/>
    <m/>
    <m/>
    <n v="11.553956557278475"/>
    <n v="831.88487212405028"/>
    <n v="2.1663668544897141"/>
    <n v="3"/>
    <n v="200.38735000791189"/>
    <n v="422.36171954968398"/>
    <s v="Forecast"/>
  </r>
  <r>
    <d v="2024-09-14T00:00:00"/>
    <x v="7"/>
    <n v="7"/>
    <n v="9"/>
    <x v="36"/>
    <x v="4"/>
    <m/>
    <n v="319.05570601488722"/>
    <n v="287.15013541339852"/>
    <n v="255.24456481190978"/>
    <n v="255.24456481190978"/>
    <m/>
    <m/>
    <m/>
    <m/>
    <d v="1899-12-30T00:02:46"/>
    <m/>
    <m/>
    <m/>
    <m/>
    <m/>
    <m/>
    <m/>
    <m/>
    <m/>
    <m/>
    <n v="11.803342839239237"/>
    <n v="849.84068442522505"/>
    <n v="2.213126782357357"/>
    <n v="3"/>
    <n v="200.681878724586"/>
    <n v="432.55175836801442"/>
    <s v="Forecast"/>
  </r>
  <r>
    <d v="2024-09-15T00:00:00"/>
    <x v="7"/>
    <n v="1"/>
    <n v="9"/>
    <x v="37"/>
    <x v="4"/>
    <m/>
    <n v="229.9633727360557"/>
    <n v="206.96703546245013"/>
    <n v="183.97069818884458"/>
    <n v="183.97069818884458"/>
    <m/>
    <m/>
    <m/>
    <m/>
    <d v="1899-12-30T00:02:46"/>
    <m/>
    <m/>
    <m/>
    <m/>
    <m/>
    <m/>
    <m/>
    <m/>
    <m/>
    <m/>
    <n v="8.5074073302169868"/>
    <n v="612.53332777562298"/>
    <n v="1.5951388744156849"/>
    <n v="2"/>
    <n v="117.0956475999878"/>
    <n v="344.36834174253278"/>
    <s v="Forecast"/>
  </r>
  <r>
    <d v="2024-09-16T00:00:00"/>
    <x v="7"/>
    <n v="2"/>
    <n v="9"/>
    <x v="37"/>
    <x v="4"/>
    <m/>
    <n v="329.41179917264202"/>
    <n v="296.47061925537781"/>
    <n v="263.5294393381136"/>
    <n v="263.5294393381136"/>
    <m/>
    <m/>
    <m/>
    <m/>
    <d v="1899-12-30T00:02:46"/>
    <m/>
    <m/>
    <m/>
    <m/>
    <m/>
    <m/>
    <m/>
    <m/>
    <m/>
    <m/>
    <n v="12.186465339158879"/>
    <n v="877.42550441943933"/>
    <n v="2.2849622510922898"/>
    <n v="3"/>
    <n v="211.33874596959319"/>
    <n v="433.09803102827891"/>
    <s v="Forecast"/>
  </r>
  <r>
    <d v="2024-09-17T00:00:00"/>
    <x v="7"/>
    <n v="3"/>
    <n v="9"/>
    <x v="37"/>
    <x v="4"/>
    <m/>
    <n v="312.98193460127402"/>
    <n v="281.68374114114664"/>
    <n v="250.38554768101923"/>
    <n v="250.38554768101923"/>
    <m/>
    <m/>
    <m/>
    <m/>
    <d v="1899-12-30T00:02:46"/>
    <m/>
    <m/>
    <m/>
    <m/>
    <m/>
    <m/>
    <m/>
    <m/>
    <m/>
    <m/>
    <n v="11.578649922108367"/>
    <n v="833.66279439180244"/>
    <n v="2.1709968603953187"/>
    <n v="3"/>
    <n v="200.04407296331121"/>
    <n v="424.05759246970769"/>
    <s v="Forecast"/>
  </r>
  <r>
    <d v="2024-09-18T00:00:00"/>
    <x v="7"/>
    <n v="4"/>
    <n v="9"/>
    <x v="37"/>
    <x v="4"/>
    <m/>
    <n v="324.9007383310169"/>
    <n v="292.41066449791521"/>
    <n v="259.92059066481352"/>
    <n v="259.92059066481352"/>
    <m/>
    <m/>
    <m/>
    <m/>
    <d v="1899-12-30T00:02:46"/>
    <m/>
    <m/>
    <m/>
    <m/>
    <m/>
    <m/>
    <m/>
    <m/>
    <m/>
    <m/>
    <n v="12.019582803097146"/>
    <n v="865.40996182299455"/>
    <n v="2.253671775580715"/>
    <n v="3"/>
    <n v="213.42562066999929"/>
    <n v="435.99388962463593"/>
    <s v="Forecast"/>
  </r>
  <r>
    <d v="2024-09-19T00:00:00"/>
    <x v="7"/>
    <n v="5"/>
    <n v="9"/>
    <x v="37"/>
    <x v="4"/>
    <m/>
    <n v="319.90896410688993"/>
    <n v="287.91806769620092"/>
    <n v="255.92717128551195"/>
    <n v="255.92717128551195"/>
    <m/>
    <m/>
    <m/>
    <m/>
    <d v="1899-12-30T00:02:46"/>
    <m/>
    <m/>
    <m/>
    <m/>
    <m/>
    <m/>
    <m/>
    <m/>
    <m/>
    <m/>
    <n v="11.834915015943889"/>
    <n v="852.11388114795989"/>
    <n v="2.2190465654894789"/>
    <n v="3"/>
    <n v="205.538380444886"/>
    <n v="432.87678635619392"/>
    <s v="Forecast"/>
  </r>
  <r>
    <d v="2024-09-20T00:00:00"/>
    <x v="7"/>
    <n v="6"/>
    <n v="9"/>
    <x v="37"/>
    <x v="4"/>
    <m/>
    <n v="310.91101826546839"/>
    <n v="279.81991643892155"/>
    <n v="248.72881461237472"/>
    <n v="248.72881461237472"/>
    <m/>
    <m/>
    <m/>
    <m/>
    <d v="1899-12-30T00:02:46"/>
    <m/>
    <m/>
    <m/>
    <m/>
    <m/>
    <m/>
    <m/>
    <m/>
    <m/>
    <m/>
    <n v="11.502040210775327"/>
    <n v="828.14689517582349"/>
    <n v="2.1566325395203738"/>
    <n v="3"/>
    <n v="202.91863027196129"/>
    <n v="431.53787752715328"/>
    <s v="Forecast"/>
  </r>
  <r>
    <d v="2024-09-21T00:00:00"/>
    <x v="7"/>
    <n v="7"/>
    <n v="9"/>
    <x v="37"/>
    <x v="4"/>
    <m/>
    <n v="318.03417102617351"/>
    <n v="286.23075392355616"/>
    <n v="254.42733682093882"/>
    <n v="254.42733682093882"/>
    <m/>
    <m/>
    <m/>
    <m/>
    <d v="1899-12-30T00:02:46"/>
    <m/>
    <m/>
    <m/>
    <m/>
    <m/>
    <m/>
    <m/>
    <m/>
    <m/>
    <m/>
    <n v="11.765559451133292"/>
    <n v="847.12028048159698"/>
    <n v="2.2060423970874923"/>
    <n v="3"/>
    <n v="214.249389361634"/>
    <n v="433.98962333109421"/>
    <s v="Forecast"/>
  </r>
  <r>
    <d v="2024-09-22T00:00:00"/>
    <x v="7"/>
    <n v="1"/>
    <n v="9"/>
    <x v="38"/>
    <x v="4"/>
    <m/>
    <n v="229.44630286065231"/>
    <n v="206.50167257458708"/>
    <n v="183.55704228852187"/>
    <n v="183.55704228852187"/>
    <m/>
    <m/>
    <m/>
    <m/>
    <d v="1899-12-30T00:02:46"/>
    <m/>
    <m/>
    <m/>
    <m/>
    <m/>
    <m/>
    <m/>
    <m/>
    <m/>
    <m/>
    <n v="8.4882836806958348"/>
    <n v="611.15642501010007"/>
    <n v="1.5915531901304689"/>
    <n v="2"/>
    <n v="119.1242408729634"/>
    <n v="345.53023792204488"/>
    <s v="Forecast"/>
  </r>
  <r>
    <d v="2024-09-23T00:00:00"/>
    <x v="7"/>
    <n v="2"/>
    <n v="9"/>
    <x v="38"/>
    <x v="4"/>
    <m/>
    <n v="329.51448819161612"/>
    <n v="296.56303937245451"/>
    <n v="263.6115905532929"/>
    <n v="263.6115905532929"/>
    <m/>
    <m/>
    <m/>
    <m/>
    <d v="1899-12-30T00:02:46"/>
    <m/>
    <m/>
    <m/>
    <m/>
    <m/>
    <m/>
    <m/>
    <m/>
    <m/>
    <m/>
    <n v="12.190270805093679"/>
    <n v="877.69949796674484"/>
    <n v="2.2856757759550645"/>
    <n v="3"/>
    <n v="224.805096117533"/>
    <n v="442.93084320765013"/>
    <s v="Forecast"/>
  </r>
  <r>
    <d v="2024-09-24T00:00:00"/>
    <x v="7"/>
    <n v="3"/>
    <n v="9"/>
    <x v="38"/>
    <x v="4"/>
    <m/>
    <n v="313.81002080275567"/>
    <n v="282.42901872248012"/>
    <n v="251.04801664220454"/>
    <n v="251.04801664220454"/>
    <m/>
    <m/>
    <m/>
    <m/>
    <d v="1899-12-30T00:02:46"/>
    <m/>
    <m/>
    <m/>
    <m/>
    <m/>
    <m/>
    <m/>
    <m/>
    <m/>
    <m/>
    <n v="11.609289950525808"/>
    <n v="835.86887643785815"/>
    <n v="2.1767418657235891"/>
    <n v="3"/>
    <n v="188.21508802291959"/>
    <n v="430.44878509344221"/>
    <s v="Forecast"/>
  </r>
  <r>
    <d v="2024-09-25T00:00:00"/>
    <x v="7"/>
    <n v="4"/>
    <n v="9"/>
    <x v="38"/>
    <x v="4"/>
    <m/>
    <n v="326.54788913564357"/>
    <n v="293.89310022207923"/>
    <n v="261.23831130851488"/>
    <n v="261.23831130851488"/>
    <m/>
    <m/>
    <m/>
    <m/>
    <d v="1899-12-30T00:02:46"/>
    <m/>
    <m/>
    <m/>
    <m/>
    <m/>
    <m/>
    <m/>
    <m/>
    <m/>
    <m/>
    <n v="12.080522986735724"/>
    <n v="869.79765504497209"/>
    <n v="2.265098060012948"/>
    <n v="3"/>
    <n v="203.78336253402509"/>
    <n v="432.08229007657587"/>
    <s v="Forecast"/>
  </r>
  <r>
    <d v="2024-09-26T00:00:00"/>
    <x v="7"/>
    <n v="5"/>
    <n v="9"/>
    <x v="38"/>
    <x v="4"/>
    <m/>
    <n v="322.45481380058169"/>
    <n v="290.20933242052354"/>
    <n v="257.96385104046539"/>
    <n v="257.96385104046539"/>
    <m/>
    <m/>
    <m/>
    <m/>
    <d v="1899-12-30T00:02:46"/>
    <m/>
    <m/>
    <m/>
    <m/>
    <m/>
    <m/>
    <m/>
    <m/>
    <m/>
    <m/>
    <n v="11.929101059189213"/>
    <n v="858.89527626162328"/>
    <n v="2.2367064485979773"/>
    <n v="3"/>
    <n v="208.14662914342321"/>
    <n v="429.8374984695543"/>
    <s v="Forecast"/>
  </r>
  <r>
    <d v="2024-09-27T00:00:00"/>
    <x v="7"/>
    <n v="6"/>
    <n v="9"/>
    <x v="38"/>
    <x v="4"/>
    <m/>
    <n v="314.41939582487947"/>
    <n v="282.97745624239155"/>
    <n v="251.53551665990358"/>
    <n v="251.53551665990358"/>
    <m/>
    <m/>
    <m/>
    <m/>
    <d v="1899-12-30T00:02:46"/>
    <m/>
    <m/>
    <m/>
    <m/>
    <m/>
    <m/>
    <m/>
    <m/>
    <m/>
    <m/>
    <n v="11.631833374140042"/>
    <n v="837.49200293808303"/>
    <n v="2.1809687576512578"/>
    <n v="3"/>
    <n v="195.88656468409249"/>
    <n v="437.48116985032442"/>
    <s v="Forecast"/>
  </r>
  <r>
    <d v="2024-09-28T00:00:00"/>
    <x v="7"/>
    <n v="7"/>
    <n v="9"/>
    <x v="38"/>
    <x v="4"/>
    <m/>
    <n v="322.5516480701657"/>
    <n v="290.29648326314913"/>
    <n v="258.04131845613256"/>
    <n v="258.04131845613256"/>
    <m/>
    <m/>
    <m/>
    <m/>
    <d v="1899-12-30T00:02:46"/>
    <m/>
    <m/>
    <m/>
    <m/>
    <m/>
    <m/>
    <m/>
    <m/>
    <m/>
    <m/>
    <n v="11.932682689672616"/>
    <n v="859.15315365642834"/>
    <n v="2.2373780043136153"/>
    <n v="3"/>
    <n v="205.48176650564361"/>
    <n v="436.97285822991512"/>
    <s v="Forecast"/>
  </r>
  <r>
    <d v="2024-09-29T00:00:00"/>
    <x v="7"/>
    <n v="1"/>
    <n v="9"/>
    <x v="39"/>
    <x v="4"/>
    <m/>
    <n v="235.00108441279741"/>
    <n v="211.50097597151768"/>
    <n v="188.00086753023794"/>
    <n v="188.00086753023794"/>
    <m/>
    <m/>
    <m/>
    <m/>
    <d v="1899-12-30T00:02:46"/>
    <m/>
    <m/>
    <m/>
    <m/>
    <m/>
    <m/>
    <m/>
    <m/>
    <m/>
    <m/>
    <n v="8.6937804953565578"/>
    <n v="625.95219566567221"/>
    <n v="1.6300838428793547"/>
    <n v="2"/>
    <n v="117.837013774585"/>
    <n v="347.70543163676922"/>
    <s v="Forecast"/>
  </r>
  <r>
    <d v="2024-09-30T00:00:00"/>
    <x v="7"/>
    <n v="2"/>
    <n v="9"/>
    <x v="39"/>
    <x v="4"/>
    <m/>
    <n v="336.11566142461862"/>
    <n v="302.50409528215675"/>
    <n v="268.89252913969489"/>
    <n v="268.89252913969489"/>
    <m/>
    <m/>
    <m/>
    <m/>
    <d v="1899-12-30T00:02:46"/>
    <m/>
    <m/>
    <m/>
    <m/>
    <m/>
    <m/>
    <m/>
    <m/>
    <m/>
    <m/>
    <n v="12.434477057250088"/>
    <n v="895.28234812200628"/>
    <n v="2.3314644482343914"/>
    <n v="3"/>
    <n v="229.23195940791581"/>
    <n v="449.03677806481193"/>
    <s v="Forecast"/>
  </r>
  <r>
    <d v="2024-10-01T00:00:00"/>
    <x v="7"/>
    <n v="3"/>
    <n v="10"/>
    <x v="39"/>
    <x v="4"/>
    <m/>
    <n v="321.44716940212822"/>
    <n v="289.30245246191544"/>
    <n v="257.15773552170259"/>
    <n v="257.15773552170259"/>
    <m/>
    <m/>
    <m/>
    <m/>
    <d v="1899-12-30T00:02:46"/>
    <m/>
    <m/>
    <m/>
    <m/>
    <m/>
    <m/>
    <m/>
    <m/>
    <m/>
    <m/>
    <n v="11.891820600647405"/>
    <n v="856.21108324661316"/>
    <n v="2.2297163626213883"/>
    <n v="3"/>
    <n v="207.38622795944639"/>
    <n v="431.64656253300438"/>
    <s v="Forecast"/>
  </r>
  <r>
    <d v="2024-10-02T00:00:00"/>
    <x v="7"/>
    <n v="4"/>
    <n v="10"/>
    <x v="39"/>
    <x v="4"/>
    <m/>
    <n v="335.19107356039331"/>
    <n v="301.67196620435396"/>
    <n v="268.15285884831468"/>
    <n v="268.15285884831468"/>
    <m/>
    <m/>
    <m/>
    <m/>
    <d v="1899-12-30T00:02:46"/>
    <m/>
    <m/>
    <m/>
    <m/>
    <m/>
    <m/>
    <m/>
    <m/>
    <m/>
    <m/>
    <n v="12.400270225812147"/>
    <n v="892.81945625847459"/>
    <n v="2.3250506673397777"/>
    <n v="3"/>
    <n v="227.87857775702619"/>
    <n v="448.36324624244497"/>
    <s v="Forecast"/>
  </r>
  <r>
    <d v="2024-10-03T00:00:00"/>
    <x v="7"/>
    <n v="5"/>
    <n v="10"/>
    <x v="39"/>
    <x v="4"/>
    <m/>
    <n v="332.0549106844918"/>
    <n v="298.84941961604261"/>
    <n v="265.64392854759348"/>
    <n v="265.64392854759348"/>
    <m/>
    <m/>
    <m/>
    <m/>
    <d v="1899-12-30T00:02:46"/>
    <m/>
    <m/>
    <m/>
    <m/>
    <m/>
    <m/>
    <m/>
    <m/>
    <m/>
    <m/>
    <n v="12.284247832159702"/>
    <n v="884.46584391549845"/>
    <n v="2.3032964685299437"/>
    <n v="3"/>
    <n v="227.02457309335631"/>
    <n v="441.11402017715818"/>
    <s v="Forecast"/>
  </r>
  <r>
    <d v="2024-10-04T00:00:00"/>
    <x v="7"/>
    <n v="6"/>
    <n v="10"/>
    <x v="39"/>
    <x v="4"/>
    <m/>
    <n v="324.90878319728557"/>
    <n v="292.41790487755702"/>
    <n v="259.92702655782847"/>
    <n v="259.92702655782847"/>
    <m/>
    <m/>
    <m/>
    <m/>
    <d v="1899-12-30T00:02:46"/>
    <m/>
    <m/>
    <m/>
    <m/>
    <m/>
    <m/>
    <m/>
    <m/>
    <m/>
    <m/>
    <n v="12.019878214879418"/>
    <n v="865.43123147131803"/>
    <n v="2.2537271652898907"/>
    <n v="3"/>
    <n v="214.9780842474743"/>
    <n v="445.47503757200781"/>
    <s v="Forecast"/>
  </r>
  <r>
    <d v="2024-10-05T00:00:00"/>
    <x v="7"/>
    <n v="7"/>
    <n v="10"/>
    <x v="39"/>
    <x v="4"/>
    <m/>
    <n v="333.84521709382068"/>
    <n v="300.46069538443862"/>
    <n v="267.07617367505657"/>
    <n v="267.07617367505657"/>
    <m/>
    <m/>
    <m/>
    <m/>
    <d v="1899-12-30T00:02:46"/>
    <m/>
    <m/>
    <m/>
    <m/>
    <m/>
    <m/>
    <m/>
    <m/>
    <m/>
    <m/>
    <n v="12.350476794404175"/>
    <n v="889.23432919710046"/>
    <n v="2.3157143989507825"/>
    <n v="3"/>
    <n v="217.41245602670651"/>
    <n v="450.83442430962612"/>
    <s v="Forecast"/>
  </r>
  <r>
    <d v="2024-10-06T00:00:00"/>
    <x v="7"/>
    <n v="1"/>
    <n v="10"/>
    <x v="40"/>
    <x v="4"/>
    <m/>
    <n v="246.99755304410431"/>
    <n v="222.29779773969389"/>
    <n v="197.59804243528345"/>
    <n v="197.59804243528345"/>
    <m/>
    <m/>
    <m/>
    <m/>
    <d v="1899-12-30T00:02:46"/>
    <m/>
    <m/>
    <m/>
    <m/>
    <m/>
    <m/>
    <m/>
    <m/>
    <m/>
    <m/>
    <n v="9.1375793761551343"/>
    <n v="657.90571508316964"/>
    <n v="1.7132961330290877"/>
    <n v="2"/>
    <n v="133.8901393917624"/>
    <n v="352.27596615620428"/>
    <s v="Forecast"/>
  </r>
  <r>
    <d v="2024-10-07T00:00:00"/>
    <x v="7"/>
    <n v="2"/>
    <n v="10"/>
    <x v="40"/>
    <x v="4"/>
    <m/>
    <n v="348.6991608534812"/>
    <n v="313.82924476813309"/>
    <n v="278.95932868278499"/>
    <n v="278.95932868278499"/>
    <m/>
    <m/>
    <m/>
    <m/>
    <d v="1899-12-30T00:02:46"/>
    <m/>
    <m/>
    <m/>
    <m/>
    <m/>
    <m/>
    <m/>
    <m/>
    <m/>
    <m/>
    <n v="12.89998952100955"/>
    <n v="928.79924551268755"/>
    <n v="2.4187480351892905"/>
    <n v="3"/>
    <n v="235.96517131477299"/>
    <n v="455.40486886749028"/>
    <s v="Forecast"/>
  </r>
  <r>
    <d v="2024-10-08T00:00:00"/>
    <x v="7"/>
    <n v="3"/>
    <n v="10"/>
    <x v="40"/>
    <x v="4"/>
    <m/>
    <n v="334.48907039693472"/>
    <n v="301.04016335724128"/>
    <n v="267.59125631754779"/>
    <n v="267.59125631754779"/>
    <m/>
    <m/>
    <m/>
    <m/>
    <d v="1899-12-30T00:02:46"/>
    <m/>
    <m/>
    <m/>
    <m/>
    <m/>
    <m/>
    <m/>
    <m/>
    <m/>
    <m/>
    <n v="12.374291081736379"/>
    <n v="890.94895788501924"/>
    <n v="2.3201795778255709"/>
    <n v="3"/>
    <n v="232.82815712659641"/>
    <n v="452.35982828991479"/>
    <s v="Forecast"/>
  </r>
  <r>
    <d v="2024-10-09T00:00:00"/>
    <x v="7"/>
    <n v="4"/>
    <n v="10"/>
    <x v="40"/>
    <x v="4"/>
    <m/>
    <n v="348.55201692120119"/>
    <n v="313.6968152290811"/>
    <n v="278.84161353696095"/>
    <n v="278.84161353696095"/>
    <m/>
    <m/>
    <m/>
    <m/>
    <d v="1899-12-30T00:02:46"/>
    <m/>
    <m/>
    <m/>
    <m/>
    <m/>
    <m/>
    <m/>
    <m/>
    <m/>
    <m/>
    <n v="12.894542419128557"/>
    <n v="928.4070541772561"/>
    <n v="2.4177267035866046"/>
    <n v="3"/>
    <n v="231.01544202094561"/>
    <n v="456.61370731025607"/>
    <s v="Forecast"/>
  </r>
  <r>
    <d v="2024-10-10T00:00:00"/>
    <x v="7"/>
    <n v="5"/>
    <n v="10"/>
    <x v="40"/>
    <x v="4"/>
    <m/>
    <n v="345.5870039229672"/>
    <n v="311.02830353067048"/>
    <n v="276.46960313837377"/>
    <n v="276.46960313837377"/>
    <m/>
    <m/>
    <m/>
    <m/>
    <d v="1899-12-30T00:02:46"/>
    <m/>
    <m/>
    <m/>
    <m/>
    <m/>
    <m/>
    <m/>
    <m/>
    <m/>
    <m/>
    <n v="12.784851097636555"/>
    <n v="920.50927902983187"/>
    <n v="2.397159580806854"/>
    <n v="3"/>
    <n v="235.69617790026399"/>
    <n v="460.13013001487758"/>
    <s v="Forecast"/>
  </r>
  <r>
    <d v="2024-10-11T00:00:00"/>
    <x v="7"/>
    <n v="6"/>
    <n v="10"/>
    <x v="40"/>
    <x v="4"/>
    <m/>
    <n v="338.4579242681902"/>
    <n v="304.61213184137119"/>
    <n v="270.76633941455219"/>
    <n v="270.76633941455219"/>
    <m/>
    <m/>
    <m/>
    <m/>
    <d v="1899-12-30T00:02:46"/>
    <m/>
    <m/>
    <m/>
    <m/>
    <m/>
    <m/>
    <m/>
    <m/>
    <m/>
    <m/>
    <n v="12.521111834044374"/>
    <n v="901.52005205119497"/>
    <n v="2.3477084688833201"/>
    <n v="3"/>
    <n v="223.26836109950841"/>
    <n v="458.27994927611252"/>
    <s v="Forecast"/>
  </r>
  <r>
    <d v="2024-10-12T00:00:00"/>
    <x v="7"/>
    <n v="7"/>
    <n v="10"/>
    <x v="40"/>
    <x v="4"/>
    <m/>
    <n v="347.25350547821648"/>
    <n v="312.52815493039486"/>
    <n v="277.80280438257319"/>
    <n v="277.80280438257319"/>
    <m/>
    <m/>
    <m/>
    <m/>
    <d v="1899-12-30T00:02:46"/>
    <m/>
    <m/>
    <m/>
    <m/>
    <m/>
    <m/>
    <m/>
    <m/>
    <m/>
    <m/>
    <n v="12.846498818646102"/>
    <n v="924.94791494251933"/>
    <n v="2.4087185284961441"/>
    <n v="3"/>
    <n v="233.27427259105849"/>
    <n v="462.65449564723468"/>
    <s v="Forecast"/>
  </r>
  <r>
    <d v="2024-10-13T00:00:00"/>
    <x v="7"/>
    <n v="1"/>
    <n v="10"/>
    <x v="41"/>
    <x v="4"/>
    <m/>
    <n v="260.10574865866738"/>
    <n v="234.09517379280064"/>
    <n v="208.08459892693392"/>
    <n v="208.08459892693392"/>
    <m/>
    <m/>
    <m/>
    <m/>
    <d v="1899-12-30T00:02:46"/>
    <m/>
    <m/>
    <m/>
    <m/>
    <m/>
    <m/>
    <m/>
    <m/>
    <m/>
    <m/>
    <n v="9.6225023919997827"/>
    <n v="692.8201722239844"/>
    <n v="1.8042191984999594"/>
    <n v="2"/>
    <n v="145.7043862879911"/>
    <n v="377.40361750516712"/>
    <s v="Forecast"/>
  </r>
  <r>
    <d v="2024-10-14T00:00:00"/>
    <x v="7"/>
    <n v="2"/>
    <n v="10"/>
    <x v="41"/>
    <x v="4"/>
    <m/>
    <n v="361.34915207586079"/>
    <n v="325.21423686827472"/>
    <n v="289.07932166068866"/>
    <n v="289.07932166068866"/>
    <m/>
    <m/>
    <m/>
    <m/>
    <d v="1899-12-30T00:02:46"/>
    <m/>
    <m/>
    <m/>
    <m/>
    <m/>
    <m/>
    <m/>
    <m/>
    <m/>
    <m/>
    <n v="13.367957342152966"/>
    <n v="962.49292863501341"/>
    <n v="2.5064920016536809"/>
    <n v="3"/>
    <n v="247.37026595161419"/>
    <n v="474.3539584363379"/>
    <s v="Forecast"/>
  </r>
  <r>
    <d v="2024-10-15T00:00:00"/>
    <x v="7"/>
    <n v="3"/>
    <n v="10"/>
    <x v="41"/>
    <x v="4"/>
    <m/>
    <n v="346.52631385655133"/>
    <n v="311.8736824708962"/>
    <n v="277.22105108524107"/>
    <n v="277.22105108524107"/>
    <m/>
    <m/>
    <m/>
    <m/>
    <d v="1899-12-30T00:02:46"/>
    <m/>
    <m/>
    <m/>
    <m/>
    <m/>
    <m/>
    <m/>
    <m/>
    <m/>
    <m/>
    <n v="12.819590841880418"/>
    <n v="923.01054061539003"/>
    <n v="2.4036732828525782"/>
    <n v="3"/>
    <n v="235.8817650090165"/>
    <n v="465.13865863221298"/>
    <s v="Forecast"/>
  </r>
  <r>
    <d v="2024-10-16T00:00:00"/>
    <x v="7"/>
    <n v="4"/>
    <n v="10"/>
    <x v="41"/>
    <x v="4"/>
    <m/>
    <n v="359.82791355494749"/>
    <n v="323.84512219945276"/>
    <n v="287.86233084395798"/>
    <n v="287.86233084395798"/>
    <m/>
    <m/>
    <m/>
    <m/>
    <d v="1899-12-30T00:02:46"/>
    <m/>
    <m/>
    <m/>
    <m/>
    <m/>
    <m/>
    <m/>
    <m/>
    <m/>
    <m/>
    <n v="13.311675762306932"/>
    <n v="958.44065488609908"/>
    <n v="2.4959392054325495"/>
    <n v="3"/>
    <n v="244.4315611264644"/>
    <n v="476.5903979536032"/>
    <s v="Forecast"/>
  </r>
  <r>
    <d v="2024-10-17T00:00:00"/>
    <x v="7"/>
    <n v="5"/>
    <n v="10"/>
    <x v="41"/>
    <x v="4"/>
    <m/>
    <n v="355.96117801264921"/>
    <n v="320.36506021138428"/>
    <n v="284.76894241011939"/>
    <n v="284.76894241011939"/>
    <m/>
    <m/>
    <m/>
    <m/>
    <d v="1899-12-30T00:02:46"/>
    <m/>
    <m/>
    <m/>
    <m/>
    <m/>
    <m/>
    <m/>
    <m/>
    <m/>
    <m/>
    <n v="13.168625628834517"/>
    <n v="948.14104527608515"/>
    <n v="2.4691173054064719"/>
    <n v="3"/>
    <n v="243.07738133148129"/>
    <n v="470.67461479604009"/>
    <s v="Forecast"/>
  </r>
  <r>
    <d v="2024-10-18T00:00:00"/>
    <x v="7"/>
    <n v="6"/>
    <n v="10"/>
    <x v="41"/>
    <x v="4"/>
    <m/>
    <n v="347.80037470798197"/>
    <n v="313.02033723718381"/>
    <n v="278.24029976638559"/>
    <n v="278.24029976638559"/>
    <m/>
    <m/>
    <m/>
    <m/>
    <d v="1899-12-30T00:02:46"/>
    <m/>
    <m/>
    <m/>
    <m/>
    <m/>
    <m/>
    <m/>
    <m/>
    <m/>
    <m/>
    <n v="12.866718467853282"/>
    <n v="926.40372968543625"/>
    <n v="2.4125097127224904"/>
    <n v="3"/>
    <n v="226.35975774375581"/>
    <n v="464.14246558453601"/>
    <s v="Forecast"/>
  </r>
  <r>
    <d v="2024-10-19T00:00:00"/>
    <x v="7"/>
    <n v="7"/>
    <n v="10"/>
    <x v="41"/>
    <x v="4"/>
    <m/>
    <n v="355.44660126832463"/>
    <n v="319.90194114149216"/>
    <n v="284.35728101465969"/>
    <n v="284.35728101465969"/>
    <m/>
    <m/>
    <m/>
    <m/>
    <d v="1899-12-30T00:02:46"/>
    <m/>
    <m/>
    <m/>
    <m/>
    <m/>
    <m/>
    <m/>
    <m/>
    <m/>
    <m/>
    <n v="13.149585317067947"/>
    <n v="946.77014282889206"/>
    <n v="2.4655472469502397"/>
    <n v="3"/>
    <n v="236.33670267230281"/>
    <n v="464.02469149362167"/>
    <s v="Forecast"/>
  </r>
  <r>
    <d v="2024-10-20T00:00:00"/>
    <x v="7"/>
    <n v="1"/>
    <n v="10"/>
    <x v="42"/>
    <x v="4"/>
    <m/>
    <n v="267.04604351651568"/>
    <n v="240.34143916486411"/>
    <n v="213.63683481321254"/>
    <n v="213.63683481321254"/>
    <m/>
    <m/>
    <m/>
    <m/>
    <d v="1899-12-30T00:02:46"/>
    <m/>
    <m/>
    <m/>
    <m/>
    <m/>
    <m/>
    <m/>
    <m/>
    <m/>
    <m/>
    <n v="9.8792455374317623"/>
    <n v="711.30567869508684"/>
    <n v="1.8523585382684553"/>
    <n v="2"/>
    <n v="157.9184992530559"/>
    <n v="374.27825747628032"/>
    <s v="Forecast"/>
  </r>
  <r>
    <d v="2024-10-21T00:00:00"/>
    <x v="7"/>
    <n v="2"/>
    <n v="10"/>
    <x v="42"/>
    <x v="4"/>
    <m/>
    <n v="366.94899604498852"/>
    <n v="330.25409644048966"/>
    <n v="293.5591968359908"/>
    <n v="293.5591968359908"/>
    <m/>
    <m/>
    <m/>
    <m/>
    <d v="1899-12-30T00:02:46"/>
    <m/>
    <m/>
    <m/>
    <m/>
    <m/>
    <m/>
    <m/>
    <m/>
    <m/>
    <m/>
    <n v="13.575107505020233"/>
    <n v="977.40774036145672"/>
    <n v="2.5453326571912935"/>
    <n v="3"/>
    <n v="266.60462419451648"/>
    <n v="488.12411309842321"/>
    <s v="Forecast"/>
  </r>
  <r>
    <d v="2024-10-22T00:00:00"/>
    <x v="7"/>
    <n v="3"/>
    <n v="10"/>
    <x v="42"/>
    <x v="4"/>
    <m/>
    <n v="350.71524279909829"/>
    <n v="315.6437185191885"/>
    <n v="280.57219423927864"/>
    <n v="280.57219423927864"/>
    <m/>
    <m/>
    <m/>
    <m/>
    <d v="1899-12-30T00:02:46"/>
    <m/>
    <m/>
    <m/>
    <m/>
    <m/>
    <m/>
    <m/>
    <m/>
    <m/>
    <m/>
    <n v="12.974545693241746"/>
    <n v="934.16728991340574"/>
    <n v="2.4327273174828274"/>
    <n v="3"/>
    <n v="251.55715772020989"/>
    <n v="472.77432889782051"/>
    <s v="Forecast"/>
  </r>
  <r>
    <d v="2024-10-23T00:00:00"/>
    <x v="7"/>
    <n v="4"/>
    <n v="10"/>
    <x v="42"/>
    <x v="4"/>
    <m/>
    <n v="362.55380042928351"/>
    <n v="326.29842038635519"/>
    <n v="290.04304034342681"/>
    <n v="290.04304034342681"/>
    <m/>
    <m/>
    <m/>
    <m/>
    <d v="1899-12-30T00:02:46"/>
    <m/>
    <m/>
    <m/>
    <m/>
    <m/>
    <m/>
    <m/>
    <m/>
    <m/>
    <m/>
    <n v="13.412505935153254"/>
    <n v="965.70042733103423"/>
    <n v="2.514844862841235"/>
    <n v="3"/>
    <n v="248.7041086043651"/>
    <n v="477.70555790714008"/>
    <s v="Forecast"/>
  </r>
  <r>
    <d v="2024-10-24T00:00:00"/>
    <x v="7"/>
    <n v="5"/>
    <n v="10"/>
    <x v="42"/>
    <x v="4"/>
    <m/>
    <n v="357.19113280313462"/>
    <n v="321.47201952282114"/>
    <n v="285.75290624250772"/>
    <n v="285.75290624250772"/>
    <m/>
    <m/>
    <m/>
    <m/>
    <d v="1899-12-30T00:02:46"/>
    <m/>
    <m/>
    <m/>
    <m/>
    <m/>
    <m/>
    <m/>
    <m/>
    <m/>
    <m/>
    <n v="13.21411505658369"/>
    <n v="951.41628407402561"/>
    <n v="2.4776465731094417"/>
    <n v="3"/>
    <n v="241.02014605398199"/>
    <n v="474.01947510038292"/>
    <s v="Forecast"/>
  </r>
  <r>
    <d v="2024-10-25T00:00:00"/>
    <x v="7"/>
    <n v="6"/>
    <n v="10"/>
    <x v="42"/>
    <x v="4"/>
    <m/>
    <n v="347.52138279582852"/>
    <n v="312.76924451624569"/>
    <n v="278.01710623666281"/>
    <n v="278.01710623666281"/>
    <m/>
    <m/>
    <m/>
    <m/>
    <d v="1899-12-30T00:02:46"/>
    <m/>
    <m/>
    <m/>
    <m/>
    <m/>
    <m/>
    <m/>
    <m/>
    <m/>
    <m/>
    <n v="12.85638587420004"/>
    <n v="925.65978294240279"/>
    <n v="2.4105723514125073"/>
    <n v="3"/>
    <n v="222.9797081590564"/>
    <n v="451.7589535755987"/>
    <s v="Forecast"/>
  </r>
  <r>
    <d v="2024-10-26T00:00:00"/>
    <x v="7"/>
    <n v="7"/>
    <n v="10"/>
    <x v="42"/>
    <x v="4"/>
    <m/>
    <n v="353.66589288834501"/>
    <n v="318.29930359951049"/>
    <n v="282.93271431067603"/>
    <n v="282.93271431067603"/>
    <m/>
    <m/>
    <m/>
    <m/>
    <d v="1899-12-30T00:02:46"/>
    <m/>
    <m/>
    <m/>
    <m/>
    <m/>
    <m/>
    <m/>
    <m/>
    <m/>
    <m/>
    <n v="13.083697717519405"/>
    <n v="942.0262356613971"/>
    <n v="2.4531933220348883"/>
    <n v="3"/>
    <n v="242.23779171717089"/>
    <n v="470.96381726885937"/>
    <s v="Forecast"/>
  </r>
  <r>
    <d v="2024-10-27T00:00:00"/>
    <x v="7"/>
    <n v="1"/>
    <n v="10"/>
    <x v="43"/>
    <x v="4"/>
    <m/>
    <n v="263.7911897576721"/>
    <n v="237.4120707819049"/>
    <n v="211.0329518061377"/>
    <n v="211.0329518061377"/>
    <m/>
    <m/>
    <m/>
    <m/>
    <d v="1899-12-30T00:02:46"/>
    <m/>
    <m/>
    <m/>
    <m/>
    <m/>
    <m/>
    <m/>
    <m/>
    <m/>
    <m/>
    <n v="9.7588258499999121"/>
    <n v="702.63546119999364"/>
    <n v="1.8297798468749835"/>
    <n v="2"/>
    <n v="150.15213085390229"/>
    <n v="371.6420164244401"/>
    <s v="Forecast"/>
  </r>
  <r>
    <d v="2024-10-28T00:00:00"/>
    <x v="7"/>
    <n v="2"/>
    <n v="10"/>
    <x v="43"/>
    <x v="4"/>
    <m/>
    <n v="362.2677296102047"/>
    <n v="326.04095664918424"/>
    <n v="289.81418368816378"/>
    <n v="289.81418368816378"/>
    <m/>
    <m/>
    <m/>
    <m/>
    <d v="1899-12-30T00:02:46"/>
    <m/>
    <m/>
    <m/>
    <m/>
    <m/>
    <m/>
    <m/>
    <m/>
    <m/>
    <m/>
    <n v="13.401916023763565"/>
    <n v="964.93795371097667"/>
    <n v="2.5128592544556683"/>
    <n v="3"/>
    <n v="253.51763372191121"/>
    <n v="471.39546606737468"/>
    <s v="Forecast"/>
  </r>
  <r>
    <d v="2024-10-29T00:00:00"/>
    <x v="7"/>
    <n v="3"/>
    <n v="10"/>
    <x v="43"/>
    <x v="4"/>
    <m/>
    <n v="344.67500449014977"/>
    <n v="310.20750404113483"/>
    <n v="275.74000359211982"/>
    <n v="275.74000359211982"/>
    <m/>
    <m/>
    <m/>
    <m/>
    <d v="1899-12-30T00:02:46"/>
    <m/>
    <m/>
    <m/>
    <m/>
    <m/>
    <m/>
    <m/>
    <m/>
    <m/>
    <m/>
    <n v="12.751080806782886"/>
    <n v="918.07781808836774"/>
    <n v="2.390827651271791"/>
    <n v="3"/>
    <n v="233.98223854116989"/>
    <n v="456.12329190080538"/>
    <s v="Forecast"/>
  </r>
  <r>
    <d v="2024-10-30T00:00:00"/>
    <x v="7"/>
    <n v="4"/>
    <n v="10"/>
    <x v="43"/>
    <x v="4"/>
    <m/>
    <n v="355.24101505664981"/>
    <n v="319.71691355098483"/>
    <n v="284.19281204531984"/>
    <n v="284.19281204531984"/>
    <m/>
    <m/>
    <m/>
    <m/>
    <d v="1899-12-30T00:02:46"/>
    <m/>
    <m/>
    <m/>
    <m/>
    <m/>
    <m/>
    <m/>
    <m/>
    <m/>
    <m/>
    <n v="13.141964170888288"/>
    <n v="946.22142030395673"/>
    <n v="2.4641182820415541"/>
    <n v="3"/>
    <n v="245.293342556873"/>
    <n v="472.10833876138071"/>
    <s v="Forecast"/>
  </r>
  <r>
    <d v="2024-10-31T00:00:00"/>
    <x v="7"/>
    <n v="5"/>
    <n v="10"/>
    <x v="43"/>
    <x v="4"/>
    <m/>
    <n v="348.71022098078578"/>
    <n v="313.83919888270719"/>
    <n v="278.96817678462861"/>
    <n v="278.96817678462861"/>
    <m/>
    <m/>
    <m/>
    <m/>
    <d v="1899-12-30T00:02:46"/>
    <m/>
    <m/>
    <m/>
    <m/>
    <m/>
    <m/>
    <m/>
    <m/>
    <m/>
    <m/>
    <n v="12.900359865679999"/>
    <n v="928.82591032895982"/>
    <n v="2.4188174748149995"/>
    <n v="3"/>
    <n v="232.5131816996153"/>
    <n v="460.85417910963042"/>
    <s v="Forecast"/>
  </r>
  <r>
    <d v="2024-11-01T00:00:00"/>
    <x v="7"/>
    <n v="6"/>
    <n v="11"/>
    <x v="43"/>
    <x v="4"/>
    <m/>
    <n v="337.99351787062233"/>
    <n v="304.19416608356011"/>
    <n v="270.39481429649788"/>
    <n v="270.39481429649788"/>
    <m/>
    <m/>
    <m/>
    <m/>
    <d v="1899-12-30T00:02:46"/>
    <m/>
    <m/>
    <m/>
    <m/>
    <m/>
    <m/>
    <m/>
    <m/>
    <m/>
    <m/>
    <n v="12.503900094829513"/>
    <n v="900.28080682772497"/>
    <n v="2.3444812677805338"/>
    <n v="3"/>
    <n v="227.74390533887919"/>
    <n v="452.86759611405398"/>
    <s v="Forecast"/>
  </r>
  <r>
    <d v="2024-11-02T00:00:00"/>
    <x v="7"/>
    <n v="7"/>
    <n v="11"/>
    <x v="43"/>
    <x v="4"/>
    <m/>
    <n v="343.22751510694673"/>
    <n v="308.90476359625205"/>
    <n v="274.58201208555738"/>
    <n v="274.58201208555738"/>
    <m/>
    <m/>
    <m/>
    <m/>
    <d v="1899-12-30T00:02:46"/>
    <m/>
    <m/>
    <m/>
    <m/>
    <m/>
    <m/>
    <m/>
    <m/>
    <m/>
    <m/>
    <n v="12.697528569401211"/>
    <n v="914.22205699688709"/>
    <n v="2.3807866067627268"/>
    <n v="3"/>
    <n v="225.81597475693289"/>
    <n v="456.39045358375148"/>
    <s v="Forecast"/>
  </r>
  <r>
    <d v="2024-11-03T00:00:00"/>
    <x v="7"/>
    <n v="1"/>
    <n v="11"/>
    <x v="44"/>
    <x v="4"/>
    <m/>
    <n v="252.59229266480429"/>
    <n v="227.33306339832387"/>
    <n v="202.07383413184345"/>
    <n v="202.07383413184345"/>
    <m/>
    <m/>
    <m/>
    <m/>
    <d v="1899-12-30T00:02:46"/>
    <m/>
    <m/>
    <m/>
    <m/>
    <m/>
    <m/>
    <m/>
    <m/>
    <m/>
    <m/>
    <n v="9.3445239110543366"/>
    <n v="672.80572159591225"/>
    <n v="1.7520982333226882"/>
    <n v="2"/>
    <n v="145.02491370317239"/>
    <n v="362.71229751430627"/>
    <s v="Forecast"/>
  </r>
  <r>
    <d v="2024-11-04T00:00:00"/>
    <x v="7"/>
    <n v="2"/>
    <n v="11"/>
    <x v="44"/>
    <x v="4"/>
    <m/>
    <n v="350.46993662943208"/>
    <n v="315.4229429664889"/>
    <n v="280.37594930354567"/>
    <n v="280.37594930354567"/>
    <m/>
    <m/>
    <m/>
    <m/>
    <d v="1899-12-30T00:02:46"/>
    <m/>
    <m/>
    <m/>
    <m/>
    <m/>
    <m/>
    <m/>
    <m/>
    <m/>
    <m/>
    <n v="12.965457342510678"/>
    <n v="933.51292866076869"/>
    <n v="2.431023251720752"/>
    <n v="3"/>
    <n v="239.97059762346251"/>
    <n v="457.11407253029779"/>
    <s v="Forecast"/>
  </r>
  <r>
    <d v="2024-11-05T00:00:00"/>
    <x v="7"/>
    <n v="3"/>
    <n v="11"/>
    <x v="44"/>
    <x v="4"/>
    <m/>
    <n v="332.44945662996832"/>
    <n v="299.2045109669715"/>
    <n v="265.95956530397467"/>
    <n v="265.95956530397467"/>
    <m/>
    <m/>
    <m/>
    <m/>
    <d v="1899-12-30T00:02:46"/>
    <m/>
    <m/>
    <m/>
    <m/>
    <m/>
    <m/>
    <m/>
    <m/>
    <m/>
    <m/>
    <n v="12.298798529001049"/>
    <n v="885.51349408807539"/>
    <n v="2.3060247241876963"/>
    <n v="3"/>
    <n v="209.77828734079719"/>
    <n v="438.439289660214"/>
    <s v="Forecast"/>
  </r>
  <r>
    <d v="2024-11-06T00:00:00"/>
    <x v="7"/>
    <n v="4"/>
    <n v="11"/>
    <x v="44"/>
    <x v="4"/>
    <m/>
    <n v="342.76609368388603"/>
    <n v="308.48948431549741"/>
    <n v="274.21287494710884"/>
    <n v="274.21287494710884"/>
    <m/>
    <m/>
    <m/>
    <m/>
    <d v="1899-12-30T00:02:46"/>
    <m/>
    <m/>
    <m/>
    <m/>
    <m/>
    <m/>
    <m/>
    <m/>
    <m/>
    <m/>
    <n v="12.680457050544961"/>
    <n v="912.99290763923716"/>
    <n v="2.3775856969771803"/>
    <n v="3"/>
    <n v="224.4702962812753"/>
    <n v="454.2504566130936"/>
    <s v="Forecast"/>
  </r>
  <r>
    <d v="2024-11-07T00:00:00"/>
    <x v="7"/>
    <n v="5"/>
    <n v="11"/>
    <x v="44"/>
    <x v="4"/>
    <m/>
    <n v="336.16913257399563"/>
    <n v="302.55221931659605"/>
    <n v="268.93530605919653"/>
    <n v="268.93530605919653"/>
    <m/>
    <m/>
    <m/>
    <m/>
    <d v="1899-12-30T00:02:46"/>
    <m/>
    <m/>
    <m/>
    <m/>
    <m/>
    <m/>
    <m/>
    <m/>
    <m/>
    <m/>
    <n v="12.436405714152833"/>
    <n v="895.42121141900395"/>
    <n v="2.3318260714036563"/>
    <n v="3"/>
    <n v="225.09487060681741"/>
    <n v="448.49692921507199"/>
    <s v="Forecast"/>
  </r>
  <r>
    <d v="2024-11-08T00:00:00"/>
    <x v="7"/>
    <n v="6"/>
    <n v="11"/>
    <x v="44"/>
    <x v="4"/>
    <m/>
    <n v="325.57177056422648"/>
    <n v="293.01459350780385"/>
    <n v="260.45741645138122"/>
    <n v="260.45741645138122"/>
    <m/>
    <m/>
    <m/>
    <m/>
    <d v="1899-12-30T00:02:46"/>
    <m/>
    <m/>
    <m/>
    <m/>
    <m/>
    <m/>
    <m/>
    <m/>
    <m/>
    <m/>
    <n v="12.044361679769271"/>
    <n v="867.19404094338745"/>
    <n v="2.258317814956738"/>
    <n v="3"/>
    <n v="214.6298415920144"/>
    <n v="429.70273279605641"/>
    <s v="Forecast"/>
  </r>
  <r>
    <d v="2024-11-09T00:00:00"/>
    <x v="7"/>
    <n v="7"/>
    <n v="11"/>
    <x v="44"/>
    <x v="4"/>
    <m/>
    <n v="331.1103195735646"/>
    <n v="297.99928761620816"/>
    <n v="264.88825565885168"/>
    <n v="264.88825565885168"/>
    <m/>
    <m/>
    <m/>
    <m/>
    <d v="1899-12-30T00:02:46"/>
    <m/>
    <m/>
    <m/>
    <m/>
    <m/>
    <m/>
    <m/>
    <m/>
    <m/>
    <m/>
    <n v="12.249257534777048"/>
    <n v="881.9465425039474"/>
    <n v="2.2967357877706962"/>
    <n v="3"/>
    <n v="216.8723276855257"/>
    <n v="445.49284922610252"/>
    <s v="Forecast"/>
  </r>
  <r>
    <d v="2024-11-10T00:00:00"/>
    <x v="7"/>
    <n v="1"/>
    <n v="11"/>
    <x v="45"/>
    <x v="4"/>
    <m/>
    <n v="240.96192241451439"/>
    <n v="216.86573017306296"/>
    <n v="192.76953793161152"/>
    <n v="192.76953793161152"/>
    <m/>
    <m/>
    <m/>
    <m/>
    <d v="1899-12-30T00:02:46"/>
    <m/>
    <m/>
    <m/>
    <m/>
    <m/>
    <m/>
    <m/>
    <m/>
    <m/>
    <m/>
    <n v="8.9142636253682266"/>
    <n v="641.82698102651227"/>
    <n v="1.6714244297565424"/>
    <n v="2"/>
    <n v="131.36580846803579"/>
    <n v="357.86788685036481"/>
    <s v="Forecast"/>
  </r>
  <r>
    <d v="2024-11-11T00:00:00"/>
    <x v="7"/>
    <n v="2"/>
    <n v="11"/>
    <x v="45"/>
    <x v="4"/>
    <m/>
    <n v="339.50308502515543"/>
    <n v="305.55277652263987"/>
    <n v="271.60246802012438"/>
    <n v="271.60246802012438"/>
    <m/>
    <m/>
    <m/>
    <m/>
    <d v="1899-12-30T00:02:46"/>
    <m/>
    <m/>
    <m/>
    <m/>
    <m/>
    <m/>
    <m/>
    <m/>
    <m/>
    <m/>
    <n v="12.559743986929721"/>
    <n v="904.3015670589399"/>
    <n v="2.3549519975493225"/>
    <n v="3"/>
    <n v="224.2112318439118"/>
    <n v="458.1216241548729"/>
    <s v="Forecast"/>
  </r>
  <r>
    <d v="2024-11-12T00:00:00"/>
    <x v="7"/>
    <n v="3"/>
    <n v="11"/>
    <x v="45"/>
    <x v="4"/>
    <m/>
    <n v="322.31462975039932"/>
    <n v="290.08316677535942"/>
    <n v="257.85170380031946"/>
    <n v="257.85170380031946"/>
    <m/>
    <m/>
    <m/>
    <m/>
    <d v="1899-12-30T00:02:46"/>
    <m/>
    <m/>
    <m/>
    <m/>
    <m/>
    <m/>
    <m/>
    <m/>
    <m/>
    <m/>
    <n v="11.923866113538272"/>
    <n v="858.51836017475557"/>
    <n v="2.235724896288426"/>
    <n v="3"/>
    <n v="207.57024513890309"/>
    <n v="436.61693833515352"/>
    <s v="Forecast"/>
  </r>
  <r>
    <d v="2024-11-13T00:00:00"/>
    <x v="7"/>
    <n v="4"/>
    <n v="11"/>
    <x v="45"/>
    <x v="4"/>
    <m/>
    <n v="333.6210795082518"/>
    <n v="300.25897155742661"/>
    <n v="266.89686360660147"/>
    <n v="266.89686360660147"/>
    <m/>
    <m/>
    <m/>
    <m/>
    <d v="1899-12-30T00:02:46"/>
    <m/>
    <m/>
    <m/>
    <m/>
    <m/>
    <m/>
    <m/>
    <m/>
    <m/>
    <m/>
    <n v="12.342142854118432"/>
    <n v="888.63428549652701"/>
    <n v="2.3141517851472058"/>
    <n v="3"/>
    <n v="214.81767478586889"/>
    <n v="439.3747470341807"/>
    <s v="Forecast"/>
  </r>
  <r>
    <d v="2024-11-14T00:00:00"/>
    <x v="7"/>
    <n v="5"/>
    <n v="11"/>
    <x v="45"/>
    <x v="4"/>
    <m/>
    <n v="328.15858774805878"/>
    <n v="295.34272897325292"/>
    <n v="262.52687019844706"/>
    <n v="262.52687019844706"/>
    <m/>
    <m/>
    <m/>
    <m/>
    <d v="1899-12-30T00:02:46"/>
    <m/>
    <m/>
    <m/>
    <m/>
    <m/>
    <m/>
    <m/>
    <m/>
    <m/>
    <m/>
    <n v="12.140061170092421"/>
    <n v="874.08440424665434"/>
    <n v="2.2762614693923289"/>
    <n v="3"/>
    <n v="209.94275701923169"/>
    <n v="434.41248547460992"/>
    <s v="Forecast"/>
  </r>
  <r>
    <d v="2024-11-15T00:00:00"/>
    <x v="7"/>
    <n v="6"/>
    <n v="11"/>
    <x v="45"/>
    <x v="4"/>
    <m/>
    <n v="318.82496611348688"/>
    <n v="286.94246950213818"/>
    <n v="255.05997289078951"/>
    <n v="255.05997289078951"/>
    <m/>
    <m/>
    <m/>
    <m/>
    <d v="1899-12-30T00:02:46"/>
    <m/>
    <m/>
    <m/>
    <m/>
    <m/>
    <m/>
    <m/>
    <m/>
    <m/>
    <m/>
    <n v="11.794769032999392"/>
    <n v="849.22337037595616"/>
    <n v="2.2115191936873857"/>
    <n v="3"/>
    <n v="208.07357507306861"/>
    <n v="433.48413427645511"/>
    <s v="Forecast"/>
  </r>
  <r>
    <d v="2024-11-16T00:00:00"/>
    <x v="7"/>
    <n v="7"/>
    <n v="11"/>
    <x v="45"/>
    <x v="4"/>
    <m/>
    <n v="325.7390863138038"/>
    <n v="293.1651776824234"/>
    <n v="260.59126905104307"/>
    <n v="260.59126905104307"/>
    <m/>
    <m/>
    <m/>
    <m/>
    <d v="1899-12-30T00:02:46"/>
    <m/>
    <m/>
    <m/>
    <m/>
    <m/>
    <m/>
    <m/>
    <m/>
    <m/>
    <m/>
    <n v="12.05055397472251"/>
    <n v="867.63988618002065"/>
    <n v="2.2594788702604705"/>
    <n v="3"/>
    <n v="205.6466493131056"/>
    <n v="434.18810166648171"/>
    <s v="Forecast"/>
  </r>
  <r>
    <d v="2024-11-17T00:00:00"/>
    <x v="7"/>
    <n v="1"/>
    <n v="11"/>
    <x v="46"/>
    <x v="4"/>
    <m/>
    <n v="237.0588353938661"/>
    <n v="213.3529518544795"/>
    <n v="189.64706831509289"/>
    <n v="189.64706831509289"/>
    <m/>
    <m/>
    <m/>
    <m/>
    <d v="1899-12-30T00:02:46"/>
    <m/>
    <m/>
    <m/>
    <m/>
    <m/>
    <m/>
    <m/>
    <m/>
    <m/>
    <m/>
    <n v="8.7698730465759152"/>
    <n v="631.43085935346585"/>
    <n v="1.644351196232984"/>
    <n v="2"/>
    <n v="124.0513813906297"/>
    <n v="349.6417708423769"/>
    <s v="Forecast"/>
  </r>
  <r>
    <d v="2024-11-18T00:00:00"/>
    <x v="7"/>
    <n v="2"/>
    <n v="11"/>
    <x v="46"/>
    <x v="4"/>
    <m/>
    <n v="337.13992406032582"/>
    <n v="303.42593165429327"/>
    <n v="269.71193924826065"/>
    <n v="269.71193924826065"/>
    <m/>
    <m/>
    <m/>
    <m/>
    <d v="1899-12-30T00:02:46"/>
    <m/>
    <m/>
    <m/>
    <m/>
    <m/>
    <m/>
    <m/>
    <m/>
    <m/>
    <m/>
    <n v="12.472323534476875"/>
    <n v="898.00729448233494"/>
    <n v="2.3385606627144138"/>
    <n v="3"/>
    <n v="217.86585289278801"/>
    <n v="444.16314825568378"/>
    <s v="Forecast"/>
  </r>
  <r>
    <d v="2024-11-19T00:00:00"/>
    <x v="7"/>
    <n v="3"/>
    <n v="11"/>
    <x v="46"/>
    <x v="4"/>
    <m/>
    <n v="321.54114997301099"/>
    <n v="289.38703497570992"/>
    <n v="257.2329199784088"/>
    <n v="257.2329199784088"/>
    <m/>
    <m/>
    <m/>
    <m/>
    <d v="1899-12-30T00:02:46"/>
    <m/>
    <m/>
    <m/>
    <m/>
    <m/>
    <m/>
    <m/>
    <m/>
    <m/>
    <m/>
    <n v="11.895255338920865"/>
    <n v="856.45838440230227"/>
    <n v="2.230360376047662"/>
    <n v="3"/>
    <n v="208.70083281209111"/>
    <n v="428.75691632887299"/>
    <s v="Forecast"/>
  </r>
  <r>
    <d v="2024-11-20T00:00:00"/>
    <x v="7"/>
    <n v="4"/>
    <n v="11"/>
    <x v="46"/>
    <x v="4"/>
    <m/>
    <n v="334.46412181067473"/>
    <n v="301.01770962960728"/>
    <n v="267.57129744853978"/>
    <n v="267.57129744853978"/>
    <m/>
    <m/>
    <m/>
    <m/>
    <d v="1899-12-30T00:02:46"/>
    <m/>
    <m/>
    <m/>
    <m/>
    <m/>
    <m/>
    <m/>
    <m/>
    <m/>
    <m/>
    <n v="12.373335018141738"/>
    <n v="890.88012130620507"/>
    <n v="2.3200003159015758"/>
    <n v="3"/>
    <n v="222.18985946881381"/>
    <n v="452.07637128115988"/>
    <s v="Forecast"/>
  </r>
  <r>
    <d v="2024-11-21T00:00:00"/>
    <x v="7"/>
    <n v="5"/>
    <n v="11"/>
    <x v="46"/>
    <x v="4"/>
    <m/>
    <n v="330.62155411702372"/>
    <n v="297.55939870532137"/>
    <n v="264.49724329361896"/>
    <n v="264.49724329361896"/>
    <m/>
    <m/>
    <m/>
    <m/>
    <d v="1899-12-30T00:02:46"/>
    <m/>
    <m/>
    <m/>
    <m/>
    <m/>
    <m/>
    <m/>
    <m/>
    <m/>
    <m/>
    <n v="12.231181894804845"/>
    <n v="880.64509642594874"/>
    <n v="2.2933466052759082"/>
    <n v="3"/>
    <n v="216.78038136539101"/>
    <n v="446.47538483929799"/>
    <s v="Forecast"/>
  </r>
  <r>
    <d v="2024-11-22T00:00:00"/>
    <x v="7"/>
    <n v="6"/>
    <n v="11"/>
    <x v="46"/>
    <x v="4"/>
    <m/>
    <n v="322.88767912330792"/>
    <n v="290.59891121097712"/>
    <n v="258.31014329864632"/>
    <n v="258.31014329864632"/>
    <m/>
    <m/>
    <m/>
    <m/>
    <d v="1899-12-30T00:02:46"/>
    <m/>
    <m/>
    <m/>
    <m/>
    <m/>
    <m/>
    <m/>
    <m/>
    <m/>
    <m/>
    <n v="11.945071770289173"/>
    <n v="860.04516746082049"/>
    <n v="2.2397009569292199"/>
    <n v="3"/>
    <n v="209.25477983768121"/>
    <n v="434.16141249082813"/>
    <s v="Forecast"/>
  </r>
  <r>
    <d v="2024-11-23T00:00:00"/>
    <x v="7"/>
    <n v="7"/>
    <n v="11"/>
    <x v="46"/>
    <x v="4"/>
    <m/>
    <n v="331.35804558605258"/>
    <n v="298.22224102744735"/>
    <n v="265.08643646884207"/>
    <n v="265.08643646884207"/>
    <m/>
    <m/>
    <m/>
    <m/>
    <d v="1899-12-30T00:02:46"/>
    <m/>
    <m/>
    <m/>
    <m/>
    <m/>
    <m/>
    <m/>
    <m/>
    <m/>
    <m/>
    <n v="12.258429657100866"/>
    <n v="882.6069353112623"/>
    <n v="2.2984555607064121"/>
    <n v="3"/>
    <n v="230.70373058928249"/>
    <n v="449.68074173683448"/>
    <s v="Forecast"/>
  </r>
  <r>
    <d v="2024-11-24T00:00:00"/>
    <x v="7"/>
    <n v="1"/>
    <n v="11"/>
    <x v="47"/>
    <x v="4"/>
    <m/>
    <n v="244.1678766986054"/>
    <n v="219.75108902874487"/>
    <n v="195.33430135888432"/>
    <n v="195.33430135888432"/>
    <m/>
    <m/>
    <m/>
    <m/>
    <d v="1899-12-30T00:02:46"/>
    <m/>
    <m/>
    <m/>
    <m/>
    <m/>
    <m/>
    <m/>
    <m/>
    <m/>
    <m/>
    <n v="9.0328724040641024"/>
    <n v="650.3668130926153"/>
    <n v="1.6936635757620191"/>
    <n v="2"/>
    <n v="131.922350085863"/>
    <n v="353.70203090242268"/>
    <s v="Forecast"/>
  </r>
  <r>
    <d v="2024-11-25T00:00:00"/>
    <x v="7"/>
    <n v="2"/>
    <n v="11"/>
    <x v="47"/>
    <x v="4"/>
    <m/>
    <n v="345.6512791013181"/>
    <n v="311.08615119118627"/>
    <n v="276.52102328105451"/>
    <n v="276.52102328105451"/>
    <m/>
    <m/>
    <m/>
    <m/>
    <d v="1899-12-30T00:02:46"/>
    <m/>
    <m/>
    <m/>
    <m/>
    <m/>
    <m/>
    <m/>
    <m/>
    <m/>
    <m/>
    <n v="12.787202637253726"/>
    <n v="920.67858988226828"/>
    <n v="2.3976004944850735"/>
    <n v="3"/>
    <n v="232.05216742870579"/>
    <n v="467.88994918668283"/>
    <s v="Forecast"/>
  </r>
  <r>
    <d v="2024-11-26T00:00:00"/>
    <x v="7"/>
    <n v="3"/>
    <n v="11"/>
    <x v="47"/>
    <x v="4"/>
    <m/>
    <n v="331.34689686395899"/>
    <n v="298.21220717756307"/>
    <n v="265.07751749116721"/>
    <n v="265.07751749116721"/>
    <m/>
    <m/>
    <m/>
    <m/>
    <d v="1899-12-30T00:02:46"/>
    <m/>
    <m/>
    <m/>
    <m/>
    <m/>
    <m/>
    <m/>
    <m/>
    <m/>
    <m/>
    <n v="12.25801975903971"/>
    <n v="882.57742265085915"/>
    <n v="2.2983787048199456"/>
    <n v="3"/>
    <n v="221.8712203535728"/>
    <n v="448.54059499364553"/>
    <s v="Forecast"/>
  </r>
  <r>
    <d v="2024-11-27T00:00:00"/>
    <x v="7"/>
    <n v="4"/>
    <n v="11"/>
    <x v="47"/>
    <x v="4"/>
    <m/>
    <n v="345.43800802490409"/>
    <n v="310.89420722241368"/>
    <n v="276.35040641992327"/>
    <n v="276.35040641992327"/>
    <m/>
    <m/>
    <m/>
    <m/>
    <d v="1899-12-30T00:02:46"/>
    <m/>
    <m/>
    <m/>
    <m/>
    <m/>
    <m/>
    <m/>
    <m/>
    <m/>
    <m/>
    <n v="12.779314558734573"/>
    <n v="920.1106482288892"/>
    <n v="2.3961214797627322"/>
    <n v="3"/>
    <n v="226.5047760146858"/>
    <n v="464.15533490297082"/>
    <s v="Forecast"/>
  </r>
  <r>
    <d v="2024-11-28T00:00:00"/>
    <x v="7"/>
    <n v="5"/>
    <n v="11"/>
    <x v="47"/>
    <x v="4"/>
    <m/>
    <n v="342.62116544033978"/>
    <n v="308.35904889630581"/>
    <n v="274.09693235227184"/>
    <n v="274.09693235227184"/>
    <m/>
    <m/>
    <m/>
    <m/>
    <d v="1899-12-30T00:02:46"/>
    <m/>
    <m/>
    <m/>
    <m/>
    <m/>
    <m/>
    <m/>
    <m/>
    <m/>
    <m/>
    <n v="12.67510768642412"/>
    <n v="912.60775342253658"/>
    <n v="2.3765826912045225"/>
    <n v="3"/>
    <n v="224.9566846239737"/>
    <n v="450.62937444793113"/>
    <s v="Forecast"/>
  </r>
  <r>
    <d v="2024-11-29T00:00:00"/>
    <x v="7"/>
    <n v="6"/>
    <n v="11"/>
    <x v="47"/>
    <x v="4"/>
    <m/>
    <n v="335.75692007995372"/>
    <n v="302.18122807195834"/>
    <n v="268.60553606396297"/>
    <n v="268.60553606396297"/>
    <m/>
    <m/>
    <m/>
    <m/>
    <d v="1899-12-30T00:02:46"/>
    <m/>
    <m/>
    <m/>
    <m/>
    <m/>
    <m/>
    <m/>
    <m/>
    <m/>
    <m/>
    <n v="12.421169029527377"/>
    <n v="894.32417012597102"/>
    <n v="2.3289691930363827"/>
    <n v="3"/>
    <n v="229.7222906229614"/>
    <n v="448.28417109216377"/>
    <s v="Forecast"/>
  </r>
  <r>
    <d v="2024-11-30T00:00:00"/>
    <x v="7"/>
    <n v="7"/>
    <n v="11"/>
    <x v="47"/>
    <x v="4"/>
    <m/>
    <n v="344.92988912518422"/>
    <n v="310.43690021266582"/>
    <n v="275.94391130014736"/>
    <n v="275.94391130014736"/>
    <m/>
    <m/>
    <m/>
    <m/>
    <d v="1899-12-30T00:02:46"/>
    <m/>
    <m/>
    <m/>
    <m/>
    <m/>
    <m/>
    <m/>
    <m/>
    <m/>
    <m/>
    <n v="12.760519550261462"/>
    <n v="918.75740761882525"/>
    <n v="2.392597415674024"/>
    <n v="3"/>
    <n v="227.84481672856049"/>
    <n v="445.78396532589159"/>
    <s v="Forecast"/>
  </r>
  <r>
    <d v="2024-12-01T00:00:00"/>
    <x v="7"/>
    <n v="1"/>
    <n v="12"/>
    <x v="48"/>
    <x v="4"/>
    <m/>
    <n v="258.26733387505692"/>
    <n v="232.44060048755122"/>
    <n v="206.61386710004555"/>
    <n v="206.61386710004555"/>
    <m/>
    <m/>
    <m/>
    <m/>
    <d v="1899-12-30T00:02:46"/>
    <m/>
    <m/>
    <m/>
    <m/>
    <m/>
    <m/>
    <m/>
    <m/>
    <m/>
    <m/>
    <n v="9.5544795672424652"/>
    <n v="687.92252884145751"/>
    <n v="1.7914649188579623"/>
    <n v="2"/>
    <n v="146.702801737074"/>
    <n v="373.69719829773987"/>
    <s v="Forecast"/>
  </r>
  <r>
    <d v="2024-12-02T00:00:00"/>
    <x v="7"/>
    <n v="2"/>
    <n v="12"/>
    <x v="48"/>
    <x v="4"/>
    <m/>
    <n v="360.09853322068102"/>
    <n v="324.08867989861295"/>
    <n v="288.07882657654483"/>
    <n v="288.07882657654483"/>
    <m/>
    <m/>
    <m/>
    <m/>
    <d v="1899-12-30T00:02:46"/>
    <m/>
    <m/>
    <m/>
    <m/>
    <m/>
    <m/>
    <m/>
    <m/>
    <m/>
    <m/>
    <n v="13.321678134647243"/>
    <n v="959.1608256946015"/>
    <n v="2.4978146502463581"/>
    <n v="3"/>
    <n v="244.9072604307695"/>
    <n v="477.27039707675237"/>
    <s v="Forecast"/>
  </r>
  <r>
    <d v="2024-12-03T00:00:00"/>
    <x v="7"/>
    <n v="3"/>
    <n v="12"/>
    <x v="48"/>
    <x v="4"/>
    <m/>
    <n v="345.96054133110198"/>
    <n v="311.36448719799176"/>
    <n v="276.76843306488161"/>
    <n v="276.76843306488161"/>
    <m/>
    <m/>
    <m/>
    <m/>
    <d v="1899-12-30T00:02:46"/>
    <m/>
    <m/>
    <m/>
    <m/>
    <m/>
    <m/>
    <m/>
    <m/>
    <m/>
    <m/>
    <n v="12.79865045957037"/>
    <n v="921.50283308906648"/>
    <n v="2.399746961169444"/>
    <n v="3"/>
    <n v="231.50043823680781"/>
    <n v="461.02413140444861"/>
    <s v="Forecast"/>
  </r>
  <r>
    <d v="2024-12-04T00:00:00"/>
    <x v="7"/>
    <n v="4"/>
    <n v="12"/>
    <x v="48"/>
    <x v="4"/>
    <m/>
    <n v="360.03832308050289"/>
    <n v="324.03449077245261"/>
    <n v="288.03065846440234"/>
    <n v="288.03065846440234"/>
    <m/>
    <m/>
    <m/>
    <m/>
    <d v="1899-12-30T00:02:46"/>
    <m/>
    <m/>
    <m/>
    <m/>
    <m/>
    <m/>
    <m/>
    <m/>
    <m/>
    <m/>
    <n v="13.319452262577062"/>
    <n v="959.00056290554835"/>
    <n v="2.497397299233199"/>
    <n v="3"/>
    <n v="245.0281017582347"/>
    <n v="472.64310818509767"/>
    <s v="Forecast"/>
  </r>
  <r>
    <d v="2024-12-05T00:00:00"/>
    <x v="7"/>
    <n v="5"/>
    <n v="12"/>
    <x v="48"/>
    <x v="4"/>
    <m/>
    <n v="357.03336629175089"/>
    <n v="321.33002966257584"/>
    <n v="285.62669303340073"/>
    <n v="285.62669303340073"/>
    <m/>
    <m/>
    <m/>
    <m/>
    <d v="1899-12-30T00:02:46"/>
    <m/>
    <m/>
    <m/>
    <m/>
    <m/>
    <m/>
    <m/>
    <m/>
    <m/>
    <m/>
    <n v="13.208285989050149"/>
    <n v="950.99659121161062"/>
    <n v="2.4765536229469025"/>
    <n v="3"/>
    <n v="252.77908006847011"/>
    <n v="471.74785265380598"/>
    <s v="Forecast"/>
  </r>
  <r>
    <d v="2024-12-06T00:00:00"/>
    <x v="7"/>
    <n v="6"/>
    <n v="12"/>
    <x v="48"/>
    <x v="4"/>
    <m/>
    <n v="349.81430771137678"/>
    <n v="314.83287694023909"/>
    <n v="279.85144616910145"/>
    <n v="279.85144616910145"/>
    <m/>
    <m/>
    <m/>
    <m/>
    <d v="1899-12-30T00:02:46"/>
    <m/>
    <m/>
    <m/>
    <m/>
    <m/>
    <m/>
    <m/>
    <m/>
    <m/>
    <m/>
    <n v="12.941220885302764"/>
    <n v="931.76790374179905"/>
    <n v="2.4264789159942683"/>
    <n v="3"/>
    <n v="231.1678280530771"/>
    <n v="465.62224586597517"/>
    <s v="Forecast"/>
  </r>
  <r>
    <d v="2024-12-07T00:00:00"/>
    <x v="7"/>
    <n v="7"/>
    <n v="12"/>
    <x v="48"/>
    <x v="4"/>
    <m/>
    <n v="358.47683546945422"/>
    <n v="322.62915192250881"/>
    <n v="286.78146837556341"/>
    <n v="286.78146837556341"/>
    <m/>
    <m/>
    <m/>
    <m/>
    <d v="1899-12-30T00:02:46"/>
    <m/>
    <m/>
    <m/>
    <m/>
    <m/>
    <m/>
    <m/>
    <m/>
    <m/>
    <m/>
    <n v="13.261687787108402"/>
    <n v="954.84152067180491"/>
    <n v="2.4865664600828254"/>
    <n v="3"/>
    <n v="245.36716506431779"/>
    <n v="474.18906378328262"/>
    <s v="Forecast"/>
  </r>
  <r>
    <d v="2024-12-08T00:00:00"/>
    <x v="7"/>
    <n v="1"/>
    <n v="12"/>
    <x v="49"/>
    <x v="4"/>
    <m/>
    <n v="271.16203503528158"/>
    <n v="244.04583153175344"/>
    <n v="216.92962802822527"/>
    <n v="216.92962802822527"/>
    <m/>
    <m/>
    <m/>
    <m/>
    <d v="1899-12-30T00:02:46"/>
    <m/>
    <m/>
    <m/>
    <m/>
    <m/>
    <m/>
    <m/>
    <m/>
    <m/>
    <m/>
    <n v="10.031516828900367"/>
    <n v="722.26921168082629"/>
    <n v="1.8809094054188185"/>
    <n v="2"/>
    <n v="153.54398552638671"/>
    <n v="391.53018808631782"/>
    <s v="Forecast"/>
  </r>
  <r>
    <d v="2024-12-09T00:00:00"/>
    <x v="7"/>
    <n v="2"/>
    <n v="12"/>
    <x v="49"/>
    <x v="4"/>
    <m/>
    <n v="372.21546812254991"/>
    <n v="334.99392131029492"/>
    <n v="297.77237449803994"/>
    <n v="297.77237449803994"/>
    <m/>
    <m/>
    <m/>
    <m/>
    <d v="1899-12-30T00:02:46"/>
    <m/>
    <m/>
    <m/>
    <m/>
    <m/>
    <m/>
    <m/>
    <m/>
    <m/>
    <m/>
    <n v="13.769943435682523"/>
    <n v="991.4359273691415"/>
    <n v="2.5818643941904726"/>
    <n v="3"/>
    <n v="264.32868747999481"/>
    <n v="481.77723924243901"/>
    <s v="Forecast"/>
  </r>
  <r>
    <d v="2024-12-10T00:00:00"/>
    <x v="7"/>
    <n v="3"/>
    <n v="12"/>
    <x v="49"/>
    <x v="4"/>
    <m/>
    <n v="357.19257850491351"/>
    <n v="321.4733206544222"/>
    <n v="285.75406280393082"/>
    <n v="285.75406280393082"/>
    <m/>
    <m/>
    <m/>
    <m/>
    <d v="1899-12-30T00:02:46"/>
    <m/>
    <m/>
    <m/>
    <m/>
    <m/>
    <m/>
    <m/>
    <m/>
    <m/>
    <m/>
    <n v="13.214178895824089"/>
    <n v="951.42088049933432"/>
    <n v="2.4776585429670166"/>
    <n v="3"/>
    <n v="238.89489197326989"/>
    <n v="464.08581977482828"/>
    <s v="Forecast"/>
  </r>
  <r>
    <d v="2024-12-11T00:00:00"/>
    <x v="7"/>
    <n v="4"/>
    <n v="12"/>
    <x v="49"/>
    <x v="4"/>
    <m/>
    <n v="370.29842515880301"/>
    <n v="333.26858264292269"/>
    <n v="296.23874012704243"/>
    <n v="296.23874012704243"/>
    <m/>
    <m/>
    <m/>
    <m/>
    <d v="1899-12-30T00:02:46"/>
    <m/>
    <m/>
    <m/>
    <m/>
    <m/>
    <m/>
    <m/>
    <m/>
    <m/>
    <m/>
    <n v="13.699024258148842"/>
    <n v="986.32974658671651"/>
    <n v="2.5685670484029077"/>
    <n v="3"/>
    <n v="256.86394451553269"/>
    <n v="482.93575131570628"/>
    <s v="Forecast"/>
  </r>
  <r>
    <d v="2024-12-12T00:00:00"/>
    <x v="7"/>
    <n v="5"/>
    <n v="12"/>
    <x v="49"/>
    <x v="4"/>
    <m/>
    <n v="366.25585014061272"/>
    <n v="329.63026512655148"/>
    <n v="293.00468011249018"/>
    <n v="293.00468011249018"/>
    <m/>
    <m/>
    <m/>
    <m/>
    <d v="1899-12-30T00:02:46"/>
    <m/>
    <m/>
    <m/>
    <m/>
    <m/>
    <m/>
    <m/>
    <m/>
    <m/>
    <m/>
    <n v="13.549471408678574"/>
    <n v="975.5619414248572"/>
    <n v="2.5405258891272324"/>
    <n v="3"/>
    <n v="250.44544037587471"/>
    <n v="485.67099498914661"/>
    <s v="Forecast"/>
  </r>
  <r>
    <d v="2024-12-13T00:00:00"/>
    <x v="7"/>
    <n v="6"/>
    <n v="12"/>
    <x v="49"/>
    <x v="4"/>
    <m/>
    <n v="357.9556277454206"/>
    <n v="322.16006497087852"/>
    <n v="286.3645021963365"/>
    <n v="286.3645021963365"/>
    <m/>
    <m/>
    <m/>
    <m/>
    <d v="1899-12-30T00:02:46"/>
    <m/>
    <m/>
    <m/>
    <m/>
    <m/>
    <m/>
    <m/>
    <m/>
    <m/>
    <m/>
    <n v="13.242408736916301"/>
    <n v="953.45342905797361"/>
    <n v="2.4829516381718064"/>
    <n v="3"/>
    <n v="241.91306626243781"/>
    <n v="468.56017281278127"/>
    <s v="Forecast"/>
  </r>
  <r>
    <d v="2024-12-14T00:00:00"/>
    <x v="7"/>
    <n v="7"/>
    <n v="12"/>
    <x v="49"/>
    <x v="4"/>
    <m/>
    <n v="365.51586840573788"/>
    <n v="328.96428156516407"/>
    <n v="292.41269472459032"/>
    <n v="292.41269472459032"/>
    <m/>
    <m/>
    <m/>
    <m/>
    <d v="1899-12-30T00:02:46"/>
    <m/>
    <m/>
    <m/>
    <m/>
    <m/>
    <m/>
    <m/>
    <m/>
    <m/>
    <m/>
    <n v="13.522096770975438"/>
    <n v="973.59096751023139"/>
    <n v="2.5353931445578941"/>
    <n v="3"/>
    <n v="256.42838953054172"/>
    <n v="480.09386002085751"/>
    <s v="Forecast"/>
  </r>
  <r>
    <d v="2024-12-15T00:00:00"/>
    <x v="7"/>
    <n v="1"/>
    <n v="12"/>
    <x v="50"/>
    <x v="4"/>
    <m/>
    <n v="277.09985591687058"/>
    <n v="249.38987032518352"/>
    <n v="221.67988473349646"/>
    <n v="221.67988473349646"/>
    <m/>
    <m/>
    <m/>
    <m/>
    <d v="1899-12-30T00:02:46"/>
    <m/>
    <m/>
    <m/>
    <m/>
    <m/>
    <m/>
    <m/>
    <m/>
    <m/>
    <m/>
    <n v="10.251185960126584"/>
    <n v="738.08538912911411"/>
    <n v="1.9220973675237347"/>
    <n v="2"/>
    <n v="158.9472857645041"/>
    <n v="391.92946998048421"/>
    <s v="Forecast"/>
  </r>
  <r>
    <d v="2024-12-16T00:00:00"/>
    <x v="7"/>
    <n v="2"/>
    <n v="12"/>
    <x v="50"/>
    <x v="4"/>
    <m/>
    <n v="377.07461957968951"/>
    <n v="339.36715762172059"/>
    <n v="301.65969566375162"/>
    <n v="301.65969566375162"/>
    <m/>
    <m/>
    <m/>
    <m/>
    <d v="1899-12-30T00:02:46"/>
    <m/>
    <m/>
    <m/>
    <m/>
    <m/>
    <m/>
    <m/>
    <m/>
    <m/>
    <m/>
    <n v="13.949708109556219"/>
    <n v="1004.3789838880477"/>
    <n v="2.6155702705417911"/>
    <n v="3"/>
    <n v="266.20430096399429"/>
    <n v="497.10019340076349"/>
    <s v="Forecast"/>
  </r>
  <r>
    <d v="2024-12-17T00:00:00"/>
    <x v="7"/>
    <n v="3"/>
    <n v="12"/>
    <x v="50"/>
    <x v="4"/>
    <m/>
    <n v="361.01584765617758"/>
    <n v="324.91426289055983"/>
    <n v="288.81267812494207"/>
    <n v="288.81267812494207"/>
    <m/>
    <m/>
    <m/>
    <m/>
    <d v="1899-12-30T00:02:46"/>
    <m/>
    <m/>
    <m/>
    <m/>
    <m/>
    <m/>
    <m/>
    <m/>
    <m/>
    <m/>
    <n v="13.355621142632911"/>
    <n v="961.60472226956949"/>
    <n v="2.5041789642436707"/>
    <n v="3"/>
    <n v="252.9216297738447"/>
    <n v="478.0125764584788"/>
    <s v="Forecast"/>
  </r>
  <r>
    <d v="2024-12-18T00:00:00"/>
    <x v="7"/>
    <n v="4"/>
    <n v="12"/>
    <x v="50"/>
    <x v="4"/>
    <m/>
    <n v="373.14715495300118"/>
    <n v="335.83243945770107"/>
    <n v="298.51772396240096"/>
    <n v="298.51772396240096"/>
    <m/>
    <m/>
    <m/>
    <m/>
    <d v="1899-12-30T00:02:46"/>
    <m/>
    <m/>
    <m/>
    <m/>
    <m/>
    <m/>
    <m/>
    <m/>
    <m/>
    <m/>
    <n v="13.804413609303099"/>
    <n v="993.91777986982299"/>
    <n v="2.5883275517443307"/>
    <n v="3"/>
    <n v="259.73196974559681"/>
    <n v="489.63341571554668"/>
    <s v="Forecast"/>
  </r>
  <r>
    <d v="2024-12-19T00:00:00"/>
    <x v="7"/>
    <n v="5"/>
    <n v="12"/>
    <x v="50"/>
    <x v="4"/>
    <m/>
    <n v="368.20782398476541"/>
    <n v="331.38704158628889"/>
    <n v="294.56625918781236"/>
    <n v="294.56625918781236"/>
    <m/>
    <m/>
    <m/>
    <m/>
    <d v="1899-12-30T00:02:46"/>
    <m/>
    <m/>
    <m/>
    <m/>
    <m/>
    <m/>
    <m/>
    <m/>
    <m/>
    <m/>
    <n v="13.621685344408151"/>
    <n v="980.76134479738687"/>
    <n v="2.5540660020765285"/>
    <n v="3"/>
    <n v="251.8847715654274"/>
    <n v="467.73932147778828"/>
    <s v="Forecast"/>
  </r>
  <r>
    <d v="2024-12-20T00:00:00"/>
    <x v="7"/>
    <n v="6"/>
    <n v="12"/>
    <x v="50"/>
    <x v="4"/>
    <m/>
    <n v="359.10257763023998"/>
    <n v="323.19231986721599"/>
    <n v="287.28206210419199"/>
    <n v="287.28206210419199"/>
    <m/>
    <m/>
    <m/>
    <m/>
    <d v="1899-12-30T00:02:46"/>
    <m/>
    <m/>
    <m/>
    <m/>
    <m/>
    <m/>
    <m/>
    <m/>
    <m/>
    <m/>
    <n v="13.284840847060185"/>
    <n v="956.50854098833315"/>
    <n v="2.4909076588237844"/>
    <n v="3"/>
    <n v="250.57820725702271"/>
    <n v="469.14455920915799"/>
    <s v="Forecast"/>
  </r>
  <r>
    <d v="2024-12-21T00:00:00"/>
    <x v="7"/>
    <n v="7"/>
    <n v="12"/>
    <x v="50"/>
    <x v="4"/>
    <m/>
    <n v="365.96066709763062"/>
    <n v="329.36460038786754"/>
    <n v="292.76853367810452"/>
    <n v="292.76853367810452"/>
    <m/>
    <m/>
    <m/>
    <m/>
    <d v="1899-12-30T00:02:46"/>
    <m/>
    <m/>
    <m/>
    <m/>
    <m/>
    <m/>
    <m/>
    <m/>
    <m/>
    <m/>
    <n v="13.538552856507211"/>
    <n v="974.77580566851918"/>
    <n v="2.5384786605951022"/>
    <n v="3"/>
    <n v="244.97340262384631"/>
    <n v="475.47260362733101"/>
    <s v="Forecast"/>
  </r>
  <r>
    <d v="2024-12-22T00:00:00"/>
    <x v="7"/>
    <n v="1"/>
    <n v="12"/>
    <x v="51"/>
    <x v="4"/>
    <m/>
    <n v="276.95346285340128"/>
    <n v="249.25811656806115"/>
    <n v="221.56277028272103"/>
    <n v="221.56277028272103"/>
    <m/>
    <m/>
    <m/>
    <m/>
    <d v="1899-12-30T00:02:46"/>
    <m/>
    <m/>
    <m/>
    <m/>
    <m/>
    <m/>
    <m/>
    <m/>
    <m/>
    <m/>
    <n v="10.245770738567751"/>
    <n v="737.69549317687802"/>
    <n v="1.9210820134814532"/>
    <n v="2"/>
    <n v="161.2686918827502"/>
    <n v="395.9529181468863"/>
    <s v="Forecast"/>
  </r>
  <r>
    <d v="2024-12-23T00:00:00"/>
    <x v="7"/>
    <n v="2"/>
    <n v="12"/>
    <x v="51"/>
    <x v="4"/>
    <m/>
    <n v="376.45285757396113"/>
    <n v="338.80757181656503"/>
    <n v="301.16228605916893"/>
    <n v="301.16228605916893"/>
    <m/>
    <m/>
    <m/>
    <m/>
    <d v="1899-12-30T00:02:46"/>
    <m/>
    <m/>
    <m/>
    <m/>
    <m/>
    <m/>
    <m/>
    <m/>
    <m/>
    <m/>
    <n v="13.926706759421995"/>
    <n v="1002.7228866783836"/>
    <n v="2.6112575173916239"/>
    <n v="3"/>
    <n v="261.99949980369757"/>
    <n v="495.46733014858893"/>
    <s v="Forecast"/>
  </r>
  <r>
    <d v="2024-12-24T00:00:00"/>
    <x v="7"/>
    <n v="3"/>
    <n v="12"/>
    <x v="51"/>
    <x v="4"/>
    <m/>
    <n v="360.03609317705298"/>
    <n v="324.03248385934768"/>
    <n v="288.02887454164238"/>
    <n v="288.02887454164238"/>
    <m/>
    <m/>
    <m/>
    <m/>
    <d v="1899-12-30T00:02:46"/>
    <m/>
    <m/>
    <m/>
    <m/>
    <m/>
    <m/>
    <m/>
    <m/>
    <m/>
    <m/>
    <n v="13.319375771868639"/>
    <n v="958.99505557454199"/>
    <n v="2.4973829572253696"/>
    <n v="3"/>
    <n v="242.39742033528961"/>
    <n v="465.60509341140039"/>
    <s v="Forecast"/>
  </r>
  <r>
    <d v="2024-12-25T00:00:00"/>
    <x v="7"/>
    <n v="4"/>
    <n v="12"/>
    <x v="51"/>
    <x v="4"/>
    <m/>
    <n v="371.92502837315561"/>
    <n v="334.73252553584007"/>
    <n v="297.54002269852452"/>
    <n v="297.54002269852452"/>
    <m/>
    <m/>
    <m/>
    <m/>
    <d v="1899-12-30T00:02:46"/>
    <m/>
    <m/>
    <m/>
    <m/>
    <m/>
    <m/>
    <m/>
    <m/>
    <m/>
    <m/>
    <n v="13.759201577092789"/>
    <n v="990.66251355068073"/>
    <n v="2.5798502957048979"/>
    <n v="3"/>
    <n v="260.74699223098401"/>
    <n v="490.80012500093932"/>
    <s v="Forecast"/>
  </r>
  <r>
    <d v="2024-12-26T00:00:00"/>
    <x v="7"/>
    <n v="5"/>
    <n v="12"/>
    <x v="51"/>
    <x v="4"/>
    <m/>
    <n v="366.85396763542371"/>
    <n v="330.16857087188134"/>
    <n v="293.48317410833897"/>
    <n v="293.48317410833897"/>
    <m/>
    <m/>
    <m/>
    <m/>
    <d v="1899-12-30T00:02:46"/>
    <m/>
    <m/>
    <m/>
    <m/>
    <m/>
    <m/>
    <m/>
    <m/>
    <m/>
    <m/>
    <n v="13.571599825270242"/>
    <n v="977.15518741945732"/>
    <n v="2.5446749672381701"/>
    <n v="3"/>
    <n v="253.32664844064661"/>
    <n v="472.52038275394659"/>
    <s v="Forecast"/>
  </r>
  <r>
    <d v="2024-12-27T00:00:00"/>
    <x v="7"/>
    <n v="6"/>
    <n v="12"/>
    <x v="51"/>
    <x v="4"/>
    <m/>
    <n v="357.7196086693325"/>
    <n v="321.94764780239927"/>
    <n v="286.17568693546599"/>
    <n v="286.17568693546599"/>
    <m/>
    <m/>
    <m/>
    <m/>
    <d v="1899-12-30T00:02:46"/>
    <m/>
    <m/>
    <m/>
    <m/>
    <m/>
    <m/>
    <m/>
    <m/>
    <m/>
    <m/>
    <n v="13.23367814073686"/>
    <n v="952.82482613305388"/>
    <n v="2.481314651388161"/>
    <n v="3"/>
    <n v="245.0782878914612"/>
    <n v="476.00369620559633"/>
    <s v="Forecast"/>
  </r>
  <r>
    <d v="2024-12-28T00:00:00"/>
    <x v="7"/>
    <n v="7"/>
    <n v="12"/>
    <x v="51"/>
    <x v="4"/>
    <m/>
    <n v="364.64038905726068"/>
    <n v="328.17635015153462"/>
    <n v="291.71231124580856"/>
    <n v="291.71231124580856"/>
    <m/>
    <m/>
    <m/>
    <m/>
    <d v="1899-12-30T00:02:46"/>
    <m/>
    <m/>
    <m/>
    <m/>
    <m/>
    <m/>
    <m/>
    <m/>
    <m/>
    <m/>
    <n v="13.489709190717965"/>
    <n v="971.25906173169346"/>
    <n v="2.5293204732596184"/>
    <n v="3"/>
    <n v="260.46776675584408"/>
    <n v="475.89423368945859"/>
    <s v="Forecast"/>
  </r>
  <r>
    <d v="2024-12-29T00:00:00"/>
    <x v="7"/>
    <n v="1"/>
    <n v="12"/>
    <x v="52"/>
    <x v="4"/>
    <m/>
    <n v="275.77441426899338"/>
    <n v="248.19697284209406"/>
    <n v="220.61953141519473"/>
    <n v="220.61953141519473"/>
    <m/>
    <m/>
    <m/>
    <m/>
    <d v="1899-12-30T00:02:46"/>
    <m/>
    <m/>
    <m/>
    <m/>
    <m/>
    <m/>
    <m/>
    <m/>
    <m/>
    <m/>
    <n v="10.202151807982434"/>
    <n v="734.5549301747352"/>
    <n v="1.9129034639967062"/>
    <n v="2"/>
    <n v="166.72410125213301"/>
    <n v="384.21594021064772"/>
    <s v="Forecast"/>
  </r>
  <r>
    <d v="2024-12-30T00:00:00"/>
    <x v="7"/>
    <n v="2"/>
    <n v="12"/>
    <x v="52"/>
    <x v="4"/>
    <m/>
    <n v="375.47826845482081"/>
    <n v="337.93044160933874"/>
    <n v="300.38261476385668"/>
    <n v="300.38261476385668"/>
    <m/>
    <m/>
    <m/>
    <m/>
    <d v="1899-12-30T00:02:46"/>
    <m/>
    <m/>
    <m/>
    <m/>
    <m/>
    <m/>
    <m/>
    <m/>
    <m/>
    <m/>
    <n v="13.890651359793877"/>
    <n v="1000.126897905159"/>
    <n v="2.6044971299613517"/>
    <n v="3"/>
    <n v="260.20937738202338"/>
    <n v="494.37862539459638"/>
    <s v="Foreca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4F4AA-856F-4B6F-BC92-6A6FD8CCD7F0}" name="PivotTable2" cacheId="86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273" firstHeaderRow="0" firstDataRow="1" firstDataCol="2" rowPageCount="1" colPageCount="1"/>
  <pivotFields count="33">
    <pivotField compact="0" numFmtId="164" outline="0" showAll="0"/>
    <pivotField axis="axisPage" compact="0" outline="0" multipleItemSelectionAllowed="1" showAll="0">
      <items count="9">
        <item x="4"/>
        <item x="5"/>
        <item x="6"/>
        <item x="0"/>
        <item x="1"/>
        <item x="2"/>
        <item x="3"/>
        <item x="7"/>
        <item t="default"/>
      </items>
    </pivotField>
    <pivotField compact="0" outline="0" showAll="0"/>
    <pivotField compact="0" outline="0" showAll="0"/>
    <pivotField axis="axisRow" compact="0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outline="0" showAll="0"/>
    <pivotField compact="0" numFmtId="2" outline="0" showAll="0"/>
    <pivotField compact="0" numFmtId="2" outline="0" showAll="0"/>
    <pivotField compact="0" outline="0" showAll="0"/>
  </pivotFields>
  <rowFields count="2">
    <field x="5"/>
    <field x="4"/>
  </rowFields>
  <rowItems count="27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Incoming Call Volume (Actual (Outliers Refactored))" fld="6" baseField="0" baseItem="0"/>
    <dataField name="Forecasted Incoming Call Volume" fld="10" baseField="0" baseItem="0"/>
  </dataFields>
  <formats count="1"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CFF95-1C3A-46C1-AB7D-EE2559C77CE3}" name="PivotTable1" cacheId="860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E267" firstHeaderRow="0" firstDataRow="1" firstDataCol="2"/>
  <pivotFields count="33"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  <pivotField dataField="1" compact="0" numFmtId="2" outline="0" showAll="0" defaultSubtotal="0"/>
    <pivotField compact="0" outline="0" showAll="0" defaultSubtotal="0"/>
    <pivotField compact="0" numFmtId="2" outline="0" showAll="0" defaultSubtotal="0"/>
    <pivotField compact="0" numFmtId="2" outline="0" showAll="0" defaultSubtotal="0"/>
    <pivotField compact="0" outline="0" showAll="0" defaultSubtotal="0"/>
  </pivotFields>
  <rowFields count="2">
    <field x="5"/>
    <field x="4"/>
  </rowFields>
  <rowItems count="26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</rowItems>
  <colFields count="1">
    <field x="-2"/>
  </colFields>
  <colItems count="3">
    <i>
      <x/>
    </i>
    <i i="1">
      <x v="1"/>
    </i>
    <i i="2">
      <x v="2"/>
    </i>
  </colItems>
  <dataFields count="3">
    <dataField name=" Forecast Headcount" fld="28" baseField="0" baseItem="0" numFmtId="2"/>
    <dataField name=" Actual Heacount" fld="22" baseField="0" baseItem="0"/>
    <dataField name=" Required Headcount" fld="2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41145-3DC4-4D6E-8193-FEF110A8AA5D}" name="PivotTable2" cacheId="86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D273" firstHeaderRow="0" firstDataRow="1" firstDataCol="2"/>
  <pivotFields count="33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" outline="0" showAll="0"/>
    <pivotField compact="0" numFmtId="2" outline="0" showAll="0"/>
    <pivotField compact="0" outline="0" showAll="0"/>
  </pivotFields>
  <rowFields count="2">
    <field x="5"/>
    <field x="4"/>
  </rowFields>
  <rowItems count="27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Weekly Required Headcount Bin (Actual)" fld="25" subtotal="max" baseField="0" baseItem="0"/>
    <dataField name="Weekly Forecast Headcount Bin" fld="29" subtotal="max" baseField="0" baseItem="0"/>
  </dataFields>
  <formats count="1"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9434D-B605-4838-B019-7BF48C91DA86}" name="Table1" displayName="Table1" ref="A1:AG1775" totalsRowShown="0" headerRowDxfId="17" headerRowBorderDxfId="15" tableBorderDxfId="16">
  <autoFilter ref="A1:AG1775" xr:uid="{5EC9434D-B605-4838-B019-7BF48C91DA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81D6309B-883B-4EBC-BC53-F6D0ECED24AC}" name="Date" dataDxfId="14"/>
    <tableColumn id="32" xr3:uid="{4B034053-6765-4212-A69F-47168521234E}" name="Day" dataDxfId="13"/>
    <tableColumn id="10" xr3:uid="{7066197D-4C5C-4DD6-AB99-CA80DD5AF5E0}" name="Day2" dataDxfId="12">
      <calculatedColumnFormula>WEEKDAY(Table1[[#This Row],[Date]])</calculatedColumnFormula>
    </tableColumn>
    <tableColumn id="9" xr3:uid="{878A773E-39AC-4377-AE52-493E451B36BA}" name="Month" dataDxfId="11">
      <calculatedColumnFormula>MONTH(Table1[[#This Row],[Date]])</calculatedColumnFormula>
    </tableColumn>
    <tableColumn id="8" xr3:uid="{002B6222-3000-4B00-A214-9CD39C23E809}" name="Week" dataDxfId="10">
      <calculatedColumnFormula>WEEKNUM(Table1[[#This Row],[Date]])</calculatedColumnFormula>
    </tableColumn>
    <tableColumn id="7" xr3:uid="{CFD39DEF-E061-4B50-8415-DC21885B0BD8}" name="Year" dataDxfId="9">
      <calculatedColumnFormula>YEAR(Table1[[#This Row],[Date]])</calculatedColumnFormula>
    </tableColumn>
    <tableColumn id="2" xr3:uid="{483DA7E0-75A3-44C7-A31D-E68018FAE083}" name="Actual"/>
    <tableColumn id="3" xr3:uid="{01CA36ED-6035-4B74-9F4E-89FBA4F7BFFE}" name="Forecast"/>
    <tableColumn id="11" xr3:uid="{BE288183-3215-4F2B-9BD0-9195F4514AAF}" name="RevisedForecast 10% Recution" dataDxfId="8">
      <calculatedColumnFormula>Table1[[#This Row],[Forecast]]*0.9</calculatedColumnFormula>
    </tableColumn>
    <tableColumn id="13" xr3:uid="{1C863AE3-8192-47D6-B886-FD795F4190A8}" name="RevisedForecast 20% Recution"/>
    <tableColumn id="14" xr3:uid="{ABE7415A-CE1D-4CEA-A220-EC737D969EFB}" name="RevisedForecast 30% Recution2" dataDxfId="7">
      <calculatedColumnFormula>Table1[[#This Row],[Forecast]]*0.8</calculatedColumnFormula>
    </tableColumn>
    <tableColumn id="25" xr3:uid="{BAFEBC8A-BE27-45C0-964C-A7FF8DC0E2AF}" name="Answered Calls"/>
    <tableColumn id="26" xr3:uid="{A109E225-F744-4322-9FDC-DB8E094C1D50}" name="Answer Rate"/>
    <tableColumn id="27" xr3:uid="{3D600D34-F8FA-4389-9DF2-D634F8759E04}" name="Abandoned Calls"/>
    <tableColumn id="28" xr3:uid="{B0DCA629-5EC9-49AE-BC21-63F52C610094}" name="Answer Speed (AVG)"/>
    <tableColumn id="29" xr3:uid="{988C1F81-BADB-42BC-88D8-FA5396F0507F}" name="Talk Duration (AVG)"/>
    <tableColumn id="30" xr3:uid="{B21868A0-4E16-475D-A6B2-4F6D9863472A}" name="Waiting Time (AVG)"/>
    <tableColumn id="31" xr3:uid="{B22D0CE6-FF4A-4C1D-9C80-2BCE85CE3B8B}" name="Service Level (20 Seconds)"/>
    <tableColumn id="18" xr3:uid="{861A7973-CFE7-4BDF-B8D7-6C43ADC20F39}" name="Actual Workload hours"/>
    <tableColumn id="19" xr3:uid="{AC64AE7F-6F9E-4A34-AB8D-36FEA729F65D}" name="Actual Workload Minutes"/>
    <tableColumn id="20" xr3:uid="{357C5937-287C-48DF-8837-A6F650D5E3FA}" name="Required Workload Hours"/>
    <tableColumn id="21" xr3:uid="{A9CAB67E-2EC0-4FD9-91E5-CEAD123E6D76}" name="Required Workload Minutes"/>
    <tableColumn id="22" xr3:uid="{5CC149F1-9CEA-45AD-981B-B6E2A8CA9627}" name="Actual Heacount"/>
    <tableColumn id="23" xr3:uid="{55455298-9269-40C8-BCE1-DA3323276B6D}" name="Required Headcount"/>
    <tableColumn id="24" xr3:uid="{E2AA30C4-4277-401C-A060-A13E7B03F6B5}" name="Staff"/>
    <tableColumn id="15" xr3:uid="{7D531699-605C-42FD-A15C-E8E7E2ACB922}" name="Required Headcount Bin" dataDxfId="6">
      <calculatedColumnFormula>ROUNDUP(Table1[[#This Row],[Actual Heacount]],0)</calculatedColumnFormula>
    </tableColumn>
    <tableColumn id="33" xr3:uid="{37D39EF8-EB5E-42EA-A617-F59B7C900335}" name="Forecast Workload Hours" dataDxfId="5">
      <calculatedColumnFormula>CONVERT(Table1[[#This Row],[RevisedForecast 30% Recution2]]*Table1[[#This Row],[Talk Duration (AVG)]],"day","hr")</calculatedColumnFormula>
    </tableColumn>
    <tableColumn id="35" xr3:uid="{8BE6344E-6FAB-41EC-8C45-7516002CC172}" name="Forecast WOrkload Minutes" dataDxfId="4">
      <calculatedColumnFormula>Table1[[#This Row],[Forecast Workload Hours]]*60</calculatedColumnFormula>
    </tableColumn>
    <tableColumn id="36" xr3:uid="{7F80859E-F0D9-4B56-8C19-02FB1B486D24}" name="Forecast Headcount" dataDxfId="3">
      <calculatedColumnFormula>IF(Table1[[#This Row],[Forecast WOrkload Minutes]]&lt;384,1,Table1[[#This Row],[Forecast WOrkload Minutes]]/384)</calculatedColumnFormula>
    </tableColumn>
    <tableColumn id="16" xr3:uid="{F25D74BD-DD22-4868-83EE-0505040EFC60}" name="Forecast Headcount Bin" dataDxfId="2">
      <calculatedColumnFormula>ROUNDUP(Table1[[#This Row],[Forecast Headcount]],0)</calculatedColumnFormula>
    </tableColumn>
    <tableColumn id="4" xr3:uid="{46DD3BBB-702C-4D8D-A21B-C375A90AF028}" name="Lower_Bound" dataDxfId="1"/>
    <tableColumn id="5" xr3:uid="{8691FD23-E718-4BF8-ACB6-015FAE06C33A}" name="Upper_Bound" dataDxfId="0"/>
    <tableColumn id="6" xr3:uid="{FA66EC83-15BC-4E50-B38F-79512E4C5A4C}" name="Peri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75"/>
  <sheetViews>
    <sheetView topLeftCell="G1724" workbookViewId="0">
      <selection activeCell="AB1775" sqref="AB1775"/>
    </sheetView>
  </sheetViews>
  <sheetFormatPr defaultRowHeight="15"/>
  <cols>
    <col min="1" max="1" width="19" bestFit="1" customWidth="1"/>
    <col min="2" max="6" width="19" customWidth="1"/>
    <col min="8" max="8" width="10.7109375" bestFit="1" customWidth="1"/>
    <col min="9" max="22" width="10.7109375" customWidth="1"/>
    <col min="23" max="23" width="22.140625" customWidth="1"/>
    <col min="24" max="30" width="10.7109375" customWidth="1"/>
    <col min="31" max="32" width="15.5703125" bestFit="1" customWidth="1"/>
    <col min="33" max="33" width="9" bestFit="1" customWidth="1"/>
  </cols>
  <sheetData>
    <row r="1" spans="1:33" ht="45.7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16" t="s">
        <v>9</v>
      </c>
      <c r="K1" s="1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3" t="s">
        <v>30</v>
      </c>
      <c r="AF1" s="3" t="s">
        <v>31</v>
      </c>
      <c r="AG1" s="3" t="s">
        <v>32</v>
      </c>
    </row>
    <row r="2" spans="1:33">
      <c r="A2" s="2">
        <v>43831</v>
      </c>
      <c r="B2" s="5" t="s">
        <v>33</v>
      </c>
      <c r="C2" s="5">
        <f>WEEKDAY(Table1[[#This Row],[Date]])</f>
        <v>4</v>
      </c>
      <c r="D2" s="5">
        <f>MONTH(Table1[[#This Row],[Date]])</f>
        <v>1</v>
      </c>
      <c r="E2" s="5">
        <f>WEEKNUM(Table1[[#This Row],[Date]])</f>
        <v>1</v>
      </c>
      <c r="F2" s="5">
        <f>YEAR(Table1[[#This Row],[Date]])</f>
        <v>2020</v>
      </c>
      <c r="G2">
        <v>217</v>
      </c>
      <c r="L2" s="5">
        <v>204</v>
      </c>
      <c r="M2" s="6">
        <v>0.94010000000000005</v>
      </c>
      <c r="N2" s="5">
        <v>13</v>
      </c>
      <c r="O2" s="7">
        <v>1.9675925925925926E-4</v>
      </c>
      <c r="P2" s="7">
        <v>1.5509259259259259E-3</v>
      </c>
      <c r="Q2" s="7">
        <v>1.9097222222222222E-3</v>
      </c>
      <c r="R2" s="6">
        <v>0.76280000000000003</v>
      </c>
      <c r="S2" s="8">
        <f>CONVERT(Table1[[#This Row],[Talk Duration (AVG)]]*Table1[[#This Row],[Answered Calls]],"day","hr")</f>
        <v>7.5933333333333337</v>
      </c>
      <c r="T2" s="9">
        <f>Table1[[#This Row],[Actual Workload hours]]*60</f>
        <v>455.6</v>
      </c>
      <c r="U2" s="9">
        <f>CONVERT(Table1[[#This Row],[Actual]]*Table1[[#This Row],[Talk Duration (AVG)]],"day","hr")</f>
        <v>8.0772222222222219</v>
      </c>
      <c r="V2" s="10">
        <f>Table1[[#This Row],[Required Workload Hours]]*60</f>
        <v>484.63333333333333</v>
      </c>
      <c r="W2" s="9">
        <f>IF(T2&lt;384,1,(T2/384))</f>
        <v>1.1864583333333334</v>
      </c>
      <c r="X2" s="9">
        <f>IF(V2&lt;384,1,(V2/384))</f>
        <v>1.2620659722222223</v>
      </c>
      <c r="Y2" s="5">
        <f>IF(B2="Sunday",1,2)</f>
        <v>2</v>
      </c>
      <c r="Z2" s="8">
        <f>ROUNDUP(Table1[[#This Row],[Actual Heacount]],0)</f>
        <v>2</v>
      </c>
      <c r="AA2" s="8"/>
      <c r="AB2" s="10"/>
      <c r="AC2" s="10"/>
      <c r="AD2" s="10"/>
      <c r="AE2" s="11">
        <v>95.453797914284593</v>
      </c>
      <c r="AF2" s="11">
        <v>309.38970533774523</v>
      </c>
      <c r="AG2" t="s">
        <v>34</v>
      </c>
    </row>
    <row r="3" spans="1:33">
      <c r="A3" s="2">
        <v>43832</v>
      </c>
      <c r="B3" s="5" t="s">
        <v>35</v>
      </c>
      <c r="C3" s="5">
        <f>WEEKDAY(Table1[[#This Row],[Date]])</f>
        <v>5</v>
      </c>
      <c r="D3" s="5">
        <f>MONTH(Table1[[#This Row],[Date]])</f>
        <v>1</v>
      </c>
      <c r="E3" s="5">
        <f>WEEKNUM(Table1[[#This Row],[Date]])</f>
        <v>1</v>
      </c>
      <c r="F3" s="5">
        <f>YEAR(Table1[[#This Row],[Date]])</f>
        <v>2020</v>
      </c>
      <c r="G3">
        <v>143</v>
      </c>
      <c r="L3" s="5">
        <v>182</v>
      </c>
      <c r="M3" s="6">
        <v>0.91</v>
      </c>
      <c r="N3" s="5">
        <v>18</v>
      </c>
      <c r="O3" s="7">
        <v>2.3148148148148149E-4</v>
      </c>
      <c r="P3" s="7">
        <v>1.6435185185185185E-3</v>
      </c>
      <c r="Q3" s="7">
        <v>4.8032407407407407E-3</v>
      </c>
      <c r="R3" s="6">
        <v>0.72729999999999995</v>
      </c>
      <c r="S3" s="8">
        <f>CONVERT(Table1[[#This Row],[Talk Duration (AVG)]]*Table1[[#This Row],[Answered Calls]],"day","hr")</f>
        <v>7.1788888888888893</v>
      </c>
      <c r="T3" s="9">
        <f>Table1[[#This Row],[Actual Workload hours]]*60</f>
        <v>430.73333333333335</v>
      </c>
      <c r="U3" s="9">
        <f>CONVERT(Table1[[#This Row],[Actual]]*Table1[[#This Row],[Talk Duration (AVG)]],"day","hr")</f>
        <v>5.6405555555555553</v>
      </c>
      <c r="V3" s="10">
        <f>Table1[[#This Row],[Required Workload Hours]]*60</f>
        <v>338.43333333333334</v>
      </c>
      <c r="W3" s="9">
        <v>1.1200000000000001</v>
      </c>
      <c r="X3" s="9">
        <f t="shared" ref="X3:X66" si="0">IF(V3&lt;384,1,(V3/384))</f>
        <v>1</v>
      </c>
      <c r="Y3" s="5">
        <f t="shared" ref="Y3:Y66" si="1">IF(B3="Sunday",1,2)</f>
        <v>2</v>
      </c>
      <c r="Z3" s="8">
        <f>ROUNDUP(Table1[[#This Row],[Actual Heacount]],0)</f>
        <v>2</v>
      </c>
      <c r="AA3" s="8"/>
      <c r="AB3" s="10"/>
      <c r="AC3" s="10"/>
      <c r="AD3" s="10"/>
      <c r="AE3" s="11">
        <v>86.540583078228138</v>
      </c>
      <c r="AF3" s="11">
        <v>308.33992631595379</v>
      </c>
      <c r="AG3" t="s">
        <v>34</v>
      </c>
    </row>
    <row r="4" spans="1:33">
      <c r="A4" s="2">
        <v>43833</v>
      </c>
      <c r="B4" s="5" t="s">
        <v>36</v>
      </c>
      <c r="C4" s="5">
        <f>WEEKDAY(Table1[[#This Row],[Date]])</f>
        <v>6</v>
      </c>
      <c r="D4" s="5">
        <f>MONTH(Table1[[#This Row],[Date]])</f>
        <v>1</v>
      </c>
      <c r="E4" s="5">
        <f>WEEKNUM(Table1[[#This Row],[Date]])</f>
        <v>1</v>
      </c>
      <c r="F4" s="5">
        <f>YEAR(Table1[[#This Row],[Date]])</f>
        <v>2020</v>
      </c>
      <c r="G4">
        <v>57</v>
      </c>
      <c r="L4" s="5">
        <v>198</v>
      </c>
      <c r="M4" s="6">
        <v>0.91669999999999996</v>
      </c>
      <c r="N4" s="5">
        <v>18</v>
      </c>
      <c r="O4" s="7">
        <v>2.0833333333333335E-4</v>
      </c>
      <c r="P4" s="7">
        <v>1.8287037037037037E-3</v>
      </c>
      <c r="Q4" s="7">
        <v>2.662037037037037E-3</v>
      </c>
      <c r="R4" s="6">
        <v>0.74299999999999999</v>
      </c>
      <c r="S4" s="8">
        <f>CONVERT(Table1[[#This Row],[Talk Duration (AVG)]]*Table1[[#This Row],[Answered Calls]],"day","hr")</f>
        <v>8.69</v>
      </c>
      <c r="T4" s="9">
        <f>Table1[[#This Row],[Actual Workload hours]]*60</f>
        <v>521.4</v>
      </c>
      <c r="U4" s="9">
        <f>CONVERT(Table1[[#This Row],[Actual]]*Table1[[#This Row],[Talk Duration (AVG)]],"day","hr")</f>
        <v>2.5016666666666665</v>
      </c>
      <c r="V4" s="10">
        <f>Table1[[#This Row],[Required Workload Hours]]*60</f>
        <v>150.1</v>
      </c>
      <c r="W4" s="9">
        <v>1.36</v>
      </c>
      <c r="X4" s="9">
        <f t="shared" si="0"/>
        <v>1</v>
      </c>
      <c r="Y4" s="5">
        <f t="shared" si="1"/>
        <v>2</v>
      </c>
      <c r="Z4" s="8">
        <f>ROUNDUP(Table1[[#This Row],[Actual Heacount]],0)</f>
        <v>2</v>
      </c>
      <c r="AA4" s="8"/>
      <c r="AB4" s="10"/>
      <c r="AC4" s="10"/>
      <c r="AD4" s="10"/>
      <c r="AE4" s="11">
        <v>78.814662146181377</v>
      </c>
      <c r="AF4" s="11">
        <v>292.51781580365071</v>
      </c>
      <c r="AG4" t="s">
        <v>34</v>
      </c>
    </row>
    <row r="5" spans="1:33">
      <c r="A5" s="2">
        <v>43834</v>
      </c>
      <c r="B5" s="5" t="s">
        <v>37</v>
      </c>
      <c r="C5" s="5">
        <f>WEEKDAY(Table1[[#This Row],[Date]])</f>
        <v>7</v>
      </c>
      <c r="D5" s="5">
        <f>MONTH(Table1[[#This Row],[Date]])</f>
        <v>1</v>
      </c>
      <c r="E5" s="5">
        <f>WEEKNUM(Table1[[#This Row],[Date]])</f>
        <v>1</v>
      </c>
      <c r="F5" s="5">
        <f>YEAR(Table1[[#This Row],[Date]])</f>
        <v>2020</v>
      </c>
      <c r="G5">
        <v>18</v>
      </c>
      <c r="L5" s="5">
        <v>145</v>
      </c>
      <c r="M5" s="6">
        <v>0.9355</v>
      </c>
      <c r="N5" s="5">
        <v>10</v>
      </c>
      <c r="O5" s="7">
        <v>1.7361111111111112E-4</v>
      </c>
      <c r="P5" s="7">
        <v>1.724537037037037E-3</v>
      </c>
      <c r="Q5" s="7">
        <v>2.2222222222222222E-3</v>
      </c>
      <c r="R5" s="6">
        <v>0.79610000000000003</v>
      </c>
      <c r="S5" s="8">
        <f>CONVERT(Table1[[#This Row],[Talk Duration (AVG)]]*Table1[[#This Row],[Answered Calls]],"day","hr")</f>
        <v>6.0013888888888891</v>
      </c>
      <c r="T5" s="9">
        <f>Table1[[#This Row],[Actual Workload hours]]*60</f>
        <v>360.08333333333337</v>
      </c>
      <c r="U5" s="9">
        <f>CONVERT(Table1[[#This Row],[Actual]]*Table1[[#This Row],[Talk Duration (AVG)]],"day","hr")</f>
        <v>0.745</v>
      </c>
      <c r="V5" s="10">
        <f>Table1[[#This Row],[Required Workload Hours]]*60</f>
        <v>44.7</v>
      </c>
      <c r="W5" s="9">
        <v>1</v>
      </c>
      <c r="X5" s="9">
        <f t="shared" si="0"/>
        <v>1</v>
      </c>
      <c r="Y5" s="5">
        <f t="shared" si="1"/>
        <v>2</v>
      </c>
      <c r="Z5" s="8">
        <f>ROUNDUP(Table1[[#This Row],[Actual Heacount]],0)</f>
        <v>1</v>
      </c>
      <c r="AA5" s="8"/>
      <c r="AB5" s="10"/>
      <c r="AC5" s="10"/>
      <c r="AD5" s="10"/>
      <c r="AE5" s="11">
        <v>76.232357368642894</v>
      </c>
      <c r="AF5" s="11">
        <v>299.8796182456486</v>
      </c>
      <c r="AG5" t="s">
        <v>34</v>
      </c>
    </row>
    <row r="6" spans="1:33">
      <c r="A6" s="2">
        <v>43835</v>
      </c>
      <c r="B6" s="5" t="s">
        <v>38</v>
      </c>
      <c r="C6" s="5">
        <f>WEEKDAY(Table1[[#This Row],[Date]])</f>
        <v>1</v>
      </c>
      <c r="D6" s="5">
        <f>MONTH(Table1[[#This Row],[Date]])</f>
        <v>1</v>
      </c>
      <c r="E6" s="5">
        <f>WEEKNUM(Table1[[#This Row],[Date]])</f>
        <v>2</v>
      </c>
      <c r="F6" s="5">
        <f>YEAR(Table1[[#This Row],[Date]])</f>
        <v>2020</v>
      </c>
      <c r="G6">
        <v>98</v>
      </c>
      <c r="L6" s="5">
        <v>37</v>
      </c>
      <c r="M6" s="6">
        <v>1</v>
      </c>
      <c r="N6" s="5">
        <v>0</v>
      </c>
      <c r="O6" s="7">
        <v>3.4722222222222222E-5</v>
      </c>
      <c r="P6" s="7">
        <v>1.4583333333333334E-3</v>
      </c>
      <c r="Q6" s="7">
        <v>4.0509259259259258E-4</v>
      </c>
      <c r="R6" s="6">
        <v>0.97299999999999998</v>
      </c>
      <c r="S6" s="8">
        <f>CONVERT(Table1[[#This Row],[Talk Duration (AVG)]]*Table1[[#This Row],[Answered Calls]],"day","hr")</f>
        <v>1.2949999999999999</v>
      </c>
      <c r="T6" s="9">
        <f>Table1[[#This Row],[Actual Workload hours]]*60</f>
        <v>77.699999999999989</v>
      </c>
      <c r="U6" s="9">
        <f>CONVERT(Table1[[#This Row],[Actual]]*Table1[[#This Row],[Talk Duration (AVG)]],"day","hr")</f>
        <v>3.43</v>
      </c>
      <c r="V6" s="10">
        <f>Table1[[#This Row],[Required Workload Hours]]*60</f>
        <v>205.8</v>
      </c>
      <c r="W6" s="9">
        <v>1</v>
      </c>
      <c r="X6" s="9">
        <f t="shared" si="0"/>
        <v>1</v>
      </c>
      <c r="Y6" s="5">
        <f t="shared" si="1"/>
        <v>1</v>
      </c>
      <c r="Z6" s="8">
        <f>ROUNDUP(Table1[[#This Row],[Actual Heacount]],0)</f>
        <v>1</v>
      </c>
      <c r="AA6" s="8"/>
      <c r="AB6" s="10"/>
      <c r="AC6" s="10"/>
      <c r="AD6" s="10"/>
      <c r="AE6" s="11">
        <v>-8.0739010780395866</v>
      </c>
      <c r="AF6" s="11">
        <v>217.86183840602899</v>
      </c>
      <c r="AG6" t="s">
        <v>34</v>
      </c>
    </row>
    <row r="7" spans="1:33">
      <c r="A7" s="2">
        <v>43836</v>
      </c>
      <c r="B7" s="5" t="s">
        <v>39</v>
      </c>
      <c r="C7" s="5">
        <f>WEEKDAY(Table1[[#This Row],[Date]])</f>
        <v>2</v>
      </c>
      <c r="D7" s="5">
        <f>MONTH(Table1[[#This Row],[Date]])</f>
        <v>1</v>
      </c>
      <c r="E7" s="5">
        <f>WEEKNUM(Table1[[#This Row],[Date]])</f>
        <v>2</v>
      </c>
      <c r="F7" s="5">
        <f>YEAR(Table1[[#This Row],[Date]])</f>
        <v>2020</v>
      </c>
      <c r="G7">
        <v>157</v>
      </c>
      <c r="L7" s="5">
        <v>304</v>
      </c>
      <c r="M7" s="6">
        <v>0.96509999999999996</v>
      </c>
      <c r="N7" s="5">
        <v>11</v>
      </c>
      <c r="O7" s="7">
        <v>2.0833333333333335E-4</v>
      </c>
      <c r="P7" s="7">
        <v>1.0995370370370371E-3</v>
      </c>
      <c r="Q7" s="7">
        <v>1.8171296296296297E-3</v>
      </c>
      <c r="R7" s="6">
        <v>0.77170000000000005</v>
      </c>
      <c r="S7" s="8">
        <f>CONVERT(Table1[[#This Row],[Talk Duration (AVG)]]*Table1[[#This Row],[Answered Calls]],"day","hr")</f>
        <v>8.0222222222222221</v>
      </c>
      <c r="T7" s="9">
        <f>Table1[[#This Row],[Actual Workload hours]]*60</f>
        <v>481.33333333333331</v>
      </c>
      <c r="U7" s="9">
        <f>CONVERT(Table1[[#This Row],[Actual]]*Table1[[#This Row],[Talk Duration (AVG)]],"day","hr")</f>
        <v>4.1430555555555557</v>
      </c>
      <c r="V7" s="10">
        <f>Table1[[#This Row],[Required Workload Hours]]*60</f>
        <v>248.58333333333334</v>
      </c>
      <c r="W7" s="9">
        <v>1.25</v>
      </c>
      <c r="X7" s="9">
        <f t="shared" si="0"/>
        <v>1</v>
      </c>
      <c r="Y7" s="5">
        <f t="shared" si="1"/>
        <v>2</v>
      </c>
      <c r="Z7" s="8">
        <f>ROUNDUP(Table1[[#This Row],[Actual Heacount]],0)</f>
        <v>2</v>
      </c>
      <c r="AA7" s="8"/>
      <c r="AB7" s="10"/>
      <c r="AC7" s="10"/>
      <c r="AD7" s="10"/>
      <c r="AE7" s="11">
        <v>97.461966406411534</v>
      </c>
      <c r="AF7" s="11">
        <v>315.19412407611009</v>
      </c>
      <c r="AG7" t="s">
        <v>34</v>
      </c>
    </row>
    <row r="8" spans="1:33">
      <c r="A8" s="2">
        <v>43837</v>
      </c>
      <c r="B8" s="5" t="s">
        <v>40</v>
      </c>
      <c r="C8" s="5">
        <f>WEEKDAY(Table1[[#This Row],[Date]])</f>
        <v>3</v>
      </c>
      <c r="D8" s="5">
        <f>MONTH(Table1[[#This Row],[Date]])</f>
        <v>1</v>
      </c>
      <c r="E8" s="5">
        <f>WEEKNUM(Table1[[#This Row],[Date]])</f>
        <v>2</v>
      </c>
      <c r="F8" s="5">
        <f>YEAR(Table1[[#This Row],[Date]])</f>
        <v>2020</v>
      </c>
      <c r="G8">
        <v>191</v>
      </c>
      <c r="L8" s="5">
        <v>244</v>
      </c>
      <c r="M8" s="6">
        <v>0.96830000000000005</v>
      </c>
      <c r="N8" s="5">
        <v>8</v>
      </c>
      <c r="O8" s="7">
        <v>1.5046296296296297E-4</v>
      </c>
      <c r="P8" s="7">
        <v>1.2731481481481483E-3</v>
      </c>
      <c r="Q8" s="7">
        <v>1.4120370370370369E-3</v>
      </c>
      <c r="R8" s="6">
        <v>0.82</v>
      </c>
      <c r="S8" s="8">
        <f>CONVERT(Table1[[#This Row],[Talk Duration (AVG)]]*Table1[[#This Row],[Answered Calls]],"day","hr")</f>
        <v>7.4555555555555566</v>
      </c>
      <c r="T8" s="9">
        <f>Table1[[#This Row],[Actual Workload hours]]*60</f>
        <v>447.33333333333337</v>
      </c>
      <c r="U8" s="9">
        <f>CONVERT(Table1[[#This Row],[Actual]]*Table1[[#This Row],[Talk Duration (AVG)]],"day","hr")</f>
        <v>5.8361111111111112</v>
      </c>
      <c r="V8" s="10">
        <f>Table1[[#This Row],[Required Workload Hours]]*60</f>
        <v>350.16666666666669</v>
      </c>
      <c r="W8" s="9">
        <v>1.1599999999999999</v>
      </c>
      <c r="X8" s="9">
        <f t="shared" si="0"/>
        <v>1</v>
      </c>
      <c r="Y8" s="5">
        <f t="shared" si="1"/>
        <v>2</v>
      </c>
      <c r="Z8" s="8">
        <f>ROUNDUP(Table1[[#This Row],[Actual Heacount]],0)</f>
        <v>2</v>
      </c>
      <c r="AA8" s="8"/>
      <c r="AB8" s="10"/>
      <c r="AC8" s="10"/>
      <c r="AD8" s="10"/>
      <c r="AE8" s="11">
        <v>69.083797189535105</v>
      </c>
      <c r="AF8" s="11">
        <v>296.41772599791108</v>
      </c>
      <c r="AG8" t="s">
        <v>34</v>
      </c>
    </row>
    <row r="9" spans="1:33">
      <c r="A9" s="2">
        <v>43838</v>
      </c>
      <c r="B9" s="5" t="s">
        <v>33</v>
      </c>
      <c r="C9" s="5">
        <f>WEEKDAY(Table1[[#This Row],[Date]])</f>
        <v>4</v>
      </c>
      <c r="D9" s="5">
        <f>MONTH(Table1[[#This Row],[Date]])</f>
        <v>1</v>
      </c>
      <c r="E9" s="5">
        <f>WEEKNUM(Table1[[#This Row],[Date]])</f>
        <v>2</v>
      </c>
      <c r="F9" s="5">
        <f>YEAR(Table1[[#This Row],[Date]])</f>
        <v>2020</v>
      </c>
      <c r="G9">
        <v>155</v>
      </c>
      <c r="L9" s="5">
        <v>205</v>
      </c>
      <c r="M9" s="6">
        <v>0.96240000000000003</v>
      </c>
      <c r="N9" s="5">
        <v>8</v>
      </c>
      <c r="O9" s="7">
        <v>1.1574074074074075E-4</v>
      </c>
      <c r="P9" s="7">
        <v>1.5046296296296296E-3</v>
      </c>
      <c r="Q9" s="7">
        <v>2.3379629629629631E-3</v>
      </c>
      <c r="R9" s="6">
        <v>0.88100000000000001</v>
      </c>
      <c r="S9" s="8">
        <f>CONVERT(Table1[[#This Row],[Talk Duration (AVG)]]*Table1[[#This Row],[Answered Calls]],"day","hr")</f>
        <v>7.4027777777777777</v>
      </c>
      <c r="T9" s="9">
        <f>Table1[[#This Row],[Actual Workload hours]]*60</f>
        <v>444.16666666666669</v>
      </c>
      <c r="U9" s="9">
        <f>CONVERT(Table1[[#This Row],[Actual]]*Table1[[#This Row],[Talk Duration (AVG)]],"day","hr")</f>
        <v>5.5972222222222223</v>
      </c>
      <c r="V9" s="10">
        <f>Table1[[#This Row],[Required Workload Hours]]*60</f>
        <v>335.83333333333331</v>
      </c>
      <c r="W9" s="9">
        <v>1.1599999999999999</v>
      </c>
      <c r="X9" s="9">
        <f t="shared" si="0"/>
        <v>1</v>
      </c>
      <c r="Y9" s="5">
        <f t="shared" si="1"/>
        <v>2</v>
      </c>
      <c r="Z9" s="8">
        <f>ROUNDUP(Table1[[#This Row],[Actual Heacount]],0)</f>
        <v>2</v>
      </c>
      <c r="AA9" s="8"/>
      <c r="AB9" s="10"/>
      <c r="AC9" s="10"/>
      <c r="AD9" s="10"/>
      <c r="AE9" s="11">
        <v>92.955953824277927</v>
      </c>
      <c r="AF9" s="11">
        <v>322.07673812868342</v>
      </c>
      <c r="AG9" t="s">
        <v>34</v>
      </c>
    </row>
    <row r="10" spans="1:33">
      <c r="A10" s="2">
        <v>43839</v>
      </c>
      <c r="B10" s="5" t="s">
        <v>35</v>
      </c>
      <c r="C10" s="5">
        <f>WEEKDAY(Table1[[#This Row],[Date]])</f>
        <v>5</v>
      </c>
      <c r="D10" s="5">
        <f>MONTH(Table1[[#This Row],[Date]])</f>
        <v>1</v>
      </c>
      <c r="E10" s="5">
        <f>WEEKNUM(Table1[[#This Row],[Date]])</f>
        <v>2</v>
      </c>
      <c r="F10" s="5">
        <f>YEAR(Table1[[#This Row],[Date]])</f>
        <v>2020</v>
      </c>
      <c r="G10">
        <v>199</v>
      </c>
      <c r="L10" s="5">
        <v>200</v>
      </c>
      <c r="M10" s="6">
        <v>0.91320000000000001</v>
      </c>
      <c r="N10" s="5">
        <v>19</v>
      </c>
      <c r="O10" s="7">
        <v>1.7361111111111112E-4</v>
      </c>
      <c r="P10" s="7">
        <v>1.5972222222222223E-3</v>
      </c>
      <c r="Q10" s="7">
        <v>4.3055555555555555E-3</v>
      </c>
      <c r="R10" s="6">
        <v>0.79449999999999998</v>
      </c>
      <c r="S10" s="8">
        <f>CONVERT(Table1[[#This Row],[Talk Duration (AVG)]]*Table1[[#This Row],[Answered Calls]],"day","hr")</f>
        <v>7.6666666666666679</v>
      </c>
      <c r="T10" s="9">
        <f>Table1[[#This Row],[Actual Workload hours]]*60</f>
        <v>460.00000000000006</v>
      </c>
      <c r="U10" s="9">
        <f>CONVERT(Table1[[#This Row],[Actual]]*Table1[[#This Row],[Talk Duration (AVG)]],"day","hr")</f>
        <v>7.628333333333333</v>
      </c>
      <c r="V10" s="10">
        <f>Table1[[#This Row],[Required Workload Hours]]*60</f>
        <v>457.7</v>
      </c>
      <c r="W10" s="9">
        <v>1.2</v>
      </c>
      <c r="X10" s="9">
        <f t="shared" si="0"/>
        <v>1.1919270833333333</v>
      </c>
      <c r="Y10" s="5">
        <f t="shared" si="1"/>
        <v>2</v>
      </c>
      <c r="Z10" s="8">
        <f>ROUNDUP(Table1[[#This Row],[Actual Heacount]],0)</f>
        <v>2</v>
      </c>
      <c r="AA10" s="8"/>
      <c r="AB10" s="10"/>
      <c r="AC10" s="10"/>
      <c r="AD10" s="10"/>
      <c r="AE10" s="11">
        <v>79.49000955558202</v>
      </c>
      <c r="AF10" s="11">
        <v>306.52696503595638</v>
      </c>
      <c r="AG10" t="s">
        <v>34</v>
      </c>
    </row>
    <row r="11" spans="1:33">
      <c r="A11" s="2">
        <v>43840</v>
      </c>
      <c r="B11" s="5" t="s">
        <v>36</v>
      </c>
      <c r="C11" s="5">
        <f>WEEKDAY(Table1[[#This Row],[Date]])</f>
        <v>6</v>
      </c>
      <c r="D11" s="5">
        <f>MONTH(Table1[[#This Row],[Date]])</f>
        <v>1</v>
      </c>
      <c r="E11" s="5">
        <f>WEEKNUM(Table1[[#This Row],[Date]])</f>
        <v>2</v>
      </c>
      <c r="F11" s="5">
        <f>YEAR(Table1[[#This Row],[Date]])</f>
        <v>2020</v>
      </c>
      <c r="G11">
        <v>184</v>
      </c>
      <c r="L11" s="5">
        <v>348</v>
      </c>
      <c r="M11" s="6">
        <v>0.93799999999999994</v>
      </c>
      <c r="N11" s="5">
        <v>23</v>
      </c>
      <c r="O11" s="7">
        <v>2.199074074074074E-4</v>
      </c>
      <c r="P11" s="7">
        <v>1.1574074074074073E-3</v>
      </c>
      <c r="Q11" s="7">
        <v>2.4189814814814816E-3</v>
      </c>
      <c r="R11" s="6">
        <v>0.73629999999999995</v>
      </c>
      <c r="S11" s="8">
        <f>CONVERT(Table1[[#This Row],[Talk Duration (AVG)]]*Table1[[#This Row],[Answered Calls]],"day","hr")</f>
        <v>9.6666666666666643</v>
      </c>
      <c r="T11" s="9">
        <f>Table1[[#This Row],[Actual Workload hours]]*60</f>
        <v>579.99999999999989</v>
      </c>
      <c r="U11" s="9">
        <f>CONVERT(Table1[[#This Row],[Actual]]*Table1[[#This Row],[Talk Duration (AVG)]],"day","hr")</f>
        <v>5.1111111111111107</v>
      </c>
      <c r="V11" s="10">
        <f>Table1[[#This Row],[Required Workload Hours]]*60</f>
        <v>306.66666666666663</v>
      </c>
      <c r="W11" s="9">
        <v>1.51</v>
      </c>
      <c r="X11" s="9">
        <f t="shared" si="0"/>
        <v>1</v>
      </c>
      <c r="Y11" s="5">
        <f t="shared" si="1"/>
        <v>2</v>
      </c>
      <c r="Z11" s="8">
        <f>ROUNDUP(Table1[[#This Row],[Actual Heacount]],0)</f>
        <v>2</v>
      </c>
      <c r="AA11" s="8"/>
      <c r="AB11" s="10"/>
      <c r="AC11" s="10"/>
      <c r="AD11" s="10"/>
      <c r="AE11" s="11">
        <v>71.547494314795202</v>
      </c>
      <c r="AF11" s="11">
        <v>292.6199702137568</v>
      </c>
      <c r="AG11" t="s">
        <v>34</v>
      </c>
    </row>
    <row r="12" spans="1:33">
      <c r="A12" s="2">
        <v>43841</v>
      </c>
      <c r="B12" s="5" t="s">
        <v>37</v>
      </c>
      <c r="C12" s="5">
        <f>WEEKDAY(Table1[[#This Row],[Date]])</f>
        <v>7</v>
      </c>
      <c r="D12" s="5">
        <f>MONTH(Table1[[#This Row],[Date]])</f>
        <v>1</v>
      </c>
      <c r="E12" s="5">
        <f>WEEKNUM(Table1[[#This Row],[Date]])</f>
        <v>2</v>
      </c>
      <c r="F12" s="5">
        <f>YEAR(Table1[[#This Row],[Date]])</f>
        <v>2020</v>
      </c>
      <c r="G12">
        <v>39</v>
      </c>
      <c r="L12" s="5">
        <v>164</v>
      </c>
      <c r="M12" s="6">
        <v>0.98799999999999999</v>
      </c>
      <c r="N12" s="5">
        <v>2</v>
      </c>
      <c r="O12" s="7">
        <v>1.3888888888888889E-4</v>
      </c>
      <c r="P12" s="7">
        <v>1.5046296296296296E-3</v>
      </c>
      <c r="Q12" s="7">
        <v>1.9212962962962964E-3</v>
      </c>
      <c r="R12" s="6">
        <v>0.81330000000000002</v>
      </c>
      <c r="S12" s="8">
        <f>CONVERT(Table1[[#This Row],[Talk Duration (AVG)]]*Table1[[#This Row],[Answered Calls]],"day","hr")</f>
        <v>5.9222222222222225</v>
      </c>
      <c r="T12" s="9">
        <f>Table1[[#This Row],[Actual Workload hours]]*60</f>
        <v>355.33333333333337</v>
      </c>
      <c r="U12" s="9">
        <f>CONVERT(Table1[[#This Row],[Actual]]*Table1[[#This Row],[Talk Duration (AVG)]],"day","hr")</f>
        <v>1.4083333333333334</v>
      </c>
      <c r="V12" s="10">
        <f>Table1[[#This Row],[Required Workload Hours]]*60</f>
        <v>84.5</v>
      </c>
      <c r="W12" s="9">
        <v>1</v>
      </c>
      <c r="X12" s="9">
        <f t="shared" si="0"/>
        <v>1</v>
      </c>
      <c r="Y12" s="5">
        <f t="shared" si="1"/>
        <v>2</v>
      </c>
      <c r="Z12" s="8">
        <f>ROUNDUP(Table1[[#This Row],[Actual Heacount]],0)</f>
        <v>1</v>
      </c>
      <c r="AA12" s="8"/>
      <c r="AB12" s="10"/>
      <c r="AC12" s="10"/>
      <c r="AD12" s="10"/>
      <c r="AE12" s="11">
        <v>77.95808226954999</v>
      </c>
      <c r="AF12" s="11">
        <v>294.56844855098581</v>
      </c>
      <c r="AG12" t="s">
        <v>34</v>
      </c>
    </row>
    <row r="13" spans="1:33">
      <c r="A13" s="2">
        <v>43842</v>
      </c>
      <c r="B13" s="5" t="s">
        <v>38</v>
      </c>
      <c r="C13" s="5">
        <f>WEEKDAY(Table1[[#This Row],[Date]])</f>
        <v>1</v>
      </c>
      <c r="D13" s="5">
        <f>MONTH(Table1[[#This Row],[Date]])</f>
        <v>1</v>
      </c>
      <c r="E13" s="5">
        <f>WEEKNUM(Table1[[#This Row],[Date]])</f>
        <v>3</v>
      </c>
      <c r="F13" s="5">
        <f>YEAR(Table1[[#This Row],[Date]])</f>
        <v>2020</v>
      </c>
      <c r="G13">
        <v>307</v>
      </c>
      <c r="L13" s="5">
        <v>32</v>
      </c>
      <c r="M13" s="6">
        <v>1</v>
      </c>
      <c r="N13" s="5">
        <v>0</v>
      </c>
      <c r="O13" s="7">
        <v>2.3148148148148147E-5</v>
      </c>
      <c r="P13" s="7">
        <v>1.4236111111111112E-3</v>
      </c>
      <c r="Q13" s="7">
        <v>3.4722222222222222E-5</v>
      </c>
      <c r="R13" s="6">
        <v>1</v>
      </c>
      <c r="S13" s="8">
        <f>CONVERT(Table1[[#This Row],[Talk Duration (AVG)]]*Table1[[#This Row],[Answered Calls]],"day","hr")</f>
        <v>1.0933333333333333</v>
      </c>
      <c r="T13" s="9">
        <f>Table1[[#This Row],[Actual Workload hours]]*60</f>
        <v>65.599999999999994</v>
      </c>
      <c r="U13" s="9">
        <f>CONVERT(Table1[[#This Row],[Actual]]*Table1[[#This Row],[Talk Duration (AVG)]],"day","hr")</f>
        <v>10.489166666666666</v>
      </c>
      <c r="V13" s="10">
        <f>Table1[[#This Row],[Required Workload Hours]]*60</f>
        <v>629.34999999999991</v>
      </c>
      <c r="W13" s="9">
        <v>1</v>
      </c>
      <c r="X13" s="9">
        <f t="shared" si="0"/>
        <v>1.6389322916666664</v>
      </c>
      <c r="Y13" s="5">
        <f t="shared" si="1"/>
        <v>1</v>
      </c>
      <c r="Z13" s="8">
        <f>ROUNDUP(Table1[[#This Row],[Actual Heacount]],0)</f>
        <v>1</v>
      </c>
      <c r="AA13" s="8"/>
      <c r="AB13" s="10"/>
      <c r="AC13" s="10"/>
      <c r="AD13" s="10"/>
      <c r="AE13" s="11">
        <v>-2.104579166150963</v>
      </c>
      <c r="AF13" s="11">
        <v>216.05523658479959</v>
      </c>
      <c r="AG13" t="s">
        <v>34</v>
      </c>
    </row>
    <row r="14" spans="1:33">
      <c r="A14" s="2">
        <v>43843</v>
      </c>
      <c r="B14" s="5" t="s">
        <v>39</v>
      </c>
      <c r="C14" s="5">
        <f>WEEKDAY(Table1[[#This Row],[Date]])</f>
        <v>2</v>
      </c>
      <c r="D14" s="5">
        <f>MONTH(Table1[[#This Row],[Date]])</f>
        <v>1</v>
      </c>
      <c r="E14" s="5">
        <f>WEEKNUM(Table1[[#This Row],[Date]])</f>
        <v>3</v>
      </c>
      <c r="F14" s="5">
        <f>YEAR(Table1[[#This Row],[Date]])</f>
        <v>2020</v>
      </c>
      <c r="G14">
        <v>231</v>
      </c>
      <c r="L14" s="5">
        <v>222</v>
      </c>
      <c r="M14" s="6">
        <v>0.96099999999999997</v>
      </c>
      <c r="N14" s="5">
        <v>9</v>
      </c>
      <c r="O14" s="7">
        <v>9.2592592592592588E-5</v>
      </c>
      <c r="P14" s="7">
        <v>1.261574074074074E-3</v>
      </c>
      <c r="Q14" s="7">
        <v>1.5972222222222223E-3</v>
      </c>
      <c r="R14" s="6">
        <v>0.86460000000000004</v>
      </c>
      <c r="S14" s="8">
        <f>CONVERT(Table1[[#This Row],[Talk Duration (AVG)]]*Table1[[#This Row],[Answered Calls]],"day","hr")</f>
        <v>6.7216666666666667</v>
      </c>
      <c r="T14" s="9">
        <f>Table1[[#This Row],[Actual Workload hours]]*60</f>
        <v>403.3</v>
      </c>
      <c r="U14" s="9">
        <f>CONVERT(Table1[[#This Row],[Actual]]*Table1[[#This Row],[Talk Duration (AVG)]],"day","hr")</f>
        <v>6.9941666666666666</v>
      </c>
      <c r="V14" s="10">
        <f>Table1[[#This Row],[Required Workload Hours]]*60</f>
        <v>419.65</v>
      </c>
      <c r="W14" s="9">
        <v>1.05</v>
      </c>
      <c r="X14" s="9">
        <f t="shared" si="0"/>
        <v>1.0928385416666666</v>
      </c>
      <c r="Y14" s="5">
        <f t="shared" si="1"/>
        <v>2</v>
      </c>
      <c r="Z14" s="8">
        <f>ROUNDUP(Table1[[#This Row],[Actual Heacount]],0)</f>
        <v>2</v>
      </c>
      <c r="AA14" s="8"/>
      <c r="AB14" s="10"/>
      <c r="AC14" s="10"/>
      <c r="AD14" s="10"/>
      <c r="AE14" s="11">
        <v>92.135613368821211</v>
      </c>
      <c r="AF14" s="11">
        <v>307.38897185353773</v>
      </c>
      <c r="AG14" t="s">
        <v>34</v>
      </c>
    </row>
    <row r="15" spans="1:33">
      <c r="A15" s="2">
        <v>43844</v>
      </c>
      <c r="B15" s="5" t="s">
        <v>40</v>
      </c>
      <c r="C15" s="5">
        <f>WEEKDAY(Table1[[#This Row],[Date]])</f>
        <v>3</v>
      </c>
      <c r="D15" s="5">
        <f>MONTH(Table1[[#This Row],[Date]])</f>
        <v>1</v>
      </c>
      <c r="E15" s="5">
        <f>WEEKNUM(Table1[[#This Row],[Date]])</f>
        <v>3</v>
      </c>
      <c r="F15" s="5">
        <f>YEAR(Table1[[#This Row],[Date]])</f>
        <v>2020</v>
      </c>
      <c r="G15">
        <v>205</v>
      </c>
      <c r="L15" s="5">
        <v>197</v>
      </c>
      <c r="M15" s="6">
        <v>0.96099999999999997</v>
      </c>
      <c r="N15" s="5">
        <v>8</v>
      </c>
      <c r="O15" s="7">
        <v>8.1018518518518516E-5</v>
      </c>
      <c r="P15" s="7">
        <v>1.2962962962962963E-3</v>
      </c>
      <c r="Q15" s="7">
        <v>1.9444444444444444E-3</v>
      </c>
      <c r="R15" s="6">
        <v>0.92610000000000003</v>
      </c>
      <c r="S15" s="8">
        <f>CONVERT(Table1[[#This Row],[Talk Duration (AVG)]]*Table1[[#This Row],[Answered Calls]],"day","hr")</f>
        <v>6.1288888888888886</v>
      </c>
      <c r="T15" s="9">
        <f>Table1[[#This Row],[Actual Workload hours]]*60</f>
        <v>367.73333333333329</v>
      </c>
      <c r="U15" s="9">
        <f>CONVERT(Table1[[#This Row],[Actual]]*Table1[[#This Row],[Talk Duration (AVG)]],"day","hr")</f>
        <v>6.3777777777777782</v>
      </c>
      <c r="V15" s="10">
        <f>Table1[[#This Row],[Required Workload Hours]]*60</f>
        <v>382.66666666666669</v>
      </c>
      <c r="W15" s="9">
        <v>1</v>
      </c>
      <c r="X15" s="9">
        <f t="shared" si="0"/>
        <v>1</v>
      </c>
      <c r="Y15" s="5">
        <f t="shared" si="1"/>
        <v>2</v>
      </c>
      <c r="Z15" s="8">
        <f>ROUNDUP(Table1[[#This Row],[Actual Heacount]],0)</f>
        <v>1</v>
      </c>
      <c r="AA15" s="8"/>
      <c r="AB15" s="10"/>
      <c r="AC15" s="10"/>
      <c r="AD15" s="10"/>
      <c r="AE15" s="11">
        <v>72.666902338622535</v>
      </c>
      <c r="AF15" s="11">
        <v>301.22147806428649</v>
      </c>
      <c r="AG15" t="s">
        <v>34</v>
      </c>
    </row>
    <row r="16" spans="1:33">
      <c r="A16" s="2">
        <v>43845</v>
      </c>
      <c r="B16" s="5" t="s">
        <v>33</v>
      </c>
      <c r="C16" s="5">
        <f>WEEKDAY(Table1[[#This Row],[Date]])</f>
        <v>4</v>
      </c>
      <c r="D16" s="5">
        <f>MONTH(Table1[[#This Row],[Date]])</f>
        <v>1</v>
      </c>
      <c r="E16" s="5">
        <f>WEEKNUM(Table1[[#This Row],[Date]])</f>
        <v>3</v>
      </c>
      <c r="F16" s="5">
        <f>YEAR(Table1[[#This Row],[Date]])</f>
        <v>2020</v>
      </c>
      <c r="G16">
        <v>338</v>
      </c>
      <c r="L16" s="5">
        <v>313</v>
      </c>
      <c r="M16" s="6">
        <v>0.92600000000000005</v>
      </c>
      <c r="N16" s="5">
        <v>25</v>
      </c>
      <c r="O16" s="7">
        <v>1.5046296296296297E-4</v>
      </c>
      <c r="P16" s="7">
        <v>1.2847222222222223E-3</v>
      </c>
      <c r="Q16" s="7">
        <v>2.5462962962962965E-3</v>
      </c>
      <c r="R16" s="6">
        <v>0.80059999999999998</v>
      </c>
      <c r="S16" s="8">
        <f>CONVERT(Table1[[#This Row],[Talk Duration (AVG)]]*Table1[[#This Row],[Answered Calls]],"day","hr")</f>
        <v>9.6508333333333329</v>
      </c>
      <c r="T16" s="9">
        <f>Table1[[#This Row],[Actual Workload hours]]*60</f>
        <v>579.04999999999995</v>
      </c>
      <c r="U16" s="9">
        <f>CONVERT(Table1[[#This Row],[Actual]]*Table1[[#This Row],[Talk Duration (AVG)]],"day","hr")</f>
        <v>10.421666666666667</v>
      </c>
      <c r="V16" s="10">
        <f>Table1[[#This Row],[Required Workload Hours]]*60</f>
        <v>625.29999999999995</v>
      </c>
      <c r="W16" s="9">
        <v>1.51</v>
      </c>
      <c r="X16" s="9">
        <f t="shared" si="0"/>
        <v>1.6283854166666665</v>
      </c>
      <c r="Y16" s="5">
        <f t="shared" si="1"/>
        <v>2</v>
      </c>
      <c r="Z16" s="8">
        <f>ROUNDUP(Table1[[#This Row],[Actual Heacount]],0)</f>
        <v>2</v>
      </c>
      <c r="AA16" s="8"/>
      <c r="AB16" s="10"/>
      <c r="AC16" s="10"/>
      <c r="AD16" s="10"/>
      <c r="AE16" s="11">
        <v>81.050451488626294</v>
      </c>
      <c r="AF16" s="11">
        <v>311.0093706678058</v>
      </c>
      <c r="AG16" t="s">
        <v>34</v>
      </c>
    </row>
    <row r="17" spans="1:33">
      <c r="A17" s="2">
        <v>43846</v>
      </c>
      <c r="B17" s="5" t="s">
        <v>35</v>
      </c>
      <c r="C17" s="5">
        <f>WEEKDAY(Table1[[#This Row],[Date]])</f>
        <v>5</v>
      </c>
      <c r="D17" s="5">
        <f>MONTH(Table1[[#This Row],[Date]])</f>
        <v>1</v>
      </c>
      <c r="E17" s="5">
        <f>WEEKNUM(Table1[[#This Row],[Date]])</f>
        <v>3</v>
      </c>
      <c r="F17" s="5">
        <f>YEAR(Table1[[#This Row],[Date]])</f>
        <v>2020</v>
      </c>
      <c r="G17">
        <v>180</v>
      </c>
      <c r="L17" s="5">
        <v>174</v>
      </c>
      <c r="M17" s="6">
        <v>0.9667</v>
      </c>
      <c r="N17" s="5">
        <v>6</v>
      </c>
      <c r="O17" s="7">
        <v>1.5046296296296297E-4</v>
      </c>
      <c r="P17" s="7">
        <v>1.5972222222222223E-3</v>
      </c>
      <c r="Q17" s="7">
        <v>2.3842592592592591E-3</v>
      </c>
      <c r="R17" s="6">
        <v>0.83799999999999997</v>
      </c>
      <c r="S17" s="8">
        <f>CONVERT(Table1[[#This Row],[Talk Duration (AVG)]]*Table1[[#This Row],[Answered Calls]],"day","hr")</f>
        <v>6.6700000000000008</v>
      </c>
      <c r="T17" s="9">
        <f>Table1[[#This Row],[Actual Workload hours]]*60</f>
        <v>400.20000000000005</v>
      </c>
      <c r="U17" s="9">
        <f>CONVERT(Table1[[#This Row],[Actual]]*Table1[[#This Row],[Talk Duration (AVG)]],"day","hr")</f>
        <v>6.9000000000000012</v>
      </c>
      <c r="V17" s="10">
        <f>Table1[[#This Row],[Required Workload Hours]]*60</f>
        <v>414.00000000000006</v>
      </c>
      <c r="W17" s="9">
        <v>1.04</v>
      </c>
      <c r="X17" s="9">
        <f t="shared" si="0"/>
        <v>1.0781250000000002</v>
      </c>
      <c r="Y17" s="5">
        <f t="shared" si="1"/>
        <v>2</v>
      </c>
      <c r="Z17" s="8">
        <f>ROUNDUP(Table1[[#This Row],[Actual Heacount]],0)</f>
        <v>2</v>
      </c>
      <c r="AA17" s="8"/>
      <c r="AB17" s="10"/>
      <c r="AC17" s="10"/>
      <c r="AD17" s="10"/>
      <c r="AE17" s="11">
        <v>77.375242513125755</v>
      </c>
      <c r="AF17" s="11">
        <v>300.08769208231791</v>
      </c>
      <c r="AG17" t="s">
        <v>34</v>
      </c>
    </row>
    <row r="18" spans="1:33">
      <c r="A18" s="2">
        <v>43847</v>
      </c>
      <c r="B18" s="5" t="s">
        <v>36</v>
      </c>
      <c r="C18" s="5">
        <f>WEEKDAY(Table1[[#This Row],[Date]])</f>
        <v>6</v>
      </c>
      <c r="D18" s="5">
        <f>MONTH(Table1[[#This Row],[Date]])</f>
        <v>1</v>
      </c>
      <c r="E18" s="5">
        <f>WEEKNUM(Table1[[#This Row],[Date]])</f>
        <v>3</v>
      </c>
      <c r="F18" s="5">
        <f>YEAR(Table1[[#This Row],[Date]])</f>
        <v>2020</v>
      </c>
      <c r="G18">
        <v>226</v>
      </c>
      <c r="L18" s="5">
        <v>211</v>
      </c>
      <c r="M18" s="6">
        <v>0.93359999999999999</v>
      </c>
      <c r="N18" s="5">
        <v>15</v>
      </c>
      <c r="O18" s="7">
        <v>2.3148148148148149E-4</v>
      </c>
      <c r="P18" s="7">
        <v>1.4351851851851852E-3</v>
      </c>
      <c r="Q18" s="7">
        <v>3.3912037037037036E-3</v>
      </c>
      <c r="R18" s="6">
        <v>0.76229999999999998</v>
      </c>
      <c r="S18" s="8">
        <f>CONVERT(Table1[[#This Row],[Talk Duration (AVG)]]*Table1[[#This Row],[Answered Calls]],"day","hr")</f>
        <v>7.2677777777777779</v>
      </c>
      <c r="T18" s="9">
        <f>Table1[[#This Row],[Actual Workload hours]]*60</f>
        <v>436.06666666666666</v>
      </c>
      <c r="U18" s="9">
        <f>CONVERT(Table1[[#This Row],[Actual]]*Table1[[#This Row],[Talk Duration (AVG)]],"day","hr")</f>
        <v>7.7844444444444445</v>
      </c>
      <c r="V18" s="10">
        <f>Table1[[#This Row],[Required Workload Hours]]*60</f>
        <v>467.06666666666666</v>
      </c>
      <c r="W18" s="9">
        <v>1.1399999999999999</v>
      </c>
      <c r="X18" s="9">
        <f t="shared" si="0"/>
        <v>1.2163194444444445</v>
      </c>
      <c r="Y18" s="5">
        <f t="shared" si="1"/>
        <v>2</v>
      </c>
      <c r="Z18" s="8">
        <f>ROUNDUP(Table1[[#This Row],[Actual Heacount]],0)</f>
        <v>2</v>
      </c>
      <c r="AA18" s="8"/>
      <c r="AB18" s="10"/>
      <c r="AC18" s="10"/>
      <c r="AD18" s="10"/>
      <c r="AE18" s="11">
        <v>67.107526115769843</v>
      </c>
      <c r="AF18" s="11">
        <v>288.41124375702628</v>
      </c>
      <c r="AG18" t="s">
        <v>34</v>
      </c>
    </row>
    <row r="19" spans="1:33">
      <c r="A19" s="2">
        <v>43848</v>
      </c>
      <c r="B19" s="5" t="s">
        <v>37</v>
      </c>
      <c r="C19" s="5">
        <f>WEEKDAY(Table1[[#This Row],[Date]])</f>
        <v>7</v>
      </c>
      <c r="D19" s="5">
        <f>MONTH(Table1[[#This Row],[Date]])</f>
        <v>1</v>
      </c>
      <c r="E19" s="5">
        <f>WEEKNUM(Table1[[#This Row],[Date]])</f>
        <v>3</v>
      </c>
      <c r="F19" s="5">
        <f>YEAR(Table1[[#This Row],[Date]])</f>
        <v>2020</v>
      </c>
      <c r="G19">
        <v>226</v>
      </c>
      <c r="L19" s="5">
        <v>212</v>
      </c>
      <c r="M19" s="6">
        <v>0.93810000000000004</v>
      </c>
      <c r="N19" s="5">
        <v>14</v>
      </c>
      <c r="O19" s="7">
        <v>1.1574074074074075E-4</v>
      </c>
      <c r="P19" s="7">
        <v>1.4236111111111112E-3</v>
      </c>
      <c r="Q19" s="7">
        <v>1.9097222222222222E-3</v>
      </c>
      <c r="R19" s="6">
        <v>0.84440000000000004</v>
      </c>
      <c r="S19" s="8">
        <f>CONVERT(Table1[[#This Row],[Talk Duration (AVG)]]*Table1[[#This Row],[Answered Calls]],"day","hr")</f>
        <v>7.2433333333333332</v>
      </c>
      <c r="T19" s="9">
        <f>Table1[[#This Row],[Actual Workload hours]]*60</f>
        <v>434.59999999999997</v>
      </c>
      <c r="U19" s="9">
        <f>CONVERT(Table1[[#This Row],[Actual]]*Table1[[#This Row],[Talk Duration (AVG)]],"day","hr")</f>
        <v>7.7216666666666667</v>
      </c>
      <c r="V19" s="10">
        <f>Table1[[#This Row],[Required Workload Hours]]*60</f>
        <v>463.3</v>
      </c>
      <c r="W19" s="9">
        <v>1.1299999999999999</v>
      </c>
      <c r="X19" s="9">
        <f t="shared" si="0"/>
        <v>1.2065104166666667</v>
      </c>
      <c r="Y19" s="5">
        <f t="shared" si="1"/>
        <v>2</v>
      </c>
      <c r="Z19" s="8">
        <f>ROUNDUP(Table1[[#This Row],[Actual Heacount]],0)</f>
        <v>2</v>
      </c>
      <c r="AA19" s="8"/>
      <c r="AB19" s="10"/>
      <c r="AC19" s="10"/>
      <c r="AD19" s="10"/>
      <c r="AE19" s="11">
        <v>81.145712970053026</v>
      </c>
      <c r="AF19" s="11">
        <v>296.77328811380443</v>
      </c>
      <c r="AG19" t="s">
        <v>34</v>
      </c>
    </row>
    <row r="20" spans="1:33">
      <c r="A20" s="2">
        <v>43849</v>
      </c>
      <c r="B20" s="5" t="s">
        <v>38</v>
      </c>
      <c r="C20" s="5">
        <f>WEEKDAY(Table1[[#This Row],[Date]])</f>
        <v>1</v>
      </c>
      <c r="D20" s="5">
        <f>MONTH(Table1[[#This Row],[Date]])</f>
        <v>1</v>
      </c>
      <c r="E20" s="5">
        <f>WEEKNUM(Table1[[#This Row],[Date]])</f>
        <v>4</v>
      </c>
      <c r="F20" s="5">
        <f>YEAR(Table1[[#This Row],[Date]])</f>
        <v>2020</v>
      </c>
      <c r="G20">
        <v>45</v>
      </c>
      <c r="L20" s="5">
        <v>44</v>
      </c>
      <c r="M20" s="6">
        <v>0.9778</v>
      </c>
      <c r="N20" s="5">
        <v>1</v>
      </c>
      <c r="O20" s="7">
        <v>2.3148148148148147E-5</v>
      </c>
      <c r="P20" s="7">
        <v>1.4351851851851852E-3</v>
      </c>
      <c r="Q20" s="7">
        <v>6.3657407407407413E-4</v>
      </c>
      <c r="R20" s="6">
        <v>0.9778</v>
      </c>
      <c r="S20" s="8">
        <f>CONVERT(Table1[[#This Row],[Talk Duration (AVG)]]*Table1[[#This Row],[Answered Calls]],"day","hr")</f>
        <v>1.5155555555555555</v>
      </c>
      <c r="T20" s="9">
        <f>Table1[[#This Row],[Actual Workload hours]]*60</f>
        <v>90.933333333333337</v>
      </c>
      <c r="U20" s="9">
        <f>CONVERT(Table1[[#This Row],[Actual]]*Table1[[#This Row],[Talk Duration (AVG)]],"day","hr")</f>
        <v>1.5499999999999998</v>
      </c>
      <c r="V20" s="10">
        <f>Table1[[#This Row],[Required Workload Hours]]*60</f>
        <v>92.999999999999986</v>
      </c>
      <c r="W20" s="9">
        <v>1</v>
      </c>
      <c r="X20" s="9">
        <f t="shared" si="0"/>
        <v>1</v>
      </c>
      <c r="Y20" s="5">
        <f t="shared" si="1"/>
        <v>1</v>
      </c>
      <c r="Z20" s="8">
        <f>ROUNDUP(Table1[[#This Row],[Actual Heacount]],0)</f>
        <v>1</v>
      </c>
      <c r="AA20" s="8"/>
      <c r="AB20" s="10"/>
      <c r="AC20" s="10"/>
      <c r="AD20" s="10"/>
      <c r="AE20" s="11">
        <v>-9.1377032205736359</v>
      </c>
      <c r="AF20" s="11">
        <v>201.04813815674851</v>
      </c>
      <c r="AG20" t="s">
        <v>34</v>
      </c>
    </row>
    <row r="21" spans="1:33">
      <c r="A21" s="2">
        <v>43850</v>
      </c>
      <c r="B21" s="5" t="s">
        <v>39</v>
      </c>
      <c r="C21" s="5">
        <f>WEEKDAY(Table1[[#This Row],[Date]])</f>
        <v>2</v>
      </c>
      <c r="D21" s="5">
        <f>MONTH(Table1[[#This Row],[Date]])</f>
        <v>1</v>
      </c>
      <c r="E21" s="5">
        <f>WEEKNUM(Table1[[#This Row],[Date]])</f>
        <v>4</v>
      </c>
      <c r="F21" s="5">
        <f>YEAR(Table1[[#This Row],[Date]])</f>
        <v>2020</v>
      </c>
      <c r="G21">
        <v>218</v>
      </c>
      <c r="L21" s="5">
        <v>194</v>
      </c>
      <c r="M21" s="6">
        <v>0.88990000000000002</v>
      </c>
      <c r="N21" s="5">
        <v>24</v>
      </c>
      <c r="O21" s="7">
        <v>3.0092592592592595E-4</v>
      </c>
      <c r="P21" s="7">
        <v>1.8865740740740742E-3</v>
      </c>
      <c r="Q21" s="7">
        <v>4.4907407407407405E-3</v>
      </c>
      <c r="R21" s="6">
        <v>0.68979999999999997</v>
      </c>
      <c r="S21" s="8">
        <f>CONVERT(Table1[[#This Row],[Talk Duration (AVG)]]*Table1[[#This Row],[Answered Calls]],"day","hr")</f>
        <v>8.7838888888888889</v>
      </c>
      <c r="T21" s="9">
        <f>Table1[[#This Row],[Actual Workload hours]]*60</f>
        <v>527.0333333333333</v>
      </c>
      <c r="U21" s="9">
        <f>CONVERT(Table1[[#This Row],[Actual]]*Table1[[#This Row],[Talk Duration (AVG)]],"day","hr")</f>
        <v>9.8705555555555549</v>
      </c>
      <c r="V21" s="10">
        <f>Table1[[#This Row],[Required Workload Hours]]*60</f>
        <v>592.23333333333335</v>
      </c>
      <c r="W21" s="9">
        <v>1.37</v>
      </c>
      <c r="X21" s="9">
        <f t="shared" si="0"/>
        <v>1.5422743055555557</v>
      </c>
      <c r="Y21" s="5">
        <f t="shared" si="1"/>
        <v>2</v>
      </c>
      <c r="Z21" s="8">
        <f>ROUNDUP(Table1[[#This Row],[Actual Heacount]],0)</f>
        <v>2</v>
      </c>
      <c r="AA21" s="8"/>
      <c r="AB21" s="10"/>
      <c r="AC21" s="10"/>
      <c r="AD21" s="10"/>
      <c r="AE21" s="11">
        <v>88.051441200810132</v>
      </c>
      <c r="AF21" s="11">
        <v>309.81076276136491</v>
      </c>
      <c r="AG21" t="s">
        <v>34</v>
      </c>
    </row>
    <row r="22" spans="1:33">
      <c r="A22" s="2">
        <v>43851</v>
      </c>
      <c r="B22" s="5" t="s">
        <v>40</v>
      </c>
      <c r="C22" s="5">
        <f>WEEKDAY(Table1[[#This Row],[Date]])</f>
        <v>3</v>
      </c>
      <c r="D22" s="5">
        <f>MONTH(Table1[[#This Row],[Date]])</f>
        <v>1</v>
      </c>
      <c r="E22" s="5">
        <f>WEEKNUM(Table1[[#This Row],[Date]])</f>
        <v>4</v>
      </c>
      <c r="F22" s="5">
        <f>YEAR(Table1[[#This Row],[Date]])</f>
        <v>2020</v>
      </c>
      <c r="G22">
        <v>187</v>
      </c>
      <c r="L22" s="5">
        <v>174</v>
      </c>
      <c r="M22" s="6">
        <v>0.93049999999999999</v>
      </c>
      <c r="N22" s="5">
        <v>13</v>
      </c>
      <c r="O22" s="7">
        <v>1.7361111111111112E-4</v>
      </c>
      <c r="P22" s="7">
        <v>1.5740740740740741E-3</v>
      </c>
      <c r="Q22" s="7">
        <v>3.2291666666666666E-3</v>
      </c>
      <c r="R22" s="6">
        <v>0.81520000000000004</v>
      </c>
      <c r="S22" s="8">
        <f>CONVERT(Table1[[#This Row],[Talk Duration (AVG)]]*Table1[[#This Row],[Answered Calls]],"day","hr")</f>
        <v>6.5733333333333333</v>
      </c>
      <c r="T22" s="9">
        <f>Table1[[#This Row],[Actual Workload hours]]*60</f>
        <v>394.4</v>
      </c>
      <c r="U22" s="9">
        <f>CONVERT(Table1[[#This Row],[Actual]]*Table1[[#This Row],[Talk Duration (AVG)]],"day","hr")</f>
        <v>7.0644444444444447</v>
      </c>
      <c r="V22" s="10">
        <f>Table1[[#This Row],[Required Workload Hours]]*60</f>
        <v>423.86666666666667</v>
      </c>
      <c r="W22" s="9">
        <v>1.03</v>
      </c>
      <c r="X22" s="9">
        <f t="shared" si="0"/>
        <v>1.1038194444444445</v>
      </c>
      <c r="Y22" s="5">
        <f t="shared" si="1"/>
        <v>2</v>
      </c>
      <c r="Z22" s="8">
        <f>ROUNDUP(Table1[[#This Row],[Actual Heacount]],0)</f>
        <v>2</v>
      </c>
      <c r="AA22" s="8"/>
      <c r="AB22" s="10"/>
      <c r="AC22" s="10"/>
      <c r="AD22" s="10"/>
      <c r="AE22" s="11">
        <v>73.162269492854506</v>
      </c>
      <c r="AF22" s="11">
        <v>288.60467828248642</v>
      </c>
      <c r="AG22" t="s">
        <v>34</v>
      </c>
    </row>
    <row r="23" spans="1:33">
      <c r="A23" s="2">
        <v>43852</v>
      </c>
      <c r="B23" s="5" t="s">
        <v>33</v>
      </c>
      <c r="C23" s="5">
        <f>WEEKDAY(Table1[[#This Row],[Date]])</f>
        <v>4</v>
      </c>
      <c r="D23" s="5">
        <f>MONTH(Table1[[#This Row],[Date]])</f>
        <v>1</v>
      </c>
      <c r="E23" s="5">
        <f>WEEKNUM(Table1[[#This Row],[Date]])</f>
        <v>4</v>
      </c>
      <c r="F23" s="5">
        <f>YEAR(Table1[[#This Row],[Date]])</f>
        <v>2020</v>
      </c>
      <c r="G23">
        <v>191</v>
      </c>
      <c r="L23" s="5">
        <v>184</v>
      </c>
      <c r="M23" s="6">
        <v>0.96340000000000003</v>
      </c>
      <c r="N23" s="5">
        <v>7</v>
      </c>
      <c r="O23" s="7">
        <v>1.1574074074074075E-4</v>
      </c>
      <c r="P23" s="7">
        <v>1.4930555555555556E-3</v>
      </c>
      <c r="Q23" s="7">
        <v>2.5462962962962965E-3</v>
      </c>
      <c r="R23" s="6">
        <v>0.85640000000000005</v>
      </c>
      <c r="S23" s="8">
        <f>CONVERT(Table1[[#This Row],[Talk Duration (AVG)]]*Table1[[#This Row],[Answered Calls]],"day","hr")</f>
        <v>6.5933333333333346</v>
      </c>
      <c r="T23" s="9">
        <f>Table1[[#This Row],[Actual Workload hours]]*60</f>
        <v>395.60000000000008</v>
      </c>
      <c r="U23" s="9">
        <f>CONVERT(Table1[[#This Row],[Actual]]*Table1[[#This Row],[Talk Duration (AVG)]],"day","hr")</f>
        <v>6.8441666666666663</v>
      </c>
      <c r="V23" s="10">
        <f>Table1[[#This Row],[Required Workload Hours]]*60</f>
        <v>410.65</v>
      </c>
      <c r="W23" s="9">
        <v>1.03</v>
      </c>
      <c r="X23" s="9">
        <f t="shared" si="0"/>
        <v>1.0694010416666666</v>
      </c>
      <c r="Y23" s="5">
        <f t="shared" si="1"/>
        <v>2</v>
      </c>
      <c r="Z23" s="8">
        <f>ROUNDUP(Table1[[#This Row],[Actual Heacount]],0)</f>
        <v>2</v>
      </c>
      <c r="AA23" s="8"/>
      <c r="AB23" s="10"/>
      <c r="AC23" s="10"/>
      <c r="AD23" s="10"/>
      <c r="AE23" s="11">
        <v>80.491101779156168</v>
      </c>
      <c r="AF23" s="11">
        <v>294.62055656260458</v>
      </c>
      <c r="AG23" t="s">
        <v>34</v>
      </c>
    </row>
    <row r="24" spans="1:33">
      <c r="A24" s="2">
        <v>43853</v>
      </c>
      <c r="B24" s="5" t="s">
        <v>35</v>
      </c>
      <c r="C24" s="5">
        <f>WEEKDAY(Table1[[#This Row],[Date]])</f>
        <v>5</v>
      </c>
      <c r="D24" s="5">
        <f>MONTH(Table1[[#This Row],[Date]])</f>
        <v>1</v>
      </c>
      <c r="E24" s="5">
        <f>WEEKNUM(Table1[[#This Row],[Date]])</f>
        <v>4</v>
      </c>
      <c r="F24" s="5">
        <f>YEAR(Table1[[#This Row],[Date]])</f>
        <v>2020</v>
      </c>
      <c r="G24">
        <v>188</v>
      </c>
      <c r="L24" s="5">
        <v>174</v>
      </c>
      <c r="M24" s="6">
        <v>0.92549999999999999</v>
      </c>
      <c r="N24" s="5">
        <v>14</v>
      </c>
      <c r="O24" s="7">
        <v>1.7361111111111112E-4</v>
      </c>
      <c r="P24" s="7">
        <v>1.6782407407407408E-3</v>
      </c>
      <c r="Q24" s="7">
        <v>2.1875000000000002E-3</v>
      </c>
      <c r="R24" s="6">
        <v>0.76880000000000004</v>
      </c>
      <c r="S24" s="8">
        <f>CONVERT(Table1[[#This Row],[Talk Duration (AVG)]]*Table1[[#This Row],[Answered Calls]],"day","hr")</f>
        <v>7.0083333333333337</v>
      </c>
      <c r="T24" s="9">
        <f>Table1[[#This Row],[Actual Workload hours]]*60</f>
        <v>420.5</v>
      </c>
      <c r="U24" s="9">
        <f>CONVERT(Table1[[#This Row],[Actual]]*Table1[[#This Row],[Talk Duration (AVG)]],"day","hr")</f>
        <v>7.572222222222222</v>
      </c>
      <c r="V24" s="10">
        <f>Table1[[#This Row],[Required Workload Hours]]*60</f>
        <v>454.33333333333331</v>
      </c>
      <c r="W24" s="9">
        <v>1.1000000000000001</v>
      </c>
      <c r="X24" s="9">
        <f t="shared" si="0"/>
        <v>1.1831597222222221</v>
      </c>
      <c r="Y24" s="5">
        <f t="shared" si="1"/>
        <v>2</v>
      </c>
      <c r="Z24" s="8">
        <f>ROUNDUP(Table1[[#This Row],[Actual Heacount]],0)</f>
        <v>2</v>
      </c>
      <c r="AA24" s="8"/>
      <c r="AB24" s="10"/>
      <c r="AC24" s="10"/>
      <c r="AD24" s="10"/>
      <c r="AE24" s="11">
        <v>80.294785646728556</v>
      </c>
      <c r="AF24" s="11">
        <v>297.22409884324378</v>
      </c>
      <c r="AG24" t="s">
        <v>34</v>
      </c>
    </row>
    <row r="25" spans="1:33">
      <c r="A25" s="2">
        <v>43854</v>
      </c>
      <c r="B25" s="5" t="s">
        <v>36</v>
      </c>
      <c r="C25" s="5">
        <f>WEEKDAY(Table1[[#This Row],[Date]])</f>
        <v>6</v>
      </c>
      <c r="D25" s="5">
        <f>MONTH(Table1[[#This Row],[Date]])</f>
        <v>1</v>
      </c>
      <c r="E25" s="5">
        <f>WEEKNUM(Table1[[#This Row],[Date]])</f>
        <v>4</v>
      </c>
      <c r="F25" s="5">
        <f>YEAR(Table1[[#This Row],[Date]])</f>
        <v>2020</v>
      </c>
      <c r="G25">
        <v>154</v>
      </c>
      <c r="L25" s="5">
        <v>148</v>
      </c>
      <c r="M25" s="6">
        <v>0.96099999999999997</v>
      </c>
      <c r="N25" s="5">
        <v>6</v>
      </c>
      <c r="O25" s="7">
        <v>1.1574074074074075E-4</v>
      </c>
      <c r="P25" s="7">
        <v>1.7013888888888888E-3</v>
      </c>
      <c r="Q25" s="7">
        <v>2.5000000000000001E-3</v>
      </c>
      <c r="R25" s="6">
        <v>0.85060000000000002</v>
      </c>
      <c r="S25" s="8">
        <f>CONVERT(Table1[[#This Row],[Talk Duration (AVG)]]*Table1[[#This Row],[Answered Calls]],"day","hr")</f>
        <v>6.043333333333333</v>
      </c>
      <c r="T25" s="9">
        <f>Table1[[#This Row],[Actual Workload hours]]*60</f>
        <v>362.59999999999997</v>
      </c>
      <c r="U25" s="9">
        <f>CONVERT(Table1[[#This Row],[Actual]]*Table1[[#This Row],[Talk Duration (AVG)]],"day","hr")</f>
        <v>6.2883333333333331</v>
      </c>
      <c r="V25" s="10">
        <f>Table1[[#This Row],[Required Workload Hours]]*60</f>
        <v>377.3</v>
      </c>
      <c r="W25" s="9">
        <v>1</v>
      </c>
      <c r="X25" s="9">
        <f t="shared" si="0"/>
        <v>1</v>
      </c>
      <c r="Y25" s="5">
        <f t="shared" si="1"/>
        <v>2</v>
      </c>
      <c r="Z25" s="8">
        <f>ROUNDUP(Table1[[#This Row],[Actual Heacount]],0)</f>
        <v>1</v>
      </c>
      <c r="AA25" s="8"/>
      <c r="AB25" s="10"/>
      <c r="AC25" s="10"/>
      <c r="AD25" s="10"/>
      <c r="AE25" s="11">
        <v>70.018887307261224</v>
      </c>
      <c r="AF25" s="11">
        <v>278.18102257648911</v>
      </c>
      <c r="AG25" t="s">
        <v>34</v>
      </c>
    </row>
    <row r="26" spans="1:33">
      <c r="A26" s="2">
        <v>43855</v>
      </c>
      <c r="B26" s="5" t="s">
        <v>37</v>
      </c>
      <c r="C26" s="5">
        <f>WEEKDAY(Table1[[#This Row],[Date]])</f>
        <v>7</v>
      </c>
      <c r="D26" s="5">
        <f>MONTH(Table1[[#This Row],[Date]])</f>
        <v>1</v>
      </c>
      <c r="E26" s="5">
        <f>WEEKNUM(Table1[[#This Row],[Date]])</f>
        <v>4</v>
      </c>
      <c r="F26" s="5">
        <f>YEAR(Table1[[#This Row],[Date]])</f>
        <v>2020</v>
      </c>
      <c r="G26">
        <v>166</v>
      </c>
      <c r="L26" s="5">
        <v>150</v>
      </c>
      <c r="M26" s="6">
        <v>0.90359999999999996</v>
      </c>
      <c r="N26" s="5">
        <v>16</v>
      </c>
      <c r="O26" s="7">
        <v>2.0833333333333335E-4</v>
      </c>
      <c r="P26" s="7">
        <v>1.6898148148148148E-3</v>
      </c>
      <c r="Q26" s="7">
        <v>3.2175925925925926E-3</v>
      </c>
      <c r="R26" s="6">
        <v>0.76829999999999998</v>
      </c>
      <c r="S26" s="8">
        <f>CONVERT(Table1[[#This Row],[Talk Duration (AVG)]]*Table1[[#This Row],[Answered Calls]],"day","hr")</f>
        <v>6.083333333333333</v>
      </c>
      <c r="T26" s="9">
        <f>Table1[[#This Row],[Actual Workload hours]]*60</f>
        <v>365</v>
      </c>
      <c r="U26" s="9">
        <f>CONVERT(Table1[[#This Row],[Actual]]*Table1[[#This Row],[Talk Duration (AVG)]],"day","hr")</f>
        <v>6.7322222222222212</v>
      </c>
      <c r="V26" s="10">
        <f>Table1[[#This Row],[Required Workload Hours]]*60</f>
        <v>403.93333333333328</v>
      </c>
      <c r="W26" s="9">
        <v>1</v>
      </c>
      <c r="X26" s="9">
        <f t="shared" si="0"/>
        <v>1.051909722222222</v>
      </c>
      <c r="Y26" s="5">
        <f t="shared" si="1"/>
        <v>2</v>
      </c>
      <c r="Z26" s="8">
        <f>ROUNDUP(Table1[[#This Row],[Actual Heacount]],0)</f>
        <v>1</v>
      </c>
      <c r="AA26" s="8"/>
      <c r="AB26" s="10"/>
      <c r="AC26" s="10"/>
      <c r="AD26" s="10"/>
      <c r="AE26" s="11">
        <v>69.816431615925012</v>
      </c>
      <c r="AF26" s="11">
        <v>293.40546781585078</v>
      </c>
      <c r="AG26" t="s">
        <v>34</v>
      </c>
    </row>
    <row r="27" spans="1:33">
      <c r="A27" s="2">
        <v>43856</v>
      </c>
      <c r="B27" s="5" t="s">
        <v>38</v>
      </c>
      <c r="C27" s="5">
        <f>WEEKDAY(Table1[[#This Row],[Date]])</f>
        <v>1</v>
      </c>
      <c r="D27" s="5">
        <f>MONTH(Table1[[#This Row],[Date]])</f>
        <v>1</v>
      </c>
      <c r="E27" s="5">
        <f>WEEKNUM(Table1[[#This Row],[Date]])</f>
        <v>5</v>
      </c>
      <c r="F27" s="5">
        <f>YEAR(Table1[[#This Row],[Date]])</f>
        <v>2020</v>
      </c>
      <c r="G27">
        <v>58</v>
      </c>
      <c r="L27" s="5">
        <v>57</v>
      </c>
      <c r="M27" s="6">
        <v>0.98280000000000001</v>
      </c>
      <c r="N27" s="5">
        <v>1</v>
      </c>
      <c r="O27" s="7">
        <v>4.6296296296296294E-5</v>
      </c>
      <c r="P27" s="7">
        <v>1.6898148148148148E-3</v>
      </c>
      <c r="Q27" s="7">
        <v>6.7129629629629625E-4</v>
      </c>
      <c r="R27" s="6">
        <v>0.94830000000000003</v>
      </c>
      <c r="S27" s="8">
        <f>CONVERT(Table1[[#This Row],[Talk Duration (AVG)]]*Table1[[#This Row],[Answered Calls]],"day","hr")</f>
        <v>2.3116666666666665</v>
      </c>
      <c r="T27" s="9">
        <f>Table1[[#This Row],[Actual Workload hours]]*60</f>
        <v>138.69999999999999</v>
      </c>
      <c r="U27" s="9">
        <f>CONVERT(Table1[[#This Row],[Actual]]*Table1[[#This Row],[Talk Duration (AVG)]],"day","hr")</f>
        <v>2.3522222222222222</v>
      </c>
      <c r="V27" s="10">
        <f>Table1[[#This Row],[Required Workload Hours]]*60</f>
        <v>141.13333333333333</v>
      </c>
      <c r="W27" s="9">
        <v>1</v>
      </c>
      <c r="X27" s="9">
        <f t="shared" si="0"/>
        <v>1</v>
      </c>
      <c r="Y27" s="5">
        <f t="shared" si="1"/>
        <v>1</v>
      </c>
      <c r="Z27" s="8">
        <f>ROUNDUP(Table1[[#This Row],[Actual Heacount]],0)</f>
        <v>1</v>
      </c>
      <c r="AA27" s="8"/>
      <c r="AB27" s="10"/>
      <c r="AC27" s="10"/>
      <c r="AD27" s="10"/>
      <c r="AE27" s="11">
        <v>-9.2605906752200191</v>
      </c>
      <c r="AF27" s="11">
        <v>202.95724048613249</v>
      </c>
      <c r="AG27" t="s">
        <v>34</v>
      </c>
    </row>
    <row r="28" spans="1:33">
      <c r="A28" s="2">
        <v>43857</v>
      </c>
      <c r="B28" s="5" t="s">
        <v>39</v>
      </c>
      <c r="C28" s="5">
        <f>WEEKDAY(Table1[[#This Row],[Date]])</f>
        <v>2</v>
      </c>
      <c r="D28" s="5">
        <f>MONTH(Table1[[#This Row],[Date]])</f>
        <v>1</v>
      </c>
      <c r="E28" s="5">
        <f>WEEKNUM(Table1[[#This Row],[Date]])</f>
        <v>5</v>
      </c>
      <c r="F28" s="5">
        <f>YEAR(Table1[[#This Row],[Date]])</f>
        <v>2020</v>
      </c>
      <c r="G28">
        <v>160</v>
      </c>
      <c r="L28" s="5">
        <v>153</v>
      </c>
      <c r="M28" s="6">
        <v>0.95630000000000004</v>
      </c>
      <c r="N28" s="5">
        <v>7</v>
      </c>
      <c r="O28" s="7">
        <v>1.1574074074074075E-4</v>
      </c>
      <c r="P28" s="7">
        <v>1.6550925925925926E-3</v>
      </c>
      <c r="Q28" s="7">
        <v>1.9097222222222222E-3</v>
      </c>
      <c r="R28" s="6">
        <v>0.84909999999999997</v>
      </c>
      <c r="S28" s="8">
        <f>CONVERT(Table1[[#This Row],[Talk Duration (AVG)]]*Table1[[#This Row],[Answered Calls]],"day","hr")</f>
        <v>6.0774999999999997</v>
      </c>
      <c r="T28" s="9">
        <f>Table1[[#This Row],[Actual Workload hours]]*60</f>
        <v>364.65</v>
      </c>
      <c r="U28" s="9">
        <f>CONVERT(Table1[[#This Row],[Actual]]*Table1[[#This Row],[Talk Duration (AVG)]],"day","hr")</f>
        <v>6.355555555555557</v>
      </c>
      <c r="V28" s="10">
        <f>Table1[[#This Row],[Required Workload Hours]]*60</f>
        <v>381.33333333333343</v>
      </c>
      <c r="W28" s="9">
        <v>1</v>
      </c>
      <c r="X28" s="9">
        <f t="shared" si="0"/>
        <v>1</v>
      </c>
      <c r="Y28" s="5">
        <f t="shared" si="1"/>
        <v>2</v>
      </c>
      <c r="Z28" s="8">
        <f>ROUNDUP(Table1[[#This Row],[Actual Heacount]],0)</f>
        <v>1</v>
      </c>
      <c r="AA28" s="8"/>
      <c r="AB28" s="10"/>
      <c r="AC28" s="10"/>
      <c r="AD28" s="10"/>
      <c r="AE28" s="11">
        <v>85.510918177943438</v>
      </c>
      <c r="AF28" s="11">
        <v>306.00082802254963</v>
      </c>
      <c r="AG28" t="s">
        <v>34</v>
      </c>
    </row>
    <row r="29" spans="1:33">
      <c r="A29" s="2">
        <v>43858</v>
      </c>
      <c r="B29" s="5" t="s">
        <v>40</v>
      </c>
      <c r="C29" s="5">
        <f>WEEKDAY(Table1[[#This Row],[Date]])</f>
        <v>3</v>
      </c>
      <c r="D29" s="5">
        <f>MONTH(Table1[[#This Row],[Date]])</f>
        <v>1</v>
      </c>
      <c r="E29" s="5">
        <f>WEEKNUM(Table1[[#This Row],[Date]])</f>
        <v>5</v>
      </c>
      <c r="F29" s="5">
        <f>YEAR(Table1[[#This Row],[Date]])</f>
        <v>2020</v>
      </c>
      <c r="G29">
        <v>86</v>
      </c>
      <c r="L29" s="5">
        <v>79</v>
      </c>
      <c r="M29" s="6">
        <v>0.91859999999999997</v>
      </c>
      <c r="N29" s="5">
        <v>7</v>
      </c>
      <c r="O29" s="7">
        <v>3.7037037037037035E-4</v>
      </c>
      <c r="P29" s="7">
        <v>1.8865740740740742E-3</v>
      </c>
      <c r="Q29" s="7">
        <v>3.2407407407407406E-3</v>
      </c>
      <c r="R29" s="6">
        <v>0.61629999999999996</v>
      </c>
      <c r="S29" s="8">
        <f>CONVERT(Table1[[#This Row],[Talk Duration (AVG)]]*Table1[[#This Row],[Answered Calls]],"day","hr")</f>
        <v>3.5769444444444445</v>
      </c>
      <c r="T29" s="9">
        <f>Table1[[#This Row],[Actual Workload hours]]*60</f>
        <v>214.61666666666667</v>
      </c>
      <c r="U29" s="9">
        <f>CONVERT(Table1[[#This Row],[Actual]]*Table1[[#This Row],[Talk Duration (AVG)]],"day","hr")</f>
        <v>3.8938888888888887</v>
      </c>
      <c r="V29" s="10">
        <f>Table1[[#This Row],[Required Workload Hours]]*60</f>
        <v>233.63333333333333</v>
      </c>
      <c r="W29" s="9">
        <v>1</v>
      </c>
      <c r="X29" s="9">
        <f t="shared" si="0"/>
        <v>1</v>
      </c>
      <c r="Y29" s="5">
        <f t="shared" si="1"/>
        <v>2</v>
      </c>
      <c r="Z29" s="8">
        <f>ROUNDUP(Table1[[#This Row],[Actual Heacount]],0)</f>
        <v>1</v>
      </c>
      <c r="AA29" s="8"/>
      <c r="AB29" s="10"/>
      <c r="AC29" s="10"/>
      <c r="AD29" s="10"/>
      <c r="AE29" s="11">
        <v>64.531447088088143</v>
      </c>
      <c r="AF29" s="11">
        <v>283.77838903991682</v>
      </c>
      <c r="AG29" t="s">
        <v>34</v>
      </c>
    </row>
    <row r="30" spans="1:33">
      <c r="A30" s="2">
        <v>43859</v>
      </c>
      <c r="B30" s="5" t="s">
        <v>33</v>
      </c>
      <c r="C30" s="5">
        <f>WEEKDAY(Table1[[#This Row],[Date]])</f>
        <v>4</v>
      </c>
      <c r="D30" s="5">
        <f>MONTH(Table1[[#This Row],[Date]])</f>
        <v>1</v>
      </c>
      <c r="E30" s="5">
        <f>WEEKNUM(Table1[[#This Row],[Date]])</f>
        <v>5</v>
      </c>
      <c r="F30" s="5">
        <f>YEAR(Table1[[#This Row],[Date]])</f>
        <v>2020</v>
      </c>
      <c r="G30">
        <v>180</v>
      </c>
      <c r="L30" s="5">
        <v>170</v>
      </c>
      <c r="M30" s="6">
        <v>0.94440000000000002</v>
      </c>
      <c r="N30" s="5">
        <v>10</v>
      </c>
      <c r="O30" s="7">
        <v>2.6620370370370372E-4</v>
      </c>
      <c r="P30" s="7">
        <v>1.7476851851851852E-3</v>
      </c>
      <c r="Q30" s="7">
        <v>3.9930555555555552E-3</v>
      </c>
      <c r="R30" s="6">
        <v>0.77529999999999999</v>
      </c>
      <c r="S30" s="8">
        <f>CONVERT(Table1[[#This Row],[Talk Duration (AVG)]]*Table1[[#This Row],[Answered Calls]],"day","hr")</f>
        <v>7.1305555555555555</v>
      </c>
      <c r="T30" s="9">
        <f>Table1[[#This Row],[Actual Workload hours]]*60</f>
        <v>427.83333333333331</v>
      </c>
      <c r="U30" s="9">
        <f>CONVERT(Table1[[#This Row],[Actual]]*Table1[[#This Row],[Talk Duration (AVG)]],"day","hr")</f>
        <v>7.55</v>
      </c>
      <c r="V30" s="10">
        <f>Table1[[#This Row],[Required Workload Hours]]*60</f>
        <v>453</v>
      </c>
      <c r="W30" s="9">
        <v>1.1100000000000001</v>
      </c>
      <c r="X30" s="9">
        <f t="shared" si="0"/>
        <v>1.1796875</v>
      </c>
      <c r="Y30" s="5">
        <f t="shared" si="1"/>
        <v>2</v>
      </c>
      <c r="Z30" s="8">
        <f>ROUNDUP(Table1[[#This Row],[Actual Heacount]],0)</f>
        <v>2</v>
      </c>
      <c r="AA30" s="8"/>
      <c r="AB30" s="10"/>
      <c r="AC30" s="10"/>
      <c r="AD30" s="10"/>
      <c r="AE30" s="11">
        <v>73.087332038628446</v>
      </c>
      <c r="AF30" s="11">
        <v>303.4096642018032</v>
      </c>
      <c r="AG30" t="s">
        <v>34</v>
      </c>
    </row>
    <row r="31" spans="1:33">
      <c r="A31" s="2">
        <v>43860</v>
      </c>
      <c r="B31" s="5" t="s">
        <v>35</v>
      </c>
      <c r="C31" s="5">
        <f>WEEKDAY(Table1[[#This Row],[Date]])</f>
        <v>5</v>
      </c>
      <c r="D31" s="5">
        <f>MONTH(Table1[[#This Row],[Date]])</f>
        <v>1</v>
      </c>
      <c r="E31" s="5">
        <f>WEEKNUM(Table1[[#This Row],[Date]])</f>
        <v>5</v>
      </c>
      <c r="F31" s="5">
        <f>YEAR(Table1[[#This Row],[Date]])</f>
        <v>2020</v>
      </c>
      <c r="G31">
        <v>210</v>
      </c>
      <c r="L31" s="5">
        <v>192</v>
      </c>
      <c r="M31" s="6">
        <v>0.9143</v>
      </c>
      <c r="N31" s="5">
        <v>18</v>
      </c>
      <c r="O31" s="7">
        <v>3.0092592592592595E-4</v>
      </c>
      <c r="P31" s="7">
        <v>1.5740740740740741E-3</v>
      </c>
      <c r="Q31" s="7">
        <v>3.8773148148148148E-3</v>
      </c>
      <c r="R31" s="6">
        <v>0.67459999999999998</v>
      </c>
      <c r="S31" s="8">
        <f>CONVERT(Table1[[#This Row],[Talk Duration (AVG)]]*Table1[[#This Row],[Answered Calls]],"day","hr")</f>
        <v>7.253333333333333</v>
      </c>
      <c r="T31" s="9">
        <f>Table1[[#This Row],[Actual Workload hours]]*60</f>
        <v>435.2</v>
      </c>
      <c r="U31" s="9">
        <f>CONVERT(Table1[[#This Row],[Actual]]*Table1[[#This Row],[Talk Duration (AVG)]],"day","hr")</f>
        <v>7.9333333333333336</v>
      </c>
      <c r="V31" s="10">
        <f>Table1[[#This Row],[Required Workload Hours]]*60</f>
        <v>476</v>
      </c>
      <c r="W31" s="9">
        <v>1.1299999999999999</v>
      </c>
      <c r="X31" s="9">
        <f t="shared" si="0"/>
        <v>1.2395833333333333</v>
      </c>
      <c r="Y31" s="5">
        <f t="shared" si="1"/>
        <v>2</v>
      </c>
      <c r="Z31" s="8">
        <f>ROUNDUP(Table1[[#This Row],[Actual Heacount]],0)</f>
        <v>2</v>
      </c>
      <c r="AA31" s="8"/>
      <c r="AB31" s="10"/>
      <c r="AC31" s="10"/>
      <c r="AD31" s="10"/>
      <c r="AE31" s="11">
        <v>68.599042589894466</v>
      </c>
      <c r="AF31" s="11">
        <v>277.90892180780719</v>
      </c>
      <c r="AG31" t="s">
        <v>34</v>
      </c>
    </row>
    <row r="32" spans="1:33">
      <c r="A32" s="2">
        <v>43861</v>
      </c>
      <c r="B32" s="5" t="s">
        <v>36</v>
      </c>
      <c r="C32" s="5">
        <f>WEEKDAY(Table1[[#This Row],[Date]])</f>
        <v>6</v>
      </c>
      <c r="D32" s="5">
        <f>MONTH(Table1[[#This Row],[Date]])</f>
        <v>1</v>
      </c>
      <c r="E32" s="5">
        <f>WEEKNUM(Table1[[#This Row],[Date]])</f>
        <v>5</v>
      </c>
      <c r="F32" s="5">
        <f>YEAR(Table1[[#This Row],[Date]])</f>
        <v>2020</v>
      </c>
      <c r="G32">
        <v>163</v>
      </c>
      <c r="L32" s="5">
        <v>157</v>
      </c>
      <c r="M32" s="6">
        <v>0.96319999999999995</v>
      </c>
      <c r="N32" s="5">
        <v>6</v>
      </c>
      <c r="O32" s="7">
        <v>1.6203703703703703E-4</v>
      </c>
      <c r="P32" s="7">
        <v>1.6087962962962963E-3</v>
      </c>
      <c r="Q32" s="7">
        <v>2.0254629629629629E-3</v>
      </c>
      <c r="R32" s="6">
        <v>0.81369999999999998</v>
      </c>
      <c r="S32" s="8">
        <f>CONVERT(Table1[[#This Row],[Talk Duration (AVG)]]*Table1[[#This Row],[Answered Calls]],"day","hr")</f>
        <v>6.0619444444444435</v>
      </c>
      <c r="T32" s="9">
        <f>Table1[[#This Row],[Actual Workload hours]]*60</f>
        <v>363.71666666666658</v>
      </c>
      <c r="U32" s="9">
        <f>CONVERT(Table1[[#This Row],[Actual]]*Table1[[#This Row],[Talk Duration (AVG)]],"day","hr")</f>
        <v>6.2936111111111108</v>
      </c>
      <c r="V32" s="10">
        <f>Table1[[#This Row],[Required Workload Hours]]*60</f>
        <v>377.61666666666667</v>
      </c>
      <c r="W32" s="9">
        <v>1</v>
      </c>
      <c r="X32" s="9">
        <f t="shared" si="0"/>
        <v>1</v>
      </c>
      <c r="Y32" s="5">
        <f t="shared" si="1"/>
        <v>2</v>
      </c>
      <c r="Z32" s="8">
        <f>ROUNDUP(Table1[[#This Row],[Actual Heacount]],0)</f>
        <v>1</v>
      </c>
      <c r="AA32" s="8"/>
      <c r="AB32" s="10"/>
      <c r="AC32" s="10"/>
      <c r="AD32" s="10"/>
      <c r="AE32" s="11">
        <v>70.547707420491662</v>
      </c>
      <c r="AF32" s="11">
        <v>283.88153415429952</v>
      </c>
      <c r="AG32" t="s">
        <v>34</v>
      </c>
    </row>
    <row r="33" spans="1:33">
      <c r="A33" s="2">
        <v>43862</v>
      </c>
      <c r="B33" s="5" t="s">
        <v>37</v>
      </c>
      <c r="C33" s="5">
        <f>WEEKDAY(Table1[[#This Row],[Date]])</f>
        <v>7</v>
      </c>
      <c r="D33" s="5">
        <f>MONTH(Table1[[#This Row],[Date]])</f>
        <v>2</v>
      </c>
      <c r="E33" s="5">
        <f>WEEKNUM(Table1[[#This Row],[Date]])</f>
        <v>5</v>
      </c>
      <c r="F33" s="5">
        <f>YEAR(Table1[[#This Row],[Date]])</f>
        <v>2020</v>
      </c>
      <c r="G33">
        <v>200</v>
      </c>
      <c r="L33" s="5">
        <v>140</v>
      </c>
      <c r="M33" s="6">
        <v>0.97899999999999998</v>
      </c>
      <c r="N33" s="5">
        <v>3</v>
      </c>
      <c r="O33" s="7">
        <v>1.7361111111111112E-4</v>
      </c>
      <c r="P33" s="7">
        <v>1.6203703703703703E-3</v>
      </c>
      <c r="Q33" s="7">
        <v>3.2754629629629631E-3</v>
      </c>
      <c r="R33" s="6">
        <v>0.82520000000000004</v>
      </c>
      <c r="S33" s="8">
        <f>CONVERT(Table1[[#This Row],[Talk Duration (AVG)]]*Table1[[#This Row],[Answered Calls]],"day","hr")</f>
        <v>5.4444444444444446</v>
      </c>
      <c r="T33" s="9">
        <f>Table1[[#This Row],[Actual Workload hours]]*60</f>
        <v>326.66666666666669</v>
      </c>
      <c r="U33" s="9">
        <f>CONVERT(Table1[[#This Row],[Actual]]*Table1[[#This Row],[Talk Duration (AVG)]],"day","hr")</f>
        <v>7.7777777777777777</v>
      </c>
      <c r="V33" s="10">
        <f>Table1[[#This Row],[Required Workload Hours]]*60</f>
        <v>466.66666666666669</v>
      </c>
      <c r="W33" s="9">
        <v>1</v>
      </c>
      <c r="X33" s="9">
        <f t="shared" si="0"/>
        <v>1.2152777777777779</v>
      </c>
      <c r="Y33" s="5">
        <f t="shared" si="1"/>
        <v>2</v>
      </c>
      <c r="Z33" s="8">
        <f>ROUNDUP(Table1[[#This Row],[Actual Heacount]],0)</f>
        <v>1</v>
      </c>
      <c r="AA33" s="8"/>
      <c r="AB33" s="10"/>
      <c r="AC33" s="10"/>
      <c r="AD33" s="10"/>
      <c r="AE33" s="11">
        <v>70.766294546075429</v>
      </c>
      <c r="AF33" s="11">
        <v>298.17804278627278</v>
      </c>
      <c r="AG33" t="s">
        <v>34</v>
      </c>
    </row>
    <row r="34" spans="1:33">
      <c r="A34" s="2">
        <v>43863</v>
      </c>
      <c r="B34" s="5" t="s">
        <v>38</v>
      </c>
      <c r="C34" s="5">
        <f>WEEKDAY(Table1[[#This Row],[Date]])</f>
        <v>1</v>
      </c>
      <c r="D34" s="5">
        <f>MONTH(Table1[[#This Row],[Date]])</f>
        <v>2</v>
      </c>
      <c r="E34" s="5">
        <f>WEEKNUM(Table1[[#This Row],[Date]])</f>
        <v>6</v>
      </c>
      <c r="F34" s="5">
        <f>YEAR(Table1[[#This Row],[Date]])</f>
        <v>2020</v>
      </c>
      <c r="G34">
        <v>57</v>
      </c>
      <c r="L34" s="5">
        <v>55</v>
      </c>
      <c r="M34" s="6">
        <v>0.96489999999999998</v>
      </c>
      <c r="N34" s="5">
        <v>2</v>
      </c>
      <c r="O34" s="7">
        <v>6.9444444444444444E-5</v>
      </c>
      <c r="P34" s="7">
        <v>1.4236111111111112E-3</v>
      </c>
      <c r="Q34" s="7">
        <v>1.2731481481481483E-3</v>
      </c>
      <c r="R34" s="6">
        <v>0.9123</v>
      </c>
      <c r="S34" s="8">
        <f>CONVERT(Table1[[#This Row],[Talk Duration (AVG)]]*Table1[[#This Row],[Answered Calls]],"day","hr")</f>
        <v>1.8791666666666667</v>
      </c>
      <c r="T34" s="9">
        <f>Table1[[#This Row],[Actual Workload hours]]*60</f>
        <v>112.75</v>
      </c>
      <c r="U34" s="9">
        <f>CONVERT(Table1[[#This Row],[Actual]]*Table1[[#This Row],[Talk Duration (AVG)]],"day","hr")</f>
        <v>1.9475</v>
      </c>
      <c r="V34" s="10">
        <f>Table1[[#This Row],[Required Workload Hours]]*60</f>
        <v>116.85</v>
      </c>
      <c r="W34" s="9">
        <v>1</v>
      </c>
      <c r="X34" s="9">
        <f t="shared" si="0"/>
        <v>1</v>
      </c>
      <c r="Y34" s="5">
        <f t="shared" si="1"/>
        <v>1</v>
      </c>
      <c r="Z34" s="8">
        <f>ROUNDUP(Table1[[#This Row],[Actual Heacount]],0)</f>
        <v>1</v>
      </c>
      <c r="AA34" s="8"/>
      <c r="AB34" s="10"/>
      <c r="AC34" s="10"/>
      <c r="AD34" s="10"/>
      <c r="AE34" s="11">
        <v>-21.925614704917049</v>
      </c>
      <c r="AF34" s="11">
        <v>207.54573813703499</v>
      </c>
      <c r="AG34" t="s">
        <v>34</v>
      </c>
    </row>
    <row r="35" spans="1:33">
      <c r="A35" s="2">
        <v>43864</v>
      </c>
      <c r="B35" s="5" t="s">
        <v>39</v>
      </c>
      <c r="C35" s="5">
        <f>WEEKDAY(Table1[[#This Row],[Date]])</f>
        <v>2</v>
      </c>
      <c r="D35" s="5">
        <f>MONTH(Table1[[#This Row],[Date]])</f>
        <v>2</v>
      </c>
      <c r="E35" s="5">
        <f>WEEKNUM(Table1[[#This Row],[Date]])</f>
        <v>6</v>
      </c>
      <c r="F35" s="5">
        <f>YEAR(Table1[[#This Row],[Date]])</f>
        <v>2020</v>
      </c>
      <c r="G35">
        <v>200</v>
      </c>
      <c r="L35" s="5">
        <v>172</v>
      </c>
      <c r="M35" s="6">
        <v>0.96089999999999998</v>
      </c>
      <c r="N35" s="5">
        <v>7</v>
      </c>
      <c r="O35" s="7">
        <v>1.5046296296296297E-4</v>
      </c>
      <c r="P35" s="7">
        <v>1.5856481481481481E-3</v>
      </c>
      <c r="Q35" s="7">
        <v>2.3495370370370371E-3</v>
      </c>
      <c r="R35" s="6">
        <v>0.82489999999999997</v>
      </c>
      <c r="S35" s="8">
        <f>CONVERT(Table1[[#This Row],[Talk Duration (AVG)]]*Table1[[#This Row],[Answered Calls]],"day","hr")</f>
        <v>6.5455555555555556</v>
      </c>
      <c r="T35" s="9">
        <f>Table1[[#This Row],[Actual Workload hours]]*60</f>
        <v>392.73333333333335</v>
      </c>
      <c r="U35" s="9">
        <f>CONVERT(Table1[[#This Row],[Actual]]*Table1[[#This Row],[Talk Duration (AVG)]],"day","hr")</f>
        <v>7.6111111111111098</v>
      </c>
      <c r="V35" s="10">
        <f>Table1[[#This Row],[Required Workload Hours]]*60</f>
        <v>456.66666666666657</v>
      </c>
      <c r="W35" s="9">
        <v>1.02</v>
      </c>
      <c r="X35" s="9">
        <f t="shared" si="0"/>
        <v>1.1892361111111109</v>
      </c>
      <c r="Y35" s="5">
        <f t="shared" si="1"/>
        <v>2</v>
      </c>
      <c r="Z35" s="8">
        <f>ROUNDUP(Table1[[#This Row],[Actual Heacount]],0)</f>
        <v>2</v>
      </c>
      <c r="AA35" s="8"/>
      <c r="AB35" s="10"/>
      <c r="AC35" s="10"/>
      <c r="AD35" s="10"/>
      <c r="AE35" s="11">
        <v>87.980328658350032</v>
      </c>
      <c r="AF35" s="11">
        <v>300.21546423805671</v>
      </c>
      <c r="AG35" t="s">
        <v>34</v>
      </c>
    </row>
    <row r="36" spans="1:33">
      <c r="A36" s="2">
        <v>43865</v>
      </c>
      <c r="B36" s="5" t="s">
        <v>40</v>
      </c>
      <c r="C36" s="5">
        <f>WEEKDAY(Table1[[#This Row],[Date]])</f>
        <v>3</v>
      </c>
      <c r="D36" s="5">
        <f>MONTH(Table1[[#This Row],[Date]])</f>
        <v>2</v>
      </c>
      <c r="E36" s="5">
        <f>WEEKNUM(Table1[[#This Row],[Date]])</f>
        <v>6</v>
      </c>
      <c r="F36" s="5">
        <f>YEAR(Table1[[#This Row],[Date]])</f>
        <v>2020</v>
      </c>
      <c r="G36">
        <v>206</v>
      </c>
      <c r="L36" s="5">
        <v>184</v>
      </c>
      <c r="M36" s="6">
        <v>0.94850000000000001</v>
      </c>
      <c r="N36" s="5">
        <v>10</v>
      </c>
      <c r="O36" s="7">
        <v>2.7777777777777778E-4</v>
      </c>
      <c r="P36" s="7">
        <v>1.6666666666666668E-3</v>
      </c>
      <c r="Q36" s="7">
        <v>2.3032407407407407E-3</v>
      </c>
      <c r="R36" s="6">
        <v>0.70099999999999996</v>
      </c>
      <c r="S36" s="8">
        <f>CONVERT(Table1[[#This Row],[Talk Duration (AVG)]]*Table1[[#This Row],[Answered Calls]],"day","hr")</f>
        <v>7.3600000000000012</v>
      </c>
      <c r="T36" s="9">
        <f>Table1[[#This Row],[Actual Workload hours]]*60</f>
        <v>441.60000000000008</v>
      </c>
      <c r="U36" s="9">
        <f>CONVERT(Table1[[#This Row],[Actual]]*Table1[[#This Row],[Talk Duration (AVG)]],"day","hr")</f>
        <v>8.24</v>
      </c>
      <c r="V36" s="10">
        <f>Table1[[#This Row],[Required Workload Hours]]*60</f>
        <v>494.40000000000003</v>
      </c>
      <c r="W36" s="9">
        <v>1.1499999999999999</v>
      </c>
      <c r="X36" s="9">
        <f t="shared" si="0"/>
        <v>1.2875000000000001</v>
      </c>
      <c r="Y36" s="5">
        <f t="shared" si="1"/>
        <v>2</v>
      </c>
      <c r="Z36" s="8">
        <f>ROUNDUP(Table1[[#This Row],[Actual Heacount]],0)</f>
        <v>2</v>
      </c>
      <c r="AA36" s="8"/>
      <c r="AB36" s="10"/>
      <c r="AC36" s="10"/>
      <c r="AD36" s="10"/>
      <c r="AE36" s="11">
        <v>63.610352240976212</v>
      </c>
      <c r="AF36" s="11">
        <v>286.80807710942628</v>
      </c>
      <c r="AG36" t="s">
        <v>34</v>
      </c>
    </row>
    <row r="37" spans="1:33">
      <c r="A37" s="2">
        <v>43866</v>
      </c>
      <c r="B37" s="5" t="s">
        <v>33</v>
      </c>
      <c r="C37" s="5">
        <f>WEEKDAY(Table1[[#This Row],[Date]])</f>
        <v>4</v>
      </c>
      <c r="D37" s="5">
        <f>MONTH(Table1[[#This Row],[Date]])</f>
        <v>2</v>
      </c>
      <c r="E37" s="5">
        <f>WEEKNUM(Table1[[#This Row],[Date]])</f>
        <v>6</v>
      </c>
      <c r="F37" s="5">
        <f>YEAR(Table1[[#This Row],[Date]])</f>
        <v>2020</v>
      </c>
      <c r="G37">
        <v>255</v>
      </c>
      <c r="L37" s="5">
        <v>196</v>
      </c>
      <c r="M37" s="6">
        <v>0.97509999999999997</v>
      </c>
      <c r="N37" s="5">
        <v>5</v>
      </c>
      <c r="O37" s="7">
        <v>1.7361111111111112E-4</v>
      </c>
      <c r="P37" s="7">
        <v>1.5740740740740741E-3</v>
      </c>
      <c r="Q37" s="7">
        <v>3.3912037037037036E-3</v>
      </c>
      <c r="R37" s="6">
        <v>0.81589999999999996</v>
      </c>
      <c r="S37" s="8">
        <f>CONVERT(Table1[[#This Row],[Talk Duration (AVG)]]*Table1[[#This Row],[Answered Calls]],"day","hr")</f>
        <v>7.4044444444444446</v>
      </c>
      <c r="T37" s="9">
        <f>Table1[[#This Row],[Actual Workload hours]]*60</f>
        <v>444.26666666666665</v>
      </c>
      <c r="U37" s="9">
        <f>CONVERT(Table1[[#This Row],[Actual]]*Table1[[#This Row],[Talk Duration (AVG)]],"day","hr")</f>
        <v>9.6333333333333329</v>
      </c>
      <c r="V37" s="10">
        <f>Table1[[#This Row],[Required Workload Hours]]*60</f>
        <v>578</v>
      </c>
      <c r="W37" s="9">
        <v>1.1599999999999999</v>
      </c>
      <c r="X37" s="9">
        <f t="shared" si="0"/>
        <v>1.5052083333333333</v>
      </c>
      <c r="Y37" s="5">
        <f t="shared" si="1"/>
        <v>2</v>
      </c>
      <c r="Z37" s="8">
        <f>ROUNDUP(Table1[[#This Row],[Actual Heacount]],0)</f>
        <v>2</v>
      </c>
      <c r="AA37" s="8"/>
      <c r="AB37" s="10"/>
      <c r="AC37" s="10"/>
      <c r="AD37" s="10"/>
      <c r="AE37" s="11">
        <v>76.976075569037718</v>
      </c>
      <c r="AF37" s="11">
        <v>301.62558584047429</v>
      </c>
      <c r="AG37" t="s">
        <v>34</v>
      </c>
    </row>
    <row r="38" spans="1:33">
      <c r="A38" s="2">
        <v>43867</v>
      </c>
      <c r="B38" s="5" t="s">
        <v>35</v>
      </c>
      <c r="C38" s="5">
        <f>WEEKDAY(Table1[[#This Row],[Date]])</f>
        <v>5</v>
      </c>
      <c r="D38" s="5">
        <f>MONTH(Table1[[#This Row],[Date]])</f>
        <v>2</v>
      </c>
      <c r="E38" s="5">
        <f>WEEKNUM(Table1[[#This Row],[Date]])</f>
        <v>6</v>
      </c>
      <c r="F38" s="5">
        <f>YEAR(Table1[[#This Row],[Date]])</f>
        <v>2020</v>
      </c>
      <c r="G38">
        <v>166</v>
      </c>
      <c r="L38" s="5">
        <v>189</v>
      </c>
      <c r="M38" s="6">
        <v>0.86699999999999999</v>
      </c>
      <c r="N38" s="5">
        <v>29</v>
      </c>
      <c r="O38" s="7">
        <v>3.7037037037037035E-4</v>
      </c>
      <c r="P38" s="7">
        <v>1.8171296296296297E-3</v>
      </c>
      <c r="Q38" s="7">
        <v>5.6018518518518518E-3</v>
      </c>
      <c r="R38" s="6">
        <v>0.57410000000000005</v>
      </c>
      <c r="S38" s="8">
        <f>CONVERT(Table1[[#This Row],[Talk Duration (AVG)]]*Table1[[#This Row],[Answered Calls]],"day","hr")</f>
        <v>8.2424999999999997</v>
      </c>
      <c r="T38" s="9">
        <f>Table1[[#This Row],[Actual Workload hours]]*60</f>
        <v>494.54999999999995</v>
      </c>
      <c r="U38" s="9">
        <f>CONVERT(Table1[[#This Row],[Actual]]*Table1[[#This Row],[Talk Duration (AVG)]],"day","hr")</f>
        <v>7.2394444444444446</v>
      </c>
      <c r="V38" s="10">
        <f>Table1[[#This Row],[Required Workload Hours]]*60</f>
        <v>434.36666666666667</v>
      </c>
      <c r="W38" s="9">
        <v>1.29</v>
      </c>
      <c r="X38" s="9">
        <f t="shared" si="0"/>
        <v>1.1311631944444445</v>
      </c>
      <c r="Y38" s="5">
        <f t="shared" si="1"/>
        <v>2</v>
      </c>
      <c r="Z38" s="8">
        <f>ROUNDUP(Table1[[#This Row],[Actual Heacount]],0)</f>
        <v>2</v>
      </c>
      <c r="AA38" s="8"/>
      <c r="AB38" s="10"/>
      <c r="AC38" s="10"/>
      <c r="AD38" s="10"/>
      <c r="AE38" s="11">
        <v>83.553259803770416</v>
      </c>
      <c r="AF38" s="11">
        <v>295.57012136644443</v>
      </c>
      <c r="AG38" t="s">
        <v>34</v>
      </c>
    </row>
    <row r="39" spans="1:33">
      <c r="A39" s="2">
        <v>43868</v>
      </c>
      <c r="B39" s="5" t="s">
        <v>36</v>
      </c>
      <c r="C39" s="5">
        <f>WEEKDAY(Table1[[#This Row],[Date]])</f>
        <v>6</v>
      </c>
      <c r="D39" s="5">
        <f>MONTH(Table1[[#This Row],[Date]])</f>
        <v>2</v>
      </c>
      <c r="E39" s="5">
        <f>WEEKNUM(Table1[[#This Row],[Date]])</f>
        <v>6</v>
      </c>
      <c r="F39" s="5">
        <f>YEAR(Table1[[#This Row],[Date]])</f>
        <v>2020</v>
      </c>
      <c r="G39">
        <v>213</v>
      </c>
      <c r="L39" s="5">
        <v>190</v>
      </c>
      <c r="M39" s="6">
        <v>0.97940000000000005</v>
      </c>
      <c r="N39" s="5">
        <v>4</v>
      </c>
      <c r="O39" s="7">
        <v>1.8518518518518518E-4</v>
      </c>
      <c r="P39" s="7">
        <v>1.6435185185185185E-3</v>
      </c>
      <c r="Q39" s="7">
        <v>1.4120370370370369E-3</v>
      </c>
      <c r="R39" s="6">
        <v>0.81769999999999998</v>
      </c>
      <c r="S39" s="8">
        <f>CONVERT(Table1[[#This Row],[Talk Duration (AVG)]]*Table1[[#This Row],[Answered Calls]],"day","hr")</f>
        <v>7.4944444444444445</v>
      </c>
      <c r="T39" s="9">
        <f>Table1[[#This Row],[Actual Workload hours]]*60</f>
        <v>449.66666666666669</v>
      </c>
      <c r="U39" s="9">
        <f>CONVERT(Table1[[#This Row],[Actual]]*Table1[[#This Row],[Talk Duration (AVG)]],"day","hr")</f>
        <v>8.4016666666666673</v>
      </c>
      <c r="V39" s="10">
        <f>Table1[[#This Row],[Required Workload Hours]]*60</f>
        <v>504.1</v>
      </c>
      <c r="W39" s="9">
        <v>1.17</v>
      </c>
      <c r="X39" s="9">
        <f t="shared" si="0"/>
        <v>1.3127604166666667</v>
      </c>
      <c r="Y39" s="5">
        <f t="shared" si="1"/>
        <v>2</v>
      </c>
      <c r="Z39" s="8">
        <f>ROUNDUP(Table1[[#This Row],[Actual Heacount]],0)</f>
        <v>2</v>
      </c>
      <c r="AA39" s="8"/>
      <c r="AB39" s="10"/>
      <c r="AC39" s="10"/>
      <c r="AD39" s="10"/>
      <c r="AE39" s="11">
        <v>70.549709652023864</v>
      </c>
      <c r="AF39" s="11">
        <v>296.11396290650367</v>
      </c>
      <c r="AG39" t="s">
        <v>34</v>
      </c>
    </row>
    <row r="40" spans="1:33">
      <c r="A40" s="2">
        <v>43869</v>
      </c>
      <c r="B40" s="5" t="s">
        <v>37</v>
      </c>
      <c r="C40" s="5">
        <f>WEEKDAY(Table1[[#This Row],[Date]])</f>
        <v>7</v>
      </c>
      <c r="D40" s="5">
        <f>MONTH(Table1[[#This Row],[Date]])</f>
        <v>2</v>
      </c>
      <c r="E40" s="5">
        <f>WEEKNUM(Table1[[#This Row],[Date]])</f>
        <v>6</v>
      </c>
      <c r="F40" s="5">
        <f>YEAR(Table1[[#This Row],[Date]])</f>
        <v>2020</v>
      </c>
      <c r="G40">
        <v>24</v>
      </c>
      <c r="L40" s="5">
        <v>219</v>
      </c>
      <c r="M40" s="6">
        <v>0.96479999999999999</v>
      </c>
      <c r="N40" s="5">
        <v>8</v>
      </c>
      <c r="O40" s="7">
        <v>1.7361111111111112E-4</v>
      </c>
      <c r="P40" s="7">
        <v>1.8981481481481482E-3</v>
      </c>
      <c r="Q40" s="7">
        <v>2.7199074074074074E-3</v>
      </c>
      <c r="R40" s="6">
        <v>0.83630000000000004</v>
      </c>
      <c r="S40" s="8">
        <f>CONVERT(Table1[[#This Row],[Talk Duration (AVG)]]*Table1[[#This Row],[Answered Calls]],"day","hr")</f>
        <v>9.9766666666666666</v>
      </c>
      <c r="T40" s="9">
        <f>Table1[[#This Row],[Actual Workload hours]]*60</f>
        <v>598.6</v>
      </c>
      <c r="U40" s="9">
        <f>CONVERT(Table1[[#This Row],[Actual]]*Table1[[#This Row],[Talk Duration (AVG)]],"day","hr")</f>
        <v>1.0933333333333333</v>
      </c>
      <c r="V40" s="10">
        <f>Table1[[#This Row],[Required Workload Hours]]*60</f>
        <v>65.599999999999994</v>
      </c>
      <c r="W40" s="9">
        <v>1.56</v>
      </c>
      <c r="X40" s="9">
        <f t="shared" si="0"/>
        <v>1</v>
      </c>
      <c r="Y40" s="5">
        <f t="shared" si="1"/>
        <v>2</v>
      </c>
      <c r="Z40" s="8">
        <f>ROUNDUP(Table1[[#This Row],[Actual Heacount]],0)</f>
        <v>2</v>
      </c>
      <c r="AA40" s="8"/>
      <c r="AB40" s="10"/>
      <c r="AC40" s="10"/>
      <c r="AD40" s="10"/>
      <c r="AE40" s="11">
        <v>78.795787440626412</v>
      </c>
      <c r="AF40" s="11">
        <v>304.86850354064359</v>
      </c>
      <c r="AG40" t="s">
        <v>34</v>
      </c>
    </row>
    <row r="41" spans="1:33">
      <c r="A41" s="2">
        <v>43870</v>
      </c>
      <c r="B41" s="5" t="s">
        <v>38</v>
      </c>
      <c r="C41" s="5">
        <f>WEEKDAY(Table1[[#This Row],[Date]])</f>
        <v>1</v>
      </c>
      <c r="D41" s="5">
        <f>MONTH(Table1[[#This Row],[Date]])</f>
        <v>2</v>
      </c>
      <c r="E41" s="5">
        <f>WEEKNUM(Table1[[#This Row],[Date]])</f>
        <v>7</v>
      </c>
      <c r="F41" s="5">
        <f>YEAR(Table1[[#This Row],[Date]])</f>
        <v>2020</v>
      </c>
      <c r="G41">
        <v>252</v>
      </c>
      <c r="L41" s="5">
        <v>52</v>
      </c>
      <c r="M41" s="6">
        <v>1</v>
      </c>
      <c r="N41" s="5">
        <v>0</v>
      </c>
      <c r="O41" s="7">
        <v>1.0416666666666667E-4</v>
      </c>
      <c r="P41" s="7">
        <v>1.5740740740740741E-3</v>
      </c>
      <c r="Q41" s="7">
        <v>6.018518518518519E-4</v>
      </c>
      <c r="R41" s="6">
        <v>0.94230000000000003</v>
      </c>
      <c r="S41" s="8">
        <f>CONVERT(Table1[[#This Row],[Talk Duration (AVG)]]*Table1[[#This Row],[Answered Calls]],"day","hr")</f>
        <v>1.9644444444444444</v>
      </c>
      <c r="T41" s="9">
        <f>Table1[[#This Row],[Actual Workload hours]]*60</f>
        <v>117.86666666666666</v>
      </c>
      <c r="U41" s="9">
        <f>CONVERT(Table1[[#This Row],[Actual]]*Table1[[#This Row],[Talk Duration (AVG)]],"day","hr")</f>
        <v>9.52</v>
      </c>
      <c r="V41" s="10">
        <f>Table1[[#This Row],[Required Workload Hours]]*60</f>
        <v>571.19999999999993</v>
      </c>
      <c r="W41" s="9">
        <v>1</v>
      </c>
      <c r="X41" s="9">
        <f t="shared" si="0"/>
        <v>1.4874999999999998</v>
      </c>
      <c r="Y41" s="5">
        <f t="shared" si="1"/>
        <v>1</v>
      </c>
      <c r="Z41" s="8">
        <f>ROUNDUP(Table1[[#This Row],[Actual Heacount]],0)</f>
        <v>1</v>
      </c>
      <c r="AA41" s="8"/>
      <c r="AB41" s="10"/>
      <c r="AC41" s="10"/>
      <c r="AD41" s="10"/>
      <c r="AE41" s="11">
        <v>0.71317657931091205</v>
      </c>
      <c r="AF41" s="11">
        <v>213.85385716979081</v>
      </c>
      <c r="AG41" t="s">
        <v>34</v>
      </c>
    </row>
    <row r="42" spans="1:33">
      <c r="A42" s="2">
        <v>43871</v>
      </c>
      <c r="B42" s="5" t="s">
        <v>39</v>
      </c>
      <c r="C42" s="5">
        <f>WEEKDAY(Table1[[#This Row],[Date]])</f>
        <v>2</v>
      </c>
      <c r="D42" s="5">
        <f>MONTH(Table1[[#This Row],[Date]])</f>
        <v>2</v>
      </c>
      <c r="E42" s="5">
        <f>WEEKNUM(Table1[[#This Row],[Date]])</f>
        <v>7</v>
      </c>
      <c r="F42" s="5">
        <f>YEAR(Table1[[#This Row],[Date]])</f>
        <v>2020</v>
      </c>
      <c r="G42">
        <v>184</v>
      </c>
      <c r="L42" s="5">
        <v>370</v>
      </c>
      <c r="M42" s="6">
        <v>0.96099999999999997</v>
      </c>
      <c r="N42" s="5">
        <v>15</v>
      </c>
      <c r="O42" s="7">
        <v>2.3148148148148149E-4</v>
      </c>
      <c r="P42" s="7">
        <v>1.5162037037037036E-3</v>
      </c>
      <c r="Q42" s="7">
        <v>2.1990740740740742E-3</v>
      </c>
      <c r="R42" s="6">
        <v>0.76190000000000002</v>
      </c>
      <c r="S42" s="8">
        <f>CONVERT(Table1[[#This Row],[Talk Duration (AVG)]]*Table1[[#This Row],[Answered Calls]],"day","hr")</f>
        <v>13.463888888888889</v>
      </c>
      <c r="T42" s="9">
        <f>Table1[[#This Row],[Actual Workload hours]]*60</f>
        <v>807.83333333333326</v>
      </c>
      <c r="U42" s="9">
        <f>CONVERT(Table1[[#This Row],[Actual]]*Table1[[#This Row],[Talk Duration (AVG)]],"day","hr")</f>
        <v>6.6955555555555559</v>
      </c>
      <c r="V42" s="10">
        <f>Table1[[#This Row],[Required Workload Hours]]*60</f>
        <v>401.73333333333335</v>
      </c>
      <c r="W42" s="9">
        <v>2.1</v>
      </c>
      <c r="X42" s="9">
        <f t="shared" si="0"/>
        <v>1.0461805555555557</v>
      </c>
      <c r="Y42" s="5">
        <f t="shared" si="1"/>
        <v>2</v>
      </c>
      <c r="Z42" s="8">
        <f>ROUNDUP(Table1[[#This Row],[Actual Heacount]],0)</f>
        <v>3</v>
      </c>
      <c r="AA42" s="8"/>
      <c r="AB42" s="10"/>
      <c r="AC42" s="10"/>
      <c r="AD42" s="10"/>
      <c r="AE42" s="11">
        <v>99.042473408474592</v>
      </c>
      <c r="AF42" s="11">
        <v>316.54026771548729</v>
      </c>
      <c r="AG42" t="s">
        <v>34</v>
      </c>
    </row>
    <row r="43" spans="1:33">
      <c r="A43" s="2">
        <v>43872</v>
      </c>
      <c r="B43" s="5" t="s">
        <v>40</v>
      </c>
      <c r="C43" s="5">
        <f>WEEKDAY(Table1[[#This Row],[Date]])</f>
        <v>3</v>
      </c>
      <c r="D43" s="5">
        <f>MONTH(Table1[[#This Row],[Date]])</f>
        <v>2</v>
      </c>
      <c r="E43" s="5">
        <f>WEEKNUM(Table1[[#This Row],[Date]])</f>
        <v>7</v>
      </c>
      <c r="F43" s="5">
        <f>YEAR(Table1[[#This Row],[Date]])</f>
        <v>2020</v>
      </c>
      <c r="G43">
        <v>250</v>
      </c>
      <c r="L43" s="5">
        <v>130</v>
      </c>
      <c r="M43" s="6">
        <v>0.94889999999999997</v>
      </c>
      <c r="N43" s="5">
        <v>7</v>
      </c>
      <c r="O43" s="7">
        <v>1.8518518518518518E-4</v>
      </c>
      <c r="P43" s="7">
        <v>1.6898148148148148E-3</v>
      </c>
      <c r="Q43" s="7">
        <v>6.7939814814814816E-3</v>
      </c>
      <c r="R43" s="6">
        <v>0.7591</v>
      </c>
      <c r="S43" s="8">
        <f>CONVERT(Table1[[#This Row],[Talk Duration (AVG)]]*Table1[[#This Row],[Answered Calls]],"day","hr")</f>
        <v>5.2722222222222221</v>
      </c>
      <c r="T43" s="9">
        <f>Table1[[#This Row],[Actual Workload hours]]*60</f>
        <v>316.33333333333331</v>
      </c>
      <c r="U43" s="9">
        <f>CONVERT(Table1[[#This Row],[Actual]]*Table1[[#This Row],[Talk Duration (AVG)]],"day","hr")</f>
        <v>10.138888888888889</v>
      </c>
      <c r="V43" s="10">
        <f>Table1[[#This Row],[Required Workload Hours]]*60</f>
        <v>608.33333333333337</v>
      </c>
      <c r="W43" s="9">
        <v>1</v>
      </c>
      <c r="X43" s="9">
        <f t="shared" si="0"/>
        <v>1.5842013888888891</v>
      </c>
      <c r="Y43" s="5">
        <f t="shared" si="1"/>
        <v>2</v>
      </c>
      <c r="Z43" s="8">
        <f>ROUNDUP(Table1[[#This Row],[Actual Heacount]],0)</f>
        <v>1</v>
      </c>
      <c r="AA43" s="8"/>
      <c r="AB43" s="10"/>
      <c r="AC43" s="10"/>
      <c r="AD43" s="10"/>
      <c r="AE43" s="11">
        <v>86.946630035246699</v>
      </c>
      <c r="AF43" s="11">
        <v>306.70842954815862</v>
      </c>
      <c r="AG43" t="s">
        <v>34</v>
      </c>
    </row>
    <row r="44" spans="1:33">
      <c r="A44" s="2">
        <v>43873</v>
      </c>
      <c r="B44" s="5" t="s">
        <v>33</v>
      </c>
      <c r="C44" s="5">
        <f>WEEKDAY(Table1[[#This Row],[Date]])</f>
        <v>4</v>
      </c>
      <c r="D44" s="5">
        <f>MONTH(Table1[[#This Row],[Date]])</f>
        <v>2</v>
      </c>
      <c r="E44" s="5">
        <f>WEEKNUM(Table1[[#This Row],[Date]])</f>
        <v>7</v>
      </c>
      <c r="F44" s="5">
        <f>YEAR(Table1[[#This Row],[Date]])</f>
        <v>2020</v>
      </c>
      <c r="G44">
        <v>295</v>
      </c>
      <c r="L44" s="5">
        <v>252</v>
      </c>
      <c r="M44" s="6">
        <v>0.99209999999999998</v>
      </c>
      <c r="N44" s="5">
        <v>2</v>
      </c>
      <c r="O44" s="7">
        <v>1.1574074074074075E-4</v>
      </c>
      <c r="P44" s="7">
        <v>1.4814814814814814E-3</v>
      </c>
      <c r="Q44" s="7">
        <v>8.1018518518518516E-4</v>
      </c>
      <c r="R44" s="6">
        <v>0.91339999999999999</v>
      </c>
      <c r="S44" s="8">
        <f>CONVERT(Table1[[#This Row],[Talk Duration (AVG)]]*Table1[[#This Row],[Answered Calls]],"day","hr")</f>
        <v>8.9599999999999991</v>
      </c>
      <c r="T44" s="9">
        <f>Table1[[#This Row],[Actual Workload hours]]*60</f>
        <v>537.59999999999991</v>
      </c>
      <c r="U44" s="9">
        <f>CONVERT(Table1[[#This Row],[Actual]]*Table1[[#This Row],[Talk Duration (AVG)]],"day","hr")</f>
        <v>10.488888888888889</v>
      </c>
      <c r="V44" s="10">
        <f>Table1[[#This Row],[Required Workload Hours]]*60</f>
        <v>629.33333333333337</v>
      </c>
      <c r="W44" s="9">
        <v>1.4</v>
      </c>
      <c r="X44" s="9">
        <f t="shared" si="0"/>
        <v>1.6388888888888891</v>
      </c>
      <c r="Y44" s="5">
        <f t="shared" si="1"/>
        <v>2</v>
      </c>
      <c r="Z44" s="8">
        <f>ROUNDUP(Table1[[#This Row],[Actual Heacount]],0)</f>
        <v>2</v>
      </c>
      <c r="AA44" s="8"/>
      <c r="AB44" s="10"/>
      <c r="AC44" s="10"/>
      <c r="AD44" s="10"/>
      <c r="AE44" s="11">
        <v>97.931363832149088</v>
      </c>
      <c r="AF44" s="11">
        <v>327.1585818821132</v>
      </c>
      <c r="AG44" t="s">
        <v>34</v>
      </c>
    </row>
    <row r="45" spans="1:33">
      <c r="A45" s="2">
        <v>43874</v>
      </c>
      <c r="B45" s="5" t="s">
        <v>35</v>
      </c>
      <c r="C45" s="5">
        <f>WEEKDAY(Table1[[#This Row],[Date]])</f>
        <v>5</v>
      </c>
      <c r="D45" s="5">
        <f>MONTH(Table1[[#This Row],[Date]])</f>
        <v>2</v>
      </c>
      <c r="E45" s="5">
        <f>WEEKNUM(Table1[[#This Row],[Date]])</f>
        <v>7</v>
      </c>
      <c r="F45" s="5">
        <f>YEAR(Table1[[#This Row],[Date]])</f>
        <v>2020</v>
      </c>
      <c r="G45">
        <v>211</v>
      </c>
      <c r="L45" s="5">
        <v>206</v>
      </c>
      <c r="M45" s="6">
        <v>0.97629999999999995</v>
      </c>
      <c r="N45" s="5">
        <v>5</v>
      </c>
      <c r="O45" s="7">
        <v>1.273148148148148E-4</v>
      </c>
      <c r="P45" s="7">
        <v>1.6666666666666668E-3</v>
      </c>
      <c r="Q45" s="7">
        <v>3.2060185185185186E-3</v>
      </c>
      <c r="R45" s="6">
        <v>0.87139999999999995</v>
      </c>
      <c r="S45" s="8">
        <f>CONVERT(Table1[[#This Row],[Talk Duration (AVG)]]*Table1[[#This Row],[Answered Calls]],"day","hr")</f>
        <v>8.24</v>
      </c>
      <c r="T45" s="9">
        <f>Table1[[#This Row],[Actual Workload hours]]*60</f>
        <v>494.40000000000003</v>
      </c>
      <c r="U45" s="9">
        <f>CONVERT(Table1[[#This Row],[Actual]]*Table1[[#This Row],[Talk Duration (AVG)]],"day","hr")</f>
        <v>8.44</v>
      </c>
      <c r="V45" s="10">
        <f>Table1[[#This Row],[Required Workload Hours]]*60</f>
        <v>506.4</v>
      </c>
      <c r="W45" s="9">
        <v>1.29</v>
      </c>
      <c r="X45" s="9">
        <f t="shared" si="0"/>
        <v>1.3187499999999999</v>
      </c>
      <c r="Y45" s="5">
        <f t="shared" si="1"/>
        <v>2</v>
      </c>
      <c r="Z45" s="8">
        <f>ROUNDUP(Table1[[#This Row],[Actual Heacount]],0)</f>
        <v>2</v>
      </c>
      <c r="AA45" s="8"/>
      <c r="AB45" s="10"/>
      <c r="AC45" s="10"/>
      <c r="AD45" s="10"/>
      <c r="AE45" s="11">
        <v>102.32679168474461</v>
      </c>
      <c r="AF45" s="11">
        <v>321.09710564102687</v>
      </c>
      <c r="AG45" t="s">
        <v>34</v>
      </c>
    </row>
    <row r="46" spans="1:33">
      <c r="A46" s="2">
        <v>43875</v>
      </c>
      <c r="B46" s="5" t="s">
        <v>36</v>
      </c>
      <c r="C46" s="5">
        <f>WEEKDAY(Table1[[#This Row],[Date]])</f>
        <v>6</v>
      </c>
      <c r="D46" s="5">
        <f>MONTH(Table1[[#This Row],[Date]])</f>
        <v>2</v>
      </c>
      <c r="E46" s="5">
        <f>WEEKNUM(Table1[[#This Row],[Date]])</f>
        <v>7</v>
      </c>
      <c r="F46" s="5">
        <f>YEAR(Table1[[#This Row],[Date]])</f>
        <v>2020</v>
      </c>
      <c r="G46">
        <v>282</v>
      </c>
      <c r="L46" s="5">
        <v>279</v>
      </c>
      <c r="M46" s="6">
        <v>0.98939999999999995</v>
      </c>
      <c r="N46" s="5">
        <v>3</v>
      </c>
      <c r="O46" s="7">
        <v>8.1018518518518516E-5</v>
      </c>
      <c r="P46" s="7">
        <v>1.5972222222222223E-3</v>
      </c>
      <c r="Q46" s="7">
        <v>8.2175925925925927E-4</v>
      </c>
      <c r="R46" s="6">
        <v>0.93210000000000004</v>
      </c>
      <c r="S46" s="8">
        <f>CONVERT(Table1[[#This Row],[Talk Duration (AVG)]]*Table1[[#This Row],[Answered Calls]],"day","hr")</f>
        <v>10.695000000000002</v>
      </c>
      <c r="T46" s="9">
        <f>Table1[[#This Row],[Actual Workload hours]]*60</f>
        <v>641.70000000000016</v>
      </c>
      <c r="U46" s="9">
        <f>CONVERT(Table1[[#This Row],[Actual]]*Table1[[#This Row],[Talk Duration (AVG)]],"day","hr")</f>
        <v>10.81</v>
      </c>
      <c r="V46" s="10">
        <f>Table1[[#This Row],[Required Workload Hours]]*60</f>
        <v>648.6</v>
      </c>
      <c r="W46" s="9">
        <v>1.67</v>
      </c>
      <c r="X46" s="9">
        <f t="shared" si="0"/>
        <v>1.6890625000000001</v>
      </c>
      <c r="Y46" s="5">
        <f t="shared" si="1"/>
        <v>2</v>
      </c>
      <c r="Z46" s="8">
        <f>ROUNDUP(Table1[[#This Row],[Actual Heacount]],0)</f>
        <v>2</v>
      </c>
      <c r="AA46" s="8"/>
      <c r="AB46" s="10"/>
      <c r="AC46" s="10"/>
      <c r="AD46" s="10"/>
      <c r="AE46" s="11">
        <v>93.955536396757722</v>
      </c>
      <c r="AF46" s="11">
        <v>307.74589267822461</v>
      </c>
      <c r="AG46" t="s">
        <v>34</v>
      </c>
    </row>
    <row r="47" spans="1:33">
      <c r="A47" s="2">
        <v>43876</v>
      </c>
      <c r="B47" s="5" t="s">
        <v>37</v>
      </c>
      <c r="C47" s="5">
        <f>WEEKDAY(Table1[[#This Row],[Date]])</f>
        <v>7</v>
      </c>
      <c r="D47" s="5">
        <f>MONTH(Table1[[#This Row],[Date]])</f>
        <v>2</v>
      </c>
      <c r="E47" s="5">
        <f>WEEKNUM(Table1[[#This Row],[Date]])</f>
        <v>7</v>
      </c>
      <c r="F47" s="5">
        <f>YEAR(Table1[[#This Row],[Date]])</f>
        <v>2020</v>
      </c>
      <c r="G47">
        <v>262</v>
      </c>
      <c r="L47" s="5">
        <v>260</v>
      </c>
      <c r="M47" s="6">
        <v>0.99239999999999995</v>
      </c>
      <c r="N47" s="5">
        <v>2</v>
      </c>
      <c r="O47" s="7">
        <v>9.2592592592592588E-5</v>
      </c>
      <c r="P47" s="7">
        <v>1.7476851851851852E-3</v>
      </c>
      <c r="Q47" s="7">
        <v>8.4490740740740739E-4</v>
      </c>
      <c r="R47" s="6">
        <v>0.90800000000000003</v>
      </c>
      <c r="S47" s="8">
        <f>CONVERT(Table1[[#This Row],[Talk Duration (AVG)]]*Table1[[#This Row],[Answered Calls]],"day","hr")</f>
        <v>10.905555555555555</v>
      </c>
      <c r="T47" s="9">
        <f>Table1[[#This Row],[Actual Workload hours]]*60</f>
        <v>654.33333333333326</v>
      </c>
      <c r="U47" s="9">
        <f>CONVERT(Table1[[#This Row],[Actual]]*Table1[[#This Row],[Talk Duration (AVG)]],"day","hr")</f>
        <v>10.989444444444445</v>
      </c>
      <c r="V47" s="10">
        <f>Table1[[#This Row],[Required Workload Hours]]*60</f>
        <v>659.36666666666667</v>
      </c>
      <c r="W47" s="9">
        <v>1.7</v>
      </c>
      <c r="X47" s="9">
        <f t="shared" si="0"/>
        <v>1.7171006944444445</v>
      </c>
      <c r="Y47" s="5">
        <f t="shared" si="1"/>
        <v>2</v>
      </c>
      <c r="Z47" s="8">
        <f>ROUNDUP(Table1[[#This Row],[Actual Heacount]],0)</f>
        <v>2</v>
      </c>
      <c r="AA47" s="8"/>
      <c r="AB47" s="10"/>
      <c r="AC47" s="10"/>
      <c r="AD47" s="10"/>
      <c r="AE47" s="11">
        <v>104.8060999827367</v>
      </c>
      <c r="AF47" s="11">
        <v>332.14155527052418</v>
      </c>
      <c r="AG47" t="s">
        <v>34</v>
      </c>
    </row>
    <row r="48" spans="1:33">
      <c r="A48" s="2">
        <v>43877</v>
      </c>
      <c r="B48" s="5" t="s">
        <v>38</v>
      </c>
      <c r="C48" s="5">
        <f>WEEKDAY(Table1[[#This Row],[Date]])</f>
        <v>1</v>
      </c>
      <c r="D48" s="5">
        <f>MONTH(Table1[[#This Row],[Date]])</f>
        <v>2</v>
      </c>
      <c r="E48" s="5">
        <f>WEEKNUM(Table1[[#This Row],[Date]])</f>
        <v>8</v>
      </c>
      <c r="F48" s="5">
        <f>YEAR(Table1[[#This Row],[Date]])</f>
        <v>2020</v>
      </c>
      <c r="G48">
        <v>65</v>
      </c>
      <c r="L48" s="5">
        <v>63</v>
      </c>
      <c r="M48" s="6">
        <v>0.96919999999999995</v>
      </c>
      <c r="N48" s="5">
        <v>2</v>
      </c>
      <c r="O48" s="7">
        <v>1.3888888888888889E-4</v>
      </c>
      <c r="P48" s="7">
        <v>1.6435185185185185E-3</v>
      </c>
      <c r="Q48" s="7">
        <v>1.5046296296296296E-3</v>
      </c>
      <c r="R48" s="6">
        <v>0.85940000000000005</v>
      </c>
      <c r="S48" s="8">
        <f>CONVERT(Table1[[#This Row],[Talk Duration (AVG)]]*Table1[[#This Row],[Answered Calls]],"day","hr")</f>
        <v>2.4849999999999999</v>
      </c>
      <c r="T48" s="9">
        <f>Table1[[#This Row],[Actual Workload hours]]*60</f>
        <v>149.1</v>
      </c>
      <c r="U48" s="9">
        <f>CONVERT(Table1[[#This Row],[Actual]]*Table1[[#This Row],[Talk Duration (AVG)]],"day","hr")</f>
        <v>2.5638888888888891</v>
      </c>
      <c r="V48" s="10">
        <f>Table1[[#This Row],[Required Workload Hours]]*60</f>
        <v>153.83333333333334</v>
      </c>
      <c r="W48" s="9">
        <v>1</v>
      </c>
      <c r="X48" s="9">
        <f t="shared" si="0"/>
        <v>1</v>
      </c>
      <c r="Y48" s="5">
        <f t="shared" si="1"/>
        <v>1</v>
      </c>
      <c r="Z48" s="8">
        <f>ROUNDUP(Table1[[#This Row],[Actual Heacount]],0)</f>
        <v>1</v>
      </c>
      <c r="AA48" s="8"/>
      <c r="AB48" s="10"/>
      <c r="AC48" s="10"/>
      <c r="AD48" s="10"/>
      <c r="AE48" s="11">
        <v>14.320959899635049</v>
      </c>
      <c r="AF48" s="11">
        <v>233.36483422479861</v>
      </c>
      <c r="AG48" t="s">
        <v>34</v>
      </c>
    </row>
    <row r="49" spans="1:33">
      <c r="A49" s="2">
        <v>43878</v>
      </c>
      <c r="B49" s="5" t="s">
        <v>39</v>
      </c>
      <c r="C49" s="5">
        <f>WEEKDAY(Table1[[#This Row],[Date]])</f>
        <v>2</v>
      </c>
      <c r="D49" s="5">
        <f>MONTH(Table1[[#This Row],[Date]])</f>
        <v>2</v>
      </c>
      <c r="E49" s="5">
        <f>WEEKNUM(Table1[[#This Row],[Date]])</f>
        <v>8</v>
      </c>
      <c r="F49" s="5">
        <f>YEAR(Table1[[#This Row],[Date]])</f>
        <v>2020</v>
      </c>
      <c r="G49">
        <v>325</v>
      </c>
      <c r="L49" s="5">
        <v>323</v>
      </c>
      <c r="M49" s="6">
        <v>0.99380000000000002</v>
      </c>
      <c r="N49" s="5">
        <v>2</v>
      </c>
      <c r="O49" s="7">
        <v>5.7870370370370373E-5</v>
      </c>
      <c r="P49" s="7">
        <v>1.5393518518518519E-3</v>
      </c>
      <c r="Q49" s="7">
        <v>8.564814814814815E-4</v>
      </c>
      <c r="R49" s="6">
        <v>0.96899999999999997</v>
      </c>
      <c r="S49" s="8">
        <f>CONVERT(Table1[[#This Row],[Talk Duration (AVG)]]*Table1[[#This Row],[Answered Calls]],"day","hr")</f>
        <v>11.933055555555555</v>
      </c>
      <c r="T49" s="9">
        <f>Table1[[#This Row],[Actual Workload hours]]*60</f>
        <v>715.98333333333335</v>
      </c>
      <c r="U49" s="9">
        <f>CONVERT(Table1[[#This Row],[Actual]]*Table1[[#This Row],[Talk Duration (AVG)]],"day","hr")</f>
        <v>12.006944444444445</v>
      </c>
      <c r="V49" s="10">
        <f>Table1[[#This Row],[Required Workload Hours]]*60</f>
        <v>720.41666666666663</v>
      </c>
      <c r="W49" s="9">
        <v>1.86</v>
      </c>
      <c r="X49" s="9">
        <f t="shared" si="0"/>
        <v>1.8760850694444444</v>
      </c>
      <c r="Y49" s="5">
        <f t="shared" si="1"/>
        <v>2</v>
      </c>
      <c r="Z49" s="8">
        <f>ROUNDUP(Table1[[#This Row],[Actual Heacount]],0)</f>
        <v>2</v>
      </c>
      <c r="AA49" s="8"/>
      <c r="AB49" s="10"/>
      <c r="AC49" s="10"/>
      <c r="AD49" s="10"/>
      <c r="AE49" s="11">
        <v>124.0895251521336</v>
      </c>
      <c r="AF49" s="11">
        <v>340.08137118641798</v>
      </c>
      <c r="AG49" t="s">
        <v>34</v>
      </c>
    </row>
    <row r="50" spans="1:33">
      <c r="A50" s="2">
        <v>43879</v>
      </c>
      <c r="B50" s="5" t="s">
        <v>40</v>
      </c>
      <c r="C50" s="5">
        <f>WEEKDAY(Table1[[#This Row],[Date]])</f>
        <v>3</v>
      </c>
      <c r="D50" s="5">
        <f>MONTH(Table1[[#This Row],[Date]])</f>
        <v>2</v>
      </c>
      <c r="E50" s="5">
        <f>WEEKNUM(Table1[[#This Row],[Date]])</f>
        <v>8</v>
      </c>
      <c r="F50" s="5">
        <f>YEAR(Table1[[#This Row],[Date]])</f>
        <v>2020</v>
      </c>
      <c r="G50">
        <v>235</v>
      </c>
      <c r="L50" s="5">
        <v>230</v>
      </c>
      <c r="M50" s="6">
        <v>0.97870000000000001</v>
      </c>
      <c r="N50" s="5">
        <v>5</v>
      </c>
      <c r="O50" s="7">
        <v>5.7870370370370373E-5</v>
      </c>
      <c r="P50" s="7">
        <v>1.6087962962962963E-3</v>
      </c>
      <c r="Q50" s="7">
        <v>6.7129629629629625E-4</v>
      </c>
      <c r="R50" s="6">
        <v>0.96140000000000003</v>
      </c>
      <c r="S50" s="8">
        <f>CONVERT(Table1[[#This Row],[Talk Duration (AVG)]]*Table1[[#This Row],[Answered Calls]],"day","hr")</f>
        <v>8.8805555555555564</v>
      </c>
      <c r="T50" s="9">
        <f>Table1[[#This Row],[Actual Workload hours]]*60</f>
        <v>532.83333333333337</v>
      </c>
      <c r="U50" s="9">
        <f>CONVERT(Table1[[#This Row],[Actual]]*Table1[[#This Row],[Talk Duration (AVG)]],"day","hr")</f>
        <v>9.0736111111111111</v>
      </c>
      <c r="V50" s="10">
        <f>Table1[[#This Row],[Required Workload Hours]]*60</f>
        <v>544.41666666666663</v>
      </c>
      <c r="W50" s="9">
        <v>1.39</v>
      </c>
      <c r="X50" s="9">
        <f t="shared" si="0"/>
        <v>1.4177517361111109</v>
      </c>
      <c r="Y50" s="5">
        <f t="shared" si="1"/>
        <v>2</v>
      </c>
      <c r="Z50" s="8">
        <f>ROUNDUP(Table1[[#This Row],[Actual Heacount]],0)</f>
        <v>2</v>
      </c>
      <c r="AA50" s="8"/>
      <c r="AB50" s="10"/>
      <c r="AC50" s="10"/>
      <c r="AD50" s="10"/>
      <c r="AE50" s="11">
        <v>102.1535927385179</v>
      </c>
      <c r="AF50" s="11">
        <v>326.29362721078098</v>
      </c>
      <c r="AG50" t="s">
        <v>34</v>
      </c>
    </row>
    <row r="51" spans="1:33">
      <c r="A51" s="2">
        <v>43880</v>
      </c>
      <c r="B51" s="5" t="s">
        <v>33</v>
      </c>
      <c r="C51" s="5">
        <f>WEEKDAY(Table1[[#This Row],[Date]])</f>
        <v>4</v>
      </c>
      <c r="D51" s="5">
        <f>MONTH(Table1[[#This Row],[Date]])</f>
        <v>2</v>
      </c>
      <c r="E51" s="5">
        <f>WEEKNUM(Table1[[#This Row],[Date]])</f>
        <v>8</v>
      </c>
      <c r="F51" s="5">
        <f>YEAR(Table1[[#This Row],[Date]])</f>
        <v>2020</v>
      </c>
      <c r="G51">
        <v>215</v>
      </c>
      <c r="L51" s="5">
        <v>212</v>
      </c>
      <c r="M51" s="6">
        <v>0.98599999999999999</v>
      </c>
      <c r="N51" s="5">
        <v>3</v>
      </c>
      <c r="O51" s="7">
        <v>5.7870370370370373E-5</v>
      </c>
      <c r="P51" s="7">
        <v>1.5509259259259259E-3</v>
      </c>
      <c r="Q51" s="7">
        <v>6.7129629629629625E-4</v>
      </c>
      <c r="R51" s="6">
        <v>0.95809999999999995</v>
      </c>
      <c r="S51" s="8">
        <f>CONVERT(Table1[[#This Row],[Talk Duration (AVG)]]*Table1[[#This Row],[Answered Calls]],"day","hr")</f>
        <v>7.891111111111111</v>
      </c>
      <c r="T51" s="9">
        <f>Table1[[#This Row],[Actual Workload hours]]*60</f>
        <v>473.46666666666664</v>
      </c>
      <c r="U51" s="9">
        <f>CONVERT(Table1[[#This Row],[Actual]]*Table1[[#This Row],[Talk Duration (AVG)]],"day","hr")</f>
        <v>8.0027777777777764</v>
      </c>
      <c r="V51" s="10">
        <f>Table1[[#This Row],[Required Workload Hours]]*60</f>
        <v>480.16666666666657</v>
      </c>
      <c r="W51" s="9">
        <v>1.23</v>
      </c>
      <c r="X51" s="9">
        <f t="shared" si="0"/>
        <v>1.2504340277777775</v>
      </c>
      <c r="Y51" s="5">
        <f t="shared" si="1"/>
        <v>2</v>
      </c>
      <c r="Z51" s="8">
        <f>ROUNDUP(Table1[[#This Row],[Actual Heacount]],0)</f>
        <v>2</v>
      </c>
      <c r="AA51" s="8"/>
      <c r="AB51" s="10"/>
      <c r="AC51" s="10"/>
      <c r="AD51" s="10"/>
      <c r="AE51" s="11">
        <v>124.1015863500797</v>
      </c>
      <c r="AF51" s="11">
        <v>335.99519408491949</v>
      </c>
      <c r="AG51" t="s">
        <v>34</v>
      </c>
    </row>
    <row r="52" spans="1:33">
      <c r="A52" s="2">
        <v>43881</v>
      </c>
      <c r="B52" s="5" t="s">
        <v>35</v>
      </c>
      <c r="C52" s="5">
        <f>WEEKDAY(Table1[[#This Row],[Date]])</f>
        <v>5</v>
      </c>
      <c r="D52" s="5">
        <f>MONTH(Table1[[#This Row],[Date]])</f>
        <v>2</v>
      </c>
      <c r="E52" s="5">
        <f>WEEKNUM(Table1[[#This Row],[Date]])</f>
        <v>8</v>
      </c>
      <c r="F52" s="5">
        <f>YEAR(Table1[[#This Row],[Date]])</f>
        <v>2020</v>
      </c>
      <c r="G52">
        <v>85</v>
      </c>
      <c r="L52" s="5">
        <v>85</v>
      </c>
      <c r="M52" s="6">
        <v>1</v>
      </c>
      <c r="N52" s="5">
        <v>0</v>
      </c>
      <c r="O52" s="7">
        <v>3.4722222222222222E-5</v>
      </c>
      <c r="P52" s="7">
        <v>1.6898148148148148E-3</v>
      </c>
      <c r="Q52" s="7">
        <v>6.3657407407407413E-4</v>
      </c>
      <c r="R52" s="6">
        <v>0.97650000000000003</v>
      </c>
      <c r="S52" s="8">
        <f>CONVERT(Table1[[#This Row],[Talk Duration (AVG)]]*Table1[[#This Row],[Answered Calls]],"day","hr")</f>
        <v>3.4472222222222224</v>
      </c>
      <c r="T52" s="9">
        <f>Table1[[#This Row],[Actual Workload hours]]*60</f>
        <v>206.83333333333334</v>
      </c>
      <c r="U52" s="9">
        <f>CONVERT(Table1[[#This Row],[Actual]]*Table1[[#This Row],[Talk Duration (AVG)]],"day","hr")</f>
        <v>3.4472222222222224</v>
      </c>
      <c r="V52" s="10">
        <f>Table1[[#This Row],[Required Workload Hours]]*60</f>
        <v>206.83333333333334</v>
      </c>
      <c r="W52" s="9">
        <v>1</v>
      </c>
      <c r="X52" s="9">
        <f t="shared" si="0"/>
        <v>1</v>
      </c>
      <c r="Y52" s="5">
        <f t="shared" si="1"/>
        <v>2</v>
      </c>
      <c r="Z52" s="8">
        <f>ROUNDUP(Table1[[#This Row],[Actual Heacount]],0)</f>
        <v>1</v>
      </c>
      <c r="AA52" s="8"/>
      <c r="AB52" s="10"/>
      <c r="AC52" s="10"/>
      <c r="AD52" s="10"/>
      <c r="AE52" s="11">
        <v>122.8005592172011</v>
      </c>
      <c r="AF52" s="11">
        <v>345.03909717859818</v>
      </c>
      <c r="AG52" t="s">
        <v>34</v>
      </c>
    </row>
    <row r="53" spans="1:33">
      <c r="A53" s="2">
        <v>43882</v>
      </c>
      <c r="B53" s="5" t="s">
        <v>36</v>
      </c>
      <c r="C53" s="5">
        <f>WEEKDAY(Table1[[#This Row],[Date]])</f>
        <v>6</v>
      </c>
      <c r="D53" s="5">
        <f>MONTH(Table1[[#This Row],[Date]])</f>
        <v>2</v>
      </c>
      <c r="E53" s="5">
        <f>WEEKNUM(Table1[[#This Row],[Date]])</f>
        <v>8</v>
      </c>
      <c r="F53" s="5">
        <f>YEAR(Table1[[#This Row],[Date]])</f>
        <v>2020</v>
      </c>
      <c r="G53">
        <v>195</v>
      </c>
      <c r="L53" s="5">
        <v>195</v>
      </c>
      <c r="M53" s="6">
        <v>1</v>
      </c>
      <c r="N53" s="5">
        <v>0</v>
      </c>
      <c r="O53" s="7">
        <v>5.7870370370370373E-5</v>
      </c>
      <c r="P53" s="7">
        <v>1.6666666666666668E-3</v>
      </c>
      <c r="Q53" s="7">
        <v>1.5393518518518519E-3</v>
      </c>
      <c r="R53" s="6">
        <v>0.97440000000000004</v>
      </c>
      <c r="S53" s="8">
        <f>CONVERT(Table1[[#This Row],[Talk Duration (AVG)]]*Table1[[#This Row],[Answered Calls]],"day","hr")</f>
        <v>7.8</v>
      </c>
      <c r="T53" s="9">
        <f>Table1[[#This Row],[Actual Workload hours]]*60</f>
        <v>468</v>
      </c>
      <c r="U53" s="9">
        <f>CONVERT(Table1[[#This Row],[Actual]]*Table1[[#This Row],[Talk Duration (AVG)]],"day","hr")</f>
        <v>7.8</v>
      </c>
      <c r="V53" s="10">
        <f>Table1[[#This Row],[Required Workload Hours]]*60</f>
        <v>468</v>
      </c>
      <c r="W53" s="9">
        <v>1.22</v>
      </c>
      <c r="X53" s="9">
        <f t="shared" si="0"/>
        <v>1.21875</v>
      </c>
      <c r="Y53" s="5">
        <f t="shared" si="1"/>
        <v>2</v>
      </c>
      <c r="Z53" s="8">
        <f>ROUNDUP(Table1[[#This Row],[Actual Heacount]],0)</f>
        <v>2</v>
      </c>
      <c r="AA53" s="8"/>
      <c r="AB53" s="10"/>
      <c r="AC53" s="10"/>
      <c r="AD53" s="10"/>
      <c r="AE53" s="11">
        <v>110.71482897763551</v>
      </c>
      <c r="AF53" s="11">
        <v>335.07663036076991</v>
      </c>
      <c r="AG53" t="s">
        <v>34</v>
      </c>
    </row>
    <row r="54" spans="1:33">
      <c r="A54" s="2">
        <v>43883</v>
      </c>
      <c r="B54" s="5" t="s">
        <v>37</v>
      </c>
      <c r="C54" s="5">
        <f>WEEKDAY(Table1[[#This Row],[Date]])</f>
        <v>7</v>
      </c>
      <c r="D54" s="5">
        <f>MONTH(Table1[[#This Row],[Date]])</f>
        <v>2</v>
      </c>
      <c r="E54" s="5">
        <f>WEEKNUM(Table1[[#This Row],[Date]])</f>
        <v>8</v>
      </c>
      <c r="F54" s="5">
        <f>YEAR(Table1[[#This Row],[Date]])</f>
        <v>2020</v>
      </c>
      <c r="G54">
        <v>188</v>
      </c>
      <c r="L54" s="5">
        <v>182</v>
      </c>
      <c r="M54" s="6">
        <v>0.96809999999999996</v>
      </c>
      <c r="N54" s="5">
        <v>6</v>
      </c>
      <c r="O54" s="7">
        <v>1.7361111111111112E-4</v>
      </c>
      <c r="P54" s="7">
        <v>1.5509259259259259E-3</v>
      </c>
      <c r="Q54" s="7">
        <v>1.2847222222222223E-3</v>
      </c>
      <c r="R54" s="6">
        <v>0.83609999999999995</v>
      </c>
      <c r="S54" s="8">
        <f>CONVERT(Table1[[#This Row],[Talk Duration (AVG)]]*Table1[[#This Row],[Answered Calls]],"day","hr")</f>
        <v>6.7744444444444447</v>
      </c>
      <c r="T54" s="9">
        <f>Table1[[#This Row],[Actual Workload hours]]*60</f>
        <v>406.4666666666667</v>
      </c>
      <c r="U54" s="9">
        <f>CONVERT(Table1[[#This Row],[Actual]]*Table1[[#This Row],[Talk Duration (AVG)]],"day","hr")</f>
        <v>6.9977777777777765</v>
      </c>
      <c r="V54" s="10">
        <f>Table1[[#This Row],[Required Workload Hours]]*60</f>
        <v>419.86666666666662</v>
      </c>
      <c r="W54" s="9">
        <v>1.06</v>
      </c>
      <c r="X54" s="9">
        <f t="shared" si="0"/>
        <v>1.0934027777777777</v>
      </c>
      <c r="Y54" s="5">
        <f t="shared" si="1"/>
        <v>2</v>
      </c>
      <c r="Z54" s="8">
        <f>ROUNDUP(Table1[[#This Row],[Actual Heacount]],0)</f>
        <v>2</v>
      </c>
      <c r="AA54" s="8"/>
      <c r="AB54" s="10"/>
      <c r="AC54" s="10"/>
      <c r="AD54" s="10"/>
      <c r="AE54" s="11">
        <v>123.75114454095819</v>
      </c>
      <c r="AF54" s="11">
        <v>341.6523481146782</v>
      </c>
      <c r="AG54" t="s">
        <v>34</v>
      </c>
    </row>
    <row r="55" spans="1:33">
      <c r="A55" s="2">
        <v>43884</v>
      </c>
      <c r="B55" s="5" t="s">
        <v>38</v>
      </c>
      <c r="C55" s="5">
        <f>WEEKDAY(Table1[[#This Row],[Date]])</f>
        <v>1</v>
      </c>
      <c r="D55" s="5">
        <f>MONTH(Table1[[#This Row],[Date]])</f>
        <v>2</v>
      </c>
      <c r="E55" s="5">
        <f>WEEKNUM(Table1[[#This Row],[Date]])</f>
        <v>9</v>
      </c>
      <c r="F55" s="5">
        <f>YEAR(Table1[[#This Row],[Date]])</f>
        <v>2020</v>
      </c>
      <c r="G55">
        <v>58</v>
      </c>
      <c r="L55" s="5">
        <v>58</v>
      </c>
      <c r="M55" s="6">
        <v>1</v>
      </c>
      <c r="N55" s="5">
        <v>0</v>
      </c>
      <c r="O55" s="7">
        <v>6.9444444444444444E-5</v>
      </c>
      <c r="P55" s="7">
        <v>1.6435185185185185E-3</v>
      </c>
      <c r="Q55" s="7">
        <v>6.018518518518519E-4</v>
      </c>
      <c r="R55" s="6">
        <v>0.94830000000000003</v>
      </c>
      <c r="S55" s="8">
        <f>CONVERT(Table1[[#This Row],[Talk Duration (AVG)]]*Table1[[#This Row],[Answered Calls]],"day","hr")</f>
        <v>2.2877777777777779</v>
      </c>
      <c r="T55" s="9">
        <f>Table1[[#This Row],[Actual Workload hours]]*60</f>
        <v>137.26666666666668</v>
      </c>
      <c r="U55" s="9">
        <f>CONVERT(Table1[[#This Row],[Actual]]*Table1[[#This Row],[Talk Duration (AVG)]],"day","hr")</f>
        <v>2.2877777777777779</v>
      </c>
      <c r="V55" s="10">
        <f>Table1[[#This Row],[Required Workload Hours]]*60</f>
        <v>137.26666666666668</v>
      </c>
      <c r="W55" s="9">
        <v>1</v>
      </c>
      <c r="X55" s="9">
        <f t="shared" si="0"/>
        <v>1</v>
      </c>
      <c r="Y55" s="5">
        <f t="shared" si="1"/>
        <v>1</v>
      </c>
      <c r="Z55" s="8">
        <f>ROUNDUP(Table1[[#This Row],[Actual Heacount]],0)</f>
        <v>1</v>
      </c>
      <c r="AA55" s="8"/>
      <c r="AB55" s="10"/>
      <c r="AC55" s="10"/>
      <c r="AD55" s="10"/>
      <c r="AE55" s="11">
        <v>22.710342832925129</v>
      </c>
      <c r="AF55" s="11">
        <v>244.42765712724241</v>
      </c>
      <c r="AG55" t="s">
        <v>34</v>
      </c>
    </row>
    <row r="56" spans="1:33">
      <c r="A56" s="2">
        <v>43885</v>
      </c>
      <c r="B56" s="5" t="s">
        <v>39</v>
      </c>
      <c r="C56" s="5">
        <f>WEEKDAY(Table1[[#This Row],[Date]])</f>
        <v>2</v>
      </c>
      <c r="D56" s="5">
        <f>MONTH(Table1[[#This Row],[Date]])</f>
        <v>2</v>
      </c>
      <c r="E56" s="5">
        <f>WEEKNUM(Table1[[#This Row],[Date]])</f>
        <v>9</v>
      </c>
      <c r="F56" s="5">
        <f>YEAR(Table1[[#This Row],[Date]])</f>
        <v>2020</v>
      </c>
      <c r="G56">
        <v>251</v>
      </c>
      <c r="L56" s="5">
        <v>247</v>
      </c>
      <c r="M56" s="6">
        <v>0.98409999999999997</v>
      </c>
      <c r="N56" s="5">
        <v>4</v>
      </c>
      <c r="O56" s="7">
        <v>1.6203703703703703E-4</v>
      </c>
      <c r="P56" s="7">
        <v>1.5740740740740741E-3</v>
      </c>
      <c r="Q56" s="7">
        <v>1.3078703703703703E-3</v>
      </c>
      <c r="R56" s="6">
        <v>0.83530000000000004</v>
      </c>
      <c r="S56" s="8">
        <f>CONVERT(Table1[[#This Row],[Talk Duration (AVG)]]*Table1[[#This Row],[Answered Calls]],"day","hr")</f>
        <v>9.3311111111111114</v>
      </c>
      <c r="T56" s="9">
        <f>Table1[[#This Row],[Actual Workload hours]]*60</f>
        <v>559.86666666666667</v>
      </c>
      <c r="U56" s="9">
        <f>CONVERT(Table1[[#This Row],[Actual]]*Table1[[#This Row],[Talk Duration (AVG)]],"day","hr")</f>
        <v>9.482222222222223</v>
      </c>
      <c r="V56" s="10">
        <f>Table1[[#This Row],[Required Workload Hours]]*60</f>
        <v>568.93333333333339</v>
      </c>
      <c r="W56" s="9">
        <v>1.46</v>
      </c>
      <c r="X56" s="9">
        <f t="shared" si="0"/>
        <v>1.4815972222222225</v>
      </c>
      <c r="Y56" s="5">
        <f t="shared" si="1"/>
        <v>2</v>
      </c>
      <c r="Z56" s="8">
        <f>ROUNDUP(Table1[[#This Row],[Actual Heacount]],0)</f>
        <v>2</v>
      </c>
      <c r="AA56" s="8"/>
      <c r="AB56" s="10"/>
      <c r="AC56" s="10"/>
      <c r="AD56" s="10"/>
      <c r="AE56" s="11">
        <v>124.8179671933583</v>
      </c>
      <c r="AF56" s="11">
        <v>346.90466872344427</v>
      </c>
      <c r="AG56" t="s">
        <v>34</v>
      </c>
    </row>
    <row r="57" spans="1:33">
      <c r="A57" s="2">
        <v>43886</v>
      </c>
      <c r="B57" s="5" t="s">
        <v>40</v>
      </c>
      <c r="C57" s="5">
        <f>WEEKDAY(Table1[[#This Row],[Date]])</f>
        <v>3</v>
      </c>
      <c r="D57" s="5">
        <f>MONTH(Table1[[#This Row],[Date]])</f>
        <v>2</v>
      </c>
      <c r="E57" s="5">
        <f>WEEKNUM(Table1[[#This Row],[Date]])</f>
        <v>9</v>
      </c>
      <c r="F57" s="5">
        <f>YEAR(Table1[[#This Row],[Date]])</f>
        <v>2020</v>
      </c>
      <c r="G57">
        <v>181</v>
      </c>
      <c r="L57" s="5">
        <v>178</v>
      </c>
      <c r="M57" s="6">
        <v>0.98340000000000005</v>
      </c>
      <c r="N57" s="5">
        <v>3</v>
      </c>
      <c r="O57" s="7">
        <v>1.3888888888888889E-4</v>
      </c>
      <c r="P57" s="7">
        <v>1.6666666666666668E-3</v>
      </c>
      <c r="Q57" s="7">
        <v>1.3541666666666667E-3</v>
      </c>
      <c r="R57" s="6">
        <v>0.8619</v>
      </c>
      <c r="S57" s="8">
        <f>CONVERT(Table1[[#This Row],[Talk Duration (AVG)]]*Table1[[#This Row],[Answered Calls]],"day","hr")</f>
        <v>7.120000000000001</v>
      </c>
      <c r="T57" s="9">
        <f>Table1[[#This Row],[Actual Workload hours]]*60</f>
        <v>427.20000000000005</v>
      </c>
      <c r="U57" s="9">
        <f>CONVERT(Table1[[#This Row],[Actual]]*Table1[[#This Row],[Talk Duration (AVG)]],"day","hr")</f>
        <v>7.2400000000000011</v>
      </c>
      <c r="V57" s="10">
        <f>Table1[[#This Row],[Required Workload Hours]]*60</f>
        <v>434.40000000000009</v>
      </c>
      <c r="W57" s="9">
        <v>1.1100000000000001</v>
      </c>
      <c r="X57" s="9">
        <f t="shared" si="0"/>
        <v>1.1312500000000003</v>
      </c>
      <c r="Y57" s="5">
        <f t="shared" si="1"/>
        <v>2</v>
      </c>
      <c r="Z57" s="8">
        <f>ROUNDUP(Table1[[#This Row],[Actual Heacount]],0)</f>
        <v>2</v>
      </c>
      <c r="AA57" s="8"/>
      <c r="AB57" s="10"/>
      <c r="AC57" s="10"/>
      <c r="AD57" s="10"/>
      <c r="AE57" s="11">
        <v>115.1366334300577</v>
      </c>
      <c r="AF57" s="11">
        <v>332.75283205437529</v>
      </c>
      <c r="AG57" t="s">
        <v>34</v>
      </c>
    </row>
    <row r="58" spans="1:33">
      <c r="A58" s="2">
        <v>43887</v>
      </c>
      <c r="B58" s="5" t="s">
        <v>33</v>
      </c>
      <c r="C58" s="5">
        <f>WEEKDAY(Table1[[#This Row],[Date]])</f>
        <v>4</v>
      </c>
      <c r="D58" s="5">
        <f>MONTH(Table1[[#This Row],[Date]])</f>
        <v>2</v>
      </c>
      <c r="E58" s="5">
        <f>WEEKNUM(Table1[[#This Row],[Date]])</f>
        <v>9</v>
      </c>
      <c r="F58" s="5">
        <f>YEAR(Table1[[#This Row],[Date]])</f>
        <v>2020</v>
      </c>
      <c r="G58">
        <v>228</v>
      </c>
      <c r="L58" s="5">
        <v>213</v>
      </c>
      <c r="M58" s="6">
        <v>0.93420000000000003</v>
      </c>
      <c r="N58" s="5">
        <v>15</v>
      </c>
      <c r="O58" s="7">
        <v>3.0092592592592595E-4</v>
      </c>
      <c r="P58" s="7">
        <v>1.5740740740740741E-3</v>
      </c>
      <c r="Q58" s="7">
        <v>2.1643518518518518E-3</v>
      </c>
      <c r="R58" s="6">
        <v>0.63560000000000005</v>
      </c>
      <c r="S58" s="8">
        <f>CONVERT(Table1[[#This Row],[Talk Duration (AVG)]]*Table1[[#This Row],[Answered Calls]],"day","hr")</f>
        <v>8.0466666666666669</v>
      </c>
      <c r="T58" s="9">
        <f>Table1[[#This Row],[Actual Workload hours]]*60</f>
        <v>482.8</v>
      </c>
      <c r="U58" s="9">
        <f>CONVERT(Table1[[#This Row],[Actual]]*Table1[[#This Row],[Talk Duration (AVG)]],"day","hr")</f>
        <v>8.6133333333333333</v>
      </c>
      <c r="V58" s="10">
        <f>Table1[[#This Row],[Required Workload Hours]]*60</f>
        <v>516.79999999999995</v>
      </c>
      <c r="W58" s="9">
        <v>1.26</v>
      </c>
      <c r="X58" s="9">
        <f t="shared" si="0"/>
        <v>1.3458333333333332</v>
      </c>
      <c r="Y58" s="5">
        <f t="shared" si="1"/>
        <v>2</v>
      </c>
      <c r="Z58" s="8">
        <f>ROUNDUP(Table1[[#This Row],[Actual Heacount]],0)</f>
        <v>2</v>
      </c>
      <c r="AA58" s="8"/>
      <c r="AB58" s="10"/>
      <c r="AC58" s="10"/>
      <c r="AD58" s="10"/>
      <c r="AE58" s="11">
        <v>130.11758257391759</v>
      </c>
      <c r="AF58" s="11">
        <v>351.25421292248791</v>
      </c>
      <c r="AG58" t="s">
        <v>34</v>
      </c>
    </row>
    <row r="59" spans="1:33">
      <c r="A59" s="2">
        <v>43888</v>
      </c>
      <c r="B59" s="5" t="s">
        <v>35</v>
      </c>
      <c r="C59" s="5">
        <f>WEEKDAY(Table1[[#This Row],[Date]])</f>
        <v>5</v>
      </c>
      <c r="D59" s="5">
        <f>MONTH(Table1[[#This Row],[Date]])</f>
        <v>2</v>
      </c>
      <c r="E59" s="5">
        <f>WEEKNUM(Table1[[#This Row],[Date]])</f>
        <v>9</v>
      </c>
      <c r="F59" s="5">
        <f>YEAR(Table1[[#This Row],[Date]])</f>
        <v>2020</v>
      </c>
      <c r="G59">
        <v>165</v>
      </c>
      <c r="L59" s="5">
        <v>163</v>
      </c>
      <c r="M59" s="6">
        <v>0.9879</v>
      </c>
      <c r="N59" s="5">
        <v>2</v>
      </c>
      <c r="O59" s="7">
        <v>1.0416666666666667E-4</v>
      </c>
      <c r="P59" s="7">
        <v>1.6782407407407408E-3</v>
      </c>
      <c r="Q59" s="7">
        <v>1.6203703703703703E-3</v>
      </c>
      <c r="R59" s="6">
        <v>0.90239999999999998</v>
      </c>
      <c r="S59" s="8">
        <f>CONVERT(Table1[[#This Row],[Talk Duration (AVG)]]*Table1[[#This Row],[Answered Calls]],"day","hr")</f>
        <v>6.5652777777777782</v>
      </c>
      <c r="T59" s="9">
        <f>Table1[[#This Row],[Actual Workload hours]]*60</f>
        <v>393.91666666666669</v>
      </c>
      <c r="U59" s="9">
        <f>CONVERT(Table1[[#This Row],[Actual]]*Table1[[#This Row],[Talk Duration (AVG)]],"day","hr")</f>
        <v>6.645833333333333</v>
      </c>
      <c r="V59" s="10">
        <f>Table1[[#This Row],[Required Workload Hours]]*60</f>
        <v>398.75</v>
      </c>
      <c r="W59" s="9">
        <v>1.03</v>
      </c>
      <c r="X59" s="9">
        <f t="shared" si="0"/>
        <v>1.0384114583333333</v>
      </c>
      <c r="Y59" s="5">
        <f t="shared" si="1"/>
        <v>2</v>
      </c>
      <c r="Z59" s="8">
        <f>ROUNDUP(Table1[[#This Row],[Actual Heacount]],0)</f>
        <v>2</v>
      </c>
      <c r="AA59" s="8"/>
      <c r="AB59" s="10"/>
      <c r="AC59" s="10"/>
      <c r="AD59" s="10"/>
      <c r="AE59" s="11">
        <v>129.2006186274017</v>
      </c>
      <c r="AF59" s="11">
        <v>334.64467178314811</v>
      </c>
      <c r="AG59" t="s">
        <v>34</v>
      </c>
    </row>
    <row r="60" spans="1:33">
      <c r="A60" s="2">
        <v>43889</v>
      </c>
      <c r="B60" s="5" t="s">
        <v>36</v>
      </c>
      <c r="C60" s="5">
        <f>WEEKDAY(Table1[[#This Row],[Date]])</f>
        <v>6</v>
      </c>
      <c r="D60" s="5">
        <f>MONTH(Table1[[#This Row],[Date]])</f>
        <v>2</v>
      </c>
      <c r="E60" s="5">
        <f>WEEKNUM(Table1[[#This Row],[Date]])</f>
        <v>9</v>
      </c>
      <c r="F60" s="5">
        <f>YEAR(Table1[[#This Row],[Date]])</f>
        <v>2020</v>
      </c>
      <c r="G60">
        <v>185</v>
      </c>
      <c r="L60" s="5">
        <v>179</v>
      </c>
      <c r="M60" s="6">
        <v>0.96760000000000002</v>
      </c>
      <c r="N60" s="5">
        <v>6</v>
      </c>
      <c r="O60" s="7">
        <v>1.9675925925925926E-4</v>
      </c>
      <c r="P60" s="7">
        <v>1.5856481481481481E-3</v>
      </c>
      <c r="Q60" s="7">
        <v>1.7708333333333332E-3</v>
      </c>
      <c r="R60" s="6">
        <v>0.78569999999999995</v>
      </c>
      <c r="S60" s="8">
        <f>CONVERT(Table1[[#This Row],[Talk Duration (AVG)]]*Table1[[#This Row],[Answered Calls]],"day","hr")</f>
        <v>6.8119444444444435</v>
      </c>
      <c r="T60" s="9">
        <f>Table1[[#This Row],[Actual Workload hours]]*60</f>
        <v>408.71666666666658</v>
      </c>
      <c r="U60" s="9">
        <f>CONVERT(Table1[[#This Row],[Actual]]*Table1[[#This Row],[Talk Duration (AVG)]],"day","hr")</f>
        <v>7.040277777777777</v>
      </c>
      <c r="V60" s="10">
        <f>Table1[[#This Row],[Required Workload Hours]]*60</f>
        <v>422.41666666666663</v>
      </c>
      <c r="W60" s="9">
        <v>1.06</v>
      </c>
      <c r="X60" s="9">
        <f t="shared" si="0"/>
        <v>1.1000434027777777</v>
      </c>
      <c r="Y60" s="5">
        <f t="shared" si="1"/>
        <v>2</v>
      </c>
      <c r="Z60" s="8">
        <f>ROUNDUP(Table1[[#This Row],[Actual Heacount]],0)</f>
        <v>2</v>
      </c>
      <c r="AA60" s="8"/>
      <c r="AB60" s="10"/>
      <c r="AC60" s="10"/>
      <c r="AD60" s="10"/>
      <c r="AE60" s="11">
        <v>108.9351530296871</v>
      </c>
      <c r="AF60" s="11">
        <v>332.94738368088599</v>
      </c>
      <c r="AG60" t="s">
        <v>34</v>
      </c>
    </row>
    <row r="61" spans="1:33">
      <c r="A61" s="2">
        <v>43890</v>
      </c>
      <c r="B61" s="5" t="s">
        <v>37</v>
      </c>
      <c r="C61" s="5">
        <f>WEEKDAY(Table1[[#This Row],[Date]])</f>
        <v>7</v>
      </c>
      <c r="D61" s="5">
        <f>MONTH(Table1[[#This Row],[Date]])</f>
        <v>2</v>
      </c>
      <c r="E61" s="5">
        <f>WEEKNUM(Table1[[#This Row],[Date]])</f>
        <v>9</v>
      </c>
      <c r="F61" s="5">
        <f>YEAR(Table1[[#This Row],[Date]])</f>
        <v>2020</v>
      </c>
      <c r="G61">
        <v>172</v>
      </c>
      <c r="L61" s="5">
        <v>164</v>
      </c>
      <c r="M61" s="6">
        <v>0.95350000000000001</v>
      </c>
      <c r="N61" s="5">
        <v>8</v>
      </c>
      <c r="O61" s="7">
        <v>2.0833333333333335E-4</v>
      </c>
      <c r="P61" s="7">
        <v>1.7013888888888888E-3</v>
      </c>
      <c r="Q61" s="7">
        <v>2.8819444444444444E-3</v>
      </c>
      <c r="R61" s="6">
        <v>0.77059999999999995</v>
      </c>
      <c r="S61" s="8">
        <f>CONVERT(Table1[[#This Row],[Talk Duration (AVG)]]*Table1[[#This Row],[Answered Calls]],"day","hr")</f>
        <v>6.6966666666666663</v>
      </c>
      <c r="T61" s="9">
        <f>Table1[[#This Row],[Actual Workload hours]]*60</f>
        <v>401.79999999999995</v>
      </c>
      <c r="U61" s="9">
        <f>CONVERT(Table1[[#This Row],[Actual]]*Table1[[#This Row],[Talk Duration (AVG)]],"day","hr")</f>
        <v>7.0233333333333334</v>
      </c>
      <c r="V61" s="10">
        <f>Table1[[#This Row],[Required Workload Hours]]*60</f>
        <v>421.4</v>
      </c>
      <c r="W61" s="9">
        <v>1.05</v>
      </c>
      <c r="X61" s="9">
        <f t="shared" si="0"/>
        <v>1.0973958333333333</v>
      </c>
      <c r="Y61" s="5">
        <f t="shared" si="1"/>
        <v>2</v>
      </c>
      <c r="Z61" s="8">
        <f>ROUNDUP(Table1[[#This Row],[Actual Heacount]],0)</f>
        <v>2</v>
      </c>
      <c r="AA61" s="8"/>
      <c r="AB61" s="10"/>
      <c r="AC61" s="10"/>
      <c r="AD61" s="10"/>
      <c r="AE61" s="11">
        <v>115.7824951750985</v>
      </c>
      <c r="AF61" s="11">
        <v>328.96469376901558</v>
      </c>
      <c r="AG61" t="s">
        <v>34</v>
      </c>
    </row>
    <row r="62" spans="1:33">
      <c r="A62" s="2">
        <v>43891</v>
      </c>
      <c r="B62" s="5" t="s">
        <v>38</v>
      </c>
      <c r="C62" s="5">
        <f>WEEKDAY(Table1[[#This Row],[Date]])</f>
        <v>1</v>
      </c>
      <c r="D62" s="5">
        <f>MONTH(Table1[[#This Row],[Date]])</f>
        <v>3</v>
      </c>
      <c r="E62" s="5">
        <f>WEEKNUM(Table1[[#This Row],[Date]])</f>
        <v>10</v>
      </c>
      <c r="F62" s="5">
        <f>YEAR(Table1[[#This Row],[Date]])</f>
        <v>2020</v>
      </c>
      <c r="G62">
        <v>216</v>
      </c>
      <c r="L62" s="5">
        <v>51</v>
      </c>
      <c r="M62" s="6">
        <v>0.89470000000000005</v>
      </c>
      <c r="N62" s="5">
        <v>6</v>
      </c>
      <c r="O62" s="7">
        <v>8.1018518518518516E-5</v>
      </c>
      <c r="P62" s="7">
        <v>1.238425925925926E-3</v>
      </c>
      <c r="Q62" s="7">
        <v>2.5462962962962965E-3</v>
      </c>
      <c r="R62" s="6">
        <v>0.90569999999999995</v>
      </c>
      <c r="S62" s="8">
        <f>CONVERT(Table1[[#This Row],[Talk Duration (AVG)]]*Table1[[#This Row],[Answered Calls]],"day","hr")</f>
        <v>1.5158333333333336</v>
      </c>
      <c r="T62" s="9">
        <f>Table1[[#This Row],[Actual Workload hours]]*60</f>
        <v>90.950000000000017</v>
      </c>
      <c r="U62" s="9">
        <f>CONVERT(Table1[[#This Row],[Actual]]*Table1[[#This Row],[Talk Duration (AVG)]],"day","hr")</f>
        <v>6.42</v>
      </c>
      <c r="V62" s="10">
        <f>Table1[[#This Row],[Required Workload Hours]]*60</f>
        <v>385.2</v>
      </c>
      <c r="W62" s="9">
        <v>1</v>
      </c>
      <c r="X62" s="9">
        <f t="shared" si="0"/>
        <v>1.003125</v>
      </c>
      <c r="Y62" s="5">
        <f t="shared" si="1"/>
        <v>1</v>
      </c>
      <c r="Z62" s="8">
        <f>ROUNDUP(Table1[[#This Row],[Actual Heacount]],0)</f>
        <v>1</v>
      </c>
      <c r="AA62" s="8"/>
      <c r="AB62" s="10"/>
      <c r="AC62" s="10"/>
      <c r="AD62" s="10"/>
      <c r="AE62" s="11">
        <v>16.383112097543769</v>
      </c>
      <c r="AF62" s="11">
        <v>243.05957012504399</v>
      </c>
      <c r="AG62" t="s">
        <v>34</v>
      </c>
    </row>
    <row r="63" spans="1:33">
      <c r="A63" s="2">
        <v>43892</v>
      </c>
      <c r="B63" s="5" t="s">
        <v>39</v>
      </c>
      <c r="C63" s="5">
        <f>WEEKDAY(Table1[[#This Row],[Date]])</f>
        <v>2</v>
      </c>
      <c r="D63" s="5">
        <f>MONTH(Table1[[#This Row],[Date]])</f>
        <v>3</v>
      </c>
      <c r="E63" s="5">
        <f>WEEKNUM(Table1[[#This Row],[Date]])</f>
        <v>10</v>
      </c>
      <c r="F63" s="5">
        <f>YEAR(Table1[[#This Row],[Date]])</f>
        <v>2020</v>
      </c>
      <c r="G63">
        <v>179</v>
      </c>
      <c r="L63" s="5">
        <v>192</v>
      </c>
      <c r="M63" s="6">
        <v>0.96</v>
      </c>
      <c r="N63" s="5">
        <v>8</v>
      </c>
      <c r="O63" s="7">
        <v>1.1574074074074075E-4</v>
      </c>
      <c r="P63" s="7">
        <v>1.5972222222222223E-3</v>
      </c>
      <c r="Q63" s="7">
        <v>1.9560185185185184E-3</v>
      </c>
      <c r="R63" s="6">
        <v>0.86429999999999996</v>
      </c>
      <c r="S63" s="8">
        <f>CONVERT(Table1[[#This Row],[Talk Duration (AVG)]]*Table1[[#This Row],[Answered Calls]],"day","hr")</f>
        <v>7.3600000000000012</v>
      </c>
      <c r="T63" s="9">
        <f>Table1[[#This Row],[Actual Workload hours]]*60</f>
        <v>441.60000000000008</v>
      </c>
      <c r="U63" s="9">
        <f>CONVERT(Table1[[#This Row],[Actual]]*Table1[[#This Row],[Talk Duration (AVG)]],"day","hr")</f>
        <v>6.8616666666666664</v>
      </c>
      <c r="V63" s="10">
        <f>Table1[[#This Row],[Required Workload Hours]]*60</f>
        <v>411.7</v>
      </c>
      <c r="W63" s="9">
        <v>1.1499999999999999</v>
      </c>
      <c r="X63" s="9">
        <f t="shared" si="0"/>
        <v>1.0721354166666666</v>
      </c>
      <c r="Y63" s="5">
        <f t="shared" si="1"/>
        <v>2</v>
      </c>
      <c r="Z63" s="8">
        <f>ROUNDUP(Table1[[#This Row],[Actual Heacount]],0)</f>
        <v>2</v>
      </c>
      <c r="AA63" s="8"/>
      <c r="AB63" s="10"/>
      <c r="AC63" s="10"/>
      <c r="AD63" s="10"/>
      <c r="AE63" s="11">
        <v>124.87540010451259</v>
      </c>
      <c r="AF63" s="11">
        <v>340.69168109721312</v>
      </c>
      <c r="AG63" t="s">
        <v>34</v>
      </c>
    </row>
    <row r="64" spans="1:33">
      <c r="A64" s="2">
        <v>43893</v>
      </c>
      <c r="B64" s="5" t="s">
        <v>40</v>
      </c>
      <c r="C64" s="5">
        <f>WEEKDAY(Table1[[#This Row],[Date]])</f>
        <v>3</v>
      </c>
      <c r="D64" s="5">
        <f>MONTH(Table1[[#This Row],[Date]])</f>
        <v>3</v>
      </c>
      <c r="E64" s="5">
        <f>WEEKNUM(Table1[[#This Row],[Date]])</f>
        <v>10</v>
      </c>
      <c r="F64" s="5">
        <f>YEAR(Table1[[#This Row],[Date]])</f>
        <v>2020</v>
      </c>
      <c r="G64">
        <v>202</v>
      </c>
      <c r="L64" s="5">
        <v>199</v>
      </c>
      <c r="M64" s="6">
        <v>0.98509999999999998</v>
      </c>
      <c r="N64" s="5">
        <v>3</v>
      </c>
      <c r="O64" s="7">
        <v>9.2592592592592588E-5</v>
      </c>
      <c r="P64" s="7">
        <v>1.4467592592592592E-3</v>
      </c>
      <c r="Q64" s="7">
        <v>8.9120370370370373E-4</v>
      </c>
      <c r="R64" s="6">
        <v>0.91</v>
      </c>
      <c r="S64" s="8">
        <f>CONVERT(Table1[[#This Row],[Talk Duration (AVG)]]*Table1[[#This Row],[Answered Calls]],"day","hr")</f>
        <v>6.9097222222222214</v>
      </c>
      <c r="T64" s="9">
        <f>Table1[[#This Row],[Actual Workload hours]]*60</f>
        <v>414.58333333333326</v>
      </c>
      <c r="U64" s="9">
        <f>CONVERT(Table1[[#This Row],[Actual]]*Table1[[#This Row],[Talk Duration (AVG)]],"day","hr")</f>
        <v>7.0138888888888893</v>
      </c>
      <c r="V64" s="10">
        <f>Table1[[#This Row],[Required Workload Hours]]*60</f>
        <v>420.83333333333337</v>
      </c>
      <c r="W64" s="9">
        <v>1.08</v>
      </c>
      <c r="X64" s="9">
        <f t="shared" si="0"/>
        <v>1.0959201388888891</v>
      </c>
      <c r="Y64" s="5">
        <f t="shared" si="1"/>
        <v>2</v>
      </c>
      <c r="Z64" s="8">
        <f>ROUNDUP(Table1[[#This Row],[Actual Heacount]],0)</f>
        <v>2</v>
      </c>
      <c r="AA64" s="8"/>
      <c r="AB64" s="10"/>
      <c r="AC64" s="10"/>
      <c r="AD64" s="10"/>
      <c r="AE64" s="11">
        <v>102.8882541118862</v>
      </c>
      <c r="AF64" s="11">
        <v>315.85090033290282</v>
      </c>
      <c r="AG64" t="s">
        <v>34</v>
      </c>
    </row>
    <row r="65" spans="1:33">
      <c r="A65" s="2">
        <v>43894</v>
      </c>
      <c r="B65" s="5" t="s">
        <v>33</v>
      </c>
      <c r="C65" s="5">
        <f>WEEKDAY(Table1[[#This Row],[Date]])</f>
        <v>4</v>
      </c>
      <c r="D65" s="5">
        <f>MONTH(Table1[[#This Row],[Date]])</f>
        <v>3</v>
      </c>
      <c r="E65" s="5">
        <f>WEEKNUM(Table1[[#This Row],[Date]])</f>
        <v>10</v>
      </c>
      <c r="F65" s="5">
        <f>YEAR(Table1[[#This Row],[Date]])</f>
        <v>2020</v>
      </c>
      <c r="G65">
        <v>194</v>
      </c>
      <c r="L65" s="5">
        <v>212</v>
      </c>
      <c r="M65" s="6">
        <v>0.97699999999999998</v>
      </c>
      <c r="N65" s="5">
        <v>5</v>
      </c>
      <c r="O65" s="7">
        <v>8.1018518518518516E-5</v>
      </c>
      <c r="P65" s="7">
        <v>1.3310185185185185E-3</v>
      </c>
      <c r="Q65" s="7">
        <v>1.2731481481481483E-3</v>
      </c>
      <c r="R65" s="6">
        <v>0.94420000000000004</v>
      </c>
      <c r="S65" s="8">
        <f>CONVERT(Table1[[#This Row],[Talk Duration (AVG)]]*Table1[[#This Row],[Answered Calls]],"day","hr")</f>
        <v>6.7722222222222221</v>
      </c>
      <c r="T65" s="9">
        <f>Table1[[#This Row],[Actual Workload hours]]*60</f>
        <v>406.33333333333331</v>
      </c>
      <c r="U65" s="9">
        <f>CONVERT(Table1[[#This Row],[Actual]]*Table1[[#This Row],[Talk Duration (AVG)]],"day","hr")</f>
        <v>6.197222222222222</v>
      </c>
      <c r="V65" s="10">
        <f>Table1[[#This Row],[Required Workload Hours]]*60</f>
        <v>371.83333333333331</v>
      </c>
      <c r="W65" s="9">
        <v>1.06</v>
      </c>
      <c r="X65" s="9">
        <f t="shared" si="0"/>
        <v>1</v>
      </c>
      <c r="Y65" s="5">
        <f t="shared" si="1"/>
        <v>2</v>
      </c>
      <c r="Z65" s="8">
        <f>ROUNDUP(Table1[[#This Row],[Actual Heacount]],0)</f>
        <v>2</v>
      </c>
      <c r="AA65" s="8"/>
      <c r="AB65" s="10"/>
      <c r="AC65" s="10"/>
      <c r="AD65" s="10"/>
      <c r="AE65" s="11">
        <v>101.44251486779601</v>
      </c>
      <c r="AF65" s="11">
        <v>332.54556176453849</v>
      </c>
      <c r="AG65" t="s">
        <v>34</v>
      </c>
    </row>
    <row r="66" spans="1:33">
      <c r="A66" s="2">
        <v>43895</v>
      </c>
      <c r="B66" s="5" t="s">
        <v>35</v>
      </c>
      <c r="C66" s="5">
        <f>WEEKDAY(Table1[[#This Row],[Date]])</f>
        <v>5</v>
      </c>
      <c r="D66" s="5">
        <f>MONTH(Table1[[#This Row],[Date]])</f>
        <v>3</v>
      </c>
      <c r="E66" s="5">
        <f>WEEKNUM(Table1[[#This Row],[Date]])</f>
        <v>10</v>
      </c>
      <c r="F66" s="5">
        <f>YEAR(Table1[[#This Row],[Date]])</f>
        <v>2020</v>
      </c>
      <c r="G66">
        <v>50</v>
      </c>
      <c r="L66" s="5">
        <v>223</v>
      </c>
      <c r="M66" s="6">
        <v>0.99109999999999998</v>
      </c>
      <c r="N66" s="5">
        <v>2</v>
      </c>
      <c r="O66" s="7">
        <v>1.0416666666666667E-4</v>
      </c>
      <c r="P66" s="7">
        <v>1.4930555555555556E-3</v>
      </c>
      <c r="Q66" s="7">
        <v>7.6388888888888893E-4</v>
      </c>
      <c r="R66" s="6">
        <v>0.91930000000000001</v>
      </c>
      <c r="S66" s="8">
        <f>CONVERT(Table1[[#This Row],[Talk Duration (AVG)]]*Table1[[#This Row],[Answered Calls]],"day","hr")</f>
        <v>7.9908333333333346</v>
      </c>
      <c r="T66" s="9">
        <f>Table1[[#This Row],[Actual Workload hours]]*60</f>
        <v>479.45000000000005</v>
      </c>
      <c r="U66" s="9">
        <f>CONVERT(Table1[[#This Row],[Actual]]*Table1[[#This Row],[Talk Duration (AVG)]],"day","hr")</f>
        <v>1.7916666666666667</v>
      </c>
      <c r="V66" s="10">
        <f>Table1[[#This Row],[Required Workload Hours]]*60</f>
        <v>107.5</v>
      </c>
      <c r="W66" s="9">
        <v>1.25</v>
      </c>
      <c r="X66" s="9">
        <f t="shared" si="0"/>
        <v>1</v>
      </c>
      <c r="Y66" s="5">
        <f t="shared" si="1"/>
        <v>2</v>
      </c>
      <c r="Z66" s="8">
        <f>ROUNDUP(Table1[[#This Row],[Actual Heacount]],0)</f>
        <v>2</v>
      </c>
      <c r="AA66" s="8"/>
      <c r="AB66" s="10"/>
      <c r="AC66" s="10"/>
      <c r="AD66" s="10"/>
      <c r="AE66" s="11">
        <v>101.1599393071312</v>
      </c>
      <c r="AF66" s="11">
        <v>317.95137468901532</v>
      </c>
      <c r="AG66" t="s">
        <v>34</v>
      </c>
    </row>
    <row r="67" spans="1:33">
      <c r="A67" s="2">
        <v>43896</v>
      </c>
      <c r="B67" s="5" t="s">
        <v>36</v>
      </c>
      <c r="C67" s="5">
        <f>WEEKDAY(Table1[[#This Row],[Date]])</f>
        <v>6</v>
      </c>
      <c r="D67" s="5">
        <f>MONTH(Table1[[#This Row],[Date]])</f>
        <v>3</v>
      </c>
      <c r="E67" s="5">
        <f>WEEKNUM(Table1[[#This Row],[Date]])</f>
        <v>10</v>
      </c>
      <c r="F67" s="5">
        <f>YEAR(Table1[[#This Row],[Date]])</f>
        <v>2020</v>
      </c>
      <c r="G67">
        <v>58</v>
      </c>
      <c r="L67" s="5">
        <v>231</v>
      </c>
      <c r="M67" s="6">
        <v>0.98299999999999998</v>
      </c>
      <c r="N67" s="5">
        <v>4</v>
      </c>
      <c r="O67" s="7">
        <v>9.2592592592592588E-5</v>
      </c>
      <c r="P67" s="7">
        <v>1.6087962962962963E-3</v>
      </c>
      <c r="Q67" s="7">
        <v>7.6388888888888893E-4</v>
      </c>
      <c r="R67" s="6">
        <v>0.95709999999999995</v>
      </c>
      <c r="S67" s="8">
        <f>CONVERT(Table1[[#This Row],[Talk Duration (AVG)]]*Table1[[#This Row],[Answered Calls]],"day","hr")</f>
        <v>8.9191666666666674</v>
      </c>
      <c r="T67" s="9">
        <f>Table1[[#This Row],[Actual Workload hours]]*60</f>
        <v>535.15000000000009</v>
      </c>
      <c r="U67" s="9">
        <f>CONVERT(Table1[[#This Row],[Actual]]*Table1[[#This Row],[Talk Duration (AVG)]],"day","hr")</f>
        <v>2.2394444444444446</v>
      </c>
      <c r="V67" s="10">
        <f>Table1[[#This Row],[Required Workload Hours]]*60</f>
        <v>134.36666666666667</v>
      </c>
      <c r="W67" s="9">
        <v>1.39</v>
      </c>
      <c r="X67" s="9">
        <f t="shared" ref="X67:X130" si="2">IF(V67&lt;384,1,(V67/384))</f>
        <v>1</v>
      </c>
      <c r="Y67" s="5">
        <f t="shared" ref="Y67:Y130" si="3">IF(B67="Sunday",1,2)</f>
        <v>2</v>
      </c>
      <c r="Z67" s="8">
        <f>ROUNDUP(Table1[[#This Row],[Actual Heacount]],0)</f>
        <v>2</v>
      </c>
      <c r="AA67" s="8"/>
      <c r="AB67" s="10"/>
      <c r="AC67" s="10"/>
      <c r="AD67" s="10"/>
      <c r="AE67" s="11">
        <v>79.794812865470533</v>
      </c>
      <c r="AF67" s="11">
        <v>306.32770653909938</v>
      </c>
      <c r="AG67" t="s">
        <v>34</v>
      </c>
    </row>
    <row r="68" spans="1:33">
      <c r="A68" s="2">
        <v>43897</v>
      </c>
      <c r="B68" s="5" t="s">
        <v>37</v>
      </c>
      <c r="C68" s="5">
        <f>WEEKDAY(Table1[[#This Row],[Date]])</f>
        <v>7</v>
      </c>
      <c r="D68" s="5">
        <f>MONTH(Table1[[#This Row],[Date]])</f>
        <v>3</v>
      </c>
      <c r="E68" s="5">
        <f>WEEKNUM(Table1[[#This Row],[Date]])</f>
        <v>10</v>
      </c>
      <c r="F68" s="5">
        <f>YEAR(Table1[[#This Row],[Date]])</f>
        <v>2020</v>
      </c>
      <c r="G68">
        <v>483</v>
      </c>
      <c r="L68" s="5">
        <v>201</v>
      </c>
      <c r="M68" s="6">
        <v>0.995</v>
      </c>
      <c r="N68" s="5">
        <v>1</v>
      </c>
      <c r="O68" s="7">
        <v>9.2592592592592588E-5</v>
      </c>
      <c r="P68" s="7">
        <v>1.6319444444444445E-3</v>
      </c>
      <c r="Q68" s="7">
        <v>1.3078703703703703E-3</v>
      </c>
      <c r="R68" s="6">
        <v>0.94550000000000001</v>
      </c>
      <c r="S68" s="8">
        <f>CONVERT(Table1[[#This Row],[Talk Duration (AVG)]]*Table1[[#This Row],[Answered Calls]],"day","hr")</f>
        <v>7.8725000000000014</v>
      </c>
      <c r="T68" s="9">
        <f>Table1[[#This Row],[Actual Workload hours]]*60</f>
        <v>472.35000000000008</v>
      </c>
      <c r="U68" s="9">
        <f>CONVERT(Table1[[#This Row],[Actual]]*Table1[[#This Row],[Talk Duration (AVG)]],"day","hr")</f>
        <v>18.917500000000004</v>
      </c>
      <c r="V68" s="10">
        <f>Table1[[#This Row],[Required Workload Hours]]*60</f>
        <v>1135.0500000000002</v>
      </c>
      <c r="W68" s="9">
        <v>1.23</v>
      </c>
      <c r="X68" s="9">
        <f t="shared" si="2"/>
        <v>2.9558593750000006</v>
      </c>
      <c r="Y68" s="5">
        <f t="shared" si="3"/>
        <v>2</v>
      </c>
      <c r="Z68" s="8">
        <f>ROUNDUP(Table1[[#This Row],[Actual Heacount]],0)</f>
        <v>2</v>
      </c>
      <c r="AA68" s="8"/>
      <c r="AB68" s="10"/>
      <c r="AC68" s="10"/>
      <c r="AD68" s="10"/>
      <c r="AE68" s="11">
        <v>91.695171758728108</v>
      </c>
      <c r="AF68" s="11">
        <v>302.75183673937482</v>
      </c>
      <c r="AG68" t="s">
        <v>34</v>
      </c>
    </row>
    <row r="69" spans="1:33">
      <c r="A69" s="2">
        <v>43898</v>
      </c>
      <c r="B69" s="5" t="s">
        <v>38</v>
      </c>
      <c r="C69" s="5">
        <f>WEEKDAY(Table1[[#This Row],[Date]])</f>
        <v>1</v>
      </c>
      <c r="D69" s="5">
        <f>MONTH(Table1[[#This Row],[Date]])</f>
        <v>3</v>
      </c>
      <c r="E69" s="5">
        <f>WEEKNUM(Table1[[#This Row],[Date]])</f>
        <v>11</v>
      </c>
      <c r="F69" s="5">
        <f>YEAR(Table1[[#This Row],[Date]])</f>
        <v>2020</v>
      </c>
      <c r="G69">
        <v>209</v>
      </c>
      <c r="L69" s="5">
        <v>39</v>
      </c>
      <c r="M69" s="6">
        <v>0.90700000000000003</v>
      </c>
      <c r="N69" s="5">
        <v>4</v>
      </c>
      <c r="O69" s="7">
        <v>1.273148148148148E-4</v>
      </c>
      <c r="P69" s="7">
        <v>1.5625000000000001E-3</v>
      </c>
      <c r="Q69" s="7">
        <v>1.2731481481481483E-3</v>
      </c>
      <c r="R69" s="6">
        <v>0.76190000000000002</v>
      </c>
      <c r="S69" s="8">
        <f>CONVERT(Table1[[#This Row],[Talk Duration (AVG)]]*Table1[[#This Row],[Answered Calls]],"day","hr")</f>
        <v>1.4625000000000004</v>
      </c>
      <c r="T69" s="9">
        <f>Table1[[#This Row],[Actual Workload hours]]*60</f>
        <v>87.750000000000028</v>
      </c>
      <c r="U69" s="9">
        <f>CONVERT(Table1[[#This Row],[Actual]]*Table1[[#This Row],[Talk Duration (AVG)]],"day","hr")</f>
        <v>7.8375000000000012</v>
      </c>
      <c r="V69" s="10">
        <f>Table1[[#This Row],[Required Workload Hours]]*60</f>
        <v>470.25000000000006</v>
      </c>
      <c r="W69" s="9">
        <v>1</v>
      </c>
      <c r="X69" s="9">
        <f t="shared" si="2"/>
        <v>1.2246093750000002</v>
      </c>
      <c r="Y69" s="5">
        <f t="shared" si="3"/>
        <v>1</v>
      </c>
      <c r="Z69" s="8">
        <f>ROUNDUP(Table1[[#This Row],[Actual Heacount]],0)</f>
        <v>1</v>
      </c>
      <c r="AA69" s="8"/>
      <c r="AB69" s="10"/>
      <c r="AC69" s="10"/>
      <c r="AD69" s="10"/>
      <c r="AE69" s="11">
        <v>-0.24482553372344379</v>
      </c>
      <c r="AF69" s="11">
        <v>209.0733948768893</v>
      </c>
      <c r="AG69" t="s">
        <v>34</v>
      </c>
    </row>
    <row r="70" spans="1:33">
      <c r="A70" s="2">
        <v>43899</v>
      </c>
      <c r="B70" s="5" t="s">
        <v>39</v>
      </c>
      <c r="C70" s="5">
        <f>WEEKDAY(Table1[[#This Row],[Date]])</f>
        <v>2</v>
      </c>
      <c r="D70" s="5">
        <f>MONTH(Table1[[#This Row],[Date]])</f>
        <v>3</v>
      </c>
      <c r="E70" s="5">
        <f>WEEKNUM(Table1[[#This Row],[Date]])</f>
        <v>11</v>
      </c>
      <c r="F70" s="5">
        <f>YEAR(Table1[[#This Row],[Date]])</f>
        <v>2020</v>
      </c>
      <c r="G70">
        <v>220</v>
      </c>
      <c r="L70" s="5">
        <v>187</v>
      </c>
      <c r="M70" s="6">
        <v>0.96389999999999998</v>
      </c>
      <c r="N70" s="5">
        <v>7</v>
      </c>
      <c r="O70" s="7">
        <v>1.1574074074074075E-4</v>
      </c>
      <c r="P70" s="7">
        <v>1.7013888888888888E-3</v>
      </c>
      <c r="Q70" s="7">
        <v>1.736111111111111E-3</v>
      </c>
      <c r="R70" s="6">
        <v>0.87429999999999997</v>
      </c>
      <c r="S70" s="8">
        <f>CONVERT(Table1[[#This Row],[Talk Duration (AVG)]]*Table1[[#This Row],[Answered Calls]],"day","hr")</f>
        <v>7.6358333333333333</v>
      </c>
      <c r="T70" s="9">
        <f>Table1[[#This Row],[Actual Workload hours]]*60</f>
        <v>458.15</v>
      </c>
      <c r="U70" s="9">
        <f>CONVERT(Table1[[#This Row],[Actual]]*Table1[[#This Row],[Talk Duration (AVG)]],"day","hr")</f>
        <v>8.9833333333333325</v>
      </c>
      <c r="V70" s="10">
        <f>Table1[[#This Row],[Required Workload Hours]]*60</f>
        <v>539</v>
      </c>
      <c r="W70" s="9">
        <v>1.19</v>
      </c>
      <c r="X70" s="9">
        <f t="shared" si="2"/>
        <v>1.4036458333333333</v>
      </c>
      <c r="Y70" s="5">
        <f t="shared" si="3"/>
        <v>2</v>
      </c>
      <c r="Z70" s="8">
        <f>ROUNDUP(Table1[[#This Row],[Actual Heacount]],0)</f>
        <v>2</v>
      </c>
      <c r="AA70" s="8"/>
      <c r="AB70" s="10"/>
      <c r="AC70" s="10"/>
      <c r="AD70" s="10"/>
      <c r="AE70" s="11">
        <v>78.975505805398299</v>
      </c>
      <c r="AF70" s="11">
        <v>313.343959973182</v>
      </c>
      <c r="AG70" t="s">
        <v>34</v>
      </c>
    </row>
    <row r="71" spans="1:33">
      <c r="A71" s="2">
        <v>43900</v>
      </c>
      <c r="B71" s="5" t="s">
        <v>40</v>
      </c>
      <c r="C71" s="5">
        <f>WEEKDAY(Table1[[#This Row],[Date]])</f>
        <v>3</v>
      </c>
      <c r="D71" s="5">
        <f>MONTH(Table1[[#This Row],[Date]])</f>
        <v>3</v>
      </c>
      <c r="E71" s="5">
        <f>WEEKNUM(Table1[[#This Row],[Date]])</f>
        <v>11</v>
      </c>
      <c r="F71" s="5">
        <f>YEAR(Table1[[#This Row],[Date]])</f>
        <v>2020</v>
      </c>
      <c r="G71">
        <v>168</v>
      </c>
      <c r="L71" s="5">
        <v>199</v>
      </c>
      <c r="M71" s="6">
        <v>0.98509999999999998</v>
      </c>
      <c r="N71" s="5">
        <v>3</v>
      </c>
      <c r="O71" s="7">
        <v>1.5046296296296297E-4</v>
      </c>
      <c r="P71" s="7">
        <v>1.6550925925925926E-3</v>
      </c>
      <c r="Q71" s="7">
        <v>1.3657407407407407E-3</v>
      </c>
      <c r="R71" s="6">
        <v>0.86070000000000002</v>
      </c>
      <c r="S71" s="8">
        <f>CONVERT(Table1[[#This Row],[Talk Duration (AVG)]]*Table1[[#This Row],[Answered Calls]],"day","hr")</f>
        <v>7.9047222222222224</v>
      </c>
      <c r="T71" s="9">
        <f>Table1[[#This Row],[Actual Workload hours]]*60</f>
        <v>474.28333333333336</v>
      </c>
      <c r="U71" s="9">
        <f>CONVERT(Table1[[#This Row],[Actual]]*Table1[[#This Row],[Talk Duration (AVG)]],"day","hr")</f>
        <v>6.6733333333333329</v>
      </c>
      <c r="V71" s="10">
        <f>Table1[[#This Row],[Required Workload Hours]]*60</f>
        <v>400.4</v>
      </c>
      <c r="W71" s="9">
        <v>1.24</v>
      </c>
      <c r="X71" s="9">
        <f t="shared" si="2"/>
        <v>1.0427083333333333</v>
      </c>
      <c r="Y71" s="5">
        <f t="shared" si="3"/>
        <v>2</v>
      </c>
      <c r="Z71" s="8">
        <f>ROUNDUP(Table1[[#This Row],[Actual Heacount]],0)</f>
        <v>2</v>
      </c>
      <c r="AA71" s="8"/>
      <c r="AB71" s="10"/>
      <c r="AC71" s="10"/>
      <c r="AD71" s="10"/>
      <c r="AE71" s="11">
        <v>62.370083785697027</v>
      </c>
      <c r="AF71" s="11">
        <v>288.79969025162018</v>
      </c>
      <c r="AG71" t="s">
        <v>34</v>
      </c>
    </row>
    <row r="72" spans="1:33">
      <c r="A72" s="2">
        <v>43901</v>
      </c>
      <c r="B72" s="5" t="s">
        <v>33</v>
      </c>
      <c r="C72" s="5">
        <f>WEEKDAY(Table1[[#This Row],[Date]])</f>
        <v>4</v>
      </c>
      <c r="D72" s="5">
        <f>MONTH(Table1[[#This Row],[Date]])</f>
        <v>3</v>
      </c>
      <c r="E72" s="5">
        <f>WEEKNUM(Table1[[#This Row],[Date]])</f>
        <v>11</v>
      </c>
      <c r="F72" s="5">
        <f>YEAR(Table1[[#This Row],[Date]])</f>
        <v>2020</v>
      </c>
      <c r="G72">
        <v>197</v>
      </c>
      <c r="L72" s="5">
        <v>140</v>
      </c>
      <c r="M72" s="6">
        <v>0.95889999999999997</v>
      </c>
      <c r="N72" s="5">
        <v>6</v>
      </c>
      <c r="O72" s="7">
        <v>1.3888888888888889E-4</v>
      </c>
      <c r="P72" s="7">
        <v>1.5393518518518519E-3</v>
      </c>
      <c r="Q72" s="7">
        <v>3.1828703703703702E-3</v>
      </c>
      <c r="R72" s="6">
        <v>0.83450000000000002</v>
      </c>
      <c r="S72" s="8">
        <f>CONVERT(Table1[[#This Row],[Talk Duration (AVG)]]*Table1[[#This Row],[Answered Calls]],"day","hr")</f>
        <v>5.1722222222222225</v>
      </c>
      <c r="T72" s="9">
        <f>Table1[[#This Row],[Actual Workload hours]]*60</f>
        <v>310.33333333333337</v>
      </c>
      <c r="U72" s="9">
        <f>CONVERT(Table1[[#This Row],[Actual]]*Table1[[#This Row],[Talk Duration (AVG)]],"day","hr")</f>
        <v>7.2780555555555555</v>
      </c>
      <c r="V72" s="10">
        <f>Table1[[#This Row],[Required Workload Hours]]*60</f>
        <v>436.68333333333334</v>
      </c>
      <c r="W72" s="9">
        <v>1</v>
      </c>
      <c r="X72" s="9">
        <f t="shared" si="2"/>
        <v>1.1371961805555555</v>
      </c>
      <c r="Y72" s="5">
        <f t="shared" si="3"/>
        <v>2</v>
      </c>
      <c r="Z72" s="8">
        <f>ROUNDUP(Table1[[#This Row],[Actual Heacount]],0)</f>
        <v>1</v>
      </c>
      <c r="AA72" s="8"/>
      <c r="AB72" s="10"/>
      <c r="AC72" s="10"/>
      <c r="AD72" s="10"/>
      <c r="AE72" s="11">
        <v>67.883820343287724</v>
      </c>
      <c r="AF72" s="11">
        <v>285.29242283881553</v>
      </c>
      <c r="AG72" t="s">
        <v>34</v>
      </c>
    </row>
    <row r="73" spans="1:33">
      <c r="A73" s="2">
        <v>43902</v>
      </c>
      <c r="B73" s="5" t="s">
        <v>35</v>
      </c>
      <c r="C73" s="5">
        <f>WEEKDAY(Table1[[#This Row],[Date]])</f>
        <v>5</v>
      </c>
      <c r="D73" s="5">
        <f>MONTH(Table1[[#This Row],[Date]])</f>
        <v>3</v>
      </c>
      <c r="E73" s="5">
        <f>WEEKNUM(Table1[[#This Row],[Date]])</f>
        <v>11</v>
      </c>
      <c r="F73" s="5">
        <f>YEAR(Table1[[#This Row],[Date]])</f>
        <v>2020</v>
      </c>
      <c r="G73">
        <v>239</v>
      </c>
      <c r="L73" s="5">
        <v>145</v>
      </c>
      <c r="M73" s="6">
        <v>0.98640000000000005</v>
      </c>
      <c r="N73" s="5">
        <v>2</v>
      </c>
      <c r="O73" s="7">
        <v>1.0416666666666667E-4</v>
      </c>
      <c r="P73" s="7">
        <v>1.5625000000000001E-3</v>
      </c>
      <c r="Q73" s="7">
        <v>6.7129629629629625E-4</v>
      </c>
      <c r="R73" s="6">
        <v>0.91159999999999997</v>
      </c>
      <c r="S73" s="8">
        <f>CONVERT(Table1[[#This Row],[Talk Duration (AVG)]]*Table1[[#This Row],[Answered Calls]],"day","hr")</f>
        <v>5.4375</v>
      </c>
      <c r="T73" s="9">
        <f>Table1[[#This Row],[Actual Workload hours]]*60</f>
        <v>326.25</v>
      </c>
      <c r="U73" s="9">
        <f>CONVERT(Table1[[#This Row],[Actual]]*Table1[[#This Row],[Talk Duration (AVG)]],"day","hr")</f>
        <v>8.9625000000000004</v>
      </c>
      <c r="V73" s="10">
        <f>Table1[[#This Row],[Required Workload Hours]]*60</f>
        <v>537.75</v>
      </c>
      <c r="W73" s="9">
        <v>1</v>
      </c>
      <c r="X73" s="9">
        <f t="shared" si="2"/>
        <v>1.400390625</v>
      </c>
      <c r="Y73" s="5">
        <f t="shared" si="3"/>
        <v>2</v>
      </c>
      <c r="Z73" s="8">
        <f>ROUNDUP(Table1[[#This Row],[Actual Heacount]],0)</f>
        <v>1</v>
      </c>
      <c r="AA73" s="8"/>
      <c r="AB73" s="10"/>
      <c r="AC73" s="10"/>
      <c r="AD73" s="10"/>
      <c r="AE73" s="11">
        <v>63.292901282481949</v>
      </c>
      <c r="AF73" s="11">
        <v>280.99287024166762</v>
      </c>
      <c r="AG73" t="s">
        <v>34</v>
      </c>
    </row>
    <row r="74" spans="1:33">
      <c r="A74" s="2">
        <v>43903</v>
      </c>
      <c r="B74" s="5" t="s">
        <v>36</v>
      </c>
      <c r="C74" s="5">
        <f>WEEKDAY(Table1[[#This Row],[Date]])</f>
        <v>6</v>
      </c>
      <c r="D74" s="5">
        <f>MONTH(Table1[[#This Row],[Date]])</f>
        <v>3</v>
      </c>
      <c r="E74" s="5">
        <f>WEEKNUM(Table1[[#This Row],[Date]])</f>
        <v>11</v>
      </c>
      <c r="F74" s="5">
        <f>YEAR(Table1[[#This Row],[Date]])</f>
        <v>2020</v>
      </c>
      <c r="G74">
        <v>155</v>
      </c>
      <c r="L74" s="5">
        <v>145</v>
      </c>
      <c r="M74" s="6">
        <v>0.9355</v>
      </c>
      <c r="N74" s="5">
        <v>10</v>
      </c>
      <c r="O74" s="7">
        <v>1.3888888888888889E-4</v>
      </c>
      <c r="P74" s="7">
        <v>1.7708333333333332E-3</v>
      </c>
      <c r="Q74" s="7">
        <v>3.1597222222222222E-3</v>
      </c>
      <c r="R74" s="6">
        <v>0.82240000000000002</v>
      </c>
      <c r="S74" s="8">
        <f>CONVERT(Table1[[#This Row],[Talk Duration (AVG)]]*Table1[[#This Row],[Answered Calls]],"day","hr")</f>
        <v>6.1624999999999996</v>
      </c>
      <c r="T74" s="9">
        <f>Table1[[#This Row],[Actual Workload hours]]*60</f>
        <v>369.75</v>
      </c>
      <c r="U74" s="9">
        <f>CONVERT(Table1[[#This Row],[Actual]]*Table1[[#This Row],[Talk Duration (AVG)]],"day","hr")</f>
        <v>6.5875000000000004</v>
      </c>
      <c r="V74" s="10">
        <f>Table1[[#This Row],[Required Workload Hours]]*60</f>
        <v>395.25</v>
      </c>
      <c r="W74" s="9">
        <v>1</v>
      </c>
      <c r="X74" s="9">
        <f t="shared" si="2"/>
        <v>1.029296875</v>
      </c>
      <c r="Y74" s="5">
        <f t="shared" si="3"/>
        <v>2</v>
      </c>
      <c r="Z74" s="8">
        <f>ROUNDUP(Table1[[#This Row],[Actual Heacount]],0)</f>
        <v>1</v>
      </c>
      <c r="AA74" s="8"/>
      <c r="AB74" s="10"/>
      <c r="AC74" s="10"/>
      <c r="AD74" s="10"/>
      <c r="AE74" s="11">
        <v>51.181353769672249</v>
      </c>
      <c r="AF74" s="11">
        <v>276.14252767077932</v>
      </c>
      <c r="AG74" t="s">
        <v>34</v>
      </c>
    </row>
    <row r="75" spans="1:33">
      <c r="A75" s="2">
        <v>43904</v>
      </c>
      <c r="B75" s="5" t="s">
        <v>37</v>
      </c>
      <c r="C75" s="5">
        <f>WEEKDAY(Table1[[#This Row],[Date]])</f>
        <v>7</v>
      </c>
      <c r="D75" s="5">
        <f>MONTH(Table1[[#This Row],[Date]])</f>
        <v>3</v>
      </c>
      <c r="E75" s="5">
        <f>WEEKNUM(Table1[[#This Row],[Date]])</f>
        <v>11</v>
      </c>
      <c r="F75" s="5">
        <f>YEAR(Table1[[#This Row],[Date]])</f>
        <v>2020</v>
      </c>
      <c r="G75">
        <v>157</v>
      </c>
      <c r="L75" s="5">
        <v>156</v>
      </c>
      <c r="M75" s="6">
        <v>0.99360000000000004</v>
      </c>
      <c r="N75" s="5">
        <v>1</v>
      </c>
      <c r="O75" s="7">
        <v>1.0416666666666667E-4</v>
      </c>
      <c r="P75" s="7">
        <v>1.6666666666666668E-3</v>
      </c>
      <c r="Q75" s="7">
        <v>6.134259259259259E-4</v>
      </c>
      <c r="R75" s="6">
        <v>0.92949999999999999</v>
      </c>
      <c r="S75" s="8">
        <f>CONVERT(Table1[[#This Row],[Talk Duration (AVG)]]*Table1[[#This Row],[Answered Calls]],"day","hr")</f>
        <v>6.24</v>
      </c>
      <c r="T75" s="9">
        <f>Table1[[#This Row],[Actual Workload hours]]*60</f>
        <v>374.40000000000003</v>
      </c>
      <c r="U75" s="9">
        <f>CONVERT(Table1[[#This Row],[Actual]]*Table1[[#This Row],[Talk Duration (AVG)]],"day","hr")</f>
        <v>6.28</v>
      </c>
      <c r="V75" s="10">
        <f>Table1[[#This Row],[Required Workload Hours]]*60</f>
        <v>376.8</v>
      </c>
      <c r="W75" s="9">
        <v>1</v>
      </c>
      <c r="X75" s="9">
        <f t="shared" si="2"/>
        <v>1</v>
      </c>
      <c r="Y75" s="5">
        <f t="shared" si="3"/>
        <v>2</v>
      </c>
      <c r="Z75" s="8">
        <f>ROUNDUP(Table1[[#This Row],[Actual Heacount]],0)</f>
        <v>1</v>
      </c>
      <c r="AA75" s="8"/>
      <c r="AB75" s="10"/>
      <c r="AC75" s="10"/>
      <c r="AD75" s="10"/>
      <c r="AE75" s="11">
        <v>46.471762658904531</v>
      </c>
      <c r="AF75" s="11">
        <v>280.81019309581887</v>
      </c>
      <c r="AG75" t="s">
        <v>34</v>
      </c>
    </row>
    <row r="76" spans="1:33">
      <c r="A76" s="2">
        <v>43905</v>
      </c>
      <c r="B76" s="5" t="s">
        <v>38</v>
      </c>
      <c r="C76" s="5">
        <f>WEEKDAY(Table1[[#This Row],[Date]])</f>
        <v>1</v>
      </c>
      <c r="D76" s="5">
        <f>MONTH(Table1[[#This Row],[Date]])</f>
        <v>3</v>
      </c>
      <c r="E76" s="5">
        <f>WEEKNUM(Table1[[#This Row],[Date]])</f>
        <v>12</v>
      </c>
      <c r="F76" s="5">
        <f>YEAR(Table1[[#This Row],[Date]])</f>
        <v>2020</v>
      </c>
      <c r="G76">
        <v>38</v>
      </c>
      <c r="L76" s="5">
        <v>36</v>
      </c>
      <c r="M76" s="6">
        <v>0.94740000000000002</v>
      </c>
      <c r="N76" s="5">
        <v>2</v>
      </c>
      <c r="O76" s="7">
        <v>1.5046296296296297E-4</v>
      </c>
      <c r="P76" s="7">
        <v>1.5162037037037036E-3</v>
      </c>
      <c r="Q76" s="7">
        <v>6.8287037037037036E-4</v>
      </c>
      <c r="R76" s="6">
        <v>0.83779999999999999</v>
      </c>
      <c r="S76" s="8">
        <f>CONVERT(Table1[[#This Row],[Talk Duration (AVG)]]*Table1[[#This Row],[Answered Calls]],"day","hr")</f>
        <v>1.31</v>
      </c>
      <c r="T76" s="9">
        <f>Table1[[#This Row],[Actual Workload hours]]*60</f>
        <v>78.600000000000009</v>
      </c>
      <c r="U76" s="9">
        <f>CONVERT(Table1[[#This Row],[Actual]]*Table1[[#This Row],[Talk Duration (AVG)]],"day","hr")</f>
        <v>1.3827777777777779</v>
      </c>
      <c r="V76" s="10">
        <f>Table1[[#This Row],[Required Workload Hours]]*60</f>
        <v>82.966666666666669</v>
      </c>
      <c r="W76" s="9">
        <v>1</v>
      </c>
      <c r="X76" s="9">
        <f t="shared" si="2"/>
        <v>1</v>
      </c>
      <c r="Y76" s="5">
        <f t="shared" si="3"/>
        <v>1</v>
      </c>
      <c r="Z76" s="8">
        <f>ROUNDUP(Table1[[#This Row],[Actual Heacount]],0)</f>
        <v>1</v>
      </c>
      <c r="AA76" s="8"/>
      <c r="AB76" s="10"/>
      <c r="AC76" s="10"/>
      <c r="AD76" s="10"/>
      <c r="AE76" s="11">
        <v>-40.256523320745103</v>
      </c>
      <c r="AF76" s="11">
        <v>177.89817954294671</v>
      </c>
      <c r="AG76" t="s">
        <v>34</v>
      </c>
    </row>
    <row r="77" spans="1:33">
      <c r="A77" s="2">
        <v>43906</v>
      </c>
      <c r="B77" s="5" t="s">
        <v>39</v>
      </c>
      <c r="C77" s="5">
        <f>WEEKDAY(Table1[[#This Row],[Date]])</f>
        <v>2</v>
      </c>
      <c r="D77" s="5">
        <f>MONTH(Table1[[#This Row],[Date]])</f>
        <v>3</v>
      </c>
      <c r="E77" s="5">
        <f>WEEKNUM(Table1[[#This Row],[Date]])</f>
        <v>12</v>
      </c>
      <c r="F77" s="5">
        <f>YEAR(Table1[[#This Row],[Date]])</f>
        <v>2020</v>
      </c>
      <c r="G77">
        <v>166</v>
      </c>
      <c r="L77" s="5">
        <v>162</v>
      </c>
      <c r="M77" s="6">
        <v>0.97589999999999999</v>
      </c>
      <c r="N77" s="5">
        <v>4</v>
      </c>
      <c r="O77" s="7">
        <v>1.0416666666666667E-4</v>
      </c>
      <c r="P77" s="7">
        <v>1.724537037037037E-3</v>
      </c>
      <c r="Q77" s="7">
        <v>1.9097222222222222E-3</v>
      </c>
      <c r="R77" s="6">
        <v>0.89090000000000003</v>
      </c>
      <c r="S77" s="8">
        <f>CONVERT(Table1[[#This Row],[Talk Duration (AVG)]]*Table1[[#This Row],[Answered Calls]],"day","hr")</f>
        <v>6.7050000000000001</v>
      </c>
      <c r="T77" s="9">
        <f>Table1[[#This Row],[Actual Workload hours]]*60</f>
        <v>402.3</v>
      </c>
      <c r="U77" s="9">
        <f>CONVERT(Table1[[#This Row],[Actual]]*Table1[[#This Row],[Talk Duration (AVG)]],"day","hr")</f>
        <v>6.8705555555555557</v>
      </c>
      <c r="V77" s="10">
        <f>Table1[[#This Row],[Required Workload Hours]]*60</f>
        <v>412.23333333333335</v>
      </c>
      <c r="W77" s="9">
        <v>1.05</v>
      </c>
      <c r="X77" s="9">
        <f t="shared" si="2"/>
        <v>1.0735243055555557</v>
      </c>
      <c r="Y77" s="5">
        <f t="shared" si="3"/>
        <v>2</v>
      </c>
      <c r="Z77" s="8">
        <f>ROUNDUP(Table1[[#This Row],[Actual Heacount]],0)</f>
        <v>2</v>
      </c>
      <c r="AA77" s="8"/>
      <c r="AB77" s="10"/>
      <c r="AC77" s="10"/>
      <c r="AD77" s="10"/>
      <c r="AE77" s="11">
        <v>48.782784973678908</v>
      </c>
      <c r="AF77" s="11">
        <v>276.52825162231437</v>
      </c>
      <c r="AG77" t="s">
        <v>34</v>
      </c>
    </row>
    <row r="78" spans="1:33">
      <c r="A78" s="2">
        <v>43907</v>
      </c>
      <c r="B78" s="5" t="s">
        <v>40</v>
      </c>
      <c r="C78" s="5">
        <f>WEEKDAY(Table1[[#This Row],[Date]])</f>
        <v>3</v>
      </c>
      <c r="D78" s="5">
        <f>MONTH(Table1[[#This Row],[Date]])</f>
        <v>3</v>
      </c>
      <c r="E78" s="5">
        <f>WEEKNUM(Table1[[#This Row],[Date]])</f>
        <v>12</v>
      </c>
      <c r="F78" s="5">
        <f>YEAR(Table1[[#This Row],[Date]])</f>
        <v>2020</v>
      </c>
      <c r="G78">
        <v>226</v>
      </c>
      <c r="L78" s="5">
        <v>216</v>
      </c>
      <c r="M78" s="6">
        <v>0.95579999999999998</v>
      </c>
      <c r="N78" s="5">
        <v>10</v>
      </c>
      <c r="O78" s="7">
        <v>1.5046296296296297E-4</v>
      </c>
      <c r="P78" s="7">
        <v>1.5625000000000001E-3</v>
      </c>
      <c r="Q78" s="7">
        <v>1.2268518518518518E-3</v>
      </c>
      <c r="R78" s="6">
        <v>0.8145</v>
      </c>
      <c r="S78" s="8">
        <f>CONVERT(Table1[[#This Row],[Talk Duration (AVG)]]*Table1[[#This Row],[Answered Calls]],"day","hr")</f>
        <v>8.1000000000000014</v>
      </c>
      <c r="T78" s="9">
        <f>Table1[[#This Row],[Actual Workload hours]]*60</f>
        <v>486.00000000000011</v>
      </c>
      <c r="U78" s="9">
        <f>CONVERT(Table1[[#This Row],[Actual]]*Table1[[#This Row],[Talk Duration (AVG)]],"day","hr")</f>
        <v>8.4750000000000014</v>
      </c>
      <c r="V78" s="10">
        <f>Table1[[#This Row],[Required Workload Hours]]*60</f>
        <v>508.50000000000011</v>
      </c>
      <c r="W78" s="9">
        <v>1.27</v>
      </c>
      <c r="X78" s="9">
        <f t="shared" si="2"/>
        <v>1.3242187500000002</v>
      </c>
      <c r="Y78" s="5">
        <f t="shared" si="3"/>
        <v>2</v>
      </c>
      <c r="Z78" s="8">
        <f>ROUNDUP(Table1[[#This Row],[Actual Heacount]],0)</f>
        <v>2</v>
      </c>
      <c r="AA78" s="8"/>
      <c r="AB78" s="10"/>
      <c r="AC78" s="10"/>
      <c r="AD78" s="10"/>
      <c r="AE78" s="11">
        <v>36.132030114816111</v>
      </c>
      <c r="AF78" s="11">
        <v>250.5111547096611</v>
      </c>
      <c r="AG78" t="s">
        <v>34</v>
      </c>
    </row>
    <row r="79" spans="1:33">
      <c r="A79" s="2">
        <v>43908</v>
      </c>
      <c r="B79" s="5" t="s">
        <v>33</v>
      </c>
      <c r="C79" s="5">
        <f>WEEKDAY(Table1[[#This Row],[Date]])</f>
        <v>4</v>
      </c>
      <c r="D79" s="5">
        <f>MONTH(Table1[[#This Row],[Date]])</f>
        <v>3</v>
      </c>
      <c r="E79" s="5">
        <f>WEEKNUM(Table1[[#This Row],[Date]])</f>
        <v>12</v>
      </c>
      <c r="F79" s="5">
        <f>YEAR(Table1[[#This Row],[Date]])</f>
        <v>2020</v>
      </c>
      <c r="G79">
        <v>253</v>
      </c>
      <c r="L79" s="5">
        <v>247</v>
      </c>
      <c r="M79" s="6">
        <v>0.97629999999999995</v>
      </c>
      <c r="N79" s="5">
        <v>6</v>
      </c>
      <c r="O79" s="7">
        <v>1.1574074074074075E-4</v>
      </c>
      <c r="P79" s="7">
        <v>1.3194444444444445E-3</v>
      </c>
      <c r="Q79" s="7">
        <v>8.9120370370370373E-4</v>
      </c>
      <c r="R79" s="6">
        <v>0.88490000000000002</v>
      </c>
      <c r="S79" s="8">
        <f>CONVERT(Table1[[#This Row],[Talk Duration (AVG)]]*Table1[[#This Row],[Answered Calls]],"day","hr")</f>
        <v>7.8216666666666663</v>
      </c>
      <c r="T79" s="9">
        <f>Table1[[#This Row],[Actual Workload hours]]*60</f>
        <v>469.29999999999995</v>
      </c>
      <c r="U79" s="9">
        <f>CONVERT(Table1[[#This Row],[Actual]]*Table1[[#This Row],[Talk Duration (AVG)]],"day","hr")</f>
        <v>8.0116666666666667</v>
      </c>
      <c r="V79" s="10">
        <f>Table1[[#This Row],[Required Workload Hours]]*60</f>
        <v>480.7</v>
      </c>
      <c r="W79" s="9">
        <v>1.22</v>
      </c>
      <c r="X79" s="9">
        <f t="shared" si="2"/>
        <v>1.2518229166666666</v>
      </c>
      <c r="Y79" s="5">
        <f t="shared" si="3"/>
        <v>2</v>
      </c>
      <c r="Z79" s="8">
        <f>ROUNDUP(Table1[[#This Row],[Actual Heacount]],0)</f>
        <v>2</v>
      </c>
      <c r="AA79" s="8"/>
      <c r="AB79" s="10"/>
      <c r="AC79" s="10"/>
      <c r="AD79" s="10"/>
      <c r="AE79" s="11">
        <v>44.633597954513128</v>
      </c>
      <c r="AF79" s="11">
        <v>270.52428853029431</v>
      </c>
      <c r="AG79" t="s">
        <v>34</v>
      </c>
    </row>
    <row r="80" spans="1:33">
      <c r="A80" s="2">
        <v>43909</v>
      </c>
      <c r="B80" s="5" t="s">
        <v>35</v>
      </c>
      <c r="C80" s="5">
        <f>WEEKDAY(Table1[[#This Row],[Date]])</f>
        <v>5</v>
      </c>
      <c r="D80" s="5">
        <f>MONTH(Table1[[#This Row],[Date]])</f>
        <v>3</v>
      </c>
      <c r="E80" s="5">
        <f>WEEKNUM(Table1[[#This Row],[Date]])</f>
        <v>12</v>
      </c>
      <c r="F80" s="5">
        <f>YEAR(Table1[[#This Row],[Date]])</f>
        <v>2020</v>
      </c>
      <c r="G80">
        <v>134</v>
      </c>
      <c r="L80" s="5">
        <v>134</v>
      </c>
      <c r="M80" s="6">
        <v>1</v>
      </c>
      <c r="N80" s="5">
        <v>0</v>
      </c>
      <c r="O80" s="7">
        <v>3.4722222222222222E-5</v>
      </c>
      <c r="P80" s="7">
        <v>1.5393518518518519E-3</v>
      </c>
      <c r="Q80" s="7">
        <v>3.0092592592592595E-4</v>
      </c>
      <c r="R80" s="6">
        <v>1</v>
      </c>
      <c r="S80" s="8">
        <f>CONVERT(Table1[[#This Row],[Talk Duration (AVG)]]*Table1[[#This Row],[Answered Calls]],"day","hr")</f>
        <v>4.9505555555555558</v>
      </c>
      <c r="T80" s="9">
        <f>Table1[[#This Row],[Actual Workload hours]]*60</f>
        <v>297.03333333333336</v>
      </c>
      <c r="U80" s="9">
        <f>CONVERT(Table1[[#This Row],[Actual]]*Table1[[#This Row],[Talk Duration (AVG)]],"day","hr")</f>
        <v>4.9505555555555558</v>
      </c>
      <c r="V80" s="10">
        <f>Table1[[#This Row],[Required Workload Hours]]*60</f>
        <v>297.03333333333336</v>
      </c>
      <c r="W80" s="9">
        <v>1</v>
      </c>
      <c r="X80" s="9">
        <f t="shared" si="2"/>
        <v>1</v>
      </c>
      <c r="Y80" s="5">
        <f t="shared" si="3"/>
        <v>2</v>
      </c>
      <c r="Z80" s="8">
        <f>ROUNDUP(Table1[[#This Row],[Actual Heacount]],0)</f>
        <v>1</v>
      </c>
      <c r="AA80" s="8"/>
      <c r="AB80" s="10"/>
      <c r="AC80" s="10"/>
      <c r="AD80" s="10"/>
      <c r="AE80" s="11">
        <v>40.551666468564818</v>
      </c>
      <c r="AF80" s="11">
        <v>257.52733558229988</v>
      </c>
      <c r="AG80" t="s">
        <v>34</v>
      </c>
    </row>
    <row r="81" spans="1:33">
      <c r="A81" s="2">
        <v>43910</v>
      </c>
      <c r="B81" s="5" t="s">
        <v>36</v>
      </c>
      <c r="C81" s="5">
        <f>WEEKDAY(Table1[[#This Row],[Date]])</f>
        <v>6</v>
      </c>
      <c r="D81" s="5">
        <f>MONTH(Table1[[#This Row],[Date]])</f>
        <v>3</v>
      </c>
      <c r="E81" s="5">
        <f>WEEKNUM(Table1[[#This Row],[Date]])</f>
        <v>12</v>
      </c>
      <c r="F81" s="5">
        <f>YEAR(Table1[[#This Row],[Date]])</f>
        <v>2020</v>
      </c>
      <c r="G81">
        <v>70</v>
      </c>
      <c r="L81" s="5">
        <v>67</v>
      </c>
      <c r="M81" s="6">
        <v>0.95709999999999995</v>
      </c>
      <c r="N81" s="5">
        <v>3</v>
      </c>
      <c r="O81" s="7">
        <v>1.3888888888888889E-4</v>
      </c>
      <c r="P81" s="7">
        <v>1.4004629629629629E-3</v>
      </c>
      <c r="Q81" s="7">
        <v>8.7962962962962962E-4</v>
      </c>
      <c r="R81" s="6">
        <v>0.83819999999999995</v>
      </c>
      <c r="S81" s="8">
        <f>CONVERT(Table1[[#This Row],[Talk Duration (AVG)]]*Table1[[#This Row],[Answered Calls]],"day","hr")</f>
        <v>2.2519444444444443</v>
      </c>
      <c r="T81" s="9">
        <f>Table1[[#This Row],[Actual Workload hours]]*60</f>
        <v>135.11666666666665</v>
      </c>
      <c r="U81" s="9">
        <f>CONVERT(Table1[[#This Row],[Actual]]*Table1[[#This Row],[Talk Duration (AVG)]],"day","hr")</f>
        <v>2.3527777777777779</v>
      </c>
      <c r="V81" s="10">
        <f>Table1[[#This Row],[Required Workload Hours]]*60</f>
        <v>141.16666666666669</v>
      </c>
      <c r="W81" s="9">
        <v>1</v>
      </c>
      <c r="X81" s="9">
        <f t="shared" si="2"/>
        <v>1</v>
      </c>
      <c r="Y81" s="5">
        <f t="shared" si="3"/>
        <v>2</v>
      </c>
      <c r="Z81" s="8">
        <f>ROUNDUP(Table1[[#This Row],[Actual Heacount]],0)</f>
        <v>1</v>
      </c>
      <c r="AA81" s="8"/>
      <c r="AB81" s="10"/>
      <c r="AC81" s="10"/>
      <c r="AD81" s="10"/>
      <c r="AE81" s="11">
        <v>23.645320758369142</v>
      </c>
      <c r="AF81" s="11">
        <v>248.17136991614899</v>
      </c>
      <c r="AG81" t="s">
        <v>34</v>
      </c>
    </row>
    <row r="82" spans="1:33">
      <c r="A82" s="2">
        <v>43911</v>
      </c>
      <c r="B82" s="5" t="s">
        <v>37</v>
      </c>
      <c r="C82" s="5">
        <f>WEEKDAY(Table1[[#This Row],[Date]])</f>
        <v>7</v>
      </c>
      <c r="D82" s="5">
        <f>MONTH(Table1[[#This Row],[Date]])</f>
        <v>3</v>
      </c>
      <c r="E82" s="5">
        <f>WEEKNUM(Table1[[#This Row],[Date]])</f>
        <v>12</v>
      </c>
      <c r="F82" s="5">
        <f>YEAR(Table1[[#This Row],[Date]])</f>
        <v>2020</v>
      </c>
      <c r="G82">
        <v>83</v>
      </c>
      <c r="L82" s="5">
        <v>82</v>
      </c>
      <c r="M82" s="6">
        <v>0.98799999999999999</v>
      </c>
      <c r="N82" s="5">
        <v>1</v>
      </c>
      <c r="O82" s="7">
        <v>8.1018518518518516E-5</v>
      </c>
      <c r="P82" s="7">
        <v>1.4236111111111112E-3</v>
      </c>
      <c r="Q82" s="7">
        <v>8.7962962962962962E-4</v>
      </c>
      <c r="R82" s="6">
        <v>0.95179999999999998</v>
      </c>
      <c r="S82" s="8">
        <f>CONVERT(Table1[[#This Row],[Talk Duration (AVG)]]*Table1[[#This Row],[Answered Calls]],"day","hr")</f>
        <v>2.8016666666666667</v>
      </c>
      <c r="T82" s="9">
        <f>Table1[[#This Row],[Actual Workload hours]]*60</f>
        <v>168.1</v>
      </c>
      <c r="U82" s="9">
        <f>CONVERT(Table1[[#This Row],[Actual]]*Table1[[#This Row],[Talk Duration (AVG)]],"day","hr")</f>
        <v>2.8358333333333334</v>
      </c>
      <c r="V82" s="10">
        <f>Table1[[#This Row],[Required Workload Hours]]*60</f>
        <v>170.15</v>
      </c>
      <c r="W82" s="9">
        <v>1</v>
      </c>
      <c r="X82" s="9">
        <f t="shared" si="2"/>
        <v>1</v>
      </c>
      <c r="Y82" s="5">
        <f t="shared" si="3"/>
        <v>2</v>
      </c>
      <c r="Z82" s="8">
        <f>ROUNDUP(Table1[[#This Row],[Actual Heacount]],0)</f>
        <v>1</v>
      </c>
      <c r="AA82" s="8"/>
      <c r="AB82" s="10"/>
      <c r="AC82" s="10"/>
      <c r="AD82" s="10"/>
      <c r="AE82" s="11">
        <v>31.68679388447886</v>
      </c>
      <c r="AF82" s="11">
        <v>258.39963069495138</v>
      </c>
      <c r="AG82" t="s">
        <v>34</v>
      </c>
    </row>
    <row r="83" spans="1:33">
      <c r="A83" s="2">
        <v>43912</v>
      </c>
      <c r="B83" s="5" t="s">
        <v>38</v>
      </c>
      <c r="C83" s="5">
        <f>WEEKDAY(Table1[[#This Row],[Date]])</f>
        <v>1</v>
      </c>
      <c r="D83" s="5">
        <f>MONTH(Table1[[#This Row],[Date]])</f>
        <v>3</v>
      </c>
      <c r="E83" s="5">
        <f>WEEKNUM(Table1[[#This Row],[Date]])</f>
        <v>13</v>
      </c>
      <c r="F83" s="5">
        <f>YEAR(Table1[[#This Row],[Date]])</f>
        <v>2020</v>
      </c>
      <c r="G83">
        <v>42</v>
      </c>
      <c r="L83" s="5">
        <v>40</v>
      </c>
      <c r="M83" s="6">
        <v>0.95240000000000002</v>
      </c>
      <c r="N83" s="5">
        <v>2</v>
      </c>
      <c r="O83" s="7">
        <v>9.2592592592592588E-5</v>
      </c>
      <c r="P83" s="7">
        <v>1.2847222222222223E-3</v>
      </c>
      <c r="Q83" s="7">
        <v>1.1111111111111111E-3</v>
      </c>
      <c r="R83" s="6">
        <v>0.90239999999999998</v>
      </c>
      <c r="S83" s="8">
        <f>CONVERT(Table1[[#This Row],[Talk Duration (AVG)]]*Table1[[#This Row],[Answered Calls]],"day","hr")</f>
        <v>1.2333333333333334</v>
      </c>
      <c r="T83" s="9">
        <f>Table1[[#This Row],[Actual Workload hours]]*60</f>
        <v>74</v>
      </c>
      <c r="U83" s="9">
        <f>CONVERT(Table1[[#This Row],[Actual]]*Table1[[#This Row],[Talk Duration (AVG)]],"day","hr")</f>
        <v>1.2949999999999999</v>
      </c>
      <c r="V83" s="10">
        <f>Table1[[#This Row],[Required Workload Hours]]*60</f>
        <v>77.699999999999989</v>
      </c>
      <c r="W83" s="9">
        <v>1</v>
      </c>
      <c r="X83" s="9">
        <f t="shared" si="2"/>
        <v>1</v>
      </c>
      <c r="Y83" s="5">
        <f t="shared" si="3"/>
        <v>1</v>
      </c>
      <c r="Z83" s="8">
        <f>ROUNDUP(Table1[[#This Row],[Actual Heacount]],0)</f>
        <v>1</v>
      </c>
      <c r="AA83" s="8"/>
      <c r="AB83" s="10"/>
      <c r="AC83" s="10"/>
      <c r="AD83" s="10"/>
      <c r="AE83" s="11">
        <v>-54.585259088467822</v>
      </c>
      <c r="AF83" s="11">
        <v>160.01191536076001</v>
      </c>
      <c r="AG83" t="s">
        <v>34</v>
      </c>
    </row>
    <row r="84" spans="1:33">
      <c r="A84" s="2">
        <v>43913</v>
      </c>
      <c r="B84" s="5" t="s">
        <v>39</v>
      </c>
      <c r="C84" s="5">
        <f>WEEKDAY(Table1[[#This Row],[Date]])</f>
        <v>2</v>
      </c>
      <c r="D84" s="5">
        <f>MONTH(Table1[[#This Row],[Date]])</f>
        <v>3</v>
      </c>
      <c r="E84" s="5">
        <f>WEEKNUM(Table1[[#This Row],[Date]])</f>
        <v>13</v>
      </c>
      <c r="F84" s="5">
        <f>YEAR(Table1[[#This Row],[Date]])</f>
        <v>2020</v>
      </c>
      <c r="G84">
        <v>66</v>
      </c>
      <c r="L84" s="5">
        <v>64</v>
      </c>
      <c r="M84" s="6">
        <v>0.96970000000000001</v>
      </c>
      <c r="N84" s="5">
        <v>2</v>
      </c>
      <c r="O84" s="7">
        <v>5.7870370370370373E-5</v>
      </c>
      <c r="P84" s="7">
        <v>1.3888888888888889E-3</v>
      </c>
      <c r="Q84" s="7">
        <v>1.1458333333333333E-3</v>
      </c>
      <c r="R84" s="6">
        <v>0.95450000000000002</v>
      </c>
      <c r="S84" s="8">
        <f>CONVERT(Table1[[#This Row],[Talk Duration (AVG)]]*Table1[[#This Row],[Answered Calls]],"day","hr")</f>
        <v>2.1333333333333333</v>
      </c>
      <c r="T84" s="9">
        <f>Table1[[#This Row],[Actual Workload hours]]*60</f>
        <v>128</v>
      </c>
      <c r="U84" s="9">
        <f>CONVERT(Table1[[#This Row],[Actual]]*Table1[[#This Row],[Talk Duration (AVG)]],"day","hr")</f>
        <v>2.2000000000000002</v>
      </c>
      <c r="V84" s="10">
        <f>Table1[[#This Row],[Required Workload Hours]]*60</f>
        <v>132</v>
      </c>
      <c r="W84" s="9">
        <v>1</v>
      </c>
      <c r="X84" s="9">
        <f t="shared" si="2"/>
        <v>1</v>
      </c>
      <c r="Y84" s="5">
        <f t="shared" si="3"/>
        <v>2</v>
      </c>
      <c r="Z84" s="8">
        <f>ROUNDUP(Table1[[#This Row],[Actual Heacount]],0)</f>
        <v>1</v>
      </c>
      <c r="AA84" s="8"/>
      <c r="AB84" s="10"/>
      <c r="AC84" s="10"/>
      <c r="AD84" s="10"/>
      <c r="AE84" s="11">
        <v>41.454171682016053</v>
      </c>
      <c r="AF84" s="11">
        <v>262.19962316338831</v>
      </c>
      <c r="AG84" t="s">
        <v>34</v>
      </c>
    </row>
    <row r="85" spans="1:33">
      <c r="A85" s="2">
        <v>43914</v>
      </c>
      <c r="B85" s="5" t="s">
        <v>40</v>
      </c>
      <c r="C85" s="5">
        <f>WEEKDAY(Table1[[#This Row],[Date]])</f>
        <v>3</v>
      </c>
      <c r="D85" s="5">
        <f>MONTH(Table1[[#This Row],[Date]])</f>
        <v>3</v>
      </c>
      <c r="E85" s="5">
        <f>WEEKNUM(Table1[[#This Row],[Date]])</f>
        <v>13</v>
      </c>
      <c r="F85" s="5">
        <f>YEAR(Table1[[#This Row],[Date]])</f>
        <v>2020</v>
      </c>
      <c r="G85">
        <v>153</v>
      </c>
      <c r="L85" s="5">
        <v>146</v>
      </c>
      <c r="M85" s="6">
        <v>0.95420000000000005</v>
      </c>
      <c r="N85" s="5">
        <v>7</v>
      </c>
      <c r="O85" s="7">
        <v>2.3148148148148149E-4</v>
      </c>
      <c r="P85" s="7">
        <v>1.4814814814814814E-3</v>
      </c>
      <c r="Q85" s="7">
        <v>3.1481481481481482E-3</v>
      </c>
      <c r="R85" s="6">
        <v>0.76</v>
      </c>
      <c r="S85" s="8">
        <f>CONVERT(Table1[[#This Row],[Talk Duration (AVG)]]*Table1[[#This Row],[Answered Calls]],"day","hr")</f>
        <v>5.1911111111111108</v>
      </c>
      <c r="T85" s="9">
        <f>Table1[[#This Row],[Actual Workload hours]]*60</f>
        <v>311.46666666666664</v>
      </c>
      <c r="U85" s="9">
        <f>CONVERT(Table1[[#This Row],[Actual]]*Table1[[#This Row],[Talk Duration (AVG)]],"day","hr")</f>
        <v>5.44</v>
      </c>
      <c r="V85" s="10">
        <f>Table1[[#This Row],[Required Workload Hours]]*60</f>
        <v>326.40000000000003</v>
      </c>
      <c r="W85" s="9">
        <v>1</v>
      </c>
      <c r="X85" s="9">
        <f t="shared" si="2"/>
        <v>1</v>
      </c>
      <c r="Y85" s="5">
        <f t="shared" si="3"/>
        <v>2</v>
      </c>
      <c r="Z85" s="8">
        <f>ROUNDUP(Table1[[#This Row],[Actual Heacount]],0)</f>
        <v>1</v>
      </c>
      <c r="AA85" s="8"/>
      <c r="AB85" s="10"/>
      <c r="AC85" s="10"/>
      <c r="AD85" s="10"/>
      <c r="AE85" s="11">
        <v>26.473132869332531</v>
      </c>
      <c r="AF85" s="11">
        <v>249.03656146981339</v>
      </c>
      <c r="AG85" t="s">
        <v>34</v>
      </c>
    </row>
    <row r="86" spans="1:33">
      <c r="A86" s="2">
        <v>43915</v>
      </c>
      <c r="B86" s="5" t="s">
        <v>33</v>
      </c>
      <c r="C86" s="5">
        <f>WEEKDAY(Table1[[#This Row],[Date]])</f>
        <v>4</v>
      </c>
      <c r="D86" s="5">
        <f>MONTH(Table1[[#This Row],[Date]])</f>
        <v>3</v>
      </c>
      <c r="E86" s="5">
        <f>WEEKNUM(Table1[[#This Row],[Date]])</f>
        <v>13</v>
      </c>
      <c r="F86" s="5">
        <f>YEAR(Table1[[#This Row],[Date]])</f>
        <v>2020</v>
      </c>
      <c r="G86">
        <v>141</v>
      </c>
      <c r="L86" s="5">
        <v>135</v>
      </c>
      <c r="M86" s="6">
        <v>0.95740000000000003</v>
      </c>
      <c r="N86" s="5">
        <v>6</v>
      </c>
      <c r="O86" s="7">
        <v>2.6620370370370372E-4</v>
      </c>
      <c r="P86" s="7">
        <v>1.4583333333333334E-3</v>
      </c>
      <c r="Q86" s="7">
        <v>1.5625000000000001E-3</v>
      </c>
      <c r="R86" s="6">
        <v>0.66910000000000003</v>
      </c>
      <c r="S86" s="8">
        <f>CONVERT(Table1[[#This Row],[Talk Duration (AVG)]]*Table1[[#This Row],[Answered Calls]],"day","hr")</f>
        <v>4.7250000000000014</v>
      </c>
      <c r="T86" s="9">
        <f>Table1[[#This Row],[Actual Workload hours]]*60</f>
        <v>283.50000000000011</v>
      </c>
      <c r="U86" s="9">
        <f>CONVERT(Table1[[#This Row],[Actual]]*Table1[[#This Row],[Talk Duration (AVG)]],"day","hr")</f>
        <v>4.9349999999999996</v>
      </c>
      <c r="V86" s="10">
        <f>Table1[[#This Row],[Required Workload Hours]]*60</f>
        <v>296.09999999999997</v>
      </c>
      <c r="W86" s="9">
        <v>1</v>
      </c>
      <c r="X86" s="9">
        <f t="shared" si="2"/>
        <v>1</v>
      </c>
      <c r="Y86" s="5">
        <f t="shared" si="3"/>
        <v>2</v>
      </c>
      <c r="Z86" s="8">
        <f>ROUNDUP(Table1[[#This Row],[Actual Heacount]],0)</f>
        <v>1</v>
      </c>
      <c r="AA86" s="8"/>
      <c r="AB86" s="10"/>
      <c r="AC86" s="10"/>
      <c r="AD86" s="10"/>
      <c r="AE86" s="11">
        <v>30.351829329750291</v>
      </c>
      <c r="AF86" s="11">
        <v>254.01851103377601</v>
      </c>
      <c r="AG86" t="s">
        <v>34</v>
      </c>
    </row>
    <row r="87" spans="1:33">
      <c r="A87" s="2">
        <v>43916</v>
      </c>
      <c r="B87" s="5" t="s">
        <v>35</v>
      </c>
      <c r="C87" s="5">
        <f>WEEKDAY(Table1[[#This Row],[Date]])</f>
        <v>5</v>
      </c>
      <c r="D87" s="5">
        <f>MONTH(Table1[[#This Row],[Date]])</f>
        <v>3</v>
      </c>
      <c r="E87" s="5">
        <f>WEEKNUM(Table1[[#This Row],[Date]])</f>
        <v>13</v>
      </c>
      <c r="F87" s="5">
        <f>YEAR(Table1[[#This Row],[Date]])</f>
        <v>2020</v>
      </c>
      <c r="G87">
        <v>146</v>
      </c>
      <c r="L87" s="5">
        <v>143</v>
      </c>
      <c r="M87" s="6">
        <v>0.97950000000000004</v>
      </c>
      <c r="N87" s="5">
        <v>3</v>
      </c>
      <c r="O87" s="7">
        <v>1.9675925925925926E-4</v>
      </c>
      <c r="P87" s="7">
        <v>1.3541666666666667E-3</v>
      </c>
      <c r="Q87" s="7">
        <v>1.7013888888888888E-3</v>
      </c>
      <c r="R87" s="6">
        <v>0.78320000000000001</v>
      </c>
      <c r="S87" s="8">
        <f>CONVERT(Table1[[#This Row],[Talk Duration (AVG)]]*Table1[[#This Row],[Answered Calls]],"day","hr")</f>
        <v>4.6475</v>
      </c>
      <c r="T87" s="9">
        <f>Table1[[#This Row],[Actual Workload hours]]*60</f>
        <v>278.85000000000002</v>
      </c>
      <c r="U87" s="9">
        <f>CONVERT(Table1[[#This Row],[Actual]]*Table1[[#This Row],[Talk Duration (AVG)]],"day","hr")</f>
        <v>4.7450000000000001</v>
      </c>
      <c r="V87" s="10">
        <f>Table1[[#This Row],[Required Workload Hours]]*60</f>
        <v>284.7</v>
      </c>
      <c r="W87" s="9">
        <v>1</v>
      </c>
      <c r="X87" s="9">
        <f t="shared" si="2"/>
        <v>1</v>
      </c>
      <c r="Y87" s="5">
        <f t="shared" si="3"/>
        <v>2</v>
      </c>
      <c r="Z87" s="8">
        <f>ROUNDUP(Table1[[#This Row],[Actual Heacount]],0)</f>
        <v>1</v>
      </c>
      <c r="AA87" s="8"/>
      <c r="AB87" s="10"/>
      <c r="AC87" s="10"/>
      <c r="AD87" s="10"/>
      <c r="AE87" s="11">
        <v>34.466542228294159</v>
      </c>
      <c r="AF87" s="11">
        <v>253.20113002297111</v>
      </c>
      <c r="AG87" t="s">
        <v>34</v>
      </c>
    </row>
    <row r="88" spans="1:33">
      <c r="A88" s="2">
        <v>43917</v>
      </c>
      <c r="B88" s="5" t="s">
        <v>36</v>
      </c>
      <c r="C88" s="5">
        <f>WEEKDAY(Table1[[#This Row],[Date]])</f>
        <v>6</v>
      </c>
      <c r="D88" s="5">
        <f>MONTH(Table1[[#This Row],[Date]])</f>
        <v>3</v>
      </c>
      <c r="E88" s="5">
        <f>WEEKNUM(Table1[[#This Row],[Date]])</f>
        <v>13</v>
      </c>
      <c r="F88" s="5">
        <f>YEAR(Table1[[#This Row],[Date]])</f>
        <v>2020</v>
      </c>
      <c r="G88">
        <v>144</v>
      </c>
      <c r="L88" s="5">
        <v>140</v>
      </c>
      <c r="M88" s="6">
        <v>0.97219999999999995</v>
      </c>
      <c r="N88" s="5">
        <v>4</v>
      </c>
      <c r="O88" s="7">
        <v>1.3888888888888889E-4</v>
      </c>
      <c r="P88" s="7">
        <v>1.3078703703703703E-3</v>
      </c>
      <c r="Q88" s="7">
        <v>1.4467592592592592E-3</v>
      </c>
      <c r="R88" s="6">
        <v>0.84030000000000005</v>
      </c>
      <c r="S88" s="8">
        <f>CONVERT(Table1[[#This Row],[Talk Duration (AVG)]]*Table1[[#This Row],[Answered Calls]],"day","hr")</f>
        <v>4.3944444444444448</v>
      </c>
      <c r="T88" s="9">
        <f>Table1[[#This Row],[Actual Workload hours]]*60</f>
        <v>263.66666666666669</v>
      </c>
      <c r="U88" s="9">
        <f>CONVERT(Table1[[#This Row],[Actual]]*Table1[[#This Row],[Talk Duration (AVG)]],"day","hr")</f>
        <v>4.5199999999999996</v>
      </c>
      <c r="V88" s="10">
        <f>Table1[[#This Row],[Required Workload Hours]]*60</f>
        <v>271.2</v>
      </c>
      <c r="W88" s="9">
        <v>1</v>
      </c>
      <c r="X88" s="9">
        <f t="shared" si="2"/>
        <v>1</v>
      </c>
      <c r="Y88" s="5">
        <f t="shared" si="3"/>
        <v>2</v>
      </c>
      <c r="Z88" s="8">
        <f>ROUNDUP(Table1[[#This Row],[Actual Heacount]],0)</f>
        <v>1</v>
      </c>
      <c r="AA88" s="8"/>
      <c r="AB88" s="10"/>
      <c r="AC88" s="10"/>
      <c r="AD88" s="10"/>
      <c r="AE88" s="11">
        <v>26.827689476890988</v>
      </c>
      <c r="AF88" s="11">
        <v>248.12793654647649</v>
      </c>
      <c r="AG88" t="s">
        <v>34</v>
      </c>
    </row>
    <row r="89" spans="1:33">
      <c r="A89" s="2">
        <v>43918</v>
      </c>
      <c r="B89" s="5" t="s">
        <v>37</v>
      </c>
      <c r="C89" s="5">
        <f>WEEKDAY(Table1[[#This Row],[Date]])</f>
        <v>7</v>
      </c>
      <c r="D89" s="5">
        <f>MONTH(Table1[[#This Row],[Date]])</f>
        <v>3</v>
      </c>
      <c r="E89" s="5">
        <f>WEEKNUM(Table1[[#This Row],[Date]])</f>
        <v>13</v>
      </c>
      <c r="F89" s="5">
        <f>YEAR(Table1[[#This Row],[Date]])</f>
        <v>2020</v>
      </c>
      <c r="G89">
        <v>105</v>
      </c>
      <c r="L89" s="5">
        <v>103</v>
      </c>
      <c r="M89" s="6">
        <v>0.98099999999999998</v>
      </c>
      <c r="N89" s="5">
        <v>2</v>
      </c>
      <c r="O89" s="7">
        <v>1.9675925925925926E-4</v>
      </c>
      <c r="P89" s="7">
        <v>1.3310185185185185E-3</v>
      </c>
      <c r="Q89" s="7">
        <v>1.4004629629629629E-3</v>
      </c>
      <c r="R89" s="6">
        <v>0.76190000000000002</v>
      </c>
      <c r="S89" s="8">
        <f>CONVERT(Table1[[#This Row],[Talk Duration (AVG)]]*Table1[[#This Row],[Answered Calls]],"day","hr")</f>
        <v>3.2902777777777779</v>
      </c>
      <c r="T89" s="9">
        <f>Table1[[#This Row],[Actual Workload hours]]*60</f>
        <v>197.41666666666669</v>
      </c>
      <c r="U89" s="9">
        <f>CONVERT(Table1[[#This Row],[Actual]]*Table1[[#This Row],[Talk Duration (AVG)]],"day","hr")</f>
        <v>3.3541666666666665</v>
      </c>
      <c r="V89" s="10">
        <f>Table1[[#This Row],[Required Workload Hours]]*60</f>
        <v>201.25</v>
      </c>
      <c r="W89" s="9">
        <v>1</v>
      </c>
      <c r="X89" s="9">
        <f t="shared" si="2"/>
        <v>1</v>
      </c>
      <c r="Y89" s="5">
        <f t="shared" si="3"/>
        <v>2</v>
      </c>
      <c r="Z89" s="8">
        <f>ROUNDUP(Table1[[#This Row],[Actual Heacount]],0)</f>
        <v>1</v>
      </c>
      <c r="AA89" s="8"/>
      <c r="AB89" s="10"/>
      <c r="AC89" s="10"/>
      <c r="AD89" s="10"/>
      <c r="AE89" s="11">
        <v>38.683860122140572</v>
      </c>
      <c r="AF89" s="11">
        <v>261.78466635169622</v>
      </c>
      <c r="AG89" t="s">
        <v>34</v>
      </c>
    </row>
    <row r="90" spans="1:33">
      <c r="A90" s="2">
        <v>43919</v>
      </c>
      <c r="B90" s="5" t="s">
        <v>38</v>
      </c>
      <c r="C90" s="5">
        <f>WEEKDAY(Table1[[#This Row],[Date]])</f>
        <v>1</v>
      </c>
      <c r="D90" s="5">
        <f>MONTH(Table1[[#This Row],[Date]])</f>
        <v>3</v>
      </c>
      <c r="E90" s="5">
        <f>WEEKNUM(Table1[[#This Row],[Date]])</f>
        <v>14</v>
      </c>
      <c r="F90" s="5">
        <f>YEAR(Table1[[#This Row],[Date]])</f>
        <v>2020</v>
      </c>
      <c r="G90">
        <v>36</v>
      </c>
      <c r="L90" s="5">
        <v>35</v>
      </c>
      <c r="M90" s="6">
        <v>0.97219999999999995</v>
      </c>
      <c r="N90" s="5">
        <v>1</v>
      </c>
      <c r="O90" s="7">
        <v>1.8518518518518518E-4</v>
      </c>
      <c r="P90" s="7">
        <v>1.3194444444444445E-3</v>
      </c>
      <c r="Q90" s="7">
        <v>1.0532407407407407E-3</v>
      </c>
      <c r="R90" s="6">
        <v>0.77139999999999997</v>
      </c>
      <c r="S90" s="8">
        <f>CONVERT(Table1[[#This Row],[Talk Duration (AVG)]]*Table1[[#This Row],[Answered Calls]],"day","hr")</f>
        <v>1.1083333333333334</v>
      </c>
      <c r="T90" s="9">
        <f>Table1[[#This Row],[Actual Workload hours]]*60</f>
        <v>66.5</v>
      </c>
      <c r="U90" s="9">
        <f>CONVERT(Table1[[#This Row],[Actual]]*Table1[[#This Row],[Talk Duration (AVG)]],"day","hr")</f>
        <v>1.1399999999999999</v>
      </c>
      <c r="V90" s="10">
        <f>Table1[[#This Row],[Required Workload Hours]]*60</f>
        <v>68.399999999999991</v>
      </c>
      <c r="W90" s="9">
        <v>1</v>
      </c>
      <c r="X90" s="9">
        <f t="shared" si="2"/>
        <v>1</v>
      </c>
      <c r="Y90" s="5">
        <f t="shared" si="3"/>
        <v>1</v>
      </c>
      <c r="Z90" s="8">
        <f>ROUNDUP(Table1[[#This Row],[Actual Heacount]],0)</f>
        <v>1</v>
      </c>
      <c r="AA90" s="8"/>
      <c r="AB90" s="10"/>
      <c r="AC90" s="10"/>
      <c r="AD90" s="10"/>
      <c r="AE90" s="11">
        <v>-47.726484062647692</v>
      </c>
      <c r="AF90" s="11">
        <v>175.20673971458541</v>
      </c>
      <c r="AG90" t="s">
        <v>34</v>
      </c>
    </row>
    <row r="91" spans="1:33">
      <c r="A91" s="2">
        <v>43920</v>
      </c>
      <c r="B91" s="5" t="s">
        <v>39</v>
      </c>
      <c r="C91" s="5">
        <f>WEEKDAY(Table1[[#This Row],[Date]])</f>
        <v>2</v>
      </c>
      <c r="D91" s="5">
        <f>MONTH(Table1[[#This Row],[Date]])</f>
        <v>3</v>
      </c>
      <c r="E91" s="5">
        <f>WEEKNUM(Table1[[#This Row],[Date]])</f>
        <v>14</v>
      </c>
      <c r="F91" s="5">
        <f>YEAR(Table1[[#This Row],[Date]])</f>
        <v>2020</v>
      </c>
      <c r="G91">
        <v>61</v>
      </c>
      <c r="L91" s="5">
        <v>57</v>
      </c>
      <c r="M91" s="6">
        <v>0.93440000000000001</v>
      </c>
      <c r="N91" s="5">
        <v>4</v>
      </c>
      <c r="O91" s="7">
        <v>4.6296296296296294E-5</v>
      </c>
      <c r="P91" s="7">
        <v>1.3888888888888889E-3</v>
      </c>
      <c r="Q91" s="7">
        <v>2.5578703703703705E-3</v>
      </c>
      <c r="R91" s="6">
        <v>0.91669999999999996</v>
      </c>
      <c r="S91" s="8">
        <f>CONVERT(Table1[[#This Row],[Talk Duration (AVG)]]*Table1[[#This Row],[Answered Calls]],"day","hr")</f>
        <v>1.9</v>
      </c>
      <c r="T91" s="9">
        <f>Table1[[#This Row],[Actual Workload hours]]*60</f>
        <v>114</v>
      </c>
      <c r="U91" s="9">
        <f>CONVERT(Table1[[#This Row],[Actual]]*Table1[[#This Row],[Talk Duration (AVG)]],"day","hr")</f>
        <v>2.0333333333333332</v>
      </c>
      <c r="V91" s="10">
        <f>Table1[[#This Row],[Required Workload Hours]]*60</f>
        <v>122</v>
      </c>
      <c r="W91" s="9">
        <v>1</v>
      </c>
      <c r="X91" s="9">
        <f t="shared" si="2"/>
        <v>1</v>
      </c>
      <c r="Y91" s="5">
        <f t="shared" si="3"/>
        <v>2</v>
      </c>
      <c r="Z91" s="8">
        <f>ROUNDUP(Table1[[#This Row],[Actual Heacount]],0)</f>
        <v>1</v>
      </c>
      <c r="AA91" s="8"/>
      <c r="AB91" s="10"/>
      <c r="AC91" s="10"/>
      <c r="AD91" s="10"/>
      <c r="AE91" s="11">
        <v>47.580465172800373</v>
      </c>
      <c r="AF91" s="11">
        <v>265.58385153093059</v>
      </c>
      <c r="AG91" t="s">
        <v>34</v>
      </c>
    </row>
    <row r="92" spans="1:33">
      <c r="A92" s="2">
        <v>43921</v>
      </c>
      <c r="B92" s="5" t="s">
        <v>40</v>
      </c>
      <c r="C92" s="5">
        <f>WEEKDAY(Table1[[#This Row],[Date]])</f>
        <v>3</v>
      </c>
      <c r="D92" s="5">
        <f>MONTH(Table1[[#This Row],[Date]])</f>
        <v>3</v>
      </c>
      <c r="E92" s="5">
        <f>WEEKNUM(Table1[[#This Row],[Date]])</f>
        <v>14</v>
      </c>
      <c r="F92" s="5">
        <f>YEAR(Table1[[#This Row],[Date]])</f>
        <v>2020</v>
      </c>
      <c r="G92">
        <v>60</v>
      </c>
      <c r="L92" s="5">
        <v>58</v>
      </c>
      <c r="M92" s="6">
        <v>0.9667</v>
      </c>
      <c r="N92" s="5">
        <v>2</v>
      </c>
      <c r="O92" s="7">
        <v>1.273148148148148E-4</v>
      </c>
      <c r="P92" s="7">
        <v>1.4814814814814814E-3</v>
      </c>
      <c r="Q92" s="7">
        <v>1.0879629629629629E-3</v>
      </c>
      <c r="R92" s="6">
        <v>0.85</v>
      </c>
      <c r="S92" s="8">
        <f>CONVERT(Table1[[#This Row],[Talk Duration (AVG)]]*Table1[[#This Row],[Answered Calls]],"day","hr")</f>
        <v>2.0622222222222222</v>
      </c>
      <c r="T92" s="9">
        <f>Table1[[#This Row],[Actual Workload hours]]*60</f>
        <v>123.73333333333333</v>
      </c>
      <c r="U92" s="9">
        <f>CONVERT(Table1[[#This Row],[Actual]]*Table1[[#This Row],[Talk Duration (AVG)]],"day","hr")</f>
        <v>2.1333333333333329</v>
      </c>
      <c r="V92" s="10">
        <f>Table1[[#This Row],[Required Workload Hours]]*60</f>
        <v>127.99999999999997</v>
      </c>
      <c r="W92" s="9">
        <v>1</v>
      </c>
      <c r="X92" s="9">
        <f t="shared" si="2"/>
        <v>1</v>
      </c>
      <c r="Y92" s="5">
        <f t="shared" si="3"/>
        <v>2</v>
      </c>
      <c r="Z92" s="8">
        <f>ROUNDUP(Table1[[#This Row],[Actual Heacount]],0)</f>
        <v>1</v>
      </c>
      <c r="AA92" s="8"/>
      <c r="AB92" s="10"/>
      <c r="AC92" s="10"/>
      <c r="AD92" s="10"/>
      <c r="AE92" s="11">
        <v>42.777410482833417</v>
      </c>
      <c r="AF92" s="11">
        <v>265.30391066029802</v>
      </c>
      <c r="AG92" t="s">
        <v>34</v>
      </c>
    </row>
    <row r="93" spans="1:33">
      <c r="A93" s="2">
        <v>43922</v>
      </c>
      <c r="B93" s="5" t="s">
        <v>33</v>
      </c>
      <c r="C93" s="5">
        <f>WEEKDAY(Table1[[#This Row],[Date]])</f>
        <v>4</v>
      </c>
      <c r="D93" s="5">
        <f>MONTH(Table1[[#This Row],[Date]])</f>
        <v>4</v>
      </c>
      <c r="E93" s="5">
        <f>WEEKNUM(Table1[[#This Row],[Date]])</f>
        <v>14</v>
      </c>
      <c r="F93" s="5">
        <f>YEAR(Table1[[#This Row],[Date]])</f>
        <v>2020</v>
      </c>
      <c r="G93">
        <v>155</v>
      </c>
      <c r="L93" s="5">
        <v>17</v>
      </c>
      <c r="M93" s="6">
        <v>0.94440000000000002</v>
      </c>
      <c r="N93" s="5">
        <v>1</v>
      </c>
      <c r="O93" s="7">
        <v>5.7870370370370373E-5</v>
      </c>
      <c r="P93" s="7">
        <v>1.8402777777777777E-3</v>
      </c>
      <c r="Q93" s="7">
        <v>2.3148148148148149E-4</v>
      </c>
      <c r="R93" s="6">
        <v>1</v>
      </c>
      <c r="S93" s="8">
        <f>CONVERT(Table1[[#This Row],[Talk Duration (AVG)]]*Table1[[#This Row],[Answered Calls]],"day","hr")</f>
        <v>0.75083333333333335</v>
      </c>
      <c r="T93" s="9">
        <f>Table1[[#This Row],[Actual Workload hours]]*60</f>
        <v>45.050000000000004</v>
      </c>
      <c r="U93" s="9">
        <f>CONVERT(Table1[[#This Row],[Actual]]*Table1[[#This Row],[Talk Duration (AVG)]],"day","hr")</f>
        <v>6.8458333333333332</v>
      </c>
      <c r="V93" s="10">
        <f>Table1[[#This Row],[Required Workload Hours]]*60</f>
        <v>410.75</v>
      </c>
      <c r="W93" s="9">
        <v>1</v>
      </c>
      <c r="X93" s="9">
        <f t="shared" si="2"/>
        <v>1.0696614583333333</v>
      </c>
      <c r="Y93" s="5">
        <f t="shared" si="3"/>
        <v>2</v>
      </c>
      <c r="Z93" s="8">
        <f>ROUNDUP(Table1[[#This Row],[Actual Heacount]],0)</f>
        <v>1</v>
      </c>
      <c r="AA93" s="8"/>
      <c r="AB93" s="10"/>
      <c r="AC93" s="10"/>
      <c r="AD93" s="10"/>
      <c r="AE93" s="11">
        <v>56.055014622164002</v>
      </c>
      <c r="AF93" s="11">
        <v>273.28720827484818</v>
      </c>
      <c r="AG93" t="s">
        <v>34</v>
      </c>
    </row>
    <row r="94" spans="1:33">
      <c r="A94" s="2">
        <v>43923</v>
      </c>
      <c r="B94" s="5" t="s">
        <v>35</v>
      </c>
      <c r="C94" s="5">
        <f>WEEKDAY(Table1[[#This Row],[Date]])</f>
        <v>5</v>
      </c>
      <c r="D94" s="5">
        <f>MONTH(Table1[[#This Row],[Date]])</f>
        <v>4</v>
      </c>
      <c r="E94" s="5">
        <f>WEEKNUM(Table1[[#This Row],[Date]])</f>
        <v>14</v>
      </c>
      <c r="F94" s="5">
        <f>YEAR(Table1[[#This Row],[Date]])</f>
        <v>2020</v>
      </c>
      <c r="G94">
        <v>194</v>
      </c>
      <c r="L94" s="5">
        <v>202</v>
      </c>
      <c r="M94" s="6">
        <v>0.98060000000000003</v>
      </c>
      <c r="N94" s="5">
        <v>4</v>
      </c>
      <c r="O94" s="7">
        <v>1.0416666666666667E-4</v>
      </c>
      <c r="P94" s="7">
        <v>1.3194444444444445E-3</v>
      </c>
      <c r="Q94" s="7">
        <v>8.1018518518518516E-4</v>
      </c>
      <c r="R94" s="6">
        <v>0.89270000000000005</v>
      </c>
      <c r="S94" s="8">
        <f>CONVERT(Table1[[#This Row],[Talk Duration (AVG)]]*Table1[[#This Row],[Answered Calls]],"day","hr")</f>
        <v>6.3966666666666674</v>
      </c>
      <c r="T94" s="9">
        <f>Table1[[#This Row],[Actual Workload hours]]*60</f>
        <v>383.80000000000007</v>
      </c>
      <c r="U94" s="9">
        <f>CONVERT(Table1[[#This Row],[Actual]]*Table1[[#This Row],[Talk Duration (AVG)]],"day","hr")</f>
        <v>6.1433333333333335</v>
      </c>
      <c r="V94" s="10">
        <f>Table1[[#This Row],[Required Workload Hours]]*60</f>
        <v>368.6</v>
      </c>
      <c r="W94" s="9">
        <v>1</v>
      </c>
      <c r="X94" s="9">
        <f t="shared" si="2"/>
        <v>1</v>
      </c>
      <c r="Y94" s="5">
        <f t="shared" si="3"/>
        <v>2</v>
      </c>
      <c r="Z94" s="8">
        <f>ROUNDUP(Table1[[#This Row],[Actual Heacount]],0)</f>
        <v>1</v>
      </c>
      <c r="AA94" s="8"/>
      <c r="AB94" s="10"/>
      <c r="AC94" s="10"/>
      <c r="AD94" s="10"/>
      <c r="AE94" s="11">
        <v>59.710382311540087</v>
      </c>
      <c r="AF94" s="11">
        <v>263.07983644118019</v>
      </c>
      <c r="AG94" t="s">
        <v>34</v>
      </c>
    </row>
    <row r="95" spans="1:33">
      <c r="A95" s="2">
        <v>43924</v>
      </c>
      <c r="B95" s="5" t="s">
        <v>36</v>
      </c>
      <c r="C95" s="5">
        <f>WEEKDAY(Table1[[#This Row],[Date]])</f>
        <v>6</v>
      </c>
      <c r="D95" s="5">
        <f>MONTH(Table1[[#This Row],[Date]])</f>
        <v>4</v>
      </c>
      <c r="E95" s="5">
        <f>WEEKNUM(Table1[[#This Row],[Date]])</f>
        <v>14</v>
      </c>
      <c r="F95" s="5">
        <f>YEAR(Table1[[#This Row],[Date]])</f>
        <v>2020</v>
      </c>
      <c r="G95">
        <v>217</v>
      </c>
      <c r="L95" s="5">
        <v>193</v>
      </c>
      <c r="M95" s="6">
        <v>0.99480000000000002</v>
      </c>
      <c r="N95" s="5">
        <v>1</v>
      </c>
      <c r="O95" s="7">
        <v>1.273148148148148E-4</v>
      </c>
      <c r="P95" s="7">
        <v>1.3541666666666667E-3</v>
      </c>
      <c r="Q95" s="7">
        <v>1.0879629629629629E-3</v>
      </c>
      <c r="R95" s="6">
        <v>0.84970000000000001</v>
      </c>
      <c r="S95" s="8">
        <f>CONVERT(Table1[[#This Row],[Talk Duration (AVG)]]*Table1[[#This Row],[Answered Calls]],"day","hr")</f>
        <v>6.2725</v>
      </c>
      <c r="T95" s="9">
        <f>Table1[[#This Row],[Actual Workload hours]]*60</f>
        <v>376.35</v>
      </c>
      <c r="U95" s="9">
        <f>CONVERT(Table1[[#This Row],[Actual]]*Table1[[#This Row],[Talk Duration (AVG)]],"day","hr")</f>
        <v>7.0525000000000011</v>
      </c>
      <c r="V95" s="10">
        <f>Table1[[#This Row],[Required Workload Hours]]*60</f>
        <v>423.15000000000009</v>
      </c>
      <c r="W95" s="9">
        <v>1</v>
      </c>
      <c r="X95" s="9">
        <f t="shared" si="2"/>
        <v>1.1019531250000003</v>
      </c>
      <c r="Y95" s="5">
        <f t="shared" si="3"/>
        <v>2</v>
      </c>
      <c r="Z95" s="8">
        <f>ROUNDUP(Table1[[#This Row],[Actual Heacount]],0)</f>
        <v>1</v>
      </c>
      <c r="AA95" s="8"/>
      <c r="AB95" s="10"/>
      <c r="AC95" s="10"/>
      <c r="AD95" s="10"/>
      <c r="AE95" s="11">
        <v>42.34634953216549</v>
      </c>
      <c r="AF95" s="11">
        <v>267.44641363572248</v>
      </c>
      <c r="AG95" t="s">
        <v>34</v>
      </c>
    </row>
    <row r="96" spans="1:33">
      <c r="A96" s="2">
        <v>43925</v>
      </c>
      <c r="B96" s="5" t="s">
        <v>37</v>
      </c>
      <c r="C96" s="5">
        <f>WEEKDAY(Table1[[#This Row],[Date]])</f>
        <v>7</v>
      </c>
      <c r="D96" s="5">
        <f>MONTH(Table1[[#This Row],[Date]])</f>
        <v>4</v>
      </c>
      <c r="E96" s="5">
        <f>WEEKNUM(Table1[[#This Row],[Date]])</f>
        <v>14</v>
      </c>
      <c r="F96" s="5">
        <f>YEAR(Table1[[#This Row],[Date]])</f>
        <v>2020</v>
      </c>
      <c r="G96">
        <v>206</v>
      </c>
      <c r="L96" s="5">
        <v>200</v>
      </c>
      <c r="M96" s="6">
        <v>0.97089999999999999</v>
      </c>
      <c r="N96" s="5">
        <v>6</v>
      </c>
      <c r="O96" s="7">
        <v>1.1574074074074075E-4</v>
      </c>
      <c r="P96" s="7">
        <v>1.4814814814814814E-3</v>
      </c>
      <c r="Q96" s="7">
        <v>1.3888888888888889E-3</v>
      </c>
      <c r="R96" s="6">
        <v>0.86270000000000002</v>
      </c>
      <c r="S96" s="8">
        <f>CONVERT(Table1[[#This Row],[Talk Duration (AVG)]]*Table1[[#This Row],[Answered Calls]],"day","hr")</f>
        <v>7.1111111111111107</v>
      </c>
      <c r="T96" s="9">
        <f>Table1[[#This Row],[Actual Workload hours]]*60</f>
        <v>426.66666666666663</v>
      </c>
      <c r="U96" s="9">
        <f>CONVERT(Table1[[#This Row],[Actual]]*Table1[[#This Row],[Talk Duration (AVG)]],"day","hr")</f>
        <v>7.3244444444444445</v>
      </c>
      <c r="V96" s="10">
        <f>Table1[[#This Row],[Required Workload Hours]]*60</f>
        <v>439.4666666666667</v>
      </c>
      <c r="W96" s="9">
        <v>1.1100000000000001</v>
      </c>
      <c r="X96" s="9">
        <f t="shared" si="2"/>
        <v>1.1444444444444446</v>
      </c>
      <c r="Y96" s="5">
        <f t="shared" si="3"/>
        <v>2</v>
      </c>
      <c r="Z96" s="8">
        <f>ROUNDUP(Table1[[#This Row],[Actual Heacount]],0)</f>
        <v>2</v>
      </c>
      <c r="AA96" s="8"/>
      <c r="AB96" s="10"/>
      <c r="AC96" s="10"/>
      <c r="AD96" s="10"/>
      <c r="AE96" s="11">
        <v>54.134247063795748</v>
      </c>
      <c r="AF96" s="11">
        <v>273.92517575978741</v>
      </c>
      <c r="AG96" t="s">
        <v>34</v>
      </c>
    </row>
    <row r="97" spans="1:33">
      <c r="A97" s="2">
        <v>43926</v>
      </c>
      <c r="B97" s="5" t="s">
        <v>38</v>
      </c>
      <c r="C97" s="5">
        <f>WEEKDAY(Table1[[#This Row],[Date]])</f>
        <v>1</v>
      </c>
      <c r="D97" s="5">
        <f>MONTH(Table1[[#This Row],[Date]])</f>
        <v>4</v>
      </c>
      <c r="E97" s="5">
        <f>WEEKNUM(Table1[[#This Row],[Date]])</f>
        <v>15</v>
      </c>
      <c r="F97" s="5">
        <f>YEAR(Table1[[#This Row],[Date]])</f>
        <v>2020</v>
      </c>
      <c r="G97">
        <v>290</v>
      </c>
      <c r="L97" s="5">
        <v>53</v>
      </c>
      <c r="M97" s="6">
        <v>1</v>
      </c>
      <c r="N97" s="5">
        <v>0</v>
      </c>
      <c r="O97" s="7">
        <v>2.0833333333333335E-4</v>
      </c>
      <c r="P97" s="7">
        <v>1.4814814814814814E-3</v>
      </c>
      <c r="Q97" s="7">
        <v>1.5046296296296296E-3</v>
      </c>
      <c r="R97" s="6">
        <v>0.77359999999999995</v>
      </c>
      <c r="S97" s="8">
        <f>CONVERT(Table1[[#This Row],[Talk Duration (AVG)]]*Table1[[#This Row],[Answered Calls]],"day","hr")</f>
        <v>1.8844444444444444</v>
      </c>
      <c r="T97" s="9">
        <f>Table1[[#This Row],[Actual Workload hours]]*60</f>
        <v>113.06666666666666</v>
      </c>
      <c r="U97" s="9">
        <f>CONVERT(Table1[[#This Row],[Actual]]*Table1[[#This Row],[Talk Duration (AVG)]],"day","hr")</f>
        <v>10.311111111111108</v>
      </c>
      <c r="V97" s="10">
        <f>Table1[[#This Row],[Required Workload Hours]]*60</f>
        <v>618.66666666666652</v>
      </c>
      <c r="W97" s="9">
        <v>1</v>
      </c>
      <c r="X97" s="9">
        <f t="shared" si="2"/>
        <v>1.6111111111111107</v>
      </c>
      <c r="Y97" s="5">
        <f t="shared" si="3"/>
        <v>1</v>
      </c>
      <c r="Z97" s="8">
        <f>ROUNDUP(Table1[[#This Row],[Actual Heacount]],0)</f>
        <v>1</v>
      </c>
      <c r="AA97" s="8"/>
      <c r="AB97" s="10"/>
      <c r="AC97" s="10"/>
      <c r="AD97" s="10"/>
      <c r="AE97" s="11">
        <v>-32.727788457734277</v>
      </c>
      <c r="AF97" s="11">
        <v>191.34796147245751</v>
      </c>
      <c r="AG97" t="s">
        <v>34</v>
      </c>
    </row>
    <row r="98" spans="1:33">
      <c r="A98" s="2">
        <v>43927</v>
      </c>
      <c r="B98" s="5" t="s">
        <v>39</v>
      </c>
      <c r="C98" s="5">
        <f>WEEKDAY(Table1[[#This Row],[Date]])</f>
        <v>2</v>
      </c>
      <c r="D98" s="5">
        <f>MONTH(Table1[[#This Row],[Date]])</f>
        <v>4</v>
      </c>
      <c r="E98" s="5">
        <f>WEEKNUM(Table1[[#This Row],[Date]])</f>
        <v>15</v>
      </c>
      <c r="F98" s="5">
        <f>YEAR(Table1[[#This Row],[Date]])</f>
        <v>2020</v>
      </c>
      <c r="G98">
        <v>75</v>
      </c>
      <c r="L98" s="5">
        <v>145</v>
      </c>
      <c r="M98" s="6">
        <v>0.98640000000000005</v>
      </c>
      <c r="N98" s="5">
        <v>2</v>
      </c>
      <c r="O98" s="7">
        <v>1.0416666666666667E-4</v>
      </c>
      <c r="P98" s="7">
        <v>1.2731481481481483E-3</v>
      </c>
      <c r="Q98" s="7">
        <v>9.7222222222222219E-4</v>
      </c>
      <c r="R98" s="6">
        <v>0.88360000000000005</v>
      </c>
      <c r="S98" s="8">
        <f>CONVERT(Table1[[#This Row],[Talk Duration (AVG)]]*Table1[[#This Row],[Answered Calls]],"day","hr")</f>
        <v>4.4305555555555562</v>
      </c>
      <c r="T98" s="9">
        <f>Table1[[#This Row],[Actual Workload hours]]*60</f>
        <v>265.83333333333337</v>
      </c>
      <c r="U98" s="9">
        <f>CONVERT(Table1[[#This Row],[Actual]]*Table1[[#This Row],[Talk Duration (AVG)]],"day","hr")</f>
        <v>2.2916666666666665</v>
      </c>
      <c r="V98" s="10">
        <f>Table1[[#This Row],[Required Workload Hours]]*60</f>
        <v>137.5</v>
      </c>
      <c r="W98" s="9">
        <v>1</v>
      </c>
      <c r="X98" s="9">
        <f t="shared" si="2"/>
        <v>1</v>
      </c>
      <c r="Y98" s="5">
        <f t="shared" si="3"/>
        <v>2</v>
      </c>
      <c r="Z98" s="8">
        <f>ROUNDUP(Table1[[#This Row],[Actual Heacount]],0)</f>
        <v>1</v>
      </c>
      <c r="AA98" s="8"/>
      <c r="AB98" s="10"/>
      <c r="AC98" s="10"/>
      <c r="AD98" s="10"/>
      <c r="AE98" s="11">
        <v>72.928963784057586</v>
      </c>
      <c r="AF98" s="11">
        <v>294.65349160322899</v>
      </c>
      <c r="AG98" t="s">
        <v>34</v>
      </c>
    </row>
    <row r="99" spans="1:33">
      <c r="A99" s="2">
        <v>43929</v>
      </c>
      <c r="B99" s="5" t="s">
        <v>40</v>
      </c>
      <c r="C99" s="5">
        <f>WEEKDAY(Table1[[#This Row],[Date]])</f>
        <v>4</v>
      </c>
      <c r="D99" s="5">
        <f>MONTH(Table1[[#This Row],[Date]])</f>
        <v>4</v>
      </c>
      <c r="E99" s="5">
        <f>WEEKNUM(Table1[[#This Row],[Date]])</f>
        <v>15</v>
      </c>
      <c r="F99" s="5">
        <f>YEAR(Table1[[#This Row],[Date]])</f>
        <v>2020</v>
      </c>
      <c r="G99">
        <v>239</v>
      </c>
      <c r="L99" s="5">
        <v>197</v>
      </c>
      <c r="M99" s="6">
        <v>0.98009999999999997</v>
      </c>
      <c r="N99" s="5">
        <v>4</v>
      </c>
      <c r="O99" s="7">
        <v>1.0416666666666667E-4</v>
      </c>
      <c r="P99" s="7">
        <v>1.3773148148148147E-3</v>
      </c>
      <c r="Q99" s="7">
        <v>1.6550925925925926E-3</v>
      </c>
      <c r="R99" s="6">
        <v>0.90949999999999998</v>
      </c>
      <c r="S99" s="8">
        <f>CONVERT(Table1[[#This Row],[Talk Duration (AVG)]]*Table1[[#This Row],[Answered Calls]],"day","hr")</f>
        <v>6.5119444444444436</v>
      </c>
      <c r="T99" s="9">
        <f>Table1[[#This Row],[Actual Workload hours]]*60</f>
        <v>390.71666666666664</v>
      </c>
      <c r="U99" s="9">
        <f>CONVERT(Table1[[#This Row],[Actual]]*Table1[[#This Row],[Talk Duration (AVG)]],"day","hr")</f>
        <v>7.9002777777777764</v>
      </c>
      <c r="V99" s="10">
        <f>Table1[[#This Row],[Required Workload Hours]]*60</f>
        <v>474.01666666666659</v>
      </c>
      <c r="W99" s="9">
        <v>1.02</v>
      </c>
      <c r="X99" s="9">
        <f t="shared" si="2"/>
        <v>1.2344184027777776</v>
      </c>
      <c r="Y99" s="5">
        <f t="shared" si="3"/>
        <v>2</v>
      </c>
      <c r="Z99" s="8">
        <f>ROUNDUP(Table1[[#This Row],[Actual Heacount]],0)</f>
        <v>2</v>
      </c>
      <c r="AA99" s="8"/>
      <c r="AB99" s="10"/>
      <c r="AC99" s="10"/>
      <c r="AD99" s="10"/>
      <c r="AE99" s="11">
        <v>73.345356969677212</v>
      </c>
      <c r="AF99" s="11">
        <v>298.11601634019149</v>
      </c>
      <c r="AG99" t="s">
        <v>34</v>
      </c>
    </row>
    <row r="100" spans="1:33">
      <c r="A100" s="2">
        <v>43930</v>
      </c>
      <c r="B100" s="5" t="s">
        <v>33</v>
      </c>
      <c r="C100" s="5">
        <f>WEEKDAY(Table1[[#This Row],[Date]])</f>
        <v>5</v>
      </c>
      <c r="D100" s="5">
        <f>MONTH(Table1[[#This Row],[Date]])</f>
        <v>4</v>
      </c>
      <c r="E100" s="5">
        <f>WEEKNUM(Table1[[#This Row],[Date]])</f>
        <v>15</v>
      </c>
      <c r="F100" s="5">
        <f>YEAR(Table1[[#This Row],[Date]])</f>
        <v>2020</v>
      </c>
      <c r="G100">
        <v>206</v>
      </c>
      <c r="L100" s="5">
        <v>198</v>
      </c>
      <c r="M100" s="6">
        <v>0.98019999999999996</v>
      </c>
      <c r="N100" s="5">
        <v>4</v>
      </c>
      <c r="O100" s="7">
        <v>1.1574074074074075E-4</v>
      </c>
      <c r="P100" s="7">
        <v>1.4930555555555556E-3</v>
      </c>
      <c r="Q100" s="7">
        <v>8.2175925925925927E-4</v>
      </c>
      <c r="R100" s="6">
        <v>0.88500000000000001</v>
      </c>
      <c r="S100" s="8">
        <f>CONVERT(Table1[[#This Row],[Talk Duration (AVG)]]*Table1[[#This Row],[Answered Calls]],"day","hr")</f>
        <v>7.0950000000000006</v>
      </c>
      <c r="T100" s="9">
        <f>Table1[[#This Row],[Actual Workload hours]]*60</f>
        <v>425.70000000000005</v>
      </c>
      <c r="U100" s="9">
        <f>CONVERT(Table1[[#This Row],[Actual]]*Table1[[#This Row],[Talk Duration (AVG)]],"day","hr")</f>
        <v>7.3816666666666668</v>
      </c>
      <c r="V100" s="10">
        <f>Table1[[#This Row],[Required Workload Hours]]*60</f>
        <v>442.90000000000003</v>
      </c>
      <c r="W100" s="9">
        <v>1.1100000000000001</v>
      </c>
      <c r="X100" s="9">
        <f t="shared" si="2"/>
        <v>1.1533854166666668</v>
      </c>
      <c r="Y100" s="5">
        <f t="shared" si="3"/>
        <v>2</v>
      </c>
      <c r="Z100" s="8">
        <f>ROUNDUP(Table1[[#This Row],[Actual Heacount]],0)</f>
        <v>2</v>
      </c>
      <c r="AA100" s="8"/>
      <c r="AB100" s="10"/>
      <c r="AC100" s="10"/>
      <c r="AD100" s="10"/>
      <c r="AE100" s="11">
        <v>66.381337178902712</v>
      </c>
      <c r="AF100" s="11">
        <v>292.65477904623219</v>
      </c>
      <c r="AG100" t="s">
        <v>34</v>
      </c>
    </row>
    <row r="101" spans="1:33">
      <c r="A101" s="2">
        <v>43931</v>
      </c>
      <c r="B101" s="5" t="s">
        <v>35</v>
      </c>
      <c r="C101" s="5">
        <f>WEEKDAY(Table1[[#This Row],[Date]])</f>
        <v>6</v>
      </c>
      <c r="D101" s="5">
        <f>MONTH(Table1[[#This Row],[Date]])</f>
        <v>4</v>
      </c>
      <c r="E101" s="5">
        <f>WEEKNUM(Table1[[#This Row],[Date]])</f>
        <v>15</v>
      </c>
      <c r="F101" s="5">
        <f>YEAR(Table1[[#This Row],[Date]])</f>
        <v>2020</v>
      </c>
      <c r="G101">
        <v>39</v>
      </c>
      <c r="L101" s="5">
        <v>219</v>
      </c>
      <c r="M101" s="6">
        <v>0.96899999999999997</v>
      </c>
      <c r="N101" s="5">
        <v>7</v>
      </c>
      <c r="O101" s="7">
        <v>1.1574074074074075E-4</v>
      </c>
      <c r="P101" s="7">
        <v>1.5277777777777779E-3</v>
      </c>
      <c r="Q101" s="7">
        <v>1.9097222222222222E-3</v>
      </c>
      <c r="R101" s="6">
        <v>0.88</v>
      </c>
      <c r="S101" s="8">
        <f>CONVERT(Table1[[#This Row],[Talk Duration (AVG)]]*Table1[[#This Row],[Answered Calls]],"day","hr")</f>
        <v>8.0299999999999994</v>
      </c>
      <c r="T101" s="9">
        <f>Table1[[#This Row],[Actual Workload hours]]*60</f>
        <v>481.79999999999995</v>
      </c>
      <c r="U101" s="9">
        <f>CONVERT(Table1[[#This Row],[Actual]]*Table1[[#This Row],[Talk Duration (AVG)]],"day","hr")</f>
        <v>1.43</v>
      </c>
      <c r="V101" s="10">
        <f>Table1[[#This Row],[Required Workload Hours]]*60</f>
        <v>85.8</v>
      </c>
      <c r="W101" s="9">
        <v>1.25</v>
      </c>
      <c r="X101" s="9">
        <f t="shared" si="2"/>
        <v>1</v>
      </c>
      <c r="Y101" s="5">
        <f t="shared" si="3"/>
        <v>2</v>
      </c>
      <c r="Z101" s="8">
        <f>ROUNDUP(Table1[[#This Row],[Actual Heacount]],0)</f>
        <v>2</v>
      </c>
      <c r="AA101" s="8"/>
      <c r="AB101" s="10"/>
      <c r="AC101" s="10"/>
      <c r="AD101" s="10"/>
      <c r="AE101" s="11">
        <v>53.616916377405722</v>
      </c>
      <c r="AF101" s="11">
        <v>283.8290498015873</v>
      </c>
      <c r="AG101" t="s">
        <v>34</v>
      </c>
    </row>
    <row r="102" spans="1:33">
      <c r="A102" s="2">
        <v>43932</v>
      </c>
      <c r="B102" s="5" t="s">
        <v>36</v>
      </c>
      <c r="C102" s="5">
        <f>WEEKDAY(Table1[[#This Row],[Date]])</f>
        <v>7</v>
      </c>
      <c r="D102" s="5">
        <f>MONTH(Table1[[#This Row],[Date]])</f>
        <v>4</v>
      </c>
      <c r="E102" s="5">
        <f>WEEKNUM(Table1[[#This Row],[Date]])</f>
        <v>15</v>
      </c>
      <c r="F102" s="5">
        <f>YEAR(Table1[[#This Row],[Date]])</f>
        <v>2020</v>
      </c>
      <c r="G102">
        <v>223</v>
      </c>
      <c r="L102" s="5">
        <v>163</v>
      </c>
      <c r="M102" s="6">
        <v>0.97599999999999998</v>
      </c>
      <c r="N102" s="5">
        <v>4</v>
      </c>
      <c r="O102" s="7">
        <v>8.1018518518518516E-5</v>
      </c>
      <c r="P102" s="7">
        <v>1.4930555555555556E-3</v>
      </c>
      <c r="Q102" s="7">
        <v>1.2731481481481483E-3</v>
      </c>
      <c r="R102" s="6">
        <v>0.92769999999999997</v>
      </c>
      <c r="S102" s="8">
        <f>CONVERT(Table1[[#This Row],[Talk Duration (AVG)]]*Table1[[#This Row],[Answered Calls]],"day","hr")</f>
        <v>5.8408333333333333</v>
      </c>
      <c r="T102" s="9">
        <f>Table1[[#This Row],[Actual Workload hours]]*60</f>
        <v>350.45</v>
      </c>
      <c r="U102" s="9">
        <f>CONVERT(Table1[[#This Row],[Actual]]*Table1[[#This Row],[Talk Duration (AVG)]],"day","hr")</f>
        <v>7.9908333333333346</v>
      </c>
      <c r="V102" s="10">
        <f>Table1[[#This Row],[Required Workload Hours]]*60</f>
        <v>479.45000000000005</v>
      </c>
      <c r="W102" s="9">
        <v>1</v>
      </c>
      <c r="X102" s="9">
        <f t="shared" si="2"/>
        <v>1.2485677083333335</v>
      </c>
      <c r="Y102" s="5">
        <f t="shared" si="3"/>
        <v>2</v>
      </c>
      <c r="Z102" s="8">
        <f>ROUNDUP(Table1[[#This Row],[Actual Heacount]],0)</f>
        <v>1</v>
      </c>
      <c r="AA102" s="8"/>
      <c r="AB102" s="10"/>
      <c r="AC102" s="10"/>
      <c r="AD102" s="10"/>
      <c r="AE102" s="11">
        <v>72.122222073605599</v>
      </c>
      <c r="AF102" s="11">
        <v>284.952159761573</v>
      </c>
      <c r="AG102" t="s">
        <v>34</v>
      </c>
    </row>
    <row r="103" spans="1:33">
      <c r="A103" s="2">
        <v>43933</v>
      </c>
      <c r="B103" s="5" t="s">
        <v>37</v>
      </c>
      <c r="C103" s="5">
        <f>WEEKDAY(Table1[[#This Row],[Date]])</f>
        <v>1</v>
      </c>
      <c r="D103" s="5">
        <f>MONTH(Table1[[#This Row],[Date]])</f>
        <v>4</v>
      </c>
      <c r="E103" s="5">
        <f>WEEKNUM(Table1[[#This Row],[Date]])</f>
        <v>16</v>
      </c>
      <c r="F103" s="5">
        <f>YEAR(Table1[[#This Row],[Date]])</f>
        <v>2020</v>
      </c>
      <c r="G103">
        <v>241</v>
      </c>
      <c r="L103" s="5">
        <v>164</v>
      </c>
      <c r="M103" s="6">
        <v>1</v>
      </c>
      <c r="N103" s="5">
        <v>0</v>
      </c>
      <c r="O103" s="7">
        <v>1.273148148148148E-4</v>
      </c>
      <c r="P103" s="7">
        <v>1.5856481481481481E-3</v>
      </c>
      <c r="Q103" s="7">
        <v>1.2152777777777778E-3</v>
      </c>
      <c r="R103" s="6">
        <v>0.89019999999999999</v>
      </c>
      <c r="S103" s="8">
        <f>CONVERT(Table1[[#This Row],[Talk Duration (AVG)]]*Table1[[#This Row],[Answered Calls]],"day","hr")</f>
        <v>6.2411111111111115</v>
      </c>
      <c r="T103" s="9">
        <f>Table1[[#This Row],[Actual Workload hours]]*60</f>
        <v>374.4666666666667</v>
      </c>
      <c r="U103" s="9">
        <f>CONVERT(Table1[[#This Row],[Actual]]*Table1[[#This Row],[Talk Duration (AVG)]],"day","hr")</f>
        <v>9.1713888888888881</v>
      </c>
      <c r="V103" s="10">
        <f>Table1[[#This Row],[Required Workload Hours]]*60</f>
        <v>550.2833333333333</v>
      </c>
      <c r="W103" s="9">
        <v>1</v>
      </c>
      <c r="X103" s="9">
        <f t="shared" si="2"/>
        <v>1.4330295138888889</v>
      </c>
      <c r="Y103" s="5">
        <f t="shared" si="3"/>
        <v>2</v>
      </c>
      <c r="Z103" s="8">
        <f>ROUNDUP(Table1[[#This Row],[Actual Heacount]],0)</f>
        <v>1</v>
      </c>
      <c r="AA103" s="8"/>
      <c r="AB103" s="10"/>
      <c r="AC103" s="10"/>
      <c r="AD103" s="10"/>
      <c r="AE103" s="11">
        <v>-14.71760458864083</v>
      </c>
      <c r="AF103" s="11">
        <v>205.12761293738379</v>
      </c>
      <c r="AG103" t="s">
        <v>34</v>
      </c>
    </row>
    <row r="104" spans="1:33">
      <c r="A104" s="2">
        <v>43934</v>
      </c>
      <c r="B104" s="5" t="s">
        <v>38</v>
      </c>
      <c r="C104" s="5">
        <f>WEEKDAY(Table1[[#This Row],[Date]])</f>
        <v>2</v>
      </c>
      <c r="D104" s="5">
        <f>MONTH(Table1[[#This Row],[Date]])</f>
        <v>4</v>
      </c>
      <c r="E104" s="5">
        <f>WEEKNUM(Table1[[#This Row],[Date]])</f>
        <v>16</v>
      </c>
      <c r="F104" s="5">
        <f>YEAR(Table1[[#This Row],[Date]])</f>
        <v>2020</v>
      </c>
      <c r="G104">
        <v>79</v>
      </c>
      <c r="L104" s="5">
        <v>41</v>
      </c>
      <c r="M104" s="6">
        <v>0.97619999999999996</v>
      </c>
      <c r="N104" s="5">
        <v>1</v>
      </c>
      <c r="O104" s="7">
        <v>1.273148148148148E-4</v>
      </c>
      <c r="P104" s="7">
        <v>1.4930555555555556E-3</v>
      </c>
      <c r="Q104" s="7">
        <v>9.0277777777777774E-4</v>
      </c>
      <c r="R104" s="6">
        <v>0.878</v>
      </c>
      <c r="S104" s="8">
        <f>CONVERT(Table1[[#This Row],[Talk Duration (AVG)]]*Table1[[#This Row],[Answered Calls]],"day","hr")</f>
        <v>1.4691666666666667</v>
      </c>
      <c r="T104" s="9">
        <f>Table1[[#This Row],[Actual Workload hours]]*60</f>
        <v>88.15</v>
      </c>
      <c r="U104" s="9">
        <f>CONVERT(Table1[[#This Row],[Actual]]*Table1[[#This Row],[Talk Duration (AVG)]],"day","hr")</f>
        <v>2.8308333333333335</v>
      </c>
      <c r="V104" s="10">
        <f>Table1[[#This Row],[Required Workload Hours]]*60</f>
        <v>169.85000000000002</v>
      </c>
      <c r="W104" s="9">
        <v>1</v>
      </c>
      <c r="X104" s="9">
        <f t="shared" si="2"/>
        <v>1</v>
      </c>
      <c r="Y104" s="5">
        <f t="shared" si="3"/>
        <v>1</v>
      </c>
      <c r="Z104" s="8">
        <f>ROUNDUP(Table1[[#This Row],[Actual Heacount]],0)</f>
        <v>1</v>
      </c>
      <c r="AA104" s="8"/>
      <c r="AB104" s="10"/>
      <c r="AC104" s="10"/>
      <c r="AD104" s="10"/>
      <c r="AE104" s="11">
        <v>80.410573277877845</v>
      </c>
      <c r="AF104" s="11">
        <v>303.06124548902318</v>
      </c>
      <c r="AG104" t="s">
        <v>34</v>
      </c>
    </row>
    <row r="105" spans="1:33">
      <c r="A105" s="2">
        <v>43935</v>
      </c>
      <c r="B105" s="5" t="s">
        <v>39</v>
      </c>
      <c r="C105" s="5">
        <f>WEEKDAY(Table1[[#This Row],[Date]])</f>
        <v>3</v>
      </c>
      <c r="D105" s="5">
        <f>MONTH(Table1[[#This Row],[Date]])</f>
        <v>4</v>
      </c>
      <c r="E105" s="5">
        <f>WEEKNUM(Table1[[#This Row],[Date]])</f>
        <v>16</v>
      </c>
      <c r="F105" s="5">
        <f>YEAR(Table1[[#This Row],[Date]])</f>
        <v>2020</v>
      </c>
      <c r="G105">
        <v>165</v>
      </c>
      <c r="L105" s="5">
        <v>78</v>
      </c>
      <c r="M105" s="6">
        <v>0.98729999999999996</v>
      </c>
      <c r="N105" s="5">
        <v>1</v>
      </c>
      <c r="O105" s="7">
        <v>8.1018518518518516E-5</v>
      </c>
      <c r="P105" s="7">
        <v>1.6550925925925926E-3</v>
      </c>
      <c r="Q105" s="7">
        <v>5.5555555555555556E-4</v>
      </c>
      <c r="R105" s="6">
        <v>0.94869999999999999</v>
      </c>
      <c r="S105" s="8">
        <f>CONVERT(Table1[[#This Row],[Talk Duration (AVG)]]*Table1[[#This Row],[Answered Calls]],"day","hr")</f>
        <v>3.0983333333333332</v>
      </c>
      <c r="T105" s="9">
        <f>Table1[[#This Row],[Actual Workload hours]]*60</f>
        <v>185.89999999999998</v>
      </c>
      <c r="U105" s="9">
        <f>CONVERT(Table1[[#This Row],[Actual]]*Table1[[#This Row],[Talk Duration (AVG)]],"day","hr")</f>
        <v>6.5541666666666663</v>
      </c>
      <c r="V105" s="10">
        <f>Table1[[#This Row],[Required Workload Hours]]*60</f>
        <v>393.25</v>
      </c>
      <c r="W105" s="9">
        <v>1</v>
      </c>
      <c r="X105" s="9">
        <f t="shared" si="2"/>
        <v>1.0240885416666667</v>
      </c>
      <c r="Y105" s="5">
        <f t="shared" si="3"/>
        <v>2</v>
      </c>
      <c r="Z105" s="8">
        <f>ROUNDUP(Table1[[#This Row],[Actual Heacount]],0)</f>
        <v>1</v>
      </c>
      <c r="AA105" s="8"/>
      <c r="AB105" s="10"/>
      <c r="AC105" s="10"/>
      <c r="AD105" s="10"/>
      <c r="AE105" s="11">
        <v>68.246953957740956</v>
      </c>
      <c r="AF105" s="11">
        <v>291.87746910948908</v>
      </c>
      <c r="AG105" t="s">
        <v>34</v>
      </c>
    </row>
    <row r="106" spans="1:33">
      <c r="A106" s="2">
        <v>43936</v>
      </c>
      <c r="B106" s="5" t="s">
        <v>40</v>
      </c>
      <c r="C106" s="5">
        <f>WEEKDAY(Table1[[#This Row],[Date]])</f>
        <v>4</v>
      </c>
      <c r="D106" s="5">
        <f>MONTH(Table1[[#This Row],[Date]])</f>
        <v>4</v>
      </c>
      <c r="E106" s="5">
        <f>WEEKNUM(Table1[[#This Row],[Date]])</f>
        <v>16</v>
      </c>
      <c r="F106" s="5">
        <f>YEAR(Table1[[#This Row],[Date]])</f>
        <v>2020</v>
      </c>
      <c r="G106">
        <v>180</v>
      </c>
      <c r="L106" s="5">
        <v>162</v>
      </c>
      <c r="M106" s="6">
        <v>0.98180000000000001</v>
      </c>
      <c r="N106" s="5">
        <v>3</v>
      </c>
      <c r="O106" s="7">
        <v>1.0416666666666667E-4</v>
      </c>
      <c r="P106" s="7">
        <v>1.4930555555555556E-3</v>
      </c>
      <c r="Q106" s="7">
        <v>1.2731481481481483E-3</v>
      </c>
      <c r="R106" s="6">
        <v>0.89700000000000002</v>
      </c>
      <c r="S106" s="8">
        <f>CONVERT(Table1[[#This Row],[Talk Duration (AVG)]]*Table1[[#This Row],[Answered Calls]],"day","hr")</f>
        <v>5.8049999999999997</v>
      </c>
      <c r="T106" s="9">
        <f>Table1[[#This Row],[Actual Workload hours]]*60</f>
        <v>348.29999999999995</v>
      </c>
      <c r="U106" s="9">
        <f>CONVERT(Table1[[#This Row],[Actual]]*Table1[[#This Row],[Talk Duration (AVG)]],"day","hr")</f>
        <v>6.45</v>
      </c>
      <c r="V106" s="10">
        <f>Table1[[#This Row],[Required Workload Hours]]*60</f>
        <v>387</v>
      </c>
      <c r="W106" s="9">
        <v>1</v>
      </c>
      <c r="X106" s="9">
        <f t="shared" si="2"/>
        <v>1.0078125</v>
      </c>
      <c r="Y106" s="5">
        <f t="shared" si="3"/>
        <v>2</v>
      </c>
      <c r="Z106" s="8">
        <f>ROUNDUP(Table1[[#This Row],[Actual Heacount]],0)</f>
        <v>1</v>
      </c>
      <c r="AA106" s="8"/>
      <c r="AB106" s="10"/>
      <c r="AC106" s="10"/>
      <c r="AD106" s="10"/>
      <c r="AE106" s="11">
        <v>73.877820964409182</v>
      </c>
      <c r="AF106" s="11">
        <v>298.52005893576808</v>
      </c>
      <c r="AG106" t="s">
        <v>34</v>
      </c>
    </row>
    <row r="107" spans="1:33">
      <c r="A107" s="2">
        <v>43937</v>
      </c>
      <c r="B107" s="5" t="s">
        <v>33</v>
      </c>
      <c r="C107" s="5">
        <f>WEEKDAY(Table1[[#This Row],[Date]])</f>
        <v>5</v>
      </c>
      <c r="D107" s="5">
        <f>MONTH(Table1[[#This Row],[Date]])</f>
        <v>4</v>
      </c>
      <c r="E107" s="5">
        <f>WEEKNUM(Table1[[#This Row],[Date]])</f>
        <v>16</v>
      </c>
      <c r="F107" s="5">
        <f>YEAR(Table1[[#This Row],[Date]])</f>
        <v>2020</v>
      </c>
      <c r="G107">
        <v>179</v>
      </c>
      <c r="L107" s="5">
        <v>174</v>
      </c>
      <c r="M107" s="6">
        <v>0.9667</v>
      </c>
      <c r="N107" s="5">
        <v>6</v>
      </c>
      <c r="O107" s="7">
        <v>1.8518518518518518E-4</v>
      </c>
      <c r="P107" s="7">
        <v>1.5740740740740741E-3</v>
      </c>
      <c r="Q107" s="7">
        <v>1.1921296296296296E-3</v>
      </c>
      <c r="R107" s="6">
        <v>0.77780000000000005</v>
      </c>
      <c r="S107" s="8">
        <f>CONVERT(Table1[[#This Row],[Talk Duration (AVG)]]*Table1[[#This Row],[Answered Calls]],"day","hr")</f>
        <v>6.5733333333333333</v>
      </c>
      <c r="T107" s="9">
        <f>Table1[[#This Row],[Actual Workload hours]]*60</f>
        <v>394.4</v>
      </c>
      <c r="U107" s="9">
        <f>CONVERT(Table1[[#This Row],[Actual]]*Table1[[#This Row],[Talk Duration (AVG)]],"day","hr")</f>
        <v>6.7622222222222224</v>
      </c>
      <c r="V107" s="10">
        <f>Table1[[#This Row],[Required Workload Hours]]*60</f>
        <v>405.73333333333335</v>
      </c>
      <c r="W107" s="9">
        <v>1.03</v>
      </c>
      <c r="X107" s="9">
        <f t="shared" si="2"/>
        <v>1.0565972222222222</v>
      </c>
      <c r="Y107" s="5">
        <f t="shared" si="3"/>
        <v>2</v>
      </c>
      <c r="Z107" s="8">
        <f>ROUNDUP(Table1[[#This Row],[Actual Heacount]],0)</f>
        <v>2</v>
      </c>
      <c r="AA107" s="8"/>
      <c r="AB107" s="10"/>
      <c r="AC107" s="10"/>
      <c r="AD107" s="10"/>
      <c r="AE107" s="11">
        <v>84.493269440824605</v>
      </c>
      <c r="AF107" s="11">
        <v>284.95867543350062</v>
      </c>
      <c r="AG107" t="s">
        <v>34</v>
      </c>
    </row>
    <row r="108" spans="1:33">
      <c r="A108" s="2">
        <v>43938</v>
      </c>
      <c r="B108" s="5" t="s">
        <v>35</v>
      </c>
      <c r="C108" s="5">
        <f>WEEKDAY(Table1[[#This Row],[Date]])</f>
        <v>6</v>
      </c>
      <c r="D108" s="5">
        <f>MONTH(Table1[[#This Row],[Date]])</f>
        <v>4</v>
      </c>
      <c r="E108" s="5">
        <f>WEEKNUM(Table1[[#This Row],[Date]])</f>
        <v>16</v>
      </c>
      <c r="F108" s="5">
        <f>YEAR(Table1[[#This Row],[Date]])</f>
        <v>2020</v>
      </c>
      <c r="G108">
        <v>217</v>
      </c>
      <c r="L108" s="5">
        <v>176</v>
      </c>
      <c r="M108" s="6">
        <v>0.98319999999999996</v>
      </c>
      <c r="N108" s="5">
        <v>3</v>
      </c>
      <c r="O108" s="7">
        <v>1.1574074074074075E-4</v>
      </c>
      <c r="P108" s="7">
        <v>1.6898148148148148E-3</v>
      </c>
      <c r="Q108" s="7">
        <v>1.2731481481481483E-3</v>
      </c>
      <c r="R108" s="6">
        <v>0.87639999999999996</v>
      </c>
      <c r="S108" s="8">
        <f>CONVERT(Table1[[#This Row],[Talk Duration (AVG)]]*Table1[[#This Row],[Answered Calls]],"day","hr")</f>
        <v>7.137777777777778</v>
      </c>
      <c r="T108" s="9">
        <f>Table1[[#This Row],[Actual Workload hours]]*60</f>
        <v>428.26666666666665</v>
      </c>
      <c r="U108" s="9">
        <f>CONVERT(Table1[[#This Row],[Actual]]*Table1[[#This Row],[Talk Duration (AVG)]],"day","hr")</f>
        <v>8.8005555555555564</v>
      </c>
      <c r="V108" s="10">
        <f>Table1[[#This Row],[Required Workload Hours]]*60</f>
        <v>528.03333333333342</v>
      </c>
      <c r="W108" s="9">
        <v>1.1200000000000001</v>
      </c>
      <c r="X108" s="9">
        <f t="shared" si="2"/>
        <v>1.3750868055555558</v>
      </c>
      <c r="Y108" s="5">
        <f t="shared" si="3"/>
        <v>2</v>
      </c>
      <c r="Z108" s="8">
        <f>ROUNDUP(Table1[[#This Row],[Actual Heacount]],0)</f>
        <v>2</v>
      </c>
      <c r="AA108" s="8"/>
      <c r="AB108" s="10"/>
      <c r="AC108" s="10"/>
      <c r="AD108" s="10"/>
      <c r="AE108" s="11">
        <v>71.373332813792473</v>
      </c>
      <c r="AF108" s="11">
        <v>296.08448642197152</v>
      </c>
      <c r="AG108" t="s">
        <v>34</v>
      </c>
    </row>
    <row r="109" spans="1:33">
      <c r="A109" s="2">
        <v>43939</v>
      </c>
      <c r="B109" s="5" t="s">
        <v>36</v>
      </c>
      <c r="C109" s="5">
        <f>WEEKDAY(Table1[[#This Row],[Date]])</f>
        <v>7</v>
      </c>
      <c r="D109" s="5">
        <f>MONTH(Table1[[#This Row],[Date]])</f>
        <v>4</v>
      </c>
      <c r="E109" s="5">
        <f>WEEKNUM(Table1[[#This Row],[Date]])</f>
        <v>16</v>
      </c>
      <c r="F109" s="5">
        <f>YEAR(Table1[[#This Row],[Date]])</f>
        <v>2020</v>
      </c>
      <c r="G109">
        <v>171</v>
      </c>
      <c r="L109" s="5">
        <v>215</v>
      </c>
      <c r="M109" s="6">
        <v>0.99080000000000001</v>
      </c>
      <c r="N109" s="5">
        <v>2</v>
      </c>
      <c r="O109" s="7">
        <v>9.2592592592592588E-5</v>
      </c>
      <c r="P109" s="7">
        <v>1.4814814814814814E-3</v>
      </c>
      <c r="Q109" s="7">
        <v>1.4699074074074074E-3</v>
      </c>
      <c r="R109" s="6">
        <v>0.91710000000000003</v>
      </c>
      <c r="S109" s="8">
        <f>CONVERT(Table1[[#This Row],[Talk Duration (AVG)]]*Table1[[#This Row],[Answered Calls]],"day","hr")</f>
        <v>7.644444444444443</v>
      </c>
      <c r="T109" s="9">
        <f>Table1[[#This Row],[Actual Workload hours]]*60</f>
        <v>458.66666666666657</v>
      </c>
      <c r="U109" s="9">
        <f>CONVERT(Table1[[#This Row],[Actual]]*Table1[[#This Row],[Talk Duration (AVG)]],"day","hr")</f>
        <v>6.0799999999999992</v>
      </c>
      <c r="V109" s="10">
        <f>Table1[[#This Row],[Required Workload Hours]]*60</f>
        <v>364.79999999999995</v>
      </c>
      <c r="W109" s="9">
        <v>1.19</v>
      </c>
      <c r="X109" s="9">
        <f t="shared" si="2"/>
        <v>1</v>
      </c>
      <c r="Y109" s="5">
        <f t="shared" si="3"/>
        <v>2</v>
      </c>
      <c r="Z109" s="8">
        <f>ROUNDUP(Table1[[#This Row],[Actual Heacount]],0)</f>
        <v>2</v>
      </c>
      <c r="AA109" s="8"/>
      <c r="AB109" s="10"/>
      <c r="AC109" s="10"/>
      <c r="AD109" s="10"/>
      <c r="AE109" s="11">
        <v>77.676434211581665</v>
      </c>
      <c r="AF109" s="11">
        <v>294.03198884275469</v>
      </c>
      <c r="AG109" t="s">
        <v>34</v>
      </c>
    </row>
    <row r="110" spans="1:33">
      <c r="A110" s="2">
        <v>43940</v>
      </c>
      <c r="B110" s="5" t="s">
        <v>37</v>
      </c>
      <c r="C110" s="5">
        <f>WEEKDAY(Table1[[#This Row],[Date]])</f>
        <v>1</v>
      </c>
      <c r="D110" s="5">
        <f>MONTH(Table1[[#This Row],[Date]])</f>
        <v>4</v>
      </c>
      <c r="E110" s="5">
        <f>WEEKNUM(Table1[[#This Row],[Date]])</f>
        <v>17</v>
      </c>
      <c r="F110" s="5">
        <f>YEAR(Table1[[#This Row],[Date]])</f>
        <v>2020</v>
      </c>
      <c r="G110">
        <v>37</v>
      </c>
      <c r="L110" s="5">
        <v>167</v>
      </c>
      <c r="M110" s="6">
        <v>0.97660000000000002</v>
      </c>
      <c r="N110" s="5">
        <v>4</v>
      </c>
      <c r="O110" s="7">
        <v>1.1574074074074075E-4</v>
      </c>
      <c r="P110" s="7">
        <v>1.5625000000000001E-3</v>
      </c>
      <c r="Q110" s="7">
        <v>1.2731481481481483E-3</v>
      </c>
      <c r="R110" s="6">
        <v>0.86470000000000002</v>
      </c>
      <c r="S110" s="8">
        <f>CONVERT(Table1[[#This Row],[Talk Duration (AVG)]]*Table1[[#This Row],[Answered Calls]],"day","hr")</f>
        <v>6.2625000000000002</v>
      </c>
      <c r="T110" s="9">
        <f>Table1[[#This Row],[Actual Workload hours]]*60</f>
        <v>375.75</v>
      </c>
      <c r="U110" s="9">
        <f>CONVERT(Table1[[#This Row],[Actual]]*Table1[[#This Row],[Talk Duration (AVG)]],"day","hr")</f>
        <v>1.3875</v>
      </c>
      <c r="V110" s="10">
        <f>Table1[[#This Row],[Required Workload Hours]]*60</f>
        <v>83.25</v>
      </c>
      <c r="W110" s="9">
        <v>1</v>
      </c>
      <c r="X110" s="9">
        <f t="shared" si="2"/>
        <v>1</v>
      </c>
      <c r="Y110" s="5">
        <f t="shared" si="3"/>
        <v>2</v>
      </c>
      <c r="Z110" s="8">
        <f>ROUNDUP(Table1[[#This Row],[Actual Heacount]],0)</f>
        <v>1</v>
      </c>
      <c r="AA110" s="8"/>
      <c r="AB110" s="10"/>
      <c r="AC110" s="10"/>
      <c r="AD110" s="10"/>
      <c r="AE110" s="11">
        <v>-9.4763753650390399</v>
      </c>
      <c r="AF110" s="11">
        <v>204.81348286507219</v>
      </c>
      <c r="AG110" t="s">
        <v>34</v>
      </c>
    </row>
    <row r="111" spans="1:33">
      <c r="A111" s="2">
        <v>43941</v>
      </c>
      <c r="B111" s="5" t="s">
        <v>38</v>
      </c>
      <c r="C111" s="5">
        <f>WEEKDAY(Table1[[#This Row],[Date]])</f>
        <v>2</v>
      </c>
      <c r="D111" s="5">
        <f>MONTH(Table1[[#This Row],[Date]])</f>
        <v>4</v>
      </c>
      <c r="E111" s="5">
        <f>WEEKNUM(Table1[[#This Row],[Date]])</f>
        <v>17</v>
      </c>
      <c r="F111" s="5">
        <f>YEAR(Table1[[#This Row],[Date]])</f>
        <v>2020</v>
      </c>
      <c r="G111">
        <v>215</v>
      </c>
      <c r="L111" s="5">
        <v>37</v>
      </c>
      <c r="M111" s="6">
        <v>1</v>
      </c>
      <c r="N111" s="5">
        <v>0</v>
      </c>
      <c r="O111" s="7">
        <v>1.0416666666666667E-4</v>
      </c>
      <c r="P111" s="7">
        <v>1.3541666666666667E-3</v>
      </c>
      <c r="Q111" s="7">
        <v>9.4907407407407408E-4</v>
      </c>
      <c r="R111" s="6">
        <v>0.8649</v>
      </c>
      <c r="S111" s="8">
        <f>CONVERT(Table1[[#This Row],[Talk Duration (AVG)]]*Table1[[#This Row],[Answered Calls]],"day","hr")</f>
        <v>1.2024999999999999</v>
      </c>
      <c r="T111" s="9">
        <f>Table1[[#This Row],[Actual Workload hours]]*60</f>
        <v>72.149999999999991</v>
      </c>
      <c r="U111" s="9">
        <f>CONVERT(Table1[[#This Row],[Actual]]*Table1[[#This Row],[Talk Duration (AVG)]],"day","hr")</f>
        <v>6.9874999999999998</v>
      </c>
      <c r="V111" s="10">
        <f>Table1[[#This Row],[Required Workload Hours]]*60</f>
        <v>419.25</v>
      </c>
      <c r="W111" s="9">
        <v>1</v>
      </c>
      <c r="X111" s="9">
        <f t="shared" si="2"/>
        <v>1.091796875</v>
      </c>
      <c r="Y111" s="5">
        <f t="shared" si="3"/>
        <v>1</v>
      </c>
      <c r="Z111" s="8">
        <f>ROUNDUP(Table1[[#This Row],[Actual Heacount]],0)</f>
        <v>1</v>
      </c>
      <c r="AA111" s="8"/>
      <c r="AB111" s="10"/>
      <c r="AC111" s="10"/>
      <c r="AD111" s="10"/>
      <c r="AE111" s="11">
        <v>84.049379494259924</v>
      </c>
      <c r="AF111" s="11">
        <v>300.42668273053681</v>
      </c>
      <c r="AG111" t="s">
        <v>34</v>
      </c>
    </row>
    <row r="112" spans="1:33">
      <c r="A112" s="2">
        <v>43942</v>
      </c>
      <c r="B112" s="5" t="s">
        <v>39</v>
      </c>
      <c r="C112" s="5">
        <f>WEEKDAY(Table1[[#This Row],[Date]])</f>
        <v>3</v>
      </c>
      <c r="D112" s="5">
        <f>MONTH(Table1[[#This Row],[Date]])</f>
        <v>4</v>
      </c>
      <c r="E112" s="5">
        <f>WEEKNUM(Table1[[#This Row],[Date]])</f>
        <v>17</v>
      </c>
      <c r="F112" s="5">
        <f>YEAR(Table1[[#This Row],[Date]])</f>
        <v>2020</v>
      </c>
      <c r="G112">
        <v>218</v>
      </c>
      <c r="L112" s="5">
        <v>206</v>
      </c>
      <c r="M112" s="6">
        <v>0.95809999999999995</v>
      </c>
      <c r="N112" s="5">
        <v>9</v>
      </c>
      <c r="O112" s="7">
        <v>2.0833333333333335E-4</v>
      </c>
      <c r="P112" s="7">
        <v>1.4930555555555556E-3</v>
      </c>
      <c r="Q112" s="7">
        <v>1.9097222222222222E-3</v>
      </c>
      <c r="R112" s="6">
        <v>0.8095</v>
      </c>
      <c r="S112" s="8">
        <f>CONVERT(Table1[[#This Row],[Talk Duration (AVG)]]*Table1[[#This Row],[Answered Calls]],"day","hr")</f>
        <v>7.3816666666666668</v>
      </c>
      <c r="T112" s="9">
        <f>Table1[[#This Row],[Actual Workload hours]]*60</f>
        <v>442.90000000000003</v>
      </c>
      <c r="U112" s="9">
        <f>CONVERT(Table1[[#This Row],[Actual]]*Table1[[#This Row],[Talk Duration (AVG)]],"day","hr")</f>
        <v>7.8116666666666674</v>
      </c>
      <c r="V112" s="10">
        <f>Table1[[#This Row],[Required Workload Hours]]*60</f>
        <v>468.70000000000005</v>
      </c>
      <c r="W112" s="9">
        <v>1.1499999999999999</v>
      </c>
      <c r="X112" s="9">
        <f t="shared" si="2"/>
        <v>1.2205729166666668</v>
      </c>
      <c r="Y112" s="5">
        <f t="shared" si="3"/>
        <v>2</v>
      </c>
      <c r="Z112" s="8">
        <f>ROUNDUP(Table1[[#This Row],[Actual Heacount]],0)</f>
        <v>2</v>
      </c>
      <c r="AA112" s="8"/>
      <c r="AB112" s="10"/>
      <c r="AC112" s="10"/>
      <c r="AD112" s="10"/>
      <c r="AE112" s="11">
        <v>70.805513073933028</v>
      </c>
      <c r="AF112" s="11">
        <v>289.92598778613842</v>
      </c>
      <c r="AG112" t="s">
        <v>34</v>
      </c>
    </row>
    <row r="113" spans="1:33">
      <c r="A113" s="2">
        <v>43943</v>
      </c>
      <c r="B113" s="5" t="s">
        <v>40</v>
      </c>
      <c r="C113" s="5">
        <f>WEEKDAY(Table1[[#This Row],[Date]])</f>
        <v>4</v>
      </c>
      <c r="D113" s="5">
        <f>MONTH(Table1[[#This Row],[Date]])</f>
        <v>4</v>
      </c>
      <c r="E113" s="5">
        <f>WEEKNUM(Table1[[#This Row],[Date]])</f>
        <v>17</v>
      </c>
      <c r="F113" s="5">
        <f>YEAR(Table1[[#This Row],[Date]])</f>
        <v>2020</v>
      </c>
      <c r="G113">
        <v>205</v>
      </c>
      <c r="L113" s="5">
        <v>212</v>
      </c>
      <c r="M113" s="6">
        <v>0.97250000000000003</v>
      </c>
      <c r="N113" s="5">
        <v>6</v>
      </c>
      <c r="O113" s="7">
        <v>1.8518518518518518E-4</v>
      </c>
      <c r="P113" s="7">
        <v>1.5856481481481481E-3</v>
      </c>
      <c r="Q113" s="7">
        <v>1.4930555555555556E-3</v>
      </c>
      <c r="R113" s="6">
        <v>0.84260000000000002</v>
      </c>
      <c r="S113" s="8">
        <f>CONVERT(Table1[[#This Row],[Talk Duration (AVG)]]*Table1[[#This Row],[Answered Calls]],"day","hr")</f>
        <v>8.0677777777777777</v>
      </c>
      <c r="T113" s="9">
        <f>Table1[[#This Row],[Actual Workload hours]]*60</f>
        <v>484.06666666666666</v>
      </c>
      <c r="U113" s="9">
        <f>CONVERT(Table1[[#This Row],[Actual]]*Table1[[#This Row],[Talk Duration (AVG)]],"day","hr")</f>
        <v>7.8013888888888889</v>
      </c>
      <c r="V113" s="10">
        <f>Table1[[#This Row],[Required Workload Hours]]*60</f>
        <v>468.08333333333331</v>
      </c>
      <c r="W113" s="9">
        <v>1.26</v>
      </c>
      <c r="X113" s="9">
        <f t="shared" si="2"/>
        <v>1.2189670138888888</v>
      </c>
      <c r="Y113" s="5">
        <f t="shared" si="3"/>
        <v>2</v>
      </c>
      <c r="Z113" s="8">
        <f>ROUNDUP(Table1[[#This Row],[Actual Heacount]],0)</f>
        <v>2</v>
      </c>
      <c r="AA113" s="8"/>
      <c r="AB113" s="10"/>
      <c r="AC113" s="10"/>
      <c r="AD113" s="10"/>
      <c r="AE113" s="11">
        <v>89.649197692459026</v>
      </c>
      <c r="AF113" s="11">
        <v>303.64273925738343</v>
      </c>
      <c r="AG113" t="s">
        <v>34</v>
      </c>
    </row>
    <row r="114" spans="1:33">
      <c r="A114" s="2">
        <v>43944</v>
      </c>
      <c r="B114" s="5" t="s">
        <v>33</v>
      </c>
      <c r="C114" s="5">
        <f>WEEKDAY(Table1[[#This Row],[Date]])</f>
        <v>5</v>
      </c>
      <c r="D114" s="5">
        <f>MONTH(Table1[[#This Row],[Date]])</f>
        <v>4</v>
      </c>
      <c r="E114" s="5">
        <f>WEEKNUM(Table1[[#This Row],[Date]])</f>
        <v>17</v>
      </c>
      <c r="F114" s="5">
        <f>YEAR(Table1[[#This Row],[Date]])</f>
        <v>2020</v>
      </c>
      <c r="G114">
        <v>195</v>
      </c>
      <c r="L114" s="5">
        <v>202</v>
      </c>
      <c r="M114" s="6">
        <v>0.98540000000000005</v>
      </c>
      <c r="N114" s="5">
        <v>3</v>
      </c>
      <c r="O114" s="7">
        <v>1.273148148148148E-4</v>
      </c>
      <c r="P114" s="7">
        <v>1.6782407407407408E-3</v>
      </c>
      <c r="Q114" s="7">
        <v>1.1226851851851851E-3</v>
      </c>
      <c r="R114" s="6">
        <v>0.90690000000000004</v>
      </c>
      <c r="S114" s="8">
        <f>CONVERT(Table1[[#This Row],[Talk Duration (AVG)]]*Table1[[#This Row],[Answered Calls]],"day","hr")</f>
        <v>8.1361111111111111</v>
      </c>
      <c r="T114" s="9">
        <f>Table1[[#This Row],[Actual Workload hours]]*60</f>
        <v>488.16666666666669</v>
      </c>
      <c r="U114" s="9">
        <f>CONVERT(Table1[[#This Row],[Actual]]*Table1[[#This Row],[Talk Duration (AVG)]],"day","hr")</f>
        <v>7.8541666666666679</v>
      </c>
      <c r="V114" s="10">
        <f>Table1[[#This Row],[Required Workload Hours]]*60</f>
        <v>471.25000000000006</v>
      </c>
      <c r="W114" s="9">
        <v>1.27</v>
      </c>
      <c r="X114" s="9">
        <f t="shared" si="2"/>
        <v>1.2272135416666667</v>
      </c>
      <c r="Y114" s="5">
        <f t="shared" si="3"/>
        <v>2</v>
      </c>
      <c r="Z114" s="8">
        <f>ROUNDUP(Table1[[#This Row],[Actual Heacount]],0)</f>
        <v>2</v>
      </c>
      <c r="AA114" s="8"/>
      <c r="AB114" s="10"/>
      <c r="AC114" s="10"/>
      <c r="AD114" s="10"/>
      <c r="AE114" s="11">
        <v>80.85069821903538</v>
      </c>
      <c r="AF114" s="11">
        <v>298.99085540634297</v>
      </c>
      <c r="AG114" t="s">
        <v>34</v>
      </c>
    </row>
    <row r="115" spans="1:33">
      <c r="A115" s="2">
        <v>43945</v>
      </c>
      <c r="B115" s="5" t="s">
        <v>35</v>
      </c>
      <c r="C115" s="5">
        <f>WEEKDAY(Table1[[#This Row],[Date]])</f>
        <v>6</v>
      </c>
      <c r="D115" s="5">
        <f>MONTH(Table1[[#This Row],[Date]])</f>
        <v>4</v>
      </c>
      <c r="E115" s="5">
        <f>WEEKNUM(Table1[[#This Row],[Date]])</f>
        <v>17</v>
      </c>
      <c r="F115" s="5">
        <f>YEAR(Table1[[#This Row],[Date]])</f>
        <v>2020</v>
      </c>
      <c r="G115">
        <v>181</v>
      </c>
      <c r="L115" s="5">
        <v>190</v>
      </c>
      <c r="M115" s="6">
        <v>0.97440000000000004</v>
      </c>
      <c r="N115" s="5">
        <v>5</v>
      </c>
      <c r="O115" s="7">
        <v>1.3888888888888889E-4</v>
      </c>
      <c r="P115" s="7">
        <v>1.6435185185185185E-3</v>
      </c>
      <c r="Q115" s="7">
        <v>8.564814814814815E-4</v>
      </c>
      <c r="R115" s="6">
        <v>0.8901</v>
      </c>
      <c r="S115" s="8">
        <f>CONVERT(Table1[[#This Row],[Talk Duration (AVG)]]*Table1[[#This Row],[Answered Calls]],"day","hr")</f>
        <v>7.4944444444444445</v>
      </c>
      <c r="T115" s="9">
        <f>Table1[[#This Row],[Actual Workload hours]]*60</f>
        <v>449.66666666666669</v>
      </c>
      <c r="U115" s="9">
        <f>CONVERT(Table1[[#This Row],[Actual]]*Table1[[#This Row],[Talk Duration (AVG)]],"day","hr")</f>
        <v>7.139444444444444</v>
      </c>
      <c r="V115" s="10">
        <f>Table1[[#This Row],[Required Workload Hours]]*60</f>
        <v>428.36666666666662</v>
      </c>
      <c r="W115" s="9">
        <v>1.17</v>
      </c>
      <c r="X115" s="9">
        <f t="shared" si="2"/>
        <v>1.1155381944444442</v>
      </c>
      <c r="Y115" s="5">
        <f t="shared" si="3"/>
        <v>2</v>
      </c>
      <c r="Z115" s="8">
        <f>ROUNDUP(Table1[[#This Row],[Actual Heacount]],0)</f>
        <v>2</v>
      </c>
      <c r="AA115" s="8"/>
      <c r="AB115" s="10"/>
      <c r="AC115" s="10"/>
      <c r="AD115" s="10"/>
      <c r="AE115" s="11">
        <v>85.298350275172538</v>
      </c>
      <c r="AF115" s="11">
        <v>296.26409784706789</v>
      </c>
      <c r="AG115" t="s">
        <v>34</v>
      </c>
    </row>
    <row r="116" spans="1:33">
      <c r="A116" s="2">
        <v>43946</v>
      </c>
      <c r="B116" s="5" t="s">
        <v>36</v>
      </c>
      <c r="C116" s="5">
        <f>WEEKDAY(Table1[[#This Row],[Date]])</f>
        <v>7</v>
      </c>
      <c r="D116" s="5">
        <f>MONTH(Table1[[#This Row],[Date]])</f>
        <v>4</v>
      </c>
      <c r="E116" s="5">
        <f>WEEKNUM(Table1[[#This Row],[Date]])</f>
        <v>17</v>
      </c>
      <c r="F116" s="5">
        <f>YEAR(Table1[[#This Row],[Date]])</f>
        <v>2020</v>
      </c>
      <c r="G116">
        <v>212</v>
      </c>
      <c r="L116" s="5">
        <v>176</v>
      </c>
      <c r="M116" s="6">
        <v>0.97240000000000004</v>
      </c>
      <c r="N116" s="5">
        <v>5</v>
      </c>
      <c r="O116" s="7">
        <v>1.5046296296296297E-4</v>
      </c>
      <c r="P116" s="7">
        <v>1.5393518518518519E-3</v>
      </c>
      <c r="Q116" s="7">
        <v>8.7962962962962962E-4</v>
      </c>
      <c r="R116" s="6">
        <v>0.82220000000000004</v>
      </c>
      <c r="S116" s="8">
        <f>CONVERT(Table1[[#This Row],[Talk Duration (AVG)]]*Table1[[#This Row],[Answered Calls]],"day","hr")</f>
        <v>6.5022222222222208</v>
      </c>
      <c r="T116" s="9">
        <f>Table1[[#This Row],[Actual Workload hours]]*60</f>
        <v>390.13333333333327</v>
      </c>
      <c r="U116" s="9">
        <f>CONVERT(Table1[[#This Row],[Actual]]*Table1[[#This Row],[Talk Duration (AVG)]],"day","hr")</f>
        <v>7.8322222222222226</v>
      </c>
      <c r="V116" s="10">
        <f>Table1[[#This Row],[Required Workload Hours]]*60</f>
        <v>469.93333333333334</v>
      </c>
      <c r="W116" s="9">
        <v>1.02</v>
      </c>
      <c r="X116" s="9">
        <f t="shared" si="2"/>
        <v>1.2237847222222222</v>
      </c>
      <c r="Y116" s="5">
        <f t="shared" si="3"/>
        <v>2</v>
      </c>
      <c r="Z116" s="8">
        <f>ROUNDUP(Table1[[#This Row],[Actual Heacount]],0)</f>
        <v>2</v>
      </c>
      <c r="AA116" s="8"/>
      <c r="AB116" s="10"/>
      <c r="AC116" s="10"/>
      <c r="AD116" s="10"/>
      <c r="AE116" s="11">
        <v>74.382501854164161</v>
      </c>
      <c r="AF116" s="11">
        <v>301.7866191165204</v>
      </c>
      <c r="AG116" t="s">
        <v>34</v>
      </c>
    </row>
    <row r="117" spans="1:33">
      <c r="A117" s="2">
        <v>43947</v>
      </c>
      <c r="B117" s="5" t="s">
        <v>37</v>
      </c>
      <c r="C117" s="5">
        <f>WEEKDAY(Table1[[#This Row],[Date]])</f>
        <v>1</v>
      </c>
      <c r="D117" s="5">
        <f>MONTH(Table1[[#This Row],[Date]])</f>
        <v>4</v>
      </c>
      <c r="E117" s="5">
        <f>WEEKNUM(Table1[[#This Row],[Date]])</f>
        <v>18</v>
      </c>
      <c r="F117" s="5">
        <f>YEAR(Table1[[#This Row],[Date]])</f>
        <v>2020</v>
      </c>
      <c r="G117">
        <v>33</v>
      </c>
      <c r="L117" s="5">
        <v>206</v>
      </c>
      <c r="M117" s="6">
        <v>0.97170000000000001</v>
      </c>
      <c r="N117" s="5">
        <v>6</v>
      </c>
      <c r="O117" s="7">
        <v>1.273148148148148E-4</v>
      </c>
      <c r="P117" s="7">
        <v>1.6203703703703703E-3</v>
      </c>
      <c r="Q117" s="7">
        <v>1.261574074074074E-3</v>
      </c>
      <c r="R117" s="6">
        <v>0.89419999999999999</v>
      </c>
      <c r="S117" s="8">
        <f>CONVERT(Table1[[#This Row],[Talk Duration (AVG)]]*Table1[[#This Row],[Answered Calls]],"day","hr")</f>
        <v>8.0111111111111111</v>
      </c>
      <c r="T117" s="9">
        <f>Table1[[#This Row],[Actual Workload hours]]*60</f>
        <v>480.66666666666669</v>
      </c>
      <c r="U117" s="9">
        <f>CONVERT(Table1[[#This Row],[Actual]]*Table1[[#This Row],[Talk Duration (AVG)]],"day","hr")</f>
        <v>1.2833333333333334</v>
      </c>
      <c r="V117" s="10">
        <f>Table1[[#This Row],[Required Workload Hours]]*60</f>
        <v>77</v>
      </c>
      <c r="W117" s="9">
        <v>1.25</v>
      </c>
      <c r="X117" s="9">
        <f t="shared" si="2"/>
        <v>1</v>
      </c>
      <c r="Y117" s="5">
        <f t="shared" si="3"/>
        <v>2</v>
      </c>
      <c r="Z117" s="8">
        <f>ROUNDUP(Table1[[#This Row],[Actual Heacount]],0)</f>
        <v>2</v>
      </c>
      <c r="AA117" s="8"/>
      <c r="AB117" s="10"/>
      <c r="AC117" s="10"/>
      <c r="AD117" s="10"/>
      <c r="AE117" s="11">
        <v>-14.44665766335161</v>
      </c>
      <c r="AF117" s="11">
        <v>199.7151735110908</v>
      </c>
      <c r="AG117" t="s">
        <v>34</v>
      </c>
    </row>
    <row r="118" spans="1:33">
      <c r="A118" s="2">
        <v>43948</v>
      </c>
      <c r="B118" s="5" t="s">
        <v>38</v>
      </c>
      <c r="C118" s="5">
        <f>WEEKDAY(Table1[[#This Row],[Date]])</f>
        <v>2</v>
      </c>
      <c r="D118" s="5">
        <f>MONTH(Table1[[#This Row],[Date]])</f>
        <v>4</v>
      </c>
      <c r="E118" s="5">
        <f>WEEKNUM(Table1[[#This Row],[Date]])</f>
        <v>18</v>
      </c>
      <c r="F118" s="5">
        <f>YEAR(Table1[[#This Row],[Date]])</f>
        <v>2020</v>
      </c>
      <c r="G118">
        <v>298</v>
      </c>
      <c r="L118" s="5">
        <v>32</v>
      </c>
      <c r="M118" s="6">
        <v>0.96970000000000001</v>
      </c>
      <c r="N118" s="5">
        <v>1</v>
      </c>
      <c r="O118" s="7">
        <v>9.2592592592592588E-5</v>
      </c>
      <c r="P118" s="7">
        <v>1.712962962962963E-3</v>
      </c>
      <c r="Q118" s="7">
        <v>6.3657407407407413E-4</v>
      </c>
      <c r="R118" s="6">
        <v>0.90910000000000002</v>
      </c>
      <c r="S118" s="8">
        <f>CONVERT(Table1[[#This Row],[Talk Duration (AVG)]]*Table1[[#This Row],[Answered Calls]],"day","hr")</f>
        <v>1.3155555555555556</v>
      </c>
      <c r="T118" s="9">
        <f>Table1[[#This Row],[Actual Workload hours]]*60</f>
        <v>78.933333333333337</v>
      </c>
      <c r="U118" s="9">
        <f>CONVERT(Table1[[#This Row],[Actual]]*Table1[[#This Row],[Talk Duration (AVG)]],"day","hr")</f>
        <v>12.251111111111113</v>
      </c>
      <c r="V118" s="10">
        <f>Table1[[#This Row],[Required Workload Hours]]*60</f>
        <v>735.06666666666683</v>
      </c>
      <c r="W118" s="9">
        <v>1</v>
      </c>
      <c r="X118" s="9">
        <f t="shared" si="2"/>
        <v>1.9142361111111115</v>
      </c>
      <c r="Y118" s="5">
        <f t="shared" si="3"/>
        <v>1</v>
      </c>
      <c r="Z118" s="8">
        <f>ROUNDUP(Table1[[#This Row],[Actual Heacount]],0)</f>
        <v>1</v>
      </c>
      <c r="AA118" s="8"/>
      <c r="AB118" s="10"/>
      <c r="AC118" s="10"/>
      <c r="AD118" s="10"/>
      <c r="AE118" s="11">
        <v>92.235977443165609</v>
      </c>
      <c r="AF118" s="11">
        <v>313.30253662424929</v>
      </c>
      <c r="AG118" t="s">
        <v>34</v>
      </c>
    </row>
    <row r="119" spans="1:33">
      <c r="A119" s="2">
        <v>43949</v>
      </c>
      <c r="B119" s="5" t="s">
        <v>39</v>
      </c>
      <c r="C119" s="5">
        <f>WEEKDAY(Table1[[#This Row],[Date]])</f>
        <v>3</v>
      </c>
      <c r="D119" s="5">
        <f>MONTH(Table1[[#This Row],[Date]])</f>
        <v>4</v>
      </c>
      <c r="E119" s="5">
        <f>WEEKNUM(Table1[[#This Row],[Date]])</f>
        <v>18</v>
      </c>
      <c r="F119" s="5">
        <f>YEAR(Table1[[#This Row],[Date]])</f>
        <v>2020</v>
      </c>
      <c r="G119">
        <v>158</v>
      </c>
      <c r="L119" s="5">
        <v>287</v>
      </c>
      <c r="M119" s="6">
        <v>0.96309999999999996</v>
      </c>
      <c r="N119" s="5">
        <v>11</v>
      </c>
      <c r="O119" s="7">
        <v>1.5046296296296297E-4</v>
      </c>
      <c r="P119" s="7">
        <v>1.0995370370370371E-3</v>
      </c>
      <c r="Q119" s="7">
        <v>1.9791666666666668E-3</v>
      </c>
      <c r="R119" s="6">
        <v>0.83330000000000004</v>
      </c>
      <c r="S119" s="8">
        <f>CONVERT(Table1[[#This Row],[Talk Duration (AVG)]]*Table1[[#This Row],[Answered Calls]],"day","hr")</f>
        <v>7.5736111111111111</v>
      </c>
      <c r="T119" s="9">
        <f>Table1[[#This Row],[Actual Workload hours]]*60</f>
        <v>454.41666666666669</v>
      </c>
      <c r="U119" s="9">
        <f>CONVERT(Table1[[#This Row],[Actual]]*Table1[[#This Row],[Talk Duration (AVG)]],"day","hr")</f>
        <v>4.1694444444444443</v>
      </c>
      <c r="V119" s="10">
        <f>Table1[[#This Row],[Required Workload Hours]]*60</f>
        <v>250.16666666666666</v>
      </c>
      <c r="W119" s="9">
        <v>1.18</v>
      </c>
      <c r="X119" s="9">
        <f t="shared" si="2"/>
        <v>1</v>
      </c>
      <c r="Y119" s="5">
        <f t="shared" si="3"/>
        <v>2</v>
      </c>
      <c r="Z119" s="8">
        <f>ROUNDUP(Table1[[#This Row],[Actual Heacount]],0)</f>
        <v>2</v>
      </c>
      <c r="AA119" s="8"/>
      <c r="AB119" s="10"/>
      <c r="AC119" s="10"/>
      <c r="AD119" s="10"/>
      <c r="AE119" s="11">
        <v>74.737794483988537</v>
      </c>
      <c r="AF119" s="11">
        <v>301.24619396067573</v>
      </c>
      <c r="AG119" t="s">
        <v>34</v>
      </c>
    </row>
    <row r="120" spans="1:33">
      <c r="A120" s="2">
        <v>43950</v>
      </c>
      <c r="B120" s="5" t="s">
        <v>40</v>
      </c>
      <c r="C120" s="5">
        <f>WEEKDAY(Table1[[#This Row],[Date]])</f>
        <v>4</v>
      </c>
      <c r="D120" s="5">
        <f>MONTH(Table1[[#This Row],[Date]])</f>
        <v>4</v>
      </c>
      <c r="E120" s="5">
        <f>WEEKNUM(Table1[[#This Row],[Date]])</f>
        <v>18</v>
      </c>
      <c r="F120" s="5">
        <f>YEAR(Table1[[#This Row],[Date]])</f>
        <v>2020</v>
      </c>
      <c r="G120">
        <v>156</v>
      </c>
      <c r="L120" s="5">
        <v>156</v>
      </c>
      <c r="M120" s="6">
        <v>0.98729999999999996</v>
      </c>
      <c r="N120" s="5">
        <v>2</v>
      </c>
      <c r="O120" s="7">
        <v>1.273148148148148E-4</v>
      </c>
      <c r="P120" s="7">
        <v>1.6550925925925926E-3</v>
      </c>
      <c r="Q120" s="7">
        <v>1.0648148148148149E-3</v>
      </c>
      <c r="R120" s="6">
        <v>0.89810000000000001</v>
      </c>
      <c r="S120" s="8">
        <f>CONVERT(Table1[[#This Row],[Talk Duration (AVG)]]*Table1[[#This Row],[Answered Calls]],"day","hr")</f>
        <v>6.1966666666666663</v>
      </c>
      <c r="T120" s="9">
        <f>Table1[[#This Row],[Actual Workload hours]]*60</f>
        <v>371.79999999999995</v>
      </c>
      <c r="U120" s="9">
        <f>CONVERT(Table1[[#This Row],[Actual]]*Table1[[#This Row],[Talk Duration (AVG)]],"day","hr")</f>
        <v>6.1966666666666663</v>
      </c>
      <c r="V120" s="10">
        <f>Table1[[#This Row],[Required Workload Hours]]*60</f>
        <v>371.79999999999995</v>
      </c>
      <c r="W120" s="9">
        <v>1</v>
      </c>
      <c r="X120" s="9">
        <f t="shared" si="2"/>
        <v>1</v>
      </c>
      <c r="Y120" s="5">
        <f t="shared" si="3"/>
        <v>2</v>
      </c>
      <c r="Z120" s="8">
        <f>ROUNDUP(Table1[[#This Row],[Actual Heacount]],0)</f>
        <v>1</v>
      </c>
      <c r="AA120" s="8"/>
      <c r="AB120" s="10"/>
      <c r="AC120" s="10"/>
      <c r="AD120" s="10"/>
      <c r="AE120" s="11">
        <v>64.886707270722539</v>
      </c>
      <c r="AF120" s="11">
        <v>299.33322989526903</v>
      </c>
      <c r="AG120" t="s">
        <v>34</v>
      </c>
    </row>
    <row r="121" spans="1:33">
      <c r="A121" s="2">
        <v>43951</v>
      </c>
      <c r="B121" s="5" t="s">
        <v>33</v>
      </c>
      <c r="C121" s="5">
        <f>WEEKDAY(Table1[[#This Row],[Date]])</f>
        <v>5</v>
      </c>
      <c r="D121" s="5">
        <f>MONTH(Table1[[#This Row],[Date]])</f>
        <v>4</v>
      </c>
      <c r="E121" s="5">
        <f>WEEKNUM(Table1[[#This Row],[Date]])</f>
        <v>18</v>
      </c>
      <c r="F121" s="5">
        <f>YEAR(Table1[[#This Row],[Date]])</f>
        <v>2020</v>
      </c>
      <c r="G121">
        <v>163</v>
      </c>
      <c r="L121" s="5">
        <v>154</v>
      </c>
      <c r="M121" s="6">
        <v>0.98719999999999997</v>
      </c>
      <c r="N121" s="5">
        <v>2</v>
      </c>
      <c r="O121" s="7">
        <v>1.3888888888888889E-4</v>
      </c>
      <c r="P121" s="7">
        <v>1.5393518518518519E-3</v>
      </c>
      <c r="Q121" s="7">
        <v>7.0601851851851847E-4</v>
      </c>
      <c r="R121" s="6">
        <v>0.85809999999999997</v>
      </c>
      <c r="S121" s="8">
        <f>CONVERT(Table1[[#This Row],[Talk Duration (AVG)]]*Table1[[#This Row],[Answered Calls]],"day","hr")</f>
        <v>5.6894444444444447</v>
      </c>
      <c r="T121" s="9">
        <f>Table1[[#This Row],[Actual Workload hours]]*60</f>
        <v>341.36666666666667</v>
      </c>
      <c r="U121" s="9">
        <f>CONVERT(Table1[[#This Row],[Actual]]*Table1[[#This Row],[Talk Duration (AVG)]],"day","hr")</f>
        <v>6.0219444444444443</v>
      </c>
      <c r="V121" s="10">
        <f>Table1[[#This Row],[Required Workload Hours]]*60</f>
        <v>361.31666666666666</v>
      </c>
      <c r="W121" s="9">
        <v>1</v>
      </c>
      <c r="X121" s="9">
        <f t="shared" si="2"/>
        <v>1</v>
      </c>
      <c r="Y121" s="5">
        <f t="shared" si="3"/>
        <v>2</v>
      </c>
      <c r="Z121" s="8">
        <f>ROUNDUP(Table1[[#This Row],[Actual Heacount]],0)</f>
        <v>1</v>
      </c>
      <c r="AA121" s="8"/>
      <c r="AB121" s="10"/>
      <c r="AC121" s="10"/>
      <c r="AD121" s="10"/>
      <c r="AE121" s="11">
        <v>76.727918598708754</v>
      </c>
      <c r="AF121" s="11">
        <v>294.94912077508337</v>
      </c>
      <c r="AG121" t="s">
        <v>34</v>
      </c>
    </row>
    <row r="122" spans="1:33">
      <c r="A122" s="2">
        <v>43952</v>
      </c>
      <c r="B122" s="5" t="s">
        <v>35</v>
      </c>
      <c r="C122" s="5">
        <f>WEEKDAY(Table1[[#This Row],[Date]])</f>
        <v>6</v>
      </c>
      <c r="D122" s="5">
        <f>MONTH(Table1[[#This Row],[Date]])</f>
        <v>5</v>
      </c>
      <c r="E122" s="5">
        <f>WEEKNUM(Table1[[#This Row],[Date]])</f>
        <v>18</v>
      </c>
      <c r="F122" s="5">
        <f>YEAR(Table1[[#This Row],[Date]])</f>
        <v>2020</v>
      </c>
      <c r="G122">
        <v>37</v>
      </c>
      <c r="L122" s="5">
        <v>163</v>
      </c>
      <c r="M122" s="6">
        <v>1</v>
      </c>
      <c r="N122" s="5">
        <v>0</v>
      </c>
      <c r="O122" s="7">
        <v>1.1574074074074075E-4</v>
      </c>
      <c r="P122" s="7">
        <v>1.4120370370370369E-3</v>
      </c>
      <c r="Q122" s="7">
        <v>1.9212962962962964E-3</v>
      </c>
      <c r="R122" s="6">
        <v>0.9264</v>
      </c>
      <c r="S122" s="8">
        <f>CONVERT(Table1[[#This Row],[Talk Duration (AVG)]]*Table1[[#This Row],[Answered Calls]],"day","hr")</f>
        <v>5.5238888888888891</v>
      </c>
      <c r="T122" s="9">
        <f>Table1[[#This Row],[Actual Workload hours]]*60</f>
        <v>331.43333333333334</v>
      </c>
      <c r="U122" s="9">
        <f>CONVERT(Table1[[#This Row],[Actual]]*Table1[[#This Row],[Talk Duration (AVG)]],"day","hr")</f>
        <v>1.2538888888888888</v>
      </c>
      <c r="V122" s="10">
        <f>Table1[[#This Row],[Required Workload Hours]]*60</f>
        <v>75.233333333333334</v>
      </c>
      <c r="W122" s="9">
        <v>1</v>
      </c>
      <c r="X122" s="9">
        <f t="shared" si="2"/>
        <v>1</v>
      </c>
      <c r="Y122" s="5">
        <f t="shared" si="3"/>
        <v>2</v>
      </c>
      <c r="Z122" s="8">
        <f>ROUNDUP(Table1[[#This Row],[Actual Heacount]],0)</f>
        <v>1</v>
      </c>
      <c r="AA122" s="8"/>
      <c r="AB122" s="10"/>
      <c r="AC122" s="10"/>
      <c r="AD122" s="10"/>
      <c r="AE122" s="11">
        <v>66.225656339636004</v>
      </c>
      <c r="AF122" s="11">
        <v>288.75380754829479</v>
      </c>
      <c r="AG122" t="s">
        <v>34</v>
      </c>
    </row>
    <row r="123" spans="1:33">
      <c r="A123" s="2">
        <v>43953</v>
      </c>
      <c r="B123" s="5" t="s">
        <v>36</v>
      </c>
      <c r="C123" s="5">
        <f>WEEKDAY(Table1[[#This Row],[Date]])</f>
        <v>7</v>
      </c>
      <c r="D123" s="5">
        <f>MONTH(Table1[[#This Row],[Date]])</f>
        <v>5</v>
      </c>
      <c r="E123" s="5">
        <f>WEEKNUM(Table1[[#This Row],[Date]])</f>
        <v>18</v>
      </c>
      <c r="F123" s="5">
        <f>YEAR(Table1[[#This Row],[Date]])</f>
        <v>2020</v>
      </c>
      <c r="G123">
        <v>201</v>
      </c>
      <c r="L123" s="5">
        <v>98</v>
      </c>
      <c r="M123" s="6">
        <v>1</v>
      </c>
      <c r="N123" s="5">
        <v>0</v>
      </c>
      <c r="O123" s="7">
        <v>8.1018518518518516E-5</v>
      </c>
      <c r="P123" s="7">
        <v>1.5046296296296296E-3</v>
      </c>
      <c r="Q123" s="7">
        <v>8.1018518518518516E-4</v>
      </c>
      <c r="R123" s="6">
        <v>0.93879999999999997</v>
      </c>
      <c r="S123" s="8">
        <f>CONVERT(Table1[[#This Row],[Talk Duration (AVG)]]*Table1[[#This Row],[Answered Calls]],"day","hr")</f>
        <v>3.5388888888888888</v>
      </c>
      <c r="T123" s="9">
        <f>Table1[[#This Row],[Actual Workload hours]]*60</f>
        <v>212.33333333333331</v>
      </c>
      <c r="U123" s="9">
        <f>CONVERT(Table1[[#This Row],[Actual]]*Table1[[#This Row],[Talk Duration (AVG)]],"day","hr")</f>
        <v>7.2583333333333337</v>
      </c>
      <c r="V123" s="10">
        <f>Table1[[#This Row],[Required Workload Hours]]*60</f>
        <v>435.5</v>
      </c>
      <c r="W123" s="9">
        <v>1</v>
      </c>
      <c r="X123" s="9">
        <f t="shared" si="2"/>
        <v>1.1341145833333333</v>
      </c>
      <c r="Y123" s="5">
        <f t="shared" si="3"/>
        <v>2</v>
      </c>
      <c r="Z123" s="8">
        <f>ROUNDUP(Table1[[#This Row],[Actual Heacount]],0)</f>
        <v>1</v>
      </c>
      <c r="AA123" s="8"/>
      <c r="AB123" s="10"/>
      <c r="AC123" s="10"/>
      <c r="AD123" s="10"/>
      <c r="AE123" s="11">
        <v>73.069039568659008</v>
      </c>
      <c r="AF123" s="11">
        <v>295.20140902008501</v>
      </c>
      <c r="AG123" t="s">
        <v>34</v>
      </c>
    </row>
    <row r="124" spans="1:33">
      <c r="A124" s="2">
        <v>43954</v>
      </c>
      <c r="B124" s="5" t="s">
        <v>37</v>
      </c>
      <c r="C124" s="5">
        <f>WEEKDAY(Table1[[#This Row],[Date]])</f>
        <v>1</v>
      </c>
      <c r="D124" s="5">
        <f>MONTH(Table1[[#This Row],[Date]])</f>
        <v>5</v>
      </c>
      <c r="E124" s="5">
        <f>WEEKNUM(Table1[[#This Row],[Date]])</f>
        <v>19</v>
      </c>
      <c r="F124" s="5">
        <f>YEAR(Table1[[#This Row],[Date]])</f>
        <v>2020</v>
      </c>
      <c r="G124">
        <v>225</v>
      </c>
      <c r="L124" s="5">
        <v>249</v>
      </c>
      <c r="M124" s="6">
        <v>0.97650000000000003</v>
      </c>
      <c r="N124" s="5">
        <v>6</v>
      </c>
      <c r="O124" s="7">
        <v>1.7361111111111112E-4</v>
      </c>
      <c r="P124" s="7">
        <v>1.6087962962962963E-3</v>
      </c>
      <c r="Q124" s="7">
        <v>3.8310185185185183E-3</v>
      </c>
      <c r="R124" s="6">
        <v>0.82679999999999998</v>
      </c>
      <c r="S124" s="8">
        <f>CONVERT(Table1[[#This Row],[Talk Duration (AVG)]]*Table1[[#This Row],[Answered Calls]],"day","hr")</f>
        <v>9.6141666666666659</v>
      </c>
      <c r="T124" s="9">
        <f>Table1[[#This Row],[Actual Workload hours]]*60</f>
        <v>576.84999999999991</v>
      </c>
      <c r="U124" s="9">
        <f>CONVERT(Table1[[#This Row],[Actual]]*Table1[[#This Row],[Talk Duration (AVG)]],"day","hr")</f>
        <v>8.6875</v>
      </c>
      <c r="V124" s="10">
        <f>Table1[[#This Row],[Required Workload Hours]]*60</f>
        <v>521.25</v>
      </c>
      <c r="W124" s="9">
        <v>1.5</v>
      </c>
      <c r="X124" s="9">
        <f t="shared" si="2"/>
        <v>1.357421875</v>
      </c>
      <c r="Y124" s="5">
        <f t="shared" si="3"/>
        <v>2</v>
      </c>
      <c r="Z124" s="8">
        <f>ROUNDUP(Table1[[#This Row],[Actual Heacount]],0)</f>
        <v>2</v>
      </c>
      <c r="AA124" s="8"/>
      <c r="AB124" s="10"/>
      <c r="AC124" s="10"/>
      <c r="AD124" s="10"/>
      <c r="AE124" s="11">
        <v>-4.9524207096625084</v>
      </c>
      <c r="AF124" s="11">
        <v>205.08495778554089</v>
      </c>
      <c r="AG124" t="s">
        <v>34</v>
      </c>
    </row>
    <row r="125" spans="1:33">
      <c r="A125" s="2">
        <v>43955</v>
      </c>
      <c r="B125" s="5" t="s">
        <v>38</v>
      </c>
      <c r="C125" s="5">
        <f>WEEKDAY(Table1[[#This Row],[Date]])</f>
        <v>2</v>
      </c>
      <c r="D125" s="5">
        <f>MONTH(Table1[[#This Row],[Date]])</f>
        <v>5</v>
      </c>
      <c r="E125" s="5">
        <f>WEEKNUM(Table1[[#This Row],[Date]])</f>
        <v>19</v>
      </c>
      <c r="F125" s="5">
        <f>YEAR(Table1[[#This Row],[Date]])</f>
        <v>2020</v>
      </c>
      <c r="G125">
        <v>53</v>
      </c>
      <c r="L125" s="5">
        <v>49</v>
      </c>
      <c r="M125" s="6">
        <v>0.98</v>
      </c>
      <c r="N125" s="5">
        <v>1</v>
      </c>
      <c r="O125" s="7">
        <v>9.2592592592592588E-5</v>
      </c>
      <c r="P125" s="7">
        <v>1.4120370370370369E-3</v>
      </c>
      <c r="Q125" s="7">
        <v>6.5972222222222224E-4</v>
      </c>
      <c r="R125" s="6">
        <v>0.92</v>
      </c>
      <c r="S125" s="8">
        <f>CONVERT(Table1[[#This Row],[Talk Duration (AVG)]]*Table1[[#This Row],[Answered Calls]],"day","hr")</f>
        <v>1.6605555555555556</v>
      </c>
      <c r="T125" s="9">
        <f>Table1[[#This Row],[Actual Workload hours]]*60</f>
        <v>99.63333333333334</v>
      </c>
      <c r="U125" s="9">
        <f>CONVERT(Table1[[#This Row],[Actual]]*Table1[[#This Row],[Talk Duration (AVG)]],"day","hr")</f>
        <v>1.7961111111111108</v>
      </c>
      <c r="V125" s="10">
        <f>Table1[[#This Row],[Required Workload Hours]]*60</f>
        <v>107.76666666666665</v>
      </c>
      <c r="W125" s="9">
        <v>1</v>
      </c>
      <c r="X125" s="9">
        <f t="shared" si="2"/>
        <v>1</v>
      </c>
      <c r="Y125" s="5">
        <f t="shared" si="3"/>
        <v>1</v>
      </c>
      <c r="Z125" s="8">
        <f>ROUNDUP(Table1[[#This Row],[Actual Heacount]],0)</f>
        <v>1</v>
      </c>
      <c r="AA125" s="8"/>
      <c r="AB125" s="10"/>
      <c r="AC125" s="10"/>
      <c r="AD125" s="10"/>
      <c r="AE125" s="11">
        <v>85.449229123829411</v>
      </c>
      <c r="AF125" s="11">
        <v>309.81733021817962</v>
      </c>
      <c r="AG125" t="s">
        <v>34</v>
      </c>
    </row>
    <row r="126" spans="1:33">
      <c r="A126" s="2">
        <v>43956</v>
      </c>
      <c r="B126" s="5" t="s">
        <v>39</v>
      </c>
      <c r="C126" s="5">
        <f>WEEKDAY(Table1[[#This Row],[Date]])</f>
        <v>3</v>
      </c>
      <c r="D126" s="5">
        <f>MONTH(Table1[[#This Row],[Date]])</f>
        <v>5</v>
      </c>
      <c r="E126" s="5">
        <f>WEEKNUM(Table1[[#This Row],[Date]])</f>
        <v>19</v>
      </c>
      <c r="F126" s="5">
        <f>YEAR(Table1[[#This Row],[Date]])</f>
        <v>2020</v>
      </c>
      <c r="G126">
        <v>296</v>
      </c>
      <c r="L126" s="5">
        <v>289</v>
      </c>
      <c r="M126" s="6">
        <v>0.99660000000000004</v>
      </c>
      <c r="N126" s="5">
        <v>1</v>
      </c>
      <c r="O126" s="7">
        <v>1.3888888888888889E-4</v>
      </c>
      <c r="P126" s="7">
        <v>1.4004629629629629E-3</v>
      </c>
      <c r="Q126" s="7">
        <v>8.1018518518518516E-4</v>
      </c>
      <c r="R126" s="6">
        <v>0.89270000000000005</v>
      </c>
      <c r="S126" s="8">
        <f>CONVERT(Table1[[#This Row],[Talk Duration (AVG)]]*Table1[[#This Row],[Answered Calls]],"day","hr")</f>
        <v>9.7136111111111116</v>
      </c>
      <c r="T126" s="9">
        <f>Table1[[#This Row],[Actual Workload hours]]*60</f>
        <v>582.81666666666672</v>
      </c>
      <c r="U126" s="9">
        <f>CONVERT(Table1[[#This Row],[Actual]]*Table1[[#This Row],[Talk Duration (AVG)]],"day","hr")</f>
        <v>9.948888888888888</v>
      </c>
      <c r="V126" s="10">
        <f>Table1[[#This Row],[Required Workload Hours]]*60</f>
        <v>596.93333333333328</v>
      </c>
      <c r="W126" s="9">
        <v>1.52</v>
      </c>
      <c r="X126" s="9">
        <f t="shared" si="2"/>
        <v>1.5545138888888888</v>
      </c>
      <c r="Y126" s="5">
        <f t="shared" si="3"/>
        <v>2</v>
      </c>
      <c r="Z126" s="8">
        <f>ROUNDUP(Table1[[#This Row],[Actual Heacount]],0)</f>
        <v>2</v>
      </c>
      <c r="AA126" s="8"/>
      <c r="AB126" s="10"/>
      <c r="AC126" s="10"/>
      <c r="AD126" s="10"/>
      <c r="AE126" s="11">
        <v>68.146627336044617</v>
      </c>
      <c r="AF126" s="11">
        <v>289.20846171521657</v>
      </c>
      <c r="AG126" t="s">
        <v>34</v>
      </c>
    </row>
    <row r="127" spans="1:33">
      <c r="A127" s="2">
        <v>43957</v>
      </c>
      <c r="B127" s="5" t="s">
        <v>40</v>
      </c>
      <c r="C127" s="5">
        <f>WEEKDAY(Table1[[#This Row],[Date]])</f>
        <v>4</v>
      </c>
      <c r="D127" s="5">
        <f>MONTH(Table1[[#This Row],[Date]])</f>
        <v>5</v>
      </c>
      <c r="E127" s="5">
        <f>WEEKNUM(Table1[[#This Row],[Date]])</f>
        <v>19</v>
      </c>
      <c r="F127" s="5">
        <f>YEAR(Table1[[#This Row],[Date]])</f>
        <v>2020</v>
      </c>
      <c r="G127">
        <v>28</v>
      </c>
      <c r="L127" s="5">
        <v>281</v>
      </c>
      <c r="M127" s="6">
        <v>0.94930000000000003</v>
      </c>
      <c r="N127" s="5">
        <v>15</v>
      </c>
      <c r="O127" s="7">
        <v>2.5462962962962961E-4</v>
      </c>
      <c r="P127" s="7">
        <v>1.4814814814814814E-3</v>
      </c>
      <c r="Q127" s="7">
        <v>3.1250000000000002E-3</v>
      </c>
      <c r="R127" s="6">
        <v>0.73540000000000005</v>
      </c>
      <c r="S127" s="8">
        <f>CONVERT(Table1[[#This Row],[Talk Duration (AVG)]]*Table1[[#This Row],[Answered Calls]],"day","hr")</f>
        <v>9.9911111111111115</v>
      </c>
      <c r="T127" s="9">
        <f>Table1[[#This Row],[Actual Workload hours]]*60</f>
        <v>599.4666666666667</v>
      </c>
      <c r="U127" s="9">
        <f>CONVERT(Table1[[#This Row],[Actual]]*Table1[[#This Row],[Talk Duration (AVG)]],"day","hr")</f>
        <v>0.99555555555555553</v>
      </c>
      <c r="V127" s="10">
        <f>Table1[[#This Row],[Required Workload Hours]]*60</f>
        <v>59.733333333333334</v>
      </c>
      <c r="W127" s="9">
        <v>1.56</v>
      </c>
      <c r="X127" s="9">
        <f t="shared" si="2"/>
        <v>1</v>
      </c>
      <c r="Y127" s="5">
        <f t="shared" si="3"/>
        <v>2</v>
      </c>
      <c r="Z127" s="8">
        <f>ROUNDUP(Table1[[#This Row],[Actual Heacount]],0)</f>
        <v>2</v>
      </c>
      <c r="AA127" s="8"/>
      <c r="AB127" s="10"/>
      <c r="AC127" s="10"/>
      <c r="AD127" s="10"/>
      <c r="AE127" s="11">
        <v>80.564500867461433</v>
      </c>
      <c r="AF127" s="11">
        <v>303.7274306261869</v>
      </c>
      <c r="AG127" t="s">
        <v>34</v>
      </c>
    </row>
    <row r="128" spans="1:33">
      <c r="A128" s="2">
        <v>43958</v>
      </c>
      <c r="B128" s="5" t="s">
        <v>33</v>
      </c>
      <c r="C128" s="5">
        <f>WEEKDAY(Table1[[#This Row],[Date]])</f>
        <v>5</v>
      </c>
      <c r="D128" s="5">
        <f>MONTH(Table1[[#This Row],[Date]])</f>
        <v>5</v>
      </c>
      <c r="E128" s="5">
        <f>WEEKNUM(Table1[[#This Row],[Date]])</f>
        <v>19</v>
      </c>
      <c r="F128" s="5">
        <f>YEAR(Table1[[#This Row],[Date]])</f>
        <v>2020</v>
      </c>
      <c r="G128">
        <v>54</v>
      </c>
      <c r="L128" s="5">
        <v>257</v>
      </c>
      <c r="M128" s="6">
        <v>0.98850000000000005</v>
      </c>
      <c r="N128" s="5">
        <v>3</v>
      </c>
      <c r="O128" s="7">
        <v>1.9675925925925926E-4</v>
      </c>
      <c r="P128" s="7">
        <v>1.5393518518518519E-3</v>
      </c>
      <c r="Q128" s="7">
        <v>9.2592592592592596E-4</v>
      </c>
      <c r="R128" s="6">
        <v>0.87160000000000004</v>
      </c>
      <c r="S128" s="8">
        <f>CONVERT(Table1[[#This Row],[Talk Duration (AVG)]]*Table1[[#This Row],[Answered Calls]],"day","hr")</f>
        <v>9.4947222222222223</v>
      </c>
      <c r="T128" s="9">
        <f>Table1[[#This Row],[Actual Workload hours]]*60</f>
        <v>569.68333333333339</v>
      </c>
      <c r="U128" s="9">
        <f>CONVERT(Table1[[#This Row],[Actual]]*Table1[[#This Row],[Talk Duration (AVG)]],"day","hr")</f>
        <v>1.9950000000000001</v>
      </c>
      <c r="V128" s="10">
        <f>Table1[[#This Row],[Required Workload Hours]]*60</f>
        <v>119.7</v>
      </c>
      <c r="W128" s="9">
        <v>1.48</v>
      </c>
      <c r="X128" s="9">
        <f t="shared" si="2"/>
        <v>1</v>
      </c>
      <c r="Y128" s="5">
        <f t="shared" si="3"/>
        <v>2</v>
      </c>
      <c r="Z128" s="8">
        <f>ROUNDUP(Table1[[#This Row],[Actual Heacount]],0)</f>
        <v>2</v>
      </c>
      <c r="AA128" s="8"/>
      <c r="AB128" s="10"/>
      <c r="AC128" s="10"/>
      <c r="AD128" s="10"/>
      <c r="AE128" s="11">
        <v>75.598188957969739</v>
      </c>
      <c r="AF128" s="11">
        <v>299.88711487175578</v>
      </c>
      <c r="AG128" t="s">
        <v>34</v>
      </c>
    </row>
    <row r="129" spans="1:33">
      <c r="A129" s="2">
        <v>43959</v>
      </c>
      <c r="B129" s="5" t="s">
        <v>35</v>
      </c>
      <c r="C129" s="5">
        <f>WEEKDAY(Table1[[#This Row],[Date]])</f>
        <v>6</v>
      </c>
      <c r="D129" s="5">
        <f>MONTH(Table1[[#This Row],[Date]])</f>
        <v>5</v>
      </c>
      <c r="E129" s="5">
        <f>WEEKNUM(Table1[[#This Row],[Date]])</f>
        <v>19</v>
      </c>
      <c r="F129" s="5">
        <f>YEAR(Table1[[#This Row],[Date]])</f>
        <v>2020</v>
      </c>
      <c r="G129">
        <v>229</v>
      </c>
      <c r="L129" s="5">
        <v>193</v>
      </c>
      <c r="M129" s="6">
        <v>0.96020000000000005</v>
      </c>
      <c r="N129" s="5">
        <v>8</v>
      </c>
      <c r="O129" s="7">
        <v>2.199074074074074E-4</v>
      </c>
      <c r="P129" s="7">
        <v>1.6550925925925926E-3</v>
      </c>
      <c r="Q129" s="7">
        <v>1.4120370370370369E-3</v>
      </c>
      <c r="R129" s="6">
        <v>0.76770000000000005</v>
      </c>
      <c r="S129" s="8">
        <f>CONVERT(Table1[[#This Row],[Talk Duration (AVG)]]*Table1[[#This Row],[Answered Calls]],"day","hr")</f>
        <v>7.6663888888888891</v>
      </c>
      <c r="T129" s="9">
        <f>Table1[[#This Row],[Actual Workload hours]]*60</f>
        <v>459.98333333333335</v>
      </c>
      <c r="U129" s="9">
        <f>CONVERT(Table1[[#This Row],[Actual]]*Table1[[#This Row],[Talk Duration (AVG)]],"day","hr")</f>
        <v>9.0963888888888889</v>
      </c>
      <c r="V129" s="10">
        <f>Table1[[#This Row],[Required Workload Hours]]*60</f>
        <v>545.7833333333333</v>
      </c>
      <c r="W129" s="9">
        <v>1.2</v>
      </c>
      <c r="X129" s="9">
        <f t="shared" si="2"/>
        <v>1.4213107638888889</v>
      </c>
      <c r="Y129" s="5">
        <f t="shared" si="3"/>
        <v>2</v>
      </c>
      <c r="Z129" s="8">
        <f>ROUNDUP(Table1[[#This Row],[Actual Heacount]],0)</f>
        <v>2</v>
      </c>
      <c r="AA129" s="8"/>
      <c r="AB129" s="10"/>
      <c r="AC129" s="10"/>
      <c r="AD129" s="10"/>
      <c r="AE129" s="11">
        <v>72.369738990032374</v>
      </c>
      <c r="AF129" s="11">
        <v>283.66907587339608</v>
      </c>
      <c r="AG129" t="s">
        <v>34</v>
      </c>
    </row>
    <row r="130" spans="1:33">
      <c r="A130" s="2">
        <v>43960</v>
      </c>
      <c r="B130" s="5" t="s">
        <v>36</v>
      </c>
      <c r="C130" s="5">
        <f>WEEKDAY(Table1[[#This Row],[Date]])</f>
        <v>7</v>
      </c>
      <c r="D130" s="5">
        <f>MONTH(Table1[[#This Row],[Date]])</f>
        <v>5</v>
      </c>
      <c r="E130" s="5">
        <f>WEEKNUM(Table1[[#This Row],[Date]])</f>
        <v>19</v>
      </c>
      <c r="F130" s="5">
        <f>YEAR(Table1[[#This Row],[Date]])</f>
        <v>2020</v>
      </c>
      <c r="G130">
        <v>217</v>
      </c>
      <c r="L130" s="5">
        <v>131</v>
      </c>
      <c r="M130" s="6">
        <v>0.99239999999999995</v>
      </c>
      <c r="N130" s="5">
        <v>1</v>
      </c>
      <c r="O130" s="7">
        <v>1.9675925925925926E-4</v>
      </c>
      <c r="P130" s="7">
        <v>1.5393518518518519E-3</v>
      </c>
      <c r="Q130" s="7">
        <v>1.0416666666666667E-3</v>
      </c>
      <c r="R130" s="6">
        <v>0.76519999999999999</v>
      </c>
      <c r="S130" s="8">
        <f>CONVERT(Table1[[#This Row],[Talk Duration (AVG)]]*Table1[[#This Row],[Answered Calls]],"day","hr")</f>
        <v>4.839722222222222</v>
      </c>
      <c r="T130" s="9">
        <f>Table1[[#This Row],[Actual Workload hours]]*60</f>
        <v>290.38333333333333</v>
      </c>
      <c r="U130" s="9">
        <f>CONVERT(Table1[[#This Row],[Actual]]*Table1[[#This Row],[Talk Duration (AVG)]],"day","hr")</f>
        <v>8.0169444444444444</v>
      </c>
      <c r="V130" s="10">
        <f>Table1[[#This Row],[Required Workload Hours]]*60</f>
        <v>481.01666666666665</v>
      </c>
      <c r="W130" s="9">
        <v>1</v>
      </c>
      <c r="X130" s="9">
        <f t="shared" si="2"/>
        <v>1.2526475694444443</v>
      </c>
      <c r="Y130" s="5">
        <f t="shared" si="3"/>
        <v>2</v>
      </c>
      <c r="Z130" s="8">
        <f>ROUNDUP(Table1[[#This Row],[Actual Heacount]],0)</f>
        <v>1</v>
      </c>
      <c r="AA130" s="8"/>
      <c r="AB130" s="10"/>
      <c r="AC130" s="10"/>
      <c r="AD130" s="10"/>
      <c r="AE130" s="11">
        <v>63.265628395499462</v>
      </c>
      <c r="AF130" s="11">
        <v>284.51231479588688</v>
      </c>
      <c r="AG130" t="s">
        <v>34</v>
      </c>
    </row>
    <row r="131" spans="1:33">
      <c r="A131" s="2">
        <v>43961</v>
      </c>
      <c r="B131" s="5" t="s">
        <v>37</v>
      </c>
      <c r="C131" s="5">
        <f>WEEKDAY(Table1[[#This Row],[Date]])</f>
        <v>1</v>
      </c>
      <c r="D131" s="5">
        <f>MONTH(Table1[[#This Row],[Date]])</f>
        <v>5</v>
      </c>
      <c r="E131" s="5">
        <f>WEEKNUM(Table1[[#This Row],[Date]])</f>
        <v>20</v>
      </c>
      <c r="F131" s="5">
        <f>YEAR(Table1[[#This Row],[Date]])</f>
        <v>2020</v>
      </c>
      <c r="G131">
        <v>225</v>
      </c>
      <c r="L131" s="5">
        <v>165</v>
      </c>
      <c r="M131" s="6">
        <v>0.98799999999999999</v>
      </c>
      <c r="N131" s="5">
        <v>2</v>
      </c>
      <c r="O131" s="7">
        <v>1.0416666666666667E-4</v>
      </c>
      <c r="P131" s="7">
        <v>1.4583333333333334E-3</v>
      </c>
      <c r="Q131" s="7">
        <v>6.5972222222222224E-4</v>
      </c>
      <c r="R131" s="6">
        <v>0.92120000000000002</v>
      </c>
      <c r="S131" s="8">
        <f>CONVERT(Table1[[#This Row],[Talk Duration (AVG)]]*Table1[[#This Row],[Answered Calls]],"day","hr")</f>
        <v>5.7750000000000004</v>
      </c>
      <c r="T131" s="9">
        <f>Table1[[#This Row],[Actual Workload hours]]*60</f>
        <v>346.5</v>
      </c>
      <c r="U131" s="9">
        <f>CONVERT(Table1[[#This Row],[Actual]]*Table1[[#This Row],[Talk Duration (AVG)]],"day","hr")</f>
        <v>7.875</v>
      </c>
      <c r="V131" s="10">
        <f>Table1[[#This Row],[Required Workload Hours]]*60</f>
        <v>472.5</v>
      </c>
      <c r="W131" s="9">
        <v>1</v>
      </c>
      <c r="X131" s="9">
        <f t="shared" ref="X131:X194" si="4">IF(V131&lt;384,1,(V131/384))</f>
        <v>1.23046875</v>
      </c>
      <c r="Y131" s="5">
        <f t="shared" ref="Y131:Y194" si="5">IF(B131="Sunday",1,2)</f>
        <v>2</v>
      </c>
      <c r="Z131" s="8">
        <f>ROUNDUP(Table1[[#This Row],[Actual Heacount]],0)</f>
        <v>1</v>
      </c>
      <c r="AA131" s="8"/>
      <c r="AB131" s="10"/>
      <c r="AC131" s="10"/>
      <c r="AD131" s="10"/>
      <c r="AE131" s="11">
        <v>-12.220696355762909</v>
      </c>
      <c r="AF131" s="11">
        <v>212.31821990212981</v>
      </c>
      <c r="AG131" t="s">
        <v>34</v>
      </c>
    </row>
    <row r="132" spans="1:33">
      <c r="A132" s="2">
        <v>43962</v>
      </c>
      <c r="B132" s="5" t="s">
        <v>38</v>
      </c>
      <c r="C132" s="5">
        <f>WEEKDAY(Table1[[#This Row],[Date]])</f>
        <v>2</v>
      </c>
      <c r="D132" s="5">
        <f>MONTH(Table1[[#This Row],[Date]])</f>
        <v>5</v>
      </c>
      <c r="E132" s="5">
        <f>WEEKNUM(Table1[[#This Row],[Date]])</f>
        <v>20</v>
      </c>
      <c r="F132" s="5">
        <f>YEAR(Table1[[#This Row],[Date]])</f>
        <v>2020</v>
      </c>
      <c r="G132">
        <v>240</v>
      </c>
      <c r="L132" s="5">
        <v>79</v>
      </c>
      <c r="M132" s="6">
        <v>0.9294</v>
      </c>
      <c r="N132" s="5">
        <v>6</v>
      </c>
      <c r="O132" s="7">
        <v>2.0833333333333335E-4</v>
      </c>
      <c r="P132" s="7">
        <v>1.6782407407407408E-3</v>
      </c>
      <c r="Q132" s="7">
        <v>1.3078703703703703E-3</v>
      </c>
      <c r="R132" s="6">
        <v>0.77380000000000004</v>
      </c>
      <c r="S132" s="8">
        <f>CONVERT(Table1[[#This Row],[Talk Duration (AVG)]]*Table1[[#This Row],[Answered Calls]],"day","hr")</f>
        <v>3.1819444444444445</v>
      </c>
      <c r="T132" s="9">
        <f>Table1[[#This Row],[Actual Workload hours]]*60</f>
        <v>190.91666666666666</v>
      </c>
      <c r="U132" s="9">
        <f>CONVERT(Table1[[#This Row],[Actual]]*Table1[[#This Row],[Talk Duration (AVG)]],"day","hr")</f>
        <v>9.6666666666666661</v>
      </c>
      <c r="V132" s="10">
        <f>Table1[[#This Row],[Required Workload Hours]]*60</f>
        <v>580</v>
      </c>
      <c r="W132" s="9">
        <v>1</v>
      </c>
      <c r="X132" s="9">
        <f t="shared" si="4"/>
        <v>1.5104166666666667</v>
      </c>
      <c r="Y132" s="5">
        <f t="shared" si="5"/>
        <v>1</v>
      </c>
      <c r="Z132" s="8">
        <f>ROUNDUP(Table1[[#This Row],[Actual Heacount]],0)</f>
        <v>1</v>
      </c>
      <c r="AA132" s="8"/>
      <c r="AB132" s="10"/>
      <c r="AC132" s="10"/>
      <c r="AD132" s="10"/>
      <c r="AE132" s="11">
        <v>90.24897876873348</v>
      </c>
      <c r="AF132" s="11">
        <v>305.66026704337838</v>
      </c>
      <c r="AG132" t="s">
        <v>34</v>
      </c>
    </row>
    <row r="133" spans="1:33">
      <c r="A133" s="2">
        <v>43963</v>
      </c>
      <c r="B133" s="5" t="s">
        <v>39</v>
      </c>
      <c r="C133" s="5">
        <f>WEEKDAY(Table1[[#This Row],[Date]])</f>
        <v>3</v>
      </c>
      <c r="D133" s="5">
        <f>MONTH(Table1[[#This Row],[Date]])</f>
        <v>5</v>
      </c>
      <c r="E133" s="5">
        <f>WEEKNUM(Table1[[#This Row],[Date]])</f>
        <v>20</v>
      </c>
      <c r="F133" s="5">
        <f>YEAR(Table1[[#This Row],[Date]])</f>
        <v>2020</v>
      </c>
      <c r="G133">
        <v>211</v>
      </c>
      <c r="L133" s="5">
        <v>236</v>
      </c>
      <c r="M133" s="6">
        <v>0.96719999999999995</v>
      </c>
      <c r="N133" s="5">
        <v>8</v>
      </c>
      <c r="O133" s="7">
        <v>2.4305555555555555E-4</v>
      </c>
      <c r="P133" s="7">
        <v>1.724537037037037E-3</v>
      </c>
      <c r="Q133" s="7">
        <v>1.3425925925925925E-3</v>
      </c>
      <c r="R133" s="6">
        <v>0.75619999999999998</v>
      </c>
      <c r="S133" s="8">
        <f>CONVERT(Table1[[#This Row],[Talk Duration (AVG)]]*Table1[[#This Row],[Answered Calls]],"day","hr")</f>
        <v>9.767777777777777</v>
      </c>
      <c r="T133" s="9">
        <f>Table1[[#This Row],[Actual Workload hours]]*60</f>
        <v>586.06666666666661</v>
      </c>
      <c r="U133" s="9">
        <f>CONVERT(Table1[[#This Row],[Actual]]*Table1[[#This Row],[Talk Duration (AVG)]],"day","hr")</f>
        <v>8.7330555555555556</v>
      </c>
      <c r="V133" s="10">
        <f>Table1[[#This Row],[Required Workload Hours]]*60</f>
        <v>523.98333333333335</v>
      </c>
      <c r="W133" s="9">
        <v>1.53</v>
      </c>
      <c r="X133" s="9">
        <f t="shared" si="4"/>
        <v>1.3645399305555557</v>
      </c>
      <c r="Y133" s="5">
        <f t="shared" si="5"/>
        <v>2</v>
      </c>
      <c r="Z133" s="8">
        <f>ROUNDUP(Table1[[#This Row],[Actual Heacount]],0)</f>
        <v>2</v>
      </c>
      <c r="AA133" s="8"/>
      <c r="AB133" s="10"/>
      <c r="AC133" s="10"/>
      <c r="AD133" s="10"/>
      <c r="AE133" s="11">
        <v>66.993733806222252</v>
      </c>
      <c r="AF133" s="11">
        <v>284.93420495694971</v>
      </c>
      <c r="AG133" t="s">
        <v>34</v>
      </c>
    </row>
    <row r="134" spans="1:33">
      <c r="A134" s="2">
        <v>43964</v>
      </c>
      <c r="B134" s="5" t="s">
        <v>40</v>
      </c>
      <c r="C134" s="5">
        <f>WEEKDAY(Table1[[#This Row],[Date]])</f>
        <v>4</v>
      </c>
      <c r="D134" s="5">
        <f>MONTH(Table1[[#This Row],[Date]])</f>
        <v>5</v>
      </c>
      <c r="E134" s="5">
        <f>WEEKNUM(Table1[[#This Row],[Date]])</f>
        <v>20</v>
      </c>
      <c r="F134" s="5">
        <f>YEAR(Table1[[#This Row],[Date]])</f>
        <v>2020</v>
      </c>
      <c r="G134">
        <v>278</v>
      </c>
      <c r="L134" s="5">
        <v>182</v>
      </c>
      <c r="M134" s="6">
        <v>0.97850000000000004</v>
      </c>
      <c r="N134" s="5">
        <v>4</v>
      </c>
      <c r="O134" s="7">
        <v>1.6203703703703703E-4</v>
      </c>
      <c r="P134" s="7">
        <v>1.5393518518518519E-3</v>
      </c>
      <c r="Q134" s="7">
        <v>1.1342592592592593E-3</v>
      </c>
      <c r="R134" s="6">
        <v>0.7903</v>
      </c>
      <c r="S134" s="8">
        <f>CONVERT(Table1[[#This Row],[Talk Duration (AVG)]]*Table1[[#This Row],[Answered Calls]],"day","hr")</f>
        <v>6.7238888888888875</v>
      </c>
      <c r="T134" s="9">
        <f>Table1[[#This Row],[Actual Workload hours]]*60</f>
        <v>403.43333333333322</v>
      </c>
      <c r="U134" s="9">
        <f>CONVERT(Table1[[#This Row],[Actual]]*Table1[[#This Row],[Talk Duration (AVG)]],"day","hr")</f>
        <v>10.270555555555555</v>
      </c>
      <c r="V134" s="10">
        <f>Table1[[#This Row],[Required Workload Hours]]*60</f>
        <v>616.23333333333335</v>
      </c>
      <c r="W134" s="9">
        <v>1.05</v>
      </c>
      <c r="X134" s="9">
        <f t="shared" si="4"/>
        <v>1.6047743055555557</v>
      </c>
      <c r="Y134" s="5">
        <f t="shared" si="5"/>
        <v>2</v>
      </c>
      <c r="Z134" s="8">
        <f>ROUNDUP(Table1[[#This Row],[Actual Heacount]],0)</f>
        <v>2</v>
      </c>
      <c r="AA134" s="8"/>
      <c r="AB134" s="10"/>
      <c r="AC134" s="10"/>
      <c r="AD134" s="10"/>
      <c r="AE134" s="11">
        <v>86.505945571231479</v>
      </c>
      <c r="AF134" s="11">
        <v>299.66534785385312</v>
      </c>
      <c r="AG134" t="s">
        <v>34</v>
      </c>
    </row>
    <row r="135" spans="1:33">
      <c r="A135" s="2">
        <v>43965</v>
      </c>
      <c r="B135" s="5" t="s">
        <v>33</v>
      </c>
      <c r="C135" s="5">
        <f>WEEKDAY(Table1[[#This Row],[Date]])</f>
        <v>5</v>
      </c>
      <c r="D135" s="5">
        <f>MONTH(Table1[[#This Row],[Date]])</f>
        <v>5</v>
      </c>
      <c r="E135" s="5">
        <f>WEEKNUM(Table1[[#This Row],[Date]])</f>
        <v>20</v>
      </c>
      <c r="F135" s="5">
        <f>YEAR(Table1[[#This Row],[Date]])</f>
        <v>2020</v>
      </c>
      <c r="G135">
        <v>272</v>
      </c>
      <c r="L135" s="5">
        <v>264</v>
      </c>
      <c r="M135" s="6">
        <v>0.9496</v>
      </c>
      <c r="N135" s="5">
        <v>14</v>
      </c>
      <c r="O135" s="7">
        <v>2.199074074074074E-4</v>
      </c>
      <c r="P135" s="7">
        <v>1.6203703703703703E-3</v>
      </c>
      <c r="Q135" s="7">
        <v>1.5046296296296296E-3</v>
      </c>
      <c r="R135" s="6">
        <v>0.76839999999999997</v>
      </c>
      <c r="S135" s="8">
        <f>CONVERT(Table1[[#This Row],[Talk Duration (AVG)]]*Table1[[#This Row],[Answered Calls]],"day","hr")</f>
        <v>10.266666666666667</v>
      </c>
      <c r="T135" s="9">
        <f>Table1[[#This Row],[Actual Workload hours]]*60</f>
        <v>616</v>
      </c>
      <c r="U135" s="9">
        <f>CONVERT(Table1[[#This Row],[Actual]]*Table1[[#This Row],[Talk Duration (AVG)]],"day","hr")</f>
        <v>10.577777777777778</v>
      </c>
      <c r="V135" s="10">
        <f>Table1[[#This Row],[Required Workload Hours]]*60</f>
        <v>634.66666666666663</v>
      </c>
      <c r="W135" s="9">
        <v>1.6</v>
      </c>
      <c r="X135" s="9">
        <f t="shared" si="4"/>
        <v>1.6527777777777777</v>
      </c>
      <c r="Y135" s="5">
        <f t="shared" si="5"/>
        <v>2</v>
      </c>
      <c r="Z135" s="8">
        <f>ROUNDUP(Table1[[#This Row],[Actual Heacount]],0)</f>
        <v>2</v>
      </c>
      <c r="AA135" s="8"/>
      <c r="AB135" s="10"/>
      <c r="AC135" s="10"/>
      <c r="AD135" s="10"/>
      <c r="AE135" s="11">
        <v>75.253830017788061</v>
      </c>
      <c r="AF135" s="11">
        <v>289.17833021861929</v>
      </c>
      <c r="AG135" t="s">
        <v>34</v>
      </c>
    </row>
    <row r="136" spans="1:33">
      <c r="A136" s="2">
        <v>43966</v>
      </c>
      <c r="B136" s="5" t="s">
        <v>35</v>
      </c>
      <c r="C136" s="5">
        <f>WEEKDAY(Table1[[#This Row],[Date]])</f>
        <v>6</v>
      </c>
      <c r="D136" s="5">
        <f>MONTH(Table1[[#This Row],[Date]])</f>
        <v>5</v>
      </c>
      <c r="E136" s="5">
        <f>WEEKNUM(Table1[[#This Row],[Date]])</f>
        <v>20</v>
      </c>
      <c r="F136" s="5">
        <f>YEAR(Table1[[#This Row],[Date]])</f>
        <v>2020</v>
      </c>
      <c r="G136">
        <v>218</v>
      </c>
      <c r="L136" s="5">
        <v>268</v>
      </c>
      <c r="M136" s="6">
        <v>0.98529999999999995</v>
      </c>
      <c r="N136" s="5">
        <v>4</v>
      </c>
      <c r="O136" s="7">
        <v>1.7361111111111112E-4</v>
      </c>
      <c r="P136" s="7">
        <v>1.736111111111111E-3</v>
      </c>
      <c r="Q136" s="7">
        <v>1.2152777777777778E-3</v>
      </c>
      <c r="R136" s="6">
        <v>0.8</v>
      </c>
      <c r="S136" s="8">
        <f>CONVERT(Table1[[#This Row],[Talk Duration (AVG)]]*Table1[[#This Row],[Answered Calls]],"day","hr")</f>
        <v>11.166666666666664</v>
      </c>
      <c r="T136" s="9">
        <f>Table1[[#This Row],[Actual Workload hours]]*60</f>
        <v>669.99999999999989</v>
      </c>
      <c r="U136" s="9">
        <f>CONVERT(Table1[[#This Row],[Actual]]*Table1[[#This Row],[Talk Duration (AVG)]],"day","hr")</f>
        <v>9.0833333333333339</v>
      </c>
      <c r="V136" s="10">
        <f>Table1[[#This Row],[Required Workload Hours]]*60</f>
        <v>545</v>
      </c>
      <c r="W136" s="9">
        <v>1.74</v>
      </c>
      <c r="X136" s="9">
        <f t="shared" si="4"/>
        <v>1.4192708333333333</v>
      </c>
      <c r="Y136" s="5">
        <f t="shared" si="5"/>
        <v>2</v>
      </c>
      <c r="Z136" s="8">
        <f>ROUNDUP(Table1[[#This Row],[Actual Heacount]],0)</f>
        <v>2</v>
      </c>
      <c r="AA136" s="8"/>
      <c r="AB136" s="10"/>
      <c r="AC136" s="10"/>
      <c r="AD136" s="10"/>
      <c r="AE136" s="11">
        <v>68.592440422503174</v>
      </c>
      <c r="AF136" s="11">
        <v>285.50816495902978</v>
      </c>
      <c r="AG136" t="s">
        <v>34</v>
      </c>
    </row>
    <row r="137" spans="1:33">
      <c r="A137" s="2">
        <v>43967</v>
      </c>
      <c r="B137" s="5" t="s">
        <v>36</v>
      </c>
      <c r="C137" s="5">
        <f>WEEKDAY(Table1[[#This Row],[Date]])</f>
        <v>7</v>
      </c>
      <c r="D137" s="5">
        <f>MONTH(Table1[[#This Row],[Date]])</f>
        <v>5</v>
      </c>
      <c r="E137" s="5">
        <f>WEEKNUM(Table1[[#This Row],[Date]])</f>
        <v>20</v>
      </c>
      <c r="F137" s="5">
        <f>YEAR(Table1[[#This Row],[Date]])</f>
        <v>2020</v>
      </c>
      <c r="G137">
        <v>152</v>
      </c>
      <c r="L137" s="5">
        <v>206</v>
      </c>
      <c r="M137" s="6">
        <v>0.94499999999999995</v>
      </c>
      <c r="N137" s="5">
        <v>12</v>
      </c>
      <c r="O137" s="7">
        <v>2.8935185185185184E-4</v>
      </c>
      <c r="P137" s="7">
        <v>1.6319444444444445E-3</v>
      </c>
      <c r="Q137" s="7">
        <v>2.5578703703703705E-3</v>
      </c>
      <c r="R137" s="6">
        <v>0.67279999999999995</v>
      </c>
      <c r="S137" s="8">
        <f>CONVERT(Table1[[#This Row],[Talk Duration (AVG)]]*Table1[[#This Row],[Answered Calls]],"day","hr")</f>
        <v>8.0683333333333351</v>
      </c>
      <c r="T137" s="9">
        <f>Table1[[#This Row],[Actual Workload hours]]*60</f>
        <v>484.10000000000014</v>
      </c>
      <c r="U137" s="9">
        <f>CONVERT(Table1[[#This Row],[Actual]]*Table1[[#This Row],[Talk Duration (AVG)]],"day","hr")</f>
        <v>5.953333333333334</v>
      </c>
      <c r="V137" s="10">
        <f>Table1[[#This Row],[Required Workload Hours]]*60</f>
        <v>357.20000000000005</v>
      </c>
      <c r="W137" s="9">
        <v>1.26</v>
      </c>
      <c r="X137" s="9">
        <f t="shared" si="4"/>
        <v>1</v>
      </c>
      <c r="Y137" s="5">
        <f t="shared" si="5"/>
        <v>2</v>
      </c>
      <c r="Z137" s="8">
        <f>ROUNDUP(Table1[[#This Row],[Actual Heacount]],0)</f>
        <v>2</v>
      </c>
      <c r="AA137" s="8"/>
      <c r="AB137" s="10"/>
      <c r="AC137" s="10"/>
      <c r="AD137" s="10"/>
      <c r="AE137" s="11">
        <v>66.788400109195194</v>
      </c>
      <c r="AF137" s="11">
        <v>292.97409745454559</v>
      </c>
      <c r="AG137" t="s">
        <v>34</v>
      </c>
    </row>
    <row r="138" spans="1:33">
      <c r="A138" s="2">
        <v>43968</v>
      </c>
      <c r="B138" s="5" t="s">
        <v>37</v>
      </c>
      <c r="C138" s="5">
        <f>WEEKDAY(Table1[[#This Row],[Date]])</f>
        <v>1</v>
      </c>
      <c r="D138" s="5">
        <f>MONTH(Table1[[#This Row],[Date]])</f>
        <v>5</v>
      </c>
      <c r="E138" s="5">
        <f>WEEKNUM(Table1[[#This Row],[Date]])</f>
        <v>21</v>
      </c>
      <c r="F138" s="5">
        <f>YEAR(Table1[[#This Row],[Date]])</f>
        <v>2020</v>
      </c>
      <c r="G138">
        <v>48</v>
      </c>
      <c r="L138" s="5">
        <v>148</v>
      </c>
      <c r="M138" s="6">
        <v>0.97370000000000001</v>
      </c>
      <c r="N138" s="5">
        <v>4</v>
      </c>
      <c r="O138" s="7">
        <v>1.6203703703703703E-4</v>
      </c>
      <c r="P138" s="7">
        <v>1.5972222222222223E-3</v>
      </c>
      <c r="Q138" s="7">
        <v>9.837962962962962E-4</v>
      </c>
      <c r="R138" s="6">
        <v>0.83330000000000004</v>
      </c>
      <c r="S138" s="8">
        <f>CONVERT(Table1[[#This Row],[Talk Duration (AVG)]]*Table1[[#This Row],[Answered Calls]],"day","hr")</f>
        <v>5.6733333333333329</v>
      </c>
      <c r="T138" s="9">
        <f>Table1[[#This Row],[Actual Workload hours]]*60</f>
        <v>340.4</v>
      </c>
      <c r="U138" s="9">
        <f>CONVERT(Table1[[#This Row],[Actual]]*Table1[[#This Row],[Talk Duration (AVG)]],"day","hr")</f>
        <v>1.8400000000000003</v>
      </c>
      <c r="V138" s="10">
        <f>Table1[[#This Row],[Required Workload Hours]]*60</f>
        <v>110.40000000000002</v>
      </c>
      <c r="W138" s="9">
        <v>1</v>
      </c>
      <c r="X138" s="9">
        <f t="shared" si="4"/>
        <v>1</v>
      </c>
      <c r="Y138" s="5">
        <f t="shared" si="5"/>
        <v>2</v>
      </c>
      <c r="Z138" s="8">
        <f>ROUNDUP(Table1[[#This Row],[Actual Heacount]],0)</f>
        <v>1</v>
      </c>
      <c r="AA138" s="8"/>
      <c r="AB138" s="10"/>
      <c r="AC138" s="10"/>
      <c r="AD138" s="10"/>
      <c r="AE138" s="11">
        <v>-17.381822504571481</v>
      </c>
      <c r="AF138" s="11">
        <v>203.03538477355991</v>
      </c>
      <c r="AG138" t="s">
        <v>34</v>
      </c>
    </row>
    <row r="139" spans="1:33">
      <c r="A139" s="2">
        <v>43969</v>
      </c>
      <c r="B139" s="5" t="s">
        <v>38</v>
      </c>
      <c r="C139" s="5">
        <f>WEEKDAY(Table1[[#This Row],[Date]])</f>
        <v>2</v>
      </c>
      <c r="D139" s="5">
        <f>MONTH(Table1[[#This Row],[Date]])</f>
        <v>5</v>
      </c>
      <c r="E139" s="5">
        <f>WEEKNUM(Table1[[#This Row],[Date]])</f>
        <v>21</v>
      </c>
      <c r="F139" s="5">
        <f>YEAR(Table1[[#This Row],[Date]])</f>
        <v>2020</v>
      </c>
      <c r="G139">
        <v>186</v>
      </c>
      <c r="L139" s="5">
        <v>43</v>
      </c>
      <c r="M139" s="6">
        <v>0.89580000000000004</v>
      </c>
      <c r="N139" s="5">
        <v>5</v>
      </c>
      <c r="O139" s="7">
        <v>2.5462962962962961E-4</v>
      </c>
      <c r="P139" s="7">
        <v>1.4004629629629629E-3</v>
      </c>
      <c r="Q139" s="7">
        <v>9.3749999999999997E-4</v>
      </c>
      <c r="R139" s="6">
        <v>0.69569999999999999</v>
      </c>
      <c r="S139" s="8">
        <f>CONVERT(Table1[[#This Row],[Talk Duration (AVG)]]*Table1[[#This Row],[Answered Calls]],"day","hr")</f>
        <v>1.4452777777777779</v>
      </c>
      <c r="T139" s="9">
        <f>Table1[[#This Row],[Actual Workload hours]]*60</f>
        <v>86.716666666666669</v>
      </c>
      <c r="U139" s="9">
        <f>CONVERT(Table1[[#This Row],[Actual]]*Table1[[#This Row],[Talk Duration (AVG)]],"day","hr")</f>
        <v>6.251666666666666</v>
      </c>
      <c r="V139" s="10">
        <f>Table1[[#This Row],[Required Workload Hours]]*60</f>
        <v>375.09999999999997</v>
      </c>
      <c r="W139" s="9">
        <v>1</v>
      </c>
      <c r="X139" s="9">
        <f t="shared" si="4"/>
        <v>1</v>
      </c>
      <c r="Y139" s="5">
        <f t="shared" si="5"/>
        <v>1</v>
      </c>
      <c r="Z139" s="8">
        <f>ROUNDUP(Table1[[#This Row],[Actual Heacount]],0)</f>
        <v>1</v>
      </c>
      <c r="AA139" s="8"/>
      <c r="AB139" s="10"/>
      <c r="AC139" s="10"/>
      <c r="AD139" s="10"/>
      <c r="AE139" s="11">
        <v>85.305482620143309</v>
      </c>
      <c r="AF139" s="11">
        <v>297.96479848928828</v>
      </c>
      <c r="AG139" t="s">
        <v>34</v>
      </c>
    </row>
    <row r="140" spans="1:33">
      <c r="A140" s="2">
        <v>43970</v>
      </c>
      <c r="B140" s="5" t="s">
        <v>39</v>
      </c>
      <c r="C140" s="5">
        <f>WEEKDAY(Table1[[#This Row],[Date]])</f>
        <v>3</v>
      </c>
      <c r="D140" s="5">
        <f>MONTH(Table1[[#This Row],[Date]])</f>
        <v>5</v>
      </c>
      <c r="E140" s="5">
        <f>WEEKNUM(Table1[[#This Row],[Date]])</f>
        <v>21</v>
      </c>
      <c r="F140" s="5">
        <f>YEAR(Table1[[#This Row],[Date]])</f>
        <v>2020</v>
      </c>
      <c r="G140">
        <v>182</v>
      </c>
      <c r="L140" s="5">
        <v>181</v>
      </c>
      <c r="M140" s="6">
        <v>0.97309999999999997</v>
      </c>
      <c r="N140" s="5">
        <v>5</v>
      </c>
      <c r="O140" s="7">
        <v>1.6203703703703703E-4</v>
      </c>
      <c r="P140" s="7">
        <v>1.6203703703703703E-3</v>
      </c>
      <c r="Q140" s="7">
        <v>1.261574074074074E-3</v>
      </c>
      <c r="R140" s="6">
        <v>0.84950000000000003</v>
      </c>
      <c r="S140" s="8">
        <f>CONVERT(Table1[[#This Row],[Talk Duration (AVG)]]*Table1[[#This Row],[Answered Calls]],"day","hr")</f>
        <v>7.0388888888888879</v>
      </c>
      <c r="T140" s="9">
        <f>Table1[[#This Row],[Actual Workload hours]]*60</f>
        <v>422.33333333333326</v>
      </c>
      <c r="U140" s="9">
        <f>CONVERT(Table1[[#This Row],[Actual]]*Table1[[#This Row],[Talk Duration (AVG)]],"day","hr")</f>
        <v>7.0777777777777775</v>
      </c>
      <c r="V140" s="10">
        <f>Table1[[#This Row],[Required Workload Hours]]*60</f>
        <v>424.66666666666663</v>
      </c>
      <c r="W140" s="9">
        <v>1.1000000000000001</v>
      </c>
      <c r="X140" s="9">
        <f t="shared" si="4"/>
        <v>1.1059027777777777</v>
      </c>
      <c r="Y140" s="5">
        <f t="shared" si="5"/>
        <v>2</v>
      </c>
      <c r="Z140" s="8">
        <f>ROUNDUP(Table1[[#This Row],[Actual Heacount]],0)</f>
        <v>2</v>
      </c>
      <c r="AA140" s="8"/>
      <c r="AB140" s="10"/>
      <c r="AC140" s="10"/>
      <c r="AD140" s="10"/>
      <c r="AE140" s="11">
        <v>57.932350618555773</v>
      </c>
      <c r="AF140" s="11">
        <v>282.66582911594082</v>
      </c>
      <c r="AG140" t="s">
        <v>34</v>
      </c>
    </row>
    <row r="141" spans="1:33">
      <c r="A141" s="2">
        <v>43971</v>
      </c>
      <c r="B141" s="5" t="s">
        <v>40</v>
      </c>
      <c r="C141" s="5">
        <f>WEEKDAY(Table1[[#This Row],[Date]])</f>
        <v>4</v>
      </c>
      <c r="D141" s="5">
        <f>MONTH(Table1[[#This Row],[Date]])</f>
        <v>5</v>
      </c>
      <c r="E141" s="5">
        <f>WEEKNUM(Table1[[#This Row],[Date]])</f>
        <v>21</v>
      </c>
      <c r="F141" s="5">
        <f>YEAR(Table1[[#This Row],[Date]])</f>
        <v>2020</v>
      </c>
      <c r="G141">
        <v>192</v>
      </c>
      <c r="L141" s="5">
        <v>180</v>
      </c>
      <c r="M141" s="6">
        <v>0.98899999999999999</v>
      </c>
      <c r="N141" s="5">
        <v>2</v>
      </c>
      <c r="O141" s="7">
        <v>9.2592592592592588E-5</v>
      </c>
      <c r="P141" s="7">
        <v>1.5046296296296296E-3</v>
      </c>
      <c r="Q141" s="7">
        <v>6.7129629629629625E-4</v>
      </c>
      <c r="R141" s="6">
        <v>0.93369999999999997</v>
      </c>
      <c r="S141" s="8">
        <f>CONVERT(Table1[[#This Row],[Talk Duration (AVG)]]*Table1[[#This Row],[Answered Calls]],"day","hr")</f>
        <v>6.5</v>
      </c>
      <c r="T141" s="9">
        <f>Table1[[#This Row],[Actual Workload hours]]*60</f>
        <v>390</v>
      </c>
      <c r="U141" s="9">
        <f>CONVERT(Table1[[#This Row],[Actual]]*Table1[[#This Row],[Talk Duration (AVG)]],"day","hr")</f>
        <v>6.9333333333333327</v>
      </c>
      <c r="V141" s="10">
        <f>Table1[[#This Row],[Required Workload Hours]]*60</f>
        <v>415.99999999999994</v>
      </c>
      <c r="W141" s="9">
        <v>1.02</v>
      </c>
      <c r="X141" s="9">
        <f t="shared" si="4"/>
        <v>1.0833333333333333</v>
      </c>
      <c r="Y141" s="5">
        <f t="shared" si="5"/>
        <v>2</v>
      </c>
      <c r="Z141" s="8">
        <f>ROUNDUP(Table1[[#This Row],[Actual Heacount]],0)</f>
        <v>2</v>
      </c>
      <c r="AA141" s="8"/>
      <c r="AB141" s="10"/>
      <c r="AC141" s="10"/>
      <c r="AD141" s="10"/>
      <c r="AE141" s="11">
        <v>74.383751894875047</v>
      </c>
      <c r="AF141" s="11">
        <v>294.21696701329302</v>
      </c>
      <c r="AG141" t="s">
        <v>34</v>
      </c>
    </row>
    <row r="142" spans="1:33">
      <c r="A142" s="2">
        <v>43972</v>
      </c>
      <c r="B142" s="5" t="s">
        <v>33</v>
      </c>
      <c r="C142" s="5">
        <f>WEEKDAY(Table1[[#This Row],[Date]])</f>
        <v>5</v>
      </c>
      <c r="D142" s="5">
        <f>MONTH(Table1[[#This Row],[Date]])</f>
        <v>5</v>
      </c>
      <c r="E142" s="5">
        <f>WEEKNUM(Table1[[#This Row],[Date]])</f>
        <v>21</v>
      </c>
      <c r="F142" s="5">
        <f>YEAR(Table1[[#This Row],[Date]])</f>
        <v>2020</v>
      </c>
      <c r="G142">
        <v>155</v>
      </c>
      <c r="L142" s="5">
        <v>188</v>
      </c>
      <c r="M142" s="6">
        <v>0.97919999999999996</v>
      </c>
      <c r="N142" s="5">
        <v>4</v>
      </c>
      <c r="O142" s="7">
        <v>2.3148148148148149E-4</v>
      </c>
      <c r="P142" s="7">
        <v>1.3657407407407407E-3</v>
      </c>
      <c r="Q142" s="7">
        <v>1.3425925925925925E-3</v>
      </c>
      <c r="R142" s="6">
        <v>0.76190000000000002</v>
      </c>
      <c r="S142" s="8">
        <f>CONVERT(Table1[[#This Row],[Talk Duration (AVG)]]*Table1[[#This Row],[Answered Calls]],"day","hr")</f>
        <v>6.1622222222222218</v>
      </c>
      <c r="T142" s="9">
        <f>Table1[[#This Row],[Actual Workload hours]]*60</f>
        <v>369.73333333333329</v>
      </c>
      <c r="U142" s="9">
        <f>CONVERT(Table1[[#This Row],[Actual]]*Table1[[#This Row],[Talk Duration (AVG)]],"day","hr")</f>
        <v>5.0805555555555557</v>
      </c>
      <c r="V142" s="10">
        <f>Table1[[#This Row],[Required Workload Hours]]*60</f>
        <v>304.83333333333337</v>
      </c>
      <c r="W142" s="9">
        <v>1</v>
      </c>
      <c r="X142" s="9">
        <f t="shared" si="4"/>
        <v>1</v>
      </c>
      <c r="Y142" s="5">
        <f t="shared" si="5"/>
        <v>2</v>
      </c>
      <c r="Z142" s="8">
        <f>ROUNDUP(Table1[[#This Row],[Actual Heacount]],0)</f>
        <v>1</v>
      </c>
      <c r="AA142" s="8"/>
      <c r="AB142" s="10"/>
      <c r="AC142" s="10"/>
      <c r="AD142" s="10"/>
      <c r="AE142" s="11">
        <v>65.73724078382655</v>
      </c>
      <c r="AF142" s="11">
        <v>283.95674874397338</v>
      </c>
      <c r="AG142" t="s">
        <v>34</v>
      </c>
    </row>
    <row r="143" spans="1:33">
      <c r="A143" s="2">
        <v>43973</v>
      </c>
      <c r="B143" s="5" t="s">
        <v>35</v>
      </c>
      <c r="C143" s="5">
        <f>WEEKDAY(Table1[[#This Row],[Date]])</f>
        <v>6</v>
      </c>
      <c r="D143" s="5">
        <f>MONTH(Table1[[#This Row],[Date]])</f>
        <v>5</v>
      </c>
      <c r="E143" s="5">
        <f>WEEKNUM(Table1[[#This Row],[Date]])</f>
        <v>21</v>
      </c>
      <c r="F143" s="5">
        <f>YEAR(Table1[[#This Row],[Date]])</f>
        <v>2020</v>
      </c>
      <c r="G143">
        <v>144</v>
      </c>
      <c r="L143" s="5">
        <v>148</v>
      </c>
      <c r="M143" s="6">
        <v>0.95479999999999998</v>
      </c>
      <c r="N143" s="5">
        <v>7</v>
      </c>
      <c r="O143" s="7">
        <v>1.6203703703703703E-4</v>
      </c>
      <c r="P143" s="7">
        <v>1.6666666666666668E-3</v>
      </c>
      <c r="Q143" s="7">
        <v>1.5972222222222223E-3</v>
      </c>
      <c r="R143" s="6">
        <v>0.85329999999999995</v>
      </c>
      <c r="S143" s="8">
        <f>CONVERT(Table1[[#This Row],[Talk Duration (AVG)]]*Table1[[#This Row],[Answered Calls]],"day","hr")</f>
        <v>5.92</v>
      </c>
      <c r="T143" s="9">
        <f>Table1[[#This Row],[Actual Workload hours]]*60</f>
        <v>355.2</v>
      </c>
      <c r="U143" s="9">
        <f>CONVERT(Table1[[#This Row],[Actual]]*Table1[[#This Row],[Talk Duration (AVG)]],"day","hr")</f>
        <v>5.76</v>
      </c>
      <c r="V143" s="10">
        <f>Table1[[#This Row],[Required Workload Hours]]*60</f>
        <v>345.59999999999997</v>
      </c>
      <c r="W143" s="9">
        <v>1</v>
      </c>
      <c r="X143" s="9">
        <f t="shared" si="4"/>
        <v>1</v>
      </c>
      <c r="Y143" s="5">
        <f t="shared" si="5"/>
        <v>2</v>
      </c>
      <c r="Z143" s="8">
        <f>ROUNDUP(Table1[[#This Row],[Actual Heacount]],0)</f>
        <v>1</v>
      </c>
      <c r="AA143" s="8"/>
      <c r="AB143" s="10"/>
      <c r="AC143" s="10"/>
      <c r="AD143" s="10"/>
      <c r="AE143" s="11">
        <v>65.355608567026735</v>
      </c>
      <c r="AF143" s="11">
        <v>285.6473520046398</v>
      </c>
      <c r="AG143" t="s">
        <v>34</v>
      </c>
    </row>
    <row r="144" spans="1:33">
      <c r="A144" s="2">
        <v>43974</v>
      </c>
      <c r="B144" s="5" t="s">
        <v>36</v>
      </c>
      <c r="C144" s="5">
        <f>WEEKDAY(Table1[[#This Row],[Date]])</f>
        <v>7</v>
      </c>
      <c r="D144" s="5">
        <f>MONTH(Table1[[#This Row],[Date]])</f>
        <v>5</v>
      </c>
      <c r="E144" s="5">
        <f>WEEKNUM(Table1[[#This Row],[Date]])</f>
        <v>21</v>
      </c>
      <c r="F144" s="5">
        <f>YEAR(Table1[[#This Row],[Date]])</f>
        <v>2020</v>
      </c>
      <c r="G144">
        <v>164</v>
      </c>
      <c r="L144" s="5">
        <v>142</v>
      </c>
      <c r="M144" s="6">
        <v>0.98609999999999998</v>
      </c>
      <c r="N144" s="5">
        <v>2</v>
      </c>
      <c r="O144" s="7">
        <v>1.273148148148148E-4</v>
      </c>
      <c r="P144" s="7">
        <v>1.6087962962962963E-3</v>
      </c>
      <c r="Q144" s="7">
        <v>7.5231481481481482E-4</v>
      </c>
      <c r="R144" s="6">
        <v>0.90210000000000001</v>
      </c>
      <c r="S144" s="8">
        <f>CONVERT(Table1[[#This Row],[Talk Duration (AVG)]]*Table1[[#This Row],[Answered Calls]],"day","hr")</f>
        <v>5.4827777777777778</v>
      </c>
      <c r="T144" s="9">
        <f>Table1[[#This Row],[Actual Workload hours]]*60</f>
        <v>328.96666666666664</v>
      </c>
      <c r="U144" s="9">
        <f>CONVERT(Table1[[#This Row],[Actual]]*Table1[[#This Row],[Talk Duration (AVG)]],"day","hr")</f>
        <v>6.3322222222222226</v>
      </c>
      <c r="V144" s="10">
        <f>Table1[[#This Row],[Required Workload Hours]]*60</f>
        <v>379.93333333333334</v>
      </c>
      <c r="W144" s="9">
        <v>1</v>
      </c>
      <c r="X144" s="9">
        <f t="shared" si="4"/>
        <v>1</v>
      </c>
      <c r="Y144" s="5">
        <f t="shared" si="5"/>
        <v>2</v>
      </c>
      <c r="Z144" s="8">
        <f>ROUNDUP(Table1[[#This Row],[Actual Heacount]],0)</f>
        <v>1</v>
      </c>
      <c r="AA144" s="8"/>
      <c r="AB144" s="10"/>
      <c r="AC144" s="10"/>
      <c r="AD144" s="10"/>
      <c r="AE144" s="11">
        <v>78.629743359366842</v>
      </c>
      <c r="AF144" s="11">
        <v>291.42841466792919</v>
      </c>
      <c r="AG144" t="s">
        <v>34</v>
      </c>
    </row>
    <row r="145" spans="1:33">
      <c r="A145" s="2">
        <v>43975</v>
      </c>
      <c r="B145" s="5" t="s">
        <v>37</v>
      </c>
      <c r="C145" s="5">
        <f>WEEKDAY(Table1[[#This Row],[Date]])</f>
        <v>1</v>
      </c>
      <c r="D145" s="5">
        <f>MONTH(Table1[[#This Row],[Date]])</f>
        <v>5</v>
      </c>
      <c r="E145" s="5">
        <f>WEEKNUM(Table1[[#This Row],[Date]])</f>
        <v>22</v>
      </c>
      <c r="F145" s="5">
        <f>YEAR(Table1[[#This Row],[Date]])</f>
        <v>2020</v>
      </c>
      <c r="G145">
        <v>27</v>
      </c>
      <c r="L145" s="5">
        <v>162</v>
      </c>
      <c r="M145" s="6">
        <v>0.98780000000000001</v>
      </c>
      <c r="N145" s="5">
        <v>2</v>
      </c>
      <c r="O145" s="7">
        <v>1.3888888888888889E-4</v>
      </c>
      <c r="P145" s="7">
        <v>1.7939814814814815E-3</v>
      </c>
      <c r="Q145" s="7">
        <v>1.2731481481481483E-3</v>
      </c>
      <c r="R145" s="6">
        <v>0.85370000000000001</v>
      </c>
      <c r="S145" s="8">
        <f>CONVERT(Table1[[#This Row],[Talk Duration (AVG)]]*Table1[[#This Row],[Answered Calls]],"day","hr")</f>
        <v>6.9750000000000014</v>
      </c>
      <c r="T145" s="9">
        <f>Table1[[#This Row],[Actual Workload hours]]*60</f>
        <v>418.50000000000011</v>
      </c>
      <c r="U145" s="9">
        <f>CONVERT(Table1[[#This Row],[Actual]]*Table1[[#This Row],[Talk Duration (AVG)]],"day","hr")</f>
        <v>1.1625000000000001</v>
      </c>
      <c r="V145" s="10">
        <f>Table1[[#This Row],[Required Workload Hours]]*60</f>
        <v>69.75</v>
      </c>
      <c r="W145" s="9">
        <v>1.0900000000000001</v>
      </c>
      <c r="X145" s="9">
        <f t="shared" si="4"/>
        <v>1</v>
      </c>
      <c r="Y145" s="5">
        <f t="shared" si="5"/>
        <v>2</v>
      </c>
      <c r="Z145" s="8">
        <f>ROUNDUP(Table1[[#This Row],[Actual Heacount]],0)</f>
        <v>2</v>
      </c>
      <c r="AA145" s="8"/>
      <c r="AB145" s="10"/>
      <c r="AC145" s="10"/>
      <c r="AD145" s="10"/>
      <c r="AE145" s="11">
        <v>-34.447075132915963</v>
      </c>
      <c r="AF145" s="11">
        <v>196.4097805456212</v>
      </c>
      <c r="AG145" t="s">
        <v>34</v>
      </c>
    </row>
    <row r="146" spans="1:33">
      <c r="A146" s="2">
        <v>43976</v>
      </c>
      <c r="B146" s="5" t="s">
        <v>38</v>
      </c>
      <c r="C146" s="5">
        <f>WEEKDAY(Table1[[#This Row],[Date]])</f>
        <v>2</v>
      </c>
      <c r="D146" s="5">
        <f>MONTH(Table1[[#This Row],[Date]])</f>
        <v>5</v>
      </c>
      <c r="E146" s="5">
        <f>WEEKNUM(Table1[[#This Row],[Date]])</f>
        <v>22</v>
      </c>
      <c r="F146" s="5">
        <f>YEAR(Table1[[#This Row],[Date]])</f>
        <v>2020</v>
      </c>
      <c r="G146">
        <v>177</v>
      </c>
      <c r="L146" s="5">
        <v>26</v>
      </c>
      <c r="M146" s="6">
        <v>0.96299999999999997</v>
      </c>
      <c r="N146" s="5">
        <v>1</v>
      </c>
      <c r="O146" s="7">
        <v>1.273148148148148E-4</v>
      </c>
      <c r="P146" s="7">
        <v>1.4351851851851852E-3</v>
      </c>
      <c r="Q146" s="7">
        <v>8.9120370370370373E-4</v>
      </c>
      <c r="R146" s="6">
        <v>0.81479999999999997</v>
      </c>
      <c r="S146" s="8">
        <f>CONVERT(Table1[[#This Row],[Talk Duration (AVG)]]*Table1[[#This Row],[Answered Calls]],"day","hr")</f>
        <v>0.89555555555555555</v>
      </c>
      <c r="T146" s="9">
        <f>Table1[[#This Row],[Actual Workload hours]]*60</f>
        <v>53.733333333333334</v>
      </c>
      <c r="U146" s="9">
        <f>CONVERT(Table1[[#This Row],[Actual]]*Table1[[#This Row],[Talk Duration (AVG)]],"day","hr")</f>
        <v>6.0966666666666667</v>
      </c>
      <c r="V146" s="10">
        <f>Table1[[#This Row],[Required Workload Hours]]*60</f>
        <v>365.8</v>
      </c>
      <c r="W146" s="9">
        <v>1</v>
      </c>
      <c r="X146" s="9">
        <f t="shared" si="4"/>
        <v>1</v>
      </c>
      <c r="Y146" s="5">
        <f t="shared" si="5"/>
        <v>1</v>
      </c>
      <c r="Z146" s="8">
        <f>ROUNDUP(Table1[[#This Row],[Actual Heacount]],0)</f>
        <v>1</v>
      </c>
      <c r="AA146" s="8"/>
      <c r="AB146" s="10"/>
      <c r="AC146" s="10"/>
      <c r="AD146" s="10"/>
      <c r="AE146" s="11">
        <v>69.826022370504987</v>
      </c>
      <c r="AF146" s="11">
        <v>294.78696528930487</v>
      </c>
      <c r="AG146" t="s">
        <v>34</v>
      </c>
    </row>
    <row r="147" spans="1:33">
      <c r="A147" s="2">
        <v>43977</v>
      </c>
      <c r="B147" s="5" t="s">
        <v>39</v>
      </c>
      <c r="C147" s="5">
        <f>WEEKDAY(Table1[[#This Row],[Date]])</f>
        <v>3</v>
      </c>
      <c r="D147" s="5">
        <f>MONTH(Table1[[#This Row],[Date]])</f>
        <v>5</v>
      </c>
      <c r="E147" s="5">
        <f>WEEKNUM(Table1[[#This Row],[Date]])</f>
        <v>22</v>
      </c>
      <c r="F147" s="5">
        <f>YEAR(Table1[[#This Row],[Date]])</f>
        <v>2020</v>
      </c>
      <c r="G147">
        <v>134</v>
      </c>
      <c r="L147" s="5">
        <v>175</v>
      </c>
      <c r="M147" s="6">
        <v>0.98870000000000002</v>
      </c>
      <c r="N147" s="5">
        <v>2</v>
      </c>
      <c r="O147" s="7">
        <v>1.273148148148148E-4</v>
      </c>
      <c r="P147" s="7">
        <v>1.6087962962962963E-3</v>
      </c>
      <c r="Q147" s="7">
        <v>1.0995370370370371E-3</v>
      </c>
      <c r="R147" s="6">
        <v>0.90859999999999996</v>
      </c>
      <c r="S147" s="8">
        <f>CONVERT(Table1[[#This Row],[Talk Duration (AVG)]]*Table1[[#This Row],[Answered Calls]],"day","hr")</f>
        <v>6.7569444444444446</v>
      </c>
      <c r="T147" s="9">
        <f>Table1[[#This Row],[Actual Workload hours]]*60</f>
        <v>405.41666666666669</v>
      </c>
      <c r="U147" s="9">
        <f>CONVERT(Table1[[#This Row],[Actual]]*Table1[[#This Row],[Talk Duration (AVG)]],"day","hr")</f>
        <v>5.1738888888888885</v>
      </c>
      <c r="V147" s="10">
        <f>Table1[[#This Row],[Required Workload Hours]]*60</f>
        <v>310.43333333333334</v>
      </c>
      <c r="W147" s="9">
        <v>1.06</v>
      </c>
      <c r="X147" s="9">
        <f t="shared" si="4"/>
        <v>1</v>
      </c>
      <c r="Y147" s="5">
        <f t="shared" si="5"/>
        <v>2</v>
      </c>
      <c r="Z147" s="8">
        <f>ROUNDUP(Table1[[#This Row],[Actual Heacount]],0)</f>
        <v>2</v>
      </c>
      <c r="AA147" s="8"/>
      <c r="AB147" s="10"/>
      <c r="AC147" s="10"/>
      <c r="AD147" s="10"/>
      <c r="AE147" s="11">
        <v>56.898824765412932</v>
      </c>
      <c r="AF147" s="11">
        <v>278.8197061599559</v>
      </c>
      <c r="AG147" t="s">
        <v>34</v>
      </c>
    </row>
    <row r="148" spans="1:33">
      <c r="A148" s="2">
        <v>43978</v>
      </c>
      <c r="B148" s="5" t="s">
        <v>40</v>
      </c>
      <c r="C148" s="5">
        <f>WEEKDAY(Table1[[#This Row],[Date]])</f>
        <v>4</v>
      </c>
      <c r="D148" s="5">
        <f>MONTH(Table1[[#This Row],[Date]])</f>
        <v>5</v>
      </c>
      <c r="E148" s="5">
        <f>WEEKNUM(Table1[[#This Row],[Date]])</f>
        <v>22</v>
      </c>
      <c r="F148" s="5">
        <f>YEAR(Table1[[#This Row],[Date]])</f>
        <v>2020</v>
      </c>
      <c r="G148">
        <v>125</v>
      </c>
      <c r="L148" s="5">
        <v>131</v>
      </c>
      <c r="M148" s="6">
        <v>0.97760000000000002</v>
      </c>
      <c r="N148" s="5">
        <v>3</v>
      </c>
      <c r="O148" s="7">
        <v>1.6203703703703703E-4</v>
      </c>
      <c r="P148" s="7">
        <v>1.6550925925925926E-3</v>
      </c>
      <c r="Q148" s="7">
        <v>1.1458333333333333E-3</v>
      </c>
      <c r="R148" s="6">
        <v>0.81340000000000001</v>
      </c>
      <c r="S148" s="8">
        <f>CONVERT(Table1[[#This Row],[Talk Duration (AVG)]]*Table1[[#This Row],[Answered Calls]],"day","hr")</f>
        <v>5.203611111111111</v>
      </c>
      <c r="T148" s="9">
        <f>Table1[[#This Row],[Actual Workload hours]]*60</f>
        <v>312.21666666666664</v>
      </c>
      <c r="U148" s="9">
        <f>CONVERT(Table1[[#This Row],[Actual]]*Table1[[#This Row],[Talk Duration (AVG)]],"day","hr")</f>
        <v>4.9652777777777777</v>
      </c>
      <c r="V148" s="10">
        <f>Table1[[#This Row],[Required Workload Hours]]*60</f>
        <v>297.91666666666669</v>
      </c>
      <c r="W148" s="9">
        <v>1</v>
      </c>
      <c r="X148" s="9">
        <f t="shared" si="4"/>
        <v>1</v>
      </c>
      <c r="Y148" s="5">
        <f t="shared" si="5"/>
        <v>2</v>
      </c>
      <c r="Z148" s="8">
        <f>ROUNDUP(Table1[[#This Row],[Actual Heacount]],0)</f>
        <v>1</v>
      </c>
      <c r="AA148" s="8"/>
      <c r="AB148" s="10"/>
      <c r="AC148" s="10"/>
      <c r="AD148" s="10"/>
      <c r="AE148" s="11">
        <v>61.713879385144701</v>
      </c>
      <c r="AF148" s="11">
        <v>280.68276517005199</v>
      </c>
      <c r="AG148" t="s">
        <v>34</v>
      </c>
    </row>
    <row r="149" spans="1:33">
      <c r="A149" s="2">
        <v>43979</v>
      </c>
      <c r="B149" s="5" t="s">
        <v>33</v>
      </c>
      <c r="C149" s="5">
        <f>WEEKDAY(Table1[[#This Row],[Date]])</f>
        <v>5</v>
      </c>
      <c r="D149" s="5">
        <f>MONTH(Table1[[#This Row],[Date]])</f>
        <v>5</v>
      </c>
      <c r="E149" s="5">
        <f>WEEKNUM(Table1[[#This Row],[Date]])</f>
        <v>22</v>
      </c>
      <c r="F149" s="5">
        <f>YEAR(Table1[[#This Row],[Date]])</f>
        <v>2020</v>
      </c>
      <c r="G149">
        <v>167</v>
      </c>
      <c r="L149" s="5">
        <v>120</v>
      </c>
      <c r="M149" s="6">
        <v>0.96</v>
      </c>
      <c r="N149" s="5">
        <v>5</v>
      </c>
      <c r="O149" s="7">
        <v>1.6203703703703703E-4</v>
      </c>
      <c r="P149" s="7">
        <v>1.6203703703703703E-3</v>
      </c>
      <c r="Q149" s="7">
        <v>1.9907407407407408E-3</v>
      </c>
      <c r="R149" s="6">
        <v>0.84550000000000003</v>
      </c>
      <c r="S149" s="8">
        <f>CONVERT(Table1[[#This Row],[Talk Duration (AVG)]]*Table1[[#This Row],[Answered Calls]],"day","hr")</f>
        <v>4.666666666666667</v>
      </c>
      <c r="T149" s="9">
        <f>Table1[[#This Row],[Actual Workload hours]]*60</f>
        <v>280</v>
      </c>
      <c r="U149" s="9">
        <f>CONVERT(Table1[[#This Row],[Actual]]*Table1[[#This Row],[Talk Duration (AVG)]],"day","hr")</f>
        <v>6.4944444444444445</v>
      </c>
      <c r="V149" s="10">
        <f>Table1[[#This Row],[Required Workload Hours]]*60</f>
        <v>389.66666666666669</v>
      </c>
      <c r="W149" s="9">
        <v>1</v>
      </c>
      <c r="X149" s="9">
        <f t="shared" si="4"/>
        <v>1.0147569444444444</v>
      </c>
      <c r="Y149" s="5">
        <f t="shared" si="5"/>
        <v>2</v>
      </c>
      <c r="Z149" s="8">
        <f>ROUNDUP(Table1[[#This Row],[Actual Heacount]],0)</f>
        <v>1</v>
      </c>
      <c r="AA149" s="8"/>
      <c r="AB149" s="10"/>
      <c r="AC149" s="10"/>
      <c r="AD149" s="10"/>
      <c r="AE149" s="11">
        <v>64.763261174968761</v>
      </c>
      <c r="AF149" s="11">
        <v>284.47465055837313</v>
      </c>
      <c r="AG149" t="s">
        <v>34</v>
      </c>
    </row>
    <row r="150" spans="1:33">
      <c r="A150" s="2">
        <v>43980</v>
      </c>
      <c r="B150" s="5" t="s">
        <v>35</v>
      </c>
      <c r="C150" s="5">
        <f>WEEKDAY(Table1[[#This Row],[Date]])</f>
        <v>6</v>
      </c>
      <c r="D150" s="5">
        <f>MONTH(Table1[[#This Row],[Date]])</f>
        <v>5</v>
      </c>
      <c r="E150" s="5">
        <f>WEEKNUM(Table1[[#This Row],[Date]])</f>
        <v>22</v>
      </c>
      <c r="F150" s="5">
        <f>YEAR(Table1[[#This Row],[Date]])</f>
        <v>2020</v>
      </c>
      <c r="G150">
        <v>169</v>
      </c>
      <c r="L150" s="5">
        <v>163</v>
      </c>
      <c r="M150" s="6">
        <v>0.97599999999999998</v>
      </c>
      <c r="N150" s="5">
        <v>4</v>
      </c>
      <c r="O150" s="7">
        <v>1.8518518518518518E-4</v>
      </c>
      <c r="P150" s="7">
        <v>1.6666666666666668E-3</v>
      </c>
      <c r="Q150" s="7">
        <v>8.3333333333333339E-4</v>
      </c>
      <c r="R150" s="6">
        <v>0.81210000000000004</v>
      </c>
      <c r="S150" s="8">
        <f>CONVERT(Table1[[#This Row],[Talk Duration (AVG)]]*Table1[[#This Row],[Answered Calls]],"day","hr")</f>
        <v>6.52</v>
      </c>
      <c r="T150" s="9">
        <f>Table1[[#This Row],[Actual Workload hours]]*60</f>
        <v>391.2</v>
      </c>
      <c r="U150" s="9">
        <f>CONVERT(Table1[[#This Row],[Actual]]*Table1[[#This Row],[Talk Duration (AVG)]],"day","hr")</f>
        <v>6.76</v>
      </c>
      <c r="V150" s="10">
        <f>Table1[[#This Row],[Required Workload Hours]]*60</f>
        <v>405.59999999999997</v>
      </c>
      <c r="W150" s="9">
        <v>1.02</v>
      </c>
      <c r="X150" s="9">
        <f t="shared" si="4"/>
        <v>1.0562499999999999</v>
      </c>
      <c r="Y150" s="5">
        <f t="shared" si="5"/>
        <v>2</v>
      </c>
      <c r="Z150" s="8">
        <f>ROUNDUP(Table1[[#This Row],[Actual Heacount]],0)</f>
        <v>2</v>
      </c>
      <c r="AA150" s="8"/>
      <c r="AB150" s="10"/>
      <c r="AC150" s="10"/>
      <c r="AD150" s="10"/>
      <c r="AE150" s="11">
        <v>59.630585824055863</v>
      </c>
      <c r="AF150" s="11">
        <v>271.15903866071642</v>
      </c>
      <c r="AG150" t="s">
        <v>34</v>
      </c>
    </row>
    <row r="151" spans="1:33">
      <c r="A151" s="2">
        <v>43981</v>
      </c>
      <c r="B151" s="5" t="s">
        <v>36</v>
      </c>
      <c r="C151" s="5">
        <f>WEEKDAY(Table1[[#This Row],[Date]])</f>
        <v>7</v>
      </c>
      <c r="D151" s="5">
        <f>MONTH(Table1[[#This Row],[Date]])</f>
        <v>5</v>
      </c>
      <c r="E151" s="5">
        <f>WEEKNUM(Table1[[#This Row],[Date]])</f>
        <v>22</v>
      </c>
      <c r="F151" s="5">
        <f>YEAR(Table1[[#This Row],[Date]])</f>
        <v>2020</v>
      </c>
      <c r="G151">
        <v>162</v>
      </c>
      <c r="L151" s="5">
        <v>167</v>
      </c>
      <c r="M151" s="6">
        <v>0.98819999999999997</v>
      </c>
      <c r="N151" s="5">
        <v>2</v>
      </c>
      <c r="O151" s="7">
        <v>1.0416666666666667E-4</v>
      </c>
      <c r="P151" s="7">
        <v>1.5509259259259259E-3</v>
      </c>
      <c r="Q151" s="7">
        <v>1.2037037037037038E-3</v>
      </c>
      <c r="R151" s="6">
        <v>0.89939999999999998</v>
      </c>
      <c r="S151" s="8">
        <f>CONVERT(Table1[[#This Row],[Talk Duration (AVG)]]*Table1[[#This Row],[Answered Calls]],"day","hr")</f>
        <v>6.2161111111111111</v>
      </c>
      <c r="T151" s="9">
        <f>Table1[[#This Row],[Actual Workload hours]]*60</f>
        <v>372.9666666666667</v>
      </c>
      <c r="U151" s="9">
        <f>CONVERT(Table1[[#This Row],[Actual]]*Table1[[#This Row],[Talk Duration (AVG)]],"day","hr")</f>
        <v>6.0299999999999994</v>
      </c>
      <c r="V151" s="10">
        <f>Table1[[#This Row],[Required Workload Hours]]*60</f>
        <v>361.79999999999995</v>
      </c>
      <c r="W151" s="9">
        <v>1</v>
      </c>
      <c r="X151" s="9">
        <f t="shared" si="4"/>
        <v>1</v>
      </c>
      <c r="Y151" s="5">
        <f t="shared" si="5"/>
        <v>2</v>
      </c>
      <c r="Z151" s="8">
        <f>ROUNDUP(Table1[[#This Row],[Actual Heacount]],0)</f>
        <v>1</v>
      </c>
      <c r="AA151" s="8"/>
      <c r="AB151" s="10"/>
      <c r="AC151" s="10"/>
      <c r="AD151" s="10"/>
      <c r="AE151" s="11">
        <v>60.15940702661694</v>
      </c>
      <c r="AF151" s="11">
        <v>283.67412887547511</v>
      </c>
      <c r="AG151" t="s">
        <v>34</v>
      </c>
    </row>
    <row r="152" spans="1:33">
      <c r="A152" s="2">
        <v>43982</v>
      </c>
      <c r="B152" s="5" t="s">
        <v>37</v>
      </c>
      <c r="C152" s="5">
        <f>WEEKDAY(Table1[[#This Row],[Date]])</f>
        <v>1</v>
      </c>
      <c r="D152" s="5">
        <f>MONTH(Table1[[#This Row],[Date]])</f>
        <v>5</v>
      </c>
      <c r="E152" s="5">
        <f>WEEKNUM(Table1[[#This Row],[Date]])</f>
        <v>23</v>
      </c>
      <c r="F152" s="5">
        <f>YEAR(Table1[[#This Row],[Date]])</f>
        <v>2020</v>
      </c>
      <c r="G152">
        <v>25</v>
      </c>
      <c r="L152" s="5">
        <v>160</v>
      </c>
      <c r="M152" s="6">
        <v>0.98770000000000002</v>
      </c>
      <c r="N152" s="5">
        <v>2</v>
      </c>
      <c r="O152" s="7">
        <v>1.8518518518518518E-4</v>
      </c>
      <c r="P152" s="7">
        <v>1.5625000000000001E-3</v>
      </c>
      <c r="Q152" s="7">
        <v>1.0532407407407407E-3</v>
      </c>
      <c r="R152" s="6">
        <v>0.83130000000000004</v>
      </c>
      <c r="S152" s="8">
        <f>CONVERT(Table1[[#This Row],[Talk Duration (AVG)]]*Table1[[#This Row],[Answered Calls]],"day","hr")</f>
        <v>6</v>
      </c>
      <c r="T152" s="9">
        <f>Table1[[#This Row],[Actual Workload hours]]*60</f>
        <v>360</v>
      </c>
      <c r="U152" s="9">
        <f>CONVERT(Table1[[#This Row],[Actual]]*Table1[[#This Row],[Talk Duration (AVG)]],"day","hr")</f>
        <v>0.9375</v>
      </c>
      <c r="V152" s="10">
        <f>Table1[[#This Row],[Required Workload Hours]]*60</f>
        <v>56.25</v>
      </c>
      <c r="W152" s="9">
        <v>1</v>
      </c>
      <c r="X152" s="9">
        <f t="shared" si="4"/>
        <v>1</v>
      </c>
      <c r="Y152" s="5">
        <f t="shared" si="5"/>
        <v>2</v>
      </c>
      <c r="Z152" s="8">
        <f>ROUNDUP(Table1[[#This Row],[Actual Heacount]],0)</f>
        <v>1</v>
      </c>
      <c r="AA152" s="8"/>
      <c r="AB152" s="10"/>
      <c r="AC152" s="10"/>
      <c r="AD152" s="10"/>
      <c r="AE152" s="11">
        <v>-24.779002110680711</v>
      </c>
      <c r="AF152" s="11">
        <v>200.4693819642753</v>
      </c>
      <c r="AG152" t="s">
        <v>34</v>
      </c>
    </row>
    <row r="153" spans="1:33">
      <c r="A153" s="2">
        <v>43983</v>
      </c>
      <c r="B153" s="5" t="s">
        <v>38</v>
      </c>
      <c r="C153" s="5">
        <f>WEEKDAY(Table1[[#This Row],[Date]])</f>
        <v>2</v>
      </c>
      <c r="D153" s="5">
        <f>MONTH(Table1[[#This Row],[Date]])</f>
        <v>6</v>
      </c>
      <c r="E153" s="5">
        <f>WEEKNUM(Table1[[#This Row],[Date]])</f>
        <v>23</v>
      </c>
      <c r="F153" s="5">
        <f>YEAR(Table1[[#This Row],[Date]])</f>
        <v>2020</v>
      </c>
      <c r="G153">
        <v>315</v>
      </c>
      <c r="L153" s="5">
        <v>25</v>
      </c>
      <c r="M153" s="6">
        <v>1</v>
      </c>
      <c r="N153" s="5">
        <v>0</v>
      </c>
      <c r="O153" s="7">
        <v>1.8518518518518518E-4</v>
      </c>
      <c r="P153" s="7">
        <v>1.7939814814814815E-3</v>
      </c>
      <c r="Q153" s="7">
        <v>6.7129629629629625E-4</v>
      </c>
      <c r="R153" s="6">
        <v>0.76</v>
      </c>
      <c r="S153" s="8">
        <f>CONVERT(Table1[[#This Row],[Talk Duration (AVG)]]*Table1[[#This Row],[Answered Calls]],"day","hr")</f>
        <v>1.0763888888888888</v>
      </c>
      <c r="T153" s="9">
        <f>Table1[[#This Row],[Actual Workload hours]]*60</f>
        <v>64.583333333333329</v>
      </c>
      <c r="U153" s="9">
        <f>CONVERT(Table1[[#This Row],[Actual]]*Table1[[#This Row],[Talk Duration (AVG)]],"day","hr")</f>
        <v>13.5625</v>
      </c>
      <c r="V153" s="10">
        <f>Table1[[#This Row],[Required Workload Hours]]*60</f>
        <v>813.75</v>
      </c>
      <c r="W153" s="9">
        <v>1</v>
      </c>
      <c r="X153" s="9">
        <f t="shared" si="4"/>
        <v>2.119140625</v>
      </c>
      <c r="Y153" s="5">
        <f t="shared" si="5"/>
        <v>1</v>
      </c>
      <c r="Z153" s="8">
        <f>ROUNDUP(Table1[[#This Row],[Actual Heacount]],0)</f>
        <v>1</v>
      </c>
      <c r="AA153" s="8"/>
      <c r="AB153" s="10"/>
      <c r="AC153" s="10"/>
      <c r="AD153" s="10"/>
      <c r="AE153" s="11">
        <v>73.550568306655947</v>
      </c>
      <c r="AF153" s="11">
        <v>289.37125792986973</v>
      </c>
      <c r="AG153" t="s">
        <v>34</v>
      </c>
    </row>
    <row r="154" spans="1:33">
      <c r="A154" s="2">
        <v>43984</v>
      </c>
      <c r="B154" s="5" t="s">
        <v>39</v>
      </c>
      <c r="C154" s="5">
        <f>WEEKDAY(Table1[[#This Row],[Date]])</f>
        <v>3</v>
      </c>
      <c r="D154" s="5">
        <f>MONTH(Table1[[#This Row],[Date]])</f>
        <v>6</v>
      </c>
      <c r="E154" s="5">
        <f>WEEKNUM(Table1[[#This Row],[Date]])</f>
        <v>23</v>
      </c>
      <c r="F154" s="5">
        <f>YEAR(Table1[[#This Row],[Date]])</f>
        <v>2020</v>
      </c>
      <c r="G154">
        <v>218</v>
      </c>
      <c r="L154" s="5">
        <v>146</v>
      </c>
      <c r="M154" s="6">
        <v>0.92989999999999995</v>
      </c>
      <c r="N154" s="5">
        <v>11</v>
      </c>
      <c r="O154" s="7">
        <v>1.9675925925925926E-4</v>
      </c>
      <c r="P154" s="7">
        <v>1.5856481481481481E-3</v>
      </c>
      <c r="Q154" s="7">
        <v>1.2847222222222223E-3</v>
      </c>
      <c r="R154" s="6">
        <v>0.7974</v>
      </c>
      <c r="S154" s="8">
        <f>CONVERT(Table1[[#This Row],[Talk Duration (AVG)]]*Table1[[#This Row],[Answered Calls]],"day","hr")</f>
        <v>5.556111111111111</v>
      </c>
      <c r="T154" s="9">
        <f>Table1[[#This Row],[Actual Workload hours]]*60</f>
        <v>333.36666666666667</v>
      </c>
      <c r="U154" s="9">
        <f>CONVERT(Table1[[#This Row],[Actual]]*Table1[[#This Row],[Talk Duration (AVG)]],"day","hr")</f>
        <v>8.2961111111111112</v>
      </c>
      <c r="V154" s="10">
        <f>Table1[[#This Row],[Required Workload Hours]]*60</f>
        <v>497.76666666666665</v>
      </c>
      <c r="W154" s="9">
        <v>1</v>
      </c>
      <c r="X154" s="9">
        <f t="shared" si="4"/>
        <v>1.2962673611111111</v>
      </c>
      <c r="Y154" s="5">
        <f t="shared" si="5"/>
        <v>2</v>
      </c>
      <c r="Z154" s="8">
        <f>ROUNDUP(Table1[[#This Row],[Actual Heacount]],0)</f>
        <v>1</v>
      </c>
      <c r="AA154" s="8"/>
      <c r="AB154" s="10"/>
      <c r="AC154" s="10"/>
      <c r="AD154" s="10"/>
      <c r="AE154" s="11">
        <v>58.562432679013853</v>
      </c>
      <c r="AF154" s="11">
        <v>282.97105682600261</v>
      </c>
      <c r="AG154" t="s">
        <v>34</v>
      </c>
    </row>
    <row r="155" spans="1:33">
      <c r="A155" s="2">
        <v>43985</v>
      </c>
      <c r="B155" s="5" t="s">
        <v>40</v>
      </c>
      <c r="C155" s="5">
        <f>WEEKDAY(Table1[[#This Row],[Date]])</f>
        <v>4</v>
      </c>
      <c r="D155" s="5">
        <f>MONTH(Table1[[#This Row],[Date]])</f>
        <v>6</v>
      </c>
      <c r="E155" s="5">
        <f>WEEKNUM(Table1[[#This Row],[Date]])</f>
        <v>23</v>
      </c>
      <c r="F155" s="5">
        <f>YEAR(Table1[[#This Row],[Date]])</f>
        <v>2020</v>
      </c>
      <c r="G155">
        <v>235</v>
      </c>
      <c r="L155" s="5">
        <v>154</v>
      </c>
      <c r="M155" s="6">
        <v>0.92769999999999997</v>
      </c>
      <c r="N155" s="5">
        <v>12</v>
      </c>
      <c r="O155" s="7">
        <v>2.8935185185185184E-4</v>
      </c>
      <c r="P155" s="7">
        <v>1.5972222222222223E-3</v>
      </c>
      <c r="Q155" s="7">
        <v>2.5347222222222221E-3</v>
      </c>
      <c r="R155" s="6">
        <v>0.66259999999999997</v>
      </c>
      <c r="S155" s="8">
        <f>CONVERT(Table1[[#This Row],[Talk Duration (AVG)]]*Table1[[#This Row],[Answered Calls]],"day","hr")</f>
        <v>5.9033333333333333</v>
      </c>
      <c r="T155" s="9">
        <f>Table1[[#This Row],[Actual Workload hours]]*60</f>
        <v>354.2</v>
      </c>
      <c r="U155" s="9">
        <f>CONVERT(Table1[[#This Row],[Actual]]*Table1[[#This Row],[Talk Duration (AVG)]],"day","hr")</f>
        <v>9.0083333333333329</v>
      </c>
      <c r="V155" s="10">
        <f>Table1[[#This Row],[Required Workload Hours]]*60</f>
        <v>540.5</v>
      </c>
      <c r="W155" s="9">
        <v>1</v>
      </c>
      <c r="X155" s="9">
        <f t="shared" si="4"/>
        <v>1.4075520833333333</v>
      </c>
      <c r="Y155" s="5">
        <f t="shared" si="5"/>
        <v>2</v>
      </c>
      <c r="Z155" s="8">
        <f>ROUNDUP(Table1[[#This Row],[Actual Heacount]],0)</f>
        <v>1</v>
      </c>
      <c r="AA155" s="8"/>
      <c r="AB155" s="10"/>
      <c r="AC155" s="10"/>
      <c r="AD155" s="10"/>
      <c r="AE155" s="11">
        <v>65.069984841667249</v>
      </c>
      <c r="AF155" s="11">
        <v>287.29241355866748</v>
      </c>
      <c r="AG155" t="s">
        <v>34</v>
      </c>
    </row>
    <row r="156" spans="1:33">
      <c r="A156" s="2">
        <v>43986</v>
      </c>
      <c r="B156" s="5" t="s">
        <v>33</v>
      </c>
      <c r="C156" s="5">
        <f>WEEKDAY(Table1[[#This Row],[Date]])</f>
        <v>5</v>
      </c>
      <c r="D156" s="5">
        <f>MONTH(Table1[[#This Row],[Date]])</f>
        <v>6</v>
      </c>
      <c r="E156" s="5">
        <f>WEEKNUM(Table1[[#This Row],[Date]])</f>
        <v>23</v>
      </c>
      <c r="F156" s="5">
        <f>YEAR(Table1[[#This Row],[Date]])</f>
        <v>2020</v>
      </c>
      <c r="G156">
        <v>147</v>
      </c>
      <c r="L156" s="5">
        <v>55</v>
      </c>
      <c r="M156" s="6">
        <v>0.94830000000000003</v>
      </c>
      <c r="N156" s="5">
        <v>3</v>
      </c>
      <c r="O156" s="7">
        <v>1.8518518518518518E-4</v>
      </c>
      <c r="P156" s="7">
        <v>1.5162037037037036E-3</v>
      </c>
      <c r="Q156" s="7">
        <v>1.9097222222222222E-3</v>
      </c>
      <c r="R156" s="6">
        <v>0.74139999999999995</v>
      </c>
      <c r="S156" s="8">
        <f>CONVERT(Table1[[#This Row],[Talk Duration (AVG)]]*Table1[[#This Row],[Answered Calls]],"day","hr")</f>
        <v>2.0013888888888891</v>
      </c>
      <c r="T156" s="9">
        <f>Table1[[#This Row],[Actual Workload hours]]*60</f>
        <v>120.08333333333334</v>
      </c>
      <c r="U156" s="9">
        <f>CONVERT(Table1[[#This Row],[Actual]]*Table1[[#This Row],[Talk Duration (AVG)]],"day","hr")</f>
        <v>5.3491666666666671</v>
      </c>
      <c r="V156" s="10">
        <f>Table1[[#This Row],[Required Workload Hours]]*60</f>
        <v>320.95000000000005</v>
      </c>
      <c r="W156" s="9">
        <v>1</v>
      </c>
      <c r="X156" s="9">
        <f t="shared" si="4"/>
        <v>1</v>
      </c>
      <c r="Y156" s="5">
        <f t="shared" si="5"/>
        <v>2</v>
      </c>
      <c r="Z156" s="8">
        <f>ROUNDUP(Table1[[#This Row],[Actual Heacount]],0)</f>
        <v>1</v>
      </c>
      <c r="AA156" s="8"/>
      <c r="AB156" s="10"/>
      <c r="AC156" s="10"/>
      <c r="AD156" s="10"/>
      <c r="AE156" s="11">
        <v>62.415309150544672</v>
      </c>
      <c r="AF156" s="11">
        <v>288.85779148615461</v>
      </c>
      <c r="AG156" t="s">
        <v>34</v>
      </c>
    </row>
    <row r="157" spans="1:33">
      <c r="A157" s="2">
        <v>43987</v>
      </c>
      <c r="B157" s="5" t="s">
        <v>35</v>
      </c>
      <c r="C157" s="5">
        <f>WEEKDAY(Table1[[#This Row],[Date]])</f>
        <v>6</v>
      </c>
      <c r="D157" s="5">
        <f>MONTH(Table1[[#This Row],[Date]])</f>
        <v>6</v>
      </c>
      <c r="E157" s="5">
        <f>WEEKNUM(Table1[[#This Row],[Date]])</f>
        <v>23</v>
      </c>
      <c r="F157" s="5">
        <f>YEAR(Table1[[#This Row],[Date]])</f>
        <v>2020</v>
      </c>
      <c r="G157">
        <v>260</v>
      </c>
      <c r="L157" s="5">
        <v>74</v>
      </c>
      <c r="M157" s="6">
        <v>0.98670000000000002</v>
      </c>
      <c r="N157" s="5">
        <v>1</v>
      </c>
      <c r="O157" s="7">
        <v>1.7361111111111112E-4</v>
      </c>
      <c r="P157" s="7">
        <v>1.5393518518518519E-3</v>
      </c>
      <c r="Q157" s="7">
        <v>2.2916666666666667E-3</v>
      </c>
      <c r="R157" s="6">
        <v>0.84</v>
      </c>
      <c r="S157" s="8">
        <f>CONVERT(Table1[[#This Row],[Talk Duration (AVG)]]*Table1[[#This Row],[Answered Calls]],"day","hr")</f>
        <v>2.733888888888889</v>
      </c>
      <c r="T157" s="9">
        <f>Table1[[#This Row],[Actual Workload hours]]*60</f>
        <v>164.03333333333333</v>
      </c>
      <c r="U157" s="9">
        <f>CONVERT(Table1[[#This Row],[Actual]]*Table1[[#This Row],[Talk Duration (AVG)]],"day","hr")</f>
        <v>9.6055555555555561</v>
      </c>
      <c r="V157" s="10">
        <f>Table1[[#This Row],[Required Workload Hours]]*60</f>
        <v>576.33333333333337</v>
      </c>
      <c r="W157" s="9">
        <v>1</v>
      </c>
      <c r="X157" s="9">
        <f t="shared" si="4"/>
        <v>1.5008680555555556</v>
      </c>
      <c r="Y157" s="5">
        <f t="shared" si="5"/>
        <v>2</v>
      </c>
      <c r="Z157" s="8">
        <f>ROUNDUP(Table1[[#This Row],[Actual Heacount]],0)</f>
        <v>1</v>
      </c>
      <c r="AA157" s="8"/>
      <c r="AB157" s="10"/>
      <c r="AC157" s="10"/>
      <c r="AD157" s="10"/>
      <c r="AE157" s="11">
        <v>53.162034439879029</v>
      </c>
      <c r="AF157" s="11">
        <v>277.54755231378448</v>
      </c>
      <c r="AG157" t="s">
        <v>34</v>
      </c>
    </row>
    <row r="158" spans="1:33">
      <c r="A158" s="2">
        <v>43988</v>
      </c>
      <c r="B158" s="5" t="s">
        <v>36</v>
      </c>
      <c r="C158" s="5">
        <f>WEEKDAY(Table1[[#This Row],[Date]])</f>
        <v>7</v>
      </c>
      <c r="D158" s="5">
        <f>MONTH(Table1[[#This Row],[Date]])</f>
        <v>6</v>
      </c>
      <c r="E158" s="5">
        <f>WEEKNUM(Table1[[#This Row],[Date]])</f>
        <v>23</v>
      </c>
      <c r="F158" s="5">
        <f>YEAR(Table1[[#This Row],[Date]])</f>
        <v>2020</v>
      </c>
      <c r="G158">
        <v>108</v>
      </c>
      <c r="L158" s="5">
        <v>28</v>
      </c>
      <c r="M158" s="6">
        <v>1</v>
      </c>
      <c r="N158" s="5">
        <v>0</v>
      </c>
      <c r="O158" s="7">
        <v>8.1018518518518516E-5</v>
      </c>
      <c r="P158" s="7">
        <v>1.712962962962963E-3</v>
      </c>
      <c r="Q158" s="7">
        <v>5.9027777777777778E-4</v>
      </c>
      <c r="R158" s="6">
        <v>0.96430000000000005</v>
      </c>
      <c r="S158" s="8">
        <f>CONVERT(Table1[[#This Row],[Talk Duration (AVG)]]*Table1[[#This Row],[Answered Calls]],"day","hr")</f>
        <v>1.1511111111111112</v>
      </c>
      <c r="T158" s="9">
        <f>Table1[[#This Row],[Actual Workload hours]]*60</f>
        <v>69.066666666666677</v>
      </c>
      <c r="U158" s="9">
        <f>CONVERT(Table1[[#This Row],[Actual]]*Table1[[#This Row],[Talk Duration (AVG)]],"day","hr")</f>
        <v>4.4400000000000004</v>
      </c>
      <c r="V158" s="10">
        <f>Table1[[#This Row],[Required Workload Hours]]*60</f>
        <v>266.40000000000003</v>
      </c>
      <c r="W158" s="9">
        <v>1</v>
      </c>
      <c r="X158" s="9">
        <f t="shared" si="4"/>
        <v>1</v>
      </c>
      <c r="Y158" s="5">
        <f t="shared" si="5"/>
        <v>2</v>
      </c>
      <c r="Z158" s="8">
        <f>ROUNDUP(Table1[[#This Row],[Actual Heacount]],0)</f>
        <v>1</v>
      </c>
      <c r="AA158" s="8"/>
      <c r="AB158" s="10"/>
      <c r="AC158" s="10"/>
      <c r="AD158" s="10"/>
      <c r="AE158" s="11">
        <v>64.648313202136052</v>
      </c>
      <c r="AF158" s="11">
        <v>280.07363021545501</v>
      </c>
      <c r="AG158" t="s">
        <v>34</v>
      </c>
    </row>
    <row r="159" spans="1:33">
      <c r="A159" s="2">
        <v>43989</v>
      </c>
      <c r="B159" s="5" t="s">
        <v>37</v>
      </c>
      <c r="C159" s="5">
        <f>WEEKDAY(Table1[[#This Row],[Date]])</f>
        <v>1</v>
      </c>
      <c r="D159" s="5">
        <f>MONTH(Table1[[#This Row],[Date]])</f>
        <v>6</v>
      </c>
      <c r="E159" s="5">
        <f>WEEKNUM(Table1[[#This Row],[Date]])</f>
        <v>24</v>
      </c>
      <c r="F159" s="5">
        <f>YEAR(Table1[[#This Row],[Date]])</f>
        <v>2020</v>
      </c>
      <c r="G159">
        <v>275</v>
      </c>
      <c r="L159" s="5">
        <v>107</v>
      </c>
      <c r="M159" s="6">
        <v>0.99070000000000003</v>
      </c>
      <c r="N159" s="5">
        <v>1</v>
      </c>
      <c r="O159" s="7">
        <v>1.0416666666666667E-4</v>
      </c>
      <c r="P159" s="7">
        <v>1.5162037037037036E-3</v>
      </c>
      <c r="Q159" s="7">
        <v>6.8287037037037036E-4</v>
      </c>
      <c r="R159" s="6">
        <v>0.94440000000000002</v>
      </c>
      <c r="S159" s="8">
        <f>CONVERT(Table1[[#This Row],[Talk Duration (AVG)]]*Table1[[#This Row],[Answered Calls]],"day","hr")</f>
        <v>3.8936111111111105</v>
      </c>
      <c r="T159" s="9">
        <f>Table1[[#This Row],[Actual Workload hours]]*60</f>
        <v>233.61666666666662</v>
      </c>
      <c r="U159" s="9">
        <f>CONVERT(Table1[[#This Row],[Actual]]*Table1[[#This Row],[Talk Duration (AVG)]],"day","hr")</f>
        <v>10.006944444444445</v>
      </c>
      <c r="V159" s="10">
        <f>Table1[[#This Row],[Required Workload Hours]]*60</f>
        <v>600.41666666666663</v>
      </c>
      <c r="W159" s="9">
        <v>1</v>
      </c>
      <c r="X159" s="9">
        <f t="shared" si="4"/>
        <v>1.5635850694444444</v>
      </c>
      <c r="Y159" s="5">
        <f t="shared" si="5"/>
        <v>2</v>
      </c>
      <c r="Z159" s="8">
        <f>ROUNDUP(Table1[[#This Row],[Actual Heacount]],0)</f>
        <v>1</v>
      </c>
      <c r="AA159" s="8"/>
      <c r="AB159" s="10"/>
      <c r="AC159" s="10"/>
      <c r="AD159" s="10"/>
      <c r="AE159" s="11">
        <v>-33.049575539534708</v>
      </c>
      <c r="AF159" s="11">
        <v>195.41922988055151</v>
      </c>
      <c r="AG159" t="s">
        <v>34</v>
      </c>
    </row>
    <row r="160" spans="1:33">
      <c r="A160" s="2">
        <v>43990</v>
      </c>
      <c r="B160" s="5" t="s">
        <v>38</v>
      </c>
      <c r="C160" s="5">
        <f>WEEKDAY(Table1[[#This Row],[Date]])</f>
        <v>2</v>
      </c>
      <c r="D160" s="5">
        <f>MONTH(Table1[[#This Row],[Date]])</f>
        <v>6</v>
      </c>
      <c r="E160" s="5">
        <f>WEEKNUM(Table1[[#This Row],[Date]])</f>
        <v>24</v>
      </c>
      <c r="F160" s="5">
        <f>YEAR(Table1[[#This Row],[Date]])</f>
        <v>2020</v>
      </c>
      <c r="G160">
        <v>194</v>
      </c>
      <c r="L160" s="5">
        <v>21</v>
      </c>
      <c r="M160" s="6">
        <v>1</v>
      </c>
      <c r="N160" s="5">
        <v>0</v>
      </c>
      <c r="O160" s="7">
        <v>8.1018518518518516E-5</v>
      </c>
      <c r="P160" s="7">
        <v>2.0601851851851853E-3</v>
      </c>
      <c r="Q160" s="7">
        <v>6.7129629629629625E-4</v>
      </c>
      <c r="R160" s="6">
        <v>0.95240000000000002</v>
      </c>
      <c r="S160" s="8">
        <f>CONVERT(Table1[[#This Row],[Talk Duration (AVG)]]*Table1[[#This Row],[Answered Calls]],"day","hr")</f>
        <v>1.0383333333333336</v>
      </c>
      <c r="T160" s="9">
        <f>Table1[[#This Row],[Actual Workload hours]]*60</f>
        <v>62.300000000000011</v>
      </c>
      <c r="U160" s="9">
        <f>CONVERT(Table1[[#This Row],[Actual]]*Table1[[#This Row],[Talk Duration (AVG)]],"day","hr")</f>
        <v>9.5922222222222224</v>
      </c>
      <c r="V160" s="10">
        <f>Table1[[#This Row],[Required Workload Hours]]*60</f>
        <v>575.5333333333333</v>
      </c>
      <c r="W160" s="9">
        <v>1</v>
      </c>
      <c r="X160" s="9">
        <f t="shared" si="4"/>
        <v>1.4987847222222221</v>
      </c>
      <c r="Y160" s="5">
        <f t="shared" si="5"/>
        <v>1</v>
      </c>
      <c r="Z160" s="8">
        <f>ROUNDUP(Table1[[#This Row],[Actual Heacount]],0)</f>
        <v>1</v>
      </c>
      <c r="AA160" s="8"/>
      <c r="AB160" s="10"/>
      <c r="AC160" s="10"/>
      <c r="AD160" s="10"/>
      <c r="AE160" s="11">
        <v>75.541316291259548</v>
      </c>
      <c r="AF160" s="11">
        <v>295.63832056306882</v>
      </c>
      <c r="AG160" t="s">
        <v>34</v>
      </c>
    </row>
    <row r="161" spans="1:33">
      <c r="A161" s="2">
        <v>43991</v>
      </c>
      <c r="B161" s="5" t="s">
        <v>39</v>
      </c>
      <c r="C161" s="5">
        <f>WEEKDAY(Table1[[#This Row],[Date]])</f>
        <v>3</v>
      </c>
      <c r="D161" s="5">
        <f>MONTH(Table1[[#This Row],[Date]])</f>
        <v>6</v>
      </c>
      <c r="E161" s="5">
        <f>WEEKNUM(Table1[[#This Row],[Date]])</f>
        <v>24</v>
      </c>
      <c r="F161" s="5">
        <f>YEAR(Table1[[#This Row],[Date]])</f>
        <v>2020</v>
      </c>
      <c r="G161">
        <v>24</v>
      </c>
      <c r="L161" s="5">
        <v>182</v>
      </c>
      <c r="M161" s="6">
        <v>0.96299999999999997</v>
      </c>
      <c r="N161" s="5">
        <v>7</v>
      </c>
      <c r="O161" s="7">
        <v>2.4305555555555555E-4</v>
      </c>
      <c r="P161" s="7">
        <v>1.5046296296296296E-3</v>
      </c>
      <c r="Q161" s="7">
        <v>3.3101851851851851E-3</v>
      </c>
      <c r="R161" s="6">
        <v>0.76339999999999997</v>
      </c>
      <c r="S161" s="8">
        <f>CONVERT(Table1[[#This Row],[Talk Duration (AVG)]]*Table1[[#This Row],[Answered Calls]],"day","hr")</f>
        <v>6.572222222222222</v>
      </c>
      <c r="T161" s="9">
        <f>Table1[[#This Row],[Actual Workload hours]]*60</f>
        <v>394.33333333333331</v>
      </c>
      <c r="U161" s="9">
        <f>CONVERT(Table1[[#This Row],[Actual]]*Table1[[#This Row],[Talk Duration (AVG)]],"day","hr")</f>
        <v>0.86666666666666659</v>
      </c>
      <c r="V161" s="10">
        <f>Table1[[#This Row],[Required Workload Hours]]*60</f>
        <v>51.999999999999993</v>
      </c>
      <c r="W161" s="9">
        <v>1.03</v>
      </c>
      <c r="X161" s="9">
        <f t="shared" si="4"/>
        <v>1</v>
      </c>
      <c r="Y161" s="5">
        <f t="shared" si="5"/>
        <v>2</v>
      </c>
      <c r="Z161" s="8">
        <f>ROUNDUP(Table1[[#This Row],[Actual Heacount]],0)</f>
        <v>2</v>
      </c>
      <c r="AA161" s="8"/>
      <c r="AB161" s="10"/>
      <c r="AC161" s="10"/>
      <c r="AD161" s="10"/>
      <c r="AE161" s="11">
        <v>59.748838436995243</v>
      </c>
      <c r="AF161" s="11">
        <v>281.43049074057632</v>
      </c>
      <c r="AG161" t="s">
        <v>34</v>
      </c>
    </row>
    <row r="162" spans="1:33">
      <c r="A162" s="2">
        <v>43992</v>
      </c>
      <c r="B162" s="5" t="s">
        <v>40</v>
      </c>
      <c r="C162" s="5">
        <f>WEEKDAY(Table1[[#This Row],[Date]])</f>
        <v>4</v>
      </c>
      <c r="D162" s="5">
        <f>MONTH(Table1[[#This Row],[Date]])</f>
        <v>6</v>
      </c>
      <c r="E162" s="5">
        <f>WEEKNUM(Table1[[#This Row],[Date]])</f>
        <v>24</v>
      </c>
      <c r="F162" s="5">
        <f>YEAR(Table1[[#This Row],[Date]])</f>
        <v>2020</v>
      </c>
      <c r="G162">
        <v>182</v>
      </c>
      <c r="L162" s="5">
        <v>155</v>
      </c>
      <c r="M162" s="6">
        <v>0.9627</v>
      </c>
      <c r="N162" s="5">
        <v>6</v>
      </c>
      <c r="O162" s="7">
        <v>2.199074074074074E-4</v>
      </c>
      <c r="P162" s="7">
        <v>1.7013888888888888E-3</v>
      </c>
      <c r="Q162" s="7">
        <v>1.2731481481481483E-3</v>
      </c>
      <c r="R162" s="6">
        <v>0.71879999999999999</v>
      </c>
      <c r="S162" s="8">
        <f>CONVERT(Table1[[#This Row],[Talk Duration (AVG)]]*Table1[[#This Row],[Answered Calls]],"day","hr")</f>
        <v>6.3291666666666666</v>
      </c>
      <c r="T162" s="9">
        <f>Table1[[#This Row],[Actual Workload hours]]*60</f>
        <v>379.75</v>
      </c>
      <c r="U162" s="9">
        <f>CONVERT(Table1[[#This Row],[Actual]]*Table1[[#This Row],[Talk Duration (AVG)]],"day","hr")</f>
        <v>7.4316666666666666</v>
      </c>
      <c r="V162" s="10">
        <f>Table1[[#This Row],[Required Workload Hours]]*60</f>
        <v>445.9</v>
      </c>
      <c r="W162" s="9">
        <v>1</v>
      </c>
      <c r="X162" s="9">
        <f t="shared" si="4"/>
        <v>1.1611979166666666</v>
      </c>
      <c r="Y162" s="5">
        <f t="shared" si="5"/>
        <v>2</v>
      </c>
      <c r="Z162" s="8">
        <f>ROUNDUP(Table1[[#This Row],[Actual Heacount]],0)</f>
        <v>1</v>
      </c>
      <c r="AA162" s="8"/>
      <c r="AB162" s="10"/>
      <c r="AC162" s="10"/>
      <c r="AD162" s="10"/>
      <c r="AE162" s="11">
        <v>79.485038161311465</v>
      </c>
      <c r="AF162" s="11">
        <v>292.19272557748411</v>
      </c>
      <c r="AG162" t="s">
        <v>34</v>
      </c>
    </row>
    <row r="163" spans="1:33">
      <c r="A163" s="2">
        <v>43993</v>
      </c>
      <c r="B163" s="5" t="s">
        <v>33</v>
      </c>
      <c r="C163" s="5">
        <f>WEEKDAY(Table1[[#This Row],[Date]])</f>
        <v>5</v>
      </c>
      <c r="D163" s="5">
        <f>MONTH(Table1[[#This Row],[Date]])</f>
        <v>6</v>
      </c>
      <c r="E163" s="5">
        <f>WEEKNUM(Table1[[#This Row],[Date]])</f>
        <v>24</v>
      </c>
      <c r="F163" s="5">
        <f>YEAR(Table1[[#This Row],[Date]])</f>
        <v>2020</v>
      </c>
      <c r="G163">
        <v>55</v>
      </c>
      <c r="L163" s="5">
        <v>151</v>
      </c>
      <c r="M163" s="6">
        <v>0.97419999999999995</v>
      </c>
      <c r="N163" s="5">
        <v>4</v>
      </c>
      <c r="O163" s="7">
        <v>1.9675925925925926E-4</v>
      </c>
      <c r="P163" s="7">
        <v>1.6203703703703703E-3</v>
      </c>
      <c r="Q163" s="7">
        <v>1.261574074074074E-3</v>
      </c>
      <c r="R163" s="6">
        <v>0.80520000000000003</v>
      </c>
      <c r="S163" s="8">
        <f>CONVERT(Table1[[#This Row],[Talk Duration (AVG)]]*Table1[[#This Row],[Answered Calls]],"day","hr")</f>
        <v>5.8722222222222218</v>
      </c>
      <c r="T163" s="9">
        <f>Table1[[#This Row],[Actual Workload hours]]*60</f>
        <v>352.33333333333331</v>
      </c>
      <c r="U163" s="9">
        <f>CONVERT(Table1[[#This Row],[Actual]]*Table1[[#This Row],[Talk Duration (AVG)]],"day","hr")</f>
        <v>2.1388888888888888</v>
      </c>
      <c r="V163" s="10">
        <f>Table1[[#This Row],[Required Workload Hours]]*60</f>
        <v>128.33333333333334</v>
      </c>
      <c r="W163" s="9">
        <v>1</v>
      </c>
      <c r="X163" s="9">
        <f t="shared" si="4"/>
        <v>1</v>
      </c>
      <c r="Y163" s="5">
        <f t="shared" si="5"/>
        <v>2</v>
      </c>
      <c r="Z163" s="8">
        <f>ROUNDUP(Table1[[#This Row],[Actual Heacount]],0)</f>
        <v>1</v>
      </c>
      <c r="AA163" s="8"/>
      <c r="AB163" s="10"/>
      <c r="AC163" s="10"/>
      <c r="AD163" s="10"/>
      <c r="AE163" s="11">
        <v>73.177631432602269</v>
      </c>
      <c r="AF163" s="11">
        <v>285.04689109338011</v>
      </c>
      <c r="AG163" t="s">
        <v>34</v>
      </c>
    </row>
    <row r="164" spans="1:33">
      <c r="A164" s="2">
        <v>43994</v>
      </c>
      <c r="B164" s="5" t="s">
        <v>35</v>
      </c>
      <c r="C164" s="5">
        <f>WEEKDAY(Table1[[#This Row],[Date]])</f>
        <v>6</v>
      </c>
      <c r="D164" s="5">
        <f>MONTH(Table1[[#This Row],[Date]])</f>
        <v>6</v>
      </c>
      <c r="E164" s="5">
        <f>WEEKNUM(Table1[[#This Row],[Date]])</f>
        <v>24</v>
      </c>
      <c r="F164" s="5">
        <f>YEAR(Table1[[#This Row],[Date]])</f>
        <v>2020</v>
      </c>
      <c r="G164">
        <v>40</v>
      </c>
      <c r="L164" s="5">
        <v>150</v>
      </c>
      <c r="M164" s="6">
        <v>0.93169999999999997</v>
      </c>
      <c r="N164" s="5">
        <v>11</v>
      </c>
      <c r="O164" s="7">
        <v>1.9675925925925926E-4</v>
      </c>
      <c r="P164" s="7">
        <v>1.6435185185185185E-3</v>
      </c>
      <c r="Q164" s="7">
        <v>1.9097222222222222E-3</v>
      </c>
      <c r="R164" s="6">
        <v>0.75319999999999998</v>
      </c>
      <c r="S164" s="8">
        <f>CONVERT(Table1[[#This Row],[Talk Duration (AVG)]]*Table1[[#This Row],[Answered Calls]],"day","hr")</f>
        <v>5.916666666666667</v>
      </c>
      <c r="T164" s="9">
        <f>Table1[[#This Row],[Actual Workload hours]]*60</f>
        <v>355</v>
      </c>
      <c r="U164" s="9">
        <f>CONVERT(Table1[[#This Row],[Actual]]*Table1[[#This Row],[Talk Duration (AVG)]],"day","hr")</f>
        <v>1.5777777777777777</v>
      </c>
      <c r="V164" s="10">
        <f>Table1[[#This Row],[Required Workload Hours]]*60</f>
        <v>94.666666666666657</v>
      </c>
      <c r="W164" s="9">
        <v>1</v>
      </c>
      <c r="X164" s="9">
        <f t="shared" si="4"/>
        <v>1</v>
      </c>
      <c r="Y164" s="5">
        <f t="shared" si="5"/>
        <v>2</v>
      </c>
      <c r="Z164" s="8">
        <f>ROUNDUP(Table1[[#This Row],[Actual Heacount]],0)</f>
        <v>1</v>
      </c>
      <c r="AA164" s="8"/>
      <c r="AB164" s="10"/>
      <c r="AC164" s="10"/>
      <c r="AD164" s="10"/>
      <c r="AE164" s="11">
        <v>61.016335503642132</v>
      </c>
      <c r="AF164" s="11">
        <v>280.00514339786622</v>
      </c>
      <c r="AG164" t="s">
        <v>34</v>
      </c>
    </row>
    <row r="165" spans="1:33">
      <c r="A165" s="2">
        <v>43995</v>
      </c>
      <c r="B165" s="5" t="s">
        <v>36</v>
      </c>
      <c r="C165" s="5">
        <f>WEEKDAY(Table1[[#This Row],[Date]])</f>
        <v>7</v>
      </c>
      <c r="D165" s="5">
        <f>MONTH(Table1[[#This Row],[Date]])</f>
        <v>6</v>
      </c>
      <c r="E165" s="5">
        <f>WEEKNUM(Table1[[#This Row],[Date]])</f>
        <v>24</v>
      </c>
      <c r="F165" s="5">
        <f>YEAR(Table1[[#This Row],[Date]])</f>
        <v>2020</v>
      </c>
      <c r="G165">
        <v>122</v>
      </c>
      <c r="L165" s="5">
        <v>129</v>
      </c>
      <c r="M165" s="6">
        <v>0.97729999999999995</v>
      </c>
      <c r="N165" s="5">
        <v>3</v>
      </c>
      <c r="O165" s="7">
        <v>3.1250000000000001E-4</v>
      </c>
      <c r="P165" s="7">
        <v>1.6435185185185185E-3</v>
      </c>
      <c r="Q165" s="7">
        <v>1.7824074074074075E-3</v>
      </c>
      <c r="R165" s="6">
        <v>0.65149999999999997</v>
      </c>
      <c r="S165" s="8">
        <f>CONVERT(Table1[[#This Row],[Talk Duration (AVG)]]*Table1[[#This Row],[Answered Calls]],"day","hr")</f>
        <v>5.0883333333333329</v>
      </c>
      <c r="T165" s="9">
        <f>Table1[[#This Row],[Actual Workload hours]]*60</f>
        <v>305.29999999999995</v>
      </c>
      <c r="U165" s="9">
        <f>CONVERT(Table1[[#This Row],[Actual]]*Table1[[#This Row],[Talk Duration (AVG)]],"day","hr")</f>
        <v>4.8122222222222222</v>
      </c>
      <c r="V165" s="10">
        <f>Table1[[#This Row],[Required Workload Hours]]*60</f>
        <v>288.73333333333335</v>
      </c>
      <c r="W165" s="9">
        <v>1</v>
      </c>
      <c r="X165" s="9">
        <f t="shared" si="4"/>
        <v>1</v>
      </c>
      <c r="Y165" s="5">
        <f t="shared" si="5"/>
        <v>2</v>
      </c>
      <c r="Z165" s="8">
        <f>ROUNDUP(Table1[[#This Row],[Actual Heacount]],0)</f>
        <v>1</v>
      </c>
      <c r="AA165" s="8"/>
      <c r="AB165" s="10"/>
      <c r="AC165" s="10"/>
      <c r="AD165" s="10"/>
      <c r="AE165" s="11">
        <v>69.580952395271026</v>
      </c>
      <c r="AF165" s="11">
        <v>288.46307306710111</v>
      </c>
      <c r="AG165" t="s">
        <v>34</v>
      </c>
    </row>
    <row r="166" spans="1:33">
      <c r="A166" s="2">
        <v>43996</v>
      </c>
      <c r="B166" s="5" t="s">
        <v>37</v>
      </c>
      <c r="C166" s="5">
        <f>WEEKDAY(Table1[[#This Row],[Date]])</f>
        <v>1</v>
      </c>
      <c r="D166" s="5">
        <f>MONTH(Table1[[#This Row],[Date]])</f>
        <v>6</v>
      </c>
      <c r="E166" s="5">
        <f>WEEKNUM(Table1[[#This Row],[Date]])</f>
        <v>25</v>
      </c>
      <c r="F166" s="5">
        <f>YEAR(Table1[[#This Row],[Date]])</f>
        <v>2020</v>
      </c>
      <c r="G166">
        <v>17</v>
      </c>
      <c r="L166" s="5">
        <v>119</v>
      </c>
      <c r="M166" s="6">
        <v>0.97540000000000004</v>
      </c>
      <c r="N166" s="5">
        <v>3</v>
      </c>
      <c r="O166" s="7">
        <v>1.8518518518518518E-4</v>
      </c>
      <c r="P166" s="7">
        <v>1.6666666666666668E-3</v>
      </c>
      <c r="Q166" s="7">
        <v>1.2731481481481483E-3</v>
      </c>
      <c r="R166" s="6">
        <v>0.8</v>
      </c>
      <c r="S166" s="8">
        <f>CONVERT(Table1[[#This Row],[Talk Duration (AVG)]]*Table1[[#This Row],[Answered Calls]],"day","hr")</f>
        <v>4.76</v>
      </c>
      <c r="T166" s="9">
        <f>Table1[[#This Row],[Actual Workload hours]]*60</f>
        <v>285.59999999999997</v>
      </c>
      <c r="U166" s="9">
        <f>CONVERT(Table1[[#This Row],[Actual]]*Table1[[#This Row],[Talk Duration (AVG)]],"day","hr")</f>
        <v>0.68</v>
      </c>
      <c r="V166" s="10">
        <f>Table1[[#This Row],[Required Workload Hours]]*60</f>
        <v>40.800000000000004</v>
      </c>
      <c r="W166" s="9">
        <v>1</v>
      </c>
      <c r="X166" s="9">
        <f t="shared" si="4"/>
        <v>1</v>
      </c>
      <c r="Y166" s="5">
        <f t="shared" si="5"/>
        <v>2</v>
      </c>
      <c r="Z166" s="8">
        <f>ROUNDUP(Table1[[#This Row],[Actual Heacount]],0)</f>
        <v>1</v>
      </c>
      <c r="AA166" s="8"/>
      <c r="AB166" s="10"/>
      <c r="AC166" s="10"/>
      <c r="AD166" s="10"/>
      <c r="AE166" s="11">
        <v>-23.9968073457831</v>
      </c>
      <c r="AF166" s="11">
        <v>208.1863723089601</v>
      </c>
      <c r="AG166" t="s">
        <v>34</v>
      </c>
    </row>
    <row r="167" spans="1:33">
      <c r="A167" s="2">
        <v>43997</v>
      </c>
      <c r="B167" s="5" t="s">
        <v>38</v>
      </c>
      <c r="C167" s="5">
        <f>WEEKDAY(Table1[[#This Row],[Date]])</f>
        <v>2</v>
      </c>
      <c r="D167" s="5">
        <f>MONTH(Table1[[#This Row],[Date]])</f>
        <v>6</v>
      </c>
      <c r="E167" s="5">
        <f>WEEKNUM(Table1[[#This Row],[Date]])</f>
        <v>25</v>
      </c>
      <c r="F167" s="5">
        <f>YEAR(Table1[[#This Row],[Date]])</f>
        <v>2020</v>
      </c>
      <c r="G167">
        <v>45</v>
      </c>
      <c r="L167" s="5">
        <v>17</v>
      </c>
      <c r="M167" s="6">
        <v>1</v>
      </c>
      <c r="N167" s="5">
        <v>0</v>
      </c>
      <c r="O167" s="7">
        <v>2.4305555555555555E-4</v>
      </c>
      <c r="P167" s="7">
        <v>1.8518518518518519E-3</v>
      </c>
      <c r="Q167" s="7">
        <v>6.7129629629629625E-4</v>
      </c>
      <c r="R167" s="6">
        <v>0.76470000000000005</v>
      </c>
      <c r="S167" s="8">
        <f>CONVERT(Table1[[#This Row],[Talk Duration (AVG)]]*Table1[[#This Row],[Answered Calls]],"day","hr")</f>
        <v>0.75555555555555565</v>
      </c>
      <c r="T167" s="9">
        <f>Table1[[#This Row],[Actual Workload hours]]*60</f>
        <v>45.333333333333336</v>
      </c>
      <c r="U167" s="9">
        <f>CONVERT(Table1[[#This Row],[Actual]]*Table1[[#This Row],[Talk Duration (AVG)]],"day","hr")</f>
        <v>2.0000000000000004</v>
      </c>
      <c r="V167" s="10">
        <f>Table1[[#This Row],[Required Workload Hours]]*60</f>
        <v>120.00000000000003</v>
      </c>
      <c r="W167" s="9">
        <v>1</v>
      </c>
      <c r="X167" s="9">
        <f t="shared" si="4"/>
        <v>1</v>
      </c>
      <c r="Y167" s="5">
        <f t="shared" si="5"/>
        <v>1</v>
      </c>
      <c r="Z167" s="8">
        <f>ROUNDUP(Table1[[#This Row],[Actual Heacount]],0)</f>
        <v>1</v>
      </c>
      <c r="AA167" s="8"/>
      <c r="AB167" s="10"/>
      <c r="AC167" s="10"/>
      <c r="AD167" s="10"/>
      <c r="AE167" s="11">
        <v>86.453701207095605</v>
      </c>
      <c r="AF167" s="11">
        <v>307.59601545668949</v>
      </c>
      <c r="AG167" t="s">
        <v>34</v>
      </c>
    </row>
    <row r="168" spans="1:33">
      <c r="A168" s="2">
        <v>43998</v>
      </c>
      <c r="B168" s="5" t="s">
        <v>39</v>
      </c>
      <c r="C168" s="5">
        <f>WEEKDAY(Table1[[#This Row],[Date]])</f>
        <v>3</v>
      </c>
      <c r="D168" s="5">
        <f>MONTH(Table1[[#This Row],[Date]])</f>
        <v>6</v>
      </c>
      <c r="E168" s="5">
        <f>WEEKNUM(Table1[[#This Row],[Date]])</f>
        <v>25</v>
      </c>
      <c r="F168" s="5">
        <f>YEAR(Table1[[#This Row],[Date]])</f>
        <v>2020</v>
      </c>
      <c r="G168">
        <v>177</v>
      </c>
      <c r="L168" s="5">
        <v>45</v>
      </c>
      <c r="M168" s="6">
        <v>1</v>
      </c>
      <c r="N168" s="5">
        <v>0</v>
      </c>
      <c r="O168" s="7">
        <v>6.9444444444444444E-5</v>
      </c>
      <c r="P168" s="7">
        <v>1.4583333333333334E-3</v>
      </c>
      <c r="Q168" s="7">
        <v>6.5972222222222224E-4</v>
      </c>
      <c r="R168" s="6">
        <v>0.9556</v>
      </c>
      <c r="S168" s="8">
        <f>CONVERT(Table1[[#This Row],[Talk Duration (AVG)]]*Table1[[#This Row],[Answered Calls]],"day","hr")</f>
        <v>1.575</v>
      </c>
      <c r="T168" s="9">
        <f>Table1[[#This Row],[Actual Workload hours]]*60</f>
        <v>94.5</v>
      </c>
      <c r="U168" s="9">
        <f>CONVERT(Table1[[#This Row],[Actual]]*Table1[[#This Row],[Talk Duration (AVG)]],"day","hr")</f>
        <v>6.1950000000000003</v>
      </c>
      <c r="V168" s="10">
        <f>Table1[[#This Row],[Required Workload Hours]]*60</f>
        <v>371.70000000000005</v>
      </c>
      <c r="W168" s="9">
        <v>1</v>
      </c>
      <c r="X168" s="9">
        <f t="shared" si="4"/>
        <v>1</v>
      </c>
      <c r="Y168" s="5">
        <f t="shared" si="5"/>
        <v>2</v>
      </c>
      <c r="Z168" s="8">
        <f>ROUNDUP(Table1[[#This Row],[Actual Heacount]],0)</f>
        <v>1</v>
      </c>
      <c r="AA168" s="8"/>
      <c r="AB168" s="10"/>
      <c r="AC168" s="10"/>
      <c r="AD168" s="10"/>
      <c r="AE168" s="11">
        <v>70.879060840033659</v>
      </c>
      <c r="AF168" s="11">
        <v>285.18537725322568</v>
      </c>
      <c r="AG168" t="s">
        <v>34</v>
      </c>
    </row>
    <row r="169" spans="1:33">
      <c r="A169" s="2">
        <v>43999</v>
      </c>
      <c r="B169" s="5" t="s">
        <v>40</v>
      </c>
      <c r="C169" s="5">
        <f>WEEKDAY(Table1[[#This Row],[Date]])</f>
        <v>4</v>
      </c>
      <c r="D169" s="5">
        <f>MONTH(Table1[[#This Row],[Date]])</f>
        <v>6</v>
      </c>
      <c r="E169" s="5">
        <f>WEEKNUM(Table1[[#This Row],[Date]])</f>
        <v>25</v>
      </c>
      <c r="F169" s="5">
        <f>YEAR(Table1[[#This Row],[Date]])</f>
        <v>2020</v>
      </c>
      <c r="G169">
        <v>133</v>
      </c>
      <c r="L169" s="5">
        <v>172</v>
      </c>
      <c r="M169" s="6">
        <v>0.9718</v>
      </c>
      <c r="N169" s="5">
        <v>5</v>
      </c>
      <c r="O169" s="7">
        <v>2.3148148148148149E-4</v>
      </c>
      <c r="P169" s="7">
        <v>1.6550925925925926E-3</v>
      </c>
      <c r="Q169" s="7">
        <v>1.9791666666666668E-3</v>
      </c>
      <c r="R169" s="6">
        <v>0.76</v>
      </c>
      <c r="S169" s="8">
        <f>CONVERT(Table1[[#This Row],[Talk Duration (AVG)]]*Table1[[#This Row],[Answered Calls]],"day","hr")</f>
        <v>6.8322222222222226</v>
      </c>
      <c r="T169" s="9">
        <f>Table1[[#This Row],[Actual Workload hours]]*60</f>
        <v>409.93333333333334</v>
      </c>
      <c r="U169" s="9">
        <f>CONVERT(Table1[[#This Row],[Actual]]*Table1[[#This Row],[Talk Duration (AVG)]],"day","hr")</f>
        <v>5.2830555555555554</v>
      </c>
      <c r="V169" s="10">
        <f>Table1[[#This Row],[Required Workload Hours]]*60</f>
        <v>316.98333333333335</v>
      </c>
      <c r="W169" s="9">
        <v>1.07</v>
      </c>
      <c r="X169" s="9">
        <f t="shared" si="4"/>
        <v>1</v>
      </c>
      <c r="Y169" s="5">
        <f t="shared" si="5"/>
        <v>2</v>
      </c>
      <c r="Z169" s="8">
        <f>ROUNDUP(Table1[[#This Row],[Actual Heacount]],0)</f>
        <v>2</v>
      </c>
      <c r="AA169" s="8"/>
      <c r="AB169" s="10"/>
      <c r="AC169" s="10"/>
      <c r="AD169" s="10"/>
      <c r="AE169" s="11">
        <v>82.095794426739516</v>
      </c>
      <c r="AF169" s="11">
        <v>302.30136343709722</v>
      </c>
      <c r="AG169" t="s">
        <v>34</v>
      </c>
    </row>
    <row r="170" spans="1:33">
      <c r="A170" s="2">
        <v>44000</v>
      </c>
      <c r="B170" s="5" t="s">
        <v>33</v>
      </c>
      <c r="C170" s="5">
        <f>WEEKDAY(Table1[[#This Row],[Date]])</f>
        <v>5</v>
      </c>
      <c r="D170" s="5">
        <f>MONTH(Table1[[#This Row],[Date]])</f>
        <v>6</v>
      </c>
      <c r="E170" s="5">
        <f>WEEKNUM(Table1[[#This Row],[Date]])</f>
        <v>25</v>
      </c>
      <c r="F170" s="5">
        <f>YEAR(Table1[[#This Row],[Date]])</f>
        <v>2020</v>
      </c>
      <c r="G170">
        <v>177</v>
      </c>
      <c r="L170" s="5">
        <v>132</v>
      </c>
      <c r="M170" s="6">
        <v>0.99250000000000005</v>
      </c>
      <c r="N170" s="5">
        <v>1</v>
      </c>
      <c r="O170" s="7">
        <v>1.1574074074074075E-4</v>
      </c>
      <c r="P170" s="7">
        <v>1.6782407407407408E-3</v>
      </c>
      <c r="Q170" s="7">
        <v>6.8287037037037036E-4</v>
      </c>
      <c r="R170" s="6">
        <v>0.93230000000000002</v>
      </c>
      <c r="S170" s="8">
        <f>CONVERT(Table1[[#This Row],[Talk Duration (AVG)]]*Table1[[#This Row],[Answered Calls]],"day","hr")</f>
        <v>5.3166666666666664</v>
      </c>
      <c r="T170" s="9">
        <f>Table1[[#This Row],[Actual Workload hours]]*60</f>
        <v>319</v>
      </c>
      <c r="U170" s="9">
        <f>CONVERT(Table1[[#This Row],[Actual]]*Table1[[#This Row],[Talk Duration (AVG)]],"day","hr")</f>
        <v>7.1291666666666673</v>
      </c>
      <c r="V170" s="10">
        <f>Table1[[#This Row],[Required Workload Hours]]*60</f>
        <v>427.75000000000006</v>
      </c>
      <c r="W170" s="9">
        <v>1</v>
      </c>
      <c r="X170" s="9">
        <f t="shared" si="4"/>
        <v>1.1139322916666667</v>
      </c>
      <c r="Y170" s="5">
        <f t="shared" si="5"/>
        <v>2</v>
      </c>
      <c r="Z170" s="8">
        <f>ROUNDUP(Table1[[#This Row],[Actual Heacount]],0)</f>
        <v>1</v>
      </c>
      <c r="AA170" s="8"/>
      <c r="AB170" s="10"/>
      <c r="AC170" s="10"/>
      <c r="AD170" s="10"/>
      <c r="AE170" s="11">
        <v>81.936889445874499</v>
      </c>
      <c r="AF170" s="11">
        <v>293.87366629466771</v>
      </c>
      <c r="AG170" t="s">
        <v>34</v>
      </c>
    </row>
    <row r="171" spans="1:33">
      <c r="A171" s="2">
        <v>44001</v>
      </c>
      <c r="B171" s="5" t="s">
        <v>35</v>
      </c>
      <c r="C171" s="5">
        <f>WEEKDAY(Table1[[#This Row],[Date]])</f>
        <v>6</v>
      </c>
      <c r="D171" s="5">
        <f>MONTH(Table1[[#This Row],[Date]])</f>
        <v>6</v>
      </c>
      <c r="E171" s="5">
        <f>WEEKNUM(Table1[[#This Row],[Date]])</f>
        <v>25</v>
      </c>
      <c r="F171" s="5">
        <f>YEAR(Table1[[#This Row],[Date]])</f>
        <v>2020</v>
      </c>
      <c r="G171">
        <v>127</v>
      </c>
      <c r="L171" s="5">
        <v>167</v>
      </c>
      <c r="M171" s="6">
        <v>0.94350000000000001</v>
      </c>
      <c r="N171" s="5">
        <v>10</v>
      </c>
      <c r="O171" s="7">
        <v>1.7361111111111112E-4</v>
      </c>
      <c r="P171" s="7">
        <v>1.6435185185185185E-3</v>
      </c>
      <c r="Q171" s="7">
        <v>3.1828703703703702E-3</v>
      </c>
      <c r="R171" s="6">
        <v>0.83240000000000003</v>
      </c>
      <c r="S171" s="8">
        <f>CONVERT(Table1[[#This Row],[Talk Duration (AVG)]]*Table1[[#This Row],[Answered Calls]],"day","hr")</f>
        <v>6.5872222222222234</v>
      </c>
      <c r="T171" s="9">
        <f>Table1[[#This Row],[Actual Workload hours]]*60</f>
        <v>395.23333333333341</v>
      </c>
      <c r="U171" s="9">
        <f>CONVERT(Table1[[#This Row],[Actual]]*Table1[[#This Row],[Talk Duration (AVG)]],"day","hr")</f>
        <v>5.0094444444444441</v>
      </c>
      <c r="V171" s="10">
        <f>Table1[[#This Row],[Required Workload Hours]]*60</f>
        <v>300.56666666666666</v>
      </c>
      <c r="W171" s="9">
        <v>1.03</v>
      </c>
      <c r="X171" s="9">
        <f t="shared" si="4"/>
        <v>1</v>
      </c>
      <c r="Y171" s="5">
        <f t="shared" si="5"/>
        <v>2</v>
      </c>
      <c r="Z171" s="8">
        <f>ROUNDUP(Table1[[#This Row],[Actual Heacount]],0)</f>
        <v>2</v>
      </c>
      <c r="AA171" s="8"/>
      <c r="AB171" s="10"/>
      <c r="AC171" s="10"/>
      <c r="AD171" s="10"/>
      <c r="AE171" s="11">
        <v>69.288043458005106</v>
      </c>
      <c r="AF171" s="11">
        <v>293.59401821415707</v>
      </c>
      <c r="AG171" t="s">
        <v>34</v>
      </c>
    </row>
    <row r="172" spans="1:33">
      <c r="A172" s="2">
        <v>44002</v>
      </c>
      <c r="B172" s="5" t="s">
        <v>36</v>
      </c>
      <c r="C172" s="5">
        <f>WEEKDAY(Table1[[#This Row],[Date]])</f>
        <v>7</v>
      </c>
      <c r="D172" s="5">
        <f>MONTH(Table1[[#This Row],[Date]])</f>
        <v>6</v>
      </c>
      <c r="E172" s="5">
        <f>WEEKNUM(Table1[[#This Row],[Date]])</f>
        <v>25</v>
      </c>
      <c r="F172" s="5">
        <f>YEAR(Table1[[#This Row],[Date]])</f>
        <v>2020</v>
      </c>
      <c r="G172">
        <v>148</v>
      </c>
      <c r="L172" s="5">
        <v>124</v>
      </c>
      <c r="M172" s="6">
        <v>0.97640000000000005</v>
      </c>
      <c r="N172" s="5">
        <v>3</v>
      </c>
      <c r="O172" s="7">
        <v>1.8518518518518518E-4</v>
      </c>
      <c r="P172" s="7">
        <v>1.6435185185185185E-3</v>
      </c>
      <c r="Q172" s="7">
        <v>1.2152777777777778E-3</v>
      </c>
      <c r="R172" s="6">
        <v>0.81889999999999996</v>
      </c>
      <c r="S172" s="8">
        <f>CONVERT(Table1[[#This Row],[Talk Duration (AVG)]]*Table1[[#This Row],[Answered Calls]],"day","hr")</f>
        <v>4.891111111111111</v>
      </c>
      <c r="T172" s="9">
        <f>Table1[[#This Row],[Actual Workload hours]]*60</f>
        <v>293.46666666666664</v>
      </c>
      <c r="U172" s="9">
        <f>CONVERT(Table1[[#This Row],[Actual]]*Table1[[#This Row],[Talk Duration (AVG)]],"day","hr")</f>
        <v>5.8377777777777782</v>
      </c>
      <c r="V172" s="10">
        <f>Table1[[#This Row],[Required Workload Hours]]*60</f>
        <v>350.26666666666671</v>
      </c>
      <c r="W172" s="9">
        <v>1</v>
      </c>
      <c r="X172" s="9">
        <f t="shared" si="4"/>
        <v>1</v>
      </c>
      <c r="Y172" s="5">
        <f t="shared" si="5"/>
        <v>2</v>
      </c>
      <c r="Z172" s="8">
        <f>ROUNDUP(Table1[[#This Row],[Actual Heacount]],0)</f>
        <v>1</v>
      </c>
      <c r="AA172" s="8"/>
      <c r="AB172" s="10"/>
      <c r="AC172" s="10"/>
      <c r="AD172" s="10"/>
      <c r="AE172" s="11">
        <v>71.058308462285694</v>
      </c>
      <c r="AF172" s="11">
        <v>296.80248258291039</v>
      </c>
      <c r="AG172" t="s">
        <v>34</v>
      </c>
    </row>
    <row r="173" spans="1:33">
      <c r="A173" s="2">
        <v>44003</v>
      </c>
      <c r="B173" s="5" t="s">
        <v>37</v>
      </c>
      <c r="C173" s="5">
        <f>WEEKDAY(Table1[[#This Row],[Date]])</f>
        <v>1</v>
      </c>
      <c r="D173" s="5">
        <f>MONTH(Table1[[#This Row],[Date]])</f>
        <v>6</v>
      </c>
      <c r="E173" s="5">
        <f>WEEKNUM(Table1[[#This Row],[Date]])</f>
        <v>26</v>
      </c>
      <c r="F173" s="5">
        <f>YEAR(Table1[[#This Row],[Date]])</f>
        <v>2020</v>
      </c>
      <c r="G173">
        <v>23</v>
      </c>
      <c r="L173" s="5">
        <v>147</v>
      </c>
      <c r="M173" s="6">
        <v>0.99319999999999997</v>
      </c>
      <c r="N173" s="5">
        <v>1</v>
      </c>
      <c r="O173" s="7">
        <v>1.8518518518518518E-4</v>
      </c>
      <c r="P173" s="7">
        <v>1.5162037037037036E-3</v>
      </c>
      <c r="Q173" s="7">
        <v>2.2106481481481482E-3</v>
      </c>
      <c r="R173" s="6">
        <v>0.83109999999999995</v>
      </c>
      <c r="S173" s="8">
        <f>CONVERT(Table1[[#This Row],[Talk Duration (AVG)]]*Table1[[#This Row],[Answered Calls]],"day","hr")</f>
        <v>5.3491666666666671</v>
      </c>
      <c r="T173" s="9">
        <f>Table1[[#This Row],[Actual Workload hours]]*60</f>
        <v>320.95000000000005</v>
      </c>
      <c r="U173" s="9">
        <f>CONVERT(Table1[[#This Row],[Actual]]*Table1[[#This Row],[Talk Duration (AVG)]],"day","hr")</f>
        <v>0.83694444444444449</v>
      </c>
      <c r="V173" s="10">
        <f>Table1[[#This Row],[Required Workload Hours]]*60</f>
        <v>50.216666666666669</v>
      </c>
      <c r="W173" s="9">
        <v>1</v>
      </c>
      <c r="X173" s="9">
        <f t="shared" si="4"/>
        <v>1</v>
      </c>
      <c r="Y173" s="5">
        <f t="shared" si="5"/>
        <v>2</v>
      </c>
      <c r="Z173" s="8">
        <f>ROUNDUP(Table1[[#This Row],[Actual Heacount]],0)</f>
        <v>1</v>
      </c>
      <c r="AA173" s="8"/>
      <c r="AB173" s="10"/>
      <c r="AC173" s="10"/>
      <c r="AD173" s="10"/>
      <c r="AE173" s="11">
        <v>-6.4328498266119816</v>
      </c>
      <c r="AF173" s="11">
        <v>207.93877365593761</v>
      </c>
      <c r="AG173" t="s">
        <v>34</v>
      </c>
    </row>
    <row r="174" spans="1:33">
      <c r="A174" s="2">
        <v>44004</v>
      </c>
      <c r="B174" s="5" t="s">
        <v>38</v>
      </c>
      <c r="C174" s="5">
        <f>WEEKDAY(Table1[[#This Row],[Date]])</f>
        <v>2</v>
      </c>
      <c r="D174" s="5">
        <f>MONTH(Table1[[#This Row],[Date]])</f>
        <v>6</v>
      </c>
      <c r="E174" s="5">
        <f>WEEKNUM(Table1[[#This Row],[Date]])</f>
        <v>26</v>
      </c>
      <c r="F174" s="5">
        <f>YEAR(Table1[[#This Row],[Date]])</f>
        <v>2020</v>
      </c>
      <c r="G174">
        <v>141</v>
      </c>
      <c r="L174" s="5">
        <v>23</v>
      </c>
      <c r="M174" s="6">
        <v>1</v>
      </c>
      <c r="N174" s="5">
        <v>0</v>
      </c>
      <c r="O174" s="7">
        <v>3.7037037037037035E-4</v>
      </c>
      <c r="P174" s="7">
        <v>1.4120370370370369E-3</v>
      </c>
      <c r="Q174" s="7">
        <v>1.8865740740740742E-3</v>
      </c>
      <c r="R174" s="6">
        <v>0.6522</v>
      </c>
      <c r="S174" s="8">
        <f>CONVERT(Table1[[#This Row],[Talk Duration (AVG)]]*Table1[[#This Row],[Answered Calls]],"day","hr")</f>
        <v>0.77944444444444427</v>
      </c>
      <c r="T174" s="9">
        <f>Table1[[#This Row],[Actual Workload hours]]*60</f>
        <v>46.766666666666659</v>
      </c>
      <c r="U174" s="9">
        <f>CONVERT(Table1[[#This Row],[Actual]]*Table1[[#This Row],[Talk Duration (AVG)]],"day","hr")</f>
        <v>4.7783333333333333</v>
      </c>
      <c r="V174" s="10">
        <f>Table1[[#This Row],[Required Workload Hours]]*60</f>
        <v>286.7</v>
      </c>
      <c r="W174" s="9">
        <v>1</v>
      </c>
      <c r="X174" s="9">
        <f t="shared" si="4"/>
        <v>1</v>
      </c>
      <c r="Y174" s="5">
        <f t="shared" si="5"/>
        <v>1</v>
      </c>
      <c r="Z174" s="8">
        <f>ROUNDUP(Table1[[#This Row],[Actual Heacount]],0)</f>
        <v>1</v>
      </c>
      <c r="AA174" s="8"/>
      <c r="AB174" s="10"/>
      <c r="AC174" s="10"/>
      <c r="AD174" s="10"/>
      <c r="AE174" s="11">
        <v>88.045686512987416</v>
      </c>
      <c r="AF174" s="11">
        <v>314.24701770875743</v>
      </c>
      <c r="AG174" t="s">
        <v>34</v>
      </c>
    </row>
    <row r="175" spans="1:33">
      <c r="A175" s="2">
        <v>44005</v>
      </c>
      <c r="B175" s="5" t="s">
        <v>39</v>
      </c>
      <c r="C175" s="5">
        <f>WEEKDAY(Table1[[#This Row],[Date]])</f>
        <v>3</v>
      </c>
      <c r="D175" s="5">
        <f>MONTH(Table1[[#This Row],[Date]])</f>
        <v>6</v>
      </c>
      <c r="E175" s="5">
        <f>WEEKNUM(Table1[[#This Row],[Date]])</f>
        <v>26</v>
      </c>
      <c r="F175" s="5">
        <f>YEAR(Table1[[#This Row],[Date]])</f>
        <v>2020</v>
      </c>
      <c r="G175">
        <v>124</v>
      </c>
      <c r="L175" s="5">
        <v>134</v>
      </c>
      <c r="M175" s="6">
        <v>0.95040000000000002</v>
      </c>
      <c r="N175" s="5">
        <v>7</v>
      </c>
      <c r="O175" s="7">
        <v>2.7777777777777778E-4</v>
      </c>
      <c r="P175" s="7">
        <v>1.8287037037037037E-3</v>
      </c>
      <c r="Q175" s="7">
        <v>1.724537037037037E-3</v>
      </c>
      <c r="R175" s="6">
        <v>0.72140000000000004</v>
      </c>
      <c r="S175" s="8">
        <f>CONVERT(Table1[[#This Row],[Talk Duration (AVG)]]*Table1[[#This Row],[Answered Calls]],"day","hr")</f>
        <v>5.8811111111111112</v>
      </c>
      <c r="T175" s="9">
        <f>Table1[[#This Row],[Actual Workload hours]]*60</f>
        <v>352.86666666666667</v>
      </c>
      <c r="U175" s="9">
        <f>CONVERT(Table1[[#This Row],[Actual]]*Table1[[#This Row],[Talk Duration (AVG)]],"day","hr")</f>
        <v>5.4422222222222221</v>
      </c>
      <c r="V175" s="10">
        <f>Table1[[#This Row],[Required Workload Hours]]*60</f>
        <v>326.5333333333333</v>
      </c>
      <c r="W175" s="9">
        <v>1</v>
      </c>
      <c r="X175" s="9">
        <f t="shared" si="4"/>
        <v>1</v>
      </c>
      <c r="Y175" s="5">
        <f t="shared" si="5"/>
        <v>2</v>
      </c>
      <c r="Z175" s="8">
        <f>ROUNDUP(Table1[[#This Row],[Actual Heacount]],0)</f>
        <v>1</v>
      </c>
      <c r="AA175" s="8"/>
      <c r="AB175" s="10"/>
      <c r="AC175" s="10"/>
      <c r="AD175" s="10"/>
      <c r="AE175" s="11">
        <v>80.49894984409552</v>
      </c>
      <c r="AF175" s="11">
        <v>302.43473869328147</v>
      </c>
      <c r="AG175" t="s">
        <v>34</v>
      </c>
    </row>
    <row r="176" spans="1:33">
      <c r="A176" s="2">
        <v>44006</v>
      </c>
      <c r="B176" s="5" t="s">
        <v>40</v>
      </c>
      <c r="C176" s="5">
        <f>WEEKDAY(Table1[[#This Row],[Date]])</f>
        <v>4</v>
      </c>
      <c r="D176" s="5">
        <f>MONTH(Table1[[#This Row],[Date]])</f>
        <v>6</v>
      </c>
      <c r="E176" s="5">
        <f>WEEKNUM(Table1[[#This Row],[Date]])</f>
        <v>26</v>
      </c>
      <c r="F176" s="5">
        <f>YEAR(Table1[[#This Row],[Date]])</f>
        <v>2020</v>
      </c>
      <c r="G176">
        <v>165</v>
      </c>
      <c r="L176" s="5">
        <v>120</v>
      </c>
      <c r="M176" s="6">
        <v>0.9677</v>
      </c>
      <c r="N176" s="5">
        <v>4</v>
      </c>
      <c r="O176" s="7">
        <v>2.3148148148148149E-4</v>
      </c>
      <c r="P176" s="7">
        <v>1.7708333333333332E-3</v>
      </c>
      <c r="Q176" s="7">
        <v>2.0601851851851853E-3</v>
      </c>
      <c r="R176" s="6">
        <v>0.8226</v>
      </c>
      <c r="S176" s="8">
        <f>CONVERT(Table1[[#This Row],[Talk Duration (AVG)]]*Table1[[#This Row],[Answered Calls]],"day","hr")</f>
        <v>5.0999999999999996</v>
      </c>
      <c r="T176" s="9">
        <f>Table1[[#This Row],[Actual Workload hours]]*60</f>
        <v>306</v>
      </c>
      <c r="U176" s="9">
        <f>CONVERT(Table1[[#This Row],[Actual]]*Table1[[#This Row],[Talk Duration (AVG)]],"day","hr")</f>
        <v>7.0125000000000002</v>
      </c>
      <c r="V176" s="10">
        <f>Table1[[#This Row],[Required Workload Hours]]*60</f>
        <v>420.75</v>
      </c>
      <c r="W176" s="9">
        <v>1</v>
      </c>
      <c r="X176" s="9">
        <f t="shared" si="4"/>
        <v>1.095703125</v>
      </c>
      <c r="Y176" s="5">
        <f t="shared" si="5"/>
        <v>2</v>
      </c>
      <c r="Z176" s="8">
        <f>ROUNDUP(Table1[[#This Row],[Actual Heacount]],0)</f>
        <v>1</v>
      </c>
      <c r="AA176" s="8"/>
      <c r="AB176" s="10"/>
      <c r="AC176" s="10"/>
      <c r="AD176" s="10"/>
      <c r="AE176" s="11">
        <v>88.979002741678983</v>
      </c>
      <c r="AF176" s="11">
        <v>311.81005101896881</v>
      </c>
      <c r="AG176" t="s">
        <v>34</v>
      </c>
    </row>
    <row r="177" spans="1:33">
      <c r="A177" s="2">
        <v>44007</v>
      </c>
      <c r="B177" s="5" t="s">
        <v>33</v>
      </c>
      <c r="C177" s="5">
        <f>WEEKDAY(Table1[[#This Row],[Date]])</f>
        <v>5</v>
      </c>
      <c r="D177" s="5">
        <f>MONTH(Table1[[#This Row],[Date]])</f>
        <v>6</v>
      </c>
      <c r="E177" s="5">
        <f>WEEKNUM(Table1[[#This Row],[Date]])</f>
        <v>26</v>
      </c>
      <c r="F177" s="5">
        <f>YEAR(Table1[[#This Row],[Date]])</f>
        <v>2020</v>
      </c>
      <c r="G177">
        <v>168</v>
      </c>
      <c r="L177" s="5">
        <v>156</v>
      </c>
      <c r="M177" s="6">
        <v>0.94550000000000001</v>
      </c>
      <c r="N177" s="5">
        <v>9</v>
      </c>
      <c r="O177" s="7">
        <v>2.8935185185185184E-4</v>
      </c>
      <c r="P177" s="7">
        <v>1.6319444444444445E-3</v>
      </c>
      <c r="Q177" s="7">
        <v>1.8287037037037037E-3</v>
      </c>
      <c r="R177" s="6">
        <v>0.70550000000000002</v>
      </c>
      <c r="S177" s="8">
        <f>CONVERT(Table1[[#This Row],[Talk Duration (AVG)]]*Table1[[#This Row],[Answered Calls]],"day","hr")</f>
        <v>6.11</v>
      </c>
      <c r="T177" s="9">
        <f>Table1[[#This Row],[Actual Workload hours]]*60</f>
        <v>366.6</v>
      </c>
      <c r="U177" s="9">
        <f>CONVERT(Table1[[#This Row],[Actual]]*Table1[[#This Row],[Talk Duration (AVG)]],"day","hr")</f>
        <v>6.58</v>
      </c>
      <c r="V177" s="10">
        <f>Table1[[#This Row],[Required Workload Hours]]*60</f>
        <v>394.8</v>
      </c>
      <c r="W177" s="9">
        <v>1</v>
      </c>
      <c r="X177" s="9">
        <f t="shared" si="4"/>
        <v>1.028125</v>
      </c>
      <c r="Y177" s="5">
        <f t="shared" si="5"/>
        <v>2</v>
      </c>
      <c r="Z177" s="8">
        <f>ROUNDUP(Table1[[#This Row],[Actual Heacount]],0)</f>
        <v>1</v>
      </c>
      <c r="AA177" s="8"/>
      <c r="AB177" s="10"/>
      <c r="AC177" s="10"/>
      <c r="AD177" s="10"/>
      <c r="AE177" s="11">
        <v>90.842191860268798</v>
      </c>
      <c r="AF177" s="11">
        <v>301.20800100339619</v>
      </c>
      <c r="AG177" t="s">
        <v>34</v>
      </c>
    </row>
    <row r="178" spans="1:33">
      <c r="A178" s="2">
        <v>44008</v>
      </c>
      <c r="B178" s="5" t="s">
        <v>35</v>
      </c>
      <c r="C178" s="5">
        <f>WEEKDAY(Table1[[#This Row],[Date]])</f>
        <v>6</v>
      </c>
      <c r="D178" s="5">
        <f>MONTH(Table1[[#This Row],[Date]])</f>
        <v>6</v>
      </c>
      <c r="E178" s="5">
        <f>WEEKNUM(Table1[[#This Row],[Date]])</f>
        <v>26</v>
      </c>
      <c r="F178" s="5">
        <f>YEAR(Table1[[#This Row],[Date]])</f>
        <v>2020</v>
      </c>
      <c r="G178">
        <v>198</v>
      </c>
      <c r="L178" s="5">
        <v>166</v>
      </c>
      <c r="M178" s="6">
        <v>0.98809999999999998</v>
      </c>
      <c r="N178" s="5">
        <v>2</v>
      </c>
      <c r="O178" s="7">
        <v>2.4305555555555555E-4</v>
      </c>
      <c r="P178" s="7">
        <v>1.7708333333333332E-3</v>
      </c>
      <c r="Q178" s="7">
        <v>2.5810185185185185E-3</v>
      </c>
      <c r="R178" s="6">
        <v>0.80120000000000002</v>
      </c>
      <c r="S178" s="8">
        <f>CONVERT(Table1[[#This Row],[Talk Duration (AVG)]]*Table1[[#This Row],[Answered Calls]],"day","hr")</f>
        <v>7.0549999999999997</v>
      </c>
      <c r="T178" s="9">
        <f>Table1[[#This Row],[Actual Workload hours]]*60</f>
        <v>423.29999999999995</v>
      </c>
      <c r="U178" s="9">
        <f>CONVERT(Table1[[#This Row],[Actual]]*Table1[[#This Row],[Talk Duration (AVG)]],"day","hr")</f>
        <v>8.4149999999999991</v>
      </c>
      <c r="V178" s="10">
        <f>Table1[[#This Row],[Required Workload Hours]]*60</f>
        <v>504.9</v>
      </c>
      <c r="W178" s="9">
        <v>1.1000000000000001</v>
      </c>
      <c r="X178" s="9">
        <f t="shared" si="4"/>
        <v>1.3148437499999999</v>
      </c>
      <c r="Y178" s="5">
        <f t="shared" si="5"/>
        <v>2</v>
      </c>
      <c r="Z178" s="8">
        <f>ROUNDUP(Table1[[#This Row],[Actual Heacount]],0)</f>
        <v>2</v>
      </c>
      <c r="AA178" s="8"/>
      <c r="AB178" s="10"/>
      <c r="AC178" s="10"/>
      <c r="AD178" s="10"/>
      <c r="AE178" s="11">
        <v>75.003264710127254</v>
      </c>
      <c r="AF178" s="11">
        <v>301.98062262988208</v>
      </c>
      <c r="AG178" t="s">
        <v>34</v>
      </c>
    </row>
    <row r="179" spans="1:33">
      <c r="A179" s="2">
        <v>44009</v>
      </c>
      <c r="B179" s="5" t="s">
        <v>36</v>
      </c>
      <c r="C179" s="5">
        <f>WEEKDAY(Table1[[#This Row],[Date]])</f>
        <v>7</v>
      </c>
      <c r="D179" s="5">
        <f>MONTH(Table1[[#This Row],[Date]])</f>
        <v>6</v>
      </c>
      <c r="E179" s="5">
        <f>WEEKNUM(Table1[[#This Row],[Date]])</f>
        <v>26</v>
      </c>
      <c r="F179" s="5">
        <f>YEAR(Table1[[#This Row],[Date]])</f>
        <v>2020</v>
      </c>
      <c r="G179">
        <v>139</v>
      </c>
      <c r="L179" s="5">
        <v>188</v>
      </c>
      <c r="M179" s="6">
        <v>0.94950000000000001</v>
      </c>
      <c r="N179" s="5">
        <v>10</v>
      </c>
      <c r="O179" s="7">
        <v>2.5462962962962961E-4</v>
      </c>
      <c r="P179" s="7">
        <v>1.7592592592592592E-3</v>
      </c>
      <c r="Q179" s="7">
        <v>1.9097222222222222E-3</v>
      </c>
      <c r="R179" s="6">
        <v>0.70920000000000005</v>
      </c>
      <c r="S179" s="8">
        <f>CONVERT(Table1[[#This Row],[Talk Duration (AVG)]]*Table1[[#This Row],[Answered Calls]],"day","hr")</f>
        <v>7.9377777777777778</v>
      </c>
      <c r="T179" s="9">
        <f>Table1[[#This Row],[Actual Workload hours]]*60</f>
        <v>476.26666666666665</v>
      </c>
      <c r="U179" s="9">
        <f>CONVERT(Table1[[#This Row],[Actual]]*Table1[[#This Row],[Talk Duration (AVG)]],"day","hr")</f>
        <v>5.8688888888888888</v>
      </c>
      <c r="V179" s="10">
        <f>Table1[[#This Row],[Required Workload Hours]]*60</f>
        <v>352.13333333333333</v>
      </c>
      <c r="W179" s="9">
        <v>1.24</v>
      </c>
      <c r="X179" s="9">
        <f t="shared" si="4"/>
        <v>1</v>
      </c>
      <c r="Y179" s="5">
        <f t="shared" si="5"/>
        <v>2</v>
      </c>
      <c r="Z179" s="8">
        <f>ROUNDUP(Table1[[#This Row],[Actual Heacount]],0)</f>
        <v>2</v>
      </c>
      <c r="AA179" s="8"/>
      <c r="AB179" s="10"/>
      <c r="AC179" s="10"/>
      <c r="AD179" s="10"/>
      <c r="AE179" s="11">
        <v>82.00171066053602</v>
      </c>
      <c r="AF179" s="11">
        <v>311.93442145884649</v>
      </c>
      <c r="AG179" t="s">
        <v>34</v>
      </c>
    </row>
    <row r="180" spans="1:33">
      <c r="A180" s="2">
        <v>44010</v>
      </c>
      <c r="B180" s="5" t="s">
        <v>37</v>
      </c>
      <c r="C180" s="5">
        <f>WEEKDAY(Table1[[#This Row],[Date]])</f>
        <v>1</v>
      </c>
      <c r="D180" s="5">
        <f>MONTH(Table1[[#This Row],[Date]])</f>
        <v>6</v>
      </c>
      <c r="E180" s="5">
        <f>WEEKNUM(Table1[[#This Row],[Date]])</f>
        <v>27</v>
      </c>
      <c r="F180" s="5">
        <f>YEAR(Table1[[#This Row],[Date]])</f>
        <v>2020</v>
      </c>
      <c r="G180">
        <v>46</v>
      </c>
      <c r="L180" s="5">
        <v>133</v>
      </c>
      <c r="M180" s="6">
        <v>0.95679999999999998</v>
      </c>
      <c r="N180" s="5">
        <v>6</v>
      </c>
      <c r="O180" s="7">
        <v>1.9675925925925926E-4</v>
      </c>
      <c r="P180" s="7">
        <v>1.8518518518518519E-3</v>
      </c>
      <c r="Q180" s="7">
        <v>2.1180555555555558E-3</v>
      </c>
      <c r="R180" s="6">
        <v>0.80149999999999999</v>
      </c>
      <c r="S180" s="8">
        <f>CONVERT(Table1[[#This Row],[Talk Duration (AVG)]]*Table1[[#This Row],[Answered Calls]],"day","hr")</f>
        <v>5.9111111111111123</v>
      </c>
      <c r="T180" s="9">
        <f>Table1[[#This Row],[Actual Workload hours]]*60</f>
        <v>354.66666666666674</v>
      </c>
      <c r="U180" s="9">
        <f>CONVERT(Table1[[#This Row],[Actual]]*Table1[[#This Row],[Talk Duration (AVG)]],"day","hr")</f>
        <v>2.0444444444444443</v>
      </c>
      <c r="V180" s="10">
        <f>Table1[[#This Row],[Required Workload Hours]]*60</f>
        <v>122.66666666666666</v>
      </c>
      <c r="W180" s="9">
        <v>1</v>
      </c>
      <c r="X180" s="9">
        <f t="shared" si="4"/>
        <v>1</v>
      </c>
      <c r="Y180" s="5">
        <f t="shared" si="5"/>
        <v>2</v>
      </c>
      <c r="Z180" s="8">
        <f>ROUNDUP(Table1[[#This Row],[Actual Heacount]],0)</f>
        <v>1</v>
      </c>
      <c r="AA180" s="8"/>
      <c r="AB180" s="10"/>
      <c r="AC180" s="10"/>
      <c r="AD180" s="10"/>
      <c r="AE180" s="11">
        <v>-1.288878065241956</v>
      </c>
      <c r="AF180" s="11">
        <v>222.60787980337079</v>
      </c>
      <c r="AG180" t="s">
        <v>34</v>
      </c>
    </row>
    <row r="181" spans="1:33">
      <c r="A181" s="2">
        <v>44011</v>
      </c>
      <c r="B181" s="5" t="s">
        <v>38</v>
      </c>
      <c r="C181" s="5">
        <f>WEEKDAY(Table1[[#This Row],[Date]])</f>
        <v>2</v>
      </c>
      <c r="D181" s="5">
        <f>MONTH(Table1[[#This Row],[Date]])</f>
        <v>6</v>
      </c>
      <c r="E181" s="5">
        <f>WEEKNUM(Table1[[#This Row],[Date]])</f>
        <v>27</v>
      </c>
      <c r="F181" s="5">
        <f>YEAR(Table1[[#This Row],[Date]])</f>
        <v>2020</v>
      </c>
      <c r="G181">
        <v>184</v>
      </c>
      <c r="L181" s="5">
        <v>45</v>
      </c>
      <c r="M181" s="6">
        <v>0.97829999999999995</v>
      </c>
      <c r="N181" s="5">
        <v>1</v>
      </c>
      <c r="O181" s="7">
        <v>1.1574074074074075E-4</v>
      </c>
      <c r="P181" s="7">
        <v>1.5509259259259259E-3</v>
      </c>
      <c r="Q181" s="7">
        <v>8.7962962962962962E-4</v>
      </c>
      <c r="R181" s="6">
        <v>0.88890000000000002</v>
      </c>
      <c r="S181" s="8">
        <f>CONVERT(Table1[[#This Row],[Talk Duration (AVG)]]*Table1[[#This Row],[Answered Calls]],"day","hr")</f>
        <v>1.675</v>
      </c>
      <c r="T181" s="9">
        <f>Table1[[#This Row],[Actual Workload hours]]*60</f>
        <v>100.5</v>
      </c>
      <c r="U181" s="9">
        <f>CONVERT(Table1[[#This Row],[Actual]]*Table1[[#This Row],[Talk Duration (AVG)]],"day","hr")</f>
        <v>6.8488888888888892</v>
      </c>
      <c r="V181" s="10">
        <f>Table1[[#This Row],[Required Workload Hours]]*60</f>
        <v>410.93333333333334</v>
      </c>
      <c r="W181" s="9">
        <v>1</v>
      </c>
      <c r="X181" s="9">
        <f t="shared" si="4"/>
        <v>1.070138888888889</v>
      </c>
      <c r="Y181" s="5">
        <f t="shared" si="5"/>
        <v>1</v>
      </c>
      <c r="Z181" s="8">
        <f>ROUNDUP(Table1[[#This Row],[Actual Heacount]],0)</f>
        <v>1</v>
      </c>
      <c r="AA181" s="8"/>
      <c r="AB181" s="10"/>
      <c r="AC181" s="10"/>
      <c r="AD181" s="10"/>
      <c r="AE181" s="11">
        <v>97.399321574156687</v>
      </c>
      <c r="AF181" s="11">
        <v>315.08201056455931</v>
      </c>
      <c r="AG181" t="s">
        <v>34</v>
      </c>
    </row>
    <row r="182" spans="1:33">
      <c r="A182" s="2">
        <v>44012</v>
      </c>
      <c r="B182" s="5" t="s">
        <v>39</v>
      </c>
      <c r="C182" s="5">
        <f>WEEKDAY(Table1[[#This Row],[Date]])</f>
        <v>3</v>
      </c>
      <c r="D182" s="5">
        <f>MONTH(Table1[[#This Row],[Date]])</f>
        <v>6</v>
      </c>
      <c r="E182" s="5">
        <f>WEEKNUM(Table1[[#This Row],[Date]])</f>
        <v>27</v>
      </c>
      <c r="F182" s="5">
        <f>YEAR(Table1[[#This Row],[Date]])</f>
        <v>2020</v>
      </c>
      <c r="G182">
        <v>207</v>
      </c>
      <c r="L182" s="5">
        <v>174</v>
      </c>
      <c r="M182" s="6">
        <v>0.94569999999999999</v>
      </c>
      <c r="N182" s="5">
        <v>10</v>
      </c>
      <c r="O182" s="7">
        <v>2.6620370370370372E-4</v>
      </c>
      <c r="P182" s="7">
        <v>1.8171296296296297E-3</v>
      </c>
      <c r="Q182" s="7">
        <v>3.1828703703703702E-3</v>
      </c>
      <c r="R182" s="6">
        <v>0.76539999999999997</v>
      </c>
      <c r="S182" s="8">
        <f>CONVERT(Table1[[#This Row],[Talk Duration (AVG)]]*Table1[[#This Row],[Answered Calls]],"day","hr")</f>
        <v>7.5883333333333329</v>
      </c>
      <c r="T182" s="9">
        <f>Table1[[#This Row],[Actual Workload hours]]*60</f>
        <v>455.29999999999995</v>
      </c>
      <c r="U182" s="9">
        <f>CONVERT(Table1[[#This Row],[Actual]]*Table1[[#This Row],[Talk Duration (AVG)]],"day","hr")</f>
        <v>9.0274999999999999</v>
      </c>
      <c r="V182" s="10">
        <f>Table1[[#This Row],[Required Workload Hours]]*60</f>
        <v>541.65</v>
      </c>
      <c r="W182" s="9">
        <v>1.19</v>
      </c>
      <c r="X182" s="9">
        <f t="shared" si="4"/>
        <v>1.4105468749999999</v>
      </c>
      <c r="Y182" s="5">
        <f t="shared" si="5"/>
        <v>2</v>
      </c>
      <c r="Z182" s="8">
        <f>ROUNDUP(Table1[[#This Row],[Actual Heacount]],0)</f>
        <v>2</v>
      </c>
      <c r="AA182" s="8"/>
      <c r="AB182" s="10"/>
      <c r="AC182" s="10"/>
      <c r="AD182" s="10"/>
      <c r="AE182" s="11">
        <v>78.838081821896424</v>
      </c>
      <c r="AF182" s="11">
        <v>295.51552436839899</v>
      </c>
      <c r="AG182" t="s">
        <v>34</v>
      </c>
    </row>
    <row r="183" spans="1:33">
      <c r="A183" s="2">
        <v>44013</v>
      </c>
      <c r="B183" s="5" t="s">
        <v>40</v>
      </c>
      <c r="C183" s="5">
        <f>WEEKDAY(Table1[[#This Row],[Date]])</f>
        <v>4</v>
      </c>
      <c r="D183" s="5">
        <f>MONTH(Table1[[#This Row],[Date]])</f>
        <v>7</v>
      </c>
      <c r="E183" s="5">
        <f>WEEKNUM(Table1[[#This Row],[Date]])</f>
        <v>27</v>
      </c>
      <c r="F183" s="5">
        <f>YEAR(Table1[[#This Row],[Date]])</f>
        <v>2020</v>
      </c>
      <c r="G183">
        <v>252</v>
      </c>
      <c r="L183" s="5">
        <v>190</v>
      </c>
      <c r="M183" s="6">
        <v>0.91790000000000005</v>
      </c>
      <c r="N183" s="5">
        <v>17</v>
      </c>
      <c r="O183" s="7">
        <v>2.4305555555555555E-4</v>
      </c>
      <c r="P183" s="7">
        <v>1.6550925925925926E-3</v>
      </c>
      <c r="Q183" s="7">
        <v>2.8472222222222223E-3</v>
      </c>
      <c r="R183" s="6">
        <v>0.71360000000000001</v>
      </c>
      <c r="S183" s="8">
        <f>CONVERT(Table1[[#This Row],[Talk Duration (AVG)]]*Table1[[#This Row],[Answered Calls]],"day","hr")</f>
        <v>7.5472222222222225</v>
      </c>
      <c r="T183" s="9">
        <f>Table1[[#This Row],[Actual Workload hours]]*60</f>
        <v>452.83333333333337</v>
      </c>
      <c r="U183" s="9">
        <f>CONVERT(Table1[[#This Row],[Actual]]*Table1[[#This Row],[Talk Duration (AVG)]],"day","hr")</f>
        <v>10.01</v>
      </c>
      <c r="V183" s="10">
        <f>Table1[[#This Row],[Required Workload Hours]]*60</f>
        <v>600.6</v>
      </c>
      <c r="W183" s="9">
        <v>1.18</v>
      </c>
      <c r="X183" s="9">
        <f t="shared" si="4"/>
        <v>1.5640625000000001</v>
      </c>
      <c r="Y183" s="5">
        <f t="shared" si="5"/>
        <v>2</v>
      </c>
      <c r="Z183" s="8">
        <f>ROUNDUP(Table1[[#This Row],[Actual Heacount]],0)</f>
        <v>2</v>
      </c>
      <c r="AA183" s="8"/>
      <c r="AB183" s="10"/>
      <c r="AC183" s="10"/>
      <c r="AD183" s="10"/>
      <c r="AE183" s="11">
        <v>85.689881799736767</v>
      </c>
      <c r="AF183" s="11">
        <v>308.42874377065363</v>
      </c>
      <c r="AG183" t="s">
        <v>34</v>
      </c>
    </row>
    <row r="184" spans="1:33">
      <c r="A184" s="2">
        <v>44014</v>
      </c>
      <c r="B184" s="5" t="s">
        <v>33</v>
      </c>
      <c r="C184" s="5">
        <f>WEEKDAY(Table1[[#This Row],[Date]])</f>
        <v>5</v>
      </c>
      <c r="D184" s="5">
        <f>MONTH(Table1[[#This Row],[Date]])</f>
        <v>7</v>
      </c>
      <c r="E184" s="5">
        <f>WEEKNUM(Table1[[#This Row],[Date]])</f>
        <v>27</v>
      </c>
      <c r="F184" s="5">
        <f>YEAR(Table1[[#This Row],[Date]])</f>
        <v>2020</v>
      </c>
      <c r="G184">
        <v>194</v>
      </c>
      <c r="L184" s="5">
        <v>180</v>
      </c>
      <c r="M184" s="6">
        <v>0.94240000000000002</v>
      </c>
      <c r="N184" s="5">
        <v>11</v>
      </c>
      <c r="O184" s="7">
        <v>2.4305555555555555E-4</v>
      </c>
      <c r="P184" s="7">
        <v>1.7592592592592592E-3</v>
      </c>
      <c r="Q184" s="7">
        <v>1.3078703703703703E-3</v>
      </c>
      <c r="R184" s="6">
        <v>0.76500000000000001</v>
      </c>
      <c r="S184" s="8">
        <f>CONVERT(Table1[[#This Row],[Talk Duration (AVG)]]*Table1[[#This Row],[Answered Calls]],"day","hr")</f>
        <v>7.6</v>
      </c>
      <c r="T184" s="9">
        <f>Table1[[#This Row],[Actual Workload hours]]*60</f>
        <v>456</v>
      </c>
      <c r="U184" s="9">
        <f>CONVERT(Table1[[#This Row],[Actual]]*Table1[[#This Row],[Talk Duration (AVG)]],"day","hr")</f>
        <v>8.1911111111111126</v>
      </c>
      <c r="V184" s="10">
        <f>Table1[[#This Row],[Required Workload Hours]]*60</f>
        <v>491.46666666666675</v>
      </c>
      <c r="W184" s="9">
        <v>1.19</v>
      </c>
      <c r="X184" s="9">
        <f t="shared" si="4"/>
        <v>1.2798611111111113</v>
      </c>
      <c r="Y184" s="5">
        <f t="shared" si="5"/>
        <v>2</v>
      </c>
      <c r="Z184" s="8">
        <f>ROUNDUP(Table1[[#This Row],[Actual Heacount]],0)</f>
        <v>2</v>
      </c>
      <c r="AA184" s="8"/>
      <c r="AB184" s="10"/>
      <c r="AC184" s="10"/>
      <c r="AD184" s="10"/>
      <c r="AE184" s="11">
        <v>80.194937889985184</v>
      </c>
      <c r="AF184" s="11">
        <v>308.11250294691268</v>
      </c>
      <c r="AG184" t="s">
        <v>34</v>
      </c>
    </row>
    <row r="185" spans="1:33">
      <c r="A185" s="2">
        <v>44015</v>
      </c>
      <c r="B185" s="5" t="s">
        <v>35</v>
      </c>
      <c r="C185" s="5">
        <f>WEEKDAY(Table1[[#This Row],[Date]])</f>
        <v>6</v>
      </c>
      <c r="D185" s="5">
        <f>MONTH(Table1[[#This Row],[Date]])</f>
        <v>7</v>
      </c>
      <c r="E185" s="5">
        <f>WEEKNUM(Table1[[#This Row],[Date]])</f>
        <v>27</v>
      </c>
      <c r="F185" s="5">
        <f>YEAR(Table1[[#This Row],[Date]])</f>
        <v>2020</v>
      </c>
      <c r="G185">
        <v>202</v>
      </c>
      <c r="L185" s="5">
        <v>204</v>
      </c>
      <c r="M185" s="6">
        <v>0.9577</v>
      </c>
      <c r="N185" s="5">
        <v>9</v>
      </c>
      <c r="O185" s="7">
        <v>2.7777777777777778E-4</v>
      </c>
      <c r="P185" s="7">
        <v>1.6898148148148148E-3</v>
      </c>
      <c r="Q185" s="7">
        <v>1.9212962962962964E-3</v>
      </c>
      <c r="R185" s="6">
        <v>0.69669999999999999</v>
      </c>
      <c r="S185" s="8">
        <f>CONVERT(Table1[[#This Row],[Talk Duration (AVG)]]*Table1[[#This Row],[Answered Calls]],"day","hr")</f>
        <v>8.2733333333333334</v>
      </c>
      <c r="T185" s="9">
        <f>Table1[[#This Row],[Actual Workload hours]]*60</f>
        <v>496.4</v>
      </c>
      <c r="U185" s="9">
        <f>CONVERT(Table1[[#This Row],[Actual]]*Table1[[#This Row],[Talk Duration (AVG)]],"day","hr")</f>
        <v>8.1922222222222221</v>
      </c>
      <c r="V185" s="10">
        <f>Table1[[#This Row],[Required Workload Hours]]*60</f>
        <v>491.5333333333333</v>
      </c>
      <c r="W185" s="9">
        <v>1.29</v>
      </c>
      <c r="X185" s="9">
        <f t="shared" si="4"/>
        <v>1.2800347222222221</v>
      </c>
      <c r="Y185" s="5">
        <f t="shared" si="5"/>
        <v>2</v>
      </c>
      <c r="Z185" s="8">
        <f>ROUNDUP(Table1[[#This Row],[Actual Heacount]],0)</f>
        <v>2</v>
      </c>
      <c r="AA185" s="8"/>
      <c r="AB185" s="10"/>
      <c r="AC185" s="10"/>
      <c r="AD185" s="10"/>
      <c r="AE185" s="11">
        <v>80.307287930728805</v>
      </c>
      <c r="AF185" s="11">
        <v>299.07595157954938</v>
      </c>
      <c r="AG185" t="s">
        <v>34</v>
      </c>
    </row>
    <row r="186" spans="1:33">
      <c r="A186" s="2">
        <v>44016</v>
      </c>
      <c r="B186" s="5" t="s">
        <v>36</v>
      </c>
      <c r="C186" s="5">
        <f>WEEKDAY(Table1[[#This Row],[Date]])</f>
        <v>7</v>
      </c>
      <c r="D186" s="5">
        <f>MONTH(Table1[[#This Row],[Date]])</f>
        <v>7</v>
      </c>
      <c r="E186" s="5">
        <f>WEEKNUM(Table1[[#This Row],[Date]])</f>
        <v>27</v>
      </c>
      <c r="F186" s="5">
        <f>YEAR(Table1[[#This Row],[Date]])</f>
        <v>2020</v>
      </c>
      <c r="G186">
        <v>201</v>
      </c>
      <c r="L186" s="5">
        <v>451</v>
      </c>
      <c r="M186" s="6">
        <v>0.93369999999999997</v>
      </c>
      <c r="N186" s="5">
        <v>32</v>
      </c>
      <c r="O186" s="7">
        <v>1.8518518518518518E-4</v>
      </c>
      <c r="P186" s="7">
        <v>6.5972222222222224E-4</v>
      </c>
      <c r="Q186" s="7">
        <v>6.076388888888889E-3</v>
      </c>
      <c r="R186" s="6">
        <v>0.79200000000000004</v>
      </c>
      <c r="S186" s="8">
        <f>CONVERT(Table1[[#This Row],[Talk Duration (AVG)]]*Table1[[#This Row],[Answered Calls]],"day","hr")</f>
        <v>7.1408333333333331</v>
      </c>
      <c r="T186" s="9">
        <f>Table1[[#This Row],[Actual Workload hours]]*60</f>
        <v>428.45</v>
      </c>
      <c r="U186" s="9">
        <f>CONVERT(Table1[[#This Row],[Actual]]*Table1[[#This Row],[Talk Duration (AVG)]],"day","hr")</f>
        <v>3.1825000000000001</v>
      </c>
      <c r="V186" s="10">
        <f>Table1[[#This Row],[Required Workload Hours]]*60</f>
        <v>190.95000000000002</v>
      </c>
      <c r="W186" s="9">
        <v>1.1200000000000001</v>
      </c>
      <c r="X186" s="9">
        <f t="shared" si="4"/>
        <v>1</v>
      </c>
      <c r="Y186" s="5">
        <f t="shared" si="5"/>
        <v>2</v>
      </c>
      <c r="Z186" s="8">
        <f>ROUNDUP(Table1[[#This Row],[Actual Heacount]],0)</f>
        <v>2</v>
      </c>
      <c r="AA186" s="8"/>
      <c r="AB186" s="10"/>
      <c r="AC186" s="10"/>
      <c r="AD186" s="10"/>
      <c r="AE186" s="11">
        <v>83.140596745099359</v>
      </c>
      <c r="AF186" s="11">
        <v>295.65064875012621</v>
      </c>
      <c r="AG186" t="s">
        <v>34</v>
      </c>
    </row>
    <row r="187" spans="1:33">
      <c r="A187" s="2">
        <v>44017</v>
      </c>
      <c r="B187" s="5" t="s">
        <v>37</v>
      </c>
      <c r="C187" s="5">
        <f>WEEKDAY(Table1[[#This Row],[Date]])</f>
        <v>1</v>
      </c>
      <c r="D187" s="5">
        <f>MONTH(Table1[[#This Row],[Date]])</f>
        <v>7</v>
      </c>
      <c r="E187" s="5">
        <f>WEEKNUM(Table1[[#This Row],[Date]])</f>
        <v>28</v>
      </c>
      <c r="F187" s="5">
        <f>YEAR(Table1[[#This Row],[Date]])</f>
        <v>2020</v>
      </c>
      <c r="G187">
        <v>201</v>
      </c>
      <c r="L187" s="5">
        <v>526</v>
      </c>
      <c r="M187" s="6">
        <v>0.96160000000000001</v>
      </c>
      <c r="N187" s="5">
        <v>21</v>
      </c>
      <c r="O187" s="7">
        <v>2.199074074074074E-4</v>
      </c>
      <c r="P187" s="7">
        <v>9.3749999999999997E-4</v>
      </c>
      <c r="Q187" s="7">
        <v>2.7083333333333334E-3</v>
      </c>
      <c r="R187" s="6">
        <v>0.81579999999999997</v>
      </c>
      <c r="S187" s="8">
        <f>CONVERT(Table1[[#This Row],[Talk Duration (AVG)]]*Table1[[#This Row],[Answered Calls]],"day","hr")</f>
        <v>11.835000000000001</v>
      </c>
      <c r="T187" s="9">
        <f>Table1[[#This Row],[Actual Workload hours]]*60</f>
        <v>710.1</v>
      </c>
      <c r="U187" s="9">
        <f>CONVERT(Table1[[#This Row],[Actual]]*Table1[[#This Row],[Talk Duration (AVG)]],"day","hr")</f>
        <v>4.5224999999999991</v>
      </c>
      <c r="V187" s="10">
        <f>Table1[[#This Row],[Required Workload Hours]]*60</f>
        <v>271.34999999999997</v>
      </c>
      <c r="W187" s="9">
        <v>1.85</v>
      </c>
      <c r="X187" s="9">
        <f t="shared" si="4"/>
        <v>1</v>
      </c>
      <c r="Y187" s="5">
        <f t="shared" si="5"/>
        <v>2</v>
      </c>
      <c r="Z187" s="8">
        <f>ROUNDUP(Table1[[#This Row],[Actual Heacount]],0)</f>
        <v>2</v>
      </c>
      <c r="AA187" s="8"/>
      <c r="AB187" s="10"/>
      <c r="AC187" s="10"/>
      <c r="AD187" s="10"/>
      <c r="AE187" s="11">
        <v>-6.6415975548153652</v>
      </c>
      <c r="AF187" s="11">
        <v>205.60178073105621</v>
      </c>
      <c r="AG187" t="s">
        <v>34</v>
      </c>
    </row>
    <row r="188" spans="1:33">
      <c r="A188" s="2">
        <v>44018</v>
      </c>
      <c r="B188" s="5" t="s">
        <v>38</v>
      </c>
      <c r="C188" s="5">
        <f>WEEKDAY(Table1[[#This Row],[Date]])</f>
        <v>2</v>
      </c>
      <c r="D188" s="5">
        <f>MONTH(Table1[[#This Row],[Date]])</f>
        <v>7</v>
      </c>
      <c r="E188" s="5">
        <f>WEEKNUM(Table1[[#This Row],[Date]])</f>
        <v>28</v>
      </c>
      <c r="F188" s="5">
        <f>YEAR(Table1[[#This Row],[Date]])</f>
        <v>2020</v>
      </c>
      <c r="G188">
        <v>21</v>
      </c>
      <c r="L188" s="5">
        <v>53</v>
      </c>
      <c r="M188" s="6">
        <v>0.98150000000000004</v>
      </c>
      <c r="N188" s="5">
        <v>1</v>
      </c>
      <c r="O188" s="7">
        <v>2.8935185185185184E-4</v>
      </c>
      <c r="P188" s="7">
        <v>1.8055555555555555E-3</v>
      </c>
      <c r="Q188" s="7">
        <v>9.0277777777777774E-4</v>
      </c>
      <c r="R188" s="6">
        <v>0.70369999999999999</v>
      </c>
      <c r="S188" s="8">
        <f>CONVERT(Table1[[#This Row],[Talk Duration (AVG)]]*Table1[[#This Row],[Answered Calls]],"day","hr")</f>
        <v>2.2966666666666669</v>
      </c>
      <c r="T188" s="9">
        <f>Table1[[#This Row],[Actual Workload hours]]*60</f>
        <v>137.80000000000001</v>
      </c>
      <c r="U188" s="9">
        <f>CONVERT(Table1[[#This Row],[Actual]]*Table1[[#This Row],[Talk Duration (AVG)]],"day","hr")</f>
        <v>0.91</v>
      </c>
      <c r="V188" s="10">
        <f>Table1[[#This Row],[Required Workload Hours]]*60</f>
        <v>54.6</v>
      </c>
      <c r="W188" s="9">
        <v>1</v>
      </c>
      <c r="X188" s="9">
        <f t="shared" si="4"/>
        <v>1</v>
      </c>
      <c r="Y188" s="5">
        <f t="shared" si="5"/>
        <v>1</v>
      </c>
      <c r="Z188" s="8">
        <f>ROUNDUP(Table1[[#This Row],[Actual Heacount]],0)</f>
        <v>1</v>
      </c>
      <c r="AA188" s="8"/>
      <c r="AB188" s="10"/>
      <c r="AC188" s="10"/>
      <c r="AD188" s="10"/>
      <c r="AE188" s="11">
        <v>96.060337688828852</v>
      </c>
      <c r="AF188" s="11">
        <v>316.58464001963642</v>
      </c>
      <c r="AG188" t="s">
        <v>34</v>
      </c>
    </row>
    <row r="189" spans="1:33">
      <c r="A189" s="2">
        <v>44019</v>
      </c>
      <c r="B189" s="5" t="s">
        <v>39</v>
      </c>
      <c r="C189" s="5">
        <f>WEEKDAY(Table1[[#This Row],[Date]])</f>
        <v>3</v>
      </c>
      <c r="D189" s="5">
        <f>MONTH(Table1[[#This Row],[Date]])</f>
        <v>7</v>
      </c>
      <c r="E189" s="5">
        <f>WEEKNUM(Table1[[#This Row],[Date]])</f>
        <v>28</v>
      </c>
      <c r="F189" s="5">
        <f>YEAR(Table1[[#This Row],[Date]])</f>
        <v>2020</v>
      </c>
      <c r="G189">
        <v>205</v>
      </c>
      <c r="L189" s="5">
        <v>261</v>
      </c>
      <c r="M189" s="6">
        <v>0.94910000000000005</v>
      </c>
      <c r="N189" s="5">
        <v>14</v>
      </c>
      <c r="O189" s="7">
        <v>2.5462962962962961E-4</v>
      </c>
      <c r="P189" s="7">
        <v>1.5393518518518519E-3</v>
      </c>
      <c r="Q189" s="7">
        <v>1.5277777777777779E-3</v>
      </c>
      <c r="R189" s="6">
        <v>0.74439999999999995</v>
      </c>
      <c r="S189" s="8">
        <f>CONVERT(Table1[[#This Row],[Talk Duration (AVG)]]*Table1[[#This Row],[Answered Calls]],"day","hr")</f>
        <v>9.6425000000000001</v>
      </c>
      <c r="T189" s="9">
        <f>Table1[[#This Row],[Actual Workload hours]]*60</f>
        <v>578.54999999999995</v>
      </c>
      <c r="U189" s="9">
        <f>CONVERT(Table1[[#This Row],[Actual]]*Table1[[#This Row],[Talk Duration (AVG)]],"day","hr")</f>
        <v>7.5736111111111111</v>
      </c>
      <c r="V189" s="10">
        <f>Table1[[#This Row],[Required Workload Hours]]*60</f>
        <v>454.41666666666669</v>
      </c>
      <c r="W189" s="9">
        <v>1.51</v>
      </c>
      <c r="X189" s="9">
        <f t="shared" si="4"/>
        <v>1.1833767361111112</v>
      </c>
      <c r="Y189" s="5">
        <f t="shared" si="5"/>
        <v>2</v>
      </c>
      <c r="Z189" s="8">
        <f>ROUNDUP(Table1[[#This Row],[Actual Heacount]],0)</f>
        <v>2</v>
      </c>
      <c r="AA189" s="8"/>
      <c r="AB189" s="10"/>
      <c r="AC189" s="10"/>
      <c r="AD189" s="10"/>
      <c r="AE189" s="11">
        <v>73.181394150140491</v>
      </c>
      <c r="AF189" s="11">
        <v>301.9652942698558</v>
      </c>
      <c r="AG189" t="s">
        <v>34</v>
      </c>
    </row>
    <row r="190" spans="1:33">
      <c r="A190" s="2">
        <v>44020</v>
      </c>
      <c r="B190" s="5" t="s">
        <v>40</v>
      </c>
      <c r="C190" s="5">
        <f>WEEKDAY(Table1[[#This Row],[Date]])</f>
        <v>4</v>
      </c>
      <c r="D190" s="5">
        <f>MONTH(Table1[[#This Row],[Date]])</f>
        <v>7</v>
      </c>
      <c r="E190" s="5">
        <f>WEEKNUM(Table1[[#This Row],[Date]])</f>
        <v>28</v>
      </c>
      <c r="F190" s="5">
        <f>YEAR(Table1[[#This Row],[Date]])</f>
        <v>2020</v>
      </c>
      <c r="G190">
        <v>202</v>
      </c>
      <c r="L190" s="5">
        <v>195</v>
      </c>
      <c r="M190" s="6">
        <v>0.95120000000000005</v>
      </c>
      <c r="N190" s="5">
        <v>10</v>
      </c>
      <c r="O190" s="7">
        <v>2.7777777777777778E-4</v>
      </c>
      <c r="P190" s="7">
        <v>1.7824074074074075E-3</v>
      </c>
      <c r="Q190" s="7">
        <v>2.0833333333333333E-3</v>
      </c>
      <c r="R190" s="6">
        <v>0.70789999999999997</v>
      </c>
      <c r="S190" s="8">
        <f>CONVERT(Table1[[#This Row],[Talk Duration (AVG)]]*Table1[[#This Row],[Answered Calls]],"day","hr")</f>
        <v>8.3416666666666668</v>
      </c>
      <c r="T190" s="9">
        <f>Table1[[#This Row],[Actual Workload hours]]*60</f>
        <v>500.5</v>
      </c>
      <c r="U190" s="9">
        <f>CONVERT(Table1[[#This Row],[Actual]]*Table1[[#This Row],[Talk Duration (AVG)]],"day","hr")</f>
        <v>8.6411111111111119</v>
      </c>
      <c r="V190" s="10">
        <f>Table1[[#This Row],[Required Workload Hours]]*60</f>
        <v>518.4666666666667</v>
      </c>
      <c r="W190" s="9">
        <v>1.3</v>
      </c>
      <c r="X190" s="9">
        <f t="shared" si="4"/>
        <v>1.3501736111111111</v>
      </c>
      <c r="Y190" s="5">
        <f t="shared" si="5"/>
        <v>2</v>
      </c>
      <c r="Z190" s="8">
        <f>ROUNDUP(Table1[[#This Row],[Actual Heacount]],0)</f>
        <v>2</v>
      </c>
      <c r="AA190" s="8"/>
      <c r="AB190" s="10"/>
      <c r="AC190" s="10"/>
      <c r="AD190" s="10"/>
      <c r="AE190" s="11">
        <v>87.362621577677913</v>
      </c>
      <c r="AF190" s="11">
        <v>296.90093150226232</v>
      </c>
      <c r="AG190" t="s">
        <v>34</v>
      </c>
    </row>
    <row r="191" spans="1:33">
      <c r="A191" s="2">
        <v>44021</v>
      </c>
      <c r="B191" s="5" t="s">
        <v>33</v>
      </c>
      <c r="C191" s="5">
        <f>WEEKDAY(Table1[[#This Row],[Date]])</f>
        <v>5</v>
      </c>
      <c r="D191" s="5">
        <f>MONTH(Table1[[#This Row],[Date]])</f>
        <v>7</v>
      </c>
      <c r="E191" s="5">
        <f>WEEKNUM(Table1[[#This Row],[Date]])</f>
        <v>28</v>
      </c>
      <c r="F191" s="5">
        <f>YEAR(Table1[[#This Row],[Date]])</f>
        <v>2020</v>
      </c>
      <c r="G191">
        <v>248</v>
      </c>
      <c r="L191" s="5">
        <v>77</v>
      </c>
      <c r="M191" s="6">
        <v>0.96250000000000002</v>
      </c>
      <c r="N191" s="5">
        <v>3</v>
      </c>
      <c r="O191" s="7">
        <v>1.1574074074074075E-4</v>
      </c>
      <c r="P191" s="7">
        <v>1.5162037037037036E-3</v>
      </c>
      <c r="Q191" s="7">
        <v>1.0763888888888889E-3</v>
      </c>
      <c r="R191" s="6">
        <v>0.89610000000000001</v>
      </c>
      <c r="S191" s="8">
        <f>CONVERT(Table1[[#This Row],[Talk Duration (AVG)]]*Table1[[#This Row],[Answered Calls]],"day","hr")</f>
        <v>2.8019444444444446</v>
      </c>
      <c r="T191" s="9">
        <f>Table1[[#This Row],[Actual Workload hours]]*60</f>
        <v>168.11666666666667</v>
      </c>
      <c r="U191" s="9">
        <f>CONVERT(Table1[[#This Row],[Actual]]*Table1[[#This Row],[Talk Duration (AVG)]],"day","hr")</f>
        <v>9.0244444444444447</v>
      </c>
      <c r="V191" s="10">
        <f>Table1[[#This Row],[Required Workload Hours]]*60</f>
        <v>541.4666666666667</v>
      </c>
      <c r="W191" s="9">
        <v>1</v>
      </c>
      <c r="X191" s="9">
        <f t="shared" si="4"/>
        <v>1.4100694444444446</v>
      </c>
      <c r="Y191" s="5">
        <f t="shared" si="5"/>
        <v>2</v>
      </c>
      <c r="Z191" s="8">
        <f>ROUNDUP(Table1[[#This Row],[Actual Heacount]],0)</f>
        <v>1</v>
      </c>
      <c r="AA191" s="8"/>
      <c r="AB191" s="10"/>
      <c r="AC191" s="10"/>
      <c r="AD191" s="10"/>
      <c r="AE191" s="11">
        <v>86.586336691099092</v>
      </c>
      <c r="AF191" s="11">
        <v>300.94831066918528</v>
      </c>
      <c r="AG191" t="s">
        <v>34</v>
      </c>
    </row>
    <row r="192" spans="1:33">
      <c r="A192" s="2">
        <v>44022</v>
      </c>
      <c r="B192" s="5" t="s">
        <v>35</v>
      </c>
      <c r="C192" s="5">
        <f>WEEKDAY(Table1[[#This Row],[Date]])</f>
        <v>6</v>
      </c>
      <c r="D192" s="5">
        <f>MONTH(Table1[[#This Row],[Date]])</f>
        <v>7</v>
      </c>
      <c r="E192" s="5">
        <f>WEEKNUM(Table1[[#This Row],[Date]])</f>
        <v>28</v>
      </c>
      <c r="F192" s="5">
        <f>YEAR(Table1[[#This Row],[Date]])</f>
        <v>2020</v>
      </c>
      <c r="G192">
        <v>346</v>
      </c>
      <c r="L192" s="5">
        <v>195</v>
      </c>
      <c r="M192" s="6">
        <v>0.97499999999999998</v>
      </c>
      <c r="N192" s="5">
        <v>5</v>
      </c>
      <c r="O192" s="7">
        <v>2.4305555555555555E-4</v>
      </c>
      <c r="P192" s="7">
        <v>1.736111111111111E-3</v>
      </c>
      <c r="Q192" s="7">
        <v>1.9444444444444444E-3</v>
      </c>
      <c r="R192" s="6">
        <v>0.75249999999999995</v>
      </c>
      <c r="S192" s="8">
        <f>CONVERT(Table1[[#This Row],[Talk Duration (AVG)]]*Table1[[#This Row],[Answered Calls]],"day","hr")</f>
        <v>8.1249999999999982</v>
      </c>
      <c r="T192" s="9">
        <f>Table1[[#This Row],[Actual Workload hours]]*60</f>
        <v>487.49999999999989</v>
      </c>
      <c r="U192" s="9">
        <f>CONVERT(Table1[[#This Row],[Actual]]*Table1[[#This Row],[Talk Duration (AVG)]],"day","hr")</f>
        <v>14.416666666666666</v>
      </c>
      <c r="V192" s="10">
        <f>Table1[[#This Row],[Required Workload Hours]]*60</f>
        <v>865</v>
      </c>
      <c r="W192" s="9">
        <v>1.27</v>
      </c>
      <c r="X192" s="9">
        <f t="shared" si="4"/>
        <v>2.2526041666666665</v>
      </c>
      <c r="Y192" s="5">
        <f t="shared" si="5"/>
        <v>2</v>
      </c>
      <c r="Z192" s="8">
        <f>ROUNDUP(Table1[[#This Row],[Actual Heacount]],0)</f>
        <v>2</v>
      </c>
      <c r="AA192" s="8"/>
      <c r="AB192" s="10"/>
      <c r="AC192" s="10"/>
      <c r="AD192" s="10"/>
      <c r="AE192" s="11">
        <v>71.977800511351234</v>
      </c>
      <c r="AF192" s="11">
        <v>291.74742115093261</v>
      </c>
      <c r="AG192" t="s">
        <v>34</v>
      </c>
    </row>
    <row r="193" spans="1:33">
      <c r="A193" s="2">
        <v>44023</v>
      </c>
      <c r="B193" s="5" t="s">
        <v>36</v>
      </c>
      <c r="C193" s="5">
        <f>WEEKDAY(Table1[[#This Row],[Date]])</f>
        <v>7</v>
      </c>
      <c r="D193" s="5">
        <f>MONTH(Table1[[#This Row],[Date]])</f>
        <v>7</v>
      </c>
      <c r="E193" s="5">
        <f>WEEKNUM(Table1[[#This Row],[Date]])</f>
        <v>28</v>
      </c>
      <c r="F193" s="5">
        <f>YEAR(Table1[[#This Row],[Date]])</f>
        <v>2020</v>
      </c>
      <c r="G193">
        <v>59</v>
      </c>
      <c r="L193" s="5">
        <v>150</v>
      </c>
      <c r="M193" s="6">
        <v>0.97399999999999998</v>
      </c>
      <c r="N193" s="5">
        <v>4</v>
      </c>
      <c r="O193" s="7">
        <v>2.4305555555555555E-4</v>
      </c>
      <c r="P193" s="7">
        <v>1.724537037037037E-3</v>
      </c>
      <c r="Q193" s="7">
        <v>1.9097222222222222E-3</v>
      </c>
      <c r="R193" s="6">
        <v>0.74339999999999995</v>
      </c>
      <c r="S193" s="8">
        <f>CONVERT(Table1[[#This Row],[Talk Duration (AVG)]]*Table1[[#This Row],[Answered Calls]],"day","hr")</f>
        <v>6.2083333333333321</v>
      </c>
      <c r="T193" s="9">
        <f>Table1[[#This Row],[Actual Workload hours]]*60</f>
        <v>372.49999999999994</v>
      </c>
      <c r="U193" s="9">
        <f>CONVERT(Table1[[#This Row],[Actual]]*Table1[[#This Row],[Talk Duration (AVG)]],"day","hr")</f>
        <v>2.4419444444444443</v>
      </c>
      <c r="V193" s="10">
        <f>Table1[[#This Row],[Required Workload Hours]]*60</f>
        <v>146.51666666666665</v>
      </c>
      <c r="W193" s="9">
        <v>1</v>
      </c>
      <c r="X193" s="9">
        <f t="shared" si="4"/>
        <v>1</v>
      </c>
      <c r="Y193" s="5">
        <f t="shared" si="5"/>
        <v>2</v>
      </c>
      <c r="Z193" s="8">
        <f>ROUNDUP(Table1[[#This Row],[Actual Heacount]],0)</f>
        <v>1</v>
      </c>
      <c r="AA193" s="8"/>
      <c r="AB193" s="10"/>
      <c r="AC193" s="10"/>
      <c r="AD193" s="10"/>
      <c r="AE193" s="11">
        <v>71.675674817962246</v>
      </c>
      <c r="AF193" s="11">
        <v>301.18901120117857</v>
      </c>
      <c r="AG193" t="s">
        <v>34</v>
      </c>
    </row>
    <row r="194" spans="1:33">
      <c r="A194" s="2">
        <v>44024</v>
      </c>
      <c r="B194" s="5" t="s">
        <v>37</v>
      </c>
      <c r="C194" s="5">
        <f>WEEKDAY(Table1[[#This Row],[Date]])</f>
        <v>1</v>
      </c>
      <c r="D194" s="5">
        <f>MONTH(Table1[[#This Row],[Date]])</f>
        <v>7</v>
      </c>
      <c r="E194" s="5">
        <f>WEEKNUM(Table1[[#This Row],[Date]])</f>
        <v>29</v>
      </c>
      <c r="F194" s="5">
        <f>YEAR(Table1[[#This Row],[Date]])</f>
        <v>2020</v>
      </c>
      <c r="G194">
        <v>192</v>
      </c>
      <c r="L194" s="5">
        <v>155</v>
      </c>
      <c r="M194" s="6">
        <v>0.95089999999999997</v>
      </c>
      <c r="N194" s="5">
        <v>8</v>
      </c>
      <c r="O194" s="7">
        <v>2.6620370370370372E-4</v>
      </c>
      <c r="P194" s="7">
        <v>1.5972222222222223E-3</v>
      </c>
      <c r="Q194" s="7">
        <v>1.6898148148148148E-3</v>
      </c>
      <c r="R194" s="6">
        <v>0.74519999999999997</v>
      </c>
      <c r="S194" s="8">
        <f>CONVERT(Table1[[#This Row],[Talk Duration (AVG)]]*Table1[[#This Row],[Answered Calls]],"day","hr")</f>
        <v>5.9416666666666664</v>
      </c>
      <c r="T194" s="9">
        <f>Table1[[#This Row],[Actual Workload hours]]*60</f>
        <v>356.5</v>
      </c>
      <c r="U194" s="9">
        <f>CONVERT(Table1[[#This Row],[Actual]]*Table1[[#This Row],[Talk Duration (AVG)]],"day","hr")</f>
        <v>7.3600000000000012</v>
      </c>
      <c r="V194" s="10">
        <f>Table1[[#This Row],[Required Workload Hours]]*60</f>
        <v>441.60000000000008</v>
      </c>
      <c r="W194" s="9">
        <v>1</v>
      </c>
      <c r="X194" s="9">
        <f t="shared" si="4"/>
        <v>1.1500000000000001</v>
      </c>
      <c r="Y194" s="5">
        <f t="shared" si="5"/>
        <v>2</v>
      </c>
      <c r="Z194" s="8">
        <f>ROUNDUP(Table1[[#This Row],[Actual Heacount]],0)</f>
        <v>1</v>
      </c>
      <c r="AA194" s="8"/>
      <c r="AB194" s="10"/>
      <c r="AC194" s="10"/>
      <c r="AD194" s="10"/>
      <c r="AE194" s="11">
        <v>-12.8232882329453</v>
      </c>
      <c r="AF194" s="11">
        <v>206.26580627799319</v>
      </c>
      <c r="AG194" t="s">
        <v>34</v>
      </c>
    </row>
    <row r="195" spans="1:33">
      <c r="A195" s="2">
        <v>44025</v>
      </c>
      <c r="B195" s="5" t="s">
        <v>38</v>
      </c>
      <c r="C195" s="5">
        <f>WEEKDAY(Table1[[#This Row],[Date]])</f>
        <v>2</v>
      </c>
      <c r="D195" s="5">
        <f>MONTH(Table1[[#This Row],[Date]])</f>
        <v>7</v>
      </c>
      <c r="E195" s="5">
        <f>WEEKNUM(Table1[[#This Row],[Date]])</f>
        <v>29</v>
      </c>
      <c r="F195" s="5">
        <f>YEAR(Table1[[#This Row],[Date]])</f>
        <v>2020</v>
      </c>
      <c r="G195">
        <v>218</v>
      </c>
      <c r="L195" s="5">
        <v>12</v>
      </c>
      <c r="M195" s="6">
        <v>1</v>
      </c>
      <c r="N195" s="5">
        <v>0</v>
      </c>
      <c r="O195" s="7">
        <v>2.8935185185185184E-4</v>
      </c>
      <c r="P195" s="7">
        <v>2.5115740740740741E-3</v>
      </c>
      <c r="Q195" s="7">
        <v>1.0185185185185184E-3</v>
      </c>
      <c r="R195" s="6">
        <v>0.66669999999999996</v>
      </c>
      <c r="S195" s="8">
        <f>CONVERT(Table1[[#This Row],[Talk Duration (AVG)]]*Table1[[#This Row],[Answered Calls]],"day","hr")</f>
        <v>0.72333333333333338</v>
      </c>
      <c r="T195" s="9">
        <f>Table1[[#This Row],[Actual Workload hours]]*60</f>
        <v>43.400000000000006</v>
      </c>
      <c r="U195" s="9">
        <f>CONVERT(Table1[[#This Row],[Actual]]*Table1[[#This Row],[Talk Duration (AVG)]],"day","hr")</f>
        <v>13.140555555555556</v>
      </c>
      <c r="V195" s="10">
        <f>Table1[[#This Row],[Required Workload Hours]]*60</f>
        <v>788.43333333333339</v>
      </c>
      <c r="W195" s="9">
        <v>1</v>
      </c>
      <c r="X195" s="9">
        <f t="shared" ref="X195:X258" si="6">IF(V195&lt;384,1,(V195/384))</f>
        <v>2.0532118055555557</v>
      </c>
      <c r="Y195" s="5">
        <f t="shared" ref="Y195:Y258" si="7">IF(B195="Sunday",1,2)</f>
        <v>1</v>
      </c>
      <c r="Z195" s="8">
        <f>ROUNDUP(Table1[[#This Row],[Actual Heacount]],0)</f>
        <v>1</v>
      </c>
      <c r="AA195" s="8"/>
      <c r="AB195" s="10"/>
      <c r="AC195" s="10"/>
      <c r="AD195" s="10"/>
      <c r="AE195" s="11">
        <v>92.960370792911021</v>
      </c>
      <c r="AF195" s="11">
        <v>306.22318469637588</v>
      </c>
      <c r="AG195" t="s">
        <v>34</v>
      </c>
    </row>
    <row r="196" spans="1:33">
      <c r="A196" s="2">
        <v>44026</v>
      </c>
      <c r="B196" s="5" t="s">
        <v>39</v>
      </c>
      <c r="C196" s="5">
        <f>WEEKDAY(Table1[[#This Row],[Date]])</f>
        <v>3</v>
      </c>
      <c r="D196" s="5">
        <f>MONTH(Table1[[#This Row],[Date]])</f>
        <v>7</v>
      </c>
      <c r="E196" s="5">
        <f>WEEKNUM(Table1[[#This Row],[Date]])</f>
        <v>29</v>
      </c>
      <c r="F196" s="5">
        <f>YEAR(Table1[[#This Row],[Date]])</f>
        <v>2020</v>
      </c>
      <c r="G196">
        <v>172</v>
      </c>
      <c r="L196" s="5">
        <v>212</v>
      </c>
      <c r="M196" s="6">
        <v>0.97250000000000003</v>
      </c>
      <c r="N196" s="5">
        <v>6</v>
      </c>
      <c r="O196" s="7">
        <v>2.3148148148148149E-4</v>
      </c>
      <c r="P196" s="7">
        <v>1.3425925925925925E-3</v>
      </c>
      <c r="Q196" s="7">
        <v>2.9050925925925928E-3</v>
      </c>
      <c r="R196" s="6">
        <v>0.75929999999999997</v>
      </c>
      <c r="S196" s="8">
        <f>CONVERT(Table1[[#This Row],[Talk Duration (AVG)]]*Table1[[#This Row],[Answered Calls]],"day","hr")</f>
        <v>6.8311111111111114</v>
      </c>
      <c r="T196" s="9">
        <f>Table1[[#This Row],[Actual Workload hours]]*60</f>
        <v>409.86666666666667</v>
      </c>
      <c r="U196" s="9">
        <f>CONVERT(Table1[[#This Row],[Actual]]*Table1[[#This Row],[Talk Duration (AVG)]],"day","hr")</f>
        <v>5.5422222222222208</v>
      </c>
      <c r="V196" s="10">
        <f>Table1[[#This Row],[Required Workload Hours]]*60</f>
        <v>332.53333333333325</v>
      </c>
      <c r="W196" s="9">
        <v>1.07</v>
      </c>
      <c r="X196" s="9">
        <f t="shared" si="6"/>
        <v>1</v>
      </c>
      <c r="Y196" s="5">
        <f t="shared" si="7"/>
        <v>2</v>
      </c>
      <c r="Z196" s="8">
        <f>ROUNDUP(Table1[[#This Row],[Actual Heacount]],0)</f>
        <v>2</v>
      </c>
      <c r="AA196" s="8"/>
      <c r="AB196" s="10"/>
      <c r="AC196" s="10"/>
      <c r="AD196" s="10"/>
      <c r="AE196" s="11">
        <v>77.975803278623999</v>
      </c>
      <c r="AF196" s="11">
        <v>292.98605843491919</v>
      </c>
      <c r="AG196" t="s">
        <v>34</v>
      </c>
    </row>
    <row r="197" spans="1:33">
      <c r="A197" s="2">
        <v>44027</v>
      </c>
      <c r="B197" s="5" t="s">
        <v>40</v>
      </c>
      <c r="C197" s="5">
        <f>WEEKDAY(Table1[[#This Row],[Date]])</f>
        <v>4</v>
      </c>
      <c r="D197" s="5">
        <f>MONTH(Table1[[#This Row],[Date]])</f>
        <v>7</v>
      </c>
      <c r="E197" s="5">
        <f>WEEKNUM(Table1[[#This Row],[Date]])</f>
        <v>29</v>
      </c>
      <c r="F197" s="5">
        <f>YEAR(Table1[[#This Row],[Date]])</f>
        <v>2020</v>
      </c>
      <c r="G197">
        <v>205</v>
      </c>
      <c r="L197" s="5">
        <v>163</v>
      </c>
      <c r="M197" s="6">
        <v>0.94769999999999999</v>
      </c>
      <c r="N197" s="5">
        <v>9</v>
      </c>
      <c r="O197" s="7">
        <v>2.0833333333333335E-4</v>
      </c>
      <c r="P197" s="7">
        <v>1.4930555555555556E-3</v>
      </c>
      <c r="Q197" s="7">
        <v>1.3078703703703703E-3</v>
      </c>
      <c r="R197" s="6">
        <v>0.81930000000000003</v>
      </c>
      <c r="S197" s="8">
        <f>CONVERT(Table1[[#This Row],[Talk Duration (AVG)]]*Table1[[#This Row],[Answered Calls]],"day","hr")</f>
        <v>5.8408333333333333</v>
      </c>
      <c r="T197" s="9">
        <f>Table1[[#This Row],[Actual Workload hours]]*60</f>
        <v>350.45</v>
      </c>
      <c r="U197" s="9">
        <f>CONVERT(Table1[[#This Row],[Actual]]*Table1[[#This Row],[Talk Duration (AVG)]],"day","hr")</f>
        <v>7.3458333333333332</v>
      </c>
      <c r="V197" s="10">
        <f>Table1[[#This Row],[Required Workload Hours]]*60</f>
        <v>440.75</v>
      </c>
      <c r="W197" s="9">
        <v>1</v>
      </c>
      <c r="X197" s="9">
        <f t="shared" si="6"/>
        <v>1.1477864583333333</v>
      </c>
      <c r="Y197" s="5">
        <f t="shared" si="7"/>
        <v>2</v>
      </c>
      <c r="Z197" s="8">
        <f>ROUNDUP(Table1[[#This Row],[Actual Heacount]],0)</f>
        <v>1</v>
      </c>
      <c r="AA197" s="8"/>
      <c r="AB197" s="10"/>
      <c r="AC197" s="10"/>
      <c r="AD197" s="10"/>
      <c r="AE197" s="11">
        <v>79.561673003782857</v>
      </c>
      <c r="AF197" s="11">
        <v>302.45060849442859</v>
      </c>
      <c r="AG197" t="s">
        <v>34</v>
      </c>
    </row>
    <row r="198" spans="1:33">
      <c r="A198" s="2">
        <v>44028</v>
      </c>
      <c r="B198" s="5" t="s">
        <v>33</v>
      </c>
      <c r="C198" s="5">
        <f>WEEKDAY(Table1[[#This Row],[Date]])</f>
        <v>5</v>
      </c>
      <c r="D198" s="5">
        <f>MONTH(Table1[[#This Row],[Date]])</f>
        <v>7</v>
      </c>
      <c r="E198" s="5">
        <f>WEEKNUM(Table1[[#This Row],[Date]])</f>
        <v>29</v>
      </c>
      <c r="F198" s="5">
        <f>YEAR(Table1[[#This Row],[Date]])</f>
        <v>2020</v>
      </c>
      <c r="G198">
        <v>178</v>
      </c>
      <c r="L198" s="5">
        <v>194</v>
      </c>
      <c r="M198" s="6">
        <v>0.94630000000000003</v>
      </c>
      <c r="N198" s="5">
        <v>11</v>
      </c>
      <c r="O198" s="7">
        <v>2.0833333333333335E-4</v>
      </c>
      <c r="P198" s="7">
        <v>1.6666666666666668E-3</v>
      </c>
      <c r="Q198" s="7">
        <v>1.1689814814814816E-3</v>
      </c>
      <c r="R198" s="6">
        <v>0.80600000000000005</v>
      </c>
      <c r="S198" s="8">
        <f>CONVERT(Table1[[#This Row],[Talk Duration (AVG)]]*Table1[[#This Row],[Answered Calls]],"day","hr")</f>
        <v>7.7600000000000007</v>
      </c>
      <c r="T198" s="9">
        <f>Table1[[#This Row],[Actual Workload hours]]*60</f>
        <v>465.6</v>
      </c>
      <c r="U198" s="9">
        <f>CONVERT(Table1[[#This Row],[Actual]]*Table1[[#This Row],[Talk Duration (AVG)]],"day","hr")</f>
        <v>7.120000000000001</v>
      </c>
      <c r="V198" s="10">
        <f>Table1[[#This Row],[Required Workload Hours]]*60</f>
        <v>427.20000000000005</v>
      </c>
      <c r="W198" s="9">
        <v>1.21</v>
      </c>
      <c r="X198" s="9">
        <f t="shared" si="6"/>
        <v>1.1125</v>
      </c>
      <c r="Y198" s="5">
        <f t="shared" si="7"/>
        <v>2</v>
      </c>
      <c r="Z198" s="8">
        <f>ROUNDUP(Table1[[#This Row],[Actual Heacount]],0)</f>
        <v>2</v>
      </c>
      <c r="AA198" s="8"/>
      <c r="AB198" s="10"/>
      <c r="AC198" s="10"/>
      <c r="AD198" s="10"/>
      <c r="AE198" s="11">
        <v>77.469511668282806</v>
      </c>
      <c r="AF198" s="11">
        <v>307.12611944691042</v>
      </c>
      <c r="AG198" t="s">
        <v>34</v>
      </c>
    </row>
    <row r="199" spans="1:33">
      <c r="A199" s="2">
        <v>44029</v>
      </c>
      <c r="B199" s="5" t="s">
        <v>35</v>
      </c>
      <c r="C199" s="5">
        <f>WEEKDAY(Table1[[#This Row],[Date]])</f>
        <v>6</v>
      </c>
      <c r="D199" s="5">
        <f>MONTH(Table1[[#This Row],[Date]])</f>
        <v>7</v>
      </c>
      <c r="E199" s="5">
        <f>WEEKNUM(Table1[[#This Row],[Date]])</f>
        <v>29</v>
      </c>
      <c r="F199" s="5">
        <f>YEAR(Table1[[#This Row],[Date]])</f>
        <v>2020</v>
      </c>
      <c r="G199">
        <v>214</v>
      </c>
      <c r="L199" s="5">
        <v>168</v>
      </c>
      <c r="M199" s="6">
        <v>0.94379999999999997</v>
      </c>
      <c r="N199" s="5">
        <v>10</v>
      </c>
      <c r="O199" s="7">
        <v>2.6620370370370372E-4</v>
      </c>
      <c r="P199" s="7">
        <v>1.712962962962963E-3</v>
      </c>
      <c r="Q199" s="7">
        <v>1.9675925925925924E-3</v>
      </c>
      <c r="R199" s="6">
        <v>0.68969999999999998</v>
      </c>
      <c r="S199" s="8">
        <f>CONVERT(Table1[[#This Row],[Talk Duration (AVG)]]*Table1[[#This Row],[Answered Calls]],"day","hr")</f>
        <v>6.9066666666666681</v>
      </c>
      <c r="T199" s="9">
        <f>Table1[[#This Row],[Actual Workload hours]]*60</f>
        <v>414.40000000000009</v>
      </c>
      <c r="U199" s="9">
        <f>CONVERT(Table1[[#This Row],[Actual]]*Table1[[#This Row],[Talk Duration (AVG)]],"day","hr")</f>
        <v>8.7977777777777781</v>
      </c>
      <c r="V199" s="10">
        <f>Table1[[#This Row],[Required Workload Hours]]*60</f>
        <v>527.86666666666667</v>
      </c>
      <c r="W199" s="9">
        <v>1.08</v>
      </c>
      <c r="X199" s="9">
        <f t="shared" si="6"/>
        <v>1.3746527777777777</v>
      </c>
      <c r="Y199" s="5">
        <f t="shared" si="7"/>
        <v>2</v>
      </c>
      <c r="Z199" s="8">
        <f>ROUNDUP(Table1[[#This Row],[Actual Heacount]],0)</f>
        <v>2</v>
      </c>
      <c r="AA199" s="8"/>
      <c r="AB199" s="10"/>
      <c r="AC199" s="10"/>
      <c r="AD199" s="10"/>
      <c r="AE199" s="11">
        <v>68.908163349687953</v>
      </c>
      <c r="AF199" s="11">
        <v>281.91882138396579</v>
      </c>
      <c r="AG199" t="s">
        <v>34</v>
      </c>
    </row>
    <row r="200" spans="1:33">
      <c r="A200" s="2">
        <v>44030</v>
      </c>
      <c r="B200" s="5" t="s">
        <v>36</v>
      </c>
      <c r="C200" s="5">
        <f>WEEKDAY(Table1[[#This Row],[Date]])</f>
        <v>7</v>
      </c>
      <c r="D200" s="5">
        <f>MONTH(Table1[[#This Row],[Date]])</f>
        <v>7</v>
      </c>
      <c r="E200" s="5">
        <f>WEEKNUM(Table1[[#This Row],[Date]])</f>
        <v>29</v>
      </c>
      <c r="F200" s="5">
        <f>YEAR(Table1[[#This Row],[Date]])</f>
        <v>2020</v>
      </c>
      <c r="G200">
        <v>169</v>
      </c>
      <c r="L200" s="5">
        <v>201</v>
      </c>
      <c r="M200" s="6">
        <v>0.93930000000000002</v>
      </c>
      <c r="N200" s="5">
        <v>13</v>
      </c>
      <c r="O200" s="7">
        <v>2.6620370370370372E-4</v>
      </c>
      <c r="P200" s="7">
        <v>1.5162037037037036E-3</v>
      </c>
      <c r="Q200" s="7">
        <v>1.6666666666666668E-3</v>
      </c>
      <c r="R200" s="6">
        <v>0.6603</v>
      </c>
      <c r="S200" s="8">
        <f>CONVERT(Table1[[#This Row],[Talk Duration (AVG)]]*Table1[[#This Row],[Answered Calls]],"day","hr")</f>
        <v>7.3141666666666669</v>
      </c>
      <c r="T200" s="9">
        <f>Table1[[#This Row],[Actual Workload hours]]*60</f>
        <v>438.85</v>
      </c>
      <c r="U200" s="9">
        <f>CONVERT(Table1[[#This Row],[Actual]]*Table1[[#This Row],[Talk Duration (AVG)]],"day","hr")</f>
        <v>6.1497222222222225</v>
      </c>
      <c r="V200" s="10">
        <f>Table1[[#This Row],[Required Workload Hours]]*60</f>
        <v>368.98333333333335</v>
      </c>
      <c r="W200" s="9">
        <v>1.1399999999999999</v>
      </c>
      <c r="X200" s="9">
        <f t="shared" si="6"/>
        <v>1</v>
      </c>
      <c r="Y200" s="5">
        <f t="shared" si="7"/>
        <v>2</v>
      </c>
      <c r="Z200" s="8">
        <f>ROUNDUP(Table1[[#This Row],[Actual Heacount]],0)</f>
        <v>2</v>
      </c>
      <c r="AA200" s="8"/>
      <c r="AB200" s="10"/>
      <c r="AC200" s="10"/>
      <c r="AD200" s="10"/>
      <c r="AE200" s="11">
        <v>68.981670842231892</v>
      </c>
      <c r="AF200" s="11">
        <v>291.48644273734573</v>
      </c>
      <c r="AG200" t="s">
        <v>34</v>
      </c>
    </row>
    <row r="201" spans="1:33">
      <c r="A201" s="2">
        <v>44031</v>
      </c>
      <c r="B201" s="5" t="s">
        <v>37</v>
      </c>
      <c r="C201" s="5">
        <f>WEEKDAY(Table1[[#This Row],[Date]])</f>
        <v>1</v>
      </c>
      <c r="D201" s="5">
        <f>MONTH(Table1[[#This Row],[Date]])</f>
        <v>7</v>
      </c>
      <c r="E201" s="5">
        <f>WEEKNUM(Table1[[#This Row],[Date]])</f>
        <v>30</v>
      </c>
      <c r="F201" s="5">
        <f>YEAR(Table1[[#This Row],[Date]])</f>
        <v>2020</v>
      </c>
      <c r="G201">
        <v>46</v>
      </c>
      <c r="L201" s="5">
        <v>161</v>
      </c>
      <c r="M201" s="6">
        <v>0.95269999999999999</v>
      </c>
      <c r="N201" s="5">
        <v>8</v>
      </c>
      <c r="O201" s="7">
        <v>2.6620370370370372E-4</v>
      </c>
      <c r="P201" s="7">
        <v>1.5856481481481481E-3</v>
      </c>
      <c r="Q201" s="7">
        <v>3.1828703703703702E-3</v>
      </c>
      <c r="R201" s="6">
        <v>0.71689999999999998</v>
      </c>
      <c r="S201" s="8">
        <f>CONVERT(Table1[[#This Row],[Talk Duration (AVG)]]*Table1[[#This Row],[Answered Calls]],"day","hr")</f>
        <v>6.1269444444444447</v>
      </c>
      <c r="T201" s="9">
        <f>Table1[[#This Row],[Actual Workload hours]]*60</f>
        <v>367.61666666666667</v>
      </c>
      <c r="U201" s="9">
        <f>CONVERT(Table1[[#This Row],[Actual]]*Table1[[#This Row],[Talk Duration (AVG)]],"day","hr")</f>
        <v>1.7505555555555556</v>
      </c>
      <c r="V201" s="10">
        <f>Table1[[#This Row],[Required Workload Hours]]*60</f>
        <v>105.03333333333333</v>
      </c>
      <c r="W201" s="9">
        <v>1</v>
      </c>
      <c r="X201" s="9">
        <f t="shared" si="6"/>
        <v>1</v>
      </c>
      <c r="Y201" s="5">
        <f t="shared" si="7"/>
        <v>2</v>
      </c>
      <c r="Z201" s="8">
        <f>ROUNDUP(Table1[[#This Row],[Actual Heacount]],0)</f>
        <v>1</v>
      </c>
      <c r="AA201" s="8"/>
      <c r="AB201" s="10"/>
      <c r="AC201" s="10"/>
      <c r="AD201" s="10"/>
      <c r="AE201" s="11">
        <v>-21.69119762040075</v>
      </c>
      <c r="AF201" s="11">
        <v>201.99813550134559</v>
      </c>
      <c r="AG201" t="s">
        <v>34</v>
      </c>
    </row>
    <row r="202" spans="1:33">
      <c r="A202" s="2">
        <v>44032</v>
      </c>
      <c r="B202" s="5" t="s">
        <v>38</v>
      </c>
      <c r="C202" s="5">
        <f>WEEKDAY(Table1[[#This Row],[Date]])</f>
        <v>2</v>
      </c>
      <c r="D202" s="5">
        <f>MONTH(Table1[[#This Row],[Date]])</f>
        <v>7</v>
      </c>
      <c r="E202" s="5">
        <f>WEEKNUM(Table1[[#This Row],[Date]])</f>
        <v>30</v>
      </c>
      <c r="F202" s="5">
        <f>YEAR(Table1[[#This Row],[Date]])</f>
        <v>2020</v>
      </c>
      <c r="G202">
        <v>183</v>
      </c>
      <c r="L202" s="5">
        <v>46</v>
      </c>
      <c r="M202" s="6">
        <v>1</v>
      </c>
      <c r="N202" s="5">
        <v>0</v>
      </c>
      <c r="O202" s="7">
        <v>2.8935185185185184E-4</v>
      </c>
      <c r="P202" s="7">
        <v>1.6666666666666668E-3</v>
      </c>
      <c r="Q202" s="7">
        <v>1.0995370370370371E-3</v>
      </c>
      <c r="R202" s="6">
        <v>0.71740000000000004</v>
      </c>
      <c r="S202" s="8">
        <f>CONVERT(Table1[[#This Row],[Talk Duration (AVG)]]*Table1[[#This Row],[Answered Calls]],"day","hr")</f>
        <v>1.8400000000000003</v>
      </c>
      <c r="T202" s="9">
        <f>Table1[[#This Row],[Actual Workload hours]]*60</f>
        <v>110.40000000000002</v>
      </c>
      <c r="U202" s="9">
        <f>CONVERT(Table1[[#This Row],[Actual]]*Table1[[#This Row],[Talk Duration (AVG)]],"day","hr")</f>
        <v>7.32</v>
      </c>
      <c r="V202" s="10">
        <f>Table1[[#This Row],[Required Workload Hours]]*60</f>
        <v>439.20000000000005</v>
      </c>
      <c r="W202" s="9">
        <v>1</v>
      </c>
      <c r="X202" s="9">
        <f t="shared" si="6"/>
        <v>1.14375</v>
      </c>
      <c r="Y202" s="5">
        <f t="shared" si="7"/>
        <v>1</v>
      </c>
      <c r="Z202" s="8">
        <f>ROUNDUP(Table1[[#This Row],[Actual Heacount]],0)</f>
        <v>1</v>
      </c>
      <c r="AA202" s="8"/>
      <c r="AB202" s="10"/>
      <c r="AC202" s="10"/>
      <c r="AD202" s="10"/>
      <c r="AE202" s="11">
        <v>80.823761663044053</v>
      </c>
      <c r="AF202" s="11">
        <v>297.30844816562109</v>
      </c>
      <c r="AG202" t="s">
        <v>34</v>
      </c>
    </row>
    <row r="203" spans="1:33">
      <c r="A203" s="2">
        <v>44033</v>
      </c>
      <c r="B203" s="5" t="s">
        <v>39</v>
      </c>
      <c r="C203" s="5">
        <f>WEEKDAY(Table1[[#This Row],[Date]])</f>
        <v>3</v>
      </c>
      <c r="D203" s="5">
        <f>MONTH(Table1[[#This Row],[Date]])</f>
        <v>7</v>
      </c>
      <c r="E203" s="5">
        <f>WEEKNUM(Table1[[#This Row],[Date]])</f>
        <v>30</v>
      </c>
      <c r="F203" s="5">
        <f>YEAR(Table1[[#This Row],[Date]])</f>
        <v>2020</v>
      </c>
      <c r="G203">
        <v>208</v>
      </c>
      <c r="L203" s="5">
        <v>177</v>
      </c>
      <c r="M203" s="6">
        <v>0.96719999999999995</v>
      </c>
      <c r="N203" s="5">
        <v>6</v>
      </c>
      <c r="O203" s="7">
        <v>2.0833333333333335E-4</v>
      </c>
      <c r="P203" s="7">
        <v>1.736111111111111E-3</v>
      </c>
      <c r="Q203" s="7">
        <v>7.7546296296296293E-4</v>
      </c>
      <c r="R203" s="6">
        <v>0.81110000000000004</v>
      </c>
      <c r="S203" s="8">
        <f>CONVERT(Table1[[#This Row],[Talk Duration (AVG)]]*Table1[[#This Row],[Answered Calls]],"day","hr")</f>
        <v>7.3749999999999991</v>
      </c>
      <c r="T203" s="9">
        <f>Table1[[#This Row],[Actual Workload hours]]*60</f>
        <v>442.49999999999994</v>
      </c>
      <c r="U203" s="9">
        <f>CONVERT(Table1[[#This Row],[Actual]]*Table1[[#This Row],[Talk Duration (AVG)]],"day","hr")</f>
        <v>8.6666666666666661</v>
      </c>
      <c r="V203" s="10">
        <f>Table1[[#This Row],[Required Workload Hours]]*60</f>
        <v>520</v>
      </c>
      <c r="W203" s="9">
        <v>1.1499999999999999</v>
      </c>
      <c r="X203" s="9">
        <f t="shared" si="6"/>
        <v>1.3541666666666667</v>
      </c>
      <c r="Y203" s="5">
        <f t="shared" si="7"/>
        <v>2</v>
      </c>
      <c r="Z203" s="8">
        <f>ROUNDUP(Table1[[#This Row],[Actual Heacount]],0)</f>
        <v>2</v>
      </c>
      <c r="AA203" s="8"/>
      <c r="AB203" s="10"/>
      <c r="AC203" s="10"/>
      <c r="AD203" s="10"/>
      <c r="AE203" s="11">
        <v>66.609158137221101</v>
      </c>
      <c r="AF203" s="11">
        <v>280.44635010463611</v>
      </c>
      <c r="AG203" t="s">
        <v>34</v>
      </c>
    </row>
    <row r="204" spans="1:33">
      <c r="A204" s="2">
        <v>44034</v>
      </c>
      <c r="B204" s="5" t="s">
        <v>40</v>
      </c>
      <c r="C204" s="5">
        <f>WEEKDAY(Table1[[#This Row],[Date]])</f>
        <v>4</v>
      </c>
      <c r="D204" s="5">
        <f>MONTH(Table1[[#This Row],[Date]])</f>
        <v>7</v>
      </c>
      <c r="E204" s="5">
        <f>WEEKNUM(Table1[[#This Row],[Date]])</f>
        <v>30</v>
      </c>
      <c r="F204" s="5">
        <f>YEAR(Table1[[#This Row],[Date]])</f>
        <v>2020</v>
      </c>
      <c r="G204">
        <v>234</v>
      </c>
      <c r="L204" s="5">
        <v>190</v>
      </c>
      <c r="M204" s="6">
        <v>0.91349999999999998</v>
      </c>
      <c r="N204" s="5">
        <v>18</v>
      </c>
      <c r="O204" s="7">
        <v>2.4305555555555555E-4</v>
      </c>
      <c r="P204" s="7">
        <v>1.6782407407407408E-3</v>
      </c>
      <c r="Q204" s="7">
        <v>1.2731481481481483E-3</v>
      </c>
      <c r="R204" s="6">
        <v>0.74109999999999998</v>
      </c>
      <c r="S204" s="8">
        <f>CONVERT(Table1[[#This Row],[Talk Duration (AVG)]]*Table1[[#This Row],[Answered Calls]],"day","hr")</f>
        <v>7.6527777777777777</v>
      </c>
      <c r="T204" s="9">
        <f>Table1[[#This Row],[Actual Workload hours]]*60</f>
        <v>459.16666666666669</v>
      </c>
      <c r="U204" s="9">
        <f>CONVERT(Table1[[#This Row],[Actual]]*Table1[[#This Row],[Talk Duration (AVG)]],"day","hr")</f>
        <v>9.4250000000000007</v>
      </c>
      <c r="V204" s="10">
        <f>Table1[[#This Row],[Required Workload Hours]]*60</f>
        <v>565.5</v>
      </c>
      <c r="W204" s="9">
        <v>1.2</v>
      </c>
      <c r="X204" s="9">
        <f t="shared" si="6"/>
        <v>1.47265625</v>
      </c>
      <c r="Y204" s="5">
        <f t="shared" si="7"/>
        <v>2</v>
      </c>
      <c r="Z204" s="8">
        <f>ROUNDUP(Table1[[#This Row],[Actual Heacount]],0)</f>
        <v>2</v>
      </c>
      <c r="AA204" s="8"/>
      <c r="AB204" s="10"/>
      <c r="AC204" s="10"/>
      <c r="AD204" s="10"/>
      <c r="AE204" s="11">
        <v>80.811045254486359</v>
      </c>
      <c r="AF204" s="11">
        <v>306.7658651394089</v>
      </c>
      <c r="AG204" t="s">
        <v>34</v>
      </c>
    </row>
    <row r="205" spans="1:33">
      <c r="A205" s="2">
        <v>44035</v>
      </c>
      <c r="B205" s="5" t="s">
        <v>33</v>
      </c>
      <c r="C205" s="5">
        <f>WEEKDAY(Table1[[#This Row],[Date]])</f>
        <v>5</v>
      </c>
      <c r="D205" s="5">
        <f>MONTH(Table1[[#This Row],[Date]])</f>
        <v>7</v>
      </c>
      <c r="E205" s="5">
        <f>WEEKNUM(Table1[[#This Row],[Date]])</f>
        <v>30</v>
      </c>
      <c r="F205" s="5">
        <f>YEAR(Table1[[#This Row],[Date]])</f>
        <v>2020</v>
      </c>
      <c r="G205">
        <v>204</v>
      </c>
      <c r="L205" s="5">
        <v>224</v>
      </c>
      <c r="M205" s="6">
        <v>0.95730000000000004</v>
      </c>
      <c r="N205" s="5">
        <v>10</v>
      </c>
      <c r="O205" s="7">
        <v>2.5462962962962961E-4</v>
      </c>
      <c r="P205" s="7">
        <v>1.5625000000000001E-3</v>
      </c>
      <c r="Q205" s="7">
        <v>2.3148148148148147E-3</v>
      </c>
      <c r="R205" s="6">
        <v>0.74139999999999995</v>
      </c>
      <c r="S205" s="8">
        <f>CONVERT(Table1[[#This Row],[Talk Duration (AVG)]]*Table1[[#This Row],[Answered Calls]],"day","hr")</f>
        <v>8.4</v>
      </c>
      <c r="T205" s="9">
        <f>Table1[[#This Row],[Actual Workload hours]]*60</f>
        <v>504</v>
      </c>
      <c r="U205" s="9">
        <f>CONVERT(Table1[[#This Row],[Actual]]*Table1[[#This Row],[Talk Duration (AVG)]],"day","hr")</f>
        <v>7.6500000000000012</v>
      </c>
      <c r="V205" s="10">
        <f>Table1[[#This Row],[Required Workload Hours]]*60</f>
        <v>459.00000000000006</v>
      </c>
      <c r="W205" s="9">
        <v>1.31</v>
      </c>
      <c r="X205" s="9">
        <f t="shared" si="6"/>
        <v>1.1953125000000002</v>
      </c>
      <c r="Y205" s="5">
        <f t="shared" si="7"/>
        <v>2</v>
      </c>
      <c r="Z205" s="8">
        <f>ROUNDUP(Table1[[#This Row],[Actual Heacount]],0)</f>
        <v>2</v>
      </c>
      <c r="AA205" s="8"/>
      <c r="AB205" s="10"/>
      <c r="AC205" s="10"/>
      <c r="AD205" s="10"/>
      <c r="AE205" s="11">
        <v>73.636049338634493</v>
      </c>
      <c r="AF205" s="11">
        <v>296.10560530737229</v>
      </c>
      <c r="AG205" t="s">
        <v>34</v>
      </c>
    </row>
    <row r="206" spans="1:33">
      <c r="A206" s="2">
        <v>44036</v>
      </c>
      <c r="B206" s="5" t="s">
        <v>35</v>
      </c>
      <c r="C206" s="5">
        <f>WEEKDAY(Table1[[#This Row],[Date]])</f>
        <v>6</v>
      </c>
      <c r="D206" s="5">
        <f>MONTH(Table1[[#This Row],[Date]])</f>
        <v>7</v>
      </c>
      <c r="E206" s="5">
        <f>WEEKNUM(Table1[[#This Row],[Date]])</f>
        <v>30</v>
      </c>
      <c r="F206" s="5">
        <f>YEAR(Table1[[#This Row],[Date]])</f>
        <v>2020</v>
      </c>
      <c r="G206">
        <v>204</v>
      </c>
      <c r="L206" s="5">
        <v>194</v>
      </c>
      <c r="M206" s="6">
        <v>0.95099999999999996</v>
      </c>
      <c r="N206" s="5">
        <v>10</v>
      </c>
      <c r="O206" s="7">
        <v>2.0833333333333335E-4</v>
      </c>
      <c r="P206" s="7">
        <v>1.5856481481481481E-3</v>
      </c>
      <c r="Q206" s="7">
        <v>1.2731481481481483E-3</v>
      </c>
      <c r="R206" s="6">
        <v>0.78710000000000002</v>
      </c>
      <c r="S206" s="8">
        <f>CONVERT(Table1[[#This Row],[Talk Duration (AVG)]]*Table1[[#This Row],[Answered Calls]],"day","hr")</f>
        <v>7.3827777777777763</v>
      </c>
      <c r="T206" s="9">
        <f>Table1[[#This Row],[Actual Workload hours]]*60</f>
        <v>442.96666666666658</v>
      </c>
      <c r="U206" s="9">
        <f>CONVERT(Table1[[#This Row],[Actual]]*Table1[[#This Row],[Talk Duration (AVG)]],"day","hr")</f>
        <v>7.7633333333333336</v>
      </c>
      <c r="V206" s="10">
        <f>Table1[[#This Row],[Required Workload Hours]]*60</f>
        <v>465.8</v>
      </c>
      <c r="W206" s="9">
        <v>1.1499999999999999</v>
      </c>
      <c r="X206" s="9">
        <f t="shared" si="6"/>
        <v>1.2130208333333334</v>
      </c>
      <c r="Y206" s="5">
        <f t="shared" si="7"/>
        <v>2</v>
      </c>
      <c r="Z206" s="8">
        <f>ROUNDUP(Table1[[#This Row],[Actual Heacount]],0)</f>
        <v>2</v>
      </c>
      <c r="AA206" s="8"/>
      <c r="AB206" s="10"/>
      <c r="AC206" s="10"/>
      <c r="AD206" s="10"/>
      <c r="AE206" s="11">
        <v>66.156833023144614</v>
      </c>
      <c r="AF206" s="11">
        <v>289.73834861043412</v>
      </c>
      <c r="AG206" t="s">
        <v>34</v>
      </c>
    </row>
    <row r="207" spans="1:33">
      <c r="A207" s="2">
        <v>44037</v>
      </c>
      <c r="B207" s="5" t="s">
        <v>36</v>
      </c>
      <c r="C207" s="5">
        <f>WEEKDAY(Table1[[#This Row],[Date]])</f>
        <v>7</v>
      </c>
      <c r="D207" s="5">
        <f>MONTH(Table1[[#This Row],[Date]])</f>
        <v>7</v>
      </c>
      <c r="E207" s="5">
        <f>WEEKNUM(Table1[[#This Row],[Date]])</f>
        <v>30</v>
      </c>
      <c r="F207" s="5">
        <f>YEAR(Table1[[#This Row],[Date]])</f>
        <v>2020</v>
      </c>
      <c r="G207">
        <v>99</v>
      </c>
      <c r="L207" s="5">
        <v>189</v>
      </c>
      <c r="M207" s="6">
        <v>0.92649999999999999</v>
      </c>
      <c r="N207" s="5">
        <v>15</v>
      </c>
      <c r="O207" s="7">
        <v>2.4305555555555555E-4</v>
      </c>
      <c r="P207" s="7">
        <v>1.5625000000000001E-3</v>
      </c>
      <c r="Q207" s="7">
        <v>2.7314814814814814E-3</v>
      </c>
      <c r="R207" s="6">
        <v>0.70789999999999997</v>
      </c>
      <c r="S207" s="8">
        <f>CONVERT(Table1[[#This Row],[Talk Duration (AVG)]]*Table1[[#This Row],[Answered Calls]],"day","hr")</f>
        <v>7.0875000000000012</v>
      </c>
      <c r="T207" s="9">
        <f>Table1[[#This Row],[Actual Workload hours]]*60</f>
        <v>425.25000000000006</v>
      </c>
      <c r="U207" s="9">
        <f>CONVERT(Table1[[#This Row],[Actual]]*Table1[[#This Row],[Talk Duration (AVG)]],"day","hr")</f>
        <v>3.7124999999999999</v>
      </c>
      <c r="V207" s="10">
        <f>Table1[[#This Row],[Required Workload Hours]]*60</f>
        <v>222.75</v>
      </c>
      <c r="W207" s="9">
        <v>1.1100000000000001</v>
      </c>
      <c r="X207" s="9">
        <f t="shared" si="6"/>
        <v>1</v>
      </c>
      <c r="Y207" s="5">
        <f t="shared" si="7"/>
        <v>2</v>
      </c>
      <c r="Z207" s="8">
        <f>ROUNDUP(Table1[[#This Row],[Actual Heacount]],0)</f>
        <v>2</v>
      </c>
      <c r="AA207" s="8"/>
      <c r="AB207" s="10"/>
      <c r="AC207" s="10"/>
      <c r="AD207" s="10"/>
      <c r="AE207" s="11">
        <v>69.029102101236489</v>
      </c>
      <c r="AF207" s="11">
        <v>283.52363718416422</v>
      </c>
      <c r="AG207" t="s">
        <v>34</v>
      </c>
    </row>
    <row r="208" spans="1:33">
      <c r="A208" s="2">
        <v>44038</v>
      </c>
      <c r="B208" s="5" t="s">
        <v>37</v>
      </c>
      <c r="C208" s="5">
        <f>WEEKDAY(Table1[[#This Row],[Date]])</f>
        <v>1</v>
      </c>
      <c r="D208" s="5">
        <f>MONTH(Table1[[#This Row],[Date]])</f>
        <v>7</v>
      </c>
      <c r="E208" s="5">
        <f>WEEKNUM(Table1[[#This Row],[Date]])</f>
        <v>31</v>
      </c>
      <c r="F208" s="5">
        <f>YEAR(Table1[[#This Row],[Date]])</f>
        <v>2020</v>
      </c>
      <c r="G208">
        <v>29</v>
      </c>
      <c r="L208" s="5">
        <v>99</v>
      </c>
      <c r="M208" s="6">
        <v>1</v>
      </c>
      <c r="N208" s="5">
        <v>0</v>
      </c>
      <c r="O208" s="7">
        <v>1.8518518518518518E-4</v>
      </c>
      <c r="P208" s="7">
        <v>1.6782407407407408E-3</v>
      </c>
      <c r="Q208" s="7">
        <v>7.1759259259259259E-4</v>
      </c>
      <c r="R208" s="6">
        <v>0.82830000000000004</v>
      </c>
      <c r="S208" s="8">
        <f>CONVERT(Table1[[#This Row],[Talk Duration (AVG)]]*Table1[[#This Row],[Answered Calls]],"day","hr")</f>
        <v>3.9874999999999998</v>
      </c>
      <c r="T208" s="9">
        <f>Table1[[#This Row],[Actual Workload hours]]*60</f>
        <v>239.25</v>
      </c>
      <c r="U208" s="9">
        <f>CONVERT(Table1[[#This Row],[Actual]]*Table1[[#This Row],[Talk Duration (AVG)]],"day","hr")</f>
        <v>1.1680555555555556</v>
      </c>
      <c r="V208" s="10">
        <f>Table1[[#This Row],[Required Workload Hours]]*60</f>
        <v>70.083333333333343</v>
      </c>
      <c r="W208" s="9">
        <v>1</v>
      </c>
      <c r="X208" s="9">
        <f t="shared" si="6"/>
        <v>1</v>
      </c>
      <c r="Y208" s="5">
        <f t="shared" si="7"/>
        <v>2</v>
      </c>
      <c r="Z208" s="8">
        <f>ROUNDUP(Table1[[#This Row],[Actual Heacount]],0)</f>
        <v>1</v>
      </c>
      <c r="AA208" s="8"/>
      <c r="AB208" s="10"/>
      <c r="AC208" s="10"/>
      <c r="AD208" s="10"/>
      <c r="AE208" s="11">
        <v>-14.911055692193891</v>
      </c>
      <c r="AF208" s="11">
        <v>197.38095128462189</v>
      </c>
      <c r="AG208" t="s">
        <v>34</v>
      </c>
    </row>
    <row r="209" spans="1:33">
      <c r="A209" s="2">
        <v>44039</v>
      </c>
      <c r="B209" s="5" t="s">
        <v>38</v>
      </c>
      <c r="C209" s="5">
        <f>WEEKDAY(Table1[[#This Row],[Date]])</f>
        <v>2</v>
      </c>
      <c r="D209" s="5">
        <f>MONTH(Table1[[#This Row],[Date]])</f>
        <v>7</v>
      </c>
      <c r="E209" s="5">
        <f>WEEKNUM(Table1[[#This Row],[Date]])</f>
        <v>31</v>
      </c>
      <c r="F209" s="5">
        <f>YEAR(Table1[[#This Row],[Date]])</f>
        <v>2020</v>
      </c>
      <c r="G209">
        <v>167</v>
      </c>
      <c r="L209" s="5">
        <v>27</v>
      </c>
      <c r="M209" s="6">
        <v>0.93100000000000005</v>
      </c>
      <c r="N209" s="5">
        <v>2</v>
      </c>
      <c r="O209" s="7">
        <v>2.199074074074074E-4</v>
      </c>
      <c r="P209" s="7">
        <v>1.9328703703703704E-3</v>
      </c>
      <c r="Q209" s="7">
        <v>1.6435185185185185E-3</v>
      </c>
      <c r="R209" s="6">
        <v>0.78569999999999995</v>
      </c>
      <c r="S209" s="8">
        <f>CONVERT(Table1[[#This Row],[Talk Duration (AVG)]]*Table1[[#This Row],[Answered Calls]],"day","hr")</f>
        <v>1.2524999999999999</v>
      </c>
      <c r="T209" s="9">
        <f>Table1[[#This Row],[Actual Workload hours]]*60</f>
        <v>75.149999999999991</v>
      </c>
      <c r="U209" s="9">
        <f>CONVERT(Table1[[#This Row],[Actual]]*Table1[[#This Row],[Talk Duration (AVG)]],"day","hr")</f>
        <v>7.7469444444444449</v>
      </c>
      <c r="V209" s="10">
        <f>Table1[[#This Row],[Required Workload Hours]]*60</f>
        <v>464.81666666666672</v>
      </c>
      <c r="W209" s="9">
        <v>1</v>
      </c>
      <c r="X209" s="9">
        <f t="shared" si="6"/>
        <v>1.2104600694444445</v>
      </c>
      <c r="Y209" s="5">
        <f t="shared" si="7"/>
        <v>1</v>
      </c>
      <c r="Z209" s="8">
        <f>ROUNDUP(Table1[[#This Row],[Actual Heacount]],0)</f>
        <v>1</v>
      </c>
      <c r="AA209" s="8"/>
      <c r="AB209" s="10"/>
      <c r="AC209" s="10"/>
      <c r="AD209" s="10"/>
      <c r="AE209" s="11">
        <v>69.462088818706505</v>
      </c>
      <c r="AF209" s="11">
        <v>287.14002752947408</v>
      </c>
      <c r="AG209" t="s">
        <v>34</v>
      </c>
    </row>
    <row r="210" spans="1:33">
      <c r="A210" s="2">
        <v>44040</v>
      </c>
      <c r="B210" s="5" t="s">
        <v>39</v>
      </c>
      <c r="C210" s="5">
        <f>WEEKDAY(Table1[[#This Row],[Date]])</f>
        <v>3</v>
      </c>
      <c r="D210" s="5">
        <f>MONTH(Table1[[#This Row],[Date]])</f>
        <v>7</v>
      </c>
      <c r="E210" s="5">
        <f>WEEKNUM(Table1[[#This Row],[Date]])</f>
        <v>31</v>
      </c>
      <c r="F210" s="5">
        <f>YEAR(Table1[[#This Row],[Date]])</f>
        <v>2020</v>
      </c>
      <c r="G210">
        <v>164</v>
      </c>
      <c r="L210" s="5">
        <v>159</v>
      </c>
      <c r="M210" s="6">
        <v>0.95209999999999995</v>
      </c>
      <c r="N210" s="5">
        <v>8</v>
      </c>
      <c r="O210" s="7">
        <v>2.6620370370370372E-4</v>
      </c>
      <c r="P210" s="7">
        <v>1.712962962962963E-3</v>
      </c>
      <c r="Q210" s="7">
        <v>3.1828703703703702E-3</v>
      </c>
      <c r="R210" s="6">
        <v>0.70479999999999998</v>
      </c>
      <c r="S210" s="8">
        <f>CONVERT(Table1[[#This Row],[Talk Duration (AVG)]]*Table1[[#This Row],[Answered Calls]],"day","hr")</f>
        <v>6.5366666666666671</v>
      </c>
      <c r="T210" s="9">
        <f>Table1[[#This Row],[Actual Workload hours]]*60</f>
        <v>392.20000000000005</v>
      </c>
      <c r="U210" s="9">
        <f>CONVERT(Table1[[#This Row],[Actual]]*Table1[[#This Row],[Talk Duration (AVG)]],"day","hr")</f>
        <v>6.7422222222222219</v>
      </c>
      <c r="V210" s="10">
        <f>Table1[[#This Row],[Required Workload Hours]]*60</f>
        <v>404.5333333333333</v>
      </c>
      <c r="W210" s="9">
        <v>1.02</v>
      </c>
      <c r="X210" s="9">
        <f t="shared" si="6"/>
        <v>1.0534722222222221</v>
      </c>
      <c r="Y210" s="5">
        <f t="shared" si="7"/>
        <v>2</v>
      </c>
      <c r="Z210" s="8">
        <f>ROUNDUP(Table1[[#This Row],[Actual Heacount]],0)</f>
        <v>2</v>
      </c>
      <c r="AA210" s="8"/>
      <c r="AB210" s="10"/>
      <c r="AC210" s="10"/>
      <c r="AD210" s="10"/>
      <c r="AE210" s="11">
        <v>51.863430930986617</v>
      </c>
      <c r="AF210" s="11">
        <v>278.38696473997987</v>
      </c>
      <c r="AG210" t="s">
        <v>34</v>
      </c>
    </row>
    <row r="211" spans="1:33">
      <c r="A211" s="2">
        <v>44041</v>
      </c>
      <c r="B211" s="5" t="s">
        <v>40</v>
      </c>
      <c r="C211" s="5">
        <f>WEEKDAY(Table1[[#This Row],[Date]])</f>
        <v>4</v>
      </c>
      <c r="D211" s="5">
        <f>MONTH(Table1[[#This Row],[Date]])</f>
        <v>7</v>
      </c>
      <c r="E211" s="5">
        <f>WEEKNUM(Table1[[#This Row],[Date]])</f>
        <v>31</v>
      </c>
      <c r="F211" s="5">
        <f>YEAR(Table1[[#This Row],[Date]])</f>
        <v>2020</v>
      </c>
      <c r="G211">
        <v>158</v>
      </c>
      <c r="L211" s="5">
        <v>161</v>
      </c>
      <c r="M211" s="6">
        <v>0.98170000000000002</v>
      </c>
      <c r="N211" s="5">
        <v>3</v>
      </c>
      <c r="O211" s="7">
        <v>1.9675925925925926E-4</v>
      </c>
      <c r="P211" s="7">
        <v>1.7939814814814815E-3</v>
      </c>
      <c r="Q211" s="7">
        <v>1.1226851851851851E-3</v>
      </c>
      <c r="R211" s="6">
        <v>0.81710000000000005</v>
      </c>
      <c r="S211" s="8">
        <f>CONVERT(Table1[[#This Row],[Talk Duration (AVG)]]*Table1[[#This Row],[Answered Calls]],"day","hr")</f>
        <v>6.9319444444444445</v>
      </c>
      <c r="T211" s="9">
        <f>Table1[[#This Row],[Actual Workload hours]]*60</f>
        <v>415.91666666666669</v>
      </c>
      <c r="U211" s="9">
        <f>CONVERT(Table1[[#This Row],[Actual]]*Table1[[#This Row],[Talk Duration (AVG)]],"day","hr")</f>
        <v>6.8027777777777771</v>
      </c>
      <c r="V211" s="10">
        <f>Table1[[#This Row],[Required Workload Hours]]*60</f>
        <v>408.16666666666663</v>
      </c>
      <c r="W211" s="9">
        <v>1.08</v>
      </c>
      <c r="X211" s="9">
        <f t="shared" si="6"/>
        <v>1.0629340277777777</v>
      </c>
      <c r="Y211" s="5">
        <f t="shared" si="7"/>
        <v>2</v>
      </c>
      <c r="Z211" s="8">
        <f>ROUNDUP(Table1[[#This Row],[Actual Heacount]],0)</f>
        <v>2</v>
      </c>
      <c r="AA211" s="8"/>
      <c r="AB211" s="10"/>
      <c r="AC211" s="10"/>
      <c r="AD211" s="10"/>
      <c r="AE211" s="11">
        <v>68.823429543715193</v>
      </c>
      <c r="AF211" s="11">
        <v>286.86913939096951</v>
      </c>
      <c r="AG211" t="s">
        <v>34</v>
      </c>
    </row>
    <row r="212" spans="1:33">
      <c r="A212" s="2">
        <v>44042</v>
      </c>
      <c r="B212" s="5" t="s">
        <v>33</v>
      </c>
      <c r="C212" s="5">
        <f>WEEKDAY(Table1[[#This Row],[Date]])</f>
        <v>5</v>
      </c>
      <c r="D212" s="5">
        <f>MONTH(Table1[[#This Row],[Date]])</f>
        <v>7</v>
      </c>
      <c r="E212" s="5">
        <f>WEEKNUM(Table1[[#This Row],[Date]])</f>
        <v>31</v>
      </c>
      <c r="F212" s="5">
        <f>YEAR(Table1[[#This Row],[Date]])</f>
        <v>2020</v>
      </c>
      <c r="G212">
        <v>165</v>
      </c>
      <c r="L212" s="5">
        <v>147</v>
      </c>
      <c r="M212" s="6">
        <v>0.9304</v>
      </c>
      <c r="N212" s="5">
        <v>11</v>
      </c>
      <c r="O212" s="7">
        <v>2.4305555555555555E-4</v>
      </c>
      <c r="P212" s="7">
        <v>1.7824074074074075E-3</v>
      </c>
      <c r="Q212" s="7">
        <v>1.4236111111111112E-3</v>
      </c>
      <c r="R212" s="6">
        <v>0.72440000000000004</v>
      </c>
      <c r="S212" s="8">
        <f>CONVERT(Table1[[#This Row],[Talk Duration (AVG)]]*Table1[[#This Row],[Answered Calls]],"day","hr")</f>
        <v>6.2883333333333331</v>
      </c>
      <c r="T212" s="9">
        <f>Table1[[#This Row],[Actual Workload hours]]*60</f>
        <v>377.3</v>
      </c>
      <c r="U212" s="9">
        <f>CONVERT(Table1[[#This Row],[Actual]]*Table1[[#This Row],[Talk Duration (AVG)]],"day","hr")</f>
        <v>7.0583333333333336</v>
      </c>
      <c r="V212" s="10">
        <f>Table1[[#This Row],[Required Workload Hours]]*60</f>
        <v>423.5</v>
      </c>
      <c r="W212" s="9">
        <v>1</v>
      </c>
      <c r="X212" s="9">
        <f t="shared" si="6"/>
        <v>1.1028645833333333</v>
      </c>
      <c r="Y212" s="5">
        <f t="shared" si="7"/>
        <v>2</v>
      </c>
      <c r="Z212" s="8">
        <f>ROUNDUP(Table1[[#This Row],[Actual Heacount]],0)</f>
        <v>1</v>
      </c>
      <c r="AA212" s="8"/>
      <c r="AB212" s="10"/>
      <c r="AC212" s="10"/>
      <c r="AD212" s="10"/>
      <c r="AE212" s="11">
        <v>61.055884531537423</v>
      </c>
      <c r="AF212" s="11">
        <v>285.45882529131347</v>
      </c>
      <c r="AG212" t="s">
        <v>34</v>
      </c>
    </row>
    <row r="213" spans="1:33">
      <c r="A213" s="2">
        <v>44043</v>
      </c>
      <c r="B213" s="5" t="s">
        <v>35</v>
      </c>
      <c r="C213" s="5">
        <f>WEEKDAY(Table1[[#This Row],[Date]])</f>
        <v>6</v>
      </c>
      <c r="D213" s="5">
        <f>MONTH(Table1[[#This Row],[Date]])</f>
        <v>7</v>
      </c>
      <c r="E213" s="5">
        <f>WEEKNUM(Table1[[#This Row],[Date]])</f>
        <v>31</v>
      </c>
      <c r="F213" s="5">
        <f>YEAR(Table1[[#This Row],[Date]])</f>
        <v>2020</v>
      </c>
      <c r="G213">
        <v>129</v>
      </c>
      <c r="L213" s="5">
        <v>161</v>
      </c>
      <c r="M213" s="6">
        <v>0.9758</v>
      </c>
      <c r="N213" s="5">
        <v>4</v>
      </c>
      <c r="O213" s="7">
        <v>1.9675925925925926E-4</v>
      </c>
      <c r="P213" s="7">
        <v>1.6898148148148148E-3</v>
      </c>
      <c r="Q213" s="7">
        <v>7.6388888888888893E-4</v>
      </c>
      <c r="R213" s="6">
        <v>0.77910000000000001</v>
      </c>
      <c r="S213" s="8">
        <f>CONVERT(Table1[[#This Row],[Talk Duration (AVG)]]*Table1[[#This Row],[Answered Calls]],"day","hr")</f>
        <v>6.5294444444444437</v>
      </c>
      <c r="T213" s="9">
        <f>Table1[[#This Row],[Actual Workload hours]]*60</f>
        <v>391.76666666666665</v>
      </c>
      <c r="U213" s="9">
        <f>CONVERT(Table1[[#This Row],[Actual]]*Table1[[#This Row],[Talk Duration (AVG)]],"day","hr")</f>
        <v>5.2316666666666665</v>
      </c>
      <c r="V213" s="10">
        <f>Table1[[#This Row],[Required Workload Hours]]*60</f>
        <v>313.89999999999998</v>
      </c>
      <c r="W213" s="9">
        <v>1.02</v>
      </c>
      <c r="X213" s="9">
        <f t="shared" si="6"/>
        <v>1</v>
      </c>
      <c r="Y213" s="5">
        <f t="shared" si="7"/>
        <v>2</v>
      </c>
      <c r="Z213" s="8">
        <f>ROUNDUP(Table1[[#This Row],[Actual Heacount]],0)</f>
        <v>2</v>
      </c>
      <c r="AA213" s="8"/>
      <c r="AB213" s="10"/>
      <c r="AC213" s="10"/>
      <c r="AD213" s="10"/>
      <c r="AE213" s="11">
        <v>48.400835653463361</v>
      </c>
      <c r="AF213" s="11">
        <v>275.89496714592968</v>
      </c>
      <c r="AG213" t="s">
        <v>34</v>
      </c>
    </row>
    <row r="214" spans="1:33">
      <c r="A214" s="2">
        <v>44044</v>
      </c>
      <c r="B214" s="5" t="s">
        <v>36</v>
      </c>
      <c r="C214" s="5">
        <f>WEEKDAY(Table1[[#This Row],[Date]])</f>
        <v>7</v>
      </c>
      <c r="D214" s="5">
        <f>MONTH(Table1[[#This Row],[Date]])</f>
        <v>8</v>
      </c>
      <c r="E214" s="5">
        <f>WEEKNUM(Table1[[#This Row],[Date]])</f>
        <v>31</v>
      </c>
      <c r="F214" s="5">
        <f>YEAR(Table1[[#This Row],[Date]])</f>
        <v>2020</v>
      </c>
      <c r="G214">
        <v>213</v>
      </c>
      <c r="L214" s="5">
        <v>124</v>
      </c>
      <c r="M214" s="6">
        <v>0.96120000000000005</v>
      </c>
      <c r="N214" s="5">
        <v>5</v>
      </c>
      <c r="O214" s="7">
        <v>2.6620370370370372E-4</v>
      </c>
      <c r="P214" s="7">
        <v>1.712962962962963E-3</v>
      </c>
      <c r="Q214" s="7">
        <v>1.2731481481481483E-3</v>
      </c>
      <c r="R214" s="6">
        <v>0.7087</v>
      </c>
      <c r="S214" s="8">
        <f>CONVERT(Table1[[#This Row],[Talk Duration (AVG)]]*Table1[[#This Row],[Answered Calls]],"day","hr")</f>
        <v>5.097777777777778</v>
      </c>
      <c r="T214" s="9">
        <f>Table1[[#This Row],[Actual Workload hours]]*60</f>
        <v>305.86666666666667</v>
      </c>
      <c r="U214" s="9">
        <f>CONVERT(Table1[[#This Row],[Actual]]*Table1[[#This Row],[Talk Duration (AVG)]],"day","hr")</f>
        <v>8.7566666666666677</v>
      </c>
      <c r="V214" s="10">
        <f>Table1[[#This Row],[Required Workload Hours]]*60</f>
        <v>525.40000000000009</v>
      </c>
      <c r="W214" s="9">
        <v>1</v>
      </c>
      <c r="X214" s="9">
        <f t="shared" si="6"/>
        <v>1.3682291666666668</v>
      </c>
      <c r="Y214" s="5">
        <f t="shared" si="7"/>
        <v>2</v>
      </c>
      <c r="Z214" s="8">
        <f>ROUNDUP(Table1[[#This Row],[Actual Heacount]],0)</f>
        <v>1</v>
      </c>
      <c r="AA214" s="8"/>
      <c r="AB214" s="10"/>
      <c r="AC214" s="10"/>
      <c r="AD214" s="10"/>
      <c r="AE214" s="11">
        <v>50.474233117298049</v>
      </c>
      <c r="AF214" s="11">
        <v>273.78647927308259</v>
      </c>
      <c r="AG214" t="s">
        <v>34</v>
      </c>
    </row>
    <row r="215" spans="1:33">
      <c r="A215" s="2">
        <v>44045</v>
      </c>
      <c r="B215" s="5" t="s">
        <v>37</v>
      </c>
      <c r="C215" s="5">
        <f>WEEKDAY(Table1[[#This Row],[Date]])</f>
        <v>1</v>
      </c>
      <c r="D215" s="5">
        <f>MONTH(Table1[[#This Row],[Date]])</f>
        <v>8</v>
      </c>
      <c r="E215" s="5">
        <f>WEEKNUM(Table1[[#This Row],[Date]])</f>
        <v>32</v>
      </c>
      <c r="F215" s="5">
        <f>YEAR(Table1[[#This Row],[Date]])</f>
        <v>2020</v>
      </c>
      <c r="G215">
        <v>227</v>
      </c>
      <c r="L215" s="5">
        <v>149</v>
      </c>
      <c r="M215" s="6">
        <v>0.96130000000000004</v>
      </c>
      <c r="N215" s="5">
        <v>6</v>
      </c>
      <c r="O215" s="7">
        <v>2.6620370370370372E-4</v>
      </c>
      <c r="P215" s="7">
        <v>1.6898148148148148E-3</v>
      </c>
      <c r="Q215" s="7">
        <v>2.9976851851851853E-3</v>
      </c>
      <c r="R215" s="6">
        <v>0.74509999999999998</v>
      </c>
      <c r="S215" s="8">
        <f>CONVERT(Table1[[#This Row],[Talk Duration (AVG)]]*Table1[[#This Row],[Answered Calls]],"day","hr")</f>
        <v>6.0427777777777774</v>
      </c>
      <c r="T215" s="9">
        <f>Table1[[#This Row],[Actual Workload hours]]*60</f>
        <v>362.56666666666666</v>
      </c>
      <c r="U215" s="9">
        <f>CONVERT(Table1[[#This Row],[Actual]]*Table1[[#This Row],[Talk Duration (AVG)]],"day","hr")</f>
        <v>9.2061111111111114</v>
      </c>
      <c r="V215" s="10">
        <f>Table1[[#This Row],[Required Workload Hours]]*60</f>
        <v>552.36666666666667</v>
      </c>
      <c r="W215" s="9">
        <v>1</v>
      </c>
      <c r="X215" s="9">
        <f t="shared" si="6"/>
        <v>1.4384548611111112</v>
      </c>
      <c r="Y215" s="5">
        <f t="shared" si="7"/>
        <v>2</v>
      </c>
      <c r="Z215" s="8">
        <f>ROUNDUP(Table1[[#This Row],[Actual Heacount]],0)</f>
        <v>1</v>
      </c>
      <c r="AA215" s="8"/>
      <c r="AB215" s="10"/>
      <c r="AC215" s="10"/>
      <c r="AD215" s="10"/>
      <c r="AE215" s="11">
        <v>-34.724910060835093</v>
      </c>
      <c r="AF215" s="11">
        <v>185.32668230476611</v>
      </c>
      <c r="AG215" t="s">
        <v>34</v>
      </c>
    </row>
    <row r="216" spans="1:33">
      <c r="A216" s="2">
        <v>44046</v>
      </c>
      <c r="B216" s="5" t="s">
        <v>38</v>
      </c>
      <c r="C216" s="5">
        <f>WEEKDAY(Table1[[#This Row],[Date]])</f>
        <v>2</v>
      </c>
      <c r="D216" s="5">
        <f>MONTH(Table1[[#This Row],[Date]])</f>
        <v>8</v>
      </c>
      <c r="E216" s="5">
        <f>WEEKNUM(Table1[[#This Row],[Date]])</f>
        <v>32</v>
      </c>
      <c r="F216" s="5">
        <f>YEAR(Table1[[#This Row],[Date]])</f>
        <v>2020</v>
      </c>
      <c r="G216">
        <v>43</v>
      </c>
      <c r="L216" s="5">
        <v>22</v>
      </c>
      <c r="M216" s="6">
        <v>0.91669999999999996</v>
      </c>
      <c r="N216" s="5">
        <v>2</v>
      </c>
      <c r="O216" s="7">
        <v>3.2407407407407406E-4</v>
      </c>
      <c r="P216" s="7">
        <v>1.6666666666666668E-3</v>
      </c>
      <c r="Q216" s="7">
        <v>9.3749999999999997E-4</v>
      </c>
      <c r="R216" s="6">
        <v>0.54169999999999996</v>
      </c>
      <c r="S216" s="8">
        <f>CONVERT(Table1[[#This Row],[Talk Duration (AVG)]]*Table1[[#This Row],[Answered Calls]],"day","hr")</f>
        <v>0.88</v>
      </c>
      <c r="T216" s="9">
        <f>Table1[[#This Row],[Actual Workload hours]]*60</f>
        <v>52.8</v>
      </c>
      <c r="U216" s="9">
        <f>CONVERT(Table1[[#This Row],[Actual]]*Table1[[#This Row],[Talk Duration (AVG)]],"day","hr")</f>
        <v>1.72</v>
      </c>
      <c r="V216" s="10">
        <f>Table1[[#This Row],[Required Workload Hours]]*60</f>
        <v>103.2</v>
      </c>
      <c r="W216" s="9">
        <v>1</v>
      </c>
      <c r="X216" s="9">
        <f t="shared" si="6"/>
        <v>1</v>
      </c>
      <c r="Y216" s="5">
        <f t="shared" si="7"/>
        <v>1</v>
      </c>
      <c r="Z216" s="8">
        <f>ROUNDUP(Table1[[#This Row],[Actual Heacount]],0)</f>
        <v>1</v>
      </c>
      <c r="AA216" s="8"/>
      <c r="AB216" s="10"/>
      <c r="AC216" s="10"/>
      <c r="AD216" s="10"/>
      <c r="AE216" s="11">
        <v>59.875823575944679</v>
      </c>
      <c r="AF216" s="11">
        <v>284.43121092354568</v>
      </c>
      <c r="AG216" t="s">
        <v>34</v>
      </c>
    </row>
    <row r="217" spans="1:33">
      <c r="A217" s="2">
        <v>44047</v>
      </c>
      <c r="B217" s="5" t="s">
        <v>39</v>
      </c>
      <c r="C217" s="5">
        <f>WEEKDAY(Table1[[#This Row],[Date]])</f>
        <v>3</v>
      </c>
      <c r="D217" s="5">
        <f>MONTH(Table1[[#This Row],[Date]])</f>
        <v>8</v>
      </c>
      <c r="E217" s="5">
        <f>WEEKNUM(Table1[[#This Row],[Date]])</f>
        <v>32</v>
      </c>
      <c r="F217" s="5">
        <f>YEAR(Table1[[#This Row],[Date]])</f>
        <v>2020</v>
      </c>
      <c r="G217">
        <v>202</v>
      </c>
      <c r="L217" s="5">
        <v>200</v>
      </c>
      <c r="M217" s="6">
        <v>0.95689999999999997</v>
      </c>
      <c r="N217" s="5">
        <v>9</v>
      </c>
      <c r="O217" s="7">
        <v>2.6620370370370372E-4</v>
      </c>
      <c r="P217" s="7">
        <v>1.6666666666666668E-3</v>
      </c>
      <c r="Q217" s="7">
        <v>1.5162037037037036E-3</v>
      </c>
      <c r="R217" s="6">
        <v>0.66669999999999996</v>
      </c>
      <c r="S217" s="8">
        <f>CONVERT(Table1[[#This Row],[Talk Duration (AVG)]]*Table1[[#This Row],[Answered Calls]],"day","hr")</f>
        <v>8.0000000000000018</v>
      </c>
      <c r="T217" s="9">
        <f>Table1[[#This Row],[Actual Workload hours]]*60</f>
        <v>480.00000000000011</v>
      </c>
      <c r="U217" s="9">
        <f>CONVERT(Table1[[#This Row],[Actual]]*Table1[[#This Row],[Talk Duration (AVG)]],"day","hr")</f>
        <v>8.08</v>
      </c>
      <c r="V217" s="10">
        <f>Table1[[#This Row],[Required Workload Hours]]*60</f>
        <v>484.8</v>
      </c>
      <c r="W217" s="9">
        <v>1.25</v>
      </c>
      <c r="X217" s="9">
        <f t="shared" si="6"/>
        <v>1.2625</v>
      </c>
      <c r="Y217" s="5">
        <f t="shared" si="7"/>
        <v>2</v>
      </c>
      <c r="Z217" s="8">
        <f>ROUNDUP(Table1[[#This Row],[Actual Heacount]],0)</f>
        <v>2</v>
      </c>
      <c r="AA217" s="8"/>
      <c r="AB217" s="10"/>
      <c r="AC217" s="10"/>
      <c r="AD217" s="10"/>
      <c r="AE217" s="11">
        <v>39.126872630320719</v>
      </c>
      <c r="AF217" s="11">
        <v>265.77986299425271</v>
      </c>
      <c r="AG217" t="s">
        <v>34</v>
      </c>
    </row>
    <row r="218" spans="1:33">
      <c r="A218" s="2">
        <v>44048</v>
      </c>
      <c r="B218" s="5" t="s">
        <v>40</v>
      </c>
      <c r="C218" s="5">
        <f>WEEKDAY(Table1[[#This Row],[Date]])</f>
        <v>4</v>
      </c>
      <c r="D218" s="5">
        <f>MONTH(Table1[[#This Row],[Date]])</f>
        <v>8</v>
      </c>
      <c r="E218" s="5">
        <f>WEEKNUM(Table1[[#This Row],[Date]])</f>
        <v>32</v>
      </c>
      <c r="F218" s="5">
        <f>YEAR(Table1[[#This Row],[Date]])</f>
        <v>2020</v>
      </c>
      <c r="G218">
        <v>132</v>
      </c>
      <c r="L218" s="5">
        <v>226</v>
      </c>
      <c r="M218" s="6">
        <v>0.9456</v>
      </c>
      <c r="N218" s="5">
        <v>13</v>
      </c>
      <c r="O218" s="7">
        <v>3.0092592592592595E-4</v>
      </c>
      <c r="P218" s="7">
        <v>1.6087962962962963E-3</v>
      </c>
      <c r="Q218" s="7">
        <v>1.9675925925925924E-3</v>
      </c>
      <c r="R218" s="6">
        <v>0.67230000000000001</v>
      </c>
      <c r="S218" s="8">
        <f>CONVERT(Table1[[#This Row],[Talk Duration (AVG)]]*Table1[[#This Row],[Answered Calls]],"day","hr")</f>
        <v>8.7261111111111109</v>
      </c>
      <c r="T218" s="9">
        <f>Table1[[#This Row],[Actual Workload hours]]*60</f>
        <v>523.56666666666661</v>
      </c>
      <c r="U218" s="9">
        <f>CONVERT(Table1[[#This Row],[Actual]]*Table1[[#This Row],[Talk Duration (AVG)]],"day","hr")</f>
        <v>5.0966666666666667</v>
      </c>
      <c r="V218" s="10">
        <f>Table1[[#This Row],[Required Workload Hours]]*60</f>
        <v>305.8</v>
      </c>
      <c r="W218" s="9">
        <v>1.36</v>
      </c>
      <c r="X218" s="9">
        <f t="shared" si="6"/>
        <v>1</v>
      </c>
      <c r="Y218" s="5">
        <f t="shared" si="7"/>
        <v>2</v>
      </c>
      <c r="Z218" s="8">
        <f>ROUNDUP(Table1[[#This Row],[Actual Heacount]],0)</f>
        <v>2</v>
      </c>
      <c r="AA218" s="8"/>
      <c r="AB218" s="10"/>
      <c r="AC218" s="10"/>
      <c r="AD218" s="10"/>
      <c r="AE218" s="11">
        <v>52.15534664154606</v>
      </c>
      <c r="AF218" s="11">
        <v>277.81595349516039</v>
      </c>
      <c r="AG218" t="s">
        <v>34</v>
      </c>
    </row>
    <row r="219" spans="1:33">
      <c r="A219" s="2">
        <v>44049</v>
      </c>
      <c r="B219" s="5" t="s">
        <v>33</v>
      </c>
      <c r="C219" s="5">
        <f>WEEKDAY(Table1[[#This Row],[Date]])</f>
        <v>5</v>
      </c>
      <c r="D219" s="5">
        <f>MONTH(Table1[[#This Row],[Date]])</f>
        <v>8</v>
      </c>
      <c r="E219" s="5">
        <f>WEEKNUM(Table1[[#This Row],[Date]])</f>
        <v>32</v>
      </c>
      <c r="F219" s="5">
        <f>YEAR(Table1[[#This Row],[Date]])</f>
        <v>2020</v>
      </c>
      <c r="G219">
        <v>189</v>
      </c>
      <c r="L219" s="5">
        <v>210</v>
      </c>
      <c r="M219" s="6">
        <v>0.91700000000000004</v>
      </c>
      <c r="N219" s="5">
        <v>19</v>
      </c>
      <c r="O219" s="7">
        <v>3.3564814814814812E-4</v>
      </c>
      <c r="P219" s="7">
        <v>1.6550925925925926E-3</v>
      </c>
      <c r="Q219" s="7">
        <v>5.7407407407407407E-3</v>
      </c>
      <c r="R219" s="6">
        <v>0.64159999999999995</v>
      </c>
      <c r="S219" s="8">
        <f>CONVERT(Table1[[#This Row],[Talk Duration (AVG)]]*Table1[[#This Row],[Answered Calls]],"day","hr")</f>
        <v>8.3416666666666668</v>
      </c>
      <c r="T219" s="9">
        <f>Table1[[#This Row],[Actual Workload hours]]*60</f>
        <v>500.5</v>
      </c>
      <c r="U219" s="9">
        <f>CONVERT(Table1[[#This Row],[Actual]]*Table1[[#This Row],[Talk Duration (AVG)]],"day","hr")</f>
        <v>7.5075000000000003</v>
      </c>
      <c r="V219" s="10">
        <f>Table1[[#This Row],[Required Workload Hours]]*60</f>
        <v>450.45000000000005</v>
      </c>
      <c r="W219" s="9">
        <v>1.3</v>
      </c>
      <c r="X219" s="9">
        <f t="shared" si="6"/>
        <v>1.173046875</v>
      </c>
      <c r="Y219" s="5">
        <f t="shared" si="7"/>
        <v>2</v>
      </c>
      <c r="Z219" s="8">
        <f>ROUNDUP(Table1[[#This Row],[Actual Heacount]],0)</f>
        <v>2</v>
      </c>
      <c r="AA219" s="8"/>
      <c r="AB219" s="10"/>
      <c r="AC219" s="10"/>
      <c r="AD219" s="10"/>
      <c r="AE219" s="11">
        <v>51.343963614865537</v>
      </c>
      <c r="AF219" s="11">
        <v>267.56037663070958</v>
      </c>
      <c r="AG219" t="s">
        <v>34</v>
      </c>
    </row>
    <row r="220" spans="1:33">
      <c r="A220" s="2">
        <v>44050</v>
      </c>
      <c r="B220" s="5" t="s">
        <v>35</v>
      </c>
      <c r="C220" s="5">
        <f>WEEKDAY(Table1[[#This Row],[Date]])</f>
        <v>6</v>
      </c>
      <c r="D220" s="5">
        <f>MONTH(Table1[[#This Row],[Date]])</f>
        <v>8</v>
      </c>
      <c r="E220" s="5">
        <f>WEEKNUM(Table1[[#This Row],[Date]])</f>
        <v>32</v>
      </c>
      <c r="F220" s="5">
        <f>YEAR(Table1[[#This Row],[Date]])</f>
        <v>2020</v>
      </c>
      <c r="G220">
        <v>80</v>
      </c>
      <c r="L220" s="5">
        <v>172</v>
      </c>
      <c r="M220" s="6">
        <v>0.88660000000000005</v>
      </c>
      <c r="N220" s="5">
        <v>22</v>
      </c>
      <c r="O220" s="7">
        <v>2.6620370370370372E-4</v>
      </c>
      <c r="P220" s="7">
        <v>1.6203703703703703E-3</v>
      </c>
      <c r="Q220" s="7">
        <v>4.3518518518518515E-3</v>
      </c>
      <c r="R220" s="6">
        <v>0.66139999999999999</v>
      </c>
      <c r="S220" s="8">
        <f>CONVERT(Table1[[#This Row],[Talk Duration (AVG)]]*Table1[[#This Row],[Answered Calls]],"day","hr")</f>
        <v>6.6888888888888882</v>
      </c>
      <c r="T220" s="9">
        <f>Table1[[#This Row],[Actual Workload hours]]*60</f>
        <v>401.33333333333331</v>
      </c>
      <c r="U220" s="9">
        <f>CONVERT(Table1[[#This Row],[Actual]]*Table1[[#This Row],[Talk Duration (AVG)]],"day","hr")</f>
        <v>3.1111111111111112</v>
      </c>
      <c r="V220" s="10">
        <f>Table1[[#This Row],[Required Workload Hours]]*60</f>
        <v>186.66666666666666</v>
      </c>
      <c r="W220" s="9">
        <v>1.05</v>
      </c>
      <c r="X220" s="9">
        <f t="shared" si="6"/>
        <v>1</v>
      </c>
      <c r="Y220" s="5">
        <f t="shared" si="7"/>
        <v>2</v>
      </c>
      <c r="Z220" s="8">
        <f>ROUNDUP(Table1[[#This Row],[Actual Heacount]],0)</f>
        <v>2</v>
      </c>
      <c r="AA220" s="8"/>
      <c r="AB220" s="10"/>
      <c r="AC220" s="10"/>
      <c r="AD220" s="10"/>
      <c r="AE220" s="11">
        <v>32.244660980833757</v>
      </c>
      <c r="AF220" s="11">
        <v>258.70556257720381</v>
      </c>
      <c r="AG220" t="s">
        <v>34</v>
      </c>
    </row>
    <row r="221" spans="1:33">
      <c r="A221" s="2">
        <v>44051</v>
      </c>
      <c r="B221" s="5" t="s">
        <v>36</v>
      </c>
      <c r="C221" s="5">
        <f>WEEKDAY(Table1[[#This Row],[Date]])</f>
        <v>7</v>
      </c>
      <c r="D221" s="5">
        <f>MONTH(Table1[[#This Row],[Date]])</f>
        <v>8</v>
      </c>
      <c r="E221" s="5">
        <f>WEEKNUM(Table1[[#This Row],[Date]])</f>
        <v>32</v>
      </c>
      <c r="F221" s="5">
        <f>YEAR(Table1[[#This Row],[Date]])</f>
        <v>2020</v>
      </c>
      <c r="G221">
        <v>268</v>
      </c>
      <c r="L221" s="5">
        <v>179</v>
      </c>
      <c r="M221" s="6">
        <v>0.8861</v>
      </c>
      <c r="N221" s="5">
        <v>23</v>
      </c>
      <c r="O221" s="7">
        <v>2.7777777777777778E-4</v>
      </c>
      <c r="P221" s="7">
        <v>1.5740740740740741E-3</v>
      </c>
      <c r="Q221" s="7">
        <v>1.9675925925925924E-3</v>
      </c>
      <c r="R221" s="6">
        <v>0.64429999999999998</v>
      </c>
      <c r="S221" s="8">
        <f>CONVERT(Table1[[#This Row],[Talk Duration (AVG)]]*Table1[[#This Row],[Answered Calls]],"day","hr")</f>
        <v>6.7622222222222224</v>
      </c>
      <c r="T221" s="9">
        <f>Table1[[#This Row],[Actual Workload hours]]*60</f>
        <v>405.73333333333335</v>
      </c>
      <c r="U221" s="9">
        <f>CONVERT(Table1[[#This Row],[Actual]]*Table1[[#This Row],[Talk Duration (AVG)]],"day","hr")</f>
        <v>10.124444444444444</v>
      </c>
      <c r="V221" s="10">
        <f>Table1[[#This Row],[Required Workload Hours]]*60</f>
        <v>607.4666666666667</v>
      </c>
      <c r="W221" s="9">
        <v>1.06</v>
      </c>
      <c r="X221" s="9">
        <f t="shared" si="6"/>
        <v>1.5819444444444446</v>
      </c>
      <c r="Y221" s="5">
        <f t="shared" si="7"/>
        <v>2</v>
      </c>
      <c r="Z221" s="8">
        <f>ROUNDUP(Table1[[#This Row],[Actual Heacount]],0)</f>
        <v>2</v>
      </c>
      <c r="AA221" s="8"/>
      <c r="AB221" s="10"/>
      <c r="AC221" s="10"/>
      <c r="AD221" s="10"/>
      <c r="AE221" s="11">
        <v>45.772284937498227</v>
      </c>
      <c r="AF221" s="11">
        <v>262.47098356948652</v>
      </c>
      <c r="AG221" t="s">
        <v>34</v>
      </c>
    </row>
    <row r="222" spans="1:33">
      <c r="A222" s="2">
        <v>44052</v>
      </c>
      <c r="B222" s="5" t="s">
        <v>37</v>
      </c>
      <c r="C222" s="5">
        <f>WEEKDAY(Table1[[#This Row],[Date]])</f>
        <v>1</v>
      </c>
      <c r="D222" s="5">
        <f>MONTH(Table1[[#This Row],[Date]])</f>
        <v>8</v>
      </c>
      <c r="E222" s="5">
        <f>WEEKNUM(Table1[[#This Row],[Date]])</f>
        <v>33</v>
      </c>
      <c r="F222" s="5">
        <f>YEAR(Table1[[#This Row],[Date]])</f>
        <v>2020</v>
      </c>
      <c r="G222">
        <v>222</v>
      </c>
      <c r="L222" s="5">
        <v>254</v>
      </c>
      <c r="M222" s="6">
        <v>0.94779999999999998</v>
      </c>
      <c r="N222" s="5">
        <v>14</v>
      </c>
      <c r="O222" s="7">
        <v>1.7361111111111112E-4</v>
      </c>
      <c r="P222" s="7">
        <v>1.2847222222222223E-3</v>
      </c>
      <c r="Q222" s="7">
        <v>1.8518518518518519E-3</v>
      </c>
      <c r="R222" s="6">
        <v>0.81130000000000002</v>
      </c>
      <c r="S222" s="8">
        <f>CONVERT(Table1[[#This Row],[Talk Duration (AVG)]]*Table1[[#This Row],[Answered Calls]],"day","hr")</f>
        <v>7.831666666666667</v>
      </c>
      <c r="T222" s="9">
        <f>Table1[[#This Row],[Actual Workload hours]]*60</f>
        <v>469.90000000000003</v>
      </c>
      <c r="U222" s="9">
        <f>CONVERT(Table1[[#This Row],[Actual]]*Table1[[#This Row],[Talk Duration (AVG)]],"day","hr")</f>
        <v>6.8449999999999998</v>
      </c>
      <c r="V222" s="10">
        <f>Table1[[#This Row],[Required Workload Hours]]*60</f>
        <v>410.7</v>
      </c>
      <c r="W222" s="9">
        <v>1.22</v>
      </c>
      <c r="X222" s="9">
        <f t="shared" si="6"/>
        <v>1.06953125</v>
      </c>
      <c r="Y222" s="5">
        <f t="shared" si="7"/>
        <v>2</v>
      </c>
      <c r="Z222" s="8">
        <f>ROUNDUP(Table1[[#This Row],[Actual Heacount]],0)</f>
        <v>2</v>
      </c>
      <c r="AA222" s="8"/>
      <c r="AB222" s="10"/>
      <c r="AC222" s="10"/>
      <c r="AD222" s="10"/>
      <c r="AE222" s="11">
        <v>-49.310704189431419</v>
      </c>
      <c r="AF222" s="11">
        <v>169.6223802981244</v>
      </c>
      <c r="AG222" t="s">
        <v>34</v>
      </c>
    </row>
    <row r="223" spans="1:33">
      <c r="A223" s="2">
        <v>44053</v>
      </c>
      <c r="B223" s="5" t="s">
        <v>38</v>
      </c>
      <c r="C223" s="5">
        <f>WEEKDAY(Table1[[#This Row],[Date]])</f>
        <v>2</v>
      </c>
      <c r="D223" s="5">
        <f>MONTH(Table1[[#This Row],[Date]])</f>
        <v>8</v>
      </c>
      <c r="E223" s="5">
        <f>WEEKNUM(Table1[[#This Row],[Date]])</f>
        <v>33</v>
      </c>
      <c r="F223" s="5">
        <f>YEAR(Table1[[#This Row],[Date]])</f>
        <v>2020</v>
      </c>
      <c r="G223">
        <v>450</v>
      </c>
      <c r="L223" s="5">
        <v>49</v>
      </c>
      <c r="M223" s="6">
        <v>0.94230000000000003</v>
      </c>
      <c r="N223" s="5">
        <v>3</v>
      </c>
      <c r="O223" s="7">
        <v>2.0833333333333335E-4</v>
      </c>
      <c r="P223" s="7">
        <v>1.5972222222222223E-3</v>
      </c>
      <c r="Q223" s="7">
        <v>1.5856481481481481E-3</v>
      </c>
      <c r="R223" s="6">
        <v>0.76470000000000005</v>
      </c>
      <c r="S223" s="8">
        <f>CONVERT(Table1[[#This Row],[Talk Duration (AVG)]]*Table1[[#This Row],[Answered Calls]],"day","hr")</f>
        <v>1.8783333333333336</v>
      </c>
      <c r="T223" s="9">
        <f>Table1[[#This Row],[Actual Workload hours]]*60</f>
        <v>112.70000000000002</v>
      </c>
      <c r="U223" s="9">
        <f>CONVERT(Table1[[#This Row],[Actual]]*Table1[[#This Row],[Talk Duration (AVG)]],"day","hr")</f>
        <v>17.25</v>
      </c>
      <c r="V223" s="10">
        <f>Table1[[#This Row],[Required Workload Hours]]*60</f>
        <v>1035</v>
      </c>
      <c r="W223" s="9">
        <v>1</v>
      </c>
      <c r="X223" s="9">
        <f t="shared" si="6"/>
        <v>2.6953125</v>
      </c>
      <c r="Y223" s="5">
        <f t="shared" si="7"/>
        <v>1</v>
      </c>
      <c r="Z223" s="8">
        <f>ROUNDUP(Table1[[#This Row],[Actual Heacount]],0)</f>
        <v>1</v>
      </c>
      <c r="AA223" s="8"/>
      <c r="AB223" s="10"/>
      <c r="AC223" s="10"/>
      <c r="AD223" s="10"/>
      <c r="AE223" s="11">
        <v>52.429377640094152</v>
      </c>
      <c r="AF223" s="11">
        <v>265.59236042432082</v>
      </c>
      <c r="AG223" t="s">
        <v>34</v>
      </c>
    </row>
    <row r="224" spans="1:33">
      <c r="A224" s="2">
        <v>44054</v>
      </c>
      <c r="B224" s="5" t="s">
        <v>39</v>
      </c>
      <c r="C224" s="5">
        <f>WEEKDAY(Table1[[#This Row],[Date]])</f>
        <v>3</v>
      </c>
      <c r="D224" s="5">
        <f>MONTH(Table1[[#This Row],[Date]])</f>
        <v>8</v>
      </c>
      <c r="E224" s="5">
        <f>WEEKNUM(Table1[[#This Row],[Date]])</f>
        <v>33</v>
      </c>
      <c r="F224" s="5">
        <f>YEAR(Table1[[#This Row],[Date]])</f>
        <v>2020</v>
      </c>
      <c r="G224">
        <v>36</v>
      </c>
      <c r="L224" s="5">
        <v>397</v>
      </c>
      <c r="M224" s="6">
        <v>0.95889999999999997</v>
      </c>
      <c r="N224" s="5">
        <v>17</v>
      </c>
      <c r="O224" s="7">
        <v>2.6620370370370372E-4</v>
      </c>
      <c r="P224" s="7">
        <v>1.3657407407407407E-3</v>
      </c>
      <c r="Q224" s="7">
        <v>3.8425925925925928E-3</v>
      </c>
      <c r="R224" s="6">
        <v>0.70730000000000004</v>
      </c>
      <c r="S224" s="8">
        <f>CONVERT(Table1[[#This Row],[Talk Duration (AVG)]]*Table1[[#This Row],[Answered Calls]],"day","hr")</f>
        <v>13.012777777777778</v>
      </c>
      <c r="T224" s="9">
        <f>Table1[[#This Row],[Actual Workload hours]]*60</f>
        <v>780.76666666666665</v>
      </c>
      <c r="U224" s="9">
        <f>CONVERT(Table1[[#This Row],[Actual]]*Table1[[#This Row],[Talk Duration (AVG)]],"day","hr")</f>
        <v>1.18</v>
      </c>
      <c r="V224" s="10">
        <f>Table1[[#This Row],[Required Workload Hours]]*60</f>
        <v>70.8</v>
      </c>
      <c r="W224" s="9">
        <v>2.0299999999999998</v>
      </c>
      <c r="X224" s="9">
        <f t="shared" si="6"/>
        <v>1</v>
      </c>
      <c r="Y224" s="5">
        <f t="shared" si="7"/>
        <v>2</v>
      </c>
      <c r="Z224" s="8">
        <f>ROUNDUP(Table1[[#This Row],[Actual Heacount]],0)</f>
        <v>3</v>
      </c>
      <c r="AA224" s="8"/>
      <c r="AB224" s="10"/>
      <c r="AC224" s="10"/>
      <c r="AD224" s="10"/>
      <c r="AE224" s="11">
        <v>24.863470833410421</v>
      </c>
      <c r="AF224" s="11">
        <v>250.2485989028682</v>
      </c>
      <c r="AG224" t="s">
        <v>34</v>
      </c>
    </row>
    <row r="225" spans="1:33">
      <c r="A225" s="2">
        <v>44055</v>
      </c>
      <c r="B225" s="5" t="s">
        <v>40</v>
      </c>
      <c r="C225" s="5">
        <f>WEEKDAY(Table1[[#This Row],[Date]])</f>
        <v>4</v>
      </c>
      <c r="D225" s="5">
        <f>MONTH(Table1[[#This Row],[Date]])</f>
        <v>8</v>
      </c>
      <c r="E225" s="5">
        <f>WEEKNUM(Table1[[#This Row],[Date]])</f>
        <v>33</v>
      </c>
      <c r="F225" s="5">
        <f>YEAR(Table1[[#This Row],[Date]])</f>
        <v>2020</v>
      </c>
      <c r="G225">
        <v>201</v>
      </c>
      <c r="L225" s="5">
        <v>325</v>
      </c>
      <c r="M225" s="6">
        <v>0.93930000000000002</v>
      </c>
      <c r="N225" s="5">
        <v>21</v>
      </c>
      <c r="O225" s="7">
        <v>3.1250000000000001E-4</v>
      </c>
      <c r="P225" s="7">
        <v>1.6435185185185185E-3</v>
      </c>
      <c r="Q225" s="7">
        <v>1.9097222222222222E-3</v>
      </c>
      <c r="R225" s="6">
        <v>0.65690000000000004</v>
      </c>
      <c r="S225" s="8">
        <f>CONVERT(Table1[[#This Row],[Talk Duration (AVG)]]*Table1[[#This Row],[Answered Calls]],"day","hr")</f>
        <v>12.819444444444445</v>
      </c>
      <c r="T225" s="9">
        <f>Table1[[#This Row],[Actual Workload hours]]*60</f>
        <v>769.16666666666663</v>
      </c>
      <c r="U225" s="9">
        <f>CONVERT(Table1[[#This Row],[Actual]]*Table1[[#This Row],[Talk Duration (AVG)]],"day","hr")</f>
        <v>7.9283333333333337</v>
      </c>
      <c r="V225" s="10">
        <f>Table1[[#This Row],[Required Workload Hours]]*60</f>
        <v>475.70000000000005</v>
      </c>
      <c r="W225" s="9">
        <v>2</v>
      </c>
      <c r="X225" s="9">
        <f t="shared" si="6"/>
        <v>1.2388020833333335</v>
      </c>
      <c r="Y225" s="5">
        <f t="shared" si="7"/>
        <v>2</v>
      </c>
      <c r="Z225" s="8">
        <f>ROUNDUP(Table1[[#This Row],[Actual Heacount]],0)</f>
        <v>2</v>
      </c>
      <c r="AA225" s="8"/>
      <c r="AB225" s="10"/>
      <c r="AC225" s="10"/>
      <c r="AD225" s="10"/>
      <c r="AE225" s="11">
        <v>48.618761630425134</v>
      </c>
      <c r="AF225" s="11">
        <v>266.7354845530121</v>
      </c>
      <c r="AG225" t="s">
        <v>34</v>
      </c>
    </row>
    <row r="226" spans="1:33">
      <c r="A226" s="2">
        <v>44056</v>
      </c>
      <c r="B226" s="5" t="s">
        <v>33</v>
      </c>
      <c r="C226" s="5">
        <f>WEEKDAY(Table1[[#This Row],[Date]])</f>
        <v>5</v>
      </c>
      <c r="D226" s="5">
        <f>MONTH(Table1[[#This Row],[Date]])</f>
        <v>8</v>
      </c>
      <c r="E226" s="5">
        <f>WEEKNUM(Table1[[#This Row],[Date]])</f>
        <v>33</v>
      </c>
      <c r="F226" s="5">
        <f>YEAR(Table1[[#This Row],[Date]])</f>
        <v>2020</v>
      </c>
      <c r="G226">
        <v>203</v>
      </c>
      <c r="L226" s="5">
        <v>179</v>
      </c>
      <c r="M226" s="6">
        <v>0.95720000000000005</v>
      </c>
      <c r="N226" s="5">
        <v>8</v>
      </c>
      <c r="O226" s="7">
        <v>2.8935185185185184E-4</v>
      </c>
      <c r="P226" s="7">
        <v>1.5509259259259259E-3</v>
      </c>
      <c r="Q226" s="7">
        <v>2.0717592592592593E-3</v>
      </c>
      <c r="R226" s="6">
        <v>0.67030000000000001</v>
      </c>
      <c r="S226" s="8">
        <f>CONVERT(Table1[[#This Row],[Talk Duration (AVG)]]*Table1[[#This Row],[Answered Calls]],"day","hr")</f>
        <v>6.6627777777777775</v>
      </c>
      <c r="T226" s="9">
        <f>Table1[[#This Row],[Actual Workload hours]]*60</f>
        <v>399.76666666666665</v>
      </c>
      <c r="U226" s="9">
        <f>CONVERT(Table1[[#This Row],[Actual]]*Table1[[#This Row],[Talk Duration (AVG)]],"day","hr")</f>
        <v>7.556111111111111</v>
      </c>
      <c r="V226" s="10">
        <f>Table1[[#This Row],[Required Workload Hours]]*60</f>
        <v>453.36666666666667</v>
      </c>
      <c r="W226" s="9">
        <v>1.04</v>
      </c>
      <c r="X226" s="9">
        <f t="shared" si="6"/>
        <v>1.1806423611111112</v>
      </c>
      <c r="Y226" s="5">
        <f t="shared" si="7"/>
        <v>2</v>
      </c>
      <c r="Z226" s="8">
        <f>ROUNDUP(Table1[[#This Row],[Actual Heacount]],0)</f>
        <v>2</v>
      </c>
      <c r="AA226" s="8"/>
      <c r="AB226" s="10"/>
      <c r="AC226" s="10"/>
      <c r="AD226" s="10"/>
      <c r="AE226" s="11">
        <v>38.416311349654038</v>
      </c>
      <c r="AF226" s="11">
        <v>257.78485660826811</v>
      </c>
      <c r="AG226" t="s">
        <v>34</v>
      </c>
    </row>
    <row r="227" spans="1:33">
      <c r="A227" s="2">
        <v>44057</v>
      </c>
      <c r="B227" s="5" t="s">
        <v>35</v>
      </c>
      <c r="C227" s="5">
        <f>WEEKDAY(Table1[[#This Row],[Date]])</f>
        <v>6</v>
      </c>
      <c r="D227" s="5">
        <f>MONTH(Table1[[#This Row],[Date]])</f>
        <v>8</v>
      </c>
      <c r="E227" s="5">
        <f>WEEKNUM(Table1[[#This Row],[Date]])</f>
        <v>33</v>
      </c>
      <c r="F227" s="5">
        <f>YEAR(Table1[[#This Row],[Date]])</f>
        <v>2020</v>
      </c>
      <c r="G227">
        <v>204</v>
      </c>
      <c r="L227" s="5">
        <v>186</v>
      </c>
      <c r="M227" s="6">
        <v>0.9163</v>
      </c>
      <c r="N227" s="5">
        <v>17</v>
      </c>
      <c r="O227" s="7">
        <v>2.7777777777777778E-4</v>
      </c>
      <c r="P227" s="7">
        <v>1.8287037037037037E-3</v>
      </c>
      <c r="Q227" s="7">
        <v>3.1828703703703702E-3</v>
      </c>
      <c r="R227" s="6">
        <v>0.69589999999999996</v>
      </c>
      <c r="S227" s="8">
        <f>CONVERT(Table1[[#This Row],[Talk Duration (AVG)]]*Table1[[#This Row],[Answered Calls]],"day","hr")</f>
        <v>8.163333333333334</v>
      </c>
      <c r="T227" s="9">
        <f>Table1[[#This Row],[Actual Workload hours]]*60</f>
        <v>489.80000000000007</v>
      </c>
      <c r="U227" s="9">
        <f>CONVERT(Table1[[#This Row],[Actual]]*Table1[[#This Row],[Talk Duration (AVG)]],"day","hr")</f>
        <v>8.9533333333333331</v>
      </c>
      <c r="V227" s="10">
        <f>Table1[[#This Row],[Required Workload Hours]]*60</f>
        <v>537.20000000000005</v>
      </c>
      <c r="W227" s="9">
        <v>1.28</v>
      </c>
      <c r="X227" s="9">
        <f t="shared" si="6"/>
        <v>1.3989583333333335</v>
      </c>
      <c r="Y227" s="5">
        <f t="shared" si="7"/>
        <v>2</v>
      </c>
      <c r="Z227" s="8">
        <f>ROUNDUP(Table1[[#This Row],[Actual Heacount]],0)</f>
        <v>2</v>
      </c>
      <c r="AA227" s="8"/>
      <c r="AB227" s="10"/>
      <c r="AC227" s="10"/>
      <c r="AD227" s="10"/>
      <c r="AE227" s="11">
        <v>29.160818098023231</v>
      </c>
      <c r="AF227" s="11">
        <v>250.04467807357219</v>
      </c>
      <c r="AG227" t="s">
        <v>34</v>
      </c>
    </row>
    <row r="228" spans="1:33">
      <c r="A228" s="2">
        <v>44058</v>
      </c>
      <c r="B228" s="5" t="s">
        <v>36</v>
      </c>
      <c r="C228" s="5">
        <f>WEEKDAY(Table1[[#This Row],[Date]])</f>
        <v>7</v>
      </c>
      <c r="D228" s="5">
        <f>MONTH(Table1[[#This Row],[Date]])</f>
        <v>8</v>
      </c>
      <c r="E228" s="5">
        <f>WEEKNUM(Table1[[#This Row],[Date]])</f>
        <v>33</v>
      </c>
      <c r="F228" s="5">
        <f>YEAR(Table1[[#This Row],[Date]])</f>
        <v>2020</v>
      </c>
      <c r="G228">
        <v>126</v>
      </c>
      <c r="L228" s="5">
        <v>194</v>
      </c>
      <c r="M228" s="6">
        <v>0.95099999999999996</v>
      </c>
      <c r="N228" s="5">
        <v>10</v>
      </c>
      <c r="O228" s="7">
        <v>2.0833333333333335E-4</v>
      </c>
      <c r="P228" s="7">
        <v>1.7708333333333332E-3</v>
      </c>
      <c r="Q228" s="7">
        <v>1.4120370370370369E-3</v>
      </c>
      <c r="R228" s="6">
        <v>0.82410000000000005</v>
      </c>
      <c r="S228" s="8">
        <f>CONVERT(Table1[[#This Row],[Talk Duration (AVG)]]*Table1[[#This Row],[Answered Calls]],"day","hr")</f>
        <v>8.2449999999999992</v>
      </c>
      <c r="T228" s="9">
        <f>Table1[[#This Row],[Actual Workload hours]]*60</f>
        <v>494.69999999999993</v>
      </c>
      <c r="U228" s="9">
        <f>CONVERT(Table1[[#This Row],[Actual]]*Table1[[#This Row],[Talk Duration (AVG)]],"day","hr")</f>
        <v>5.3550000000000004</v>
      </c>
      <c r="V228" s="10">
        <f>Table1[[#This Row],[Required Workload Hours]]*60</f>
        <v>321.3</v>
      </c>
      <c r="W228" s="9">
        <v>1.29</v>
      </c>
      <c r="X228" s="9">
        <f t="shared" si="6"/>
        <v>1</v>
      </c>
      <c r="Y228" s="5">
        <f t="shared" si="7"/>
        <v>2</v>
      </c>
      <c r="Z228" s="8">
        <f>ROUNDUP(Table1[[#This Row],[Actual Heacount]],0)</f>
        <v>2</v>
      </c>
      <c r="AA228" s="8"/>
      <c r="AB228" s="10"/>
      <c r="AC228" s="10"/>
      <c r="AD228" s="10"/>
      <c r="AE228" s="11">
        <v>34.738529029511753</v>
      </c>
      <c r="AF228" s="11">
        <v>257.16500005176681</v>
      </c>
      <c r="AG228" t="s">
        <v>34</v>
      </c>
    </row>
    <row r="229" spans="1:33">
      <c r="A229" s="2">
        <v>44059</v>
      </c>
      <c r="B229" s="5" t="s">
        <v>37</v>
      </c>
      <c r="C229" s="5">
        <f>WEEKDAY(Table1[[#This Row],[Date]])</f>
        <v>1</v>
      </c>
      <c r="D229" s="5">
        <f>MONTH(Table1[[#This Row],[Date]])</f>
        <v>8</v>
      </c>
      <c r="E229" s="5">
        <f>WEEKNUM(Table1[[#This Row],[Date]])</f>
        <v>34</v>
      </c>
      <c r="F229" s="5">
        <f>YEAR(Table1[[#This Row],[Date]])</f>
        <v>2020</v>
      </c>
      <c r="G229">
        <v>36</v>
      </c>
      <c r="L229" s="5">
        <v>121</v>
      </c>
      <c r="M229" s="6">
        <v>0.96030000000000004</v>
      </c>
      <c r="N229" s="5">
        <v>5</v>
      </c>
      <c r="O229" s="7">
        <v>2.4305555555555555E-4</v>
      </c>
      <c r="P229" s="7">
        <v>1.7592592592592592E-3</v>
      </c>
      <c r="Q229" s="7">
        <v>1.2847222222222223E-3</v>
      </c>
      <c r="R229" s="6">
        <v>0.70630000000000004</v>
      </c>
      <c r="S229" s="8">
        <f>CONVERT(Table1[[#This Row],[Talk Duration (AVG)]]*Table1[[#This Row],[Answered Calls]],"day","hr")</f>
        <v>5.108888888888889</v>
      </c>
      <c r="T229" s="9">
        <f>Table1[[#This Row],[Actual Workload hours]]*60</f>
        <v>306.53333333333336</v>
      </c>
      <c r="U229" s="9">
        <f>CONVERT(Table1[[#This Row],[Actual]]*Table1[[#This Row],[Talk Duration (AVG)]],"day","hr")</f>
        <v>1.5200000000000002</v>
      </c>
      <c r="V229" s="10">
        <f>Table1[[#This Row],[Required Workload Hours]]*60</f>
        <v>91.200000000000017</v>
      </c>
      <c r="W229" s="9">
        <v>1</v>
      </c>
      <c r="X229" s="9">
        <f t="shared" si="6"/>
        <v>1</v>
      </c>
      <c r="Y229" s="5">
        <f t="shared" si="7"/>
        <v>2</v>
      </c>
      <c r="Z229" s="8">
        <f>ROUNDUP(Table1[[#This Row],[Actual Heacount]],0)</f>
        <v>1</v>
      </c>
      <c r="AA229" s="8"/>
      <c r="AB229" s="10"/>
      <c r="AC229" s="10"/>
      <c r="AD229" s="10"/>
      <c r="AE229" s="11">
        <v>-54.884051807848543</v>
      </c>
      <c r="AF229" s="11">
        <v>168.10267977695409</v>
      </c>
      <c r="AG229" t="s">
        <v>34</v>
      </c>
    </row>
    <row r="230" spans="1:33">
      <c r="A230" s="2">
        <v>44060</v>
      </c>
      <c r="B230" s="5" t="s">
        <v>38</v>
      </c>
      <c r="C230" s="5">
        <f>WEEKDAY(Table1[[#This Row],[Date]])</f>
        <v>2</v>
      </c>
      <c r="D230" s="5">
        <f>MONTH(Table1[[#This Row],[Date]])</f>
        <v>8</v>
      </c>
      <c r="E230" s="5">
        <f>WEEKNUM(Table1[[#This Row],[Date]])</f>
        <v>34</v>
      </c>
      <c r="F230" s="5">
        <f>YEAR(Table1[[#This Row],[Date]])</f>
        <v>2020</v>
      </c>
      <c r="G230">
        <v>180</v>
      </c>
      <c r="L230" s="5">
        <v>36</v>
      </c>
      <c r="M230" s="6">
        <v>1</v>
      </c>
      <c r="N230" s="5">
        <v>0</v>
      </c>
      <c r="O230" s="7">
        <v>1.9675925925925926E-4</v>
      </c>
      <c r="P230" s="7">
        <v>1.4699074074074074E-3</v>
      </c>
      <c r="Q230" s="7">
        <v>1.0532407407407407E-3</v>
      </c>
      <c r="R230" s="6">
        <v>0.77780000000000005</v>
      </c>
      <c r="S230" s="8">
        <f>CONVERT(Table1[[#This Row],[Talk Duration (AVG)]]*Table1[[#This Row],[Answered Calls]],"day","hr")</f>
        <v>1.27</v>
      </c>
      <c r="T230" s="9">
        <f>Table1[[#This Row],[Actual Workload hours]]*60</f>
        <v>76.2</v>
      </c>
      <c r="U230" s="9">
        <f>CONVERT(Table1[[#This Row],[Actual]]*Table1[[#This Row],[Talk Duration (AVG)]],"day","hr")</f>
        <v>6.35</v>
      </c>
      <c r="V230" s="10">
        <f>Table1[[#This Row],[Required Workload Hours]]*60</f>
        <v>381</v>
      </c>
      <c r="W230" s="9">
        <v>1</v>
      </c>
      <c r="X230" s="9">
        <f t="shared" si="6"/>
        <v>1</v>
      </c>
      <c r="Y230" s="5">
        <f t="shared" si="7"/>
        <v>1</v>
      </c>
      <c r="Z230" s="8">
        <f>ROUNDUP(Table1[[#This Row],[Actual Heacount]],0)</f>
        <v>1</v>
      </c>
      <c r="AA230" s="8"/>
      <c r="AB230" s="10"/>
      <c r="AC230" s="10"/>
      <c r="AD230" s="10"/>
      <c r="AE230" s="11">
        <v>45.166764728259807</v>
      </c>
      <c r="AF230" s="11">
        <v>264.04160180207981</v>
      </c>
      <c r="AG230" t="s">
        <v>34</v>
      </c>
    </row>
    <row r="231" spans="1:33">
      <c r="A231" s="2">
        <v>44061</v>
      </c>
      <c r="B231" s="5" t="s">
        <v>39</v>
      </c>
      <c r="C231" s="5">
        <f>WEEKDAY(Table1[[#This Row],[Date]])</f>
        <v>3</v>
      </c>
      <c r="D231" s="5">
        <f>MONTH(Table1[[#This Row],[Date]])</f>
        <v>8</v>
      </c>
      <c r="E231" s="5">
        <f>WEEKNUM(Table1[[#This Row],[Date]])</f>
        <v>34</v>
      </c>
      <c r="F231" s="5">
        <f>YEAR(Table1[[#This Row],[Date]])</f>
        <v>2020</v>
      </c>
      <c r="G231">
        <v>169</v>
      </c>
      <c r="L231" s="5">
        <v>165</v>
      </c>
      <c r="M231" s="6">
        <v>0.91669999999999996</v>
      </c>
      <c r="N231" s="5">
        <v>15</v>
      </c>
      <c r="O231" s="7">
        <v>3.1250000000000001E-4</v>
      </c>
      <c r="P231" s="7">
        <v>1.736111111111111E-3</v>
      </c>
      <c r="Q231" s="7">
        <v>1.6087962962962963E-3</v>
      </c>
      <c r="R231" s="6">
        <v>0.66090000000000004</v>
      </c>
      <c r="S231" s="8">
        <f>CONVERT(Table1[[#This Row],[Talk Duration (AVG)]]*Table1[[#This Row],[Answered Calls]],"day","hr")</f>
        <v>6.875</v>
      </c>
      <c r="T231" s="9">
        <f>Table1[[#This Row],[Actual Workload hours]]*60</f>
        <v>412.5</v>
      </c>
      <c r="U231" s="9">
        <f>CONVERT(Table1[[#This Row],[Actual]]*Table1[[#This Row],[Talk Duration (AVG)]],"day","hr")</f>
        <v>7.0416666666666661</v>
      </c>
      <c r="V231" s="10">
        <f>Table1[[#This Row],[Required Workload Hours]]*60</f>
        <v>422.49999999999994</v>
      </c>
      <c r="W231" s="9">
        <v>1.07</v>
      </c>
      <c r="X231" s="9">
        <f t="shared" si="6"/>
        <v>1.1002604166666665</v>
      </c>
      <c r="Y231" s="5">
        <f t="shared" si="7"/>
        <v>2</v>
      </c>
      <c r="Z231" s="8">
        <f>ROUNDUP(Table1[[#This Row],[Actual Heacount]],0)</f>
        <v>2</v>
      </c>
      <c r="AA231" s="8"/>
      <c r="AB231" s="10"/>
      <c r="AC231" s="10"/>
      <c r="AD231" s="10"/>
      <c r="AE231" s="11">
        <v>34.849354981775157</v>
      </c>
      <c r="AF231" s="11">
        <v>245.84599412104981</v>
      </c>
      <c r="AG231" t="s">
        <v>34</v>
      </c>
    </row>
    <row r="232" spans="1:33">
      <c r="A232" s="2">
        <v>44062</v>
      </c>
      <c r="B232" s="5" t="s">
        <v>40</v>
      </c>
      <c r="C232" s="5">
        <f>WEEKDAY(Table1[[#This Row],[Date]])</f>
        <v>4</v>
      </c>
      <c r="D232" s="5">
        <f>MONTH(Table1[[#This Row],[Date]])</f>
        <v>8</v>
      </c>
      <c r="E232" s="5">
        <f>WEEKNUM(Table1[[#This Row],[Date]])</f>
        <v>34</v>
      </c>
      <c r="F232" s="5">
        <f>YEAR(Table1[[#This Row],[Date]])</f>
        <v>2020</v>
      </c>
      <c r="G232">
        <v>155</v>
      </c>
      <c r="L232" s="5">
        <v>162</v>
      </c>
      <c r="M232" s="6">
        <v>0.95860000000000001</v>
      </c>
      <c r="N232" s="5">
        <v>7</v>
      </c>
      <c r="O232" s="7">
        <v>2.3148148148148149E-4</v>
      </c>
      <c r="P232" s="7">
        <v>1.6782407407407408E-3</v>
      </c>
      <c r="Q232" s="7">
        <v>1.3078703703703703E-3</v>
      </c>
      <c r="R232" s="6">
        <v>0.74560000000000004</v>
      </c>
      <c r="S232" s="8">
        <f>CONVERT(Table1[[#This Row],[Talk Duration (AVG)]]*Table1[[#This Row],[Answered Calls]],"day","hr")</f>
        <v>6.5250000000000012</v>
      </c>
      <c r="T232" s="9">
        <f>Table1[[#This Row],[Actual Workload hours]]*60</f>
        <v>391.50000000000006</v>
      </c>
      <c r="U232" s="9">
        <f>CONVERT(Table1[[#This Row],[Actual]]*Table1[[#This Row],[Talk Duration (AVG)]],"day","hr")</f>
        <v>6.2430555555555554</v>
      </c>
      <c r="V232" s="10">
        <f>Table1[[#This Row],[Required Workload Hours]]*60</f>
        <v>374.58333333333331</v>
      </c>
      <c r="W232" s="9">
        <v>1.02</v>
      </c>
      <c r="X232" s="9">
        <f t="shared" si="6"/>
        <v>1</v>
      </c>
      <c r="Y232" s="5">
        <f t="shared" si="7"/>
        <v>2</v>
      </c>
      <c r="Z232" s="8">
        <f>ROUNDUP(Table1[[#This Row],[Actual Heacount]],0)</f>
        <v>2</v>
      </c>
      <c r="AA232" s="8"/>
      <c r="AB232" s="10"/>
      <c r="AC232" s="10"/>
      <c r="AD232" s="10"/>
      <c r="AE232" s="11">
        <v>41.018647822101457</v>
      </c>
      <c r="AF232" s="11">
        <v>261.15975853449828</v>
      </c>
      <c r="AG232" t="s">
        <v>34</v>
      </c>
    </row>
    <row r="233" spans="1:33">
      <c r="A233" s="2">
        <v>44063</v>
      </c>
      <c r="B233" s="5" t="s">
        <v>33</v>
      </c>
      <c r="C233" s="5">
        <f>WEEKDAY(Table1[[#This Row],[Date]])</f>
        <v>5</v>
      </c>
      <c r="D233" s="5">
        <f>MONTH(Table1[[#This Row],[Date]])</f>
        <v>8</v>
      </c>
      <c r="E233" s="5">
        <f>WEEKNUM(Table1[[#This Row],[Date]])</f>
        <v>34</v>
      </c>
      <c r="F233" s="5">
        <f>YEAR(Table1[[#This Row],[Date]])</f>
        <v>2020</v>
      </c>
      <c r="G233">
        <v>169</v>
      </c>
      <c r="L233" s="5">
        <v>151</v>
      </c>
      <c r="M233" s="6">
        <v>0.97419999999999995</v>
      </c>
      <c r="N233" s="5">
        <v>4</v>
      </c>
      <c r="O233" s="7">
        <v>2.4305555555555555E-4</v>
      </c>
      <c r="P233" s="7">
        <v>1.6203703703703703E-3</v>
      </c>
      <c r="Q233" s="7">
        <v>1.9097222222222222E-3</v>
      </c>
      <c r="R233" s="6">
        <v>0.7097</v>
      </c>
      <c r="S233" s="8">
        <f>CONVERT(Table1[[#This Row],[Talk Duration (AVG)]]*Table1[[#This Row],[Answered Calls]],"day","hr")</f>
        <v>5.8722222222222218</v>
      </c>
      <c r="T233" s="9">
        <f>Table1[[#This Row],[Actual Workload hours]]*60</f>
        <v>352.33333333333331</v>
      </c>
      <c r="U233" s="9">
        <f>CONVERT(Table1[[#This Row],[Actual]]*Table1[[#This Row],[Talk Duration (AVG)]],"day","hr")</f>
        <v>6.572222222222222</v>
      </c>
      <c r="V233" s="10">
        <f>Table1[[#This Row],[Required Workload Hours]]*60</f>
        <v>394.33333333333331</v>
      </c>
      <c r="W233" s="9">
        <v>1</v>
      </c>
      <c r="X233" s="9">
        <f t="shared" si="6"/>
        <v>1.0269097222222221</v>
      </c>
      <c r="Y233" s="5">
        <f t="shared" si="7"/>
        <v>2</v>
      </c>
      <c r="Z233" s="8">
        <f>ROUNDUP(Table1[[#This Row],[Actual Heacount]],0)</f>
        <v>1</v>
      </c>
      <c r="AA233" s="8"/>
      <c r="AB233" s="10"/>
      <c r="AC233" s="10"/>
      <c r="AD233" s="10"/>
      <c r="AE233" s="11">
        <v>40.73305786667693</v>
      </c>
      <c r="AF233" s="11">
        <v>263.84493736745247</v>
      </c>
      <c r="AG233" t="s">
        <v>34</v>
      </c>
    </row>
    <row r="234" spans="1:33">
      <c r="A234" s="2">
        <v>44064</v>
      </c>
      <c r="B234" s="5" t="s">
        <v>35</v>
      </c>
      <c r="C234" s="5">
        <f>WEEKDAY(Table1[[#This Row],[Date]])</f>
        <v>6</v>
      </c>
      <c r="D234" s="5">
        <f>MONTH(Table1[[#This Row],[Date]])</f>
        <v>8</v>
      </c>
      <c r="E234" s="5">
        <f>WEEKNUM(Table1[[#This Row],[Date]])</f>
        <v>34</v>
      </c>
      <c r="F234" s="5">
        <f>YEAR(Table1[[#This Row],[Date]])</f>
        <v>2020</v>
      </c>
      <c r="G234">
        <v>61</v>
      </c>
      <c r="L234" s="5">
        <v>137</v>
      </c>
      <c r="M234" s="6">
        <v>0.81069999999999998</v>
      </c>
      <c r="N234" s="5">
        <v>32</v>
      </c>
      <c r="O234" s="7">
        <v>4.3981481481481481E-4</v>
      </c>
      <c r="P234" s="7">
        <v>1.6666666666666668E-3</v>
      </c>
      <c r="Q234" s="7">
        <v>3.8194444444444443E-3</v>
      </c>
      <c r="R234" s="6">
        <v>0.40360000000000001</v>
      </c>
      <c r="S234" s="8">
        <f>CONVERT(Table1[[#This Row],[Talk Duration (AVG)]]*Table1[[#This Row],[Answered Calls]],"day","hr")</f>
        <v>5.4800000000000013</v>
      </c>
      <c r="T234" s="9">
        <f>Table1[[#This Row],[Actual Workload hours]]*60</f>
        <v>328.80000000000007</v>
      </c>
      <c r="U234" s="9">
        <f>CONVERT(Table1[[#This Row],[Actual]]*Table1[[#This Row],[Talk Duration (AVG)]],"day","hr")</f>
        <v>2.44</v>
      </c>
      <c r="V234" s="10">
        <f>Table1[[#This Row],[Required Workload Hours]]*60</f>
        <v>146.4</v>
      </c>
      <c r="W234" s="9">
        <v>1</v>
      </c>
      <c r="X234" s="9">
        <f t="shared" si="6"/>
        <v>1</v>
      </c>
      <c r="Y234" s="5">
        <f t="shared" si="7"/>
        <v>2</v>
      </c>
      <c r="Z234" s="8">
        <f>ROUNDUP(Table1[[#This Row],[Actual Heacount]],0)</f>
        <v>1</v>
      </c>
      <c r="AA234" s="8"/>
      <c r="AB234" s="10"/>
      <c r="AC234" s="10"/>
      <c r="AD234" s="10"/>
      <c r="AE234" s="11">
        <v>20.408292338333911</v>
      </c>
      <c r="AF234" s="11">
        <v>252.11344794627831</v>
      </c>
      <c r="AG234" t="s">
        <v>34</v>
      </c>
    </row>
    <row r="235" spans="1:33">
      <c r="A235" s="2">
        <v>44065</v>
      </c>
      <c r="B235" s="5" t="s">
        <v>36</v>
      </c>
      <c r="C235" s="5">
        <f>WEEKDAY(Table1[[#This Row],[Date]])</f>
        <v>7</v>
      </c>
      <c r="D235" s="5">
        <f>MONTH(Table1[[#This Row],[Date]])</f>
        <v>8</v>
      </c>
      <c r="E235" s="5">
        <f>WEEKNUM(Table1[[#This Row],[Date]])</f>
        <v>34</v>
      </c>
      <c r="F235" s="5">
        <f>YEAR(Table1[[#This Row],[Date]])</f>
        <v>2020</v>
      </c>
      <c r="G235">
        <v>167</v>
      </c>
      <c r="L235" s="5">
        <v>45</v>
      </c>
      <c r="M235" s="6">
        <v>0.73770000000000002</v>
      </c>
      <c r="N235" s="5">
        <v>16</v>
      </c>
      <c r="O235" s="7">
        <v>3.7037037037037035E-4</v>
      </c>
      <c r="P235" s="7">
        <v>1.9560185185185184E-3</v>
      </c>
      <c r="Q235" s="7">
        <v>3.8194444444444443E-3</v>
      </c>
      <c r="R235" s="6">
        <v>0.4098</v>
      </c>
      <c r="S235" s="8">
        <f>CONVERT(Table1[[#This Row],[Talk Duration (AVG)]]*Table1[[#This Row],[Answered Calls]],"day","hr")</f>
        <v>2.1124999999999998</v>
      </c>
      <c r="T235" s="9">
        <f>Table1[[#This Row],[Actual Workload hours]]*60</f>
        <v>126.74999999999999</v>
      </c>
      <c r="U235" s="9">
        <f>CONVERT(Table1[[#This Row],[Actual]]*Table1[[#This Row],[Talk Duration (AVG)]],"day","hr")</f>
        <v>7.8397222222222211</v>
      </c>
      <c r="V235" s="10">
        <f>Table1[[#This Row],[Required Workload Hours]]*60</f>
        <v>470.38333333333327</v>
      </c>
      <c r="W235" s="9">
        <v>1</v>
      </c>
      <c r="X235" s="9">
        <f t="shared" si="6"/>
        <v>1.2249565972222221</v>
      </c>
      <c r="Y235" s="5">
        <f t="shared" si="7"/>
        <v>2</v>
      </c>
      <c r="Z235" s="8">
        <f>ROUNDUP(Table1[[#This Row],[Actual Heacount]],0)</f>
        <v>1</v>
      </c>
      <c r="AA235" s="8"/>
      <c r="AB235" s="10"/>
      <c r="AC235" s="10"/>
      <c r="AD235" s="10"/>
      <c r="AE235" s="11">
        <v>34.42071267612495</v>
      </c>
      <c r="AF235" s="11">
        <v>244.57269429762101</v>
      </c>
      <c r="AG235" t="s">
        <v>34</v>
      </c>
    </row>
    <row r="236" spans="1:33">
      <c r="A236" s="2">
        <v>44066</v>
      </c>
      <c r="B236" s="5" t="s">
        <v>37</v>
      </c>
      <c r="C236" s="5">
        <f>WEEKDAY(Table1[[#This Row],[Date]])</f>
        <v>1</v>
      </c>
      <c r="D236" s="5">
        <f>MONTH(Table1[[#This Row],[Date]])</f>
        <v>8</v>
      </c>
      <c r="E236" s="5">
        <f>WEEKNUM(Table1[[#This Row],[Date]])</f>
        <v>35</v>
      </c>
      <c r="F236" s="5">
        <f>YEAR(Table1[[#This Row],[Date]])</f>
        <v>2020</v>
      </c>
      <c r="G236">
        <v>32</v>
      </c>
      <c r="L236" s="5">
        <v>136</v>
      </c>
      <c r="M236" s="6">
        <v>0.81440000000000001</v>
      </c>
      <c r="N236" s="5">
        <v>31</v>
      </c>
      <c r="O236" s="7">
        <v>4.861111111111111E-4</v>
      </c>
      <c r="P236" s="7">
        <v>1.8055555555555555E-3</v>
      </c>
      <c r="Q236" s="7">
        <v>3.7962962962962963E-3</v>
      </c>
      <c r="R236" s="6">
        <v>0.35980000000000001</v>
      </c>
      <c r="S236" s="8">
        <f>CONVERT(Table1[[#This Row],[Talk Duration (AVG)]]*Table1[[#This Row],[Answered Calls]],"day","hr")</f>
        <v>5.8933333333333335</v>
      </c>
      <c r="T236" s="9">
        <f>Table1[[#This Row],[Actual Workload hours]]*60</f>
        <v>353.6</v>
      </c>
      <c r="U236" s="9">
        <f>CONVERT(Table1[[#This Row],[Actual]]*Table1[[#This Row],[Talk Duration (AVG)]],"day","hr")</f>
        <v>1.3866666666666667</v>
      </c>
      <c r="V236" s="10">
        <f>Table1[[#This Row],[Required Workload Hours]]*60</f>
        <v>83.2</v>
      </c>
      <c r="W236" s="9">
        <v>1</v>
      </c>
      <c r="X236" s="9">
        <f t="shared" si="6"/>
        <v>1</v>
      </c>
      <c r="Y236" s="5">
        <f t="shared" si="7"/>
        <v>2</v>
      </c>
      <c r="Z236" s="8">
        <f>ROUNDUP(Table1[[#This Row],[Actual Heacount]],0)</f>
        <v>1</v>
      </c>
      <c r="AA236" s="8"/>
      <c r="AB236" s="10"/>
      <c r="AC236" s="10"/>
      <c r="AD236" s="10"/>
      <c r="AE236" s="11">
        <v>-58.471572866830087</v>
      </c>
      <c r="AF236" s="11">
        <v>167.42593964667989</v>
      </c>
      <c r="AG236" t="s">
        <v>34</v>
      </c>
    </row>
    <row r="237" spans="1:33">
      <c r="A237" s="2">
        <v>44068</v>
      </c>
      <c r="B237" s="5" t="s">
        <v>38</v>
      </c>
      <c r="C237" s="5">
        <f>WEEKDAY(Table1[[#This Row],[Date]])</f>
        <v>3</v>
      </c>
      <c r="D237" s="5">
        <f>MONTH(Table1[[#This Row],[Date]])</f>
        <v>8</v>
      </c>
      <c r="E237" s="5">
        <f>WEEKNUM(Table1[[#This Row],[Date]])</f>
        <v>35</v>
      </c>
      <c r="F237" s="5">
        <f>YEAR(Table1[[#This Row],[Date]])</f>
        <v>2020</v>
      </c>
      <c r="G237">
        <v>208</v>
      </c>
      <c r="L237" s="5">
        <v>27</v>
      </c>
      <c r="M237" s="6">
        <v>0.84379999999999999</v>
      </c>
      <c r="N237" s="5">
        <v>5</v>
      </c>
      <c r="O237" s="7">
        <v>4.0509259259259258E-4</v>
      </c>
      <c r="P237" s="7">
        <v>1.6435185185185185E-3</v>
      </c>
      <c r="Q237" s="7">
        <v>2.1990740740740742E-3</v>
      </c>
      <c r="R237" s="6">
        <v>0.53129999999999999</v>
      </c>
      <c r="S237" s="8">
        <f>CONVERT(Table1[[#This Row],[Talk Duration (AVG)]]*Table1[[#This Row],[Answered Calls]],"day","hr")</f>
        <v>1.0649999999999999</v>
      </c>
      <c r="T237" s="9">
        <f>Table1[[#This Row],[Actual Workload hours]]*60</f>
        <v>63.9</v>
      </c>
      <c r="U237" s="9">
        <f>CONVERT(Table1[[#This Row],[Actual]]*Table1[[#This Row],[Talk Duration (AVG)]],"day","hr")</f>
        <v>8.2044444444444444</v>
      </c>
      <c r="V237" s="10">
        <f>Table1[[#This Row],[Required Workload Hours]]*60</f>
        <v>492.26666666666665</v>
      </c>
      <c r="W237" s="9">
        <v>1</v>
      </c>
      <c r="X237" s="9">
        <f t="shared" si="6"/>
        <v>1.2819444444444443</v>
      </c>
      <c r="Y237" s="5">
        <f t="shared" si="7"/>
        <v>1</v>
      </c>
      <c r="Z237" s="8">
        <f>ROUNDUP(Table1[[#This Row],[Actual Heacount]],0)</f>
        <v>1</v>
      </c>
      <c r="AA237" s="8"/>
      <c r="AB237" s="10"/>
      <c r="AC237" s="10"/>
      <c r="AD237" s="10"/>
      <c r="AE237" s="11">
        <v>28.907555072981381</v>
      </c>
      <c r="AF237" s="11">
        <v>246.60502704125929</v>
      </c>
      <c r="AG237" t="s">
        <v>34</v>
      </c>
    </row>
    <row r="238" spans="1:33">
      <c r="A238" s="2">
        <v>44069</v>
      </c>
      <c r="B238" s="5" t="s">
        <v>39</v>
      </c>
      <c r="C238" s="5">
        <f>WEEKDAY(Table1[[#This Row],[Date]])</f>
        <v>4</v>
      </c>
      <c r="D238" s="5">
        <f>MONTH(Table1[[#This Row],[Date]])</f>
        <v>8</v>
      </c>
      <c r="E238" s="5">
        <f>WEEKNUM(Table1[[#This Row],[Date]])</f>
        <v>35</v>
      </c>
      <c r="F238" s="5">
        <f>YEAR(Table1[[#This Row],[Date]])</f>
        <v>2020</v>
      </c>
      <c r="G238">
        <v>175</v>
      </c>
      <c r="L238" s="5">
        <v>148</v>
      </c>
      <c r="M238" s="6">
        <v>0.64629999999999999</v>
      </c>
      <c r="N238" s="5">
        <v>81</v>
      </c>
      <c r="O238" s="7">
        <v>4.1666666666666669E-4</v>
      </c>
      <c r="P238" s="7">
        <v>1.9444444444444444E-3</v>
      </c>
      <c r="Q238" s="7">
        <v>7.3958333333333333E-3</v>
      </c>
      <c r="R238" s="6">
        <v>0.43180000000000002</v>
      </c>
      <c r="S238" s="8">
        <f>CONVERT(Table1[[#This Row],[Talk Duration (AVG)]]*Table1[[#This Row],[Answered Calls]],"day","hr")</f>
        <v>6.9066666666666654</v>
      </c>
      <c r="T238" s="9">
        <f>Table1[[#This Row],[Actual Workload hours]]*60</f>
        <v>414.39999999999992</v>
      </c>
      <c r="U238" s="9">
        <f>CONVERT(Table1[[#This Row],[Actual]]*Table1[[#This Row],[Talk Duration (AVG)]],"day","hr")</f>
        <v>8.1666666666666661</v>
      </c>
      <c r="V238" s="10">
        <f>Table1[[#This Row],[Required Workload Hours]]*60</f>
        <v>489.99999999999994</v>
      </c>
      <c r="W238" s="9">
        <v>1.08</v>
      </c>
      <c r="X238" s="9">
        <f t="shared" si="6"/>
        <v>1.2760416666666665</v>
      </c>
      <c r="Y238" s="5">
        <f t="shared" si="7"/>
        <v>2</v>
      </c>
      <c r="Z238" s="8">
        <f>ROUNDUP(Table1[[#This Row],[Actual Heacount]],0)</f>
        <v>2</v>
      </c>
      <c r="AA238" s="8"/>
      <c r="AB238" s="10"/>
      <c r="AC238" s="10"/>
      <c r="AD238" s="10"/>
      <c r="AE238" s="11">
        <v>41.706211376108747</v>
      </c>
      <c r="AF238" s="11">
        <v>262.03515293230839</v>
      </c>
      <c r="AG238" t="s">
        <v>34</v>
      </c>
    </row>
    <row r="239" spans="1:33">
      <c r="A239" s="2">
        <v>44070</v>
      </c>
      <c r="B239" s="5" t="s">
        <v>40</v>
      </c>
      <c r="C239" s="5">
        <f>WEEKDAY(Table1[[#This Row],[Date]])</f>
        <v>5</v>
      </c>
      <c r="D239" s="5">
        <f>MONTH(Table1[[#This Row],[Date]])</f>
        <v>8</v>
      </c>
      <c r="E239" s="5">
        <f>WEEKNUM(Table1[[#This Row],[Date]])</f>
        <v>35</v>
      </c>
      <c r="F239" s="5">
        <f>YEAR(Table1[[#This Row],[Date]])</f>
        <v>2020</v>
      </c>
      <c r="G239">
        <v>177</v>
      </c>
      <c r="L239" s="5">
        <v>204</v>
      </c>
      <c r="M239" s="6">
        <v>0.98080000000000001</v>
      </c>
      <c r="N239" s="5">
        <v>4</v>
      </c>
      <c r="O239" s="7">
        <v>2.199074074074074E-4</v>
      </c>
      <c r="P239" s="7">
        <v>2.1527777777777778E-3</v>
      </c>
      <c r="Q239" s="7">
        <v>3.6342592592592594E-3</v>
      </c>
      <c r="R239" s="6">
        <v>0.77669999999999995</v>
      </c>
      <c r="S239" s="8">
        <f>CONVERT(Table1[[#This Row],[Talk Duration (AVG)]]*Table1[[#This Row],[Answered Calls]],"day","hr")</f>
        <v>10.54</v>
      </c>
      <c r="T239" s="9">
        <f>Table1[[#This Row],[Actual Workload hours]]*60</f>
        <v>632.4</v>
      </c>
      <c r="U239" s="9">
        <f>CONVERT(Table1[[#This Row],[Actual]]*Table1[[#This Row],[Talk Duration (AVG)]],"day","hr")</f>
        <v>9.1449999999999996</v>
      </c>
      <c r="V239" s="10">
        <f>Table1[[#This Row],[Required Workload Hours]]*60</f>
        <v>548.69999999999993</v>
      </c>
      <c r="W239" s="9">
        <v>1.65</v>
      </c>
      <c r="X239" s="9">
        <f t="shared" si="6"/>
        <v>1.4289062499999998</v>
      </c>
      <c r="Y239" s="5">
        <f t="shared" si="7"/>
        <v>2</v>
      </c>
      <c r="Z239" s="8">
        <f>ROUNDUP(Table1[[#This Row],[Actual Heacount]],0)</f>
        <v>2</v>
      </c>
      <c r="AA239" s="8"/>
      <c r="AB239" s="10"/>
      <c r="AC239" s="10"/>
      <c r="AD239" s="10"/>
      <c r="AE239" s="11">
        <v>35.650765310718363</v>
      </c>
      <c r="AF239" s="11">
        <v>256.12181523940802</v>
      </c>
      <c r="AG239" t="s">
        <v>34</v>
      </c>
    </row>
    <row r="240" spans="1:33">
      <c r="A240" s="2">
        <v>44072</v>
      </c>
      <c r="B240" s="5" t="s">
        <v>33</v>
      </c>
      <c r="C240" s="5">
        <f>WEEKDAY(Table1[[#This Row],[Date]])</f>
        <v>7</v>
      </c>
      <c r="D240" s="5">
        <f>MONTH(Table1[[#This Row],[Date]])</f>
        <v>8</v>
      </c>
      <c r="E240" s="5">
        <f>WEEKNUM(Table1[[#This Row],[Date]])</f>
        <v>35</v>
      </c>
      <c r="F240" s="5">
        <f>YEAR(Table1[[#This Row],[Date]])</f>
        <v>2020</v>
      </c>
      <c r="G240">
        <v>87</v>
      </c>
      <c r="L240" s="5">
        <v>168</v>
      </c>
      <c r="M240" s="6">
        <v>0.96</v>
      </c>
      <c r="N240" s="5">
        <v>7</v>
      </c>
      <c r="O240" s="7">
        <v>2.8935185185185184E-4</v>
      </c>
      <c r="P240" s="7">
        <v>1.9791666666666668E-3</v>
      </c>
      <c r="Q240" s="7">
        <v>2.5925925925925925E-3</v>
      </c>
      <c r="R240" s="6">
        <v>0.6512</v>
      </c>
      <c r="S240" s="8">
        <f>CONVERT(Table1[[#This Row],[Talk Duration (AVG)]]*Table1[[#This Row],[Answered Calls]],"day","hr")</f>
        <v>7.98</v>
      </c>
      <c r="T240" s="9">
        <f>Table1[[#This Row],[Actual Workload hours]]*60</f>
        <v>478.8</v>
      </c>
      <c r="U240" s="9">
        <f>CONVERT(Table1[[#This Row],[Actual]]*Table1[[#This Row],[Talk Duration (AVG)]],"day","hr")</f>
        <v>4.1325000000000003</v>
      </c>
      <c r="V240" s="10">
        <f>Table1[[#This Row],[Required Workload Hours]]*60</f>
        <v>247.95000000000002</v>
      </c>
      <c r="W240" s="9">
        <v>1.25</v>
      </c>
      <c r="X240" s="9">
        <f t="shared" si="6"/>
        <v>1</v>
      </c>
      <c r="Y240" s="5">
        <f t="shared" si="7"/>
        <v>2</v>
      </c>
      <c r="Z240" s="8">
        <f>ROUNDUP(Table1[[#This Row],[Actual Heacount]],0)</f>
        <v>2</v>
      </c>
      <c r="AA240" s="8"/>
      <c r="AB240" s="10"/>
      <c r="AC240" s="10"/>
      <c r="AD240" s="10"/>
      <c r="AE240" s="11">
        <v>41.954460606418181</v>
      </c>
      <c r="AF240" s="11">
        <v>258.1405905548541</v>
      </c>
      <c r="AG240" t="s">
        <v>34</v>
      </c>
    </row>
    <row r="241" spans="1:33">
      <c r="A241" s="2">
        <v>44073</v>
      </c>
      <c r="B241" s="5" t="s">
        <v>35</v>
      </c>
      <c r="C241" s="5">
        <f>WEEKDAY(Table1[[#This Row],[Date]])</f>
        <v>1</v>
      </c>
      <c r="D241" s="5">
        <f>MONTH(Table1[[#This Row],[Date]])</f>
        <v>8</v>
      </c>
      <c r="E241" s="5">
        <f>WEEKNUM(Table1[[#This Row],[Date]])</f>
        <v>36</v>
      </c>
      <c r="F241" s="5">
        <f>YEAR(Table1[[#This Row],[Date]])</f>
        <v>2020</v>
      </c>
      <c r="G241">
        <v>41</v>
      </c>
      <c r="L241" s="5">
        <v>167</v>
      </c>
      <c r="M241" s="6">
        <v>0.94350000000000001</v>
      </c>
      <c r="N241" s="5">
        <v>10</v>
      </c>
      <c r="O241" s="7">
        <v>2.5462962962962961E-4</v>
      </c>
      <c r="P241" s="7">
        <v>1.8634259259259259E-3</v>
      </c>
      <c r="Q241" s="7">
        <v>3.0555555555555557E-3</v>
      </c>
      <c r="R241" s="6">
        <v>0.68389999999999995</v>
      </c>
      <c r="S241" s="8">
        <f>CONVERT(Table1[[#This Row],[Talk Duration (AVG)]]*Table1[[#This Row],[Answered Calls]],"day","hr")</f>
        <v>7.4686111111111115</v>
      </c>
      <c r="T241" s="9">
        <f>Table1[[#This Row],[Actual Workload hours]]*60</f>
        <v>448.11666666666667</v>
      </c>
      <c r="U241" s="9">
        <f>CONVERT(Table1[[#This Row],[Actual]]*Table1[[#This Row],[Talk Duration (AVG)]],"day","hr")</f>
        <v>1.8336111111111111</v>
      </c>
      <c r="V241" s="10">
        <f>Table1[[#This Row],[Required Workload Hours]]*60</f>
        <v>110.01666666666667</v>
      </c>
      <c r="W241" s="9">
        <v>1.17</v>
      </c>
      <c r="X241" s="9">
        <f t="shared" si="6"/>
        <v>1</v>
      </c>
      <c r="Y241" s="5">
        <f t="shared" si="7"/>
        <v>2</v>
      </c>
      <c r="Z241" s="8">
        <f>ROUNDUP(Table1[[#This Row],[Actual Heacount]],0)</f>
        <v>2</v>
      </c>
      <c r="AA241" s="8"/>
      <c r="AB241" s="10"/>
      <c r="AC241" s="10"/>
      <c r="AD241" s="10"/>
      <c r="AE241" s="11">
        <v>-45.099284761819973</v>
      </c>
      <c r="AF241" s="11">
        <v>170.45737668783579</v>
      </c>
      <c r="AG241" t="s">
        <v>34</v>
      </c>
    </row>
    <row r="242" spans="1:33">
      <c r="A242" s="2">
        <v>44074</v>
      </c>
      <c r="B242" s="5" t="s">
        <v>36</v>
      </c>
      <c r="C242" s="5">
        <f>WEEKDAY(Table1[[#This Row],[Date]])</f>
        <v>2</v>
      </c>
      <c r="D242" s="5">
        <f>MONTH(Table1[[#This Row],[Date]])</f>
        <v>8</v>
      </c>
      <c r="E242" s="5">
        <f>WEEKNUM(Table1[[#This Row],[Date]])</f>
        <v>36</v>
      </c>
      <c r="F242" s="5">
        <f>YEAR(Table1[[#This Row],[Date]])</f>
        <v>2020</v>
      </c>
      <c r="G242">
        <v>280</v>
      </c>
      <c r="L242" s="5">
        <v>767</v>
      </c>
      <c r="M242" s="6">
        <v>0.93310000000000004</v>
      </c>
      <c r="N242" s="5">
        <v>55</v>
      </c>
      <c r="O242" s="7">
        <v>2.7777777777777778E-4</v>
      </c>
      <c r="P242" s="7">
        <v>9.837962962962962E-4</v>
      </c>
      <c r="Q242" s="7">
        <v>3.1828703703703702E-3</v>
      </c>
      <c r="R242" s="6">
        <v>0.64400000000000002</v>
      </c>
      <c r="S242" s="8">
        <f>CONVERT(Table1[[#This Row],[Talk Duration (AVG)]]*Table1[[#This Row],[Answered Calls]],"day","hr")</f>
        <v>18.109722222222221</v>
      </c>
      <c r="T242" s="9">
        <f>Table1[[#This Row],[Actual Workload hours]]*60</f>
        <v>1086.5833333333333</v>
      </c>
      <c r="U242" s="9">
        <f>CONVERT(Table1[[#This Row],[Actual]]*Table1[[#This Row],[Talk Duration (AVG)]],"day","hr")</f>
        <v>6.6111111111111098</v>
      </c>
      <c r="V242" s="10">
        <f>Table1[[#This Row],[Required Workload Hours]]*60</f>
        <v>396.66666666666657</v>
      </c>
      <c r="W242" s="9">
        <v>2.83</v>
      </c>
      <c r="X242" s="9">
        <f t="shared" si="6"/>
        <v>1.0329861111111109</v>
      </c>
      <c r="Y242" s="5">
        <f t="shared" si="7"/>
        <v>2</v>
      </c>
      <c r="Z242" s="8">
        <f>ROUNDUP(Table1[[#This Row],[Actual Heacount]],0)</f>
        <v>3</v>
      </c>
      <c r="AA242" s="8"/>
      <c r="AB242" s="10"/>
      <c r="AC242" s="10"/>
      <c r="AD242" s="10"/>
      <c r="AE242" s="11">
        <v>52.460503056586077</v>
      </c>
      <c r="AF242" s="11">
        <v>270.75251130749302</v>
      </c>
      <c r="AG242" t="s">
        <v>34</v>
      </c>
    </row>
    <row r="243" spans="1:33">
      <c r="A243" s="2">
        <v>44075</v>
      </c>
      <c r="B243" s="5" t="s">
        <v>37</v>
      </c>
      <c r="C243" s="5">
        <f>WEEKDAY(Table1[[#This Row],[Date]])</f>
        <v>3</v>
      </c>
      <c r="D243" s="5">
        <f>MONTH(Table1[[#This Row],[Date]])</f>
        <v>9</v>
      </c>
      <c r="E243" s="5">
        <f>WEEKNUM(Table1[[#This Row],[Date]])</f>
        <v>36</v>
      </c>
      <c r="F243" s="5">
        <f>YEAR(Table1[[#This Row],[Date]])</f>
        <v>2020</v>
      </c>
      <c r="G243">
        <v>219</v>
      </c>
      <c r="L243" s="5">
        <v>85</v>
      </c>
      <c r="M243" s="6">
        <v>0.97699999999999998</v>
      </c>
      <c r="N243" s="5">
        <v>2</v>
      </c>
      <c r="O243" s="7">
        <v>2.6620370370370372E-4</v>
      </c>
      <c r="P243" s="7">
        <v>1.6782407407407408E-3</v>
      </c>
      <c r="Q243" s="7">
        <v>1.5856481481481481E-3</v>
      </c>
      <c r="R243" s="6">
        <v>0.67820000000000003</v>
      </c>
      <c r="S243" s="8">
        <f>CONVERT(Table1[[#This Row],[Talk Duration (AVG)]]*Table1[[#This Row],[Answered Calls]],"day","hr")</f>
        <v>3.4236111111111112</v>
      </c>
      <c r="T243" s="9">
        <f>Table1[[#This Row],[Actual Workload hours]]*60</f>
        <v>205.41666666666666</v>
      </c>
      <c r="U243" s="9">
        <f>CONVERT(Table1[[#This Row],[Actual]]*Table1[[#This Row],[Talk Duration (AVG)]],"day","hr")</f>
        <v>8.8208333333333329</v>
      </c>
      <c r="V243" s="10">
        <f>Table1[[#This Row],[Required Workload Hours]]*60</f>
        <v>529.25</v>
      </c>
      <c r="W243" s="9">
        <v>1</v>
      </c>
      <c r="X243" s="9">
        <f t="shared" si="6"/>
        <v>1.3782552083333333</v>
      </c>
      <c r="Y243" s="5">
        <f t="shared" si="7"/>
        <v>2</v>
      </c>
      <c r="Z243" s="8">
        <f>ROUNDUP(Table1[[#This Row],[Actual Heacount]],0)</f>
        <v>1</v>
      </c>
      <c r="AA243" s="8"/>
      <c r="AB243" s="10"/>
      <c r="AC243" s="10"/>
      <c r="AD243" s="10"/>
      <c r="AE243" s="11">
        <v>37.756353746235767</v>
      </c>
      <c r="AF243" s="11">
        <v>262.52954416494322</v>
      </c>
      <c r="AG243" t="s">
        <v>34</v>
      </c>
    </row>
    <row r="244" spans="1:33">
      <c r="A244" s="2">
        <v>44076</v>
      </c>
      <c r="B244" s="5" t="s">
        <v>38</v>
      </c>
      <c r="C244" s="5">
        <f>WEEKDAY(Table1[[#This Row],[Date]])</f>
        <v>4</v>
      </c>
      <c r="D244" s="5">
        <f>MONTH(Table1[[#This Row],[Date]])</f>
        <v>9</v>
      </c>
      <c r="E244" s="5">
        <f>WEEKNUM(Table1[[#This Row],[Date]])</f>
        <v>36</v>
      </c>
      <c r="F244" s="5">
        <f>YEAR(Table1[[#This Row],[Date]])</f>
        <v>2020</v>
      </c>
      <c r="G244">
        <v>52</v>
      </c>
      <c r="L244" s="5">
        <v>39</v>
      </c>
      <c r="M244" s="6">
        <v>0.95120000000000005</v>
      </c>
      <c r="N244" s="5">
        <v>2</v>
      </c>
      <c r="O244" s="7">
        <v>1.7361111111111112E-4</v>
      </c>
      <c r="P244" s="7">
        <v>1.8749999999999999E-3</v>
      </c>
      <c r="Q244" s="7">
        <v>9.0277777777777774E-4</v>
      </c>
      <c r="R244" s="6">
        <v>0.82499999999999996</v>
      </c>
      <c r="S244" s="8">
        <f>CONVERT(Table1[[#This Row],[Talk Duration (AVG)]]*Table1[[#This Row],[Answered Calls]],"day","hr")</f>
        <v>1.7549999999999999</v>
      </c>
      <c r="T244" s="9">
        <f>Table1[[#This Row],[Actual Workload hours]]*60</f>
        <v>105.3</v>
      </c>
      <c r="U244" s="9">
        <f>CONVERT(Table1[[#This Row],[Actual]]*Table1[[#This Row],[Talk Duration (AVG)]],"day","hr")</f>
        <v>2.34</v>
      </c>
      <c r="V244" s="10">
        <f>Table1[[#This Row],[Required Workload Hours]]*60</f>
        <v>140.39999999999998</v>
      </c>
      <c r="W244" s="9">
        <v>1</v>
      </c>
      <c r="X244" s="9">
        <f t="shared" si="6"/>
        <v>1</v>
      </c>
      <c r="Y244" s="5">
        <f t="shared" si="7"/>
        <v>1</v>
      </c>
      <c r="Z244" s="8">
        <f>ROUNDUP(Table1[[#This Row],[Actual Heacount]],0)</f>
        <v>1</v>
      </c>
      <c r="AA244" s="8"/>
      <c r="AB244" s="10"/>
      <c r="AC244" s="10"/>
      <c r="AD244" s="10"/>
      <c r="AE244" s="11">
        <v>44.959421484674088</v>
      </c>
      <c r="AF244" s="11">
        <v>261.70161381548172</v>
      </c>
      <c r="AG244" t="s">
        <v>34</v>
      </c>
    </row>
    <row r="245" spans="1:33">
      <c r="A245" s="2">
        <v>44077</v>
      </c>
      <c r="B245" s="5" t="s">
        <v>39</v>
      </c>
      <c r="C245" s="5">
        <f>WEEKDAY(Table1[[#This Row],[Date]])</f>
        <v>5</v>
      </c>
      <c r="D245" s="5">
        <f>MONTH(Table1[[#This Row],[Date]])</f>
        <v>9</v>
      </c>
      <c r="E245" s="5">
        <f>WEEKNUM(Table1[[#This Row],[Date]])</f>
        <v>36</v>
      </c>
      <c r="F245" s="5">
        <f>YEAR(Table1[[#This Row],[Date]])</f>
        <v>2020</v>
      </c>
      <c r="G245">
        <v>194</v>
      </c>
      <c r="L245" s="5">
        <v>257</v>
      </c>
      <c r="M245" s="6">
        <v>0.91790000000000005</v>
      </c>
      <c r="N245" s="5">
        <v>23</v>
      </c>
      <c r="O245" s="7">
        <v>3.5879629629629629E-4</v>
      </c>
      <c r="P245" s="7">
        <v>1.7708333333333332E-3</v>
      </c>
      <c r="Q245" s="7">
        <v>5.4976851851851853E-3</v>
      </c>
      <c r="R245" s="6">
        <v>0.63870000000000005</v>
      </c>
      <c r="S245" s="8">
        <f>CONVERT(Table1[[#This Row],[Talk Duration (AVG)]]*Table1[[#This Row],[Answered Calls]],"day","hr")</f>
        <v>10.922499999999999</v>
      </c>
      <c r="T245" s="9">
        <f>Table1[[#This Row],[Actual Workload hours]]*60</f>
        <v>655.34999999999991</v>
      </c>
      <c r="U245" s="9">
        <f>CONVERT(Table1[[#This Row],[Actual]]*Table1[[#This Row],[Talk Duration (AVG)]],"day","hr")</f>
        <v>8.2449999999999992</v>
      </c>
      <c r="V245" s="10">
        <f>Table1[[#This Row],[Required Workload Hours]]*60</f>
        <v>494.69999999999993</v>
      </c>
      <c r="W245" s="9">
        <v>1.71</v>
      </c>
      <c r="X245" s="9">
        <f t="shared" si="6"/>
        <v>1.2882812499999998</v>
      </c>
      <c r="Y245" s="5">
        <f t="shared" si="7"/>
        <v>2</v>
      </c>
      <c r="Z245" s="8">
        <f>ROUNDUP(Table1[[#This Row],[Actual Heacount]],0)</f>
        <v>2</v>
      </c>
      <c r="AA245" s="8"/>
      <c r="AB245" s="10"/>
      <c r="AC245" s="10"/>
      <c r="AD245" s="10"/>
      <c r="AE245" s="11">
        <v>41.831535301351117</v>
      </c>
      <c r="AF245" s="11">
        <v>270.50735725499578</v>
      </c>
      <c r="AG245" t="s">
        <v>34</v>
      </c>
    </row>
    <row r="246" spans="1:33">
      <c r="A246" s="2">
        <v>44078</v>
      </c>
      <c r="B246" s="5" t="s">
        <v>40</v>
      </c>
      <c r="C246" s="5">
        <f>WEEKDAY(Table1[[#This Row],[Date]])</f>
        <v>6</v>
      </c>
      <c r="D246" s="5">
        <f>MONTH(Table1[[#This Row],[Date]])</f>
        <v>9</v>
      </c>
      <c r="E246" s="5">
        <f>WEEKNUM(Table1[[#This Row],[Date]])</f>
        <v>36</v>
      </c>
      <c r="F246" s="5">
        <f>YEAR(Table1[[#This Row],[Date]])</f>
        <v>2020</v>
      </c>
      <c r="G246">
        <v>226</v>
      </c>
      <c r="L246" s="5">
        <v>192</v>
      </c>
      <c r="M246" s="6">
        <v>0.96479999999999999</v>
      </c>
      <c r="N246" s="5">
        <v>7</v>
      </c>
      <c r="O246" s="7">
        <v>2.5462962962962961E-4</v>
      </c>
      <c r="P246" s="7">
        <v>1.9212962962962964E-3</v>
      </c>
      <c r="Q246" s="7">
        <v>1.9444444444444444E-3</v>
      </c>
      <c r="R246" s="6">
        <v>0.73870000000000002</v>
      </c>
      <c r="S246" s="8">
        <f>CONVERT(Table1[[#This Row],[Talk Duration (AVG)]]*Table1[[#This Row],[Answered Calls]],"day","hr")</f>
        <v>8.8533333333333335</v>
      </c>
      <c r="T246" s="9">
        <f>Table1[[#This Row],[Actual Workload hours]]*60</f>
        <v>531.20000000000005</v>
      </c>
      <c r="U246" s="9">
        <f>CONVERT(Table1[[#This Row],[Actual]]*Table1[[#This Row],[Talk Duration (AVG)]],"day","hr")</f>
        <v>10.421111111111111</v>
      </c>
      <c r="V246" s="10">
        <f>Table1[[#This Row],[Required Workload Hours]]*60</f>
        <v>625.26666666666665</v>
      </c>
      <c r="W246" s="9">
        <v>1.38</v>
      </c>
      <c r="X246" s="9">
        <f t="shared" si="6"/>
        <v>1.6282986111111111</v>
      </c>
      <c r="Y246" s="5">
        <f t="shared" si="7"/>
        <v>2</v>
      </c>
      <c r="Z246" s="8">
        <f>ROUNDUP(Table1[[#This Row],[Actual Heacount]],0)</f>
        <v>2</v>
      </c>
      <c r="AA246" s="8"/>
      <c r="AB246" s="10"/>
      <c r="AC246" s="10"/>
      <c r="AD246" s="10"/>
      <c r="AE246" s="11">
        <v>28.377471665158499</v>
      </c>
      <c r="AF246" s="11">
        <v>243.3201868694853</v>
      </c>
      <c r="AG246" t="s">
        <v>34</v>
      </c>
    </row>
    <row r="247" spans="1:33">
      <c r="A247" s="2">
        <v>44079</v>
      </c>
      <c r="B247" s="5" t="s">
        <v>33</v>
      </c>
      <c r="C247" s="5">
        <f>WEEKDAY(Table1[[#This Row],[Date]])</f>
        <v>7</v>
      </c>
      <c r="D247" s="5">
        <f>MONTH(Table1[[#This Row],[Date]])</f>
        <v>9</v>
      </c>
      <c r="E247" s="5">
        <f>WEEKNUM(Table1[[#This Row],[Date]])</f>
        <v>36</v>
      </c>
      <c r="F247" s="5">
        <f>YEAR(Table1[[#This Row],[Date]])</f>
        <v>2020</v>
      </c>
      <c r="G247">
        <v>167</v>
      </c>
      <c r="L247" s="5">
        <v>239</v>
      </c>
      <c r="M247" s="6">
        <v>0.94840000000000002</v>
      </c>
      <c r="N247" s="5">
        <v>13</v>
      </c>
      <c r="O247" s="7">
        <v>3.3564814814814812E-4</v>
      </c>
      <c r="P247" s="7">
        <v>1.724537037037037E-3</v>
      </c>
      <c r="Q247" s="7">
        <v>2.5000000000000001E-3</v>
      </c>
      <c r="R247" s="6">
        <v>0.6492</v>
      </c>
      <c r="S247" s="8">
        <f>CONVERT(Table1[[#This Row],[Talk Duration (AVG)]]*Table1[[#This Row],[Answered Calls]],"day","hr")</f>
        <v>9.8919444444444444</v>
      </c>
      <c r="T247" s="9">
        <f>Table1[[#This Row],[Actual Workload hours]]*60</f>
        <v>593.51666666666665</v>
      </c>
      <c r="U247" s="9">
        <f>CONVERT(Table1[[#This Row],[Actual]]*Table1[[#This Row],[Talk Duration (AVG)]],"day","hr")</f>
        <v>6.911944444444444</v>
      </c>
      <c r="V247" s="10">
        <f>Table1[[#This Row],[Required Workload Hours]]*60</f>
        <v>414.71666666666664</v>
      </c>
      <c r="W247" s="9">
        <v>1.55</v>
      </c>
      <c r="X247" s="9">
        <f t="shared" si="6"/>
        <v>1.0799913194444444</v>
      </c>
      <c r="Y247" s="5">
        <f t="shared" si="7"/>
        <v>2</v>
      </c>
      <c r="Z247" s="8">
        <f>ROUNDUP(Table1[[#This Row],[Actual Heacount]],0)</f>
        <v>2</v>
      </c>
      <c r="AA247" s="8"/>
      <c r="AB247" s="10"/>
      <c r="AC247" s="10"/>
      <c r="AD247" s="10"/>
      <c r="AE247" s="11">
        <v>43.776663824598451</v>
      </c>
      <c r="AF247" s="11">
        <v>260.86286933526549</v>
      </c>
      <c r="AG247" t="s">
        <v>34</v>
      </c>
    </row>
    <row r="248" spans="1:33">
      <c r="A248" s="2">
        <v>44080</v>
      </c>
      <c r="B248" s="5" t="s">
        <v>35</v>
      </c>
      <c r="C248" s="5">
        <f>WEEKDAY(Table1[[#This Row],[Date]])</f>
        <v>1</v>
      </c>
      <c r="D248" s="5">
        <f>MONTH(Table1[[#This Row],[Date]])</f>
        <v>9</v>
      </c>
      <c r="E248" s="5">
        <f>WEEKNUM(Table1[[#This Row],[Date]])</f>
        <v>37</v>
      </c>
      <c r="F248" s="5">
        <f>YEAR(Table1[[#This Row],[Date]])</f>
        <v>2020</v>
      </c>
      <c r="G248">
        <v>161</v>
      </c>
      <c r="L248" s="5">
        <v>208</v>
      </c>
      <c r="M248" s="6">
        <v>0.94550000000000001</v>
      </c>
      <c r="N248" s="5">
        <v>12</v>
      </c>
      <c r="O248" s="7">
        <v>2.3148148148148149E-4</v>
      </c>
      <c r="P248" s="7">
        <v>1.8055555555555555E-3</v>
      </c>
      <c r="Q248" s="7">
        <v>1.9097222222222222E-3</v>
      </c>
      <c r="R248" s="6">
        <v>0.75590000000000002</v>
      </c>
      <c r="S248" s="8">
        <f>CONVERT(Table1[[#This Row],[Talk Duration (AVG)]]*Table1[[#This Row],[Answered Calls]],"day","hr")</f>
        <v>9.0133333333333319</v>
      </c>
      <c r="T248" s="9">
        <f>Table1[[#This Row],[Actual Workload hours]]*60</f>
        <v>540.79999999999995</v>
      </c>
      <c r="U248" s="9">
        <f>CONVERT(Table1[[#This Row],[Actual]]*Table1[[#This Row],[Talk Duration (AVG)]],"day","hr")</f>
        <v>6.9766666666666657</v>
      </c>
      <c r="V248" s="10">
        <f>Table1[[#This Row],[Required Workload Hours]]*60</f>
        <v>418.59999999999997</v>
      </c>
      <c r="W248" s="9">
        <v>1.41</v>
      </c>
      <c r="X248" s="9">
        <f t="shared" si="6"/>
        <v>1.0901041666666667</v>
      </c>
      <c r="Y248" s="5">
        <f t="shared" si="7"/>
        <v>2</v>
      </c>
      <c r="Z248" s="8">
        <f>ROUNDUP(Table1[[#This Row],[Actual Heacount]],0)</f>
        <v>2</v>
      </c>
      <c r="AA248" s="8"/>
      <c r="AB248" s="10"/>
      <c r="AC248" s="10"/>
      <c r="AD248" s="10"/>
      <c r="AE248" s="11">
        <v>-40.270466847627908</v>
      </c>
      <c r="AF248" s="11">
        <v>168.5830090491782</v>
      </c>
      <c r="AG248" t="s">
        <v>34</v>
      </c>
    </row>
    <row r="249" spans="1:33">
      <c r="A249" s="2">
        <v>44081</v>
      </c>
      <c r="B249" s="5" t="s">
        <v>36</v>
      </c>
      <c r="C249" s="5">
        <f>WEEKDAY(Table1[[#This Row],[Date]])</f>
        <v>2</v>
      </c>
      <c r="D249" s="5">
        <f>MONTH(Table1[[#This Row],[Date]])</f>
        <v>9</v>
      </c>
      <c r="E249" s="5">
        <f>WEEKNUM(Table1[[#This Row],[Date]])</f>
        <v>37</v>
      </c>
      <c r="F249" s="5">
        <f>YEAR(Table1[[#This Row],[Date]])</f>
        <v>2020</v>
      </c>
      <c r="G249">
        <v>200</v>
      </c>
      <c r="L249" s="5">
        <v>193</v>
      </c>
      <c r="M249" s="6">
        <v>0.93689999999999996</v>
      </c>
      <c r="N249" s="5">
        <v>13</v>
      </c>
      <c r="O249" s="7">
        <v>2.7777777777777778E-4</v>
      </c>
      <c r="P249" s="7">
        <v>1.7013888888888888E-3</v>
      </c>
      <c r="Q249" s="7">
        <v>2.5115740740740741E-3</v>
      </c>
      <c r="R249" s="6">
        <v>0.75490000000000002</v>
      </c>
      <c r="S249" s="8">
        <f>CONVERT(Table1[[#This Row],[Talk Duration (AVG)]]*Table1[[#This Row],[Answered Calls]],"day","hr")</f>
        <v>7.8808333333333334</v>
      </c>
      <c r="T249" s="9">
        <f>Table1[[#This Row],[Actual Workload hours]]*60</f>
        <v>472.85</v>
      </c>
      <c r="U249" s="9">
        <f>CONVERT(Table1[[#This Row],[Actual]]*Table1[[#This Row],[Talk Duration (AVG)]],"day","hr")</f>
        <v>8.1666666666666661</v>
      </c>
      <c r="V249" s="10">
        <f>Table1[[#This Row],[Required Workload Hours]]*60</f>
        <v>489.99999999999994</v>
      </c>
      <c r="W249" s="9">
        <v>1.23</v>
      </c>
      <c r="X249" s="9">
        <f t="shared" si="6"/>
        <v>1.2760416666666665</v>
      </c>
      <c r="Y249" s="5">
        <f t="shared" si="7"/>
        <v>2</v>
      </c>
      <c r="Z249" s="8">
        <f>ROUNDUP(Table1[[#This Row],[Actual Heacount]],0)</f>
        <v>2</v>
      </c>
      <c r="AA249" s="8"/>
      <c r="AB249" s="10"/>
      <c r="AC249" s="10"/>
      <c r="AD249" s="10"/>
      <c r="AE249" s="11">
        <v>51.307961526166451</v>
      </c>
      <c r="AF249" s="11">
        <v>266.09286996692651</v>
      </c>
      <c r="AG249" t="s">
        <v>34</v>
      </c>
    </row>
    <row r="250" spans="1:33">
      <c r="A250" s="2">
        <v>44082</v>
      </c>
      <c r="B250" s="5" t="s">
        <v>37</v>
      </c>
      <c r="C250" s="5">
        <f>WEEKDAY(Table1[[#This Row],[Date]])</f>
        <v>3</v>
      </c>
      <c r="D250" s="5">
        <f>MONTH(Table1[[#This Row],[Date]])</f>
        <v>9</v>
      </c>
      <c r="E250" s="5">
        <f>WEEKNUM(Table1[[#This Row],[Date]])</f>
        <v>37</v>
      </c>
      <c r="F250" s="5">
        <f>YEAR(Table1[[#This Row],[Date]])</f>
        <v>2020</v>
      </c>
      <c r="G250">
        <v>52</v>
      </c>
      <c r="L250" s="5">
        <v>206</v>
      </c>
      <c r="M250" s="6">
        <v>0.94930000000000003</v>
      </c>
      <c r="N250" s="5">
        <v>11</v>
      </c>
      <c r="O250" s="7">
        <v>2.5462962962962961E-4</v>
      </c>
      <c r="P250" s="7">
        <v>1.6898148148148148E-3</v>
      </c>
      <c r="Q250" s="7">
        <v>1.4120370370370369E-3</v>
      </c>
      <c r="R250" s="6">
        <v>0.71030000000000004</v>
      </c>
      <c r="S250" s="8">
        <f>CONVERT(Table1[[#This Row],[Talk Duration (AVG)]]*Table1[[#This Row],[Answered Calls]],"day","hr")</f>
        <v>8.354444444444443</v>
      </c>
      <c r="T250" s="9">
        <f>Table1[[#This Row],[Actual Workload hours]]*60</f>
        <v>501.26666666666659</v>
      </c>
      <c r="U250" s="9">
        <f>CONVERT(Table1[[#This Row],[Actual]]*Table1[[#This Row],[Talk Duration (AVG)]],"day","hr")</f>
        <v>2.1088888888888886</v>
      </c>
      <c r="V250" s="10">
        <f>Table1[[#This Row],[Required Workload Hours]]*60</f>
        <v>126.53333333333332</v>
      </c>
      <c r="W250" s="9">
        <v>1.31</v>
      </c>
      <c r="X250" s="9">
        <f t="shared" si="6"/>
        <v>1</v>
      </c>
      <c r="Y250" s="5">
        <f t="shared" si="7"/>
        <v>2</v>
      </c>
      <c r="Z250" s="8">
        <f>ROUNDUP(Table1[[#This Row],[Actual Heacount]],0)</f>
        <v>2</v>
      </c>
      <c r="AA250" s="8"/>
      <c r="AB250" s="10"/>
      <c r="AC250" s="10"/>
      <c r="AD250" s="10"/>
      <c r="AE250" s="11">
        <v>34.858806564788168</v>
      </c>
      <c r="AF250" s="11">
        <v>254.69652101909691</v>
      </c>
      <c r="AG250" t="s">
        <v>34</v>
      </c>
    </row>
    <row r="251" spans="1:33">
      <c r="A251" s="2">
        <v>44083</v>
      </c>
      <c r="B251" s="5" t="s">
        <v>38</v>
      </c>
      <c r="C251" s="5">
        <f>WEEKDAY(Table1[[#This Row],[Date]])</f>
        <v>4</v>
      </c>
      <c r="D251" s="5">
        <f>MONTH(Table1[[#This Row],[Date]])</f>
        <v>9</v>
      </c>
      <c r="E251" s="5">
        <f>WEEKNUM(Table1[[#This Row],[Date]])</f>
        <v>37</v>
      </c>
      <c r="F251" s="5">
        <f>YEAR(Table1[[#This Row],[Date]])</f>
        <v>2020</v>
      </c>
      <c r="G251">
        <v>190</v>
      </c>
      <c r="L251" s="5">
        <v>24</v>
      </c>
      <c r="M251" s="6">
        <v>1</v>
      </c>
      <c r="N251" s="5">
        <v>0</v>
      </c>
      <c r="O251" s="7">
        <v>2.199074074074074E-4</v>
      </c>
      <c r="P251" s="7">
        <v>1.9675925925925924E-3</v>
      </c>
      <c r="Q251" s="7">
        <v>7.7546296296296293E-4</v>
      </c>
      <c r="R251" s="6">
        <v>0.79169999999999996</v>
      </c>
      <c r="S251" s="8">
        <f>CONVERT(Table1[[#This Row],[Talk Duration (AVG)]]*Table1[[#This Row],[Answered Calls]],"day","hr")</f>
        <v>1.1333333333333333</v>
      </c>
      <c r="T251" s="9">
        <f>Table1[[#This Row],[Actual Workload hours]]*60</f>
        <v>68</v>
      </c>
      <c r="U251" s="9">
        <f>CONVERT(Table1[[#This Row],[Actual]]*Table1[[#This Row],[Talk Duration (AVG)]],"day","hr")</f>
        <v>8.9722222222222214</v>
      </c>
      <c r="V251" s="10">
        <f>Table1[[#This Row],[Required Workload Hours]]*60</f>
        <v>538.33333333333326</v>
      </c>
      <c r="W251" s="9">
        <v>1</v>
      </c>
      <c r="X251" s="9">
        <f t="shared" si="6"/>
        <v>1.4019097222222221</v>
      </c>
      <c r="Y251" s="5">
        <f t="shared" si="7"/>
        <v>1</v>
      </c>
      <c r="Z251" s="8">
        <f>ROUNDUP(Table1[[#This Row],[Actual Heacount]],0)</f>
        <v>1</v>
      </c>
      <c r="AA251" s="8"/>
      <c r="AB251" s="10"/>
      <c r="AC251" s="10"/>
      <c r="AD251" s="10"/>
      <c r="AE251" s="11">
        <v>48.705980095584387</v>
      </c>
      <c r="AF251" s="11">
        <v>265.24179753759881</v>
      </c>
      <c r="AG251" t="s">
        <v>34</v>
      </c>
    </row>
    <row r="252" spans="1:33">
      <c r="A252" s="2">
        <v>44084</v>
      </c>
      <c r="B252" s="5" t="s">
        <v>39</v>
      </c>
      <c r="C252" s="5">
        <f>WEEKDAY(Table1[[#This Row],[Date]])</f>
        <v>5</v>
      </c>
      <c r="D252" s="5">
        <f>MONTH(Table1[[#This Row],[Date]])</f>
        <v>9</v>
      </c>
      <c r="E252" s="5">
        <f>WEEKNUM(Table1[[#This Row],[Date]])</f>
        <v>37</v>
      </c>
      <c r="F252" s="5">
        <f>YEAR(Table1[[#This Row],[Date]])</f>
        <v>2020</v>
      </c>
      <c r="G252">
        <v>259</v>
      </c>
      <c r="L252" s="5">
        <v>238</v>
      </c>
      <c r="M252" s="6">
        <v>0.9597</v>
      </c>
      <c r="N252" s="5">
        <v>10</v>
      </c>
      <c r="O252" s="7">
        <v>1.5046296296296297E-4</v>
      </c>
      <c r="P252" s="7">
        <v>1.7013888888888888E-3</v>
      </c>
      <c r="Q252" s="7">
        <v>1.2731481481481483E-3</v>
      </c>
      <c r="R252" s="6">
        <v>0.85250000000000004</v>
      </c>
      <c r="S252" s="8">
        <f>CONVERT(Table1[[#This Row],[Talk Duration (AVG)]]*Table1[[#This Row],[Answered Calls]],"day","hr")</f>
        <v>9.7183333333333337</v>
      </c>
      <c r="T252" s="9">
        <f>Table1[[#This Row],[Actual Workload hours]]*60</f>
        <v>583.1</v>
      </c>
      <c r="U252" s="9">
        <f>CONVERT(Table1[[#This Row],[Actual]]*Table1[[#This Row],[Talk Duration (AVG)]],"day","hr")</f>
        <v>10.575833333333334</v>
      </c>
      <c r="V252" s="10">
        <f>Table1[[#This Row],[Required Workload Hours]]*60</f>
        <v>634.55000000000007</v>
      </c>
      <c r="W252" s="9">
        <v>1.52</v>
      </c>
      <c r="X252" s="9">
        <f t="shared" si="6"/>
        <v>1.6524739583333334</v>
      </c>
      <c r="Y252" s="5">
        <f t="shared" si="7"/>
        <v>2</v>
      </c>
      <c r="Z252" s="8">
        <f>ROUNDUP(Table1[[#This Row],[Actual Heacount]],0)</f>
        <v>2</v>
      </c>
      <c r="AA252" s="8"/>
      <c r="AB252" s="10"/>
      <c r="AC252" s="10"/>
      <c r="AD252" s="10"/>
      <c r="AE252" s="11">
        <v>42.416165641423433</v>
      </c>
      <c r="AF252" s="11">
        <v>266.31580053587749</v>
      </c>
      <c r="AG252" t="s">
        <v>34</v>
      </c>
    </row>
    <row r="253" spans="1:33">
      <c r="A253" s="2">
        <v>44085</v>
      </c>
      <c r="B253" s="5" t="s">
        <v>40</v>
      </c>
      <c r="C253" s="5">
        <f>WEEKDAY(Table1[[#This Row],[Date]])</f>
        <v>6</v>
      </c>
      <c r="D253" s="5">
        <f>MONTH(Table1[[#This Row],[Date]])</f>
        <v>9</v>
      </c>
      <c r="E253" s="5">
        <f>WEEKNUM(Table1[[#This Row],[Date]])</f>
        <v>37</v>
      </c>
      <c r="F253" s="5">
        <f>YEAR(Table1[[#This Row],[Date]])</f>
        <v>2020</v>
      </c>
      <c r="G253">
        <v>229</v>
      </c>
      <c r="L253" s="5">
        <v>212</v>
      </c>
      <c r="M253" s="6">
        <v>0.95499999999999996</v>
      </c>
      <c r="N253" s="5">
        <v>10</v>
      </c>
      <c r="O253" s="7">
        <v>2.3148148148148149E-4</v>
      </c>
      <c r="P253" s="7">
        <v>1.6782407407407408E-3</v>
      </c>
      <c r="Q253" s="7">
        <v>2.5578703703703705E-3</v>
      </c>
      <c r="R253" s="6">
        <v>0.77729999999999999</v>
      </c>
      <c r="S253" s="8">
        <f>CONVERT(Table1[[#This Row],[Talk Duration (AVG)]]*Table1[[#This Row],[Answered Calls]],"day","hr")</f>
        <v>8.5388888888888896</v>
      </c>
      <c r="T253" s="9">
        <f>Table1[[#This Row],[Actual Workload hours]]*60</f>
        <v>512.33333333333337</v>
      </c>
      <c r="U253" s="9">
        <f>CONVERT(Table1[[#This Row],[Actual]]*Table1[[#This Row],[Talk Duration (AVG)]],"day","hr")</f>
        <v>9.2236111111111114</v>
      </c>
      <c r="V253" s="10">
        <f>Table1[[#This Row],[Required Workload Hours]]*60</f>
        <v>553.41666666666674</v>
      </c>
      <c r="W253" s="9">
        <v>1.33</v>
      </c>
      <c r="X253" s="9">
        <f t="shared" si="6"/>
        <v>1.4411892361111114</v>
      </c>
      <c r="Y253" s="5">
        <f t="shared" si="7"/>
        <v>2</v>
      </c>
      <c r="Z253" s="8">
        <f>ROUNDUP(Table1[[#This Row],[Actual Heacount]],0)</f>
        <v>2</v>
      </c>
      <c r="AA253" s="8"/>
      <c r="AB253" s="10"/>
      <c r="AC253" s="10"/>
      <c r="AD253" s="10"/>
      <c r="AE253" s="11">
        <v>32.634077771495441</v>
      </c>
      <c r="AF253" s="11">
        <v>244.6460627081926</v>
      </c>
      <c r="AG253" t="s">
        <v>34</v>
      </c>
    </row>
    <row r="254" spans="1:33">
      <c r="A254" s="2">
        <v>44086</v>
      </c>
      <c r="B254" s="5" t="s">
        <v>33</v>
      </c>
      <c r="C254" s="5">
        <f>WEEKDAY(Table1[[#This Row],[Date]])</f>
        <v>7</v>
      </c>
      <c r="D254" s="5">
        <f>MONTH(Table1[[#This Row],[Date]])</f>
        <v>9</v>
      </c>
      <c r="E254" s="5">
        <f>WEEKNUM(Table1[[#This Row],[Date]])</f>
        <v>37</v>
      </c>
      <c r="F254" s="5">
        <f>YEAR(Table1[[#This Row],[Date]])</f>
        <v>2020</v>
      </c>
      <c r="G254">
        <v>274</v>
      </c>
      <c r="L254" s="5">
        <v>178</v>
      </c>
      <c r="M254" s="6">
        <v>0.93679999999999997</v>
      </c>
      <c r="N254" s="5">
        <v>12</v>
      </c>
      <c r="O254" s="7">
        <v>3.7037037037037035E-4</v>
      </c>
      <c r="P254" s="7">
        <v>1.7013888888888888E-3</v>
      </c>
      <c r="Q254" s="7">
        <v>1.9097222222222222E-3</v>
      </c>
      <c r="R254" s="6">
        <v>0.55079999999999996</v>
      </c>
      <c r="S254" s="8">
        <f>CONVERT(Table1[[#This Row],[Talk Duration (AVG)]]*Table1[[#This Row],[Answered Calls]],"day","hr")</f>
        <v>7.2683333333333335</v>
      </c>
      <c r="T254" s="9">
        <f>Table1[[#This Row],[Actual Workload hours]]*60</f>
        <v>436.1</v>
      </c>
      <c r="U254" s="9">
        <f>CONVERT(Table1[[#This Row],[Actual]]*Table1[[#This Row],[Talk Duration (AVG)]],"day","hr")</f>
        <v>11.188333333333333</v>
      </c>
      <c r="V254" s="10">
        <f>Table1[[#This Row],[Required Workload Hours]]*60</f>
        <v>671.3</v>
      </c>
      <c r="W254" s="9">
        <v>1.1399999999999999</v>
      </c>
      <c r="X254" s="9">
        <f t="shared" si="6"/>
        <v>1.7481770833333332</v>
      </c>
      <c r="Y254" s="5">
        <f t="shared" si="7"/>
        <v>2</v>
      </c>
      <c r="Z254" s="8">
        <f>ROUNDUP(Table1[[#This Row],[Actual Heacount]],0)</f>
        <v>2</v>
      </c>
      <c r="AA254" s="8"/>
      <c r="AB254" s="10"/>
      <c r="AC254" s="10"/>
      <c r="AD254" s="10"/>
      <c r="AE254" s="11">
        <v>47.396846420955391</v>
      </c>
      <c r="AF254" s="11">
        <v>259.23242432572738</v>
      </c>
      <c r="AG254" t="s">
        <v>34</v>
      </c>
    </row>
    <row r="255" spans="1:33">
      <c r="A255" s="2">
        <v>44087</v>
      </c>
      <c r="B255" s="5" t="s">
        <v>35</v>
      </c>
      <c r="C255" s="5">
        <f>WEEKDAY(Table1[[#This Row],[Date]])</f>
        <v>1</v>
      </c>
      <c r="D255" s="5">
        <f>MONTH(Table1[[#This Row],[Date]])</f>
        <v>9</v>
      </c>
      <c r="E255" s="5">
        <f>WEEKNUM(Table1[[#This Row],[Date]])</f>
        <v>38</v>
      </c>
      <c r="F255" s="5">
        <f>YEAR(Table1[[#This Row],[Date]])</f>
        <v>2020</v>
      </c>
      <c r="G255">
        <v>21</v>
      </c>
      <c r="L255" s="5">
        <v>231</v>
      </c>
      <c r="M255" s="6">
        <v>0.97060000000000002</v>
      </c>
      <c r="N255" s="5">
        <v>7</v>
      </c>
      <c r="O255" s="7">
        <v>2.3148148148148149E-4</v>
      </c>
      <c r="P255" s="7">
        <v>1.7013888888888888E-3</v>
      </c>
      <c r="Q255" s="7">
        <v>1.4236111111111112E-3</v>
      </c>
      <c r="R255" s="6">
        <v>0.79659999999999997</v>
      </c>
      <c r="S255" s="8">
        <f>CONVERT(Table1[[#This Row],[Talk Duration (AVG)]]*Table1[[#This Row],[Answered Calls]],"day","hr")</f>
        <v>9.4324999999999992</v>
      </c>
      <c r="T255" s="9">
        <f>Table1[[#This Row],[Actual Workload hours]]*60</f>
        <v>565.94999999999993</v>
      </c>
      <c r="U255" s="9">
        <f>CONVERT(Table1[[#This Row],[Actual]]*Table1[[#This Row],[Talk Duration (AVG)]],"day","hr")</f>
        <v>0.85750000000000004</v>
      </c>
      <c r="V255" s="10">
        <f>Table1[[#This Row],[Required Workload Hours]]*60</f>
        <v>51.45</v>
      </c>
      <c r="W255" s="9">
        <v>1.47</v>
      </c>
      <c r="X255" s="9">
        <f t="shared" si="6"/>
        <v>1</v>
      </c>
      <c r="Y255" s="5">
        <f t="shared" si="7"/>
        <v>2</v>
      </c>
      <c r="Z255" s="8">
        <f>ROUNDUP(Table1[[#This Row],[Actual Heacount]],0)</f>
        <v>2</v>
      </c>
      <c r="AA255" s="8"/>
      <c r="AB255" s="10"/>
      <c r="AC255" s="10"/>
      <c r="AD255" s="10"/>
      <c r="AE255" s="11">
        <v>-45.358879521331048</v>
      </c>
      <c r="AF255" s="11">
        <v>168.34535933745039</v>
      </c>
      <c r="AG255" t="s">
        <v>34</v>
      </c>
    </row>
    <row r="256" spans="1:33">
      <c r="A256" s="2">
        <v>44088</v>
      </c>
      <c r="B256" s="5" t="s">
        <v>36</v>
      </c>
      <c r="C256" s="5">
        <f>WEEKDAY(Table1[[#This Row],[Date]])</f>
        <v>2</v>
      </c>
      <c r="D256" s="5">
        <f>MONTH(Table1[[#This Row],[Date]])</f>
        <v>9</v>
      </c>
      <c r="E256" s="5">
        <f>WEEKNUM(Table1[[#This Row],[Date]])</f>
        <v>38</v>
      </c>
      <c r="F256" s="5">
        <f>YEAR(Table1[[#This Row],[Date]])</f>
        <v>2020</v>
      </c>
      <c r="G256">
        <v>169</v>
      </c>
      <c r="L256" s="5">
        <v>205</v>
      </c>
      <c r="M256" s="6">
        <v>0.95789999999999997</v>
      </c>
      <c r="N256" s="5">
        <v>9</v>
      </c>
      <c r="O256" s="7">
        <v>2.3148148148148149E-4</v>
      </c>
      <c r="P256" s="7">
        <v>1.7824074074074075E-3</v>
      </c>
      <c r="Q256" s="7">
        <v>1.7824074074074075E-3</v>
      </c>
      <c r="R256" s="6">
        <v>0.79049999999999998</v>
      </c>
      <c r="S256" s="8">
        <f>CONVERT(Table1[[#This Row],[Talk Duration (AVG)]]*Table1[[#This Row],[Answered Calls]],"day","hr")</f>
        <v>8.7694444444444439</v>
      </c>
      <c r="T256" s="9">
        <f>Table1[[#This Row],[Actual Workload hours]]*60</f>
        <v>526.16666666666663</v>
      </c>
      <c r="U256" s="9">
        <f>CONVERT(Table1[[#This Row],[Actual]]*Table1[[#This Row],[Talk Duration (AVG)]],"day","hr")</f>
        <v>7.2294444444444457</v>
      </c>
      <c r="V256" s="10">
        <f>Table1[[#This Row],[Required Workload Hours]]*60</f>
        <v>433.76666666666677</v>
      </c>
      <c r="W256" s="9">
        <v>1.37</v>
      </c>
      <c r="X256" s="9">
        <f t="shared" si="6"/>
        <v>1.1296006944444448</v>
      </c>
      <c r="Y256" s="5">
        <f t="shared" si="7"/>
        <v>2</v>
      </c>
      <c r="Z256" s="8">
        <f>ROUNDUP(Table1[[#This Row],[Actual Heacount]],0)</f>
        <v>2</v>
      </c>
      <c r="AA256" s="8"/>
      <c r="AB256" s="10"/>
      <c r="AC256" s="10"/>
      <c r="AD256" s="10"/>
      <c r="AE256" s="11">
        <v>50.433179971183691</v>
      </c>
      <c r="AF256" s="11">
        <v>266.5486392530151</v>
      </c>
      <c r="AG256" t="s">
        <v>34</v>
      </c>
    </row>
    <row r="257" spans="1:33">
      <c r="A257" s="2">
        <v>44089</v>
      </c>
      <c r="B257" s="5" t="s">
        <v>37</v>
      </c>
      <c r="C257" s="5">
        <f>WEEKDAY(Table1[[#This Row],[Date]])</f>
        <v>3</v>
      </c>
      <c r="D257" s="5">
        <f>MONTH(Table1[[#This Row],[Date]])</f>
        <v>9</v>
      </c>
      <c r="E257" s="5">
        <f>WEEKNUM(Table1[[#This Row],[Date]])</f>
        <v>38</v>
      </c>
      <c r="F257" s="5">
        <f>YEAR(Table1[[#This Row],[Date]])</f>
        <v>2020</v>
      </c>
      <c r="G257">
        <v>149</v>
      </c>
      <c r="L257" s="5">
        <v>176</v>
      </c>
      <c r="M257" s="6">
        <v>0.94620000000000004</v>
      </c>
      <c r="N257" s="5">
        <v>10</v>
      </c>
      <c r="O257" s="7">
        <v>2.6620370370370372E-4</v>
      </c>
      <c r="P257" s="7">
        <v>1.5625000000000001E-3</v>
      </c>
      <c r="Q257" s="7">
        <v>3.5069444444444445E-3</v>
      </c>
      <c r="R257" s="6">
        <v>0.70879999999999999</v>
      </c>
      <c r="S257" s="8">
        <f>CONVERT(Table1[[#This Row],[Talk Duration (AVG)]]*Table1[[#This Row],[Answered Calls]],"day","hr")</f>
        <v>6.6000000000000014</v>
      </c>
      <c r="T257" s="9">
        <f>Table1[[#This Row],[Actual Workload hours]]*60</f>
        <v>396.00000000000011</v>
      </c>
      <c r="U257" s="9">
        <f>CONVERT(Table1[[#This Row],[Actual]]*Table1[[#This Row],[Talk Duration (AVG)]],"day","hr")</f>
        <v>5.5875000000000004</v>
      </c>
      <c r="V257" s="10">
        <f>Table1[[#This Row],[Required Workload Hours]]*60</f>
        <v>335.25</v>
      </c>
      <c r="W257" s="9">
        <v>1.03</v>
      </c>
      <c r="X257" s="9">
        <f t="shared" si="6"/>
        <v>1</v>
      </c>
      <c r="Y257" s="5">
        <f t="shared" si="7"/>
        <v>2</v>
      </c>
      <c r="Z257" s="8">
        <f>ROUNDUP(Table1[[#This Row],[Actual Heacount]],0)</f>
        <v>2</v>
      </c>
      <c r="AA257" s="8"/>
      <c r="AB257" s="10"/>
      <c r="AC257" s="10"/>
      <c r="AD257" s="10"/>
      <c r="AE257" s="11">
        <v>32.744838495612377</v>
      </c>
      <c r="AF257" s="11">
        <v>244.89741008144301</v>
      </c>
      <c r="AG257" t="s">
        <v>34</v>
      </c>
    </row>
    <row r="258" spans="1:33">
      <c r="A258" s="2">
        <v>44090</v>
      </c>
      <c r="B258" s="5" t="s">
        <v>38</v>
      </c>
      <c r="C258" s="5">
        <f>WEEKDAY(Table1[[#This Row],[Date]])</f>
        <v>4</v>
      </c>
      <c r="D258" s="5">
        <f>MONTH(Table1[[#This Row],[Date]])</f>
        <v>9</v>
      </c>
      <c r="E258" s="5">
        <f>WEEKNUM(Table1[[#This Row],[Date]])</f>
        <v>38</v>
      </c>
      <c r="F258" s="5">
        <f>YEAR(Table1[[#This Row],[Date]])</f>
        <v>2020</v>
      </c>
      <c r="G258">
        <v>171</v>
      </c>
      <c r="L258" s="5">
        <v>20</v>
      </c>
      <c r="M258" s="6">
        <v>0.95240000000000002</v>
      </c>
      <c r="N258" s="5">
        <v>1</v>
      </c>
      <c r="O258" s="7">
        <v>1.6203703703703703E-4</v>
      </c>
      <c r="P258" s="7">
        <v>1.6782407407407408E-3</v>
      </c>
      <c r="Q258" s="7">
        <v>6.2500000000000001E-4</v>
      </c>
      <c r="R258" s="6">
        <v>0.85</v>
      </c>
      <c r="S258" s="8">
        <f>CONVERT(Table1[[#This Row],[Talk Duration (AVG)]]*Table1[[#This Row],[Answered Calls]],"day","hr")</f>
        <v>0.80555555555555569</v>
      </c>
      <c r="T258" s="9">
        <f>Table1[[#This Row],[Actual Workload hours]]*60</f>
        <v>48.333333333333343</v>
      </c>
      <c r="U258" s="9">
        <f>CONVERT(Table1[[#This Row],[Actual]]*Table1[[#This Row],[Talk Duration (AVG)]],"day","hr")</f>
        <v>6.8875000000000002</v>
      </c>
      <c r="V258" s="10">
        <f>Table1[[#This Row],[Required Workload Hours]]*60</f>
        <v>413.25</v>
      </c>
      <c r="W258" s="9">
        <v>1</v>
      </c>
      <c r="X258" s="9">
        <f t="shared" si="6"/>
        <v>1.076171875</v>
      </c>
      <c r="Y258" s="5">
        <f t="shared" si="7"/>
        <v>1</v>
      </c>
      <c r="Z258" s="8">
        <f>ROUNDUP(Table1[[#This Row],[Actual Heacount]],0)</f>
        <v>1</v>
      </c>
      <c r="AA258" s="8"/>
      <c r="AB258" s="10"/>
      <c r="AC258" s="10"/>
      <c r="AD258" s="10"/>
      <c r="AE258" s="11">
        <v>40.657319501181952</v>
      </c>
      <c r="AF258" s="11">
        <v>266.31329067010188</v>
      </c>
      <c r="AG258" t="s">
        <v>34</v>
      </c>
    </row>
    <row r="259" spans="1:33">
      <c r="A259" s="2">
        <v>44091</v>
      </c>
      <c r="B259" s="5" t="s">
        <v>39</v>
      </c>
      <c r="C259" s="5">
        <f>WEEKDAY(Table1[[#This Row],[Date]])</f>
        <v>5</v>
      </c>
      <c r="D259" s="5">
        <f>MONTH(Table1[[#This Row],[Date]])</f>
        <v>9</v>
      </c>
      <c r="E259" s="5">
        <f>WEEKNUM(Table1[[#This Row],[Date]])</f>
        <v>38</v>
      </c>
      <c r="F259" s="5">
        <f>YEAR(Table1[[#This Row],[Date]])</f>
        <v>2020</v>
      </c>
      <c r="G259">
        <v>127</v>
      </c>
      <c r="L259" s="5">
        <v>157</v>
      </c>
      <c r="M259" s="6">
        <v>0.92900000000000005</v>
      </c>
      <c r="N259" s="5">
        <v>12</v>
      </c>
      <c r="O259" s="7">
        <v>2.4305555555555555E-4</v>
      </c>
      <c r="P259" s="7">
        <v>1.724537037037037E-3</v>
      </c>
      <c r="Q259" s="7">
        <v>3.1250000000000002E-3</v>
      </c>
      <c r="R259" s="6">
        <v>0.77710000000000001</v>
      </c>
      <c r="S259" s="8">
        <f>CONVERT(Table1[[#This Row],[Talk Duration (AVG)]]*Table1[[#This Row],[Answered Calls]],"day","hr")</f>
        <v>6.4980555555555553</v>
      </c>
      <c r="T259" s="9">
        <f>Table1[[#This Row],[Actual Workload hours]]*60</f>
        <v>389.88333333333333</v>
      </c>
      <c r="U259" s="9">
        <f>CONVERT(Table1[[#This Row],[Actual]]*Table1[[#This Row],[Talk Duration (AVG)]],"day","hr")</f>
        <v>5.256388888888889</v>
      </c>
      <c r="V259" s="10">
        <f>Table1[[#This Row],[Required Workload Hours]]*60</f>
        <v>315.38333333333333</v>
      </c>
      <c r="W259" s="9">
        <v>1.02</v>
      </c>
      <c r="X259" s="9">
        <f t="shared" ref="X259:X322" si="8">IF(V259&lt;384,1,(V259/384))</f>
        <v>1</v>
      </c>
      <c r="Y259" s="5">
        <f t="shared" ref="Y259:Y322" si="9">IF(B259="Sunday",1,2)</f>
        <v>2</v>
      </c>
      <c r="Z259" s="8">
        <f>ROUNDUP(Table1[[#This Row],[Actual Heacount]],0)</f>
        <v>2</v>
      </c>
      <c r="AA259" s="8"/>
      <c r="AB259" s="10"/>
      <c r="AC259" s="10"/>
      <c r="AD259" s="10"/>
      <c r="AE259" s="11">
        <v>37.928726005322048</v>
      </c>
      <c r="AF259" s="11">
        <v>261.21605620205997</v>
      </c>
      <c r="AG259" t="s">
        <v>34</v>
      </c>
    </row>
    <row r="260" spans="1:33">
      <c r="A260" s="2">
        <v>44092</v>
      </c>
      <c r="B260" s="5" t="s">
        <v>40</v>
      </c>
      <c r="C260" s="5">
        <f>WEEKDAY(Table1[[#This Row],[Date]])</f>
        <v>6</v>
      </c>
      <c r="D260" s="5">
        <f>MONTH(Table1[[#This Row],[Date]])</f>
        <v>9</v>
      </c>
      <c r="E260" s="5">
        <f>WEEKNUM(Table1[[#This Row],[Date]])</f>
        <v>38</v>
      </c>
      <c r="F260" s="5">
        <f>YEAR(Table1[[#This Row],[Date]])</f>
        <v>2020</v>
      </c>
      <c r="G260">
        <v>21</v>
      </c>
      <c r="L260" s="5">
        <v>141</v>
      </c>
      <c r="M260" s="6">
        <v>0.94630000000000003</v>
      </c>
      <c r="N260" s="5">
        <v>8</v>
      </c>
      <c r="O260" s="7">
        <v>1.8518518518518518E-4</v>
      </c>
      <c r="P260" s="7">
        <v>1.8287037037037037E-3</v>
      </c>
      <c r="Q260" s="7">
        <v>1.8171296296296297E-3</v>
      </c>
      <c r="R260" s="6">
        <v>0.79049999999999998</v>
      </c>
      <c r="S260" s="8">
        <f>CONVERT(Table1[[#This Row],[Talk Duration (AVG)]]*Table1[[#This Row],[Answered Calls]],"day","hr")</f>
        <v>6.1883333333333335</v>
      </c>
      <c r="T260" s="9">
        <f>Table1[[#This Row],[Actual Workload hours]]*60</f>
        <v>371.3</v>
      </c>
      <c r="U260" s="9">
        <f>CONVERT(Table1[[#This Row],[Actual]]*Table1[[#This Row],[Talk Duration (AVG)]],"day","hr")</f>
        <v>0.92166666666666663</v>
      </c>
      <c r="V260" s="10">
        <f>Table1[[#This Row],[Required Workload Hours]]*60</f>
        <v>55.3</v>
      </c>
      <c r="W260" s="9">
        <v>1</v>
      </c>
      <c r="X260" s="9">
        <f t="shared" si="8"/>
        <v>1</v>
      </c>
      <c r="Y260" s="5">
        <f t="shared" si="9"/>
        <v>2</v>
      </c>
      <c r="Z260" s="8">
        <f>ROUNDUP(Table1[[#This Row],[Actual Heacount]],0)</f>
        <v>1</v>
      </c>
      <c r="AA260" s="8"/>
      <c r="AB260" s="10"/>
      <c r="AC260" s="10"/>
      <c r="AD260" s="10"/>
      <c r="AE260" s="11">
        <v>25.635666863673841</v>
      </c>
      <c r="AF260" s="11">
        <v>247.9795011666528</v>
      </c>
      <c r="AG260" t="s">
        <v>34</v>
      </c>
    </row>
    <row r="261" spans="1:33">
      <c r="A261" s="2">
        <v>44093</v>
      </c>
      <c r="B261" s="5" t="s">
        <v>33</v>
      </c>
      <c r="C261" s="5">
        <f>WEEKDAY(Table1[[#This Row],[Date]])</f>
        <v>7</v>
      </c>
      <c r="D261" s="5">
        <f>MONTH(Table1[[#This Row],[Date]])</f>
        <v>9</v>
      </c>
      <c r="E261" s="5">
        <f>WEEKNUM(Table1[[#This Row],[Date]])</f>
        <v>38</v>
      </c>
      <c r="F261" s="5">
        <f>YEAR(Table1[[#This Row],[Date]])</f>
        <v>2020</v>
      </c>
      <c r="G261">
        <v>5</v>
      </c>
      <c r="L261" s="5">
        <v>164</v>
      </c>
      <c r="M261" s="6">
        <v>0.95909999999999995</v>
      </c>
      <c r="N261" s="5">
        <v>7</v>
      </c>
      <c r="O261" s="7">
        <v>2.199074074074074E-4</v>
      </c>
      <c r="P261" s="7">
        <v>1.6435185185185185E-3</v>
      </c>
      <c r="Q261" s="7">
        <v>2.650462962962963E-3</v>
      </c>
      <c r="R261" s="6">
        <v>0.77190000000000003</v>
      </c>
      <c r="S261" s="8">
        <f>CONVERT(Table1[[#This Row],[Talk Duration (AVG)]]*Table1[[#This Row],[Answered Calls]],"day","hr")</f>
        <v>6.4688888888888885</v>
      </c>
      <c r="T261" s="9">
        <f>Table1[[#This Row],[Actual Workload hours]]*60</f>
        <v>388.13333333333333</v>
      </c>
      <c r="U261" s="9">
        <f>CONVERT(Table1[[#This Row],[Actual]]*Table1[[#This Row],[Talk Duration (AVG)]],"day","hr")</f>
        <v>0.19722222222222222</v>
      </c>
      <c r="V261" s="10">
        <f>Table1[[#This Row],[Required Workload Hours]]*60</f>
        <v>11.833333333333332</v>
      </c>
      <c r="W261" s="9">
        <v>1.01</v>
      </c>
      <c r="X261" s="9">
        <f t="shared" si="8"/>
        <v>1</v>
      </c>
      <c r="Y261" s="5">
        <f t="shared" si="9"/>
        <v>2</v>
      </c>
      <c r="Z261" s="8">
        <f>ROUNDUP(Table1[[#This Row],[Actual Heacount]],0)</f>
        <v>2</v>
      </c>
      <c r="AA261" s="8"/>
      <c r="AB261" s="10"/>
      <c r="AC261" s="10"/>
      <c r="AD261" s="10"/>
      <c r="AE261" s="11">
        <v>42.837664971633039</v>
      </c>
      <c r="AF261" s="11">
        <v>258.86565044352591</v>
      </c>
      <c r="AG261" t="s">
        <v>34</v>
      </c>
    </row>
    <row r="262" spans="1:33">
      <c r="A262" s="2">
        <v>44094</v>
      </c>
      <c r="B262" s="5" t="s">
        <v>35</v>
      </c>
      <c r="C262" s="5">
        <f>WEEKDAY(Table1[[#This Row],[Date]])</f>
        <v>1</v>
      </c>
      <c r="D262" s="5">
        <f>MONTH(Table1[[#This Row],[Date]])</f>
        <v>9</v>
      </c>
      <c r="E262" s="5">
        <f>WEEKNUM(Table1[[#This Row],[Date]])</f>
        <v>39</v>
      </c>
      <c r="F262" s="5">
        <f>YEAR(Table1[[#This Row],[Date]])</f>
        <v>2020</v>
      </c>
      <c r="G262">
        <v>33</v>
      </c>
      <c r="L262" s="5">
        <v>122</v>
      </c>
      <c r="M262" s="6">
        <v>0.96060000000000001</v>
      </c>
      <c r="N262" s="5">
        <v>5</v>
      </c>
      <c r="O262" s="7">
        <v>1.5046296296296297E-4</v>
      </c>
      <c r="P262" s="7">
        <v>1.6435185185185185E-3</v>
      </c>
      <c r="Q262" s="7">
        <v>9.837962962962962E-4</v>
      </c>
      <c r="R262" s="6">
        <v>0.878</v>
      </c>
      <c r="S262" s="8">
        <f>CONVERT(Table1[[#This Row],[Talk Duration (AVG)]]*Table1[[#This Row],[Answered Calls]],"day","hr")</f>
        <v>4.8122222222222222</v>
      </c>
      <c r="T262" s="9">
        <f>Table1[[#This Row],[Actual Workload hours]]*60</f>
        <v>288.73333333333335</v>
      </c>
      <c r="U262" s="9">
        <f>CONVERT(Table1[[#This Row],[Actual]]*Table1[[#This Row],[Talk Duration (AVG)]],"day","hr")</f>
        <v>1.3016666666666667</v>
      </c>
      <c r="V262" s="10">
        <f>Table1[[#This Row],[Required Workload Hours]]*60</f>
        <v>78.100000000000009</v>
      </c>
      <c r="W262" s="9">
        <v>1</v>
      </c>
      <c r="X262" s="9">
        <f t="shared" si="8"/>
        <v>1</v>
      </c>
      <c r="Y262" s="5">
        <f t="shared" si="9"/>
        <v>2</v>
      </c>
      <c r="Z262" s="8">
        <f>ROUNDUP(Table1[[#This Row],[Actual Heacount]],0)</f>
        <v>1</v>
      </c>
      <c r="AA262" s="8"/>
      <c r="AB262" s="10"/>
      <c r="AC262" s="10"/>
      <c r="AD262" s="10"/>
      <c r="AE262" s="11">
        <v>-57.191807436666977</v>
      </c>
      <c r="AF262" s="11">
        <v>165.38094794984281</v>
      </c>
      <c r="AG262" t="s">
        <v>34</v>
      </c>
    </row>
    <row r="263" spans="1:33">
      <c r="A263" s="2">
        <v>44095</v>
      </c>
      <c r="B263" s="5" t="s">
        <v>36</v>
      </c>
      <c r="C263" s="5">
        <f>WEEKDAY(Table1[[#This Row],[Date]])</f>
        <v>2</v>
      </c>
      <c r="D263" s="5">
        <f>MONTH(Table1[[#This Row],[Date]])</f>
        <v>9</v>
      </c>
      <c r="E263" s="5">
        <f>WEEKNUM(Table1[[#This Row],[Date]])</f>
        <v>39</v>
      </c>
      <c r="F263" s="5">
        <f>YEAR(Table1[[#This Row],[Date]])</f>
        <v>2020</v>
      </c>
      <c r="G263">
        <v>145</v>
      </c>
      <c r="L263" s="5">
        <v>21</v>
      </c>
      <c r="M263" s="6">
        <v>1</v>
      </c>
      <c r="N263" s="5">
        <v>0</v>
      </c>
      <c r="O263" s="7">
        <v>9.2592592592592588E-5</v>
      </c>
      <c r="P263" s="7">
        <v>2.1180555555555558E-3</v>
      </c>
      <c r="Q263" s="7">
        <v>6.7129629629629625E-4</v>
      </c>
      <c r="R263" s="6">
        <v>0.90480000000000005</v>
      </c>
      <c r="S263" s="8">
        <f>CONVERT(Table1[[#This Row],[Talk Duration (AVG)]]*Table1[[#This Row],[Answered Calls]],"day","hr")</f>
        <v>1.0675000000000001</v>
      </c>
      <c r="T263" s="9">
        <f>Table1[[#This Row],[Actual Workload hours]]*60</f>
        <v>64.050000000000011</v>
      </c>
      <c r="U263" s="9">
        <f>CONVERT(Table1[[#This Row],[Actual]]*Table1[[#This Row],[Talk Duration (AVG)]],"day","hr")</f>
        <v>7.3708333333333345</v>
      </c>
      <c r="V263" s="10">
        <f>Table1[[#This Row],[Required Workload Hours]]*60</f>
        <v>442.25000000000006</v>
      </c>
      <c r="W263" s="9">
        <v>1</v>
      </c>
      <c r="X263" s="9">
        <f t="shared" si="8"/>
        <v>1.1516927083333335</v>
      </c>
      <c r="Y263" s="5">
        <f t="shared" si="9"/>
        <v>2</v>
      </c>
      <c r="Z263" s="8">
        <f>ROUNDUP(Table1[[#This Row],[Actual Heacount]],0)</f>
        <v>1</v>
      </c>
      <c r="AA263" s="8"/>
      <c r="AB263" s="10"/>
      <c r="AC263" s="10"/>
      <c r="AD263" s="10"/>
      <c r="AE263" s="11">
        <v>45.333453738723072</v>
      </c>
      <c r="AF263" s="11">
        <v>277.03041935666278</v>
      </c>
      <c r="AG263" t="s">
        <v>34</v>
      </c>
    </row>
    <row r="264" spans="1:33">
      <c r="A264" s="2">
        <v>44096</v>
      </c>
      <c r="B264" s="5" t="s">
        <v>37</v>
      </c>
      <c r="C264" s="5">
        <f>WEEKDAY(Table1[[#This Row],[Date]])</f>
        <v>3</v>
      </c>
      <c r="D264" s="5">
        <f>MONTH(Table1[[#This Row],[Date]])</f>
        <v>9</v>
      </c>
      <c r="E264" s="5">
        <f>WEEKNUM(Table1[[#This Row],[Date]])</f>
        <v>39</v>
      </c>
      <c r="F264" s="5">
        <f>YEAR(Table1[[#This Row],[Date]])</f>
        <v>2020</v>
      </c>
      <c r="G264">
        <v>129</v>
      </c>
      <c r="L264" s="5">
        <v>5</v>
      </c>
      <c r="M264" s="6">
        <v>1</v>
      </c>
      <c r="N264" s="5">
        <v>0</v>
      </c>
      <c r="O264" s="7">
        <v>1.6203703703703703E-4</v>
      </c>
      <c r="P264" s="7">
        <v>1.8171296296296297E-3</v>
      </c>
      <c r="Q264" s="7">
        <v>6.8287037037037036E-4</v>
      </c>
      <c r="R264" s="6">
        <v>0.8</v>
      </c>
      <c r="S264" s="8">
        <f>CONVERT(Table1[[#This Row],[Talk Duration (AVG)]]*Table1[[#This Row],[Answered Calls]],"day","hr")</f>
        <v>0.21805555555555556</v>
      </c>
      <c r="T264" s="9">
        <f>Table1[[#This Row],[Actual Workload hours]]*60</f>
        <v>13.083333333333334</v>
      </c>
      <c r="U264" s="9">
        <f>CONVERT(Table1[[#This Row],[Actual]]*Table1[[#This Row],[Talk Duration (AVG)]],"day","hr")</f>
        <v>5.6258333333333335</v>
      </c>
      <c r="V264" s="10">
        <f>Table1[[#This Row],[Required Workload Hours]]*60</f>
        <v>337.55</v>
      </c>
      <c r="W264" s="9">
        <v>1</v>
      </c>
      <c r="X264" s="9">
        <f t="shared" si="8"/>
        <v>1</v>
      </c>
      <c r="Y264" s="5">
        <f t="shared" si="9"/>
        <v>2</v>
      </c>
      <c r="Z264" s="8">
        <f>ROUNDUP(Table1[[#This Row],[Actual Heacount]],0)</f>
        <v>1</v>
      </c>
      <c r="AA264" s="8"/>
      <c r="AB264" s="10"/>
      <c r="AC264" s="10"/>
      <c r="AD264" s="10"/>
      <c r="AE264" s="11">
        <v>38.701992779369178</v>
      </c>
      <c r="AF264" s="11">
        <v>250.545605201038</v>
      </c>
      <c r="AG264" t="s">
        <v>34</v>
      </c>
    </row>
    <row r="265" spans="1:33">
      <c r="A265" s="2">
        <v>44097</v>
      </c>
      <c r="B265" s="5" t="s">
        <v>38</v>
      </c>
      <c r="C265" s="5">
        <f>WEEKDAY(Table1[[#This Row],[Date]])</f>
        <v>4</v>
      </c>
      <c r="D265" s="5">
        <f>MONTH(Table1[[#This Row],[Date]])</f>
        <v>9</v>
      </c>
      <c r="E265" s="5">
        <f>WEEKNUM(Table1[[#This Row],[Date]])</f>
        <v>39</v>
      </c>
      <c r="F265" s="5">
        <f>YEAR(Table1[[#This Row],[Date]])</f>
        <v>2020</v>
      </c>
      <c r="G265">
        <v>194</v>
      </c>
      <c r="L265" s="5">
        <v>32</v>
      </c>
      <c r="M265" s="6">
        <v>0.96970000000000001</v>
      </c>
      <c r="N265" s="5">
        <v>1</v>
      </c>
      <c r="O265" s="7">
        <v>3.0092592592592595E-4</v>
      </c>
      <c r="P265" s="7">
        <v>1.4351851851851852E-3</v>
      </c>
      <c r="Q265" s="7">
        <v>1.2152777777777778E-3</v>
      </c>
      <c r="R265" s="6">
        <v>0.66669999999999996</v>
      </c>
      <c r="S265" s="8">
        <f>CONVERT(Table1[[#This Row],[Talk Duration (AVG)]]*Table1[[#This Row],[Answered Calls]],"day","hr")</f>
        <v>1.1022222222222222</v>
      </c>
      <c r="T265" s="9">
        <f>Table1[[#This Row],[Actual Workload hours]]*60</f>
        <v>66.133333333333326</v>
      </c>
      <c r="U265" s="9">
        <f>CONVERT(Table1[[#This Row],[Actual]]*Table1[[#This Row],[Talk Duration (AVG)]],"day","hr")</f>
        <v>6.6822222222222223</v>
      </c>
      <c r="V265" s="10">
        <f>Table1[[#This Row],[Required Workload Hours]]*60</f>
        <v>400.93333333333334</v>
      </c>
      <c r="W265" s="9">
        <v>1</v>
      </c>
      <c r="X265" s="9">
        <f t="shared" si="8"/>
        <v>1.0440972222222222</v>
      </c>
      <c r="Y265" s="5">
        <f t="shared" si="9"/>
        <v>1</v>
      </c>
      <c r="Z265" s="8">
        <f>ROUNDUP(Table1[[#This Row],[Actual Heacount]],0)</f>
        <v>1</v>
      </c>
      <c r="AA265" s="8"/>
      <c r="AB265" s="10"/>
      <c r="AC265" s="10"/>
      <c r="AD265" s="10"/>
      <c r="AE265" s="11">
        <v>41.83793770613557</v>
      </c>
      <c r="AF265" s="11">
        <v>258.97466356291233</v>
      </c>
      <c r="AG265" t="s">
        <v>34</v>
      </c>
    </row>
    <row r="266" spans="1:33">
      <c r="A266" s="2">
        <v>44098</v>
      </c>
      <c r="B266" s="5" t="s">
        <v>39</v>
      </c>
      <c r="C266" s="5">
        <f>WEEKDAY(Table1[[#This Row],[Date]])</f>
        <v>5</v>
      </c>
      <c r="D266" s="5">
        <f>MONTH(Table1[[#This Row],[Date]])</f>
        <v>9</v>
      </c>
      <c r="E266" s="5">
        <f>WEEKNUM(Table1[[#This Row],[Date]])</f>
        <v>39</v>
      </c>
      <c r="F266" s="5">
        <f>YEAR(Table1[[#This Row],[Date]])</f>
        <v>2020</v>
      </c>
      <c r="G266">
        <v>194</v>
      </c>
      <c r="L266" s="5">
        <v>139</v>
      </c>
      <c r="M266" s="6">
        <v>0.95860000000000001</v>
      </c>
      <c r="N266" s="5">
        <v>6</v>
      </c>
      <c r="O266" s="7">
        <v>2.3148148148148149E-4</v>
      </c>
      <c r="P266" s="7">
        <v>1.712962962962963E-3</v>
      </c>
      <c r="Q266" s="7">
        <v>2.5578703703703705E-3</v>
      </c>
      <c r="R266" s="6">
        <v>0.79020000000000001</v>
      </c>
      <c r="S266" s="8">
        <f>CONVERT(Table1[[#This Row],[Talk Duration (AVG)]]*Table1[[#This Row],[Answered Calls]],"day","hr")</f>
        <v>5.7144444444444442</v>
      </c>
      <c r="T266" s="9">
        <f>Table1[[#This Row],[Actual Workload hours]]*60</f>
        <v>342.86666666666667</v>
      </c>
      <c r="U266" s="9">
        <f>CONVERT(Table1[[#This Row],[Actual]]*Table1[[#This Row],[Talk Duration (AVG)]],"day","hr")</f>
        <v>7.9755555555555562</v>
      </c>
      <c r="V266" s="10">
        <f>Table1[[#This Row],[Required Workload Hours]]*60</f>
        <v>478.53333333333336</v>
      </c>
      <c r="W266" s="9">
        <v>1</v>
      </c>
      <c r="X266" s="9">
        <f t="shared" si="8"/>
        <v>1.2461805555555556</v>
      </c>
      <c r="Y266" s="5">
        <f t="shared" si="9"/>
        <v>2</v>
      </c>
      <c r="Z266" s="8">
        <f>ROUNDUP(Table1[[#This Row],[Actual Heacount]],0)</f>
        <v>1</v>
      </c>
      <c r="AA266" s="8"/>
      <c r="AB266" s="10"/>
      <c r="AC266" s="10"/>
      <c r="AD266" s="10"/>
      <c r="AE266" s="11">
        <v>42.599083810226432</v>
      </c>
      <c r="AF266" s="11">
        <v>251.85129118939409</v>
      </c>
      <c r="AG266" t="s">
        <v>34</v>
      </c>
    </row>
    <row r="267" spans="1:33">
      <c r="A267" s="2">
        <v>44099</v>
      </c>
      <c r="B267" s="5" t="s">
        <v>40</v>
      </c>
      <c r="C267" s="5">
        <f>WEEKDAY(Table1[[#This Row],[Date]])</f>
        <v>6</v>
      </c>
      <c r="D267" s="5">
        <f>MONTH(Table1[[#This Row],[Date]])</f>
        <v>9</v>
      </c>
      <c r="E267" s="5">
        <f>WEEKNUM(Table1[[#This Row],[Date]])</f>
        <v>39</v>
      </c>
      <c r="F267" s="5">
        <f>YEAR(Table1[[#This Row],[Date]])</f>
        <v>2020</v>
      </c>
      <c r="G267">
        <v>202</v>
      </c>
      <c r="L267" s="5">
        <v>127</v>
      </c>
      <c r="M267" s="6">
        <v>0.98450000000000004</v>
      </c>
      <c r="N267" s="5">
        <v>2</v>
      </c>
      <c r="O267" s="7">
        <v>2.199074074074074E-4</v>
      </c>
      <c r="P267" s="7">
        <v>1.5393518518518519E-3</v>
      </c>
      <c r="Q267" s="7">
        <v>1.261574074074074E-3</v>
      </c>
      <c r="R267" s="6">
        <v>0.75590000000000002</v>
      </c>
      <c r="S267" s="8">
        <f>CONVERT(Table1[[#This Row],[Talk Duration (AVG)]]*Table1[[#This Row],[Answered Calls]],"day","hr")</f>
        <v>4.6919444444444443</v>
      </c>
      <c r="T267" s="9">
        <f>Table1[[#This Row],[Actual Workload hours]]*60</f>
        <v>281.51666666666665</v>
      </c>
      <c r="U267" s="9">
        <f>CONVERT(Table1[[#This Row],[Actual]]*Table1[[#This Row],[Talk Duration (AVG)]],"day","hr")</f>
        <v>7.4627777777777782</v>
      </c>
      <c r="V267" s="10">
        <f>Table1[[#This Row],[Required Workload Hours]]*60</f>
        <v>447.76666666666671</v>
      </c>
      <c r="W267" s="9">
        <v>1</v>
      </c>
      <c r="X267" s="9">
        <f t="shared" si="8"/>
        <v>1.1660590277777778</v>
      </c>
      <c r="Y267" s="5">
        <f t="shared" si="9"/>
        <v>2</v>
      </c>
      <c r="Z267" s="8">
        <f>ROUNDUP(Table1[[#This Row],[Actual Heacount]],0)</f>
        <v>1</v>
      </c>
      <c r="AA267" s="8"/>
      <c r="AB267" s="10"/>
      <c r="AC267" s="10"/>
      <c r="AD267" s="10"/>
      <c r="AE267" s="11">
        <v>39.25821546655731</v>
      </c>
      <c r="AF267" s="11">
        <v>246.76941602284401</v>
      </c>
      <c r="AG267" t="s">
        <v>34</v>
      </c>
    </row>
    <row r="268" spans="1:33">
      <c r="A268" s="2">
        <v>44100</v>
      </c>
      <c r="B268" s="5" t="s">
        <v>33</v>
      </c>
      <c r="C268" s="5">
        <f>WEEKDAY(Table1[[#This Row],[Date]])</f>
        <v>7</v>
      </c>
      <c r="D268" s="5">
        <f>MONTH(Table1[[#This Row],[Date]])</f>
        <v>9</v>
      </c>
      <c r="E268" s="5">
        <f>WEEKNUM(Table1[[#This Row],[Date]])</f>
        <v>39</v>
      </c>
      <c r="F268" s="5">
        <f>YEAR(Table1[[#This Row],[Date]])</f>
        <v>2020</v>
      </c>
      <c r="G268">
        <v>214</v>
      </c>
      <c r="L268" s="5">
        <v>178</v>
      </c>
      <c r="M268" s="6">
        <v>0.91749999999999998</v>
      </c>
      <c r="N268" s="5">
        <v>16</v>
      </c>
      <c r="O268" s="7">
        <v>3.0092592592592595E-4</v>
      </c>
      <c r="P268" s="7">
        <v>1.8055555555555555E-3</v>
      </c>
      <c r="Q268" s="7">
        <v>3.7037037037037038E-3</v>
      </c>
      <c r="R268" s="6">
        <v>0.67190000000000005</v>
      </c>
      <c r="S268" s="8">
        <f>CONVERT(Table1[[#This Row],[Talk Duration (AVG)]]*Table1[[#This Row],[Answered Calls]],"day","hr")</f>
        <v>7.7133333333333329</v>
      </c>
      <c r="T268" s="9">
        <f>Table1[[#This Row],[Actual Workload hours]]*60</f>
        <v>462.79999999999995</v>
      </c>
      <c r="U268" s="9">
        <f>CONVERT(Table1[[#This Row],[Actual]]*Table1[[#This Row],[Talk Duration (AVG)]],"day","hr")</f>
        <v>9.2733333333333334</v>
      </c>
      <c r="V268" s="10">
        <f>Table1[[#This Row],[Required Workload Hours]]*60</f>
        <v>556.4</v>
      </c>
      <c r="W268" s="9">
        <v>1.21</v>
      </c>
      <c r="X268" s="9">
        <f t="shared" si="8"/>
        <v>1.4489583333333333</v>
      </c>
      <c r="Y268" s="5">
        <f t="shared" si="9"/>
        <v>2</v>
      </c>
      <c r="Z268" s="8">
        <f>ROUNDUP(Table1[[#This Row],[Actual Heacount]],0)</f>
        <v>2</v>
      </c>
      <c r="AA268" s="8"/>
      <c r="AB268" s="10"/>
      <c r="AC268" s="10"/>
      <c r="AD268" s="10"/>
      <c r="AE268" s="11">
        <v>38.009451672540202</v>
      </c>
      <c r="AF268" s="11">
        <v>261.43953229851132</v>
      </c>
      <c r="AG268" t="s">
        <v>34</v>
      </c>
    </row>
    <row r="269" spans="1:33">
      <c r="A269" s="2">
        <v>44101</v>
      </c>
      <c r="B269" s="5" t="s">
        <v>35</v>
      </c>
      <c r="C269" s="5">
        <f>WEEKDAY(Table1[[#This Row],[Date]])</f>
        <v>1</v>
      </c>
      <c r="D269" s="5">
        <f>MONTH(Table1[[#This Row],[Date]])</f>
        <v>9</v>
      </c>
      <c r="E269" s="5">
        <f>WEEKNUM(Table1[[#This Row],[Date]])</f>
        <v>40</v>
      </c>
      <c r="F269" s="5">
        <f>YEAR(Table1[[#This Row],[Date]])</f>
        <v>2020</v>
      </c>
      <c r="G269">
        <v>28</v>
      </c>
      <c r="L269" s="5">
        <v>187</v>
      </c>
      <c r="M269" s="6">
        <v>0.96389999999999998</v>
      </c>
      <c r="N269" s="5">
        <v>7</v>
      </c>
      <c r="O269" s="7">
        <v>2.7777777777777778E-4</v>
      </c>
      <c r="P269" s="7">
        <v>1.6782407407407408E-3</v>
      </c>
      <c r="Q269" s="7">
        <v>2.5925925925925925E-3</v>
      </c>
      <c r="R269" s="6">
        <v>0.77249999999999996</v>
      </c>
      <c r="S269" s="8">
        <f>CONVERT(Table1[[#This Row],[Talk Duration (AVG)]]*Table1[[#This Row],[Answered Calls]],"day","hr")</f>
        <v>7.5319444444444441</v>
      </c>
      <c r="T269" s="9">
        <f>Table1[[#This Row],[Actual Workload hours]]*60</f>
        <v>451.91666666666663</v>
      </c>
      <c r="U269" s="9">
        <f>CONVERT(Table1[[#This Row],[Actual]]*Table1[[#This Row],[Talk Duration (AVG)]],"day","hr")</f>
        <v>1.1277777777777778</v>
      </c>
      <c r="V269" s="10">
        <f>Table1[[#This Row],[Required Workload Hours]]*60</f>
        <v>67.666666666666671</v>
      </c>
      <c r="W269" s="9">
        <v>1.18</v>
      </c>
      <c r="X269" s="9">
        <f t="shared" si="8"/>
        <v>1</v>
      </c>
      <c r="Y269" s="5">
        <f t="shared" si="9"/>
        <v>2</v>
      </c>
      <c r="Z269" s="8">
        <f>ROUNDUP(Table1[[#This Row],[Actual Heacount]],0)</f>
        <v>2</v>
      </c>
      <c r="AA269" s="8"/>
      <c r="AB269" s="10"/>
      <c r="AC269" s="10"/>
      <c r="AD269" s="10"/>
      <c r="AE269" s="11">
        <v>-46.805629569774453</v>
      </c>
      <c r="AF269" s="11">
        <v>171.55634733869209</v>
      </c>
      <c r="AG269" t="s">
        <v>34</v>
      </c>
    </row>
    <row r="270" spans="1:33">
      <c r="A270" s="2">
        <v>44102</v>
      </c>
      <c r="B270" s="5" t="s">
        <v>36</v>
      </c>
      <c r="C270" s="5">
        <f>WEEKDAY(Table1[[#This Row],[Date]])</f>
        <v>2</v>
      </c>
      <c r="D270" s="5">
        <f>MONTH(Table1[[#This Row],[Date]])</f>
        <v>9</v>
      </c>
      <c r="E270" s="5">
        <f>WEEKNUM(Table1[[#This Row],[Date]])</f>
        <v>40</v>
      </c>
      <c r="F270" s="5">
        <f>YEAR(Table1[[#This Row],[Date]])</f>
        <v>2020</v>
      </c>
      <c r="G270">
        <v>191</v>
      </c>
      <c r="L270" s="5">
        <v>195</v>
      </c>
      <c r="M270" s="6">
        <v>0.96530000000000005</v>
      </c>
      <c r="N270" s="5">
        <v>7</v>
      </c>
      <c r="O270" s="7">
        <v>2.4305555555555555E-4</v>
      </c>
      <c r="P270" s="7">
        <v>1.6319444444444445E-3</v>
      </c>
      <c r="Q270" s="7">
        <v>2.0717592592592593E-3</v>
      </c>
      <c r="R270" s="6">
        <v>0.74750000000000005</v>
      </c>
      <c r="S270" s="8">
        <f>CONVERT(Table1[[#This Row],[Talk Duration (AVG)]]*Table1[[#This Row],[Answered Calls]],"day","hr")</f>
        <v>7.6375000000000002</v>
      </c>
      <c r="T270" s="9">
        <f>Table1[[#This Row],[Actual Workload hours]]*60</f>
        <v>458.25</v>
      </c>
      <c r="U270" s="9">
        <f>CONVERT(Table1[[#This Row],[Actual]]*Table1[[#This Row],[Talk Duration (AVG)]],"day","hr")</f>
        <v>7.4808333333333348</v>
      </c>
      <c r="V270" s="10">
        <f>Table1[[#This Row],[Required Workload Hours]]*60</f>
        <v>448.85000000000008</v>
      </c>
      <c r="W270" s="9">
        <v>1.19</v>
      </c>
      <c r="X270" s="9">
        <f t="shared" si="8"/>
        <v>1.1688802083333336</v>
      </c>
      <c r="Y270" s="5">
        <f t="shared" si="9"/>
        <v>2</v>
      </c>
      <c r="Z270" s="8">
        <f>ROUNDUP(Table1[[#This Row],[Actual Heacount]],0)</f>
        <v>2</v>
      </c>
      <c r="AA270" s="8"/>
      <c r="AB270" s="10"/>
      <c r="AC270" s="10"/>
      <c r="AD270" s="10"/>
      <c r="AE270" s="11">
        <v>45.443466440857527</v>
      </c>
      <c r="AF270" s="11">
        <v>274.49225635132859</v>
      </c>
      <c r="AG270" t="s">
        <v>34</v>
      </c>
    </row>
    <row r="271" spans="1:33">
      <c r="A271" s="2">
        <v>44103</v>
      </c>
      <c r="B271" s="5" t="s">
        <v>37</v>
      </c>
      <c r="C271" s="5">
        <f>WEEKDAY(Table1[[#This Row],[Date]])</f>
        <v>3</v>
      </c>
      <c r="D271" s="5">
        <f>MONTH(Table1[[#This Row],[Date]])</f>
        <v>9</v>
      </c>
      <c r="E271" s="5">
        <f>WEEKNUM(Table1[[#This Row],[Date]])</f>
        <v>40</v>
      </c>
      <c r="F271" s="5">
        <f>YEAR(Table1[[#This Row],[Date]])</f>
        <v>2020</v>
      </c>
      <c r="G271">
        <v>205</v>
      </c>
      <c r="L271" s="5">
        <v>208</v>
      </c>
      <c r="M271" s="6">
        <v>0.97199999999999998</v>
      </c>
      <c r="N271" s="5">
        <v>6</v>
      </c>
      <c r="O271" s="7">
        <v>1.5046296296296297E-4</v>
      </c>
      <c r="P271" s="7">
        <v>1.6087962962962963E-3</v>
      </c>
      <c r="Q271" s="7">
        <v>6.5972222222222224E-4</v>
      </c>
      <c r="R271" s="6">
        <v>0.88149999999999995</v>
      </c>
      <c r="S271" s="8">
        <f>CONVERT(Table1[[#This Row],[Talk Duration (AVG)]]*Table1[[#This Row],[Answered Calls]],"day","hr")</f>
        <v>8.0311111111111106</v>
      </c>
      <c r="T271" s="9">
        <f>Table1[[#This Row],[Actual Workload hours]]*60</f>
        <v>481.86666666666662</v>
      </c>
      <c r="U271" s="9">
        <f>CONVERT(Table1[[#This Row],[Actual]]*Table1[[#This Row],[Talk Duration (AVG)]],"day","hr")</f>
        <v>7.9152777777777779</v>
      </c>
      <c r="V271" s="10">
        <f>Table1[[#This Row],[Required Workload Hours]]*60</f>
        <v>474.91666666666669</v>
      </c>
      <c r="W271" s="9">
        <v>1.25</v>
      </c>
      <c r="X271" s="9">
        <f t="shared" si="8"/>
        <v>1.2367621527777779</v>
      </c>
      <c r="Y271" s="5">
        <f t="shared" si="9"/>
        <v>2</v>
      </c>
      <c r="Z271" s="8">
        <f>ROUNDUP(Table1[[#This Row],[Actual Heacount]],0)</f>
        <v>2</v>
      </c>
      <c r="AA271" s="8"/>
      <c r="AB271" s="10"/>
      <c r="AC271" s="10"/>
      <c r="AD271" s="10"/>
      <c r="AE271" s="11">
        <v>43.004534297435072</v>
      </c>
      <c r="AF271" s="11">
        <v>257.6684735226811</v>
      </c>
      <c r="AG271" t="s">
        <v>34</v>
      </c>
    </row>
    <row r="272" spans="1:33">
      <c r="A272" s="2">
        <v>44104</v>
      </c>
      <c r="B272" s="5" t="s">
        <v>38</v>
      </c>
      <c r="C272" s="5">
        <f>WEEKDAY(Table1[[#This Row],[Date]])</f>
        <v>4</v>
      </c>
      <c r="D272" s="5">
        <f>MONTH(Table1[[#This Row],[Date]])</f>
        <v>9</v>
      </c>
      <c r="E272" s="5">
        <f>WEEKNUM(Table1[[#This Row],[Date]])</f>
        <v>40</v>
      </c>
      <c r="F272" s="5">
        <f>YEAR(Table1[[#This Row],[Date]])</f>
        <v>2020</v>
      </c>
      <c r="G272">
        <v>198</v>
      </c>
      <c r="L272" s="5">
        <v>28</v>
      </c>
      <c r="M272" s="6">
        <v>1</v>
      </c>
      <c r="N272" s="5">
        <v>0</v>
      </c>
      <c r="O272" s="7">
        <v>1.5046296296296297E-4</v>
      </c>
      <c r="P272" s="7">
        <v>1.5393518518518519E-3</v>
      </c>
      <c r="Q272" s="7">
        <v>9.0277777777777774E-4</v>
      </c>
      <c r="R272" s="6">
        <v>0.89290000000000003</v>
      </c>
      <c r="S272" s="8">
        <f>CONVERT(Table1[[#This Row],[Talk Duration (AVG)]]*Table1[[#This Row],[Answered Calls]],"day","hr")</f>
        <v>1.0344444444444445</v>
      </c>
      <c r="T272" s="9">
        <f>Table1[[#This Row],[Actual Workload hours]]*60</f>
        <v>62.06666666666667</v>
      </c>
      <c r="U272" s="9">
        <f>CONVERT(Table1[[#This Row],[Actual]]*Table1[[#This Row],[Talk Duration (AVG)]],"day","hr")</f>
        <v>7.3150000000000004</v>
      </c>
      <c r="V272" s="10">
        <f>Table1[[#This Row],[Required Workload Hours]]*60</f>
        <v>438.90000000000003</v>
      </c>
      <c r="W272" s="9">
        <v>1</v>
      </c>
      <c r="X272" s="9">
        <f t="shared" si="8"/>
        <v>1.1429687500000001</v>
      </c>
      <c r="Y272" s="5">
        <f t="shared" si="9"/>
        <v>1</v>
      </c>
      <c r="Z272" s="8">
        <f>ROUNDUP(Table1[[#This Row],[Actual Heacount]],0)</f>
        <v>1</v>
      </c>
      <c r="AA272" s="8"/>
      <c r="AB272" s="10"/>
      <c r="AC272" s="10"/>
      <c r="AD272" s="10"/>
      <c r="AE272" s="11">
        <v>45.376180030393002</v>
      </c>
      <c r="AF272" s="11">
        <v>274.75305241555742</v>
      </c>
      <c r="AG272" t="s">
        <v>34</v>
      </c>
    </row>
    <row r="273" spans="1:33">
      <c r="A273" s="2">
        <v>44105</v>
      </c>
      <c r="B273" s="5" t="s">
        <v>39</v>
      </c>
      <c r="C273" s="5">
        <f>WEEKDAY(Table1[[#This Row],[Date]])</f>
        <v>5</v>
      </c>
      <c r="D273" s="5">
        <f>MONTH(Table1[[#This Row],[Date]])</f>
        <v>10</v>
      </c>
      <c r="E273" s="5">
        <f>WEEKNUM(Table1[[#This Row],[Date]])</f>
        <v>40</v>
      </c>
      <c r="F273" s="5">
        <f>YEAR(Table1[[#This Row],[Date]])</f>
        <v>2020</v>
      </c>
      <c r="G273">
        <v>371</v>
      </c>
      <c r="L273" s="5">
        <v>187</v>
      </c>
      <c r="M273" s="6">
        <v>0.97909999999999997</v>
      </c>
      <c r="N273" s="5">
        <v>4</v>
      </c>
      <c r="O273" s="7">
        <v>1.7361111111111112E-4</v>
      </c>
      <c r="P273" s="7">
        <v>1.6550925925925926E-3</v>
      </c>
      <c r="Q273" s="7">
        <v>1.1574074074074073E-3</v>
      </c>
      <c r="R273" s="6">
        <v>0.82540000000000002</v>
      </c>
      <c r="S273" s="8">
        <f>CONVERT(Table1[[#This Row],[Talk Duration (AVG)]]*Table1[[#This Row],[Answered Calls]],"day","hr")</f>
        <v>7.4280555555555559</v>
      </c>
      <c r="T273" s="9">
        <f>Table1[[#This Row],[Actual Workload hours]]*60</f>
        <v>445.68333333333334</v>
      </c>
      <c r="U273" s="9">
        <f>CONVERT(Table1[[#This Row],[Actual]]*Table1[[#This Row],[Talk Duration (AVG)]],"day","hr")</f>
        <v>14.736944444444445</v>
      </c>
      <c r="V273" s="10">
        <f>Table1[[#This Row],[Required Workload Hours]]*60</f>
        <v>884.2166666666667</v>
      </c>
      <c r="W273" s="9">
        <v>1.1599999999999999</v>
      </c>
      <c r="X273" s="9">
        <f t="shared" si="8"/>
        <v>2.3026475694444444</v>
      </c>
      <c r="Y273" s="5">
        <f t="shared" si="9"/>
        <v>2</v>
      </c>
      <c r="Z273" s="8">
        <f>ROUNDUP(Table1[[#This Row],[Actual Heacount]],0)</f>
        <v>2</v>
      </c>
      <c r="AA273" s="8"/>
      <c r="AB273" s="10"/>
      <c r="AC273" s="10"/>
      <c r="AD273" s="10"/>
      <c r="AE273" s="11">
        <v>51.674089088660097</v>
      </c>
      <c r="AF273" s="11">
        <v>266.43530405074699</v>
      </c>
      <c r="AG273" t="s">
        <v>34</v>
      </c>
    </row>
    <row r="274" spans="1:33">
      <c r="A274" s="2">
        <v>44106</v>
      </c>
      <c r="B274" s="5" t="s">
        <v>40</v>
      </c>
      <c r="C274" s="5">
        <f>WEEKDAY(Table1[[#This Row],[Date]])</f>
        <v>6</v>
      </c>
      <c r="D274" s="5">
        <f>MONTH(Table1[[#This Row],[Date]])</f>
        <v>10</v>
      </c>
      <c r="E274" s="5">
        <f>WEEKNUM(Table1[[#This Row],[Date]])</f>
        <v>40</v>
      </c>
      <c r="F274" s="5">
        <f>YEAR(Table1[[#This Row],[Date]])</f>
        <v>2020</v>
      </c>
      <c r="G274">
        <v>385</v>
      </c>
      <c r="L274" s="5">
        <v>197</v>
      </c>
      <c r="M274" s="6">
        <v>0.96099999999999997</v>
      </c>
      <c r="N274" s="5">
        <v>8</v>
      </c>
      <c r="O274" s="7">
        <v>2.4305555555555555E-4</v>
      </c>
      <c r="P274" s="7">
        <v>1.7013888888888888E-3</v>
      </c>
      <c r="Q274" s="7">
        <v>1.6550925925925926E-3</v>
      </c>
      <c r="R274" s="6">
        <v>0.74380000000000002</v>
      </c>
      <c r="S274" s="8">
        <f>CONVERT(Table1[[#This Row],[Talk Duration (AVG)]]*Table1[[#This Row],[Answered Calls]],"day","hr")</f>
        <v>8.0441666666666674</v>
      </c>
      <c r="T274" s="9">
        <f>Table1[[#This Row],[Actual Workload hours]]*60</f>
        <v>482.65000000000003</v>
      </c>
      <c r="U274" s="9">
        <f>CONVERT(Table1[[#This Row],[Actual]]*Table1[[#This Row],[Talk Duration (AVG)]],"day","hr")</f>
        <v>15.720833333333331</v>
      </c>
      <c r="V274" s="10">
        <f>Table1[[#This Row],[Required Workload Hours]]*60</f>
        <v>943.24999999999989</v>
      </c>
      <c r="W274" s="9">
        <v>1.26</v>
      </c>
      <c r="X274" s="9">
        <f t="shared" si="8"/>
        <v>2.456380208333333</v>
      </c>
      <c r="Y274" s="5">
        <f t="shared" si="9"/>
        <v>2</v>
      </c>
      <c r="Z274" s="8">
        <f>ROUNDUP(Table1[[#This Row],[Actual Heacount]],0)</f>
        <v>2</v>
      </c>
      <c r="AA274" s="8"/>
      <c r="AB274" s="10"/>
      <c r="AC274" s="10"/>
      <c r="AD274" s="10"/>
      <c r="AE274" s="11">
        <v>25.56960826035851</v>
      </c>
      <c r="AF274" s="11">
        <v>257.51409853405301</v>
      </c>
      <c r="AG274" t="s">
        <v>34</v>
      </c>
    </row>
    <row r="275" spans="1:33">
      <c r="A275" s="2">
        <v>44107</v>
      </c>
      <c r="B275" s="5" t="s">
        <v>33</v>
      </c>
      <c r="C275" s="5">
        <f>WEEKDAY(Table1[[#This Row],[Date]])</f>
        <v>7</v>
      </c>
      <c r="D275" s="5">
        <f>MONTH(Table1[[#This Row],[Date]])</f>
        <v>10</v>
      </c>
      <c r="E275" s="5">
        <f>WEEKNUM(Table1[[#This Row],[Date]])</f>
        <v>40</v>
      </c>
      <c r="F275" s="5">
        <f>YEAR(Table1[[#This Row],[Date]])</f>
        <v>2020</v>
      </c>
      <c r="G275">
        <v>202</v>
      </c>
      <c r="L275" s="5">
        <v>196</v>
      </c>
      <c r="M275" s="6">
        <v>0.9899</v>
      </c>
      <c r="N275" s="5">
        <v>2</v>
      </c>
      <c r="O275" s="7">
        <v>2.6620370370370372E-4</v>
      </c>
      <c r="P275" s="7">
        <v>1.712962962962963E-3</v>
      </c>
      <c r="Q275" s="7">
        <v>1.4236111111111112E-3</v>
      </c>
      <c r="R275" s="6">
        <v>0.73599999999999999</v>
      </c>
      <c r="S275" s="8">
        <f>CONVERT(Table1[[#This Row],[Talk Duration (AVG)]]*Table1[[#This Row],[Answered Calls]],"day","hr")</f>
        <v>8.0577777777777779</v>
      </c>
      <c r="T275" s="9">
        <f>Table1[[#This Row],[Actual Workload hours]]*60</f>
        <v>483.4666666666667</v>
      </c>
      <c r="U275" s="9">
        <f>CONVERT(Table1[[#This Row],[Actual]]*Table1[[#This Row],[Talk Duration (AVG)]],"day","hr")</f>
        <v>8.3044444444444441</v>
      </c>
      <c r="V275" s="10">
        <f>Table1[[#This Row],[Required Workload Hours]]*60</f>
        <v>498.26666666666665</v>
      </c>
      <c r="W275" s="9">
        <v>1.26</v>
      </c>
      <c r="X275" s="9">
        <f t="shared" si="8"/>
        <v>1.2975694444444443</v>
      </c>
      <c r="Y275" s="5">
        <f t="shared" si="9"/>
        <v>2</v>
      </c>
      <c r="Z275" s="8">
        <f>ROUNDUP(Table1[[#This Row],[Actual Heacount]],0)</f>
        <v>2</v>
      </c>
      <c r="AA275" s="8"/>
      <c r="AB275" s="10"/>
      <c r="AC275" s="10"/>
      <c r="AD275" s="10"/>
      <c r="AE275" s="11">
        <v>47.882827624031997</v>
      </c>
      <c r="AF275" s="11">
        <v>264.60253792997707</v>
      </c>
      <c r="AG275" t="s">
        <v>34</v>
      </c>
    </row>
    <row r="276" spans="1:33">
      <c r="A276" s="2">
        <v>44108</v>
      </c>
      <c r="B276" s="5" t="s">
        <v>35</v>
      </c>
      <c r="C276" s="5">
        <f>WEEKDAY(Table1[[#This Row],[Date]])</f>
        <v>1</v>
      </c>
      <c r="D276" s="5">
        <f>MONTH(Table1[[#This Row],[Date]])</f>
        <v>10</v>
      </c>
      <c r="E276" s="5">
        <f>WEEKNUM(Table1[[#This Row],[Date]])</f>
        <v>41</v>
      </c>
      <c r="F276" s="5">
        <f>YEAR(Table1[[#This Row],[Date]])</f>
        <v>2020</v>
      </c>
      <c r="G276">
        <v>167</v>
      </c>
      <c r="L276" s="5">
        <v>177</v>
      </c>
      <c r="M276" s="6">
        <v>0.96199999999999997</v>
      </c>
      <c r="N276" s="5">
        <v>7</v>
      </c>
      <c r="O276" s="7">
        <v>2.3148148148148149E-4</v>
      </c>
      <c r="P276" s="7">
        <v>1.8634259259259259E-3</v>
      </c>
      <c r="Q276" s="7">
        <v>1.2731481481481483E-3</v>
      </c>
      <c r="R276" s="6">
        <v>0.78569999999999995</v>
      </c>
      <c r="S276" s="8">
        <f>CONVERT(Table1[[#This Row],[Talk Duration (AVG)]]*Table1[[#This Row],[Answered Calls]],"day","hr")</f>
        <v>7.9158333333333335</v>
      </c>
      <c r="T276" s="9">
        <f>Table1[[#This Row],[Actual Workload hours]]*60</f>
        <v>474.95</v>
      </c>
      <c r="U276" s="9">
        <f>CONVERT(Table1[[#This Row],[Actual]]*Table1[[#This Row],[Talk Duration (AVG)]],"day","hr")</f>
        <v>7.4686111111111115</v>
      </c>
      <c r="V276" s="10">
        <f>Table1[[#This Row],[Required Workload Hours]]*60</f>
        <v>448.11666666666667</v>
      </c>
      <c r="W276" s="9">
        <v>1.24</v>
      </c>
      <c r="X276" s="9">
        <f t="shared" si="8"/>
        <v>1.1669704861111112</v>
      </c>
      <c r="Y276" s="5">
        <f t="shared" si="9"/>
        <v>2</v>
      </c>
      <c r="Z276" s="8">
        <f>ROUNDUP(Table1[[#This Row],[Actual Heacount]],0)</f>
        <v>2</v>
      </c>
      <c r="AA276" s="8"/>
      <c r="AB276" s="10"/>
      <c r="AC276" s="10"/>
      <c r="AD276" s="10"/>
      <c r="AE276" s="11">
        <v>-49.426221184205552</v>
      </c>
      <c r="AF276" s="11">
        <v>174.61710027687681</v>
      </c>
      <c r="AG276" t="s">
        <v>34</v>
      </c>
    </row>
    <row r="277" spans="1:33">
      <c r="A277" s="2">
        <v>44109</v>
      </c>
      <c r="B277" s="5" t="s">
        <v>36</v>
      </c>
      <c r="C277" s="5">
        <f>WEEKDAY(Table1[[#This Row],[Date]])</f>
        <v>2</v>
      </c>
      <c r="D277" s="5">
        <f>MONTH(Table1[[#This Row],[Date]])</f>
        <v>10</v>
      </c>
      <c r="E277" s="5">
        <f>WEEKNUM(Table1[[#This Row],[Date]])</f>
        <v>41</v>
      </c>
      <c r="F277" s="5">
        <f>YEAR(Table1[[#This Row],[Date]])</f>
        <v>2020</v>
      </c>
      <c r="G277">
        <v>85</v>
      </c>
      <c r="L277" s="5">
        <v>174</v>
      </c>
      <c r="M277" s="6">
        <v>0.94569999999999999</v>
      </c>
      <c r="N277" s="5">
        <v>10</v>
      </c>
      <c r="O277" s="7">
        <v>2.8935185185185184E-4</v>
      </c>
      <c r="P277" s="7">
        <v>1.7013888888888888E-3</v>
      </c>
      <c r="Q277" s="7">
        <v>1.9328703703703704E-3</v>
      </c>
      <c r="R277" s="6">
        <v>0.7</v>
      </c>
      <c r="S277" s="8">
        <f>CONVERT(Table1[[#This Row],[Talk Duration (AVG)]]*Table1[[#This Row],[Answered Calls]],"day","hr")</f>
        <v>7.1050000000000004</v>
      </c>
      <c r="T277" s="9">
        <f>Table1[[#This Row],[Actual Workload hours]]*60</f>
        <v>426.3</v>
      </c>
      <c r="U277" s="9">
        <f>CONVERT(Table1[[#This Row],[Actual]]*Table1[[#This Row],[Talk Duration (AVG)]],"day","hr")</f>
        <v>3.4708333333333328</v>
      </c>
      <c r="V277" s="10">
        <f>Table1[[#This Row],[Required Workload Hours]]*60</f>
        <v>208.24999999999997</v>
      </c>
      <c r="W277" s="9">
        <v>1.1100000000000001</v>
      </c>
      <c r="X277" s="9">
        <f t="shared" si="8"/>
        <v>1</v>
      </c>
      <c r="Y277" s="5">
        <f t="shared" si="9"/>
        <v>2</v>
      </c>
      <c r="Z277" s="8">
        <f>ROUNDUP(Table1[[#This Row],[Actual Heacount]],0)</f>
        <v>2</v>
      </c>
      <c r="AA277" s="8"/>
      <c r="AB277" s="10"/>
      <c r="AC277" s="10"/>
      <c r="AD277" s="10"/>
      <c r="AE277" s="11">
        <v>58.270987974032231</v>
      </c>
      <c r="AF277" s="11">
        <v>281.48852952744198</v>
      </c>
      <c r="AG277" t="s">
        <v>34</v>
      </c>
    </row>
    <row r="278" spans="1:33">
      <c r="A278" s="2">
        <v>44110</v>
      </c>
      <c r="B278" s="5" t="s">
        <v>37</v>
      </c>
      <c r="C278" s="5">
        <f>WEEKDAY(Table1[[#This Row],[Date]])</f>
        <v>3</v>
      </c>
      <c r="D278" s="5">
        <f>MONTH(Table1[[#This Row],[Date]])</f>
        <v>10</v>
      </c>
      <c r="E278" s="5">
        <f>WEEKNUM(Table1[[#This Row],[Date]])</f>
        <v>41</v>
      </c>
      <c r="F278" s="5">
        <f>YEAR(Table1[[#This Row],[Date]])</f>
        <v>2020</v>
      </c>
      <c r="G278">
        <v>155</v>
      </c>
      <c r="L278" s="5">
        <v>160</v>
      </c>
      <c r="M278" s="6">
        <v>0.95240000000000002</v>
      </c>
      <c r="N278" s="5">
        <v>8</v>
      </c>
      <c r="O278" s="7">
        <v>3.0092592592592595E-4</v>
      </c>
      <c r="P278" s="7">
        <v>1.6782407407407408E-3</v>
      </c>
      <c r="Q278" s="7">
        <v>1.4351851851851852E-3</v>
      </c>
      <c r="R278" s="6">
        <v>0.68259999999999998</v>
      </c>
      <c r="S278" s="8">
        <f>CONVERT(Table1[[#This Row],[Talk Duration (AVG)]]*Table1[[#This Row],[Answered Calls]],"day","hr")</f>
        <v>6.4444444444444455</v>
      </c>
      <c r="T278" s="9">
        <f>Table1[[#This Row],[Actual Workload hours]]*60</f>
        <v>386.66666666666674</v>
      </c>
      <c r="U278" s="9">
        <f>CONVERT(Table1[[#This Row],[Actual]]*Table1[[#This Row],[Talk Duration (AVG)]],"day","hr")</f>
        <v>6.2430555555555554</v>
      </c>
      <c r="V278" s="10">
        <f>Table1[[#This Row],[Required Workload Hours]]*60</f>
        <v>374.58333333333331</v>
      </c>
      <c r="W278" s="9">
        <v>1.01</v>
      </c>
      <c r="X278" s="9">
        <f t="shared" si="8"/>
        <v>1</v>
      </c>
      <c r="Y278" s="5">
        <f t="shared" si="9"/>
        <v>2</v>
      </c>
      <c r="Z278" s="8">
        <f>ROUNDUP(Table1[[#This Row],[Actual Heacount]],0)</f>
        <v>2</v>
      </c>
      <c r="AA278" s="8"/>
      <c r="AB278" s="10"/>
      <c r="AC278" s="10"/>
      <c r="AD278" s="10"/>
      <c r="AE278" s="11">
        <v>43.999789104182767</v>
      </c>
      <c r="AF278" s="11">
        <v>269.02916173621412</v>
      </c>
      <c r="AG278" t="s">
        <v>34</v>
      </c>
    </row>
    <row r="279" spans="1:33">
      <c r="A279" s="2">
        <v>44111</v>
      </c>
      <c r="B279" s="5" t="s">
        <v>38</v>
      </c>
      <c r="C279" s="5">
        <f>WEEKDAY(Table1[[#This Row],[Date]])</f>
        <v>4</v>
      </c>
      <c r="D279" s="5">
        <f>MONTH(Table1[[#This Row],[Date]])</f>
        <v>10</v>
      </c>
      <c r="E279" s="5">
        <f>WEEKNUM(Table1[[#This Row],[Date]])</f>
        <v>41</v>
      </c>
      <c r="F279" s="5">
        <f>YEAR(Table1[[#This Row],[Date]])</f>
        <v>2020</v>
      </c>
      <c r="G279">
        <v>154</v>
      </c>
      <c r="L279" s="5">
        <v>37</v>
      </c>
      <c r="M279" s="6">
        <v>0.94869999999999999</v>
      </c>
      <c r="N279" s="5">
        <v>2</v>
      </c>
      <c r="O279" s="7">
        <v>1.6203703703703703E-4</v>
      </c>
      <c r="P279" s="7">
        <v>1.4814814814814814E-3</v>
      </c>
      <c r="Q279" s="7">
        <v>7.291666666666667E-4</v>
      </c>
      <c r="R279" s="6">
        <v>0.81079999999999997</v>
      </c>
      <c r="S279" s="8">
        <f>CONVERT(Table1[[#This Row],[Talk Duration (AVG)]]*Table1[[#This Row],[Answered Calls]],"day","hr")</f>
        <v>1.3155555555555554</v>
      </c>
      <c r="T279" s="9">
        <f>Table1[[#This Row],[Actual Workload hours]]*60</f>
        <v>78.933333333333323</v>
      </c>
      <c r="U279" s="9">
        <f>CONVERT(Table1[[#This Row],[Actual]]*Table1[[#This Row],[Talk Duration (AVG)]],"day","hr")</f>
        <v>5.4755555555555553</v>
      </c>
      <c r="V279" s="10">
        <f>Table1[[#This Row],[Required Workload Hours]]*60</f>
        <v>328.5333333333333</v>
      </c>
      <c r="W279" s="9">
        <v>1</v>
      </c>
      <c r="X279" s="9">
        <f t="shared" si="8"/>
        <v>1</v>
      </c>
      <c r="Y279" s="5">
        <f t="shared" si="9"/>
        <v>1</v>
      </c>
      <c r="Z279" s="8">
        <f>ROUNDUP(Table1[[#This Row],[Actual Heacount]],0)</f>
        <v>1</v>
      </c>
      <c r="AA279" s="8"/>
      <c r="AB279" s="10"/>
      <c r="AC279" s="10"/>
      <c r="AD279" s="10"/>
      <c r="AE279" s="11">
        <v>57.943834962122963</v>
      </c>
      <c r="AF279" s="11">
        <v>280.17917216323872</v>
      </c>
      <c r="AG279" t="s">
        <v>34</v>
      </c>
    </row>
    <row r="280" spans="1:33">
      <c r="A280" s="2">
        <v>44112</v>
      </c>
      <c r="B280" s="5" t="s">
        <v>39</v>
      </c>
      <c r="C280" s="5">
        <f>WEEKDAY(Table1[[#This Row],[Date]])</f>
        <v>5</v>
      </c>
      <c r="D280" s="5">
        <f>MONTH(Table1[[#This Row],[Date]])</f>
        <v>10</v>
      </c>
      <c r="E280" s="5">
        <f>WEEKNUM(Table1[[#This Row],[Date]])</f>
        <v>41</v>
      </c>
      <c r="F280" s="5">
        <f>YEAR(Table1[[#This Row],[Date]])</f>
        <v>2020</v>
      </c>
      <c r="G280">
        <v>414</v>
      </c>
      <c r="L280" s="5">
        <v>210</v>
      </c>
      <c r="M280" s="6">
        <v>0.93330000000000002</v>
      </c>
      <c r="N280" s="5">
        <v>15</v>
      </c>
      <c r="O280" s="7">
        <v>3.2407407407407406E-4</v>
      </c>
      <c r="P280" s="7">
        <v>1.5393518518518519E-3</v>
      </c>
      <c r="Q280" s="7">
        <v>1.7708333333333332E-3</v>
      </c>
      <c r="R280" s="6">
        <v>0.66969999999999996</v>
      </c>
      <c r="S280" s="8">
        <f>CONVERT(Table1[[#This Row],[Talk Duration (AVG)]]*Table1[[#This Row],[Answered Calls]],"day","hr")</f>
        <v>7.7583333333333337</v>
      </c>
      <c r="T280" s="9">
        <f>Table1[[#This Row],[Actual Workload hours]]*60</f>
        <v>465.5</v>
      </c>
      <c r="U280" s="9">
        <f>CONVERT(Table1[[#This Row],[Actual]]*Table1[[#This Row],[Talk Duration (AVG)]],"day","hr")</f>
        <v>15.295</v>
      </c>
      <c r="V280" s="10">
        <f>Table1[[#This Row],[Required Workload Hours]]*60</f>
        <v>917.7</v>
      </c>
      <c r="W280" s="9">
        <v>1.21</v>
      </c>
      <c r="X280" s="9">
        <f t="shared" si="8"/>
        <v>2.3898437500000003</v>
      </c>
      <c r="Y280" s="5">
        <f t="shared" si="9"/>
        <v>2</v>
      </c>
      <c r="Z280" s="8">
        <f>ROUNDUP(Table1[[#This Row],[Actual Heacount]],0)</f>
        <v>2</v>
      </c>
      <c r="AA280" s="8"/>
      <c r="AB280" s="10"/>
      <c r="AC280" s="10"/>
      <c r="AD280" s="10"/>
      <c r="AE280" s="11">
        <v>59.433530293778247</v>
      </c>
      <c r="AF280" s="11">
        <v>277.30058353292782</v>
      </c>
      <c r="AG280" t="s">
        <v>34</v>
      </c>
    </row>
    <row r="281" spans="1:33">
      <c r="A281" s="2">
        <v>44113</v>
      </c>
      <c r="B281" s="5" t="s">
        <v>40</v>
      </c>
      <c r="C281" s="5">
        <f>WEEKDAY(Table1[[#This Row],[Date]])</f>
        <v>6</v>
      </c>
      <c r="D281" s="5">
        <f>MONTH(Table1[[#This Row],[Date]])</f>
        <v>10</v>
      </c>
      <c r="E281" s="5">
        <f>WEEKNUM(Table1[[#This Row],[Date]])</f>
        <v>41</v>
      </c>
      <c r="F281" s="5">
        <f>YEAR(Table1[[#This Row],[Date]])</f>
        <v>2020</v>
      </c>
      <c r="G281">
        <v>238</v>
      </c>
      <c r="L281" s="5">
        <v>174</v>
      </c>
      <c r="M281" s="6">
        <v>0.95599999999999996</v>
      </c>
      <c r="N281" s="5">
        <v>8</v>
      </c>
      <c r="O281" s="7">
        <v>3.7037037037037035E-4</v>
      </c>
      <c r="P281" s="7">
        <v>1.5740740740740741E-3</v>
      </c>
      <c r="Q281" s="7">
        <v>2.7314814814814814E-3</v>
      </c>
      <c r="R281" s="6">
        <v>0.60219999999999996</v>
      </c>
      <c r="S281" s="8">
        <f>CONVERT(Table1[[#This Row],[Talk Duration (AVG)]]*Table1[[#This Row],[Answered Calls]],"day","hr")</f>
        <v>6.5733333333333333</v>
      </c>
      <c r="T281" s="9">
        <f>Table1[[#This Row],[Actual Workload hours]]*60</f>
        <v>394.4</v>
      </c>
      <c r="U281" s="9">
        <f>CONVERT(Table1[[#This Row],[Actual]]*Table1[[#This Row],[Talk Duration (AVG)]],"day","hr")</f>
        <v>8.9911111111111115</v>
      </c>
      <c r="V281" s="10">
        <f>Table1[[#This Row],[Required Workload Hours]]*60</f>
        <v>539.4666666666667</v>
      </c>
      <c r="W281" s="9">
        <v>1.03</v>
      </c>
      <c r="X281" s="9">
        <f t="shared" si="8"/>
        <v>1.4048611111111111</v>
      </c>
      <c r="Y281" s="5">
        <f t="shared" si="9"/>
        <v>2</v>
      </c>
      <c r="Z281" s="8">
        <f>ROUNDUP(Table1[[#This Row],[Actual Heacount]],0)</f>
        <v>2</v>
      </c>
      <c r="AA281" s="8"/>
      <c r="AB281" s="10"/>
      <c r="AC281" s="10"/>
      <c r="AD281" s="10"/>
      <c r="AE281" s="11">
        <v>51.238154457598277</v>
      </c>
      <c r="AF281" s="11">
        <v>263.57481047621332</v>
      </c>
      <c r="AG281" t="s">
        <v>34</v>
      </c>
    </row>
    <row r="282" spans="1:33">
      <c r="A282" s="2">
        <v>44114</v>
      </c>
      <c r="B282" s="5" t="s">
        <v>33</v>
      </c>
      <c r="C282" s="5">
        <f>WEEKDAY(Table1[[#This Row],[Date]])</f>
        <v>7</v>
      </c>
      <c r="D282" s="5">
        <f>MONTH(Table1[[#This Row],[Date]])</f>
        <v>10</v>
      </c>
      <c r="E282" s="5">
        <f>WEEKNUM(Table1[[#This Row],[Date]])</f>
        <v>41</v>
      </c>
      <c r="F282" s="5">
        <f>YEAR(Table1[[#This Row],[Date]])</f>
        <v>2020</v>
      </c>
      <c r="G282">
        <v>231</v>
      </c>
      <c r="L282" s="5">
        <v>305</v>
      </c>
      <c r="M282" s="6">
        <v>0.88149999999999995</v>
      </c>
      <c r="N282" s="5">
        <v>41</v>
      </c>
      <c r="O282" s="7">
        <v>5.2083333333333333E-4</v>
      </c>
      <c r="P282" s="7">
        <v>1.3541666666666667E-3</v>
      </c>
      <c r="Q282" s="7">
        <v>3.5532407407407409E-3</v>
      </c>
      <c r="R282" s="6">
        <v>0.45029999999999998</v>
      </c>
      <c r="S282" s="8">
        <f>CONVERT(Table1[[#This Row],[Talk Duration (AVG)]]*Table1[[#This Row],[Answered Calls]],"day","hr")</f>
        <v>9.9124999999999996</v>
      </c>
      <c r="T282" s="9">
        <f>Table1[[#This Row],[Actual Workload hours]]*60</f>
        <v>594.75</v>
      </c>
      <c r="U282" s="9">
        <f>CONVERT(Table1[[#This Row],[Actual]]*Table1[[#This Row],[Talk Duration (AVG)]],"day","hr")</f>
        <v>7.5075000000000003</v>
      </c>
      <c r="V282" s="10">
        <f>Table1[[#This Row],[Required Workload Hours]]*60</f>
        <v>450.45000000000005</v>
      </c>
      <c r="W282" s="9">
        <v>1.55</v>
      </c>
      <c r="X282" s="9">
        <f t="shared" si="8"/>
        <v>1.173046875</v>
      </c>
      <c r="Y282" s="5">
        <f t="shared" si="9"/>
        <v>2</v>
      </c>
      <c r="Z282" s="8">
        <f>ROUNDUP(Table1[[#This Row],[Actual Heacount]],0)</f>
        <v>2</v>
      </c>
      <c r="AA282" s="8"/>
      <c r="AB282" s="10"/>
      <c r="AC282" s="10"/>
      <c r="AD282" s="10"/>
      <c r="AE282" s="11">
        <v>64.612673599061822</v>
      </c>
      <c r="AF282" s="11">
        <v>279.73192544159059</v>
      </c>
      <c r="AG282" t="s">
        <v>34</v>
      </c>
    </row>
    <row r="283" spans="1:33">
      <c r="A283" s="2">
        <v>44115</v>
      </c>
      <c r="B283" s="5" t="s">
        <v>35</v>
      </c>
      <c r="C283" s="5">
        <f>WEEKDAY(Table1[[#This Row],[Date]])</f>
        <v>1</v>
      </c>
      <c r="D283" s="5">
        <f>MONTH(Table1[[#This Row],[Date]])</f>
        <v>10</v>
      </c>
      <c r="E283" s="5">
        <f>WEEKNUM(Table1[[#This Row],[Date]])</f>
        <v>42</v>
      </c>
      <c r="F283" s="5">
        <f>YEAR(Table1[[#This Row],[Date]])</f>
        <v>2020</v>
      </c>
      <c r="G283">
        <v>206</v>
      </c>
      <c r="L283" s="5">
        <v>441</v>
      </c>
      <c r="M283" s="6">
        <v>0.98</v>
      </c>
      <c r="N283" s="5">
        <v>9</v>
      </c>
      <c r="O283" s="7">
        <v>2.199074074074074E-4</v>
      </c>
      <c r="P283" s="7">
        <v>1.3078703703703703E-3</v>
      </c>
      <c r="Q283" s="7">
        <v>1.7476851851851852E-3</v>
      </c>
      <c r="R283" s="6">
        <v>0.78300000000000003</v>
      </c>
      <c r="S283" s="8">
        <f>CONVERT(Table1[[#This Row],[Talk Duration (AVG)]]*Table1[[#This Row],[Answered Calls]],"day","hr")</f>
        <v>13.842499999999998</v>
      </c>
      <c r="T283" s="9">
        <f>Table1[[#This Row],[Actual Workload hours]]*60</f>
        <v>830.54999999999984</v>
      </c>
      <c r="U283" s="9">
        <f>CONVERT(Table1[[#This Row],[Actual]]*Table1[[#This Row],[Talk Duration (AVG)]],"day","hr")</f>
        <v>6.4661111111111111</v>
      </c>
      <c r="V283" s="10">
        <f>Table1[[#This Row],[Required Workload Hours]]*60</f>
        <v>387.9666666666667</v>
      </c>
      <c r="W283" s="9">
        <v>2.16</v>
      </c>
      <c r="X283" s="9">
        <f t="shared" si="8"/>
        <v>1.0103298611111111</v>
      </c>
      <c r="Y283" s="5">
        <f t="shared" si="9"/>
        <v>2</v>
      </c>
      <c r="Z283" s="8">
        <f>ROUNDUP(Table1[[#This Row],[Actual Heacount]],0)</f>
        <v>3</v>
      </c>
      <c r="AA283" s="8"/>
      <c r="AB283" s="10"/>
      <c r="AC283" s="10"/>
      <c r="AD283" s="10"/>
      <c r="AE283" s="11">
        <v>-34.698904152281081</v>
      </c>
      <c r="AF283" s="11">
        <v>187.5666416235</v>
      </c>
      <c r="AG283" t="s">
        <v>34</v>
      </c>
    </row>
    <row r="284" spans="1:33">
      <c r="A284" s="2">
        <v>44116</v>
      </c>
      <c r="B284" s="5" t="s">
        <v>36</v>
      </c>
      <c r="C284" s="5">
        <f>WEEKDAY(Table1[[#This Row],[Date]])</f>
        <v>2</v>
      </c>
      <c r="D284" s="5">
        <f>MONTH(Table1[[#This Row],[Date]])</f>
        <v>10</v>
      </c>
      <c r="E284" s="5">
        <f>WEEKNUM(Table1[[#This Row],[Date]])</f>
        <v>42</v>
      </c>
      <c r="F284" s="5">
        <f>YEAR(Table1[[#This Row],[Date]])</f>
        <v>2020</v>
      </c>
      <c r="G284">
        <v>205</v>
      </c>
      <c r="L284" s="5">
        <v>248</v>
      </c>
      <c r="M284" s="6">
        <v>0.95750000000000002</v>
      </c>
      <c r="N284" s="5">
        <v>11</v>
      </c>
      <c r="O284" s="7">
        <v>2.3148148148148149E-4</v>
      </c>
      <c r="P284" s="7">
        <v>1.4583333333333334E-3</v>
      </c>
      <c r="Q284" s="7">
        <v>1.2847222222222223E-3</v>
      </c>
      <c r="R284" s="6">
        <v>0.75390000000000001</v>
      </c>
      <c r="S284" s="8">
        <f>CONVERT(Table1[[#This Row],[Talk Duration (AVG)]]*Table1[[#This Row],[Answered Calls]],"day","hr")</f>
        <v>8.6800000000000015</v>
      </c>
      <c r="T284" s="9">
        <f>Table1[[#This Row],[Actual Workload hours]]*60</f>
        <v>520.80000000000007</v>
      </c>
      <c r="U284" s="9">
        <f>CONVERT(Table1[[#This Row],[Actual]]*Table1[[#This Row],[Talk Duration (AVG)]],"day","hr")</f>
        <v>7.1749999999999998</v>
      </c>
      <c r="V284" s="10">
        <f>Table1[[#This Row],[Required Workload Hours]]*60</f>
        <v>430.5</v>
      </c>
      <c r="W284" s="9">
        <v>1.36</v>
      </c>
      <c r="X284" s="9">
        <f t="shared" si="8"/>
        <v>1.12109375</v>
      </c>
      <c r="Y284" s="5">
        <f t="shared" si="9"/>
        <v>2</v>
      </c>
      <c r="Z284" s="8">
        <f>ROUNDUP(Table1[[#This Row],[Actual Heacount]],0)</f>
        <v>2</v>
      </c>
      <c r="AA284" s="8"/>
      <c r="AB284" s="10"/>
      <c r="AC284" s="10"/>
      <c r="AD284" s="10"/>
      <c r="AE284" s="11">
        <v>69.382216246672613</v>
      </c>
      <c r="AF284" s="11">
        <v>300.98920094681341</v>
      </c>
      <c r="AG284" t="s">
        <v>34</v>
      </c>
    </row>
    <row r="285" spans="1:33">
      <c r="A285" s="2">
        <v>44117</v>
      </c>
      <c r="B285" s="5" t="s">
        <v>37</v>
      </c>
      <c r="C285" s="5">
        <f>WEEKDAY(Table1[[#This Row],[Date]])</f>
        <v>3</v>
      </c>
      <c r="D285" s="5">
        <f>MONTH(Table1[[#This Row],[Date]])</f>
        <v>10</v>
      </c>
      <c r="E285" s="5">
        <f>WEEKNUM(Table1[[#This Row],[Date]])</f>
        <v>42</v>
      </c>
      <c r="F285" s="5">
        <f>YEAR(Table1[[#This Row],[Date]])</f>
        <v>2020</v>
      </c>
      <c r="G285">
        <v>202</v>
      </c>
      <c r="L285" s="5">
        <v>214</v>
      </c>
      <c r="M285" s="6">
        <v>0.9264</v>
      </c>
      <c r="N285" s="5">
        <v>17</v>
      </c>
      <c r="O285" s="7">
        <v>2.0833333333333335E-4</v>
      </c>
      <c r="P285" s="7">
        <v>1.4583333333333334E-3</v>
      </c>
      <c r="Q285" s="7">
        <v>1.7476851851851852E-3</v>
      </c>
      <c r="R285" s="6">
        <v>0.79559999999999997</v>
      </c>
      <c r="S285" s="8">
        <f>CONVERT(Table1[[#This Row],[Talk Duration (AVG)]]*Table1[[#This Row],[Answered Calls]],"day","hr")</f>
        <v>7.49</v>
      </c>
      <c r="T285" s="9">
        <f>Table1[[#This Row],[Actual Workload hours]]*60</f>
        <v>449.40000000000003</v>
      </c>
      <c r="U285" s="9">
        <f>CONVERT(Table1[[#This Row],[Actual]]*Table1[[#This Row],[Talk Duration (AVG)]],"day","hr")</f>
        <v>7.0700000000000012</v>
      </c>
      <c r="V285" s="10">
        <f>Table1[[#This Row],[Required Workload Hours]]*60</f>
        <v>424.20000000000005</v>
      </c>
      <c r="W285" s="9">
        <v>1.17</v>
      </c>
      <c r="X285" s="9">
        <f t="shared" si="8"/>
        <v>1.1046875</v>
      </c>
      <c r="Y285" s="5">
        <f t="shared" si="9"/>
        <v>2</v>
      </c>
      <c r="Z285" s="8">
        <f>ROUNDUP(Table1[[#This Row],[Actual Heacount]],0)</f>
        <v>2</v>
      </c>
      <c r="AA285" s="8"/>
      <c r="AB285" s="10"/>
      <c r="AC285" s="10"/>
      <c r="AD285" s="10"/>
      <c r="AE285" s="11">
        <v>55.802925512985063</v>
      </c>
      <c r="AF285" s="11">
        <v>280.53039305409322</v>
      </c>
      <c r="AG285" t="s">
        <v>34</v>
      </c>
    </row>
    <row r="286" spans="1:33">
      <c r="A286" s="2">
        <v>44118</v>
      </c>
      <c r="B286" s="5" t="s">
        <v>38</v>
      </c>
      <c r="C286" s="5">
        <f>WEEKDAY(Table1[[#This Row],[Date]])</f>
        <v>4</v>
      </c>
      <c r="D286" s="5">
        <f>MONTH(Table1[[#This Row],[Date]])</f>
        <v>10</v>
      </c>
      <c r="E286" s="5">
        <f>WEEKNUM(Table1[[#This Row],[Date]])</f>
        <v>42</v>
      </c>
      <c r="F286" s="5">
        <f>YEAR(Table1[[#This Row],[Date]])</f>
        <v>2020</v>
      </c>
      <c r="G286">
        <v>153</v>
      </c>
      <c r="L286" s="5">
        <v>47</v>
      </c>
      <c r="M286" s="6">
        <v>0.97919999999999996</v>
      </c>
      <c r="N286" s="5">
        <v>1</v>
      </c>
      <c r="O286" s="7">
        <v>1.5046296296296297E-4</v>
      </c>
      <c r="P286" s="7">
        <v>1.4236111111111112E-3</v>
      </c>
      <c r="Q286" s="7">
        <v>1.2268518518518518E-3</v>
      </c>
      <c r="R286" s="6">
        <v>0.89580000000000004</v>
      </c>
      <c r="S286" s="8">
        <f>CONVERT(Table1[[#This Row],[Talk Duration (AVG)]]*Table1[[#This Row],[Answered Calls]],"day","hr")</f>
        <v>1.6058333333333337</v>
      </c>
      <c r="T286" s="9">
        <f>Table1[[#This Row],[Actual Workload hours]]*60</f>
        <v>96.350000000000023</v>
      </c>
      <c r="U286" s="9">
        <f>CONVERT(Table1[[#This Row],[Actual]]*Table1[[#This Row],[Talk Duration (AVG)]],"day","hr")</f>
        <v>5.2275</v>
      </c>
      <c r="V286" s="10">
        <f>Table1[[#This Row],[Required Workload Hours]]*60</f>
        <v>313.64999999999998</v>
      </c>
      <c r="W286" s="9">
        <v>1</v>
      </c>
      <c r="X286" s="9">
        <f t="shared" si="8"/>
        <v>1</v>
      </c>
      <c r="Y286" s="5">
        <f t="shared" si="9"/>
        <v>1</v>
      </c>
      <c r="Z286" s="8">
        <f>ROUNDUP(Table1[[#This Row],[Actual Heacount]],0)</f>
        <v>1</v>
      </c>
      <c r="AA286" s="8"/>
      <c r="AB286" s="10"/>
      <c r="AC286" s="10"/>
      <c r="AD286" s="10"/>
      <c r="AE286" s="11">
        <v>76.048475870488375</v>
      </c>
      <c r="AF286" s="11">
        <v>292.26040648686001</v>
      </c>
      <c r="AG286" t="s">
        <v>34</v>
      </c>
    </row>
    <row r="287" spans="1:33">
      <c r="A287" s="2">
        <v>44119</v>
      </c>
      <c r="B287" s="5" t="s">
        <v>39</v>
      </c>
      <c r="C287" s="5">
        <f>WEEKDAY(Table1[[#This Row],[Date]])</f>
        <v>5</v>
      </c>
      <c r="D287" s="5">
        <f>MONTH(Table1[[#This Row],[Date]])</f>
        <v>10</v>
      </c>
      <c r="E287" s="5">
        <f>WEEKNUM(Table1[[#This Row],[Date]])</f>
        <v>42</v>
      </c>
      <c r="F287" s="5">
        <f>YEAR(Table1[[#This Row],[Date]])</f>
        <v>2020</v>
      </c>
      <c r="G287">
        <v>178</v>
      </c>
      <c r="L287" s="5">
        <v>236</v>
      </c>
      <c r="M287" s="6">
        <v>0.95930000000000004</v>
      </c>
      <c r="N287" s="5">
        <v>10</v>
      </c>
      <c r="O287" s="7">
        <v>2.3148148148148149E-4</v>
      </c>
      <c r="P287" s="7">
        <v>1.5162037037037036E-3</v>
      </c>
      <c r="Q287" s="7">
        <v>3.1944444444444446E-3</v>
      </c>
      <c r="R287" s="6">
        <v>0.79179999999999995</v>
      </c>
      <c r="S287" s="8">
        <f>CONVERT(Table1[[#This Row],[Talk Duration (AVG)]]*Table1[[#This Row],[Answered Calls]],"day","hr")</f>
        <v>8.5877777777777773</v>
      </c>
      <c r="T287" s="9">
        <f>Table1[[#This Row],[Actual Workload hours]]*60</f>
        <v>515.26666666666665</v>
      </c>
      <c r="U287" s="9">
        <f>CONVERT(Table1[[#This Row],[Actual]]*Table1[[#This Row],[Talk Duration (AVG)]],"day","hr")</f>
        <v>6.4772222222222222</v>
      </c>
      <c r="V287" s="10">
        <f>Table1[[#This Row],[Required Workload Hours]]*60</f>
        <v>388.63333333333333</v>
      </c>
      <c r="W287" s="9">
        <v>1.34</v>
      </c>
      <c r="X287" s="9">
        <f t="shared" si="8"/>
        <v>1.0120659722222223</v>
      </c>
      <c r="Y287" s="5">
        <f t="shared" si="9"/>
        <v>2</v>
      </c>
      <c r="Z287" s="8">
        <f>ROUNDUP(Table1[[#This Row],[Actual Heacount]],0)</f>
        <v>2</v>
      </c>
      <c r="AA287" s="8"/>
      <c r="AB287" s="10"/>
      <c r="AC287" s="10"/>
      <c r="AD287" s="10"/>
      <c r="AE287" s="11">
        <v>63.335827660568903</v>
      </c>
      <c r="AF287" s="11">
        <v>280.01691158113539</v>
      </c>
      <c r="AG287" t="s">
        <v>34</v>
      </c>
    </row>
    <row r="288" spans="1:33">
      <c r="A288" s="2">
        <v>44120</v>
      </c>
      <c r="B288" s="5" t="s">
        <v>40</v>
      </c>
      <c r="C288" s="5">
        <f>WEEKDAY(Table1[[#This Row],[Date]])</f>
        <v>6</v>
      </c>
      <c r="D288" s="5">
        <f>MONTH(Table1[[#This Row],[Date]])</f>
        <v>10</v>
      </c>
      <c r="E288" s="5">
        <f>WEEKNUM(Table1[[#This Row],[Date]])</f>
        <v>42</v>
      </c>
      <c r="F288" s="5">
        <f>YEAR(Table1[[#This Row],[Date]])</f>
        <v>2020</v>
      </c>
      <c r="G288">
        <v>172</v>
      </c>
      <c r="L288" s="5">
        <v>195</v>
      </c>
      <c r="M288" s="6">
        <v>0.96530000000000005</v>
      </c>
      <c r="N288" s="5">
        <v>7</v>
      </c>
      <c r="O288" s="7">
        <v>2.8935185185185184E-4</v>
      </c>
      <c r="P288" s="7">
        <v>1.5625000000000001E-3</v>
      </c>
      <c r="Q288" s="7">
        <v>3.8541666666666668E-3</v>
      </c>
      <c r="R288" s="6">
        <v>0.745</v>
      </c>
      <c r="S288" s="8">
        <f>CONVERT(Table1[[#This Row],[Talk Duration (AVG)]]*Table1[[#This Row],[Answered Calls]],"day","hr")</f>
        <v>7.3125</v>
      </c>
      <c r="T288" s="9">
        <f>Table1[[#This Row],[Actual Workload hours]]*60</f>
        <v>438.75</v>
      </c>
      <c r="U288" s="9">
        <f>CONVERT(Table1[[#This Row],[Actual]]*Table1[[#This Row],[Talk Duration (AVG)]],"day","hr")</f>
        <v>6.45</v>
      </c>
      <c r="V288" s="10">
        <f>Table1[[#This Row],[Required Workload Hours]]*60</f>
        <v>387</v>
      </c>
      <c r="W288" s="9">
        <v>1.1399999999999999</v>
      </c>
      <c r="X288" s="9">
        <f t="shared" si="8"/>
        <v>1.0078125</v>
      </c>
      <c r="Y288" s="5">
        <f t="shared" si="9"/>
        <v>2</v>
      </c>
      <c r="Z288" s="8">
        <f>ROUNDUP(Table1[[#This Row],[Actual Heacount]],0)</f>
        <v>2</v>
      </c>
      <c r="AA288" s="8"/>
      <c r="AB288" s="10"/>
      <c r="AC288" s="10"/>
      <c r="AD288" s="10"/>
      <c r="AE288" s="11">
        <v>52.601063471831488</v>
      </c>
      <c r="AF288" s="11">
        <v>274.22196589466722</v>
      </c>
      <c r="AG288" t="s">
        <v>34</v>
      </c>
    </row>
    <row r="289" spans="1:33">
      <c r="A289" s="2">
        <v>44121</v>
      </c>
      <c r="B289" s="5" t="s">
        <v>33</v>
      </c>
      <c r="C289" s="5">
        <f>WEEKDAY(Table1[[#This Row],[Date]])</f>
        <v>7</v>
      </c>
      <c r="D289" s="5">
        <f>MONTH(Table1[[#This Row],[Date]])</f>
        <v>10</v>
      </c>
      <c r="E289" s="5">
        <f>WEEKNUM(Table1[[#This Row],[Date]])</f>
        <v>42</v>
      </c>
      <c r="F289" s="5">
        <f>YEAR(Table1[[#This Row],[Date]])</f>
        <v>2020</v>
      </c>
      <c r="G289">
        <v>208</v>
      </c>
      <c r="L289" s="5">
        <v>150</v>
      </c>
      <c r="M289" s="6">
        <v>0.98040000000000005</v>
      </c>
      <c r="N289" s="5">
        <v>3</v>
      </c>
      <c r="O289" s="7">
        <v>1.7361111111111112E-4</v>
      </c>
      <c r="P289" s="7">
        <v>1.5625000000000001E-3</v>
      </c>
      <c r="Q289" s="7">
        <v>1.5277777777777779E-3</v>
      </c>
      <c r="R289" s="6">
        <v>0.82240000000000002</v>
      </c>
      <c r="S289" s="8">
        <f>CONVERT(Table1[[#This Row],[Talk Duration (AVG)]]*Table1[[#This Row],[Answered Calls]],"day","hr")</f>
        <v>5.625</v>
      </c>
      <c r="T289" s="9">
        <f>Table1[[#This Row],[Actual Workload hours]]*60</f>
        <v>337.5</v>
      </c>
      <c r="U289" s="9">
        <f>CONVERT(Table1[[#This Row],[Actual]]*Table1[[#This Row],[Talk Duration (AVG)]],"day","hr")</f>
        <v>7.8</v>
      </c>
      <c r="V289" s="10">
        <f>Table1[[#This Row],[Required Workload Hours]]*60</f>
        <v>468</v>
      </c>
      <c r="W289" s="9">
        <v>1</v>
      </c>
      <c r="X289" s="9">
        <f t="shared" si="8"/>
        <v>1.21875</v>
      </c>
      <c r="Y289" s="5">
        <f t="shared" si="9"/>
        <v>2</v>
      </c>
      <c r="Z289" s="8">
        <f>ROUNDUP(Table1[[#This Row],[Actual Heacount]],0)</f>
        <v>1</v>
      </c>
      <c r="AA289" s="8"/>
      <c r="AB289" s="10"/>
      <c r="AC289" s="10"/>
      <c r="AD289" s="10"/>
      <c r="AE289" s="11">
        <v>65.088625159515615</v>
      </c>
      <c r="AF289" s="11">
        <v>277.31603137764978</v>
      </c>
      <c r="AG289" t="s">
        <v>34</v>
      </c>
    </row>
    <row r="290" spans="1:33">
      <c r="A290" s="2">
        <v>44122</v>
      </c>
      <c r="B290" s="5" t="s">
        <v>35</v>
      </c>
      <c r="C290" s="5">
        <f>WEEKDAY(Table1[[#This Row],[Date]])</f>
        <v>1</v>
      </c>
      <c r="D290" s="5">
        <f>MONTH(Table1[[#This Row],[Date]])</f>
        <v>10</v>
      </c>
      <c r="E290" s="5">
        <f>WEEKNUM(Table1[[#This Row],[Date]])</f>
        <v>43</v>
      </c>
      <c r="F290" s="5">
        <f>YEAR(Table1[[#This Row],[Date]])</f>
        <v>2020</v>
      </c>
      <c r="G290">
        <v>77</v>
      </c>
      <c r="L290" s="5">
        <v>172</v>
      </c>
      <c r="M290" s="6">
        <v>0.96630000000000005</v>
      </c>
      <c r="N290" s="5">
        <v>6</v>
      </c>
      <c r="O290" s="7">
        <v>2.199074074074074E-4</v>
      </c>
      <c r="P290" s="7">
        <v>1.5625000000000001E-3</v>
      </c>
      <c r="Q290" s="7">
        <v>3.1828703703703702E-3</v>
      </c>
      <c r="R290" s="6">
        <v>0.78290000000000004</v>
      </c>
      <c r="S290" s="8">
        <f>CONVERT(Table1[[#This Row],[Talk Duration (AVG)]]*Table1[[#This Row],[Answered Calls]],"day","hr")</f>
        <v>6.45</v>
      </c>
      <c r="T290" s="9">
        <f>Table1[[#This Row],[Actual Workload hours]]*60</f>
        <v>387</v>
      </c>
      <c r="U290" s="9">
        <f>CONVERT(Table1[[#This Row],[Actual]]*Table1[[#This Row],[Talk Duration (AVG)]],"day","hr")</f>
        <v>2.8875000000000002</v>
      </c>
      <c r="V290" s="10">
        <f>Table1[[#This Row],[Required Workload Hours]]*60</f>
        <v>173.25</v>
      </c>
      <c r="W290" s="9">
        <v>1.01</v>
      </c>
      <c r="X290" s="9">
        <f t="shared" si="8"/>
        <v>1</v>
      </c>
      <c r="Y290" s="5">
        <f t="shared" si="9"/>
        <v>2</v>
      </c>
      <c r="Z290" s="8">
        <f>ROUNDUP(Table1[[#This Row],[Actual Heacount]],0)</f>
        <v>2</v>
      </c>
      <c r="AA290" s="8"/>
      <c r="AB290" s="10"/>
      <c r="AC290" s="10"/>
      <c r="AD290" s="10"/>
      <c r="AE290" s="11">
        <v>-20.96214249507608</v>
      </c>
      <c r="AF290" s="11">
        <v>206.54256716520561</v>
      </c>
      <c r="AG290" t="s">
        <v>34</v>
      </c>
    </row>
    <row r="291" spans="1:33">
      <c r="A291" s="2">
        <v>44123</v>
      </c>
      <c r="B291" s="5" t="s">
        <v>36</v>
      </c>
      <c r="C291" s="5">
        <f>WEEKDAY(Table1[[#This Row],[Date]])</f>
        <v>2</v>
      </c>
      <c r="D291" s="5">
        <f>MONTH(Table1[[#This Row],[Date]])</f>
        <v>10</v>
      </c>
      <c r="E291" s="5">
        <f>WEEKNUM(Table1[[#This Row],[Date]])</f>
        <v>43</v>
      </c>
      <c r="F291" s="5">
        <f>YEAR(Table1[[#This Row],[Date]])</f>
        <v>2020</v>
      </c>
      <c r="G291">
        <v>291</v>
      </c>
      <c r="L291" s="5">
        <v>165</v>
      </c>
      <c r="M291" s="6">
        <v>0.95930000000000004</v>
      </c>
      <c r="N291" s="5">
        <v>7</v>
      </c>
      <c r="O291" s="7">
        <v>2.199074074074074E-4</v>
      </c>
      <c r="P291" s="7">
        <v>1.6666666666666668E-3</v>
      </c>
      <c r="Q291" s="7">
        <v>2.3611111111111111E-3</v>
      </c>
      <c r="R291" s="6">
        <v>0.79290000000000005</v>
      </c>
      <c r="S291" s="8">
        <f>CONVERT(Table1[[#This Row],[Talk Duration (AVG)]]*Table1[[#This Row],[Answered Calls]],"day","hr")</f>
        <v>6.6000000000000014</v>
      </c>
      <c r="T291" s="9">
        <f>Table1[[#This Row],[Actual Workload hours]]*60</f>
        <v>396.00000000000011</v>
      </c>
      <c r="U291" s="9">
        <f>CONVERT(Table1[[#This Row],[Actual]]*Table1[[#This Row],[Talk Duration (AVG)]],"day","hr")</f>
        <v>11.640000000000002</v>
      </c>
      <c r="V291" s="10">
        <f>Table1[[#This Row],[Required Workload Hours]]*60</f>
        <v>698.40000000000009</v>
      </c>
      <c r="W291" s="9">
        <v>1.03</v>
      </c>
      <c r="X291" s="9">
        <f t="shared" si="8"/>
        <v>1.8187500000000003</v>
      </c>
      <c r="Y291" s="5">
        <f t="shared" si="9"/>
        <v>2</v>
      </c>
      <c r="Z291" s="8">
        <f>ROUNDUP(Table1[[#This Row],[Actual Heacount]],0)</f>
        <v>2</v>
      </c>
      <c r="AA291" s="8"/>
      <c r="AB291" s="10"/>
      <c r="AC291" s="10"/>
      <c r="AD291" s="10"/>
      <c r="AE291" s="11">
        <v>78.682621880388965</v>
      </c>
      <c r="AF291" s="11">
        <v>297.54838662035399</v>
      </c>
      <c r="AG291" t="s">
        <v>34</v>
      </c>
    </row>
    <row r="292" spans="1:33">
      <c r="A292" s="2">
        <v>44124</v>
      </c>
      <c r="B292" s="5" t="s">
        <v>37</v>
      </c>
      <c r="C292" s="5">
        <f>WEEKDAY(Table1[[#This Row],[Date]])</f>
        <v>3</v>
      </c>
      <c r="D292" s="5">
        <f>MONTH(Table1[[#This Row],[Date]])</f>
        <v>10</v>
      </c>
      <c r="E292" s="5">
        <f>WEEKNUM(Table1[[#This Row],[Date]])</f>
        <v>43</v>
      </c>
      <c r="F292" s="5">
        <f>YEAR(Table1[[#This Row],[Date]])</f>
        <v>2020</v>
      </c>
      <c r="G292">
        <v>219</v>
      </c>
      <c r="L292" s="5">
        <v>200</v>
      </c>
      <c r="M292" s="6">
        <v>0.96150000000000002</v>
      </c>
      <c r="N292" s="5">
        <v>8</v>
      </c>
      <c r="O292" s="7">
        <v>3.0092592592592595E-4</v>
      </c>
      <c r="P292" s="7">
        <v>1.6550925925925926E-3</v>
      </c>
      <c r="Q292" s="7">
        <v>2.2569444444444442E-3</v>
      </c>
      <c r="R292" s="6">
        <v>0.68779999999999997</v>
      </c>
      <c r="S292" s="8">
        <f>CONVERT(Table1[[#This Row],[Talk Duration (AVG)]]*Table1[[#This Row],[Answered Calls]],"day","hr")</f>
        <v>7.9444444444444438</v>
      </c>
      <c r="T292" s="9">
        <f>Table1[[#This Row],[Actual Workload hours]]*60</f>
        <v>476.66666666666663</v>
      </c>
      <c r="U292" s="9">
        <f>CONVERT(Table1[[#This Row],[Actual]]*Table1[[#This Row],[Talk Duration (AVG)]],"day","hr")</f>
        <v>8.6991666666666667</v>
      </c>
      <c r="V292" s="10">
        <f>Table1[[#This Row],[Required Workload Hours]]*60</f>
        <v>521.95000000000005</v>
      </c>
      <c r="W292" s="9">
        <v>1.24</v>
      </c>
      <c r="X292" s="9">
        <f t="shared" si="8"/>
        <v>1.3592447916666668</v>
      </c>
      <c r="Y292" s="5">
        <f t="shared" si="9"/>
        <v>2</v>
      </c>
      <c r="Z292" s="8">
        <f>ROUNDUP(Table1[[#This Row],[Actual Heacount]],0)</f>
        <v>2</v>
      </c>
      <c r="AA292" s="8"/>
      <c r="AB292" s="10"/>
      <c r="AC292" s="10"/>
      <c r="AD292" s="10"/>
      <c r="AE292" s="11">
        <v>64.934454562923776</v>
      </c>
      <c r="AF292" s="11">
        <v>276.31619135449398</v>
      </c>
      <c r="AG292" t="s">
        <v>34</v>
      </c>
    </row>
    <row r="293" spans="1:33">
      <c r="A293" s="2">
        <v>44125</v>
      </c>
      <c r="B293" s="5" t="s">
        <v>38</v>
      </c>
      <c r="C293" s="5">
        <f>WEEKDAY(Table1[[#This Row],[Date]])</f>
        <v>4</v>
      </c>
      <c r="D293" s="5">
        <f>MONTH(Table1[[#This Row],[Date]])</f>
        <v>10</v>
      </c>
      <c r="E293" s="5">
        <f>WEEKNUM(Table1[[#This Row],[Date]])</f>
        <v>43</v>
      </c>
      <c r="F293" s="5">
        <f>YEAR(Table1[[#This Row],[Date]])</f>
        <v>2020</v>
      </c>
      <c r="G293">
        <v>173</v>
      </c>
      <c r="L293" s="5">
        <v>76</v>
      </c>
      <c r="M293" s="6">
        <v>0.98699999999999999</v>
      </c>
      <c r="N293" s="5">
        <v>1</v>
      </c>
      <c r="O293" s="7">
        <v>3.3564814814814812E-4</v>
      </c>
      <c r="P293" s="7">
        <v>1.5740740740740741E-3</v>
      </c>
      <c r="Q293" s="7">
        <v>1.3194444444444445E-3</v>
      </c>
      <c r="R293" s="6">
        <v>0.58440000000000003</v>
      </c>
      <c r="S293" s="8">
        <f>CONVERT(Table1[[#This Row],[Talk Duration (AVG)]]*Table1[[#This Row],[Answered Calls]],"day","hr")</f>
        <v>2.8711111111111109</v>
      </c>
      <c r="T293" s="9">
        <f>Table1[[#This Row],[Actual Workload hours]]*60</f>
        <v>172.26666666666665</v>
      </c>
      <c r="U293" s="9">
        <f>CONVERT(Table1[[#This Row],[Actual]]*Table1[[#This Row],[Talk Duration (AVG)]],"day","hr")</f>
        <v>6.5355555555555567</v>
      </c>
      <c r="V293" s="10">
        <f>Table1[[#This Row],[Required Workload Hours]]*60</f>
        <v>392.13333333333338</v>
      </c>
      <c r="W293" s="9">
        <v>1</v>
      </c>
      <c r="X293" s="9">
        <f t="shared" si="8"/>
        <v>1.0211805555555558</v>
      </c>
      <c r="Y293" s="5">
        <f t="shared" si="9"/>
        <v>1</v>
      </c>
      <c r="Z293" s="8">
        <f>ROUNDUP(Table1[[#This Row],[Actual Heacount]],0)</f>
        <v>1</v>
      </c>
      <c r="AA293" s="8"/>
      <c r="AB293" s="10"/>
      <c r="AC293" s="10"/>
      <c r="AD293" s="10"/>
      <c r="AE293" s="11">
        <v>78.029432499975329</v>
      </c>
      <c r="AF293" s="11">
        <v>303.93911269816152</v>
      </c>
      <c r="AG293" t="s">
        <v>34</v>
      </c>
    </row>
    <row r="294" spans="1:33">
      <c r="A294" s="2">
        <v>44126</v>
      </c>
      <c r="B294" s="5" t="s">
        <v>39</v>
      </c>
      <c r="C294" s="5">
        <f>WEEKDAY(Table1[[#This Row],[Date]])</f>
        <v>5</v>
      </c>
      <c r="D294" s="5">
        <f>MONTH(Table1[[#This Row],[Date]])</f>
        <v>10</v>
      </c>
      <c r="E294" s="5">
        <f>WEEKNUM(Table1[[#This Row],[Date]])</f>
        <v>43</v>
      </c>
      <c r="F294" s="5">
        <f>YEAR(Table1[[#This Row],[Date]])</f>
        <v>2020</v>
      </c>
      <c r="G294">
        <v>204</v>
      </c>
      <c r="L294" s="5">
        <v>250</v>
      </c>
      <c r="M294" s="6">
        <v>0.85909999999999997</v>
      </c>
      <c r="N294" s="5">
        <v>41</v>
      </c>
      <c r="O294" s="7">
        <v>4.7453703703703704E-4</v>
      </c>
      <c r="P294" s="7">
        <v>1.6203703703703703E-3</v>
      </c>
      <c r="Q294" s="7">
        <v>4.9768518518518521E-3</v>
      </c>
      <c r="R294" s="6">
        <v>0.5544</v>
      </c>
      <c r="S294" s="8">
        <f>CONVERT(Table1[[#This Row],[Talk Duration (AVG)]]*Table1[[#This Row],[Answered Calls]],"day","hr")</f>
        <v>9.7222222222222214</v>
      </c>
      <c r="T294" s="9">
        <f>Table1[[#This Row],[Actual Workload hours]]*60</f>
        <v>583.33333333333326</v>
      </c>
      <c r="U294" s="9">
        <f>CONVERT(Table1[[#This Row],[Actual]]*Table1[[#This Row],[Talk Duration (AVG)]],"day","hr")</f>
        <v>7.9333333333333336</v>
      </c>
      <c r="V294" s="10">
        <f>Table1[[#This Row],[Required Workload Hours]]*60</f>
        <v>476</v>
      </c>
      <c r="W294" s="9">
        <v>1.52</v>
      </c>
      <c r="X294" s="9">
        <f t="shared" si="8"/>
        <v>1.2395833333333333</v>
      </c>
      <c r="Y294" s="5">
        <f t="shared" si="9"/>
        <v>2</v>
      </c>
      <c r="Z294" s="8">
        <f>ROUNDUP(Table1[[#This Row],[Actual Heacount]],0)</f>
        <v>2</v>
      </c>
      <c r="AA294" s="8"/>
      <c r="AB294" s="10"/>
      <c r="AC294" s="10"/>
      <c r="AD294" s="10"/>
      <c r="AE294" s="11">
        <v>66.330866111737095</v>
      </c>
      <c r="AF294" s="11">
        <v>292.82240772375621</v>
      </c>
      <c r="AG294" t="s">
        <v>34</v>
      </c>
    </row>
    <row r="295" spans="1:33">
      <c r="A295" s="2">
        <v>44127</v>
      </c>
      <c r="B295" s="5" t="s">
        <v>40</v>
      </c>
      <c r="C295" s="5">
        <f>WEEKDAY(Table1[[#This Row],[Date]])</f>
        <v>6</v>
      </c>
      <c r="D295" s="5">
        <f>MONTH(Table1[[#This Row],[Date]])</f>
        <v>10</v>
      </c>
      <c r="E295" s="5">
        <f>WEEKNUM(Table1[[#This Row],[Date]])</f>
        <v>43</v>
      </c>
      <c r="F295" s="5">
        <f>YEAR(Table1[[#This Row],[Date]])</f>
        <v>2020</v>
      </c>
      <c r="G295">
        <v>216</v>
      </c>
      <c r="L295" s="5">
        <v>212</v>
      </c>
      <c r="M295" s="6">
        <v>0.96799999999999997</v>
      </c>
      <c r="N295" s="5">
        <v>7</v>
      </c>
      <c r="O295" s="7">
        <v>2.4305555555555555E-4</v>
      </c>
      <c r="P295" s="7">
        <v>1.6087962962962963E-3</v>
      </c>
      <c r="Q295" s="7">
        <v>1.2731481481481483E-3</v>
      </c>
      <c r="R295" s="6">
        <v>0.76849999999999996</v>
      </c>
      <c r="S295" s="8">
        <f>CONVERT(Table1[[#This Row],[Talk Duration (AVG)]]*Table1[[#This Row],[Answered Calls]],"day","hr")</f>
        <v>8.1855555555555561</v>
      </c>
      <c r="T295" s="9">
        <f>Table1[[#This Row],[Actual Workload hours]]*60</f>
        <v>491.13333333333338</v>
      </c>
      <c r="U295" s="9">
        <f>CONVERT(Table1[[#This Row],[Actual]]*Table1[[#This Row],[Talk Duration (AVG)]],"day","hr")</f>
        <v>8.3400000000000016</v>
      </c>
      <c r="V295" s="10">
        <f>Table1[[#This Row],[Required Workload Hours]]*60</f>
        <v>500.40000000000009</v>
      </c>
      <c r="W295" s="9">
        <v>1.28</v>
      </c>
      <c r="X295" s="9">
        <f t="shared" si="8"/>
        <v>1.3031250000000003</v>
      </c>
      <c r="Y295" s="5">
        <f t="shared" si="9"/>
        <v>2</v>
      </c>
      <c r="Z295" s="8">
        <f>ROUNDUP(Table1[[#This Row],[Actual Heacount]],0)</f>
        <v>2</v>
      </c>
      <c r="AA295" s="8"/>
      <c r="AB295" s="10"/>
      <c r="AC295" s="10"/>
      <c r="AD295" s="10"/>
      <c r="AE295" s="11">
        <v>56.842666002383787</v>
      </c>
      <c r="AF295" s="11">
        <v>275.38058890104719</v>
      </c>
      <c r="AG295" t="s">
        <v>34</v>
      </c>
    </row>
    <row r="296" spans="1:33">
      <c r="A296" s="2">
        <v>44128</v>
      </c>
      <c r="B296" s="5" t="s">
        <v>33</v>
      </c>
      <c r="C296" s="5">
        <f>WEEKDAY(Table1[[#This Row],[Date]])</f>
        <v>7</v>
      </c>
      <c r="D296" s="5">
        <f>MONTH(Table1[[#This Row],[Date]])</f>
        <v>10</v>
      </c>
      <c r="E296" s="5">
        <f>WEEKNUM(Table1[[#This Row],[Date]])</f>
        <v>43</v>
      </c>
      <c r="F296" s="5">
        <f>YEAR(Table1[[#This Row],[Date]])</f>
        <v>2020</v>
      </c>
      <c r="G296">
        <v>461</v>
      </c>
      <c r="L296" s="5">
        <v>169</v>
      </c>
      <c r="M296" s="6">
        <v>0.97689999999999999</v>
      </c>
      <c r="N296" s="5">
        <v>4</v>
      </c>
      <c r="O296" s="7">
        <v>2.0833333333333335E-4</v>
      </c>
      <c r="P296" s="7">
        <v>1.5393518518518519E-3</v>
      </c>
      <c r="Q296" s="7">
        <v>1.5509259259259259E-3</v>
      </c>
      <c r="R296" s="6">
        <v>0.81399999999999995</v>
      </c>
      <c r="S296" s="8">
        <f>CONVERT(Table1[[#This Row],[Talk Duration (AVG)]]*Table1[[#This Row],[Answered Calls]],"day","hr")</f>
        <v>6.243611111111111</v>
      </c>
      <c r="T296" s="9">
        <f>Table1[[#This Row],[Actual Workload hours]]*60</f>
        <v>374.61666666666667</v>
      </c>
      <c r="U296" s="9">
        <f>CONVERT(Table1[[#This Row],[Actual]]*Table1[[#This Row],[Talk Duration (AVG)]],"day","hr")</f>
        <v>17.031388888888891</v>
      </c>
      <c r="V296" s="10">
        <f>Table1[[#This Row],[Required Workload Hours]]*60</f>
        <v>1021.8833333333334</v>
      </c>
      <c r="W296" s="9">
        <v>1</v>
      </c>
      <c r="X296" s="9">
        <f t="shared" si="8"/>
        <v>2.661154513888889</v>
      </c>
      <c r="Y296" s="5">
        <f t="shared" si="9"/>
        <v>2</v>
      </c>
      <c r="Z296" s="8">
        <f>ROUNDUP(Table1[[#This Row],[Actual Heacount]],0)</f>
        <v>1</v>
      </c>
      <c r="AA296" s="8"/>
      <c r="AB296" s="10"/>
      <c r="AC296" s="10"/>
      <c r="AD296" s="10"/>
      <c r="AE296" s="11">
        <v>68.767136088214514</v>
      </c>
      <c r="AF296" s="11">
        <v>284.29606264536699</v>
      </c>
      <c r="AG296" t="s">
        <v>34</v>
      </c>
    </row>
    <row r="297" spans="1:33">
      <c r="A297" s="2">
        <v>44129</v>
      </c>
      <c r="B297" s="5" t="s">
        <v>35</v>
      </c>
      <c r="C297" s="5">
        <f>WEEKDAY(Table1[[#This Row],[Date]])</f>
        <v>1</v>
      </c>
      <c r="D297" s="5">
        <f>MONTH(Table1[[#This Row],[Date]])</f>
        <v>10</v>
      </c>
      <c r="E297" s="5">
        <f>WEEKNUM(Table1[[#This Row],[Date]])</f>
        <v>44</v>
      </c>
      <c r="F297" s="5">
        <f>YEAR(Table1[[#This Row],[Date]])</f>
        <v>2020</v>
      </c>
      <c r="G297">
        <v>56</v>
      </c>
      <c r="L297" s="5">
        <v>197</v>
      </c>
      <c r="M297" s="6">
        <v>0.9657</v>
      </c>
      <c r="N297" s="5">
        <v>7</v>
      </c>
      <c r="O297" s="7">
        <v>1.9675925925925926E-4</v>
      </c>
      <c r="P297" s="7">
        <v>1.6550925925925926E-3</v>
      </c>
      <c r="Q297" s="7">
        <v>1.3541666666666667E-3</v>
      </c>
      <c r="R297" s="6">
        <v>0.8</v>
      </c>
      <c r="S297" s="8">
        <f>CONVERT(Table1[[#This Row],[Talk Duration (AVG)]]*Table1[[#This Row],[Answered Calls]],"day","hr")</f>
        <v>7.8252777777777771</v>
      </c>
      <c r="T297" s="9">
        <f>Table1[[#This Row],[Actual Workload hours]]*60</f>
        <v>469.51666666666665</v>
      </c>
      <c r="U297" s="9">
        <f>CONVERT(Table1[[#This Row],[Actual]]*Table1[[#This Row],[Talk Duration (AVG)]],"day","hr")</f>
        <v>2.224444444444444</v>
      </c>
      <c r="V297" s="10">
        <f>Table1[[#This Row],[Required Workload Hours]]*60</f>
        <v>133.46666666666664</v>
      </c>
      <c r="W297" s="9">
        <v>1.22</v>
      </c>
      <c r="X297" s="9">
        <f t="shared" si="8"/>
        <v>1</v>
      </c>
      <c r="Y297" s="5">
        <f t="shared" si="9"/>
        <v>2</v>
      </c>
      <c r="Z297" s="8">
        <f>ROUNDUP(Table1[[#This Row],[Actual Heacount]],0)</f>
        <v>2</v>
      </c>
      <c r="AA297" s="8"/>
      <c r="AB297" s="10"/>
      <c r="AC297" s="10"/>
      <c r="AD297" s="10"/>
      <c r="AE297" s="11">
        <v>-13.103339656019029</v>
      </c>
      <c r="AF297" s="11">
        <v>199.60090477684901</v>
      </c>
      <c r="AG297" t="s">
        <v>34</v>
      </c>
    </row>
    <row r="298" spans="1:33">
      <c r="A298" s="2">
        <v>44130</v>
      </c>
      <c r="B298" s="5" t="s">
        <v>36</v>
      </c>
      <c r="C298" s="5">
        <f>WEEKDAY(Table1[[#This Row],[Date]])</f>
        <v>2</v>
      </c>
      <c r="D298" s="5">
        <f>MONTH(Table1[[#This Row],[Date]])</f>
        <v>10</v>
      </c>
      <c r="E298" s="5">
        <f>WEEKNUM(Table1[[#This Row],[Date]])</f>
        <v>44</v>
      </c>
      <c r="F298" s="5">
        <f>YEAR(Table1[[#This Row],[Date]])</f>
        <v>2020</v>
      </c>
      <c r="G298">
        <v>192</v>
      </c>
      <c r="L298" s="5">
        <v>185</v>
      </c>
      <c r="M298" s="6">
        <v>0.85650000000000004</v>
      </c>
      <c r="N298" s="5">
        <v>31</v>
      </c>
      <c r="O298" s="7">
        <v>3.4722222222222224E-4</v>
      </c>
      <c r="P298" s="7">
        <v>1.5856481481481481E-3</v>
      </c>
      <c r="Q298" s="7">
        <v>4.4675925925925924E-3</v>
      </c>
      <c r="R298" s="6">
        <v>0.61429999999999996</v>
      </c>
      <c r="S298" s="8">
        <f>CONVERT(Table1[[#This Row],[Talk Duration (AVG)]]*Table1[[#This Row],[Answered Calls]],"day","hr")</f>
        <v>7.040277777777777</v>
      </c>
      <c r="T298" s="9">
        <f>Table1[[#This Row],[Actual Workload hours]]*60</f>
        <v>422.41666666666663</v>
      </c>
      <c r="U298" s="9">
        <f>CONVERT(Table1[[#This Row],[Actual]]*Table1[[#This Row],[Talk Duration (AVG)]],"day","hr")</f>
        <v>7.3066666666666658</v>
      </c>
      <c r="V298" s="10">
        <f>Table1[[#This Row],[Required Workload Hours]]*60</f>
        <v>438.39999999999992</v>
      </c>
      <c r="W298" s="9">
        <v>1.1000000000000001</v>
      </c>
      <c r="X298" s="9">
        <f t="shared" si="8"/>
        <v>1.1416666666666664</v>
      </c>
      <c r="Y298" s="5">
        <f t="shared" si="9"/>
        <v>2</v>
      </c>
      <c r="Z298" s="8">
        <f>ROUNDUP(Table1[[#This Row],[Actual Heacount]],0)</f>
        <v>2</v>
      </c>
      <c r="AA298" s="8"/>
      <c r="AB298" s="10"/>
      <c r="AC298" s="10"/>
      <c r="AD298" s="10"/>
      <c r="AE298" s="11">
        <v>68.504733170405771</v>
      </c>
      <c r="AF298" s="11">
        <v>285.52533887134871</v>
      </c>
      <c r="AG298" t="s">
        <v>34</v>
      </c>
    </row>
    <row r="299" spans="1:33">
      <c r="A299" s="2">
        <v>44131</v>
      </c>
      <c r="B299" s="5" t="s">
        <v>37</v>
      </c>
      <c r="C299" s="5">
        <f>WEEKDAY(Table1[[#This Row],[Date]])</f>
        <v>3</v>
      </c>
      <c r="D299" s="5">
        <f>MONTH(Table1[[#This Row],[Date]])</f>
        <v>10</v>
      </c>
      <c r="E299" s="5">
        <f>WEEKNUM(Table1[[#This Row],[Date]])</f>
        <v>44</v>
      </c>
      <c r="F299" s="5">
        <f>YEAR(Table1[[#This Row],[Date]])</f>
        <v>2020</v>
      </c>
      <c r="G299">
        <v>382</v>
      </c>
      <c r="L299" s="5">
        <v>441</v>
      </c>
      <c r="M299" s="6">
        <v>0.95660000000000001</v>
      </c>
      <c r="N299" s="5">
        <v>20</v>
      </c>
      <c r="O299" s="7">
        <v>3.4722222222222224E-4</v>
      </c>
      <c r="P299" s="7">
        <v>1.5972222222222223E-3</v>
      </c>
      <c r="Q299" s="7">
        <v>2.5462962962962965E-3</v>
      </c>
      <c r="R299" s="6">
        <v>0.6149</v>
      </c>
      <c r="S299" s="8">
        <f>CONVERT(Table1[[#This Row],[Talk Duration (AVG)]]*Table1[[#This Row],[Answered Calls]],"day","hr")</f>
        <v>16.905000000000001</v>
      </c>
      <c r="T299" s="9">
        <f>Table1[[#This Row],[Actual Workload hours]]*60</f>
        <v>1014.3000000000001</v>
      </c>
      <c r="U299" s="9">
        <f>CONVERT(Table1[[#This Row],[Actual]]*Table1[[#This Row],[Talk Duration (AVG)]],"day","hr")</f>
        <v>14.643333333333333</v>
      </c>
      <c r="V299" s="10">
        <f>Table1[[#This Row],[Required Workload Hours]]*60</f>
        <v>878.59999999999991</v>
      </c>
      <c r="W299" s="9">
        <v>2.64</v>
      </c>
      <c r="X299" s="9">
        <f t="shared" si="8"/>
        <v>2.2880208333333329</v>
      </c>
      <c r="Y299" s="5">
        <f t="shared" si="9"/>
        <v>2</v>
      </c>
      <c r="Z299" s="8">
        <f>ROUNDUP(Table1[[#This Row],[Actual Heacount]],0)</f>
        <v>3</v>
      </c>
      <c r="AA299" s="8"/>
      <c r="AB299" s="10"/>
      <c r="AC299" s="10"/>
      <c r="AD299" s="10"/>
      <c r="AE299" s="11">
        <v>57.23823134335796</v>
      </c>
      <c r="AF299" s="11">
        <v>276.37428870710647</v>
      </c>
      <c r="AG299" t="s">
        <v>34</v>
      </c>
    </row>
    <row r="300" spans="1:33">
      <c r="A300" s="2">
        <v>44132</v>
      </c>
      <c r="B300" s="5" t="s">
        <v>38</v>
      </c>
      <c r="C300" s="5">
        <f>WEEKDAY(Table1[[#This Row],[Date]])</f>
        <v>4</v>
      </c>
      <c r="D300" s="5">
        <f>MONTH(Table1[[#This Row],[Date]])</f>
        <v>10</v>
      </c>
      <c r="E300" s="5">
        <f>WEEKNUM(Table1[[#This Row],[Date]])</f>
        <v>44</v>
      </c>
      <c r="F300" s="5">
        <f>YEAR(Table1[[#This Row],[Date]])</f>
        <v>2020</v>
      </c>
      <c r="G300">
        <v>246</v>
      </c>
      <c r="L300" s="5">
        <v>55</v>
      </c>
      <c r="M300" s="6">
        <v>0.98209999999999997</v>
      </c>
      <c r="N300" s="5">
        <v>1</v>
      </c>
      <c r="O300" s="7">
        <v>3.0092592592592595E-4</v>
      </c>
      <c r="P300" s="7">
        <v>1.5162037037037036E-3</v>
      </c>
      <c r="Q300" s="7">
        <v>1.3078703703703703E-3</v>
      </c>
      <c r="R300" s="6">
        <v>0.66069999999999995</v>
      </c>
      <c r="S300" s="8">
        <f>CONVERT(Table1[[#This Row],[Talk Duration (AVG)]]*Table1[[#This Row],[Answered Calls]],"day","hr")</f>
        <v>2.0013888888888891</v>
      </c>
      <c r="T300" s="9">
        <f>Table1[[#This Row],[Actual Workload hours]]*60</f>
        <v>120.08333333333334</v>
      </c>
      <c r="U300" s="9">
        <f>CONVERT(Table1[[#This Row],[Actual]]*Table1[[#This Row],[Talk Duration (AVG)]],"day","hr")</f>
        <v>8.9516666666666662</v>
      </c>
      <c r="V300" s="10">
        <f>Table1[[#This Row],[Required Workload Hours]]*60</f>
        <v>537.1</v>
      </c>
      <c r="W300" s="9">
        <v>1</v>
      </c>
      <c r="X300" s="9">
        <f t="shared" si="8"/>
        <v>1.3986979166666667</v>
      </c>
      <c r="Y300" s="5">
        <f t="shared" si="9"/>
        <v>1</v>
      </c>
      <c r="Z300" s="8">
        <f>ROUNDUP(Table1[[#This Row],[Actual Heacount]],0)</f>
        <v>1</v>
      </c>
      <c r="AA300" s="8"/>
      <c r="AB300" s="10"/>
      <c r="AC300" s="10"/>
      <c r="AD300" s="10"/>
      <c r="AE300" s="11">
        <v>60.686859199505562</v>
      </c>
      <c r="AF300" s="11">
        <v>289.23455771355469</v>
      </c>
      <c r="AG300" t="s">
        <v>34</v>
      </c>
    </row>
    <row r="301" spans="1:33">
      <c r="A301" s="2">
        <v>44133</v>
      </c>
      <c r="B301" s="5" t="s">
        <v>39</v>
      </c>
      <c r="C301" s="5">
        <f>WEEKDAY(Table1[[#This Row],[Date]])</f>
        <v>5</v>
      </c>
      <c r="D301" s="5">
        <f>MONTH(Table1[[#This Row],[Date]])</f>
        <v>10</v>
      </c>
      <c r="E301" s="5">
        <f>WEEKNUM(Table1[[#This Row],[Date]])</f>
        <v>44</v>
      </c>
      <c r="F301" s="5">
        <f>YEAR(Table1[[#This Row],[Date]])</f>
        <v>2020</v>
      </c>
      <c r="G301">
        <v>48</v>
      </c>
      <c r="L301" s="5">
        <v>176</v>
      </c>
      <c r="M301" s="6">
        <v>0.91669999999999996</v>
      </c>
      <c r="N301" s="5">
        <v>16</v>
      </c>
      <c r="O301" s="7">
        <v>2.6620370370370372E-4</v>
      </c>
      <c r="P301" s="7">
        <v>1.4467592592592592E-3</v>
      </c>
      <c r="Q301" s="7">
        <v>1.9328703703703704E-3</v>
      </c>
      <c r="R301" s="6">
        <v>0.68279999999999996</v>
      </c>
      <c r="S301" s="8">
        <f>CONVERT(Table1[[#This Row],[Talk Duration (AVG)]]*Table1[[#This Row],[Answered Calls]],"day","hr")</f>
        <v>6.1111111111111098</v>
      </c>
      <c r="T301" s="9">
        <f>Table1[[#This Row],[Actual Workload hours]]*60</f>
        <v>366.66666666666657</v>
      </c>
      <c r="U301" s="9">
        <f>CONVERT(Table1[[#This Row],[Actual]]*Table1[[#This Row],[Talk Duration (AVG)]],"day","hr")</f>
        <v>1.6666666666666667</v>
      </c>
      <c r="V301" s="10">
        <f>Table1[[#This Row],[Required Workload Hours]]*60</f>
        <v>100</v>
      </c>
      <c r="W301" s="9">
        <v>1</v>
      </c>
      <c r="X301" s="9">
        <f t="shared" si="8"/>
        <v>1</v>
      </c>
      <c r="Y301" s="5">
        <f t="shared" si="9"/>
        <v>2</v>
      </c>
      <c r="Z301" s="8">
        <f>ROUNDUP(Table1[[#This Row],[Actual Heacount]],0)</f>
        <v>1</v>
      </c>
      <c r="AA301" s="8"/>
      <c r="AB301" s="10"/>
      <c r="AC301" s="10"/>
      <c r="AD301" s="10"/>
      <c r="AE301" s="11">
        <v>59.513337398271851</v>
      </c>
      <c r="AF301" s="11">
        <v>280.71811767205691</v>
      </c>
      <c r="AG301" t="s">
        <v>34</v>
      </c>
    </row>
    <row r="302" spans="1:33">
      <c r="A302" s="2">
        <v>44134</v>
      </c>
      <c r="B302" s="5" t="s">
        <v>40</v>
      </c>
      <c r="C302" s="5">
        <f>WEEKDAY(Table1[[#This Row],[Date]])</f>
        <v>6</v>
      </c>
      <c r="D302" s="5">
        <f>MONTH(Table1[[#This Row],[Date]])</f>
        <v>10</v>
      </c>
      <c r="E302" s="5">
        <f>WEEKNUM(Table1[[#This Row],[Date]])</f>
        <v>44</v>
      </c>
      <c r="F302" s="5">
        <f>YEAR(Table1[[#This Row],[Date]])</f>
        <v>2020</v>
      </c>
      <c r="G302">
        <v>221</v>
      </c>
      <c r="L302" s="5">
        <v>365</v>
      </c>
      <c r="M302" s="6">
        <v>0.95550000000000002</v>
      </c>
      <c r="N302" s="5">
        <v>17</v>
      </c>
      <c r="O302" s="7">
        <v>2.3148148148148149E-4</v>
      </c>
      <c r="P302" s="7">
        <v>1.0995370370370371E-3</v>
      </c>
      <c r="Q302" s="7">
        <v>2.0023148148148148E-3</v>
      </c>
      <c r="R302" s="6">
        <v>0.73140000000000005</v>
      </c>
      <c r="S302" s="8">
        <f>CONVERT(Table1[[#This Row],[Talk Duration (AVG)]]*Table1[[#This Row],[Answered Calls]],"day","hr")</f>
        <v>9.6319444444444446</v>
      </c>
      <c r="T302" s="9">
        <f>Table1[[#This Row],[Actual Workload hours]]*60</f>
        <v>577.91666666666663</v>
      </c>
      <c r="U302" s="9">
        <f>CONVERT(Table1[[#This Row],[Actual]]*Table1[[#This Row],[Talk Duration (AVG)]],"day","hr")</f>
        <v>5.8319444444444448</v>
      </c>
      <c r="V302" s="10">
        <f>Table1[[#This Row],[Required Workload Hours]]*60</f>
        <v>349.91666666666669</v>
      </c>
      <c r="W302" s="9">
        <v>1.5</v>
      </c>
      <c r="X302" s="9">
        <f t="shared" si="8"/>
        <v>1</v>
      </c>
      <c r="Y302" s="5">
        <f t="shared" si="9"/>
        <v>2</v>
      </c>
      <c r="Z302" s="8">
        <f>ROUNDUP(Table1[[#This Row],[Actual Heacount]],0)</f>
        <v>2</v>
      </c>
      <c r="AA302" s="8"/>
      <c r="AB302" s="10"/>
      <c r="AC302" s="10"/>
      <c r="AD302" s="10"/>
      <c r="AE302" s="11">
        <v>42.490249909208771</v>
      </c>
      <c r="AF302" s="11">
        <v>271.72634032137239</v>
      </c>
      <c r="AG302" t="s">
        <v>34</v>
      </c>
    </row>
    <row r="303" spans="1:33">
      <c r="A303" s="2">
        <v>44135</v>
      </c>
      <c r="B303" s="5" t="s">
        <v>33</v>
      </c>
      <c r="C303" s="5">
        <f>WEEKDAY(Table1[[#This Row],[Date]])</f>
        <v>7</v>
      </c>
      <c r="D303" s="5">
        <f>MONTH(Table1[[#This Row],[Date]])</f>
        <v>10</v>
      </c>
      <c r="E303" s="5">
        <f>WEEKNUM(Table1[[#This Row],[Date]])</f>
        <v>44</v>
      </c>
      <c r="F303" s="5">
        <f>YEAR(Table1[[#This Row],[Date]])</f>
        <v>2020</v>
      </c>
      <c r="G303">
        <v>275</v>
      </c>
      <c r="L303" s="5">
        <v>223</v>
      </c>
      <c r="M303" s="6">
        <v>0.90649999999999997</v>
      </c>
      <c r="N303" s="5">
        <v>23</v>
      </c>
      <c r="O303" s="7">
        <v>2.8935185185185184E-4</v>
      </c>
      <c r="P303" s="7">
        <v>1.5509259259259259E-3</v>
      </c>
      <c r="Q303" s="7">
        <v>3.7499999999999999E-3</v>
      </c>
      <c r="R303" s="6">
        <v>0.7167</v>
      </c>
      <c r="S303" s="8">
        <f>CONVERT(Table1[[#This Row],[Talk Duration (AVG)]]*Table1[[#This Row],[Answered Calls]],"day","hr")</f>
        <v>8.3005555555555546</v>
      </c>
      <c r="T303" s="9">
        <f>Table1[[#This Row],[Actual Workload hours]]*60</f>
        <v>498.0333333333333</v>
      </c>
      <c r="U303" s="9">
        <f>CONVERT(Table1[[#This Row],[Actual]]*Table1[[#This Row],[Talk Duration (AVG)]],"day","hr")</f>
        <v>10.236111111111111</v>
      </c>
      <c r="V303" s="10">
        <f>Table1[[#This Row],[Required Workload Hours]]*60</f>
        <v>614.16666666666663</v>
      </c>
      <c r="W303" s="9">
        <v>1.3</v>
      </c>
      <c r="X303" s="9">
        <f t="shared" si="8"/>
        <v>1.5993923611111109</v>
      </c>
      <c r="Y303" s="5">
        <f t="shared" si="9"/>
        <v>2</v>
      </c>
      <c r="Z303" s="8">
        <f>ROUNDUP(Table1[[#This Row],[Actual Heacount]],0)</f>
        <v>2</v>
      </c>
      <c r="AA303" s="8"/>
      <c r="AB303" s="10"/>
      <c r="AC303" s="10"/>
      <c r="AD303" s="10"/>
      <c r="AE303" s="11">
        <v>57.49117119442591</v>
      </c>
      <c r="AF303" s="11">
        <v>278.58176928151892</v>
      </c>
      <c r="AG303" t="s">
        <v>34</v>
      </c>
    </row>
    <row r="304" spans="1:33">
      <c r="A304" s="2">
        <v>44136</v>
      </c>
      <c r="B304" s="5" t="s">
        <v>35</v>
      </c>
      <c r="C304" s="5">
        <f>WEEKDAY(Table1[[#This Row],[Date]])</f>
        <v>1</v>
      </c>
      <c r="D304" s="5">
        <f>MONTH(Table1[[#This Row],[Date]])</f>
        <v>11</v>
      </c>
      <c r="E304" s="5">
        <f>WEEKNUM(Table1[[#This Row],[Date]])</f>
        <v>45</v>
      </c>
      <c r="F304" s="5">
        <f>YEAR(Table1[[#This Row],[Date]])</f>
        <v>2020</v>
      </c>
      <c r="G304">
        <v>166</v>
      </c>
      <c r="L304" s="5">
        <v>46</v>
      </c>
      <c r="M304" s="6">
        <v>0.95830000000000004</v>
      </c>
      <c r="N304" s="5">
        <v>2</v>
      </c>
      <c r="O304" s="7">
        <v>3.0092592592592595E-4</v>
      </c>
      <c r="P304" s="7">
        <v>1.5509259259259259E-3</v>
      </c>
      <c r="Q304" s="7">
        <v>9.837962962962962E-4</v>
      </c>
      <c r="R304" s="6">
        <v>0.72340000000000004</v>
      </c>
      <c r="S304" s="8">
        <f>CONVERT(Table1[[#This Row],[Talk Duration (AVG)]]*Table1[[#This Row],[Answered Calls]],"day","hr")</f>
        <v>1.7122222222222223</v>
      </c>
      <c r="T304" s="9">
        <f>Table1[[#This Row],[Actual Workload hours]]*60</f>
        <v>102.73333333333333</v>
      </c>
      <c r="U304" s="9">
        <f>CONVERT(Table1[[#This Row],[Actual]]*Table1[[#This Row],[Talk Duration (AVG)]],"day","hr")</f>
        <v>6.1788888888888893</v>
      </c>
      <c r="V304" s="10">
        <f>Table1[[#This Row],[Required Workload Hours]]*60</f>
        <v>370.73333333333335</v>
      </c>
      <c r="W304" s="9">
        <v>1</v>
      </c>
      <c r="X304" s="9">
        <f t="shared" si="8"/>
        <v>1</v>
      </c>
      <c r="Y304" s="5">
        <f t="shared" si="9"/>
        <v>2</v>
      </c>
      <c r="Z304" s="8">
        <f>ROUNDUP(Table1[[#This Row],[Actual Heacount]],0)</f>
        <v>1</v>
      </c>
      <c r="AA304" s="8"/>
      <c r="AB304" s="10"/>
      <c r="AC304" s="10"/>
      <c r="AD304" s="10"/>
      <c r="AE304" s="11">
        <v>-34.945603758512682</v>
      </c>
      <c r="AF304" s="11">
        <v>192.25271950657751</v>
      </c>
      <c r="AG304" t="s">
        <v>34</v>
      </c>
    </row>
    <row r="305" spans="1:33">
      <c r="A305" s="2">
        <v>44137</v>
      </c>
      <c r="B305" s="5" t="s">
        <v>36</v>
      </c>
      <c r="C305" s="5">
        <f>WEEKDAY(Table1[[#This Row],[Date]])</f>
        <v>2</v>
      </c>
      <c r="D305" s="5">
        <f>MONTH(Table1[[#This Row],[Date]])</f>
        <v>11</v>
      </c>
      <c r="E305" s="5">
        <f>WEEKNUM(Table1[[#This Row],[Date]])</f>
        <v>45</v>
      </c>
      <c r="F305" s="5">
        <f>YEAR(Table1[[#This Row],[Date]])</f>
        <v>2020</v>
      </c>
      <c r="G305">
        <v>137</v>
      </c>
      <c r="L305" s="5">
        <v>205</v>
      </c>
      <c r="M305" s="6">
        <v>0.92759999999999998</v>
      </c>
      <c r="N305" s="5">
        <v>16</v>
      </c>
      <c r="O305" s="7">
        <v>3.0092592592592595E-4</v>
      </c>
      <c r="P305" s="7">
        <v>1.5625000000000001E-3</v>
      </c>
      <c r="Q305" s="7">
        <v>2.2569444444444442E-3</v>
      </c>
      <c r="R305" s="6">
        <v>0.63080000000000003</v>
      </c>
      <c r="S305" s="8">
        <f>CONVERT(Table1[[#This Row],[Talk Duration (AVG)]]*Table1[[#This Row],[Answered Calls]],"day","hr")</f>
        <v>7.6875</v>
      </c>
      <c r="T305" s="9">
        <f>Table1[[#This Row],[Actual Workload hours]]*60</f>
        <v>461.25</v>
      </c>
      <c r="U305" s="9">
        <f>CONVERT(Table1[[#This Row],[Actual]]*Table1[[#This Row],[Talk Duration (AVG)]],"day","hr")</f>
        <v>5.1375000000000002</v>
      </c>
      <c r="V305" s="10">
        <f>Table1[[#This Row],[Required Workload Hours]]*60</f>
        <v>308.25</v>
      </c>
      <c r="W305" s="9">
        <v>1.2</v>
      </c>
      <c r="X305" s="9">
        <f t="shared" si="8"/>
        <v>1</v>
      </c>
      <c r="Y305" s="5">
        <f t="shared" si="9"/>
        <v>2</v>
      </c>
      <c r="Z305" s="8">
        <f>ROUNDUP(Table1[[#This Row],[Actual Heacount]],0)</f>
        <v>2</v>
      </c>
      <c r="AA305" s="8"/>
      <c r="AB305" s="10"/>
      <c r="AC305" s="10"/>
      <c r="AD305" s="10"/>
      <c r="AE305" s="11">
        <v>63.602912324384803</v>
      </c>
      <c r="AF305" s="11">
        <v>284.23732759830568</v>
      </c>
      <c r="AG305" t="s">
        <v>34</v>
      </c>
    </row>
    <row r="306" spans="1:33">
      <c r="A306" s="2">
        <v>44138</v>
      </c>
      <c r="B306" s="5" t="s">
        <v>37</v>
      </c>
      <c r="C306" s="5">
        <f>WEEKDAY(Table1[[#This Row],[Date]])</f>
        <v>3</v>
      </c>
      <c r="D306" s="5">
        <f>MONTH(Table1[[#This Row],[Date]])</f>
        <v>11</v>
      </c>
      <c r="E306" s="5">
        <f>WEEKNUM(Table1[[#This Row],[Date]])</f>
        <v>45</v>
      </c>
      <c r="F306" s="5">
        <f>YEAR(Table1[[#This Row],[Date]])</f>
        <v>2020</v>
      </c>
      <c r="G306">
        <v>146</v>
      </c>
      <c r="L306" s="5">
        <v>261</v>
      </c>
      <c r="M306" s="6">
        <v>0.94910000000000005</v>
      </c>
      <c r="N306" s="5">
        <v>14</v>
      </c>
      <c r="O306" s="7">
        <v>3.8194444444444446E-4</v>
      </c>
      <c r="P306" s="7">
        <v>1.6087962962962963E-3</v>
      </c>
      <c r="Q306" s="7">
        <v>2.0601851851851853E-3</v>
      </c>
      <c r="R306" s="6">
        <v>0.58520000000000005</v>
      </c>
      <c r="S306" s="8">
        <f>CONVERT(Table1[[#This Row],[Talk Duration (AVG)]]*Table1[[#This Row],[Answered Calls]],"day","hr")</f>
        <v>10.077500000000001</v>
      </c>
      <c r="T306" s="9">
        <f>Table1[[#This Row],[Actual Workload hours]]*60</f>
        <v>604.65000000000009</v>
      </c>
      <c r="U306" s="9">
        <f>CONVERT(Table1[[#This Row],[Actual]]*Table1[[#This Row],[Talk Duration (AVG)]],"day","hr")</f>
        <v>5.6372222222222224</v>
      </c>
      <c r="V306" s="10">
        <f>Table1[[#This Row],[Required Workload Hours]]*60</f>
        <v>338.23333333333335</v>
      </c>
      <c r="W306" s="9">
        <v>1.57</v>
      </c>
      <c r="X306" s="9">
        <f t="shared" si="8"/>
        <v>1</v>
      </c>
      <c r="Y306" s="5">
        <f t="shared" si="9"/>
        <v>2</v>
      </c>
      <c r="Z306" s="8">
        <f>ROUNDUP(Table1[[#This Row],[Actual Heacount]],0)</f>
        <v>2</v>
      </c>
      <c r="AA306" s="8"/>
      <c r="AB306" s="10"/>
      <c r="AC306" s="10"/>
      <c r="AD306" s="10"/>
      <c r="AE306" s="11">
        <v>48.469022427420278</v>
      </c>
      <c r="AF306" s="11">
        <v>267.4809936412455</v>
      </c>
      <c r="AG306" t="s">
        <v>34</v>
      </c>
    </row>
    <row r="307" spans="1:33">
      <c r="A307" s="2">
        <v>44139</v>
      </c>
      <c r="B307" s="5" t="s">
        <v>38</v>
      </c>
      <c r="C307" s="5">
        <f>WEEKDAY(Table1[[#This Row],[Date]])</f>
        <v>4</v>
      </c>
      <c r="D307" s="5">
        <f>MONTH(Table1[[#This Row],[Date]])</f>
        <v>11</v>
      </c>
      <c r="E307" s="5">
        <f>WEEKNUM(Table1[[#This Row],[Date]])</f>
        <v>45</v>
      </c>
      <c r="F307" s="5">
        <f>YEAR(Table1[[#This Row],[Date]])</f>
        <v>2020</v>
      </c>
      <c r="G307">
        <v>164</v>
      </c>
      <c r="L307" s="5">
        <v>36</v>
      </c>
      <c r="M307" s="6">
        <v>0.92310000000000003</v>
      </c>
      <c r="N307" s="5">
        <v>3</v>
      </c>
      <c r="O307" s="7">
        <v>2.199074074074074E-4</v>
      </c>
      <c r="P307" s="7">
        <v>1.3078703703703703E-3</v>
      </c>
      <c r="Q307" s="7">
        <v>1.2962962962962963E-3</v>
      </c>
      <c r="R307" s="6">
        <v>0.77780000000000005</v>
      </c>
      <c r="S307" s="8">
        <f>CONVERT(Table1[[#This Row],[Talk Duration (AVG)]]*Table1[[#This Row],[Answered Calls]],"day","hr")</f>
        <v>1.1299999999999999</v>
      </c>
      <c r="T307" s="9">
        <f>Table1[[#This Row],[Actual Workload hours]]*60</f>
        <v>67.8</v>
      </c>
      <c r="U307" s="9">
        <f>CONVERT(Table1[[#This Row],[Actual]]*Table1[[#This Row],[Talk Duration (AVG)]],"day","hr")</f>
        <v>5.1477777777777778</v>
      </c>
      <c r="V307" s="10">
        <f>Table1[[#This Row],[Required Workload Hours]]*60</f>
        <v>308.86666666666667</v>
      </c>
      <c r="W307" s="9">
        <v>1</v>
      </c>
      <c r="X307" s="9">
        <f t="shared" si="8"/>
        <v>1</v>
      </c>
      <c r="Y307" s="5">
        <f t="shared" si="9"/>
        <v>1</v>
      </c>
      <c r="Z307" s="8">
        <f>ROUNDUP(Table1[[#This Row],[Actual Heacount]],0)</f>
        <v>1</v>
      </c>
      <c r="AA307" s="8"/>
      <c r="AB307" s="10"/>
      <c r="AC307" s="10"/>
      <c r="AD307" s="10"/>
      <c r="AE307" s="11">
        <v>49.794382215528309</v>
      </c>
      <c r="AF307" s="11">
        <v>274.31723650756931</v>
      </c>
      <c r="AG307" t="s">
        <v>34</v>
      </c>
    </row>
    <row r="308" spans="1:33">
      <c r="A308" s="2">
        <v>44140</v>
      </c>
      <c r="B308" s="5" t="s">
        <v>39</v>
      </c>
      <c r="C308" s="5">
        <f>WEEKDAY(Table1[[#This Row],[Date]])</f>
        <v>5</v>
      </c>
      <c r="D308" s="5">
        <f>MONTH(Table1[[#This Row],[Date]])</f>
        <v>11</v>
      </c>
      <c r="E308" s="5">
        <f>WEEKNUM(Table1[[#This Row],[Date]])</f>
        <v>45</v>
      </c>
      <c r="F308" s="5">
        <f>YEAR(Table1[[#This Row],[Date]])</f>
        <v>2020</v>
      </c>
      <c r="G308">
        <v>244</v>
      </c>
      <c r="L308" s="5">
        <v>236</v>
      </c>
      <c r="M308" s="6">
        <v>0.94399999999999995</v>
      </c>
      <c r="N308" s="5">
        <v>14</v>
      </c>
      <c r="O308" s="7">
        <v>3.3564814814814812E-4</v>
      </c>
      <c r="P308" s="7">
        <v>1.4814814814814814E-3</v>
      </c>
      <c r="Q308" s="7">
        <v>2.8587962962962963E-3</v>
      </c>
      <c r="R308" s="6">
        <v>0.59040000000000004</v>
      </c>
      <c r="S308" s="8">
        <f>CONVERT(Table1[[#This Row],[Talk Duration (AVG)]]*Table1[[#This Row],[Answered Calls]],"day","hr")</f>
        <v>8.3911111111111119</v>
      </c>
      <c r="T308" s="9">
        <f>Table1[[#This Row],[Actual Workload hours]]*60</f>
        <v>503.4666666666667</v>
      </c>
      <c r="U308" s="9">
        <f>CONVERT(Table1[[#This Row],[Actual]]*Table1[[#This Row],[Talk Duration (AVG)]],"day","hr")</f>
        <v>8.6755555555555546</v>
      </c>
      <c r="V308" s="10">
        <f>Table1[[#This Row],[Required Workload Hours]]*60</f>
        <v>520.5333333333333</v>
      </c>
      <c r="W308" s="9">
        <v>1.31</v>
      </c>
      <c r="X308" s="9">
        <f t="shared" si="8"/>
        <v>1.3555555555555554</v>
      </c>
      <c r="Y308" s="5">
        <f t="shared" si="9"/>
        <v>2</v>
      </c>
      <c r="Z308" s="8">
        <f>ROUNDUP(Table1[[#This Row],[Actual Heacount]],0)</f>
        <v>2</v>
      </c>
      <c r="AA308" s="8"/>
      <c r="AB308" s="10"/>
      <c r="AC308" s="10"/>
      <c r="AD308" s="10"/>
      <c r="AE308" s="11">
        <v>50.55681844760641</v>
      </c>
      <c r="AF308" s="11">
        <v>276.59461896366912</v>
      </c>
      <c r="AG308" t="s">
        <v>34</v>
      </c>
    </row>
    <row r="309" spans="1:33">
      <c r="A309" s="2">
        <v>44141</v>
      </c>
      <c r="B309" s="5" t="s">
        <v>40</v>
      </c>
      <c r="C309" s="5">
        <f>WEEKDAY(Table1[[#This Row],[Date]])</f>
        <v>6</v>
      </c>
      <c r="D309" s="5">
        <f>MONTH(Table1[[#This Row],[Date]])</f>
        <v>11</v>
      </c>
      <c r="E309" s="5">
        <f>WEEKNUM(Table1[[#This Row],[Date]])</f>
        <v>45</v>
      </c>
      <c r="F309" s="5">
        <f>YEAR(Table1[[#This Row],[Date]])</f>
        <v>2020</v>
      </c>
      <c r="G309">
        <v>161</v>
      </c>
      <c r="L309" s="5">
        <v>184</v>
      </c>
      <c r="M309" s="6">
        <v>0.93400000000000005</v>
      </c>
      <c r="N309" s="5">
        <v>13</v>
      </c>
      <c r="O309" s="7">
        <v>3.3564814814814812E-4</v>
      </c>
      <c r="P309" s="7">
        <v>1.6550925925925926E-3</v>
      </c>
      <c r="Q309" s="7">
        <v>2.5578703703703705E-3</v>
      </c>
      <c r="R309" s="6">
        <v>0.55610000000000004</v>
      </c>
      <c r="S309" s="8">
        <f>CONVERT(Table1[[#This Row],[Talk Duration (AVG)]]*Table1[[#This Row],[Answered Calls]],"day","hr")</f>
        <v>7.3088888888888892</v>
      </c>
      <c r="T309" s="9">
        <f>Table1[[#This Row],[Actual Workload hours]]*60</f>
        <v>438.53333333333336</v>
      </c>
      <c r="U309" s="9">
        <f>CONVERT(Table1[[#This Row],[Actual]]*Table1[[#This Row],[Talk Duration (AVG)]],"day","hr")</f>
        <v>6.3952777777777774</v>
      </c>
      <c r="V309" s="10">
        <f>Table1[[#This Row],[Required Workload Hours]]*60</f>
        <v>383.71666666666664</v>
      </c>
      <c r="W309" s="9">
        <v>1.1399999999999999</v>
      </c>
      <c r="X309" s="9">
        <f t="shared" si="8"/>
        <v>1</v>
      </c>
      <c r="Y309" s="5">
        <f t="shared" si="9"/>
        <v>2</v>
      </c>
      <c r="Z309" s="8">
        <f>ROUNDUP(Table1[[#This Row],[Actual Heacount]],0)</f>
        <v>2</v>
      </c>
      <c r="AA309" s="8"/>
      <c r="AB309" s="10"/>
      <c r="AC309" s="10"/>
      <c r="AD309" s="10"/>
      <c r="AE309" s="11">
        <v>36.974695109779823</v>
      </c>
      <c r="AF309" s="11">
        <v>257.26799729493149</v>
      </c>
      <c r="AG309" t="s">
        <v>34</v>
      </c>
    </row>
    <row r="310" spans="1:33">
      <c r="A310" s="2">
        <v>44142</v>
      </c>
      <c r="B310" s="5" t="s">
        <v>33</v>
      </c>
      <c r="C310" s="5">
        <f>WEEKDAY(Table1[[#This Row],[Date]])</f>
        <v>7</v>
      </c>
      <c r="D310" s="5">
        <f>MONTH(Table1[[#This Row],[Date]])</f>
        <v>11</v>
      </c>
      <c r="E310" s="5">
        <f>WEEKNUM(Table1[[#This Row],[Date]])</f>
        <v>45</v>
      </c>
      <c r="F310" s="5">
        <f>YEAR(Table1[[#This Row],[Date]])</f>
        <v>2020</v>
      </c>
      <c r="G310">
        <v>163</v>
      </c>
      <c r="L310" s="5">
        <v>208</v>
      </c>
      <c r="M310" s="6">
        <v>0.93269999999999997</v>
      </c>
      <c r="N310" s="5">
        <v>15</v>
      </c>
      <c r="O310" s="7">
        <v>3.2407407407407406E-4</v>
      </c>
      <c r="P310" s="7">
        <v>1.6319444444444445E-3</v>
      </c>
      <c r="Q310" s="7">
        <v>4.7569444444444447E-3</v>
      </c>
      <c r="R310" s="6">
        <v>0.72270000000000001</v>
      </c>
      <c r="S310" s="8">
        <f>CONVERT(Table1[[#This Row],[Talk Duration (AVG)]]*Table1[[#This Row],[Answered Calls]],"day","hr")</f>
        <v>8.1466666666666665</v>
      </c>
      <c r="T310" s="9">
        <f>Table1[[#This Row],[Actual Workload hours]]*60</f>
        <v>488.8</v>
      </c>
      <c r="U310" s="9">
        <f>CONVERT(Table1[[#This Row],[Actual]]*Table1[[#This Row],[Talk Duration (AVG)]],"day","hr")</f>
        <v>6.3841666666666663</v>
      </c>
      <c r="V310" s="10">
        <f>Table1[[#This Row],[Required Workload Hours]]*60</f>
        <v>383.04999999999995</v>
      </c>
      <c r="W310" s="9">
        <v>1.27</v>
      </c>
      <c r="X310" s="9">
        <f t="shared" si="8"/>
        <v>1</v>
      </c>
      <c r="Y310" s="5">
        <f t="shared" si="9"/>
        <v>2</v>
      </c>
      <c r="Z310" s="8">
        <f>ROUNDUP(Table1[[#This Row],[Actual Heacount]],0)</f>
        <v>2</v>
      </c>
      <c r="AA310" s="8"/>
      <c r="AB310" s="10"/>
      <c r="AC310" s="10"/>
      <c r="AD310" s="10"/>
      <c r="AE310" s="11">
        <v>31.815031133126851</v>
      </c>
      <c r="AF310" s="11">
        <v>258.66957999877019</v>
      </c>
      <c r="AG310" t="s">
        <v>34</v>
      </c>
    </row>
    <row r="311" spans="1:33">
      <c r="A311" s="2">
        <v>44143</v>
      </c>
      <c r="B311" s="5" t="s">
        <v>35</v>
      </c>
      <c r="C311" s="5">
        <f>WEEKDAY(Table1[[#This Row],[Date]])</f>
        <v>1</v>
      </c>
      <c r="D311" s="5">
        <f>MONTH(Table1[[#This Row],[Date]])</f>
        <v>11</v>
      </c>
      <c r="E311" s="5">
        <f>WEEKNUM(Table1[[#This Row],[Date]])</f>
        <v>46</v>
      </c>
      <c r="F311" s="5">
        <f>YEAR(Table1[[#This Row],[Date]])</f>
        <v>2020</v>
      </c>
      <c r="G311">
        <v>346</v>
      </c>
      <c r="L311" s="5">
        <v>236</v>
      </c>
      <c r="M311" s="6">
        <v>0.98329999999999995</v>
      </c>
      <c r="N311" s="5">
        <v>4</v>
      </c>
      <c r="O311" s="7">
        <v>2.0833333333333335E-4</v>
      </c>
      <c r="P311" s="7">
        <v>1.5509259259259259E-3</v>
      </c>
      <c r="Q311" s="7">
        <v>1.4814814814814814E-3</v>
      </c>
      <c r="R311" s="6">
        <v>0.7792</v>
      </c>
      <c r="S311" s="8">
        <f>CONVERT(Table1[[#This Row],[Talk Duration (AVG)]]*Table1[[#This Row],[Answered Calls]],"day","hr")</f>
        <v>8.7844444444444445</v>
      </c>
      <c r="T311" s="9">
        <f>Table1[[#This Row],[Actual Workload hours]]*60</f>
        <v>527.06666666666672</v>
      </c>
      <c r="U311" s="9">
        <f>CONVERT(Table1[[#This Row],[Actual]]*Table1[[#This Row],[Talk Duration (AVG)]],"day","hr")</f>
        <v>12.878888888888889</v>
      </c>
      <c r="V311" s="10">
        <f>Table1[[#This Row],[Required Workload Hours]]*60</f>
        <v>772.73333333333335</v>
      </c>
      <c r="W311" s="9">
        <v>1.37</v>
      </c>
      <c r="X311" s="9">
        <f t="shared" si="8"/>
        <v>2.0123263888888889</v>
      </c>
      <c r="Y311" s="5">
        <f t="shared" si="9"/>
        <v>2</v>
      </c>
      <c r="Z311" s="8">
        <f>ROUNDUP(Table1[[#This Row],[Actual Heacount]],0)</f>
        <v>2</v>
      </c>
      <c r="AA311" s="8"/>
      <c r="AB311" s="10"/>
      <c r="AC311" s="10"/>
      <c r="AD311" s="10"/>
      <c r="AE311" s="11">
        <v>-49.796110435918337</v>
      </c>
      <c r="AF311" s="11">
        <v>173.48636112772451</v>
      </c>
      <c r="AG311" t="s">
        <v>34</v>
      </c>
    </row>
    <row r="312" spans="1:33">
      <c r="A312" s="2">
        <v>44144</v>
      </c>
      <c r="B312" s="5" t="s">
        <v>36</v>
      </c>
      <c r="C312" s="5">
        <f>WEEKDAY(Table1[[#This Row],[Date]])</f>
        <v>2</v>
      </c>
      <c r="D312" s="5">
        <f>MONTH(Table1[[#This Row],[Date]])</f>
        <v>11</v>
      </c>
      <c r="E312" s="5">
        <f>WEEKNUM(Table1[[#This Row],[Date]])</f>
        <v>46</v>
      </c>
      <c r="F312" s="5">
        <f>YEAR(Table1[[#This Row],[Date]])</f>
        <v>2020</v>
      </c>
      <c r="G312">
        <v>214</v>
      </c>
      <c r="L312" s="5">
        <v>52</v>
      </c>
      <c r="M312" s="6">
        <v>0.94550000000000001</v>
      </c>
      <c r="N312" s="5">
        <v>3</v>
      </c>
      <c r="O312" s="7">
        <v>1.8518518518518518E-4</v>
      </c>
      <c r="P312" s="7">
        <v>1.6087962962962963E-3</v>
      </c>
      <c r="Q312" s="7">
        <v>1.1805555555555556E-3</v>
      </c>
      <c r="R312" s="6">
        <v>0.78180000000000005</v>
      </c>
      <c r="S312" s="8">
        <f>CONVERT(Table1[[#This Row],[Talk Duration (AVG)]]*Table1[[#This Row],[Answered Calls]],"day","hr")</f>
        <v>2.0077777777777777</v>
      </c>
      <c r="T312" s="9">
        <f>Table1[[#This Row],[Actual Workload hours]]*60</f>
        <v>120.46666666666665</v>
      </c>
      <c r="U312" s="9">
        <f>CONVERT(Table1[[#This Row],[Actual]]*Table1[[#This Row],[Talk Duration (AVG)]],"day","hr")</f>
        <v>8.262777777777778</v>
      </c>
      <c r="V312" s="10">
        <f>Table1[[#This Row],[Required Workload Hours]]*60</f>
        <v>495.76666666666665</v>
      </c>
      <c r="W312" s="9">
        <v>1</v>
      </c>
      <c r="X312" s="9">
        <f t="shared" si="8"/>
        <v>1.2910590277777778</v>
      </c>
      <c r="Y312" s="5">
        <f t="shared" si="9"/>
        <v>2</v>
      </c>
      <c r="Z312" s="8">
        <f>ROUNDUP(Table1[[#This Row],[Actual Heacount]],0)</f>
        <v>1</v>
      </c>
      <c r="AA312" s="8"/>
      <c r="AB312" s="10"/>
      <c r="AC312" s="10"/>
      <c r="AD312" s="10"/>
      <c r="AE312" s="11">
        <v>56.544387117618292</v>
      </c>
      <c r="AF312" s="11">
        <v>273.20473545326388</v>
      </c>
      <c r="AG312" t="s">
        <v>34</v>
      </c>
    </row>
    <row r="313" spans="1:33">
      <c r="A313" s="2">
        <v>44145</v>
      </c>
      <c r="B313" s="5" t="s">
        <v>37</v>
      </c>
      <c r="C313" s="5">
        <f>WEEKDAY(Table1[[#This Row],[Date]])</f>
        <v>3</v>
      </c>
      <c r="D313" s="5">
        <f>MONTH(Table1[[#This Row],[Date]])</f>
        <v>11</v>
      </c>
      <c r="E313" s="5">
        <f>WEEKNUM(Table1[[#This Row],[Date]])</f>
        <v>46</v>
      </c>
      <c r="F313" s="5">
        <f>YEAR(Table1[[#This Row],[Date]])</f>
        <v>2020</v>
      </c>
      <c r="G313">
        <v>48</v>
      </c>
      <c r="L313" s="5">
        <v>54</v>
      </c>
      <c r="M313" s="6">
        <v>0.9153</v>
      </c>
      <c r="N313" s="5">
        <v>5</v>
      </c>
      <c r="O313" s="7">
        <v>9.2592592592592588E-5</v>
      </c>
      <c r="P313" s="7">
        <v>1.4583333333333334E-3</v>
      </c>
      <c r="Q313" s="7">
        <v>1.4004629629629629E-3</v>
      </c>
      <c r="R313" s="6">
        <v>0.84750000000000003</v>
      </c>
      <c r="S313" s="8">
        <f>CONVERT(Table1[[#This Row],[Talk Duration (AVG)]]*Table1[[#This Row],[Answered Calls]],"day","hr")</f>
        <v>1.89</v>
      </c>
      <c r="T313" s="9">
        <f>Table1[[#This Row],[Actual Workload hours]]*60</f>
        <v>113.39999999999999</v>
      </c>
      <c r="U313" s="9">
        <f>CONVERT(Table1[[#This Row],[Actual]]*Table1[[#This Row],[Talk Duration (AVG)]],"day","hr")</f>
        <v>1.6800000000000002</v>
      </c>
      <c r="V313" s="10">
        <f>Table1[[#This Row],[Required Workload Hours]]*60</f>
        <v>100.80000000000001</v>
      </c>
      <c r="W313" s="9">
        <v>1</v>
      </c>
      <c r="X313" s="9">
        <f t="shared" si="8"/>
        <v>1</v>
      </c>
      <c r="Y313" s="5">
        <f t="shared" si="9"/>
        <v>2</v>
      </c>
      <c r="Z313" s="8">
        <f>ROUNDUP(Table1[[#This Row],[Actual Heacount]],0)</f>
        <v>1</v>
      </c>
      <c r="AA313" s="8"/>
      <c r="AB313" s="10"/>
      <c r="AC313" s="10"/>
      <c r="AD313" s="10"/>
      <c r="AE313" s="11">
        <v>33.853751803337033</v>
      </c>
      <c r="AF313" s="11">
        <v>256.79615585955901</v>
      </c>
      <c r="AG313" t="s">
        <v>34</v>
      </c>
    </row>
    <row r="314" spans="1:33">
      <c r="A314" s="2">
        <v>44146</v>
      </c>
      <c r="B314" s="5" t="s">
        <v>38</v>
      </c>
      <c r="C314" s="5">
        <f>WEEKDAY(Table1[[#This Row],[Date]])</f>
        <v>4</v>
      </c>
      <c r="D314" s="5">
        <f>MONTH(Table1[[#This Row],[Date]])</f>
        <v>11</v>
      </c>
      <c r="E314" s="5">
        <f>WEEKNUM(Table1[[#This Row],[Date]])</f>
        <v>46</v>
      </c>
      <c r="F314" s="5">
        <f>YEAR(Table1[[#This Row],[Date]])</f>
        <v>2020</v>
      </c>
      <c r="G314">
        <v>225</v>
      </c>
      <c r="L314" s="5">
        <v>31</v>
      </c>
      <c r="M314" s="6">
        <v>0.86109999999999998</v>
      </c>
      <c r="N314" s="5">
        <v>5</v>
      </c>
      <c r="O314" s="7">
        <v>1.273148148148148E-4</v>
      </c>
      <c r="P314" s="7">
        <v>1.6435185185185185E-3</v>
      </c>
      <c r="Q314" s="7">
        <v>1.3425925925925925E-3</v>
      </c>
      <c r="R314" s="6">
        <v>0.72219999999999995</v>
      </c>
      <c r="S314" s="8">
        <f>CONVERT(Table1[[#This Row],[Talk Duration (AVG)]]*Table1[[#This Row],[Answered Calls]],"day","hr")</f>
        <v>1.2227777777777777</v>
      </c>
      <c r="T314" s="9">
        <f>Table1[[#This Row],[Actual Workload hours]]*60</f>
        <v>73.36666666666666</v>
      </c>
      <c r="U314" s="9">
        <f>CONVERT(Table1[[#This Row],[Actual]]*Table1[[#This Row],[Talk Duration (AVG)]],"day","hr")</f>
        <v>8.875</v>
      </c>
      <c r="V314" s="10">
        <f>Table1[[#This Row],[Required Workload Hours]]*60</f>
        <v>532.5</v>
      </c>
      <c r="W314" s="9">
        <v>1</v>
      </c>
      <c r="X314" s="9">
        <f t="shared" si="8"/>
        <v>1.38671875</v>
      </c>
      <c r="Y314" s="5">
        <f t="shared" si="9"/>
        <v>1</v>
      </c>
      <c r="Z314" s="8">
        <f>ROUNDUP(Table1[[#This Row],[Actual Heacount]],0)</f>
        <v>1</v>
      </c>
      <c r="AA314" s="8"/>
      <c r="AB314" s="10"/>
      <c r="AC314" s="10"/>
      <c r="AD314" s="10"/>
      <c r="AE314" s="11">
        <v>39.313104184181178</v>
      </c>
      <c r="AF314" s="11">
        <v>263.05941930189118</v>
      </c>
      <c r="AG314" t="s">
        <v>34</v>
      </c>
    </row>
    <row r="315" spans="1:33">
      <c r="A315" s="2">
        <v>44147</v>
      </c>
      <c r="B315" s="5" t="s">
        <v>39</v>
      </c>
      <c r="C315" s="5">
        <f>WEEKDAY(Table1[[#This Row],[Date]])</f>
        <v>5</v>
      </c>
      <c r="D315" s="5">
        <f>MONTH(Table1[[#This Row],[Date]])</f>
        <v>11</v>
      </c>
      <c r="E315" s="5">
        <f>WEEKNUM(Table1[[#This Row],[Date]])</f>
        <v>46</v>
      </c>
      <c r="F315" s="5">
        <f>YEAR(Table1[[#This Row],[Date]])</f>
        <v>2020</v>
      </c>
      <c r="G315">
        <v>177</v>
      </c>
      <c r="L315" s="5">
        <v>219</v>
      </c>
      <c r="M315" s="6">
        <v>0.95630000000000004</v>
      </c>
      <c r="N315" s="5">
        <v>10</v>
      </c>
      <c r="O315" s="7">
        <v>1.5046296296296297E-4</v>
      </c>
      <c r="P315" s="7">
        <v>1.4699074074074074E-3</v>
      </c>
      <c r="Q315" s="7">
        <v>1.7939814814814815E-3</v>
      </c>
      <c r="R315" s="6">
        <v>0.84889999999999999</v>
      </c>
      <c r="S315" s="8">
        <f>CONVERT(Table1[[#This Row],[Talk Duration (AVG)]]*Table1[[#This Row],[Answered Calls]],"day","hr")</f>
        <v>7.7258333333333322</v>
      </c>
      <c r="T315" s="9">
        <f>Table1[[#This Row],[Actual Workload hours]]*60</f>
        <v>463.54999999999995</v>
      </c>
      <c r="U315" s="9">
        <f>CONVERT(Table1[[#This Row],[Actual]]*Table1[[#This Row],[Talk Duration (AVG)]],"day","hr")</f>
        <v>6.2441666666666666</v>
      </c>
      <c r="V315" s="10">
        <f>Table1[[#This Row],[Required Workload Hours]]*60</f>
        <v>374.65</v>
      </c>
      <c r="W315" s="9">
        <v>1.21</v>
      </c>
      <c r="X315" s="9">
        <f t="shared" si="8"/>
        <v>1</v>
      </c>
      <c r="Y315" s="5">
        <f t="shared" si="9"/>
        <v>2</v>
      </c>
      <c r="Z315" s="8">
        <f>ROUNDUP(Table1[[#This Row],[Actual Heacount]],0)</f>
        <v>2</v>
      </c>
      <c r="AA315" s="8"/>
      <c r="AB315" s="10"/>
      <c r="AC315" s="10"/>
      <c r="AD315" s="10"/>
      <c r="AE315" s="11">
        <v>34.991550911922481</v>
      </c>
      <c r="AF315" s="11">
        <v>253.44499454849691</v>
      </c>
      <c r="AG315" t="s">
        <v>34</v>
      </c>
    </row>
    <row r="316" spans="1:33">
      <c r="A316" s="2">
        <v>44148</v>
      </c>
      <c r="B316" s="5" t="s">
        <v>40</v>
      </c>
      <c r="C316" s="5">
        <f>WEEKDAY(Table1[[#This Row],[Date]])</f>
        <v>6</v>
      </c>
      <c r="D316" s="5">
        <f>MONTH(Table1[[#This Row],[Date]])</f>
        <v>11</v>
      </c>
      <c r="E316" s="5">
        <f>WEEKNUM(Table1[[#This Row],[Date]])</f>
        <v>46</v>
      </c>
      <c r="F316" s="5">
        <f>YEAR(Table1[[#This Row],[Date]])</f>
        <v>2020</v>
      </c>
      <c r="G316">
        <v>189</v>
      </c>
      <c r="L316" s="5">
        <v>189</v>
      </c>
      <c r="M316" s="6">
        <v>0.91749999999999998</v>
      </c>
      <c r="N316" s="5">
        <v>17</v>
      </c>
      <c r="O316" s="7">
        <v>1.7361111111111112E-4</v>
      </c>
      <c r="P316" s="7">
        <v>1.6087962962962963E-3</v>
      </c>
      <c r="Q316" s="7">
        <v>2.638888888888889E-3</v>
      </c>
      <c r="R316" s="6">
        <v>0.82830000000000004</v>
      </c>
      <c r="S316" s="8">
        <f>CONVERT(Table1[[#This Row],[Talk Duration (AVG)]]*Table1[[#This Row],[Answered Calls]],"day","hr")</f>
        <v>7.2975000000000003</v>
      </c>
      <c r="T316" s="9">
        <f>Table1[[#This Row],[Actual Workload hours]]*60</f>
        <v>437.85</v>
      </c>
      <c r="U316" s="9">
        <f>CONVERT(Table1[[#This Row],[Actual]]*Table1[[#This Row],[Talk Duration (AVG)]],"day","hr")</f>
        <v>7.2975000000000003</v>
      </c>
      <c r="V316" s="10">
        <f>Table1[[#This Row],[Required Workload Hours]]*60</f>
        <v>437.85</v>
      </c>
      <c r="W316" s="9">
        <v>1.1399999999999999</v>
      </c>
      <c r="X316" s="9">
        <f t="shared" si="8"/>
        <v>1.1402343750000001</v>
      </c>
      <c r="Y316" s="5">
        <f t="shared" si="9"/>
        <v>2</v>
      </c>
      <c r="Z316" s="8">
        <f>ROUNDUP(Table1[[#This Row],[Actual Heacount]],0)</f>
        <v>2</v>
      </c>
      <c r="AA316" s="8"/>
      <c r="AB316" s="10"/>
      <c r="AC316" s="10"/>
      <c r="AD316" s="10"/>
      <c r="AE316" s="11">
        <v>19.854445518931449</v>
      </c>
      <c r="AF316" s="11">
        <v>246.2196208867459</v>
      </c>
      <c r="AG316" t="s">
        <v>34</v>
      </c>
    </row>
    <row r="317" spans="1:33">
      <c r="A317" s="2">
        <v>44149</v>
      </c>
      <c r="B317" s="5" t="s">
        <v>33</v>
      </c>
      <c r="C317" s="5">
        <f>WEEKDAY(Table1[[#This Row],[Date]])</f>
        <v>7</v>
      </c>
      <c r="D317" s="5">
        <f>MONTH(Table1[[#This Row],[Date]])</f>
        <v>11</v>
      </c>
      <c r="E317" s="5">
        <f>WEEKNUM(Table1[[#This Row],[Date]])</f>
        <v>46</v>
      </c>
      <c r="F317" s="5">
        <f>YEAR(Table1[[#This Row],[Date]])</f>
        <v>2020</v>
      </c>
      <c r="G317">
        <v>169</v>
      </c>
      <c r="L317" s="5">
        <v>200</v>
      </c>
      <c r="M317" s="6">
        <v>0.88890000000000002</v>
      </c>
      <c r="N317" s="5">
        <v>25</v>
      </c>
      <c r="O317" s="7">
        <v>2.4305555555555555E-4</v>
      </c>
      <c r="P317" s="7">
        <v>1.6319444444444445E-3</v>
      </c>
      <c r="Q317" s="7">
        <v>3.2638888888888891E-3</v>
      </c>
      <c r="R317" s="6">
        <v>0.73109999999999997</v>
      </c>
      <c r="S317" s="8">
        <f>CONVERT(Table1[[#This Row],[Talk Duration (AVG)]]*Table1[[#This Row],[Answered Calls]],"day","hr")</f>
        <v>7.833333333333333</v>
      </c>
      <c r="T317" s="9">
        <f>Table1[[#This Row],[Actual Workload hours]]*60</f>
        <v>470</v>
      </c>
      <c r="U317" s="9">
        <f>CONVERT(Table1[[#This Row],[Actual]]*Table1[[#This Row],[Talk Duration (AVG)]],"day","hr")</f>
        <v>6.6191666666666675</v>
      </c>
      <c r="V317" s="10">
        <f>Table1[[#This Row],[Required Workload Hours]]*60</f>
        <v>397.15000000000003</v>
      </c>
      <c r="W317" s="9">
        <v>1.22</v>
      </c>
      <c r="X317" s="9">
        <f t="shared" si="8"/>
        <v>1.0342447916666668</v>
      </c>
      <c r="Y317" s="5">
        <f t="shared" si="9"/>
        <v>2</v>
      </c>
      <c r="Z317" s="8">
        <f>ROUNDUP(Table1[[#This Row],[Actual Heacount]],0)</f>
        <v>2</v>
      </c>
      <c r="AA317" s="8"/>
      <c r="AB317" s="10"/>
      <c r="AC317" s="10"/>
      <c r="AD317" s="10"/>
      <c r="AE317" s="11">
        <v>29.496922372273861</v>
      </c>
      <c r="AF317" s="11">
        <v>252.12602517727859</v>
      </c>
      <c r="AG317" t="s">
        <v>34</v>
      </c>
    </row>
    <row r="318" spans="1:33">
      <c r="A318" s="2">
        <v>44150</v>
      </c>
      <c r="B318" s="5" t="s">
        <v>35</v>
      </c>
      <c r="C318" s="5">
        <f>WEEKDAY(Table1[[#This Row],[Date]])</f>
        <v>1</v>
      </c>
      <c r="D318" s="5">
        <f>MONTH(Table1[[#This Row],[Date]])</f>
        <v>11</v>
      </c>
      <c r="E318" s="5">
        <f>WEEKNUM(Table1[[#This Row],[Date]])</f>
        <v>47</v>
      </c>
      <c r="F318" s="5">
        <f>YEAR(Table1[[#This Row],[Date]])</f>
        <v>2020</v>
      </c>
      <c r="G318">
        <v>41</v>
      </c>
      <c r="L318" s="5">
        <v>193</v>
      </c>
      <c r="M318" s="6">
        <v>0.96499999999999997</v>
      </c>
      <c r="N318" s="5">
        <v>7</v>
      </c>
      <c r="O318" s="7">
        <v>1.9675925925925926E-4</v>
      </c>
      <c r="P318" s="7">
        <v>1.6550925925925926E-3</v>
      </c>
      <c r="Q318" s="7">
        <v>2.5462962962962965E-3</v>
      </c>
      <c r="R318" s="6">
        <v>0.79290000000000005</v>
      </c>
      <c r="S318" s="8">
        <f>CONVERT(Table1[[#This Row],[Talk Duration (AVG)]]*Table1[[#This Row],[Answered Calls]],"day","hr")</f>
        <v>7.6663888888888891</v>
      </c>
      <c r="T318" s="9">
        <f>Table1[[#This Row],[Actual Workload hours]]*60</f>
        <v>459.98333333333335</v>
      </c>
      <c r="U318" s="9">
        <f>CONVERT(Table1[[#This Row],[Actual]]*Table1[[#This Row],[Talk Duration (AVG)]],"day","hr")</f>
        <v>1.628611111111111</v>
      </c>
      <c r="V318" s="10">
        <f>Table1[[#This Row],[Required Workload Hours]]*60</f>
        <v>97.716666666666654</v>
      </c>
      <c r="W318" s="9">
        <v>1.2</v>
      </c>
      <c r="X318" s="9">
        <f t="shared" si="8"/>
        <v>1</v>
      </c>
      <c r="Y318" s="5">
        <f t="shared" si="9"/>
        <v>2</v>
      </c>
      <c r="Z318" s="8">
        <f>ROUNDUP(Table1[[#This Row],[Actual Heacount]],0)</f>
        <v>2</v>
      </c>
      <c r="AA318" s="8"/>
      <c r="AB318" s="10"/>
      <c r="AC318" s="10"/>
      <c r="AD318" s="10"/>
      <c r="AE318" s="11">
        <v>-58.808473822980247</v>
      </c>
      <c r="AF318" s="11">
        <v>163.7909485603108</v>
      </c>
      <c r="AG318" t="s">
        <v>34</v>
      </c>
    </row>
    <row r="319" spans="1:33">
      <c r="A319" s="2">
        <v>44151</v>
      </c>
      <c r="B319" s="5" t="s">
        <v>36</v>
      </c>
      <c r="C319" s="5">
        <f>WEEKDAY(Table1[[#This Row],[Date]])</f>
        <v>2</v>
      </c>
      <c r="D319" s="5">
        <f>MONTH(Table1[[#This Row],[Date]])</f>
        <v>11</v>
      </c>
      <c r="E319" s="5">
        <f>WEEKNUM(Table1[[#This Row],[Date]])</f>
        <v>47</v>
      </c>
      <c r="F319" s="5">
        <f>YEAR(Table1[[#This Row],[Date]])</f>
        <v>2020</v>
      </c>
      <c r="G319">
        <v>218</v>
      </c>
      <c r="L319" s="5">
        <v>179</v>
      </c>
      <c r="M319" s="6">
        <v>0.94710000000000005</v>
      </c>
      <c r="N319" s="5">
        <v>10</v>
      </c>
      <c r="O319" s="7">
        <v>2.5462962962962961E-4</v>
      </c>
      <c r="P319" s="7">
        <v>1.5046296296296296E-3</v>
      </c>
      <c r="Q319" s="7">
        <v>4.6412037037037038E-3</v>
      </c>
      <c r="R319" s="6">
        <v>0.78069999999999995</v>
      </c>
      <c r="S319" s="8">
        <f>CONVERT(Table1[[#This Row],[Talk Duration (AVG)]]*Table1[[#This Row],[Answered Calls]],"day","hr")</f>
        <v>6.4638888888888886</v>
      </c>
      <c r="T319" s="9">
        <f>Table1[[#This Row],[Actual Workload hours]]*60</f>
        <v>387.83333333333331</v>
      </c>
      <c r="U319" s="9">
        <f>CONVERT(Table1[[#This Row],[Actual]]*Table1[[#This Row],[Talk Duration (AVG)]],"day","hr")</f>
        <v>7.8722222222222218</v>
      </c>
      <c r="V319" s="10">
        <f>Table1[[#This Row],[Required Workload Hours]]*60</f>
        <v>472.33333333333331</v>
      </c>
      <c r="W319" s="9">
        <v>1.01</v>
      </c>
      <c r="X319" s="9">
        <f t="shared" si="8"/>
        <v>1.2300347222222221</v>
      </c>
      <c r="Y319" s="5">
        <f t="shared" si="9"/>
        <v>2</v>
      </c>
      <c r="Z319" s="8">
        <f>ROUNDUP(Table1[[#This Row],[Actual Heacount]],0)</f>
        <v>2</v>
      </c>
      <c r="AA319" s="8"/>
      <c r="AB319" s="10"/>
      <c r="AC319" s="10"/>
      <c r="AD319" s="10"/>
      <c r="AE319" s="11">
        <v>49.408881770880178</v>
      </c>
      <c r="AF319" s="11">
        <v>263.74817992312973</v>
      </c>
      <c r="AG319" t="s">
        <v>34</v>
      </c>
    </row>
    <row r="320" spans="1:33">
      <c r="A320" s="2">
        <v>44152</v>
      </c>
      <c r="B320" s="5" t="s">
        <v>37</v>
      </c>
      <c r="C320" s="5">
        <f>WEEKDAY(Table1[[#This Row],[Date]])</f>
        <v>3</v>
      </c>
      <c r="D320" s="5">
        <f>MONTH(Table1[[#This Row],[Date]])</f>
        <v>11</v>
      </c>
      <c r="E320" s="5">
        <f>WEEKNUM(Table1[[#This Row],[Date]])</f>
        <v>47</v>
      </c>
      <c r="F320" s="5">
        <f>YEAR(Table1[[#This Row],[Date]])</f>
        <v>2020</v>
      </c>
      <c r="G320">
        <v>194</v>
      </c>
      <c r="L320" s="5">
        <v>159</v>
      </c>
      <c r="M320" s="6">
        <v>0.94079999999999997</v>
      </c>
      <c r="N320" s="5">
        <v>10</v>
      </c>
      <c r="O320" s="7">
        <v>2.5462962962962961E-4</v>
      </c>
      <c r="P320" s="7">
        <v>1.6550925925925926E-3</v>
      </c>
      <c r="Q320" s="7">
        <v>2.3842592592592591E-3</v>
      </c>
      <c r="R320" s="6">
        <v>0.73650000000000004</v>
      </c>
      <c r="S320" s="8">
        <f>CONVERT(Table1[[#This Row],[Talk Duration (AVG)]]*Table1[[#This Row],[Answered Calls]],"day","hr")</f>
        <v>6.315833333333333</v>
      </c>
      <c r="T320" s="9">
        <f>Table1[[#This Row],[Actual Workload hours]]*60</f>
        <v>378.95</v>
      </c>
      <c r="U320" s="9">
        <f>CONVERT(Table1[[#This Row],[Actual]]*Table1[[#This Row],[Talk Duration (AVG)]],"day","hr")</f>
        <v>7.7061111111111105</v>
      </c>
      <c r="V320" s="10">
        <f>Table1[[#This Row],[Required Workload Hours]]*60</f>
        <v>462.36666666666662</v>
      </c>
      <c r="W320" s="9">
        <v>1</v>
      </c>
      <c r="X320" s="9">
        <f t="shared" si="8"/>
        <v>1.204079861111111</v>
      </c>
      <c r="Y320" s="5">
        <f t="shared" si="9"/>
        <v>2</v>
      </c>
      <c r="Z320" s="8">
        <f>ROUNDUP(Table1[[#This Row],[Actual Heacount]],0)</f>
        <v>1</v>
      </c>
      <c r="AA320" s="8"/>
      <c r="AB320" s="10"/>
      <c r="AC320" s="10"/>
      <c r="AD320" s="10"/>
      <c r="AE320" s="11">
        <v>25.798850647960389</v>
      </c>
      <c r="AF320" s="11">
        <v>250.8865814661514</v>
      </c>
      <c r="AG320" t="s">
        <v>34</v>
      </c>
    </row>
    <row r="321" spans="1:33">
      <c r="A321" s="2">
        <v>44153</v>
      </c>
      <c r="B321" s="5" t="s">
        <v>38</v>
      </c>
      <c r="C321" s="5">
        <f>WEEKDAY(Table1[[#This Row],[Date]])</f>
        <v>4</v>
      </c>
      <c r="D321" s="5">
        <f>MONTH(Table1[[#This Row],[Date]])</f>
        <v>11</v>
      </c>
      <c r="E321" s="5">
        <f>WEEKNUM(Table1[[#This Row],[Date]])</f>
        <v>47</v>
      </c>
      <c r="F321" s="5">
        <f>YEAR(Table1[[#This Row],[Date]])</f>
        <v>2020</v>
      </c>
      <c r="G321">
        <v>176</v>
      </c>
      <c r="L321" s="5">
        <v>40</v>
      </c>
      <c r="M321" s="6">
        <v>0.97560000000000002</v>
      </c>
      <c r="N321" s="5">
        <v>1</v>
      </c>
      <c r="O321" s="7">
        <v>2.8935185185185184E-4</v>
      </c>
      <c r="P321" s="7">
        <v>1.7592592592592592E-3</v>
      </c>
      <c r="Q321" s="7">
        <v>1.4467592592592592E-3</v>
      </c>
      <c r="R321" s="6">
        <v>0.68289999999999995</v>
      </c>
      <c r="S321" s="8">
        <f>CONVERT(Table1[[#This Row],[Talk Duration (AVG)]]*Table1[[#This Row],[Answered Calls]],"day","hr")</f>
        <v>1.6888888888888889</v>
      </c>
      <c r="T321" s="9">
        <f>Table1[[#This Row],[Actual Workload hours]]*60</f>
        <v>101.33333333333333</v>
      </c>
      <c r="U321" s="9">
        <f>CONVERT(Table1[[#This Row],[Actual]]*Table1[[#This Row],[Talk Duration (AVG)]],"day","hr")</f>
        <v>7.431111111111111</v>
      </c>
      <c r="V321" s="10">
        <f>Table1[[#This Row],[Required Workload Hours]]*60</f>
        <v>445.86666666666667</v>
      </c>
      <c r="W321" s="9">
        <v>1</v>
      </c>
      <c r="X321" s="9">
        <f t="shared" si="8"/>
        <v>1.1611111111111112</v>
      </c>
      <c r="Y321" s="5">
        <f t="shared" si="9"/>
        <v>1</v>
      </c>
      <c r="Z321" s="8">
        <f>ROUNDUP(Table1[[#This Row],[Actual Heacount]],0)</f>
        <v>1</v>
      </c>
      <c r="AA321" s="8"/>
      <c r="AB321" s="10"/>
      <c r="AC321" s="10"/>
      <c r="AD321" s="10"/>
      <c r="AE321" s="11">
        <v>26.722842889731769</v>
      </c>
      <c r="AF321" s="11">
        <v>255.62978574232221</v>
      </c>
      <c r="AG321" t="s">
        <v>34</v>
      </c>
    </row>
    <row r="322" spans="1:33">
      <c r="A322" s="2">
        <v>44154</v>
      </c>
      <c r="B322" s="5" t="s">
        <v>39</v>
      </c>
      <c r="C322" s="5">
        <f>WEEKDAY(Table1[[#This Row],[Date]])</f>
        <v>5</v>
      </c>
      <c r="D322" s="5">
        <f>MONTH(Table1[[#This Row],[Date]])</f>
        <v>11</v>
      </c>
      <c r="E322" s="5">
        <f>WEEKNUM(Table1[[#This Row],[Date]])</f>
        <v>47</v>
      </c>
      <c r="F322" s="5">
        <f>YEAR(Table1[[#This Row],[Date]])</f>
        <v>2020</v>
      </c>
      <c r="G322">
        <v>181</v>
      </c>
      <c r="L322" s="5">
        <v>187</v>
      </c>
      <c r="M322" s="6">
        <v>0.85780000000000001</v>
      </c>
      <c r="N322" s="5">
        <v>31</v>
      </c>
      <c r="O322" s="7">
        <v>5.5555555555555556E-4</v>
      </c>
      <c r="P322" s="7">
        <v>1.5625000000000001E-3</v>
      </c>
      <c r="Q322" s="7">
        <v>3.6226851851851854E-3</v>
      </c>
      <c r="R322" s="6">
        <v>0.52110000000000001</v>
      </c>
      <c r="S322" s="8">
        <f>CONVERT(Table1[[#This Row],[Talk Duration (AVG)]]*Table1[[#This Row],[Answered Calls]],"day","hr")</f>
        <v>7.0125000000000002</v>
      </c>
      <c r="T322" s="9">
        <f>Table1[[#This Row],[Actual Workload hours]]*60</f>
        <v>420.75</v>
      </c>
      <c r="U322" s="9">
        <f>CONVERT(Table1[[#This Row],[Actual]]*Table1[[#This Row],[Talk Duration (AVG)]],"day","hr")</f>
        <v>6.7875000000000014</v>
      </c>
      <c r="V322" s="10">
        <f>Table1[[#This Row],[Required Workload Hours]]*60</f>
        <v>407.25000000000011</v>
      </c>
      <c r="W322" s="9">
        <v>1.1000000000000001</v>
      </c>
      <c r="X322" s="9">
        <f t="shared" si="8"/>
        <v>1.0605468750000002</v>
      </c>
      <c r="Y322" s="5">
        <f t="shared" si="9"/>
        <v>2</v>
      </c>
      <c r="Z322" s="8">
        <f>ROUNDUP(Table1[[#This Row],[Actual Heacount]],0)</f>
        <v>2</v>
      </c>
      <c r="AA322" s="8"/>
      <c r="AB322" s="10"/>
      <c r="AC322" s="10"/>
      <c r="AD322" s="10"/>
      <c r="AE322" s="11">
        <v>38.418793142635231</v>
      </c>
      <c r="AF322" s="11">
        <v>248.20343912943301</v>
      </c>
      <c r="AG322" t="s">
        <v>34</v>
      </c>
    </row>
    <row r="323" spans="1:33">
      <c r="A323" s="2">
        <v>44155</v>
      </c>
      <c r="B323" s="5" t="s">
        <v>40</v>
      </c>
      <c r="C323" s="5">
        <f>WEEKDAY(Table1[[#This Row],[Date]])</f>
        <v>6</v>
      </c>
      <c r="D323" s="5">
        <f>MONTH(Table1[[#This Row],[Date]])</f>
        <v>11</v>
      </c>
      <c r="E323" s="5">
        <f>WEEKNUM(Table1[[#This Row],[Date]])</f>
        <v>47</v>
      </c>
      <c r="F323" s="5">
        <f>YEAR(Table1[[#This Row],[Date]])</f>
        <v>2020</v>
      </c>
      <c r="G323">
        <v>159</v>
      </c>
      <c r="L323" s="5">
        <v>185</v>
      </c>
      <c r="M323" s="6">
        <v>0.9536</v>
      </c>
      <c r="N323" s="5">
        <v>9</v>
      </c>
      <c r="O323" s="7">
        <v>2.4305555555555555E-4</v>
      </c>
      <c r="P323" s="7">
        <v>1.5046296296296296E-3</v>
      </c>
      <c r="Q323" s="7">
        <v>1.9097222222222222E-3</v>
      </c>
      <c r="R323" s="6">
        <v>0.71579999999999999</v>
      </c>
      <c r="S323" s="8">
        <f>CONVERT(Table1[[#This Row],[Talk Duration (AVG)]]*Table1[[#This Row],[Answered Calls]],"day","hr")</f>
        <v>6.6805555555555545</v>
      </c>
      <c r="T323" s="9">
        <f>Table1[[#This Row],[Actual Workload hours]]*60</f>
        <v>400.83333333333326</v>
      </c>
      <c r="U323" s="9">
        <f>CONVERT(Table1[[#This Row],[Actual]]*Table1[[#This Row],[Talk Duration (AVG)]],"day","hr")</f>
        <v>5.7416666666666663</v>
      </c>
      <c r="V323" s="10">
        <f>Table1[[#This Row],[Required Workload Hours]]*60</f>
        <v>344.5</v>
      </c>
      <c r="W323" s="9">
        <v>1.04</v>
      </c>
      <c r="X323" s="9">
        <f t="shared" ref="X323:X386" si="10">IF(V323&lt;384,1,(V323/384))</f>
        <v>1</v>
      </c>
      <c r="Y323" s="5">
        <f t="shared" ref="Y323:Y386" si="11">IF(B323="Sunday",1,2)</f>
        <v>2</v>
      </c>
      <c r="Z323" s="8">
        <f>ROUNDUP(Table1[[#This Row],[Actual Heacount]],0)</f>
        <v>2</v>
      </c>
      <c r="AA323" s="8"/>
      <c r="AB323" s="10"/>
      <c r="AC323" s="10"/>
      <c r="AD323" s="10"/>
      <c r="AE323" s="11">
        <v>20.38714254422845</v>
      </c>
      <c r="AF323" s="11">
        <v>247.86391942255199</v>
      </c>
      <c r="AG323" t="s">
        <v>34</v>
      </c>
    </row>
    <row r="324" spans="1:33">
      <c r="A324" s="2">
        <v>44156</v>
      </c>
      <c r="B324" s="5" t="s">
        <v>33</v>
      </c>
      <c r="C324" s="5">
        <f>WEEKDAY(Table1[[#This Row],[Date]])</f>
        <v>7</v>
      </c>
      <c r="D324" s="5">
        <f>MONTH(Table1[[#This Row],[Date]])</f>
        <v>11</v>
      </c>
      <c r="E324" s="5">
        <f>WEEKNUM(Table1[[#This Row],[Date]])</f>
        <v>47</v>
      </c>
      <c r="F324" s="5">
        <f>YEAR(Table1[[#This Row],[Date]])</f>
        <v>2020</v>
      </c>
      <c r="G324">
        <v>144</v>
      </c>
      <c r="L324" s="5">
        <v>172</v>
      </c>
      <c r="M324" s="6">
        <v>0.97729999999999995</v>
      </c>
      <c r="N324" s="5">
        <v>4</v>
      </c>
      <c r="O324" s="7">
        <v>1.8518518518518518E-4</v>
      </c>
      <c r="P324" s="7">
        <v>1.6203703703703703E-3</v>
      </c>
      <c r="Q324" s="7">
        <v>1.5625000000000001E-3</v>
      </c>
      <c r="R324" s="6">
        <v>0.82079999999999997</v>
      </c>
      <c r="S324" s="8">
        <f>CONVERT(Table1[[#This Row],[Talk Duration (AVG)]]*Table1[[#This Row],[Answered Calls]],"day","hr")</f>
        <v>6.6888888888888882</v>
      </c>
      <c r="T324" s="9">
        <f>Table1[[#This Row],[Actual Workload hours]]*60</f>
        <v>401.33333333333331</v>
      </c>
      <c r="U324" s="9">
        <f>CONVERT(Table1[[#This Row],[Actual]]*Table1[[#This Row],[Talk Duration (AVG)]],"day","hr")</f>
        <v>5.6</v>
      </c>
      <c r="V324" s="10">
        <f>Table1[[#This Row],[Required Workload Hours]]*60</f>
        <v>336</v>
      </c>
      <c r="W324" s="9">
        <v>1.05</v>
      </c>
      <c r="X324" s="9">
        <f t="shared" si="10"/>
        <v>1</v>
      </c>
      <c r="Y324" s="5">
        <f t="shared" si="11"/>
        <v>2</v>
      </c>
      <c r="Z324" s="8">
        <f>ROUNDUP(Table1[[#This Row],[Actual Heacount]],0)</f>
        <v>2</v>
      </c>
      <c r="AA324" s="8"/>
      <c r="AB324" s="10"/>
      <c r="AC324" s="10"/>
      <c r="AD324" s="10"/>
      <c r="AE324" s="11">
        <v>34.12783490182948</v>
      </c>
      <c r="AF324" s="11">
        <v>259.95014791986819</v>
      </c>
      <c r="AG324" t="s">
        <v>34</v>
      </c>
    </row>
    <row r="325" spans="1:33">
      <c r="A325" s="2">
        <v>44157</v>
      </c>
      <c r="B325" s="5" t="s">
        <v>35</v>
      </c>
      <c r="C325" s="5">
        <f>WEEKDAY(Table1[[#This Row],[Date]])</f>
        <v>1</v>
      </c>
      <c r="D325" s="5">
        <f>MONTH(Table1[[#This Row],[Date]])</f>
        <v>11</v>
      </c>
      <c r="E325" s="5">
        <f>WEEKNUM(Table1[[#This Row],[Date]])</f>
        <v>48</v>
      </c>
      <c r="F325" s="5">
        <f>YEAR(Table1[[#This Row],[Date]])</f>
        <v>2020</v>
      </c>
      <c r="G325">
        <v>30</v>
      </c>
      <c r="L325" s="5">
        <v>179</v>
      </c>
      <c r="M325" s="6">
        <v>0.98899999999999999</v>
      </c>
      <c r="N325" s="5">
        <v>2</v>
      </c>
      <c r="O325" s="7">
        <v>2.0833333333333335E-4</v>
      </c>
      <c r="P325" s="7">
        <v>1.6319444444444445E-3</v>
      </c>
      <c r="Q325" s="7">
        <v>1.5856481481481481E-3</v>
      </c>
      <c r="R325" s="6">
        <v>0.80559999999999998</v>
      </c>
      <c r="S325" s="8">
        <f>CONVERT(Table1[[#This Row],[Talk Duration (AVG)]]*Table1[[#This Row],[Answered Calls]],"day","hr")</f>
        <v>7.0108333333333341</v>
      </c>
      <c r="T325" s="9">
        <f>Table1[[#This Row],[Actual Workload hours]]*60</f>
        <v>420.65000000000003</v>
      </c>
      <c r="U325" s="9">
        <f>CONVERT(Table1[[#This Row],[Actual]]*Table1[[#This Row],[Talk Duration (AVG)]],"day","hr")</f>
        <v>1.1750000000000003</v>
      </c>
      <c r="V325" s="10">
        <f>Table1[[#This Row],[Required Workload Hours]]*60</f>
        <v>70.500000000000014</v>
      </c>
      <c r="W325" s="9">
        <v>1.1000000000000001</v>
      </c>
      <c r="X325" s="9">
        <f t="shared" si="10"/>
        <v>1</v>
      </c>
      <c r="Y325" s="5">
        <f t="shared" si="11"/>
        <v>2</v>
      </c>
      <c r="Z325" s="8">
        <f>ROUNDUP(Table1[[#This Row],[Actual Heacount]],0)</f>
        <v>2</v>
      </c>
      <c r="AA325" s="8"/>
      <c r="AB325" s="10"/>
      <c r="AC325" s="10"/>
      <c r="AD325" s="10"/>
      <c r="AE325" s="11">
        <v>-50.581911845330012</v>
      </c>
      <c r="AF325" s="11">
        <v>164.39261823737741</v>
      </c>
      <c r="AG325" t="s">
        <v>34</v>
      </c>
    </row>
    <row r="326" spans="1:33">
      <c r="A326" s="2">
        <v>44158</v>
      </c>
      <c r="B326" s="5" t="s">
        <v>36</v>
      </c>
      <c r="C326" s="5">
        <f>WEEKDAY(Table1[[#This Row],[Date]])</f>
        <v>2</v>
      </c>
      <c r="D326" s="5">
        <f>MONTH(Table1[[#This Row],[Date]])</f>
        <v>11</v>
      </c>
      <c r="E326" s="5">
        <f>WEEKNUM(Table1[[#This Row],[Date]])</f>
        <v>48</v>
      </c>
      <c r="F326" s="5">
        <f>YEAR(Table1[[#This Row],[Date]])</f>
        <v>2020</v>
      </c>
      <c r="G326">
        <v>197</v>
      </c>
      <c r="L326" s="5">
        <v>151</v>
      </c>
      <c r="M326" s="6">
        <v>0.94969999999999999</v>
      </c>
      <c r="N326" s="5">
        <v>8</v>
      </c>
      <c r="O326" s="7">
        <v>3.3564814814814812E-4</v>
      </c>
      <c r="P326" s="7">
        <v>1.3773148148148147E-3</v>
      </c>
      <c r="Q326" s="7">
        <v>2.5578703703703705E-3</v>
      </c>
      <c r="R326" s="6">
        <v>0.61009999999999998</v>
      </c>
      <c r="S326" s="8">
        <f>CONVERT(Table1[[#This Row],[Talk Duration (AVG)]]*Table1[[#This Row],[Answered Calls]],"day","hr")</f>
        <v>4.9913888888888893</v>
      </c>
      <c r="T326" s="9">
        <f>Table1[[#This Row],[Actual Workload hours]]*60</f>
        <v>299.48333333333335</v>
      </c>
      <c r="U326" s="9">
        <f>CONVERT(Table1[[#This Row],[Actual]]*Table1[[#This Row],[Talk Duration (AVG)]],"day","hr")</f>
        <v>6.5119444444444436</v>
      </c>
      <c r="V326" s="10">
        <f>Table1[[#This Row],[Required Workload Hours]]*60</f>
        <v>390.71666666666664</v>
      </c>
      <c r="W326" s="9">
        <v>1</v>
      </c>
      <c r="X326" s="9">
        <f t="shared" si="10"/>
        <v>1.0174913194444444</v>
      </c>
      <c r="Y326" s="5">
        <f t="shared" si="11"/>
        <v>2</v>
      </c>
      <c r="Z326" s="8">
        <f>ROUNDUP(Table1[[#This Row],[Actual Heacount]],0)</f>
        <v>1</v>
      </c>
      <c r="AA326" s="8"/>
      <c r="AB326" s="10"/>
      <c r="AC326" s="10"/>
      <c r="AD326" s="10"/>
      <c r="AE326" s="11">
        <v>37.149676187264348</v>
      </c>
      <c r="AF326" s="11">
        <v>272.5879608262718</v>
      </c>
      <c r="AG326" t="s">
        <v>34</v>
      </c>
    </row>
    <row r="327" spans="1:33">
      <c r="A327" s="2">
        <v>44159</v>
      </c>
      <c r="B327" s="5" t="s">
        <v>37</v>
      </c>
      <c r="C327" s="5">
        <f>WEEKDAY(Table1[[#This Row],[Date]])</f>
        <v>3</v>
      </c>
      <c r="D327" s="5">
        <f>MONTH(Table1[[#This Row],[Date]])</f>
        <v>11</v>
      </c>
      <c r="E327" s="5">
        <f>WEEKNUM(Table1[[#This Row],[Date]])</f>
        <v>48</v>
      </c>
      <c r="F327" s="5">
        <f>YEAR(Table1[[#This Row],[Date]])</f>
        <v>2020</v>
      </c>
      <c r="G327">
        <v>56</v>
      </c>
      <c r="L327" s="5">
        <v>135</v>
      </c>
      <c r="M327" s="6">
        <v>0.9375</v>
      </c>
      <c r="N327" s="5">
        <v>9</v>
      </c>
      <c r="O327" s="7">
        <v>2.7777777777777778E-4</v>
      </c>
      <c r="P327" s="7">
        <v>1.5277777777777779E-3</v>
      </c>
      <c r="Q327" s="7">
        <v>4.4560185185185189E-3</v>
      </c>
      <c r="R327" s="6">
        <v>0.70630000000000004</v>
      </c>
      <c r="S327" s="8">
        <f>CONVERT(Table1[[#This Row],[Talk Duration (AVG)]]*Table1[[#This Row],[Answered Calls]],"day","hr")</f>
        <v>4.95</v>
      </c>
      <c r="T327" s="9">
        <f>Table1[[#This Row],[Actual Workload hours]]*60</f>
        <v>297</v>
      </c>
      <c r="U327" s="9">
        <f>CONVERT(Table1[[#This Row],[Actual]]*Table1[[#This Row],[Talk Duration (AVG)]],"day","hr")</f>
        <v>2.0533333333333337</v>
      </c>
      <c r="V327" s="10">
        <f>Table1[[#This Row],[Required Workload Hours]]*60</f>
        <v>123.20000000000002</v>
      </c>
      <c r="W327" s="9">
        <v>1</v>
      </c>
      <c r="X327" s="9">
        <f t="shared" si="10"/>
        <v>1</v>
      </c>
      <c r="Y327" s="5">
        <f t="shared" si="11"/>
        <v>2</v>
      </c>
      <c r="Z327" s="8">
        <f>ROUNDUP(Table1[[#This Row],[Actual Heacount]],0)</f>
        <v>1</v>
      </c>
      <c r="AA327" s="8"/>
      <c r="AB327" s="10"/>
      <c r="AC327" s="10"/>
      <c r="AD327" s="10"/>
      <c r="AE327" s="11">
        <v>23.328021822190941</v>
      </c>
      <c r="AF327" s="11">
        <v>249.49787186970121</v>
      </c>
      <c r="AG327" t="s">
        <v>34</v>
      </c>
    </row>
    <row r="328" spans="1:33">
      <c r="A328" s="2">
        <v>44160</v>
      </c>
      <c r="B328" s="5" t="s">
        <v>38</v>
      </c>
      <c r="C328" s="5">
        <f>WEEKDAY(Table1[[#This Row],[Date]])</f>
        <v>4</v>
      </c>
      <c r="D328" s="5">
        <f>MONTH(Table1[[#This Row],[Date]])</f>
        <v>11</v>
      </c>
      <c r="E328" s="5">
        <f>WEEKNUM(Table1[[#This Row],[Date]])</f>
        <v>48</v>
      </c>
      <c r="F328" s="5">
        <f>YEAR(Table1[[#This Row],[Date]])</f>
        <v>2020</v>
      </c>
      <c r="G328">
        <v>182</v>
      </c>
      <c r="L328" s="5">
        <v>29</v>
      </c>
      <c r="M328" s="6">
        <v>0.9667</v>
      </c>
      <c r="N328" s="5">
        <v>1</v>
      </c>
      <c r="O328" s="7">
        <v>3.8194444444444446E-4</v>
      </c>
      <c r="P328" s="7">
        <v>2.0601851851851853E-3</v>
      </c>
      <c r="Q328" s="7">
        <v>1.5740740740740741E-3</v>
      </c>
      <c r="R328" s="6">
        <v>0.6</v>
      </c>
      <c r="S328" s="8">
        <f>CONVERT(Table1[[#This Row],[Talk Duration (AVG)]]*Table1[[#This Row],[Answered Calls]],"day","hr")</f>
        <v>1.433888888888889</v>
      </c>
      <c r="T328" s="9">
        <f>Table1[[#This Row],[Actual Workload hours]]*60</f>
        <v>86.033333333333346</v>
      </c>
      <c r="U328" s="9">
        <f>CONVERT(Table1[[#This Row],[Actual]]*Table1[[#This Row],[Talk Duration (AVG)]],"day","hr")</f>
        <v>8.9988888888888905</v>
      </c>
      <c r="V328" s="10">
        <f>Table1[[#This Row],[Required Workload Hours]]*60</f>
        <v>539.93333333333339</v>
      </c>
      <c r="W328" s="9">
        <v>1</v>
      </c>
      <c r="X328" s="9">
        <f t="shared" si="10"/>
        <v>1.406076388888889</v>
      </c>
      <c r="Y328" s="5">
        <f t="shared" si="11"/>
        <v>1</v>
      </c>
      <c r="Z328" s="8">
        <f>ROUNDUP(Table1[[#This Row],[Actual Heacount]],0)</f>
        <v>1</v>
      </c>
      <c r="AA328" s="8"/>
      <c r="AB328" s="10"/>
      <c r="AC328" s="10"/>
      <c r="AD328" s="10"/>
      <c r="AE328" s="11">
        <v>47.00415754252024</v>
      </c>
      <c r="AF328" s="11">
        <v>262.17280107379588</v>
      </c>
      <c r="AG328" t="s">
        <v>34</v>
      </c>
    </row>
    <row r="329" spans="1:33">
      <c r="A329" s="2">
        <v>44161</v>
      </c>
      <c r="B329" s="5" t="s">
        <v>39</v>
      </c>
      <c r="C329" s="5">
        <f>WEEKDAY(Table1[[#This Row],[Date]])</f>
        <v>5</v>
      </c>
      <c r="D329" s="5">
        <f>MONTH(Table1[[#This Row],[Date]])</f>
        <v>11</v>
      </c>
      <c r="E329" s="5">
        <f>WEEKNUM(Table1[[#This Row],[Date]])</f>
        <v>48</v>
      </c>
      <c r="F329" s="5">
        <f>YEAR(Table1[[#This Row],[Date]])</f>
        <v>2020</v>
      </c>
      <c r="G329">
        <v>178</v>
      </c>
      <c r="L329" s="5">
        <v>185</v>
      </c>
      <c r="M329" s="6">
        <v>0.93910000000000005</v>
      </c>
      <c r="N329" s="5">
        <v>12</v>
      </c>
      <c r="O329" s="7">
        <v>2.7777777777777778E-4</v>
      </c>
      <c r="P329" s="7">
        <v>1.5972222222222223E-3</v>
      </c>
      <c r="Q329" s="7">
        <v>1.6203703703703703E-3</v>
      </c>
      <c r="R329" s="6">
        <v>0.68230000000000002</v>
      </c>
      <c r="S329" s="8">
        <f>CONVERT(Table1[[#This Row],[Talk Duration (AVG)]]*Table1[[#This Row],[Answered Calls]],"day","hr")</f>
        <v>7.0916666666666668</v>
      </c>
      <c r="T329" s="9">
        <f>Table1[[#This Row],[Actual Workload hours]]*60</f>
        <v>425.5</v>
      </c>
      <c r="U329" s="9">
        <f>CONVERT(Table1[[#This Row],[Actual]]*Table1[[#This Row],[Talk Duration (AVG)]],"day","hr")</f>
        <v>6.8233333333333341</v>
      </c>
      <c r="V329" s="10">
        <f>Table1[[#This Row],[Required Workload Hours]]*60</f>
        <v>409.40000000000003</v>
      </c>
      <c r="W329" s="9">
        <v>1.1100000000000001</v>
      </c>
      <c r="X329" s="9">
        <f t="shared" si="10"/>
        <v>1.0661458333333333</v>
      </c>
      <c r="Y329" s="5">
        <f t="shared" si="11"/>
        <v>2</v>
      </c>
      <c r="Z329" s="8">
        <f>ROUNDUP(Table1[[#This Row],[Actual Heacount]],0)</f>
        <v>2</v>
      </c>
      <c r="AA329" s="8"/>
      <c r="AB329" s="10"/>
      <c r="AC329" s="10"/>
      <c r="AD329" s="10"/>
      <c r="AE329" s="11">
        <v>45.705806353646437</v>
      </c>
      <c r="AF329" s="11">
        <v>257.88302366972079</v>
      </c>
      <c r="AG329" t="s">
        <v>34</v>
      </c>
    </row>
    <row r="330" spans="1:33">
      <c r="A330" s="2">
        <v>44162</v>
      </c>
      <c r="B330" s="5" t="s">
        <v>40</v>
      </c>
      <c r="C330" s="5">
        <f>WEEKDAY(Table1[[#This Row],[Date]])</f>
        <v>6</v>
      </c>
      <c r="D330" s="5">
        <f>MONTH(Table1[[#This Row],[Date]])</f>
        <v>11</v>
      </c>
      <c r="E330" s="5">
        <f>WEEKNUM(Table1[[#This Row],[Date]])</f>
        <v>48</v>
      </c>
      <c r="F330" s="5">
        <f>YEAR(Table1[[#This Row],[Date]])</f>
        <v>2020</v>
      </c>
      <c r="G330">
        <v>183</v>
      </c>
      <c r="L330" s="5">
        <v>47</v>
      </c>
      <c r="M330" s="6">
        <v>0.83930000000000005</v>
      </c>
      <c r="N330" s="5">
        <v>9</v>
      </c>
      <c r="O330" s="7">
        <v>2.7777777777777778E-4</v>
      </c>
      <c r="P330" s="7">
        <v>1.6435185185185185E-3</v>
      </c>
      <c r="Q330" s="7">
        <v>1.9444444444444444E-3</v>
      </c>
      <c r="R330" s="6">
        <v>0.58930000000000005</v>
      </c>
      <c r="S330" s="8">
        <f>CONVERT(Table1[[#This Row],[Talk Duration (AVG)]]*Table1[[#This Row],[Answered Calls]],"day","hr")</f>
        <v>1.8538888888888889</v>
      </c>
      <c r="T330" s="9">
        <f>Table1[[#This Row],[Actual Workload hours]]*60</f>
        <v>111.23333333333333</v>
      </c>
      <c r="U330" s="9">
        <f>CONVERT(Table1[[#This Row],[Actual]]*Table1[[#This Row],[Talk Duration (AVG)]],"day","hr")</f>
        <v>7.2183333333333337</v>
      </c>
      <c r="V330" s="10">
        <f>Table1[[#This Row],[Required Workload Hours]]*60</f>
        <v>433.1</v>
      </c>
      <c r="W330" s="9">
        <v>1</v>
      </c>
      <c r="X330" s="9">
        <f t="shared" si="10"/>
        <v>1.1278645833333334</v>
      </c>
      <c r="Y330" s="5">
        <f t="shared" si="11"/>
        <v>2</v>
      </c>
      <c r="Z330" s="8">
        <f>ROUNDUP(Table1[[#This Row],[Actual Heacount]],0)</f>
        <v>1</v>
      </c>
      <c r="AA330" s="8"/>
      <c r="AB330" s="10"/>
      <c r="AC330" s="10"/>
      <c r="AD330" s="10"/>
      <c r="AE330" s="11">
        <v>34.003946128369058</v>
      </c>
      <c r="AF330" s="11">
        <v>266.90968891870961</v>
      </c>
      <c r="AG330" t="s">
        <v>34</v>
      </c>
    </row>
    <row r="331" spans="1:33">
      <c r="A331" s="2">
        <v>44163</v>
      </c>
      <c r="B331" s="5" t="s">
        <v>33</v>
      </c>
      <c r="C331" s="5">
        <f>WEEKDAY(Table1[[#This Row],[Date]])</f>
        <v>7</v>
      </c>
      <c r="D331" s="5">
        <f>MONTH(Table1[[#This Row],[Date]])</f>
        <v>11</v>
      </c>
      <c r="E331" s="5">
        <f>WEEKNUM(Table1[[#This Row],[Date]])</f>
        <v>48</v>
      </c>
      <c r="F331" s="5">
        <f>YEAR(Table1[[#This Row],[Date]])</f>
        <v>2020</v>
      </c>
      <c r="G331">
        <v>197</v>
      </c>
      <c r="L331" s="5">
        <v>153</v>
      </c>
      <c r="M331" s="6">
        <v>0.8407</v>
      </c>
      <c r="N331" s="5">
        <v>29</v>
      </c>
      <c r="O331" s="7">
        <v>4.3981481481481481E-4</v>
      </c>
      <c r="P331" s="7">
        <v>1.5856481481481481E-3</v>
      </c>
      <c r="Q331" s="7">
        <v>7.4189814814814813E-3</v>
      </c>
      <c r="R331" s="6">
        <v>0.53890000000000005</v>
      </c>
      <c r="S331" s="8">
        <f>CONVERT(Table1[[#This Row],[Talk Duration (AVG)]]*Table1[[#This Row],[Answered Calls]],"day","hr")</f>
        <v>5.8224999999999998</v>
      </c>
      <c r="T331" s="9">
        <f>Table1[[#This Row],[Actual Workload hours]]*60</f>
        <v>349.34999999999997</v>
      </c>
      <c r="U331" s="9">
        <f>CONVERT(Table1[[#This Row],[Actual]]*Table1[[#This Row],[Talk Duration (AVG)]],"day","hr")</f>
        <v>7.4969444444444449</v>
      </c>
      <c r="V331" s="10">
        <f>Table1[[#This Row],[Required Workload Hours]]*60</f>
        <v>449.81666666666672</v>
      </c>
      <c r="W331" s="9">
        <v>1</v>
      </c>
      <c r="X331" s="9">
        <f t="shared" si="10"/>
        <v>1.1713975694444445</v>
      </c>
      <c r="Y331" s="5">
        <f t="shared" si="11"/>
        <v>2</v>
      </c>
      <c r="Z331" s="8">
        <f>ROUNDUP(Table1[[#This Row],[Actual Heacount]],0)</f>
        <v>1</v>
      </c>
      <c r="AA331" s="8"/>
      <c r="AB331" s="10"/>
      <c r="AC331" s="10"/>
      <c r="AD331" s="10"/>
      <c r="AE331" s="11">
        <v>32.265655481249652</v>
      </c>
      <c r="AF331" s="11">
        <v>259.40881099260372</v>
      </c>
      <c r="AG331" t="s">
        <v>34</v>
      </c>
    </row>
    <row r="332" spans="1:33">
      <c r="A332" s="2">
        <v>44164</v>
      </c>
      <c r="B332" s="5" t="s">
        <v>35</v>
      </c>
      <c r="C332" s="5">
        <f>WEEKDAY(Table1[[#This Row],[Date]])</f>
        <v>1</v>
      </c>
      <c r="D332" s="5">
        <f>MONTH(Table1[[#This Row],[Date]])</f>
        <v>11</v>
      </c>
      <c r="E332" s="5">
        <f>WEEKNUM(Table1[[#This Row],[Date]])</f>
        <v>49</v>
      </c>
      <c r="F332" s="5">
        <f>YEAR(Table1[[#This Row],[Date]])</f>
        <v>2020</v>
      </c>
      <c r="G332">
        <v>60</v>
      </c>
      <c r="L332" s="5">
        <v>166</v>
      </c>
      <c r="M332" s="6">
        <v>0.93259999999999998</v>
      </c>
      <c r="N332" s="5">
        <v>12</v>
      </c>
      <c r="O332" s="7">
        <v>3.4722222222222224E-4</v>
      </c>
      <c r="P332" s="7">
        <v>1.6666666666666668E-3</v>
      </c>
      <c r="Q332" s="7">
        <v>3.6111111111111109E-3</v>
      </c>
      <c r="R332" s="6">
        <v>0.62070000000000003</v>
      </c>
      <c r="S332" s="8">
        <f>CONVERT(Table1[[#This Row],[Talk Duration (AVG)]]*Table1[[#This Row],[Answered Calls]],"day","hr")</f>
        <v>6.64</v>
      </c>
      <c r="T332" s="9">
        <f>Table1[[#This Row],[Actual Workload hours]]*60</f>
        <v>398.4</v>
      </c>
      <c r="U332" s="9">
        <f>CONVERT(Table1[[#This Row],[Actual]]*Table1[[#This Row],[Talk Duration (AVG)]],"day","hr")</f>
        <v>2.4</v>
      </c>
      <c r="V332" s="10">
        <f>Table1[[#This Row],[Required Workload Hours]]*60</f>
        <v>144</v>
      </c>
      <c r="W332" s="9">
        <v>1.04</v>
      </c>
      <c r="X332" s="9">
        <f t="shared" si="10"/>
        <v>1</v>
      </c>
      <c r="Y332" s="5">
        <f t="shared" si="11"/>
        <v>2</v>
      </c>
      <c r="Z332" s="8">
        <f>ROUNDUP(Table1[[#This Row],[Actual Heacount]],0)</f>
        <v>2</v>
      </c>
      <c r="AA332" s="8"/>
      <c r="AB332" s="10"/>
      <c r="AC332" s="10"/>
      <c r="AD332" s="10"/>
      <c r="AE332" s="11">
        <v>-27.327008740910671</v>
      </c>
      <c r="AF332" s="11">
        <v>183.78733796480441</v>
      </c>
      <c r="AG332" t="s">
        <v>34</v>
      </c>
    </row>
    <row r="333" spans="1:33">
      <c r="A333" s="2">
        <v>44165</v>
      </c>
      <c r="B333" s="5" t="s">
        <v>36</v>
      </c>
      <c r="C333" s="5">
        <f>WEEKDAY(Table1[[#This Row],[Date]])</f>
        <v>2</v>
      </c>
      <c r="D333" s="5">
        <f>MONTH(Table1[[#This Row],[Date]])</f>
        <v>11</v>
      </c>
      <c r="E333" s="5">
        <f>WEEKNUM(Table1[[#This Row],[Date]])</f>
        <v>49</v>
      </c>
      <c r="F333" s="5">
        <f>YEAR(Table1[[#This Row],[Date]])</f>
        <v>2020</v>
      </c>
      <c r="G333">
        <v>241</v>
      </c>
      <c r="L333" s="5">
        <v>164</v>
      </c>
      <c r="M333" s="6">
        <v>0.8962</v>
      </c>
      <c r="N333" s="5">
        <v>19</v>
      </c>
      <c r="O333" s="7">
        <v>2.8935185185185184E-4</v>
      </c>
      <c r="P333" s="7">
        <v>1.4351851851851852E-3</v>
      </c>
      <c r="Q333" s="7">
        <v>2.5462962962962965E-3</v>
      </c>
      <c r="R333" s="6">
        <v>0.65910000000000002</v>
      </c>
      <c r="S333" s="8">
        <f>CONVERT(Table1[[#This Row],[Talk Duration (AVG)]]*Table1[[#This Row],[Answered Calls]],"day","hr")</f>
        <v>5.6488888888888891</v>
      </c>
      <c r="T333" s="9">
        <f>Table1[[#This Row],[Actual Workload hours]]*60</f>
        <v>338.93333333333334</v>
      </c>
      <c r="U333" s="9">
        <f>CONVERT(Table1[[#This Row],[Actual]]*Table1[[#This Row],[Talk Duration (AVG)]],"day","hr")</f>
        <v>8.301111111111112</v>
      </c>
      <c r="V333" s="10">
        <f>Table1[[#This Row],[Required Workload Hours]]*60</f>
        <v>498.06666666666672</v>
      </c>
      <c r="W333" s="9">
        <v>1</v>
      </c>
      <c r="X333" s="9">
        <f t="shared" si="10"/>
        <v>1.2970486111111112</v>
      </c>
      <c r="Y333" s="5">
        <f t="shared" si="11"/>
        <v>2</v>
      </c>
      <c r="Z333" s="8">
        <f>ROUNDUP(Table1[[#This Row],[Actual Heacount]],0)</f>
        <v>1</v>
      </c>
      <c r="AA333" s="8"/>
      <c r="AB333" s="10"/>
      <c r="AC333" s="10"/>
      <c r="AD333" s="10"/>
      <c r="AE333" s="11">
        <v>64.415189277933777</v>
      </c>
      <c r="AF333" s="11">
        <v>283.24033533374029</v>
      </c>
      <c r="AG333" t="s">
        <v>34</v>
      </c>
    </row>
    <row r="334" spans="1:33">
      <c r="A334" s="2">
        <v>44166</v>
      </c>
      <c r="B334" s="5" t="s">
        <v>37</v>
      </c>
      <c r="C334" s="5">
        <f>WEEKDAY(Table1[[#This Row],[Date]])</f>
        <v>3</v>
      </c>
      <c r="D334" s="5">
        <f>MONTH(Table1[[#This Row],[Date]])</f>
        <v>12</v>
      </c>
      <c r="E334" s="5">
        <f>WEEKNUM(Table1[[#This Row],[Date]])</f>
        <v>49</v>
      </c>
      <c r="F334" s="5">
        <f>YEAR(Table1[[#This Row],[Date]])</f>
        <v>2020</v>
      </c>
      <c r="G334">
        <v>32</v>
      </c>
      <c r="L334" s="5">
        <v>182</v>
      </c>
      <c r="M334" s="6">
        <v>0.92390000000000005</v>
      </c>
      <c r="N334" s="5">
        <v>15</v>
      </c>
      <c r="O334" s="7">
        <v>3.2407407407407406E-4</v>
      </c>
      <c r="P334" s="7">
        <v>1.6782407407407408E-3</v>
      </c>
      <c r="Q334" s="7">
        <v>3.0092592592592593E-3</v>
      </c>
      <c r="R334" s="6">
        <v>0.64800000000000002</v>
      </c>
      <c r="S334" s="8">
        <f>CONVERT(Table1[[#This Row],[Talk Duration (AVG)]]*Table1[[#This Row],[Answered Calls]],"day","hr")</f>
        <v>7.3305555555555557</v>
      </c>
      <c r="T334" s="9">
        <f>Table1[[#This Row],[Actual Workload hours]]*60</f>
        <v>439.83333333333337</v>
      </c>
      <c r="U334" s="9">
        <f>CONVERT(Table1[[#This Row],[Actual]]*Table1[[#This Row],[Talk Duration (AVG)]],"day","hr")</f>
        <v>1.288888888888889</v>
      </c>
      <c r="V334" s="10">
        <f>Table1[[#This Row],[Required Workload Hours]]*60</f>
        <v>77.333333333333343</v>
      </c>
      <c r="W334" s="9">
        <v>1.1499999999999999</v>
      </c>
      <c r="X334" s="9">
        <f t="shared" si="10"/>
        <v>1</v>
      </c>
      <c r="Y334" s="5">
        <f t="shared" si="11"/>
        <v>2</v>
      </c>
      <c r="Z334" s="8">
        <f>ROUNDUP(Table1[[#This Row],[Actual Heacount]],0)</f>
        <v>2</v>
      </c>
      <c r="AA334" s="8"/>
      <c r="AB334" s="10"/>
      <c r="AC334" s="10"/>
      <c r="AD334" s="10"/>
      <c r="AE334" s="11">
        <v>44.065005369786881</v>
      </c>
      <c r="AF334" s="11">
        <v>266.94382579400849</v>
      </c>
      <c r="AG334" t="s">
        <v>34</v>
      </c>
    </row>
    <row r="335" spans="1:33">
      <c r="A335" s="2">
        <v>44167</v>
      </c>
      <c r="B335" s="5" t="s">
        <v>38</v>
      </c>
      <c r="C335" s="5">
        <f>WEEKDAY(Table1[[#This Row],[Date]])</f>
        <v>4</v>
      </c>
      <c r="D335" s="5">
        <f>MONTH(Table1[[#This Row],[Date]])</f>
        <v>12</v>
      </c>
      <c r="E335" s="5">
        <f>WEEKNUM(Table1[[#This Row],[Date]])</f>
        <v>49</v>
      </c>
      <c r="F335" s="5">
        <f>YEAR(Table1[[#This Row],[Date]])</f>
        <v>2020</v>
      </c>
      <c r="G335">
        <v>254</v>
      </c>
      <c r="L335" s="5">
        <v>58</v>
      </c>
      <c r="M335" s="6">
        <v>0.9667</v>
      </c>
      <c r="N335" s="5">
        <v>2</v>
      </c>
      <c r="O335" s="7">
        <v>4.2824074074074075E-4</v>
      </c>
      <c r="P335" s="7">
        <v>1.8055555555555555E-3</v>
      </c>
      <c r="Q335" s="7">
        <v>2.1990740740740742E-3</v>
      </c>
      <c r="R335" s="6">
        <v>0.54239999999999999</v>
      </c>
      <c r="S335" s="8">
        <f>CONVERT(Table1[[#This Row],[Talk Duration (AVG)]]*Table1[[#This Row],[Answered Calls]],"day","hr")</f>
        <v>2.5133333333333332</v>
      </c>
      <c r="T335" s="9">
        <f>Table1[[#This Row],[Actual Workload hours]]*60</f>
        <v>150.79999999999998</v>
      </c>
      <c r="U335" s="9">
        <f>CONVERT(Table1[[#This Row],[Actual]]*Table1[[#This Row],[Talk Duration (AVG)]],"day","hr")</f>
        <v>11.006666666666666</v>
      </c>
      <c r="V335" s="10">
        <f>Table1[[#This Row],[Required Workload Hours]]*60</f>
        <v>660.4</v>
      </c>
      <c r="W335" s="9">
        <v>1</v>
      </c>
      <c r="X335" s="9">
        <f t="shared" si="10"/>
        <v>1.7197916666666666</v>
      </c>
      <c r="Y335" s="5">
        <f t="shared" si="11"/>
        <v>1</v>
      </c>
      <c r="Z335" s="8">
        <f>ROUNDUP(Table1[[#This Row],[Actual Heacount]],0)</f>
        <v>1</v>
      </c>
      <c r="AA335" s="8"/>
      <c r="AB335" s="10"/>
      <c r="AC335" s="10"/>
      <c r="AD335" s="10"/>
      <c r="AE335" s="11">
        <v>53.477433753696843</v>
      </c>
      <c r="AF335" s="11">
        <v>276.00223953692512</v>
      </c>
      <c r="AG335" t="s">
        <v>34</v>
      </c>
    </row>
    <row r="336" spans="1:33">
      <c r="A336" s="2">
        <v>44168</v>
      </c>
      <c r="B336" s="5" t="s">
        <v>39</v>
      </c>
      <c r="C336" s="5">
        <f>WEEKDAY(Table1[[#This Row],[Date]])</f>
        <v>5</v>
      </c>
      <c r="D336" s="5">
        <f>MONTH(Table1[[#This Row],[Date]])</f>
        <v>12</v>
      </c>
      <c r="E336" s="5">
        <f>WEEKNUM(Table1[[#This Row],[Date]])</f>
        <v>49</v>
      </c>
      <c r="F336" s="5">
        <f>YEAR(Table1[[#This Row],[Date]])</f>
        <v>2020</v>
      </c>
      <c r="G336">
        <v>147</v>
      </c>
      <c r="L336" s="5">
        <v>224</v>
      </c>
      <c r="M336" s="6">
        <v>0.92949999999999999</v>
      </c>
      <c r="N336" s="5">
        <v>17</v>
      </c>
      <c r="O336" s="7">
        <v>2.6620370370370372E-4</v>
      </c>
      <c r="P336" s="7">
        <v>1.6782407407407408E-3</v>
      </c>
      <c r="Q336" s="7">
        <v>1.9097222222222222E-3</v>
      </c>
      <c r="R336" s="6">
        <v>0.7046</v>
      </c>
      <c r="S336" s="8">
        <f>CONVERT(Table1[[#This Row],[Talk Duration (AVG)]]*Table1[[#This Row],[Answered Calls]],"day","hr")</f>
        <v>9.0222222222222221</v>
      </c>
      <c r="T336" s="9">
        <f>Table1[[#This Row],[Actual Workload hours]]*60</f>
        <v>541.33333333333337</v>
      </c>
      <c r="U336" s="9">
        <f>CONVERT(Table1[[#This Row],[Actual]]*Table1[[#This Row],[Talk Duration (AVG)]],"day","hr")</f>
        <v>5.9208333333333334</v>
      </c>
      <c r="V336" s="10">
        <f>Table1[[#This Row],[Required Workload Hours]]*60</f>
        <v>355.25</v>
      </c>
      <c r="W336" s="9">
        <v>1.41</v>
      </c>
      <c r="X336" s="9">
        <f t="shared" si="10"/>
        <v>1</v>
      </c>
      <c r="Y336" s="5">
        <f t="shared" si="11"/>
        <v>2</v>
      </c>
      <c r="Z336" s="8">
        <f>ROUNDUP(Table1[[#This Row],[Actual Heacount]],0)</f>
        <v>2</v>
      </c>
      <c r="AA336" s="8"/>
      <c r="AB336" s="10"/>
      <c r="AC336" s="10"/>
      <c r="AD336" s="10"/>
      <c r="AE336" s="11">
        <v>64.074624543070442</v>
      </c>
      <c r="AF336" s="11">
        <v>280.97134387018588</v>
      </c>
      <c r="AG336" t="s">
        <v>34</v>
      </c>
    </row>
    <row r="337" spans="1:33">
      <c r="A337" s="2">
        <v>44169</v>
      </c>
      <c r="B337" s="5" t="s">
        <v>40</v>
      </c>
      <c r="C337" s="5">
        <f>WEEKDAY(Table1[[#This Row],[Date]])</f>
        <v>6</v>
      </c>
      <c r="D337" s="5">
        <f>MONTH(Table1[[#This Row],[Date]])</f>
        <v>12</v>
      </c>
      <c r="E337" s="5">
        <f>WEEKNUM(Table1[[#This Row],[Date]])</f>
        <v>49</v>
      </c>
      <c r="F337" s="5">
        <f>YEAR(Table1[[#This Row],[Date]])</f>
        <v>2020</v>
      </c>
      <c r="G337">
        <v>42</v>
      </c>
      <c r="L337" s="5">
        <v>295</v>
      </c>
      <c r="M337" s="6">
        <v>0.96089999999999998</v>
      </c>
      <c r="N337" s="5">
        <v>12</v>
      </c>
      <c r="O337" s="7">
        <v>3.3564814814814812E-4</v>
      </c>
      <c r="P337" s="7">
        <v>1.5740740740740741E-3</v>
      </c>
      <c r="Q337" s="7">
        <v>1.9097222222222222E-3</v>
      </c>
      <c r="R337" s="6">
        <v>0.60460000000000003</v>
      </c>
      <c r="S337" s="8">
        <f>CONVERT(Table1[[#This Row],[Talk Duration (AVG)]]*Table1[[#This Row],[Answered Calls]],"day","hr")</f>
        <v>11.144444444444444</v>
      </c>
      <c r="T337" s="9">
        <f>Table1[[#This Row],[Actual Workload hours]]*60</f>
        <v>668.66666666666663</v>
      </c>
      <c r="U337" s="9">
        <f>CONVERT(Table1[[#This Row],[Actual]]*Table1[[#This Row],[Talk Duration (AVG)]],"day","hr")</f>
        <v>1.5866666666666667</v>
      </c>
      <c r="V337" s="10">
        <f>Table1[[#This Row],[Required Workload Hours]]*60</f>
        <v>95.2</v>
      </c>
      <c r="W337" s="9">
        <v>1.74</v>
      </c>
      <c r="X337" s="9">
        <f t="shared" si="10"/>
        <v>1</v>
      </c>
      <c r="Y337" s="5">
        <f t="shared" si="11"/>
        <v>2</v>
      </c>
      <c r="Z337" s="8">
        <f>ROUNDUP(Table1[[#This Row],[Actual Heacount]],0)</f>
        <v>2</v>
      </c>
      <c r="AA337" s="8"/>
      <c r="AB337" s="10"/>
      <c r="AC337" s="10"/>
      <c r="AD337" s="10"/>
      <c r="AE337" s="11">
        <v>42.429413639739103</v>
      </c>
      <c r="AF337" s="11">
        <v>269.96912136283743</v>
      </c>
      <c r="AG337" t="s">
        <v>34</v>
      </c>
    </row>
    <row r="338" spans="1:33">
      <c r="A338" s="2">
        <v>44170</v>
      </c>
      <c r="B338" s="5" t="s">
        <v>33</v>
      </c>
      <c r="C338" s="5">
        <f>WEEKDAY(Table1[[#This Row],[Date]])</f>
        <v>7</v>
      </c>
      <c r="D338" s="5">
        <f>MONTH(Table1[[#This Row],[Date]])</f>
        <v>12</v>
      </c>
      <c r="E338" s="5">
        <f>WEEKNUM(Table1[[#This Row],[Date]])</f>
        <v>49</v>
      </c>
      <c r="F338" s="5">
        <f>YEAR(Table1[[#This Row],[Date]])</f>
        <v>2020</v>
      </c>
      <c r="G338">
        <v>186</v>
      </c>
      <c r="L338" s="5">
        <v>289</v>
      </c>
      <c r="M338" s="6">
        <v>0.97970000000000002</v>
      </c>
      <c r="N338" s="5">
        <v>6</v>
      </c>
      <c r="O338" s="7">
        <v>3.0092592592592595E-4</v>
      </c>
      <c r="P338" s="7">
        <v>1.6550925925925926E-3</v>
      </c>
      <c r="Q338" s="7">
        <v>2.2106481481481482E-3</v>
      </c>
      <c r="R338" s="6">
        <v>0.70689999999999997</v>
      </c>
      <c r="S338" s="8">
        <f>CONVERT(Table1[[#This Row],[Talk Duration (AVG)]]*Table1[[#This Row],[Answered Calls]],"day","hr")</f>
        <v>11.479722222222222</v>
      </c>
      <c r="T338" s="9">
        <f>Table1[[#This Row],[Actual Workload hours]]*60</f>
        <v>688.7833333333333</v>
      </c>
      <c r="U338" s="9">
        <f>CONVERT(Table1[[#This Row],[Actual]]*Table1[[#This Row],[Talk Duration (AVG)]],"day","hr")</f>
        <v>7.3883333333333336</v>
      </c>
      <c r="V338" s="10">
        <f>Table1[[#This Row],[Required Workload Hours]]*60</f>
        <v>443.3</v>
      </c>
      <c r="W338" s="9">
        <v>1.79</v>
      </c>
      <c r="X338" s="9">
        <f t="shared" si="10"/>
        <v>1.1544270833333334</v>
      </c>
      <c r="Y338" s="5">
        <f t="shared" si="11"/>
        <v>2</v>
      </c>
      <c r="Z338" s="8">
        <f>ROUNDUP(Table1[[#This Row],[Actual Heacount]],0)</f>
        <v>2</v>
      </c>
      <c r="AA338" s="8"/>
      <c r="AB338" s="10"/>
      <c r="AC338" s="10"/>
      <c r="AD338" s="10"/>
      <c r="AE338" s="11">
        <v>55.860465974930179</v>
      </c>
      <c r="AF338" s="11">
        <v>275.03505024741668</v>
      </c>
      <c r="AG338" t="s">
        <v>34</v>
      </c>
    </row>
    <row r="339" spans="1:33">
      <c r="A339" s="2">
        <v>44171</v>
      </c>
      <c r="B339" s="5" t="s">
        <v>35</v>
      </c>
      <c r="C339" s="5">
        <f>WEEKDAY(Table1[[#This Row],[Date]])</f>
        <v>1</v>
      </c>
      <c r="D339" s="5">
        <f>MONTH(Table1[[#This Row],[Date]])</f>
        <v>12</v>
      </c>
      <c r="E339" s="5">
        <f>WEEKNUM(Table1[[#This Row],[Date]])</f>
        <v>50</v>
      </c>
      <c r="F339" s="5">
        <f>YEAR(Table1[[#This Row],[Date]])</f>
        <v>2020</v>
      </c>
      <c r="G339">
        <v>132</v>
      </c>
      <c r="L339" s="5">
        <v>230</v>
      </c>
      <c r="M339" s="6">
        <v>0.96230000000000004</v>
      </c>
      <c r="N339" s="5">
        <v>9</v>
      </c>
      <c r="O339" s="7">
        <v>3.0092592592592595E-4</v>
      </c>
      <c r="P339" s="7">
        <v>1.5509259259259259E-3</v>
      </c>
      <c r="Q339" s="7">
        <v>2.2453703703703702E-3</v>
      </c>
      <c r="R339" s="6">
        <v>0.68910000000000005</v>
      </c>
      <c r="S339" s="8">
        <f>CONVERT(Table1[[#This Row],[Talk Duration (AVG)]]*Table1[[#This Row],[Answered Calls]],"day","hr")</f>
        <v>8.5611111111111118</v>
      </c>
      <c r="T339" s="9">
        <f>Table1[[#This Row],[Actual Workload hours]]*60</f>
        <v>513.66666666666674</v>
      </c>
      <c r="U339" s="9">
        <f>CONVERT(Table1[[#This Row],[Actual]]*Table1[[#This Row],[Talk Duration (AVG)]],"day","hr")</f>
        <v>4.9133333333333331</v>
      </c>
      <c r="V339" s="10">
        <f>Table1[[#This Row],[Required Workload Hours]]*60</f>
        <v>294.8</v>
      </c>
      <c r="W339" s="9">
        <v>1.34</v>
      </c>
      <c r="X339" s="9">
        <f t="shared" si="10"/>
        <v>1</v>
      </c>
      <c r="Y339" s="5">
        <f t="shared" si="11"/>
        <v>2</v>
      </c>
      <c r="Z339" s="8">
        <f>ROUNDUP(Table1[[#This Row],[Actual Heacount]],0)</f>
        <v>2</v>
      </c>
      <c r="AA339" s="8"/>
      <c r="AB339" s="10"/>
      <c r="AC339" s="10"/>
      <c r="AD339" s="10"/>
      <c r="AE339" s="11">
        <v>-34.914812012478507</v>
      </c>
      <c r="AF339" s="11">
        <v>186.57160658564379</v>
      </c>
      <c r="AG339" t="s">
        <v>34</v>
      </c>
    </row>
    <row r="340" spans="1:33">
      <c r="A340" s="2">
        <v>44172</v>
      </c>
      <c r="B340" s="5" t="s">
        <v>36</v>
      </c>
      <c r="C340" s="5">
        <f>WEEKDAY(Table1[[#This Row],[Date]])</f>
        <v>2</v>
      </c>
      <c r="D340" s="5">
        <f>MONTH(Table1[[#This Row],[Date]])</f>
        <v>12</v>
      </c>
      <c r="E340" s="5">
        <f>WEEKNUM(Table1[[#This Row],[Date]])</f>
        <v>50</v>
      </c>
      <c r="F340" s="5">
        <f>YEAR(Table1[[#This Row],[Date]])</f>
        <v>2020</v>
      </c>
      <c r="G340">
        <v>12</v>
      </c>
      <c r="L340" s="5">
        <v>231</v>
      </c>
      <c r="M340" s="6">
        <v>0.95850000000000002</v>
      </c>
      <c r="N340" s="5">
        <v>10</v>
      </c>
      <c r="O340" s="7">
        <v>2.6620370370370372E-4</v>
      </c>
      <c r="P340" s="7">
        <v>1.6782407407407408E-3</v>
      </c>
      <c r="Q340" s="7">
        <v>1.2962962962962963E-3</v>
      </c>
      <c r="R340" s="6">
        <v>0.72460000000000002</v>
      </c>
      <c r="S340" s="8">
        <f>CONVERT(Table1[[#This Row],[Talk Duration (AVG)]]*Table1[[#This Row],[Answered Calls]],"day","hr")</f>
        <v>9.3041666666666671</v>
      </c>
      <c r="T340" s="9">
        <f>Table1[[#This Row],[Actual Workload hours]]*60</f>
        <v>558.25</v>
      </c>
      <c r="U340" s="9">
        <f>CONVERT(Table1[[#This Row],[Actual]]*Table1[[#This Row],[Talk Duration (AVG)]],"day","hr")</f>
        <v>0.48333333333333334</v>
      </c>
      <c r="V340" s="10">
        <f>Table1[[#This Row],[Required Workload Hours]]*60</f>
        <v>29</v>
      </c>
      <c r="W340" s="9">
        <v>1.45</v>
      </c>
      <c r="X340" s="9">
        <f t="shared" si="10"/>
        <v>1</v>
      </c>
      <c r="Y340" s="5">
        <f t="shared" si="11"/>
        <v>2</v>
      </c>
      <c r="Z340" s="8">
        <f>ROUNDUP(Table1[[#This Row],[Actual Heacount]],0)</f>
        <v>2</v>
      </c>
      <c r="AA340" s="8"/>
      <c r="AB340" s="10"/>
      <c r="AC340" s="10"/>
      <c r="AD340" s="10"/>
      <c r="AE340" s="11">
        <v>69.48951523160386</v>
      </c>
      <c r="AF340" s="11">
        <v>300.21458157583947</v>
      </c>
      <c r="AG340" t="s">
        <v>34</v>
      </c>
    </row>
    <row r="341" spans="1:33">
      <c r="A341" s="2">
        <v>44173</v>
      </c>
      <c r="B341" s="5" t="s">
        <v>37</v>
      </c>
      <c r="C341" s="5">
        <f>WEEKDAY(Table1[[#This Row],[Date]])</f>
        <v>3</v>
      </c>
      <c r="D341" s="5">
        <f>MONTH(Table1[[#This Row],[Date]])</f>
        <v>12</v>
      </c>
      <c r="E341" s="5">
        <f>WEEKNUM(Table1[[#This Row],[Date]])</f>
        <v>50</v>
      </c>
      <c r="F341" s="5">
        <f>YEAR(Table1[[#This Row],[Date]])</f>
        <v>2020</v>
      </c>
      <c r="G341">
        <v>187</v>
      </c>
      <c r="L341" s="5">
        <v>195</v>
      </c>
      <c r="M341" s="6">
        <v>0.92420000000000002</v>
      </c>
      <c r="N341" s="5">
        <v>16</v>
      </c>
      <c r="O341" s="7">
        <v>3.8194444444444446E-4</v>
      </c>
      <c r="P341" s="7">
        <v>1.8749999999999999E-3</v>
      </c>
      <c r="Q341" s="7">
        <v>2.2685185185185187E-3</v>
      </c>
      <c r="R341" s="6">
        <v>0.52400000000000002</v>
      </c>
      <c r="S341" s="8">
        <f>CONVERT(Table1[[#This Row],[Talk Duration (AVG)]]*Table1[[#This Row],[Answered Calls]],"day","hr")</f>
        <v>8.7749999999999986</v>
      </c>
      <c r="T341" s="9">
        <f>Table1[[#This Row],[Actual Workload hours]]*60</f>
        <v>526.49999999999989</v>
      </c>
      <c r="U341" s="9">
        <f>CONVERT(Table1[[#This Row],[Actual]]*Table1[[#This Row],[Talk Duration (AVG)]],"day","hr")</f>
        <v>8.4149999999999991</v>
      </c>
      <c r="V341" s="10">
        <f>Table1[[#This Row],[Required Workload Hours]]*60</f>
        <v>504.9</v>
      </c>
      <c r="W341" s="9">
        <v>1.37</v>
      </c>
      <c r="X341" s="9">
        <f t="shared" si="10"/>
        <v>1.3148437499999999</v>
      </c>
      <c r="Y341" s="5">
        <f t="shared" si="11"/>
        <v>2</v>
      </c>
      <c r="Z341" s="8">
        <f>ROUNDUP(Table1[[#This Row],[Actual Heacount]],0)</f>
        <v>2</v>
      </c>
      <c r="AA341" s="8"/>
      <c r="AB341" s="10"/>
      <c r="AC341" s="10"/>
      <c r="AD341" s="10"/>
      <c r="AE341" s="11">
        <v>67.621167801455059</v>
      </c>
      <c r="AF341" s="11">
        <v>275.17083832836232</v>
      </c>
      <c r="AG341" t="s">
        <v>34</v>
      </c>
    </row>
    <row r="342" spans="1:33">
      <c r="A342" s="2">
        <v>44174</v>
      </c>
      <c r="B342" s="5" t="s">
        <v>38</v>
      </c>
      <c r="C342" s="5">
        <f>WEEKDAY(Table1[[#This Row],[Date]])</f>
        <v>4</v>
      </c>
      <c r="D342" s="5">
        <f>MONTH(Table1[[#This Row],[Date]])</f>
        <v>12</v>
      </c>
      <c r="E342" s="5">
        <f>WEEKNUM(Table1[[#This Row],[Date]])</f>
        <v>50</v>
      </c>
      <c r="F342" s="5">
        <f>YEAR(Table1[[#This Row],[Date]])</f>
        <v>2020</v>
      </c>
      <c r="G342">
        <v>186</v>
      </c>
      <c r="L342" s="5">
        <v>35</v>
      </c>
      <c r="M342" s="6">
        <v>0.875</v>
      </c>
      <c r="N342" s="5">
        <v>5</v>
      </c>
      <c r="O342" s="7">
        <v>4.6296296296296298E-4</v>
      </c>
      <c r="P342" s="7">
        <v>1.7939814814814815E-3</v>
      </c>
      <c r="Q342" s="7">
        <v>2.2222222222222222E-3</v>
      </c>
      <c r="R342" s="6">
        <v>0.47499999999999998</v>
      </c>
      <c r="S342" s="8">
        <f>CONVERT(Table1[[#This Row],[Talk Duration (AVG)]]*Table1[[#This Row],[Answered Calls]],"day","hr")</f>
        <v>1.5069444444444442</v>
      </c>
      <c r="T342" s="9">
        <f>Table1[[#This Row],[Actual Workload hours]]*60</f>
        <v>90.416666666666657</v>
      </c>
      <c r="U342" s="9">
        <f>CONVERT(Table1[[#This Row],[Actual]]*Table1[[#This Row],[Talk Duration (AVG)]],"day","hr")</f>
        <v>8.0083333333333329</v>
      </c>
      <c r="V342" s="10">
        <f>Table1[[#This Row],[Required Workload Hours]]*60</f>
        <v>480.5</v>
      </c>
      <c r="W342" s="9">
        <v>1</v>
      </c>
      <c r="X342" s="9">
        <f t="shared" si="10"/>
        <v>1.2513020833333333</v>
      </c>
      <c r="Y342" s="5">
        <f t="shared" si="11"/>
        <v>1</v>
      </c>
      <c r="Z342" s="8">
        <f>ROUNDUP(Table1[[#This Row],[Actual Heacount]],0)</f>
        <v>1</v>
      </c>
      <c r="AA342" s="8"/>
      <c r="AB342" s="10"/>
      <c r="AC342" s="10"/>
      <c r="AD342" s="10"/>
      <c r="AE342" s="11">
        <v>68.516297623723773</v>
      </c>
      <c r="AF342" s="11">
        <v>289.41630014656693</v>
      </c>
      <c r="AG342" t="s">
        <v>34</v>
      </c>
    </row>
    <row r="343" spans="1:33">
      <c r="A343" s="2">
        <v>44175</v>
      </c>
      <c r="B343" s="5" t="s">
        <v>39</v>
      </c>
      <c r="C343" s="5">
        <f>WEEKDAY(Table1[[#This Row],[Date]])</f>
        <v>5</v>
      </c>
      <c r="D343" s="5">
        <f>MONTH(Table1[[#This Row],[Date]])</f>
        <v>12</v>
      </c>
      <c r="E343" s="5">
        <f>WEEKNUM(Table1[[#This Row],[Date]])</f>
        <v>50</v>
      </c>
      <c r="F343" s="5">
        <f>YEAR(Table1[[#This Row],[Date]])</f>
        <v>2020</v>
      </c>
      <c r="G343">
        <v>246</v>
      </c>
      <c r="L343" s="5">
        <v>174</v>
      </c>
      <c r="M343" s="6">
        <v>0.90629999999999999</v>
      </c>
      <c r="N343" s="5">
        <v>18</v>
      </c>
      <c r="O343" s="7">
        <v>3.7037037037037035E-4</v>
      </c>
      <c r="P343" s="7">
        <v>1.5740740740740741E-3</v>
      </c>
      <c r="Q343" s="7">
        <v>2.5462962962962965E-3</v>
      </c>
      <c r="R343" s="6">
        <v>0.55789999999999995</v>
      </c>
      <c r="S343" s="8">
        <f>CONVERT(Table1[[#This Row],[Talk Duration (AVG)]]*Table1[[#This Row],[Answered Calls]],"day","hr")</f>
        <v>6.5733333333333333</v>
      </c>
      <c r="T343" s="9">
        <f>Table1[[#This Row],[Actual Workload hours]]*60</f>
        <v>394.4</v>
      </c>
      <c r="U343" s="9">
        <f>CONVERT(Table1[[#This Row],[Actual]]*Table1[[#This Row],[Talk Duration (AVG)]],"day","hr")</f>
        <v>9.293333333333333</v>
      </c>
      <c r="V343" s="10">
        <f>Table1[[#This Row],[Required Workload Hours]]*60</f>
        <v>557.6</v>
      </c>
      <c r="W343" s="9">
        <v>1.03</v>
      </c>
      <c r="X343" s="9">
        <f t="shared" si="10"/>
        <v>1.4520833333333334</v>
      </c>
      <c r="Y343" s="5">
        <f t="shared" si="11"/>
        <v>2</v>
      </c>
      <c r="Z343" s="8">
        <f>ROUNDUP(Table1[[#This Row],[Actual Heacount]],0)</f>
        <v>2</v>
      </c>
      <c r="AA343" s="8"/>
      <c r="AB343" s="10"/>
      <c r="AC343" s="10"/>
      <c r="AD343" s="10"/>
      <c r="AE343" s="11">
        <v>67.656411896447366</v>
      </c>
      <c r="AF343" s="11">
        <v>285.07737959418068</v>
      </c>
      <c r="AG343" t="s">
        <v>34</v>
      </c>
    </row>
    <row r="344" spans="1:33">
      <c r="A344" s="2">
        <v>44176</v>
      </c>
      <c r="B344" s="5" t="s">
        <v>40</v>
      </c>
      <c r="C344" s="5">
        <f>WEEKDAY(Table1[[#This Row],[Date]])</f>
        <v>6</v>
      </c>
      <c r="D344" s="5">
        <f>MONTH(Table1[[#This Row],[Date]])</f>
        <v>12</v>
      </c>
      <c r="E344" s="5">
        <f>WEEKNUM(Table1[[#This Row],[Date]])</f>
        <v>50</v>
      </c>
      <c r="F344" s="5">
        <f>YEAR(Table1[[#This Row],[Date]])</f>
        <v>2020</v>
      </c>
      <c r="G344">
        <v>200</v>
      </c>
      <c r="L344" s="5">
        <v>179</v>
      </c>
      <c r="M344" s="6">
        <v>0.89049999999999996</v>
      </c>
      <c r="N344" s="5">
        <v>22</v>
      </c>
      <c r="O344" s="7">
        <v>4.0509259259259258E-4</v>
      </c>
      <c r="P344" s="7">
        <v>1.5972222222222223E-3</v>
      </c>
      <c r="Q344" s="7">
        <v>2.5462962962962965E-3</v>
      </c>
      <c r="R344" s="6">
        <v>0.57289999999999996</v>
      </c>
      <c r="S344" s="8">
        <f>CONVERT(Table1[[#This Row],[Talk Duration (AVG)]]*Table1[[#This Row],[Answered Calls]],"day","hr")</f>
        <v>6.8616666666666664</v>
      </c>
      <c r="T344" s="9">
        <f>Table1[[#This Row],[Actual Workload hours]]*60</f>
        <v>411.7</v>
      </c>
      <c r="U344" s="9">
        <f>CONVERT(Table1[[#This Row],[Actual]]*Table1[[#This Row],[Talk Duration (AVG)]],"day","hr")</f>
        <v>7.6666666666666679</v>
      </c>
      <c r="V344" s="10">
        <f>Table1[[#This Row],[Required Workload Hours]]*60</f>
        <v>460.00000000000006</v>
      </c>
      <c r="W344" s="9">
        <v>1.07</v>
      </c>
      <c r="X344" s="9">
        <f t="shared" si="10"/>
        <v>1.1979166666666667</v>
      </c>
      <c r="Y344" s="5">
        <f t="shared" si="11"/>
        <v>2</v>
      </c>
      <c r="Z344" s="8">
        <f>ROUNDUP(Table1[[#This Row],[Actual Heacount]],0)</f>
        <v>2</v>
      </c>
      <c r="AA344" s="8"/>
      <c r="AB344" s="10"/>
      <c r="AC344" s="10"/>
      <c r="AD344" s="10"/>
      <c r="AE344" s="11">
        <v>61.111792157687432</v>
      </c>
      <c r="AF344" s="11">
        <v>276.0160903045076</v>
      </c>
      <c r="AG344" t="s">
        <v>34</v>
      </c>
    </row>
    <row r="345" spans="1:33">
      <c r="A345" s="2">
        <v>44177</v>
      </c>
      <c r="B345" s="5" t="s">
        <v>33</v>
      </c>
      <c r="C345" s="5">
        <f>WEEKDAY(Table1[[#This Row],[Date]])</f>
        <v>7</v>
      </c>
      <c r="D345" s="5">
        <f>MONTH(Table1[[#This Row],[Date]])</f>
        <v>12</v>
      </c>
      <c r="E345" s="5">
        <f>WEEKNUM(Table1[[#This Row],[Date]])</f>
        <v>50</v>
      </c>
      <c r="F345" s="5">
        <f>YEAR(Table1[[#This Row],[Date]])</f>
        <v>2020</v>
      </c>
      <c r="G345">
        <v>159</v>
      </c>
      <c r="L345" s="5">
        <v>247</v>
      </c>
      <c r="M345" s="6">
        <v>0.90149999999999997</v>
      </c>
      <c r="N345" s="5">
        <v>27</v>
      </c>
      <c r="O345" s="7">
        <v>3.2407407407407406E-4</v>
      </c>
      <c r="P345" s="7">
        <v>1.5046296296296296E-3</v>
      </c>
      <c r="Q345" s="7">
        <v>2.8240740740740739E-3</v>
      </c>
      <c r="R345" s="6">
        <v>0.63939999999999997</v>
      </c>
      <c r="S345" s="8">
        <f>CONVERT(Table1[[#This Row],[Talk Duration (AVG)]]*Table1[[#This Row],[Answered Calls]],"day","hr")</f>
        <v>8.9194444444444443</v>
      </c>
      <c r="T345" s="9">
        <f>Table1[[#This Row],[Actual Workload hours]]*60</f>
        <v>535.16666666666663</v>
      </c>
      <c r="U345" s="9">
        <f>CONVERT(Table1[[#This Row],[Actual]]*Table1[[#This Row],[Talk Duration (AVG)]],"day","hr")</f>
        <v>5.7416666666666663</v>
      </c>
      <c r="V345" s="10">
        <f>Table1[[#This Row],[Required Workload Hours]]*60</f>
        <v>344.5</v>
      </c>
      <c r="W345" s="9">
        <v>1.39</v>
      </c>
      <c r="X345" s="9">
        <f t="shared" si="10"/>
        <v>1</v>
      </c>
      <c r="Y345" s="5">
        <f t="shared" si="11"/>
        <v>2</v>
      </c>
      <c r="Z345" s="8">
        <f>ROUNDUP(Table1[[#This Row],[Actual Heacount]],0)</f>
        <v>2</v>
      </c>
      <c r="AA345" s="8"/>
      <c r="AB345" s="10"/>
      <c r="AC345" s="10"/>
      <c r="AD345" s="10"/>
      <c r="AE345" s="11">
        <v>51.231407695264281</v>
      </c>
      <c r="AF345" s="11">
        <v>287.33826880333248</v>
      </c>
      <c r="AG345" t="s">
        <v>34</v>
      </c>
    </row>
    <row r="346" spans="1:33">
      <c r="A346" s="2">
        <v>44178</v>
      </c>
      <c r="B346" s="5" t="s">
        <v>35</v>
      </c>
      <c r="C346" s="5">
        <f>WEEKDAY(Table1[[#This Row],[Date]])</f>
        <v>1</v>
      </c>
      <c r="D346" s="5">
        <f>MONTH(Table1[[#This Row],[Date]])</f>
        <v>12</v>
      </c>
      <c r="E346" s="5">
        <f>WEEKNUM(Table1[[#This Row],[Date]])</f>
        <v>51</v>
      </c>
      <c r="F346" s="5">
        <f>YEAR(Table1[[#This Row],[Date]])</f>
        <v>2020</v>
      </c>
      <c r="G346">
        <v>33</v>
      </c>
      <c r="L346" s="5">
        <v>176</v>
      </c>
      <c r="M346" s="6">
        <v>0.85850000000000004</v>
      </c>
      <c r="N346" s="5">
        <v>29</v>
      </c>
      <c r="O346" s="7">
        <v>4.7453703703703704E-4</v>
      </c>
      <c r="P346" s="7">
        <v>1.5740740740740741E-3</v>
      </c>
      <c r="Q346" s="7">
        <v>3.5995370370370369E-3</v>
      </c>
      <c r="R346" s="6">
        <v>0.46229999999999999</v>
      </c>
      <c r="S346" s="8">
        <f>CONVERT(Table1[[#This Row],[Talk Duration (AVG)]]*Table1[[#This Row],[Answered Calls]],"day","hr")</f>
        <v>6.6488888888888891</v>
      </c>
      <c r="T346" s="9">
        <f>Table1[[#This Row],[Actual Workload hours]]*60</f>
        <v>398.93333333333334</v>
      </c>
      <c r="U346" s="9">
        <f>CONVERT(Table1[[#This Row],[Actual]]*Table1[[#This Row],[Talk Duration (AVG)]],"day","hr")</f>
        <v>1.2466666666666666</v>
      </c>
      <c r="V346" s="10">
        <f>Table1[[#This Row],[Required Workload Hours]]*60</f>
        <v>74.8</v>
      </c>
      <c r="W346" s="9">
        <v>1.04</v>
      </c>
      <c r="X346" s="9">
        <f t="shared" si="10"/>
        <v>1</v>
      </c>
      <c r="Y346" s="5">
        <f t="shared" si="11"/>
        <v>2</v>
      </c>
      <c r="Z346" s="8">
        <f>ROUNDUP(Table1[[#This Row],[Actual Heacount]],0)</f>
        <v>2</v>
      </c>
      <c r="AA346" s="8"/>
      <c r="AB346" s="10"/>
      <c r="AC346" s="10"/>
      <c r="AD346" s="10"/>
      <c r="AE346" s="11">
        <v>-20.13735432083288</v>
      </c>
      <c r="AF346" s="11">
        <v>196.84440000058501</v>
      </c>
      <c r="AG346" t="s">
        <v>34</v>
      </c>
    </row>
    <row r="347" spans="1:33">
      <c r="A347" s="2">
        <v>44179</v>
      </c>
      <c r="B347" s="5" t="s">
        <v>36</v>
      </c>
      <c r="C347" s="5">
        <f>WEEKDAY(Table1[[#This Row],[Date]])</f>
        <v>2</v>
      </c>
      <c r="D347" s="5">
        <f>MONTH(Table1[[#This Row],[Date]])</f>
        <v>12</v>
      </c>
      <c r="E347" s="5">
        <f>WEEKNUM(Table1[[#This Row],[Date]])</f>
        <v>51</v>
      </c>
      <c r="F347" s="5">
        <f>YEAR(Table1[[#This Row],[Date]])</f>
        <v>2020</v>
      </c>
      <c r="G347">
        <v>228</v>
      </c>
      <c r="L347" s="5">
        <v>160</v>
      </c>
      <c r="M347" s="6">
        <v>0.90400000000000003</v>
      </c>
      <c r="N347" s="5">
        <v>17</v>
      </c>
      <c r="O347" s="7">
        <v>3.2407407407407406E-4</v>
      </c>
      <c r="P347" s="7">
        <v>1.6203703703703703E-3</v>
      </c>
      <c r="Q347" s="7">
        <v>2.7662037037037039E-3</v>
      </c>
      <c r="R347" s="6">
        <v>0.59199999999999997</v>
      </c>
      <c r="S347" s="8">
        <f>CONVERT(Table1[[#This Row],[Talk Duration (AVG)]]*Table1[[#This Row],[Answered Calls]],"day","hr")</f>
        <v>6.2222222222222223</v>
      </c>
      <c r="T347" s="9">
        <f>Table1[[#This Row],[Actual Workload hours]]*60</f>
        <v>373.33333333333331</v>
      </c>
      <c r="U347" s="9">
        <f>CONVERT(Table1[[#This Row],[Actual]]*Table1[[#This Row],[Talk Duration (AVG)]],"day","hr")</f>
        <v>8.8666666666666654</v>
      </c>
      <c r="V347" s="10">
        <f>Table1[[#This Row],[Required Workload Hours]]*60</f>
        <v>531.99999999999989</v>
      </c>
      <c r="W347" s="9">
        <v>1</v>
      </c>
      <c r="X347" s="9">
        <f t="shared" si="10"/>
        <v>1.3854166666666663</v>
      </c>
      <c r="Y347" s="5">
        <f t="shared" si="11"/>
        <v>2</v>
      </c>
      <c r="Z347" s="8">
        <f>ROUNDUP(Table1[[#This Row],[Actual Heacount]],0)</f>
        <v>1</v>
      </c>
      <c r="AA347" s="8"/>
      <c r="AB347" s="10"/>
      <c r="AC347" s="10"/>
      <c r="AD347" s="10"/>
      <c r="AE347" s="11">
        <v>80.795726537408868</v>
      </c>
      <c r="AF347" s="11">
        <v>294.77225549601582</v>
      </c>
      <c r="AG347" t="s">
        <v>34</v>
      </c>
    </row>
    <row r="348" spans="1:33">
      <c r="A348" s="2">
        <v>44180</v>
      </c>
      <c r="B348" s="5" t="s">
        <v>37</v>
      </c>
      <c r="C348" s="5">
        <f>WEEKDAY(Table1[[#This Row],[Date]])</f>
        <v>3</v>
      </c>
      <c r="D348" s="5">
        <f>MONTH(Table1[[#This Row],[Date]])</f>
        <v>12</v>
      </c>
      <c r="E348" s="5">
        <f>WEEKNUM(Table1[[#This Row],[Date]])</f>
        <v>51</v>
      </c>
      <c r="F348" s="5">
        <f>YEAR(Table1[[#This Row],[Date]])</f>
        <v>2020</v>
      </c>
      <c r="G348">
        <v>177</v>
      </c>
      <c r="L348" s="5">
        <v>151</v>
      </c>
      <c r="M348" s="6">
        <v>0.94969999999999999</v>
      </c>
      <c r="N348" s="5">
        <v>8</v>
      </c>
      <c r="O348" s="7">
        <v>2.5462962962962961E-4</v>
      </c>
      <c r="P348" s="7">
        <v>1.4814814814814814E-3</v>
      </c>
      <c r="Q348" s="7">
        <v>5.115740740740741E-3</v>
      </c>
      <c r="R348" s="6">
        <v>0.73250000000000004</v>
      </c>
      <c r="S348" s="8">
        <f>CONVERT(Table1[[#This Row],[Talk Duration (AVG)]]*Table1[[#This Row],[Answered Calls]],"day","hr")</f>
        <v>5.3688888888888879</v>
      </c>
      <c r="T348" s="9">
        <f>Table1[[#This Row],[Actual Workload hours]]*60</f>
        <v>322.13333333333327</v>
      </c>
      <c r="U348" s="9">
        <f>CONVERT(Table1[[#This Row],[Actual]]*Table1[[#This Row],[Talk Duration (AVG)]],"day","hr")</f>
        <v>6.2933333333333321</v>
      </c>
      <c r="V348" s="10">
        <f>Table1[[#This Row],[Required Workload Hours]]*60</f>
        <v>377.59999999999991</v>
      </c>
      <c r="W348" s="9">
        <v>1</v>
      </c>
      <c r="X348" s="9">
        <f t="shared" si="10"/>
        <v>1</v>
      </c>
      <c r="Y348" s="5">
        <f t="shared" si="11"/>
        <v>2</v>
      </c>
      <c r="Z348" s="8">
        <f>ROUNDUP(Table1[[#This Row],[Actual Heacount]],0)</f>
        <v>1</v>
      </c>
      <c r="AA348" s="8"/>
      <c r="AB348" s="10"/>
      <c r="AC348" s="10"/>
      <c r="AD348" s="10"/>
      <c r="AE348" s="11">
        <v>64.734439008588524</v>
      </c>
      <c r="AF348" s="11">
        <v>288.61976235653839</v>
      </c>
      <c r="AG348" t="s">
        <v>34</v>
      </c>
    </row>
    <row r="349" spans="1:33">
      <c r="A349" s="2">
        <v>44181</v>
      </c>
      <c r="B349" s="5" t="s">
        <v>38</v>
      </c>
      <c r="C349" s="5">
        <f>WEEKDAY(Table1[[#This Row],[Date]])</f>
        <v>4</v>
      </c>
      <c r="D349" s="5">
        <f>MONTH(Table1[[#This Row],[Date]])</f>
        <v>12</v>
      </c>
      <c r="E349" s="5">
        <f>WEEKNUM(Table1[[#This Row],[Date]])</f>
        <v>51</v>
      </c>
      <c r="F349" s="5">
        <f>YEAR(Table1[[#This Row],[Date]])</f>
        <v>2020</v>
      </c>
      <c r="G349">
        <v>197</v>
      </c>
      <c r="L349" s="5">
        <v>28</v>
      </c>
      <c r="M349" s="6">
        <v>0.84850000000000003</v>
      </c>
      <c r="N349" s="5">
        <v>5</v>
      </c>
      <c r="O349" s="7">
        <v>1.5046296296296297E-4</v>
      </c>
      <c r="P349" s="7">
        <v>1.736111111111111E-3</v>
      </c>
      <c r="Q349" s="7">
        <v>7.1759259259259259E-4</v>
      </c>
      <c r="R349" s="6">
        <v>0.66669999999999996</v>
      </c>
      <c r="S349" s="8">
        <f>CONVERT(Table1[[#This Row],[Talk Duration (AVG)]]*Table1[[#This Row],[Answered Calls]],"day","hr")</f>
        <v>1.1666666666666665</v>
      </c>
      <c r="T349" s="9">
        <f>Table1[[#This Row],[Actual Workload hours]]*60</f>
        <v>69.999999999999986</v>
      </c>
      <c r="U349" s="9">
        <f>CONVERT(Table1[[#This Row],[Actual]]*Table1[[#This Row],[Talk Duration (AVG)]],"day","hr")</f>
        <v>8.2083333333333339</v>
      </c>
      <c r="V349" s="10">
        <f>Table1[[#This Row],[Required Workload Hours]]*60</f>
        <v>492.50000000000006</v>
      </c>
      <c r="W349" s="9">
        <v>1</v>
      </c>
      <c r="X349" s="9">
        <f t="shared" si="10"/>
        <v>1.2825520833333335</v>
      </c>
      <c r="Y349" s="5">
        <f t="shared" si="11"/>
        <v>1</v>
      </c>
      <c r="Z349" s="8">
        <f>ROUNDUP(Table1[[#This Row],[Actual Heacount]],0)</f>
        <v>1</v>
      </c>
      <c r="AA349" s="8"/>
      <c r="AB349" s="10"/>
      <c r="AC349" s="10"/>
      <c r="AD349" s="10"/>
      <c r="AE349" s="11">
        <v>66.24687161767487</v>
      </c>
      <c r="AF349" s="11">
        <v>290.08711455611359</v>
      </c>
      <c r="AG349" t="s">
        <v>34</v>
      </c>
    </row>
    <row r="350" spans="1:33">
      <c r="A350" s="2">
        <v>44183</v>
      </c>
      <c r="B350" s="5" t="s">
        <v>39</v>
      </c>
      <c r="C350" s="5">
        <f>WEEKDAY(Table1[[#This Row],[Date]])</f>
        <v>6</v>
      </c>
      <c r="D350" s="5">
        <f>MONTH(Table1[[#This Row],[Date]])</f>
        <v>12</v>
      </c>
      <c r="E350" s="5">
        <f>WEEKNUM(Table1[[#This Row],[Date]])</f>
        <v>51</v>
      </c>
      <c r="F350" s="5">
        <f>YEAR(Table1[[#This Row],[Date]])</f>
        <v>2020</v>
      </c>
      <c r="G350">
        <v>301</v>
      </c>
      <c r="L350" s="5">
        <v>210</v>
      </c>
      <c r="M350" s="6">
        <v>0.92110000000000003</v>
      </c>
      <c r="N350" s="5">
        <v>18</v>
      </c>
      <c r="O350" s="7">
        <v>2.6620370370370372E-4</v>
      </c>
      <c r="P350" s="7">
        <v>1.4814814814814814E-3</v>
      </c>
      <c r="Q350" s="7">
        <v>2.1875000000000002E-3</v>
      </c>
      <c r="R350" s="6">
        <v>0.66669999999999996</v>
      </c>
      <c r="S350" s="8">
        <f>CONVERT(Table1[[#This Row],[Talk Duration (AVG)]]*Table1[[#This Row],[Answered Calls]],"day","hr")</f>
        <v>7.4666666666666668</v>
      </c>
      <c r="T350" s="9">
        <f>Table1[[#This Row],[Actual Workload hours]]*60</f>
        <v>448</v>
      </c>
      <c r="U350" s="9">
        <f>CONVERT(Table1[[#This Row],[Actual]]*Table1[[#This Row],[Talk Duration (AVG)]],"day","hr")</f>
        <v>10.702222222222222</v>
      </c>
      <c r="V350" s="10">
        <f>Table1[[#This Row],[Required Workload Hours]]*60</f>
        <v>642.13333333333333</v>
      </c>
      <c r="W350" s="9">
        <v>1.17</v>
      </c>
      <c r="X350" s="9">
        <f t="shared" si="10"/>
        <v>1.6722222222222223</v>
      </c>
      <c r="Y350" s="5">
        <f t="shared" si="11"/>
        <v>2</v>
      </c>
      <c r="Z350" s="8">
        <f>ROUNDUP(Table1[[#This Row],[Actual Heacount]],0)</f>
        <v>2</v>
      </c>
      <c r="AA350" s="8"/>
      <c r="AB350" s="10"/>
      <c r="AC350" s="10"/>
      <c r="AD350" s="10"/>
      <c r="AE350" s="11">
        <v>56.970435543186461</v>
      </c>
      <c r="AF350" s="11">
        <v>271.07053428658622</v>
      </c>
      <c r="AG350" t="s">
        <v>34</v>
      </c>
    </row>
    <row r="351" spans="1:33">
      <c r="A351" s="2">
        <v>44184</v>
      </c>
      <c r="B351" s="5" t="s">
        <v>40</v>
      </c>
      <c r="C351" s="5">
        <f>WEEKDAY(Table1[[#This Row],[Date]])</f>
        <v>7</v>
      </c>
      <c r="D351" s="5">
        <f>MONTH(Table1[[#This Row],[Date]])</f>
        <v>12</v>
      </c>
      <c r="E351" s="5">
        <f>WEEKNUM(Table1[[#This Row],[Date]])</f>
        <v>51</v>
      </c>
      <c r="F351" s="5">
        <f>YEAR(Table1[[#This Row],[Date]])</f>
        <v>2020</v>
      </c>
      <c r="G351">
        <v>179</v>
      </c>
      <c r="L351" s="5">
        <v>172</v>
      </c>
      <c r="M351" s="6">
        <v>0.9718</v>
      </c>
      <c r="N351" s="5">
        <v>5</v>
      </c>
      <c r="O351" s="7">
        <v>2.8935185185185184E-4</v>
      </c>
      <c r="P351" s="7">
        <v>1.5625000000000001E-3</v>
      </c>
      <c r="Q351" s="7">
        <v>1.9907407407407408E-3</v>
      </c>
      <c r="R351" s="6">
        <v>0.69140000000000001</v>
      </c>
      <c r="S351" s="8">
        <f>CONVERT(Table1[[#This Row],[Talk Duration (AVG)]]*Table1[[#This Row],[Answered Calls]],"day","hr")</f>
        <v>6.45</v>
      </c>
      <c r="T351" s="9">
        <f>Table1[[#This Row],[Actual Workload hours]]*60</f>
        <v>387</v>
      </c>
      <c r="U351" s="9">
        <f>CONVERT(Table1[[#This Row],[Actual]]*Table1[[#This Row],[Talk Duration (AVG)]],"day","hr")</f>
        <v>6.7125000000000012</v>
      </c>
      <c r="V351" s="10">
        <f>Table1[[#This Row],[Required Workload Hours]]*60</f>
        <v>402.75000000000006</v>
      </c>
      <c r="W351" s="9">
        <v>1.01</v>
      </c>
      <c r="X351" s="9">
        <f t="shared" si="10"/>
        <v>1.0488281250000002</v>
      </c>
      <c r="Y351" s="5">
        <f t="shared" si="11"/>
        <v>2</v>
      </c>
      <c r="Z351" s="8">
        <f>ROUNDUP(Table1[[#This Row],[Actual Heacount]],0)</f>
        <v>2</v>
      </c>
      <c r="AA351" s="8"/>
      <c r="AB351" s="10"/>
      <c r="AC351" s="10"/>
      <c r="AD351" s="10"/>
      <c r="AE351" s="11">
        <v>66.552114686712031</v>
      </c>
      <c r="AF351" s="11">
        <v>291.06776813481281</v>
      </c>
      <c r="AG351" t="s">
        <v>34</v>
      </c>
    </row>
    <row r="352" spans="1:33">
      <c r="A352" s="2">
        <v>44185</v>
      </c>
      <c r="B352" s="5" t="s">
        <v>33</v>
      </c>
      <c r="C352" s="5">
        <f>WEEKDAY(Table1[[#This Row],[Date]])</f>
        <v>1</v>
      </c>
      <c r="D352" s="5">
        <f>MONTH(Table1[[#This Row],[Date]])</f>
        <v>12</v>
      </c>
      <c r="E352" s="5">
        <f>WEEKNUM(Table1[[#This Row],[Date]])</f>
        <v>52</v>
      </c>
      <c r="F352" s="5">
        <f>YEAR(Table1[[#This Row],[Date]])</f>
        <v>2020</v>
      </c>
      <c r="G352">
        <v>45</v>
      </c>
      <c r="L352" s="5">
        <v>169</v>
      </c>
      <c r="M352" s="6">
        <v>0.8579</v>
      </c>
      <c r="N352" s="5">
        <v>28</v>
      </c>
      <c r="O352" s="7">
        <v>3.9351851851851852E-4</v>
      </c>
      <c r="P352" s="7">
        <v>1.736111111111111E-3</v>
      </c>
      <c r="Q352" s="7">
        <v>5.3356481481481484E-3</v>
      </c>
      <c r="R352" s="6">
        <v>0.55669999999999997</v>
      </c>
      <c r="S352" s="8">
        <f>CONVERT(Table1[[#This Row],[Talk Duration (AVG)]]*Table1[[#This Row],[Answered Calls]],"day","hr")</f>
        <v>7.0416666666666661</v>
      </c>
      <c r="T352" s="9">
        <f>Table1[[#This Row],[Actual Workload hours]]*60</f>
        <v>422.49999999999994</v>
      </c>
      <c r="U352" s="9">
        <f>CONVERT(Table1[[#This Row],[Actual]]*Table1[[#This Row],[Talk Duration (AVG)]],"day","hr")</f>
        <v>1.875</v>
      </c>
      <c r="V352" s="10">
        <f>Table1[[#This Row],[Required Workload Hours]]*60</f>
        <v>112.5</v>
      </c>
      <c r="W352" s="9">
        <v>1.1000000000000001</v>
      </c>
      <c r="X352" s="9">
        <f t="shared" si="10"/>
        <v>1</v>
      </c>
      <c r="Y352" s="5">
        <f t="shared" si="11"/>
        <v>2</v>
      </c>
      <c r="Z352" s="8">
        <f>ROUNDUP(Table1[[#This Row],[Actual Heacount]],0)</f>
        <v>2</v>
      </c>
      <c r="AA352" s="8"/>
      <c r="AB352" s="10"/>
      <c r="AC352" s="10"/>
      <c r="AD352" s="10"/>
      <c r="AE352" s="11">
        <v>-28.106464651745139</v>
      </c>
      <c r="AF352" s="11">
        <v>206.3120938557889</v>
      </c>
      <c r="AG352" t="s">
        <v>34</v>
      </c>
    </row>
    <row r="353" spans="1:33">
      <c r="A353" s="2">
        <v>44186</v>
      </c>
      <c r="B353" s="5" t="s">
        <v>35</v>
      </c>
      <c r="C353" s="5">
        <f>WEEKDAY(Table1[[#This Row],[Date]])</f>
        <v>2</v>
      </c>
      <c r="D353" s="5">
        <f>MONTH(Table1[[#This Row],[Date]])</f>
        <v>12</v>
      </c>
      <c r="E353" s="5">
        <f>WEEKNUM(Table1[[#This Row],[Date]])</f>
        <v>52</v>
      </c>
      <c r="F353" s="5">
        <f>YEAR(Table1[[#This Row],[Date]])</f>
        <v>2020</v>
      </c>
      <c r="G353">
        <v>180</v>
      </c>
      <c r="L353" s="5">
        <v>616</v>
      </c>
      <c r="M353" s="6">
        <v>0.85440000000000005</v>
      </c>
      <c r="N353" s="5">
        <v>105</v>
      </c>
      <c r="O353" s="7">
        <v>6.5972222222222224E-4</v>
      </c>
      <c r="P353" s="7">
        <v>1.3310185185185185E-3</v>
      </c>
      <c r="Q353" s="7">
        <v>4.0277777777777777E-3</v>
      </c>
      <c r="R353" s="6">
        <v>0.28310000000000002</v>
      </c>
      <c r="S353" s="8">
        <f>CONVERT(Table1[[#This Row],[Talk Duration (AVG)]]*Table1[[#This Row],[Answered Calls]],"day","hr")</f>
        <v>19.677777777777777</v>
      </c>
      <c r="T353" s="9">
        <f>Table1[[#This Row],[Actual Workload hours]]*60</f>
        <v>1180.6666666666665</v>
      </c>
      <c r="U353" s="9">
        <f>CONVERT(Table1[[#This Row],[Actual]]*Table1[[#This Row],[Talk Duration (AVG)]],"day","hr")</f>
        <v>5.75</v>
      </c>
      <c r="V353" s="10">
        <f>Table1[[#This Row],[Required Workload Hours]]*60</f>
        <v>345</v>
      </c>
      <c r="W353" s="9">
        <v>3.07</v>
      </c>
      <c r="X353" s="9">
        <f t="shared" si="10"/>
        <v>1</v>
      </c>
      <c r="Y353" s="5">
        <f t="shared" si="11"/>
        <v>2</v>
      </c>
      <c r="Z353" s="8">
        <f>ROUNDUP(Table1[[#This Row],[Actual Heacount]],0)</f>
        <v>4</v>
      </c>
      <c r="AA353" s="8"/>
      <c r="AB353" s="10"/>
      <c r="AC353" s="10"/>
      <c r="AD353" s="10"/>
      <c r="AE353" s="11">
        <v>71.81248919930097</v>
      </c>
      <c r="AF353" s="11">
        <v>298.70478654223962</v>
      </c>
      <c r="AG353" t="s">
        <v>34</v>
      </c>
    </row>
    <row r="354" spans="1:33">
      <c r="A354" s="2">
        <v>44187</v>
      </c>
      <c r="B354" s="5" t="s">
        <v>36</v>
      </c>
      <c r="C354" s="5">
        <f>WEEKDAY(Table1[[#This Row],[Date]])</f>
        <v>3</v>
      </c>
      <c r="D354" s="5">
        <f>MONTH(Table1[[#This Row],[Date]])</f>
        <v>12</v>
      </c>
      <c r="E354" s="5">
        <f>WEEKNUM(Table1[[#This Row],[Date]])</f>
        <v>52</v>
      </c>
      <c r="F354" s="5">
        <f>YEAR(Table1[[#This Row],[Date]])</f>
        <v>2020</v>
      </c>
      <c r="G354">
        <v>206</v>
      </c>
      <c r="L354" s="5">
        <v>270</v>
      </c>
      <c r="M354" s="6">
        <v>0.89700000000000002</v>
      </c>
      <c r="N354" s="5">
        <v>31</v>
      </c>
      <c r="O354" s="7">
        <v>4.861111111111111E-4</v>
      </c>
      <c r="P354" s="7">
        <v>1.4467592592592592E-3</v>
      </c>
      <c r="Q354" s="7">
        <v>7.013888888888889E-3</v>
      </c>
      <c r="R354" s="6">
        <v>0.42470000000000002</v>
      </c>
      <c r="S354" s="8">
        <f>CONVERT(Table1[[#This Row],[Talk Duration (AVG)]]*Table1[[#This Row],[Answered Calls]],"day","hr")</f>
        <v>9.375</v>
      </c>
      <c r="T354" s="9">
        <f>Table1[[#This Row],[Actual Workload hours]]*60</f>
        <v>562.5</v>
      </c>
      <c r="U354" s="9">
        <f>CONVERT(Table1[[#This Row],[Actual]]*Table1[[#This Row],[Talk Duration (AVG)]],"day","hr")</f>
        <v>7.1527777777777768</v>
      </c>
      <c r="V354" s="10">
        <f>Table1[[#This Row],[Required Workload Hours]]*60</f>
        <v>429.16666666666663</v>
      </c>
      <c r="W354" s="9">
        <v>1.46</v>
      </c>
      <c r="X354" s="9">
        <f t="shared" si="10"/>
        <v>1.1176215277777777</v>
      </c>
      <c r="Y354" s="5">
        <f t="shared" si="11"/>
        <v>2</v>
      </c>
      <c r="Z354" s="8">
        <f>ROUNDUP(Table1[[#This Row],[Actual Heacount]],0)</f>
        <v>2</v>
      </c>
      <c r="AA354" s="8"/>
      <c r="AB354" s="10"/>
      <c r="AC354" s="10"/>
      <c r="AD354" s="10"/>
      <c r="AE354" s="11">
        <v>60.207368299642042</v>
      </c>
      <c r="AF354" s="11">
        <v>275.66808634035561</v>
      </c>
      <c r="AG354" t="s">
        <v>34</v>
      </c>
    </row>
    <row r="355" spans="1:33">
      <c r="A355" s="2">
        <v>44188</v>
      </c>
      <c r="B355" s="5" t="s">
        <v>37</v>
      </c>
      <c r="C355" s="5">
        <f>WEEKDAY(Table1[[#This Row],[Date]])</f>
        <v>4</v>
      </c>
      <c r="D355" s="5">
        <f>MONTH(Table1[[#This Row],[Date]])</f>
        <v>12</v>
      </c>
      <c r="E355" s="5">
        <f>WEEKNUM(Table1[[#This Row],[Date]])</f>
        <v>52</v>
      </c>
      <c r="F355" s="5">
        <f>YEAR(Table1[[#This Row],[Date]])</f>
        <v>2020</v>
      </c>
      <c r="G355">
        <v>187</v>
      </c>
      <c r="L355" s="5">
        <v>175</v>
      </c>
      <c r="M355" s="6">
        <v>0.97770000000000001</v>
      </c>
      <c r="N355" s="5">
        <v>4</v>
      </c>
      <c r="O355" s="7">
        <v>2.7777777777777778E-4</v>
      </c>
      <c r="P355" s="7">
        <v>1.6319444444444445E-3</v>
      </c>
      <c r="Q355" s="7">
        <v>2.2222222222222222E-3</v>
      </c>
      <c r="R355" s="6">
        <v>0.71350000000000002</v>
      </c>
      <c r="S355" s="8">
        <f>CONVERT(Table1[[#This Row],[Talk Duration (AVG)]]*Table1[[#This Row],[Answered Calls]],"day","hr")</f>
        <v>6.854166666666667</v>
      </c>
      <c r="T355" s="9">
        <f>Table1[[#This Row],[Actual Workload hours]]*60</f>
        <v>411.25</v>
      </c>
      <c r="U355" s="9">
        <f>CONVERT(Table1[[#This Row],[Actual]]*Table1[[#This Row],[Talk Duration (AVG)]],"day","hr")</f>
        <v>7.3241666666666667</v>
      </c>
      <c r="V355" s="10">
        <f>Table1[[#This Row],[Required Workload Hours]]*60</f>
        <v>439.45</v>
      </c>
      <c r="W355" s="9">
        <v>1.07</v>
      </c>
      <c r="X355" s="9">
        <f t="shared" si="10"/>
        <v>1.1444010416666666</v>
      </c>
      <c r="Y355" s="5">
        <f t="shared" si="11"/>
        <v>2</v>
      </c>
      <c r="Z355" s="8">
        <f>ROUNDUP(Table1[[#This Row],[Actual Heacount]],0)</f>
        <v>2</v>
      </c>
      <c r="AA355" s="8"/>
      <c r="AB355" s="10"/>
      <c r="AC355" s="10"/>
      <c r="AD355" s="10"/>
      <c r="AE355" s="11">
        <v>71.773643099842047</v>
      </c>
      <c r="AF355" s="11">
        <v>289.62873202101417</v>
      </c>
      <c r="AG355" t="s">
        <v>34</v>
      </c>
    </row>
    <row r="356" spans="1:33">
      <c r="A356" s="2">
        <v>44189</v>
      </c>
      <c r="B356" s="5" t="s">
        <v>38</v>
      </c>
      <c r="C356" s="5">
        <f>WEEKDAY(Table1[[#This Row],[Date]])</f>
        <v>5</v>
      </c>
      <c r="D356" s="5">
        <f>MONTH(Table1[[#This Row],[Date]])</f>
        <v>12</v>
      </c>
      <c r="E356" s="5">
        <f>WEEKNUM(Table1[[#This Row],[Date]])</f>
        <v>52</v>
      </c>
      <c r="F356" s="5">
        <f>YEAR(Table1[[#This Row],[Date]])</f>
        <v>2020</v>
      </c>
      <c r="G356">
        <v>186</v>
      </c>
      <c r="L356" s="5">
        <v>45</v>
      </c>
      <c r="M356" s="6">
        <v>1</v>
      </c>
      <c r="N356" s="5">
        <v>0</v>
      </c>
      <c r="O356" s="7">
        <v>1.8518518518518518E-4</v>
      </c>
      <c r="P356" s="7">
        <v>1.5162037037037036E-3</v>
      </c>
      <c r="Q356" s="7">
        <v>2.3263888888888887E-3</v>
      </c>
      <c r="R356" s="6">
        <v>0.86670000000000003</v>
      </c>
      <c r="S356" s="8">
        <f>CONVERT(Table1[[#This Row],[Talk Duration (AVG)]]*Table1[[#This Row],[Answered Calls]],"day","hr")</f>
        <v>1.6374999999999997</v>
      </c>
      <c r="T356" s="9">
        <f>Table1[[#This Row],[Actual Workload hours]]*60</f>
        <v>98.249999999999986</v>
      </c>
      <c r="U356" s="9">
        <f>CONVERT(Table1[[#This Row],[Actual]]*Table1[[#This Row],[Talk Duration (AVG)]],"day","hr")</f>
        <v>6.7683333333333335</v>
      </c>
      <c r="V356" s="10">
        <f>Table1[[#This Row],[Required Workload Hours]]*60</f>
        <v>406.1</v>
      </c>
      <c r="W356" s="9">
        <v>1</v>
      </c>
      <c r="X356" s="9">
        <f t="shared" si="10"/>
        <v>1.0575520833333334</v>
      </c>
      <c r="Y356" s="5">
        <f t="shared" si="11"/>
        <v>1</v>
      </c>
      <c r="Z356" s="8">
        <f>ROUNDUP(Table1[[#This Row],[Actual Heacount]],0)</f>
        <v>1</v>
      </c>
      <c r="AA356" s="8"/>
      <c r="AB356" s="10"/>
      <c r="AC356" s="10"/>
      <c r="AD356" s="10"/>
      <c r="AE356" s="11">
        <v>65.505416055797212</v>
      </c>
      <c r="AF356" s="11">
        <v>290.42431167864368</v>
      </c>
      <c r="AG356" t="s">
        <v>34</v>
      </c>
    </row>
    <row r="357" spans="1:33">
      <c r="A357" s="2">
        <v>44190</v>
      </c>
      <c r="B357" s="5" t="s">
        <v>39</v>
      </c>
      <c r="C357" s="5">
        <f>WEEKDAY(Table1[[#This Row],[Date]])</f>
        <v>6</v>
      </c>
      <c r="D357" s="5">
        <f>MONTH(Table1[[#This Row],[Date]])</f>
        <v>12</v>
      </c>
      <c r="E357" s="5">
        <f>WEEKNUM(Table1[[#This Row],[Date]])</f>
        <v>52</v>
      </c>
      <c r="F357" s="5">
        <f>YEAR(Table1[[#This Row],[Date]])</f>
        <v>2020</v>
      </c>
      <c r="G357">
        <v>189</v>
      </c>
      <c r="L357" s="5">
        <v>164</v>
      </c>
      <c r="M357" s="6">
        <v>0.91110000000000002</v>
      </c>
      <c r="N357" s="5">
        <v>16</v>
      </c>
      <c r="O357" s="7">
        <v>2.8935185185185184E-4</v>
      </c>
      <c r="P357" s="7">
        <v>1.6435185185185185E-3</v>
      </c>
      <c r="Q357" s="7">
        <v>1.2731481481481483E-3</v>
      </c>
      <c r="R357" s="6">
        <v>0.61799999999999999</v>
      </c>
      <c r="S357" s="8">
        <f>CONVERT(Table1[[#This Row],[Talk Duration (AVG)]]*Table1[[#This Row],[Answered Calls]],"day","hr")</f>
        <v>6.4688888888888885</v>
      </c>
      <c r="T357" s="9">
        <f>Table1[[#This Row],[Actual Workload hours]]*60</f>
        <v>388.13333333333333</v>
      </c>
      <c r="U357" s="9">
        <f>CONVERT(Table1[[#This Row],[Actual]]*Table1[[#This Row],[Talk Duration (AVG)]],"day","hr")</f>
        <v>7.4550000000000001</v>
      </c>
      <c r="V357" s="10">
        <f>Table1[[#This Row],[Required Workload Hours]]*60</f>
        <v>447.3</v>
      </c>
      <c r="W357" s="9">
        <v>1.01</v>
      </c>
      <c r="X357" s="9">
        <f t="shared" si="10"/>
        <v>1.16484375</v>
      </c>
      <c r="Y357" s="5">
        <f t="shared" si="11"/>
        <v>2</v>
      </c>
      <c r="Z357" s="8">
        <f>ROUNDUP(Table1[[#This Row],[Actual Heacount]],0)</f>
        <v>2</v>
      </c>
      <c r="AA357" s="8"/>
      <c r="AB357" s="10"/>
      <c r="AC357" s="10"/>
      <c r="AD357" s="10"/>
      <c r="AE357" s="11">
        <v>52.517638398896388</v>
      </c>
      <c r="AF357" s="11">
        <v>268.75320309776401</v>
      </c>
      <c r="AG357" t="s">
        <v>34</v>
      </c>
    </row>
    <row r="358" spans="1:33">
      <c r="A358" s="2">
        <v>44191</v>
      </c>
      <c r="B358" s="5" t="s">
        <v>40</v>
      </c>
      <c r="C358" s="5">
        <f>WEEKDAY(Table1[[#This Row],[Date]])</f>
        <v>7</v>
      </c>
      <c r="D358" s="5">
        <f>MONTH(Table1[[#This Row],[Date]])</f>
        <v>12</v>
      </c>
      <c r="E358" s="5">
        <f>WEEKNUM(Table1[[#This Row],[Date]])</f>
        <v>52</v>
      </c>
      <c r="F358" s="5">
        <f>YEAR(Table1[[#This Row],[Date]])</f>
        <v>2020</v>
      </c>
      <c r="G358">
        <v>127</v>
      </c>
      <c r="L358" s="5">
        <v>200</v>
      </c>
      <c r="M358" s="6">
        <v>0.97089999999999999</v>
      </c>
      <c r="N358" s="5">
        <v>6</v>
      </c>
      <c r="O358" s="7">
        <v>2.5462962962962961E-4</v>
      </c>
      <c r="P358" s="7">
        <v>1.6087962962962963E-3</v>
      </c>
      <c r="Q358" s="7">
        <v>1.4699074074074074E-3</v>
      </c>
      <c r="R358" s="6">
        <v>0.74629999999999996</v>
      </c>
      <c r="S358" s="8">
        <f>CONVERT(Table1[[#This Row],[Talk Duration (AVG)]]*Table1[[#This Row],[Answered Calls]],"day","hr")</f>
        <v>7.7222222222222223</v>
      </c>
      <c r="T358" s="9">
        <f>Table1[[#This Row],[Actual Workload hours]]*60</f>
        <v>463.33333333333331</v>
      </c>
      <c r="U358" s="9">
        <f>CONVERT(Table1[[#This Row],[Actual]]*Table1[[#This Row],[Talk Duration (AVG)]],"day","hr")</f>
        <v>4.9036111111111111</v>
      </c>
      <c r="V358" s="10">
        <f>Table1[[#This Row],[Required Workload Hours]]*60</f>
        <v>294.2166666666667</v>
      </c>
      <c r="W358" s="9">
        <v>1.21</v>
      </c>
      <c r="X358" s="9">
        <f t="shared" si="10"/>
        <v>1</v>
      </c>
      <c r="Y358" s="5">
        <f t="shared" si="11"/>
        <v>2</v>
      </c>
      <c r="Z358" s="8">
        <f>ROUNDUP(Table1[[#This Row],[Actual Heacount]],0)</f>
        <v>2</v>
      </c>
      <c r="AA358" s="8"/>
      <c r="AB358" s="10"/>
      <c r="AC358" s="10"/>
      <c r="AD358" s="10"/>
      <c r="AE358" s="11">
        <v>56.981735034603737</v>
      </c>
      <c r="AF358" s="11">
        <v>275.93905088753837</v>
      </c>
      <c r="AG358" t="s">
        <v>34</v>
      </c>
    </row>
    <row r="359" spans="1:33">
      <c r="A359" s="2">
        <v>44192</v>
      </c>
      <c r="B359" s="5" t="s">
        <v>33</v>
      </c>
      <c r="C359" s="5">
        <f>WEEKDAY(Table1[[#This Row],[Date]])</f>
        <v>1</v>
      </c>
      <c r="D359" s="5">
        <f>MONTH(Table1[[#This Row],[Date]])</f>
        <v>12</v>
      </c>
      <c r="E359" s="5">
        <f>WEEKNUM(Table1[[#This Row],[Date]])</f>
        <v>53</v>
      </c>
      <c r="F359" s="5">
        <f>YEAR(Table1[[#This Row],[Date]])</f>
        <v>2020</v>
      </c>
      <c r="G359">
        <v>93</v>
      </c>
      <c r="L359" s="5">
        <v>181</v>
      </c>
      <c r="M359" s="6">
        <v>0.96789999999999998</v>
      </c>
      <c r="N359" s="5">
        <v>6</v>
      </c>
      <c r="O359" s="7">
        <v>3.7037037037037035E-4</v>
      </c>
      <c r="P359" s="7">
        <v>1.736111111111111E-3</v>
      </c>
      <c r="Q359" s="7">
        <v>2.7083333333333334E-3</v>
      </c>
      <c r="R359" s="6">
        <v>0.627</v>
      </c>
      <c r="S359" s="8">
        <f>CONVERT(Table1[[#This Row],[Talk Duration (AVG)]]*Table1[[#This Row],[Answered Calls]],"day","hr")</f>
        <v>7.541666666666667</v>
      </c>
      <c r="T359" s="9">
        <f>Table1[[#This Row],[Actual Workload hours]]*60</f>
        <v>452.5</v>
      </c>
      <c r="U359" s="9">
        <f>CONVERT(Table1[[#This Row],[Actual]]*Table1[[#This Row],[Talk Duration (AVG)]],"day","hr")</f>
        <v>3.8749999999999996</v>
      </c>
      <c r="V359" s="10">
        <f>Table1[[#This Row],[Required Workload Hours]]*60</f>
        <v>232.49999999999997</v>
      </c>
      <c r="W359" s="9">
        <v>1.18</v>
      </c>
      <c r="X359" s="9">
        <f t="shared" si="10"/>
        <v>1</v>
      </c>
      <c r="Y359" s="5">
        <f t="shared" si="11"/>
        <v>2</v>
      </c>
      <c r="Z359" s="8">
        <f>ROUNDUP(Table1[[#This Row],[Actual Heacount]],0)</f>
        <v>2</v>
      </c>
      <c r="AA359" s="8"/>
      <c r="AB359" s="10"/>
      <c r="AC359" s="10"/>
      <c r="AD359" s="10"/>
      <c r="AE359" s="11">
        <v>-25.864029671271929</v>
      </c>
      <c r="AF359" s="11">
        <v>196.44071415711741</v>
      </c>
      <c r="AG359" t="s">
        <v>34</v>
      </c>
    </row>
    <row r="360" spans="1:33">
      <c r="A360" s="2">
        <v>44193</v>
      </c>
      <c r="B360" s="5" t="s">
        <v>35</v>
      </c>
      <c r="C360" s="5">
        <f>WEEKDAY(Table1[[#This Row],[Date]])</f>
        <v>2</v>
      </c>
      <c r="D360" s="5">
        <f>MONTH(Table1[[#This Row],[Date]])</f>
        <v>12</v>
      </c>
      <c r="E360" s="5">
        <f>WEEKNUM(Table1[[#This Row],[Date]])</f>
        <v>53</v>
      </c>
      <c r="F360" s="5">
        <f>YEAR(Table1[[#This Row],[Date]])</f>
        <v>2020</v>
      </c>
      <c r="G360">
        <v>328</v>
      </c>
      <c r="L360" s="5">
        <v>177</v>
      </c>
      <c r="M360" s="6">
        <v>0.9516</v>
      </c>
      <c r="N360" s="5">
        <v>9</v>
      </c>
      <c r="O360" s="7">
        <v>3.2407407407407406E-4</v>
      </c>
      <c r="P360" s="7">
        <v>1.6435185185185185E-3</v>
      </c>
      <c r="Q360" s="7">
        <v>3.8194444444444443E-3</v>
      </c>
      <c r="R360" s="6">
        <v>0.67930000000000001</v>
      </c>
      <c r="S360" s="8">
        <f>CONVERT(Table1[[#This Row],[Talk Duration (AVG)]]*Table1[[#This Row],[Answered Calls]],"day","hr")</f>
        <v>6.9816666666666665</v>
      </c>
      <c r="T360" s="9">
        <f>Table1[[#This Row],[Actual Workload hours]]*60</f>
        <v>418.9</v>
      </c>
      <c r="U360" s="9">
        <f>CONVERT(Table1[[#This Row],[Actual]]*Table1[[#This Row],[Talk Duration (AVG)]],"day","hr")</f>
        <v>12.937777777777777</v>
      </c>
      <c r="V360" s="10">
        <f>Table1[[#This Row],[Required Workload Hours]]*60</f>
        <v>776.26666666666665</v>
      </c>
      <c r="W360" s="9">
        <v>1.0900000000000001</v>
      </c>
      <c r="X360" s="9">
        <f t="shared" si="10"/>
        <v>2.0215277777777776</v>
      </c>
      <c r="Y360" s="5">
        <f t="shared" si="11"/>
        <v>2</v>
      </c>
      <c r="Z360" s="8">
        <f>ROUNDUP(Table1[[#This Row],[Actual Heacount]],0)</f>
        <v>2</v>
      </c>
      <c r="AA360" s="8"/>
      <c r="AB360" s="10"/>
      <c r="AC360" s="10"/>
      <c r="AD360" s="10"/>
      <c r="AE360" s="11">
        <v>73.420732935929152</v>
      </c>
      <c r="AF360" s="11">
        <v>291.69688285185703</v>
      </c>
      <c r="AG360" t="s">
        <v>34</v>
      </c>
    </row>
    <row r="361" spans="1:33">
      <c r="A361" s="2">
        <v>44194</v>
      </c>
      <c r="B361" s="5" t="s">
        <v>36</v>
      </c>
      <c r="C361" s="5">
        <f>WEEKDAY(Table1[[#This Row],[Date]])</f>
        <v>3</v>
      </c>
      <c r="D361" s="5">
        <f>MONTH(Table1[[#This Row],[Date]])</f>
        <v>12</v>
      </c>
      <c r="E361" s="5">
        <f>WEEKNUM(Table1[[#This Row],[Date]])</f>
        <v>53</v>
      </c>
      <c r="F361" s="5">
        <f>YEAR(Table1[[#This Row],[Date]])</f>
        <v>2020</v>
      </c>
      <c r="G361">
        <v>238</v>
      </c>
      <c r="L361" s="5">
        <v>180</v>
      </c>
      <c r="M361" s="6">
        <v>0.95240000000000002</v>
      </c>
      <c r="N361" s="5">
        <v>9</v>
      </c>
      <c r="O361" s="7">
        <v>4.0509259259259258E-4</v>
      </c>
      <c r="P361" s="7">
        <v>1.5625000000000001E-3</v>
      </c>
      <c r="Q361" s="7">
        <v>2.3611111111111111E-3</v>
      </c>
      <c r="R361" s="6">
        <v>0.5645</v>
      </c>
      <c r="S361" s="8">
        <f>CONVERT(Table1[[#This Row],[Talk Duration (AVG)]]*Table1[[#This Row],[Answered Calls]],"day","hr")</f>
        <v>6.75</v>
      </c>
      <c r="T361" s="9">
        <f>Table1[[#This Row],[Actual Workload hours]]*60</f>
        <v>405</v>
      </c>
      <c r="U361" s="9">
        <f>CONVERT(Table1[[#This Row],[Actual]]*Table1[[#This Row],[Talk Duration (AVG)]],"day","hr")</f>
        <v>8.9250000000000007</v>
      </c>
      <c r="V361" s="10">
        <f>Table1[[#This Row],[Required Workload Hours]]*60</f>
        <v>535.5</v>
      </c>
      <c r="W361" s="9">
        <v>1.05</v>
      </c>
      <c r="X361" s="9">
        <f t="shared" si="10"/>
        <v>1.39453125</v>
      </c>
      <c r="Y361" s="5">
        <f t="shared" si="11"/>
        <v>2</v>
      </c>
      <c r="Z361" s="8">
        <f>ROUNDUP(Table1[[#This Row],[Actual Heacount]],0)</f>
        <v>2</v>
      </c>
      <c r="AA361" s="8"/>
      <c r="AB361" s="10"/>
      <c r="AC361" s="10"/>
      <c r="AD361" s="10"/>
      <c r="AE361" s="11">
        <v>60.810558610685113</v>
      </c>
      <c r="AF361" s="11">
        <v>276.99314956002871</v>
      </c>
      <c r="AG361" t="s">
        <v>34</v>
      </c>
    </row>
    <row r="362" spans="1:33">
      <c r="A362" s="2">
        <v>44195</v>
      </c>
      <c r="B362" s="5" t="s">
        <v>37</v>
      </c>
      <c r="C362" s="5">
        <f>WEEKDAY(Table1[[#This Row],[Date]])</f>
        <v>4</v>
      </c>
      <c r="D362" s="5">
        <f>MONTH(Table1[[#This Row],[Date]])</f>
        <v>12</v>
      </c>
      <c r="E362" s="5">
        <f>WEEKNUM(Table1[[#This Row],[Date]])</f>
        <v>53</v>
      </c>
      <c r="F362" s="5">
        <f>YEAR(Table1[[#This Row],[Date]])</f>
        <v>2020</v>
      </c>
      <c r="G362">
        <v>237</v>
      </c>
      <c r="L362" s="5">
        <v>116</v>
      </c>
      <c r="M362" s="6">
        <v>0.91339999999999999</v>
      </c>
      <c r="N362" s="5">
        <v>11</v>
      </c>
      <c r="O362" s="7">
        <v>3.9351851851851852E-4</v>
      </c>
      <c r="P362" s="7">
        <v>1.6782407407407408E-3</v>
      </c>
      <c r="Q362" s="7">
        <v>1.9212962962962964E-3</v>
      </c>
      <c r="R362" s="6">
        <v>0.5645</v>
      </c>
      <c r="S362" s="8">
        <f>CONVERT(Table1[[#This Row],[Talk Duration (AVG)]]*Table1[[#This Row],[Answered Calls]],"day","hr")</f>
        <v>4.6722222222222225</v>
      </c>
      <c r="T362" s="9">
        <f>Table1[[#This Row],[Actual Workload hours]]*60</f>
        <v>280.33333333333337</v>
      </c>
      <c r="U362" s="9">
        <f>CONVERT(Table1[[#This Row],[Actual]]*Table1[[#This Row],[Talk Duration (AVG)]],"day","hr")</f>
        <v>9.5458333333333325</v>
      </c>
      <c r="V362" s="10">
        <f>Table1[[#This Row],[Required Workload Hours]]*60</f>
        <v>572.75</v>
      </c>
      <c r="W362" s="9">
        <v>1</v>
      </c>
      <c r="X362" s="9">
        <f t="shared" si="10"/>
        <v>1.4915364583333333</v>
      </c>
      <c r="Y362" s="5">
        <f t="shared" si="11"/>
        <v>2</v>
      </c>
      <c r="Z362" s="8">
        <f>ROUNDUP(Table1[[#This Row],[Actual Heacount]],0)</f>
        <v>1</v>
      </c>
      <c r="AA362" s="8"/>
      <c r="AB362" s="10"/>
      <c r="AC362" s="10"/>
      <c r="AD362" s="10"/>
      <c r="AE362" s="11">
        <v>65.853403206062083</v>
      </c>
      <c r="AF362" s="11">
        <v>292.29983628833912</v>
      </c>
      <c r="AG362" t="s">
        <v>34</v>
      </c>
    </row>
    <row r="363" spans="1:33">
      <c r="A363" s="2">
        <v>44196</v>
      </c>
      <c r="B363" s="5" t="s">
        <v>38</v>
      </c>
      <c r="C363" s="5">
        <f>WEEKDAY(Table1[[#This Row],[Date]])</f>
        <v>5</v>
      </c>
      <c r="D363" s="5">
        <f>MONTH(Table1[[#This Row],[Date]])</f>
        <v>12</v>
      </c>
      <c r="E363" s="5">
        <f>WEEKNUM(Table1[[#This Row],[Date]])</f>
        <v>53</v>
      </c>
      <c r="F363" s="5">
        <f>YEAR(Table1[[#This Row],[Date]])</f>
        <v>2020</v>
      </c>
      <c r="G363">
        <v>257</v>
      </c>
      <c r="L363" s="5">
        <v>90</v>
      </c>
      <c r="M363" s="6">
        <v>0.9677</v>
      </c>
      <c r="N363" s="5">
        <v>3</v>
      </c>
      <c r="O363" s="7">
        <v>3.0092592592592595E-4</v>
      </c>
      <c r="P363" s="7">
        <v>1.3541666666666667E-3</v>
      </c>
      <c r="Q363" s="7">
        <v>2.0486111111111113E-3</v>
      </c>
      <c r="R363" s="6">
        <v>0.63439999999999996</v>
      </c>
      <c r="S363" s="8">
        <f>CONVERT(Table1[[#This Row],[Talk Duration (AVG)]]*Table1[[#This Row],[Answered Calls]],"day","hr")</f>
        <v>2.9250000000000007</v>
      </c>
      <c r="T363" s="9">
        <f>Table1[[#This Row],[Actual Workload hours]]*60</f>
        <v>175.50000000000006</v>
      </c>
      <c r="U363" s="9">
        <f>CONVERT(Table1[[#This Row],[Actual]]*Table1[[#This Row],[Talk Duration (AVG)]],"day","hr")</f>
        <v>8.3524999999999991</v>
      </c>
      <c r="V363" s="10">
        <f>Table1[[#This Row],[Required Workload Hours]]*60</f>
        <v>501.15</v>
      </c>
      <c r="W363" s="9">
        <v>1</v>
      </c>
      <c r="X363" s="9">
        <f t="shared" si="10"/>
        <v>1.3050781249999999</v>
      </c>
      <c r="Y363" s="5">
        <f t="shared" si="11"/>
        <v>1</v>
      </c>
      <c r="Z363" s="8">
        <f>ROUNDUP(Table1[[#This Row],[Actual Heacount]],0)</f>
        <v>1</v>
      </c>
      <c r="AA363" s="8"/>
      <c r="AB363" s="10"/>
      <c r="AC363" s="10"/>
      <c r="AD363" s="10"/>
      <c r="AE363" s="11">
        <v>66.492161140737963</v>
      </c>
      <c r="AF363" s="11">
        <v>285.53956209396102</v>
      </c>
      <c r="AG363" t="s">
        <v>34</v>
      </c>
    </row>
    <row r="364" spans="1:33">
      <c r="A364" s="2">
        <v>44197</v>
      </c>
      <c r="B364" s="5" t="s">
        <v>39</v>
      </c>
      <c r="C364" s="5">
        <f>WEEKDAY(Table1[[#This Row],[Date]])</f>
        <v>6</v>
      </c>
      <c r="D364" s="5">
        <f>MONTH(Table1[[#This Row],[Date]])</f>
        <v>1</v>
      </c>
      <c r="E364" s="5">
        <f>WEEKNUM(Table1[[#This Row],[Date]])</f>
        <v>1</v>
      </c>
      <c r="F364" s="5">
        <f>YEAR(Table1[[#This Row],[Date]])</f>
        <v>2021</v>
      </c>
      <c r="G364">
        <v>238</v>
      </c>
      <c r="L364" s="5">
        <v>292</v>
      </c>
      <c r="M364" s="6">
        <v>0.89019999999999999</v>
      </c>
      <c r="N364" s="5">
        <v>36</v>
      </c>
      <c r="O364" s="7">
        <v>4.2824074074074075E-4</v>
      </c>
      <c r="P364" s="7">
        <v>1.5856481481481481E-3</v>
      </c>
      <c r="Q364" s="7">
        <v>4.4560185185185189E-3</v>
      </c>
      <c r="R364" s="6">
        <v>0.49680000000000002</v>
      </c>
      <c r="S364" s="8">
        <f>CONVERT(Table1[[#This Row],[Talk Duration (AVG)]]*Table1[[#This Row],[Answered Calls]],"day","hr")</f>
        <v>11.112222222222222</v>
      </c>
      <c r="T364" s="9">
        <f>Table1[[#This Row],[Actual Workload hours]]*60</f>
        <v>666.73333333333335</v>
      </c>
      <c r="U364" s="9">
        <f>CONVERT(Table1[[#This Row],[Actual]]*Table1[[#This Row],[Talk Duration (AVG)]],"day","hr")</f>
        <v>9.0572222222222205</v>
      </c>
      <c r="V364" s="10">
        <f>Table1[[#This Row],[Required Workload Hours]]*60</f>
        <v>543.43333333333328</v>
      </c>
      <c r="W364" s="9">
        <v>1.74</v>
      </c>
      <c r="X364" s="9">
        <f t="shared" si="10"/>
        <v>1.415190972222222</v>
      </c>
      <c r="Y364" s="5">
        <f t="shared" si="11"/>
        <v>2</v>
      </c>
      <c r="Z364" s="8">
        <f>ROUNDUP(Table1[[#This Row],[Actual Heacount]],0)</f>
        <v>2</v>
      </c>
      <c r="AA364" s="8"/>
      <c r="AB364" s="10"/>
      <c r="AC364" s="10"/>
      <c r="AD364" s="10"/>
      <c r="AE364" s="11">
        <v>58.339871151808573</v>
      </c>
      <c r="AF364" s="11">
        <v>275.86003629482082</v>
      </c>
      <c r="AG364" t="s">
        <v>34</v>
      </c>
    </row>
    <row r="365" spans="1:33">
      <c r="A365" s="2">
        <v>44198</v>
      </c>
      <c r="B365" s="5" t="s">
        <v>40</v>
      </c>
      <c r="C365" s="5">
        <f>WEEKDAY(Table1[[#This Row],[Date]])</f>
        <v>7</v>
      </c>
      <c r="D365" s="5">
        <f>MONTH(Table1[[#This Row],[Date]])</f>
        <v>1</v>
      </c>
      <c r="E365" s="5">
        <f>WEEKNUM(Table1[[#This Row],[Date]])</f>
        <v>1</v>
      </c>
      <c r="F365" s="5">
        <f>YEAR(Table1[[#This Row],[Date]])</f>
        <v>2021</v>
      </c>
      <c r="G365">
        <v>208</v>
      </c>
      <c r="L365" s="5">
        <v>223</v>
      </c>
      <c r="M365" s="6">
        <v>0.93700000000000006</v>
      </c>
      <c r="N365" s="5">
        <v>15</v>
      </c>
      <c r="O365" s="7">
        <v>3.8194444444444446E-4</v>
      </c>
      <c r="P365" s="7">
        <v>1.6550925925925926E-3</v>
      </c>
      <c r="Q365" s="7">
        <v>2.5462962962962965E-3</v>
      </c>
      <c r="R365" s="6">
        <v>0.59230000000000005</v>
      </c>
      <c r="S365" s="8">
        <f>CONVERT(Table1[[#This Row],[Talk Duration (AVG)]]*Table1[[#This Row],[Answered Calls]],"day","hr")</f>
        <v>8.8580555555555556</v>
      </c>
      <c r="T365" s="9">
        <f>Table1[[#This Row],[Actual Workload hours]]*60</f>
        <v>531.48333333333335</v>
      </c>
      <c r="U365" s="9">
        <f>CONVERT(Table1[[#This Row],[Actual]]*Table1[[#This Row],[Talk Duration (AVG)]],"day","hr")</f>
        <v>8.2622222222222224</v>
      </c>
      <c r="V365" s="10">
        <f>Table1[[#This Row],[Required Workload Hours]]*60</f>
        <v>495.73333333333335</v>
      </c>
      <c r="W365" s="9">
        <v>1.38</v>
      </c>
      <c r="X365" s="9">
        <f t="shared" si="10"/>
        <v>1.2909722222222222</v>
      </c>
      <c r="Y365" s="5">
        <f t="shared" si="11"/>
        <v>2</v>
      </c>
      <c r="Z365" s="8">
        <f>ROUNDUP(Table1[[#This Row],[Actual Heacount]],0)</f>
        <v>2</v>
      </c>
      <c r="AA365" s="8"/>
      <c r="AB365" s="10"/>
      <c r="AC365" s="10"/>
      <c r="AD365" s="10"/>
      <c r="AE365" s="11">
        <v>61.16250723990494</v>
      </c>
      <c r="AF365" s="11">
        <v>280.86188512336838</v>
      </c>
      <c r="AG365" t="s">
        <v>34</v>
      </c>
    </row>
    <row r="366" spans="1:33">
      <c r="A366" s="2">
        <v>44199</v>
      </c>
      <c r="B366" s="5" t="s">
        <v>33</v>
      </c>
      <c r="C366" s="5">
        <f>WEEKDAY(Table1[[#This Row],[Date]])</f>
        <v>1</v>
      </c>
      <c r="D366" s="5">
        <f>MONTH(Table1[[#This Row],[Date]])</f>
        <v>1</v>
      </c>
      <c r="E366" s="5">
        <f>WEEKNUM(Table1[[#This Row],[Date]])</f>
        <v>2</v>
      </c>
      <c r="F366" s="5">
        <f>YEAR(Table1[[#This Row],[Date]])</f>
        <v>2021</v>
      </c>
      <c r="G366">
        <v>230</v>
      </c>
      <c r="L366" s="5">
        <v>222</v>
      </c>
      <c r="M366" s="6">
        <v>0.93669999999999998</v>
      </c>
      <c r="N366" s="5">
        <v>15</v>
      </c>
      <c r="O366" s="7">
        <v>3.9351851851851852E-4</v>
      </c>
      <c r="P366" s="7">
        <v>1.6666666666666668E-3</v>
      </c>
      <c r="Q366" s="7">
        <v>1.9907407407407408E-3</v>
      </c>
      <c r="R366" s="6">
        <v>0.53849999999999998</v>
      </c>
      <c r="S366" s="8">
        <f>CONVERT(Table1[[#This Row],[Talk Duration (AVG)]]*Table1[[#This Row],[Answered Calls]],"day","hr")</f>
        <v>8.8800000000000008</v>
      </c>
      <c r="T366" s="9">
        <f>Table1[[#This Row],[Actual Workload hours]]*60</f>
        <v>532.80000000000007</v>
      </c>
      <c r="U366" s="9">
        <f>CONVERT(Table1[[#This Row],[Actual]]*Table1[[#This Row],[Talk Duration (AVG)]],"day","hr")</f>
        <v>9.1999999999999993</v>
      </c>
      <c r="V366" s="10">
        <f>Table1[[#This Row],[Required Workload Hours]]*60</f>
        <v>552</v>
      </c>
      <c r="W366" s="9">
        <v>1.39</v>
      </c>
      <c r="X366" s="9">
        <f t="shared" si="10"/>
        <v>1.4375</v>
      </c>
      <c r="Y366" s="5">
        <f t="shared" si="11"/>
        <v>2</v>
      </c>
      <c r="Z366" s="8">
        <f>ROUNDUP(Table1[[#This Row],[Actual Heacount]],0)</f>
        <v>2</v>
      </c>
      <c r="AA366" s="8"/>
      <c r="AB366" s="10"/>
      <c r="AC366" s="10"/>
      <c r="AD366" s="10"/>
      <c r="AE366" s="11">
        <v>-28.983612833716531</v>
      </c>
      <c r="AF366" s="11">
        <v>187.88300004466299</v>
      </c>
      <c r="AG366" t="s">
        <v>34</v>
      </c>
    </row>
    <row r="367" spans="1:33">
      <c r="A367" s="2">
        <v>44200</v>
      </c>
      <c r="B367" s="5" t="s">
        <v>35</v>
      </c>
      <c r="C367" s="5">
        <f>WEEKDAY(Table1[[#This Row],[Date]])</f>
        <v>2</v>
      </c>
      <c r="D367" s="5">
        <f>MONTH(Table1[[#This Row],[Date]])</f>
        <v>1</v>
      </c>
      <c r="E367" s="5">
        <f>WEEKNUM(Table1[[#This Row],[Date]])</f>
        <v>2</v>
      </c>
      <c r="F367" s="5">
        <f>YEAR(Table1[[#This Row],[Date]])</f>
        <v>2021</v>
      </c>
      <c r="G367">
        <v>14</v>
      </c>
      <c r="L367" s="5">
        <v>235</v>
      </c>
      <c r="M367" s="6">
        <v>0.91439999999999999</v>
      </c>
      <c r="N367" s="5">
        <v>22</v>
      </c>
      <c r="O367" s="7">
        <v>5.2083333333333333E-4</v>
      </c>
      <c r="P367" s="7">
        <v>1.7476851851851852E-3</v>
      </c>
      <c r="Q367" s="7">
        <v>3.0555555555555557E-3</v>
      </c>
      <c r="R367" s="6">
        <v>0.4466</v>
      </c>
      <c r="S367" s="8">
        <f>CONVERT(Table1[[#This Row],[Talk Duration (AVG)]]*Table1[[#This Row],[Answered Calls]],"day","hr")</f>
        <v>9.8569444444444443</v>
      </c>
      <c r="T367" s="9">
        <f>Table1[[#This Row],[Actual Workload hours]]*60</f>
        <v>591.41666666666663</v>
      </c>
      <c r="U367" s="9">
        <f>CONVERT(Table1[[#This Row],[Actual]]*Table1[[#This Row],[Talk Duration (AVG)]],"day","hr")</f>
        <v>0.5872222222222222</v>
      </c>
      <c r="V367" s="10">
        <f>Table1[[#This Row],[Required Workload Hours]]*60</f>
        <v>35.233333333333334</v>
      </c>
      <c r="W367" s="9">
        <v>1.54</v>
      </c>
      <c r="X367" s="9">
        <f t="shared" si="10"/>
        <v>1</v>
      </c>
      <c r="Y367" s="5">
        <f t="shared" si="11"/>
        <v>2</v>
      </c>
      <c r="Z367" s="8">
        <f>ROUNDUP(Table1[[#This Row],[Actual Heacount]],0)</f>
        <v>2</v>
      </c>
      <c r="AA367" s="8"/>
      <c r="AB367" s="10"/>
      <c r="AC367" s="10"/>
      <c r="AD367" s="10"/>
      <c r="AE367" s="11">
        <v>66.250980125131434</v>
      </c>
      <c r="AF367" s="11">
        <v>304.78227666786159</v>
      </c>
      <c r="AG367" t="s">
        <v>34</v>
      </c>
    </row>
    <row r="368" spans="1:33">
      <c r="A368" s="2">
        <v>44201</v>
      </c>
      <c r="B368" s="5" t="s">
        <v>36</v>
      </c>
      <c r="C368" s="5">
        <f>WEEKDAY(Table1[[#This Row],[Date]])</f>
        <v>3</v>
      </c>
      <c r="D368" s="5">
        <f>MONTH(Table1[[#This Row],[Date]])</f>
        <v>1</v>
      </c>
      <c r="E368" s="5">
        <f>WEEKNUM(Table1[[#This Row],[Date]])</f>
        <v>2</v>
      </c>
      <c r="F368" s="5">
        <f>YEAR(Table1[[#This Row],[Date]])</f>
        <v>2021</v>
      </c>
      <c r="G368">
        <v>163</v>
      </c>
      <c r="L368" s="5">
        <v>223</v>
      </c>
      <c r="M368" s="6">
        <v>0.93700000000000006</v>
      </c>
      <c r="N368" s="5">
        <v>15</v>
      </c>
      <c r="O368" s="7">
        <v>3.7037037037037035E-4</v>
      </c>
      <c r="P368" s="7">
        <v>1.5856481481481481E-3</v>
      </c>
      <c r="Q368" s="7">
        <v>2.3379629629629631E-3</v>
      </c>
      <c r="R368" s="6">
        <v>0.54700000000000004</v>
      </c>
      <c r="S368" s="8">
        <f>CONVERT(Table1[[#This Row],[Talk Duration (AVG)]]*Table1[[#This Row],[Answered Calls]],"day","hr")</f>
        <v>8.4863888888888876</v>
      </c>
      <c r="T368" s="9">
        <f>Table1[[#This Row],[Actual Workload hours]]*60</f>
        <v>509.18333333333328</v>
      </c>
      <c r="U368" s="9">
        <f>CONVERT(Table1[[#This Row],[Actual]]*Table1[[#This Row],[Talk Duration (AVG)]],"day","hr")</f>
        <v>6.2030555555555544</v>
      </c>
      <c r="V368" s="10">
        <f>Table1[[#This Row],[Required Workload Hours]]*60</f>
        <v>372.18333333333328</v>
      </c>
      <c r="W368" s="9">
        <v>1.33</v>
      </c>
      <c r="X368" s="9">
        <f t="shared" si="10"/>
        <v>1</v>
      </c>
      <c r="Y368" s="5">
        <f t="shared" si="11"/>
        <v>2</v>
      </c>
      <c r="Z368" s="8">
        <f>ROUNDUP(Table1[[#This Row],[Actual Heacount]],0)</f>
        <v>2</v>
      </c>
      <c r="AA368" s="8"/>
      <c r="AB368" s="10"/>
      <c r="AC368" s="10"/>
      <c r="AD368" s="10"/>
      <c r="AE368" s="11">
        <v>53.234726981549379</v>
      </c>
      <c r="AF368" s="11">
        <v>280.38238015458262</v>
      </c>
      <c r="AG368" t="s">
        <v>34</v>
      </c>
    </row>
    <row r="369" spans="1:33">
      <c r="A369" s="2">
        <v>44202</v>
      </c>
      <c r="B369" s="5" t="s">
        <v>37</v>
      </c>
      <c r="C369" s="5">
        <f>WEEKDAY(Table1[[#This Row],[Date]])</f>
        <v>4</v>
      </c>
      <c r="D369" s="5">
        <f>MONTH(Table1[[#This Row],[Date]])</f>
        <v>1</v>
      </c>
      <c r="E369" s="5">
        <f>WEEKNUM(Table1[[#This Row],[Date]])</f>
        <v>2</v>
      </c>
      <c r="F369" s="5">
        <f>YEAR(Table1[[#This Row],[Date]])</f>
        <v>2021</v>
      </c>
      <c r="G369">
        <v>124</v>
      </c>
      <c r="L369" s="5">
        <v>164</v>
      </c>
      <c r="M369" s="6">
        <v>0.82410000000000005</v>
      </c>
      <c r="N369" s="5">
        <v>35</v>
      </c>
      <c r="O369" s="7">
        <v>3.7037037037037035E-4</v>
      </c>
      <c r="P369" s="7">
        <v>1.5393518518518519E-3</v>
      </c>
      <c r="Q369" s="7">
        <v>4.8148148148148152E-3</v>
      </c>
      <c r="R369" s="6">
        <v>0.59179999999999999</v>
      </c>
      <c r="S369" s="8">
        <f>CONVERT(Table1[[#This Row],[Talk Duration (AVG)]]*Table1[[#This Row],[Answered Calls]],"day","hr")</f>
        <v>6.0588888888888874</v>
      </c>
      <c r="T369" s="9">
        <f>Table1[[#This Row],[Actual Workload hours]]*60</f>
        <v>363.53333333333325</v>
      </c>
      <c r="U369" s="9">
        <f>CONVERT(Table1[[#This Row],[Actual]]*Table1[[#This Row],[Talk Duration (AVG)]],"day","hr")</f>
        <v>4.5811111111111114</v>
      </c>
      <c r="V369" s="10">
        <f>Table1[[#This Row],[Required Workload Hours]]*60</f>
        <v>274.86666666666667</v>
      </c>
      <c r="W369" s="9">
        <v>1</v>
      </c>
      <c r="X369" s="9">
        <f t="shared" si="10"/>
        <v>1</v>
      </c>
      <c r="Y369" s="5">
        <f t="shared" si="11"/>
        <v>2</v>
      </c>
      <c r="Z369" s="8">
        <f>ROUNDUP(Table1[[#This Row],[Actual Heacount]],0)</f>
        <v>1</v>
      </c>
      <c r="AA369" s="8"/>
      <c r="AB369" s="10"/>
      <c r="AC369" s="10"/>
      <c r="AD369" s="10"/>
      <c r="AE369" s="11">
        <v>75.056553639080008</v>
      </c>
      <c r="AF369" s="11">
        <v>292.87263600736929</v>
      </c>
      <c r="AG369" t="s">
        <v>34</v>
      </c>
    </row>
    <row r="370" spans="1:33">
      <c r="A370" s="2">
        <v>44203</v>
      </c>
      <c r="B370" s="5" t="s">
        <v>38</v>
      </c>
      <c r="C370" s="5">
        <f>WEEKDAY(Table1[[#This Row],[Date]])</f>
        <v>5</v>
      </c>
      <c r="D370" s="5">
        <f>MONTH(Table1[[#This Row],[Date]])</f>
        <v>1</v>
      </c>
      <c r="E370" s="5">
        <f>WEEKNUM(Table1[[#This Row],[Date]])</f>
        <v>2</v>
      </c>
      <c r="F370" s="5">
        <f>YEAR(Table1[[#This Row],[Date]])</f>
        <v>2021</v>
      </c>
      <c r="G370">
        <v>170</v>
      </c>
      <c r="L370" s="5">
        <v>27</v>
      </c>
      <c r="M370" s="6">
        <v>0.9</v>
      </c>
      <c r="N370" s="5">
        <v>3</v>
      </c>
      <c r="O370" s="7">
        <v>3.7037037037037035E-4</v>
      </c>
      <c r="P370" s="7">
        <v>1.7824074074074075E-3</v>
      </c>
      <c r="Q370" s="7">
        <v>1.8171296296296297E-3</v>
      </c>
      <c r="R370" s="6">
        <v>0.60709999999999997</v>
      </c>
      <c r="S370" s="8">
        <f>CONVERT(Table1[[#This Row],[Talk Duration (AVG)]]*Table1[[#This Row],[Answered Calls]],"day","hr")</f>
        <v>1.155</v>
      </c>
      <c r="T370" s="9">
        <f>Table1[[#This Row],[Actual Workload hours]]*60</f>
        <v>69.3</v>
      </c>
      <c r="U370" s="9">
        <f>CONVERT(Table1[[#This Row],[Actual]]*Table1[[#This Row],[Talk Duration (AVG)]],"day","hr")</f>
        <v>7.2722222222222221</v>
      </c>
      <c r="V370" s="10">
        <f>Table1[[#This Row],[Required Workload Hours]]*60</f>
        <v>436.33333333333331</v>
      </c>
      <c r="W370" s="9">
        <v>1</v>
      </c>
      <c r="X370" s="9">
        <f t="shared" si="10"/>
        <v>1.1362847222222221</v>
      </c>
      <c r="Y370" s="5">
        <f t="shared" si="11"/>
        <v>1</v>
      </c>
      <c r="Z370" s="8">
        <f>ROUNDUP(Table1[[#This Row],[Actual Heacount]],0)</f>
        <v>1</v>
      </c>
      <c r="AA370" s="8"/>
      <c r="AB370" s="10"/>
      <c r="AC370" s="10"/>
      <c r="AD370" s="10"/>
      <c r="AE370" s="11">
        <v>67.701100317391109</v>
      </c>
      <c r="AF370" s="11">
        <v>290.33859115343768</v>
      </c>
      <c r="AG370" t="s">
        <v>34</v>
      </c>
    </row>
    <row r="371" spans="1:33">
      <c r="A371" s="2">
        <v>44204</v>
      </c>
      <c r="B371" s="5" t="s">
        <v>39</v>
      </c>
      <c r="C371" s="5">
        <f>WEEKDAY(Table1[[#This Row],[Date]])</f>
        <v>6</v>
      </c>
      <c r="D371" s="5">
        <f>MONTH(Table1[[#This Row],[Date]])</f>
        <v>1</v>
      </c>
      <c r="E371" s="5">
        <f>WEEKNUM(Table1[[#This Row],[Date]])</f>
        <v>2</v>
      </c>
      <c r="F371" s="5">
        <f>YEAR(Table1[[#This Row],[Date]])</f>
        <v>2021</v>
      </c>
      <c r="G371">
        <v>27</v>
      </c>
      <c r="L371" s="5">
        <v>163</v>
      </c>
      <c r="M371" s="6">
        <v>0.92610000000000003</v>
      </c>
      <c r="N371" s="5">
        <v>13</v>
      </c>
      <c r="O371" s="7">
        <v>4.3981481481481481E-4</v>
      </c>
      <c r="P371" s="7">
        <v>1.4467592592592592E-3</v>
      </c>
      <c r="Q371" s="7">
        <v>3.8194444444444443E-3</v>
      </c>
      <c r="R371" s="6">
        <v>0.54290000000000005</v>
      </c>
      <c r="S371" s="8">
        <f>CONVERT(Table1[[#This Row],[Talk Duration (AVG)]]*Table1[[#This Row],[Answered Calls]],"day","hr")</f>
        <v>5.6597222222222223</v>
      </c>
      <c r="T371" s="9">
        <f>Table1[[#This Row],[Actual Workload hours]]*60</f>
        <v>339.58333333333331</v>
      </c>
      <c r="U371" s="9">
        <f>CONVERT(Table1[[#This Row],[Actual]]*Table1[[#This Row],[Talk Duration (AVG)]],"day","hr")</f>
        <v>0.9375</v>
      </c>
      <c r="V371" s="10">
        <f>Table1[[#This Row],[Required Workload Hours]]*60</f>
        <v>56.25</v>
      </c>
      <c r="W371" s="9">
        <v>1</v>
      </c>
      <c r="X371" s="9">
        <f t="shared" si="10"/>
        <v>1</v>
      </c>
      <c r="Y371" s="5">
        <f t="shared" si="11"/>
        <v>2</v>
      </c>
      <c r="Z371" s="8">
        <f>ROUNDUP(Table1[[#This Row],[Actual Heacount]],0)</f>
        <v>1</v>
      </c>
      <c r="AA371" s="8"/>
      <c r="AB371" s="10"/>
      <c r="AC371" s="10"/>
      <c r="AD371" s="10"/>
      <c r="AE371" s="11">
        <v>48.43798147466795</v>
      </c>
      <c r="AF371" s="11">
        <v>272.54621914211822</v>
      </c>
      <c r="AG371" t="s">
        <v>34</v>
      </c>
    </row>
    <row r="372" spans="1:33">
      <c r="A372" s="2">
        <v>44205</v>
      </c>
      <c r="B372" s="5" t="s">
        <v>40</v>
      </c>
      <c r="C372" s="5">
        <f>WEEKDAY(Table1[[#This Row],[Date]])</f>
        <v>7</v>
      </c>
      <c r="D372" s="5">
        <f>MONTH(Table1[[#This Row],[Date]])</f>
        <v>1</v>
      </c>
      <c r="E372" s="5">
        <f>WEEKNUM(Table1[[#This Row],[Date]])</f>
        <v>2</v>
      </c>
      <c r="F372" s="5">
        <f>YEAR(Table1[[#This Row],[Date]])</f>
        <v>2021</v>
      </c>
      <c r="G372">
        <v>146</v>
      </c>
      <c r="L372" s="5">
        <v>144</v>
      </c>
      <c r="M372" s="6">
        <v>0.88890000000000002</v>
      </c>
      <c r="N372" s="5">
        <v>18</v>
      </c>
      <c r="O372" s="7">
        <v>4.7453703703703704E-4</v>
      </c>
      <c r="P372" s="7">
        <v>1.6782407407407408E-3</v>
      </c>
      <c r="Q372" s="7">
        <v>2.5462962962962965E-3</v>
      </c>
      <c r="R372" s="6">
        <v>0.50309999999999999</v>
      </c>
      <c r="S372" s="8">
        <f>CONVERT(Table1[[#This Row],[Talk Duration (AVG)]]*Table1[[#This Row],[Answered Calls]],"day","hr")</f>
        <v>5.8</v>
      </c>
      <c r="T372" s="9">
        <f>Table1[[#This Row],[Actual Workload hours]]*60</f>
        <v>348</v>
      </c>
      <c r="U372" s="9">
        <f>CONVERT(Table1[[#This Row],[Actual]]*Table1[[#This Row],[Talk Duration (AVG)]],"day","hr")</f>
        <v>5.8805555555555555</v>
      </c>
      <c r="V372" s="10">
        <f>Table1[[#This Row],[Required Workload Hours]]*60</f>
        <v>352.83333333333331</v>
      </c>
      <c r="W372" s="9">
        <v>1</v>
      </c>
      <c r="X372" s="9">
        <f t="shared" si="10"/>
        <v>1</v>
      </c>
      <c r="Y372" s="5">
        <f t="shared" si="11"/>
        <v>2</v>
      </c>
      <c r="Z372" s="8">
        <f>ROUNDUP(Table1[[#This Row],[Actual Heacount]],0)</f>
        <v>1</v>
      </c>
      <c r="AA372" s="8"/>
      <c r="AB372" s="10"/>
      <c r="AC372" s="10"/>
      <c r="AD372" s="10"/>
      <c r="AE372" s="11">
        <v>61.938436128104698</v>
      </c>
      <c r="AF372" s="11">
        <v>282.09516301244469</v>
      </c>
      <c r="AG372" t="s">
        <v>34</v>
      </c>
    </row>
    <row r="373" spans="1:33">
      <c r="A373" s="2">
        <v>44206</v>
      </c>
      <c r="B373" s="5" t="s">
        <v>33</v>
      </c>
      <c r="C373" s="5">
        <f>WEEKDAY(Table1[[#This Row],[Date]])</f>
        <v>1</v>
      </c>
      <c r="D373" s="5">
        <f>MONTH(Table1[[#This Row],[Date]])</f>
        <v>1</v>
      </c>
      <c r="E373" s="5">
        <f>WEEKNUM(Table1[[#This Row],[Date]])</f>
        <v>3</v>
      </c>
      <c r="F373" s="5">
        <f>YEAR(Table1[[#This Row],[Date]])</f>
        <v>2021</v>
      </c>
      <c r="G373">
        <v>108</v>
      </c>
      <c r="L373" s="5">
        <v>157</v>
      </c>
      <c r="M373" s="6">
        <v>0.92900000000000005</v>
      </c>
      <c r="N373" s="5">
        <v>12</v>
      </c>
      <c r="O373" s="7">
        <v>3.3564814814814812E-4</v>
      </c>
      <c r="P373" s="7">
        <v>1.724537037037037E-3</v>
      </c>
      <c r="Q373" s="7">
        <v>1.3425925925925925E-3</v>
      </c>
      <c r="R373" s="6">
        <v>0.53890000000000005</v>
      </c>
      <c r="S373" s="8">
        <f>CONVERT(Table1[[#This Row],[Talk Duration (AVG)]]*Table1[[#This Row],[Answered Calls]],"day","hr")</f>
        <v>6.4980555555555553</v>
      </c>
      <c r="T373" s="9">
        <f>Table1[[#This Row],[Actual Workload hours]]*60</f>
        <v>389.88333333333333</v>
      </c>
      <c r="U373" s="9">
        <f>CONVERT(Table1[[#This Row],[Actual]]*Table1[[#This Row],[Talk Duration (AVG)]],"day","hr")</f>
        <v>4.47</v>
      </c>
      <c r="V373" s="10">
        <f>Table1[[#This Row],[Required Workload Hours]]*60</f>
        <v>268.2</v>
      </c>
      <c r="W373" s="9">
        <v>1.02</v>
      </c>
      <c r="X373" s="9">
        <f t="shared" si="10"/>
        <v>1</v>
      </c>
      <c r="Y373" s="5">
        <f t="shared" si="11"/>
        <v>2</v>
      </c>
      <c r="Z373" s="8">
        <f>ROUNDUP(Table1[[#This Row],[Actual Heacount]],0)</f>
        <v>2</v>
      </c>
      <c r="AA373" s="8"/>
      <c r="AB373" s="10"/>
      <c r="AC373" s="10"/>
      <c r="AD373" s="10"/>
      <c r="AE373" s="11">
        <v>-37.346449821738368</v>
      </c>
      <c r="AF373" s="11">
        <v>184.07488341231479</v>
      </c>
      <c r="AG373" t="s">
        <v>34</v>
      </c>
    </row>
    <row r="374" spans="1:33">
      <c r="A374" s="2">
        <v>44207</v>
      </c>
      <c r="B374" s="5" t="s">
        <v>35</v>
      </c>
      <c r="C374" s="5">
        <f>WEEKDAY(Table1[[#This Row],[Date]])</f>
        <v>2</v>
      </c>
      <c r="D374" s="5">
        <f>MONTH(Table1[[#This Row],[Date]])</f>
        <v>1</v>
      </c>
      <c r="E374" s="5">
        <f>WEEKNUM(Table1[[#This Row],[Date]])</f>
        <v>3</v>
      </c>
      <c r="F374" s="5">
        <f>YEAR(Table1[[#This Row],[Date]])</f>
        <v>2021</v>
      </c>
      <c r="G374">
        <v>210</v>
      </c>
      <c r="L374" s="5">
        <v>146</v>
      </c>
      <c r="M374" s="6">
        <v>0.94189999999999996</v>
      </c>
      <c r="N374" s="5">
        <v>9</v>
      </c>
      <c r="O374" s="7">
        <v>3.4722222222222224E-4</v>
      </c>
      <c r="P374" s="7">
        <v>1.5972222222222223E-3</v>
      </c>
      <c r="Q374" s="7">
        <v>2.1990740740740742E-3</v>
      </c>
      <c r="R374" s="6">
        <v>0.50980000000000003</v>
      </c>
      <c r="S374" s="8">
        <f>CONVERT(Table1[[#This Row],[Talk Duration (AVG)]]*Table1[[#This Row],[Answered Calls]],"day","hr")</f>
        <v>5.5966666666666667</v>
      </c>
      <c r="T374" s="9">
        <f>Table1[[#This Row],[Actual Workload hours]]*60</f>
        <v>335.8</v>
      </c>
      <c r="U374" s="9">
        <f>CONVERT(Table1[[#This Row],[Actual]]*Table1[[#This Row],[Talk Duration (AVG)]],"day","hr")</f>
        <v>8.0500000000000007</v>
      </c>
      <c r="V374" s="10">
        <f>Table1[[#This Row],[Required Workload Hours]]*60</f>
        <v>483.00000000000006</v>
      </c>
      <c r="W374" s="9">
        <v>1</v>
      </c>
      <c r="X374" s="9">
        <f t="shared" si="10"/>
        <v>1.2578125000000002</v>
      </c>
      <c r="Y374" s="5">
        <f t="shared" si="11"/>
        <v>2</v>
      </c>
      <c r="Z374" s="8">
        <f>ROUNDUP(Table1[[#This Row],[Actual Heacount]],0)</f>
        <v>1</v>
      </c>
      <c r="AA374" s="8"/>
      <c r="AB374" s="10"/>
      <c r="AC374" s="10"/>
      <c r="AD374" s="10"/>
      <c r="AE374" s="11">
        <v>73.075051699621312</v>
      </c>
      <c r="AF374" s="11">
        <v>288.09535063548969</v>
      </c>
      <c r="AG374" t="s">
        <v>34</v>
      </c>
    </row>
    <row r="375" spans="1:33">
      <c r="A375" s="2">
        <v>44208</v>
      </c>
      <c r="B375" s="5" t="s">
        <v>36</v>
      </c>
      <c r="C375" s="5">
        <f>WEEKDAY(Table1[[#This Row],[Date]])</f>
        <v>3</v>
      </c>
      <c r="D375" s="5">
        <f>MONTH(Table1[[#This Row],[Date]])</f>
        <v>1</v>
      </c>
      <c r="E375" s="5">
        <f>WEEKNUM(Table1[[#This Row],[Date]])</f>
        <v>3</v>
      </c>
      <c r="F375" s="5">
        <f>YEAR(Table1[[#This Row],[Date]])</f>
        <v>2021</v>
      </c>
      <c r="G375">
        <v>352</v>
      </c>
      <c r="L375" s="5">
        <v>205</v>
      </c>
      <c r="M375" s="6">
        <v>0.83</v>
      </c>
      <c r="N375" s="5">
        <v>42</v>
      </c>
      <c r="O375" s="7">
        <v>5.6712962962962967E-4</v>
      </c>
      <c r="P375" s="7">
        <v>1.6898148148148148E-3</v>
      </c>
      <c r="Q375" s="7">
        <v>5.2777777777777779E-3</v>
      </c>
      <c r="R375" s="6">
        <v>0.38490000000000002</v>
      </c>
      <c r="S375" s="8">
        <f>CONVERT(Table1[[#This Row],[Talk Duration (AVG)]]*Table1[[#This Row],[Answered Calls]],"day","hr")</f>
        <v>8.3138888888888882</v>
      </c>
      <c r="T375" s="9">
        <f>Table1[[#This Row],[Actual Workload hours]]*60</f>
        <v>498.83333333333331</v>
      </c>
      <c r="U375" s="9">
        <f>CONVERT(Table1[[#This Row],[Actual]]*Table1[[#This Row],[Talk Duration (AVG)]],"day","hr")</f>
        <v>14.275555555555556</v>
      </c>
      <c r="V375" s="10">
        <f>Table1[[#This Row],[Required Workload Hours]]*60</f>
        <v>856.5333333333333</v>
      </c>
      <c r="W375" s="9">
        <v>1.3</v>
      </c>
      <c r="X375" s="9">
        <f t="shared" si="10"/>
        <v>2.2305555555555556</v>
      </c>
      <c r="Y375" s="5">
        <f t="shared" si="11"/>
        <v>2</v>
      </c>
      <c r="Z375" s="8">
        <f>ROUNDUP(Table1[[#This Row],[Actual Heacount]],0)</f>
        <v>2</v>
      </c>
      <c r="AA375" s="8"/>
      <c r="AB375" s="10"/>
      <c r="AC375" s="10"/>
      <c r="AD375" s="10"/>
      <c r="AE375" s="11">
        <v>49.235148227675047</v>
      </c>
      <c r="AF375" s="11">
        <v>270.86147157295869</v>
      </c>
      <c r="AG375" t="s">
        <v>34</v>
      </c>
    </row>
    <row r="376" spans="1:33">
      <c r="A376" s="2">
        <v>44209</v>
      </c>
      <c r="B376" s="5" t="s">
        <v>37</v>
      </c>
      <c r="C376" s="5">
        <f>WEEKDAY(Table1[[#This Row],[Date]])</f>
        <v>4</v>
      </c>
      <c r="D376" s="5">
        <f>MONTH(Table1[[#This Row],[Date]])</f>
        <v>1</v>
      </c>
      <c r="E376" s="5">
        <f>WEEKNUM(Table1[[#This Row],[Date]])</f>
        <v>3</v>
      </c>
      <c r="F376" s="5">
        <f>YEAR(Table1[[#This Row],[Date]])</f>
        <v>2021</v>
      </c>
      <c r="G376">
        <v>208</v>
      </c>
      <c r="L376" s="5">
        <v>186</v>
      </c>
      <c r="M376" s="6">
        <v>0.9738</v>
      </c>
      <c r="N376" s="5">
        <v>5</v>
      </c>
      <c r="O376" s="7">
        <v>2.7777777777777778E-4</v>
      </c>
      <c r="P376" s="7">
        <v>1.5509259259259259E-3</v>
      </c>
      <c r="Q376" s="7">
        <v>1.3194444444444445E-3</v>
      </c>
      <c r="R376" s="6">
        <v>0.70530000000000004</v>
      </c>
      <c r="S376" s="8">
        <f>CONVERT(Table1[[#This Row],[Talk Duration (AVG)]]*Table1[[#This Row],[Answered Calls]],"day","hr")</f>
        <v>6.923333333333332</v>
      </c>
      <c r="T376" s="9">
        <f>Table1[[#This Row],[Actual Workload hours]]*60</f>
        <v>415.39999999999992</v>
      </c>
      <c r="U376" s="9">
        <f>CONVERT(Table1[[#This Row],[Actual]]*Table1[[#This Row],[Talk Duration (AVG)]],"day","hr")</f>
        <v>7.7422222222222219</v>
      </c>
      <c r="V376" s="10">
        <f>Table1[[#This Row],[Required Workload Hours]]*60</f>
        <v>464.5333333333333</v>
      </c>
      <c r="W376" s="9">
        <v>1.08</v>
      </c>
      <c r="X376" s="9">
        <f t="shared" si="10"/>
        <v>1.2097222222222221</v>
      </c>
      <c r="Y376" s="5">
        <f t="shared" si="11"/>
        <v>2</v>
      </c>
      <c r="Z376" s="8">
        <f>ROUNDUP(Table1[[#This Row],[Actual Heacount]],0)</f>
        <v>2</v>
      </c>
      <c r="AA376" s="8"/>
      <c r="AB376" s="10"/>
      <c r="AC376" s="10"/>
      <c r="AD376" s="10"/>
      <c r="AE376" s="11">
        <v>65.572556235209021</v>
      </c>
      <c r="AF376" s="11">
        <v>280.77447921129829</v>
      </c>
      <c r="AG376" t="s">
        <v>34</v>
      </c>
    </row>
    <row r="377" spans="1:33">
      <c r="A377" s="2">
        <v>44210</v>
      </c>
      <c r="B377" s="5" t="s">
        <v>38</v>
      </c>
      <c r="C377" s="5">
        <f>WEEKDAY(Table1[[#This Row],[Date]])</f>
        <v>5</v>
      </c>
      <c r="D377" s="5">
        <f>MONTH(Table1[[#This Row],[Date]])</f>
        <v>1</v>
      </c>
      <c r="E377" s="5">
        <f>WEEKNUM(Table1[[#This Row],[Date]])</f>
        <v>3</v>
      </c>
      <c r="F377" s="5">
        <f>YEAR(Table1[[#This Row],[Date]])</f>
        <v>2021</v>
      </c>
      <c r="G377">
        <v>130</v>
      </c>
      <c r="L377" s="5">
        <v>29</v>
      </c>
      <c r="M377" s="6">
        <v>0.9667</v>
      </c>
      <c r="N377" s="5">
        <v>1</v>
      </c>
      <c r="O377" s="7">
        <v>6.9444444444444444E-5</v>
      </c>
      <c r="P377" s="7">
        <v>1.5625000000000001E-3</v>
      </c>
      <c r="Q377" s="7">
        <v>5.3240740740740744E-4</v>
      </c>
      <c r="R377" s="6">
        <v>0.93330000000000002</v>
      </c>
      <c r="S377" s="8">
        <f>CONVERT(Table1[[#This Row],[Talk Duration (AVG)]]*Table1[[#This Row],[Answered Calls]],"day","hr")</f>
        <v>1.0875000000000001</v>
      </c>
      <c r="T377" s="9">
        <f>Table1[[#This Row],[Actual Workload hours]]*60</f>
        <v>65.250000000000014</v>
      </c>
      <c r="U377" s="9">
        <f>CONVERT(Table1[[#This Row],[Actual]]*Table1[[#This Row],[Talk Duration (AVG)]],"day","hr")</f>
        <v>4.875</v>
      </c>
      <c r="V377" s="10">
        <f>Table1[[#This Row],[Required Workload Hours]]*60</f>
        <v>292.5</v>
      </c>
      <c r="W377" s="9">
        <v>1</v>
      </c>
      <c r="X377" s="9">
        <f t="shared" si="10"/>
        <v>1</v>
      </c>
      <c r="Y377" s="5">
        <f t="shared" si="11"/>
        <v>1</v>
      </c>
      <c r="Z377" s="8">
        <f>ROUNDUP(Table1[[#This Row],[Actual Heacount]],0)</f>
        <v>1</v>
      </c>
      <c r="AA377" s="8"/>
      <c r="AB377" s="10"/>
      <c r="AC377" s="10"/>
      <c r="AD377" s="10"/>
      <c r="AE377" s="11">
        <v>52.589188049143729</v>
      </c>
      <c r="AF377" s="11">
        <v>279.48284383025538</v>
      </c>
      <c r="AG377" t="s">
        <v>34</v>
      </c>
    </row>
    <row r="378" spans="1:33">
      <c r="A378" s="2">
        <v>44211</v>
      </c>
      <c r="B378" s="5" t="s">
        <v>39</v>
      </c>
      <c r="C378" s="5">
        <f>WEEKDAY(Table1[[#This Row],[Date]])</f>
        <v>6</v>
      </c>
      <c r="D378" s="5">
        <f>MONTH(Table1[[#This Row],[Date]])</f>
        <v>1</v>
      </c>
      <c r="E378" s="5">
        <f>WEEKNUM(Table1[[#This Row],[Date]])</f>
        <v>3</v>
      </c>
      <c r="F378" s="5">
        <f>YEAR(Table1[[#This Row],[Date]])</f>
        <v>2021</v>
      </c>
      <c r="G378">
        <v>134</v>
      </c>
      <c r="L378" s="5">
        <v>290</v>
      </c>
      <c r="M378" s="6">
        <v>0.91769999999999996</v>
      </c>
      <c r="N378" s="5">
        <v>26</v>
      </c>
      <c r="O378" s="7">
        <v>3.5879629629629629E-4</v>
      </c>
      <c r="P378" s="7">
        <v>1.6319444444444445E-3</v>
      </c>
      <c r="Q378" s="7">
        <v>2.8009259259259259E-3</v>
      </c>
      <c r="R378" s="6">
        <v>0.59160000000000001</v>
      </c>
      <c r="S378" s="8">
        <f>CONVERT(Table1[[#This Row],[Talk Duration (AVG)]]*Table1[[#This Row],[Answered Calls]],"day","hr")</f>
        <v>11.358333333333333</v>
      </c>
      <c r="T378" s="9">
        <f>Table1[[#This Row],[Actual Workload hours]]*60</f>
        <v>681.5</v>
      </c>
      <c r="U378" s="9">
        <f>CONVERT(Table1[[#This Row],[Actual]]*Table1[[#This Row],[Talk Duration (AVG)]],"day","hr")</f>
        <v>5.2483333333333331</v>
      </c>
      <c r="V378" s="10">
        <f>Table1[[#This Row],[Required Workload Hours]]*60</f>
        <v>314.89999999999998</v>
      </c>
      <c r="W378" s="9">
        <v>1.77</v>
      </c>
      <c r="X378" s="9">
        <f t="shared" si="10"/>
        <v>1</v>
      </c>
      <c r="Y378" s="5">
        <f t="shared" si="11"/>
        <v>2</v>
      </c>
      <c r="Z378" s="8">
        <f>ROUNDUP(Table1[[#This Row],[Actual Heacount]],0)</f>
        <v>2</v>
      </c>
      <c r="AA378" s="8"/>
      <c r="AB378" s="10"/>
      <c r="AC378" s="10"/>
      <c r="AD378" s="10"/>
      <c r="AE378" s="11">
        <v>47.680690427178213</v>
      </c>
      <c r="AF378" s="11">
        <v>261.57762151151962</v>
      </c>
      <c r="AG378" t="s">
        <v>34</v>
      </c>
    </row>
    <row r="379" spans="1:33">
      <c r="A379" s="2">
        <v>44212</v>
      </c>
      <c r="B379" s="5" t="s">
        <v>40</v>
      </c>
      <c r="C379" s="5">
        <f>WEEKDAY(Table1[[#This Row],[Date]])</f>
        <v>7</v>
      </c>
      <c r="D379" s="5">
        <f>MONTH(Table1[[#This Row],[Date]])</f>
        <v>1</v>
      </c>
      <c r="E379" s="5">
        <f>WEEKNUM(Table1[[#This Row],[Date]])</f>
        <v>3</v>
      </c>
      <c r="F379" s="5">
        <f>YEAR(Table1[[#This Row],[Date]])</f>
        <v>2021</v>
      </c>
      <c r="G379">
        <v>124</v>
      </c>
      <c r="L379" s="5">
        <v>195</v>
      </c>
      <c r="M379" s="6">
        <v>0.92420000000000002</v>
      </c>
      <c r="N379" s="5">
        <v>16</v>
      </c>
      <c r="O379" s="7">
        <v>3.9351851851851852E-4</v>
      </c>
      <c r="P379" s="7">
        <v>1.6319444444444445E-3</v>
      </c>
      <c r="Q379" s="7">
        <v>4.4560185185185189E-3</v>
      </c>
      <c r="R379" s="6">
        <v>0.55769999999999997</v>
      </c>
      <c r="S379" s="8">
        <f>CONVERT(Table1[[#This Row],[Talk Duration (AVG)]]*Table1[[#This Row],[Answered Calls]],"day","hr")</f>
        <v>7.6375000000000002</v>
      </c>
      <c r="T379" s="9">
        <f>Table1[[#This Row],[Actual Workload hours]]*60</f>
        <v>458.25</v>
      </c>
      <c r="U379" s="9">
        <f>CONVERT(Table1[[#This Row],[Actual]]*Table1[[#This Row],[Talk Duration (AVG)]],"day","hr")</f>
        <v>4.8566666666666665</v>
      </c>
      <c r="V379" s="10">
        <f>Table1[[#This Row],[Required Workload Hours]]*60</f>
        <v>291.39999999999998</v>
      </c>
      <c r="W379" s="9">
        <v>1.19</v>
      </c>
      <c r="X379" s="9">
        <f t="shared" si="10"/>
        <v>1</v>
      </c>
      <c r="Y379" s="5">
        <f t="shared" si="11"/>
        <v>2</v>
      </c>
      <c r="Z379" s="8">
        <f>ROUNDUP(Table1[[#This Row],[Actual Heacount]],0)</f>
        <v>2</v>
      </c>
      <c r="AA379" s="8"/>
      <c r="AB379" s="10"/>
      <c r="AC379" s="10"/>
      <c r="AD379" s="10"/>
      <c r="AE379" s="11">
        <v>59.977422207477858</v>
      </c>
      <c r="AF379" s="11">
        <v>270.28972845329281</v>
      </c>
      <c r="AG379" t="s">
        <v>34</v>
      </c>
    </row>
    <row r="380" spans="1:33">
      <c r="A380" s="2">
        <v>44213</v>
      </c>
      <c r="B380" s="5" t="s">
        <v>33</v>
      </c>
      <c r="C380" s="5">
        <f>WEEKDAY(Table1[[#This Row],[Date]])</f>
        <v>1</v>
      </c>
      <c r="D380" s="5">
        <f>MONTH(Table1[[#This Row],[Date]])</f>
        <v>1</v>
      </c>
      <c r="E380" s="5">
        <f>WEEKNUM(Table1[[#This Row],[Date]])</f>
        <v>4</v>
      </c>
      <c r="F380" s="5">
        <f>YEAR(Table1[[#This Row],[Date]])</f>
        <v>2021</v>
      </c>
      <c r="G380">
        <v>47</v>
      </c>
      <c r="L380" s="5">
        <v>169</v>
      </c>
      <c r="M380" s="6">
        <v>0.8125</v>
      </c>
      <c r="N380" s="5">
        <v>39</v>
      </c>
      <c r="O380" s="7">
        <v>5.2083333333333333E-4</v>
      </c>
      <c r="P380" s="7">
        <v>1.5972222222222223E-3</v>
      </c>
      <c r="Q380" s="7">
        <v>5.0347222222222225E-3</v>
      </c>
      <c r="R380" s="6">
        <v>0.45850000000000002</v>
      </c>
      <c r="S380" s="8">
        <f>CONVERT(Table1[[#This Row],[Talk Duration (AVG)]]*Table1[[#This Row],[Answered Calls]],"day","hr")</f>
        <v>6.4783333333333335</v>
      </c>
      <c r="T380" s="9">
        <f>Table1[[#This Row],[Actual Workload hours]]*60</f>
        <v>388.7</v>
      </c>
      <c r="U380" s="9">
        <f>CONVERT(Table1[[#This Row],[Actual]]*Table1[[#This Row],[Talk Duration (AVG)]],"day","hr")</f>
        <v>1.801666666666667</v>
      </c>
      <c r="V380" s="10">
        <f>Table1[[#This Row],[Required Workload Hours]]*60</f>
        <v>108.10000000000002</v>
      </c>
      <c r="W380" s="9">
        <v>1.01</v>
      </c>
      <c r="X380" s="9">
        <f t="shared" si="10"/>
        <v>1</v>
      </c>
      <c r="Y380" s="5">
        <f t="shared" si="11"/>
        <v>2</v>
      </c>
      <c r="Z380" s="8">
        <f>ROUNDUP(Table1[[#This Row],[Actual Heacount]],0)</f>
        <v>2</v>
      </c>
      <c r="AA380" s="8"/>
      <c r="AB380" s="10"/>
      <c r="AC380" s="10"/>
      <c r="AD380" s="10"/>
      <c r="AE380" s="11">
        <v>-36.403416070152232</v>
      </c>
      <c r="AF380" s="11">
        <v>193.84460943229979</v>
      </c>
      <c r="AG380" t="s">
        <v>34</v>
      </c>
    </row>
    <row r="381" spans="1:33">
      <c r="A381" s="2">
        <v>44214</v>
      </c>
      <c r="B381" s="5" t="s">
        <v>35</v>
      </c>
      <c r="C381" s="5">
        <f>WEEKDAY(Table1[[#This Row],[Date]])</f>
        <v>2</v>
      </c>
      <c r="D381" s="5">
        <f>MONTH(Table1[[#This Row],[Date]])</f>
        <v>1</v>
      </c>
      <c r="E381" s="5">
        <f>WEEKNUM(Table1[[#This Row],[Date]])</f>
        <v>4</v>
      </c>
      <c r="F381" s="5">
        <f>YEAR(Table1[[#This Row],[Date]])</f>
        <v>2021</v>
      </c>
      <c r="G381">
        <v>197</v>
      </c>
      <c r="L381" s="5">
        <v>124</v>
      </c>
      <c r="M381" s="6">
        <v>0.95379999999999998</v>
      </c>
      <c r="N381" s="5">
        <v>6</v>
      </c>
      <c r="O381" s="7">
        <v>2.5462962962962961E-4</v>
      </c>
      <c r="P381" s="7">
        <v>1.5856481481481481E-3</v>
      </c>
      <c r="Q381" s="7">
        <v>1.5625000000000001E-3</v>
      </c>
      <c r="R381" s="6">
        <v>0.68989999999999996</v>
      </c>
      <c r="S381" s="8">
        <f>CONVERT(Table1[[#This Row],[Talk Duration (AVG)]]*Table1[[#This Row],[Answered Calls]],"day","hr")</f>
        <v>4.7188888888888885</v>
      </c>
      <c r="T381" s="9">
        <f>Table1[[#This Row],[Actual Workload hours]]*60</f>
        <v>283.13333333333333</v>
      </c>
      <c r="U381" s="9">
        <f>CONVERT(Table1[[#This Row],[Actual]]*Table1[[#This Row],[Talk Duration (AVG)]],"day","hr")</f>
        <v>7.4969444444444449</v>
      </c>
      <c r="V381" s="10">
        <f>Table1[[#This Row],[Required Workload Hours]]*60</f>
        <v>449.81666666666672</v>
      </c>
      <c r="W381" s="9">
        <v>1</v>
      </c>
      <c r="X381" s="9">
        <f t="shared" si="10"/>
        <v>1.1713975694444445</v>
      </c>
      <c r="Y381" s="5">
        <f t="shared" si="11"/>
        <v>2</v>
      </c>
      <c r="Z381" s="8">
        <f>ROUNDUP(Table1[[#This Row],[Actual Heacount]],0)</f>
        <v>1</v>
      </c>
      <c r="AA381" s="8"/>
      <c r="AB381" s="10"/>
      <c r="AC381" s="10"/>
      <c r="AD381" s="10"/>
      <c r="AE381" s="11">
        <v>70.260768595521981</v>
      </c>
      <c r="AF381" s="11">
        <v>282.52345887827329</v>
      </c>
      <c r="AG381" t="s">
        <v>34</v>
      </c>
    </row>
    <row r="382" spans="1:33">
      <c r="A382" s="2">
        <v>44215</v>
      </c>
      <c r="B382" s="5" t="s">
        <v>36</v>
      </c>
      <c r="C382" s="5">
        <f>WEEKDAY(Table1[[#This Row],[Date]])</f>
        <v>3</v>
      </c>
      <c r="D382" s="5">
        <f>MONTH(Table1[[#This Row],[Date]])</f>
        <v>1</v>
      </c>
      <c r="E382" s="5">
        <f>WEEKNUM(Table1[[#This Row],[Date]])</f>
        <v>4</v>
      </c>
      <c r="F382" s="5">
        <f>YEAR(Table1[[#This Row],[Date]])</f>
        <v>2021</v>
      </c>
      <c r="G382">
        <v>158</v>
      </c>
      <c r="L382" s="5">
        <v>129</v>
      </c>
      <c r="M382" s="6">
        <v>0.9627</v>
      </c>
      <c r="N382" s="5">
        <v>5</v>
      </c>
      <c r="O382" s="7">
        <v>2.7777777777777778E-4</v>
      </c>
      <c r="P382" s="7">
        <v>1.5277777777777779E-3</v>
      </c>
      <c r="Q382" s="7">
        <v>2.4074074074074076E-3</v>
      </c>
      <c r="R382" s="6">
        <v>0.70899999999999996</v>
      </c>
      <c r="S382" s="8">
        <f>CONVERT(Table1[[#This Row],[Talk Duration (AVG)]]*Table1[[#This Row],[Answered Calls]],"day","hr")</f>
        <v>4.7300000000000004</v>
      </c>
      <c r="T382" s="9">
        <f>Table1[[#This Row],[Actual Workload hours]]*60</f>
        <v>283.8</v>
      </c>
      <c r="U382" s="9">
        <f>CONVERT(Table1[[#This Row],[Actual]]*Table1[[#This Row],[Talk Duration (AVG)]],"day","hr")</f>
        <v>5.793333333333333</v>
      </c>
      <c r="V382" s="10">
        <f>Table1[[#This Row],[Required Workload Hours]]*60</f>
        <v>347.59999999999997</v>
      </c>
      <c r="W382" s="9">
        <v>1</v>
      </c>
      <c r="X382" s="9">
        <f t="shared" si="10"/>
        <v>1</v>
      </c>
      <c r="Y382" s="5">
        <f t="shared" si="11"/>
        <v>2</v>
      </c>
      <c r="Z382" s="8">
        <f>ROUNDUP(Table1[[#This Row],[Actual Heacount]],0)</f>
        <v>1</v>
      </c>
      <c r="AA382" s="8"/>
      <c r="AB382" s="10"/>
      <c r="AC382" s="10"/>
      <c r="AD382" s="10"/>
      <c r="AE382" s="11">
        <v>51.48648740314276</v>
      </c>
      <c r="AF382" s="11">
        <v>266.2593101913007</v>
      </c>
      <c r="AG382" t="s">
        <v>34</v>
      </c>
    </row>
    <row r="383" spans="1:33">
      <c r="A383" s="2">
        <v>44216</v>
      </c>
      <c r="B383" s="5" t="s">
        <v>37</v>
      </c>
      <c r="C383" s="5">
        <f>WEEKDAY(Table1[[#This Row],[Date]])</f>
        <v>4</v>
      </c>
      <c r="D383" s="5">
        <f>MONTH(Table1[[#This Row],[Date]])</f>
        <v>1</v>
      </c>
      <c r="E383" s="5">
        <f>WEEKNUM(Table1[[#This Row],[Date]])</f>
        <v>4</v>
      </c>
      <c r="F383" s="5">
        <f>YEAR(Table1[[#This Row],[Date]])</f>
        <v>2021</v>
      </c>
      <c r="G383">
        <v>163</v>
      </c>
      <c r="L383" s="5">
        <v>121</v>
      </c>
      <c r="M383" s="6">
        <v>0.9758</v>
      </c>
      <c r="N383" s="5">
        <v>3</v>
      </c>
      <c r="O383" s="7">
        <v>3.1250000000000001E-4</v>
      </c>
      <c r="P383" s="7">
        <v>1.6087962962962963E-3</v>
      </c>
      <c r="Q383" s="7">
        <v>2.3032407407407407E-3</v>
      </c>
      <c r="R383" s="6">
        <v>0.70730000000000004</v>
      </c>
      <c r="S383" s="8">
        <f>CONVERT(Table1[[#This Row],[Talk Duration (AVG)]]*Table1[[#This Row],[Answered Calls]],"day","hr")</f>
        <v>4.6719444444444447</v>
      </c>
      <c r="T383" s="9">
        <f>Table1[[#This Row],[Actual Workload hours]]*60</f>
        <v>280.31666666666666</v>
      </c>
      <c r="U383" s="9">
        <f>CONVERT(Table1[[#This Row],[Actual]]*Table1[[#This Row],[Talk Duration (AVG)]],"day","hr")</f>
        <v>6.2936111111111108</v>
      </c>
      <c r="V383" s="10">
        <f>Table1[[#This Row],[Required Workload Hours]]*60</f>
        <v>377.61666666666667</v>
      </c>
      <c r="W383" s="9">
        <v>1</v>
      </c>
      <c r="X383" s="9">
        <f t="shared" si="10"/>
        <v>1</v>
      </c>
      <c r="Y383" s="5">
        <f t="shared" si="11"/>
        <v>2</v>
      </c>
      <c r="Z383" s="8">
        <f>ROUNDUP(Table1[[#This Row],[Actual Heacount]],0)</f>
        <v>1</v>
      </c>
      <c r="AA383" s="8"/>
      <c r="AB383" s="10"/>
      <c r="AC383" s="10"/>
      <c r="AD383" s="10"/>
      <c r="AE383" s="11">
        <v>63.73535060949051</v>
      </c>
      <c r="AF383" s="11">
        <v>281.09987729794921</v>
      </c>
      <c r="AG383" t="s">
        <v>34</v>
      </c>
    </row>
    <row r="384" spans="1:33">
      <c r="A384" s="2">
        <v>44217</v>
      </c>
      <c r="B384" s="5" t="s">
        <v>38</v>
      </c>
      <c r="C384" s="5">
        <f>WEEKDAY(Table1[[#This Row],[Date]])</f>
        <v>5</v>
      </c>
      <c r="D384" s="5">
        <f>MONTH(Table1[[#This Row],[Date]])</f>
        <v>1</v>
      </c>
      <c r="E384" s="5">
        <f>WEEKNUM(Table1[[#This Row],[Date]])</f>
        <v>4</v>
      </c>
      <c r="F384" s="5">
        <f>YEAR(Table1[[#This Row],[Date]])</f>
        <v>2021</v>
      </c>
      <c r="G384">
        <v>178</v>
      </c>
      <c r="L384" s="5">
        <v>43</v>
      </c>
      <c r="M384" s="6">
        <v>0.91490000000000005</v>
      </c>
      <c r="N384" s="5">
        <v>4</v>
      </c>
      <c r="O384" s="7">
        <v>4.2824074074074075E-4</v>
      </c>
      <c r="P384" s="7">
        <v>1.5972222222222223E-3</v>
      </c>
      <c r="Q384" s="7">
        <v>2.2685185185185187E-3</v>
      </c>
      <c r="R384" s="6">
        <v>0.54349999999999998</v>
      </c>
      <c r="S384" s="8">
        <f>CONVERT(Table1[[#This Row],[Talk Duration (AVG)]]*Table1[[#This Row],[Answered Calls]],"day","hr")</f>
        <v>1.6483333333333337</v>
      </c>
      <c r="T384" s="9">
        <f>Table1[[#This Row],[Actual Workload hours]]*60</f>
        <v>98.90000000000002</v>
      </c>
      <c r="U384" s="9">
        <f>CONVERT(Table1[[#This Row],[Actual]]*Table1[[#This Row],[Talk Duration (AVG)]],"day","hr")</f>
        <v>6.8233333333333341</v>
      </c>
      <c r="V384" s="10">
        <f>Table1[[#This Row],[Required Workload Hours]]*60</f>
        <v>409.40000000000003</v>
      </c>
      <c r="W384" s="9">
        <v>1</v>
      </c>
      <c r="X384" s="9">
        <f t="shared" si="10"/>
        <v>1.0661458333333333</v>
      </c>
      <c r="Y384" s="5">
        <f t="shared" si="11"/>
        <v>1</v>
      </c>
      <c r="Z384" s="8">
        <f>ROUNDUP(Table1[[#This Row],[Actual Heacount]],0)</f>
        <v>1</v>
      </c>
      <c r="AA384" s="8"/>
      <c r="AB384" s="10"/>
      <c r="AC384" s="10"/>
      <c r="AD384" s="10"/>
      <c r="AE384" s="11">
        <v>48.094292918668273</v>
      </c>
      <c r="AF384" s="11">
        <v>273.46857142643131</v>
      </c>
      <c r="AG384" t="s">
        <v>34</v>
      </c>
    </row>
    <row r="385" spans="1:33">
      <c r="A385" s="2">
        <v>44218</v>
      </c>
      <c r="B385" s="5" t="s">
        <v>39</v>
      </c>
      <c r="C385" s="5">
        <f>WEEKDAY(Table1[[#This Row],[Date]])</f>
        <v>6</v>
      </c>
      <c r="D385" s="5">
        <f>MONTH(Table1[[#This Row],[Date]])</f>
        <v>1</v>
      </c>
      <c r="E385" s="5">
        <f>WEEKNUM(Table1[[#This Row],[Date]])</f>
        <v>4</v>
      </c>
      <c r="F385" s="5">
        <f>YEAR(Table1[[#This Row],[Date]])</f>
        <v>2021</v>
      </c>
      <c r="G385">
        <v>151</v>
      </c>
      <c r="L385" s="5">
        <v>186</v>
      </c>
      <c r="M385" s="6">
        <v>0.94420000000000004</v>
      </c>
      <c r="N385" s="5">
        <v>11</v>
      </c>
      <c r="O385" s="7">
        <v>3.2407407407407406E-4</v>
      </c>
      <c r="P385" s="7">
        <v>1.5972222222222223E-3</v>
      </c>
      <c r="Q385" s="7">
        <v>1.7013888888888888E-3</v>
      </c>
      <c r="R385" s="6">
        <v>0.63829999999999998</v>
      </c>
      <c r="S385" s="8">
        <f>CONVERT(Table1[[#This Row],[Talk Duration (AVG)]]*Table1[[#This Row],[Answered Calls]],"day","hr")</f>
        <v>7.1300000000000008</v>
      </c>
      <c r="T385" s="9">
        <f>Table1[[#This Row],[Actual Workload hours]]*60</f>
        <v>427.80000000000007</v>
      </c>
      <c r="U385" s="9">
        <f>CONVERT(Table1[[#This Row],[Actual]]*Table1[[#This Row],[Talk Duration (AVG)]],"day","hr")</f>
        <v>5.7883333333333331</v>
      </c>
      <c r="V385" s="10">
        <f>Table1[[#This Row],[Required Workload Hours]]*60</f>
        <v>347.3</v>
      </c>
      <c r="W385" s="9">
        <v>1.1100000000000001</v>
      </c>
      <c r="X385" s="9">
        <f t="shared" si="10"/>
        <v>1</v>
      </c>
      <c r="Y385" s="5">
        <f t="shared" si="11"/>
        <v>2</v>
      </c>
      <c r="Z385" s="8">
        <f>ROUNDUP(Table1[[#This Row],[Actual Heacount]],0)</f>
        <v>2</v>
      </c>
      <c r="AA385" s="8"/>
      <c r="AB385" s="10"/>
      <c r="AC385" s="10"/>
      <c r="AD385" s="10"/>
      <c r="AE385" s="11">
        <v>43.118437705527107</v>
      </c>
      <c r="AF385" s="11">
        <v>267.85317947701873</v>
      </c>
      <c r="AG385" t="s">
        <v>34</v>
      </c>
    </row>
    <row r="386" spans="1:33">
      <c r="A386" s="2">
        <v>44219</v>
      </c>
      <c r="B386" s="5" t="s">
        <v>40</v>
      </c>
      <c r="C386" s="5">
        <f>WEEKDAY(Table1[[#This Row],[Date]])</f>
        <v>7</v>
      </c>
      <c r="D386" s="5">
        <f>MONTH(Table1[[#This Row],[Date]])</f>
        <v>1</v>
      </c>
      <c r="E386" s="5">
        <f>WEEKNUM(Table1[[#This Row],[Date]])</f>
        <v>4</v>
      </c>
      <c r="F386" s="5">
        <f>YEAR(Table1[[#This Row],[Date]])</f>
        <v>2021</v>
      </c>
      <c r="G386">
        <v>118</v>
      </c>
      <c r="L386" s="5">
        <v>146</v>
      </c>
      <c r="M386" s="6">
        <v>0.92410000000000003</v>
      </c>
      <c r="N386" s="5">
        <v>12</v>
      </c>
      <c r="O386" s="7">
        <v>3.5879629629629629E-4</v>
      </c>
      <c r="P386" s="7">
        <v>1.6666666666666668E-3</v>
      </c>
      <c r="Q386" s="7">
        <v>2.5462962962962965E-3</v>
      </c>
      <c r="R386" s="6">
        <v>0.5696</v>
      </c>
      <c r="S386" s="8">
        <f>CONVERT(Table1[[#This Row],[Talk Duration (AVG)]]*Table1[[#This Row],[Answered Calls]],"day","hr")</f>
        <v>5.84</v>
      </c>
      <c r="T386" s="9">
        <f>Table1[[#This Row],[Actual Workload hours]]*60</f>
        <v>350.4</v>
      </c>
      <c r="U386" s="9">
        <f>CONVERT(Table1[[#This Row],[Actual]]*Table1[[#This Row],[Talk Duration (AVG)]],"day","hr")</f>
        <v>4.72</v>
      </c>
      <c r="V386" s="10">
        <f>Table1[[#This Row],[Required Workload Hours]]*60</f>
        <v>283.2</v>
      </c>
      <c r="W386" s="9">
        <v>1</v>
      </c>
      <c r="X386" s="9">
        <f t="shared" si="10"/>
        <v>1</v>
      </c>
      <c r="Y386" s="5">
        <f t="shared" si="11"/>
        <v>2</v>
      </c>
      <c r="Z386" s="8">
        <f>ROUNDUP(Table1[[#This Row],[Actual Heacount]],0)</f>
        <v>1</v>
      </c>
      <c r="AA386" s="8"/>
      <c r="AB386" s="10"/>
      <c r="AC386" s="10"/>
      <c r="AD386" s="10"/>
      <c r="AE386" s="11">
        <v>51.938373026364857</v>
      </c>
      <c r="AF386" s="11">
        <v>272.02349300467807</v>
      </c>
      <c r="AG386" t="s">
        <v>34</v>
      </c>
    </row>
    <row r="387" spans="1:33">
      <c r="A387" s="2">
        <v>44220</v>
      </c>
      <c r="B387" s="5" t="s">
        <v>33</v>
      </c>
      <c r="C387" s="5">
        <f>WEEKDAY(Table1[[#This Row],[Date]])</f>
        <v>1</v>
      </c>
      <c r="D387" s="5">
        <f>MONTH(Table1[[#This Row],[Date]])</f>
        <v>1</v>
      </c>
      <c r="E387" s="5">
        <f>WEEKNUM(Table1[[#This Row],[Date]])</f>
        <v>5</v>
      </c>
      <c r="F387" s="5">
        <f>YEAR(Table1[[#This Row],[Date]])</f>
        <v>2021</v>
      </c>
      <c r="G387">
        <v>31</v>
      </c>
      <c r="L387" s="5">
        <v>151</v>
      </c>
      <c r="M387" s="6">
        <v>0.9264</v>
      </c>
      <c r="N387" s="5">
        <v>12</v>
      </c>
      <c r="O387" s="7">
        <v>3.2407407407407406E-4</v>
      </c>
      <c r="P387" s="7">
        <v>1.5393518518518519E-3</v>
      </c>
      <c r="Q387" s="7">
        <v>3.3912037037037036E-3</v>
      </c>
      <c r="R387" s="6">
        <v>0.63749999999999996</v>
      </c>
      <c r="S387" s="8">
        <f>CONVERT(Table1[[#This Row],[Talk Duration (AVG)]]*Table1[[#This Row],[Answered Calls]],"day","hr")</f>
        <v>5.578611111111111</v>
      </c>
      <c r="T387" s="9">
        <f>Table1[[#This Row],[Actual Workload hours]]*60</f>
        <v>334.71666666666664</v>
      </c>
      <c r="U387" s="9">
        <f>CONVERT(Table1[[#This Row],[Actual]]*Table1[[#This Row],[Talk Duration (AVG)]],"day","hr")</f>
        <v>1.1452777777777778</v>
      </c>
      <c r="V387" s="10">
        <f>Table1[[#This Row],[Required Workload Hours]]*60</f>
        <v>68.716666666666669</v>
      </c>
      <c r="W387" s="9">
        <v>1</v>
      </c>
      <c r="X387" s="9">
        <f t="shared" ref="X387:X450" si="12">IF(V387&lt;384,1,(V387/384))</f>
        <v>1</v>
      </c>
      <c r="Y387" s="5">
        <f t="shared" ref="Y387:Y450" si="13">IF(B387="Sunday",1,2)</f>
        <v>2</v>
      </c>
      <c r="Z387" s="8">
        <f>ROUNDUP(Table1[[#This Row],[Actual Heacount]],0)</f>
        <v>1</v>
      </c>
      <c r="AA387" s="8"/>
      <c r="AB387" s="10"/>
      <c r="AC387" s="10"/>
      <c r="AD387" s="10"/>
      <c r="AE387" s="11">
        <v>-41.988124271717368</v>
      </c>
      <c r="AF387" s="11">
        <v>179.53389439015081</v>
      </c>
      <c r="AG387" t="s">
        <v>34</v>
      </c>
    </row>
    <row r="388" spans="1:33">
      <c r="A388" s="2">
        <v>44221</v>
      </c>
      <c r="B388" s="5" t="s">
        <v>35</v>
      </c>
      <c r="C388" s="5">
        <f>WEEKDAY(Table1[[#This Row],[Date]])</f>
        <v>2</v>
      </c>
      <c r="D388" s="5">
        <f>MONTH(Table1[[#This Row],[Date]])</f>
        <v>1</v>
      </c>
      <c r="E388" s="5">
        <f>WEEKNUM(Table1[[#This Row],[Date]])</f>
        <v>5</v>
      </c>
      <c r="F388" s="5">
        <f>YEAR(Table1[[#This Row],[Date]])</f>
        <v>2021</v>
      </c>
      <c r="G388">
        <v>139</v>
      </c>
      <c r="L388" s="5">
        <v>160</v>
      </c>
      <c r="M388" s="6">
        <v>0.89890000000000003</v>
      </c>
      <c r="N388" s="5">
        <v>18</v>
      </c>
      <c r="O388" s="7">
        <v>4.0509259259259258E-4</v>
      </c>
      <c r="P388" s="7">
        <v>1.8402777777777777E-3</v>
      </c>
      <c r="Q388" s="7">
        <v>3.2523148148148147E-3</v>
      </c>
      <c r="R388" s="6">
        <v>0.54490000000000005</v>
      </c>
      <c r="S388" s="8">
        <f>CONVERT(Table1[[#This Row],[Talk Duration (AVG)]]*Table1[[#This Row],[Answered Calls]],"day","hr")</f>
        <v>7.0666666666666664</v>
      </c>
      <c r="T388" s="9">
        <f>Table1[[#This Row],[Actual Workload hours]]*60</f>
        <v>424</v>
      </c>
      <c r="U388" s="9">
        <f>CONVERT(Table1[[#This Row],[Actual]]*Table1[[#This Row],[Talk Duration (AVG)]],"day","hr")</f>
        <v>6.1391666666666653</v>
      </c>
      <c r="V388" s="10">
        <f>Table1[[#This Row],[Required Workload Hours]]*60</f>
        <v>368.34999999999991</v>
      </c>
      <c r="W388" s="9">
        <v>1.1000000000000001</v>
      </c>
      <c r="X388" s="9">
        <f t="shared" si="12"/>
        <v>1</v>
      </c>
      <c r="Y388" s="5">
        <f t="shared" si="13"/>
        <v>2</v>
      </c>
      <c r="Z388" s="8">
        <f>ROUNDUP(Table1[[#This Row],[Actual Heacount]],0)</f>
        <v>2</v>
      </c>
      <c r="AA388" s="8"/>
      <c r="AB388" s="10"/>
      <c r="AC388" s="10"/>
      <c r="AD388" s="10"/>
      <c r="AE388" s="11">
        <v>62.815173286727443</v>
      </c>
      <c r="AF388" s="11">
        <v>276.34197326798062</v>
      </c>
      <c r="AG388" t="s">
        <v>34</v>
      </c>
    </row>
    <row r="389" spans="1:33">
      <c r="A389" s="2">
        <v>44222</v>
      </c>
      <c r="B389" s="5" t="s">
        <v>36</v>
      </c>
      <c r="C389" s="5">
        <f>WEEKDAY(Table1[[#This Row],[Date]])</f>
        <v>3</v>
      </c>
      <c r="D389" s="5">
        <f>MONTH(Table1[[#This Row],[Date]])</f>
        <v>1</v>
      </c>
      <c r="E389" s="5">
        <f>WEEKNUM(Table1[[#This Row],[Date]])</f>
        <v>5</v>
      </c>
      <c r="F389" s="5">
        <f>YEAR(Table1[[#This Row],[Date]])</f>
        <v>2021</v>
      </c>
      <c r="G389">
        <v>171</v>
      </c>
      <c r="L389" s="5">
        <v>128</v>
      </c>
      <c r="M389" s="6">
        <v>0.84770000000000001</v>
      </c>
      <c r="N389" s="5">
        <v>23</v>
      </c>
      <c r="O389" s="7">
        <v>4.0509259259259258E-4</v>
      </c>
      <c r="P389" s="7">
        <v>1.6550925925925926E-3</v>
      </c>
      <c r="Q389" s="7">
        <v>3.9120370370370368E-3</v>
      </c>
      <c r="R389" s="6">
        <v>0.53380000000000005</v>
      </c>
      <c r="S389" s="8">
        <f>CONVERT(Table1[[#This Row],[Talk Duration (AVG)]]*Table1[[#This Row],[Answered Calls]],"day","hr")</f>
        <v>5.0844444444444443</v>
      </c>
      <c r="T389" s="9">
        <f>Table1[[#This Row],[Actual Workload hours]]*60</f>
        <v>305.06666666666666</v>
      </c>
      <c r="U389" s="9">
        <f>CONVERT(Table1[[#This Row],[Actual]]*Table1[[#This Row],[Talk Duration (AVG)]],"day","hr")</f>
        <v>6.7925000000000004</v>
      </c>
      <c r="V389" s="10">
        <f>Table1[[#This Row],[Required Workload Hours]]*60</f>
        <v>407.55</v>
      </c>
      <c r="W389" s="9">
        <v>1</v>
      </c>
      <c r="X389" s="9">
        <f t="shared" si="12"/>
        <v>1.061328125</v>
      </c>
      <c r="Y389" s="5">
        <f t="shared" si="13"/>
        <v>2</v>
      </c>
      <c r="Z389" s="8">
        <f>ROUNDUP(Table1[[#This Row],[Actual Heacount]],0)</f>
        <v>1</v>
      </c>
      <c r="AA389" s="8"/>
      <c r="AB389" s="10"/>
      <c r="AC389" s="10"/>
      <c r="AD389" s="10"/>
      <c r="AE389" s="11">
        <v>43.918273261360731</v>
      </c>
      <c r="AF389" s="11">
        <v>260.66379701678392</v>
      </c>
      <c r="AG389" t="s">
        <v>34</v>
      </c>
    </row>
    <row r="390" spans="1:33">
      <c r="A390" s="2">
        <v>44223</v>
      </c>
      <c r="B390" s="5" t="s">
        <v>37</v>
      </c>
      <c r="C390" s="5">
        <f>WEEKDAY(Table1[[#This Row],[Date]])</f>
        <v>4</v>
      </c>
      <c r="D390" s="5">
        <f>MONTH(Table1[[#This Row],[Date]])</f>
        <v>1</v>
      </c>
      <c r="E390" s="5">
        <f>WEEKNUM(Table1[[#This Row],[Date]])</f>
        <v>5</v>
      </c>
      <c r="F390" s="5">
        <f>YEAR(Table1[[#This Row],[Date]])</f>
        <v>2021</v>
      </c>
      <c r="G390">
        <v>160</v>
      </c>
      <c r="L390" s="5">
        <v>106</v>
      </c>
      <c r="M390" s="6">
        <v>0.89829999999999999</v>
      </c>
      <c r="N390" s="5">
        <v>12</v>
      </c>
      <c r="O390" s="7">
        <v>3.8194444444444446E-4</v>
      </c>
      <c r="P390" s="7">
        <v>1.6782407407407408E-3</v>
      </c>
      <c r="Q390" s="7">
        <v>3.1481481481481482E-3</v>
      </c>
      <c r="R390" s="6">
        <v>0.55169999999999997</v>
      </c>
      <c r="S390" s="8">
        <f>CONVERT(Table1[[#This Row],[Talk Duration (AVG)]]*Table1[[#This Row],[Answered Calls]],"day","hr")</f>
        <v>4.2694444444444448</v>
      </c>
      <c r="T390" s="9">
        <f>Table1[[#This Row],[Actual Workload hours]]*60</f>
        <v>256.16666666666669</v>
      </c>
      <c r="U390" s="9">
        <f>CONVERT(Table1[[#This Row],[Actual]]*Table1[[#This Row],[Talk Duration (AVG)]],"day","hr")</f>
        <v>6.4444444444444455</v>
      </c>
      <c r="V390" s="10">
        <f>Table1[[#This Row],[Required Workload Hours]]*60</f>
        <v>386.66666666666674</v>
      </c>
      <c r="W390" s="9">
        <v>1</v>
      </c>
      <c r="X390" s="9">
        <f t="shared" si="12"/>
        <v>1.0069444444444446</v>
      </c>
      <c r="Y390" s="5">
        <f t="shared" si="13"/>
        <v>2</v>
      </c>
      <c r="Z390" s="8">
        <f>ROUNDUP(Table1[[#This Row],[Actual Heacount]],0)</f>
        <v>1</v>
      </c>
      <c r="AA390" s="8"/>
      <c r="AB390" s="10"/>
      <c r="AC390" s="10"/>
      <c r="AD390" s="10"/>
      <c r="AE390" s="11">
        <v>53.25896827499961</v>
      </c>
      <c r="AF390" s="11">
        <v>270.28239181455638</v>
      </c>
      <c r="AG390" t="s">
        <v>34</v>
      </c>
    </row>
    <row r="391" spans="1:33">
      <c r="A391" s="2">
        <v>44224</v>
      </c>
      <c r="B391" s="5" t="s">
        <v>38</v>
      </c>
      <c r="C391" s="5">
        <f>WEEKDAY(Table1[[#This Row],[Date]])</f>
        <v>5</v>
      </c>
      <c r="D391" s="5">
        <f>MONTH(Table1[[#This Row],[Date]])</f>
        <v>1</v>
      </c>
      <c r="E391" s="5">
        <f>WEEKNUM(Table1[[#This Row],[Date]])</f>
        <v>5</v>
      </c>
      <c r="F391" s="5">
        <f>YEAR(Table1[[#This Row],[Date]])</f>
        <v>2021</v>
      </c>
      <c r="G391">
        <v>177</v>
      </c>
      <c r="L391" s="5">
        <v>28</v>
      </c>
      <c r="M391" s="6">
        <v>0.9032</v>
      </c>
      <c r="N391" s="5">
        <v>3</v>
      </c>
      <c r="O391" s="7">
        <v>4.6296296296296298E-4</v>
      </c>
      <c r="P391" s="7">
        <v>1.8518518518518519E-3</v>
      </c>
      <c r="Q391" s="7">
        <v>2.2222222222222222E-3</v>
      </c>
      <c r="R391" s="6">
        <v>0.43330000000000002</v>
      </c>
      <c r="S391" s="8">
        <f>CONVERT(Table1[[#This Row],[Talk Duration (AVG)]]*Table1[[#This Row],[Answered Calls]],"day","hr")</f>
        <v>1.2444444444444447</v>
      </c>
      <c r="T391" s="9">
        <f>Table1[[#This Row],[Actual Workload hours]]*60</f>
        <v>74.666666666666686</v>
      </c>
      <c r="U391" s="9">
        <f>CONVERT(Table1[[#This Row],[Actual]]*Table1[[#This Row],[Talk Duration (AVG)]],"day","hr")</f>
        <v>7.8666666666666663</v>
      </c>
      <c r="V391" s="10">
        <f>Table1[[#This Row],[Required Workload Hours]]*60</f>
        <v>472</v>
      </c>
      <c r="W391" s="9">
        <v>1</v>
      </c>
      <c r="X391" s="9">
        <f t="shared" si="12"/>
        <v>1.2291666666666667</v>
      </c>
      <c r="Y391" s="5">
        <f t="shared" si="13"/>
        <v>1</v>
      </c>
      <c r="Z391" s="8">
        <f>ROUNDUP(Table1[[#This Row],[Actual Heacount]],0)</f>
        <v>1</v>
      </c>
      <c r="AA391" s="8"/>
      <c r="AB391" s="10"/>
      <c r="AC391" s="10"/>
      <c r="AD391" s="10"/>
      <c r="AE391" s="11">
        <v>46.013996912397033</v>
      </c>
      <c r="AF391" s="11">
        <v>268.2136020016232</v>
      </c>
      <c r="AG391" t="s">
        <v>34</v>
      </c>
    </row>
    <row r="392" spans="1:33">
      <c r="A392" s="2">
        <v>44225</v>
      </c>
      <c r="B392" s="5" t="s">
        <v>39</v>
      </c>
      <c r="C392" s="5">
        <f>WEEKDAY(Table1[[#This Row],[Date]])</f>
        <v>6</v>
      </c>
      <c r="D392" s="5">
        <f>MONTH(Table1[[#This Row],[Date]])</f>
        <v>1</v>
      </c>
      <c r="E392" s="5">
        <f>WEEKNUM(Table1[[#This Row],[Date]])</f>
        <v>5</v>
      </c>
      <c r="F392" s="5">
        <f>YEAR(Table1[[#This Row],[Date]])</f>
        <v>2021</v>
      </c>
      <c r="G392">
        <v>187</v>
      </c>
      <c r="L392" s="5">
        <v>134</v>
      </c>
      <c r="M392" s="6">
        <v>0.96399999999999997</v>
      </c>
      <c r="N392" s="5">
        <v>5</v>
      </c>
      <c r="O392" s="7">
        <v>3.5879629629629629E-4</v>
      </c>
      <c r="P392" s="7">
        <v>1.6550925925925926E-3</v>
      </c>
      <c r="Q392" s="7">
        <v>1.9675925925925924E-3</v>
      </c>
      <c r="R392" s="6">
        <v>0.59419999999999995</v>
      </c>
      <c r="S392" s="8">
        <f>CONVERT(Table1[[#This Row],[Talk Duration (AVG)]]*Table1[[#This Row],[Answered Calls]],"day","hr")</f>
        <v>5.3227777777777776</v>
      </c>
      <c r="T392" s="9">
        <f>Table1[[#This Row],[Actual Workload hours]]*60</f>
        <v>319.36666666666667</v>
      </c>
      <c r="U392" s="9">
        <f>CONVERT(Table1[[#This Row],[Actual]]*Table1[[#This Row],[Talk Duration (AVG)]],"day","hr")</f>
        <v>7.4280555555555559</v>
      </c>
      <c r="V392" s="10">
        <f>Table1[[#This Row],[Required Workload Hours]]*60</f>
        <v>445.68333333333334</v>
      </c>
      <c r="W392" s="9">
        <v>1</v>
      </c>
      <c r="X392" s="9">
        <f t="shared" si="12"/>
        <v>1.1606336805555555</v>
      </c>
      <c r="Y392" s="5">
        <f t="shared" si="13"/>
        <v>2</v>
      </c>
      <c r="Z392" s="8">
        <f>ROUNDUP(Table1[[#This Row],[Actual Heacount]],0)</f>
        <v>1</v>
      </c>
      <c r="AA392" s="8"/>
      <c r="AB392" s="10"/>
      <c r="AC392" s="10"/>
      <c r="AD392" s="10"/>
      <c r="AE392" s="11">
        <v>42.210515238074187</v>
      </c>
      <c r="AF392" s="11">
        <v>256.99802272249099</v>
      </c>
      <c r="AG392" t="s">
        <v>34</v>
      </c>
    </row>
    <row r="393" spans="1:33">
      <c r="A393" s="2">
        <v>44226</v>
      </c>
      <c r="B393" s="5" t="s">
        <v>40</v>
      </c>
      <c r="C393" s="5">
        <f>WEEKDAY(Table1[[#This Row],[Date]])</f>
        <v>7</v>
      </c>
      <c r="D393" s="5">
        <f>MONTH(Table1[[#This Row],[Date]])</f>
        <v>1</v>
      </c>
      <c r="E393" s="5">
        <f>WEEKNUM(Table1[[#This Row],[Date]])</f>
        <v>5</v>
      </c>
      <c r="F393" s="5">
        <f>YEAR(Table1[[#This Row],[Date]])</f>
        <v>2021</v>
      </c>
      <c r="G393">
        <v>147</v>
      </c>
      <c r="L393" s="5">
        <v>154</v>
      </c>
      <c r="M393" s="6">
        <v>0.90059999999999996</v>
      </c>
      <c r="N393" s="5">
        <v>17</v>
      </c>
      <c r="O393" s="7">
        <v>3.1250000000000001E-4</v>
      </c>
      <c r="P393" s="7">
        <v>1.6666666666666668E-3</v>
      </c>
      <c r="Q393" s="7">
        <v>4.4907407407407405E-3</v>
      </c>
      <c r="R393" s="6">
        <v>0.65659999999999996</v>
      </c>
      <c r="S393" s="8">
        <f>CONVERT(Table1[[#This Row],[Talk Duration (AVG)]]*Table1[[#This Row],[Answered Calls]],"day","hr")</f>
        <v>6.160000000000001</v>
      </c>
      <c r="T393" s="9">
        <f>Table1[[#This Row],[Actual Workload hours]]*60</f>
        <v>369.60000000000008</v>
      </c>
      <c r="U393" s="9">
        <f>CONVERT(Table1[[#This Row],[Actual]]*Table1[[#This Row],[Talk Duration (AVG)]],"day","hr")</f>
        <v>5.8800000000000008</v>
      </c>
      <c r="V393" s="10">
        <f>Table1[[#This Row],[Required Workload Hours]]*60</f>
        <v>352.80000000000007</v>
      </c>
      <c r="W393" s="9">
        <v>1</v>
      </c>
      <c r="X393" s="9">
        <f t="shared" si="12"/>
        <v>1</v>
      </c>
      <c r="Y393" s="5">
        <f t="shared" si="13"/>
        <v>2</v>
      </c>
      <c r="Z393" s="8">
        <f>ROUNDUP(Table1[[#This Row],[Actual Heacount]],0)</f>
        <v>1</v>
      </c>
      <c r="AA393" s="8"/>
      <c r="AB393" s="10"/>
      <c r="AC393" s="10"/>
      <c r="AD393" s="10"/>
      <c r="AE393" s="11">
        <v>47.010222741908237</v>
      </c>
      <c r="AF393" s="11">
        <v>264.50007575762538</v>
      </c>
      <c r="AG393" t="s">
        <v>34</v>
      </c>
    </row>
    <row r="394" spans="1:33">
      <c r="A394" s="2">
        <v>44227</v>
      </c>
      <c r="B394" s="5" t="s">
        <v>33</v>
      </c>
      <c r="C394" s="5">
        <f>WEEKDAY(Table1[[#This Row],[Date]])</f>
        <v>1</v>
      </c>
      <c r="D394" s="5">
        <f>MONTH(Table1[[#This Row],[Date]])</f>
        <v>1</v>
      </c>
      <c r="E394" s="5">
        <f>WEEKNUM(Table1[[#This Row],[Date]])</f>
        <v>6</v>
      </c>
      <c r="F394" s="5">
        <f>YEAR(Table1[[#This Row],[Date]])</f>
        <v>2021</v>
      </c>
      <c r="G394">
        <v>35</v>
      </c>
      <c r="L394" s="5">
        <v>156</v>
      </c>
      <c r="M394" s="6">
        <v>0.97499999999999998</v>
      </c>
      <c r="N394" s="5">
        <v>4</v>
      </c>
      <c r="O394" s="7">
        <v>3.1250000000000001E-4</v>
      </c>
      <c r="P394" s="7">
        <v>1.5625000000000001E-3</v>
      </c>
      <c r="Q394" s="7">
        <v>1.238425925925926E-3</v>
      </c>
      <c r="R394" s="6">
        <v>0.64559999999999995</v>
      </c>
      <c r="S394" s="8">
        <f>CONVERT(Table1[[#This Row],[Talk Duration (AVG)]]*Table1[[#This Row],[Answered Calls]],"day","hr")</f>
        <v>5.8500000000000014</v>
      </c>
      <c r="T394" s="9">
        <f>Table1[[#This Row],[Actual Workload hours]]*60</f>
        <v>351.00000000000011</v>
      </c>
      <c r="U394" s="9">
        <f>CONVERT(Table1[[#This Row],[Actual]]*Table1[[#This Row],[Talk Duration (AVG)]],"day","hr")</f>
        <v>1.3125</v>
      </c>
      <c r="V394" s="10">
        <f>Table1[[#This Row],[Required Workload Hours]]*60</f>
        <v>78.75</v>
      </c>
      <c r="W394" s="9">
        <v>1</v>
      </c>
      <c r="X394" s="9">
        <f t="shared" si="12"/>
        <v>1</v>
      </c>
      <c r="Y394" s="5">
        <f t="shared" si="13"/>
        <v>2</v>
      </c>
      <c r="Z394" s="8">
        <f>ROUNDUP(Table1[[#This Row],[Actual Heacount]],0)</f>
        <v>1</v>
      </c>
      <c r="AA394" s="8"/>
      <c r="AB394" s="10"/>
      <c r="AC394" s="10"/>
      <c r="AD394" s="10"/>
      <c r="AE394" s="11">
        <v>-40.845818277143678</v>
      </c>
      <c r="AF394" s="11">
        <v>184.09270854334579</v>
      </c>
      <c r="AG394" t="s">
        <v>34</v>
      </c>
    </row>
    <row r="395" spans="1:33">
      <c r="A395" s="2">
        <v>44228</v>
      </c>
      <c r="B395" s="5" t="s">
        <v>35</v>
      </c>
      <c r="C395" s="5">
        <f>WEEKDAY(Table1[[#This Row],[Date]])</f>
        <v>2</v>
      </c>
      <c r="D395" s="5">
        <f>MONTH(Table1[[#This Row],[Date]])</f>
        <v>2</v>
      </c>
      <c r="E395" s="5">
        <f>WEEKNUM(Table1[[#This Row],[Date]])</f>
        <v>6</v>
      </c>
      <c r="F395" s="5">
        <f>YEAR(Table1[[#This Row],[Date]])</f>
        <v>2021</v>
      </c>
      <c r="G395">
        <v>199</v>
      </c>
      <c r="L395" s="5">
        <v>169</v>
      </c>
      <c r="M395" s="6">
        <v>0.95479999999999998</v>
      </c>
      <c r="N395" s="5">
        <v>8</v>
      </c>
      <c r="O395" s="7">
        <v>3.3564814814814812E-4</v>
      </c>
      <c r="P395" s="7">
        <v>1.7476851851851852E-3</v>
      </c>
      <c r="Q395" s="7">
        <v>2.5462962962962965E-3</v>
      </c>
      <c r="R395" s="6">
        <v>0.64370000000000005</v>
      </c>
      <c r="S395" s="8">
        <f>CONVERT(Table1[[#This Row],[Talk Duration (AVG)]]*Table1[[#This Row],[Answered Calls]],"day","hr")</f>
        <v>7.0886111111111108</v>
      </c>
      <c r="T395" s="9">
        <f>Table1[[#This Row],[Actual Workload hours]]*60</f>
        <v>425.31666666666666</v>
      </c>
      <c r="U395" s="9">
        <f>CONVERT(Table1[[#This Row],[Actual]]*Table1[[#This Row],[Talk Duration (AVG)]],"day","hr")</f>
        <v>8.3469444444444445</v>
      </c>
      <c r="V395" s="10">
        <f>Table1[[#This Row],[Required Workload Hours]]*60</f>
        <v>500.81666666666666</v>
      </c>
      <c r="W395" s="9">
        <v>1.1100000000000001</v>
      </c>
      <c r="X395" s="9">
        <f t="shared" si="12"/>
        <v>1.3042100694444445</v>
      </c>
      <c r="Y395" s="5">
        <f t="shared" si="13"/>
        <v>2</v>
      </c>
      <c r="Z395" s="8">
        <f>ROUNDUP(Table1[[#This Row],[Actual Heacount]],0)</f>
        <v>2</v>
      </c>
      <c r="AA395" s="8"/>
      <c r="AB395" s="10"/>
      <c r="AC395" s="10"/>
      <c r="AD395" s="10"/>
      <c r="AE395" s="11">
        <v>57.120174324669392</v>
      </c>
      <c r="AF395" s="11">
        <v>276.33779669593417</v>
      </c>
      <c r="AG395" t="s">
        <v>34</v>
      </c>
    </row>
    <row r="396" spans="1:33">
      <c r="A396" s="2">
        <v>44229</v>
      </c>
      <c r="B396" s="5" t="s">
        <v>36</v>
      </c>
      <c r="C396" s="5">
        <f>WEEKDAY(Table1[[#This Row],[Date]])</f>
        <v>3</v>
      </c>
      <c r="D396" s="5">
        <f>MONTH(Table1[[#This Row],[Date]])</f>
        <v>2</v>
      </c>
      <c r="E396" s="5">
        <f>WEEKNUM(Table1[[#This Row],[Date]])</f>
        <v>6</v>
      </c>
      <c r="F396" s="5">
        <f>YEAR(Table1[[#This Row],[Date]])</f>
        <v>2021</v>
      </c>
      <c r="G396">
        <v>162</v>
      </c>
      <c r="L396" s="5">
        <v>180</v>
      </c>
      <c r="M396" s="6">
        <v>0.96260000000000001</v>
      </c>
      <c r="N396" s="5">
        <v>7</v>
      </c>
      <c r="O396" s="7">
        <v>3.0092592592592595E-4</v>
      </c>
      <c r="P396" s="7">
        <v>1.6435185185185185E-3</v>
      </c>
      <c r="Q396" s="7">
        <v>4.1203703703703706E-3</v>
      </c>
      <c r="R396" s="6">
        <v>0.65590000000000004</v>
      </c>
      <c r="S396" s="8">
        <f>CONVERT(Table1[[#This Row],[Talk Duration (AVG)]]*Table1[[#This Row],[Answered Calls]],"day","hr")</f>
        <v>7.1</v>
      </c>
      <c r="T396" s="9">
        <f>Table1[[#This Row],[Actual Workload hours]]*60</f>
        <v>426</v>
      </c>
      <c r="U396" s="9">
        <f>CONVERT(Table1[[#This Row],[Actual]]*Table1[[#This Row],[Talk Duration (AVG)]],"day","hr")</f>
        <v>6.39</v>
      </c>
      <c r="V396" s="10">
        <f>Table1[[#This Row],[Required Workload Hours]]*60</f>
        <v>383.4</v>
      </c>
      <c r="W396" s="9">
        <v>1.1100000000000001</v>
      </c>
      <c r="X396" s="9">
        <f t="shared" si="12"/>
        <v>1</v>
      </c>
      <c r="Y396" s="5">
        <f t="shared" si="13"/>
        <v>2</v>
      </c>
      <c r="Z396" s="8">
        <f>ROUNDUP(Table1[[#This Row],[Actual Heacount]],0)</f>
        <v>2</v>
      </c>
      <c r="AA396" s="8"/>
      <c r="AB396" s="10"/>
      <c r="AC396" s="10"/>
      <c r="AD396" s="10"/>
      <c r="AE396" s="11">
        <v>44.641805805763198</v>
      </c>
      <c r="AF396" s="11">
        <v>264.13688311064749</v>
      </c>
      <c r="AG396" t="s">
        <v>34</v>
      </c>
    </row>
    <row r="397" spans="1:33">
      <c r="A397" s="2">
        <v>44230</v>
      </c>
      <c r="B397" s="5" t="s">
        <v>37</v>
      </c>
      <c r="C397" s="5">
        <f>WEEKDAY(Table1[[#This Row],[Date]])</f>
        <v>4</v>
      </c>
      <c r="D397" s="5">
        <f>MONTH(Table1[[#This Row],[Date]])</f>
        <v>2</v>
      </c>
      <c r="E397" s="5">
        <f>WEEKNUM(Table1[[#This Row],[Date]])</f>
        <v>6</v>
      </c>
      <c r="F397" s="5">
        <f>YEAR(Table1[[#This Row],[Date]])</f>
        <v>2021</v>
      </c>
      <c r="G397">
        <v>177</v>
      </c>
      <c r="L397" s="5">
        <v>138</v>
      </c>
      <c r="M397" s="6">
        <v>0.93879999999999997</v>
      </c>
      <c r="N397" s="5">
        <v>9</v>
      </c>
      <c r="O397" s="7">
        <v>3.0092592592592595E-4</v>
      </c>
      <c r="P397" s="7">
        <v>1.6666666666666668E-3</v>
      </c>
      <c r="Q397" s="7">
        <v>3.6921296296296298E-3</v>
      </c>
      <c r="R397" s="6">
        <v>0.61380000000000001</v>
      </c>
      <c r="S397" s="8">
        <f>CONVERT(Table1[[#This Row],[Talk Duration (AVG)]]*Table1[[#This Row],[Answered Calls]],"day","hr")</f>
        <v>5.52</v>
      </c>
      <c r="T397" s="9">
        <f>Table1[[#This Row],[Actual Workload hours]]*60</f>
        <v>331.2</v>
      </c>
      <c r="U397" s="9">
        <f>CONVERT(Table1[[#This Row],[Actual]]*Table1[[#This Row],[Talk Duration (AVG)]],"day","hr")</f>
        <v>7.080000000000001</v>
      </c>
      <c r="V397" s="10">
        <f>Table1[[#This Row],[Required Workload Hours]]*60</f>
        <v>424.80000000000007</v>
      </c>
      <c r="W397" s="9">
        <v>1</v>
      </c>
      <c r="X397" s="9">
        <f t="shared" si="12"/>
        <v>1.1062500000000002</v>
      </c>
      <c r="Y397" s="5">
        <f t="shared" si="13"/>
        <v>2</v>
      </c>
      <c r="Z397" s="8">
        <f>ROUNDUP(Table1[[#This Row],[Actual Heacount]],0)</f>
        <v>1</v>
      </c>
      <c r="AA397" s="8"/>
      <c r="AB397" s="10"/>
      <c r="AC397" s="10"/>
      <c r="AD397" s="10"/>
      <c r="AE397" s="11">
        <v>59.805581813862197</v>
      </c>
      <c r="AF397" s="11">
        <v>286.13257057426222</v>
      </c>
      <c r="AG397" t="s">
        <v>34</v>
      </c>
    </row>
    <row r="398" spans="1:33">
      <c r="A398" s="2">
        <v>44231</v>
      </c>
      <c r="B398" s="5" t="s">
        <v>38</v>
      </c>
      <c r="C398" s="5">
        <f>WEEKDAY(Table1[[#This Row],[Date]])</f>
        <v>5</v>
      </c>
      <c r="D398" s="5">
        <f>MONTH(Table1[[#This Row],[Date]])</f>
        <v>2</v>
      </c>
      <c r="E398" s="5">
        <f>WEEKNUM(Table1[[#This Row],[Date]])</f>
        <v>6</v>
      </c>
      <c r="F398" s="5">
        <f>YEAR(Table1[[#This Row],[Date]])</f>
        <v>2021</v>
      </c>
      <c r="G398">
        <v>43</v>
      </c>
      <c r="L398" s="5">
        <v>35</v>
      </c>
      <c r="M398" s="6">
        <v>1</v>
      </c>
      <c r="N398" s="5">
        <v>0</v>
      </c>
      <c r="O398" s="7">
        <v>9.2592592592592588E-5</v>
      </c>
      <c r="P398" s="7">
        <v>1.5046296296296296E-3</v>
      </c>
      <c r="Q398" s="7">
        <v>5.4398148148148144E-4</v>
      </c>
      <c r="R398" s="6">
        <v>0.88570000000000004</v>
      </c>
      <c r="S398" s="8">
        <f>CONVERT(Table1[[#This Row],[Talk Duration (AVG)]]*Table1[[#This Row],[Answered Calls]],"day","hr")</f>
        <v>1.2638888888888888</v>
      </c>
      <c r="T398" s="9">
        <f>Table1[[#This Row],[Actual Workload hours]]*60</f>
        <v>75.833333333333329</v>
      </c>
      <c r="U398" s="9">
        <f>CONVERT(Table1[[#This Row],[Actual]]*Table1[[#This Row],[Talk Duration (AVG)]],"day","hr")</f>
        <v>1.5527777777777778</v>
      </c>
      <c r="V398" s="10">
        <f>Table1[[#This Row],[Required Workload Hours]]*60</f>
        <v>93.166666666666671</v>
      </c>
      <c r="W398" s="9">
        <v>1</v>
      </c>
      <c r="X398" s="9">
        <f t="shared" si="12"/>
        <v>1</v>
      </c>
      <c r="Y398" s="5">
        <f t="shared" si="13"/>
        <v>1</v>
      </c>
      <c r="Z398" s="8">
        <f>ROUNDUP(Table1[[#This Row],[Actual Heacount]],0)</f>
        <v>1</v>
      </c>
      <c r="AA398" s="8"/>
      <c r="AB398" s="10"/>
      <c r="AC398" s="10"/>
      <c r="AD398" s="10"/>
      <c r="AE398" s="11">
        <v>50.905440427645907</v>
      </c>
      <c r="AF398" s="11">
        <v>271.89770335415261</v>
      </c>
      <c r="AG398" t="s">
        <v>34</v>
      </c>
    </row>
    <row r="399" spans="1:33">
      <c r="A399" s="2">
        <v>44232</v>
      </c>
      <c r="B399" s="5" t="s">
        <v>39</v>
      </c>
      <c r="C399" s="5">
        <f>WEEKDAY(Table1[[#This Row],[Date]])</f>
        <v>6</v>
      </c>
      <c r="D399" s="5">
        <f>MONTH(Table1[[#This Row],[Date]])</f>
        <v>2</v>
      </c>
      <c r="E399" s="5">
        <f>WEEKNUM(Table1[[#This Row],[Date]])</f>
        <v>6</v>
      </c>
      <c r="F399" s="5">
        <f>YEAR(Table1[[#This Row],[Date]])</f>
        <v>2021</v>
      </c>
      <c r="G399">
        <v>24</v>
      </c>
      <c r="L399" s="5">
        <v>194</v>
      </c>
      <c r="M399" s="6">
        <v>0.93269999999999997</v>
      </c>
      <c r="N399" s="5">
        <v>14</v>
      </c>
      <c r="O399" s="7">
        <v>4.0509259259259258E-4</v>
      </c>
      <c r="P399" s="7">
        <v>1.6898148148148148E-3</v>
      </c>
      <c r="Q399" s="7">
        <v>3.0787037037037037E-3</v>
      </c>
      <c r="R399" s="6">
        <v>0.56930000000000003</v>
      </c>
      <c r="S399" s="8">
        <f>CONVERT(Table1[[#This Row],[Talk Duration (AVG)]]*Table1[[#This Row],[Answered Calls]],"day","hr")</f>
        <v>7.8677777777777766</v>
      </c>
      <c r="T399" s="9">
        <f>Table1[[#This Row],[Actual Workload hours]]*60</f>
        <v>472.06666666666661</v>
      </c>
      <c r="U399" s="9">
        <f>CONVERT(Table1[[#This Row],[Actual]]*Table1[[#This Row],[Talk Duration (AVG)]],"day","hr")</f>
        <v>0.97333333333333338</v>
      </c>
      <c r="V399" s="10">
        <f>Table1[[#This Row],[Required Workload Hours]]*60</f>
        <v>58.400000000000006</v>
      </c>
      <c r="W399" s="9">
        <v>1.23</v>
      </c>
      <c r="X399" s="9">
        <f t="shared" si="12"/>
        <v>1</v>
      </c>
      <c r="Y399" s="5">
        <f t="shared" si="13"/>
        <v>2</v>
      </c>
      <c r="Z399" s="8">
        <f>ROUNDUP(Table1[[#This Row],[Actual Heacount]],0)</f>
        <v>2</v>
      </c>
      <c r="AA399" s="8"/>
      <c r="AB399" s="10"/>
      <c r="AC399" s="10"/>
      <c r="AD399" s="10"/>
      <c r="AE399" s="11">
        <v>51.211986080170028</v>
      </c>
      <c r="AF399" s="11">
        <v>267.21012434555178</v>
      </c>
      <c r="AG399" t="s">
        <v>34</v>
      </c>
    </row>
    <row r="400" spans="1:33">
      <c r="A400" s="2">
        <v>44233</v>
      </c>
      <c r="B400" s="5" t="s">
        <v>40</v>
      </c>
      <c r="C400" s="5">
        <f>WEEKDAY(Table1[[#This Row],[Date]])</f>
        <v>7</v>
      </c>
      <c r="D400" s="5">
        <f>MONTH(Table1[[#This Row],[Date]])</f>
        <v>2</v>
      </c>
      <c r="E400" s="5">
        <f>WEEKNUM(Table1[[#This Row],[Date]])</f>
        <v>6</v>
      </c>
      <c r="F400" s="5">
        <f>YEAR(Table1[[#This Row],[Date]])</f>
        <v>2021</v>
      </c>
      <c r="G400">
        <v>97</v>
      </c>
      <c r="L400" s="5">
        <v>155</v>
      </c>
      <c r="M400" s="6">
        <v>0.95679999999999998</v>
      </c>
      <c r="N400" s="5">
        <v>7</v>
      </c>
      <c r="O400" s="7">
        <v>2.199074074074074E-4</v>
      </c>
      <c r="P400" s="7">
        <v>1.5856481481481481E-3</v>
      </c>
      <c r="Q400" s="7">
        <v>2.5810185185185185E-3</v>
      </c>
      <c r="R400" s="6">
        <v>0.77990000000000004</v>
      </c>
      <c r="S400" s="8">
        <f>CONVERT(Table1[[#This Row],[Talk Duration (AVG)]]*Table1[[#This Row],[Answered Calls]],"day","hr")</f>
        <v>5.8986111111111112</v>
      </c>
      <c r="T400" s="9">
        <f>Table1[[#This Row],[Actual Workload hours]]*60</f>
        <v>353.91666666666669</v>
      </c>
      <c r="U400" s="9">
        <f>CONVERT(Table1[[#This Row],[Actual]]*Table1[[#This Row],[Talk Duration (AVG)]],"day","hr")</f>
        <v>3.6913888888888882</v>
      </c>
      <c r="V400" s="10">
        <f>Table1[[#This Row],[Required Workload Hours]]*60</f>
        <v>221.48333333333329</v>
      </c>
      <c r="W400" s="9">
        <v>1</v>
      </c>
      <c r="X400" s="9">
        <f t="shared" si="12"/>
        <v>1</v>
      </c>
      <c r="Y400" s="5">
        <f t="shared" si="13"/>
        <v>2</v>
      </c>
      <c r="Z400" s="8">
        <f>ROUNDUP(Table1[[#This Row],[Actual Heacount]],0)</f>
        <v>1</v>
      </c>
      <c r="AA400" s="8"/>
      <c r="AB400" s="10"/>
      <c r="AC400" s="10"/>
      <c r="AD400" s="10"/>
      <c r="AE400" s="11">
        <v>54.573448362755293</v>
      </c>
      <c r="AF400" s="11">
        <v>281.2221801502871</v>
      </c>
      <c r="AG400" t="s">
        <v>34</v>
      </c>
    </row>
    <row r="401" spans="1:33">
      <c r="A401" s="2">
        <v>44234</v>
      </c>
      <c r="B401" s="5" t="s">
        <v>33</v>
      </c>
      <c r="C401" s="5">
        <f>WEEKDAY(Table1[[#This Row],[Date]])</f>
        <v>1</v>
      </c>
      <c r="D401" s="5">
        <f>MONTH(Table1[[#This Row],[Date]])</f>
        <v>2</v>
      </c>
      <c r="E401" s="5">
        <f>WEEKNUM(Table1[[#This Row],[Date]])</f>
        <v>7</v>
      </c>
      <c r="F401" s="5">
        <f>YEAR(Table1[[#This Row],[Date]])</f>
        <v>2021</v>
      </c>
      <c r="G401">
        <v>145</v>
      </c>
      <c r="L401" s="5">
        <v>143</v>
      </c>
      <c r="M401" s="6">
        <v>0.94079999999999997</v>
      </c>
      <c r="N401" s="5">
        <v>9</v>
      </c>
      <c r="O401" s="7">
        <v>2.5462962962962961E-4</v>
      </c>
      <c r="P401" s="7">
        <v>1.712962962962963E-3</v>
      </c>
      <c r="Q401" s="7">
        <v>2.5578703703703705E-3</v>
      </c>
      <c r="R401" s="6">
        <v>0.7</v>
      </c>
      <c r="S401" s="8">
        <f>CONVERT(Table1[[#This Row],[Talk Duration (AVG)]]*Table1[[#This Row],[Answered Calls]],"day","hr")</f>
        <v>5.8788888888888886</v>
      </c>
      <c r="T401" s="9">
        <f>Table1[[#This Row],[Actual Workload hours]]*60</f>
        <v>352.73333333333329</v>
      </c>
      <c r="U401" s="9">
        <f>CONVERT(Table1[[#This Row],[Actual]]*Table1[[#This Row],[Talk Duration (AVG)]],"day","hr")</f>
        <v>5.9611111111111112</v>
      </c>
      <c r="V401" s="10">
        <f>Table1[[#This Row],[Required Workload Hours]]*60</f>
        <v>357.66666666666669</v>
      </c>
      <c r="W401" s="9">
        <v>1</v>
      </c>
      <c r="X401" s="9">
        <f t="shared" si="12"/>
        <v>1</v>
      </c>
      <c r="Y401" s="5">
        <f t="shared" si="13"/>
        <v>2</v>
      </c>
      <c r="Z401" s="8">
        <f>ROUNDUP(Table1[[#This Row],[Actual Heacount]],0)</f>
        <v>1</v>
      </c>
      <c r="AA401" s="8"/>
      <c r="AB401" s="10"/>
      <c r="AC401" s="10"/>
      <c r="AD401" s="10"/>
      <c r="AE401" s="11">
        <v>-25.045807276217939</v>
      </c>
      <c r="AF401" s="11">
        <v>195.148863658408</v>
      </c>
      <c r="AG401" t="s">
        <v>34</v>
      </c>
    </row>
    <row r="402" spans="1:33">
      <c r="A402" s="2">
        <v>44235</v>
      </c>
      <c r="B402" s="5" t="s">
        <v>35</v>
      </c>
      <c r="C402" s="5">
        <f>WEEKDAY(Table1[[#This Row],[Date]])</f>
        <v>2</v>
      </c>
      <c r="D402" s="5">
        <f>MONTH(Table1[[#This Row],[Date]])</f>
        <v>2</v>
      </c>
      <c r="E402" s="5">
        <f>WEEKNUM(Table1[[#This Row],[Date]])</f>
        <v>7</v>
      </c>
      <c r="F402" s="5">
        <f>YEAR(Table1[[#This Row],[Date]])</f>
        <v>2021</v>
      </c>
      <c r="G402">
        <v>182</v>
      </c>
      <c r="L402" s="5">
        <v>125</v>
      </c>
      <c r="M402" s="6">
        <v>0.94699999999999995</v>
      </c>
      <c r="N402" s="5">
        <v>7</v>
      </c>
      <c r="O402" s="7">
        <v>3.0092592592592595E-4</v>
      </c>
      <c r="P402" s="7">
        <v>1.4699074074074074E-3</v>
      </c>
      <c r="Q402" s="7">
        <v>2.685185185185185E-3</v>
      </c>
      <c r="R402" s="6">
        <v>0.68940000000000001</v>
      </c>
      <c r="S402" s="8">
        <f>CONVERT(Table1[[#This Row],[Talk Duration (AVG)]]*Table1[[#This Row],[Answered Calls]],"day","hr")</f>
        <v>4.4097222222222223</v>
      </c>
      <c r="T402" s="9">
        <f>Table1[[#This Row],[Actual Workload hours]]*60</f>
        <v>264.58333333333331</v>
      </c>
      <c r="U402" s="9">
        <f>CONVERT(Table1[[#This Row],[Actual]]*Table1[[#This Row],[Talk Duration (AVG)]],"day","hr")</f>
        <v>6.4205555555555556</v>
      </c>
      <c r="V402" s="10">
        <f>Table1[[#This Row],[Required Workload Hours]]*60</f>
        <v>385.23333333333335</v>
      </c>
      <c r="W402" s="9">
        <v>1</v>
      </c>
      <c r="X402" s="9">
        <f t="shared" si="12"/>
        <v>1.0032118055555557</v>
      </c>
      <c r="Y402" s="5">
        <f t="shared" si="13"/>
        <v>2</v>
      </c>
      <c r="Z402" s="8">
        <f>ROUNDUP(Table1[[#This Row],[Actual Heacount]],0)</f>
        <v>1</v>
      </c>
      <c r="AA402" s="8"/>
      <c r="AB402" s="10"/>
      <c r="AC402" s="10"/>
      <c r="AD402" s="10"/>
      <c r="AE402" s="11">
        <v>73.041640068756834</v>
      </c>
      <c r="AF402" s="11">
        <v>287.6801015453326</v>
      </c>
      <c r="AG402" t="s">
        <v>34</v>
      </c>
    </row>
    <row r="403" spans="1:33">
      <c r="A403" s="2">
        <v>44236</v>
      </c>
      <c r="B403" s="5" t="s">
        <v>36</v>
      </c>
      <c r="C403" s="5">
        <f>WEEKDAY(Table1[[#This Row],[Date]])</f>
        <v>3</v>
      </c>
      <c r="D403" s="5">
        <f>MONTH(Table1[[#This Row],[Date]])</f>
        <v>2</v>
      </c>
      <c r="E403" s="5">
        <f>WEEKNUM(Table1[[#This Row],[Date]])</f>
        <v>7</v>
      </c>
      <c r="F403" s="5">
        <f>YEAR(Table1[[#This Row],[Date]])</f>
        <v>2021</v>
      </c>
      <c r="G403">
        <v>110</v>
      </c>
      <c r="L403" s="5">
        <v>131</v>
      </c>
      <c r="M403" s="6">
        <v>0.98499999999999999</v>
      </c>
      <c r="N403" s="5">
        <v>2</v>
      </c>
      <c r="O403" s="7">
        <v>1.3888888888888889E-4</v>
      </c>
      <c r="P403" s="7">
        <v>1.6087962962962963E-3</v>
      </c>
      <c r="Q403" s="7">
        <v>9.1435185185185185E-4</v>
      </c>
      <c r="R403" s="6">
        <v>0.87119999999999997</v>
      </c>
      <c r="S403" s="8">
        <f>CONVERT(Table1[[#This Row],[Talk Duration (AVG)]]*Table1[[#This Row],[Answered Calls]],"day","hr")</f>
        <v>5.0580555555555557</v>
      </c>
      <c r="T403" s="9">
        <f>Table1[[#This Row],[Actual Workload hours]]*60</f>
        <v>303.48333333333335</v>
      </c>
      <c r="U403" s="9">
        <f>CONVERT(Table1[[#This Row],[Actual]]*Table1[[#This Row],[Talk Duration (AVG)]],"day","hr")</f>
        <v>4.2472222222222218</v>
      </c>
      <c r="V403" s="10">
        <f>Table1[[#This Row],[Required Workload Hours]]*60</f>
        <v>254.83333333333331</v>
      </c>
      <c r="W403" s="9">
        <v>1</v>
      </c>
      <c r="X403" s="9">
        <f t="shared" si="12"/>
        <v>1</v>
      </c>
      <c r="Y403" s="5">
        <f t="shared" si="13"/>
        <v>2</v>
      </c>
      <c r="Z403" s="8">
        <f>ROUNDUP(Table1[[#This Row],[Actual Heacount]],0)</f>
        <v>1</v>
      </c>
      <c r="AA403" s="8"/>
      <c r="AB403" s="10"/>
      <c r="AC403" s="10"/>
      <c r="AD403" s="10"/>
      <c r="AE403" s="11">
        <v>60.762599301722737</v>
      </c>
      <c r="AF403" s="11">
        <v>278.44209612811511</v>
      </c>
      <c r="AG403" t="s">
        <v>34</v>
      </c>
    </row>
    <row r="404" spans="1:33">
      <c r="A404" s="2">
        <v>44237</v>
      </c>
      <c r="B404" s="5" t="s">
        <v>37</v>
      </c>
      <c r="C404" s="5">
        <f>WEEKDAY(Table1[[#This Row],[Date]])</f>
        <v>4</v>
      </c>
      <c r="D404" s="5">
        <f>MONTH(Table1[[#This Row],[Date]])</f>
        <v>2</v>
      </c>
      <c r="E404" s="5">
        <f>WEEKNUM(Table1[[#This Row],[Date]])</f>
        <v>7</v>
      </c>
      <c r="F404" s="5">
        <f>YEAR(Table1[[#This Row],[Date]])</f>
        <v>2021</v>
      </c>
      <c r="G404">
        <v>128</v>
      </c>
      <c r="L404" s="5">
        <v>121</v>
      </c>
      <c r="M404" s="6">
        <v>0.93799999999999994</v>
      </c>
      <c r="N404" s="5">
        <v>8</v>
      </c>
      <c r="O404" s="7">
        <v>3.8194444444444446E-4</v>
      </c>
      <c r="P404" s="7">
        <v>1.8171296296296297E-3</v>
      </c>
      <c r="Q404" s="7">
        <v>2.7893518518518519E-3</v>
      </c>
      <c r="R404" s="6">
        <v>0.61419999999999997</v>
      </c>
      <c r="S404" s="8">
        <f>CONVERT(Table1[[#This Row],[Talk Duration (AVG)]]*Table1[[#This Row],[Answered Calls]],"day","hr")</f>
        <v>5.2769444444444442</v>
      </c>
      <c r="T404" s="9">
        <f>Table1[[#This Row],[Actual Workload hours]]*60</f>
        <v>316.61666666666667</v>
      </c>
      <c r="U404" s="9">
        <f>CONVERT(Table1[[#This Row],[Actual]]*Table1[[#This Row],[Talk Duration (AVG)]],"day","hr")</f>
        <v>5.5822222222222226</v>
      </c>
      <c r="V404" s="10">
        <f>Table1[[#This Row],[Required Workload Hours]]*60</f>
        <v>334.93333333333334</v>
      </c>
      <c r="W404" s="9">
        <v>1</v>
      </c>
      <c r="X404" s="9">
        <f t="shared" si="12"/>
        <v>1</v>
      </c>
      <c r="Y404" s="5">
        <f t="shared" si="13"/>
        <v>2</v>
      </c>
      <c r="Z404" s="8">
        <f>ROUNDUP(Table1[[#This Row],[Actual Heacount]],0)</f>
        <v>1</v>
      </c>
      <c r="AA404" s="8"/>
      <c r="AB404" s="10"/>
      <c r="AC404" s="10"/>
      <c r="AD404" s="10"/>
      <c r="AE404" s="11">
        <v>72.669208247762043</v>
      </c>
      <c r="AF404" s="11">
        <v>298.48732522723031</v>
      </c>
      <c r="AG404" t="s">
        <v>34</v>
      </c>
    </row>
    <row r="405" spans="1:33">
      <c r="A405" s="2">
        <v>44238</v>
      </c>
      <c r="B405" s="5" t="s">
        <v>38</v>
      </c>
      <c r="C405" s="5">
        <f>WEEKDAY(Table1[[#This Row],[Date]])</f>
        <v>5</v>
      </c>
      <c r="D405" s="5">
        <f>MONTH(Table1[[#This Row],[Date]])</f>
        <v>2</v>
      </c>
      <c r="E405" s="5">
        <f>WEEKNUM(Table1[[#This Row],[Date]])</f>
        <v>7</v>
      </c>
      <c r="F405" s="5">
        <f>YEAR(Table1[[#This Row],[Date]])</f>
        <v>2021</v>
      </c>
      <c r="G405">
        <v>190</v>
      </c>
      <c r="L405" s="5">
        <v>35</v>
      </c>
      <c r="M405" s="6">
        <v>0.94589999999999996</v>
      </c>
      <c r="N405" s="5">
        <v>2</v>
      </c>
      <c r="O405" s="7">
        <v>2.199074074074074E-4</v>
      </c>
      <c r="P405" s="7">
        <v>1.6319444444444445E-3</v>
      </c>
      <c r="Q405" s="7">
        <v>1.0648148148148149E-3</v>
      </c>
      <c r="R405" s="6">
        <v>0.75680000000000003</v>
      </c>
      <c r="S405" s="8">
        <f>CONVERT(Table1[[#This Row],[Talk Duration (AVG)]]*Table1[[#This Row],[Answered Calls]],"day","hr")</f>
        <v>1.3708333333333333</v>
      </c>
      <c r="T405" s="9">
        <f>Table1[[#This Row],[Actual Workload hours]]*60</f>
        <v>82.25</v>
      </c>
      <c r="U405" s="9">
        <f>CONVERT(Table1[[#This Row],[Actual]]*Table1[[#This Row],[Talk Duration (AVG)]],"day","hr")</f>
        <v>7.4416666666666664</v>
      </c>
      <c r="V405" s="10">
        <f>Table1[[#This Row],[Required Workload Hours]]*60</f>
        <v>446.5</v>
      </c>
      <c r="W405" s="9">
        <v>1</v>
      </c>
      <c r="X405" s="9">
        <f t="shared" si="12"/>
        <v>1.1627604166666667</v>
      </c>
      <c r="Y405" s="5">
        <f t="shared" si="13"/>
        <v>1</v>
      </c>
      <c r="Z405" s="8">
        <f>ROUNDUP(Table1[[#This Row],[Actual Heacount]],0)</f>
        <v>1</v>
      </c>
      <c r="AA405" s="8"/>
      <c r="AB405" s="10"/>
      <c r="AC405" s="10"/>
      <c r="AD405" s="10"/>
      <c r="AE405" s="11">
        <v>72.67390140546712</v>
      </c>
      <c r="AF405" s="11">
        <v>290.06875392755938</v>
      </c>
      <c r="AG405" t="s">
        <v>34</v>
      </c>
    </row>
    <row r="406" spans="1:33">
      <c r="A406" s="2">
        <v>44239</v>
      </c>
      <c r="B406" s="5" t="s">
        <v>39</v>
      </c>
      <c r="C406" s="5">
        <f>WEEKDAY(Table1[[#This Row],[Date]])</f>
        <v>6</v>
      </c>
      <c r="D406" s="5">
        <f>MONTH(Table1[[#This Row],[Date]])</f>
        <v>2</v>
      </c>
      <c r="E406" s="5">
        <f>WEEKNUM(Table1[[#This Row],[Date]])</f>
        <v>7</v>
      </c>
      <c r="F406" s="5">
        <f>YEAR(Table1[[#This Row],[Date]])</f>
        <v>2021</v>
      </c>
      <c r="G406">
        <v>282</v>
      </c>
      <c r="L406" s="5">
        <v>54</v>
      </c>
      <c r="M406" s="6">
        <v>0.96430000000000005</v>
      </c>
      <c r="N406" s="5">
        <v>2</v>
      </c>
      <c r="O406" s="7">
        <v>1.5046296296296297E-4</v>
      </c>
      <c r="P406" s="7">
        <v>1.7708333333333332E-3</v>
      </c>
      <c r="Q406" s="7">
        <v>1.5393518518518519E-3</v>
      </c>
      <c r="R406" s="6">
        <v>0.87270000000000003</v>
      </c>
      <c r="S406" s="8">
        <f>CONVERT(Table1[[#This Row],[Talk Duration (AVG)]]*Table1[[#This Row],[Answered Calls]],"day","hr")</f>
        <v>2.2949999999999999</v>
      </c>
      <c r="T406" s="9">
        <f>Table1[[#This Row],[Actual Workload hours]]*60</f>
        <v>137.69999999999999</v>
      </c>
      <c r="U406" s="9">
        <f>CONVERT(Table1[[#This Row],[Actual]]*Table1[[#This Row],[Talk Duration (AVG)]],"day","hr")</f>
        <v>11.984999999999998</v>
      </c>
      <c r="V406" s="10">
        <f>Table1[[#This Row],[Required Workload Hours]]*60</f>
        <v>719.09999999999991</v>
      </c>
      <c r="W406" s="9">
        <v>1</v>
      </c>
      <c r="X406" s="9">
        <f t="shared" si="12"/>
        <v>1.8726562499999997</v>
      </c>
      <c r="Y406" s="5">
        <f t="shared" si="13"/>
        <v>2</v>
      </c>
      <c r="Z406" s="8">
        <f>ROUNDUP(Table1[[#This Row],[Actual Heacount]],0)</f>
        <v>1</v>
      </c>
      <c r="AA406" s="8"/>
      <c r="AB406" s="10"/>
      <c r="AC406" s="10"/>
      <c r="AD406" s="10"/>
      <c r="AE406" s="11">
        <v>64.450687078617122</v>
      </c>
      <c r="AF406" s="11">
        <v>288.06602860338802</v>
      </c>
      <c r="AG406" t="s">
        <v>34</v>
      </c>
    </row>
    <row r="407" spans="1:33">
      <c r="A407" s="2">
        <v>44240</v>
      </c>
      <c r="B407" s="5" t="s">
        <v>40</v>
      </c>
      <c r="C407" s="5">
        <f>WEEKDAY(Table1[[#This Row],[Date]])</f>
        <v>7</v>
      </c>
      <c r="D407" s="5">
        <f>MONTH(Table1[[#This Row],[Date]])</f>
        <v>2</v>
      </c>
      <c r="E407" s="5">
        <f>WEEKNUM(Table1[[#This Row],[Date]])</f>
        <v>7</v>
      </c>
      <c r="F407" s="5">
        <f>YEAR(Table1[[#This Row],[Date]])</f>
        <v>2021</v>
      </c>
      <c r="G407">
        <v>132</v>
      </c>
      <c r="L407" s="5">
        <v>210</v>
      </c>
      <c r="M407" s="6">
        <v>0.97670000000000001</v>
      </c>
      <c r="N407" s="5">
        <v>5</v>
      </c>
      <c r="O407" s="7">
        <v>1.3888888888888889E-4</v>
      </c>
      <c r="P407" s="7">
        <v>1.0879629629629629E-3</v>
      </c>
      <c r="Q407" s="7">
        <v>1.1805555555555556E-3</v>
      </c>
      <c r="R407" s="6">
        <v>0.87739999999999996</v>
      </c>
      <c r="S407" s="8">
        <f>CONVERT(Table1[[#This Row],[Talk Duration (AVG)]]*Table1[[#This Row],[Answered Calls]],"day","hr")</f>
        <v>5.4833333333333334</v>
      </c>
      <c r="T407" s="9">
        <f>Table1[[#This Row],[Actual Workload hours]]*60</f>
        <v>329</v>
      </c>
      <c r="U407" s="9">
        <f>CONVERT(Table1[[#This Row],[Actual]]*Table1[[#This Row],[Talk Duration (AVG)]],"day","hr")</f>
        <v>3.4466666666666668</v>
      </c>
      <c r="V407" s="10">
        <f>Table1[[#This Row],[Required Workload Hours]]*60</f>
        <v>206.8</v>
      </c>
      <c r="W407" s="9">
        <v>1</v>
      </c>
      <c r="X407" s="9">
        <f t="shared" si="12"/>
        <v>1</v>
      </c>
      <c r="Y407" s="5">
        <f t="shared" si="13"/>
        <v>2</v>
      </c>
      <c r="Z407" s="8">
        <f>ROUNDUP(Table1[[#This Row],[Actual Heacount]],0)</f>
        <v>1</v>
      </c>
      <c r="AA407" s="8"/>
      <c r="AB407" s="10"/>
      <c r="AC407" s="10"/>
      <c r="AD407" s="10"/>
      <c r="AE407" s="11">
        <v>72.876537553619443</v>
      </c>
      <c r="AF407" s="11">
        <v>290.82356259888797</v>
      </c>
      <c r="AG407" t="s">
        <v>34</v>
      </c>
    </row>
    <row r="408" spans="1:33">
      <c r="A408" s="2">
        <v>44241</v>
      </c>
      <c r="B408" s="5" t="s">
        <v>33</v>
      </c>
      <c r="C408" s="5">
        <f>WEEKDAY(Table1[[#This Row],[Date]])</f>
        <v>1</v>
      </c>
      <c r="D408" s="5">
        <f>MONTH(Table1[[#This Row],[Date]])</f>
        <v>2</v>
      </c>
      <c r="E408" s="5">
        <f>WEEKNUM(Table1[[#This Row],[Date]])</f>
        <v>8</v>
      </c>
      <c r="F408" s="5">
        <f>YEAR(Table1[[#This Row],[Date]])</f>
        <v>2021</v>
      </c>
      <c r="G408">
        <v>30</v>
      </c>
      <c r="L408" s="5">
        <v>46</v>
      </c>
      <c r="M408" s="6">
        <v>0.92</v>
      </c>
      <c r="N408" s="5">
        <v>4</v>
      </c>
      <c r="O408" s="7">
        <v>1.6203703703703703E-4</v>
      </c>
      <c r="P408" s="7">
        <v>1.8749999999999999E-3</v>
      </c>
      <c r="Q408" s="7">
        <v>8.4490740740740739E-4</v>
      </c>
      <c r="R408" s="6">
        <v>0.72</v>
      </c>
      <c r="S408" s="8">
        <f>CONVERT(Table1[[#This Row],[Talk Duration (AVG)]]*Table1[[#This Row],[Answered Calls]],"day","hr")</f>
        <v>2.0699999999999998</v>
      </c>
      <c r="T408" s="9">
        <f>Table1[[#This Row],[Actual Workload hours]]*60</f>
        <v>124.19999999999999</v>
      </c>
      <c r="U408" s="9">
        <f>CONVERT(Table1[[#This Row],[Actual]]*Table1[[#This Row],[Talk Duration (AVG)]],"day","hr")</f>
        <v>1.3499999999999996</v>
      </c>
      <c r="V408" s="10">
        <f>Table1[[#This Row],[Required Workload Hours]]*60</f>
        <v>80.999999999999972</v>
      </c>
      <c r="W408" s="9">
        <v>1</v>
      </c>
      <c r="X408" s="9">
        <f t="shared" si="12"/>
        <v>1</v>
      </c>
      <c r="Y408" s="5">
        <f t="shared" si="13"/>
        <v>2</v>
      </c>
      <c r="Z408" s="8">
        <f>ROUNDUP(Table1[[#This Row],[Actual Heacount]],0)</f>
        <v>1</v>
      </c>
      <c r="AA408" s="8"/>
      <c r="AB408" s="10"/>
      <c r="AC408" s="10"/>
      <c r="AD408" s="10"/>
      <c r="AE408" s="11">
        <v>-8.78405207773279</v>
      </c>
      <c r="AF408" s="11">
        <v>224.3434653838745</v>
      </c>
      <c r="AG408" t="s">
        <v>34</v>
      </c>
    </row>
    <row r="409" spans="1:33">
      <c r="A409" s="2">
        <v>44242</v>
      </c>
      <c r="B409" s="5" t="s">
        <v>35</v>
      </c>
      <c r="C409" s="5">
        <f>WEEKDAY(Table1[[#This Row],[Date]])</f>
        <v>2</v>
      </c>
      <c r="D409" s="5">
        <f>MONTH(Table1[[#This Row],[Date]])</f>
        <v>2</v>
      </c>
      <c r="E409" s="5">
        <f>WEEKNUM(Table1[[#This Row],[Date]])</f>
        <v>8</v>
      </c>
      <c r="F409" s="5">
        <f>YEAR(Table1[[#This Row],[Date]])</f>
        <v>2021</v>
      </c>
      <c r="G409">
        <v>150</v>
      </c>
      <c r="L409" s="5">
        <v>129</v>
      </c>
      <c r="M409" s="6">
        <v>0.94850000000000001</v>
      </c>
      <c r="N409" s="5">
        <v>7</v>
      </c>
      <c r="O409" s="7">
        <v>2.5462962962962961E-4</v>
      </c>
      <c r="P409" s="7">
        <v>1.6898148148148148E-3</v>
      </c>
      <c r="Q409" s="7">
        <v>1.736111111111111E-3</v>
      </c>
      <c r="R409" s="6">
        <v>0.66420000000000001</v>
      </c>
      <c r="S409" s="8">
        <f>CONVERT(Table1[[#This Row],[Talk Duration (AVG)]]*Table1[[#This Row],[Answered Calls]],"day","hr")</f>
        <v>5.2316666666666665</v>
      </c>
      <c r="T409" s="9">
        <f>Table1[[#This Row],[Actual Workload hours]]*60</f>
        <v>313.89999999999998</v>
      </c>
      <c r="U409" s="9">
        <f>CONVERT(Table1[[#This Row],[Actual]]*Table1[[#This Row],[Talk Duration (AVG)]],"day","hr")</f>
        <v>6.083333333333333</v>
      </c>
      <c r="V409" s="10">
        <f>Table1[[#This Row],[Required Workload Hours]]*60</f>
        <v>365</v>
      </c>
      <c r="W409" s="9">
        <v>1</v>
      </c>
      <c r="X409" s="9">
        <f t="shared" si="12"/>
        <v>1</v>
      </c>
      <c r="Y409" s="5">
        <f t="shared" si="13"/>
        <v>2</v>
      </c>
      <c r="Z409" s="8">
        <f>ROUNDUP(Table1[[#This Row],[Actual Heacount]],0)</f>
        <v>1</v>
      </c>
      <c r="AA409" s="8"/>
      <c r="AB409" s="10"/>
      <c r="AC409" s="10"/>
      <c r="AD409" s="10"/>
      <c r="AE409" s="11">
        <v>91.640552446852922</v>
      </c>
      <c r="AF409" s="11">
        <v>316.80767105839118</v>
      </c>
      <c r="AG409" t="s">
        <v>34</v>
      </c>
    </row>
    <row r="410" spans="1:33">
      <c r="A410" s="2">
        <v>44243</v>
      </c>
      <c r="B410" s="5" t="s">
        <v>36</v>
      </c>
      <c r="C410" s="5">
        <f>WEEKDAY(Table1[[#This Row],[Date]])</f>
        <v>3</v>
      </c>
      <c r="D410" s="5">
        <f>MONTH(Table1[[#This Row],[Date]])</f>
        <v>2</v>
      </c>
      <c r="E410" s="5">
        <f>WEEKNUM(Table1[[#This Row],[Date]])</f>
        <v>8</v>
      </c>
      <c r="F410" s="5">
        <f>YEAR(Table1[[#This Row],[Date]])</f>
        <v>2021</v>
      </c>
      <c r="G410">
        <v>160</v>
      </c>
      <c r="L410" s="5">
        <v>142</v>
      </c>
      <c r="M410" s="6">
        <v>0.88749999999999996</v>
      </c>
      <c r="N410" s="5">
        <v>18</v>
      </c>
      <c r="O410" s="7">
        <v>4.0509259259259258E-4</v>
      </c>
      <c r="P410" s="7">
        <v>1.7824074074074075E-3</v>
      </c>
      <c r="Q410" s="7">
        <v>2.1990740740740742E-3</v>
      </c>
      <c r="R410" s="6">
        <v>0.55920000000000003</v>
      </c>
      <c r="S410" s="8">
        <f>CONVERT(Table1[[#This Row],[Talk Duration (AVG)]]*Table1[[#This Row],[Answered Calls]],"day","hr")</f>
        <v>6.0744444444444445</v>
      </c>
      <c r="T410" s="9">
        <f>Table1[[#This Row],[Actual Workload hours]]*60</f>
        <v>364.4666666666667</v>
      </c>
      <c r="U410" s="9">
        <f>CONVERT(Table1[[#This Row],[Actual]]*Table1[[#This Row],[Talk Duration (AVG)]],"day","hr")</f>
        <v>6.8444444444444459</v>
      </c>
      <c r="V410" s="10">
        <f>Table1[[#This Row],[Required Workload Hours]]*60</f>
        <v>410.66666666666674</v>
      </c>
      <c r="W410" s="9">
        <v>1</v>
      </c>
      <c r="X410" s="9">
        <f t="shared" si="12"/>
        <v>1.0694444444444446</v>
      </c>
      <c r="Y410" s="5">
        <f t="shared" si="13"/>
        <v>2</v>
      </c>
      <c r="Z410" s="8">
        <f>ROUNDUP(Table1[[#This Row],[Actual Heacount]],0)</f>
        <v>1</v>
      </c>
      <c r="AA410" s="8"/>
      <c r="AB410" s="10"/>
      <c r="AC410" s="10"/>
      <c r="AD410" s="10"/>
      <c r="AE410" s="11">
        <v>86.151332762800962</v>
      </c>
      <c r="AF410" s="11">
        <v>308.78961922679429</v>
      </c>
      <c r="AG410" t="s">
        <v>34</v>
      </c>
    </row>
    <row r="411" spans="1:33">
      <c r="A411" s="2">
        <v>44244</v>
      </c>
      <c r="B411" s="5" t="s">
        <v>37</v>
      </c>
      <c r="C411" s="5">
        <f>WEEKDAY(Table1[[#This Row],[Date]])</f>
        <v>4</v>
      </c>
      <c r="D411" s="5">
        <f>MONTH(Table1[[#This Row],[Date]])</f>
        <v>2</v>
      </c>
      <c r="E411" s="5">
        <f>WEEKNUM(Table1[[#This Row],[Date]])</f>
        <v>8</v>
      </c>
      <c r="F411" s="5">
        <f>YEAR(Table1[[#This Row],[Date]])</f>
        <v>2021</v>
      </c>
      <c r="G411">
        <v>132</v>
      </c>
      <c r="L411" s="5">
        <v>115</v>
      </c>
      <c r="M411" s="6">
        <v>0.87119999999999997</v>
      </c>
      <c r="N411" s="5">
        <v>17</v>
      </c>
      <c r="O411" s="7">
        <v>4.1666666666666669E-4</v>
      </c>
      <c r="P411" s="7">
        <v>1.7013888888888888E-3</v>
      </c>
      <c r="Q411" s="7">
        <v>3.1828703703703702E-3</v>
      </c>
      <c r="R411" s="6">
        <v>0.4884</v>
      </c>
      <c r="S411" s="8">
        <f>CONVERT(Table1[[#This Row],[Talk Duration (AVG)]]*Table1[[#This Row],[Answered Calls]],"day","hr")</f>
        <v>4.6958333333333337</v>
      </c>
      <c r="T411" s="9">
        <f>Table1[[#This Row],[Actual Workload hours]]*60</f>
        <v>281.75</v>
      </c>
      <c r="U411" s="9">
        <f>CONVERT(Table1[[#This Row],[Actual]]*Table1[[#This Row],[Talk Duration (AVG)]],"day","hr")</f>
        <v>5.39</v>
      </c>
      <c r="V411" s="10">
        <f>Table1[[#This Row],[Required Workload Hours]]*60</f>
        <v>323.39999999999998</v>
      </c>
      <c r="W411" s="9">
        <v>1</v>
      </c>
      <c r="X411" s="9">
        <f t="shared" si="12"/>
        <v>1</v>
      </c>
      <c r="Y411" s="5">
        <f t="shared" si="13"/>
        <v>2</v>
      </c>
      <c r="Z411" s="8">
        <f>ROUNDUP(Table1[[#This Row],[Actual Heacount]],0)</f>
        <v>1</v>
      </c>
      <c r="AA411" s="8"/>
      <c r="AB411" s="10"/>
      <c r="AC411" s="10"/>
      <c r="AD411" s="10"/>
      <c r="AE411" s="11">
        <v>96.9288209008064</v>
      </c>
      <c r="AF411" s="11">
        <v>323.96936699373128</v>
      </c>
      <c r="AG411" t="s">
        <v>34</v>
      </c>
    </row>
    <row r="412" spans="1:33">
      <c r="A412" s="2">
        <v>44245</v>
      </c>
      <c r="B412" s="5" t="s">
        <v>38</v>
      </c>
      <c r="C412" s="5">
        <f>WEEKDAY(Table1[[#This Row],[Date]])</f>
        <v>5</v>
      </c>
      <c r="D412" s="5">
        <f>MONTH(Table1[[#This Row],[Date]])</f>
        <v>2</v>
      </c>
      <c r="E412" s="5">
        <f>WEEKNUM(Table1[[#This Row],[Date]])</f>
        <v>8</v>
      </c>
      <c r="F412" s="5">
        <f>YEAR(Table1[[#This Row],[Date]])</f>
        <v>2021</v>
      </c>
      <c r="G412">
        <v>161</v>
      </c>
      <c r="L412" s="5">
        <v>28</v>
      </c>
      <c r="M412" s="6">
        <v>0.93330000000000002</v>
      </c>
      <c r="N412" s="5">
        <v>2</v>
      </c>
      <c r="O412" s="7">
        <v>5.4398148148148144E-4</v>
      </c>
      <c r="P412" s="7">
        <v>1.8055555555555555E-3</v>
      </c>
      <c r="Q412" s="7">
        <v>1.6435185185185185E-3</v>
      </c>
      <c r="R412" s="6">
        <v>0.4</v>
      </c>
      <c r="S412" s="8">
        <f>CONVERT(Table1[[#This Row],[Talk Duration (AVG)]]*Table1[[#This Row],[Answered Calls]],"day","hr")</f>
        <v>1.2133333333333334</v>
      </c>
      <c r="T412" s="9">
        <f>Table1[[#This Row],[Actual Workload hours]]*60</f>
        <v>72.8</v>
      </c>
      <c r="U412" s="9">
        <f>CONVERT(Table1[[#This Row],[Actual]]*Table1[[#This Row],[Talk Duration (AVG)]],"day","hr")</f>
        <v>6.9766666666666657</v>
      </c>
      <c r="V412" s="10">
        <f>Table1[[#This Row],[Required Workload Hours]]*60</f>
        <v>418.59999999999997</v>
      </c>
      <c r="W412" s="9">
        <v>1</v>
      </c>
      <c r="X412" s="9">
        <f t="shared" si="12"/>
        <v>1.0901041666666667</v>
      </c>
      <c r="Y412" s="5">
        <f t="shared" si="13"/>
        <v>1</v>
      </c>
      <c r="Z412" s="8">
        <f>ROUNDUP(Table1[[#This Row],[Actual Heacount]],0)</f>
        <v>1</v>
      </c>
      <c r="AA412" s="8"/>
      <c r="AB412" s="10"/>
      <c r="AC412" s="10"/>
      <c r="AD412" s="10"/>
      <c r="AE412" s="11">
        <v>89.955078299911449</v>
      </c>
      <c r="AF412" s="11">
        <v>309.15631111300809</v>
      </c>
      <c r="AG412" t="s">
        <v>34</v>
      </c>
    </row>
    <row r="413" spans="1:33">
      <c r="A413" s="2">
        <v>44246</v>
      </c>
      <c r="B413" s="5" t="s">
        <v>39</v>
      </c>
      <c r="C413" s="5">
        <f>WEEKDAY(Table1[[#This Row],[Date]])</f>
        <v>6</v>
      </c>
      <c r="D413" s="5">
        <f>MONTH(Table1[[#This Row],[Date]])</f>
        <v>2</v>
      </c>
      <c r="E413" s="5">
        <f>WEEKNUM(Table1[[#This Row],[Date]])</f>
        <v>8</v>
      </c>
      <c r="F413" s="5">
        <f>YEAR(Table1[[#This Row],[Date]])</f>
        <v>2021</v>
      </c>
      <c r="G413">
        <v>156</v>
      </c>
      <c r="L413" s="5">
        <v>140</v>
      </c>
      <c r="M413" s="6">
        <v>0.93330000000000002</v>
      </c>
      <c r="N413" s="5">
        <v>10</v>
      </c>
      <c r="O413" s="7">
        <v>3.3564814814814812E-4</v>
      </c>
      <c r="P413" s="7">
        <v>1.7592592592592592E-3</v>
      </c>
      <c r="Q413" s="7">
        <v>1.5162037037037036E-3</v>
      </c>
      <c r="R413" s="6">
        <v>0.63090000000000002</v>
      </c>
      <c r="S413" s="8">
        <f>CONVERT(Table1[[#This Row],[Talk Duration (AVG)]]*Table1[[#This Row],[Answered Calls]],"day","hr")</f>
        <v>5.9111111111111114</v>
      </c>
      <c r="T413" s="9">
        <f>Table1[[#This Row],[Actual Workload hours]]*60</f>
        <v>354.66666666666669</v>
      </c>
      <c r="U413" s="9">
        <f>CONVERT(Table1[[#This Row],[Actual]]*Table1[[#This Row],[Talk Duration (AVG)]],"day","hr")</f>
        <v>6.5866666666666669</v>
      </c>
      <c r="V413" s="10">
        <f>Table1[[#This Row],[Required Workload Hours]]*60</f>
        <v>395.2</v>
      </c>
      <c r="W413" s="9">
        <v>1</v>
      </c>
      <c r="X413" s="9">
        <f t="shared" si="12"/>
        <v>1.0291666666666666</v>
      </c>
      <c r="Y413" s="5">
        <f t="shared" si="13"/>
        <v>2</v>
      </c>
      <c r="Z413" s="8">
        <f>ROUNDUP(Table1[[#This Row],[Actual Heacount]],0)</f>
        <v>1</v>
      </c>
      <c r="AA413" s="8"/>
      <c r="AB413" s="10"/>
      <c r="AC413" s="10"/>
      <c r="AD413" s="10"/>
      <c r="AE413" s="11">
        <v>96.005817345804118</v>
      </c>
      <c r="AF413" s="11">
        <v>312.53234528033238</v>
      </c>
      <c r="AG413" t="s">
        <v>34</v>
      </c>
    </row>
    <row r="414" spans="1:33">
      <c r="A414" s="2">
        <v>44247</v>
      </c>
      <c r="B414" s="5" t="s">
        <v>40</v>
      </c>
      <c r="C414" s="5">
        <f>WEEKDAY(Table1[[#This Row],[Date]])</f>
        <v>7</v>
      </c>
      <c r="D414" s="5">
        <f>MONTH(Table1[[#This Row],[Date]])</f>
        <v>2</v>
      </c>
      <c r="E414" s="5">
        <f>WEEKNUM(Table1[[#This Row],[Date]])</f>
        <v>8</v>
      </c>
      <c r="F414" s="5">
        <f>YEAR(Table1[[#This Row],[Date]])</f>
        <v>2021</v>
      </c>
      <c r="G414">
        <v>137</v>
      </c>
      <c r="L414" s="5">
        <v>144</v>
      </c>
      <c r="M414" s="6">
        <v>0.9</v>
      </c>
      <c r="N414" s="5">
        <v>16</v>
      </c>
      <c r="O414" s="7">
        <v>5.3240740740740744E-4</v>
      </c>
      <c r="P414" s="7">
        <v>1.8402777777777777E-3</v>
      </c>
      <c r="Q414" s="7">
        <v>3.0671296296296297E-3</v>
      </c>
      <c r="R414" s="6">
        <v>0.49680000000000002</v>
      </c>
      <c r="S414" s="8">
        <f>CONVERT(Table1[[#This Row],[Talk Duration (AVG)]]*Table1[[#This Row],[Answered Calls]],"day","hr")</f>
        <v>6.36</v>
      </c>
      <c r="T414" s="9">
        <f>Table1[[#This Row],[Actual Workload hours]]*60</f>
        <v>381.6</v>
      </c>
      <c r="U414" s="9">
        <f>CONVERT(Table1[[#This Row],[Actual]]*Table1[[#This Row],[Talk Duration (AVG)]],"day","hr")</f>
        <v>6.0508333333333333</v>
      </c>
      <c r="V414" s="10">
        <f>Table1[[#This Row],[Required Workload Hours]]*60</f>
        <v>363.05</v>
      </c>
      <c r="W414" s="9">
        <v>1</v>
      </c>
      <c r="X414" s="9">
        <f t="shared" si="12"/>
        <v>1</v>
      </c>
      <c r="Y414" s="5">
        <f t="shared" si="13"/>
        <v>2</v>
      </c>
      <c r="Z414" s="8">
        <f>ROUNDUP(Table1[[#This Row],[Actual Heacount]],0)</f>
        <v>1</v>
      </c>
      <c r="AA414" s="8"/>
      <c r="AB414" s="10"/>
      <c r="AC414" s="10"/>
      <c r="AD414" s="10"/>
      <c r="AE414" s="11">
        <v>95.241353037942034</v>
      </c>
      <c r="AF414" s="11">
        <v>307.27864750142157</v>
      </c>
      <c r="AG414" t="s">
        <v>34</v>
      </c>
    </row>
    <row r="415" spans="1:33">
      <c r="A415" s="2">
        <v>44248</v>
      </c>
      <c r="B415" s="5" t="s">
        <v>33</v>
      </c>
      <c r="C415" s="5">
        <f>WEEKDAY(Table1[[#This Row],[Date]])</f>
        <v>1</v>
      </c>
      <c r="D415" s="5">
        <f>MONTH(Table1[[#This Row],[Date]])</f>
        <v>2</v>
      </c>
      <c r="E415" s="5">
        <f>WEEKNUM(Table1[[#This Row],[Date]])</f>
        <v>9</v>
      </c>
      <c r="F415" s="5">
        <f>YEAR(Table1[[#This Row],[Date]])</f>
        <v>2021</v>
      </c>
      <c r="G415">
        <v>28</v>
      </c>
      <c r="L415" s="5">
        <v>122</v>
      </c>
      <c r="M415" s="6">
        <v>0.92420000000000002</v>
      </c>
      <c r="N415" s="5">
        <v>10</v>
      </c>
      <c r="O415" s="7">
        <v>4.2824074074074075E-4</v>
      </c>
      <c r="P415" s="7">
        <v>1.8287037037037037E-3</v>
      </c>
      <c r="Q415" s="7">
        <v>2.673611111111111E-3</v>
      </c>
      <c r="R415" s="6">
        <v>0.5</v>
      </c>
      <c r="S415" s="8">
        <f>CONVERT(Table1[[#This Row],[Talk Duration (AVG)]]*Table1[[#This Row],[Answered Calls]],"day","hr")</f>
        <v>5.3544444444444448</v>
      </c>
      <c r="T415" s="9">
        <f>Table1[[#This Row],[Actual Workload hours]]*60</f>
        <v>321.26666666666671</v>
      </c>
      <c r="U415" s="9">
        <f>CONVERT(Table1[[#This Row],[Actual]]*Table1[[#This Row],[Talk Duration (AVG)]],"day","hr")</f>
        <v>1.2288888888888889</v>
      </c>
      <c r="V415" s="10">
        <f>Table1[[#This Row],[Required Workload Hours]]*60</f>
        <v>73.733333333333334</v>
      </c>
      <c r="W415" s="9">
        <v>1</v>
      </c>
      <c r="X415" s="9">
        <f t="shared" si="12"/>
        <v>1</v>
      </c>
      <c r="Y415" s="5">
        <f t="shared" si="13"/>
        <v>2</v>
      </c>
      <c r="Z415" s="8">
        <f>ROUNDUP(Table1[[#This Row],[Actual Heacount]],0)</f>
        <v>1</v>
      </c>
      <c r="AA415" s="8"/>
      <c r="AB415" s="10"/>
      <c r="AC415" s="10"/>
      <c r="AD415" s="10"/>
      <c r="AE415" s="11">
        <v>4.3027522222583068</v>
      </c>
      <c r="AF415" s="11">
        <v>225.35996367075421</v>
      </c>
      <c r="AG415" t="s">
        <v>34</v>
      </c>
    </row>
    <row r="416" spans="1:33">
      <c r="A416" s="2">
        <v>44249</v>
      </c>
      <c r="B416" s="5" t="s">
        <v>35</v>
      </c>
      <c r="C416" s="5">
        <f>WEEKDAY(Table1[[#This Row],[Date]])</f>
        <v>2</v>
      </c>
      <c r="D416" s="5">
        <f>MONTH(Table1[[#This Row],[Date]])</f>
        <v>2</v>
      </c>
      <c r="E416" s="5">
        <f>WEEKNUM(Table1[[#This Row],[Date]])</f>
        <v>9</v>
      </c>
      <c r="F416" s="5">
        <f>YEAR(Table1[[#This Row],[Date]])</f>
        <v>2021</v>
      </c>
      <c r="G416">
        <v>141</v>
      </c>
      <c r="L416" s="5">
        <v>151</v>
      </c>
      <c r="M416" s="6">
        <v>0.93789999999999996</v>
      </c>
      <c r="N416" s="5">
        <v>10</v>
      </c>
      <c r="O416" s="7">
        <v>3.2407407407407406E-4</v>
      </c>
      <c r="P416" s="7">
        <v>1.4699074074074074E-3</v>
      </c>
      <c r="Q416" s="7">
        <v>1.9675925925925924E-3</v>
      </c>
      <c r="R416" s="6">
        <v>0.6139</v>
      </c>
      <c r="S416" s="8">
        <f>CONVERT(Table1[[#This Row],[Talk Duration (AVG)]]*Table1[[#This Row],[Answered Calls]],"day","hr")</f>
        <v>5.326944444444444</v>
      </c>
      <c r="T416" s="9">
        <f>Table1[[#This Row],[Actual Workload hours]]*60</f>
        <v>319.61666666666662</v>
      </c>
      <c r="U416" s="9">
        <f>CONVERT(Table1[[#This Row],[Actual]]*Table1[[#This Row],[Talk Duration (AVG)]],"day","hr")</f>
        <v>4.9741666666666671</v>
      </c>
      <c r="V416" s="10">
        <f>Table1[[#This Row],[Required Workload Hours]]*60</f>
        <v>298.45000000000005</v>
      </c>
      <c r="W416" s="9">
        <v>1</v>
      </c>
      <c r="X416" s="9">
        <f t="shared" si="12"/>
        <v>1</v>
      </c>
      <c r="Y416" s="5">
        <f t="shared" si="13"/>
        <v>2</v>
      </c>
      <c r="Z416" s="8">
        <f>ROUNDUP(Table1[[#This Row],[Actual Heacount]],0)</f>
        <v>1</v>
      </c>
      <c r="AA416" s="8"/>
      <c r="AB416" s="10"/>
      <c r="AC416" s="10"/>
      <c r="AD416" s="10"/>
      <c r="AE416" s="11">
        <v>109.3128752883601</v>
      </c>
      <c r="AF416" s="11">
        <v>337.5139166902523</v>
      </c>
      <c r="AG416" t="s">
        <v>34</v>
      </c>
    </row>
    <row r="417" spans="1:33">
      <c r="A417" s="2">
        <v>44250</v>
      </c>
      <c r="B417" s="5" t="s">
        <v>36</v>
      </c>
      <c r="C417" s="5">
        <f>WEEKDAY(Table1[[#This Row],[Date]])</f>
        <v>3</v>
      </c>
      <c r="D417" s="5">
        <f>MONTH(Table1[[#This Row],[Date]])</f>
        <v>2</v>
      </c>
      <c r="E417" s="5">
        <f>WEEKNUM(Table1[[#This Row],[Date]])</f>
        <v>9</v>
      </c>
      <c r="F417" s="5">
        <f>YEAR(Table1[[#This Row],[Date]])</f>
        <v>2021</v>
      </c>
      <c r="G417">
        <v>130</v>
      </c>
      <c r="L417" s="5">
        <v>149</v>
      </c>
      <c r="M417" s="6">
        <v>0.95509999999999995</v>
      </c>
      <c r="N417" s="5">
        <v>7</v>
      </c>
      <c r="O417" s="7">
        <v>2.5462962962962961E-4</v>
      </c>
      <c r="P417" s="7">
        <v>1.712962962962963E-3</v>
      </c>
      <c r="Q417" s="7">
        <v>2.9050925925925928E-3</v>
      </c>
      <c r="R417" s="6">
        <v>0.70320000000000005</v>
      </c>
      <c r="S417" s="8">
        <f>CONVERT(Table1[[#This Row],[Talk Duration (AVG)]]*Table1[[#This Row],[Answered Calls]],"day","hr")</f>
        <v>6.1255555555555565</v>
      </c>
      <c r="T417" s="9">
        <f>Table1[[#This Row],[Actual Workload hours]]*60</f>
        <v>367.53333333333342</v>
      </c>
      <c r="U417" s="9">
        <f>CONVERT(Table1[[#This Row],[Actual]]*Table1[[#This Row],[Talk Duration (AVG)]],"day","hr")</f>
        <v>5.3444444444444441</v>
      </c>
      <c r="V417" s="10">
        <f>Table1[[#This Row],[Required Workload Hours]]*60</f>
        <v>320.66666666666663</v>
      </c>
      <c r="W417" s="9">
        <v>1</v>
      </c>
      <c r="X417" s="9">
        <f t="shared" si="12"/>
        <v>1</v>
      </c>
      <c r="Y417" s="5">
        <f t="shared" si="13"/>
        <v>2</v>
      </c>
      <c r="Z417" s="8">
        <f>ROUNDUP(Table1[[#This Row],[Actual Heacount]],0)</f>
        <v>1</v>
      </c>
      <c r="AA417" s="8"/>
      <c r="AB417" s="10"/>
      <c r="AC417" s="10"/>
      <c r="AD417" s="10"/>
      <c r="AE417" s="11">
        <v>99.902749595286437</v>
      </c>
      <c r="AF417" s="11">
        <v>324.06872017949291</v>
      </c>
      <c r="AG417" t="s">
        <v>34</v>
      </c>
    </row>
    <row r="418" spans="1:33">
      <c r="A418" s="2">
        <v>44251</v>
      </c>
      <c r="B418" s="5" t="s">
        <v>37</v>
      </c>
      <c r="C418" s="5">
        <f>WEEKDAY(Table1[[#This Row],[Date]])</f>
        <v>4</v>
      </c>
      <c r="D418" s="5">
        <f>MONTH(Table1[[#This Row],[Date]])</f>
        <v>2</v>
      </c>
      <c r="E418" s="5">
        <f>WEEKNUM(Table1[[#This Row],[Date]])</f>
        <v>9</v>
      </c>
      <c r="F418" s="5">
        <f>YEAR(Table1[[#This Row],[Date]])</f>
        <v>2021</v>
      </c>
      <c r="G418">
        <v>161</v>
      </c>
      <c r="L418" s="5">
        <v>128</v>
      </c>
      <c r="M418" s="6">
        <v>0.93430000000000002</v>
      </c>
      <c r="N418" s="5">
        <v>9</v>
      </c>
      <c r="O418" s="7">
        <v>3.5879629629629629E-4</v>
      </c>
      <c r="P418" s="7">
        <v>1.736111111111111E-3</v>
      </c>
      <c r="Q418" s="7">
        <v>3.5185185185185185E-3</v>
      </c>
      <c r="R418" s="6">
        <v>0.62690000000000001</v>
      </c>
      <c r="S418" s="8">
        <f>CONVERT(Table1[[#This Row],[Talk Duration (AVG)]]*Table1[[#This Row],[Answered Calls]],"day","hr")</f>
        <v>5.333333333333333</v>
      </c>
      <c r="T418" s="9">
        <f>Table1[[#This Row],[Actual Workload hours]]*60</f>
        <v>320</v>
      </c>
      <c r="U418" s="9">
        <f>CONVERT(Table1[[#This Row],[Actual]]*Table1[[#This Row],[Talk Duration (AVG)]],"day","hr")</f>
        <v>6.708333333333333</v>
      </c>
      <c r="V418" s="10">
        <f>Table1[[#This Row],[Required Workload Hours]]*60</f>
        <v>402.5</v>
      </c>
      <c r="W418" s="9">
        <v>1</v>
      </c>
      <c r="X418" s="9">
        <f t="shared" si="12"/>
        <v>1.0481770833333333</v>
      </c>
      <c r="Y418" s="5">
        <f t="shared" si="13"/>
        <v>2</v>
      </c>
      <c r="Z418" s="8">
        <f>ROUNDUP(Table1[[#This Row],[Actual Heacount]],0)</f>
        <v>1</v>
      </c>
      <c r="AA418" s="8"/>
      <c r="AB418" s="10"/>
      <c r="AC418" s="10"/>
      <c r="AD418" s="10"/>
      <c r="AE418" s="11">
        <v>98.728376409255645</v>
      </c>
      <c r="AF418" s="11">
        <v>320.91048619331173</v>
      </c>
      <c r="AG418" t="s">
        <v>34</v>
      </c>
    </row>
    <row r="419" spans="1:33">
      <c r="A419" s="2">
        <v>44252</v>
      </c>
      <c r="B419" s="5" t="s">
        <v>38</v>
      </c>
      <c r="C419" s="5">
        <f>WEEKDAY(Table1[[#This Row],[Date]])</f>
        <v>5</v>
      </c>
      <c r="D419" s="5">
        <f>MONTH(Table1[[#This Row],[Date]])</f>
        <v>2</v>
      </c>
      <c r="E419" s="5">
        <f>WEEKNUM(Table1[[#This Row],[Date]])</f>
        <v>9</v>
      </c>
      <c r="F419" s="5">
        <f>YEAR(Table1[[#This Row],[Date]])</f>
        <v>2021</v>
      </c>
      <c r="G419">
        <v>139</v>
      </c>
      <c r="L419" s="5">
        <v>25</v>
      </c>
      <c r="M419" s="6">
        <v>0.89290000000000003</v>
      </c>
      <c r="N419" s="5">
        <v>3</v>
      </c>
      <c r="O419" s="7">
        <v>6.9444444444444447E-4</v>
      </c>
      <c r="P419" s="7">
        <v>1.9328703703703704E-3</v>
      </c>
      <c r="Q419" s="7">
        <v>3.3101851851851851E-3</v>
      </c>
      <c r="R419" s="6">
        <v>0.32140000000000002</v>
      </c>
      <c r="S419" s="8">
        <f>CONVERT(Table1[[#This Row],[Talk Duration (AVG)]]*Table1[[#This Row],[Answered Calls]],"day","hr")</f>
        <v>1.1597222222222223</v>
      </c>
      <c r="T419" s="9">
        <f>Table1[[#This Row],[Actual Workload hours]]*60</f>
        <v>69.583333333333343</v>
      </c>
      <c r="U419" s="9">
        <f>CONVERT(Table1[[#This Row],[Actual]]*Table1[[#This Row],[Talk Duration (AVG)]],"day","hr")</f>
        <v>6.4480555555555554</v>
      </c>
      <c r="V419" s="10">
        <f>Table1[[#This Row],[Required Workload Hours]]*60</f>
        <v>386.88333333333333</v>
      </c>
      <c r="W419" s="9">
        <v>1</v>
      </c>
      <c r="X419" s="9">
        <f t="shared" si="12"/>
        <v>1.0075086805555555</v>
      </c>
      <c r="Y419" s="5">
        <f t="shared" si="13"/>
        <v>1</v>
      </c>
      <c r="Z419" s="8">
        <f>ROUNDUP(Table1[[#This Row],[Actual Heacount]],0)</f>
        <v>1</v>
      </c>
      <c r="AA419" s="8"/>
      <c r="AB419" s="10"/>
      <c r="AC419" s="10"/>
      <c r="AD419" s="10"/>
      <c r="AE419" s="11">
        <v>99.302897923202465</v>
      </c>
      <c r="AF419" s="11">
        <v>320.90222362589537</v>
      </c>
      <c r="AG419" t="s">
        <v>34</v>
      </c>
    </row>
    <row r="420" spans="1:33">
      <c r="A420" s="2">
        <v>44253</v>
      </c>
      <c r="B420" s="5" t="s">
        <v>39</v>
      </c>
      <c r="C420" s="5">
        <f>WEEKDAY(Table1[[#This Row],[Date]])</f>
        <v>6</v>
      </c>
      <c r="D420" s="5">
        <f>MONTH(Table1[[#This Row],[Date]])</f>
        <v>2</v>
      </c>
      <c r="E420" s="5">
        <f>WEEKNUM(Table1[[#This Row],[Date]])</f>
        <v>9</v>
      </c>
      <c r="F420" s="5">
        <f>YEAR(Table1[[#This Row],[Date]])</f>
        <v>2021</v>
      </c>
      <c r="G420">
        <v>167</v>
      </c>
      <c r="L420" s="5">
        <v>133</v>
      </c>
      <c r="M420" s="6">
        <v>0.94330000000000003</v>
      </c>
      <c r="N420" s="5">
        <v>8</v>
      </c>
      <c r="O420" s="7">
        <v>3.8194444444444446E-4</v>
      </c>
      <c r="P420" s="7">
        <v>1.8749999999999999E-3</v>
      </c>
      <c r="Q420" s="7">
        <v>3.2175925925925926E-3</v>
      </c>
      <c r="R420" s="6">
        <v>0.6331</v>
      </c>
      <c r="S420" s="8">
        <f>CONVERT(Table1[[#This Row],[Talk Duration (AVG)]]*Table1[[#This Row],[Answered Calls]],"day","hr")</f>
        <v>5.9850000000000003</v>
      </c>
      <c r="T420" s="9">
        <f>Table1[[#This Row],[Actual Workload hours]]*60</f>
        <v>359.1</v>
      </c>
      <c r="U420" s="9">
        <f>CONVERT(Table1[[#This Row],[Actual]]*Table1[[#This Row],[Talk Duration (AVG)]],"day","hr")</f>
        <v>7.5149999999999997</v>
      </c>
      <c r="V420" s="10">
        <f>Table1[[#This Row],[Required Workload Hours]]*60</f>
        <v>450.9</v>
      </c>
      <c r="W420" s="9">
        <v>1</v>
      </c>
      <c r="X420" s="9">
        <f t="shared" si="12"/>
        <v>1.1742187499999999</v>
      </c>
      <c r="Y420" s="5">
        <f t="shared" si="13"/>
        <v>2</v>
      </c>
      <c r="Z420" s="8">
        <f>ROUNDUP(Table1[[#This Row],[Actual Heacount]],0)</f>
        <v>1</v>
      </c>
      <c r="AA420" s="8"/>
      <c r="AB420" s="10"/>
      <c r="AC420" s="10"/>
      <c r="AD420" s="10"/>
      <c r="AE420" s="11">
        <v>96.416861556315567</v>
      </c>
      <c r="AF420" s="11">
        <v>313.29220495602658</v>
      </c>
      <c r="AG420" t="s">
        <v>34</v>
      </c>
    </row>
    <row r="421" spans="1:33">
      <c r="A421" s="2">
        <v>44254</v>
      </c>
      <c r="B421" s="5" t="s">
        <v>40</v>
      </c>
      <c r="C421" s="5">
        <f>WEEKDAY(Table1[[#This Row],[Date]])</f>
        <v>7</v>
      </c>
      <c r="D421" s="5">
        <f>MONTH(Table1[[#This Row],[Date]])</f>
        <v>2</v>
      </c>
      <c r="E421" s="5">
        <f>WEEKNUM(Table1[[#This Row],[Date]])</f>
        <v>9</v>
      </c>
      <c r="F421" s="5">
        <f>YEAR(Table1[[#This Row],[Date]])</f>
        <v>2021</v>
      </c>
      <c r="G421">
        <v>138</v>
      </c>
      <c r="L421" s="5">
        <v>123</v>
      </c>
      <c r="M421" s="6">
        <v>0.94620000000000004</v>
      </c>
      <c r="N421" s="5">
        <v>7</v>
      </c>
      <c r="O421" s="7">
        <v>3.7037037037037035E-4</v>
      </c>
      <c r="P421" s="7">
        <v>1.8518518518518519E-3</v>
      </c>
      <c r="Q421" s="7">
        <v>1.6203703703703703E-3</v>
      </c>
      <c r="R421" s="6">
        <v>0.53490000000000004</v>
      </c>
      <c r="S421" s="8">
        <f>CONVERT(Table1[[#This Row],[Talk Duration (AVG)]]*Table1[[#This Row],[Answered Calls]],"day","hr")</f>
        <v>5.4666666666666668</v>
      </c>
      <c r="T421" s="9">
        <f>Table1[[#This Row],[Actual Workload hours]]*60</f>
        <v>328</v>
      </c>
      <c r="U421" s="9">
        <f>CONVERT(Table1[[#This Row],[Actual]]*Table1[[#This Row],[Talk Duration (AVG)]],"day","hr")</f>
        <v>6.1333333333333346</v>
      </c>
      <c r="V421" s="10">
        <f>Table1[[#This Row],[Required Workload Hours]]*60</f>
        <v>368.00000000000006</v>
      </c>
      <c r="W421" s="9">
        <v>1</v>
      </c>
      <c r="X421" s="9">
        <f t="shared" si="12"/>
        <v>1</v>
      </c>
      <c r="Y421" s="5">
        <f t="shared" si="13"/>
        <v>2</v>
      </c>
      <c r="Z421" s="8">
        <f>ROUNDUP(Table1[[#This Row],[Actual Heacount]],0)</f>
        <v>1</v>
      </c>
      <c r="AA421" s="8"/>
      <c r="AB421" s="10"/>
      <c r="AC421" s="10"/>
      <c r="AD421" s="10"/>
      <c r="AE421" s="11">
        <v>83.530947013661191</v>
      </c>
      <c r="AF421" s="11">
        <v>311.84484661414791</v>
      </c>
      <c r="AG421" t="s">
        <v>34</v>
      </c>
    </row>
    <row r="422" spans="1:33">
      <c r="A422" s="2">
        <v>44255</v>
      </c>
      <c r="B422" s="5" t="s">
        <v>33</v>
      </c>
      <c r="C422" s="5">
        <f>WEEKDAY(Table1[[#This Row],[Date]])</f>
        <v>1</v>
      </c>
      <c r="D422" s="5">
        <f>MONTH(Table1[[#This Row],[Date]])</f>
        <v>2</v>
      </c>
      <c r="E422" s="5">
        <f>WEEKNUM(Table1[[#This Row],[Date]])</f>
        <v>10</v>
      </c>
      <c r="F422" s="5">
        <f>YEAR(Table1[[#This Row],[Date]])</f>
        <v>2021</v>
      </c>
      <c r="G422">
        <v>47</v>
      </c>
      <c r="L422" s="5">
        <v>155</v>
      </c>
      <c r="M422" s="6">
        <v>0.9627</v>
      </c>
      <c r="N422" s="5">
        <v>6</v>
      </c>
      <c r="O422" s="7">
        <v>3.1250000000000001E-4</v>
      </c>
      <c r="P422" s="7">
        <v>1.8865740740740742E-3</v>
      </c>
      <c r="Q422" s="7">
        <v>1.8865740740740742E-3</v>
      </c>
      <c r="R422" s="6">
        <v>0.73580000000000001</v>
      </c>
      <c r="S422" s="8">
        <f>CONVERT(Table1[[#This Row],[Talk Duration (AVG)]]*Table1[[#This Row],[Answered Calls]],"day","hr")</f>
        <v>7.0180555555555557</v>
      </c>
      <c r="T422" s="9">
        <f>Table1[[#This Row],[Actual Workload hours]]*60</f>
        <v>421.08333333333337</v>
      </c>
      <c r="U422" s="9">
        <f>CONVERT(Table1[[#This Row],[Actual]]*Table1[[#This Row],[Talk Duration (AVG)]],"day","hr")</f>
        <v>2.1280555555555556</v>
      </c>
      <c r="V422" s="10">
        <f>Table1[[#This Row],[Required Workload Hours]]*60</f>
        <v>127.68333333333334</v>
      </c>
      <c r="W422" s="9">
        <v>1.1000000000000001</v>
      </c>
      <c r="X422" s="9">
        <f t="shared" si="12"/>
        <v>1</v>
      </c>
      <c r="Y422" s="5">
        <f t="shared" si="13"/>
        <v>2</v>
      </c>
      <c r="Z422" s="8">
        <f>ROUNDUP(Table1[[#This Row],[Actual Heacount]],0)</f>
        <v>2</v>
      </c>
      <c r="AA422" s="8"/>
      <c r="AB422" s="10"/>
      <c r="AC422" s="10"/>
      <c r="AD422" s="10"/>
      <c r="AE422" s="11">
        <v>10.833319387294351</v>
      </c>
      <c r="AF422" s="11">
        <v>223.33302218185719</v>
      </c>
      <c r="AG422" t="s">
        <v>34</v>
      </c>
    </row>
    <row r="423" spans="1:33">
      <c r="A423" s="2">
        <v>44256</v>
      </c>
      <c r="B423" s="5" t="s">
        <v>35</v>
      </c>
      <c r="C423" s="5">
        <f>WEEKDAY(Table1[[#This Row],[Date]])</f>
        <v>2</v>
      </c>
      <c r="D423" s="5">
        <f>MONTH(Table1[[#This Row],[Date]])</f>
        <v>3</v>
      </c>
      <c r="E423" s="5">
        <f>WEEKNUM(Table1[[#This Row],[Date]])</f>
        <v>10</v>
      </c>
      <c r="F423" s="5">
        <f>YEAR(Table1[[#This Row],[Date]])</f>
        <v>2021</v>
      </c>
      <c r="G423">
        <v>30</v>
      </c>
      <c r="L423" s="5">
        <v>132</v>
      </c>
      <c r="M423" s="6">
        <v>0.9496</v>
      </c>
      <c r="N423" s="5">
        <v>7</v>
      </c>
      <c r="O423" s="7">
        <v>3.2407407407407406E-4</v>
      </c>
      <c r="P423" s="7">
        <v>1.8518518518518519E-3</v>
      </c>
      <c r="Q423" s="7">
        <v>1.2847222222222223E-3</v>
      </c>
      <c r="R423" s="6">
        <v>0.6331</v>
      </c>
      <c r="S423" s="8">
        <f>CONVERT(Table1[[#This Row],[Talk Duration (AVG)]]*Table1[[#This Row],[Answered Calls]],"day","hr")</f>
        <v>5.8666666666666663</v>
      </c>
      <c r="T423" s="9">
        <f>Table1[[#This Row],[Actual Workload hours]]*60</f>
        <v>352</v>
      </c>
      <c r="U423" s="9">
        <f>CONVERT(Table1[[#This Row],[Actual]]*Table1[[#This Row],[Talk Duration (AVG)]],"day","hr")</f>
        <v>1.3333333333333333</v>
      </c>
      <c r="V423" s="10">
        <f>Table1[[#This Row],[Required Workload Hours]]*60</f>
        <v>80</v>
      </c>
      <c r="W423" s="9">
        <v>1</v>
      </c>
      <c r="X423" s="9">
        <f t="shared" si="12"/>
        <v>1</v>
      </c>
      <c r="Y423" s="5">
        <f t="shared" si="13"/>
        <v>2</v>
      </c>
      <c r="Z423" s="8">
        <f>ROUNDUP(Table1[[#This Row],[Actual Heacount]],0)</f>
        <v>1</v>
      </c>
      <c r="AA423" s="8"/>
      <c r="AB423" s="10"/>
      <c r="AC423" s="10"/>
      <c r="AD423" s="10"/>
      <c r="AE423" s="11">
        <v>100.0315360534704</v>
      </c>
      <c r="AF423" s="11">
        <v>324.3309077098491</v>
      </c>
      <c r="AG423" t="s">
        <v>34</v>
      </c>
    </row>
    <row r="424" spans="1:33">
      <c r="A424" s="2">
        <v>44257</v>
      </c>
      <c r="B424" s="5" t="s">
        <v>36</v>
      </c>
      <c r="C424" s="5">
        <f>WEEKDAY(Table1[[#This Row],[Date]])</f>
        <v>3</v>
      </c>
      <c r="D424" s="5">
        <f>MONTH(Table1[[#This Row],[Date]])</f>
        <v>3</v>
      </c>
      <c r="E424" s="5">
        <f>WEEKNUM(Table1[[#This Row],[Date]])</f>
        <v>10</v>
      </c>
      <c r="F424" s="5">
        <f>YEAR(Table1[[#This Row],[Date]])</f>
        <v>2021</v>
      </c>
      <c r="G424">
        <v>152</v>
      </c>
      <c r="L424" s="5">
        <v>130</v>
      </c>
      <c r="M424" s="6">
        <v>0.77839999999999998</v>
      </c>
      <c r="N424" s="5">
        <v>37</v>
      </c>
      <c r="O424" s="7">
        <v>3.3564814814814812E-4</v>
      </c>
      <c r="P424" s="7">
        <v>1.7824074074074075E-3</v>
      </c>
      <c r="Q424" s="7">
        <v>8.2870370370370372E-3</v>
      </c>
      <c r="R424" s="6">
        <v>0.54600000000000004</v>
      </c>
      <c r="S424" s="8">
        <f>CONVERT(Table1[[#This Row],[Talk Duration (AVG)]]*Table1[[#This Row],[Answered Calls]],"day","hr")</f>
        <v>5.5611111111111109</v>
      </c>
      <c r="T424" s="9">
        <f>Table1[[#This Row],[Actual Workload hours]]*60</f>
        <v>333.66666666666663</v>
      </c>
      <c r="U424" s="9">
        <f>CONVERT(Table1[[#This Row],[Actual]]*Table1[[#This Row],[Talk Duration (AVG)]],"day","hr")</f>
        <v>6.5022222222222235</v>
      </c>
      <c r="V424" s="10">
        <f>Table1[[#This Row],[Required Workload Hours]]*60</f>
        <v>390.13333333333338</v>
      </c>
      <c r="W424" s="9">
        <v>1</v>
      </c>
      <c r="X424" s="9">
        <f t="shared" si="12"/>
        <v>1.0159722222222223</v>
      </c>
      <c r="Y424" s="5">
        <f t="shared" si="13"/>
        <v>2</v>
      </c>
      <c r="Z424" s="8">
        <f>ROUNDUP(Table1[[#This Row],[Actual Heacount]],0)</f>
        <v>1</v>
      </c>
      <c r="AA424" s="8"/>
      <c r="AB424" s="10"/>
      <c r="AC424" s="10"/>
      <c r="AD424" s="10"/>
      <c r="AE424" s="11">
        <v>87.095883938590049</v>
      </c>
      <c r="AF424" s="11">
        <v>302.43734358926253</v>
      </c>
      <c r="AG424" t="s">
        <v>34</v>
      </c>
    </row>
    <row r="425" spans="1:33">
      <c r="A425" s="2">
        <v>44258</v>
      </c>
      <c r="B425" s="5" t="s">
        <v>37</v>
      </c>
      <c r="C425" s="5">
        <f>WEEKDAY(Table1[[#This Row],[Date]])</f>
        <v>4</v>
      </c>
      <c r="D425" s="5">
        <f>MONTH(Table1[[#This Row],[Date]])</f>
        <v>3</v>
      </c>
      <c r="E425" s="5">
        <f>WEEKNUM(Table1[[#This Row],[Date]])</f>
        <v>10</v>
      </c>
      <c r="F425" s="5">
        <f>YEAR(Table1[[#This Row],[Date]])</f>
        <v>2021</v>
      </c>
      <c r="G425">
        <v>159</v>
      </c>
      <c r="L425" s="5">
        <v>122</v>
      </c>
      <c r="M425" s="6">
        <v>0.8841</v>
      </c>
      <c r="N425" s="5">
        <v>16</v>
      </c>
      <c r="O425" s="7">
        <v>4.0509259259259258E-4</v>
      </c>
      <c r="P425" s="7">
        <v>1.9560185185185184E-3</v>
      </c>
      <c r="Q425" s="7">
        <v>3.8194444444444443E-3</v>
      </c>
      <c r="R425" s="6">
        <v>0.57779999999999998</v>
      </c>
      <c r="S425" s="8">
        <f>CONVERT(Table1[[#This Row],[Talk Duration (AVG)]]*Table1[[#This Row],[Answered Calls]],"day","hr")</f>
        <v>5.7272222222222222</v>
      </c>
      <c r="T425" s="9">
        <f>Table1[[#This Row],[Actual Workload hours]]*60</f>
        <v>343.63333333333333</v>
      </c>
      <c r="U425" s="9">
        <f>CONVERT(Table1[[#This Row],[Actual]]*Table1[[#This Row],[Talk Duration (AVG)]],"day","hr")</f>
        <v>7.4641666666666664</v>
      </c>
      <c r="V425" s="10">
        <f>Table1[[#This Row],[Required Workload Hours]]*60</f>
        <v>447.84999999999997</v>
      </c>
      <c r="W425" s="9">
        <v>1</v>
      </c>
      <c r="X425" s="9">
        <f t="shared" si="12"/>
        <v>1.1662760416666667</v>
      </c>
      <c r="Y425" s="5">
        <f t="shared" si="13"/>
        <v>2</v>
      </c>
      <c r="Z425" s="8">
        <f>ROUNDUP(Table1[[#This Row],[Actual Heacount]],0)</f>
        <v>1</v>
      </c>
      <c r="AA425" s="8"/>
      <c r="AB425" s="10"/>
      <c r="AC425" s="10"/>
      <c r="AD425" s="10"/>
      <c r="AE425" s="11">
        <v>100.0549608281505</v>
      </c>
      <c r="AF425" s="11">
        <v>315.06519503092699</v>
      </c>
      <c r="AG425" t="s">
        <v>34</v>
      </c>
    </row>
    <row r="426" spans="1:33">
      <c r="A426" s="2">
        <v>44259</v>
      </c>
      <c r="B426" s="5" t="s">
        <v>38</v>
      </c>
      <c r="C426" s="5">
        <f>WEEKDAY(Table1[[#This Row],[Date]])</f>
        <v>5</v>
      </c>
      <c r="D426" s="5">
        <f>MONTH(Table1[[#This Row],[Date]])</f>
        <v>3</v>
      </c>
      <c r="E426" s="5">
        <f>WEEKNUM(Table1[[#This Row],[Date]])</f>
        <v>10</v>
      </c>
      <c r="F426" s="5">
        <f>YEAR(Table1[[#This Row],[Date]])</f>
        <v>2021</v>
      </c>
      <c r="G426">
        <v>74</v>
      </c>
      <c r="L426" s="5">
        <v>44</v>
      </c>
      <c r="M426" s="6">
        <v>0.93620000000000003</v>
      </c>
      <c r="N426" s="5">
        <v>3</v>
      </c>
      <c r="O426" s="7">
        <v>3.0092592592592595E-4</v>
      </c>
      <c r="P426" s="7">
        <v>2.2106481481481482E-3</v>
      </c>
      <c r="Q426" s="7">
        <v>2.4189814814814816E-3</v>
      </c>
      <c r="R426" s="6">
        <v>0.63039999999999996</v>
      </c>
      <c r="S426" s="8">
        <f>CONVERT(Table1[[#This Row],[Talk Duration (AVG)]]*Table1[[#This Row],[Answered Calls]],"day","hr")</f>
        <v>2.3344444444444443</v>
      </c>
      <c r="T426" s="9">
        <f>Table1[[#This Row],[Actual Workload hours]]*60</f>
        <v>140.06666666666666</v>
      </c>
      <c r="U426" s="9">
        <f>CONVERT(Table1[[#This Row],[Actual]]*Table1[[#This Row],[Talk Duration (AVG)]],"day","hr")</f>
        <v>3.9261111111111111</v>
      </c>
      <c r="V426" s="10">
        <f>Table1[[#This Row],[Required Workload Hours]]*60</f>
        <v>235.56666666666666</v>
      </c>
      <c r="W426" s="9">
        <v>1</v>
      </c>
      <c r="X426" s="9">
        <f t="shared" si="12"/>
        <v>1</v>
      </c>
      <c r="Y426" s="5">
        <f t="shared" si="13"/>
        <v>1</v>
      </c>
      <c r="Z426" s="8">
        <f>ROUNDUP(Table1[[#This Row],[Actual Heacount]],0)</f>
        <v>1</v>
      </c>
      <c r="AA426" s="8"/>
      <c r="AB426" s="10"/>
      <c r="AC426" s="10"/>
      <c r="AD426" s="10"/>
      <c r="AE426" s="11">
        <v>79.601369264706378</v>
      </c>
      <c r="AF426" s="11">
        <v>301.78759085391908</v>
      </c>
      <c r="AG426" t="s">
        <v>34</v>
      </c>
    </row>
    <row r="427" spans="1:33">
      <c r="A427" s="2">
        <v>44260</v>
      </c>
      <c r="B427" s="5" t="s">
        <v>39</v>
      </c>
      <c r="C427" s="5">
        <f>WEEKDAY(Table1[[#This Row],[Date]])</f>
        <v>6</v>
      </c>
      <c r="D427" s="5">
        <f>MONTH(Table1[[#This Row],[Date]])</f>
        <v>3</v>
      </c>
      <c r="E427" s="5">
        <f>WEEKNUM(Table1[[#This Row],[Date]])</f>
        <v>10</v>
      </c>
      <c r="F427" s="5">
        <f>YEAR(Table1[[#This Row],[Date]])</f>
        <v>2021</v>
      </c>
      <c r="G427">
        <v>146</v>
      </c>
      <c r="L427" s="5">
        <v>206</v>
      </c>
      <c r="M427" s="6">
        <v>0.89570000000000005</v>
      </c>
      <c r="N427" s="5">
        <v>24</v>
      </c>
      <c r="O427" s="7">
        <v>4.3981481481481481E-4</v>
      </c>
      <c r="P427" s="7">
        <v>1.7824074074074075E-3</v>
      </c>
      <c r="Q427" s="7">
        <v>3.1828703703703702E-3</v>
      </c>
      <c r="R427" s="6">
        <v>0.4672</v>
      </c>
      <c r="S427" s="8">
        <f>CONVERT(Table1[[#This Row],[Talk Duration (AVG)]]*Table1[[#This Row],[Answered Calls]],"day","hr")</f>
        <v>8.8122222222222231</v>
      </c>
      <c r="T427" s="9">
        <f>Table1[[#This Row],[Actual Workload hours]]*60</f>
        <v>528.73333333333335</v>
      </c>
      <c r="U427" s="9">
        <f>CONVERT(Table1[[#This Row],[Actual]]*Table1[[#This Row],[Talk Duration (AVG)]],"day","hr")</f>
        <v>6.2455555555555566</v>
      </c>
      <c r="V427" s="10">
        <f>Table1[[#This Row],[Required Workload Hours]]*60</f>
        <v>374.73333333333341</v>
      </c>
      <c r="W427" s="9">
        <v>1.38</v>
      </c>
      <c r="X427" s="9">
        <f t="shared" si="12"/>
        <v>1</v>
      </c>
      <c r="Y427" s="5">
        <f t="shared" si="13"/>
        <v>2</v>
      </c>
      <c r="Z427" s="8">
        <f>ROUNDUP(Table1[[#This Row],[Actual Heacount]],0)</f>
        <v>2</v>
      </c>
      <c r="AA427" s="8"/>
      <c r="AB427" s="10"/>
      <c r="AC427" s="10"/>
      <c r="AD427" s="10"/>
      <c r="AE427" s="11">
        <v>72.032297200261439</v>
      </c>
      <c r="AF427" s="11">
        <v>293.35183175472099</v>
      </c>
      <c r="AG427" t="s">
        <v>34</v>
      </c>
    </row>
    <row r="428" spans="1:33">
      <c r="A428" s="2">
        <v>44261</v>
      </c>
      <c r="B428" s="5" t="s">
        <v>40</v>
      </c>
      <c r="C428" s="5">
        <f>WEEKDAY(Table1[[#This Row],[Date]])</f>
        <v>7</v>
      </c>
      <c r="D428" s="5">
        <f>MONTH(Table1[[#This Row],[Date]])</f>
        <v>3</v>
      </c>
      <c r="E428" s="5">
        <f>WEEKNUM(Table1[[#This Row],[Date]])</f>
        <v>10</v>
      </c>
      <c r="F428" s="5">
        <f>YEAR(Table1[[#This Row],[Date]])</f>
        <v>2021</v>
      </c>
      <c r="G428">
        <v>117</v>
      </c>
      <c r="L428" s="5">
        <v>153</v>
      </c>
      <c r="M428" s="6">
        <v>0.86439999999999995</v>
      </c>
      <c r="N428" s="5">
        <v>24</v>
      </c>
      <c r="O428" s="7">
        <v>3.4722222222222224E-4</v>
      </c>
      <c r="P428" s="7">
        <v>2.0023148148148148E-3</v>
      </c>
      <c r="Q428" s="7">
        <v>3.1018518518518517E-3</v>
      </c>
      <c r="R428" s="6">
        <v>0.55489999999999995</v>
      </c>
      <c r="S428" s="8">
        <f>CONVERT(Table1[[#This Row],[Talk Duration (AVG)]]*Table1[[#This Row],[Answered Calls]],"day","hr")</f>
        <v>7.3525</v>
      </c>
      <c r="T428" s="9">
        <f>Table1[[#This Row],[Actual Workload hours]]*60</f>
        <v>441.15</v>
      </c>
      <c r="U428" s="9">
        <f>CONVERT(Table1[[#This Row],[Actual]]*Table1[[#This Row],[Talk Duration (AVG)]],"day","hr")</f>
        <v>5.6224999999999996</v>
      </c>
      <c r="V428" s="10">
        <f>Table1[[#This Row],[Required Workload Hours]]*60</f>
        <v>337.34999999999997</v>
      </c>
      <c r="W428" s="9">
        <v>1.1499999999999999</v>
      </c>
      <c r="X428" s="9">
        <f t="shared" si="12"/>
        <v>1</v>
      </c>
      <c r="Y428" s="5">
        <f t="shared" si="13"/>
        <v>2</v>
      </c>
      <c r="Z428" s="8">
        <f>ROUNDUP(Table1[[#This Row],[Actual Heacount]],0)</f>
        <v>2</v>
      </c>
      <c r="AA428" s="8"/>
      <c r="AB428" s="10"/>
      <c r="AC428" s="10"/>
      <c r="AD428" s="10"/>
      <c r="AE428" s="11">
        <v>65.607887293767874</v>
      </c>
      <c r="AF428" s="11">
        <v>281.92339886020602</v>
      </c>
      <c r="AG428" t="s">
        <v>34</v>
      </c>
    </row>
    <row r="429" spans="1:33">
      <c r="A429" s="2">
        <v>44262</v>
      </c>
      <c r="B429" s="5" t="s">
        <v>33</v>
      </c>
      <c r="C429" s="5">
        <f>WEEKDAY(Table1[[#This Row],[Date]])</f>
        <v>1</v>
      </c>
      <c r="D429" s="5">
        <f>MONTH(Table1[[#This Row],[Date]])</f>
        <v>3</v>
      </c>
      <c r="E429" s="5">
        <f>WEEKNUM(Table1[[#This Row],[Date]])</f>
        <v>11</v>
      </c>
      <c r="F429" s="5">
        <f>YEAR(Table1[[#This Row],[Date]])</f>
        <v>2021</v>
      </c>
      <c r="G429">
        <v>144</v>
      </c>
      <c r="L429" s="5">
        <v>149</v>
      </c>
      <c r="M429" s="6">
        <v>0.93710000000000004</v>
      </c>
      <c r="N429" s="5">
        <v>10</v>
      </c>
      <c r="O429" s="7">
        <v>3.8194444444444446E-4</v>
      </c>
      <c r="P429" s="7">
        <v>1.8518518518518519E-3</v>
      </c>
      <c r="Q429" s="7">
        <v>3.1481481481481482E-3</v>
      </c>
      <c r="R429" s="6">
        <v>0.61040000000000005</v>
      </c>
      <c r="S429" s="8">
        <f>CONVERT(Table1[[#This Row],[Talk Duration (AVG)]]*Table1[[#This Row],[Answered Calls]],"day","hr")</f>
        <v>6.6222222222222236</v>
      </c>
      <c r="T429" s="9">
        <f>Table1[[#This Row],[Actual Workload hours]]*60</f>
        <v>397.33333333333343</v>
      </c>
      <c r="U429" s="9">
        <f>CONVERT(Table1[[#This Row],[Actual]]*Table1[[#This Row],[Talk Duration (AVG)]],"day","hr")</f>
        <v>6.4</v>
      </c>
      <c r="V429" s="10">
        <f>Table1[[#This Row],[Required Workload Hours]]*60</f>
        <v>384</v>
      </c>
      <c r="W429" s="9">
        <v>1.03</v>
      </c>
      <c r="X429" s="9">
        <f t="shared" si="12"/>
        <v>1</v>
      </c>
      <c r="Y429" s="5">
        <f t="shared" si="13"/>
        <v>2</v>
      </c>
      <c r="Z429" s="8">
        <f>ROUNDUP(Table1[[#This Row],[Actual Heacount]],0)</f>
        <v>2</v>
      </c>
      <c r="AA429" s="8"/>
      <c r="AB429" s="10"/>
      <c r="AC429" s="10"/>
      <c r="AD429" s="10"/>
      <c r="AE429" s="11">
        <v>-33.328987401109202</v>
      </c>
      <c r="AF429" s="11">
        <v>194.59113660371429</v>
      </c>
      <c r="AG429" t="s">
        <v>34</v>
      </c>
    </row>
    <row r="430" spans="1:33">
      <c r="A430" s="2">
        <v>44263</v>
      </c>
      <c r="B430" s="5" t="s">
        <v>35</v>
      </c>
      <c r="C430" s="5">
        <f>WEEKDAY(Table1[[#This Row],[Date]])</f>
        <v>2</v>
      </c>
      <c r="D430" s="5">
        <f>MONTH(Table1[[#This Row],[Date]])</f>
        <v>3</v>
      </c>
      <c r="E430" s="5">
        <f>WEEKNUM(Table1[[#This Row],[Date]])</f>
        <v>11</v>
      </c>
      <c r="F430" s="5">
        <f>YEAR(Table1[[#This Row],[Date]])</f>
        <v>2021</v>
      </c>
      <c r="G430">
        <v>164</v>
      </c>
      <c r="L430" s="5">
        <v>135</v>
      </c>
      <c r="M430" s="6">
        <v>0.89400000000000002</v>
      </c>
      <c r="N430" s="5">
        <v>16</v>
      </c>
      <c r="O430" s="7">
        <v>4.1666666666666669E-4</v>
      </c>
      <c r="P430" s="7">
        <v>1.7592592592592592E-3</v>
      </c>
      <c r="Q430" s="7">
        <v>3.2523148148148147E-3</v>
      </c>
      <c r="R430" s="6">
        <v>0.52739999999999998</v>
      </c>
      <c r="S430" s="8">
        <f>CONVERT(Table1[[#This Row],[Talk Duration (AVG)]]*Table1[[#This Row],[Answered Calls]],"day","hr")</f>
        <v>5.7</v>
      </c>
      <c r="T430" s="9">
        <f>Table1[[#This Row],[Actual Workload hours]]*60</f>
        <v>342</v>
      </c>
      <c r="U430" s="9">
        <f>CONVERT(Table1[[#This Row],[Actual]]*Table1[[#This Row],[Talk Duration (AVG)]],"day","hr")</f>
        <v>6.9244444444444442</v>
      </c>
      <c r="V430" s="10">
        <f>Table1[[#This Row],[Required Workload Hours]]*60</f>
        <v>415.46666666666664</v>
      </c>
      <c r="W430" s="9">
        <v>1</v>
      </c>
      <c r="X430" s="9">
        <f t="shared" si="12"/>
        <v>1.0819444444444444</v>
      </c>
      <c r="Y430" s="5">
        <f t="shared" si="13"/>
        <v>2</v>
      </c>
      <c r="Z430" s="8">
        <f>ROUNDUP(Table1[[#This Row],[Actual Heacount]],0)</f>
        <v>1</v>
      </c>
      <c r="AA430" s="8"/>
      <c r="AB430" s="10"/>
      <c r="AC430" s="10"/>
      <c r="AD430" s="10"/>
      <c r="AE430" s="11">
        <v>64.369731049661439</v>
      </c>
      <c r="AF430" s="11">
        <v>293.15815475934693</v>
      </c>
      <c r="AG430" t="s">
        <v>34</v>
      </c>
    </row>
    <row r="431" spans="1:33">
      <c r="A431" s="2">
        <v>44264</v>
      </c>
      <c r="B431" s="5" t="s">
        <v>36</v>
      </c>
      <c r="C431" s="5">
        <f>WEEKDAY(Table1[[#This Row],[Date]])</f>
        <v>3</v>
      </c>
      <c r="D431" s="5">
        <f>MONTH(Table1[[#This Row],[Date]])</f>
        <v>3</v>
      </c>
      <c r="E431" s="5">
        <f>WEEKNUM(Table1[[#This Row],[Date]])</f>
        <v>11</v>
      </c>
      <c r="F431" s="5">
        <f>YEAR(Table1[[#This Row],[Date]])</f>
        <v>2021</v>
      </c>
      <c r="G431">
        <v>342</v>
      </c>
      <c r="L431" s="5">
        <v>126</v>
      </c>
      <c r="M431" s="6">
        <v>0.91300000000000003</v>
      </c>
      <c r="N431" s="5">
        <v>12</v>
      </c>
      <c r="O431" s="7">
        <v>3.9351851851851852E-4</v>
      </c>
      <c r="P431" s="7">
        <v>1.5856481481481481E-3</v>
      </c>
      <c r="Q431" s="7">
        <v>2.8935185185185184E-3</v>
      </c>
      <c r="R431" s="6">
        <v>0.59699999999999998</v>
      </c>
      <c r="S431" s="8">
        <f>CONVERT(Table1[[#This Row],[Talk Duration (AVG)]]*Table1[[#This Row],[Answered Calls]],"day","hr")</f>
        <v>4.7949999999999999</v>
      </c>
      <c r="T431" s="9">
        <f>Table1[[#This Row],[Actual Workload hours]]*60</f>
        <v>287.7</v>
      </c>
      <c r="U431" s="9">
        <f>CONVERT(Table1[[#This Row],[Actual]]*Table1[[#This Row],[Talk Duration (AVG)]],"day","hr")</f>
        <v>13.014999999999999</v>
      </c>
      <c r="V431" s="10">
        <f>Table1[[#This Row],[Required Workload Hours]]*60</f>
        <v>780.9</v>
      </c>
      <c r="W431" s="9">
        <v>1</v>
      </c>
      <c r="X431" s="9">
        <f t="shared" si="12"/>
        <v>2.0335937500000001</v>
      </c>
      <c r="Y431" s="5">
        <f t="shared" si="13"/>
        <v>2</v>
      </c>
      <c r="Z431" s="8">
        <f>ROUNDUP(Table1[[#This Row],[Actual Heacount]],0)</f>
        <v>1</v>
      </c>
      <c r="AA431" s="8"/>
      <c r="AB431" s="10"/>
      <c r="AC431" s="10"/>
      <c r="AD431" s="10"/>
      <c r="AE431" s="11">
        <v>48.489474651030847</v>
      </c>
      <c r="AF431" s="11">
        <v>273.67169465917289</v>
      </c>
      <c r="AG431" t="s">
        <v>34</v>
      </c>
    </row>
    <row r="432" spans="1:33">
      <c r="A432" s="2">
        <v>44265</v>
      </c>
      <c r="B432" s="5" t="s">
        <v>37</v>
      </c>
      <c r="C432" s="5">
        <f>WEEKDAY(Table1[[#This Row],[Date]])</f>
        <v>4</v>
      </c>
      <c r="D432" s="5">
        <f>MONTH(Table1[[#This Row],[Date]])</f>
        <v>3</v>
      </c>
      <c r="E432" s="5">
        <f>WEEKNUM(Table1[[#This Row],[Date]])</f>
        <v>11</v>
      </c>
      <c r="F432" s="5">
        <f>YEAR(Table1[[#This Row],[Date]])</f>
        <v>2021</v>
      </c>
      <c r="G432">
        <v>27</v>
      </c>
      <c r="L432" s="5">
        <v>118</v>
      </c>
      <c r="M432" s="6">
        <v>1</v>
      </c>
      <c r="N432" s="5">
        <v>0</v>
      </c>
      <c r="O432" s="7">
        <v>3.0092592592592595E-4</v>
      </c>
      <c r="P432" s="7">
        <v>1.7708333333333332E-3</v>
      </c>
      <c r="Q432" s="7">
        <v>1.1342592592592593E-3</v>
      </c>
      <c r="R432" s="6">
        <v>0.66100000000000003</v>
      </c>
      <c r="S432" s="8">
        <f>CONVERT(Table1[[#This Row],[Talk Duration (AVG)]]*Table1[[#This Row],[Answered Calls]],"day","hr")</f>
        <v>5.0149999999999997</v>
      </c>
      <c r="T432" s="9">
        <f>Table1[[#This Row],[Actual Workload hours]]*60</f>
        <v>300.89999999999998</v>
      </c>
      <c r="U432" s="9">
        <f>CONVERT(Table1[[#This Row],[Actual]]*Table1[[#This Row],[Talk Duration (AVG)]],"day","hr")</f>
        <v>1.1475</v>
      </c>
      <c r="V432" s="10">
        <f>Table1[[#This Row],[Required Workload Hours]]*60</f>
        <v>68.849999999999994</v>
      </c>
      <c r="W432" s="9">
        <v>1</v>
      </c>
      <c r="X432" s="9">
        <f t="shared" si="12"/>
        <v>1</v>
      </c>
      <c r="Y432" s="5">
        <f t="shared" si="13"/>
        <v>2</v>
      </c>
      <c r="Z432" s="8">
        <f>ROUNDUP(Table1[[#This Row],[Actual Heacount]],0)</f>
        <v>1</v>
      </c>
      <c r="AA432" s="8"/>
      <c r="AB432" s="10"/>
      <c r="AC432" s="10"/>
      <c r="AD432" s="10"/>
      <c r="AE432" s="11">
        <v>65.372046869563604</v>
      </c>
      <c r="AF432" s="11">
        <v>281.11989138261811</v>
      </c>
      <c r="AG432" t="s">
        <v>34</v>
      </c>
    </row>
    <row r="433" spans="1:33">
      <c r="A433" s="2">
        <v>44266</v>
      </c>
      <c r="B433" s="5" t="s">
        <v>38</v>
      </c>
      <c r="C433" s="5">
        <f>WEEKDAY(Table1[[#This Row],[Date]])</f>
        <v>5</v>
      </c>
      <c r="D433" s="5">
        <f>MONTH(Table1[[#This Row],[Date]])</f>
        <v>3</v>
      </c>
      <c r="E433" s="5">
        <f>WEEKNUM(Table1[[#This Row],[Date]])</f>
        <v>11</v>
      </c>
      <c r="F433" s="5">
        <f>YEAR(Table1[[#This Row],[Date]])</f>
        <v>2021</v>
      </c>
      <c r="G433">
        <v>190</v>
      </c>
      <c r="L433" s="5">
        <v>21</v>
      </c>
      <c r="M433" s="6">
        <v>0.95450000000000002</v>
      </c>
      <c r="N433" s="5">
        <v>1</v>
      </c>
      <c r="O433" s="7">
        <v>4.861111111111111E-4</v>
      </c>
      <c r="P433" s="7">
        <v>1.6666666666666668E-3</v>
      </c>
      <c r="Q433" s="7">
        <v>2.0370370370370369E-3</v>
      </c>
      <c r="R433" s="6">
        <v>0.52380000000000004</v>
      </c>
      <c r="S433" s="8">
        <f>CONVERT(Table1[[#This Row],[Talk Duration (AVG)]]*Table1[[#This Row],[Answered Calls]],"day","hr")</f>
        <v>0.84000000000000008</v>
      </c>
      <c r="T433" s="9">
        <f>Table1[[#This Row],[Actual Workload hours]]*60</f>
        <v>50.400000000000006</v>
      </c>
      <c r="U433" s="9">
        <f>CONVERT(Table1[[#This Row],[Actual]]*Table1[[#This Row],[Talk Duration (AVG)]],"day","hr")</f>
        <v>7.6000000000000014</v>
      </c>
      <c r="V433" s="10">
        <f>Table1[[#This Row],[Required Workload Hours]]*60</f>
        <v>456.00000000000011</v>
      </c>
      <c r="W433" s="9">
        <v>1</v>
      </c>
      <c r="X433" s="9">
        <f t="shared" si="12"/>
        <v>1.1875000000000002</v>
      </c>
      <c r="Y433" s="5">
        <f t="shared" si="13"/>
        <v>1</v>
      </c>
      <c r="Z433" s="8">
        <f>ROUNDUP(Table1[[#This Row],[Actual Heacount]],0)</f>
        <v>1</v>
      </c>
      <c r="AA433" s="8"/>
      <c r="AB433" s="10"/>
      <c r="AC433" s="10"/>
      <c r="AD433" s="10"/>
      <c r="AE433" s="11">
        <v>50.735398920910477</v>
      </c>
      <c r="AF433" s="11">
        <v>258.7331835086452</v>
      </c>
      <c r="AG433" t="s">
        <v>34</v>
      </c>
    </row>
    <row r="434" spans="1:33">
      <c r="A434" s="2">
        <v>44267</v>
      </c>
      <c r="B434" s="5" t="s">
        <v>39</v>
      </c>
      <c r="C434" s="5">
        <f>WEEKDAY(Table1[[#This Row],[Date]])</f>
        <v>6</v>
      </c>
      <c r="D434" s="5">
        <f>MONTH(Table1[[#This Row],[Date]])</f>
        <v>3</v>
      </c>
      <c r="E434" s="5">
        <f>WEEKNUM(Table1[[#This Row],[Date]])</f>
        <v>11</v>
      </c>
      <c r="F434" s="5">
        <f>YEAR(Table1[[#This Row],[Date]])</f>
        <v>2021</v>
      </c>
      <c r="G434">
        <v>429</v>
      </c>
      <c r="L434" s="5">
        <v>156</v>
      </c>
      <c r="M434" s="6">
        <v>0.88139999999999996</v>
      </c>
      <c r="N434" s="5">
        <v>21</v>
      </c>
      <c r="O434" s="7">
        <v>4.861111111111111E-4</v>
      </c>
      <c r="P434" s="7">
        <v>1.8402777777777777E-3</v>
      </c>
      <c r="Q434" s="7">
        <v>2.2685185185185187E-3</v>
      </c>
      <c r="R434" s="6">
        <v>0.42370000000000002</v>
      </c>
      <c r="S434" s="8">
        <f>CONVERT(Table1[[#This Row],[Talk Duration (AVG)]]*Table1[[#This Row],[Answered Calls]],"day","hr")</f>
        <v>6.8899999999999988</v>
      </c>
      <c r="T434" s="9">
        <f>Table1[[#This Row],[Actual Workload hours]]*60</f>
        <v>413.39999999999992</v>
      </c>
      <c r="U434" s="9">
        <f>CONVERT(Table1[[#This Row],[Actual]]*Table1[[#This Row],[Talk Duration (AVG)]],"day","hr")</f>
        <v>18.947500000000002</v>
      </c>
      <c r="V434" s="10">
        <f>Table1[[#This Row],[Required Workload Hours]]*60</f>
        <v>1136.8500000000001</v>
      </c>
      <c r="W434" s="9">
        <v>1.08</v>
      </c>
      <c r="X434" s="9">
        <f t="shared" si="12"/>
        <v>2.9605468750000004</v>
      </c>
      <c r="Y434" s="5">
        <f t="shared" si="13"/>
        <v>2</v>
      </c>
      <c r="Z434" s="8">
        <f>ROUNDUP(Table1[[#This Row],[Actual Heacount]],0)</f>
        <v>2</v>
      </c>
      <c r="AA434" s="8"/>
      <c r="AB434" s="10"/>
      <c r="AC434" s="10"/>
      <c r="AD434" s="10"/>
      <c r="AE434" s="11">
        <v>37.986230865999097</v>
      </c>
      <c r="AF434" s="11">
        <v>251.38835997288521</v>
      </c>
      <c r="AG434" t="s">
        <v>34</v>
      </c>
    </row>
    <row r="435" spans="1:33">
      <c r="A435" s="2">
        <v>44268</v>
      </c>
      <c r="B435" s="5" t="s">
        <v>40</v>
      </c>
      <c r="C435" s="5">
        <f>WEEKDAY(Table1[[#This Row],[Date]])</f>
        <v>7</v>
      </c>
      <c r="D435" s="5">
        <f>MONTH(Table1[[#This Row],[Date]])</f>
        <v>3</v>
      </c>
      <c r="E435" s="5">
        <f>WEEKNUM(Table1[[#This Row],[Date]])</f>
        <v>11</v>
      </c>
      <c r="F435" s="5">
        <f>YEAR(Table1[[#This Row],[Date]])</f>
        <v>2021</v>
      </c>
      <c r="G435">
        <v>121</v>
      </c>
      <c r="L435" s="5">
        <v>147</v>
      </c>
      <c r="M435" s="6">
        <v>0.94230000000000003</v>
      </c>
      <c r="N435" s="5">
        <v>9</v>
      </c>
      <c r="O435" s="7">
        <v>3.3564814814814812E-4</v>
      </c>
      <c r="P435" s="7">
        <v>1.7476851851851852E-3</v>
      </c>
      <c r="Q435" s="7">
        <v>2.5578703703703705E-3</v>
      </c>
      <c r="R435" s="6">
        <v>0.63639999999999997</v>
      </c>
      <c r="S435" s="8">
        <f>CONVERT(Table1[[#This Row],[Talk Duration (AVG)]]*Table1[[#This Row],[Answered Calls]],"day","hr")</f>
        <v>6.1658333333333344</v>
      </c>
      <c r="T435" s="9">
        <f>Table1[[#This Row],[Actual Workload hours]]*60</f>
        <v>369.95000000000005</v>
      </c>
      <c r="U435" s="9">
        <f>CONVERT(Table1[[#This Row],[Actual]]*Table1[[#This Row],[Talk Duration (AVG)]],"day","hr")</f>
        <v>5.075277777777778</v>
      </c>
      <c r="V435" s="10">
        <f>Table1[[#This Row],[Required Workload Hours]]*60</f>
        <v>304.51666666666665</v>
      </c>
      <c r="W435" s="9">
        <v>1</v>
      </c>
      <c r="X435" s="9">
        <f t="shared" si="12"/>
        <v>1</v>
      </c>
      <c r="Y435" s="5">
        <f t="shared" si="13"/>
        <v>2</v>
      </c>
      <c r="Z435" s="8">
        <f>ROUNDUP(Table1[[#This Row],[Actual Heacount]],0)</f>
        <v>1</v>
      </c>
      <c r="AA435" s="8"/>
      <c r="AB435" s="10"/>
      <c r="AC435" s="10"/>
      <c r="AD435" s="10"/>
      <c r="AE435" s="11">
        <v>31.767202288251841</v>
      </c>
      <c r="AF435" s="11">
        <v>259.92533401561292</v>
      </c>
      <c r="AG435" t="s">
        <v>34</v>
      </c>
    </row>
    <row r="436" spans="1:33">
      <c r="A436" s="2">
        <v>44269</v>
      </c>
      <c r="B436" s="5" t="s">
        <v>33</v>
      </c>
      <c r="C436" s="5">
        <f>WEEKDAY(Table1[[#This Row],[Date]])</f>
        <v>1</v>
      </c>
      <c r="D436" s="5">
        <f>MONTH(Table1[[#This Row],[Date]])</f>
        <v>3</v>
      </c>
      <c r="E436" s="5">
        <f>WEEKNUM(Table1[[#This Row],[Date]])</f>
        <v>12</v>
      </c>
      <c r="F436" s="5">
        <f>YEAR(Table1[[#This Row],[Date]])</f>
        <v>2021</v>
      </c>
      <c r="G436">
        <v>35</v>
      </c>
      <c r="L436" s="5">
        <v>121</v>
      </c>
      <c r="M436" s="6">
        <v>0.98370000000000002</v>
      </c>
      <c r="N436" s="5">
        <v>2</v>
      </c>
      <c r="O436" s="7">
        <v>3.0092592592592595E-4</v>
      </c>
      <c r="P436" s="7">
        <v>1.712962962962963E-3</v>
      </c>
      <c r="Q436" s="7">
        <v>2.4189814814814816E-3</v>
      </c>
      <c r="R436" s="6">
        <v>0.64229999999999998</v>
      </c>
      <c r="S436" s="8">
        <f>CONVERT(Table1[[#This Row],[Talk Duration (AVG)]]*Table1[[#This Row],[Answered Calls]],"day","hr")</f>
        <v>4.974444444444444</v>
      </c>
      <c r="T436" s="9">
        <f>Table1[[#This Row],[Actual Workload hours]]*60</f>
        <v>298.46666666666664</v>
      </c>
      <c r="U436" s="9">
        <f>CONVERT(Table1[[#This Row],[Actual]]*Table1[[#This Row],[Talk Duration (AVG)]],"day","hr")</f>
        <v>1.4388888888888889</v>
      </c>
      <c r="V436" s="10">
        <f>Table1[[#This Row],[Required Workload Hours]]*60</f>
        <v>86.333333333333329</v>
      </c>
      <c r="W436" s="9">
        <v>1</v>
      </c>
      <c r="X436" s="9">
        <f t="shared" si="12"/>
        <v>1</v>
      </c>
      <c r="Y436" s="5">
        <f t="shared" si="13"/>
        <v>2</v>
      </c>
      <c r="Z436" s="8">
        <f>ROUNDUP(Table1[[#This Row],[Actual Heacount]],0)</f>
        <v>1</v>
      </c>
      <c r="AA436" s="8"/>
      <c r="AB436" s="10"/>
      <c r="AC436" s="10"/>
      <c r="AD436" s="10"/>
      <c r="AE436" s="11">
        <v>-55.213241707492131</v>
      </c>
      <c r="AF436" s="11">
        <v>164.93530008561601</v>
      </c>
      <c r="AG436" t="s">
        <v>34</v>
      </c>
    </row>
    <row r="437" spans="1:33">
      <c r="A437" s="2">
        <v>44270</v>
      </c>
      <c r="B437" s="5" t="s">
        <v>35</v>
      </c>
      <c r="C437" s="5">
        <f>WEEKDAY(Table1[[#This Row],[Date]])</f>
        <v>2</v>
      </c>
      <c r="D437" s="5">
        <f>MONTH(Table1[[#This Row],[Date]])</f>
        <v>3</v>
      </c>
      <c r="E437" s="5">
        <f>WEEKNUM(Table1[[#This Row],[Date]])</f>
        <v>12</v>
      </c>
      <c r="F437" s="5">
        <f>YEAR(Table1[[#This Row],[Date]])</f>
        <v>2021</v>
      </c>
      <c r="G437">
        <v>240</v>
      </c>
      <c r="L437" s="5">
        <v>125</v>
      </c>
      <c r="M437" s="6">
        <v>0.96150000000000002</v>
      </c>
      <c r="N437" s="5">
        <v>5</v>
      </c>
      <c r="O437" s="7">
        <v>3.0092592592592595E-4</v>
      </c>
      <c r="P437" s="7">
        <v>1.724537037037037E-3</v>
      </c>
      <c r="Q437" s="7">
        <v>2.4074074074074076E-3</v>
      </c>
      <c r="R437" s="6">
        <v>0.66930000000000001</v>
      </c>
      <c r="S437" s="8">
        <f>CONVERT(Table1[[#This Row],[Talk Duration (AVG)]]*Table1[[#This Row],[Answered Calls]],"day","hr")</f>
        <v>5.1736111111111107</v>
      </c>
      <c r="T437" s="9">
        <f>Table1[[#This Row],[Actual Workload hours]]*60</f>
        <v>310.41666666666663</v>
      </c>
      <c r="U437" s="9">
        <f>CONVERT(Table1[[#This Row],[Actual]]*Table1[[#This Row],[Talk Duration (AVG)]],"day","hr")</f>
        <v>9.9333333333333336</v>
      </c>
      <c r="V437" s="10">
        <f>Table1[[#This Row],[Required Workload Hours]]*60</f>
        <v>596</v>
      </c>
      <c r="W437" s="9">
        <v>1</v>
      </c>
      <c r="X437" s="9">
        <f t="shared" si="12"/>
        <v>1.5520833333333333</v>
      </c>
      <c r="Y437" s="5">
        <f t="shared" si="13"/>
        <v>2</v>
      </c>
      <c r="Z437" s="8">
        <f>ROUNDUP(Table1[[#This Row],[Actual Heacount]],0)</f>
        <v>1</v>
      </c>
      <c r="AA437" s="8"/>
      <c r="AB437" s="10"/>
      <c r="AC437" s="10"/>
      <c r="AD437" s="10"/>
      <c r="AE437" s="11">
        <v>31.96939779503893</v>
      </c>
      <c r="AF437" s="11">
        <v>260.77015278859687</v>
      </c>
      <c r="AG437" t="s">
        <v>34</v>
      </c>
    </row>
    <row r="438" spans="1:33">
      <c r="A438" s="2">
        <v>44271</v>
      </c>
      <c r="B438" s="5" t="s">
        <v>36</v>
      </c>
      <c r="C438" s="5">
        <f>WEEKDAY(Table1[[#This Row],[Date]])</f>
        <v>3</v>
      </c>
      <c r="D438" s="5">
        <f>MONTH(Table1[[#This Row],[Date]])</f>
        <v>3</v>
      </c>
      <c r="E438" s="5">
        <f>WEEKNUM(Table1[[#This Row],[Date]])</f>
        <v>12</v>
      </c>
      <c r="F438" s="5">
        <f>YEAR(Table1[[#This Row],[Date]])</f>
        <v>2021</v>
      </c>
      <c r="G438">
        <v>130</v>
      </c>
      <c r="L438" s="5">
        <v>134</v>
      </c>
      <c r="M438" s="6">
        <v>0.95040000000000002</v>
      </c>
      <c r="N438" s="5">
        <v>7</v>
      </c>
      <c r="O438" s="7">
        <v>4.5138888888888887E-4</v>
      </c>
      <c r="P438" s="7">
        <v>1.7708333333333332E-3</v>
      </c>
      <c r="Q438" s="7">
        <v>2.1759259259259258E-3</v>
      </c>
      <c r="R438" s="6">
        <v>0.56430000000000002</v>
      </c>
      <c r="S438" s="8">
        <f>CONVERT(Table1[[#This Row],[Talk Duration (AVG)]]*Table1[[#This Row],[Answered Calls]],"day","hr")</f>
        <v>5.6950000000000003</v>
      </c>
      <c r="T438" s="9">
        <f>Table1[[#This Row],[Actual Workload hours]]*60</f>
        <v>341.70000000000005</v>
      </c>
      <c r="U438" s="9">
        <f>CONVERT(Table1[[#This Row],[Actual]]*Table1[[#This Row],[Talk Duration (AVG)]],"day","hr")</f>
        <v>5.5250000000000004</v>
      </c>
      <c r="V438" s="10">
        <f>Table1[[#This Row],[Required Workload Hours]]*60</f>
        <v>331.5</v>
      </c>
      <c r="W438" s="9">
        <v>1</v>
      </c>
      <c r="X438" s="9">
        <f t="shared" si="12"/>
        <v>1</v>
      </c>
      <c r="Y438" s="5">
        <f t="shared" si="13"/>
        <v>2</v>
      </c>
      <c r="Z438" s="8">
        <f>ROUNDUP(Table1[[#This Row],[Actual Heacount]],0)</f>
        <v>1</v>
      </c>
      <c r="AA438" s="8"/>
      <c r="AB438" s="10"/>
      <c r="AC438" s="10"/>
      <c r="AD438" s="10"/>
      <c r="AE438" s="11">
        <v>10.508296630011539</v>
      </c>
      <c r="AF438" s="11">
        <v>238.6720831494583</v>
      </c>
      <c r="AG438" t="s">
        <v>34</v>
      </c>
    </row>
    <row r="439" spans="1:33">
      <c r="A439" s="2">
        <v>44272</v>
      </c>
      <c r="B439" s="5" t="s">
        <v>37</v>
      </c>
      <c r="C439" s="5">
        <f>WEEKDAY(Table1[[#This Row],[Date]])</f>
        <v>4</v>
      </c>
      <c r="D439" s="5">
        <f>MONTH(Table1[[#This Row],[Date]])</f>
        <v>3</v>
      </c>
      <c r="E439" s="5">
        <f>WEEKNUM(Table1[[#This Row],[Date]])</f>
        <v>12</v>
      </c>
      <c r="F439" s="5">
        <f>YEAR(Table1[[#This Row],[Date]])</f>
        <v>2021</v>
      </c>
      <c r="G439">
        <v>140</v>
      </c>
      <c r="L439" s="5">
        <v>113</v>
      </c>
      <c r="M439" s="6">
        <v>0.93389999999999995</v>
      </c>
      <c r="N439" s="5">
        <v>8</v>
      </c>
      <c r="O439" s="7">
        <v>4.3981481481481481E-4</v>
      </c>
      <c r="P439" s="7">
        <v>1.8287037037037037E-3</v>
      </c>
      <c r="Q439" s="7">
        <v>2.9861111111111113E-3</v>
      </c>
      <c r="R439" s="6">
        <v>0.50829999999999997</v>
      </c>
      <c r="S439" s="8">
        <f>CONVERT(Table1[[#This Row],[Talk Duration (AVG)]]*Table1[[#This Row],[Answered Calls]],"day","hr")</f>
        <v>4.9594444444444443</v>
      </c>
      <c r="T439" s="9">
        <f>Table1[[#This Row],[Actual Workload hours]]*60</f>
        <v>297.56666666666666</v>
      </c>
      <c r="U439" s="9">
        <f>CONVERT(Table1[[#This Row],[Actual]]*Table1[[#This Row],[Talk Duration (AVG)]],"day","hr")</f>
        <v>6.1444444444444448</v>
      </c>
      <c r="V439" s="10">
        <f>Table1[[#This Row],[Required Workload Hours]]*60</f>
        <v>368.66666666666669</v>
      </c>
      <c r="W439" s="9">
        <v>1</v>
      </c>
      <c r="X439" s="9">
        <f t="shared" si="12"/>
        <v>1</v>
      </c>
      <c r="Y439" s="5">
        <f t="shared" si="13"/>
        <v>2</v>
      </c>
      <c r="Z439" s="8">
        <f>ROUNDUP(Table1[[#This Row],[Actual Heacount]],0)</f>
        <v>1</v>
      </c>
      <c r="AA439" s="8"/>
      <c r="AB439" s="10"/>
      <c r="AC439" s="10"/>
      <c r="AD439" s="10"/>
      <c r="AE439" s="11">
        <v>26.06939240314987</v>
      </c>
      <c r="AF439" s="11">
        <v>248.02608307270901</v>
      </c>
      <c r="AG439" t="s">
        <v>34</v>
      </c>
    </row>
    <row r="440" spans="1:33">
      <c r="A440" s="2">
        <v>44273</v>
      </c>
      <c r="B440" s="5" t="s">
        <v>38</v>
      </c>
      <c r="C440" s="5">
        <f>WEEKDAY(Table1[[#This Row],[Date]])</f>
        <v>5</v>
      </c>
      <c r="D440" s="5">
        <f>MONTH(Table1[[#This Row],[Date]])</f>
        <v>3</v>
      </c>
      <c r="E440" s="5">
        <f>WEEKNUM(Table1[[#This Row],[Date]])</f>
        <v>12</v>
      </c>
      <c r="F440" s="5">
        <f>YEAR(Table1[[#This Row],[Date]])</f>
        <v>2021</v>
      </c>
      <c r="G440">
        <v>131</v>
      </c>
      <c r="L440" s="5">
        <v>31</v>
      </c>
      <c r="M440" s="6">
        <v>0.88570000000000004</v>
      </c>
      <c r="N440" s="5">
        <v>4</v>
      </c>
      <c r="O440" s="7">
        <v>3.9351851851851852E-4</v>
      </c>
      <c r="P440" s="7">
        <v>1.4467592592592592E-3</v>
      </c>
      <c r="Q440" s="7">
        <v>3.1134259259259257E-3</v>
      </c>
      <c r="R440" s="6">
        <v>0.47060000000000002</v>
      </c>
      <c r="S440" s="8">
        <f>CONVERT(Table1[[#This Row],[Talk Duration (AVG)]]*Table1[[#This Row],[Answered Calls]],"day","hr")</f>
        <v>1.0763888888888888</v>
      </c>
      <c r="T440" s="9">
        <f>Table1[[#This Row],[Actual Workload hours]]*60</f>
        <v>64.583333333333329</v>
      </c>
      <c r="U440" s="9">
        <f>CONVERT(Table1[[#This Row],[Actual]]*Table1[[#This Row],[Talk Duration (AVG)]],"day","hr")</f>
        <v>4.5486111111111107</v>
      </c>
      <c r="V440" s="10">
        <f>Table1[[#This Row],[Required Workload Hours]]*60</f>
        <v>272.91666666666663</v>
      </c>
      <c r="W440" s="9">
        <v>1</v>
      </c>
      <c r="X440" s="9">
        <f t="shared" si="12"/>
        <v>1</v>
      </c>
      <c r="Y440" s="5">
        <f t="shared" si="13"/>
        <v>1</v>
      </c>
      <c r="Z440" s="8">
        <f>ROUNDUP(Table1[[#This Row],[Actual Heacount]],0)</f>
        <v>1</v>
      </c>
      <c r="AA440" s="8"/>
      <c r="AB440" s="10"/>
      <c r="AC440" s="10"/>
      <c r="AD440" s="10"/>
      <c r="AE440" s="11">
        <v>18.067877357700141</v>
      </c>
      <c r="AF440" s="11">
        <v>235.1056232965708</v>
      </c>
      <c r="AG440" t="s">
        <v>34</v>
      </c>
    </row>
    <row r="441" spans="1:33">
      <c r="A441" s="2">
        <v>44274</v>
      </c>
      <c r="B441" s="5" t="s">
        <v>39</v>
      </c>
      <c r="C441" s="5">
        <f>WEEKDAY(Table1[[#This Row],[Date]])</f>
        <v>6</v>
      </c>
      <c r="D441" s="5">
        <f>MONTH(Table1[[#This Row],[Date]])</f>
        <v>3</v>
      </c>
      <c r="E441" s="5">
        <f>WEEKNUM(Table1[[#This Row],[Date]])</f>
        <v>12</v>
      </c>
      <c r="F441" s="5">
        <f>YEAR(Table1[[#This Row],[Date]])</f>
        <v>2021</v>
      </c>
      <c r="G441">
        <v>74</v>
      </c>
      <c r="L441" s="5">
        <v>226</v>
      </c>
      <c r="M441" s="6">
        <v>0.94169999999999998</v>
      </c>
      <c r="N441" s="5">
        <v>14</v>
      </c>
      <c r="O441" s="7">
        <v>4.1666666666666669E-4</v>
      </c>
      <c r="P441" s="7">
        <v>1.5625000000000001E-3</v>
      </c>
      <c r="Q441" s="7">
        <v>2.8472222222222223E-3</v>
      </c>
      <c r="R441" s="6">
        <v>0.57020000000000004</v>
      </c>
      <c r="S441" s="8">
        <f>CONVERT(Table1[[#This Row],[Talk Duration (AVG)]]*Table1[[#This Row],[Answered Calls]],"day","hr")</f>
        <v>8.4750000000000014</v>
      </c>
      <c r="T441" s="9">
        <f>Table1[[#This Row],[Actual Workload hours]]*60</f>
        <v>508.50000000000011</v>
      </c>
      <c r="U441" s="9">
        <f>CONVERT(Table1[[#This Row],[Actual]]*Table1[[#This Row],[Talk Duration (AVG)]],"day","hr")</f>
        <v>2.7749999999999999</v>
      </c>
      <c r="V441" s="10">
        <f>Table1[[#This Row],[Required Workload Hours]]*60</f>
        <v>166.5</v>
      </c>
      <c r="W441" s="9">
        <v>1.32</v>
      </c>
      <c r="X441" s="9">
        <f t="shared" si="12"/>
        <v>1</v>
      </c>
      <c r="Y441" s="5">
        <f t="shared" si="13"/>
        <v>2</v>
      </c>
      <c r="Z441" s="8">
        <f>ROUNDUP(Table1[[#This Row],[Actual Heacount]],0)</f>
        <v>2</v>
      </c>
      <c r="AA441" s="8"/>
      <c r="AB441" s="10"/>
      <c r="AC441" s="10"/>
      <c r="AD441" s="10"/>
      <c r="AE441" s="11">
        <v>12.26515243625323</v>
      </c>
      <c r="AF441" s="11">
        <v>221.52305854193239</v>
      </c>
      <c r="AG441" t="s">
        <v>34</v>
      </c>
    </row>
    <row r="442" spans="1:33">
      <c r="A442" s="2">
        <v>44275</v>
      </c>
      <c r="B442" s="5" t="s">
        <v>40</v>
      </c>
      <c r="C442" s="5">
        <f>WEEKDAY(Table1[[#This Row],[Date]])</f>
        <v>7</v>
      </c>
      <c r="D442" s="5">
        <f>MONTH(Table1[[#This Row],[Date]])</f>
        <v>3</v>
      </c>
      <c r="E442" s="5">
        <f>WEEKNUM(Table1[[#This Row],[Date]])</f>
        <v>12</v>
      </c>
      <c r="F442" s="5">
        <f>YEAR(Table1[[#This Row],[Date]])</f>
        <v>2021</v>
      </c>
      <c r="G442">
        <v>24</v>
      </c>
      <c r="L442" s="5">
        <v>118</v>
      </c>
      <c r="M442" s="6">
        <v>0.90769999999999995</v>
      </c>
      <c r="N442" s="5">
        <v>12</v>
      </c>
      <c r="O442" s="7">
        <v>3.7037037037037035E-4</v>
      </c>
      <c r="P442" s="7">
        <v>1.6550925925925926E-3</v>
      </c>
      <c r="Q442" s="7">
        <v>2.5462962962962965E-3</v>
      </c>
      <c r="R442" s="6">
        <v>0.57809999999999995</v>
      </c>
      <c r="S442" s="8">
        <f>CONVERT(Table1[[#This Row],[Talk Duration (AVG)]]*Table1[[#This Row],[Answered Calls]],"day","hr")</f>
        <v>4.6872222222222222</v>
      </c>
      <c r="T442" s="9">
        <f>Table1[[#This Row],[Actual Workload hours]]*60</f>
        <v>281.23333333333335</v>
      </c>
      <c r="U442" s="9">
        <f>CONVERT(Table1[[#This Row],[Actual]]*Table1[[#This Row],[Talk Duration (AVG)]],"day","hr")</f>
        <v>0.95333333333333337</v>
      </c>
      <c r="V442" s="10">
        <f>Table1[[#This Row],[Required Workload Hours]]*60</f>
        <v>57.2</v>
      </c>
      <c r="W442" s="9">
        <v>1</v>
      </c>
      <c r="X442" s="9">
        <f t="shared" si="12"/>
        <v>1</v>
      </c>
      <c r="Y442" s="5">
        <f t="shared" si="13"/>
        <v>2</v>
      </c>
      <c r="Z442" s="8">
        <f>ROUNDUP(Table1[[#This Row],[Actual Heacount]],0)</f>
        <v>1</v>
      </c>
      <c r="AA442" s="8"/>
      <c r="AB442" s="10"/>
      <c r="AC442" s="10"/>
      <c r="AD442" s="10"/>
      <c r="AE442" s="11">
        <v>10.67499744221297</v>
      </c>
      <c r="AF442" s="11">
        <v>229.01474676282709</v>
      </c>
      <c r="AG442" t="s">
        <v>34</v>
      </c>
    </row>
    <row r="443" spans="1:33">
      <c r="A443" s="2">
        <v>44276</v>
      </c>
      <c r="B443" s="5" t="s">
        <v>33</v>
      </c>
      <c r="C443" s="5">
        <f>WEEKDAY(Table1[[#This Row],[Date]])</f>
        <v>1</v>
      </c>
      <c r="D443" s="5">
        <f>MONTH(Table1[[#This Row],[Date]])</f>
        <v>3</v>
      </c>
      <c r="E443" s="5">
        <f>WEEKNUM(Table1[[#This Row],[Date]])</f>
        <v>13</v>
      </c>
      <c r="F443" s="5">
        <f>YEAR(Table1[[#This Row],[Date]])</f>
        <v>2021</v>
      </c>
      <c r="G443">
        <v>11</v>
      </c>
      <c r="L443" s="5">
        <v>130</v>
      </c>
      <c r="M443" s="6">
        <v>0.92859999999999998</v>
      </c>
      <c r="N443" s="5">
        <v>10</v>
      </c>
      <c r="O443" s="7">
        <v>3.3564814814814812E-4</v>
      </c>
      <c r="P443" s="7">
        <v>1.7476851851851852E-3</v>
      </c>
      <c r="Q443" s="7">
        <v>5.2662037037037035E-3</v>
      </c>
      <c r="R443" s="6">
        <v>0.62319999999999998</v>
      </c>
      <c r="S443" s="8">
        <f>CONVERT(Table1[[#This Row],[Talk Duration (AVG)]]*Table1[[#This Row],[Answered Calls]],"day","hr")</f>
        <v>5.4527777777777775</v>
      </c>
      <c r="T443" s="9">
        <f>Table1[[#This Row],[Actual Workload hours]]*60</f>
        <v>327.16666666666663</v>
      </c>
      <c r="U443" s="9">
        <f>CONVERT(Table1[[#This Row],[Actual]]*Table1[[#This Row],[Talk Duration (AVG)]],"day","hr")</f>
        <v>0.4613888888888889</v>
      </c>
      <c r="V443" s="10">
        <f>Table1[[#This Row],[Required Workload Hours]]*60</f>
        <v>27.683333333333334</v>
      </c>
      <c r="W443" s="9">
        <v>1</v>
      </c>
      <c r="X443" s="9">
        <f t="shared" si="12"/>
        <v>1</v>
      </c>
      <c r="Y443" s="5">
        <f t="shared" si="13"/>
        <v>2</v>
      </c>
      <c r="Z443" s="8">
        <f>ROUNDUP(Table1[[#This Row],[Actual Heacount]],0)</f>
        <v>1</v>
      </c>
      <c r="AA443" s="8"/>
      <c r="AB443" s="10"/>
      <c r="AC443" s="10"/>
      <c r="AD443" s="10"/>
      <c r="AE443" s="11">
        <v>-74.559065073884952</v>
      </c>
      <c r="AF443" s="11">
        <v>139.78965068101559</v>
      </c>
      <c r="AG443" t="s">
        <v>34</v>
      </c>
    </row>
    <row r="444" spans="1:33">
      <c r="A444" s="2">
        <v>44277</v>
      </c>
      <c r="B444" s="5" t="s">
        <v>35</v>
      </c>
      <c r="C444" s="5">
        <f>WEEKDAY(Table1[[#This Row],[Date]])</f>
        <v>2</v>
      </c>
      <c r="D444" s="5">
        <f>MONTH(Table1[[#This Row],[Date]])</f>
        <v>3</v>
      </c>
      <c r="E444" s="5">
        <f>WEEKNUM(Table1[[#This Row],[Date]])</f>
        <v>13</v>
      </c>
      <c r="F444" s="5">
        <f>YEAR(Table1[[#This Row],[Date]])</f>
        <v>2021</v>
      </c>
      <c r="G444">
        <v>28</v>
      </c>
      <c r="L444" s="5">
        <v>111</v>
      </c>
      <c r="M444" s="6">
        <v>0.84730000000000005</v>
      </c>
      <c r="N444" s="5">
        <v>20</v>
      </c>
      <c r="O444" s="7">
        <v>4.3981481481481481E-4</v>
      </c>
      <c r="P444" s="7">
        <v>2.2685185185185187E-3</v>
      </c>
      <c r="Q444" s="7">
        <v>6.9328703703703705E-3</v>
      </c>
      <c r="R444" s="6">
        <v>0.59689999999999999</v>
      </c>
      <c r="S444" s="8">
        <f>CONVERT(Table1[[#This Row],[Talk Duration (AVG)]]*Table1[[#This Row],[Answered Calls]],"day","hr")</f>
        <v>6.043333333333333</v>
      </c>
      <c r="T444" s="9">
        <f>Table1[[#This Row],[Actual Workload hours]]*60</f>
        <v>362.59999999999997</v>
      </c>
      <c r="U444" s="9">
        <f>CONVERT(Table1[[#This Row],[Actual]]*Table1[[#This Row],[Talk Duration (AVG)]],"day","hr")</f>
        <v>1.5244444444444447</v>
      </c>
      <c r="V444" s="10">
        <f>Table1[[#This Row],[Required Workload Hours]]*60</f>
        <v>91.466666666666683</v>
      </c>
      <c r="W444" s="9">
        <v>1</v>
      </c>
      <c r="X444" s="9">
        <f t="shared" si="12"/>
        <v>1</v>
      </c>
      <c r="Y444" s="5">
        <f t="shared" si="13"/>
        <v>2</v>
      </c>
      <c r="Z444" s="8">
        <f>ROUNDUP(Table1[[#This Row],[Actual Heacount]],0)</f>
        <v>1</v>
      </c>
      <c r="AA444" s="8"/>
      <c r="AB444" s="10"/>
      <c r="AC444" s="10"/>
      <c r="AD444" s="10"/>
      <c r="AE444" s="11">
        <v>14.009513678294301</v>
      </c>
      <c r="AF444" s="11">
        <v>247.3162445981184</v>
      </c>
      <c r="AG444" t="s">
        <v>34</v>
      </c>
    </row>
    <row r="445" spans="1:33">
      <c r="A445" s="2">
        <v>44278</v>
      </c>
      <c r="B445" s="5" t="s">
        <v>36</v>
      </c>
      <c r="C445" s="5">
        <f>WEEKDAY(Table1[[#This Row],[Date]])</f>
        <v>3</v>
      </c>
      <c r="D445" s="5">
        <f>MONTH(Table1[[#This Row],[Date]])</f>
        <v>3</v>
      </c>
      <c r="E445" s="5">
        <f>WEEKNUM(Table1[[#This Row],[Date]])</f>
        <v>13</v>
      </c>
      <c r="F445" s="5">
        <f>YEAR(Table1[[#This Row],[Date]])</f>
        <v>2021</v>
      </c>
      <c r="G445">
        <v>43</v>
      </c>
      <c r="L445" s="5">
        <v>74</v>
      </c>
      <c r="M445" s="6">
        <v>1</v>
      </c>
      <c r="N445" s="5">
        <v>0</v>
      </c>
      <c r="O445" s="7">
        <v>1.5046296296296297E-4</v>
      </c>
      <c r="P445" s="7">
        <v>2.0254629629629629E-3</v>
      </c>
      <c r="Q445" s="7">
        <v>1.3078703703703703E-3</v>
      </c>
      <c r="R445" s="6">
        <v>0.89190000000000003</v>
      </c>
      <c r="S445" s="8">
        <f>CONVERT(Table1[[#This Row],[Talk Duration (AVG)]]*Table1[[#This Row],[Answered Calls]],"day","hr")</f>
        <v>3.5972222222222219</v>
      </c>
      <c r="T445" s="9">
        <f>Table1[[#This Row],[Actual Workload hours]]*60</f>
        <v>215.83333333333331</v>
      </c>
      <c r="U445" s="9">
        <f>CONVERT(Table1[[#This Row],[Actual]]*Table1[[#This Row],[Talk Duration (AVG)]],"day","hr")</f>
        <v>2.0902777777777777</v>
      </c>
      <c r="V445" s="10">
        <f>Table1[[#This Row],[Required Workload Hours]]*60</f>
        <v>125.41666666666666</v>
      </c>
      <c r="W445" s="9">
        <v>1</v>
      </c>
      <c r="X445" s="9">
        <f t="shared" si="12"/>
        <v>1</v>
      </c>
      <c r="Y445" s="5">
        <f t="shared" si="13"/>
        <v>2</v>
      </c>
      <c r="Z445" s="8">
        <f>ROUNDUP(Table1[[#This Row],[Actual Heacount]],0)</f>
        <v>1</v>
      </c>
      <c r="AA445" s="8"/>
      <c r="AB445" s="10"/>
      <c r="AC445" s="10"/>
      <c r="AD445" s="10"/>
      <c r="AE445" s="11">
        <v>6.4628238517915566</v>
      </c>
      <c r="AF445" s="11">
        <v>220.7713260572684</v>
      </c>
      <c r="AG445" t="s">
        <v>34</v>
      </c>
    </row>
    <row r="446" spans="1:33">
      <c r="A446" s="2">
        <v>44279</v>
      </c>
      <c r="B446" s="5" t="s">
        <v>37</v>
      </c>
      <c r="C446" s="5">
        <f>WEEKDAY(Table1[[#This Row],[Date]])</f>
        <v>4</v>
      </c>
      <c r="D446" s="5">
        <f>MONTH(Table1[[#This Row],[Date]])</f>
        <v>3</v>
      </c>
      <c r="E446" s="5">
        <f>WEEKNUM(Table1[[#This Row],[Date]])</f>
        <v>13</v>
      </c>
      <c r="F446" s="5">
        <f>YEAR(Table1[[#This Row],[Date]])</f>
        <v>2021</v>
      </c>
      <c r="G446">
        <v>62</v>
      </c>
      <c r="L446" s="5">
        <v>24</v>
      </c>
      <c r="M446" s="6">
        <v>1</v>
      </c>
      <c r="N446" s="5">
        <v>0</v>
      </c>
      <c r="O446" s="7">
        <v>1.3888888888888889E-4</v>
      </c>
      <c r="P446" s="7">
        <v>1.9328703703703704E-3</v>
      </c>
      <c r="Q446" s="7">
        <v>6.5972222222222224E-4</v>
      </c>
      <c r="R446" s="6">
        <v>0.83330000000000004</v>
      </c>
      <c r="S446" s="8">
        <f>CONVERT(Table1[[#This Row],[Talk Duration (AVG)]]*Table1[[#This Row],[Answered Calls]],"day","hr")</f>
        <v>1.1133333333333333</v>
      </c>
      <c r="T446" s="9">
        <f>Table1[[#This Row],[Actual Workload hours]]*60</f>
        <v>66.8</v>
      </c>
      <c r="U446" s="9">
        <f>CONVERT(Table1[[#This Row],[Actual]]*Table1[[#This Row],[Talk Duration (AVG)]],"day","hr")</f>
        <v>2.8761111111111113</v>
      </c>
      <c r="V446" s="10">
        <f>Table1[[#This Row],[Required Workload Hours]]*60</f>
        <v>172.56666666666666</v>
      </c>
      <c r="W446" s="9">
        <v>1</v>
      </c>
      <c r="X446" s="9">
        <f t="shared" si="12"/>
        <v>1</v>
      </c>
      <c r="Y446" s="5">
        <f t="shared" si="13"/>
        <v>2</v>
      </c>
      <c r="Z446" s="8">
        <f>ROUNDUP(Table1[[#This Row],[Actual Heacount]],0)</f>
        <v>1</v>
      </c>
      <c r="AA446" s="8"/>
      <c r="AB446" s="10"/>
      <c r="AC446" s="10"/>
      <c r="AD446" s="10"/>
      <c r="AE446" s="11">
        <v>22.814465808755479</v>
      </c>
      <c r="AF446" s="11">
        <v>239.30874034365911</v>
      </c>
      <c r="AG446" t="s">
        <v>34</v>
      </c>
    </row>
    <row r="447" spans="1:33">
      <c r="A447" s="2">
        <v>44280</v>
      </c>
      <c r="B447" s="5" t="s">
        <v>38</v>
      </c>
      <c r="C447" s="5">
        <f>WEEKDAY(Table1[[#This Row],[Date]])</f>
        <v>5</v>
      </c>
      <c r="D447" s="5">
        <f>MONTH(Table1[[#This Row],[Date]])</f>
        <v>3</v>
      </c>
      <c r="E447" s="5">
        <f>WEEKNUM(Table1[[#This Row],[Date]])</f>
        <v>13</v>
      </c>
      <c r="F447" s="5">
        <f>YEAR(Table1[[#This Row],[Date]])</f>
        <v>2021</v>
      </c>
      <c r="G447">
        <v>70</v>
      </c>
      <c r="L447" s="5">
        <v>10</v>
      </c>
      <c r="M447" s="6">
        <v>0.90910000000000002</v>
      </c>
      <c r="N447" s="5">
        <v>1</v>
      </c>
      <c r="O447" s="7">
        <v>1.5046296296296297E-4</v>
      </c>
      <c r="P447" s="7">
        <v>1.6666666666666668E-3</v>
      </c>
      <c r="Q447" s="7">
        <v>6.3657407407407413E-4</v>
      </c>
      <c r="R447" s="6">
        <v>0.81820000000000004</v>
      </c>
      <c r="S447" s="8">
        <f>CONVERT(Table1[[#This Row],[Talk Duration (AVG)]]*Table1[[#This Row],[Answered Calls]],"day","hr")</f>
        <v>0.4</v>
      </c>
      <c r="T447" s="9">
        <f>Table1[[#This Row],[Actual Workload hours]]*60</f>
        <v>24</v>
      </c>
      <c r="U447" s="9">
        <f>CONVERT(Table1[[#This Row],[Actual]]*Table1[[#This Row],[Talk Duration (AVG)]],"day","hr")</f>
        <v>2.8</v>
      </c>
      <c r="V447" s="10">
        <f>Table1[[#This Row],[Required Workload Hours]]*60</f>
        <v>168</v>
      </c>
      <c r="W447" s="9">
        <v>1</v>
      </c>
      <c r="X447" s="9">
        <f t="shared" si="12"/>
        <v>1</v>
      </c>
      <c r="Y447" s="5">
        <f t="shared" si="13"/>
        <v>1</v>
      </c>
      <c r="Z447" s="8">
        <f>ROUNDUP(Table1[[#This Row],[Actual Heacount]],0)</f>
        <v>1</v>
      </c>
      <c r="AA447" s="8"/>
      <c r="AB447" s="10"/>
      <c r="AC447" s="10"/>
      <c r="AD447" s="10"/>
      <c r="AE447" s="11">
        <v>8.1984906463172447</v>
      </c>
      <c r="AF447" s="11">
        <v>242.42678033506559</v>
      </c>
      <c r="AG447" t="s">
        <v>34</v>
      </c>
    </row>
    <row r="448" spans="1:33">
      <c r="A448" s="2">
        <v>44281</v>
      </c>
      <c r="B448" s="5" t="s">
        <v>39</v>
      </c>
      <c r="C448" s="5">
        <f>WEEKDAY(Table1[[#This Row],[Date]])</f>
        <v>6</v>
      </c>
      <c r="D448" s="5">
        <f>MONTH(Table1[[#This Row],[Date]])</f>
        <v>3</v>
      </c>
      <c r="E448" s="5">
        <f>WEEKNUM(Table1[[#This Row],[Date]])</f>
        <v>13</v>
      </c>
      <c r="F448" s="5">
        <f>YEAR(Table1[[#This Row],[Date]])</f>
        <v>2021</v>
      </c>
      <c r="G448">
        <v>107</v>
      </c>
      <c r="L448" s="5">
        <v>26</v>
      </c>
      <c r="M448" s="6">
        <v>0.92859999999999998</v>
      </c>
      <c r="N448" s="5">
        <v>2</v>
      </c>
      <c r="O448" s="7">
        <v>1.1574074074074075E-4</v>
      </c>
      <c r="P448" s="7">
        <v>1.736111111111111E-3</v>
      </c>
      <c r="Q448" s="7">
        <v>9.9537037037037042E-4</v>
      </c>
      <c r="R448" s="6">
        <v>0.81479999999999997</v>
      </c>
      <c r="S448" s="8">
        <f>CONVERT(Table1[[#This Row],[Talk Duration (AVG)]]*Table1[[#This Row],[Answered Calls]],"day","hr")</f>
        <v>1.0833333333333333</v>
      </c>
      <c r="T448" s="9">
        <f>Table1[[#This Row],[Actual Workload hours]]*60</f>
        <v>65</v>
      </c>
      <c r="U448" s="9">
        <f>CONVERT(Table1[[#This Row],[Actual]]*Table1[[#This Row],[Talk Duration (AVG)]],"day","hr")</f>
        <v>4.458333333333333</v>
      </c>
      <c r="V448" s="10">
        <f>Table1[[#This Row],[Required Workload Hours]]*60</f>
        <v>267.5</v>
      </c>
      <c r="W448" s="9">
        <v>1</v>
      </c>
      <c r="X448" s="9">
        <f t="shared" si="12"/>
        <v>1</v>
      </c>
      <c r="Y448" s="5">
        <f t="shared" si="13"/>
        <v>2</v>
      </c>
      <c r="Z448" s="8">
        <f>ROUNDUP(Table1[[#This Row],[Actual Heacount]],0)</f>
        <v>1</v>
      </c>
      <c r="AA448" s="8"/>
      <c r="AB448" s="10"/>
      <c r="AC448" s="10"/>
      <c r="AD448" s="10"/>
      <c r="AE448" s="11">
        <v>4.599765501668478</v>
      </c>
      <c r="AF448" s="11">
        <v>234.0158788971338</v>
      </c>
      <c r="AG448" t="s">
        <v>34</v>
      </c>
    </row>
    <row r="449" spans="1:33">
      <c r="A449" s="2">
        <v>44282</v>
      </c>
      <c r="B449" s="5" t="s">
        <v>40</v>
      </c>
      <c r="C449" s="5">
        <f>WEEKDAY(Table1[[#This Row],[Date]])</f>
        <v>7</v>
      </c>
      <c r="D449" s="5">
        <f>MONTH(Table1[[#This Row],[Date]])</f>
        <v>3</v>
      </c>
      <c r="E449" s="5">
        <f>WEEKNUM(Table1[[#This Row],[Date]])</f>
        <v>13</v>
      </c>
      <c r="F449" s="5">
        <f>YEAR(Table1[[#This Row],[Date]])</f>
        <v>2021</v>
      </c>
      <c r="G449">
        <v>91</v>
      </c>
      <c r="L449" s="5">
        <v>43</v>
      </c>
      <c r="M449" s="6">
        <v>1</v>
      </c>
      <c r="N449" s="5">
        <v>0</v>
      </c>
      <c r="O449" s="7">
        <v>9.2592592592592588E-5</v>
      </c>
      <c r="P449" s="7">
        <v>1.6550925925925926E-3</v>
      </c>
      <c r="Q449" s="7">
        <v>6.018518518518519E-4</v>
      </c>
      <c r="R449" s="6">
        <v>0.88370000000000004</v>
      </c>
      <c r="S449" s="8">
        <f>CONVERT(Table1[[#This Row],[Talk Duration (AVG)]]*Table1[[#This Row],[Answered Calls]],"day","hr")</f>
        <v>1.7080555555555557</v>
      </c>
      <c r="T449" s="9">
        <f>Table1[[#This Row],[Actual Workload hours]]*60</f>
        <v>102.48333333333333</v>
      </c>
      <c r="U449" s="9">
        <f>CONVERT(Table1[[#This Row],[Actual]]*Table1[[#This Row],[Talk Duration (AVG)]],"day","hr")</f>
        <v>3.6147222222222215</v>
      </c>
      <c r="V449" s="10">
        <f>Table1[[#This Row],[Required Workload Hours]]*60</f>
        <v>216.8833333333333</v>
      </c>
      <c r="W449" s="9">
        <v>1</v>
      </c>
      <c r="X449" s="9">
        <f t="shared" si="12"/>
        <v>1</v>
      </c>
      <c r="Y449" s="5">
        <f t="shared" si="13"/>
        <v>2</v>
      </c>
      <c r="Z449" s="8">
        <f>ROUNDUP(Table1[[#This Row],[Actual Heacount]],0)</f>
        <v>1</v>
      </c>
      <c r="AA449" s="8"/>
      <c r="AB449" s="10"/>
      <c r="AC449" s="10"/>
      <c r="AD449" s="10"/>
      <c r="AE449" s="11">
        <v>15.726211285186841</v>
      </c>
      <c r="AF449" s="11">
        <v>231.91827653378149</v>
      </c>
      <c r="AG449" t="s">
        <v>34</v>
      </c>
    </row>
    <row r="450" spans="1:33">
      <c r="A450" s="2">
        <v>44283</v>
      </c>
      <c r="B450" s="5" t="s">
        <v>33</v>
      </c>
      <c r="C450" s="5">
        <f>WEEKDAY(Table1[[#This Row],[Date]])</f>
        <v>1</v>
      </c>
      <c r="D450" s="5">
        <f>MONTH(Table1[[#This Row],[Date]])</f>
        <v>3</v>
      </c>
      <c r="E450" s="5">
        <f>WEEKNUM(Table1[[#This Row],[Date]])</f>
        <v>14</v>
      </c>
      <c r="F450" s="5">
        <f>YEAR(Table1[[#This Row],[Date]])</f>
        <v>2021</v>
      </c>
      <c r="G450">
        <v>25</v>
      </c>
      <c r="L450" s="5">
        <v>62</v>
      </c>
      <c r="M450" s="6">
        <v>1</v>
      </c>
      <c r="N450" s="5">
        <v>0</v>
      </c>
      <c r="O450" s="7">
        <v>1.9675925925925926E-4</v>
      </c>
      <c r="P450" s="7">
        <v>1.5277777777777779E-3</v>
      </c>
      <c r="Q450" s="7">
        <v>9.9537037037037042E-4</v>
      </c>
      <c r="R450" s="6">
        <v>0.8226</v>
      </c>
      <c r="S450" s="8">
        <f>CONVERT(Table1[[#This Row],[Talk Duration (AVG)]]*Table1[[#This Row],[Answered Calls]],"day","hr")</f>
        <v>2.2733333333333334</v>
      </c>
      <c r="T450" s="9">
        <f>Table1[[#This Row],[Actual Workload hours]]*60</f>
        <v>136.4</v>
      </c>
      <c r="U450" s="9">
        <f>CONVERT(Table1[[#This Row],[Actual]]*Table1[[#This Row],[Talk Duration (AVG)]],"day","hr")</f>
        <v>0.91666666666666674</v>
      </c>
      <c r="V450" s="10">
        <f>Table1[[#This Row],[Required Workload Hours]]*60</f>
        <v>55.000000000000007</v>
      </c>
      <c r="W450" s="9">
        <v>1</v>
      </c>
      <c r="X450" s="9">
        <f t="shared" si="12"/>
        <v>1</v>
      </c>
      <c r="Y450" s="5">
        <f t="shared" si="13"/>
        <v>2</v>
      </c>
      <c r="Z450" s="8">
        <f>ROUNDUP(Table1[[#This Row],[Actual Heacount]],0)</f>
        <v>1</v>
      </c>
      <c r="AA450" s="8"/>
      <c r="AB450" s="10"/>
      <c r="AC450" s="10"/>
      <c r="AD450" s="10"/>
      <c r="AE450" s="11">
        <v>-69.182506222840672</v>
      </c>
      <c r="AF450" s="11">
        <v>151.7963916847244</v>
      </c>
      <c r="AG450" t="s">
        <v>34</v>
      </c>
    </row>
    <row r="451" spans="1:33">
      <c r="A451" s="2">
        <v>44284</v>
      </c>
      <c r="B451" s="5" t="s">
        <v>35</v>
      </c>
      <c r="C451" s="5">
        <f>WEEKDAY(Table1[[#This Row],[Date]])</f>
        <v>2</v>
      </c>
      <c r="D451" s="5">
        <f>MONTH(Table1[[#This Row],[Date]])</f>
        <v>3</v>
      </c>
      <c r="E451" s="5">
        <f>WEEKNUM(Table1[[#This Row],[Date]])</f>
        <v>14</v>
      </c>
      <c r="F451" s="5">
        <f>YEAR(Table1[[#This Row],[Date]])</f>
        <v>2021</v>
      </c>
      <c r="G451">
        <v>85</v>
      </c>
      <c r="L451" s="5">
        <v>69</v>
      </c>
      <c r="M451" s="6">
        <v>0.98570000000000002</v>
      </c>
      <c r="N451" s="5">
        <v>1</v>
      </c>
      <c r="O451" s="7">
        <v>2.5462962962962961E-4</v>
      </c>
      <c r="P451" s="7">
        <v>1.4583333333333334E-3</v>
      </c>
      <c r="Q451" s="7">
        <v>6.0185185185185185E-3</v>
      </c>
      <c r="R451" s="6">
        <v>0.81430000000000002</v>
      </c>
      <c r="S451" s="8">
        <f>CONVERT(Table1[[#This Row],[Talk Duration (AVG)]]*Table1[[#This Row],[Answered Calls]],"day","hr")</f>
        <v>2.415</v>
      </c>
      <c r="T451" s="9">
        <f>Table1[[#This Row],[Actual Workload hours]]*60</f>
        <v>144.9</v>
      </c>
      <c r="U451" s="9">
        <f>CONVERT(Table1[[#This Row],[Actual]]*Table1[[#This Row],[Talk Duration (AVG)]],"day","hr")</f>
        <v>2.9750000000000001</v>
      </c>
      <c r="V451" s="10">
        <f>Table1[[#This Row],[Required Workload Hours]]*60</f>
        <v>178.5</v>
      </c>
      <c r="W451" s="9">
        <v>1</v>
      </c>
      <c r="X451" s="9">
        <f t="shared" ref="X451:X514" si="14">IF(V451&lt;384,1,(V451/384))</f>
        <v>1</v>
      </c>
      <c r="Y451" s="5">
        <f t="shared" ref="Y451:Y514" si="15">IF(B451="Sunday",1,2)</f>
        <v>2</v>
      </c>
      <c r="Z451" s="8">
        <f>ROUNDUP(Table1[[#This Row],[Actual Heacount]],0)</f>
        <v>1</v>
      </c>
      <c r="AA451" s="8"/>
      <c r="AB451" s="10"/>
      <c r="AC451" s="10"/>
      <c r="AD451" s="10"/>
      <c r="AE451" s="11">
        <v>23.438238361461892</v>
      </c>
      <c r="AF451" s="11">
        <v>242.03008781885981</v>
      </c>
      <c r="AG451" t="s">
        <v>34</v>
      </c>
    </row>
    <row r="452" spans="1:33">
      <c r="A452" s="2">
        <v>44285</v>
      </c>
      <c r="B452" s="5" t="s">
        <v>36</v>
      </c>
      <c r="C452" s="5">
        <f>WEEKDAY(Table1[[#This Row],[Date]])</f>
        <v>3</v>
      </c>
      <c r="D452" s="5">
        <f>MONTH(Table1[[#This Row],[Date]])</f>
        <v>3</v>
      </c>
      <c r="E452" s="5">
        <f>WEEKNUM(Table1[[#This Row],[Date]])</f>
        <v>14</v>
      </c>
      <c r="F452" s="5">
        <f>YEAR(Table1[[#This Row],[Date]])</f>
        <v>2021</v>
      </c>
      <c r="G452">
        <v>91</v>
      </c>
      <c r="L452" s="5">
        <v>97</v>
      </c>
      <c r="M452" s="6">
        <v>0.90649999999999997</v>
      </c>
      <c r="N452" s="5">
        <v>10</v>
      </c>
      <c r="O452" s="7">
        <v>2.4305555555555555E-4</v>
      </c>
      <c r="P452" s="7">
        <v>1.6898148148148148E-3</v>
      </c>
      <c r="Q452" s="7">
        <v>1.8518518518518519E-3</v>
      </c>
      <c r="R452" s="6">
        <v>0.68869999999999998</v>
      </c>
      <c r="S452" s="8">
        <f>CONVERT(Table1[[#This Row],[Talk Duration (AVG)]]*Table1[[#This Row],[Answered Calls]],"day","hr")</f>
        <v>3.9338888888888883</v>
      </c>
      <c r="T452" s="9">
        <f>Table1[[#This Row],[Actual Workload hours]]*60</f>
        <v>236.0333333333333</v>
      </c>
      <c r="U452" s="9">
        <f>CONVERT(Table1[[#This Row],[Actual]]*Table1[[#This Row],[Talk Duration (AVG)]],"day","hr")</f>
        <v>3.690555555555556</v>
      </c>
      <c r="V452" s="10">
        <f>Table1[[#This Row],[Required Workload Hours]]*60</f>
        <v>221.43333333333337</v>
      </c>
      <c r="W452" s="9">
        <v>1</v>
      </c>
      <c r="X452" s="9">
        <f t="shared" si="14"/>
        <v>1</v>
      </c>
      <c r="Y452" s="5">
        <f t="shared" si="15"/>
        <v>2</v>
      </c>
      <c r="Z452" s="8">
        <f>ROUNDUP(Table1[[#This Row],[Actual Heacount]],0)</f>
        <v>1</v>
      </c>
      <c r="AA452" s="8"/>
      <c r="AB452" s="10"/>
      <c r="AC452" s="10"/>
      <c r="AD452" s="10"/>
      <c r="AE452" s="11">
        <v>9.7947773607622572</v>
      </c>
      <c r="AF452" s="11">
        <v>232.2215252571344</v>
      </c>
      <c r="AG452" t="s">
        <v>34</v>
      </c>
    </row>
    <row r="453" spans="1:33">
      <c r="A453" s="2">
        <v>44286</v>
      </c>
      <c r="B453" s="5" t="s">
        <v>37</v>
      </c>
      <c r="C453" s="5">
        <f>WEEKDAY(Table1[[#This Row],[Date]])</f>
        <v>4</v>
      </c>
      <c r="D453" s="5">
        <f>MONTH(Table1[[#This Row],[Date]])</f>
        <v>3</v>
      </c>
      <c r="E453" s="5">
        <f>WEEKNUM(Table1[[#This Row],[Date]])</f>
        <v>14</v>
      </c>
      <c r="F453" s="5">
        <f>YEAR(Table1[[#This Row],[Date]])</f>
        <v>2021</v>
      </c>
      <c r="G453">
        <v>48</v>
      </c>
      <c r="L453" s="5">
        <v>85</v>
      </c>
      <c r="M453" s="6">
        <v>0.93410000000000004</v>
      </c>
      <c r="N453" s="5">
        <v>6</v>
      </c>
      <c r="O453" s="7">
        <v>3.4722222222222224E-4</v>
      </c>
      <c r="P453" s="7">
        <v>1.7013888888888888E-3</v>
      </c>
      <c r="Q453" s="7">
        <v>4.0393518518518521E-3</v>
      </c>
      <c r="R453" s="6">
        <v>0.62639999999999996</v>
      </c>
      <c r="S453" s="8">
        <f>CONVERT(Table1[[#This Row],[Talk Duration (AVG)]]*Table1[[#This Row],[Answered Calls]],"day","hr")</f>
        <v>3.4708333333333328</v>
      </c>
      <c r="T453" s="9">
        <f>Table1[[#This Row],[Actual Workload hours]]*60</f>
        <v>208.24999999999997</v>
      </c>
      <c r="U453" s="9">
        <f>CONVERT(Table1[[#This Row],[Actual]]*Table1[[#This Row],[Talk Duration (AVG)]],"day","hr")</f>
        <v>1.96</v>
      </c>
      <c r="V453" s="10">
        <f>Table1[[#This Row],[Required Workload Hours]]*60</f>
        <v>117.6</v>
      </c>
      <c r="W453" s="9">
        <v>1</v>
      </c>
      <c r="X453" s="9">
        <f t="shared" si="14"/>
        <v>1</v>
      </c>
      <c r="Y453" s="5">
        <f t="shared" si="15"/>
        <v>2</v>
      </c>
      <c r="Z453" s="8">
        <f>ROUNDUP(Table1[[#This Row],[Actual Heacount]],0)</f>
        <v>1</v>
      </c>
      <c r="AA453" s="8"/>
      <c r="AB453" s="10"/>
      <c r="AC453" s="10"/>
      <c r="AD453" s="10"/>
      <c r="AE453" s="11">
        <v>41.755884732416099</v>
      </c>
      <c r="AF453" s="11">
        <v>244.91799781580741</v>
      </c>
      <c r="AG453" t="s">
        <v>34</v>
      </c>
    </row>
    <row r="454" spans="1:33">
      <c r="A454" s="2">
        <v>44287</v>
      </c>
      <c r="B454" s="5" t="s">
        <v>38</v>
      </c>
      <c r="C454" s="5">
        <f>WEEKDAY(Table1[[#This Row],[Date]])</f>
        <v>5</v>
      </c>
      <c r="D454" s="5">
        <f>MONTH(Table1[[#This Row],[Date]])</f>
        <v>4</v>
      </c>
      <c r="E454" s="5">
        <f>WEEKNUM(Table1[[#This Row],[Date]])</f>
        <v>14</v>
      </c>
      <c r="F454" s="5">
        <f>YEAR(Table1[[#This Row],[Date]])</f>
        <v>2021</v>
      </c>
      <c r="G454">
        <v>176</v>
      </c>
      <c r="L454" s="5">
        <v>25</v>
      </c>
      <c r="M454" s="6">
        <v>1</v>
      </c>
      <c r="N454" s="5">
        <v>0</v>
      </c>
      <c r="O454" s="7">
        <v>1.273148148148148E-4</v>
      </c>
      <c r="P454" s="7">
        <v>1.8518518518518519E-3</v>
      </c>
      <c r="Q454" s="7">
        <v>6.3657407407407413E-4</v>
      </c>
      <c r="R454" s="6">
        <v>0.84</v>
      </c>
      <c r="S454" s="8">
        <f>CONVERT(Table1[[#This Row],[Talk Duration (AVG)]]*Table1[[#This Row],[Answered Calls]],"day","hr")</f>
        <v>1.1111111111111112</v>
      </c>
      <c r="T454" s="9">
        <f>Table1[[#This Row],[Actual Workload hours]]*60</f>
        <v>66.666666666666671</v>
      </c>
      <c r="U454" s="9">
        <f>CONVERT(Table1[[#This Row],[Actual]]*Table1[[#This Row],[Talk Duration (AVG)]],"day","hr")</f>
        <v>7.8222222222222229</v>
      </c>
      <c r="V454" s="10">
        <f>Table1[[#This Row],[Required Workload Hours]]*60</f>
        <v>469.33333333333337</v>
      </c>
      <c r="W454" s="9">
        <v>1</v>
      </c>
      <c r="X454" s="9">
        <f t="shared" si="14"/>
        <v>1.2222222222222223</v>
      </c>
      <c r="Y454" s="5">
        <f t="shared" si="15"/>
        <v>1</v>
      </c>
      <c r="Z454" s="8">
        <f>ROUNDUP(Table1[[#This Row],[Actual Heacount]],0)</f>
        <v>1</v>
      </c>
      <c r="AA454" s="8"/>
      <c r="AB454" s="10"/>
      <c r="AC454" s="10"/>
      <c r="AD454" s="10"/>
      <c r="AE454" s="11">
        <v>25.219623025674839</v>
      </c>
      <c r="AF454" s="11">
        <v>241.68800258957691</v>
      </c>
      <c r="AG454" t="s">
        <v>34</v>
      </c>
    </row>
    <row r="455" spans="1:33">
      <c r="A455" s="2">
        <v>44288</v>
      </c>
      <c r="B455" s="5" t="s">
        <v>39</v>
      </c>
      <c r="C455" s="5">
        <f>WEEKDAY(Table1[[#This Row],[Date]])</f>
        <v>6</v>
      </c>
      <c r="D455" s="5">
        <f>MONTH(Table1[[#This Row],[Date]])</f>
        <v>4</v>
      </c>
      <c r="E455" s="5">
        <f>WEEKNUM(Table1[[#This Row],[Date]])</f>
        <v>14</v>
      </c>
      <c r="F455" s="5">
        <f>YEAR(Table1[[#This Row],[Date]])</f>
        <v>2021</v>
      </c>
      <c r="G455">
        <v>132</v>
      </c>
      <c r="L455" s="5">
        <v>79</v>
      </c>
      <c r="M455" s="6">
        <v>0.9294</v>
      </c>
      <c r="N455" s="5">
        <v>6</v>
      </c>
      <c r="O455" s="7">
        <v>2.7777777777777778E-4</v>
      </c>
      <c r="P455" s="7">
        <v>1.7476851851851852E-3</v>
      </c>
      <c r="Q455" s="7">
        <v>2.1643518518518518E-3</v>
      </c>
      <c r="R455" s="6">
        <v>0.72289999999999999</v>
      </c>
      <c r="S455" s="8">
        <f>CONVERT(Table1[[#This Row],[Talk Duration (AVG)]]*Table1[[#This Row],[Answered Calls]],"day","hr")</f>
        <v>3.3136111111111113</v>
      </c>
      <c r="T455" s="9">
        <f>Table1[[#This Row],[Actual Workload hours]]*60</f>
        <v>198.81666666666666</v>
      </c>
      <c r="U455" s="9">
        <f>CONVERT(Table1[[#This Row],[Actual]]*Table1[[#This Row],[Talk Duration (AVG)]],"day","hr")</f>
        <v>5.5366666666666671</v>
      </c>
      <c r="V455" s="10">
        <f>Table1[[#This Row],[Required Workload Hours]]*60</f>
        <v>332.20000000000005</v>
      </c>
      <c r="W455" s="9">
        <v>1</v>
      </c>
      <c r="X455" s="9">
        <f t="shared" si="14"/>
        <v>1</v>
      </c>
      <c r="Y455" s="5">
        <f t="shared" si="15"/>
        <v>2</v>
      </c>
      <c r="Z455" s="8">
        <f>ROUNDUP(Table1[[#This Row],[Actual Heacount]],0)</f>
        <v>1</v>
      </c>
      <c r="AA455" s="8"/>
      <c r="AB455" s="10"/>
      <c r="AC455" s="10"/>
      <c r="AD455" s="10"/>
      <c r="AE455" s="11">
        <v>21.491549584981978</v>
      </c>
      <c r="AF455" s="11">
        <v>244.3153440656136</v>
      </c>
      <c r="AG455" t="s">
        <v>34</v>
      </c>
    </row>
    <row r="456" spans="1:33">
      <c r="A456" s="2">
        <v>44289</v>
      </c>
      <c r="B456" s="5" t="s">
        <v>40</v>
      </c>
      <c r="C456" s="5">
        <f>WEEKDAY(Table1[[#This Row],[Date]])</f>
        <v>7</v>
      </c>
      <c r="D456" s="5">
        <f>MONTH(Table1[[#This Row],[Date]])</f>
        <v>4</v>
      </c>
      <c r="E456" s="5">
        <f>WEEKNUM(Table1[[#This Row],[Date]])</f>
        <v>14</v>
      </c>
      <c r="F456" s="5">
        <f>YEAR(Table1[[#This Row],[Date]])</f>
        <v>2021</v>
      </c>
      <c r="G456">
        <v>151</v>
      </c>
      <c r="L456" s="5">
        <v>83</v>
      </c>
      <c r="M456" s="6">
        <v>0.91210000000000002</v>
      </c>
      <c r="N456" s="5">
        <v>8</v>
      </c>
      <c r="O456" s="7">
        <v>3.0092592592592595E-4</v>
      </c>
      <c r="P456" s="7">
        <v>1.8171296296296297E-3</v>
      </c>
      <c r="Q456" s="7">
        <v>2.5462962962962965E-3</v>
      </c>
      <c r="R456" s="6">
        <v>0.62639999999999996</v>
      </c>
      <c r="S456" s="8">
        <f>CONVERT(Table1[[#This Row],[Talk Duration (AVG)]]*Table1[[#This Row],[Answered Calls]],"day","hr")</f>
        <v>3.6197222222222223</v>
      </c>
      <c r="T456" s="9">
        <f>Table1[[#This Row],[Actual Workload hours]]*60</f>
        <v>217.18333333333334</v>
      </c>
      <c r="U456" s="9">
        <f>CONVERT(Table1[[#This Row],[Actual]]*Table1[[#This Row],[Talk Duration (AVG)]],"day","hr")</f>
        <v>6.5852777777777778</v>
      </c>
      <c r="V456" s="10">
        <f>Table1[[#This Row],[Required Workload Hours]]*60</f>
        <v>395.11666666666667</v>
      </c>
      <c r="W456" s="9">
        <v>1</v>
      </c>
      <c r="X456" s="9">
        <f t="shared" si="14"/>
        <v>1.0289496527777777</v>
      </c>
      <c r="Y456" s="5">
        <f t="shared" si="15"/>
        <v>2</v>
      </c>
      <c r="Z456" s="8">
        <f>ROUNDUP(Table1[[#This Row],[Actual Heacount]],0)</f>
        <v>1</v>
      </c>
      <c r="AA456" s="8"/>
      <c r="AB456" s="10"/>
      <c r="AC456" s="10"/>
      <c r="AD456" s="10"/>
      <c r="AE456" s="11">
        <v>31.808515909540091</v>
      </c>
      <c r="AF456" s="11">
        <v>260.91243501846839</v>
      </c>
      <c r="AG456" t="s">
        <v>34</v>
      </c>
    </row>
    <row r="457" spans="1:33">
      <c r="A457" s="2">
        <v>44290</v>
      </c>
      <c r="B457" s="5" t="s">
        <v>33</v>
      </c>
      <c r="C457" s="5">
        <f>WEEKDAY(Table1[[#This Row],[Date]])</f>
        <v>1</v>
      </c>
      <c r="D457" s="5">
        <f>MONTH(Table1[[#This Row],[Date]])</f>
        <v>4</v>
      </c>
      <c r="E457" s="5">
        <f>WEEKNUM(Table1[[#This Row],[Date]])</f>
        <v>15</v>
      </c>
      <c r="F457" s="5">
        <f>YEAR(Table1[[#This Row],[Date]])</f>
        <v>2021</v>
      </c>
      <c r="G457">
        <v>33</v>
      </c>
      <c r="L457" s="5">
        <v>46</v>
      </c>
      <c r="M457" s="6">
        <v>0.95830000000000004</v>
      </c>
      <c r="N457" s="5">
        <v>2</v>
      </c>
      <c r="O457" s="7">
        <v>1.273148148148148E-4</v>
      </c>
      <c r="P457" s="7">
        <v>1.5393518518518519E-3</v>
      </c>
      <c r="Q457" s="7">
        <v>9.4907407407407408E-4</v>
      </c>
      <c r="R457" s="6">
        <v>0.82979999999999998</v>
      </c>
      <c r="S457" s="8">
        <f>CONVERT(Table1[[#This Row],[Talk Duration (AVG)]]*Table1[[#This Row],[Answered Calls]],"day","hr")</f>
        <v>1.6994444444444445</v>
      </c>
      <c r="T457" s="9">
        <f>Table1[[#This Row],[Actual Workload hours]]*60</f>
        <v>101.96666666666667</v>
      </c>
      <c r="U457" s="9">
        <f>CONVERT(Table1[[#This Row],[Actual]]*Table1[[#This Row],[Talk Duration (AVG)]],"day","hr")</f>
        <v>1.2191666666666667</v>
      </c>
      <c r="V457" s="10">
        <f>Table1[[#This Row],[Required Workload Hours]]*60</f>
        <v>73.150000000000006</v>
      </c>
      <c r="W457" s="9">
        <v>1</v>
      </c>
      <c r="X457" s="9">
        <f t="shared" si="14"/>
        <v>1</v>
      </c>
      <c r="Y457" s="5">
        <f t="shared" si="15"/>
        <v>2</v>
      </c>
      <c r="Z457" s="8">
        <f>ROUNDUP(Table1[[#This Row],[Actual Heacount]],0)</f>
        <v>1</v>
      </c>
      <c r="AA457" s="8"/>
      <c r="AB457" s="10"/>
      <c r="AC457" s="10"/>
      <c r="AD457" s="10"/>
      <c r="AE457" s="11">
        <v>-44.057184107192541</v>
      </c>
      <c r="AF457" s="11">
        <v>168.0992608314898</v>
      </c>
      <c r="AG457" t="s">
        <v>34</v>
      </c>
    </row>
    <row r="458" spans="1:33">
      <c r="A458" s="2">
        <v>44291</v>
      </c>
      <c r="B458" s="5" t="s">
        <v>35</v>
      </c>
      <c r="C458" s="5">
        <f>WEEKDAY(Table1[[#This Row],[Date]])</f>
        <v>2</v>
      </c>
      <c r="D458" s="5">
        <f>MONTH(Table1[[#This Row],[Date]])</f>
        <v>4</v>
      </c>
      <c r="E458" s="5">
        <f>WEEKNUM(Table1[[#This Row],[Date]])</f>
        <v>15</v>
      </c>
      <c r="F458" s="5">
        <f>YEAR(Table1[[#This Row],[Date]])</f>
        <v>2021</v>
      </c>
      <c r="G458">
        <v>143</v>
      </c>
      <c r="L458" s="5">
        <v>11</v>
      </c>
      <c r="M458" s="6">
        <v>0.78569999999999995</v>
      </c>
      <c r="N458" s="5">
        <v>3</v>
      </c>
      <c r="O458" s="7">
        <v>2.0833333333333335E-4</v>
      </c>
      <c r="P458" s="7">
        <v>1.7013888888888888E-3</v>
      </c>
      <c r="Q458" s="7">
        <v>1.9097222222222222E-3</v>
      </c>
      <c r="R458" s="6">
        <v>0.61539999999999995</v>
      </c>
      <c r="S458" s="8">
        <f>CONVERT(Table1[[#This Row],[Talk Duration (AVG)]]*Table1[[#This Row],[Answered Calls]],"day","hr")</f>
        <v>0.4491666666666666</v>
      </c>
      <c r="T458" s="9">
        <f>Table1[[#This Row],[Actual Workload hours]]*60</f>
        <v>26.949999999999996</v>
      </c>
      <c r="U458" s="9">
        <f>CONVERT(Table1[[#This Row],[Actual]]*Table1[[#This Row],[Talk Duration (AVG)]],"day","hr")</f>
        <v>5.8391666666666664</v>
      </c>
      <c r="V458" s="10">
        <f>Table1[[#This Row],[Required Workload Hours]]*60</f>
        <v>350.34999999999997</v>
      </c>
      <c r="W458" s="9">
        <v>1</v>
      </c>
      <c r="X458" s="9">
        <f t="shared" si="14"/>
        <v>1</v>
      </c>
      <c r="Y458" s="5">
        <f t="shared" si="15"/>
        <v>2</v>
      </c>
      <c r="Z458" s="8">
        <f>ROUNDUP(Table1[[#This Row],[Actual Heacount]],0)</f>
        <v>1</v>
      </c>
      <c r="AA458" s="8"/>
      <c r="AB458" s="10"/>
      <c r="AC458" s="10"/>
      <c r="AD458" s="10"/>
      <c r="AE458" s="11">
        <v>44.455974748490327</v>
      </c>
      <c r="AF458" s="11">
        <v>267.83059907382739</v>
      </c>
      <c r="AG458" t="s">
        <v>34</v>
      </c>
    </row>
    <row r="459" spans="1:33">
      <c r="A459" s="2">
        <v>44292</v>
      </c>
      <c r="B459" s="5" t="s">
        <v>36</v>
      </c>
      <c r="C459" s="5">
        <f>WEEKDAY(Table1[[#This Row],[Date]])</f>
        <v>3</v>
      </c>
      <c r="D459" s="5">
        <f>MONTH(Table1[[#This Row],[Date]])</f>
        <v>4</v>
      </c>
      <c r="E459" s="5">
        <f>WEEKNUM(Table1[[#This Row],[Date]])</f>
        <v>15</v>
      </c>
      <c r="F459" s="5">
        <f>YEAR(Table1[[#This Row],[Date]])</f>
        <v>2021</v>
      </c>
      <c r="G459">
        <v>34</v>
      </c>
      <c r="L459" s="5">
        <v>42</v>
      </c>
      <c r="M459" s="6">
        <v>0.97670000000000001</v>
      </c>
      <c r="N459" s="5">
        <v>1</v>
      </c>
      <c r="O459" s="7">
        <v>2.5462962962962961E-4</v>
      </c>
      <c r="P459" s="7">
        <v>1.9328703703703704E-3</v>
      </c>
      <c r="Q459" s="7">
        <v>2.2569444444444442E-3</v>
      </c>
      <c r="R459" s="6">
        <v>0.73809999999999998</v>
      </c>
      <c r="S459" s="8">
        <f>CONVERT(Table1[[#This Row],[Talk Duration (AVG)]]*Table1[[#This Row],[Answered Calls]],"day","hr")</f>
        <v>1.9483333333333337</v>
      </c>
      <c r="T459" s="9">
        <f>Table1[[#This Row],[Actual Workload hours]]*60</f>
        <v>116.90000000000002</v>
      </c>
      <c r="U459" s="9">
        <f>CONVERT(Table1[[#This Row],[Actual]]*Table1[[#This Row],[Talk Duration (AVG)]],"day","hr")</f>
        <v>1.5772222222222223</v>
      </c>
      <c r="V459" s="10">
        <f>Table1[[#This Row],[Required Workload Hours]]*60</f>
        <v>94.63333333333334</v>
      </c>
      <c r="W459" s="9">
        <v>1</v>
      </c>
      <c r="X459" s="9">
        <f t="shared" si="14"/>
        <v>1</v>
      </c>
      <c r="Y459" s="5">
        <f t="shared" si="15"/>
        <v>2</v>
      </c>
      <c r="Z459" s="8">
        <f>ROUNDUP(Table1[[#This Row],[Actual Heacount]],0)</f>
        <v>1</v>
      </c>
      <c r="AA459" s="8"/>
      <c r="AB459" s="10"/>
      <c r="AC459" s="10"/>
      <c r="AD459" s="10"/>
      <c r="AE459" s="11">
        <v>39.493187751517901</v>
      </c>
      <c r="AF459" s="11">
        <v>253.8474746314952</v>
      </c>
      <c r="AG459" t="s">
        <v>34</v>
      </c>
    </row>
    <row r="460" spans="1:33">
      <c r="A460" s="2">
        <v>44293</v>
      </c>
      <c r="B460" s="5" t="s">
        <v>37</v>
      </c>
      <c r="C460" s="5">
        <f>WEEKDAY(Table1[[#This Row],[Date]])</f>
        <v>4</v>
      </c>
      <c r="D460" s="5">
        <f>MONTH(Table1[[#This Row],[Date]])</f>
        <v>4</v>
      </c>
      <c r="E460" s="5">
        <f>WEEKNUM(Table1[[#This Row],[Date]])</f>
        <v>15</v>
      </c>
      <c r="F460" s="5">
        <f>YEAR(Table1[[#This Row],[Date]])</f>
        <v>2021</v>
      </c>
      <c r="G460">
        <v>16</v>
      </c>
      <c r="L460" s="5">
        <v>69</v>
      </c>
      <c r="M460" s="6">
        <v>0.93240000000000001</v>
      </c>
      <c r="N460" s="5">
        <v>5</v>
      </c>
      <c r="O460" s="7">
        <v>2.6620370370370372E-4</v>
      </c>
      <c r="P460" s="7">
        <v>1.7476851851851852E-3</v>
      </c>
      <c r="Q460" s="7">
        <v>3.3333333333333335E-3</v>
      </c>
      <c r="R460" s="6">
        <v>0.7671</v>
      </c>
      <c r="S460" s="8">
        <f>CONVERT(Table1[[#This Row],[Talk Duration (AVG)]]*Table1[[#This Row],[Answered Calls]],"day","hr")</f>
        <v>2.8941666666666666</v>
      </c>
      <c r="T460" s="9">
        <f>Table1[[#This Row],[Actual Workload hours]]*60</f>
        <v>173.65</v>
      </c>
      <c r="U460" s="9">
        <f>CONVERT(Table1[[#This Row],[Actual]]*Table1[[#This Row],[Talk Duration (AVG)]],"day","hr")</f>
        <v>0.6711111111111111</v>
      </c>
      <c r="V460" s="10">
        <f>Table1[[#This Row],[Required Workload Hours]]*60</f>
        <v>40.266666666666666</v>
      </c>
      <c r="W460" s="9">
        <v>1</v>
      </c>
      <c r="X460" s="9">
        <f t="shared" si="14"/>
        <v>1</v>
      </c>
      <c r="Y460" s="5">
        <f t="shared" si="15"/>
        <v>2</v>
      </c>
      <c r="Z460" s="8">
        <f>ROUNDUP(Table1[[#This Row],[Actual Heacount]],0)</f>
        <v>1</v>
      </c>
      <c r="AA460" s="8"/>
      <c r="AB460" s="10"/>
      <c r="AC460" s="10"/>
      <c r="AD460" s="10"/>
      <c r="AE460" s="11">
        <v>51.97288115359575</v>
      </c>
      <c r="AF460" s="11">
        <v>269.47179191334379</v>
      </c>
      <c r="AG460" t="s">
        <v>34</v>
      </c>
    </row>
    <row r="461" spans="1:33">
      <c r="A461" s="2">
        <v>44294</v>
      </c>
      <c r="B461" s="5" t="s">
        <v>38</v>
      </c>
      <c r="C461" s="5">
        <f>WEEKDAY(Table1[[#This Row],[Date]])</f>
        <v>5</v>
      </c>
      <c r="D461" s="5">
        <f>MONTH(Table1[[#This Row],[Date]])</f>
        <v>4</v>
      </c>
      <c r="E461" s="5">
        <f>WEEKNUM(Table1[[#This Row],[Date]])</f>
        <v>15</v>
      </c>
      <c r="F461" s="5">
        <f>YEAR(Table1[[#This Row],[Date]])</f>
        <v>2021</v>
      </c>
      <c r="G461">
        <v>160</v>
      </c>
      <c r="L461" s="5">
        <v>33</v>
      </c>
      <c r="M461" s="6">
        <v>1</v>
      </c>
      <c r="N461" s="5">
        <v>0</v>
      </c>
      <c r="O461" s="7">
        <v>1.6203703703703703E-4</v>
      </c>
      <c r="P461" s="7">
        <v>1.6782407407407408E-3</v>
      </c>
      <c r="Q461" s="7">
        <v>1.0300925925925926E-3</v>
      </c>
      <c r="R461" s="6">
        <v>0.81820000000000004</v>
      </c>
      <c r="S461" s="8">
        <f>CONVERT(Table1[[#This Row],[Talk Duration (AVG)]]*Table1[[#This Row],[Answered Calls]],"day","hr")</f>
        <v>1.3291666666666666</v>
      </c>
      <c r="T461" s="9">
        <f>Table1[[#This Row],[Actual Workload hours]]*60</f>
        <v>79.75</v>
      </c>
      <c r="U461" s="9">
        <f>CONVERT(Table1[[#This Row],[Actual]]*Table1[[#This Row],[Talk Duration (AVG)]],"day","hr")</f>
        <v>6.4444444444444455</v>
      </c>
      <c r="V461" s="10">
        <f>Table1[[#This Row],[Required Workload Hours]]*60</f>
        <v>386.66666666666674</v>
      </c>
      <c r="W461" s="9">
        <v>1</v>
      </c>
      <c r="X461" s="9">
        <f t="shared" si="14"/>
        <v>1.0069444444444446</v>
      </c>
      <c r="Y461" s="5">
        <f t="shared" si="15"/>
        <v>1</v>
      </c>
      <c r="Z461" s="8">
        <f>ROUNDUP(Table1[[#This Row],[Actual Heacount]],0)</f>
        <v>1</v>
      </c>
      <c r="AA461" s="8"/>
      <c r="AB461" s="10"/>
      <c r="AC461" s="10"/>
      <c r="AD461" s="10"/>
      <c r="AE461" s="11">
        <v>49.599201599113243</v>
      </c>
      <c r="AF461" s="11">
        <v>266.34014016150672</v>
      </c>
      <c r="AG461" t="s">
        <v>34</v>
      </c>
    </row>
    <row r="462" spans="1:33">
      <c r="A462" s="2">
        <v>44295</v>
      </c>
      <c r="B462" s="5" t="s">
        <v>39</v>
      </c>
      <c r="C462" s="5">
        <f>WEEKDAY(Table1[[#This Row],[Date]])</f>
        <v>6</v>
      </c>
      <c r="D462" s="5">
        <f>MONTH(Table1[[#This Row],[Date]])</f>
        <v>4</v>
      </c>
      <c r="E462" s="5">
        <f>WEEKNUM(Table1[[#This Row],[Date]])</f>
        <v>15</v>
      </c>
      <c r="F462" s="5">
        <f>YEAR(Table1[[#This Row],[Date]])</f>
        <v>2021</v>
      </c>
      <c r="G462">
        <v>190</v>
      </c>
      <c r="L462" s="5">
        <v>112</v>
      </c>
      <c r="M462" s="6">
        <v>0.9032</v>
      </c>
      <c r="N462" s="5">
        <v>12</v>
      </c>
      <c r="O462" s="7">
        <v>3.0092592592592595E-4</v>
      </c>
      <c r="P462" s="7">
        <v>1.8055555555555555E-3</v>
      </c>
      <c r="Q462" s="7">
        <v>3.8194444444444443E-3</v>
      </c>
      <c r="R462" s="6">
        <v>0.64749999999999996</v>
      </c>
      <c r="S462" s="8">
        <f>CONVERT(Table1[[#This Row],[Talk Duration (AVG)]]*Table1[[#This Row],[Answered Calls]],"day","hr")</f>
        <v>4.8533333333333335</v>
      </c>
      <c r="T462" s="9">
        <f>Table1[[#This Row],[Actual Workload hours]]*60</f>
        <v>291.2</v>
      </c>
      <c r="U462" s="9">
        <f>CONVERT(Table1[[#This Row],[Actual]]*Table1[[#This Row],[Talk Duration (AVG)]],"day","hr")</f>
        <v>8.2333333333333325</v>
      </c>
      <c r="V462" s="10">
        <f>Table1[[#This Row],[Required Workload Hours]]*60</f>
        <v>493.99999999999994</v>
      </c>
      <c r="W462" s="9">
        <v>1</v>
      </c>
      <c r="X462" s="9">
        <f t="shared" si="14"/>
        <v>1.2864583333333333</v>
      </c>
      <c r="Y462" s="5">
        <f t="shared" si="15"/>
        <v>2</v>
      </c>
      <c r="Z462" s="8">
        <f>ROUNDUP(Table1[[#This Row],[Actual Heacount]],0)</f>
        <v>1</v>
      </c>
      <c r="AA462" s="8"/>
      <c r="AB462" s="10"/>
      <c r="AC462" s="10"/>
      <c r="AD462" s="10"/>
      <c r="AE462" s="11">
        <v>44.489799095460228</v>
      </c>
      <c r="AF462" s="11">
        <v>259.83839715327201</v>
      </c>
      <c r="AG462" t="s">
        <v>34</v>
      </c>
    </row>
    <row r="463" spans="1:33">
      <c r="A463" s="2">
        <v>44296</v>
      </c>
      <c r="B463" s="5" t="s">
        <v>40</v>
      </c>
      <c r="C463" s="5">
        <f>WEEKDAY(Table1[[#This Row],[Date]])</f>
        <v>7</v>
      </c>
      <c r="D463" s="5">
        <f>MONTH(Table1[[#This Row],[Date]])</f>
        <v>4</v>
      </c>
      <c r="E463" s="5">
        <f>WEEKNUM(Table1[[#This Row],[Date]])</f>
        <v>15</v>
      </c>
      <c r="F463" s="5">
        <f>YEAR(Table1[[#This Row],[Date]])</f>
        <v>2021</v>
      </c>
      <c r="G463">
        <v>155</v>
      </c>
      <c r="L463" s="5">
        <v>126</v>
      </c>
      <c r="M463" s="6">
        <v>0.96919999999999995</v>
      </c>
      <c r="N463" s="5">
        <v>4</v>
      </c>
      <c r="O463" s="7">
        <v>2.8935185185185184E-4</v>
      </c>
      <c r="P463" s="7">
        <v>1.736111111111111E-3</v>
      </c>
      <c r="Q463" s="7">
        <v>2.0601851851851853E-3</v>
      </c>
      <c r="R463" s="6">
        <v>0.65890000000000004</v>
      </c>
      <c r="S463" s="8">
        <f>CONVERT(Table1[[#This Row],[Talk Duration (AVG)]]*Table1[[#This Row],[Answered Calls]],"day","hr")</f>
        <v>5.25</v>
      </c>
      <c r="T463" s="9">
        <f>Table1[[#This Row],[Actual Workload hours]]*60</f>
        <v>315</v>
      </c>
      <c r="U463" s="9">
        <f>CONVERT(Table1[[#This Row],[Actual]]*Table1[[#This Row],[Talk Duration (AVG)]],"day","hr")</f>
        <v>6.458333333333333</v>
      </c>
      <c r="V463" s="10">
        <f>Table1[[#This Row],[Required Workload Hours]]*60</f>
        <v>387.5</v>
      </c>
      <c r="W463" s="9">
        <v>1</v>
      </c>
      <c r="X463" s="9">
        <f t="shared" si="14"/>
        <v>1.0091145833333333</v>
      </c>
      <c r="Y463" s="5">
        <f t="shared" si="15"/>
        <v>2</v>
      </c>
      <c r="Z463" s="8">
        <f>ROUNDUP(Table1[[#This Row],[Actual Heacount]],0)</f>
        <v>1</v>
      </c>
      <c r="AA463" s="8"/>
      <c r="AB463" s="10"/>
      <c r="AC463" s="10"/>
      <c r="AD463" s="10"/>
      <c r="AE463" s="11">
        <v>50.405017600728797</v>
      </c>
      <c r="AF463" s="11">
        <v>272.48125830864069</v>
      </c>
      <c r="AG463" t="s">
        <v>34</v>
      </c>
    </row>
    <row r="464" spans="1:33">
      <c r="A464" s="2">
        <v>44297</v>
      </c>
      <c r="B464" s="5" t="s">
        <v>33</v>
      </c>
      <c r="C464" s="5">
        <f>WEEKDAY(Table1[[#This Row],[Date]])</f>
        <v>1</v>
      </c>
      <c r="D464" s="5">
        <f>MONTH(Table1[[#This Row],[Date]])</f>
        <v>4</v>
      </c>
      <c r="E464" s="5">
        <f>WEEKNUM(Table1[[#This Row],[Date]])</f>
        <v>16</v>
      </c>
      <c r="F464" s="5">
        <f>YEAR(Table1[[#This Row],[Date]])</f>
        <v>2021</v>
      </c>
      <c r="G464">
        <v>169</v>
      </c>
      <c r="L464" s="5">
        <v>139</v>
      </c>
      <c r="M464" s="6">
        <v>1</v>
      </c>
      <c r="N464" s="5">
        <v>0</v>
      </c>
      <c r="O464" s="7">
        <v>2.0833333333333335E-4</v>
      </c>
      <c r="P464" s="7">
        <v>1.8518518518518519E-3</v>
      </c>
      <c r="Q464" s="7">
        <v>2.1180555555555558E-3</v>
      </c>
      <c r="R464" s="6">
        <v>0.77539999999999998</v>
      </c>
      <c r="S464" s="8">
        <f>CONVERT(Table1[[#This Row],[Talk Duration (AVG)]]*Table1[[#This Row],[Answered Calls]],"day","hr")</f>
        <v>6.177777777777778</v>
      </c>
      <c r="T464" s="9">
        <f>Table1[[#This Row],[Actual Workload hours]]*60</f>
        <v>370.66666666666669</v>
      </c>
      <c r="U464" s="9">
        <f>CONVERT(Table1[[#This Row],[Actual]]*Table1[[#This Row],[Talk Duration (AVG)]],"day","hr")</f>
        <v>7.511111111111112</v>
      </c>
      <c r="V464" s="10">
        <f>Table1[[#This Row],[Required Workload Hours]]*60</f>
        <v>450.66666666666674</v>
      </c>
      <c r="W464" s="9">
        <v>1</v>
      </c>
      <c r="X464" s="9">
        <f t="shared" si="14"/>
        <v>1.1736111111111114</v>
      </c>
      <c r="Y464" s="5">
        <f t="shared" si="15"/>
        <v>2</v>
      </c>
      <c r="Z464" s="8">
        <f>ROUNDUP(Table1[[#This Row],[Actual Heacount]],0)</f>
        <v>1</v>
      </c>
      <c r="AA464" s="8"/>
      <c r="AB464" s="10"/>
      <c r="AC464" s="10"/>
      <c r="AD464" s="10"/>
      <c r="AE464" s="11">
        <v>-41.894146237922207</v>
      </c>
      <c r="AF464" s="11">
        <v>189.02752197453859</v>
      </c>
      <c r="AG464" t="s">
        <v>34</v>
      </c>
    </row>
    <row r="465" spans="1:33">
      <c r="A465" s="2">
        <v>44298</v>
      </c>
      <c r="B465" s="5" t="s">
        <v>35</v>
      </c>
      <c r="C465" s="5">
        <f>WEEKDAY(Table1[[#This Row],[Date]])</f>
        <v>2</v>
      </c>
      <c r="D465" s="5">
        <f>MONTH(Table1[[#This Row],[Date]])</f>
        <v>4</v>
      </c>
      <c r="E465" s="5">
        <f>WEEKNUM(Table1[[#This Row],[Date]])</f>
        <v>16</v>
      </c>
      <c r="F465" s="5">
        <f>YEAR(Table1[[#This Row],[Date]])</f>
        <v>2021</v>
      </c>
      <c r="G465">
        <v>310</v>
      </c>
      <c r="L465" s="5">
        <v>130</v>
      </c>
      <c r="M465" s="6">
        <v>0.94199999999999995</v>
      </c>
      <c r="N465" s="5">
        <v>8</v>
      </c>
      <c r="O465" s="7">
        <v>3.0092592592592595E-4</v>
      </c>
      <c r="P465" s="7">
        <v>1.7013888888888888E-3</v>
      </c>
      <c r="Q465" s="7">
        <v>1.2962962962962963E-3</v>
      </c>
      <c r="R465" s="6">
        <v>0.61480000000000001</v>
      </c>
      <c r="S465" s="8">
        <f>CONVERT(Table1[[#This Row],[Talk Duration (AVG)]]*Table1[[#This Row],[Answered Calls]],"day","hr")</f>
        <v>5.3083333333333336</v>
      </c>
      <c r="T465" s="9">
        <f>Table1[[#This Row],[Actual Workload hours]]*60</f>
        <v>318.5</v>
      </c>
      <c r="U465" s="9">
        <f>CONVERT(Table1[[#This Row],[Actual]]*Table1[[#This Row],[Talk Duration (AVG)]],"day","hr")</f>
        <v>12.658333333333333</v>
      </c>
      <c r="V465" s="10">
        <f>Table1[[#This Row],[Required Workload Hours]]*60</f>
        <v>759.5</v>
      </c>
      <c r="W465" s="9">
        <v>1</v>
      </c>
      <c r="X465" s="9">
        <f t="shared" si="14"/>
        <v>1.9778645833333333</v>
      </c>
      <c r="Y465" s="5">
        <f t="shared" si="15"/>
        <v>2</v>
      </c>
      <c r="Z465" s="8">
        <f>ROUNDUP(Table1[[#This Row],[Actual Heacount]],0)</f>
        <v>1</v>
      </c>
      <c r="AA465" s="8"/>
      <c r="AB465" s="10"/>
      <c r="AC465" s="10"/>
      <c r="AD465" s="10"/>
      <c r="AE465" s="11">
        <v>58.207646974726217</v>
      </c>
      <c r="AF465" s="11">
        <v>283.24393548995039</v>
      </c>
      <c r="AG465" t="s">
        <v>34</v>
      </c>
    </row>
    <row r="466" spans="1:33">
      <c r="A466" s="2">
        <v>44299</v>
      </c>
      <c r="B466" s="5" t="s">
        <v>36</v>
      </c>
      <c r="C466" s="5">
        <f>WEEKDAY(Table1[[#This Row],[Date]])</f>
        <v>3</v>
      </c>
      <c r="D466" s="5">
        <f>MONTH(Table1[[#This Row],[Date]])</f>
        <v>4</v>
      </c>
      <c r="E466" s="5">
        <f>WEEKNUM(Table1[[#This Row],[Date]])</f>
        <v>16</v>
      </c>
      <c r="F466" s="5">
        <f>YEAR(Table1[[#This Row],[Date]])</f>
        <v>2021</v>
      </c>
      <c r="G466">
        <v>100</v>
      </c>
      <c r="L466" s="5">
        <v>119</v>
      </c>
      <c r="M466" s="6">
        <v>0.95199999999999996</v>
      </c>
      <c r="N466" s="5">
        <v>6</v>
      </c>
      <c r="O466" s="7">
        <v>2.5462962962962961E-4</v>
      </c>
      <c r="P466" s="7">
        <v>1.724537037037037E-3</v>
      </c>
      <c r="Q466" s="7">
        <v>2.5462962962962965E-3</v>
      </c>
      <c r="R466" s="6">
        <v>0.68</v>
      </c>
      <c r="S466" s="8">
        <f>CONVERT(Table1[[#This Row],[Talk Duration (AVG)]]*Table1[[#This Row],[Answered Calls]],"day","hr")</f>
        <v>4.9252777777777776</v>
      </c>
      <c r="T466" s="9">
        <f>Table1[[#This Row],[Actual Workload hours]]*60</f>
        <v>295.51666666666665</v>
      </c>
      <c r="U466" s="9">
        <f>CONVERT(Table1[[#This Row],[Actual]]*Table1[[#This Row],[Talk Duration (AVG)]],"day","hr")</f>
        <v>4.1388888888888884</v>
      </c>
      <c r="V466" s="10">
        <f>Table1[[#This Row],[Required Workload Hours]]*60</f>
        <v>248.33333333333331</v>
      </c>
      <c r="W466" s="9">
        <v>1</v>
      </c>
      <c r="X466" s="9">
        <f t="shared" si="14"/>
        <v>1</v>
      </c>
      <c r="Y466" s="5">
        <f t="shared" si="15"/>
        <v>2</v>
      </c>
      <c r="Z466" s="8">
        <f>ROUNDUP(Table1[[#This Row],[Actual Heacount]],0)</f>
        <v>1</v>
      </c>
      <c r="AA466" s="8"/>
      <c r="AB466" s="10"/>
      <c r="AC466" s="10"/>
      <c r="AD466" s="10"/>
      <c r="AE466" s="11">
        <v>43.459559381130639</v>
      </c>
      <c r="AF466" s="11">
        <v>271.25380872451308</v>
      </c>
      <c r="AG466" t="s">
        <v>34</v>
      </c>
    </row>
    <row r="467" spans="1:33">
      <c r="A467" s="2">
        <v>44300</v>
      </c>
      <c r="B467" s="5" t="s">
        <v>37</v>
      </c>
      <c r="C467" s="5">
        <f>WEEKDAY(Table1[[#This Row],[Date]])</f>
        <v>4</v>
      </c>
      <c r="D467" s="5">
        <f>MONTH(Table1[[#This Row],[Date]])</f>
        <v>4</v>
      </c>
      <c r="E467" s="5">
        <f>WEEKNUM(Table1[[#This Row],[Date]])</f>
        <v>16</v>
      </c>
      <c r="F467" s="5">
        <f>YEAR(Table1[[#This Row],[Date]])</f>
        <v>2021</v>
      </c>
      <c r="G467">
        <v>146</v>
      </c>
      <c r="L467" s="5">
        <v>96</v>
      </c>
      <c r="M467" s="6">
        <v>0.97960000000000003</v>
      </c>
      <c r="N467" s="5">
        <v>2</v>
      </c>
      <c r="O467" s="7">
        <v>2.3148148148148149E-4</v>
      </c>
      <c r="P467" s="7">
        <v>1.8055555555555555E-3</v>
      </c>
      <c r="Q467" s="7">
        <v>2.0023148148148148E-3</v>
      </c>
      <c r="R467" s="6">
        <v>0.7732</v>
      </c>
      <c r="S467" s="8">
        <f>CONVERT(Table1[[#This Row],[Talk Duration (AVG)]]*Table1[[#This Row],[Answered Calls]],"day","hr")</f>
        <v>4.16</v>
      </c>
      <c r="T467" s="9">
        <f>Table1[[#This Row],[Actual Workload hours]]*60</f>
        <v>249.60000000000002</v>
      </c>
      <c r="U467" s="9">
        <f>CONVERT(Table1[[#This Row],[Actual]]*Table1[[#This Row],[Talk Duration (AVG)]],"day","hr")</f>
        <v>6.3266666666666653</v>
      </c>
      <c r="V467" s="10">
        <f>Table1[[#This Row],[Required Workload Hours]]*60</f>
        <v>379.59999999999991</v>
      </c>
      <c r="W467" s="9">
        <v>1</v>
      </c>
      <c r="X467" s="9">
        <f t="shared" si="14"/>
        <v>1</v>
      </c>
      <c r="Y467" s="5">
        <f t="shared" si="15"/>
        <v>2</v>
      </c>
      <c r="Z467" s="8">
        <f>ROUNDUP(Table1[[#This Row],[Actual Heacount]],0)</f>
        <v>1</v>
      </c>
      <c r="AA467" s="8"/>
      <c r="AB467" s="10"/>
      <c r="AC467" s="10"/>
      <c r="AD467" s="10"/>
      <c r="AE467" s="11">
        <v>64.701287880454487</v>
      </c>
      <c r="AF467" s="11">
        <v>286.51080144284799</v>
      </c>
      <c r="AG467" t="s">
        <v>34</v>
      </c>
    </row>
    <row r="468" spans="1:33">
      <c r="A468" s="2">
        <v>44301</v>
      </c>
      <c r="B468" s="5" t="s">
        <v>38</v>
      </c>
      <c r="C468" s="5">
        <f>WEEKDAY(Table1[[#This Row],[Date]])</f>
        <v>5</v>
      </c>
      <c r="D468" s="5">
        <f>MONTH(Table1[[#This Row],[Date]])</f>
        <v>4</v>
      </c>
      <c r="E468" s="5">
        <f>WEEKNUM(Table1[[#This Row],[Date]])</f>
        <v>16</v>
      </c>
      <c r="F468" s="5">
        <f>YEAR(Table1[[#This Row],[Date]])</f>
        <v>2021</v>
      </c>
      <c r="G468">
        <v>131</v>
      </c>
      <c r="L468" s="5">
        <v>12</v>
      </c>
      <c r="M468" s="6">
        <v>1</v>
      </c>
      <c r="N468" s="5">
        <v>0</v>
      </c>
      <c r="O468" s="7">
        <v>2.0833333333333335E-4</v>
      </c>
      <c r="P468" s="7">
        <v>2.1643518518518518E-3</v>
      </c>
      <c r="Q468" s="7">
        <v>1.1111111111111111E-3</v>
      </c>
      <c r="R468" s="6">
        <v>0.83330000000000004</v>
      </c>
      <c r="S468" s="8">
        <f>CONVERT(Table1[[#This Row],[Talk Duration (AVG)]]*Table1[[#This Row],[Answered Calls]],"day","hr")</f>
        <v>0.62333333333333329</v>
      </c>
      <c r="T468" s="9">
        <f>Table1[[#This Row],[Actual Workload hours]]*60</f>
        <v>37.4</v>
      </c>
      <c r="U468" s="9">
        <f>CONVERT(Table1[[#This Row],[Actual]]*Table1[[#This Row],[Talk Duration (AVG)]],"day","hr")</f>
        <v>6.8047222222222219</v>
      </c>
      <c r="V468" s="10">
        <f>Table1[[#This Row],[Required Workload Hours]]*60</f>
        <v>408.2833333333333</v>
      </c>
      <c r="W468" s="9">
        <v>1</v>
      </c>
      <c r="X468" s="9">
        <f t="shared" si="14"/>
        <v>1.0632378472222221</v>
      </c>
      <c r="Y468" s="5">
        <f t="shared" si="15"/>
        <v>1</v>
      </c>
      <c r="Z468" s="8">
        <f>ROUNDUP(Table1[[#This Row],[Actual Heacount]],0)</f>
        <v>1</v>
      </c>
      <c r="AA468" s="8"/>
      <c r="AB468" s="10"/>
      <c r="AC468" s="10"/>
      <c r="AD468" s="10"/>
      <c r="AE468" s="11">
        <v>60.843150768047508</v>
      </c>
      <c r="AF468" s="11">
        <v>273.74888285546967</v>
      </c>
      <c r="AG468" t="s">
        <v>34</v>
      </c>
    </row>
    <row r="469" spans="1:33">
      <c r="A469" s="2">
        <v>44302</v>
      </c>
      <c r="B469" s="5" t="s">
        <v>39</v>
      </c>
      <c r="C469" s="5">
        <f>WEEKDAY(Table1[[#This Row],[Date]])</f>
        <v>6</v>
      </c>
      <c r="D469" s="5">
        <f>MONTH(Table1[[#This Row],[Date]])</f>
        <v>4</v>
      </c>
      <c r="E469" s="5">
        <f>WEEKNUM(Table1[[#This Row],[Date]])</f>
        <v>16</v>
      </c>
      <c r="F469" s="5">
        <f>YEAR(Table1[[#This Row],[Date]])</f>
        <v>2021</v>
      </c>
      <c r="G469">
        <v>107</v>
      </c>
      <c r="L469" s="5">
        <v>117</v>
      </c>
      <c r="M469" s="6">
        <v>0.98319999999999996</v>
      </c>
      <c r="N469" s="5">
        <v>2</v>
      </c>
      <c r="O469" s="7">
        <v>2.0833333333333335E-4</v>
      </c>
      <c r="P469" s="7">
        <v>1.8402777777777777E-3</v>
      </c>
      <c r="Q469" s="7">
        <v>1.8865740740740742E-3</v>
      </c>
      <c r="R469" s="6">
        <v>0.78149999999999997</v>
      </c>
      <c r="S469" s="8">
        <f>CONVERT(Table1[[#This Row],[Talk Duration (AVG)]]*Table1[[#This Row],[Answered Calls]],"day","hr")</f>
        <v>5.1675000000000004</v>
      </c>
      <c r="T469" s="9">
        <f>Table1[[#This Row],[Actual Workload hours]]*60</f>
        <v>310.05</v>
      </c>
      <c r="U469" s="9">
        <f>CONVERT(Table1[[#This Row],[Actual]]*Table1[[#This Row],[Talk Duration (AVG)]],"day","hr")</f>
        <v>4.7258333333333331</v>
      </c>
      <c r="V469" s="10">
        <f>Table1[[#This Row],[Required Workload Hours]]*60</f>
        <v>283.55</v>
      </c>
      <c r="W469" s="9">
        <v>1</v>
      </c>
      <c r="X469" s="9">
        <f t="shared" si="14"/>
        <v>1</v>
      </c>
      <c r="Y469" s="5">
        <f t="shared" si="15"/>
        <v>2</v>
      </c>
      <c r="Z469" s="8">
        <f>ROUNDUP(Table1[[#This Row],[Actual Heacount]],0)</f>
        <v>1</v>
      </c>
      <c r="AA469" s="8"/>
      <c r="AB469" s="10"/>
      <c r="AC469" s="10"/>
      <c r="AD469" s="10"/>
      <c r="AE469" s="11">
        <v>48.51099269228424</v>
      </c>
      <c r="AF469" s="11">
        <v>265.3765699839629</v>
      </c>
      <c r="AG469" t="s">
        <v>34</v>
      </c>
    </row>
    <row r="470" spans="1:33">
      <c r="A470" s="2">
        <v>44303</v>
      </c>
      <c r="B470" s="5" t="s">
        <v>40</v>
      </c>
      <c r="C470" s="5">
        <f>WEEKDAY(Table1[[#This Row],[Date]])</f>
        <v>7</v>
      </c>
      <c r="D470" s="5">
        <f>MONTH(Table1[[#This Row],[Date]])</f>
        <v>4</v>
      </c>
      <c r="E470" s="5">
        <f>WEEKNUM(Table1[[#This Row],[Date]])</f>
        <v>16</v>
      </c>
      <c r="F470" s="5">
        <f>YEAR(Table1[[#This Row],[Date]])</f>
        <v>2021</v>
      </c>
      <c r="G470">
        <v>112</v>
      </c>
      <c r="L470" s="5">
        <v>96</v>
      </c>
      <c r="M470" s="6">
        <v>0.96</v>
      </c>
      <c r="N470" s="5">
        <v>4</v>
      </c>
      <c r="O470" s="7">
        <v>2.4305555555555555E-4</v>
      </c>
      <c r="P470" s="7">
        <v>1.8171296296296297E-3</v>
      </c>
      <c r="Q470" s="7">
        <v>1.9097222222222222E-3</v>
      </c>
      <c r="R470" s="6">
        <v>0.76</v>
      </c>
      <c r="S470" s="8">
        <f>CONVERT(Table1[[#This Row],[Talk Duration (AVG)]]*Table1[[#This Row],[Answered Calls]],"day","hr")</f>
        <v>4.1866666666666674</v>
      </c>
      <c r="T470" s="9">
        <f>Table1[[#This Row],[Actual Workload hours]]*60</f>
        <v>251.20000000000005</v>
      </c>
      <c r="U470" s="9">
        <f>CONVERT(Table1[[#This Row],[Actual]]*Table1[[#This Row],[Talk Duration (AVG)]],"day","hr")</f>
        <v>4.8844444444444441</v>
      </c>
      <c r="V470" s="10">
        <f>Table1[[#This Row],[Required Workload Hours]]*60</f>
        <v>293.06666666666666</v>
      </c>
      <c r="W470" s="9">
        <v>1</v>
      </c>
      <c r="X470" s="9">
        <f t="shared" si="14"/>
        <v>1</v>
      </c>
      <c r="Y470" s="5">
        <f t="shared" si="15"/>
        <v>2</v>
      </c>
      <c r="Z470" s="8">
        <f>ROUNDUP(Table1[[#This Row],[Actual Heacount]],0)</f>
        <v>1</v>
      </c>
      <c r="AA470" s="8"/>
      <c r="AB470" s="10"/>
      <c r="AC470" s="10"/>
      <c r="AD470" s="10"/>
      <c r="AE470" s="11">
        <v>65.189295516059204</v>
      </c>
      <c r="AF470" s="11">
        <v>282.80757911787799</v>
      </c>
      <c r="AG470" t="s">
        <v>34</v>
      </c>
    </row>
    <row r="471" spans="1:33">
      <c r="A471" s="2">
        <v>44304</v>
      </c>
      <c r="B471" s="5" t="s">
        <v>33</v>
      </c>
      <c r="C471" s="5">
        <f>WEEKDAY(Table1[[#This Row],[Date]])</f>
        <v>1</v>
      </c>
      <c r="D471" s="5">
        <f>MONTH(Table1[[#This Row],[Date]])</f>
        <v>4</v>
      </c>
      <c r="E471" s="5">
        <f>WEEKNUM(Table1[[#This Row],[Date]])</f>
        <v>17</v>
      </c>
      <c r="F471" s="5">
        <f>YEAR(Table1[[#This Row],[Date]])</f>
        <v>2021</v>
      </c>
      <c r="G471">
        <v>21</v>
      </c>
      <c r="L471" s="5">
        <v>133</v>
      </c>
      <c r="M471" s="6">
        <v>0.91100000000000003</v>
      </c>
      <c r="N471" s="5">
        <v>13</v>
      </c>
      <c r="O471" s="7">
        <v>3.5879629629629629E-4</v>
      </c>
      <c r="P471" s="7">
        <v>1.736111111111111E-3</v>
      </c>
      <c r="Q471" s="7">
        <v>2.5462962962962965E-3</v>
      </c>
      <c r="R471" s="6">
        <v>0.57750000000000001</v>
      </c>
      <c r="S471" s="8">
        <f>CONVERT(Table1[[#This Row],[Talk Duration (AVG)]]*Table1[[#This Row],[Answered Calls]],"day","hr")</f>
        <v>5.541666666666667</v>
      </c>
      <c r="T471" s="9">
        <f>Table1[[#This Row],[Actual Workload hours]]*60</f>
        <v>332.5</v>
      </c>
      <c r="U471" s="9">
        <f>CONVERT(Table1[[#This Row],[Actual]]*Table1[[#This Row],[Talk Duration (AVG)]],"day","hr")</f>
        <v>0.87499999999999989</v>
      </c>
      <c r="V471" s="10">
        <f>Table1[[#This Row],[Required Workload Hours]]*60</f>
        <v>52.499999999999993</v>
      </c>
      <c r="W471" s="9">
        <v>1</v>
      </c>
      <c r="X471" s="9">
        <f t="shared" si="14"/>
        <v>1</v>
      </c>
      <c r="Y471" s="5">
        <f t="shared" si="15"/>
        <v>2</v>
      </c>
      <c r="Z471" s="8">
        <f>ROUNDUP(Table1[[#This Row],[Actual Heacount]],0)</f>
        <v>1</v>
      </c>
      <c r="AA471" s="8"/>
      <c r="AB471" s="10"/>
      <c r="AC471" s="10"/>
      <c r="AD471" s="10"/>
      <c r="AE471" s="11">
        <v>-27.334943640822079</v>
      </c>
      <c r="AF471" s="11">
        <v>190.94855076094441</v>
      </c>
      <c r="AG471" t="s">
        <v>34</v>
      </c>
    </row>
    <row r="472" spans="1:33">
      <c r="A472" s="2">
        <v>44305</v>
      </c>
      <c r="B472" s="5" t="s">
        <v>35</v>
      </c>
      <c r="C472" s="5">
        <f>WEEKDAY(Table1[[#This Row],[Date]])</f>
        <v>2</v>
      </c>
      <c r="D472" s="5">
        <f>MONTH(Table1[[#This Row],[Date]])</f>
        <v>4</v>
      </c>
      <c r="E472" s="5">
        <f>WEEKNUM(Table1[[#This Row],[Date]])</f>
        <v>17</v>
      </c>
      <c r="F472" s="5">
        <f>YEAR(Table1[[#This Row],[Date]])</f>
        <v>2021</v>
      </c>
      <c r="G472">
        <v>125</v>
      </c>
      <c r="L472" s="5">
        <v>127</v>
      </c>
      <c r="M472" s="6">
        <v>0.96950000000000003</v>
      </c>
      <c r="N472" s="5">
        <v>4</v>
      </c>
      <c r="O472" s="7">
        <v>2.5462962962962961E-4</v>
      </c>
      <c r="P472" s="7">
        <v>1.6782407407407408E-3</v>
      </c>
      <c r="Q472" s="7">
        <v>1.712962962962963E-3</v>
      </c>
      <c r="R472" s="6">
        <v>0.72660000000000002</v>
      </c>
      <c r="S472" s="8">
        <f>CONVERT(Table1[[#This Row],[Talk Duration (AVG)]]*Table1[[#This Row],[Answered Calls]],"day","hr")</f>
        <v>5.115277777777778</v>
      </c>
      <c r="T472" s="9">
        <f>Table1[[#This Row],[Actual Workload hours]]*60</f>
        <v>306.91666666666669</v>
      </c>
      <c r="U472" s="9">
        <f>CONVERT(Table1[[#This Row],[Actual]]*Table1[[#This Row],[Talk Duration (AVG)]],"day","hr")</f>
        <v>5.0347222222222223</v>
      </c>
      <c r="V472" s="10">
        <f>Table1[[#This Row],[Required Workload Hours]]*60</f>
        <v>302.08333333333331</v>
      </c>
      <c r="W472" s="9">
        <v>1</v>
      </c>
      <c r="X472" s="9">
        <f t="shared" si="14"/>
        <v>1</v>
      </c>
      <c r="Y472" s="5">
        <f t="shared" si="15"/>
        <v>2</v>
      </c>
      <c r="Z472" s="8">
        <f>ROUNDUP(Table1[[#This Row],[Actual Heacount]],0)</f>
        <v>1</v>
      </c>
      <c r="AA472" s="8"/>
      <c r="AB472" s="10"/>
      <c r="AC472" s="10"/>
      <c r="AD472" s="10"/>
      <c r="AE472" s="11">
        <v>73.12392379813339</v>
      </c>
      <c r="AF472" s="11">
        <v>281.87592167790729</v>
      </c>
      <c r="AG472" t="s">
        <v>34</v>
      </c>
    </row>
    <row r="473" spans="1:33">
      <c r="A473" s="2">
        <v>44306</v>
      </c>
      <c r="B473" s="5" t="s">
        <v>36</v>
      </c>
      <c r="C473" s="5">
        <f>WEEKDAY(Table1[[#This Row],[Date]])</f>
        <v>3</v>
      </c>
      <c r="D473" s="5">
        <f>MONTH(Table1[[#This Row],[Date]])</f>
        <v>4</v>
      </c>
      <c r="E473" s="5">
        <f>WEEKNUM(Table1[[#This Row],[Date]])</f>
        <v>17</v>
      </c>
      <c r="F473" s="5">
        <f>YEAR(Table1[[#This Row],[Date]])</f>
        <v>2021</v>
      </c>
      <c r="G473">
        <v>35</v>
      </c>
      <c r="L473" s="5">
        <v>104</v>
      </c>
      <c r="M473" s="6">
        <v>0.97199999999999998</v>
      </c>
      <c r="N473" s="5">
        <v>3</v>
      </c>
      <c r="O473" s="7">
        <v>9.2592592592592588E-5</v>
      </c>
      <c r="P473" s="7">
        <v>1.7013888888888888E-3</v>
      </c>
      <c r="Q473" s="7">
        <v>1.1111111111111111E-3</v>
      </c>
      <c r="R473" s="6">
        <v>0.92449999999999999</v>
      </c>
      <c r="S473" s="8">
        <f>CONVERT(Table1[[#This Row],[Talk Duration (AVG)]]*Table1[[#This Row],[Answered Calls]],"day","hr")</f>
        <v>4.2466666666666661</v>
      </c>
      <c r="T473" s="9">
        <f>Table1[[#This Row],[Actual Workload hours]]*60</f>
        <v>254.79999999999995</v>
      </c>
      <c r="U473" s="9">
        <f>CONVERT(Table1[[#This Row],[Actual]]*Table1[[#This Row],[Talk Duration (AVG)]],"day","hr")</f>
        <v>1.4291666666666667</v>
      </c>
      <c r="V473" s="10">
        <f>Table1[[#This Row],[Required Workload Hours]]*60</f>
        <v>85.75</v>
      </c>
      <c r="W473" s="9">
        <v>1</v>
      </c>
      <c r="X473" s="9">
        <f t="shared" si="14"/>
        <v>1</v>
      </c>
      <c r="Y473" s="5">
        <f t="shared" si="15"/>
        <v>2</v>
      </c>
      <c r="Z473" s="8">
        <f>ROUNDUP(Table1[[#This Row],[Actual Heacount]],0)</f>
        <v>1</v>
      </c>
      <c r="AA473" s="8"/>
      <c r="AB473" s="10"/>
      <c r="AC473" s="10"/>
      <c r="AD473" s="10"/>
      <c r="AE473" s="11">
        <v>48.007815418952219</v>
      </c>
      <c r="AF473" s="11">
        <v>268.73770129286549</v>
      </c>
      <c r="AG473" t="s">
        <v>34</v>
      </c>
    </row>
    <row r="474" spans="1:33">
      <c r="A474" s="2">
        <v>44307</v>
      </c>
      <c r="B474" s="5" t="s">
        <v>37</v>
      </c>
      <c r="C474" s="5">
        <f>WEEKDAY(Table1[[#This Row],[Date]])</f>
        <v>4</v>
      </c>
      <c r="D474" s="5">
        <f>MONTH(Table1[[#This Row],[Date]])</f>
        <v>4</v>
      </c>
      <c r="E474" s="5">
        <f>WEEKNUM(Table1[[#This Row],[Date]])</f>
        <v>17</v>
      </c>
      <c r="F474" s="5">
        <f>YEAR(Table1[[#This Row],[Date]])</f>
        <v>2021</v>
      </c>
      <c r="G474">
        <v>121</v>
      </c>
      <c r="L474" s="5">
        <v>105</v>
      </c>
      <c r="M474" s="6">
        <v>0.9375</v>
      </c>
      <c r="N474" s="5">
        <v>7</v>
      </c>
      <c r="O474" s="7">
        <v>2.7777777777777778E-4</v>
      </c>
      <c r="P474" s="7">
        <v>1.8287037037037037E-3</v>
      </c>
      <c r="Q474" s="7">
        <v>3.1018518518518517E-3</v>
      </c>
      <c r="R474" s="6">
        <v>0.67269999999999996</v>
      </c>
      <c r="S474" s="8">
        <f>CONVERT(Table1[[#This Row],[Talk Duration (AVG)]]*Table1[[#This Row],[Answered Calls]],"day","hr")</f>
        <v>4.6083333333333334</v>
      </c>
      <c r="T474" s="9">
        <f>Table1[[#This Row],[Actual Workload hours]]*60</f>
        <v>276.5</v>
      </c>
      <c r="U474" s="9">
        <f>CONVERT(Table1[[#This Row],[Actual]]*Table1[[#This Row],[Talk Duration (AVG)]],"day","hr")</f>
        <v>5.3105555555555553</v>
      </c>
      <c r="V474" s="10">
        <f>Table1[[#This Row],[Required Workload Hours]]*60</f>
        <v>318.63333333333333</v>
      </c>
      <c r="W474" s="9">
        <v>1</v>
      </c>
      <c r="X474" s="9">
        <f t="shared" si="14"/>
        <v>1</v>
      </c>
      <c r="Y474" s="5">
        <f t="shared" si="15"/>
        <v>2</v>
      </c>
      <c r="Z474" s="8">
        <f>ROUNDUP(Table1[[#This Row],[Actual Heacount]],0)</f>
        <v>1</v>
      </c>
      <c r="AA474" s="8"/>
      <c r="AB474" s="10"/>
      <c r="AC474" s="10"/>
      <c r="AD474" s="10"/>
      <c r="AE474" s="11">
        <v>64.139920893014519</v>
      </c>
      <c r="AF474" s="11">
        <v>286.64478847219499</v>
      </c>
      <c r="AG474" t="s">
        <v>34</v>
      </c>
    </row>
    <row r="475" spans="1:33">
      <c r="A475" s="2">
        <v>44308</v>
      </c>
      <c r="B475" s="5" t="s">
        <v>38</v>
      </c>
      <c r="C475" s="5">
        <f>WEEKDAY(Table1[[#This Row],[Date]])</f>
        <v>5</v>
      </c>
      <c r="D475" s="5">
        <f>MONTH(Table1[[#This Row],[Date]])</f>
        <v>4</v>
      </c>
      <c r="E475" s="5">
        <f>WEEKNUM(Table1[[#This Row],[Date]])</f>
        <v>17</v>
      </c>
      <c r="F475" s="5">
        <f>YEAR(Table1[[#This Row],[Date]])</f>
        <v>2021</v>
      </c>
      <c r="G475">
        <v>135</v>
      </c>
      <c r="L475" s="5">
        <v>21</v>
      </c>
      <c r="M475" s="6">
        <v>1</v>
      </c>
      <c r="N475" s="5">
        <v>0</v>
      </c>
      <c r="O475" s="7">
        <v>3.7037037037037035E-4</v>
      </c>
      <c r="P475" s="7">
        <v>1.7476851851851852E-3</v>
      </c>
      <c r="Q475" s="7">
        <v>9.837962962962962E-4</v>
      </c>
      <c r="R475" s="6">
        <v>0.52380000000000004</v>
      </c>
      <c r="S475" s="8">
        <f>CONVERT(Table1[[#This Row],[Talk Duration (AVG)]]*Table1[[#This Row],[Answered Calls]],"day","hr")</f>
        <v>0.88083333333333336</v>
      </c>
      <c r="T475" s="9">
        <f>Table1[[#This Row],[Actual Workload hours]]*60</f>
        <v>52.85</v>
      </c>
      <c r="U475" s="9">
        <f>CONVERT(Table1[[#This Row],[Actual]]*Table1[[#This Row],[Talk Duration (AVG)]],"day","hr")</f>
        <v>5.6624999999999996</v>
      </c>
      <c r="V475" s="10">
        <f>Table1[[#This Row],[Required Workload Hours]]*60</f>
        <v>339.75</v>
      </c>
      <c r="W475" s="9">
        <v>1</v>
      </c>
      <c r="X475" s="9">
        <f t="shared" si="14"/>
        <v>1</v>
      </c>
      <c r="Y475" s="5">
        <f t="shared" si="15"/>
        <v>1</v>
      </c>
      <c r="Z475" s="8">
        <f>ROUNDUP(Table1[[#This Row],[Actual Heacount]],0)</f>
        <v>1</v>
      </c>
      <c r="AA475" s="8"/>
      <c r="AB475" s="10"/>
      <c r="AC475" s="10"/>
      <c r="AD475" s="10"/>
      <c r="AE475" s="11">
        <v>67.441401371014308</v>
      </c>
      <c r="AF475" s="11">
        <v>282.96385586296248</v>
      </c>
      <c r="AG475" t="s">
        <v>34</v>
      </c>
    </row>
    <row r="476" spans="1:33">
      <c r="A476" s="2">
        <v>44309</v>
      </c>
      <c r="B476" s="5" t="s">
        <v>39</v>
      </c>
      <c r="C476" s="5">
        <f>WEEKDAY(Table1[[#This Row],[Date]])</f>
        <v>6</v>
      </c>
      <c r="D476" s="5">
        <f>MONTH(Table1[[#This Row],[Date]])</f>
        <v>4</v>
      </c>
      <c r="E476" s="5">
        <f>WEEKNUM(Table1[[#This Row],[Date]])</f>
        <v>17</v>
      </c>
      <c r="F476" s="5">
        <f>YEAR(Table1[[#This Row],[Date]])</f>
        <v>2021</v>
      </c>
      <c r="G476">
        <v>117</v>
      </c>
      <c r="L476" s="5">
        <v>104</v>
      </c>
      <c r="M476" s="6">
        <v>0.83199999999999996</v>
      </c>
      <c r="N476" s="5">
        <v>21</v>
      </c>
      <c r="O476" s="7">
        <v>4.2824074074074075E-4</v>
      </c>
      <c r="P476" s="7">
        <v>1.8981481481481482E-3</v>
      </c>
      <c r="Q476" s="7">
        <v>1.9097222222222222E-3</v>
      </c>
      <c r="R476" s="6">
        <v>0.44629999999999997</v>
      </c>
      <c r="S476" s="8">
        <f>CONVERT(Table1[[#This Row],[Talk Duration (AVG)]]*Table1[[#This Row],[Answered Calls]],"day","hr")</f>
        <v>4.7377777777777776</v>
      </c>
      <c r="T476" s="9">
        <f>Table1[[#This Row],[Actual Workload hours]]*60</f>
        <v>284.26666666666665</v>
      </c>
      <c r="U476" s="9">
        <f>CONVERT(Table1[[#This Row],[Actual]]*Table1[[#This Row],[Talk Duration (AVG)]],"day","hr")</f>
        <v>5.33</v>
      </c>
      <c r="V476" s="10">
        <f>Table1[[#This Row],[Required Workload Hours]]*60</f>
        <v>319.8</v>
      </c>
      <c r="W476" s="9">
        <v>1</v>
      </c>
      <c r="X476" s="9">
        <f t="shared" si="14"/>
        <v>1</v>
      </c>
      <c r="Y476" s="5">
        <f t="shared" si="15"/>
        <v>2</v>
      </c>
      <c r="Z476" s="8">
        <f>ROUNDUP(Table1[[#This Row],[Actual Heacount]],0)</f>
        <v>1</v>
      </c>
      <c r="AA476" s="8"/>
      <c r="AB476" s="10"/>
      <c r="AC476" s="10"/>
      <c r="AD476" s="10"/>
      <c r="AE476" s="11">
        <v>48.933697135737702</v>
      </c>
      <c r="AF476" s="11">
        <v>266.53923192805308</v>
      </c>
      <c r="AG476" t="s">
        <v>34</v>
      </c>
    </row>
    <row r="477" spans="1:33">
      <c r="A477" s="2">
        <v>44310</v>
      </c>
      <c r="B477" s="5" t="s">
        <v>40</v>
      </c>
      <c r="C477" s="5">
        <f>WEEKDAY(Table1[[#This Row],[Date]])</f>
        <v>7</v>
      </c>
      <c r="D477" s="5">
        <f>MONTH(Table1[[#This Row],[Date]])</f>
        <v>4</v>
      </c>
      <c r="E477" s="5">
        <f>WEEKNUM(Table1[[#This Row],[Date]])</f>
        <v>17</v>
      </c>
      <c r="F477" s="5">
        <f>YEAR(Table1[[#This Row],[Date]])</f>
        <v>2021</v>
      </c>
      <c r="G477">
        <v>114</v>
      </c>
      <c r="L477" s="5">
        <v>34</v>
      </c>
      <c r="M477" s="6">
        <v>0.97140000000000004</v>
      </c>
      <c r="N477" s="5">
        <v>1</v>
      </c>
      <c r="O477" s="7">
        <v>2.7777777777777778E-4</v>
      </c>
      <c r="P477" s="7">
        <v>1.5277777777777779E-3</v>
      </c>
      <c r="Q477" s="7">
        <v>1.5740740740740741E-3</v>
      </c>
      <c r="R477" s="6">
        <v>0.7429</v>
      </c>
      <c r="S477" s="8">
        <f>CONVERT(Table1[[#This Row],[Talk Duration (AVG)]]*Table1[[#This Row],[Answered Calls]],"day","hr")</f>
        <v>1.2466666666666666</v>
      </c>
      <c r="T477" s="9">
        <f>Table1[[#This Row],[Actual Workload hours]]*60</f>
        <v>74.8</v>
      </c>
      <c r="U477" s="9">
        <f>CONVERT(Table1[[#This Row],[Actual]]*Table1[[#This Row],[Talk Duration (AVG)]],"day","hr")</f>
        <v>4.18</v>
      </c>
      <c r="V477" s="10">
        <f>Table1[[#This Row],[Required Workload Hours]]*60</f>
        <v>250.79999999999998</v>
      </c>
      <c r="W477" s="9">
        <v>1</v>
      </c>
      <c r="X477" s="9">
        <f t="shared" si="14"/>
        <v>1</v>
      </c>
      <c r="Y477" s="5">
        <f t="shared" si="15"/>
        <v>2</v>
      </c>
      <c r="Z477" s="8">
        <f>ROUNDUP(Table1[[#This Row],[Actual Heacount]],0)</f>
        <v>1</v>
      </c>
      <c r="AA477" s="8"/>
      <c r="AB477" s="10"/>
      <c r="AC477" s="10"/>
      <c r="AD477" s="10"/>
      <c r="AE477" s="11">
        <v>62.968944306679951</v>
      </c>
      <c r="AF477" s="11">
        <v>280.94833114749161</v>
      </c>
      <c r="AG477" t="s">
        <v>34</v>
      </c>
    </row>
    <row r="478" spans="1:33">
      <c r="A478" s="2">
        <v>44311</v>
      </c>
      <c r="B478" s="5" t="s">
        <v>33</v>
      </c>
      <c r="C478" s="5">
        <f>WEEKDAY(Table1[[#This Row],[Date]])</f>
        <v>1</v>
      </c>
      <c r="D478" s="5">
        <f>MONTH(Table1[[#This Row],[Date]])</f>
        <v>4</v>
      </c>
      <c r="E478" s="5">
        <f>WEEKNUM(Table1[[#This Row],[Date]])</f>
        <v>18</v>
      </c>
      <c r="F478" s="5">
        <f>YEAR(Table1[[#This Row],[Date]])</f>
        <v>2021</v>
      </c>
      <c r="G478">
        <v>50</v>
      </c>
      <c r="L478" s="5">
        <v>109</v>
      </c>
      <c r="M478" s="6">
        <v>0.90080000000000005</v>
      </c>
      <c r="N478" s="5">
        <v>12</v>
      </c>
      <c r="O478" s="7">
        <v>4.3981481481481481E-4</v>
      </c>
      <c r="P478" s="7">
        <v>1.7592592592592592E-3</v>
      </c>
      <c r="Q478" s="7">
        <v>3.7152777777777778E-3</v>
      </c>
      <c r="R478" s="6">
        <v>0.53779999999999994</v>
      </c>
      <c r="S478" s="8">
        <f>CONVERT(Table1[[#This Row],[Talk Duration (AVG)]]*Table1[[#This Row],[Answered Calls]],"day","hr")</f>
        <v>4.6022222222222222</v>
      </c>
      <c r="T478" s="9">
        <f>Table1[[#This Row],[Actual Workload hours]]*60</f>
        <v>276.13333333333333</v>
      </c>
      <c r="U478" s="9">
        <f>CONVERT(Table1[[#This Row],[Actual]]*Table1[[#This Row],[Talk Duration (AVG)]],"day","hr")</f>
        <v>2.1111111111111112</v>
      </c>
      <c r="V478" s="10">
        <f>Table1[[#This Row],[Required Workload Hours]]*60</f>
        <v>126.66666666666667</v>
      </c>
      <c r="W478" s="9">
        <v>1</v>
      </c>
      <c r="X478" s="9">
        <f t="shared" si="14"/>
        <v>1</v>
      </c>
      <c r="Y478" s="5">
        <f t="shared" si="15"/>
        <v>2</v>
      </c>
      <c r="Z478" s="8">
        <f>ROUNDUP(Table1[[#This Row],[Actual Heacount]],0)</f>
        <v>1</v>
      </c>
      <c r="AA478" s="8"/>
      <c r="AB478" s="10"/>
      <c r="AC478" s="10"/>
      <c r="AD478" s="10"/>
      <c r="AE478" s="11">
        <v>-26.45059587483367</v>
      </c>
      <c r="AF478" s="11">
        <v>195.0596501929561</v>
      </c>
      <c r="AG478" t="s">
        <v>34</v>
      </c>
    </row>
    <row r="479" spans="1:33">
      <c r="A479" s="2">
        <v>44312</v>
      </c>
      <c r="B479" s="5" t="s">
        <v>35</v>
      </c>
      <c r="C479" s="5">
        <f>WEEKDAY(Table1[[#This Row],[Date]])</f>
        <v>2</v>
      </c>
      <c r="D479" s="5">
        <f>MONTH(Table1[[#This Row],[Date]])</f>
        <v>4</v>
      </c>
      <c r="E479" s="5">
        <f>WEEKNUM(Table1[[#This Row],[Date]])</f>
        <v>18</v>
      </c>
      <c r="F479" s="5">
        <f>YEAR(Table1[[#This Row],[Date]])</f>
        <v>2021</v>
      </c>
      <c r="G479">
        <v>207</v>
      </c>
      <c r="L479" s="5">
        <v>122</v>
      </c>
      <c r="M479" s="6">
        <v>0.90369999999999995</v>
      </c>
      <c r="N479" s="5">
        <v>13</v>
      </c>
      <c r="O479" s="7">
        <v>3.7037037037037035E-4</v>
      </c>
      <c r="P479" s="7">
        <v>1.7824074074074075E-3</v>
      </c>
      <c r="Q479" s="7">
        <v>2.1759259259259258E-3</v>
      </c>
      <c r="R479" s="6">
        <v>0.57579999999999998</v>
      </c>
      <c r="S479" s="8">
        <f>CONVERT(Table1[[#This Row],[Talk Duration (AVG)]]*Table1[[#This Row],[Answered Calls]],"day","hr")</f>
        <v>5.2188888888888885</v>
      </c>
      <c r="T479" s="9">
        <f>Table1[[#This Row],[Actual Workload hours]]*60</f>
        <v>313.13333333333333</v>
      </c>
      <c r="U479" s="9">
        <f>CONVERT(Table1[[#This Row],[Actual]]*Table1[[#This Row],[Talk Duration (AVG)]],"day","hr")</f>
        <v>8.8550000000000004</v>
      </c>
      <c r="V479" s="10">
        <f>Table1[[#This Row],[Required Workload Hours]]*60</f>
        <v>531.30000000000007</v>
      </c>
      <c r="W479" s="9">
        <v>1</v>
      </c>
      <c r="X479" s="9">
        <f t="shared" si="14"/>
        <v>1.3835937500000002</v>
      </c>
      <c r="Y479" s="5">
        <f t="shared" si="15"/>
        <v>2</v>
      </c>
      <c r="Z479" s="8">
        <f>ROUNDUP(Table1[[#This Row],[Actual Heacount]],0)</f>
        <v>1</v>
      </c>
      <c r="AA479" s="8"/>
      <c r="AB479" s="10"/>
      <c r="AC479" s="10"/>
      <c r="AD479" s="10"/>
      <c r="AE479" s="11">
        <v>71.363913966584335</v>
      </c>
      <c r="AF479" s="11">
        <v>290.79721067042459</v>
      </c>
      <c r="AG479" t="s">
        <v>34</v>
      </c>
    </row>
    <row r="480" spans="1:33">
      <c r="A480" s="2">
        <v>44313</v>
      </c>
      <c r="B480" s="5" t="s">
        <v>36</v>
      </c>
      <c r="C480" s="5">
        <f>WEEKDAY(Table1[[#This Row],[Date]])</f>
        <v>3</v>
      </c>
      <c r="D480" s="5">
        <f>MONTH(Table1[[#This Row],[Date]])</f>
        <v>4</v>
      </c>
      <c r="E480" s="5">
        <f>WEEKNUM(Table1[[#This Row],[Date]])</f>
        <v>18</v>
      </c>
      <c r="F480" s="5">
        <f>YEAR(Table1[[#This Row],[Date]])</f>
        <v>2021</v>
      </c>
      <c r="G480">
        <v>189</v>
      </c>
      <c r="L480" s="5">
        <v>114</v>
      </c>
      <c r="M480" s="6">
        <v>0.97440000000000004</v>
      </c>
      <c r="N480" s="5">
        <v>3</v>
      </c>
      <c r="O480" s="7">
        <v>2.5462962962962961E-4</v>
      </c>
      <c r="P480" s="7">
        <v>1.8287037037037037E-3</v>
      </c>
      <c r="Q480" s="7">
        <v>1.7013888888888888E-3</v>
      </c>
      <c r="R480" s="6">
        <v>0.75860000000000005</v>
      </c>
      <c r="S480" s="8">
        <f>CONVERT(Table1[[#This Row],[Talk Duration (AVG)]]*Table1[[#This Row],[Answered Calls]],"day","hr")</f>
        <v>5.003333333333333</v>
      </c>
      <c r="T480" s="9">
        <f>Table1[[#This Row],[Actual Workload hours]]*60</f>
        <v>300.2</v>
      </c>
      <c r="U480" s="9">
        <f>CONVERT(Table1[[#This Row],[Actual]]*Table1[[#This Row],[Talk Duration (AVG)]],"day","hr")</f>
        <v>8.2949999999999999</v>
      </c>
      <c r="V480" s="10">
        <f>Table1[[#This Row],[Required Workload Hours]]*60</f>
        <v>497.7</v>
      </c>
      <c r="W480" s="9">
        <v>1</v>
      </c>
      <c r="X480" s="9">
        <f t="shared" si="14"/>
        <v>1.29609375</v>
      </c>
      <c r="Y480" s="5">
        <f t="shared" si="15"/>
        <v>2</v>
      </c>
      <c r="Z480" s="8">
        <f>ROUNDUP(Table1[[#This Row],[Actual Heacount]],0)</f>
        <v>1</v>
      </c>
      <c r="AA480" s="8"/>
      <c r="AB480" s="10"/>
      <c r="AC480" s="10"/>
      <c r="AD480" s="10"/>
      <c r="AE480" s="11">
        <v>47.267534956366767</v>
      </c>
      <c r="AF480" s="11">
        <v>272.05755926295438</v>
      </c>
      <c r="AG480" t="s">
        <v>34</v>
      </c>
    </row>
    <row r="481" spans="1:33">
      <c r="A481" s="2">
        <v>44314</v>
      </c>
      <c r="B481" s="5" t="s">
        <v>37</v>
      </c>
      <c r="C481" s="5">
        <f>WEEKDAY(Table1[[#This Row],[Date]])</f>
        <v>4</v>
      </c>
      <c r="D481" s="5">
        <f>MONTH(Table1[[#This Row],[Date]])</f>
        <v>4</v>
      </c>
      <c r="E481" s="5">
        <f>WEEKNUM(Table1[[#This Row],[Date]])</f>
        <v>18</v>
      </c>
      <c r="F481" s="5">
        <f>YEAR(Table1[[#This Row],[Date]])</f>
        <v>2021</v>
      </c>
      <c r="G481">
        <v>162</v>
      </c>
      <c r="L481" s="5">
        <v>97</v>
      </c>
      <c r="M481" s="6">
        <v>0.85089999999999999</v>
      </c>
      <c r="N481" s="5">
        <v>17</v>
      </c>
      <c r="O481" s="7">
        <v>4.5138888888888887E-4</v>
      </c>
      <c r="P481" s="7">
        <v>1.9675925925925924E-3</v>
      </c>
      <c r="Q481" s="7">
        <v>5.7407407407407407E-3</v>
      </c>
      <c r="R481" s="6">
        <v>0.45129999999999998</v>
      </c>
      <c r="S481" s="8">
        <f>CONVERT(Table1[[#This Row],[Talk Duration (AVG)]]*Table1[[#This Row],[Answered Calls]],"day","hr")</f>
        <v>4.5805555555555548</v>
      </c>
      <c r="T481" s="9">
        <f>Table1[[#This Row],[Actual Workload hours]]*60</f>
        <v>274.83333333333331</v>
      </c>
      <c r="U481" s="9">
        <f>CONVERT(Table1[[#This Row],[Actual]]*Table1[[#This Row],[Talk Duration (AVG)]],"day","hr")</f>
        <v>7.6499999999999986</v>
      </c>
      <c r="V481" s="10">
        <f>Table1[[#This Row],[Required Workload Hours]]*60</f>
        <v>458.99999999999989</v>
      </c>
      <c r="W481" s="9">
        <v>1</v>
      </c>
      <c r="X481" s="9">
        <f t="shared" si="14"/>
        <v>1.1953124999999998</v>
      </c>
      <c r="Y481" s="5">
        <f t="shared" si="15"/>
        <v>2</v>
      </c>
      <c r="Z481" s="8">
        <f>ROUNDUP(Table1[[#This Row],[Actual Heacount]],0)</f>
        <v>1</v>
      </c>
      <c r="AA481" s="8"/>
      <c r="AB481" s="10"/>
      <c r="AC481" s="10"/>
      <c r="AD481" s="10"/>
      <c r="AE481" s="11">
        <v>71.522977323163488</v>
      </c>
      <c r="AF481" s="11">
        <v>283.53590862698462</v>
      </c>
      <c r="AG481" t="s">
        <v>34</v>
      </c>
    </row>
    <row r="482" spans="1:33">
      <c r="A482" s="2">
        <v>44315</v>
      </c>
      <c r="B482" s="5" t="s">
        <v>38</v>
      </c>
      <c r="C482" s="5">
        <f>WEEKDAY(Table1[[#This Row],[Date]])</f>
        <v>5</v>
      </c>
      <c r="D482" s="5">
        <f>MONTH(Table1[[#This Row],[Date]])</f>
        <v>4</v>
      </c>
      <c r="E482" s="5">
        <f>WEEKNUM(Table1[[#This Row],[Date]])</f>
        <v>18</v>
      </c>
      <c r="F482" s="5">
        <f>YEAR(Table1[[#This Row],[Date]])</f>
        <v>2021</v>
      </c>
      <c r="G482">
        <v>177</v>
      </c>
      <c r="L482" s="5">
        <v>49</v>
      </c>
      <c r="M482" s="6">
        <v>0.98</v>
      </c>
      <c r="N482" s="5">
        <v>1</v>
      </c>
      <c r="O482" s="7">
        <v>4.0509259259259258E-4</v>
      </c>
      <c r="P482" s="7">
        <v>2.0254629629629629E-3</v>
      </c>
      <c r="Q482" s="7">
        <v>1.6435185185185185E-3</v>
      </c>
      <c r="R482" s="6">
        <v>0.52</v>
      </c>
      <c r="S482" s="8">
        <f>CONVERT(Table1[[#This Row],[Talk Duration (AVG)]]*Table1[[#This Row],[Answered Calls]],"day","hr")</f>
        <v>2.3819444444444446</v>
      </c>
      <c r="T482" s="9">
        <f>Table1[[#This Row],[Actual Workload hours]]*60</f>
        <v>142.91666666666669</v>
      </c>
      <c r="U482" s="9">
        <f>CONVERT(Table1[[#This Row],[Actual]]*Table1[[#This Row],[Talk Duration (AVG)]],"day","hr")</f>
        <v>8.6041666666666661</v>
      </c>
      <c r="V482" s="10">
        <f>Table1[[#This Row],[Required Workload Hours]]*60</f>
        <v>516.25</v>
      </c>
      <c r="W482" s="9">
        <v>1</v>
      </c>
      <c r="X482" s="9">
        <f t="shared" si="14"/>
        <v>1.3444010416666667</v>
      </c>
      <c r="Y482" s="5">
        <f t="shared" si="15"/>
        <v>1</v>
      </c>
      <c r="Z482" s="8">
        <f>ROUNDUP(Table1[[#This Row],[Actual Heacount]],0)</f>
        <v>1</v>
      </c>
      <c r="AA482" s="8"/>
      <c r="AB482" s="10"/>
      <c r="AC482" s="10"/>
      <c r="AD482" s="10"/>
      <c r="AE482" s="11">
        <v>61.478541487342191</v>
      </c>
      <c r="AF482" s="11">
        <v>274.42038939357639</v>
      </c>
      <c r="AG482" t="s">
        <v>34</v>
      </c>
    </row>
    <row r="483" spans="1:33">
      <c r="A483" s="2">
        <v>44316</v>
      </c>
      <c r="B483" s="5" t="s">
        <v>39</v>
      </c>
      <c r="C483" s="5">
        <f>WEEKDAY(Table1[[#This Row],[Date]])</f>
        <v>6</v>
      </c>
      <c r="D483" s="5">
        <f>MONTH(Table1[[#This Row],[Date]])</f>
        <v>4</v>
      </c>
      <c r="E483" s="5">
        <f>WEEKNUM(Table1[[#This Row],[Date]])</f>
        <v>18</v>
      </c>
      <c r="F483" s="5">
        <f>YEAR(Table1[[#This Row],[Date]])</f>
        <v>2021</v>
      </c>
      <c r="G483">
        <v>177</v>
      </c>
      <c r="L483" s="5">
        <v>198</v>
      </c>
      <c r="M483" s="6">
        <v>0.95650000000000002</v>
      </c>
      <c r="N483" s="5">
        <v>9</v>
      </c>
      <c r="O483" s="7">
        <v>1.8518518518518518E-4</v>
      </c>
      <c r="P483" s="7">
        <v>1.8865740740740742E-3</v>
      </c>
      <c r="Q483" s="7">
        <v>2.673611111111111E-3</v>
      </c>
      <c r="R483" s="6">
        <v>0.80489999999999995</v>
      </c>
      <c r="S483" s="8">
        <f>CONVERT(Table1[[#This Row],[Talk Duration (AVG)]]*Table1[[#This Row],[Answered Calls]],"day","hr")</f>
        <v>8.9649999999999999</v>
      </c>
      <c r="T483" s="9">
        <f>Table1[[#This Row],[Actual Workload hours]]*60</f>
        <v>537.9</v>
      </c>
      <c r="U483" s="9">
        <f>CONVERT(Table1[[#This Row],[Actual]]*Table1[[#This Row],[Talk Duration (AVG)]],"day","hr")</f>
        <v>8.0141666666666662</v>
      </c>
      <c r="V483" s="10">
        <f>Table1[[#This Row],[Required Workload Hours]]*60</f>
        <v>480.84999999999997</v>
      </c>
      <c r="W483" s="9">
        <v>1.4</v>
      </c>
      <c r="X483" s="9">
        <f t="shared" si="14"/>
        <v>1.2522135416666667</v>
      </c>
      <c r="Y483" s="5">
        <f t="shared" si="15"/>
        <v>2</v>
      </c>
      <c r="Z483" s="8">
        <f>ROUNDUP(Table1[[#This Row],[Actual Heacount]],0)</f>
        <v>2</v>
      </c>
      <c r="AA483" s="8"/>
      <c r="AB483" s="10"/>
      <c r="AC483" s="10"/>
      <c r="AD483" s="10"/>
      <c r="AE483" s="11">
        <v>50.579522601024323</v>
      </c>
      <c r="AF483" s="11">
        <v>272.2075139875372</v>
      </c>
      <c r="AG483" t="s">
        <v>34</v>
      </c>
    </row>
    <row r="484" spans="1:33">
      <c r="A484" s="2">
        <v>44317</v>
      </c>
      <c r="B484" s="5" t="s">
        <v>40</v>
      </c>
      <c r="C484" s="5">
        <f>WEEKDAY(Table1[[#This Row],[Date]])</f>
        <v>7</v>
      </c>
      <c r="D484" s="5">
        <f>MONTH(Table1[[#This Row],[Date]])</f>
        <v>5</v>
      </c>
      <c r="E484" s="5">
        <f>WEEKNUM(Table1[[#This Row],[Date]])</f>
        <v>18</v>
      </c>
      <c r="F484" s="5">
        <f>YEAR(Table1[[#This Row],[Date]])</f>
        <v>2021</v>
      </c>
      <c r="G484">
        <v>162</v>
      </c>
      <c r="L484" s="5">
        <v>183</v>
      </c>
      <c r="M484" s="6">
        <v>0.96830000000000005</v>
      </c>
      <c r="N484" s="5">
        <v>6</v>
      </c>
      <c r="O484" s="7">
        <v>2.4305555555555555E-4</v>
      </c>
      <c r="P484" s="7">
        <v>1.7476851851851852E-3</v>
      </c>
      <c r="Q484" s="7">
        <v>2.7546296296296294E-3</v>
      </c>
      <c r="R484" s="6">
        <v>0.7419</v>
      </c>
      <c r="S484" s="8">
        <f>CONVERT(Table1[[#This Row],[Talk Duration (AVG)]]*Table1[[#This Row],[Answered Calls]],"day","hr")</f>
        <v>7.6758333333333342</v>
      </c>
      <c r="T484" s="9">
        <f>Table1[[#This Row],[Actual Workload hours]]*60</f>
        <v>460.55000000000007</v>
      </c>
      <c r="U484" s="9">
        <f>CONVERT(Table1[[#This Row],[Actual]]*Table1[[#This Row],[Talk Duration (AVG)]],"day","hr")</f>
        <v>6.7949999999999999</v>
      </c>
      <c r="V484" s="10">
        <f>Table1[[#This Row],[Required Workload Hours]]*60</f>
        <v>407.7</v>
      </c>
      <c r="W484" s="9">
        <v>1.2</v>
      </c>
      <c r="X484" s="9">
        <f t="shared" si="14"/>
        <v>1.06171875</v>
      </c>
      <c r="Y484" s="5">
        <f t="shared" si="15"/>
        <v>2</v>
      </c>
      <c r="Z484" s="8">
        <f>ROUNDUP(Table1[[#This Row],[Actual Heacount]],0)</f>
        <v>2</v>
      </c>
      <c r="AA484" s="8"/>
      <c r="AB484" s="10"/>
      <c r="AC484" s="10"/>
      <c r="AD484" s="10"/>
      <c r="AE484" s="11">
        <v>56.026880180307373</v>
      </c>
      <c r="AF484" s="11">
        <v>278.32486216008527</v>
      </c>
      <c r="AG484" t="s">
        <v>34</v>
      </c>
    </row>
    <row r="485" spans="1:33">
      <c r="A485" s="2">
        <v>44318</v>
      </c>
      <c r="B485" s="5" t="s">
        <v>33</v>
      </c>
      <c r="C485" s="5">
        <f>WEEKDAY(Table1[[#This Row],[Date]])</f>
        <v>1</v>
      </c>
      <c r="D485" s="5">
        <f>MONTH(Table1[[#This Row],[Date]])</f>
        <v>5</v>
      </c>
      <c r="E485" s="5">
        <f>WEEKNUM(Table1[[#This Row],[Date]])</f>
        <v>19</v>
      </c>
      <c r="F485" s="5">
        <f>YEAR(Table1[[#This Row],[Date]])</f>
        <v>2021</v>
      </c>
      <c r="G485">
        <v>133</v>
      </c>
      <c r="L485" s="5">
        <v>156</v>
      </c>
      <c r="M485" s="6">
        <v>0.96299999999999997</v>
      </c>
      <c r="N485" s="5">
        <v>6</v>
      </c>
      <c r="O485" s="7">
        <v>2.7777777777777778E-4</v>
      </c>
      <c r="P485" s="7">
        <v>1.6435185185185185E-3</v>
      </c>
      <c r="Q485" s="7">
        <v>1.4814814814814814E-3</v>
      </c>
      <c r="R485" s="6">
        <v>0.66459999999999997</v>
      </c>
      <c r="S485" s="8">
        <f>CONVERT(Table1[[#This Row],[Talk Duration (AVG)]]*Table1[[#This Row],[Answered Calls]],"day","hr")</f>
        <v>6.1533333333333333</v>
      </c>
      <c r="T485" s="9">
        <f>Table1[[#This Row],[Actual Workload hours]]*60</f>
        <v>369.2</v>
      </c>
      <c r="U485" s="9">
        <f>CONVERT(Table1[[#This Row],[Actual]]*Table1[[#This Row],[Talk Duration (AVG)]],"day","hr")</f>
        <v>5.2461111111111114</v>
      </c>
      <c r="V485" s="10">
        <f>Table1[[#This Row],[Required Workload Hours]]*60</f>
        <v>314.76666666666671</v>
      </c>
      <c r="W485" s="9">
        <v>1</v>
      </c>
      <c r="X485" s="9">
        <f t="shared" si="14"/>
        <v>1</v>
      </c>
      <c r="Y485" s="5">
        <f t="shared" si="15"/>
        <v>2</v>
      </c>
      <c r="Z485" s="8">
        <f>ROUNDUP(Table1[[#This Row],[Actual Heacount]],0)</f>
        <v>1</v>
      </c>
      <c r="AA485" s="8"/>
      <c r="AB485" s="10"/>
      <c r="AC485" s="10"/>
      <c r="AD485" s="10"/>
      <c r="AE485" s="11">
        <v>-29.968771225106629</v>
      </c>
      <c r="AF485" s="11">
        <v>187.23804496074811</v>
      </c>
      <c r="AG485" t="s">
        <v>34</v>
      </c>
    </row>
    <row r="486" spans="1:33">
      <c r="A486" s="2">
        <v>44319</v>
      </c>
      <c r="B486" s="5" t="s">
        <v>35</v>
      </c>
      <c r="C486" s="5">
        <f>WEEKDAY(Table1[[#This Row],[Date]])</f>
        <v>2</v>
      </c>
      <c r="D486" s="5">
        <f>MONTH(Table1[[#This Row],[Date]])</f>
        <v>5</v>
      </c>
      <c r="E486" s="5">
        <f>WEEKNUM(Table1[[#This Row],[Date]])</f>
        <v>19</v>
      </c>
      <c r="F486" s="5">
        <f>YEAR(Table1[[#This Row],[Date]])</f>
        <v>2021</v>
      </c>
      <c r="G486">
        <v>138</v>
      </c>
      <c r="L486" s="5">
        <v>165</v>
      </c>
      <c r="M486" s="6">
        <v>0.93220000000000003</v>
      </c>
      <c r="N486" s="5">
        <v>12</v>
      </c>
      <c r="O486" s="7">
        <v>3.0092592592592595E-4</v>
      </c>
      <c r="P486" s="7">
        <v>1.7476851851851852E-3</v>
      </c>
      <c r="Q486" s="7">
        <v>2.662037037037037E-3</v>
      </c>
      <c r="R486" s="6">
        <v>0.66469999999999996</v>
      </c>
      <c r="S486" s="8">
        <f>CONVERT(Table1[[#This Row],[Talk Duration (AVG)]]*Table1[[#This Row],[Answered Calls]],"day","hr")</f>
        <v>6.9208333333333334</v>
      </c>
      <c r="T486" s="9">
        <f>Table1[[#This Row],[Actual Workload hours]]*60</f>
        <v>415.25</v>
      </c>
      <c r="U486" s="9">
        <f>CONVERT(Table1[[#This Row],[Actual]]*Table1[[#This Row],[Talk Duration (AVG)]],"day","hr")</f>
        <v>5.7883333333333331</v>
      </c>
      <c r="V486" s="10">
        <f>Table1[[#This Row],[Required Workload Hours]]*60</f>
        <v>347.3</v>
      </c>
      <c r="W486" s="9">
        <v>1.08</v>
      </c>
      <c r="X486" s="9">
        <f t="shared" si="14"/>
        <v>1</v>
      </c>
      <c r="Y486" s="5">
        <f t="shared" si="15"/>
        <v>2</v>
      </c>
      <c r="Z486" s="8">
        <f>ROUNDUP(Table1[[#This Row],[Actual Heacount]],0)</f>
        <v>2</v>
      </c>
      <c r="AA486" s="8"/>
      <c r="AB486" s="10"/>
      <c r="AC486" s="10"/>
      <c r="AD486" s="10"/>
      <c r="AE486" s="11">
        <v>67.967101992779121</v>
      </c>
      <c r="AF486" s="11">
        <v>280.66779819627982</v>
      </c>
      <c r="AG486" t="s">
        <v>34</v>
      </c>
    </row>
    <row r="487" spans="1:33">
      <c r="A487" s="2">
        <v>44320</v>
      </c>
      <c r="B487" s="5" t="s">
        <v>36</v>
      </c>
      <c r="C487" s="5">
        <f>WEEKDAY(Table1[[#This Row],[Date]])</f>
        <v>3</v>
      </c>
      <c r="D487" s="5">
        <f>MONTH(Table1[[#This Row],[Date]])</f>
        <v>5</v>
      </c>
      <c r="E487" s="5">
        <f>WEEKNUM(Table1[[#This Row],[Date]])</f>
        <v>19</v>
      </c>
      <c r="F487" s="5">
        <f>YEAR(Table1[[#This Row],[Date]])</f>
        <v>2021</v>
      </c>
      <c r="G487">
        <v>124</v>
      </c>
      <c r="L487" s="5">
        <v>167</v>
      </c>
      <c r="M487" s="6">
        <v>0.94350000000000001</v>
      </c>
      <c r="N487" s="5">
        <v>10</v>
      </c>
      <c r="O487" s="7">
        <v>2.6620370370370372E-4</v>
      </c>
      <c r="P487" s="7">
        <v>1.7939814814814815E-3</v>
      </c>
      <c r="Q487" s="7">
        <v>1.9097222222222222E-3</v>
      </c>
      <c r="R487" s="6">
        <v>0.68969999999999998</v>
      </c>
      <c r="S487" s="8">
        <f>CONVERT(Table1[[#This Row],[Talk Duration (AVG)]]*Table1[[#This Row],[Answered Calls]],"day","hr")</f>
        <v>7.1902777777777782</v>
      </c>
      <c r="T487" s="9">
        <f>Table1[[#This Row],[Actual Workload hours]]*60</f>
        <v>431.41666666666669</v>
      </c>
      <c r="U487" s="9">
        <f>CONVERT(Table1[[#This Row],[Actual]]*Table1[[#This Row],[Talk Duration (AVG)]],"day","hr")</f>
        <v>5.3388888888888886</v>
      </c>
      <c r="V487" s="10">
        <f>Table1[[#This Row],[Required Workload Hours]]*60</f>
        <v>320.33333333333331</v>
      </c>
      <c r="W487" s="9">
        <v>1.1200000000000001</v>
      </c>
      <c r="X487" s="9">
        <f t="shared" si="14"/>
        <v>1</v>
      </c>
      <c r="Y487" s="5">
        <f t="shared" si="15"/>
        <v>2</v>
      </c>
      <c r="Z487" s="8">
        <f>ROUNDUP(Table1[[#This Row],[Actual Heacount]],0)</f>
        <v>2</v>
      </c>
      <c r="AA487" s="8"/>
      <c r="AB487" s="10"/>
      <c r="AC487" s="10"/>
      <c r="AD487" s="10"/>
      <c r="AE487" s="11">
        <v>49.008330490032449</v>
      </c>
      <c r="AF487" s="11">
        <v>273.31474369835712</v>
      </c>
      <c r="AG487" t="s">
        <v>34</v>
      </c>
    </row>
    <row r="488" spans="1:33">
      <c r="A488" s="2">
        <v>44321</v>
      </c>
      <c r="B488" s="5" t="s">
        <v>37</v>
      </c>
      <c r="C488" s="5">
        <f>WEEKDAY(Table1[[#This Row],[Date]])</f>
        <v>4</v>
      </c>
      <c r="D488" s="5">
        <f>MONTH(Table1[[#This Row],[Date]])</f>
        <v>5</v>
      </c>
      <c r="E488" s="5">
        <f>WEEKNUM(Table1[[#This Row],[Date]])</f>
        <v>19</v>
      </c>
      <c r="F488" s="5">
        <f>YEAR(Table1[[#This Row],[Date]])</f>
        <v>2021</v>
      </c>
      <c r="G488">
        <v>132</v>
      </c>
      <c r="L488" s="5">
        <v>134</v>
      </c>
      <c r="M488" s="6">
        <v>0.82210000000000005</v>
      </c>
      <c r="N488" s="5">
        <v>29</v>
      </c>
      <c r="O488" s="7">
        <v>4.3981481481481481E-4</v>
      </c>
      <c r="P488" s="7">
        <v>1.8749999999999999E-3</v>
      </c>
      <c r="Q488" s="7">
        <v>5.0462962962962961E-3</v>
      </c>
      <c r="R488" s="6">
        <v>0.47199999999999998</v>
      </c>
      <c r="S488" s="8">
        <f>CONVERT(Table1[[#This Row],[Talk Duration (AVG)]]*Table1[[#This Row],[Answered Calls]],"day","hr")</f>
        <v>6.0299999999999994</v>
      </c>
      <c r="T488" s="9">
        <f>Table1[[#This Row],[Actual Workload hours]]*60</f>
        <v>361.79999999999995</v>
      </c>
      <c r="U488" s="9">
        <f>CONVERT(Table1[[#This Row],[Actual]]*Table1[[#This Row],[Talk Duration (AVG)]],"day","hr")</f>
        <v>5.94</v>
      </c>
      <c r="V488" s="10">
        <f>Table1[[#This Row],[Required Workload Hours]]*60</f>
        <v>356.40000000000003</v>
      </c>
      <c r="W488" s="9">
        <v>1</v>
      </c>
      <c r="X488" s="9">
        <f t="shared" si="14"/>
        <v>1</v>
      </c>
      <c r="Y488" s="5">
        <f t="shared" si="15"/>
        <v>2</v>
      </c>
      <c r="Z488" s="8">
        <f>ROUNDUP(Table1[[#This Row],[Actual Heacount]],0)</f>
        <v>1</v>
      </c>
      <c r="AA488" s="8"/>
      <c r="AB488" s="10"/>
      <c r="AC488" s="10"/>
      <c r="AD488" s="10"/>
      <c r="AE488" s="11">
        <v>56.164832971028133</v>
      </c>
      <c r="AF488" s="11">
        <v>296.08280399848007</v>
      </c>
      <c r="AG488" t="s">
        <v>34</v>
      </c>
    </row>
    <row r="489" spans="1:33">
      <c r="A489" s="2">
        <v>44322</v>
      </c>
      <c r="B489" s="5" t="s">
        <v>38</v>
      </c>
      <c r="C489" s="5">
        <f>WEEKDAY(Table1[[#This Row],[Date]])</f>
        <v>5</v>
      </c>
      <c r="D489" s="5">
        <f>MONTH(Table1[[#This Row],[Date]])</f>
        <v>5</v>
      </c>
      <c r="E489" s="5">
        <f>WEEKNUM(Table1[[#This Row],[Date]])</f>
        <v>19</v>
      </c>
      <c r="F489" s="5">
        <f>YEAR(Table1[[#This Row],[Date]])</f>
        <v>2021</v>
      </c>
      <c r="G489">
        <v>53</v>
      </c>
      <c r="L489" s="5">
        <v>20</v>
      </c>
      <c r="M489" s="6">
        <v>0.83330000000000004</v>
      </c>
      <c r="N489" s="5">
        <v>4</v>
      </c>
      <c r="O489" s="7">
        <v>3.0092592592592595E-4</v>
      </c>
      <c r="P489" s="7">
        <v>2.3495370370370371E-3</v>
      </c>
      <c r="Q489" s="7">
        <v>1.5740740740740741E-3</v>
      </c>
      <c r="R489" s="6">
        <v>0.6522</v>
      </c>
      <c r="S489" s="8">
        <f>CONVERT(Table1[[#This Row],[Talk Duration (AVG)]]*Table1[[#This Row],[Answered Calls]],"day","hr")</f>
        <v>1.1277777777777778</v>
      </c>
      <c r="T489" s="9">
        <f>Table1[[#This Row],[Actual Workload hours]]*60</f>
        <v>67.666666666666671</v>
      </c>
      <c r="U489" s="9">
        <f>CONVERT(Table1[[#This Row],[Actual]]*Table1[[#This Row],[Talk Duration (AVG)]],"day","hr")</f>
        <v>2.9886111111111111</v>
      </c>
      <c r="V489" s="10">
        <f>Table1[[#This Row],[Required Workload Hours]]*60</f>
        <v>179.31666666666666</v>
      </c>
      <c r="W489" s="9">
        <v>1</v>
      </c>
      <c r="X489" s="9">
        <f t="shared" si="14"/>
        <v>1</v>
      </c>
      <c r="Y489" s="5">
        <f t="shared" si="15"/>
        <v>1</v>
      </c>
      <c r="Z489" s="8">
        <f>ROUNDUP(Table1[[#This Row],[Actual Heacount]],0)</f>
        <v>1</v>
      </c>
      <c r="AA489" s="8"/>
      <c r="AB489" s="10"/>
      <c r="AC489" s="10"/>
      <c r="AD489" s="10"/>
      <c r="AE489" s="11">
        <v>59.476732545002569</v>
      </c>
      <c r="AF489" s="11">
        <v>279.94424838467012</v>
      </c>
      <c r="AG489" t="s">
        <v>34</v>
      </c>
    </row>
    <row r="490" spans="1:33">
      <c r="A490" s="2">
        <v>44323</v>
      </c>
      <c r="B490" s="5" t="s">
        <v>39</v>
      </c>
      <c r="C490" s="5">
        <f>WEEKDAY(Table1[[#This Row],[Date]])</f>
        <v>6</v>
      </c>
      <c r="D490" s="5">
        <f>MONTH(Table1[[#This Row],[Date]])</f>
        <v>5</v>
      </c>
      <c r="E490" s="5">
        <f>WEEKNUM(Table1[[#This Row],[Date]])</f>
        <v>19</v>
      </c>
      <c r="F490" s="5">
        <f>YEAR(Table1[[#This Row],[Date]])</f>
        <v>2021</v>
      </c>
      <c r="G490">
        <v>135</v>
      </c>
      <c r="L490" s="5">
        <v>139</v>
      </c>
      <c r="M490" s="6">
        <v>0.95209999999999995</v>
      </c>
      <c r="N490" s="5">
        <v>7</v>
      </c>
      <c r="O490" s="7">
        <v>2.0833333333333335E-4</v>
      </c>
      <c r="P490" s="7">
        <v>1.7824074074074075E-3</v>
      </c>
      <c r="Q490" s="7">
        <v>4.409722222222222E-3</v>
      </c>
      <c r="R490" s="6">
        <v>0.75860000000000005</v>
      </c>
      <c r="S490" s="8">
        <f>CONVERT(Table1[[#This Row],[Talk Duration (AVG)]]*Table1[[#This Row],[Answered Calls]],"day","hr")</f>
        <v>5.9461111111111107</v>
      </c>
      <c r="T490" s="9">
        <f>Table1[[#This Row],[Actual Workload hours]]*60</f>
        <v>356.76666666666665</v>
      </c>
      <c r="U490" s="9">
        <f>CONVERT(Table1[[#This Row],[Actual]]*Table1[[#This Row],[Talk Duration (AVG)]],"day","hr")</f>
        <v>5.7750000000000004</v>
      </c>
      <c r="V490" s="10">
        <f>Table1[[#This Row],[Required Workload Hours]]*60</f>
        <v>346.5</v>
      </c>
      <c r="W490" s="9">
        <v>1</v>
      </c>
      <c r="X490" s="9">
        <f t="shared" si="14"/>
        <v>1</v>
      </c>
      <c r="Y490" s="5">
        <f t="shared" si="15"/>
        <v>2</v>
      </c>
      <c r="Z490" s="8">
        <f>ROUNDUP(Table1[[#This Row],[Actual Heacount]],0)</f>
        <v>1</v>
      </c>
      <c r="AA490" s="8"/>
      <c r="AB490" s="10"/>
      <c r="AC490" s="10"/>
      <c r="AD490" s="10"/>
      <c r="AE490" s="11">
        <v>45.30039338134884</v>
      </c>
      <c r="AF490" s="11">
        <v>273.43155387217041</v>
      </c>
      <c r="AG490" t="s">
        <v>34</v>
      </c>
    </row>
    <row r="491" spans="1:33">
      <c r="A491" s="2">
        <v>44324</v>
      </c>
      <c r="B491" s="5" t="s">
        <v>40</v>
      </c>
      <c r="C491" s="5">
        <f>WEEKDAY(Table1[[#This Row],[Date]])</f>
        <v>7</v>
      </c>
      <c r="D491" s="5">
        <f>MONTH(Table1[[#This Row],[Date]])</f>
        <v>5</v>
      </c>
      <c r="E491" s="5">
        <f>WEEKNUM(Table1[[#This Row],[Date]])</f>
        <v>19</v>
      </c>
      <c r="F491" s="5">
        <f>YEAR(Table1[[#This Row],[Date]])</f>
        <v>2021</v>
      </c>
      <c r="G491">
        <v>174</v>
      </c>
      <c r="L491" s="5">
        <v>141</v>
      </c>
      <c r="M491" s="6">
        <v>0.98599999999999999</v>
      </c>
      <c r="N491" s="5">
        <v>2</v>
      </c>
      <c r="O491" s="7">
        <v>2.5462962962962961E-4</v>
      </c>
      <c r="P491" s="7">
        <v>1.9097222222222222E-3</v>
      </c>
      <c r="Q491" s="7">
        <v>1.9097222222222222E-3</v>
      </c>
      <c r="R491" s="6">
        <v>0.72030000000000005</v>
      </c>
      <c r="S491" s="8">
        <f>CONVERT(Table1[[#This Row],[Talk Duration (AVG)]]*Table1[[#This Row],[Answered Calls]],"day","hr")</f>
        <v>6.4625000000000004</v>
      </c>
      <c r="T491" s="9">
        <f>Table1[[#This Row],[Actual Workload hours]]*60</f>
        <v>387.75</v>
      </c>
      <c r="U491" s="9">
        <f>CONVERT(Table1[[#This Row],[Actual]]*Table1[[#This Row],[Talk Duration (AVG)]],"day","hr")</f>
        <v>7.9749999999999996</v>
      </c>
      <c r="V491" s="10">
        <f>Table1[[#This Row],[Required Workload Hours]]*60</f>
        <v>478.5</v>
      </c>
      <c r="W491" s="9">
        <v>1.01</v>
      </c>
      <c r="X491" s="9">
        <f t="shared" si="14"/>
        <v>1.24609375</v>
      </c>
      <c r="Y491" s="5">
        <f t="shared" si="15"/>
        <v>2</v>
      </c>
      <c r="Z491" s="8">
        <f>ROUNDUP(Table1[[#This Row],[Actual Heacount]],0)</f>
        <v>2</v>
      </c>
      <c r="AA491" s="8"/>
      <c r="AB491" s="10"/>
      <c r="AC491" s="10"/>
      <c r="AD491" s="10"/>
      <c r="AE491" s="11">
        <v>52.30053279944579</v>
      </c>
      <c r="AF491" s="11">
        <v>272.57691489583482</v>
      </c>
      <c r="AG491" t="s">
        <v>34</v>
      </c>
    </row>
    <row r="492" spans="1:33">
      <c r="A492" s="2">
        <v>44325</v>
      </c>
      <c r="B492" s="5" t="s">
        <v>33</v>
      </c>
      <c r="C492" s="5">
        <f>WEEKDAY(Table1[[#This Row],[Date]])</f>
        <v>1</v>
      </c>
      <c r="D492" s="5">
        <f>MONTH(Table1[[#This Row],[Date]])</f>
        <v>5</v>
      </c>
      <c r="E492" s="5">
        <f>WEEKNUM(Table1[[#This Row],[Date]])</f>
        <v>20</v>
      </c>
      <c r="F492" s="5">
        <f>YEAR(Table1[[#This Row],[Date]])</f>
        <v>2021</v>
      </c>
      <c r="G492">
        <v>25</v>
      </c>
      <c r="L492" s="5">
        <v>122</v>
      </c>
      <c r="M492" s="6">
        <v>0.92420000000000002</v>
      </c>
      <c r="N492" s="5">
        <v>10</v>
      </c>
      <c r="O492" s="7">
        <v>3.5879629629629629E-4</v>
      </c>
      <c r="P492" s="7">
        <v>1.712962962962963E-3</v>
      </c>
      <c r="Q492" s="7">
        <v>3.1944444444444446E-3</v>
      </c>
      <c r="R492" s="6">
        <v>0.56489999999999996</v>
      </c>
      <c r="S492" s="8">
        <f>CONVERT(Table1[[#This Row],[Talk Duration (AVG)]]*Table1[[#This Row],[Answered Calls]],"day","hr")</f>
        <v>5.0155555555555553</v>
      </c>
      <c r="T492" s="9">
        <f>Table1[[#This Row],[Actual Workload hours]]*60</f>
        <v>300.93333333333334</v>
      </c>
      <c r="U492" s="9">
        <f>CONVERT(Table1[[#This Row],[Actual]]*Table1[[#This Row],[Talk Duration (AVG)]],"day","hr")</f>
        <v>1.0277777777777779</v>
      </c>
      <c r="V492" s="10">
        <f>Table1[[#This Row],[Required Workload Hours]]*60</f>
        <v>61.666666666666671</v>
      </c>
      <c r="W492" s="9">
        <v>1</v>
      </c>
      <c r="X492" s="9">
        <f t="shared" si="14"/>
        <v>1</v>
      </c>
      <c r="Y492" s="5">
        <f t="shared" si="15"/>
        <v>2</v>
      </c>
      <c r="Z492" s="8">
        <f>ROUNDUP(Table1[[#This Row],[Actual Heacount]],0)</f>
        <v>1</v>
      </c>
      <c r="AA492" s="8"/>
      <c r="AB492" s="10"/>
      <c r="AC492" s="10"/>
      <c r="AD492" s="10"/>
      <c r="AE492" s="11">
        <v>-37.653011219407112</v>
      </c>
      <c r="AF492" s="11">
        <v>181.40493261008609</v>
      </c>
      <c r="AG492" t="s">
        <v>34</v>
      </c>
    </row>
    <row r="493" spans="1:33">
      <c r="A493" s="2">
        <v>44326</v>
      </c>
      <c r="B493" s="5" t="s">
        <v>35</v>
      </c>
      <c r="C493" s="5">
        <f>WEEKDAY(Table1[[#This Row],[Date]])</f>
        <v>2</v>
      </c>
      <c r="D493" s="5">
        <f>MONTH(Table1[[#This Row],[Date]])</f>
        <v>5</v>
      </c>
      <c r="E493" s="5">
        <f>WEEKNUM(Table1[[#This Row],[Date]])</f>
        <v>20</v>
      </c>
      <c r="F493" s="5">
        <f>YEAR(Table1[[#This Row],[Date]])</f>
        <v>2021</v>
      </c>
      <c r="G493">
        <v>116</v>
      </c>
      <c r="L493" s="5">
        <v>130</v>
      </c>
      <c r="M493" s="6">
        <v>0.94889999999999997</v>
      </c>
      <c r="N493" s="5">
        <v>7</v>
      </c>
      <c r="O493" s="7">
        <v>3.0092592592592595E-4</v>
      </c>
      <c r="P493" s="7">
        <v>1.6782407407407408E-3</v>
      </c>
      <c r="Q493" s="7">
        <v>1.4583333333333334E-3</v>
      </c>
      <c r="R493" s="6">
        <v>0.64439999999999997</v>
      </c>
      <c r="S493" s="8">
        <f>CONVERT(Table1[[#This Row],[Talk Duration (AVG)]]*Table1[[#This Row],[Answered Calls]],"day","hr")</f>
        <v>5.2361111111111107</v>
      </c>
      <c r="T493" s="9">
        <f>Table1[[#This Row],[Actual Workload hours]]*60</f>
        <v>314.16666666666663</v>
      </c>
      <c r="U493" s="9">
        <f>CONVERT(Table1[[#This Row],[Actual]]*Table1[[#This Row],[Talk Duration (AVG)]],"day","hr")</f>
        <v>4.6722222222222225</v>
      </c>
      <c r="V493" s="10">
        <f>Table1[[#This Row],[Required Workload Hours]]*60</f>
        <v>280.33333333333337</v>
      </c>
      <c r="W493" s="9">
        <v>1</v>
      </c>
      <c r="X493" s="9">
        <f t="shared" si="14"/>
        <v>1</v>
      </c>
      <c r="Y493" s="5">
        <f t="shared" si="15"/>
        <v>2</v>
      </c>
      <c r="Z493" s="8">
        <f>ROUNDUP(Table1[[#This Row],[Actual Heacount]],0)</f>
        <v>1</v>
      </c>
      <c r="AA493" s="8"/>
      <c r="AB493" s="10"/>
      <c r="AC493" s="10"/>
      <c r="AD493" s="10"/>
      <c r="AE493" s="11">
        <v>64.327987969692842</v>
      </c>
      <c r="AF493" s="11">
        <v>280.33342136725889</v>
      </c>
      <c r="AG493" t="s">
        <v>34</v>
      </c>
    </row>
    <row r="494" spans="1:33">
      <c r="A494" s="2">
        <v>44327</v>
      </c>
      <c r="B494" s="5" t="s">
        <v>36</v>
      </c>
      <c r="C494" s="5">
        <f>WEEKDAY(Table1[[#This Row],[Date]])</f>
        <v>3</v>
      </c>
      <c r="D494" s="5">
        <f>MONTH(Table1[[#This Row],[Date]])</f>
        <v>5</v>
      </c>
      <c r="E494" s="5">
        <f>WEEKNUM(Table1[[#This Row],[Date]])</f>
        <v>20</v>
      </c>
      <c r="F494" s="5">
        <f>YEAR(Table1[[#This Row],[Date]])</f>
        <v>2021</v>
      </c>
      <c r="G494">
        <v>52</v>
      </c>
      <c r="L494" s="5">
        <v>104</v>
      </c>
      <c r="M494" s="6">
        <v>0.92859999999999998</v>
      </c>
      <c r="N494" s="5">
        <v>8</v>
      </c>
      <c r="O494" s="7">
        <v>4.9768518518518521E-4</v>
      </c>
      <c r="P494" s="7">
        <v>1.8171296296296297E-3</v>
      </c>
      <c r="Q494" s="7">
        <v>2.8587962962962963E-3</v>
      </c>
      <c r="R494" s="6">
        <v>0.40910000000000002</v>
      </c>
      <c r="S494" s="8">
        <f>CONVERT(Table1[[#This Row],[Talk Duration (AVG)]]*Table1[[#This Row],[Answered Calls]],"day","hr")</f>
        <v>4.5355555555555558</v>
      </c>
      <c r="T494" s="9">
        <f>Table1[[#This Row],[Actual Workload hours]]*60</f>
        <v>272.13333333333333</v>
      </c>
      <c r="U494" s="9">
        <f>CONVERT(Table1[[#This Row],[Actual]]*Table1[[#This Row],[Talk Duration (AVG)]],"day","hr")</f>
        <v>2.2677777777777779</v>
      </c>
      <c r="V494" s="10">
        <f>Table1[[#This Row],[Required Workload Hours]]*60</f>
        <v>136.06666666666666</v>
      </c>
      <c r="W494" s="9">
        <v>1</v>
      </c>
      <c r="X494" s="9">
        <f t="shared" si="14"/>
        <v>1</v>
      </c>
      <c r="Y494" s="5">
        <f t="shared" si="15"/>
        <v>2</v>
      </c>
      <c r="Z494" s="8">
        <f>ROUNDUP(Table1[[#This Row],[Actual Heacount]],0)</f>
        <v>1</v>
      </c>
      <c r="AA494" s="8"/>
      <c r="AB494" s="10"/>
      <c r="AC494" s="10"/>
      <c r="AD494" s="10"/>
      <c r="AE494" s="11">
        <v>46.134924420603213</v>
      </c>
      <c r="AF494" s="11">
        <v>271.04020307726898</v>
      </c>
      <c r="AG494" t="s">
        <v>34</v>
      </c>
    </row>
    <row r="495" spans="1:33">
      <c r="A495" s="2">
        <v>44328</v>
      </c>
      <c r="B495" s="5" t="s">
        <v>37</v>
      </c>
      <c r="C495" s="5">
        <f>WEEKDAY(Table1[[#This Row],[Date]])</f>
        <v>4</v>
      </c>
      <c r="D495" s="5">
        <f>MONTH(Table1[[#This Row],[Date]])</f>
        <v>5</v>
      </c>
      <c r="E495" s="5">
        <f>WEEKNUM(Table1[[#This Row],[Date]])</f>
        <v>20</v>
      </c>
      <c r="F495" s="5">
        <f>YEAR(Table1[[#This Row],[Date]])</f>
        <v>2021</v>
      </c>
      <c r="G495">
        <v>102</v>
      </c>
      <c r="L495" s="5">
        <v>91</v>
      </c>
      <c r="M495" s="6">
        <v>0.82730000000000004</v>
      </c>
      <c r="N495" s="5">
        <v>19</v>
      </c>
      <c r="O495" s="7">
        <v>5.7870370370370367E-4</v>
      </c>
      <c r="P495" s="7">
        <v>1.8287037037037037E-3</v>
      </c>
      <c r="Q495" s="7">
        <v>3.6111111111111109E-3</v>
      </c>
      <c r="R495" s="6">
        <v>0.36699999999999999</v>
      </c>
      <c r="S495" s="8">
        <f>CONVERT(Table1[[#This Row],[Talk Duration (AVG)]]*Table1[[#This Row],[Answered Calls]],"day","hr")</f>
        <v>3.9938888888888884</v>
      </c>
      <c r="T495" s="9">
        <f>Table1[[#This Row],[Actual Workload hours]]*60</f>
        <v>239.6333333333333</v>
      </c>
      <c r="U495" s="9">
        <f>CONVERT(Table1[[#This Row],[Actual]]*Table1[[#This Row],[Talk Duration (AVG)]],"day","hr")</f>
        <v>4.4766666666666666</v>
      </c>
      <c r="V495" s="10">
        <f>Table1[[#This Row],[Required Workload Hours]]*60</f>
        <v>268.60000000000002</v>
      </c>
      <c r="W495" s="9">
        <v>1</v>
      </c>
      <c r="X495" s="9">
        <f t="shared" si="14"/>
        <v>1</v>
      </c>
      <c r="Y495" s="5">
        <f t="shared" si="15"/>
        <v>2</v>
      </c>
      <c r="Z495" s="8">
        <f>ROUNDUP(Table1[[#This Row],[Actual Heacount]],0)</f>
        <v>1</v>
      </c>
      <c r="AA495" s="8"/>
      <c r="AB495" s="10"/>
      <c r="AC495" s="10"/>
      <c r="AD495" s="10"/>
      <c r="AE495" s="11">
        <v>61.137500899840639</v>
      </c>
      <c r="AF495" s="11">
        <v>287.10794900144441</v>
      </c>
      <c r="AG495" t="s">
        <v>34</v>
      </c>
    </row>
    <row r="496" spans="1:33">
      <c r="A496" s="2">
        <v>44329</v>
      </c>
      <c r="B496" s="5" t="s">
        <v>38</v>
      </c>
      <c r="C496" s="5">
        <f>WEEKDAY(Table1[[#This Row],[Date]])</f>
        <v>5</v>
      </c>
      <c r="D496" s="5">
        <f>MONTH(Table1[[#This Row],[Date]])</f>
        <v>5</v>
      </c>
      <c r="E496" s="5">
        <f>WEEKNUM(Table1[[#This Row],[Date]])</f>
        <v>20</v>
      </c>
      <c r="F496" s="5">
        <f>YEAR(Table1[[#This Row],[Date]])</f>
        <v>2021</v>
      </c>
      <c r="G496">
        <v>144</v>
      </c>
      <c r="L496" s="5">
        <v>22</v>
      </c>
      <c r="M496" s="6">
        <v>0.91669999999999996</v>
      </c>
      <c r="N496" s="5">
        <v>2</v>
      </c>
      <c r="O496" s="7">
        <v>3.7037037037037035E-4</v>
      </c>
      <c r="P496" s="7">
        <v>1.5509259259259259E-3</v>
      </c>
      <c r="Q496" s="7">
        <v>3.3101851851851851E-3</v>
      </c>
      <c r="R496" s="6">
        <v>0.58330000000000004</v>
      </c>
      <c r="S496" s="8">
        <f>CONVERT(Table1[[#This Row],[Talk Duration (AVG)]]*Table1[[#This Row],[Answered Calls]],"day","hr")</f>
        <v>0.81888888888888889</v>
      </c>
      <c r="T496" s="9">
        <f>Table1[[#This Row],[Actual Workload hours]]*60</f>
        <v>49.133333333333333</v>
      </c>
      <c r="U496" s="9">
        <f>CONVERT(Table1[[#This Row],[Actual]]*Table1[[#This Row],[Talk Duration (AVG)]],"day","hr")</f>
        <v>5.36</v>
      </c>
      <c r="V496" s="10">
        <f>Table1[[#This Row],[Required Workload Hours]]*60</f>
        <v>321.60000000000002</v>
      </c>
      <c r="W496" s="9">
        <v>1</v>
      </c>
      <c r="X496" s="9">
        <f t="shared" si="14"/>
        <v>1</v>
      </c>
      <c r="Y496" s="5">
        <f t="shared" si="15"/>
        <v>1</v>
      </c>
      <c r="Z496" s="8">
        <f>ROUNDUP(Table1[[#This Row],[Actual Heacount]],0)</f>
        <v>1</v>
      </c>
      <c r="AA496" s="8"/>
      <c r="AB496" s="10"/>
      <c r="AC496" s="10"/>
      <c r="AD496" s="10"/>
      <c r="AE496" s="11">
        <v>55.656205876660188</v>
      </c>
      <c r="AF496" s="11">
        <v>275.04952417037191</v>
      </c>
      <c r="AG496" t="s">
        <v>34</v>
      </c>
    </row>
    <row r="497" spans="1:33">
      <c r="A497" s="2">
        <v>44330</v>
      </c>
      <c r="B497" s="5" t="s">
        <v>39</v>
      </c>
      <c r="C497" s="5">
        <f>WEEKDAY(Table1[[#This Row],[Date]])</f>
        <v>6</v>
      </c>
      <c r="D497" s="5">
        <f>MONTH(Table1[[#This Row],[Date]])</f>
        <v>5</v>
      </c>
      <c r="E497" s="5">
        <f>WEEKNUM(Table1[[#This Row],[Date]])</f>
        <v>20</v>
      </c>
      <c r="F497" s="5">
        <f>YEAR(Table1[[#This Row],[Date]])</f>
        <v>2021</v>
      </c>
      <c r="G497">
        <v>110</v>
      </c>
      <c r="L497" s="5">
        <v>154</v>
      </c>
      <c r="M497" s="6">
        <v>0.91669999999999996</v>
      </c>
      <c r="N497" s="5">
        <v>14</v>
      </c>
      <c r="O497" s="7">
        <v>4.1666666666666669E-4</v>
      </c>
      <c r="P497" s="7">
        <v>1.8981481481481482E-3</v>
      </c>
      <c r="Q497" s="7">
        <v>2.685185185185185E-3</v>
      </c>
      <c r="R497" s="6">
        <v>0.49399999999999999</v>
      </c>
      <c r="S497" s="8">
        <f>CONVERT(Table1[[#This Row],[Talk Duration (AVG)]]*Table1[[#This Row],[Answered Calls]],"day","hr")</f>
        <v>7.0155555555555553</v>
      </c>
      <c r="T497" s="9">
        <f>Table1[[#This Row],[Actual Workload hours]]*60</f>
        <v>420.93333333333334</v>
      </c>
      <c r="U497" s="9">
        <f>CONVERT(Table1[[#This Row],[Actual]]*Table1[[#This Row],[Talk Duration (AVG)]],"day","hr")</f>
        <v>5.0111111111111111</v>
      </c>
      <c r="V497" s="10">
        <f>Table1[[#This Row],[Required Workload Hours]]*60</f>
        <v>300.66666666666669</v>
      </c>
      <c r="W497" s="9">
        <v>1.1000000000000001</v>
      </c>
      <c r="X497" s="9">
        <f t="shared" si="14"/>
        <v>1</v>
      </c>
      <c r="Y497" s="5">
        <f t="shared" si="15"/>
        <v>2</v>
      </c>
      <c r="Z497" s="8">
        <f>ROUNDUP(Table1[[#This Row],[Actual Heacount]],0)</f>
        <v>2</v>
      </c>
      <c r="AA497" s="8"/>
      <c r="AB497" s="10"/>
      <c r="AC497" s="10"/>
      <c r="AD497" s="10"/>
      <c r="AE497" s="11">
        <v>48.32454012541001</v>
      </c>
      <c r="AF497" s="11">
        <v>268.05690367558418</v>
      </c>
      <c r="AG497" t="s">
        <v>34</v>
      </c>
    </row>
    <row r="498" spans="1:33">
      <c r="A498" s="2">
        <v>44331</v>
      </c>
      <c r="B498" s="5" t="s">
        <v>40</v>
      </c>
      <c r="C498" s="5">
        <f>WEEKDAY(Table1[[#This Row],[Date]])</f>
        <v>7</v>
      </c>
      <c r="D498" s="5">
        <f>MONTH(Table1[[#This Row],[Date]])</f>
        <v>5</v>
      </c>
      <c r="E498" s="5">
        <f>WEEKNUM(Table1[[#This Row],[Date]])</f>
        <v>20</v>
      </c>
      <c r="F498" s="5">
        <f>YEAR(Table1[[#This Row],[Date]])</f>
        <v>2021</v>
      </c>
      <c r="G498">
        <v>126</v>
      </c>
      <c r="L498" s="5">
        <v>116</v>
      </c>
      <c r="M498" s="6">
        <v>0.79449999999999998</v>
      </c>
      <c r="N498" s="5">
        <v>30</v>
      </c>
      <c r="O498" s="7">
        <v>4.861111111111111E-4</v>
      </c>
      <c r="P498" s="7">
        <v>1.712962962962963E-3</v>
      </c>
      <c r="Q498" s="7">
        <v>1.0416666666666666E-2</v>
      </c>
      <c r="R498" s="6">
        <v>0.54930000000000001</v>
      </c>
      <c r="S498" s="8">
        <f>CONVERT(Table1[[#This Row],[Talk Duration (AVG)]]*Table1[[#This Row],[Answered Calls]],"day","hr")</f>
        <v>4.7688888888888892</v>
      </c>
      <c r="T498" s="9">
        <f>Table1[[#This Row],[Actual Workload hours]]*60</f>
        <v>286.13333333333333</v>
      </c>
      <c r="U498" s="9">
        <f>CONVERT(Table1[[#This Row],[Actual]]*Table1[[#This Row],[Talk Duration (AVG)]],"day","hr")</f>
        <v>5.18</v>
      </c>
      <c r="V498" s="10">
        <f>Table1[[#This Row],[Required Workload Hours]]*60</f>
        <v>310.79999999999995</v>
      </c>
      <c r="W498" s="9">
        <v>1</v>
      </c>
      <c r="X498" s="9">
        <f t="shared" si="14"/>
        <v>1</v>
      </c>
      <c r="Y498" s="5">
        <f t="shared" si="15"/>
        <v>2</v>
      </c>
      <c r="Z498" s="8">
        <f>ROUNDUP(Table1[[#This Row],[Actual Heacount]],0)</f>
        <v>1</v>
      </c>
      <c r="AA498" s="8"/>
      <c r="AB498" s="10"/>
      <c r="AC498" s="10"/>
      <c r="AD498" s="10"/>
      <c r="AE498" s="11">
        <v>55.119783590811011</v>
      </c>
      <c r="AF498" s="11">
        <v>275.57550407518818</v>
      </c>
      <c r="AG498" t="s">
        <v>34</v>
      </c>
    </row>
    <row r="499" spans="1:33">
      <c r="A499" s="2">
        <v>44332</v>
      </c>
      <c r="B499" s="5" t="s">
        <v>33</v>
      </c>
      <c r="C499" s="5">
        <f>WEEKDAY(Table1[[#This Row],[Date]])</f>
        <v>1</v>
      </c>
      <c r="D499" s="5">
        <f>MONTH(Table1[[#This Row],[Date]])</f>
        <v>5</v>
      </c>
      <c r="E499" s="5">
        <f>WEEKNUM(Table1[[#This Row],[Date]])</f>
        <v>21</v>
      </c>
      <c r="F499" s="5">
        <f>YEAR(Table1[[#This Row],[Date]])</f>
        <v>2021</v>
      </c>
      <c r="G499">
        <v>24</v>
      </c>
      <c r="L499" s="5">
        <v>95</v>
      </c>
      <c r="M499" s="6">
        <v>0.95</v>
      </c>
      <c r="N499" s="5">
        <v>5</v>
      </c>
      <c r="O499" s="7">
        <v>3.5879629629629629E-4</v>
      </c>
      <c r="P499" s="7">
        <v>1.8287037037037037E-3</v>
      </c>
      <c r="Q499" s="7">
        <v>2.0023148148148148E-3</v>
      </c>
      <c r="R499" s="6">
        <v>0.56999999999999995</v>
      </c>
      <c r="S499" s="8">
        <f>CONVERT(Table1[[#This Row],[Talk Duration (AVG)]]*Table1[[#This Row],[Answered Calls]],"day","hr")</f>
        <v>4.1694444444444443</v>
      </c>
      <c r="T499" s="9">
        <f>Table1[[#This Row],[Actual Workload hours]]*60</f>
        <v>250.16666666666666</v>
      </c>
      <c r="U499" s="9">
        <f>CONVERT(Table1[[#This Row],[Actual]]*Table1[[#This Row],[Talk Duration (AVG)]],"day","hr")</f>
        <v>1.0533333333333332</v>
      </c>
      <c r="V499" s="10">
        <f>Table1[[#This Row],[Required Workload Hours]]*60</f>
        <v>63.199999999999996</v>
      </c>
      <c r="W499" s="9">
        <v>1</v>
      </c>
      <c r="X499" s="9">
        <f t="shared" si="14"/>
        <v>1</v>
      </c>
      <c r="Y499" s="5">
        <f t="shared" si="15"/>
        <v>2</v>
      </c>
      <c r="Z499" s="8">
        <f>ROUNDUP(Table1[[#This Row],[Actual Heacount]],0)</f>
        <v>1</v>
      </c>
      <c r="AA499" s="8"/>
      <c r="AB499" s="10"/>
      <c r="AC499" s="10"/>
      <c r="AD499" s="10"/>
      <c r="AE499" s="11">
        <v>-37.357102034515037</v>
      </c>
      <c r="AF499" s="11">
        <v>182.9116762755263</v>
      </c>
      <c r="AG499" t="s">
        <v>34</v>
      </c>
    </row>
    <row r="500" spans="1:33">
      <c r="A500" s="2">
        <v>44333</v>
      </c>
      <c r="B500" s="5" t="s">
        <v>35</v>
      </c>
      <c r="C500" s="5">
        <f>WEEKDAY(Table1[[#This Row],[Date]])</f>
        <v>2</v>
      </c>
      <c r="D500" s="5">
        <f>MONTH(Table1[[#This Row],[Date]])</f>
        <v>5</v>
      </c>
      <c r="E500" s="5">
        <f>WEEKNUM(Table1[[#This Row],[Date]])</f>
        <v>21</v>
      </c>
      <c r="F500" s="5">
        <f>YEAR(Table1[[#This Row],[Date]])</f>
        <v>2021</v>
      </c>
      <c r="G500">
        <v>128</v>
      </c>
      <c r="L500" s="5">
        <v>131</v>
      </c>
      <c r="M500" s="6">
        <v>0.90969999999999995</v>
      </c>
      <c r="N500" s="5">
        <v>13</v>
      </c>
      <c r="O500" s="7">
        <v>3.0092592592592595E-4</v>
      </c>
      <c r="P500" s="7">
        <v>1.7013888888888888E-3</v>
      </c>
      <c r="Q500" s="7">
        <v>1.8171296296296297E-3</v>
      </c>
      <c r="R500" s="6">
        <v>0.63570000000000004</v>
      </c>
      <c r="S500" s="8">
        <f>CONVERT(Table1[[#This Row],[Talk Duration (AVG)]]*Table1[[#This Row],[Answered Calls]],"day","hr")</f>
        <v>5.3491666666666671</v>
      </c>
      <c r="T500" s="9">
        <f>Table1[[#This Row],[Actual Workload hours]]*60</f>
        <v>320.95000000000005</v>
      </c>
      <c r="U500" s="9">
        <f>CONVERT(Table1[[#This Row],[Actual]]*Table1[[#This Row],[Talk Duration (AVG)]],"day","hr")</f>
        <v>5.2266666666666666</v>
      </c>
      <c r="V500" s="10">
        <f>Table1[[#This Row],[Required Workload Hours]]*60</f>
        <v>313.60000000000002</v>
      </c>
      <c r="W500" s="9">
        <v>1</v>
      </c>
      <c r="X500" s="9">
        <f t="shared" si="14"/>
        <v>1</v>
      </c>
      <c r="Y500" s="5">
        <f t="shared" si="15"/>
        <v>2</v>
      </c>
      <c r="Z500" s="8">
        <f>ROUNDUP(Table1[[#This Row],[Actual Heacount]],0)</f>
        <v>1</v>
      </c>
      <c r="AA500" s="8"/>
      <c r="AB500" s="10"/>
      <c r="AC500" s="10"/>
      <c r="AD500" s="10"/>
      <c r="AE500" s="11">
        <v>64.1185897696148</v>
      </c>
      <c r="AF500" s="11">
        <v>277.03170458781841</v>
      </c>
      <c r="AG500" t="s">
        <v>34</v>
      </c>
    </row>
    <row r="501" spans="1:33">
      <c r="A501" s="2">
        <v>44334</v>
      </c>
      <c r="B501" s="5" t="s">
        <v>36</v>
      </c>
      <c r="C501" s="5">
        <f>WEEKDAY(Table1[[#This Row],[Date]])</f>
        <v>3</v>
      </c>
      <c r="D501" s="5">
        <f>MONTH(Table1[[#This Row],[Date]])</f>
        <v>5</v>
      </c>
      <c r="E501" s="5">
        <f>WEEKNUM(Table1[[#This Row],[Date]])</f>
        <v>21</v>
      </c>
      <c r="F501" s="5">
        <f>YEAR(Table1[[#This Row],[Date]])</f>
        <v>2021</v>
      </c>
      <c r="G501">
        <v>185</v>
      </c>
      <c r="L501" s="5">
        <v>104</v>
      </c>
      <c r="M501" s="6">
        <v>0.94550000000000001</v>
      </c>
      <c r="N501" s="5">
        <v>6</v>
      </c>
      <c r="O501" s="7">
        <v>2.7777777777777778E-4</v>
      </c>
      <c r="P501" s="7">
        <v>1.6898148148148148E-3</v>
      </c>
      <c r="Q501" s="7">
        <v>1.6435185185185185E-3</v>
      </c>
      <c r="R501" s="6">
        <v>0.64219999999999999</v>
      </c>
      <c r="S501" s="8">
        <f>CONVERT(Table1[[#This Row],[Talk Duration (AVG)]]*Table1[[#This Row],[Answered Calls]],"day","hr")</f>
        <v>4.2177777777777772</v>
      </c>
      <c r="T501" s="9">
        <f>Table1[[#This Row],[Actual Workload hours]]*60</f>
        <v>253.06666666666663</v>
      </c>
      <c r="U501" s="9">
        <f>CONVERT(Table1[[#This Row],[Actual]]*Table1[[#This Row],[Talk Duration (AVG)]],"day","hr")</f>
        <v>7.5027777777777782</v>
      </c>
      <c r="V501" s="10">
        <f>Table1[[#This Row],[Required Workload Hours]]*60</f>
        <v>450.16666666666669</v>
      </c>
      <c r="W501" s="9">
        <v>1</v>
      </c>
      <c r="X501" s="9">
        <f t="shared" si="14"/>
        <v>1.1723090277777779</v>
      </c>
      <c r="Y501" s="5">
        <f t="shared" si="15"/>
        <v>2</v>
      </c>
      <c r="Z501" s="8">
        <f>ROUNDUP(Table1[[#This Row],[Actual Heacount]],0)</f>
        <v>1</v>
      </c>
      <c r="AA501" s="8"/>
      <c r="AB501" s="10"/>
      <c r="AC501" s="10"/>
      <c r="AD501" s="10"/>
      <c r="AE501" s="11">
        <v>45.022215904206767</v>
      </c>
      <c r="AF501" s="11">
        <v>262.18782266110071</v>
      </c>
      <c r="AG501" t="s">
        <v>34</v>
      </c>
    </row>
    <row r="502" spans="1:33">
      <c r="A502" s="2">
        <v>44335</v>
      </c>
      <c r="B502" s="5" t="s">
        <v>37</v>
      </c>
      <c r="C502" s="5">
        <f>WEEKDAY(Table1[[#This Row],[Date]])</f>
        <v>4</v>
      </c>
      <c r="D502" s="5">
        <f>MONTH(Table1[[#This Row],[Date]])</f>
        <v>5</v>
      </c>
      <c r="E502" s="5">
        <f>WEEKNUM(Table1[[#This Row],[Date]])</f>
        <v>21</v>
      </c>
      <c r="F502" s="5">
        <f>YEAR(Table1[[#This Row],[Date]])</f>
        <v>2021</v>
      </c>
      <c r="G502">
        <v>136</v>
      </c>
      <c r="L502" s="5">
        <v>111</v>
      </c>
      <c r="M502" s="6">
        <v>0.88100000000000001</v>
      </c>
      <c r="N502" s="5">
        <v>15</v>
      </c>
      <c r="O502" s="7">
        <v>3.5879629629629629E-4</v>
      </c>
      <c r="P502" s="7">
        <v>1.8287037037037037E-3</v>
      </c>
      <c r="Q502" s="7">
        <v>3.1944444444444446E-3</v>
      </c>
      <c r="R502" s="6">
        <v>0.52800000000000002</v>
      </c>
      <c r="S502" s="8">
        <f>CONVERT(Table1[[#This Row],[Talk Duration (AVG)]]*Table1[[#This Row],[Answered Calls]],"day","hr")</f>
        <v>4.871666666666667</v>
      </c>
      <c r="T502" s="9">
        <f>Table1[[#This Row],[Actual Workload hours]]*60</f>
        <v>292.3</v>
      </c>
      <c r="U502" s="9">
        <f>CONVERT(Table1[[#This Row],[Actual]]*Table1[[#This Row],[Talk Duration (AVG)]],"day","hr")</f>
        <v>5.9688888888888885</v>
      </c>
      <c r="V502" s="10">
        <f>Table1[[#This Row],[Required Workload Hours]]*60</f>
        <v>358.13333333333333</v>
      </c>
      <c r="W502" s="9">
        <v>1</v>
      </c>
      <c r="X502" s="9">
        <f t="shared" si="14"/>
        <v>1</v>
      </c>
      <c r="Y502" s="5">
        <f t="shared" si="15"/>
        <v>2</v>
      </c>
      <c r="Z502" s="8">
        <f>ROUNDUP(Table1[[#This Row],[Actual Heacount]],0)</f>
        <v>1</v>
      </c>
      <c r="AA502" s="8"/>
      <c r="AB502" s="10"/>
      <c r="AC502" s="10"/>
      <c r="AD502" s="10"/>
      <c r="AE502" s="11">
        <v>61.748334165226602</v>
      </c>
      <c r="AF502" s="11">
        <v>282.73331673323838</v>
      </c>
      <c r="AG502" t="s">
        <v>34</v>
      </c>
    </row>
    <row r="503" spans="1:33">
      <c r="A503" s="2">
        <v>44336</v>
      </c>
      <c r="B503" s="5" t="s">
        <v>38</v>
      </c>
      <c r="C503" s="5">
        <f>WEEKDAY(Table1[[#This Row],[Date]])</f>
        <v>5</v>
      </c>
      <c r="D503" s="5">
        <f>MONTH(Table1[[#This Row],[Date]])</f>
        <v>5</v>
      </c>
      <c r="E503" s="5">
        <f>WEEKNUM(Table1[[#This Row],[Date]])</f>
        <v>21</v>
      </c>
      <c r="F503" s="5">
        <f>YEAR(Table1[[#This Row],[Date]])</f>
        <v>2021</v>
      </c>
      <c r="G503">
        <v>130</v>
      </c>
      <c r="L503" s="5">
        <v>24</v>
      </c>
      <c r="M503" s="6">
        <v>1</v>
      </c>
      <c r="N503" s="5">
        <v>0</v>
      </c>
      <c r="O503" s="7">
        <v>5.5555555555555556E-4</v>
      </c>
      <c r="P503" s="7">
        <v>2.0138888888888888E-3</v>
      </c>
      <c r="Q503" s="7">
        <v>3.2870370370370371E-3</v>
      </c>
      <c r="R503" s="6">
        <v>0.41670000000000001</v>
      </c>
      <c r="S503" s="8">
        <f>CONVERT(Table1[[#This Row],[Talk Duration (AVG)]]*Table1[[#This Row],[Answered Calls]],"day","hr")</f>
        <v>1.1599999999999999</v>
      </c>
      <c r="T503" s="9">
        <f>Table1[[#This Row],[Actual Workload hours]]*60</f>
        <v>69.599999999999994</v>
      </c>
      <c r="U503" s="9">
        <f>CONVERT(Table1[[#This Row],[Actual]]*Table1[[#This Row],[Talk Duration (AVG)]],"day","hr")</f>
        <v>6.2833333333333332</v>
      </c>
      <c r="V503" s="10">
        <f>Table1[[#This Row],[Required Workload Hours]]*60</f>
        <v>377</v>
      </c>
      <c r="W503" s="9">
        <v>1</v>
      </c>
      <c r="X503" s="9">
        <f t="shared" si="14"/>
        <v>1</v>
      </c>
      <c r="Y503" s="5">
        <f t="shared" si="15"/>
        <v>1</v>
      </c>
      <c r="Z503" s="8">
        <f>ROUNDUP(Table1[[#This Row],[Actual Heacount]],0)</f>
        <v>1</v>
      </c>
      <c r="AA503" s="8"/>
      <c r="AB503" s="10"/>
      <c r="AC503" s="10"/>
      <c r="AD503" s="10"/>
      <c r="AE503" s="11">
        <v>52.766979922382738</v>
      </c>
      <c r="AF503" s="11">
        <v>274.19202489268793</v>
      </c>
      <c r="AG503" t="s">
        <v>34</v>
      </c>
    </row>
    <row r="504" spans="1:33">
      <c r="A504" s="2">
        <v>44337</v>
      </c>
      <c r="B504" s="5" t="s">
        <v>39</v>
      </c>
      <c r="C504" s="5">
        <f>WEEKDAY(Table1[[#This Row],[Date]])</f>
        <v>6</v>
      </c>
      <c r="D504" s="5">
        <f>MONTH(Table1[[#This Row],[Date]])</f>
        <v>5</v>
      </c>
      <c r="E504" s="5">
        <f>WEEKNUM(Table1[[#This Row],[Date]])</f>
        <v>21</v>
      </c>
      <c r="F504" s="5">
        <f>YEAR(Table1[[#This Row],[Date]])</f>
        <v>2021</v>
      </c>
      <c r="G504">
        <v>103</v>
      </c>
      <c r="L504" s="5">
        <v>122</v>
      </c>
      <c r="M504" s="6">
        <v>0.95309999999999995</v>
      </c>
      <c r="N504" s="5">
        <v>6</v>
      </c>
      <c r="O504" s="7">
        <v>4.0509259259259258E-4</v>
      </c>
      <c r="P504" s="7">
        <v>2.0717592592592593E-3</v>
      </c>
      <c r="Q504" s="7">
        <v>1.8749999999999999E-3</v>
      </c>
      <c r="R504" s="6">
        <v>0.51559999999999995</v>
      </c>
      <c r="S504" s="8">
        <f>CONVERT(Table1[[#This Row],[Talk Duration (AVG)]]*Table1[[#This Row],[Answered Calls]],"day","hr")</f>
        <v>6.0661111111111108</v>
      </c>
      <c r="T504" s="9">
        <f>Table1[[#This Row],[Actual Workload hours]]*60</f>
        <v>363.96666666666664</v>
      </c>
      <c r="U504" s="9">
        <f>CONVERT(Table1[[#This Row],[Actual]]*Table1[[#This Row],[Talk Duration (AVG)]],"day","hr")</f>
        <v>5.1213888888888892</v>
      </c>
      <c r="V504" s="10">
        <f>Table1[[#This Row],[Required Workload Hours]]*60</f>
        <v>307.28333333333336</v>
      </c>
      <c r="W504" s="9">
        <v>1</v>
      </c>
      <c r="X504" s="9">
        <f t="shared" si="14"/>
        <v>1</v>
      </c>
      <c r="Y504" s="5">
        <f t="shared" si="15"/>
        <v>2</v>
      </c>
      <c r="Z504" s="8">
        <f>ROUNDUP(Table1[[#This Row],[Actual Heacount]],0)</f>
        <v>1</v>
      </c>
      <c r="AA504" s="8"/>
      <c r="AB504" s="10"/>
      <c r="AC504" s="10"/>
      <c r="AD504" s="10"/>
      <c r="AE504" s="11">
        <v>41.654057735414597</v>
      </c>
      <c r="AF504" s="11">
        <v>266.09381252937112</v>
      </c>
      <c r="AG504" t="s">
        <v>34</v>
      </c>
    </row>
    <row r="505" spans="1:33">
      <c r="A505" s="2">
        <v>44338</v>
      </c>
      <c r="B505" s="5" t="s">
        <v>40</v>
      </c>
      <c r="C505" s="5">
        <f>WEEKDAY(Table1[[#This Row],[Date]])</f>
        <v>7</v>
      </c>
      <c r="D505" s="5">
        <f>MONTH(Table1[[#This Row],[Date]])</f>
        <v>5</v>
      </c>
      <c r="E505" s="5">
        <f>WEEKNUM(Table1[[#This Row],[Date]])</f>
        <v>21</v>
      </c>
      <c r="F505" s="5">
        <f>YEAR(Table1[[#This Row],[Date]])</f>
        <v>2021</v>
      </c>
      <c r="G505">
        <v>99</v>
      </c>
      <c r="L505" s="5">
        <v>176</v>
      </c>
      <c r="M505" s="6">
        <v>0.95140000000000002</v>
      </c>
      <c r="N505" s="5">
        <v>9</v>
      </c>
      <c r="O505" s="7">
        <v>3.1250000000000001E-4</v>
      </c>
      <c r="P505" s="7">
        <v>1.6550925925925926E-3</v>
      </c>
      <c r="Q505" s="7">
        <v>3.5300925925925925E-3</v>
      </c>
      <c r="R505" s="6">
        <v>0.67930000000000001</v>
      </c>
      <c r="S505" s="8">
        <f>CONVERT(Table1[[#This Row],[Talk Duration (AVG)]]*Table1[[#This Row],[Answered Calls]],"day","hr")</f>
        <v>6.9911111111111115</v>
      </c>
      <c r="T505" s="9">
        <f>Table1[[#This Row],[Actual Workload hours]]*60</f>
        <v>419.4666666666667</v>
      </c>
      <c r="U505" s="9">
        <f>CONVERT(Table1[[#This Row],[Actual]]*Table1[[#This Row],[Talk Duration (AVG)]],"day","hr")</f>
        <v>3.9325000000000001</v>
      </c>
      <c r="V505" s="10">
        <f>Table1[[#This Row],[Required Workload Hours]]*60</f>
        <v>235.95000000000002</v>
      </c>
      <c r="W505" s="9">
        <v>1.0900000000000001</v>
      </c>
      <c r="X505" s="9">
        <f t="shared" si="14"/>
        <v>1</v>
      </c>
      <c r="Y505" s="5">
        <f t="shared" si="15"/>
        <v>2</v>
      </c>
      <c r="Z505" s="8">
        <f>ROUNDUP(Table1[[#This Row],[Actual Heacount]],0)</f>
        <v>2</v>
      </c>
      <c r="AA505" s="8"/>
      <c r="AB505" s="10"/>
      <c r="AC505" s="10"/>
      <c r="AD505" s="10"/>
      <c r="AE505" s="11">
        <v>51.616357209160412</v>
      </c>
      <c r="AF505" s="11">
        <v>268.69687474275003</v>
      </c>
      <c r="AG505" t="s">
        <v>34</v>
      </c>
    </row>
    <row r="506" spans="1:33">
      <c r="A506" s="2">
        <v>44339</v>
      </c>
      <c r="B506" s="5" t="s">
        <v>33</v>
      </c>
      <c r="C506" s="5">
        <f>WEEKDAY(Table1[[#This Row],[Date]])</f>
        <v>1</v>
      </c>
      <c r="D506" s="5">
        <f>MONTH(Table1[[#This Row],[Date]])</f>
        <v>5</v>
      </c>
      <c r="E506" s="5">
        <f>WEEKNUM(Table1[[#This Row],[Date]])</f>
        <v>22</v>
      </c>
      <c r="F506" s="5">
        <f>YEAR(Table1[[#This Row],[Date]])</f>
        <v>2021</v>
      </c>
      <c r="G506">
        <v>26</v>
      </c>
      <c r="L506" s="5">
        <v>114</v>
      </c>
      <c r="M506" s="6">
        <v>0.83819999999999995</v>
      </c>
      <c r="N506" s="5">
        <v>22</v>
      </c>
      <c r="O506" s="7">
        <v>6.5972222222222224E-4</v>
      </c>
      <c r="P506" s="7">
        <v>1.6782407407407408E-3</v>
      </c>
      <c r="Q506" s="7">
        <v>3.8310185185185183E-3</v>
      </c>
      <c r="R506" s="6">
        <v>0.28789999999999999</v>
      </c>
      <c r="S506" s="8">
        <f>CONVERT(Table1[[#This Row],[Talk Duration (AVG)]]*Table1[[#This Row],[Answered Calls]],"day","hr")</f>
        <v>4.5916666666666668</v>
      </c>
      <c r="T506" s="9">
        <f>Table1[[#This Row],[Actual Workload hours]]*60</f>
        <v>275.5</v>
      </c>
      <c r="U506" s="9">
        <f>CONVERT(Table1[[#This Row],[Actual]]*Table1[[#This Row],[Talk Duration (AVG)]],"day","hr")</f>
        <v>1.0472222222222223</v>
      </c>
      <c r="V506" s="10">
        <f>Table1[[#This Row],[Required Workload Hours]]*60</f>
        <v>62.833333333333336</v>
      </c>
      <c r="W506" s="9">
        <v>1</v>
      </c>
      <c r="X506" s="9">
        <f t="shared" si="14"/>
        <v>1</v>
      </c>
      <c r="Y506" s="5">
        <f t="shared" si="15"/>
        <v>2</v>
      </c>
      <c r="Z506" s="8">
        <f>ROUNDUP(Table1[[#This Row],[Actual Heacount]],0)</f>
        <v>1</v>
      </c>
      <c r="AA506" s="8"/>
      <c r="AB506" s="10"/>
      <c r="AC506" s="10"/>
      <c r="AD506" s="10"/>
      <c r="AE506" s="11">
        <v>-34.689437739918219</v>
      </c>
      <c r="AF506" s="11">
        <v>179.91474120081821</v>
      </c>
      <c r="AG506" t="s">
        <v>34</v>
      </c>
    </row>
    <row r="507" spans="1:33">
      <c r="A507" s="2">
        <v>44340</v>
      </c>
      <c r="B507" s="5" t="s">
        <v>35</v>
      </c>
      <c r="C507" s="5">
        <f>WEEKDAY(Table1[[#This Row],[Date]])</f>
        <v>2</v>
      </c>
      <c r="D507" s="5">
        <f>MONTH(Table1[[#This Row],[Date]])</f>
        <v>5</v>
      </c>
      <c r="E507" s="5">
        <f>WEEKNUM(Table1[[#This Row],[Date]])</f>
        <v>22</v>
      </c>
      <c r="F507" s="5">
        <f>YEAR(Table1[[#This Row],[Date]])</f>
        <v>2021</v>
      </c>
      <c r="G507">
        <v>95</v>
      </c>
      <c r="L507" s="5">
        <v>116</v>
      </c>
      <c r="M507" s="6">
        <v>0.89229999999999998</v>
      </c>
      <c r="N507" s="5">
        <v>14</v>
      </c>
      <c r="O507" s="7">
        <v>5.0925925925925921E-4</v>
      </c>
      <c r="P507" s="7">
        <v>1.8634259259259259E-3</v>
      </c>
      <c r="Q507" s="7">
        <v>4.1666666666666666E-3</v>
      </c>
      <c r="R507" s="6">
        <v>0.44440000000000002</v>
      </c>
      <c r="S507" s="8">
        <f>CONVERT(Table1[[#This Row],[Talk Duration (AVG)]]*Table1[[#This Row],[Answered Calls]],"day","hr")</f>
        <v>5.1877777777777778</v>
      </c>
      <c r="T507" s="9">
        <f>Table1[[#This Row],[Actual Workload hours]]*60</f>
        <v>311.26666666666665</v>
      </c>
      <c r="U507" s="9">
        <f>CONVERT(Table1[[#This Row],[Actual]]*Table1[[#This Row],[Talk Duration (AVG)]],"day","hr")</f>
        <v>4.2486111111111109</v>
      </c>
      <c r="V507" s="10">
        <f>Table1[[#This Row],[Required Workload Hours]]*60</f>
        <v>254.91666666666666</v>
      </c>
      <c r="W507" s="9">
        <v>1</v>
      </c>
      <c r="X507" s="9">
        <f t="shared" si="14"/>
        <v>1</v>
      </c>
      <c r="Y507" s="5">
        <f t="shared" si="15"/>
        <v>2</v>
      </c>
      <c r="Z507" s="8">
        <f>ROUNDUP(Table1[[#This Row],[Actual Heacount]],0)</f>
        <v>1</v>
      </c>
      <c r="AA507" s="8"/>
      <c r="AB507" s="10"/>
      <c r="AC507" s="10"/>
      <c r="AD507" s="10"/>
      <c r="AE507" s="11">
        <v>63.87014688654795</v>
      </c>
      <c r="AF507" s="11">
        <v>277.53485607060497</v>
      </c>
      <c r="AG507" t="s">
        <v>34</v>
      </c>
    </row>
    <row r="508" spans="1:33">
      <c r="A508" s="2">
        <v>44341</v>
      </c>
      <c r="B508" s="5" t="s">
        <v>36</v>
      </c>
      <c r="C508" s="5">
        <f>WEEKDAY(Table1[[#This Row],[Date]])</f>
        <v>3</v>
      </c>
      <c r="D508" s="5">
        <f>MONTH(Table1[[#This Row],[Date]])</f>
        <v>5</v>
      </c>
      <c r="E508" s="5">
        <f>WEEKNUM(Table1[[#This Row],[Date]])</f>
        <v>22</v>
      </c>
      <c r="F508" s="5">
        <f>YEAR(Table1[[#This Row],[Date]])</f>
        <v>2021</v>
      </c>
      <c r="G508">
        <v>136</v>
      </c>
      <c r="L508" s="5">
        <v>101</v>
      </c>
      <c r="M508" s="6">
        <v>0.98060000000000003</v>
      </c>
      <c r="N508" s="5">
        <v>2</v>
      </c>
      <c r="O508" s="7">
        <v>2.0833333333333335E-4</v>
      </c>
      <c r="P508" s="7">
        <v>1.8749999999999999E-3</v>
      </c>
      <c r="Q508" s="7">
        <v>1.6550925925925926E-3</v>
      </c>
      <c r="R508" s="6">
        <v>0.77449999999999997</v>
      </c>
      <c r="S508" s="8">
        <f>CONVERT(Table1[[#This Row],[Talk Duration (AVG)]]*Table1[[#This Row],[Answered Calls]],"day","hr")</f>
        <v>4.5449999999999999</v>
      </c>
      <c r="T508" s="9">
        <f>Table1[[#This Row],[Actual Workload hours]]*60</f>
        <v>272.7</v>
      </c>
      <c r="U508" s="9">
        <f>CONVERT(Table1[[#This Row],[Actual]]*Table1[[#This Row],[Talk Duration (AVG)]],"day","hr")</f>
        <v>6.12</v>
      </c>
      <c r="V508" s="10">
        <f>Table1[[#This Row],[Required Workload Hours]]*60</f>
        <v>367.2</v>
      </c>
      <c r="W508" s="9">
        <v>1</v>
      </c>
      <c r="X508" s="9">
        <f t="shared" si="14"/>
        <v>1</v>
      </c>
      <c r="Y508" s="5">
        <f t="shared" si="15"/>
        <v>2</v>
      </c>
      <c r="Z508" s="8">
        <f>ROUNDUP(Table1[[#This Row],[Actual Heacount]],0)</f>
        <v>1</v>
      </c>
      <c r="AA508" s="8"/>
      <c r="AB508" s="10"/>
      <c r="AC508" s="10"/>
      <c r="AD508" s="10"/>
      <c r="AE508" s="11">
        <v>47.747882462893919</v>
      </c>
      <c r="AF508" s="11">
        <v>263.91030376339609</v>
      </c>
      <c r="AG508" t="s">
        <v>34</v>
      </c>
    </row>
    <row r="509" spans="1:33">
      <c r="A509" s="2">
        <v>44342</v>
      </c>
      <c r="B509" s="5" t="s">
        <v>37</v>
      </c>
      <c r="C509" s="5">
        <f>WEEKDAY(Table1[[#This Row],[Date]])</f>
        <v>4</v>
      </c>
      <c r="D509" s="5">
        <f>MONTH(Table1[[#This Row],[Date]])</f>
        <v>5</v>
      </c>
      <c r="E509" s="5">
        <f>WEEKNUM(Table1[[#This Row],[Date]])</f>
        <v>22</v>
      </c>
      <c r="F509" s="5">
        <f>YEAR(Table1[[#This Row],[Date]])</f>
        <v>2021</v>
      </c>
      <c r="G509">
        <v>37</v>
      </c>
      <c r="L509" s="5">
        <v>89</v>
      </c>
      <c r="M509" s="6">
        <v>0.89900000000000002</v>
      </c>
      <c r="N509" s="5">
        <v>10</v>
      </c>
      <c r="O509" s="7">
        <v>2.3148148148148149E-4</v>
      </c>
      <c r="P509" s="7">
        <v>1.7013888888888888E-3</v>
      </c>
      <c r="Q509" s="7">
        <v>1.0416666666666667E-3</v>
      </c>
      <c r="R509" s="6">
        <v>0.73680000000000001</v>
      </c>
      <c r="S509" s="8">
        <f>CONVERT(Table1[[#This Row],[Talk Duration (AVG)]]*Table1[[#This Row],[Answered Calls]],"day","hr")</f>
        <v>3.6341666666666668</v>
      </c>
      <c r="T509" s="9">
        <f>Table1[[#This Row],[Actual Workload hours]]*60</f>
        <v>218.05</v>
      </c>
      <c r="U509" s="9">
        <f>CONVERT(Table1[[#This Row],[Actual]]*Table1[[#This Row],[Talk Duration (AVG)]],"day","hr")</f>
        <v>1.5108333333333333</v>
      </c>
      <c r="V509" s="10">
        <f>Table1[[#This Row],[Required Workload Hours]]*60</f>
        <v>90.649999999999991</v>
      </c>
      <c r="W509" s="9">
        <v>1</v>
      </c>
      <c r="X509" s="9">
        <f t="shared" si="14"/>
        <v>1</v>
      </c>
      <c r="Y509" s="5">
        <f t="shared" si="15"/>
        <v>2</v>
      </c>
      <c r="Z509" s="8">
        <f>ROUNDUP(Table1[[#This Row],[Actual Heacount]],0)</f>
        <v>1</v>
      </c>
      <c r="AA509" s="8"/>
      <c r="AB509" s="10"/>
      <c r="AC509" s="10"/>
      <c r="AD509" s="10"/>
      <c r="AE509" s="11">
        <v>52.723686734690482</v>
      </c>
      <c r="AF509" s="11">
        <v>268.33688253554521</v>
      </c>
      <c r="AG509" t="s">
        <v>34</v>
      </c>
    </row>
    <row r="510" spans="1:33">
      <c r="A510" s="2">
        <v>44343</v>
      </c>
      <c r="B510" s="5" t="s">
        <v>38</v>
      </c>
      <c r="C510" s="5">
        <f>WEEKDAY(Table1[[#This Row],[Date]])</f>
        <v>5</v>
      </c>
      <c r="D510" s="5">
        <f>MONTH(Table1[[#This Row],[Date]])</f>
        <v>5</v>
      </c>
      <c r="E510" s="5">
        <f>WEEKNUM(Table1[[#This Row],[Date]])</f>
        <v>22</v>
      </c>
      <c r="F510" s="5">
        <f>YEAR(Table1[[#This Row],[Date]])</f>
        <v>2021</v>
      </c>
      <c r="G510">
        <v>105</v>
      </c>
      <c r="L510" s="5">
        <v>24</v>
      </c>
      <c r="M510" s="6">
        <v>0.92310000000000003</v>
      </c>
      <c r="N510" s="5">
        <v>2</v>
      </c>
      <c r="O510" s="7">
        <v>2.6620370370370372E-4</v>
      </c>
      <c r="P510" s="7">
        <v>1.3888888888888889E-3</v>
      </c>
      <c r="Q510" s="7">
        <v>1.3078703703703703E-3</v>
      </c>
      <c r="R510" s="6">
        <v>0.68</v>
      </c>
      <c r="S510" s="8">
        <f>CONVERT(Table1[[#This Row],[Talk Duration (AVG)]]*Table1[[#This Row],[Answered Calls]],"day","hr")</f>
        <v>0.8</v>
      </c>
      <c r="T510" s="9">
        <f>Table1[[#This Row],[Actual Workload hours]]*60</f>
        <v>48</v>
      </c>
      <c r="U510" s="9">
        <f>CONVERT(Table1[[#This Row],[Actual]]*Table1[[#This Row],[Talk Duration (AVG)]],"day","hr")</f>
        <v>3.5</v>
      </c>
      <c r="V510" s="10">
        <f>Table1[[#This Row],[Required Workload Hours]]*60</f>
        <v>210</v>
      </c>
      <c r="W510" s="9">
        <v>1</v>
      </c>
      <c r="X510" s="9">
        <f t="shared" si="14"/>
        <v>1</v>
      </c>
      <c r="Y510" s="5">
        <f t="shared" si="15"/>
        <v>1</v>
      </c>
      <c r="Z510" s="8">
        <f>ROUNDUP(Table1[[#This Row],[Actual Heacount]],0)</f>
        <v>1</v>
      </c>
      <c r="AA510" s="8"/>
      <c r="AB510" s="10"/>
      <c r="AC510" s="10"/>
      <c r="AD510" s="10"/>
      <c r="AE510" s="11">
        <v>43.971016106902283</v>
      </c>
      <c r="AF510" s="11">
        <v>268.39138147819608</v>
      </c>
      <c r="AG510" t="s">
        <v>34</v>
      </c>
    </row>
    <row r="511" spans="1:33">
      <c r="A511" s="2">
        <v>44344</v>
      </c>
      <c r="B511" s="5" t="s">
        <v>39</v>
      </c>
      <c r="C511" s="5">
        <f>WEEKDAY(Table1[[#This Row],[Date]])</f>
        <v>6</v>
      </c>
      <c r="D511" s="5">
        <f>MONTH(Table1[[#This Row],[Date]])</f>
        <v>5</v>
      </c>
      <c r="E511" s="5">
        <f>WEEKNUM(Table1[[#This Row],[Date]])</f>
        <v>22</v>
      </c>
      <c r="F511" s="5">
        <f>YEAR(Table1[[#This Row],[Date]])</f>
        <v>2021</v>
      </c>
      <c r="G511">
        <v>100</v>
      </c>
      <c r="L511" s="5">
        <v>94</v>
      </c>
      <c r="M511" s="6">
        <v>0.98950000000000005</v>
      </c>
      <c r="N511" s="5">
        <v>1</v>
      </c>
      <c r="O511" s="7">
        <v>2.4305555555555555E-4</v>
      </c>
      <c r="P511" s="7">
        <v>1.7476851851851852E-3</v>
      </c>
      <c r="Q511" s="7">
        <v>2.476851851851852E-3</v>
      </c>
      <c r="R511" s="6">
        <v>0.75529999999999997</v>
      </c>
      <c r="S511" s="8">
        <f>CONVERT(Table1[[#This Row],[Talk Duration (AVG)]]*Table1[[#This Row],[Answered Calls]],"day","hr")</f>
        <v>3.9427777777777777</v>
      </c>
      <c r="T511" s="9">
        <f>Table1[[#This Row],[Actual Workload hours]]*60</f>
        <v>236.56666666666666</v>
      </c>
      <c r="U511" s="9">
        <f>CONVERT(Table1[[#This Row],[Actual]]*Table1[[#This Row],[Talk Duration (AVG)]],"day","hr")</f>
        <v>4.1944444444444446</v>
      </c>
      <c r="V511" s="10">
        <f>Table1[[#This Row],[Required Workload Hours]]*60</f>
        <v>251.66666666666669</v>
      </c>
      <c r="W511" s="9">
        <v>1</v>
      </c>
      <c r="X511" s="9">
        <f t="shared" si="14"/>
        <v>1</v>
      </c>
      <c r="Y511" s="5">
        <f t="shared" si="15"/>
        <v>2</v>
      </c>
      <c r="Z511" s="8">
        <f>ROUNDUP(Table1[[#This Row],[Actual Heacount]],0)</f>
        <v>1</v>
      </c>
      <c r="AA511" s="8"/>
      <c r="AB511" s="10"/>
      <c r="AC511" s="10"/>
      <c r="AD511" s="10"/>
      <c r="AE511" s="11">
        <v>44.874675677187142</v>
      </c>
      <c r="AF511" s="11">
        <v>250.59602088157939</v>
      </c>
      <c r="AG511" t="s">
        <v>34</v>
      </c>
    </row>
    <row r="512" spans="1:33">
      <c r="A512" s="2">
        <v>44345</v>
      </c>
      <c r="B512" s="5" t="s">
        <v>40</v>
      </c>
      <c r="C512" s="5">
        <f>WEEKDAY(Table1[[#This Row],[Date]])</f>
        <v>7</v>
      </c>
      <c r="D512" s="5">
        <f>MONTH(Table1[[#This Row],[Date]])</f>
        <v>5</v>
      </c>
      <c r="E512" s="5">
        <f>WEEKNUM(Table1[[#This Row],[Date]])</f>
        <v>22</v>
      </c>
      <c r="F512" s="5">
        <f>YEAR(Table1[[#This Row],[Date]])</f>
        <v>2021</v>
      </c>
      <c r="G512">
        <v>115</v>
      </c>
      <c r="L512" s="5">
        <v>131</v>
      </c>
      <c r="M512" s="6">
        <v>0.96319999999999995</v>
      </c>
      <c r="N512" s="5">
        <v>5</v>
      </c>
      <c r="O512" s="7">
        <v>1.9675925925925926E-4</v>
      </c>
      <c r="P512" s="7">
        <v>1.724537037037037E-3</v>
      </c>
      <c r="Q512" s="7">
        <v>1.6319444444444445E-3</v>
      </c>
      <c r="R512" s="6">
        <v>0.81059999999999999</v>
      </c>
      <c r="S512" s="8">
        <f>CONVERT(Table1[[#This Row],[Talk Duration (AVG)]]*Table1[[#This Row],[Answered Calls]],"day","hr")</f>
        <v>5.4219444444444447</v>
      </c>
      <c r="T512" s="9">
        <f>Table1[[#This Row],[Actual Workload hours]]*60</f>
        <v>325.31666666666666</v>
      </c>
      <c r="U512" s="9">
        <f>CONVERT(Table1[[#This Row],[Actual]]*Table1[[#This Row],[Talk Duration (AVG)]],"day","hr")</f>
        <v>4.759722222222222</v>
      </c>
      <c r="V512" s="10">
        <f>Table1[[#This Row],[Required Workload Hours]]*60</f>
        <v>285.58333333333331</v>
      </c>
      <c r="W512" s="9">
        <v>1</v>
      </c>
      <c r="X512" s="9">
        <f t="shared" si="14"/>
        <v>1</v>
      </c>
      <c r="Y512" s="5">
        <f t="shared" si="15"/>
        <v>2</v>
      </c>
      <c r="Z512" s="8">
        <f>ROUNDUP(Table1[[#This Row],[Actual Heacount]],0)</f>
        <v>1</v>
      </c>
      <c r="AA512" s="8"/>
      <c r="AB512" s="10"/>
      <c r="AC512" s="10"/>
      <c r="AD512" s="10"/>
      <c r="AE512" s="11">
        <v>33.491672091410258</v>
      </c>
      <c r="AF512" s="11">
        <v>261.86603027671117</v>
      </c>
      <c r="AG512" t="s">
        <v>34</v>
      </c>
    </row>
    <row r="513" spans="1:33">
      <c r="A513" s="2">
        <v>44346</v>
      </c>
      <c r="B513" s="5" t="s">
        <v>33</v>
      </c>
      <c r="C513" s="5">
        <f>WEEKDAY(Table1[[#This Row],[Date]])</f>
        <v>1</v>
      </c>
      <c r="D513" s="5">
        <f>MONTH(Table1[[#This Row],[Date]])</f>
        <v>5</v>
      </c>
      <c r="E513" s="5">
        <f>WEEKNUM(Table1[[#This Row],[Date]])</f>
        <v>23</v>
      </c>
      <c r="F513" s="5">
        <f>YEAR(Table1[[#This Row],[Date]])</f>
        <v>2021</v>
      </c>
      <c r="G513">
        <v>38</v>
      </c>
      <c r="L513" s="5">
        <v>34</v>
      </c>
      <c r="M513" s="6">
        <v>0.91890000000000005</v>
      </c>
      <c r="N513" s="5">
        <v>3</v>
      </c>
      <c r="O513" s="7">
        <v>4.7453703703703704E-4</v>
      </c>
      <c r="P513" s="7">
        <v>1.5162037037037036E-3</v>
      </c>
      <c r="Q513" s="7">
        <v>4.0046296296296297E-3</v>
      </c>
      <c r="R513" s="6">
        <v>0.64859999999999995</v>
      </c>
      <c r="S513" s="8">
        <f>CONVERT(Table1[[#This Row],[Talk Duration (AVG)]]*Table1[[#This Row],[Answered Calls]],"day","hr")</f>
        <v>1.2372222222222222</v>
      </c>
      <c r="T513" s="9">
        <f>Table1[[#This Row],[Actual Workload hours]]*60</f>
        <v>74.233333333333334</v>
      </c>
      <c r="U513" s="9">
        <f>CONVERT(Table1[[#This Row],[Actual]]*Table1[[#This Row],[Talk Duration (AVG)]],"day","hr")</f>
        <v>1.3827777777777779</v>
      </c>
      <c r="V513" s="10">
        <f>Table1[[#This Row],[Required Workload Hours]]*60</f>
        <v>82.966666666666669</v>
      </c>
      <c r="W513" s="9">
        <v>1</v>
      </c>
      <c r="X513" s="9">
        <f t="shared" si="14"/>
        <v>1</v>
      </c>
      <c r="Y513" s="5">
        <f t="shared" si="15"/>
        <v>2</v>
      </c>
      <c r="Z513" s="8">
        <f>ROUNDUP(Table1[[#This Row],[Actual Heacount]],0)</f>
        <v>1</v>
      </c>
      <c r="AA513" s="8"/>
      <c r="AB513" s="10"/>
      <c r="AC513" s="10"/>
      <c r="AD513" s="10"/>
      <c r="AE513" s="11">
        <v>-52.907608929695407</v>
      </c>
      <c r="AF513" s="11">
        <v>172.35533715907499</v>
      </c>
      <c r="AG513" t="s">
        <v>34</v>
      </c>
    </row>
    <row r="514" spans="1:33">
      <c r="A514" s="2">
        <v>44347</v>
      </c>
      <c r="B514" s="5" t="s">
        <v>35</v>
      </c>
      <c r="C514" s="5">
        <f>WEEKDAY(Table1[[#This Row],[Date]])</f>
        <v>2</v>
      </c>
      <c r="D514" s="5">
        <f>MONTH(Table1[[#This Row],[Date]])</f>
        <v>5</v>
      </c>
      <c r="E514" s="5">
        <f>WEEKNUM(Table1[[#This Row],[Date]])</f>
        <v>23</v>
      </c>
      <c r="F514" s="5">
        <f>YEAR(Table1[[#This Row],[Date]])</f>
        <v>2021</v>
      </c>
      <c r="G514">
        <v>108</v>
      </c>
      <c r="L514" s="5">
        <v>100</v>
      </c>
      <c r="M514" s="6">
        <v>0.95240000000000002</v>
      </c>
      <c r="N514" s="5">
        <v>5</v>
      </c>
      <c r="O514" s="7">
        <v>2.5462962962962961E-4</v>
      </c>
      <c r="P514" s="7">
        <v>1.736111111111111E-3</v>
      </c>
      <c r="Q514" s="7">
        <v>1.5277777777777779E-3</v>
      </c>
      <c r="R514" s="6">
        <v>0.7228</v>
      </c>
      <c r="S514" s="8">
        <f>CONVERT(Table1[[#This Row],[Talk Duration (AVG)]]*Table1[[#This Row],[Answered Calls]],"day","hr")</f>
        <v>4.166666666666667</v>
      </c>
      <c r="T514" s="9">
        <f>Table1[[#This Row],[Actual Workload hours]]*60</f>
        <v>250.00000000000003</v>
      </c>
      <c r="U514" s="9">
        <f>CONVERT(Table1[[#This Row],[Actual]]*Table1[[#This Row],[Talk Duration (AVG)]],"day","hr")</f>
        <v>4.5</v>
      </c>
      <c r="V514" s="10">
        <f>Table1[[#This Row],[Required Workload Hours]]*60</f>
        <v>270</v>
      </c>
      <c r="W514" s="9">
        <v>1</v>
      </c>
      <c r="X514" s="9">
        <f t="shared" si="14"/>
        <v>1</v>
      </c>
      <c r="Y514" s="5">
        <f t="shared" si="15"/>
        <v>2</v>
      </c>
      <c r="Z514" s="8">
        <f>ROUNDUP(Table1[[#This Row],[Actual Heacount]],0)</f>
        <v>1</v>
      </c>
      <c r="AA514" s="8"/>
      <c r="AB514" s="10"/>
      <c r="AC514" s="10"/>
      <c r="AD514" s="10"/>
      <c r="AE514" s="11">
        <v>53.155079393049967</v>
      </c>
      <c r="AF514" s="11">
        <v>267.37941360138541</v>
      </c>
      <c r="AG514" t="s">
        <v>34</v>
      </c>
    </row>
    <row r="515" spans="1:33">
      <c r="A515" s="2">
        <v>44348</v>
      </c>
      <c r="B515" s="5" t="s">
        <v>36</v>
      </c>
      <c r="C515" s="5">
        <f>WEEKDAY(Table1[[#This Row],[Date]])</f>
        <v>3</v>
      </c>
      <c r="D515" s="5">
        <f>MONTH(Table1[[#This Row],[Date]])</f>
        <v>6</v>
      </c>
      <c r="E515" s="5">
        <f>WEEKNUM(Table1[[#This Row],[Date]])</f>
        <v>23</v>
      </c>
      <c r="F515" s="5">
        <f>YEAR(Table1[[#This Row],[Date]])</f>
        <v>2021</v>
      </c>
      <c r="G515">
        <v>169</v>
      </c>
      <c r="L515" s="5">
        <v>92</v>
      </c>
      <c r="M515" s="6">
        <v>0.92</v>
      </c>
      <c r="N515" s="5">
        <v>8</v>
      </c>
      <c r="O515" s="7">
        <v>3.4722222222222224E-4</v>
      </c>
      <c r="P515" s="7">
        <v>1.7013888888888888E-3</v>
      </c>
      <c r="Q515" s="7">
        <v>3.1828703703703702E-3</v>
      </c>
      <c r="R515" s="6">
        <v>0.63270000000000004</v>
      </c>
      <c r="S515" s="8">
        <f>CONVERT(Table1[[#This Row],[Talk Duration (AVG)]]*Table1[[#This Row],[Answered Calls]],"day","hr")</f>
        <v>3.7566666666666664</v>
      </c>
      <c r="T515" s="9">
        <f>Table1[[#This Row],[Actual Workload hours]]*60</f>
        <v>225.39999999999998</v>
      </c>
      <c r="U515" s="9">
        <f>CONVERT(Table1[[#This Row],[Actual]]*Table1[[#This Row],[Talk Duration (AVG)]],"day","hr")</f>
        <v>6.9008333333333329</v>
      </c>
      <c r="V515" s="10">
        <f>Table1[[#This Row],[Required Workload Hours]]*60</f>
        <v>414.04999999999995</v>
      </c>
      <c r="W515" s="9">
        <v>1</v>
      </c>
      <c r="X515" s="9">
        <f t="shared" ref="X515:X578" si="16">IF(V515&lt;384,1,(V515/384))</f>
        <v>1.0782552083333332</v>
      </c>
      <c r="Y515" s="5">
        <f t="shared" ref="Y515:Y578" si="17">IF(B515="Sunday",1,2)</f>
        <v>2</v>
      </c>
      <c r="Z515" s="8">
        <f>ROUNDUP(Table1[[#This Row],[Actual Heacount]],0)</f>
        <v>1</v>
      </c>
      <c r="AA515" s="8"/>
      <c r="AB515" s="10"/>
      <c r="AC515" s="10"/>
      <c r="AD515" s="10"/>
      <c r="AE515" s="11">
        <v>29.6229975919025</v>
      </c>
      <c r="AF515" s="11">
        <v>261.45240183229117</v>
      </c>
      <c r="AG515" t="s">
        <v>34</v>
      </c>
    </row>
    <row r="516" spans="1:33">
      <c r="A516" s="2">
        <v>44349</v>
      </c>
      <c r="B516" s="5" t="s">
        <v>37</v>
      </c>
      <c r="C516" s="5">
        <f>WEEKDAY(Table1[[#This Row],[Date]])</f>
        <v>4</v>
      </c>
      <c r="D516" s="5">
        <f>MONTH(Table1[[#This Row],[Date]])</f>
        <v>6</v>
      </c>
      <c r="E516" s="5">
        <f>WEEKNUM(Table1[[#This Row],[Date]])</f>
        <v>23</v>
      </c>
      <c r="F516" s="5">
        <f>YEAR(Table1[[#This Row],[Date]])</f>
        <v>2021</v>
      </c>
      <c r="G516">
        <v>129</v>
      </c>
      <c r="L516" s="5">
        <v>103</v>
      </c>
      <c r="M516" s="6">
        <v>0.89570000000000005</v>
      </c>
      <c r="N516" s="5">
        <v>12</v>
      </c>
      <c r="O516" s="7">
        <v>5.0925925925925921E-4</v>
      </c>
      <c r="P516" s="7">
        <v>1.9212962962962964E-3</v>
      </c>
      <c r="Q516" s="7">
        <v>3.1828703703703702E-3</v>
      </c>
      <c r="R516" s="6">
        <v>0.37169999999999997</v>
      </c>
      <c r="S516" s="8">
        <f>CONVERT(Table1[[#This Row],[Talk Duration (AVG)]]*Table1[[#This Row],[Answered Calls]],"day","hr")</f>
        <v>4.7494444444444444</v>
      </c>
      <c r="T516" s="9">
        <f>Table1[[#This Row],[Actual Workload hours]]*60</f>
        <v>284.96666666666664</v>
      </c>
      <c r="U516" s="9">
        <f>CONVERT(Table1[[#This Row],[Actual]]*Table1[[#This Row],[Talk Duration (AVG)]],"day","hr")</f>
        <v>5.9483333333333341</v>
      </c>
      <c r="V516" s="10">
        <f>Table1[[#This Row],[Required Workload Hours]]*60</f>
        <v>356.90000000000003</v>
      </c>
      <c r="W516" s="9">
        <v>1</v>
      </c>
      <c r="X516" s="9">
        <f t="shared" si="16"/>
        <v>1</v>
      </c>
      <c r="Y516" s="5">
        <f t="shared" si="17"/>
        <v>2</v>
      </c>
      <c r="Z516" s="8">
        <f>ROUNDUP(Table1[[#This Row],[Actual Heacount]],0)</f>
        <v>1</v>
      </c>
      <c r="AA516" s="8"/>
      <c r="AB516" s="10"/>
      <c r="AC516" s="10"/>
      <c r="AD516" s="10"/>
      <c r="AE516" s="11">
        <v>45.239460291540396</v>
      </c>
      <c r="AF516" s="11">
        <v>275.67074116114952</v>
      </c>
      <c r="AG516" t="s">
        <v>34</v>
      </c>
    </row>
    <row r="517" spans="1:33">
      <c r="A517" s="2">
        <v>44350</v>
      </c>
      <c r="B517" s="5" t="s">
        <v>38</v>
      </c>
      <c r="C517" s="5">
        <f>WEEKDAY(Table1[[#This Row],[Date]])</f>
        <v>5</v>
      </c>
      <c r="D517" s="5">
        <f>MONTH(Table1[[#This Row],[Date]])</f>
        <v>6</v>
      </c>
      <c r="E517" s="5">
        <f>WEEKNUM(Table1[[#This Row],[Date]])</f>
        <v>23</v>
      </c>
      <c r="F517" s="5">
        <f>YEAR(Table1[[#This Row],[Date]])</f>
        <v>2021</v>
      </c>
      <c r="G517">
        <v>118</v>
      </c>
      <c r="L517" s="5">
        <v>36</v>
      </c>
      <c r="M517" s="6">
        <v>0.94740000000000002</v>
      </c>
      <c r="N517" s="5">
        <v>2</v>
      </c>
      <c r="O517" s="7">
        <v>4.5138888888888887E-4</v>
      </c>
      <c r="P517" s="7">
        <v>2.0370370370370369E-3</v>
      </c>
      <c r="Q517" s="7">
        <v>2.0138888888888888E-3</v>
      </c>
      <c r="R517" s="6">
        <v>0.52629999999999999</v>
      </c>
      <c r="S517" s="8">
        <f>CONVERT(Table1[[#This Row],[Talk Duration (AVG)]]*Table1[[#This Row],[Answered Calls]],"day","hr")</f>
        <v>1.76</v>
      </c>
      <c r="T517" s="9">
        <f>Table1[[#This Row],[Actual Workload hours]]*60</f>
        <v>105.6</v>
      </c>
      <c r="U517" s="9">
        <f>CONVERT(Table1[[#This Row],[Actual]]*Table1[[#This Row],[Talk Duration (AVG)]],"day","hr")</f>
        <v>5.7688888888888883</v>
      </c>
      <c r="V517" s="10">
        <f>Table1[[#This Row],[Required Workload Hours]]*60</f>
        <v>346.13333333333333</v>
      </c>
      <c r="W517" s="9">
        <v>1</v>
      </c>
      <c r="X517" s="9">
        <f t="shared" si="16"/>
        <v>1</v>
      </c>
      <c r="Y517" s="5">
        <f t="shared" si="17"/>
        <v>1</v>
      </c>
      <c r="Z517" s="8">
        <f>ROUNDUP(Table1[[#This Row],[Actual Heacount]],0)</f>
        <v>1</v>
      </c>
      <c r="AA517" s="8"/>
      <c r="AB517" s="10"/>
      <c r="AC517" s="10"/>
      <c r="AD517" s="10"/>
      <c r="AE517" s="11">
        <v>48.978378435042281</v>
      </c>
      <c r="AF517" s="11">
        <v>262.21987659142502</v>
      </c>
      <c r="AG517" t="s">
        <v>34</v>
      </c>
    </row>
    <row r="518" spans="1:33">
      <c r="A518" s="2">
        <v>44351</v>
      </c>
      <c r="B518" s="5" t="s">
        <v>39</v>
      </c>
      <c r="C518" s="5">
        <f>WEEKDAY(Table1[[#This Row],[Date]])</f>
        <v>6</v>
      </c>
      <c r="D518" s="5">
        <f>MONTH(Table1[[#This Row],[Date]])</f>
        <v>6</v>
      </c>
      <c r="E518" s="5">
        <f>WEEKNUM(Table1[[#This Row],[Date]])</f>
        <v>23</v>
      </c>
      <c r="F518" s="5">
        <f>YEAR(Table1[[#This Row],[Date]])</f>
        <v>2021</v>
      </c>
      <c r="G518">
        <v>130</v>
      </c>
      <c r="L518" s="5">
        <v>95</v>
      </c>
      <c r="M518" s="6">
        <v>0.87960000000000005</v>
      </c>
      <c r="N518" s="5">
        <v>13</v>
      </c>
      <c r="O518" s="7">
        <v>3.0092592592592595E-4</v>
      </c>
      <c r="P518" s="7">
        <v>1.9560185185185184E-3</v>
      </c>
      <c r="Q518" s="7">
        <v>1.9212962962962964E-3</v>
      </c>
      <c r="R518" s="6">
        <v>0.6381</v>
      </c>
      <c r="S518" s="8">
        <f>CONVERT(Table1[[#This Row],[Talk Duration (AVG)]]*Table1[[#This Row],[Answered Calls]],"day","hr")</f>
        <v>4.4597222222222221</v>
      </c>
      <c r="T518" s="9">
        <f>Table1[[#This Row],[Actual Workload hours]]*60</f>
        <v>267.58333333333331</v>
      </c>
      <c r="U518" s="9">
        <f>CONVERT(Table1[[#This Row],[Actual]]*Table1[[#This Row],[Talk Duration (AVG)]],"day","hr")</f>
        <v>6.102777777777777</v>
      </c>
      <c r="V518" s="10">
        <f>Table1[[#This Row],[Required Workload Hours]]*60</f>
        <v>366.16666666666663</v>
      </c>
      <c r="W518" s="9">
        <v>1</v>
      </c>
      <c r="X518" s="9">
        <f t="shared" si="16"/>
        <v>1</v>
      </c>
      <c r="Y518" s="5">
        <f t="shared" si="17"/>
        <v>2</v>
      </c>
      <c r="Z518" s="8">
        <f>ROUNDUP(Table1[[#This Row],[Actual Heacount]],0)</f>
        <v>1</v>
      </c>
      <c r="AA518" s="8"/>
      <c r="AB518" s="10"/>
      <c r="AC518" s="10"/>
      <c r="AD518" s="10"/>
      <c r="AE518" s="11">
        <v>34.59943447189049</v>
      </c>
      <c r="AF518" s="11">
        <v>248.47268043287519</v>
      </c>
      <c r="AG518" t="s">
        <v>34</v>
      </c>
    </row>
    <row r="519" spans="1:33">
      <c r="A519" s="2">
        <v>44352</v>
      </c>
      <c r="B519" s="5" t="s">
        <v>40</v>
      </c>
      <c r="C519" s="5">
        <f>WEEKDAY(Table1[[#This Row],[Date]])</f>
        <v>7</v>
      </c>
      <c r="D519" s="5">
        <f>MONTH(Table1[[#This Row],[Date]])</f>
        <v>6</v>
      </c>
      <c r="E519" s="5">
        <f>WEEKNUM(Table1[[#This Row],[Date]])</f>
        <v>23</v>
      </c>
      <c r="F519" s="5">
        <f>YEAR(Table1[[#This Row],[Date]])</f>
        <v>2021</v>
      </c>
      <c r="G519">
        <v>137</v>
      </c>
      <c r="L519" s="5">
        <v>118</v>
      </c>
      <c r="M519" s="6">
        <v>0.9516</v>
      </c>
      <c r="N519" s="5">
        <v>6</v>
      </c>
      <c r="O519" s="7">
        <v>2.6620370370370372E-4</v>
      </c>
      <c r="P519" s="7">
        <v>1.7476851851851852E-3</v>
      </c>
      <c r="Q519" s="7">
        <v>2.0949074074074073E-3</v>
      </c>
      <c r="R519" s="6">
        <v>0.73770000000000002</v>
      </c>
      <c r="S519" s="8">
        <f>CONVERT(Table1[[#This Row],[Talk Duration (AVG)]]*Table1[[#This Row],[Answered Calls]],"day","hr")</f>
        <v>4.9494444444444445</v>
      </c>
      <c r="T519" s="9">
        <f>Table1[[#This Row],[Actual Workload hours]]*60</f>
        <v>296.9666666666667</v>
      </c>
      <c r="U519" s="9">
        <f>CONVERT(Table1[[#This Row],[Actual]]*Table1[[#This Row],[Talk Duration (AVG)]],"day","hr")</f>
        <v>5.7463888888888892</v>
      </c>
      <c r="V519" s="10">
        <f>Table1[[#This Row],[Required Workload Hours]]*60</f>
        <v>344.78333333333336</v>
      </c>
      <c r="W519" s="9">
        <v>1</v>
      </c>
      <c r="X519" s="9">
        <f t="shared" si="16"/>
        <v>1</v>
      </c>
      <c r="Y519" s="5">
        <f t="shared" si="17"/>
        <v>2</v>
      </c>
      <c r="Z519" s="8">
        <f>ROUNDUP(Table1[[#This Row],[Actual Heacount]],0)</f>
        <v>1</v>
      </c>
      <c r="AA519" s="8"/>
      <c r="AB519" s="10"/>
      <c r="AC519" s="10"/>
      <c r="AD519" s="10"/>
      <c r="AE519" s="11">
        <v>42.179322897467181</v>
      </c>
      <c r="AF519" s="11">
        <v>267.09674533311602</v>
      </c>
      <c r="AG519" t="s">
        <v>34</v>
      </c>
    </row>
    <row r="520" spans="1:33">
      <c r="A520" s="2">
        <v>44353</v>
      </c>
      <c r="B520" s="5" t="s">
        <v>33</v>
      </c>
      <c r="C520" s="5">
        <f>WEEKDAY(Table1[[#This Row],[Date]])</f>
        <v>1</v>
      </c>
      <c r="D520" s="5">
        <f>MONTH(Table1[[#This Row],[Date]])</f>
        <v>6</v>
      </c>
      <c r="E520" s="5">
        <f>WEEKNUM(Table1[[#This Row],[Date]])</f>
        <v>24</v>
      </c>
      <c r="F520" s="5">
        <f>YEAR(Table1[[#This Row],[Date]])</f>
        <v>2021</v>
      </c>
      <c r="G520">
        <v>29</v>
      </c>
      <c r="L520" s="5">
        <v>92</v>
      </c>
      <c r="M520" s="6">
        <v>0.94850000000000001</v>
      </c>
      <c r="N520" s="5">
        <v>5</v>
      </c>
      <c r="O520" s="7">
        <v>2.8935185185185184E-4</v>
      </c>
      <c r="P520" s="7">
        <v>1.8055555555555555E-3</v>
      </c>
      <c r="Q520" s="7">
        <v>1.6550925925925926E-3</v>
      </c>
      <c r="R520" s="6">
        <v>0.67710000000000004</v>
      </c>
      <c r="S520" s="8">
        <f>CONVERT(Table1[[#This Row],[Talk Duration (AVG)]]*Table1[[#This Row],[Answered Calls]],"day","hr")</f>
        <v>3.9866666666666664</v>
      </c>
      <c r="T520" s="9">
        <f>Table1[[#This Row],[Actual Workload hours]]*60</f>
        <v>239.2</v>
      </c>
      <c r="U520" s="9">
        <f>CONVERT(Table1[[#This Row],[Actual]]*Table1[[#This Row],[Talk Duration (AVG)]],"day","hr")</f>
        <v>1.2566666666666666</v>
      </c>
      <c r="V520" s="10">
        <f>Table1[[#This Row],[Required Workload Hours]]*60</f>
        <v>75.399999999999991</v>
      </c>
      <c r="W520" s="9">
        <v>1</v>
      </c>
      <c r="X520" s="9">
        <f t="shared" si="16"/>
        <v>1</v>
      </c>
      <c r="Y520" s="5">
        <f t="shared" si="17"/>
        <v>2</v>
      </c>
      <c r="Z520" s="8">
        <f>ROUNDUP(Table1[[#This Row],[Actual Heacount]],0)</f>
        <v>1</v>
      </c>
      <c r="AA520" s="8"/>
      <c r="AB520" s="10"/>
      <c r="AC520" s="10"/>
      <c r="AD520" s="10"/>
      <c r="AE520" s="11">
        <v>-39.563417651710843</v>
      </c>
      <c r="AF520" s="11">
        <v>183.34616720970209</v>
      </c>
      <c r="AG520" t="s">
        <v>34</v>
      </c>
    </row>
    <row r="521" spans="1:33">
      <c r="A521" s="2">
        <v>44354</v>
      </c>
      <c r="B521" s="5" t="s">
        <v>35</v>
      </c>
      <c r="C521" s="5">
        <f>WEEKDAY(Table1[[#This Row],[Date]])</f>
        <v>2</v>
      </c>
      <c r="D521" s="5">
        <f>MONTH(Table1[[#This Row],[Date]])</f>
        <v>6</v>
      </c>
      <c r="E521" s="5">
        <f>WEEKNUM(Table1[[#This Row],[Date]])</f>
        <v>24</v>
      </c>
      <c r="F521" s="5">
        <f>YEAR(Table1[[#This Row],[Date]])</f>
        <v>2021</v>
      </c>
      <c r="G521">
        <v>137</v>
      </c>
      <c r="L521" s="5">
        <v>108</v>
      </c>
      <c r="M521" s="6">
        <v>0.92310000000000003</v>
      </c>
      <c r="N521" s="5">
        <v>9</v>
      </c>
      <c r="O521" s="7">
        <v>4.2824074074074075E-4</v>
      </c>
      <c r="P521" s="7">
        <v>1.2268518518518518E-3</v>
      </c>
      <c r="Q521" s="7">
        <v>2.8124999999999999E-3</v>
      </c>
      <c r="R521" s="6">
        <v>0.48670000000000002</v>
      </c>
      <c r="S521" s="8">
        <f>CONVERT(Table1[[#This Row],[Talk Duration (AVG)]]*Table1[[#This Row],[Answered Calls]],"day","hr")</f>
        <v>3.18</v>
      </c>
      <c r="T521" s="9">
        <f>Table1[[#This Row],[Actual Workload hours]]*60</f>
        <v>190.8</v>
      </c>
      <c r="U521" s="9">
        <f>CONVERT(Table1[[#This Row],[Actual]]*Table1[[#This Row],[Talk Duration (AVG)]],"day","hr")</f>
        <v>4.0338888888888889</v>
      </c>
      <c r="V521" s="10">
        <f>Table1[[#This Row],[Required Workload Hours]]*60</f>
        <v>242.03333333333333</v>
      </c>
      <c r="W521" s="9">
        <v>1</v>
      </c>
      <c r="X521" s="9">
        <f t="shared" si="16"/>
        <v>1</v>
      </c>
      <c r="Y521" s="5">
        <f t="shared" si="17"/>
        <v>2</v>
      </c>
      <c r="Z521" s="8">
        <f>ROUNDUP(Table1[[#This Row],[Actual Heacount]],0)</f>
        <v>1</v>
      </c>
      <c r="AA521" s="8"/>
      <c r="AB521" s="10"/>
      <c r="AC521" s="10"/>
      <c r="AD521" s="10"/>
      <c r="AE521" s="11">
        <v>65.913406451949328</v>
      </c>
      <c r="AF521" s="11">
        <v>283.1562805388624</v>
      </c>
      <c r="AG521" t="s">
        <v>34</v>
      </c>
    </row>
    <row r="522" spans="1:33">
      <c r="A522" s="2">
        <v>44355</v>
      </c>
      <c r="B522" s="5" t="s">
        <v>36</v>
      </c>
      <c r="C522" s="5">
        <f>WEEKDAY(Table1[[#This Row],[Date]])</f>
        <v>3</v>
      </c>
      <c r="D522" s="5">
        <f>MONTH(Table1[[#This Row],[Date]])</f>
        <v>6</v>
      </c>
      <c r="E522" s="5">
        <f>WEEKNUM(Table1[[#This Row],[Date]])</f>
        <v>24</v>
      </c>
      <c r="F522" s="5">
        <f>YEAR(Table1[[#This Row],[Date]])</f>
        <v>2021</v>
      </c>
      <c r="G522">
        <v>235</v>
      </c>
      <c r="L522" s="5">
        <v>31</v>
      </c>
      <c r="M522" s="6">
        <v>0.91180000000000005</v>
      </c>
      <c r="N522" s="5">
        <v>3</v>
      </c>
      <c r="O522" s="7">
        <v>3.1250000000000001E-4</v>
      </c>
      <c r="P522" s="7">
        <v>1.8171296296296297E-3</v>
      </c>
      <c r="Q522" s="7">
        <v>1.7592592592592592E-3</v>
      </c>
      <c r="R522" s="6">
        <v>0.64710000000000001</v>
      </c>
      <c r="S522" s="8">
        <f>CONVERT(Table1[[#This Row],[Talk Duration (AVG)]]*Table1[[#This Row],[Answered Calls]],"day","hr")</f>
        <v>1.3519444444444444</v>
      </c>
      <c r="T522" s="9">
        <f>Table1[[#This Row],[Actual Workload hours]]*60</f>
        <v>81.11666666666666</v>
      </c>
      <c r="U522" s="9">
        <f>CONVERT(Table1[[#This Row],[Actual]]*Table1[[#This Row],[Talk Duration (AVG)]],"day","hr")</f>
        <v>10.248611111111112</v>
      </c>
      <c r="V522" s="10">
        <f>Table1[[#This Row],[Required Workload Hours]]*60</f>
        <v>614.91666666666674</v>
      </c>
      <c r="W522" s="9">
        <v>1</v>
      </c>
      <c r="X522" s="9">
        <f t="shared" si="16"/>
        <v>1.6013454861111114</v>
      </c>
      <c r="Y522" s="5">
        <f t="shared" si="17"/>
        <v>2</v>
      </c>
      <c r="Z522" s="8">
        <f>ROUNDUP(Table1[[#This Row],[Actual Heacount]],0)</f>
        <v>1</v>
      </c>
      <c r="AA522" s="8"/>
      <c r="AB522" s="10"/>
      <c r="AC522" s="10"/>
      <c r="AD522" s="10"/>
      <c r="AE522" s="11">
        <v>34.555531321280142</v>
      </c>
      <c r="AF522" s="11">
        <v>259.84162781466068</v>
      </c>
      <c r="AG522" t="s">
        <v>34</v>
      </c>
    </row>
    <row r="523" spans="1:33">
      <c r="A523" s="2">
        <v>44356</v>
      </c>
      <c r="B523" s="5" t="s">
        <v>37</v>
      </c>
      <c r="C523" s="5">
        <f>WEEKDAY(Table1[[#This Row],[Date]])</f>
        <v>4</v>
      </c>
      <c r="D523" s="5">
        <f>MONTH(Table1[[#This Row],[Date]])</f>
        <v>6</v>
      </c>
      <c r="E523" s="5">
        <f>WEEKNUM(Table1[[#This Row],[Date]])</f>
        <v>24</v>
      </c>
      <c r="F523" s="5">
        <f>YEAR(Table1[[#This Row],[Date]])</f>
        <v>2021</v>
      </c>
      <c r="G523">
        <v>169</v>
      </c>
      <c r="L523" s="5">
        <v>50</v>
      </c>
      <c r="M523" s="6">
        <v>0.94340000000000002</v>
      </c>
      <c r="N523" s="5">
        <v>3</v>
      </c>
      <c r="O523" s="7">
        <v>3.2407407407407406E-4</v>
      </c>
      <c r="P523" s="7">
        <v>1.5162037037037036E-3</v>
      </c>
      <c r="Q523" s="7">
        <v>2.2685185185185187E-3</v>
      </c>
      <c r="R523" s="6">
        <v>0.66039999999999999</v>
      </c>
      <c r="S523" s="8">
        <f>CONVERT(Table1[[#This Row],[Talk Duration (AVG)]]*Table1[[#This Row],[Answered Calls]],"day","hr")</f>
        <v>1.8194444444444442</v>
      </c>
      <c r="T523" s="9">
        <f>Table1[[#This Row],[Actual Workload hours]]*60</f>
        <v>109.16666666666666</v>
      </c>
      <c r="U523" s="9">
        <f>CONVERT(Table1[[#This Row],[Actual]]*Table1[[#This Row],[Talk Duration (AVG)]],"day","hr")</f>
        <v>6.1497222222222225</v>
      </c>
      <c r="V523" s="10">
        <f>Table1[[#This Row],[Required Workload Hours]]*60</f>
        <v>368.98333333333335</v>
      </c>
      <c r="W523" s="9">
        <v>1</v>
      </c>
      <c r="X523" s="9">
        <f t="shared" si="16"/>
        <v>1</v>
      </c>
      <c r="Y523" s="5">
        <f t="shared" si="17"/>
        <v>2</v>
      </c>
      <c r="Z523" s="8">
        <f>ROUNDUP(Table1[[#This Row],[Actual Heacount]],0)</f>
        <v>1</v>
      </c>
      <c r="AA523" s="8"/>
      <c r="AB523" s="10"/>
      <c r="AC523" s="10"/>
      <c r="AD523" s="10"/>
      <c r="AE523" s="11">
        <v>53.64219047980739</v>
      </c>
      <c r="AF523" s="11">
        <v>271.92457671628853</v>
      </c>
      <c r="AG523" t="s">
        <v>34</v>
      </c>
    </row>
    <row r="524" spans="1:33">
      <c r="A524" s="2">
        <v>44357</v>
      </c>
      <c r="B524" s="5" t="s">
        <v>38</v>
      </c>
      <c r="C524" s="5">
        <f>WEEKDAY(Table1[[#This Row],[Date]])</f>
        <v>5</v>
      </c>
      <c r="D524" s="5">
        <f>MONTH(Table1[[#This Row],[Date]])</f>
        <v>6</v>
      </c>
      <c r="E524" s="5">
        <f>WEEKNUM(Table1[[#This Row],[Date]])</f>
        <v>24</v>
      </c>
      <c r="F524" s="5">
        <f>YEAR(Table1[[#This Row],[Date]])</f>
        <v>2021</v>
      </c>
      <c r="G524">
        <v>117</v>
      </c>
      <c r="L524" s="5">
        <v>23</v>
      </c>
      <c r="M524" s="6">
        <v>0.79310000000000003</v>
      </c>
      <c r="N524" s="5">
        <v>6</v>
      </c>
      <c r="O524" s="7">
        <v>4.861111111111111E-4</v>
      </c>
      <c r="P524" s="7">
        <v>1.9328703703703704E-3</v>
      </c>
      <c r="Q524" s="7">
        <v>2.5462962962962965E-3</v>
      </c>
      <c r="R524" s="6">
        <v>0.32140000000000002</v>
      </c>
      <c r="S524" s="8">
        <f>CONVERT(Table1[[#This Row],[Talk Duration (AVG)]]*Table1[[#This Row],[Answered Calls]],"day","hr")</f>
        <v>1.0669444444444445</v>
      </c>
      <c r="T524" s="9">
        <f>Table1[[#This Row],[Actual Workload hours]]*60</f>
        <v>64.016666666666666</v>
      </c>
      <c r="U524" s="9">
        <f>CONVERT(Table1[[#This Row],[Actual]]*Table1[[#This Row],[Talk Duration (AVG)]],"day","hr")</f>
        <v>5.4275000000000002</v>
      </c>
      <c r="V524" s="10">
        <f>Table1[[#This Row],[Required Workload Hours]]*60</f>
        <v>325.65000000000003</v>
      </c>
      <c r="W524" s="9">
        <v>1</v>
      </c>
      <c r="X524" s="9">
        <f t="shared" si="16"/>
        <v>1</v>
      </c>
      <c r="Y524" s="5">
        <f t="shared" si="17"/>
        <v>1</v>
      </c>
      <c r="Z524" s="8">
        <f>ROUNDUP(Table1[[#This Row],[Actual Heacount]],0)</f>
        <v>1</v>
      </c>
      <c r="AA524" s="8"/>
      <c r="AB524" s="10"/>
      <c r="AC524" s="10"/>
      <c r="AD524" s="10"/>
      <c r="AE524" s="11">
        <v>49.788914443673761</v>
      </c>
      <c r="AF524" s="11">
        <v>275.86088393213947</v>
      </c>
      <c r="AG524" t="s">
        <v>34</v>
      </c>
    </row>
    <row r="525" spans="1:33">
      <c r="A525" s="2">
        <v>44358</v>
      </c>
      <c r="B525" s="5" t="s">
        <v>39</v>
      </c>
      <c r="C525" s="5">
        <f>WEEKDAY(Table1[[#This Row],[Date]])</f>
        <v>6</v>
      </c>
      <c r="D525" s="5">
        <f>MONTH(Table1[[#This Row],[Date]])</f>
        <v>6</v>
      </c>
      <c r="E525" s="5">
        <f>WEEKNUM(Table1[[#This Row],[Date]])</f>
        <v>24</v>
      </c>
      <c r="F525" s="5">
        <f>YEAR(Table1[[#This Row],[Date]])</f>
        <v>2021</v>
      </c>
      <c r="G525">
        <v>144</v>
      </c>
      <c r="L525" s="5">
        <v>107</v>
      </c>
      <c r="M525" s="6">
        <v>0.89170000000000005</v>
      </c>
      <c r="N525" s="5">
        <v>13</v>
      </c>
      <c r="O525" s="7">
        <v>3.9351851851851852E-4</v>
      </c>
      <c r="P525" s="7">
        <v>1.8402777777777777E-3</v>
      </c>
      <c r="Q525" s="7">
        <v>2.3263888888888887E-3</v>
      </c>
      <c r="R525" s="6">
        <v>0.44069999999999998</v>
      </c>
      <c r="S525" s="8">
        <f>CONVERT(Table1[[#This Row],[Talk Duration (AVG)]]*Table1[[#This Row],[Answered Calls]],"day","hr")</f>
        <v>4.7258333333333331</v>
      </c>
      <c r="T525" s="9">
        <f>Table1[[#This Row],[Actual Workload hours]]*60</f>
        <v>283.55</v>
      </c>
      <c r="U525" s="9">
        <f>CONVERT(Table1[[#This Row],[Actual]]*Table1[[#This Row],[Talk Duration (AVG)]],"day","hr")</f>
        <v>6.36</v>
      </c>
      <c r="V525" s="10">
        <f>Table1[[#This Row],[Required Workload Hours]]*60</f>
        <v>381.6</v>
      </c>
      <c r="W525" s="9">
        <v>1</v>
      </c>
      <c r="X525" s="9">
        <f t="shared" si="16"/>
        <v>1</v>
      </c>
      <c r="Y525" s="5">
        <f t="shared" si="17"/>
        <v>2</v>
      </c>
      <c r="Z525" s="8">
        <f>ROUNDUP(Table1[[#This Row],[Actual Heacount]],0)</f>
        <v>1</v>
      </c>
      <c r="AA525" s="8"/>
      <c r="AB525" s="10"/>
      <c r="AC525" s="10"/>
      <c r="AD525" s="10"/>
      <c r="AE525" s="11">
        <v>45.961670980234302</v>
      </c>
      <c r="AF525" s="11">
        <v>264.97562167711982</v>
      </c>
      <c r="AG525" t="s">
        <v>34</v>
      </c>
    </row>
    <row r="526" spans="1:33">
      <c r="A526" s="2">
        <v>44359</v>
      </c>
      <c r="B526" s="5" t="s">
        <v>40</v>
      </c>
      <c r="C526" s="5">
        <f>WEEKDAY(Table1[[#This Row],[Date]])</f>
        <v>7</v>
      </c>
      <c r="D526" s="5">
        <f>MONTH(Table1[[#This Row],[Date]])</f>
        <v>6</v>
      </c>
      <c r="E526" s="5">
        <f>WEEKNUM(Table1[[#This Row],[Date]])</f>
        <v>24</v>
      </c>
      <c r="F526" s="5">
        <f>YEAR(Table1[[#This Row],[Date]])</f>
        <v>2021</v>
      </c>
      <c r="G526">
        <v>335</v>
      </c>
      <c r="L526" s="5">
        <v>100</v>
      </c>
      <c r="M526" s="6">
        <v>0.93459999999999999</v>
      </c>
      <c r="N526" s="5">
        <v>7</v>
      </c>
      <c r="O526" s="7">
        <v>3.8194444444444446E-4</v>
      </c>
      <c r="P526" s="7">
        <v>1.7708333333333332E-3</v>
      </c>
      <c r="Q526" s="7">
        <v>1.4814814814814814E-3</v>
      </c>
      <c r="R526" s="6">
        <v>0.51429999999999998</v>
      </c>
      <c r="S526" s="8">
        <f>CONVERT(Table1[[#This Row],[Talk Duration (AVG)]]*Table1[[#This Row],[Answered Calls]],"day","hr")</f>
        <v>4.2499999999999991</v>
      </c>
      <c r="T526" s="9">
        <f>Table1[[#This Row],[Actual Workload hours]]*60</f>
        <v>254.99999999999994</v>
      </c>
      <c r="U526" s="9">
        <f>CONVERT(Table1[[#This Row],[Actual]]*Table1[[#This Row],[Talk Duration (AVG)]],"day","hr")</f>
        <v>14.237499999999997</v>
      </c>
      <c r="V526" s="10">
        <f>Table1[[#This Row],[Required Workload Hours]]*60</f>
        <v>854.24999999999977</v>
      </c>
      <c r="W526" s="9">
        <v>1</v>
      </c>
      <c r="X526" s="9">
        <f t="shared" si="16"/>
        <v>2.2246093749999996</v>
      </c>
      <c r="Y526" s="5">
        <f t="shared" si="17"/>
        <v>2</v>
      </c>
      <c r="Z526" s="8">
        <f>ROUNDUP(Table1[[#This Row],[Actual Heacount]],0)</f>
        <v>1</v>
      </c>
      <c r="AA526" s="8"/>
      <c r="AB526" s="10"/>
      <c r="AC526" s="10"/>
      <c r="AD526" s="10"/>
      <c r="AE526" s="11">
        <v>60.338027685178652</v>
      </c>
      <c r="AF526" s="11">
        <v>272.0331151620577</v>
      </c>
      <c r="AG526" t="s">
        <v>34</v>
      </c>
    </row>
    <row r="527" spans="1:33">
      <c r="A527" s="2">
        <v>44360</v>
      </c>
      <c r="B527" s="5" t="s">
        <v>33</v>
      </c>
      <c r="C527" s="5">
        <f>WEEKDAY(Table1[[#This Row],[Date]])</f>
        <v>1</v>
      </c>
      <c r="D527" s="5">
        <f>MONTH(Table1[[#This Row],[Date]])</f>
        <v>6</v>
      </c>
      <c r="E527" s="5">
        <f>WEEKNUM(Table1[[#This Row],[Date]])</f>
        <v>25</v>
      </c>
      <c r="F527" s="5">
        <f>YEAR(Table1[[#This Row],[Date]])</f>
        <v>2021</v>
      </c>
      <c r="G527">
        <v>42</v>
      </c>
      <c r="L527" s="5">
        <v>159</v>
      </c>
      <c r="M527" s="6">
        <v>0.91910000000000003</v>
      </c>
      <c r="N527" s="5">
        <v>14</v>
      </c>
      <c r="O527" s="7">
        <v>5.4398148148148144E-4</v>
      </c>
      <c r="P527" s="7">
        <v>1.8981481481481482E-3</v>
      </c>
      <c r="Q527" s="7">
        <v>3.8194444444444443E-3</v>
      </c>
      <c r="R527" s="6">
        <v>0.39410000000000001</v>
      </c>
      <c r="S527" s="8">
        <f>CONVERT(Table1[[#This Row],[Talk Duration (AVG)]]*Table1[[#This Row],[Answered Calls]],"day","hr")</f>
        <v>7.2433333333333332</v>
      </c>
      <c r="T527" s="9">
        <f>Table1[[#This Row],[Actual Workload hours]]*60</f>
        <v>434.59999999999997</v>
      </c>
      <c r="U527" s="9">
        <f>CONVERT(Table1[[#This Row],[Actual]]*Table1[[#This Row],[Talk Duration (AVG)]],"day","hr")</f>
        <v>1.9133333333333333</v>
      </c>
      <c r="V527" s="10">
        <f>Table1[[#This Row],[Required Workload Hours]]*60</f>
        <v>114.8</v>
      </c>
      <c r="W527" s="9">
        <v>1.1299999999999999</v>
      </c>
      <c r="X527" s="9">
        <f t="shared" si="16"/>
        <v>1</v>
      </c>
      <c r="Y527" s="5">
        <f t="shared" si="17"/>
        <v>2</v>
      </c>
      <c r="Z527" s="8">
        <f>ROUNDUP(Table1[[#This Row],[Actual Heacount]],0)</f>
        <v>2</v>
      </c>
      <c r="AA527" s="8"/>
      <c r="AB527" s="10"/>
      <c r="AC527" s="10"/>
      <c r="AD527" s="10"/>
      <c r="AE527" s="11">
        <v>-34.742150664985722</v>
      </c>
      <c r="AF527" s="11">
        <v>178.37583613099341</v>
      </c>
      <c r="AG527" t="s">
        <v>34</v>
      </c>
    </row>
    <row r="528" spans="1:33">
      <c r="A528" s="2">
        <v>44361</v>
      </c>
      <c r="B528" s="5" t="s">
        <v>35</v>
      </c>
      <c r="C528" s="5">
        <f>WEEKDAY(Table1[[#This Row],[Date]])</f>
        <v>2</v>
      </c>
      <c r="D528" s="5">
        <f>MONTH(Table1[[#This Row],[Date]])</f>
        <v>6</v>
      </c>
      <c r="E528" s="5">
        <f>WEEKNUM(Table1[[#This Row],[Date]])</f>
        <v>25</v>
      </c>
      <c r="F528" s="5">
        <f>YEAR(Table1[[#This Row],[Date]])</f>
        <v>2021</v>
      </c>
      <c r="G528">
        <v>181</v>
      </c>
      <c r="L528" s="5">
        <v>213</v>
      </c>
      <c r="M528" s="6">
        <v>0.83199999999999996</v>
      </c>
      <c r="N528" s="5">
        <v>43</v>
      </c>
      <c r="O528" s="7">
        <v>5.0925925925925921E-4</v>
      </c>
      <c r="P528" s="7">
        <v>1.9097222222222222E-3</v>
      </c>
      <c r="Q528" s="7">
        <v>3.6805555555555554E-3</v>
      </c>
      <c r="R528" s="6">
        <v>0.41699999999999998</v>
      </c>
      <c r="S528" s="8">
        <f>CONVERT(Table1[[#This Row],[Talk Duration (AVG)]]*Table1[[#This Row],[Answered Calls]],"day","hr")</f>
        <v>9.7624999999999993</v>
      </c>
      <c r="T528" s="9">
        <f>Table1[[#This Row],[Actual Workload hours]]*60</f>
        <v>585.75</v>
      </c>
      <c r="U528" s="9">
        <f>CONVERT(Table1[[#This Row],[Actual]]*Table1[[#This Row],[Talk Duration (AVG)]],"day","hr")</f>
        <v>8.2958333333333325</v>
      </c>
      <c r="V528" s="10">
        <f>Table1[[#This Row],[Required Workload Hours]]*60</f>
        <v>497.74999999999994</v>
      </c>
      <c r="W528" s="9">
        <v>1.53</v>
      </c>
      <c r="X528" s="9">
        <f t="shared" si="16"/>
        <v>1.2962239583333333</v>
      </c>
      <c r="Y528" s="5">
        <f t="shared" si="17"/>
        <v>2</v>
      </c>
      <c r="Z528" s="8">
        <f>ROUNDUP(Table1[[#This Row],[Actual Heacount]],0)</f>
        <v>2</v>
      </c>
      <c r="AA528" s="8"/>
      <c r="AB528" s="10"/>
      <c r="AC528" s="10"/>
      <c r="AD528" s="10"/>
      <c r="AE528" s="11">
        <v>64.189884598604294</v>
      </c>
      <c r="AF528" s="11">
        <v>284.20583082774328</v>
      </c>
      <c r="AG528" t="s">
        <v>34</v>
      </c>
    </row>
    <row r="529" spans="1:33">
      <c r="A529" s="2">
        <v>44362</v>
      </c>
      <c r="B529" s="5" t="s">
        <v>36</v>
      </c>
      <c r="C529" s="5">
        <f>WEEKDAY(Table1[[#This Row],[Date]])</f>
        <v>3</v>
      </c>
      <c r="D529" s="5">
        <f>MONTH(Table1[[#This Row],[Date]])</f>
        <v>6</v>
      </c>
      <c r="E529" s="5">
        <f>WEEKNUM(Table1[[#This Row],[Date]])</f>
        <v>25</v>
      </c>
      <c r="F529" s="5">
        <f>YEAR(Table1[[#This Row],[Date]])</f>
        <v>2021</v>
      </c>
      <c r="G529">
        <v>159</v>
      </c>
      <c r="L529" s="5">
        <v>174</v>
      </c>
      <c r="M529" s="6">
        <v>0.87439999999999996</v>
      </c>
      <c r="N529" s="5">
        <v>25</v>
      </c>
      <c r="O529" s="7">
        <v>4.1666666666666669E-4</v>
      </c>
      <c r="P529" s="7">
        <v>1.7939814814814815E-3</v>
      </c>
      <c r="Q529" s="7">
        <v>3.1828703703703702E-3</v>
      </c>
      <c r="R529" s="6">
        <v>0.53059999999999996</v>
      </c>
      <c r="S529" s="8">
        <f>CONVERT(Table1[[#This Row],[Talk Duration (AVG)]]*Table1[[#This Row],[Answered Calls]],"day","hr")</f>
        <v>7.4916666666666663</v>
      </c>
      <c r="T529" s="9">
        <f>Table1[[#This Row],[Actual Workload hours]]*60</f>
        <v>449.5</v>
      </c>
      <c r="U529" s="9">
        <f>CONVERT(Table1[[#This Row],[Actual]]*Table1[[#This Row],[Talk Duration (AVG)]],"day","hr")</f>
        <v>6.8458333333333332</v>
      </c>
      <c r="V529" s="10">
        <f>Table1[[#This Row],[Required Workload Hours]]*60</f>
        <v>410.75</v>
      </c>
      <c r="W529" s="9">
        <v>1.17</v>
      </c>
      <c r="X529" s="9">
        <f t="shared" si="16"/>
        <v>1.0696614583333333</v>
      </c>
      <c r="Y529" s="5">
        <f t="shared" si="17"/>
        <v>2</v>
      </c>
      <c r="Z529" s="8">
        <f>ROUNDUP(Table1[[#This Row],[Actual Heacount]],0)</f>
        <v>2</v>
      </c>
      <c r="AA529" s="8"/>
      <c r="AB529" s="10"/>
      <c r="AC529" s="10"/>
      <c r="AD529" s="10"/>
      <c r="AE529" s="11">
        <v>54.90572916108971</v>
      </c>
      <c r="AF529" s="11">
        <v>271.81964655840937</v>
      </c>
      <c r="AG529" t="s">
        <v>34</v>
      </c>
    </row>
    <row r="530" spans="1:33">
      <c r="A530" s="2">
        <v>44363</v>
      </c>
      <c r="B530" s="5" t="s">
        <v>37</v>
      </c>
      <c r="C530" s="5">
        <f>WEEKDAY(Table1[[#This Row],[Date]])</f>
        <v>4</v>
      </c>
      <c r="D530" s="5">
        <f>MONTH(Table1[[#This Row],[Date]])</f>
        <v>6</v>
      </c>
      <c r="E530" s="5">
        <f>WEEKNUM(Table1[[#This Row],[Date]])</f>
        <v>25</v>
      </c>
      <c r="F530" s="5">
        <f>YEAR(Table1[[#This Row],[Date]])</f>
        <v>2021</v>
      </c>
      <c r="G530">
        <v>142</v>
      </c>
      <c r="L530" s="5">
        <v>170</v>
      </c>
      <c r="M530" s="6">
        <v>0.93410000000000004</v>
      </c>
      <c r="N530" s="5">
        <v>12</v>
      </c>
      <c r="O530" s="7">
        <v>4.6296296296296298E-4</v>
      </c>
      <c r="P530" s="7">
        <v>1.8981481481481482E-3</v>
      </c>
      <c r="Q530" s="7">
        <v>2.3958333333333331E-3</v>
      </c>
      <c r="R530" s="6">
        <v>0.45810000000000001</v>
      </c>
      <c r="S530" s="8">
        <f>CONVERT(Table1[[#This Row],[Talk Duration (AVG)]]*Table1[[#This Row],[Answered Calls]],"day","hr")</f>
        <v>7.7444444444444445</v>
      </c>
      <c r="T530" s="9">
        <f>Table1[[#This Row],[Actual Workload hours]]*60</f>
        <v>464.66666666666669</v>
      </c>
      <c r="U530" s="9">
        <f>CONVERT(Table1[[#This Row],[Actual]]*Table1[[#This Row],[Talk Duration (AVG)]],"day","hr")</f>
        <v>6.4688888888888885</v>
      </c>
      <c r="V530" s="10">
        <f>Table1[[#This Row],[Required Workload Hours]]*60</f>
        <v>388.13333333333333</v>
      </c>
      <c r="W530" s="9">
        <v>1.21</v>
      </c>
      <c r="X530" s="9">
        <f t="shared" si="16"/>
        <v>1.0107638888888888</v>
      </c>
      <c r="Y530" s="5">
        <f t="shared" si="17"/>
        <v>2</v>
      </c>
      <c r="Z530" s="8">
        <f>ROUNDUP(Table1[[#This Row],[Actual Heacount]],0)</f>
        <v>2</v>
      </c>
      <c r="AA530" s="8"/>
      <c r="AB530" s="10"/>
      <c r="AC530" s="10"/>
      <c r="AD530" s="10"/>
      <c r="AE530" s="11">
        <v>75.715705935561644</v>
      </c>
      <c r="AF530" s="11">
        <v>284.68135456048878</v>
      </c>
      <c r="AG530" t="s">
        <v>34</v>
      </c>
    </row>
    <row r="531" spans="1:33">
      <c r="A531" s="2">
        <v>44364</v>
      </c>
      <c r="B531" s="5" t="s">
        <v>38</v>
      </c>
      <c r="C531" s="5">
        <f>WEEKDAY(Table1[[#This Row],[Date]])</f>
        <v>5</v>
      </c>
      <c r="D531" s="5">
        <f>MONTH(Table1[[#This Row],[Date]])</f>
        <v>6</v>
      </c>
      <c r="E531" s="5">
        <f>WEEKNUM(Table1[[#This Row],[Date]])</f>
        <v>25</v>
      </c>
      <c r="F531" s="5">
        <f>YEAR(Table1[[#This Row],[Date]])</f>
        <v>2021</v>
      </c>
      <c r="G531">
        <v>194</v>
      </c>
      <c r="L531" s="5">
        <v>41</v>
      </c>
      <c r="M531" s="6">
        <v>0.97619999999999996</v>
      </c>
      <c r="N531" s="5">
        <v>1</v>
      </c>
      <c r="O531" s="7">
        <v>4.861111111111111E-4</v>
      </c>
      <c r="P531" s="7">
        <v>2.0023148148148148E-3</v>
      </c>
      <c r="Q531" s="7">
        <v>2.5462962962962965E-3</v>
      </c>
      <c r="R531" s="6">
        <v>0.56100000000000005</v>
      </c>
      <c r="S531" s="8">
        <f>CONVERT(Table1[[#This Row],[Talk Duration (AVG)]]*Table1[[#This Row],[Answered Calls]],"day","hr")</f>
        <v>1.9702777777777778</v>
      </c>
      <c r="T531" s="9">
        <f>Table1[[#This Row],[Actual Workload hours]]*60</f>
        <v>118.21666666666667</v>
      </c>
      <c r="U531" s="9">
        <f>CONVERT(Table1[[#This Row],[Actual]]*Table1[[#This Row],[Talk Duration (AVG)]],"day","hr")</f>
        <v>9.3227777777777785</v>
      </c>
      <c r="V531" s="10">
        <f>Table1[[#This Row],[Required Workload Hours]]*60</f>
        <v>559.36666666666667</v>
      </c>
      <c r="W531" s="9">
        <v>1</v>
      </c>
      <c r="X531" s="9">
        <f t="shared" si="16"/>
        <v>1.4566840277777777</v>
      </c>
      <c r="Y531" s="5">
        <f t="shared" si="17"/>
        <v>1</v>
      </c>
      <c r="Z531" s="8">
        <f>ROUNDUP(Table1[[#This Row],[Actual Heacount]],0)</f>
        <v>1</v>
      </c>
      <c r="AA531" s="8"/>
      <c r="AB531" s="10"/>
      <c r="AC531" s="10"/>
      <c r="AD531" s="10"/>
      <c r="AE531" s="11">
        <v>53.074881997979872</v>
      </c>
      <c r="AF531" s="11">
        <v>274.41654386020798</v>
      </c>
      <c r="AG531" t="s">
        <v>34</v>
      </c>
    </row>
    <row r="532" spans="1:33">
      <c r="A532" s="2">
        <v>44365</v>
      </c>
      <c r="B532" s="5" t="s">
        <v>39</v>
      </c>
      <c r="C532" s="5">
        <f>WEEKDAY(Table1[[#This Row],[Date]])</f>
        <v>6</v>
      </c>
      <c r="D532" s="5">
        <f>MONTH(Table1[[#This Row],[Date]])</f>
        <v>6</v>
      </c>
      <c r="E532" s="5">
        <f>WEEKNUM(Table1[[#This Row],[Date]])</f>
        <v>25</v>
      </c>
      <c r="F532" s="5">
        <f>YEAR(Table1[[#This Row],[Date]])</f>
        <v>2021</v>
      </c>
      <c r="G532">
        <v>235</v>
      </c>
      <c r="L532" s="5">
        <v>168</v>
      </c>
      <c r="M532" s="6">
        <v>0.92820000000000003</v>
      </c>
      <c r="N532" s="5">
        <v>13</v>
      </c>
      <c r="O532" s="7">
        <v>3.9351851851851852E-4</v>
      </c>
      <c r="P532" s="7">
        <v>1.7939814814814815E-3</v>
      </c>
      <c r="Q532" s="7">
        <v>1.8865740740740742E-3</v>
      </c>
      <c r="R532" s="6">
        <v>0.51690000000000003</v>
      </c>
      <c r="S532" s="8">
        <f>CONVERT(Table1[[#This Row],[Talk Duration (AVG)]]*Table1[[#This Row],[Answered Calls]],"day","hr")</f>
        <v>7.2333333333333334</v>
      </c>
      <c r="T532" s="9">
        <f>Table1[[#This Row],[Actual Workload hours]]*60</f>
        <v>434</v>
      </c>
      <c r="U532" s="9">
        <f>CONVERT(Table1[[#This Row],[Actual]]*Table1[[#This Row],[Talk Duration (AVG)]],"day","hr")</f>
        <v>10.118055555555555</v>
      </c>
      <c r="V532" s="10">
        <f>Table1[[#This Row],[Required Workload Hours]]*60</f>
        <v>607.08333333333337</v>
      </c>
      <c r="W532" s="9">
        <v>1.1299999999999999</v>
      </c>
      <c r="X532" s="9">
        <f t="shared" si="16"/>
        <v>1.5809461805555556</v>
      </c>
      <c r="Y532" s="5">
        <f t="shared" si="17"/>
        <v>2</v>
      </c>
      <c r="Z532" s="8">
        <f>ROUNDUP(Table1[[#This Row],[Actual Heacount]],0)</f>
        <v>2</v>
      </c>
      <c r="AA532" s="8"/>
      <c r="AB532" s="10"/>
      <c r="AC532" s="10"/>
      <c r="AD532" s="10"/>
      <c r="AE532" s="11">
        <v>50.582968859804012</v>
      </c>
      <c r="AF532" s="11">
        <v>282.16747469368158</v>
      </c>
      <c r="AG532" t="s">
        <v>34</v>
      </c>
    </row>
    <row r="533" spans="1:33">
      <c r="A533" s="2">
        <v>44366</v>
      </c>
      <c r="B533" s="5" t="s">
        <v>40</v>
      </c>
      <c r="C533" s="5">
        <f>WEEKDAY(Table1[[#This Row],[Date]])</f>
        <v>7</v>
      </c>
      <c r="D533" s="5">
        <f>MONTH(Table1[[#This Row],[Date]])</f>
        <v>6</v>
      </c>
      <c r="E533" s="5">
        <f>WEEKNUM(Table1[[#This Row],[Date]])</f>
        <v>25</v>
      </c>
      <c r="F533" s="5">
        <f>YEAR(Table1[[#This Row],[Date]])</f>
        <v>2021</v>
      </c>
      <c r="G533">
        <v>206</v>
      </c>
      <c r="L533" s="5">
        <v>147</v>
      </c>
      <c r="M533" s="6">
        <v>0.92449999999999999</v>
      </c>
      <c r="N533" s="5">
        <v>12</v>
      </c>
      <c r="O533" s="7">
        <v>3.4722222222222224E-4</v>
      </c>
      <c r="P533" s="7">
        <v>1.8055555555555555E-3</v>
      </c>
      <c r="Q533" s="7">
        <v>3.2291666666666666E-3</v>
      </c>
      <c r="R533" s="6">
        <v>0.58709999999999996</v>
      </c>
      <c r="S533" s="8">
        <f>CONVERT(Table1[[#This Row],[Talk Duration (AVG)]]*Table1[[#This Row],[Answered Calls]],"day","hr")</f>
        <v>6.3699999999999992</v>
      </c>
      <c r="T533" s="9">
        <f>Table1[[#This Row],[Actual Workload hours]]*60</f>
        <v>382.19999999999993</v>
      </c>
      <c r="U533" s="9">
        <f>CONVERT(Table1[[#This Row],[Actual]]*Table1[[#This Row],[Talk Duration (AVG)]],"day","hr")</f>
        <v>8.9266666666666659</v>
      </c>
      <c r="V533" s="10">
        <f>Table1[[#This Row],[Required Workload Hours]]*60</f>
        <v>535.59999999999991</v>
      </c>
      <c r="W533" s="9">
        <v>1</v>
      </c>
      <c r="X533" s="9">
        <f t="shared" si="16"/>
        <v>1.3947916666666664</v>
      </c>
      <c r="Y533" s="5">
        <f t="shared" si="17"/>
        <v>2</v>
      </c>
      <c r="Z533" s="8">
        <f>ROUNDUP(Table1[[#This Row],[Actual Heacount]],0)</f>
        <v>1</v>
      </c>
      <c r="AA533" s="8"/>
      <c r="AB533" s="10"/>
      <c r="AC533" s="10"/>
      <c r="AD533" s="10"/>
      <c r="AE533" s="11">
        <v>56.749291296737098</v>
      </c>
      <c r="AF533" s="11">
        <v>283.22043882054368</v>
      </c>
      <c r="AG533" t="s">
        <v>34</v>
      </c>
    </row>
    <row r="534" spans="1:33">
      <c r="A534" s="2">
        <v>44367</v>
      </c>
      <c r="B534" s="5" t="s">
        <v>33</v>
      </c>
      <c r="C534" s="5">
        <f>WEEKDAY(Table1[[#This Row],[Date]])</f>
        <v>1</v>
      </c>
      <c r="D534" s="5">
        <f>MONTH(Table1[[#This Row],[Date]])</f>
        <v>6</v>
      </c>
      <c r="E534" s="5">
        <f>WEEKNUM(Table1[[#This Row],[Date]])</f>
        <v>26</v>
      </c>
      <c r="F534" s="5">
        <f>YEAR(Table1[[#This Row],[Date]])</f>
        <v>2021</v>
      </c>
      <c r="G534">
        <v>58</v>
      </c>
      <c r="L534" s="5">
        <v>134</v>
      </c>
      <c r="M534" s="6">
        <v>0.94369999999999998</v>
      </c>
      <c r="N534" s="5">
        <v>8</v>
      </c>
      <c r="O534" s="7">
        <v>3.0092592592592595E-4</v>
      </c>
      <c r="P534" s="7">
        <v>1.9675925925925924E-3</v>
      </c>
      <c r="Q534" s="7">
        <v>1.2731481481481483E-3</v>
      </c>
      <c r="R534" s="6">
        <v>0.61870000000000003</v>
      </c>
      <c r="S534" s="8">
        <f>CONVERT(Table1[[#This Row],[Talk Duration (AVG)]]*Table1[[#This Row],[Answered Calls]],"day","hr")</f>
        <v>6.3277777777777775</v>
      </c>
      <c r="T534" s="9">
        <f>Table1[[#This Row],[Actual Workload hours]]*60</f>
        <v>379.66666666666663</v>
      </c>
      <c r="U534" s="9">
        <f>CONVERT(Table1[[#This Row],[Actual]]*Table1[[#This Row],[Talk Duration (AVG)]],"day","hr")</f>
        <v>2.7388888888888885</v>
      </c>
      <c r="V534" s="10">
        <f>Table1[[#This Row],[Required Workload Hours]]*60</f>
        <v>164.33333333333331</v>
      </c>
      <c r="W534" s="9">
        <v>1</v>
      </c>
      <c r="X534" s="9">
        <f t="shared" si="16"/>
        <v>1</v>
      </c>
      <c r="Y534" s="5">
        <f t="shared" si="17"/>
        <v>2</v>
      </c>
      <c r="Z534" s="8">
        <f>ROUNDUP(Table1[[#This Row],[Actual Heacount]],0)</f>
        <v>1</v>
      </c>
      <c r="AA534" s="8"/>
      <c r="AB534" s="10"/>
      <c r="AC534" s="10"/>
      <c r="AD534" s="10"/>
      <c r="AE534" s="11">
        <v>-29.910141832154281</v>
      </c>
      <c r="AF534" s="11">
        <v>185.84075703493289</v>
      </c>
      <c r="AG534" t="s">
        <v>34</v>
      </c>
    </row>
    <row r="535" spans="1:33">
      <c r="A535" s="2">
        <v>44368</v>
      </c>
      <c r="B535" s="5" t="s">
        <v>35</v>
      </c>
      <c r="C535" s="5">
        <f>WEEKDAY(Table1[[#This Row],[Date]])</f>
        <v>2</v>
      </c>
      <c r="D535" s="5">
        <f>MONTH(Table1[[#This Row],[Date]])</f>
        <v>6</v>
      </c>
      <c r="E535" s="5">
        <f>WEEKNUM(Table1[[#This Row],[Date]])</f>
        <v>26</v>
      </c>
      <c r="F535" s="5">
        <f>YEAR(Table1[[#This Row],[Date]])</f>
        <v>2021</v>
      </c>
      <c r="G535">
        <v>212</v>
      </c>
      <c r="L535" s="5">
        <v>163</v>
      </c>
      <c r="M535" s="6">
        <v>0.84019999999999995</v>
      </c>
      <c r="N535" s="5">
        <v>31</v>
      </c>
      <c r="O535" s="7">
        <v>3.4722222222222224E-4</v>
      </c>
      <c r="P535" s="7">
        <v>1.8287037037037037E-3</v>
      </c>
      <c r="Q535" s="7">
        <v>3.8310185185185183E-3</v>
      </c>
      <c r="R535" s="6">
        <v>0.51039999999999996</v>
      </c>
      <c r="S535" s="8">
        <f>CONVERT(Table1[[#This Row],[Talk Duration (AVG)]]*Table1[[#This Row],[Answered Calls]],"day","hr")</f>
        <v>7.153888888888889</v>
      </c>
      <c r="T535" s="9">
        <f>Table1[[#This Row],[Actual Workload hours]]*60</f>
        <v>429.23333333333335</v>
      </c>
      <c r="U535" s="9">
        <f>CONVERT(Table1[[#This Row],[Actual]]*Table1[[#This Row],[Talk Duration (AVG)]],"day","hr")</f>
        <v>9.3044444444444441</v>
      </c>
      <c r="V535" s="10">
        <f>Table1[[#This Row],[Required Workload Hours]]*60</f>
        <v>558.26666666666665</v>
      </c>
      <c r="W535" s="9">
        <v>1.1200000000000001</v>
      </c>
      <c r="X535" s="9">
        <f t="shared" si="16"/>
        <v>1.4538194444444443</v>
      </c>
      <c r="Y535" s="5">
        <f t="shared" si="17"/>
        <v>2</v>
      </c>
      <c r="Z535" s="8">
        <f>ROUNDUP(Table1[[#This Row],[Actual Heacount]],0)</f>
        <v>2</v>
      </c>
      <c r="AA535" s="8"/>
      <c r="AB535" s="10"/>
      <c r="AC535" s="10"/>
      <c r="AD535" s="10"/>
      <c r="AE535" s="11">
        <v>75.965193072299158</v>
      </c>
      <c r="AF535" s="11">
        <v>298.05682451094162</v>
      </c>
      <c r="AG535" t="s">
        <v>34</v>
      </c>
    </row>
    <row r="536" spans="1:33">
      <c r="A536" s="2">
        <v>44369</v>
      </c>
      <c r="B536" s="5" t="s">
        <v>36</v>
      </c>
      <c r="C536" s="5">
        <f>WEEKDAY(Table1[[#This Row],[Date]])</f>
        <v>3</v>
      </c>
      <c r="D536" s="5">
        <f>MONTH(Table1[[#This Row],[Date]])</f>
        <v>6</v>
      </c>
      <c r="E536" s="5">
        <f>WEEKNUM(Table1[[#This Row],[Date]])</f>
        <v>26</v>
      </c>
      <c r="F536" s="5">
        <f>YEAR(Table1[[#This Row],[Date]])</f>
        <v>2021</v>
      </c>
      <c r="G536">
        <v>232</v>
      </c>
      <c r="L536" s="5">
        <v>210</v>
      </c>
      <c r="M536" s="6">
        <v>0.89359999999999995</v>
      </c>
      <c r="N536" s="5">
        <v>25</v>
      </c>
      <c r="O536" s="7">
        <v>4.3981481481481481E-4</v>
      </c>
      <c r="P536" s="7">
        <v>2.0023148148148148E-3</v>
      </c>
      <c r="Q536" s="7">
        <v>3.1828703703703702E-3</v>
      </c>
      <c r="R536" s="6">
        <v>0.48899999999999999</v>
      </c>
      <c r="S536" s="8">
        <f>CONVERT(Table1[[#This Row],[Talk Duration (AVG)]]*Table1[[#This Row],[Answered Calls]],"day","hr")</f>
        <v>10.091666666666667</v>
      </c>
      <c r="T536" s="9">
        <f>Table1[[#This Row],[Actual Workload hours]]*60</f>
        <v>605.5</v>
      </c>
      <c r="U536" s="9">
        <f>CONVERT(Table1[[#This Row],[Actual]]*Table1[[#This Row],[Talk Duration (AVG)]],"day","hr")</f>
        <v>11.148888888888889</v>
      </c>
      <c r="V536" s="10">
        <f>Table1[[#This Row],[Required Workload Hours]]*60</f>
        <v>668.93333333333339</v>
      </c>
      <c r="W536" s="9">
        <v>1.58</v>
      </c>
      <c r="X536" s="9">
        <f t="shared" si="16"/>
        <v>1.742013888888889</v>
      </c>
      <c r="Y536" s="5">
        <f t="shared" si="17"/>
        <v>2</v>
      </c>
      <c r="Z536" s="8">
        <f>ROUNDUP(Table1[[#This Row],[Actual Heacount]],0)</f>
        <v>2</v>
      </c>
      <c r="AA536" s="8"/>
      <c r="AB536" s="10"/>
      <c r="AC536" s="10"/>
      <c r="AD536" s="10"/>
      <c r="AE536" s="11">
        <v>60.947356153317287</v>
      </c>
      <c r="AF536" s="11">
        <v>274.78649583145761</v>
      </c>
      <c r="AG536" t="s">
        <v>34</v>
      </c>
    </row>
    <row r="537" spans="1:33">
      <c r="A537" s="2">
        <v>44370</v>
      </c>
      <c r="B537" s="5" t="s">
        <v>37</v>
      </c>
      <c r="C537" s="5">
        <f>WEEKDAY(Table1[[#This Row],[Date]])</f>
        <v>4</v>
      </c>
      <c r="D537" s="5">
        <f>MONTH(Table1[[#This Row],[Date]])</f>
        <v>6</v>
      </c>
      <c r="E537" s="5">
        <f>WEEKNUM(Table1[[#This Row],[Date]])</f>
        <v>26</v>
      </c>
      <c r="F537" s="5">
        <f>YEAR(Table1[[#This Row],[Date]])</f>
        <v>2021</v>
      </c>
      <c r="G537">
        <v>348</v>
      </c>
      <c r="L537" s="5">
        <v>180</v>
      </c>
      <c r="M537" s="6">
        <v>0.87380000000000002</v>
      </c>
      <c r="N537" s="5">
        <v>26</v>
      </c>
      <c r="O537" s="7">
        <v>5.9027777777777778E-4</v>
      </c>
      <c r="P537" s="7">
        <v>1.9328703703703704E-3</v>
      </c>
      <c r="Q537" s="7">
        <v>4.8958333333333336E-3</v>
      </c>
      <c r="R537" s="6">
        <v>0.3861</v>
      </c>
      <c r="S537" s="8">
        <f>CONVERT(Table1[[#This Row],[Talk Duration (AVG)]]*Table1[[#This Row],[Answered Calls]],"day","hr")</f>
        <v>8.35</v>
      </c>
      <c r="T537" s="9">
        <f>Table1[[#This Row],[Actual Workload hours]]*60</f>
        <v>501</v>
      </c>
      <c r="U537" s="9">
        <f>CONVERT(Table1[[#This Row],[Actual]]*Table1[[#This Row],[Talk Duration (AVG)]],"day","hr")</f>
        <v>16.143333333333334</v>
      </c>
      <c r="V537" s="10">
        <f>Table1[[#This Row],[Required Workload Hours]]*60</f>
        <v>968.6</v>
      </c>
      <c r="W537" s="9">
        <v>1.3</v>
      </c>
      <c r="X537" s="9">
        <f t="shared" si="16"/>
        <v>2.5223958333333334</v>
      </c>
      <c r="Y537" s="5">
        <f t="shared" si="17"/>
        <v>2</v>
      </c>
      <c r="Z537" s="8">
        <f>ROUNDUP(Table1[[#This Row],[Actual Heacount]],0)</f>
        <v>2</v>
      </c>
      <c r="AA537" s="8"/>
      <c r="AB537" s="10"/>
      <c r="AC537" s="10"/>
      <c r="AD537" s="10"/>
      <c r="AE537" s="11">
        <v>80.144263927907019</v>
      </c>
      <c r="AF537" s="11">
        <v>297.44524844628842</v>
      </c>
      <c r="AG537" t="s">
        <v>34</v>
      </c>
    </row>
    <row r="538" spans="1:33">
      <c r="A538" s="2">
        <v>44371</v>
      </c>
      <c r="B538" s="5" t="s">
        <v>38</v>
      </c>
      <c r="C538" s="5">
        <f>WEEKDAY(Table1[[#This Row],[Date]])</f>
        <v>5</v>
      </c>
      <c r="D538" s="5">
        <f>MONTH(Table1[[#This Row],[Date]])</f>
        <v>6</v>
      </c>
      <c r="E538" s="5">
        <f>WEEKNUM(Table1[[#This Row],[Date]])</f>
        <v>26</v>
      </c>
      <c r="F538" s="5">
        <f>YEAR(Table1[[#This Row],[Date]])</f>
        <v>2021</v>
      </c>
      <c r="G538">
        <v>167</v>
      </c>
      <c r="L538" s="5">
        <v>47</v>
      </c>
      <c r="M538" s="6">
        <v>0.81030000000000002</v>
      </c>
      <c r="N538" s="5">
        <v>11</v>
      </c>
      <c r="O538" s="7">
        <v>5.5555555555555556E-4</v>
      </c>
      <c r="P538" s="7">
        <v>1.8055555555555555E-3</v>
      </c>
      <c r="Q538" s="7">
        <v>3.1828703703703702E-3</v>
      </c>
      <c r="R538" s="6">
        <v>0.42109999999999997</v>
      </c>
      <c r="S538" s="8">
        <f>CONVERT(Table1[[#This Row],[Talk Duration (AVG)]]*Table1[[#This Row],[Answered Calls]],"day","hr")</f>
        <v>2.0366666666666666</v>
      </c>
      <c r="T538" s="9">
        <f>Table1[[#This Row],[Actual Workload hours]]*60</f>
        <v>122.2</v>
      </c>
      <c r="U538" s="9">
        <f>CONVERT(Table1[[#This Row],[Actual]]*Table1[[#This Row],[Talk Duration (AVG)]],"day","hr")</f>
        <v>7.2366666666666664</v>
      </c>
      <c r="V538" s="10">
        <f>Table1[[#This Row],[Required Workload Hours]]*60</f>
        <v>434.2</v>
      </c>
      <c r="W538" s="9">
        <v>1</v>
      </c>
      <c r="X538" s="9">
        <f t="shared" si="16"/>
        <v>1.1307291666666666</v>
      </c>
      <c r="Y538" s="5">
        <f t="shared" si="17"/>
        <v>1</v>
      </c>
      <c r="Z538" s="8">
        <f>ROUNDUP(Table1[[#This Row],[Actual Heacount]],0)</f>
        <v>1</v>
      </c>
      <c r="AA538" s="8"/>
      <c r="AB538" s="10"/>
      <c r="AC538" s="10"/>
      <c r="AD538" s="10"/>
      <c r="AE538" s="11">
        <v>68.31862583431834</v>
      </c>
      <c r="AF538" s="11">
        <v>287.53659317236333</v>
      </c>
      <c r="AG538" t="s">
        <v>34</v>
      </c>
    </row>
    <row r="539" spans="1:33">
      <c r="A539" s="2">
        <v>44372</v>
      </c>
      <c r="B539" s="5" t="s">
        <v>39</v>
      </c>
      <c r="C539" s="5">
        <f>WEEKDAY(Table1[[#This Row],[Date]])</f>
        <v>6</v>
      </c>
      <c r="D539" s="5">
        <f>MONTH(Table1[[#This Row],[Date]])</f>
        <v>6</v>
      </c>
      <c r="E539" s="5">
        <f>WEEKNUM(Table1[[#This Row],[Date]])</f>
        <v>26</v>
      </c>
      <c r="F539" s="5">
        <f>YEAR(Table1[[#This Row],[Date]])</f>
        <v>2021</v>
      </c>
      <c r="G539">
        <v>167</v>
      </c>
      <c r="L539" s="5">
        <v>194</v>
      </c>
      <c r="M539" s="6">
        <v>0.91510000000000002</v>
      </c>
      <c r="N539" s="5">
        <v>18</v>
      </c>
      <c r="O539" s="7">
        <v>4.3981481481481481E-4</v>
      </c>
      <c r="P539" s="7">
        <v>1.7708333333333332E-3</v>
      </c>
      <c r="Q539" s="7">
        <v>3.0208333333333333E-3</v>
      </c>
      <c r="R539" s="6">
        <v>0.51200000000000001</v>
      </c>
      <c r="S539" s="8">
        <f>CONVERT(Table1[[#This Row],[Talk Duration (AVG)]]*Table1[[#This Row],[Answered Calls]],"day","hr")</f>
        <v>8.2449999999999992</v>
      </c>
      <c r="T539" s="9">
        <f>Table1[[#This Row],[Actual Workload hours]]*60</f>
        <v>494.69999999999993</v>
      </c>
      <c r="U539" s="9">
        <f>CONVERT(Table1[[#This Row],[Actual]]*Table1[[#This Row],[Talk Duration (AVG)]],"day","hr")</f>
        <v>7.0975000000000001</v>
      </c>
      <c r="V539" s="10">
        <f>Table1[[#This Row],[Required Workload Hours]]*60</f>
        <v>425.85</v>
      </c>
      <c r="W539" s="9">
        <v>1.29</v>
      </c>
      <c r="X539" s="9">
        <f t="shared" si="16"/>
        <v>1.1089843750000001</v>
      </c>
      <c r="Y539" s="5">
        <f t="shared" si="17"/>
        <v>2</v>
      </c>
      <c r="Z539" s="8">
        <f>ROUNDUP(Table1[[#This Row],[Actual Heacount]],0)</f>
        <v>2</v>
      </c>
      <c r="AA539" s="8"/>
      <c r="AB539" s="10"/>
      <c r="AC539" s="10"/>
      <c r="AD539" s="10"/>
      <c r="AE539" s="11">
        <v>59.423522639006478</v>
      </c>
      <c r="AF539" s="11">
        <v>280.08205737937089</v>
      </c>
      <c r="AG539" t="s">
        <v>34</v>
      </c>
    </row>
    <row r="540" spans="1:33">
      <c r="A540" s="2">
        <v>44373</v>
      </c>
      <c r="B540" s="5" t="s">
        <v>40</v>
      </c>
      <c r="C540" s="5">
        <f>WEEKDAY(Table1[[#This Row],[Date]])</f>
        <v>7</v>
      </c>
      <c r="D540" s="5">
        <f>MONTH(Table1[[#This Row],[Date]])</f>
        <v>6</v>
      </c>
      <c r="E540" s="5">
        <f>WEEKNUM(Table1[[#This Row],[Date]])</f>
        <v>26</v>
      </c>
      <c r="F540" s="5">
        <f>YEAR(Table1[[#This Row],[Date]])</f>
        <v>2021</v>
      </c>
      <c r="G540">
        <v>166</v>
      </c>
      <c r="L540" s="5">
        <v>214</v>
      </c>
      <c r="M540" s="6">
        <v>0.9224</v>
      </c>
      <c r="N540" s="5">
        <v>18</v>
      </c>
      <c r="O540" s="7">
        <v>3.9351851851851852E-4</v>
      </c>
      <c r="P540" s="7">
        <v>1.8055555555555555E-3</v>
      </c>
      <c r="Q540" s="7">
        <v>3.8194444444444443E-3</v>
      </c>
      <c r="R540" s="6">
        <v>0.55900000000000005</v>
      </c>
      <c r="S540" s="8">
        <f>CONVERT(Table1[[#This Row],[Talk Duration (AVG)]]*Table1[[#This Row],[Answered Calls]],"day","hr")</f>
        <v>9.2733333333333334</v>
      </c>
      <c r="T540" s="9">
        <f>Table1[[#This Row],[Actual Workload hours]]*60</f>
        <v>556.4</v>
      </c>
      <c r="U540" s="9">
        <f>CONVERT(Table1[[#This Row],[Actual]]*Table1[[#This Row],[Talk Duration (AVG)]],"day","hr")</f>
        <v>7.1933333333333334</v>
      </c>
      <c r="V540" s="10">
        <f>Table1[[#This Row],[Required Workload Hours]]*60</f>
        <v>431.6</v>
      </c>
      <c r="W540" s="9">
        <v>1.45</v>
      </c>
      <c r="X540" s="9">
        <f t="shared" si="16"/>
        <v>1.1239583333333334</v>
      </c>
      <c r="Y540" s="5">
        <f t="shared" si="17"/>
        <v>2</v>
      </c>
      <c r="Z540" s="8">
        <f>ROUNDUP(Table1[[#This Row],[Actual Heacount]],0)</f>
        <v>2</v>
      </c>
      <c r="AA540" s="8"/>
      <c r="AB540" s="10"/>
      <c r="AC540" s="10"/>
      <c r="AD540" s="10"/>
      <c r="AE540" s="11">
        <v>60.991335207798294</v>
      </c>
      <c r="AF540" s="11">
        <v>283.7897869688727</v>
      </c>
      <c r="AG540" t="s">
        <v>34</v>
      </c>
    </row>
    <row r="541" spans="1:33">
      <c r="A541" s="2">
        <v>44374</v>
      </c>
      <c r="B541" s="5" t="s">
        <v>33</v>
      </c>
      <c r="C541" s="5">
        <f>WEEKDAY(Table1[[#This Row],[Date]])</f>
        <v>1</v>
      </c>
      <c r="D541" s="5">
        <f>MONTH(Table1[[#This Row],[Date]])</f>
        <v>6</v>
      </c>
      <c r="E541" s="5">
        <f>WEEKNUM(Table1[[#This Row],[Date]])</f>
        <v>27</v>
      </c>
      <c r="F541" s="5">
        <f>YEAR(Table1[[#This Row],[Date]])</f>
        <v>2021</v>
      </c>
      <c r="G541">
        <v>32</v>
      </c>
      <c r="L541" s="5">
        <v>327</v>
      </c>
      <c r="M541" s="6">
        <v>0.93969999999999998</v>
      </c>
      <c r="N541" s="5">
        <v>21</v>
      </c>
      <c r="O541" s="7">
        <v>3.7037037037037035E-4</v>
      </c>
      <c r="P541" s="7">
        <v>1.712962962962963E-3</v>
      </c>
      <c r="Q541" s="7">
        <v>5.092592592592593E-3</v>
      </c>
      <c r="R541" s="6">
        <v>0.54620000000000002</v>
      </c>
      <c r="S541" s="8">
        <f>CONVERT(Table1[[#This Row],[Talk Duration (AVG)]]*Table1[[#This Row],[Answered Calls]],"day","hr")</f>
        <v>13.443333333333333</v>
      </c>
      <c r="T541" s="9">
        <f>Table1[[#This Row],[Actual Workload hours]]*60</f>
        <v>806.6</v>
      </c>
      <c r="U541" s="9">
        <f>CONVERT(Table1[[#This Row],[Actual]]*Table1[[#This Row],[Talk Duration (AVG)]],"day","hr")</f>
        <v>1.3155555555555556</v>
      </c>
      <c r="V541" s="10">
        <f>Table1[[#This Row],[Required Workload Hours]]*60</f>
        <v>78.933333333333337</v>
      </c>
      <c r="W541" s="9">
        <v>2.1</v>
      </c>
      <c r="X541" s="9">
        <f t="shared" si="16"/>
        <v>1</v>
      </c>
      <c r="Y541" s="5">
        <f t="shared" si="17"/>
        <v>2</v>
      </c>
      <c r="Z541" s="8">
        <f>ROUNDUP(Table1[[#This Row],[Actual Heacount]],0)</f>
        <v>3</v>
      </c>
      <c r="AA541" s="8"/>
      <c r="AB541" s="10"/>
      <c r="AC541" s="10"/>
      <c r="AD541" s="10"/>
      <c r="AE541" s="11">
        <v>-22.488572592979619</v>
      </c>
      <c r="AF541" s="11">
        <v>197.5941524653164</v>
      </c>
      <c r="AG541" t="s">
        <v>34</v>
      </c>
    </row>
    <row r="542" spans="1:33">
      <c r="A542" s="2">
        <v>44375</v>
      </c>
      <c r="B542" s="5" t="s">
        <v>35</v>
      </c>
      <c r="C542" s="5">
        <f>WEEKDAY(Table1[[#This Row],[Date]])</f>
        <v>2</v>
      </c>
      <c r="D542" s="5">
        <f>MONTH(Table1[[#This Row],[Date]])</f>
        <v>6</v>
      </c>
      <c r="E542" s="5">
        <f>WEEKNUM(Table1[[#This Row],[Date]])</f>
        <v>27</v>
      </c>
      <c r="F542" s="5">
        <f>YEAR(Table1[[#This Row],[Date]])</f>
        <v>2021</v>
      </c>
      <c r="G542">
        <v>52</v>
      </c>
      <c r="L542" s="5">
        <v>156</v>
      </c>
      <c r="M542" s="6">
        <v>0.93410000000000004</v>
      </c>
      <c r="N542" s="5">
        <v>11</v>
      </c>
      <c r="O542" s="7">
        <v>3.7037037037037035E-4</v>
      </c>
      <c r="P542" s="7">
        <v>1.8865740740740742E-3</v>
      </c>
      <c r="Q542" s="7">
        <v>2.0486111111111113E-3</v>
      </c>
      <c r="R542" s="6">
        <v>0.56789999999999996</v>
      </c>
      <c r="S542" s="8">
        <f>CONVERT(Table1[[#This Row],[Talk Duration (AVG)]]*Table1[[#This Row],[Answered Calls]],"day","hr")</f>
        <v>7.0633333333333335</v>
      </c>
      <c r="T542" s="9">
        <f>Table1[[#This Row],[Actual Workload hours]]*60</f>
        <v>423.8</v>
      </c>
      <c r="U542" s="9">
        <f>CONVERT(Table1[[#This Row],[Actual]]*Table1[[#This Row],[Talk Duration (AVG)]],"day","hr")</f>
        <v>2.3544444444444443</v>
      </c>
      <c r="V542" s="10">
        <f>Table1[[#This Row],[Required Workload Hours]]*60</f>
        <v>141.26666666666665</v>
      </c>
      <c r="W542" s="9">
        <v>1.1000000000000001</v>
      </c>
      <c r="X542" s="9">
        <f t="shared" si="16"/>
        <v>1</v>
      </c>
      <c r="Y542" s="5">
        <f t="shared" si="17"/>
        <v>2</v>
      </c>
      <c r="Z542" s="8">
        <f>ROUNDUP(Table1[[#This Row],[Actual Heacount]],0)</f>
        <v>2</v>
      </c>
      <c r="AA542" s="8"/>
      <c r="AB542" s="10"/>
      <c r="AC542" s="10"/>
      <c r="AD542" s="10"/>
      <c r="AE542" s="11">
        <v>86.689387991604789</v>
      </c>
      <c r="AF542" s="11">
        <v>297.99002148647702</v>
      </c>
      <c r="AG542" t="s">
        <v>34</v>
      </c>
    </row>
    <row r="543" spans="1:33">
      <c r="A543" s="2">
        <v>44376</v>
      </c>
      <c r="B543" s="5" t="s">
        <v>36</v>
      </c>
      <c r="C543" s="5">
        <f>WEEKDAY(Table1[[#This Row],[Date]])</f>
        <v>3</v>
      </c>
      <c r="D543" s="5">
        <f>MONTH(Table1[[#This Row],[Date]])</f>
        <v>6</v>
      </c>
      <c r="E543" s="5">
        <f>WEEKNUM(Table1[[#This Row],[Date]])</f>
        <v>27</v>
      </c>
      <c r="F543" s="5">
        <f>YEAR(Table1[[#This Row],[Date]])</f>
        <v>2021</v>
      </c>
      <c r="G543">
        <v>154</v>
      </c>
      <c r="L543" s="5">
        <v>157</v>
      </c>
      <c r="M543" s="6">
        <v>0.94010000000000005</v>
      </c>
      <c r="N543" s="5">
        <v>10</v>
      </c>
      <c r="O543" s="7">
        <v>3.1250000000000001E-4</v>
      </c>
      <c r="P543" s="7">
        <v>2.0486111111111113E-3</v>
      </c>
      <c r="Q543" s="7">
        <v>3.6921296296296298E-3</v>
      </c>
      <c r="R543" s="6">
        <v>0.67479999999999996</v>
      </c>
      <c r="S543" s="8">
        <f>CONVERT(Table1[[#This Row],[Talk Duration (AVG)]]*Table1[[#This Row],[Answered Calls]],"day","hr")</f>
        <v>7.7191666666666681</v>
      </c>
      <c r="T543" s="9">
        <f>Table1[[#This Row],[Actual Workload hours]]*60</f>
        <v>463.15000000000009</v>
      </c>
      <c r="U543" s="9">
        <f>CONVERT(Table1[[#This Row],[Actual]]*Table1[[#This Row],[Talk Duration (AVG)]],"day","hr")</f>
        <v>7.5716666666666681</v>
      </c>
      <c r="V543" s="10">
        <f>Table1[[#This Row],[Required Workload Hours]]*60</f>
        <v>454.30000000000007</v>
      </c>
      <c r="W543" s="9">
        <v>1.21</v>
      </c>
      <c r="X543" s="9">
        <f t="shared" si="16"/>
        <v>1.1830729166666669</v>
      </c>
      <c r="Y543" s="5">
        <f t="shared" si="17"/>
        <v>2</v>
      </c>
      <c r="Z543" s="8">
        <f>ROUNDUP(Table1[[#This Row],[Actual Heacount]],0)</f>
        <v>2</v>
      </c>
      <c r="AA543" s="8"/>
      <c r="AB543" s="10"/>
      <c r="AC543" s="10"/>
      <c r="AD543" s="10"/>
      <c r="AE543" s="11">
        <v>61.566336287960532</v>
      </c>
      <c r="AF543" s="11">
        <v>283.43628475744339</v>
      </c>
      <c r="AG543" t="s">
        <v>34</v>
      </c>
    </row>
    <row r="544" spans="1:33">
      <c r="A544" s="2">
        <v>44377</v>
      </c>
      <c r="B544" s="5" t="s">
        <v>37</v>
      </c>
      <c r="C544" s="5">
        <f>WEEKDAY(Table1[[#This Row],[Date]])</f>
        <v>4</v>
      </c>
      <c r="D544" s="5">
        <f>MONTH(Table1[[#This Row],[Date]])</f>
        <v>6</v>
      </c>
      <c r="E544" s="5">
        <f>WEEKNUM(Table1[[#This Row],[Date]])</f>
        <v>27</v>
      </c>
      <c r="F544" s="5">
        <f>YEAR(Table1[[#This Row],[Date]])</f>
        <v>2021</v>
      </c>
      <c r="G544">
        <v>223</v>
      </c>
      <c r="L544" s="5">
        <v>161</v>
      </c>
      <c r="M544" s="6">
        <v>0.96989999999999998</v>
      </c>
      <c r="N544" s="5">
        <v>5</v>
      </c>
      <c r="O544" s="7">
        <v>2.4305555555555555E-4</v>
      </c>
      <c r="P544" s="7">
        <v>1.9097222222222222E-3</v>
      </c>
      <c r="Q544" s="7">
        <v>1.0648148148148149E-3</v>
      </c>
      <c r="R544" s="6">
        <v>0.73329999999999995</v>
      </c>
      <c r="S544" s="8">
        <f>CONVERT(Table1[[#This Row],[Talk Duration (AVG)]]*Table1[[#This Row],[Answered Calls]],"day","hr")</f>
        <v>7.3791666666666664</v>
      </c>
      <c r="T544" s="9">
        <f>Table1[[#This Row],[Actual Workload hours]]*60</f>
        <v>442.75</v>
      </c>
      <c r="U544" s="9">
        <f>CONVERT(Table1[[#This Row],[Actual]]*Table1[[#This Row],[Talk Duration (AVG)]],"day","hr")</f>
        <v>10.220833333333333</v>
      </c>
      <c r="V544" s="10">
        <f>Table1[[#This Row],[Required Workload Hours]]*60</f>
        <v>613.25</v>
      </c>
      <c r="W544" s="9">
        <v>1.1499999999999999</v>
      </c>
      <c r="X544" s="9">
        <f t="shared" si="16"/>
        <v>1.5970052083333333</v>
      </c>
      <c r="Y544" s="5">
        <f t="shared" si="17"/>
        <v>2</v>
      </c>
      <c r="Z544" s="8">
        <f>ROUNDUP(Table1[[#This Row],[Actual Heacount]],0)</f>
        <v>2</v>
      </c>
      <c r="AA544" s="8"/>
      <c r="AB544" s="10"/>
      <c r="AC544" s="10"/>
      <c r="AD544" s="10"/>
      <c r="AE544" s="11">
        <v>74.938867385978298</v>
      </c>
      <c r="AF544" s="11">
        <v>291.90872008255968</v>
      </c>
      <c r="AG544" t="s">
        <v>34</v>
      </c>
    </row>
    <row r="545" spans="1:33">
      <c r="A545" s="2">
        <v>44378</v>
      </c>
      <c r="B545" s="5" t="s">
        <v>38</v>
      </c>
      <c r="C545" s="5">
        <f>WEEKDAY(Table1[[#This Row],[Date]])</f>
        <v>5</v>
      </c>
      <c r="D545" s="5">
        <f>MONTH(Table1[[#This Row],[Date]])</f>
        <v>7</v>
      </c>
      <c r="E545" s="5">
        <f>WEEKNUM(Table1[[#This Row],[Date]])</f>
        <v>27</v>
      </c>
      <c r="F545" s="5">
        <f>YEAR(Table1[[#This Row],[Date]])</f>
        <v>2021</v>
      </c>
      <c r="G545">
        <v>155</v>
      </c>
      <c r="L545" s="5">
        <v>28</v>
      </c>
      <c r="M545" s="6">
        <v>0.875</v>
      </c>
      <c r="N545" s="5">
        <v>4</v>
      </c>
      <c r="O545" s="7">
        <v>2.5462962962962961E-4</v>
      </c>
      <c r="P545" s="7">
        <v>1.8865740740740742E-3</v>
      </c>
      <c r="Q545" s="7">
        <v>5.2662037037037035E-3</v>
      </c>
      <c r="R545" s="6">
        <v>0.6452</v>
      </c>
      <c r="S545" s="8">
        <f>CONVERT(Table1[[#This Row],[Talk Duration (AVG)]]*Table1[[#This Row],[Answered Calls]],"day","hr")</f>
        <v>1.2677777777777777</v>
      </c>
      <c r="T545" s="9">
        <f>Table1[[#This Row],[Actual Workload hours]]*60</f>
        <v>76.066666666666663</v>
      </c>
      <c r="U545" s="9">
        <f>CONVERT(Table1[[#This Row],[Actual]]*Table1[[#This Row],[Talk Duration (AVG)]],"day","hr")</f>
        <v>7.0180555555555557</v>
      </c>
      <c r="V545" s="10">
        <f>Table1[[#This Row],[Required Workload Hours]]*60</f>
        <v>421.08333333333337</v>
      </c>
      <c r="W545" s="9">
        <v>1</v>
      </c>
      <c r="X545" s="9">
        <f t="shared" si="16"/>
        <v>1.0965711805555556</v>
      </c>
      <c r="Y545" s="5">
        <f t="shared" si="17"/>
        <v>1</v>
      </c>
      <c r="Z545" s="8">
        <f>ROUNDUP(Table1[[#This Row],[Actual Heacount]],0)</f>
        <v>1</v>
      </c>
      <c r="AA545" s="8"/>
      <c r="AB545" s="10"/>
      <c r="AC545" s="10"/>
      <c r="AD545" s="10"/>
      <c r="AE545" s="11">
        <v>78.681008575314905</v>
      </c>
      <c r="AF545" s="11">
        <v>288.76018306830173</v>
      </c>
      <c r="AG545" t="s">
        <v>34</v>
      </c>
    </row>
    <row r="546" spans="1:33">
      <c r="A546" s="2">
        <v>44379</v>
      </c>
      <c r="B546" s="5" t="s">
        <v>39</v>
      </c>
      <c r="C546" s="5">
        <f>WEEKDAY(Table1[[#This Row],[Date]])</f>
        <v>6</v>
      </c>
      <c r="D546" s="5">
        <f>MONTH(Table1[[#This Row],[Date]])</f>
        <v>7</v>
      </c>
      <c r="E546" s="5">
        <f>WEEKNUM(Table1[[#This Row],[Date]])</f>
        <v>27</v>
      </c>
      <c r="F546" s="5">
        <f>YEAR(Table1[[#This Row],[Date]])</f>
        <v>2021</v>
      </c>
      <c r="G546">
        <v>37</v>
      </c>
      <c r="L546" s="5">
        <v>49</v>
      </c>
      <c r="M546" s="6">
        <v>0.94230000000000003</v>
      </c>
      <c r="N546" s="5">
        <v>3</v>
      </c>
      <c r="O546" s="7">
        <v>3.7037037037037035E-4</v>
      </c>
      <c r="P546" s="7">
        <v>2.0601851851851853E-3</v>
      </c>
      <c r="Q546" s="7">
        <v>2.1064814814814813E-3</v>
      </c>
      <c r="R546" s="6">
        <v>0.63460000000000005</v>
      </c>
      <c r="S546" s="8">
        <f>CONVERT(Table1[[#This Row],[Talk Duration (AVG)]]*Table1[[#This Row],[Answered Calls]],"day","hr")</f>
        <v>2.4227777777777777</v>
      </c>
      <c r="T546" s="9">
        <f>Table1[[#This Row],[Actual Workload hours]]*60</f>
        <v>145.36666666666667</v>
      </c>
      <c r="U546" s="9">
        <f>CONVERT(Table1[[#This Row],[Actual]]*Table1[[#This Row],[Talk Duration (AVG)]],"day","hr")</f>
        <v>1.8294444444444444</v>
      </c>
      <c r="V546" s="10">
        <f>Table1[[#This Row],[Required Workload Hours]]*60</f>
        <v>109.76666666666667</v>
      </c>
      <c r="W546" s="9">
        <v>1</v>
      </c>
      <c r="X546" s="9">
        <f t="shared" si="16"/>
        <v>1</v>
      </c>
      <c r="Y546" s="5">
        <f t="shared" si="17"/>
        <v>2</v>
      </c>
      <c r="Z546" s="8">
        <f>ROUNDUP(Table1[[#This Row],[Actual Heacount]],0)</f>
        <v>1</v>
      </c>
      <c r="AA546" s="8"/>
      <c r="AB546" s="10"/>
      <c r="AC546" s="10"/>
      <c r="AD546" s="10"/>
      <c r="AE546" s="11">
        <v>57.00990885900589</v>
      </c>
      <c r="AF546" s="11">
        <v>274.30780746260962</v>
      </c>
      <c r="AG546" t="s">
        <v>34</v>
      </c>
    </row>
    <row r="547" spans="1:33">
      <c r="A547" s="2">
        <v>44380</v>
      </c>
      <c r="B547" s="5" t="s">
        <v>40</v>
      </c>
      <c r="C547" s="5">
        <f>WEEKDAY(Table1[[#This Row],[Date]])</f>
        <v>7</v>
      </c>
      <c r="D547" s="5">
        <f>MONTH(Table1[[#This Row],[Date]])</f>
        <v>7</v>
      </c>
      <c r="E547" s="5">
        <f>WEEKNUM(Table1[[#This Row],[Date]])</f>
        <v>27</v>
      </c>
      <c r="F547" s="5">
        <f>YEAR(Table1[[#This Row],[Date]])</f>
        <v>2021</v>
      </c>
      <c r="G547">
        <v>22</v>
      </c>
      <c r="L547" s="5">
        <v>149</v>
      </c>
      <c r="M547" s="6">
        <v>0.96750000000000003</v>
      </c>
      <c r="N547" s="5">
        <v>5</v>
      </c>
      <c r="O547" s="7">
        <v>3.0092592592592595E-4</v>
      </c>
      <c r="P547" s="7">
        <v>1.9907407407407408E-3</v>
      </c>
      <c r="Q547" s="7">
        <v>1.2731481481481483E-3</v>
      </c>
      <c r="R547" s="6">
        <v>0.64900000000000002</v>
      </c>
      <c r="S547" s="8">
        <f>CONVERT(Table1[[#This Row],[Talk Duration (AVG)]]*Table1[[#This Row],[Answered Calls]],"day","hr")</f>
        <v>7.1188888888888888</v>
      </c>
      <c r="T547" s="9">
        <f>Table1[[#This Row],[Actual Workload hours]]*60</f>
        <v>427.13333333333333</v>
      </c>
      <c r="U547" s="9">
        <f>CONVERT(Table1[[#This Row],[Actual]]*Table1[[#This Row],[Talk Duration (AVG)]],"day","hr")</f>
        <v>1.0511111111111111</v>
      </c>
      <c r="V547" s="10">
        <f>Table1[[#This Row],[Required Workload Hours]]*60</f>
        <v>63.066666666666663</v>
      </c>
      <c r="W547" s="9">
        <v>1.1100000000000001</v>
      </c>
      <c r="X547" s="9">
        <f t="shared" si="16"/>
        <v>1</v>
      </c>
      <c r="Y547" s="5">
        <f t="shared" si="17"/>
        <v>2</v>
      </c>
      <c r="Z547" s="8">
        <f>ROUNDUP(Table1[[#This Row],[Actual Heacount]],0)</f>
        <v>2</v>
      </c>
      <c r="AA547" s="8"/>
      <c r="AB547" s="10"/>
      <c r="AC547" s="10"/>
      <c r="AD547" s="10"/>
      <c r="AE547" s="11">
        <v>65.988581636515605</v>
      </c>
      <c r="AF547" s="11">
        <v>288.03155900180963</v>
      </c>
      <c r="AG547" t="s">
        <v>34</v>
      </c>
    </row>
    <row r="548" spans="1:33">
      <c r="A548" s="2">
        <v>44381</v>
      </c>
      <c r="B548" s="5" t="s">
        <v>33</v>
      </c>
      <c r="C548" s="5">
        <f>WEEKDAY(Table1[[#This Row],[Date]])</f>
        <v>1</v>
      </c>
      <c r="D548" s="5">
        <f>MONTH(Table1[[#This Row],[Date]])</f>
        <v>7</v>
      </c>
      <c r="E548" s="5">
        <f>WEEKNUM(Table1[[#This Row],[Date]])</f>
        <v>28</v>
      </c>
      <c r="F548" s="5">
        <f>YEAR(Table1[[#This Row],[Date]])</f>
        <v>2021</v>
      </c>
      <c r="G548">
        <v>139</v>
      </c>
      <c r="L548" s="5">
        <v>218</v>
      </c>
      <c r="M548" s="6">
        <v>0.97760000000000002</v>
      </c>
      <c r="N548" s="5">
        <v>5</v>
      </c>
      <c r="O548" s="7">
        <v>2.0833333333333335E-4</v>
      </c>
      <c r="P548" s="7">
        <v>1.4699074074074074E-3</v>
      </c>
      <c r="Q548" s="7">
        <v>1.3888888888888889E-3</v>
      </c>
      <c r="R548" s="6">
        <v>0.80089999999999995</v>
      </c>
      <c r="S548" s="8">
        <f>CONVERT(Table1[[#This Row],[Talk Duration (AVG)]]*Table1[[#This Row],[Answered Calls]],"day","hr")</f>
        <v>7.6905555555555551</v>
      </c>
      <c r="T548" s="9">
        <f>Table1[[#This Row],[Actual Workload hours]]*60</f>
        <v>461.43333333333328</v>
      </c>
      <c r="U548" s="9">
        <f>CONVERT(Table1[[#This Row],[Actual]]*Table1[[#This Row],[Talk Duration (AVG)]],"day","hr")</f>
        <v>4.9036111111111111</v>
      </c>
      <c r="V548" s="10">
        <f>Table1[[#This Row],[Required Workload Hours]]*60</f>
        <v>294.2166666666667</v>
      </c>
      <c r="W548" s="9">
        <v>1.2</v>
      </c>
      <c r="X548" s="9">
        <f t="shared" si="16"/>
        <v>1</v>
      </c>
      <c r="Y548" s="5">
        <f t="shared" si="17"/>
        <v>2</v>
      </c>
      <c r="Z548" s="8">
        <f>ROUNDUP(Table1[[#This Row],[Actual Heacount]],0)</f>
        <v>2</v>
      </c>
      <c r="AA548" s="8"/>
      <c r="AB548" s="10"/>
      <c r="AC548" s="10"/>
      <c r="AD548" s="10"/>
      <c r="AE548" s="11">
        <v>-17.94641647390716</v>
      </c>
      <c r="AF548" s="11">
        <v>206.5460700110165</v>
      </c>
      <c r="AG548" t="s">
        <v>34</v>
      </c>
    </row>
    <row r="549" spans="1:33">
      <c r="A549" s="2">
        <v>44382</v>
      </c>
      <c r="B549" s="5" t="s">
        <v>35</v>
      </c>
      <c r="C549" s="5">
        <f>WEEKDAY(Table1[[#This Row],[Date]])</f>
        <v>2</v>
      </c>
      <c r="D549" s="5">
        <f>MONTH(Table1[[#This Row],[Date]])</f>
        <v>7</v>
      </c>
      <c r="E549" s="5">
        <f>WEEKNUM(Table1[[#This Row],[Date]])</f>
        <v>28</v>
      </c>
      <c r="F549" s="5">
        <f>YEAR(Table1[[#This Row],[Date]])</f>
        <v>2021</v>
      </c>
      <c r="G549">
        <v>112</v>
      </c>
      <c r="L549" s="5">
        <v>157</v>
      </c>
      <c r="M549" s="6">
        <v>0.92349999999999999</v>
      </c>
      <c r="N549" s="5">
        <v>13</v>
      </c>
      <c r="O549" s="7">
        <v>1.9675925925925926E-4</v>
      </c>
      <c r="P549" s="7">
        <v>2.1296296296296298E-3</v>
      </c>
      <c r="Q549" s="7">
        <v>4.4560185185185189E-3</v>
      </c>
      <c r="R549" s="6">
        <v>0.78439999999999999</v>
      </c>
      <c r="S549" s="8">
        <f>CONVERT(Table1[[#This Row],[Talk Duration (AVG)]]*Table1[[#This Row],[Answered Calls]],"day","hr")</f>
        <v>8.0244444444444447</v>
      </c>
      <c r="T549" s="9">
        <f>Table1[[#This Row],[Actual Workload hours]]*60</f>
        <v>481.4666666666667</v>
      </c>
      <c r="U549" s="9">
        <f>CONVERT(Table1[[#This Row],[Actual]]*Table1[[#This Row],[Talk Duration (AVG)]],"day","hr")</f>
        <v>5.724444444444444</v>
      </c>
      <c r="V549" s="10">
        <f>Table1[[#This Row],[Required Workload Hours]]*60</f>
        <v>343.46666666666664</v>
      </c>
      <c r="W549" s="9">
        <v>1.25</v>
      </c>
      <c r="X549" s="9">
        <f t="shared" si="16"/>
        <v>1</v>
      </c>
      <c r="Y549" s="5">
        <f t="shared" si="17"/>
        <v>2</v>
      </c>
      <c r="Z549" s="8">
        <f>ROUNDUP(Table1[[#This Row],[Actual Heacount]],0)</f>
        <v>2</v>
      </c>
      <c r="AA549" s="8"/>
      <c r="AB549" s="10"/>
      <c r="AC549" s="10"/>
      <c r="AD549" s="10"/>
      <c r="AE549" s="11">
        <v>88.938707384722761</v>
      </c>
      <c r="AF549" s="11">
        <v>307.32711800832698</v>
      </c>
      <c r="AG549" t="s">
        <v>34</v>
      </c>
    </row>
    <row r="550" spans="1:33">
      <c r="A550" s="2">
        <v>44383</v>
      </c>
      <c r="B550" s="5" t="s">
        <v>36</v>
      </c>
      <c r="C550" s="5">
        <f>WEEKDAY(Table1[[#This Row],[Date]])</f>
        <v>3</v>
      </c>
      <c r="D550" s="5">
        <f>MONTH(Table1[[#This Row],[Date]])</f>
        <v>7</v>
      </c>
      <c r="E550" s="5">
        <f>WEEKNUM(Table1[[#This Row],[Date]])</f>
        <v>28</v>
      </c>
      <c r="F550" s="5">
        <f>YEAR(Table1[[#This Row],[Date]])</f>
        <v>2021</v>
      </c>
      <c r="G550">
        <v>120</v>
      </c>
      <c r="L550" s="5">
        <v>133</v>
      </c>
      <c r="M550" s="6">
        <v>0.91720000000000002</v>
      </c>
      <c r="N550" s="5">
        <v>12</v>
      </c>
      <c r="O550" s="7">
        <v>3.0092592592592595E-4</v>
      </c>
      <c r="P550" s="7">
        <v>2.0370370370370369E-3</v>
      </c>
      <c r="Q550" s="7">
        <v>2.5347222222222221E-3</v>
      </c>
      <c r="R550" s="6">
        <v>0.69230000000000003</v>
      </c>
      <c r="S550" s="8">
        <f>CONVERT(Table1[[#This Row],[Talk Duration (AVG)]]*Table1[[#This Row],[Answered Calls]],"day","hr")</f>
        <v>6.5022222222222208</v>
      </c>
      <c r="T550" s="9">
        <f>Table1[[#This Row],[Actual Workload hours]]*60</f>
        <v>390.13333333333327</v>
      </c>
      <c r="U550" s="9">
        <f>CONVERT(Table1[[#This Row],[Actual]]*Table1[[#This Row],[Talk Duration (AVG)]],"day","hr")</f>
        <v>5.8666666666666654</v>
      </c>
      <c r="V550" s="10">
        <f>Table1[[#This Row],[Required Workload Hours]]*60</f>
        <v>351.99999999999994</v>
      </c>
      <c r="W550" s="9">
        <v>1.02</v>
      </c>
      <c r="X550" s="9">
        <f t="shared" si="16"/>
        <v>1</v>
      </c>
      <c r="Y550" s="5">
        <f t="shared" si="17"/>
        <v>2</v>
      </c>
      <c r="Z550" s="8">
        <f>ROUNDUP(Table1[[#This Row],[Actual Heacount]],0)</f>
        <v>2</v>
      </c>
      <c r="AA550" s="8"/>
      <c r="AB550" s="10"/>
      <c r="AC550" s="10"/>
      <c r="AD550" s="10"/>
      <c r="AE550" s="11">
        <v>74.866598133598387</v>
      </c>
      <c r="AF550" s="11">
        <v>278.07836248924792</v>
      </c>
      <c r="AG550" t="s">
        <v>34</v>
      </c>
    </row>
    <row r="551" spans="1:33">
      <c r="A551" s="2">
        <v>44384</v>
      </c>
      <c r="B551" s="5" t="s">
        <v>37</v>
      </c>
      <c r="C551" s="5">
        <f>WEEKDAY(Table1[[#This Row],[Date]])</f>
        <v>4</v>
      </c>
      <c r="D551" s="5">
        <f>MONTH(Table1[[#This Row],[Date]])</f>
        <v>7</v>
      </c>
      <c r="E551" s="5">
        <f>WEEKNUM(Table1[[#This Row],[Date]])</f>
        <v>28</v>
      </c>
      <c r="F551" s="5">
        <f>YEAR(Table1[[#This Row],[Date]])</f>
        <v>2021</v>
      </c>
      <c r="G551">
        <v>149</v>
      </c>
      <c r="L551" s="5">
        <v>138</v>
      </c>
      <c r="M551" s="6">
        <v>0.95830000000000004</v>
      </c>
      <c r="N551" s="5">
        <v>6</v>
      </c>
      <c r="O551" s="7">
        <v>1.9675925925925926E-4</v>
      </c>
      <c r="P551" s="7">
        <v>2.0023148148148148E-3</v>
      </c>
      <c r="Q551" s="7">
        <v>1.9097222222222222E-3</v>
      </c>
      <c r="R551" s="6">
        <v>0.83799999999999997</v>
      </c>
      <c r="S551" s="8">
        <f>CONVERT(Table1[[#This Row],[Talk Duration (AVG)]]*Table1[[#This Row],[Answered Calls]],"day","hr")</f>
        <v>6.6316666666666668</v>
      </c>
      <c r="T551" s="9">
        <f>Table1[[#This Row],[Actual Workload hours]]*60</f>
        <v>397.90000000000003</v>
      </c>
      <c r="U551" s="9">
        <f>CONVERT(Table1[[#This Row],[Actual]]*Table1[[#This Row],[Talk Duration (AVG)]],"day","hr")</f>
        <v>7.1602777777777789</v>
      </c>
      <c r="V551" s="10">
        <f>Table1[[#This Row],[Required Workload Hours]]*60</f>
        <v>429.61666666666673</v>
      </c>
      <c r="W551" s="9">
        <v>1.04</v>
      </c>
      <c r="X551" s="9">
        <f t="shared" si="16"/>
        <v>1.1187934027777779</v>
      </c>
      <c r="Y551" s="5">
        <f t="shared" si="17"/>
        <v>2</v>
      </c>
      <c r="Z551" s="8">
        <f>ROUNDUP(Table1[[#This Row],[Actual Heacount]],0)</f>
        <v>2</v>
      </c>
      <c r="AA551" s="8"/>
      <c r="AB551" s="10"/>
      <c r="AC551" s="10"/>
      <c r="AD551" s="10"/>
      <c r="AE551" s="11">
        <v>77.701314820148568</v>
      </c>
      <c r="AF551" s="11">
        <v>307.6732968468977</v>
      </c>
      <c r="AG551" t="s">
        <v>34</v>
      </c>
    </row>
    <row r="552" spans="1:33">
      <c r="A552" s="2">
        <v>44385</v>
      </c>
      <c r="B552" s="5" t="s">
        <v>38</v>
      </c>
      <c r="C552" s="5">
        <f>WEEKDAY(Table1[[#This Row],[Date]])</f>
        <v>5</v>
      </c>
      <c r="D552" s="5">
        <f>MONTH(Table1[[#This Row],[Date]])</f>
        <v>7</v>
      </c>
      <c r="E552" s="5">
        <f>WEEKNUM(Table1[[#This Row],[Date]])</f>
        <v>28</v>
      </c>
      <c r="F552" s="5">
        <f>YEAR(Table1[[#This Row],[Date]])</f>
        <v>2021</v>
      </c>
      <c r="G552">
        <v>175</v>
      </c>
      <c r="L552" s="5">
        <v>15</v>
      </c>
      <c r="M552" s="6">
        <v>0.9375</v>
      </c>
      <c r="N552" s="5">
        <v>1</v>
      </c>
      <c r="O552" s="7">
        <v>1.9675925925925926E-4</v>
      </c>
      <c r="P552" s="7">
        <v>2.0833333333333333E-3</v>
      </c>
      <c r="Q552" s="7">
        <v>1.9097222222222222E-3</v>
      </c>
      <c r="R552" s="6">
        <v>0.6875</v>
      </c>
      <c r="S552" s="8">
        <f>CONVERT(Table1[[#This Row],[Talk Duration (AVG)]]*Table1[[#This Row],[Answered Calls]],"day","hr")</f>
        <v>0.75</v>
      </c>
      <c r="T552" s="9">
        <f>Table1[[#This Row],[Actual Workload hours]]*60</f>
        <v>45</v>
      </c>
      <c r="U552" s="9">
        <f>CONVERT(Table1[[#This Row],[Actual]]*Table1[[#This Row],[Talk Duration (AVG)]],"day","hr")</f>
        <v>8.75</v>
      </c>
      <c r="V552" s="10">
        <f>Table1[[#This Row],[Required Workload Hours]]*60</f>
        <v>525</v>
      </c>
      <c r="W552" s="9">
        <v>1</v>
      </c>
      <c r="X552" s="9">
        <f t="shared" si="16"/>
        <v>1.3671875</v>
      </c>
      <c r="Y552" s="5">
        <f t="shared" si="17"/>
        <v>1</v>
      </c>
      <c r="Z552" s="8">
        <f>ROUNDUP(Table1[[#This Row],[Actual Heacount]],0)</f>
        <v>1</v>
      </c>
      <c r="AA552" s="8"/>
      <c r="AB552" s="10"/>
      <c r="AC552" s="10"/>
      <c r="AD552" s="10"/>
      <c r="AE552" s="11">
        <v>67.018845831164299</v>
      </c>
      <c r="AF552" s="11">
        <v>282.71318926646268</v>
      </c>
      <c r="AG552" t="s">
        <v>34</v>
      </c>
    </row>
    <row r="553" spans="1:33">
      <c r="A553" s="2">
        <v>44386</v>
      </c>
      <c r="B553" s="5" t="s">
        <v>39</v>
      </c>
      <c r="C553" s="5">
        <f>WEEKDAY(Table1[[#This Row],[Date]])</f>
        <v>6</v>
      </c>
      <c r="D553" s="5">
        <f>MONTH(Table1[[#This Row],[Date]])</f>
        <v>7</v>
      </c>
      <c r="E553" s="5">
        <f>WEEKNUM(Table1[[#This Row],[Date]])</f>
        <v>28</v>
      </c>
      <c r="F553" s="5">
        <f>YEAR(Table1[[#This Row],[Date]])</f>
        <v>2021</v>
      </c>
      <c r="G553">
        <v>130</v>
      </c>
      <c r="L553" s="5">
        <v>131</v>
      </c>
      <c r="M553" s="6">
        <v>0.97040000000000004</v>
      </c>
      <c r="N553" s="5">
        <v>4</v>
      </c>
      <c r="O553" s="7">
        <v>2.3148148148148149E-4</v>
      </c>
      <c r="P553" s="7">
        <v>1.8171296296296297E-3</v>
      </c>
      <c r="Q553" s="7">
        <v>1.3888888888888889E-3</v>
      </c>
      <c r="R553" s="6">
        <v>0.76119999999999999</v>
      </c>
      <c r="S553" s="8">
        <f>CONVERT(Table1[[#This Row],[Talk Duration (AVG)]]*Table1[[#This Row],[Answered Calls]],"day","hr")</f>
        <v>5.713055555555556</v>
      </c>
      <c r="T553" s="9">
        <f>Table1[[#This Row],[Actual Workload hours]]*60</f>
        <v>342.78333333333336</v>
      </c>
      <c r="U553" s="9">
        <f>CONVERT(Table1[[#This Row],[Actual]]*Table1[[#This Row],[Talk Duration (AVG)]],"day","hr")</f>
        <v>5.6694444444444443</v>
      </c>
      <c r="V553" s="10">
        <f>Table1[[#This Row],[Required Workload Hours]]*60</f>
        <v>340.16666666666663</v>
      </c>
      <c r="W553" s="9">
        <v>1</v>
      </c>
      <c r="X553" s="9">
        <f t="shared" si="16"/>
        <v>1</v>
      </c>
      <c r="Y553" s="5">
        <f t="shared" si="17"/>
        <v>2</v>
      </c>
      <c r="Z553" s="8">
        <f>ROUNDUP(Table1[[#This Row],[Actual Heacount]],0)</f>
        <v>1</v>
      </c>
      <c r="AA553" s="8"/>
      <c r="AB553" s="10"/>
      <c r="AC553" s="10"/>
      <c r="AD553" s="10"/>
      <c r="AE553" s="11">
        <v>67.880498897246554</v>
      </c>
      <c r="AF553" s="11">
        <v>289.82901770256728</v>
      </c>
      <c r="AG553" t="s">
        <v>34</v>
      </c>
    </row>
    <row r="554" spans="1:33">
      <c r="A554" s="2">
        <v>44387</v>
      </c>
      <c r="B554" s="5" t="s">
        <v>40</v>
      </c>
      <c r="C554" s="5">
        <f>WEEKDAY(Table1[[#This Row],[Date]])</f>
        <v>7</v>
      </c>
      <c r="D554" s="5">
        <f>MONTH(Table1[[#This Row],[Date]])</f>
        <v>7</v>
      </c>
      <c r="E554" s="5">
        <f>WEEKNUM(Table1[[#This Row],[Date]])</f>
        <v>28</v>
      </c>
      <c r="F554" s="5">
        <f>YEAR(Table1[[#This Row],[Date]])</f>
        <v>2021</v>
      </c>
      <c r="G554">
        <v>113</v>
      </c>
      <c r="L554" s="5">
        <v>133</v>
      </c>
      <c r="M554" s="6">
        <v>0.9708</v>
      </c>
      <c r="N554" s="5">
        <v>4</v>
      </c>
      <c r="O554" s="7">
        <v>2.7777777777777778E-4</v>
      </c>
      <c r="P554" s="7">
        <v>1.9560185185185184E-3</v>
      </c>
      <c r="Q554" s="7">
        <v>1.9212962962962964E-3</v>
      </c>
      <c r="R554" s="6">
        <v>0.69120000000000004</v>
      </c>
      <c r="S554" s="8">
        <f>CONVERT(Table1[[#This Row],[Talk Duration (AVG)]]*Table1[[#This Row],[Answered Calls]],"day","hr")</f>
        <v>6.243611111111111</v>
      </c>
      <c r="T554" s="9">
        <f>Table1[[#This Row],[Actual Workload hours]]*60</f>
        <v>374.61666666666667</v>
      </c>
      <c r="U554" s="9">
        <f>CONVERT(Table1[[#This Row],[Actual]]*Table1[[#This Row],[Talk Duration (AVG)]],"day","hr")</f>
        <v>5.304722222222221</v>
      </c>
      <c r="V554" s="10">
        <f>Table1[[#This Row],[Required Workload Hours]]*60</f>
        <v>318.28333333333325</v>
      </c>
      <c r="W554" s="9">
        <v>1</v>
      </c>
      <c r="X554" s="9">
        <f t="shared" si="16"/>
        <v>1</v>
      </c>
      <c r="Y554" s="5">
        <f t="shared" si="17"/>
        <v>2</v>
      </c>
      <c r="Z554" s="8">
        <f>ROUNDUP(Table1[[#This Row],[Actual Heacount]],0)</f>
        <v>1</v>
      </c>
      <c r="AA554" s="8"/>
      <c r="AB554" s="10"/>
      <c r="AC554" s="10"/>
      <c r="AD554" s="10"/>
      <c r="AE554" s="11">
        <v>66.195285550673646</v>
      </c>
      <c r="AF554" s="11">
        <v>292.70328271144422</v>
      </c>
      <c r="AG554" t="s">
        <v>34</v>
      </c>
    </row>
    <row r="555" spans="1:33">
      <c r="A555" s="2">
        <v>44388</v>
      </c>
      <c r="B555" s="5" t="s">
        <v>33</v>
      </c>
      <c r="C555" s="5">
        <f>WEEKDAY(Table1[[#This Row],[Date]])</f>
        <v>1</v>
      </c>
      <c r="D555" s="5">
        <f>MONTH(Table1[[#This Row],[Date]])</f>
        <v>7</v>
      </c>
      <c r="E555" s="5">
        <f>WEEKNUM(Table1[[#This Row],[Date]])</f>
        <v>29</v>
      </c>
      <c r="F555" s="5">
        <f>YEAR(Table1[[#This Row],[Date]])</f>
        <v>2021</v>
      </c>
      <c r="G555">
        <v>36</v>
      </c>
      <c r="L555" s="5">
        <v>144</v>
      </c>
      <c r="M555" s="6">
        <v>0.96640000000000004</v>
      </c>
      <c r="N555" s="5">
        <v>5</v>
      </c>
      <c r="O555" s="7">
        <v>1.9675925925925926E-4</v>
      </c>
      <c r="P555" s="7">
        <v>1.8402777777777777E-3</v>
      </c>
      <c r="Q555" s="7">
        <v>1.4120370370370369E-3</v>
      </c>
      <c r="R555" s="6">
        <v>0.8276</v>
      </c>
      <c r="S555" s="8">
        <f>CONVERT(Table1[[#This Row],[Talk Duration (AVG)]]*Table1[[#This Row],[Answered Calls]],"day","hr")</f>
        <v>6.36</v>
      </c>
      <c r="T555" s="9">
        <f>Table1[[#This Row],[Actual Workload hours]]*60</f>
        <v>381.6</v>
      </c>
      <c r="U555" s="9">
        <f>CONVERT(Table1[[#This Row],[Actual]]*Table1[[#This Row],[Talk Duration (AVG)]],"day","hr")</f>
        <v>1.59</v>
      </c>
      <c r="V555" s="10">
        <f>Table1[[#This Row],[Required Workload Hours]]*60</f>
        <v>95.4</v>
      </c>
      <c r="W555" s="9">
        <v>1</v>
      </c>
      <c r="X555" s="9">
        <f t="shared" si="16"/>
        <v>1</v>
      </c>
      <c r="Y555" s="5">
        <f t="shared" si="17"/>
        <v>2</v>
      </c>
      <c r="Z555" s="8">
        <f>ROUNDUP(Table1[[#This Row],[Actual Heacount]],0)</f>
        <v>1</v>
      </c>
      <c r="AA555" s="8"/>
      <c r="AB555" s="10"/>
      <c r="AC555" s="10"/>
      <c r="AD555" s="10"/>
      <c r="AE555" s="11">
        <v>-24.03294206688739</v>
      </c>
      <c r="AF555" s="11">
        <v>199.80686576961111</v>
      </c>
      <c r="AG555" t="s">
        <v>34</v>
      </c>
    </row>
    <row r="556" spans="1:33">
      <c r="A556" s="2">
        <v>44389</v>
      </c>
      <c r="B556" s="5" t="s">
        <v>35</v>
      </c>
      <c r="C556" s="5">
        <f>WEEKDAY(Table1[[#This Row],[Date]])</f>
        <v>2</v>
      </c>
      <c r="D556" s="5">
        <f>MONTH(Table1[[#This Row],[Date]])</f>
        <v>7</v>
      </c>
      <c r="E556" s="5">
        <f>WEEKNUM(Table1[[#This Row],[Date]])</f>
        <v>29</v>
      </c>
      <c r="F556" s="5">
        <f>YEAR(Table1[[#This Row],[Date]])</f>
        <v>2021</v>
      </c>
      <c r="G556">
        <v>313</v>
      </c>
      <c r="L556" s="5">
        <v>143</v>
      </c>
      <c r="M556" s="6">
        <v>0.92259999999999998</v>
      </c>
      <c r="N556" s="5">
        <v>12</v>
      </c>
      <c r="O556" s="7">
        <v>1.8518518518518518E-4</v>
      </c>
      <c r="P556" s="7">
        <v>1.8634259259259259E-3</v>
      </c>
      <c r="Q556" s="7">
        <v>4.4560185185185189E-3</v>
      </c>
      <c r="R556" s="6">
        <v>0.8014</v>
      </c>
      <c r="S556" s="8">
        <f>CONVERT(Table1[[#This Row],[Talk Duration (AVG)]]*Table1[[#This Row],[Answered Calls]],"day","hr")</f>
        <v>6.3952777777777774</v>
      </c>
      <c r="T556" s="9">
        <f>Table1[[#This Row],[Actual Workload hours]]*60</f>
        <v>383.71666666666664</v>
      </c>
      <c r="U556" s="9">
        <f>CONVERT(Table1[[#This Row],[Actual]]*Table1[[#This Row],[Talk Duration (AVG)]],"day","hr")</f>
        <v>13.998055555555554</v>
      </c>
      <c r="V556" s="10">
        <f>Table1[[#This Row],[Required Workload Hours]]*60</f>
        <v>839.88333333333321</v>
      </c>
      <c r="W556" s="9">
        <v>1</v>
      </c>
      <c r="X556" s="9">
        <f t="shared" si="16"/>
        <v>2.1871961805555551</v>
      </c>
      <c r="Y556" s="5">
        <f t="shared" si="17"/>
        <v>2</v>
      </c>
      <c r="Z556" s="8">
        <f>ROUNDUP(Table1[[#This Row],[Actual Heacount]],0)</f>
        <v>1</v>
      </c>
      <c r="AA556" s="8"/>
      <c r="AB556" s="10"/>
      <c r="AC556" s="10"/>
      <c r="AD556" s="10"/>
      <c r="AE556" s="11">
        <v>79.39442493949106</v>
      </c>
      <c r="AF556" s="11">
        <v>292.81378277185308</v>
      </c>
      <c r="AG556" t="s">
        <v>34</v>
      </c>
    </row>
    <row r="557" spans="1:33">
      <c r="A557" s="2">
        <v>44390</v>
      </c>
      <c r="B557" s="5" t="s">
        <v>36</v>
      </c>
      <c r="C557" s="5">
        <f>WEEKDAY(Table1[[#This Row],[Date]])</f>
        <v>3</v>
      </c>
      <c r="D557" s="5">
        <f>MONTH(Table1[[#This Row],[Date]])</f>
        <v>7</v>
      </c>
      <c r="E557" s="5">
        <f>WEEKNUM(Table1[[#This Row],[Date]])</f>
        <v>29</v>
      </c>
      <c r="F557" s="5">
        <f>YEAR(Table1[[#This Row],[Date]])</f>
        <v>2021</v>
      </c>
      <c r="G557">
        <v>163</v>
      </c>
      <c r="L557" s="5">
        <v>121</v>
      </c>
      <c r="M557" s="6">
        <v>0.94530000000000003</v>
      </c>
      <c r="N557" s="5">
        <v>7</v>
      </c>
      <c r="O557" s="7">
        <v>2.199074074074074E-4</v>
      </c>
      <c r="P557" s="7">
        <v>2.0254629629629629E-3</v>
      </c>
      <c r="Q557" s="7">
        <v>3.1828703703703702E-3</v>
      </c>
      <c r="R557" s="6">
        <v>0.77780000000000005</v>
      </c>
      <c r="S557" s="8">
        <f>CONVERT(Table1[[#This Row],[Talk Duration (AVG)]]*Table1[[#This Row],[Answered Calls]],"day","hr")</f>
        <v>5.8819444444444446</v>
      </c>
      <c r="T557" s="9">
        <f>Table1[[#This Row],[Actual Workload hours]]*60</f>
        <v>352.91666666666669</v>
      </c>
      <c r="U557" s="9">
        <f>CONVERT(Table1[[#This Row],[Actual]]*Table1[[#This Row],[Talk Duration (AVG)]],"day","hr")</f>
        <v>7.9236111111111107</v>
      </c>
      <c r="V557" s="10">
        <f>Table1[[#This Row],[Required Workload Hours]]*60</f>
        <v>475.41666666666663</v>
      </c>
      <c r="W557" s="9">
        <v>1</v>
      </c>
      <c r="X557" s="9">
        <f t="shared" si="16"/>
        <v>1.2380642361111109</v>
      </c>
      <c r="Y557" s="5">
        <f t="shared" si="17"/>
        <v>2</v>
      </c>
      <c r="Z557" s="8">
        <f>ROUNDUP(Table1[[#This Row],[Actual Heacount]],0)</f>
        <v>1</v>
      </c>
      <c r="AA557" s="8"/>
      <c r="AB557" s="10"/>
      <c r="AC557" s="10"/>
      <c r="AD557" s="10"/>
      <c r="AE557" s="11">
        <v>56.350240856037352</v>
      </c>
      <c r="AF557" s="11">
        <v>276.73020645118532</v>
      </c>
      <c r="AG557" t="s">
        <v>34</v>
      </c>
    </row>
    <row r="558" spans="1:33">
      <c r="A558" s="2">
        <v>44391</v>
      </c>
      <c r="B558" s="5" t="s">
        <v>37</v>
      </c>
      <c r="C558" s="5">
        <f>WEEKDAY(Table1[[#This Row],[Date]])</f>
        <v>4</v>
      </c>
      <c r="D558" s="5">
        <f>MONTH(Table1[[#This Row],[Date]])</f>
        <v>7</v>
      </c>
      <c r="E558" s="5">
        <f>WEEKNUM(Table1[[#This Row],[Date]])</f>
        <v>29</v>
      </c>
      <c r="F558" s="5">
        <f>YEAR(Table1[[#This Row],[Date]])</f>
        <v>2021</v>
      </c>
      <c r="G558">
        <v>160</v>
      </c>
      <c r="L558" s="5">
        <v>125</v>
      </c>
      <c r="M558" s="6">
        <v>0.93279999999999996</v>
      </c>
      <c r="N558" s="5">
        <v>9</v>
      </c>
      <c r="O558" s="7">
        <v>2.4305555555555555E-4</v>
      </c>
      <c r="P558" s="7">
        <v>1.8287037037037037E-3</v>
      </c>
      <c r="Q558" s="7">
        <v>2.2916666666666667E-3</v>
      </c>
      <c r="R558" s="6">
        <v>0.72519999999999996</v>
      </c>
      <c r="S558" s="8">
        <f>CONVERT(Table1[[#This Row],[Talk Duration (AVG)]]*Table1[[#This Row],[Answered Calls]],"day","hr")</f>
        <v>5.4861111111111107</v>
      </c>
      <c r="T558" s="9">
        <f>Table1[[#This Row],[Actual Workload hours]]*60</f>
        <v>329.16666666666663</v>
      </c>
      <c r="U558" s="9">
        <f>CONVERT(Table1[[#This Row],[Actual]]*Table1[[#This Row],[Talk Duration (AVG)]],"day","hr")</f>
        <v>7.0222222222222213</v>
      </c>
      <c r="V558" s="10">
        <f>Table1[[#This Row],[Required Workload Hours]]*60</f>
        <v>421.33333333333326</v>
      </c>
      <c r="W558" s="9">
        <v>1</v>
      </c>
      <c r="X558" s="9">
        <f t="shared" si="16"/>
        <v>1.0972222222222221</v>
      </c>
      <c r="Y558" s="5">
        <f t="shared" si="17"/>
        <v>2</v>
      </c>
      <c r="Z558" s="8">
        <f>ROUNDUP(Table1[[#This Row],[Actual Heacount]],0)</f>
        <v>1</v>
      </c>
      <c r="AA558" s="8"/>
      <c r="AB558" s="10"/>
      <c r="AC558" s="10"/>
      <c r="AD558" s="10"/>
      <c r="AE558" s="11">
        <v>70.61966757466152</v>
      </c>
      <c r="AF558" s="11">
        <v>294.45207213485662</v>
      </c>
      <c r="AG558" t="s">
        <v>34</v>
      </c>
    </row>
    <row r="559" spans="1:33">
      <c r="A559" s="2">
        <v>44392</v>
      </c>
      <c r="B559" s="5" t="s">
        <v>38</v>
      </c>
      <c r="C559" s="5">
        <f>WEEKDAY(Table1[[#This Row],[Date]])</f>
        <v>5</v>
      </c>
      <c r="D559" s="5">
        <f>MONTH(Table1[[#This Row],[Date]])</f>
        <v>7</v>
      </c>
      <c r="E559" s="5">
        <f>WEEKNUM(Table1[[#This Row],[Date]])</f>
        <v>29</v>
      </c>
      <c r="F559" s="5">
        <f>YEAR(Table1[[#This Row],[Date]])</f>
        <v>2021</v>
      </c>
      <c r="G559">
        <v>132</v>
      </c>
      <c r="L559" s="5">
        <v>21</v>
      </c>
      <c r="M559" s="6">
        <v>1</v>
      </c>
      <c r="N559" s="5">
        <v>0</v>
      </c>
      <c r="O559" s="7">
        <v>2.6620370370370372E-4</v>
      </c>
      <c r="P559" s="7">
        <v>1.8171296296296297E-3</v>
      </c>
      <c r="Q559" s="7">
        <v>1.9675925925925924E-3</v>
      </c>
      <c r="R559" s="6">
        <v>0.76190000000000002</v>
      </c>
      <c r="S559" s="8">
        <f>CONVERT(Table1[[#This Row],[Talk Duration (AVG)]]*Table1[[#This Row],[Answered Calls]],"day","hr")</f>
        <v>0.9158333333333335</v>
      </c>
      <c r="T559" s="9">
        <f>Table1[[#This Row],[Actual Workload hours]]*60</f>
        <v>54.95000000000001</v>
      </c>
      <c r="U559" s="9">
        <f>CONVERT(Table1[[#This Row],[Actual]]*Table1[[#This Row],[Talk Duration (AVG)]],"day","hr")</f>
        <v>5.7566666666666668</v>
      </c>
      <c r="V559" s="10">
        <f>Table1[[#This Row],[Required Workload Hours]]*60</f>
        <v>345.40000000000003</v>
      </c>
      <c r="W559" s="9">
        <v>1</v>
      </c>
      <c r="X559" s="9">
        <f t="shared" si="16"/>
        <v>1</v>
      </c>
      <c r="Y559" s="5">
        <f t="shared" si="17"/>
        <v>1</v>
      </c>
      <c r="Z559" s="8">
        <f>ROUNDUP(Table1[[#This Row],[Actual Heacount]],0)</f>
        <v>1</v>
      </c>
      <c r="AA559" s="8"/>
      <c r="AB559" s="10"/>
      <c r="AC559" s="10"/>
      <c r="AD559" s="10"/>
      <c r="AE559" s="11">
        <v>61.156788121744107</v>
      </c>
      <c r="AF559" s="11">
        <v>284.84788570732701</v>
      </c>
      <c r="AG559" t="s">
        <v>34</v>
      </c>
    </row>
    <row r="560" spans="1:33">
      <c r="A560" s="2">
        <v>44393</v>
      </c>
      <c r="B560" s="5" t="s">
        <v>39</v>
      </c>
      <c r="C560" s="5">
        <f>WEEKDAY(Table1[[#This Row],[Date]])</f>
        <v>6</v>
      </c>
      <c r="D560" s="5">
        <f>MONTH(Table1[[#This Row],[Date]])</f>
        <v>7</v>
      </c>
      <c r="E560" s="5">
        <f>WEEKNUM(Table1[[#This Row],[Date]])</f>
        <v>29</v>
      </c>
      <c r="F560" s="5">
        <f>YEAR(Table1[[#This Row],[Date]])</f>
        <v>2021</v>
      </c>
      <c r="G560">
        <v>131</v>
      </c>
      <c r="L560" s="5">
        <v>138</v>
      </c>
      <c r="M560" s="6">
        <v>0.92</v>
      </c>
      <c r="N560" s="5">
        <v>12</v>
      </c>
      <c r="O560" s="7">
        <v>3.4722222222222224E-4</v>
      </c>
      <c r="P560" s="7">
        <v>1.9907407407407408E-3</v>
      </c>
      <c r="Q560" s="7">
        <v>2.9629629629629628E-3</v>
      </c>
      <c r="R560" s="6">
        <v>0.5867</v>
      </c>
      <c r="S560" s="8">
        <f>CONVERT(Table1[[#This Row],[Talk Duration (AVG)]]*Table1[[#This Row],[Answered Calls]],"day","hr")</f>
        <v>6.5933333333333346</v>
      </c>
      <c r="T560" s="9">
        <f>Table1[[#This Row],[Actual Workload hours]]*60</f>
        <v>395.60000000000008</v>
      </c>
      <c r="U560" s="9">
        <f>CONVERT(Table1[[#This Row],[Actual]]*Table1[[#This Row],[Talk Duration (AVG)]],"day","hr")</f>
        <v>6.2588888888888885</v>
      </c>
      <c r="V560" s="10">
        <f>Table1[[#This Row],[Required Workload Hours]]*60</f>
        <v>375.5333333333333</v>
      </c>
      <c r="W560" s="9">
        <v>1.03</v>
      </c>
      <c r="X560" s="9">
        <f t="shared" si="16"/>
        <v>1</v>
      </c>
      <c r="Y560" s="5">
        <f t="shared" si="17"/>
        <v>2</v>
      </c>
      <c r="Z560" s="8">
        <f>ROUNDUP(Table1[[#This Row],[Actual Heacount]],0)</f>
        <v>2</v>
      </c>
      <c r="AA560" s="8"/>
      <c r="AB560" s="10"/>
      <c r="AC560" s="10"/>
      <c r="AD560" s="10"/>
      <c r="AE560" s="11">
        <v>62.596882843979451</v>
      </c>
      <c r="AF560" s="11">
        <v>279.07629255455481</v>
      </c>
      <c r="AG560" t="s">
        <v>34</v>
      </c>
    </row>
    <row r="561" spans="1:33">
      <c r="A561" s="2">
        <v>44394</v>
      </c>
      <c r="B561" s="5" t="s">
        <v>40</v>
      </c>
      <c r="C561" s="5">
        <f>WEEKDAY(Table1[[#This Row],[Date]])</f>
        <v>7</v>
      </c>
      <c r="D561" s="5">
        <f>MONTH(Table1[[#This Row],[Date]])</f>
        <v>7</v>
      </c>
      <c r="E561" s="5">
        <f>WEEKNUM(Table1[[#This Row],[Date]])</f>
        <v>29</v>
      </c>
      <c r="F561" s="5">
        <f>YEAR(Table1[[#This Row],[Date]])</f>
        <v>2021</v>
      </c>
      <c r="G561">
        <v>158</v>
      </c>
      <c r="L561" s="5">
        <v>158</v>
      </c>
      <c r="M561" s="6">
        <v>0.96930000000000005</v>
      </c>
      <c r="N561" s="5">
        <v>5</v>
      </c>
      <c r="O561" s="7">
        <v>1.6203703703703703E-4</v>
      </c>
      <c r="P561" s="7">
        <v>1.712962962962963E-3</v>
      </c>
      <c r="Q561" s="7">
        <v>1.4004629629629629E-3</v>
      </c>
      <c r="R561" s="6">
        <v>0.81989999999999996</v>
      </c>
      <c r="S561" s="8">
        <f>CONVERT(Table1[[#This Row],[Talk Duration (AVG)]]*Table1[[#This Row],[Answered Calls]],"day","hr")</f>
        <v>6.4955555555555557</v>
      </c>
      <c r="T561" s="9">
        <f>Table1[[#This Row],[Actual Workload hours]]*60</f>
        <v>389.73333333333335</v>
      </c>
      <c r="U561" s="9">
        <f>CONVERT(Table1[[#This Row],[Actual]]*Table1[[#This Row],[Talk Duration (AVG)]],"day","hr")</f>
        <v>6.4955555555555557</v>
      </c>
      <c r="V561" s="10">
        <f>Table1[[#This Row],[Required Workload Hours]]*60</f>
        <v>389.73333333333335</v>
      </c>
      <c r="W561" s="9">
        <v>1.01</v>
      </c>
      <c r="X561" s="9">
        <f t="shared" si="16"/>
        <v>1.0149305555555557</v>
      </c>
      <c r="Y561" s="5">
        <f t="shared" si="17"/>
        <v>2</v>
      </c>
      <c r="Z561" s="8">
        <f>ROUNDUP(Table1[[#This Row],[Actual Heacount]],0)</f>
        <v>2</v>
      </c>
      <c r="AA561" s="8"/>
      <c r="AB561" s="10"/>
      <c r="AC561" s="10"/>
      <c r="AD561" s="10"/>
      <c r="AE561" s="11">
        <v>58.636429140538922</v>
      </c>
      <c r="AF561" s="11">
        <v>282.49623244845401</v>
      </c>
      <c r="AG561" t="s">
        <v>34</v>
      </c>
    </row>
    <row r="562" spans="1:33">
      <c r="A562" s="2">
        <v>44395</v>
      </c>
      <c r="B562" s="5" t="s">
        <v>33</v>
      </c>
      <c r="C562" s="5">
        <f>WEEKDAY(Table1[[#This Row],[Date]])</f>
        <v>1</v>
      </c>
      <c r="D562" s="5">
        <f>MONTH(Table1[[#This Row],[Date]])</f>
        <v>7</v>
      </c>
      <c r="E562" s="5">
        <f>WEEKNUM(Table1[[#This Row],[Date]])</f>
        <v>30</v>
      </c>
      <c r="F562" s="5">
        <f>YEAR(Table1[[#This Row],[Date]])</f>
        <v>2021</v>
      </c>
      <c r="G562">
        <v>19</v>
      </c>
      <c r="L562" s="5">
        <v>151</v>
      </c>
      <c r="M562" s="6">
        <v>0.94379999999999997</v>
      </c>
      <c r="N562" s="5">
        <v>9</v>
      </c>
      <c r="O562" s="7">
        <v>1.3888888888888889E-4</v>
      </c>
      <c r="P562" s="7">
        <v>1.8402777777777777E-3</v>
      </c>
      <c r="Q562" s="7">
        <v>2.0486111111111113E-3</v>
      </c>
      <c r="R562" s="6">
        <v>0.87180000000000002</v>
      </c>
      <c r="S562" s="8">
        <f>CONVERT(Table1[[#This Row],[Talk Duration (AVG)]]*Table1[[#This Row],[Answered Calls]],"day","hr")</f>
        <v>6.6691666666666656</v>
      </c>
      <c r="T562" s="9">
        <f>Table1[[#This Row],[Actual Workload hours]]*60</f>
        <v>400.14999999999992</v>
      </c>
      <c r="U562" s="9">
        <f>CONVERT(Table1[[#This Row],[Actual]]*Table1[[#This Row],[Talk Duration (AVG)]],"day","hr")</f>
        <v>0.83916666666666662</v>
      </c>
      <c r="V562" s="10">
        <f>Table1[[#This Row],[Required Workload Hours]]*60</f>
        <v>50.349999999999994</v>
      </c>
      <c r="W562" s="9">
        <v>1.04</v>
      </c>
      <c r="X562" s="9">
        <f t="shared" si="16"/>
        <v>1</v>
      </c>
      <c r="Y562" s="5">
        <f t="shared" si="17"/>
        <v>2</v>
      </c>
      <c r="Z562" s="8">
        <f>ROUNDUP(Table1[[#This Row],[Actual Heacount]],0)</f>
        <v>2</v>
      </c>
      <c r="AA562" s="8"/>
      <c r="AB562" s="10"/>
      <c r="AC562" s="10"/>
      <c r="AD562" s="10"/>
      <c r="AE562" s="11">
        <v>-20.253991995635889</v>
      </c>
      <c r="AF562" s="11">
        <v>194.1088204723039</v>
      </c>
      <c r="AG562" t="s">
        <v>34</v>
      </c>
    </row>
    <row r="563" spans="1:33">
      <c r="A563" s="2">
        <v>44396</v>
      </c>
      <c r="B563" s="5" t="s">
        <v>35</v>
      </c>
      <c r="C563" s="5">
        <f>WEEKDAY(Table1[[#This Row],[Date]])</f>
        <v>2</v>
      </c>
      <c r="D563" s="5">
        <f>MONTH(Table1[[#This Row],[Date]])</f>
        <v>7</v>
      </c>
      <c r="E563" s="5">
        <f>WEEKNUM(Table1[[#This Row],[Date]])</f>
        <v>30</v>
      </c>
      <c r="F563" s="5">
        <f>YEAR(Table1[[#This Row],[Date]])</f>
        <v>2021</v>
      </c>
      <c r="G563">
        <v>151</v>
      </c>
      <c r="L563" s="5">
        <v>125</v>
      </c>
      <c r="M563" s="6">
        <v>0.94699999999999995</v>
      </c>
      <c r="N563" s="5">
        <v>7</v>
      </c>
      <c r="O563" s="7">
        <v>3.4722222222222224E-4</v>
      </c>
      <c r="P563" s="7">
        <v>1.9212962962962964E-3</v>
      </c>
      <c r="Q563" s="7">
        <v>2.627314814814815E-3</v>
      </c>
      <c r="R563" s="6">
        <v>0.6462</v>
      </c>
      <c r="S563" s="8">
        <f>CONVERT(Table1[[#This Row],[Talk Duration (AVG)]]*Table1[[#This Row],[Answered Calls]],"day","hr")</f>
        <v>5.7638888888888893</v>
      </c>
      <c r="T563" s="9">
        <f>Table1[[#This Row],[Actual Workload hours]]*60</f>
        <v>345.83333333333337</v>
      </c>
      <c r="U563" s="9">
        <f>CONVERT(Table1[[#This Row],[Actual]]*Table1[[#This Row],[Talk Duration (AVG)]],"day","hr")</f>
        <v>6.9627777777777782</v>
      </c>
      <c r="V563" s="10">
        <f>Table1[[#This Row],[Required Workload Hours]]*60</f>
        <v>417.76666666666671</v>
      </c>
      <c r="W563" s="9">
        <v>1</v>
      </c>
      <c r="X563" s="9">
        <f t="shared" si="16"/>
        <v>1.0879340277777778</v>
      </c>
      <c r="Y563" s="5">
        <f t="shared" si="17"/>
        <v>2</v>
      </c>
      <c r="Z563" s="8">
        <f>ROUNDUP(Table1[[#This Row],[Actual Heacount]],0)</f>
        <v>1</v>
      </c>
      <c r="AA563" s="8"/>
      <c r="AB563" s="10"/>
      <c r="AC563" s="10"/>
      <c r="AD563" s="10"/>
      <c r="AE563" s="11">
        <v>69.119533857349552</v>
      </c>
      <c r="AF563" s="11">
        <v>300.21514717433439</v>
      </c>
      <c r="AG563" t="s">
        <v>34</v>
      </c>
    </row>
    <row r="564" spans="1:33">
      <c r="A564" s="2">
        <v>44397</v>
      </c>
      <c r="B564" s="5" t="s">
        <v>36</v>
      </c>
      <c r="C564" s="5">
        <f>WEEKDAY(Table1[[#This Row],[Date]])</f>
        <v>3</v>
      </c>
      <c r="D564" s="5">
        <f>MONTH(Table1[[#This Row],[Date]])</f>
        <v>7</v>
      </c>
      <c r="E564" s="5">
        <f>WEEKNUM(Table1[[#This Row],[Date]])</f>
        <v>30</v>
      </c>
      <c r="F564" s="5">
        <f>YEAR(Table1[[#This Row],[Date]])</f>
        <v>2021</v>
      </c>
      <c r="G564">
        <v>139</v>
      </c>
      <c r="L564" s="5">
        <v>126</v>
      </c>
      <c r="M564" s="6">
        <v>0.96179999999999999</v>
      </c>
      <c r="N564" s="5">
        <v>5</v>
      </c>
      <c r="O564" s="7">
        <v>1.9675925925925926E-4</v>
      </c>
      <c r="P564" s="7">
        <v>1.9328703703703704E-3</v>
      </c>
      <c r="Q564" s="7">
        <v>1.7939814814814815E-3</v>
      </c>
      <c r="R564" s="6">
        <v>0.78290000000000004</v>
      </c>
      <c r="S564" s="8">
        <f>CONVERT(Table1[[#This Row],[Talk Duration (AVG)]]*Table1[[#This Row],[Answered Calls]],"day","hr")</f>
        <v>5.8449999999999998</v>
      </c>
      <c r="T564" s="9">
        <f>Table1[[#This Row],[Actual Workload hours]]*60</f>
        <v>350.7</v>
      </c>
      <c r="U564" s="9">
        <f>CONVERT(Table1[[#This Row],[Actual]]*Table1[[#This Row],[Talk Duration (AVG)]],"day","hr")</f>
        <v>6.4480555555555554</v>
      </c>
      <c r="V564" s="10">
        <f>Table1[[#This Row],[Required Workload Hours]]*60</f>
        <v>386.88333333333333</v>
      </c>
      <c r="W564" s="9">
        <v>1</v>
      </c>
      <c r="X564" s="9">
        <f t="shared" si="16"/>
        <v>1.0075086805555555</v>
      </c>
      <c r="Y564" s="5">
        <f t="shared" si="17"/>
        <v>2</v>
      </c>
      <c r="Z564" s="8">
        <f>ROUNDUP(Table1[[#This Row],[Actual Heacount]],0)</f>
        <v>1</v>
      </c>
      <c r="AA564" s="8"/>
      <c r="AB564" s="10"/>
      <c r="AC564" s="10"/>
      <c r="AD564" s="10"/>
      <c r="AE564" s="11">
        <v>51.13402986803731</v>
      </c>
      <c r="AF564" s="11">
        <v>284.21218973152531</v>
      </c>
      <c r="AG564" t="s">
        <v>34</v>
      </c>
    </row>
    <row r="565" spans="1:33">
      <c r="A565" s="2">
        <v>44398</v>
      </c>
      <c r="B565" s="5" t="s">
        <v>37</v>
      </c>
      <c r="C565" s="5">
        <f>WEEKDAY(Table1[[#This Row],[Date]])</f>
        <v>4</v>
      </c>
      <c r="D565" s="5">
        <f>MONTH(Table1[[#This Row],[Date]])</f>
        <v>7</v>
      </c>
      <c r="E565" s="5">
        <f>WEEKNUM(Table1[[#This Row],[Date]])</f>
        <v>30</v>
      </c>
      <c r="F565" s="5">
        <f>YEAR(Table1[[#This Row],[Date]])</f>
        <v>2021</v>
      </c>
      <c r="G565">
        <v>166</v>
      </c>
      <c r="L565" s="5">
        <v>146</v>
      </c>
      <c r="M565" s="6">
        <v>0.92410000000000003</v>
      </c>
      <c r="N565" s="5">
        <v>12</v>
      </c>
      <c r="O565" s="7">
        <v>2.4305555555555555E-4</v>
      </c>
      <c r="P565" s="7">
        <v>1.8749999999999999E-3</v>
      </c>
      <c r="Q565" s="7">
        <v>2.5462962962962965E-3</v>
      </c>
      <c r="R565" s="6">
        <v>0.75319999999999998</v>
      </c>
      <c r="S565" s="8">
        <f>CONVERT(Table1[[#This Row],[Talk Duration (AVG)]]*Table1[[#This Row],[Answered Calls]],"day","hr")</f>
        <v>6.57</v>
      </c>
      <c r="T565" s="9">
        <f>Table1[[#This Row],[Actual Workload hours]]*60</f>
        <v>394.20000000000005</v>
      </c>
      <c r="U565" s="9">
        <f>CONVERT(Table1[[#This Row],[Actual]]*Table1[[#This Row],[Talk Duration (AVG)]],"day","hr")</f>
        <v>7.4699999999999989</v>
      </c>
      <c r="V565" s="10">
        <f>Table1[[#This Row],[Required Workload Hours]]*60</f>
        <v>448.19999999999993</v>
      </c>
      <c r="W565" s="9">
        <v>1.03</v>
      </c>
      <c r="X565" s="9">
        <f t="shared" si="16"/>
        <v>1.1671874999999998</v>
      </c>
      <c r="Y565" s="5">
        <f t="shared" si="17"/>
        <v>2</v>
      </c>
      <c r="Z565" s="8">
        <f>ROUNDUP(Table1[[#This Row],[Actual Heacount]],0)</f>
        <v>2</v>
      </c>
      <c r="AA565" s="8"/>
      <c r="AB565" s="10"/>
      <c r="AC565" s="10"/>
      <c r="AD565" s="10"/>
      <c r="AE565" s="11">
        <v>67.709500777565182</v>
      </c>
      <c r="AF565" s="11">
        <v>285.43649245539098</v>
      </c>
      <c r="AG565" t="s">
        <v>34</v>
      </c>
    </row>
    <row r="566" spans="1:33">
      <c r="A566" s="2">
        <v>44399</v>
      </c>
      <c r="B566" s="5" t="s">
        <v>38</v>
      </c>
      <c r="C566" s="5">
        <f>WEEKDAY(Table1[[#This Row],[Date]])</f>
        <v>5</v>
      </c>
      <c r="D566" s="5">
        <f>MONTH(Table1[[#This Row],[Date]])</f>
        <v>7</v>
      </c>
      <c r="E566" s="5">
        <f>WEEKNUM(Table1[[#This Row],[Date]])</f>
        <v>30</v>
      </c>
      <c r="F566" s="5">
        <f>YEAR(Table1[[#This Row],[Date]])</f>
        <v>2021</v>
      </c>
      <c r="G566">
        <v>258</v>
      </c>
      <c r="L566" s="5">
        <v>16</v>
      </c>
      <c r="M566" s="6">
        <v>0.84209999999999996</v>
      </c>
      <c r="N566" s="5">
        <v>3</v>
      </c>
      <c r="O566" s="7">
        <v>5.9027777777777778E-4</v>
      </c>
      <c r="P566" s="7">
        <v>1.9212962962962964E-3</v>
      </c>
      <c r="Q566" s="7">
        <v>2.9398148148148148E-3</v>
      </c>
      <c r="R566" s="6">
        <v>0.47370000000000001</v>
      </c>
      <c r="S566" s="8">
        <f>CONVERT(Table1[[#This Row],[Talk Duration (AVG)]]*Table1[[#This Row],[Answered Calls]],"day","hr")</f>
        <v>0.73777777777777775</v>
      </c>
      <c r="T566" s="9">
        <f>Table1[[#This Row],[Actual Workload hours]]*60</f>
        <v>44.266666666666666</v>
      </c>
      <c r="U566" s="9">
        <f>CONVERT(Table1[[#This Row],[Actual]]*Table1[[#This Row],[Talk Duration (AVG)]],"day","hr")</f>
        <v>11.896666666666668</v>
      </c>
      <c r="V566" s="10">
        <f>Table1[[#This Row],[Required Workload Hours]]*60</f>
        <v>713.80000000000007</v>
      </c>
      <c r="W566" s="9">
        <v>1</v>
      </c>
      <c r="X566" s="9">
        <f t="shared" si="16"/>
        <v>1.8588541666666669</v>
      </c>
      <c r="Y566" s="5">
        <f t="shared" si="17"/>
        <v>1</v>
      </c>
      <c r="Z566" s="8">
        <f>ROUNDUP(Table1[[#This Row],[Actual Heacount]],0)</f>
        <v>1</v>
      </c>
      <c r="AA566" s="8"/>
      <c r="AB566" s="10"/>
      <c r="AC566" s="10"/>
      <c r="AD566" s="10"/>
      <c r="AE566" s="11">
        <v>67.483768810533064</v>
      </c>
      <c r="AF566" s="11">
        <v>281.52204734459281</v>
      </c>
      <c r="AG566" t="s">
        <v>34</v>
      </c>
    </row>
    <row r="567" spans="1:33">
      <c r="A567" s="2">
        <v>44400</v>
      </c>
      <c r="B567" s="5" t="s">
        <v>39</v>
      </c>
      <c r="C567" s="5">
        <f>WEEKDAY(Table1[[#This Row],[Date]])</f>
        <v>6</v>
      </c>
      <c r="D567" s="5">
        <f>MONTH(Table1[[#This Row],[Date]])</f>
        <v>7</v>
      </c>
      <c r="E567" s="5">
        <f>WEEKNUM(Table1[[#This Row],[Date]])</f>
        <v>30</v>
      </c>
      <c r="F567" s="5">
        <f>YEAR(Table1[[#This Row],[Date]])</f>
        <v>2021</v>
      </c>
      <c r="G567">
        <v>203</v>
      </c>
      <c r="L567" s="5">
        <v>128</v>
      </c>
      <c r="M567" s="6">
        <v>0.84770000000000001</v>
      </c>
      <c r="N567" s="5">
        <v>23</v>
      </c>
      <c r="O567" s="7">
        <v>6.018518518518519E-4</v>
      </c>
      <c r="P567" s="7">
        <v>1.736111111111111E-3</v>
      </c>
      <c r="Q567" s="7">
        <v>3.9120370370370368E-3</v>
      </c>
      <c r="R567" s="6">
        <v>0.37930000000000003</v>
      </c>
      <c r="S567" s="8">
        <f>CONVERT(Table1[[#This Row],[Talk Duration (AVG)]]*Table1[[#This Row],[Answered Calls]],"day","hr")</f>
        <v>5.333333333333333</v>
      </c>
      <c r="T567" s="9">
        <f>Table1[[#This Row],[Actual Workload hours]]*60</f>
        <v>320</v>
      </c>
      <c r="U567" s="9">
        <f>CONVERT(Table1[[#This Row],[Actual]]*Table1[[#This Row],[Talk Duration (AVG)]],"day","hr")</f>
        <v>8.4583333333333321</v>
      </c>
      <c r="V567" s="10">
        <f>Table1[[#This Row],[Required Workload Hours]]*60</f>
        <v>507.49999999999994</v>
      </c>
      <c r="W567" s="9">
        <v>1</v>
      </c>
      <c r="X567" s="9">
        <f t="shared" si="16"/>
        <v>1.3216145833333333</v>
      </c>
      <c r="Y567" s="5">
        <f t="shared" si="17"/>
        <v>2</v>
      </c>
      <c r="Z567" s="8">
        <f>ROUNDUP(Table1[[#This Row],[Actual Heacount]],0)</f>
        <v>1</v>
      </c>
      <c r="AA567" s="8"/>
      <c r="AB567" s="10"/>
      <c r="AC567" s="10"/>
      <c r="AD567" s="10"/>
      <c r="AE567" s="11">
        <v>63.873027912351667</v>
      </c>
      <c r="AF567" s="11">
        <v>281.10665732917761</v>
      </c>
      <c r="AG567" t="s">
        <v>34</v>
      </c>
    </row>
    <row r="568" spans="1:33">
      <c r="A568" s="2">
        <v>44401</v>
      </c>
      <c r="B568" s="5" t="s">
        <v>40</v>
      </c>
      <c r="C568" s="5">
        <f>WEEKDAY(Table1[[#This Row],[Date]])</f>
        <v>7</v>
      </c>
      <c r="D568" s="5">
        <f>MONTH(Table1[[#This Row],[Date]])</f>
        <v>7</v>
      </c>
      <c r="E568" s="5">
        <f>WEEKNUM(Table1[[#This Row],[Date]])</f>
        <v>30</v>
      </c>
      <c r="F568" s="5">
        <f>YEAR(Table1[[#This Row],[Date]])</f>
        <v>2021</v>
      </c>
      <c r="G568">
        <v>182</v>
      </c>
      <c r="L568" s="5">
        <v>128</v>
      </c>
      <c r="M568" s="6">
        <v>0.92090000000000005</v>
      </c>
      <c r="N568" s="5">
        <v>11</v>
      </c>
      <c r="O568" s="7">
        <v>3.7037037037037035E-4</v>
      </c>
      <c r="P568" s="7">
        <v>1.8981481481481482E-3</v>
      </c>
      <c r="Q568" s="7">
        <v>2.476851851851852E-3</v>
      </c>
      <c r="R568" s="6">
        <v>0.51800000000000002</v>
      </c>
      <c r="S568" s="8">
        <f>CONVERT(Table1[[#This Row],[Talk Duration (AVG)]]*Table1[[#This Row],[Answered Calls]],"day","hr")</f>
        <v>5.8311111111111114</v>
      </c>
      <c r="T568" s="9">
        <f>Table1[[#This Row],[Actual Workload hours]]*60</f>
        <v>349.86666666666667</v>
      </c>
      <c r="U568" s="9">
        <f>CONVERT(Table1[[#This Row],[Actual]]*Table1[[#This Row],[Talk Duration (AVG)]],"day","hr")</f>
        <v>8.2911111111111104</v>
      </c>
      <c r="V568" s="10">
        <f>Table1[[#This Row],[Required Workload Hours]]*60</f>
        <v>497.46666666666664</v>
      </c>
      <c r="W568" s="9">
        <v>1</v>
      </c>
      <c r="X568" s="9">
        <f t="shared" si="16"/>
        <v>1.2954861111111111</v>
      </c>
      <c r="Y568" s="5">
        <f t="shared" si="17"/>
        <v>2</v>
      </c>
      <c r="Z568" s="8">
        <f>ROUNDUP(Table1[[#This Row],[Actual Heacount]],0)</f>
        <v>1</v>
      </c>
      <c r="AA568" s="8"/>
      <c r="AB568" s="10"/>
      <c r="AC568" s="10"/>
      <c r="AD568" s="10"/>
      <c r="AE568" s="11">
        <v>59.118568905382602</v>
      </c>
      <c r="AF568" s="11">
        <v>282.3295720331007</v>
      </c>
      <c r="AG568" t="s">
        <v>34</v>
      </c>
    </row>
    <row r="569" spans="1:33">
      <c r="A569" s="2">
        <v>44402</v>
      </c>
      <c r="B569" s="5" t="s">
        <v>33</v>
      </c>
      <c r="C569" s="5">
        <f>WEEKDAY(Table1[[#This Row],[Date]])</f>
        <v>1</v>
      </c>
      <c r="D569" s="5">
        <f>MONTH(Table1[[#This Row],[Date]])</f>
        <v>7</v>
      </c>
      <c r="E569" s="5">
        <f>WEEKNUM(Table1[[#This Row],[Date]])</f>
        <v>31</v>
      </c>
      <c r="F569" s="5">
        <f>YEAR(Table1[[#This Row],[Date]])</f>
        <v>2021</v>
      </c>
      <c r="G569">
        <v>18</v>
      </c>
      <c r="L569" s="5">
        <v>135</v>
      </c>
      <c r="M569" s="6">
        <v>0.81330000000000002</v>
      </c>
      <c r="N569" s="5">
        <v>31</v>
      </c>
      <c r="O569" s="7">
        <v>4.7453703703703704E-4</v>
      </c>
      <c r="P569" s="7">
        <v>1.8518518518518519E-3</v>
      </c>
      <c r="Q569" s="7">
        <v>3.5763888888888889E-3</v>
      </c>
      <c r="R569" s="6">
        <v>0.46500000000000002</v>
      </c>
      <c r="S569" s="8">
        <f>CONVERT(Table1[[#This Row],[Talk Duration (AVG)]]*Table1[[#This Row],[Answered Calls]],"day","hr")</f>
        <v>6</v>
      </c>
      <c r="T569" s="9">
        <f>Table1[[#This Row],[Actual Workload hours]]*60</f>
        <v>360</v>
      </c>
      <c r="U569" s="9">
        <f>CONVERT(Table1[[#This Row],[Actual]]*Table1[[#This Row],[Talk Duration (AVG)]],"day","hr")</f>
        <v>0.8</v>
      </c>
      <c r="V569" s="10">
        <f>Table1[[#This Row],[Required Workload Hours]]*60</f>
        <v>48</v>
      </c>
      <c r="W569" s="9">
        <v>1</v>
      </c>
      <c r="X569" s="9">
        <f t="shared" si="16"/>
        <v>1</v>
      </c>
      <c r="Y569" s="5">
        <f t="shared" si="17"/>
        <v>2</v>
      </c>
      <c r="Z569" s="8">
        <f>ROUNDUP(Table1[[#This Row],[Actual Heacount]],0)</f>
        <v>1</v>
      </c>
      <c r="AA569" s="8"/>
      <c r="AB569" s="10"/>
      <c r="AC569" s="10"/>
      <c r="AD569" s="10"/>
      <c r="AE569" s="11">
        <v>-36.253538161641252</v>
      </c>
      <c r="AF569" s="11">
        <v>190.9175759147667</v>
      </c>
      <c r="AG569" t="s">
        <v>34</v>
      </c>
    </row>
    <row r="570" spans="1:33">
      <c r="A570" s="2">
        <v>44403</v>
      </c>
      <c r="B570" s="5" t="s">
        <v>35</v>
      </c>
      <c r="C570" s="5">
        <f>WEEKDAY(Table1[[#This Row],[Date]])</f>
        <v>2</v>
      </c>
      <c r="D570" s="5">
        <f>MONTH(Table1[[#This Row],[Date]])</f>
        <v>7</v>
      </c>
      <c r="E570" s="5">
        <f>WEEKNUM(Table1[[#This Row],[Date]])</f>
        <v>31</v>
      </c>
      <c r="F570" s="5">
        <f>YEAR(Table1[[#This Row],[Date]])</f>
        <v>2021</v>
      </c>
      <c r="G570">
        <v>215</v>
      </c>
      <c r="L570" s="5">
        <v>196</v>
      </c>
      <c r="M570" s="6">
        <v>0.75970000000000004</v>
      </c>
      <c r="N570" s="5">
        <v>62</v>
      </c>
      <c r="O570" s="7">
        <v>8.1018518518518516E-4</v>
      </c>
      <c r="P570" s="7">
        <v>1.736111111111111E-3</v>
      </c>
      <c r="Q570" s="7">
        <v>5.4513888888888893E-3</v>
      </c>
      <c r="R570" s="6">
        <v>0.2429</v>
      </c>
      <c r="S570" s="8">
        <f>CONVERT(Table1[[#This Row],[Talk Duration (AVG)]]*Table1[[#This Row],[Answered Calls]],"day","hr")</f>
        <v>8.1666666666666661</v>
      </c>
      <c r="T570" s="9">
        <f>Table1[[#This Row],[Actual Workload hours]]*60</f>
        <v>489.99999999999994</v>
      </c>
      <c r="U570" s="9">
        <f>CONVERT(Table1[[#This Row],[Actual]]*Table1[[#This Row],[Talk Duration (AVG)]],"day","hr")</f>
        <v>8.9583333333333339</v>
      </c>
      <c r="V570" s="10">
        <f>Table1[[#This Row],[Required Workload Hours]]*60</f>
        <v>537.5</v>
      </c>
      <c r="W570" s="9">
        <v>1.28</v>
      </c>
      <c r="X570" s="9">
        <f t="shared" si="16"/>
        <v>1.3997395833333333</v>
      </c>
      <c r="Y570" s="5">
        <f t="shared" si="17"/>
        <v>2</v>
      </c>
      <c r="Z570" s="8">
        <f>ROUNDUP(Table1[[#This Row],[Actual Heacount]],0)</f>
        <v>2</v>
      </c>
      <c r="AA570" s="8"/>
      <c r="AB570" s="10"/>
      <c r="AC570" s="10"/>
      <c r="AD570" s="10"/>
      <c r="AE570" s="11">
        <v>65.167267277644342</v>
      </c>
      <c r="AF570" s="11">
        <v>290.28359662600423</v>
      </c>
      <c r="AG570" t="s">
        <v>34</v>
      </c>
    </row>
    <row r="571" spans="1:33">
      <c r="A571" s="2">
        <v>44404</v>
      </c>
      <c r="B571" s="5" t="s">
        <v>36</v>
      </c>
      <c r="C571" s="5">
        <f>WEEKDAY(Table1[[#This Row],[Date]])</f>
        <v>3</v>
      </c>
      <c r="D571" s="5">
        <f>MONTH(Table1[[#This Row],[Date]])</f>
        <v>7</v>
      </c>
      <c r="E571" s="5">
        <f>WEEKNUM(Table1[[#This Row],[Date]])</f>
        <v>31</v>
      </c>
      <c r="F571" s="5">
        <f>YEAR(Table1[[#This Row],[Date]])</f>
        <v>2021</v>
      </c>
      <c r="G571">
        <v>209</v>
      </c>
      <c r="L571" s="5">
        <v>176</v>
      </c>
      <c r="M571" s="6">
        <v>0.86699999999999999</v>
      </c>
      <c r="N571" s="5">
        <v>27</v>
      </c>
      <c r="O571" s="7">
        <v>4.6296296296296298E-4</v>
      </c>
      <c r="P571" s="7">
        <v>1.736111111111111E-3</v>
      </c>
      <c r="Q571" s="7">
        <v>6.3541666666666668E-3</v>
      </c>
      <c r="R571" s="6">
        <v>0.44779999999999998</v>
      </c>
      <c r="S571" s="8">
        <f>CONVERT(Table1[[#This Row],[Talk Duration (AVG)]]*Table1[[#This Row],[Answered Calls]],"day","hr")</f>
        <v>7.3333333333333321</v>
      </c>
      <c r="T571" s="9">
        <f>Table1[[#This Row],[Actual Workload hours]]*60</f>
        <v>439.99999999999994</v>
      </c>
      <c r="U571" s="9">
        <f>CONVERT(Table1[[#This Row],[Actual]]*Table1[[#This Row],[Talk Duration (AVG)]],"day","hr")</f>
        <v>8.7083333333333339</v>
      </c>
      <c r="V571" s="10">
        <f>Table1[[#This Row],[Required Workload Hours]]*60</f>
        <v>522.5</v>
      </c>
      <c r="W571" s="9">
        <v>1.1499999999999999</v>
      </c>
      <c r="X571" s="9">
        <f t="shared" si="16"/>
        <v>1.3606770833333333</v>
      </c>
      <c r="Y571" s="5">
        <f t="shared" si="17"/>
        <v>2</v>
      </c>
      <c r="Z571" s="8">
        <f>ROUNDUP(Table1[[#This Row],[Actual Heacount]],0)</f>
        <v>2</v>
      </c>
      <c r="AA571" s="8"/>
      <c r="AB571" s="10"/>
      <c r="AC571" s="10"/>
      <c r="AD571" s="10"/>
      <c r="AE571" s="11">
        <v>48.454844079648488</v>
      </c>
      <c r="AF571" s="11">
        <v>275.15154479166989</v>
      </c>
      <c r="AG571" t="s">
        <v>34</v>
      </c>
    </row>
    <row r="572" spans="1:33">
      <c r="A572" s="2">
        <v>44405</v>
      </c>
      <c r="B572" s="5" t="s">
        <v>37</v>
      </c>
      <c r="C572" s="5">
        <f>WEEKDAY(Table1[[#This Row],[Date]])</f>
        <v>4</v>
      </c>
      <c r="D572" s="5">
        <f>MONTH(Table1[[#This Row],[Date]])</f>
        <v>7</v>
      </c>
      <c r="E572" s="5">
        <f>WEEKNUM(Table1[[#This Row],[Date]])</f>
        <v>31</v>
      </c>
      <c r="F572" s="5">
        <f>YEAR(Table1[[#This Row],[Date]])</f>
        <v>2021</v>
      </c>
      <c r="G572">
        <v>140</v>
      </c>
      <c r="L572" s="5">
        <v>162</v>
      </c>
      <c r="M572" s="6">
        <v>0.8901</v>
      </c>
      <c r="N572" s="5">
        <v>20</v>
      </c>
      <c r="O572" s="7">
        <v>2.8935185185185184E-4</v>
      </c>
      <c r="P572" s="7">
        <v>1.9444444444444444E-3</v>
      </c>
      <c r="Q572" s="7">
        <v>2.5462962962962965E-3</v>
      </c>
      <c r="R572" s="6">
        <v>0.59430000000000005</v>
      </c>
      <c r="S572" s="8">
        <f>CONVERT(Table1[[#This Row],[Talk Duration (AVG)]]*Table1[[#This Row],[Answered Calls]],"day","hr")</f>
        <v>7.56</v>
      </c>
      <c r="T572" s="9">
        <f>Table1[[#This Row],[Actual Workload hours]]*60</f>
        <v>453.59999999999997</v>
      </c>
      <c r="U572" s="9">
        <f>CONVERT(Table1[[#This Row],[Actual]]*Table1[[#This Row],[Talk Duration (AVG)]],"day","hr")</f>
        <v>6.5333333333333323</v>
      </c>
      <c r="V572" s="10">
        <f>Table1[[#This Row],[Required Workload Hours]]*60</f>
        <v>391.99999999999994</v>
      </c>
      <c r="W572" s="9">
        <v>1.18</v>
      </c>
      <c r="X572" s="9">
        <f t="shared" si="16"/>
        <v>1.0208333333333333</v>
      </c>
      <c r="Y572" s="5">
        <f t="shared" si="17"/>
        <v>2</v>
      </c>
      <c r="Z572" s="8">
        <f>ROUNDUP(Table1[[#This Row],[Actual Heacount]],0)</f>
        <v>2</v>
      </c>
      <c r="AA572" s="8"/>
      <c r="AB572" s="10"/>
      <c r="AC572" s="10"/>
      <c r="AD572" s="10"/>
      <c r="AE572" s="11">
        <v>52.479049905889468</v>
      </c>
      <c r="AF572" s="11">
        <v>282.30417425567867</v>
      </c>
      <c r="AG572" t="s">
        <v>34</v>
      </c>
    </row>
    <row r="573" spans="1:33">
      <c r="A573" s="2">
        <v>44406</v>
      </c>
      <c r="B573" s="5" t="s">
        <v>38</v>
      </c>
      <c r="C573" s="5">
        <f>WEEKDAY(Table1[[#This Row],[Date]])</f>
        <v>5</v>
      </c>
      <c r="D573" s="5">
        <f>MONTH(Table1[[#This Row],[Date]])</f>
        <v>7</v>
      </c>
      <c r="E573" s="5">
        <f>WEEKNUM(Table1[[#This Row],[Date]])</f>
        <v>31</v>
      </c>
      <c r="F573" s="5">
        <f>YEAR(Table1[[#This Row],[Date]])</f>
        <v>2021</v>
      </c>
      <c r="G573">
        <v>124</v>
      </c>
      <c r="L573" s="5">
        <v>17</v>
      </c>
      <c r="M573" s="6">
        <v>0.94440000000000002</v>
      </c>
      <c r="N573" s="5">
        <v>1</v>
      </c>
      <c r="O573" s="7">
        <v>6.3657407407407413E-4</v>
      </c>
      <c r="P573" s="7">
        <v>2.7893518518518519E-3</v>
      </c>
      <c r="Q573" s="7">
        <v>4.0046296296296297E-3</v>
      </c>
      <c r="R573" s="6">
        <v>0.5</v>
      </c>
      <c r="S573" s="8">
        <f>CONVERT(Table1[[#This Row],[Talk Duration (AVG)]]*Table1[[#This Row],[Answered Calls]],"day","hr")</f>
        <v>1.1380555555555556</v>
      </c>
      <c r="T573" s="9">
        <f>Table1[[#This Row],[Actual Workload hours]]*60</f>
        <v>68.283333333333331</v>
      </c>
      <c r="U573" s="9">
        <f>CONVERT(Table1[[#This Row],[Actual]]*Table1[[#This Row],[Talk Duration (AVG)]],"day","hr")</f>
        <v>8.301111111111112</v>
      </c>
      <c r="V573" s="10">
        <f>Table1[[#This Row],[Required Workload Hours]]*60</f>
        <v>498.06666666666672</v>
      </c>
      <c r="W573" s="9">
        <v>1</v>
      </c>
      <c r="X573" s="9">
        <f t="shared" si="16"/>
        <v>1.2970486111111112</v>
      </c>
      <c r="Y573" s="5">
        <f t="shared" si="17"/>
        <v>1</v>
      </c>
      <c r="Z573" s="8">
        <f>ROUNDUP(Table1[[#This Row],[Actual Heacount]],0)</f>
        <v>1</v>
      </c>
      <c r="AA573" s="8"/>
      <c r="AB573" s="10"/>
      <c r="AC573" s="10"/>
      <c r="AD573" s="10"/>
      <c r="AE573" s="11">
        <v>50.831062851542796</v>
      </c>
      <c r="AF573" s="11">
        <v>272.07222025546162</v>
      </c>
      <c r="AG573" t="s">
        <v>34</v>
      </c>
    </row>
    <row r="574" spans="1:33">
      <c r="A574" s="2">
        <v>44407</v>
      </c>
      <c r="B574" s="5" t="s">
        <v>39</v>
      </c>
      <c r="C574" s="5">
        <f>WEEKDAY(Table1[[#This Row],[Date]])</f>
        <v>6</v>
      </c>
      <c r="D574" s="5">
        <f>MONTH(Table1[[#This Row],[Date]])</f>
        <v>7</v>
      </c>
      <c r="E574" s="5">
        <f>WEEKNUM(Table1[[#This Row],[Date]])</f>
        <v>31</v>
      </c>
      <c r="F574" s="5">
        <f>YEAR(Table1[[#This Row],[Date]])</f>
        <v>2021</v>
      </c>
      <c r="G574">
        <v>179</v>
      </c>
      <c r="L574" s="5">
        <v>170</v>
      </c>
      <c r="M574" s="6">
        <v>0.79069999999999996</v>
      </c>
      <c r="N574" s="5">
        <v>45</v>
      </c>
      <c r="O574" s="7">
        <v>6.3657407407407413E-4</v>
      </c>
      <c r="P574" s="7">
        <v>1.9560185185185184E-3</v>
      </c>
      <c r="Q574" s="7">
        <v>5.162037037037037E-3</v>
      </c>
      <c r="R574" s="6">
        <v>0.43059999999999998</v>
      </c>
      <c r="S574" s="8">
        <f>CONVERT(Table1[[#This Row],[Talk Duration (AVG)]]*Table1[[#This Row],[Answered Calls]],"day","hr")</f>
        <v>7.9805555555555552</v>
      </c>
      <c r="T574" s="9">
        <f>Table1[[#This Row],[Actual Workload hours]]*60</f>
        <v>478.83333333333331</v>
      </c>
      <c r="U574" s="9">
        <f>CONVERT(Table1[[#This Row],[Actual]]*Table1[[#This Row],[Talk Duration (AVG)]],"day","hr")</f>
        <v>8.4030555555555555</v>
      </c>
      <c r="V574" s="10">
        <f>Table1[[#This Row],[Required Workload Hours]]*60</f>
        <v>504.18333333333334</v>
      </c>
      <c r="W574" s="9">
        <v>1.25</v>
      </c>
      <c r="X574" s="9">
        <f t="shared" si="16"/>
        <v>1.3129774305555555</v>
      </c>
      <c r="Y574" s="5">
        <f t="shared" si="17"/>
        <v>2</v>
      </c>
      <c r="Z574" s="8">
        <f>ROUNDUP(Table1[[#This Row],[Actual Heacount]],0)</f>
        <v>2</v>
      </c>
      <c r="AA574" s="8"/>
      <c r="AB574" s="10"/>
      <c r="AC574" s="10"/>
      <c r="AD574" s="10"/>
      <c r="AE574" s="11">
        <v>47.149426303919967</v>
      </c>
      <c r="AF574" s="11">
        <v>260.83194443102929</v>
      </c>
      <c r="AG574" t="s">
        <v>34</v>
      </c>
    </row>
    <row r="575" spans="1:33">
      <c r="A575" s="2">
        <v>44408</v>
      </c>
      <c r="B575" s="5" t="s">
        <v>40</v>
      </c>
      <c r="C575" s="5">
        <f>WEEKDAY(Table1[[#This Row],[Date]])</f>
        <v>7</v>
      </c>
      <c r="D575" s="5">
        <f>MONTH(Table1[[#This Row],[Date]])</f>
        <v>7</v>
      </c>
      <c r="E575" s="5">
        <f>WEEKNUM(Table1[[#This Row],[Date]])</f>
        <v>31</v>
      </c>
      <c r="F575" s="5">
        <f>YEAR(Table1[[#This Row],[Date]])</f>
        <v>2021</v>
      </c>
      <c r="G575">
        <v>163</v>
      </c>
      <c r="L575" s="5">
        <v>203</v>
      </c>
      <c r="M575" s="6">
        <v>0.97130000000000005</v>
      </c>
      <c r="N575" s="5">
        <v>6</v>
      </c>
      <c r="O575" s="7">
        <v>2.8935185185185184E-4</v>
      </c>
      <c r="P575" s="7">
        <v>1.8749999999999999E-3</v>
      </c>
      <c r="Q575" s="7">
        <v>2.5462962962962965E-3</v>
      </c>
      <c r="R575" s="6">
        <v>0.74880000000000002</v>
      </c>
      <c r="S575" s="8">
        <f>CONVERT(Table1[[#This Row],[Talk Duration (AVG)]]*Table1[[#This Row],[Answered Calls]],"day","hr")</f>
        <v>9.1349999999999998</v>
      </c>
      <c r="T575" s="9">
        <f>Table1[[#This Row],[Actual Workload hours]]*60</f>
        <v>548.1</v>
      </c>
      <c r="U575" s="9">
        <f>CONVERT(Table1[[#This Row],[Actual]]*Table1[[#This Row],[Talk Duration (AVG)]],"day","hr")</f>
        <v>7.335</v>
      </c>
      <c r="V575" s="10">
        <f>Table1[[#This Row],[Required Workload Hours]]*60</f>
        <v>440.1</v>
      </c>
      <c r="W575" s="9">
        <v>1.43</v>
      </c>
      <c r="X575" s="9">
        <f t="shared" si="16"/>
        <v>1.1460937500000001</v>
      </c>
      <c r="Y575" s="5">
        <f t="shared" si="17"/>
        <v>2</v>
      </c>
      <c r="Z575" s="8">
        <f>ROUNDUP(Table1[[#This Row],[Actual Heacount]],0)</f>
        <v>2</v>
      </c>
      <c r="AA575" s="8"/>
      <c r="AB575" s="10"/>
      <c r="AC575" s="10"/>
      <c r="AD575" s="10"/>
      <c r="AE575" s="11">
        <v>41.891042973004083</v>
      </c>
      <c r="AF575" s="11">
        <v>269.82587925080361</v>
      </c>
      <c r="AG575" t="s">
        <v>34</v>
      </c>
    </row>
    <row r="576" spans="1:33">
      <c r="A576" s="2">
        <v>44409</v>
      </c>
      <c r="B576" s="5" t="s">
        <v>33</v>
      </c>
      <c r="C576" s="5">
        <f>WEEKDAY(Table1[[#This Row],[Date]])</f>
        <v>1</v>
      </c>
      <c r="D576" s="5">
        <f>MONTH(Table1[[#This Row],[Date]])</f>
        <v>8</v>
      </c>
      <c r="E576" s="5">
        <f>WEEKNUM(Table1[[#This Row],[Date]])</f>
        <v>32</v>
      </c>
      <c r="F576" s="5">
        <f>YEAR(Table1[[#This Row],[Date]])</f>
        <v>2021</v>
      </c>
      <c r="G576">
        <v>247</v>
      </c>
      <c r="L576" s="5">
        <v>134</v>
      </c>
      <c r="M576" s="6">
        <v>0.95709999999999995</v>
      </c>
      <c r="N576" s="5">
        <v>6</v>
      </c>
      <c r="O576" s="7">
        <v>2.3148148148148149E-4</v>
      </c>
      <c r="P576" s="7">
        <v>2.0717592592592593E-3</v>
      </c>
      <c r="Q576" s="7">
        <v>2.3263888888888887E-3</v>
      </c>
      <c r="R576" s="6">
        <v>0.76259999999999994</v>
      </c>
      <c r="S576" s="8">
        <f>CONVERT(Table1[[#This Row],[Talk Duration (AVG)]]*Table1[[#This Row],[Answered Calls]],"day","hr")</f>
        <v>6.6627777777777775</v>
      </c>
      <c r="T576" s="9">
        <f>Table1[[#This Row],[Actual Workload hours]]*60</f>
        <v>399.76666666666665</v>
      </c>
      <c r="U576" s="9">
        <f>CONVERT(Table1[[#This Row],[Actual]]*Table1[[#This Row],[Talk Duration (AVG)]],"day","hr")</f>
        <v>12.281388888888889</v>
      </c>
      <c r="V576" s="10">
        <f>Table1[[#This Row],[Required Workload Hours]]*60</f>
        <v>736.88333333333333</v>
      </c>
      <c r="W576" s="9">
        <v>1.04</v>
      </c>
      <c r="X576" s="9">
        <f t="shared" si="16"/>
        <v>1.9189670138888888</v>
      </c>
      <c r="Y576" s="5">
        <f t="shared" si="17"/>
        <v>2</v>
      </c>
      <c r="Z576" s="8">
        <f>ROUNDUP(Table1[[#This Row],[Actual Heacount]],0)</f>
        <v>2</v>
      </c>
      <c r="AA576" s="8"/>
      <c r="AB576" s="10"/>
      <c r="AC576" s="10"/>
      <c r="AD576" s="10"/>
      <c r="AE576" s="11">
        <v>-39.668777697842977</v>
      </c>
      <c r="AF576" s="11">
        <v>178.11263794424431</v>
      </c>
      <c r="AG576" t="s">
        <v>34</v>
      </c>
    </row>
    <row r="577" spans="1:33">
      <c r="A577" s="2">
        <v>44410</v>
      </c>
      <c r="B577" s="5" t="s">
        <v>35</v>
      </c>
      <c r="C577" s="5">
        <f>WEEKDAY(Table1[[#This Row],[Date]])</f>
        <v>2</v>
      </c>
      <c r="D577" s="5">
        <f>MONTH(Table1[[#This Row],[Date]])</f>
        <v>8</v>
      </c>
      <c r="E577" s="5">
        <f>WEEKNUM(Table1[[#This Row],[Date]])</f>
        <v>32</v>
      </c>
      <c r="F577" s="5">
        <f>YEAR(Table1[[#This Row],[Date]])</f>
        <v>2021</v>
      </c>
      <c r="G577">
        <v>56</v>
      </c>
      <c r="L577" s="5">
        <v>110</v>
      </c>
      <c r="M577" s="6">
        <v>0.8871</v>
      </c>
      <c r="N577" s="5">
        <v>14</v>
      </c>
      <c r="O577" s="7">
        <v>1.7361111111111112E-4</v>
      </c>
      <c r="P577" s="7">
        <v>2.0370370370370369E-3</v>
      </c>
      <c r="Q577" s="7">
        <v>5.7407407407407407E-3</v>
      </c>
      <c r="R577" s="6">
        <v>0.81820000000000004</v>
      </c>
      <c r="S577" s="8">
        <f>CONVERT(Table1[[#This Row],[Talk Duration (AVG)]]*Table1[[#This Row],[Answered Calls]],"day","hr")</f>
        <v>5.3777777777777782</v>
      </c>
      <c r="T577" s="9">
        <f>Table1[[#This Row],[Actual Workload hours]]*60</f>
        <v>322.66666666666669</v>
      </c>
      <c r="U577" s="9">
        <f>CONVERT(Table1[[#This Row],[Actual]]*Table1[[#This Row],[Talk Duration (AVG)]],"day","hr")</f>
        <v>2.7377777777777776</v>
      </c>
      <c r="V577" s="10">
        <f>Table1[[#This Row],[Required Workload Hours]]*60</f>
        <v>164.26666666666665</v>
      </c>
      <c r="W577" s="9">
        <v>1</v>
      </c>
      <c r="X577" s="9">
        <f t="shared" si="16"/>
        <v>1</v>
      </c>
      <c r="Y577" s="5">
        <f t="shared" si="17"/>
        <v>2</v>
      </c>
      <c r="Z577" s="8">
        <f>ROUNDUP(Table1[[#This Row],[Actual Heacount]],0)</f>
        <v>1</v>
      </c>
      <c r="AA577" s="8"/>
      <c r="AB577" s="10"/>
      <c r="AC577" s="10"/>
      <c r="AD577" s="10"/>
      <c r="AE577" s="11">
        <v>56.457160177639373</v>
      </c>
      <c r="AF577" s="11">
        <v>278.07510654903632</v>
      </c>
      <c r="AG577" t="s">
        <v>34</v>
      </c>
    </row>
    <row r="578" spans="1:33">
      <c r="A578" s="2">
        <v>44411</v>
      </c>
      <c r="B578" s="5" t="s">
        <v>36</v>
      </c>
      <c r="C578" s="5">
        <f>WEEKDAY(Table1[[#This Row],[Date]])</f>
        <v>3</v>
      </c>
      <c r="D578" s="5">
        <f>MONTH(Table1[[#This Row],[Date]])</f>
        <v>8</v>
      </c>
      <c r="E578" s="5">
        <f>WEEKNUM(Table1[[#This Row],[Date]])</f>
        <v>32</v>
      </c>
      <c r="F578" s="5">
        <f>YEAR(Table1[[#This Row],[Date]])</f>
        <v>2021</v>
      </c>
      <c r="G578">
        <v>177</v>
      </c>
      <c r="L578" s="5">
        <v>163</v>
      </c>
      <c r="M578" s="6">
        <v>0.91059999999999997</v>
      </c>
      <c r="N578" s="5">
        <v>16</v>
      </c>
      <c r="O578" s="7">
        <v>2.6620370370370372E-4</v>
      </c>
      <c r="P578" s="7">
        <v>1.8981481481481482E-3</v>
      </c>
      <c r="Q578" s="7">
        <v>2.9745370370370373E-3</v>
      </c>
      <c r="R578" s="6">
        <v>0.71589999999999998</v>
      </c>
      <c r="S578" s="8">
        <f>CONVERT(Table1[[#This Row],[Talk Duration (AVG)]]*Table1[[#This Row],[Answered Calls]],"day","hr")</f>
        <v>7.4255555555555555</v>
      </c>
      <c r="T578" s="9">
        <f>Table1[[#This Row],[Actual Workload hours]]*60</f>
        <v>445.5333333333333</v>
      </c>
      <c r="U578" s="9">
        <f>CONVERT(Table1[[#This Row],[Actual]]*Table1[[#This Row],[Talk Duration (AVG)]],"day","hr")</f>
        <v>8.0633333333333326</v>
      </c>
      <c r="V578" s="10">
        <f>Table1[[#This Row],[Required Workload Hours]]*60</f>
        <v>483.79999999999995</v>
      </c>
      <c r="W578" s="9">
        <v>1.1599999999999999</v>
      </c>
      <c r="X578" s="9">
        <f t="shared" si="16"/>
        <v>1.2598958333333332</v>
      </c>
      <c r="Y578" s="5">
        <f t="shared" si="17"/>
        <v>2</v>
      </c>
      <c r="Z578" s="8">
        <f>ROUNDUP(Table1[[#This Row],[Actual Heacount]],0)</f>
        <v>2</v>
      </c>
      <c r="AA578" s="8"/>
      <c r="AB578" s="10"/>
      <c r="AC578" s="10"/>
      <c r="AD578" s="10"/>
      <c r="AE578" s="11">
        <v>36.534130894533483</v>
      </c>
      <c r="AF578" s="11">
        <v>255.84879744895849</v>
      </c>
      <c r="AG578" t="s">
        <v>34</v>
      </c>
    </row>
    <row r="579" spans="1:33">
      <c r="A579" s="2">
        <v>44412</v>
      </c>
      <c r="B579" s="5" t="s">
        <v>37</v>
      </c>
      <c r="C579" s="5">
        <f>WEEKDAY(Table1[[#This Row],[Date]])</f>
        <v>4</v>
      </c>
      <c r="D579" s="5">
        <f>MONTH(Table1[[#This Row],[Date]])</f>
        <v>8</v>
      </c>
      <c r="E579" s="5">
        <f>WEEKNUM(Table1[[#This Row],[Date]])</f>
        <v>32</v>
      </c>
      <c r="F579" s="5">
        <f>YEAR(Table1[[#This Row],[Date]])</f>
        <v>2021</v>
      </c>
      <c r="G579">
        <v>138</v>
      </c>
      <c r="L579" s="5">
        <v>161</v>
      </c>
      <c r="M579" s="6">
        <v>0.98770000000000002</v>
      </c>
      <c r="N579" s="5">
        <v>2</v>
      </c>
      <c r="O579" s="7">
        <v>1.1574074074074075E-4</v>
      </c>
      <c r="P579" s="7">
        <v>1.8518518518518519E-3</v>
      </c>
      <c r="Q579" s="7">
        <v>1.2847222222222223E-3</v>
      </c>
      <c r="R579" s="6">
        <v>0.94410000000000005</v>
      </c>
      <c r="S579" s="8">
        <f>CONVERT(Table1[[#This Row],[Talk Duration (AVG)]]*Table1[[#This Row],[Answered Calls]],"day","hr")</f>
        <v>7.1555555555555559</v>
      </c>
      <c r="T579" s="9">
        <f>Table1[[#This Row],[Actual Workload hours]]*60</f>
        <v>429.33333333333337</v>
      </c>
      <c r="U579" s="9">
        <f>CONVERT(Table1[[#This Row],[Actual]]*Table1[[#This Row],[Talk Duration (AVG)]],"day","hr")</f>
        <v>6.1333333333333346</v>
      </c>
      <c r="V579" s="10">
        <f>Table1[[#This Row],[Required Workload Hours]]*60</f>
        <v>368.00000000000006</v>
      </c>
      <c r="W579" s="9">
        <v>1.1200000000000001</v>
      </c>
      <c r="X579" s="9">
        <f t="shared" ref="X579:X642" si="18">IF(V579&lt;384,1,(V579/384))</f>
        <v>1</v>
      </c>
      <c r="Y579" s="5">
        <f t="shared" ref="Y579:Y642" si="19">IF(B579="Sunday",1,2)</f>
        <v>2</v>
      </c>
      <c r="Z579" s="8">
        <f>ROUNDUP(Table1[[#This Row],[Actual Heacount]],0)</f>
        <v>2</v>
      </c>
      <c r="AA579" s="8"/>
      <c r="AB579" s="10"/>
      <c r="AC579" s="10"/>
      <c r="AD579" s="10"/>
      <c r="AE579" s="11">
        <v>46.871152910236532</v>
      </c>
      <c r="AF579" s="11">
        <v>269.87452233027648</v>
      </c>
      <c r="AG579" t="s">
        <v>34</v>
      </c>
    </row>
    <row r="580" spans="1:33">
      <c r="A580" s="2">
        <v>44413</v>
      </c>
      <c r="B580" s="5" t="s">
        <v>38</v>
      </c>
      <c r="C580" s="5">
        <f>WEEKDAY(Table1[[#This Row],[Date]])</f>
        <v>5</v>
      </c>
      <c r="D580" s="5">
        <f>MONTH(Table1[[#This Row],[Date]])</f>
        <v>8</v>
      </c>
      <c r="E580" s="5">
        <f>WEEKNUM(Table1[[#This Row],[Date]])</f>
        <v>32</v>
      </c>
      <c r="F580" s="5">
        <f>YEAR(Table1[[#This Row],[Date]])</f>
        <v>2021</v>
      </c>
      <c r="G580">
        <v>110</v>
      </c>
      <c r="L580" s="5">
        <v>27</v>
      </c>
      <c r="M580" s="6">
        <v>1</v>
      </c>
      <c r="N580" s="5">
        <v>0</v>
      </c>
      <c r="O580" s="7">
        <v>5.7870370370370373E-5</v>
      </c>
      <c r="P580" s="7">
        <v>1.9444444444444444E-3</v>
      </c>
      <c r="Q580" s="7">
        <v>2.199074074074074E-4</v>
      </c>
      <c r="R580" s="6">
        <v>1</v>
      </c>
      <c r="S580" s="8">
        <f>CONVERT(Table1[[#This Row],[Talk Duration (AVG)]]*Table1[[#This Row],[Answered Calls]],"day","hr")</f>
        <v>1.26</v>
      </c>
      <c r="T580" s="9">
        <f>Table1[[#This Row],[Actual Workload hours]]*60</f>
        <v>75.599999999999994</v>
      </c>
      <c r="U580" s="9">
        <f>CONVERT(Table1[[#This Row],[Actual]]*Table1[[#This Row],[Talk Duration (AVG)]],"day","hr")</f>
        <v>5.1333333333333337</v>
      </c>
      <c r="V580" s="10">
        <f>Table1[[#This Row],[Required Workload Hours]]*60</f>
        <v>308</v>
      </c>
      <c r="W580" s="9">
        <v>1</v>
      </c>
      <c r="X580" s="9">
        <f t="shared" si="18"/>
        <v>1</v>
      </c>
      <c r="Y580" s="5">
        <f t="shared" si="19"/>
        <v>1</v>
      </c>
      <c r="Z580" s="8">
        <f>ROUNDUP(Table1[[#This Row],[Actual Heacount]],0)</f>
        <v>1</v>
      </c>
      <c r="AA580" s="8"/>
      <c r="AB580" s="10"/>
      <c r="AC580" s="10"/>
      <c r="AD580" s="10"/>
      <c r="AE580" s="11">
        <v>46.819122455136757</v>
      </c>
      <c r="AF580" s="11">
        <v>265.29834878370252</v>
      </c>
      <c r="AG580" t="s">
        <v>34</v>
      </c>
    </row>
    <row r="581" spans="1:33">
      <c r="A581" s="2">
        <v>44414</v>
      </c>
      <c r="B581" s="5" t="s">
        <v>39</v>
      </c>
      <c r="C581" s="5">
        <f>WEEKDAY(Table1[[#This Row],[Date]])</f>
        <v>6</v>
      </c>
      <c r="D581" s="5">
        <f>MONTH(Table1[[#This Row],[Date]])</f>
        <v>8</v>
      </c>
      <c r="E581" s="5">
        <f>WEEKNUM(Table1[[#This Row],[Date]])</f>
        <v>32</v>
      </c>
      <c r="F581" s="5">
        <f>YEAR(Table1[[#This Row],[Date]])</f>
        <v>2021</v>
      </c>
      <c r="G581">
        <v>107</v>
      </c>
      <c r="L581" s="5">
        <v>175</v>
      </c>
      <c r="M581" s="6">
        <v>0.96150000000000002</v>
      </c>
      <c r="N581" s="5">
        <v>7</v>
      </c>
      <c r="O581" s="7">
        <v>2.199074074074074E-4</v>
      </c>
      <c r="P581" s="7">
        <v>1.8287037037037037E-3</v>
      </c>
      <c r="Q581" s="7">
        <v>2.1759259259259258E-3</v>
      </c>
      <c r="R581" s="6">
        <v>0.79890000000000005</v>
      </c>
      <c r="S581" s="8">
        <f>CONVERT(Table1[[#This Row],[Talk Duration (AVG)]]*Table1[[#This Row],[Answered Calls]],"day","hr")</f>
        <v>7.6805555555555554</v>
      </c>
      <c r="T581" s="9">
        <f>Table1[[#This Row],[Actual Workload hours]]*60</f>
        <v>460.83333333333331</v>
      </c>
      <c r="U581" s="9">
        <f>CONVERT(Table1[[#This Row],[Actual]]*Table1[[#This Row],[Talk Duration (AVG)]],"day","hr")</f>
        <v>4.6961111111111107</v>
      </c>
      <c r="V581" s="10">
        <f>Table1[[#This Row],[Required Workload Hours]]*60</f>
        <v>281.76666666666665</v>
      </c>
      <c r="W581" s="9">
        <v>1.2</v>
      </c>
      <c r="X581" s="9">
        <f t="shared" si="18"/>
        <v>1</v>
      </c>
      <c r="Y581" s="5">
        <f t="shared" si="19"/>
        <v>2</v>
      </c>
      <c r="Z581" s="8">
        <f>ROUNDUP(Table1[[#This Row],[Actual Heacount]],0)</f>
        <v>2</v>
      </c>
      <c r="AA581" s="8"/>
      <c r="AB581" s="10"/>
      <c r="AC581" s="10"/>
      <c r="AD581" s="10"/>
      <c r="AE581" s="11">
        <v>23.263080409547609</v>
      </c>
      <c r="AF581" s="11">
        <v>256.52904389318547</v>
      </c>
      <c r="AG581" t="s">
        <v>34</v>
      </c>
    </row>
    <row r="582" spans="1:33">
      <c r="A582" s="2">
        <v>44415</v>
      </c>
      <c r="B582" s="5" t="s">
        <v>40</v>
      </c>
      <c r="C582" s="5">
        <f>WEEKDAY(Table1[[#This Row],[Date]])</f>
        <v>7</v>
      </c>
      <c r="D582" s="5">
        <f>MONTH(Table1[[#This Row],[Date]])</f>
        <v>8</v>
      </c>
      <c r="E582" s="5">
        <f>WEEKNUM(Table1[[#This Row],[Date]])</f>
        <v>32</v>
      </c>
      <c r="F582" s="5">
        <f>YEAR(Table1[[#This Row],[Date]])</f>
        <v>2021</v>
      </c>
      <c r="G582">
        <v>155</v>
      </c>
      <c r="L582" s="5">
        <v>159</v>
      </c>
      <c r="M582" s="6">
        <v>0.96950000000000003</v>
      </c>
      <c r="N582" s="5">
        <v>5</v>
      </c>
      <c r="O582" s="7">
        <v>1.273148148148148E-4</v>
      </c>
      <c r="P582" s="7">
        <v>1.6550925925925926E-3</v>
      </c>
      <c r="Q582" s="7">
        <v>4.4907407407407405E-3</v>
      </c>
      <c r="R582" s="6">
        <v>0.90180000000000005</v>
      </c>
      <c r="S582" s="8">
        <f>CONVERT(Table1[[#This Row],[Talk Duration (AVG)]]*Table1[[#This Row],[Answered Calls]],"day","hr")</f>
        <v>6.315833333333333</v>
      </c>
      <c r="T582" s="9">
        <f>Table1[[#This Row],[Actual Workload hours]]*60</f>
        <v>378.95</v>
      </c>
      <c r="U582" s="9">
        <f>CONVERT(Table1[[#This Row],[Actual]]*Table1[[#This Row],[Talk Duration (AVG)]],"day","hr")</f>
        <v>6.1569444444444441</v>
      </c>
      <c r="V582" s="10">
        <f>Table1[[#This Row],[Required Workload Hours]]*60</f>
        <v>369.41666666666663</v>
      </c>
      <c r="W582" s="9">
        <v>1</v>
      </c>
      <c r="X582" s="9">
        <f t="shared" si="18"/>
        <v>1</v>
      </c>
      <c r="Y582" s="5">
        <f t="shared" si="19"/>
        <v>2</v>
      </c>
      <c r="Z582" s="8">
        <f>ROUNDUP(Table1[[#This Row],[Actual Heacount]],0)</f>
        <v>1</v>
      </c>
      <c r="AA582" s="8"/>
      <c r="AB582" s="10"/>
      <c r="AC582" s="10"/>
      <c r="AD582" s="10"/>
      <c r="AE582" s="11">
        <v>33.147878002280542</v>
      </c>
      <c r="AF582" s="11">
        <v>256.89123996804551</v>
      </c>
      <c r="AG582" t="s">
        <v>34</v>
      </c>
    </row>
    <row r="583" spans="1:33">
      <c r="A583" s="2">
        <v>44416</v>
      </c>
      <c r="B583" s="5" t="s">
        <v>33</v>
      </c>
      <c r="C583" s="5">
        <f>WEEKDAY(Table1[[#This Row],[Date]])</f>
        <v>1</v>
      </c>
      <c r="D583" s="5">
        <f>MONTH(Table1[[#This Row],[Date]])</f>
        <v>8</v>
      </c>
      <c r="E583" s="5">
        <f>WEEKNUM(Table1[[#This Row],[Date]])</f>
        <v>33</v>
      </c>
      <c r="F583" s="5">
        <f>YEAR(Table1[[#This Row],[Date]])</f>
        <v>2021</v>
      </c>
      <c r="G583">
        <v>25</v>
      </c>
      <c r="L583" s="5">
        <v>159</v>
      </c>
      <c r="M583" s="6">
        <v>0.99380000000000002</v>
      </c>
      <c r="N583" s="5">
        <v>1</v>
      </c>
      <c r="O583" s="7">
        <v>5.7870370370370373E-5</v>
      </c>
      <c r="P583" s="7">
        <v>1.8518518518518519E-3</v>
      </c>
      <c r="Q583" s="7">
        <v>6.7129629629629625E-4</v>
      </c>
      <c r="R583" s="6">
        <v>0.98740000000000006</v>
      </c>
      <c r="S583" s="8">
        <f>CONVERT(Table1[[#This Row],[Talk Duration (AVG)]]*Table1[[#This Row],[Answered Calls]],"day","hr")</f>
        <v>7.0666666666666664</v>
      </c>
      <c r="T583" s="9">
        <f>Table1[[#This Row],[Actual Workload hours]]*60</f>
        <v>424</v>
      </c>
      <c r="U583" s="9">
        <f>CONVERT(Table1[[#This Row],[Actual]]*Table1[[#This Row],[Talk Duration (AVG)]],"day","hr")</f>
        <v>1.1111111111111112</v>
      </c>
      <c r="V583" s="10">
        <f>Table1[[#This Row],[Required Workload Hours]]*60</f>
        <v>66.666666666666671</v>
      </c>
      <c r="W583" s="9">
        <v>1.1000000000000001</v>
      </c>
      <c r="X583" s="9">
        <f t="shared" si="18"/>
        <v>1</v>
      </c>
      <c r="Y583" s="5">
        <f t="shared" si="19"/>
        <v>2</v>
      </c>
      <c r="Z583" s="8">
        <f>ROUNDUP(Table1[[#This Row],[Actual Heacount]],0)</f>
        <v>2</v>
      </c>
      <c r="AA583" s="8"/>
      <c r="AB583" s="10"/>
      <c r="AC583" s="10"/>
      <c r="AD583" s="10"/>
      <c r="AE583" s="11">
        <v>-62.586408540844928</v>
      </c>
      <c r="AF583" s="11">
        <v>172.09365131524581</v>
      </c>
      <c r="AG583" t="s">
        <v>34</v>
      </c>
    </row>
    <row r="584" spans="1:33">
      <c r="A584" s="2">
        <v>44417</v>
      </c>
      <c r="B584" s="5" t="s">
        <v>35</v>
      </c>
      <c r="C584" s="5">
        <f>WEEKDAY(Table1[[#This Row],[Date]])</f>
        <v>2</v>
      </c>
      <c r="D584" s="5">
        <f>MONTH(Table1[[#This Row],[Date]])</f>
        <v>8</v>
      </c>
      <c r="E584" s="5">
        <f>WEEKNUM(Table1[[#This Row],[Date]])</f>
        <v>33</v>
      </c>
      <c r="F584" s="5">
        <f>YEAR(Table1[[#This Row],[Date]])</f>
        <v>2021</v>
      </c>
      <c r="G584">
        <v>22</v>
      </c>
      <c r="L584" s="5">
        <v>155</v>
      </c>
      <c r="M584" s="6">
        <v>0.89080000000000004</v>
      </c>
      <c r="N584" s="5">
        <v>19</v>
      </c>
      <c r="O584" s="7">
        <v>1.8518518518518518E-4</v>
      </c>
      <c r="P584" s="7">
        <v>1.8634259259259259E-3</v>
      </c>
      <c r="Q584" s="7">
        <v>4.6180555555555558E-3</v>
      </c>
      <c r="R584" s="6">
        <v>0.77059999999999995</v>
      </c>
      <c r="S584" s="8">
        <f>CONVERT(Table1[[#This Row],[Talk Duration (AVG)]]*Table1[[#This Row],[Answered Calls]],"day","hr")</f>
        <v>6.9319444444444445</v>
      </c>
      <c r="T584" s="9">
        <f>Table1[[#This Row],[Actual Workload hours]]*60</f>
        <v>415.91666666666669</v>
      </c>
      <c r="U584" s="9">
        <f>CONVERT(Table1[[#This Row],[Actual]]*Table1[[#This Row],[Talk Duration (AVG)]],"day","hr")</f>
        <v>0.98388888888888892</v>
      </c>
      <c r="V584" s="10">
        <f>Table1[[#This Row],[Required Workload Hours]]*60</f>
        <v>59.033333333333339</v>
      </c>
      <c r="W584" s="9">
        <v>1.08</v>
      </c>
      <c r="X584" s="9">
        <f t="shared" si="18"/>
        <v>1</v>
      </c>
      <c r="Y584" s="5">
        <f t="shared" si="19"/>
        <v>2</v>
      </c>
      <c r="Z584" s="8">
        <f>ROUNDUP(Table1[[#This Row],[Actual Heacount]],0)</f>
        <v>2</v>
      </c>
      <c r="AA584" s="8"/>
      <c r="AB584" s="10"/>
      <c r="AC584" s="10"/>
      <c r="AD584" s="10"/>
      <c r="AE584" s="11">
        <v>46.602533792688817</v>
      </c>
      <c r="AF584" s="11">
        <v>266.35578623289962</v>
      </c>
      <c r="AG584" t="s">
        <v>34</v>
      </c>
    </row>
    <row r="585" spans="1:33">
      <c r="A585" s="2">
        <v>44418</v>
      </c>
      <c r="B585" s="5" t="s">
        <v>36</v>
      </c>
      <c r="C585" s="5">
        <f>WEEKDAY(Table1[[#This Row],[Date]])</f>
        <v>3</v>
      </c>
      <c r="D585" s="5">
        <f>MONTH(Table1[[#This Row],[Date]])</f>
        <v>8</v>
      </c>
      <c r="E585" s="5">
        <f>WEEKNUM(Table1[[#This Row],[Date]])</f>
        <v>33</v>
      </c>
      <c r="F585" s="5">
        <f>YEAR(Table1[[#This Row],[Date]])</f>
        <v>2021</v>
      </c>
      <c r="G585">
        <v>107</v>
      </c>
      <c r="L585" s="5">
        <v>230</v>
      </c>
      <c r="M585" s="6">
        <v>0.97870000000000001</v>
      </c>
      <c r="N585" s="5">
        <v>5</v>
      </c>
      <c r="O585" s="7">
        <v>5.7870370370370373E-5</v>
      </c>
      <c r="P585" s="7">
        <v>1.7013888888888888E-3</v>
      </c>
      <c r="Q585" s="7">
        <v>1.2731481481481483E-3</v>
      </c>
      <c r="R585" s="6">
        <v>0.95740000000000003</v>
      </c>
      <c r="S585" s="8">
        <f>CONVERT(Table1[[#This Row],[Talk Duration (AVG)]]*Table1[[#This Row],[Answered Calls]],"day","hr")</f>
        <v>9.3916666666666675</v>
      </c>
      <c r="T585" s="9">
        <f>Table1[[#This Row],[Actual Workload hours]]*60</f>
        <v>563.5</v>
      </c>
      <c r="U585" s="9">
        <f>CONVERT(Table1[[#This Row],[Actual]]*Table1[[#This Row],[Talk Duration (AVG)]],"day","hr")</f>
        <v>4.3691666666666658</v>
      </c>
      <c r="V585" s="10">
        <f>Table1[[#This Row],[Required Workload Hours]]*60</f>
        <v>262.14999999999992</v>
      </c>
      <c r="W585" s="9">
        <v>1.47</v>
      </c>
      <c r="X585" s="9">
        <f t="shared" si="18"/>
        <v>1</v>
      </c>
      <c r="Y585" s="5">
        <f t="shared" si="19"/>
        <v>2</v>
      </c>
      <c r="Z585" s="8">
        <f>ROUNDUP(Table1[[#This Row],[Actual Heacount]],0)</f>
        <v>2</v>
      </c>
      <c r="AA585" s="8"/>
      <c r="AB585" s="10"/>
      <c r="AC585" s="10"/>
      <c r="AD585" s="10"/>
      <c r="AE585" s="11">
        <v>35.286373515162254</v>
      </c>
      <c r="AF585" s="11">
        <v>250.59649074669281</v>
      </c>
      <c r="AG585" t="s">
        <v>34</v>
      </c>
    </row>
    <row r="586" spans="1:33">
      <c r="A586" s="2">
        <v>44419</v>
      </c>
      <c r="B586" s="5" t="s">
        <v>37</v>
      </c>
      <c r="C586" s="5">
        <f>WEEKDAY(Table1[[#This Row],[Date]])</f>
        <v>4</v>
      </c>
      <c r="D586" s="5">
        <f>MONTH(Table1[[#This Row],[Date]])</f>
        <v>8</v>
      </c>
      <c r="E586" s="5">
        <f>WEEKNUM(Table1[[#This Row],[Date]])</f>
        <v>33</v>
      </c>
      <c r="F586" s="5">
        <f>YEAR(Table1[[#This Row],[Date]])</f>
        <v>2021</v>
      </c>
      <c r="G586">
        <v>155</v>
      </c>
      <c r="L586" s="5">
        <v>174</v>
      </c>
      <c r="M586" s="6">
        <v>0.99429999999999996</v>
      </c>
      <c r="N586" s="5">
        <v>1</v>
      </c>
      <c r="O586" s="7">
        <v>4.6296296296296294E-5</v>
      </c>
      <c r="P586" s="7">
        <v>1.6898148148148148E-3</v>
      </c>
      <c r="Q586" s="7">
        <v>1.3078703703703703E-3</v>
      </c>
      <c r="R586" s="6">
        <v>0.98860000000000003</v>
      </c>
      <c r="S586" s="8">
        <f>CONVERT(Table1[[#This Row],[Talk Duration (AVG)]]*Table1[[#This Row],[Answered Calls]],"day","hr")</f>
        <v>7.0566666666666666</v>
      </c>
      <c r="T586" s="9">
        <f>Table1[[#This Row],[Actual Workload hours]]*60</f>
        <v>423.4</v>
      </c>
      <c r="U586" s="9">
        <f>CONVERT(Table1[[#This Row],[Actual]]*Table1[[#This Row],[Talk Duration (AVG)]],"day","hr")</f>
        <v>6.2861111111111114</v>
      </c>
      <c r="V586" s="10">
        <f>Table1[[#This Row],[Required Workload Hours]]*60</f>
        <v>377.16666666666669</v>
      </c>
      <c r="W586" s="9">
        <v>1.1000000000000001</v>
      </c>
      <c r="X586" s="9">
        <f t="shared" si="18"/>
        <v>1</v>
      </c>
      <c r="Y586" s="5">
        <f t="shared" si="19"/>
        <v>2</v>
      </c>
      <c r="Z586" s="8">
        <f>ROUNDUP(Table1[[#This Row],[Actual Heacount]],0)</f>
        <v>2</v>
      </c>
      <c r="AA586" s="8"/>
      <c r="AB586" s="10"/>
      <c r="AC586" s="10"/>
      <c r="AD586" s="10"/>
      <c r="AE586" s="11">
        <v>43.45454030937892</v>
      </c>
      <c r="AF586" s="11">
        <v>256.91703375992267</v>
      </c>
      <c r="AG586" t="s">
        <v>34</v>
      </c>
    </row>
    <row r="587" spans="1:33">
      <c r="A587" s="2">
        <v>44420</v>
      </c>
      <c r="B587" s="5" t="s">
        <v>38</v>
      </c>
      <c r="C587" s="5">
        <f>WEEKDAY(Table1[[#This Row],[Date]])</f>
        <v>5</v>
      </c>
      <c r="D587" s="5">
        <f>MONTH(Table1[[#This Row],[Date]])</f>
        <v>8</v>
      </c>
      <c r="E587" s="5">
        <f>WEEKNUM(Table1[[#This Row],[Date]])</f>
        <v>33</v>
      </c>
      <c r="F587" s="5">
        <f>YEAR(Table1[[#This Row],[Date]])</f>
        <v>2021</v>
      </c>
      <c r="G587">
        <v>251</v>
      </c>
      <c r="L587" s="5">
        <v>25</v>
      </c>
      <c r="M587" s="6">
        <v>1</v>
      </c>
      <c r="N587" s="5">
        <v>0</v>
      </c>
      <c r="O587" s="7">
        <v>4.6296296296296294E-5</v>
      </c>
      <c r="P587" s="7">
        <v>2.2569444444444442E-3</v>
      </c>
      <c r="Q587" s="7">
        <v>6.3657407407407413E-4</v>
      </c>
      <c r="R587" s="6">
        <v>0.96</v>
      </c>
      <c r="S587" s="8">
        <f>CONVERT(Table1[[#This Row],[Talk Duration (AVG)]]*Table1[[#This Row],[Answered Calls]],"day","hr")</f>
        <v>1.3541666666666665</v>
      </c>
      <c r="T587" s="9">
        <f>Table1[[#This Row],[Actual Workload hours]]*60</f>
        <v>81.249999999999986</v>
      </c>
      <c r="U587" s="9">
        <f>CONVERT(Table1[[#This Row],[Actual]]*Table1[[#This Row],[Talk Duration (AVG)]],"day","hr")</f>
        <v>13.595833333333333</v>
      </c>
      <c r="V587" s="10">
        <f>Table1[[#This Row],[Required Workload Hours]]*60</f>
        <v>815.75</v>
      </c>
      <c r="W587" s="9">
        <v>1</v>
      </c>
      <c r="X587" s="9">
        <f t="shared" si="18"/>
        <v>2.1243489583333335</v>
      </c>
      <c r="Y587" s="5">
        <f t="shared" si="19"/>
        <v>1</v>
      </c>
      <c r="Z587" s="8">
        <f>ROUNDUP(Table1[[#This Row],[Actual Heacount]],0)</f>
        <v>1</v>
      </c>
      <c r="AA587" s="8"/>
      <c r="AB587" s="10"/>
      <c r="AC587" s="10"/>
      <c r="AD587" s="10"/>
      <c r="AE587" s="11">
        <v>34.494694076741403</v>
      </c>
      <c r="AF587" s="11">
        <v>253.17316622450591</v>
      </c>
      <c r="AG587" t="s">
        <v>34</v>
      </c>
    </row>
    <row r="588" spans="1:33">
      <c r="A588" s="2">
        <v>44421</v>
      </c>
      <c r="B588" s="5" t="s">
        <v>39</v>
      </c>
      <c r="C588" s="5">
        <f>WEEKDAY(Table1[[#This Row],[Date]])</f>
        <v>6</v>
      </c>
      <c r="D588" s="5">
        <f>MONTH(Table1[[#This Row],[Date]])</f>
        <v>8</v>
      </c>
      <c r="E588" s="5">
        <f>WEEKNUM(Table1[[#This Row],[Date]])</f>
        <v>33</v>
      </c>
      <c r="F588" s="5">
        <f>YEAR(Table1[[#This Row],[Date]])</f>
        <v>2021</v>
      </c>
      <c r="G588">
        <v>143</v>
      </c>
      <c r="L588" s="5">
        <v>167</v>
      </c>
      <c r="M588" s="6">
        <v>0.98240000000000005</v>
      </c>
      <c r="N588" s="5">
        <v>3</v>
      </c>
      <c r="O588" s="7">
        <v>6.9444444444444444E-5</v>
      </c>
      <c r="P588" s="7">
        <v>1.7939814814814815E-3</v>
      </c>
      <c r="Q588" s="7">
        <v>2.5462962962962965E-3</v>
      </c>
      <c r="R588" s="6">
        <v>0.94079999999999997</v>
      </c>
      <c r="S588" s="8">
        <f>CONVERT(Table1[[#This Row],[Talk Duration (AVG)]]*Table1[[#This Row],[Answered Calls]],"day","hr")</f>
        <v>7.1902777777777782</v>
      </c>
      <c r="T588" s="9">
        <f>Table1[[#This Row],[Actual Workload hours]]*60</f>
        <v>431.41666666666669</v>
      </c>
      <c r="U588" s="9">
        <f>CONVERT(Table1[[#This Row],[Actual]]*Table1[[#This Row],[Talk Duration (AVG)]],"day","hr")</f>
        <v>6.1569444444444441</v>
      </c>
      <c r="V588" s="10">
        <f>Table1[[#This Row],[Required Workload Hours]]*60</f>
        <v>369.41666666666663</v>
      </c>
      <c r="W588" s="9">
        <v>1.1200000000000001</v>
      </c>
      <c r="X588" s="9">
        <f t="shared" si="18"/>
        <v>1</v>
      </c>
      <c r="Y588" s="5">
        <f t="shared" si="19"/>
        <v>2</v>
      </c>
      <c r="Z588" s="8">
        <f>ROUNDUP(Table1[[#This Row],[Actual Heacount]],0)</f>
        <v>2</v>
      </c>
      <c r="AA588" s="8"/>
      <c r="AB588" s="10"/>
      <c r="AC588" s="10"/>
      <c r="AD588" s="10"/>
      <c r="AE588" s="11">
        <v>14.98536865028812</v>
      </c>
      <c r="AF588" s="11">
        <v>242.18528323097891</v>
      </c>
      <c r="AG588" t="s">
        <v>34</v>
      </c>
    </row>
    <row r="589" spans="1:33">
      <c r="A589" s="2">
        <v>44422</v>
      </c>
      <c r="B589" s="5" t="s">
        <v>40</v>
      </c>
      <c r="C589" s="5">
        <f>WEEKDAY(Table1[[#This Row],[Date]])</f>
        <v>7</v>
      </c>
      <c r="D589" s="5">
        <f>MONTH(Table1[[#This Row],[Date]])</f>
        <v>8</v>
      </c>
      <c r="E589" s="5">
        <f>WEEKNUM(Table1[[#This Row],[Date]])</f>
        <v>33</v>
      </c>
      <c r="F589" s="5">
        <f>YEAR(Table1[[#This Row],[Date]])</f>
        <v>2021</v>
      </c>
      <c r="G589">
        <v>100</v>
      </c>
      <c r="L589" s="5">
        <v>168</v>
      </c>
      <c r="M589" s="6">
        <v>0.89839999999999998</v>
      </c>
      <c r="N589" s="5">
        <v>19</v>
      </c>
      <c r="O589" s="7">
        <v>3.0092592592592595E-4</v>
      </c>
      <c r="P589" s="7">
        <v>1.6203703703703703E-3</v>
      </c>
      <c r="Q589" s="7">
        <v>3.3449074074074076E-3</v>
      </c>
      <c r="R589" s="6">
        <v>0.70430000000000004</v>
      </c>
      <c r="S589" s="8">
        <f>CONVERT(Table1[[#This Row],[Talk Duration (AVG)]]*Table1[[#This Row],[Answered Calls]],"day","hr")</f>
        <v>6.5333333333333323</v>
      </c>
      <c r="T589" s="9">
        <f>Table1[[#This Row],[Actual Workload hours]]*60</f>
        <v>391.99999999999994</v>
      </c>
      <c r="U589" s="9">
        <f>CONVERT(Table1[[#This Row],[Actual]]*Table1[[#This Row],[Talk Duration (AVG)]],"day","hr")</f>
        <v>3.8888888888888888</v>
      </c>
      <c r="V589" s="10">
        <f>Table1[[#This Row],[Required Workload Hours]]*60</f>
        <v>233.33333333333334</v>
      </c>
      <c r="W589" s="9">
        <v>1.02</v>
      </c>
      <c r="X589" s="9">
        <f t="shared" si="18"/>
        <v>1</v>
      </c>
      <c r="Y589" s="5">
        <f t="shared" si="19"/>
        <v>2</v>
      </c>
      <c r="Z589" s="8">
        <f>ROUNDUP(Table1[[#This Row],[Actual Heacount]],0)</f>
        <v>2</v>
      </c>
      <c r="AA589" s="8"/>
      <c r="AB589" s="10"/>
      <c r="AC589" s="10"/>
      <c r="AD589" s="10"/>
      <c r="AE589" s="11">
        <v>25.957117303899821</v>
      </c>
      <c r="AF589" s="11">
        <v>250.85510220378001</v>
      </c>
      <c r="AG589" t="s">
        <v>34</v>
      </c>
    </row>
    <row r="590" spans="1:33">
      <c r="A590" s="2">
        <v>44423</v>
      </c>
      <c r="B590" s="5" t="s">
        <v>33</v>
      </c>
      <c r="C590" s="5">
        <f>WEEKDAY(Table1[[#This Row],[Date]])</f>
        <v>1</v>
      </c>
      <c r="D590" s="5">
        <f>MONTH(Table1[[#This Row],[Date]])</f>
        <v>8</v>
      </c>
      <c r="E590" s="5">
        <f>WEEKNUM(Table1[[#This Row],[Date]])</f>
        <v>34</v>
      </c>
      <c r="F590" s="5">
        <f>YEAR(Table1[[#This Row],[Date]])</f>
        <v>2021</v>
      </c>
      <c r="G590">
        <v>17</v>
      </c>
      <c r="L590" s="5">
        <v>51</v>
      </c>
      <c r="M590" s="6">
        <v>0.96230000000000004</v>
      </c>
      <c r="N590" s="5">
        <v>2</v>
      </c>
      <c r="O590" s="7">
        <v>6.9444444444444444E-5</v>
      </c>
      <c r="P590" s="7">
        <v>1.724537037037037E-3</v>
      </c>
      <c r="Q590" s="7">
        <v>1.2731481481481483E-3</v>
      </c>
      <c r="R590" s="6">
        <v>0.88680000000000003</v>
      </c>
      <c r="S590" s="8">
        <f>CONVERT(Table1[[#This Row],[Talk Duration (AVG)]]*Table1[[#This Row],[Answered Calls]],"day","hr")</f>
        <v>2.1108333333333333</v>
      </c>
      <c r="T590" s="9">
        <f>Table1[[#This Row],[Actual Workload hours]]*60</f>
        <v>126.65</v>
      </c>
      <c r="U590" s="9">
        <f>CONVERT(Table1[[#This Row],[Actual]]*Table1[[#This Row],[Talk Duration (AVG)]],"day","hr")</f>
        <v>0.70361111111111108</v>
      </c>
      <c r="V590" s="10">
        <f>Table1[[#This Row],[Required Workload Hours]]*60</f>
        <v>42.216666666666661</v>
      </c>
      <c r="W590" s="9">
        <v>1</v>
      </c>
      <c r="X590" s="9">
        <f t="shared" si="18"/>
        <v>1</v>
      </c>
      <c r="Y590" s="5">
        <f t="shared" si="19"/>
        <v>2</v>
      </c>
      <c r="Z590" s="8">
        <f>ROUNDUP(Table1[[#This Row],[Actual Heacount]],0)</f>
        <v>1</v>
      </c>
      <c r="AA590" s="8"/>
      <c r="AB590" s="10"/>
      <c r="AC590" s="10"/>
      <c r="AD590" s="10"/>
      <c r="AE590" s="11">
        <v>-64.649043775968082</v>
      </c>
      <c r="AF590" s="11">
        <v>158.4578535493259</v>
      </c>
      <c r="AG590" t="s">
        <v>34</v>
      </c>
    </row>
    <row r="591" spans="1:33">
      <c r="A591" s="2">
        <v>44424</v>
      </c>
      <c r="B591" s="5" t="s">
        <v>35</v>
      </c>
      <c r="C591" s="5">
        <f>WEEKDAY(Table1[[#This Row],[Date]])</f>
        <v>2</v>
      </c>
      <c r="D591" s="5">
        <f>MONTH(Table1[[#This Row],[Date]])</f>
        <v>8</v>
      </c>
      <c r="E591" s="5">
        <f>WEEKNUM(Table1[[#This Row],[Date]])</f>
        <v>34</v>
      </c>
      <c r="F591" s="5">
        <f>YEAR(Table1[[#This Row],[Date]])</f>
        <v>2021</v>
      </c>
      <c r="G591">
        <v>113</v>
      </c>
      <c r="L591" s="5">
        <v>117</v>
      </c>
      <c r="M591" s="6">
        <v>0.96689999999999998</v>
      </c>
      <c r="N591" s="5">
        <v>4</v>
      </c>
      <c r="O591" s="7">
        <v>1.5046296296296297E-4</v>
      </c>
      <c r="P591" s="7">
        <v>1.8055555555555555E-3</v>
      </c>
      <c r="Q591" s="7">
        <v>1.8634259259259259E-3</v>
      </c>
      <c r="R591" s="6">
        <v>0.85829999999999995</v>
      </c>
      <c r="S591" s="8">
        <f>CONVERT(Table1[[#This Row],[Talk Duration (AVG)]]*Table1[[#This Row],[Answered Calls]],"day","hr")</f>
        <v>5.07</v>
      </c>
      <c r="T591" s="9">
        <f>Table1[[#This Row],[Actual Workload hours]]*60</f>
        <v>304.20000000000005</v>
      </c>
      <c r="U591" s="9">
        <f>CONVERT(Table1[[#This Row],[Actual]]*Table1[[#This Row],[Talk Duration (AVG)]],"day","hr")</f>
        <v>4.8966666666666665</v>
      </c>
      <c r="V591" s="10">
        <f>Table1[[#This Row],[Required Workload Hours]]*60</f>
        <v>293.8</v>
      </c>
      <c r="W591" s="9">
        <v>1</v>
      </c>
      <c r="X591" s="9">
        <f t="shared" si="18"/>
        <v>1</v>
      </c>
      <c r="Y591" s="5">
        <f t="shared" si="19"/>
        <v>2</v>
      </c>
      <c r="Z591" s="8">
        <f>ROUNDUP(Table1[[#This Row],[Actual Heacount]],0)</f>
        <v>1</v>
      </c>
      <c r="AA591" s="8"/>
      <c r="AB591" s="10"/>
      <c r="AC591" s="10"/>
      <c r="AD591" s="10"/>
      <c r="AE591" s="11">
        <v>36.409416558060443</v>
      </c>
      <c r="AF591" s="11">
        <v>251.08652114405629</v>
      </c>
      <c r="AG591" t="s">
        <v>34</v>
      </c>
    </row>
    <row r="592" spans="1:33">
      <c r="A592" s="2">
        <v>44425</v>
      </c>
      <c r="B592" s="5" t="s">
        <v>36</v>
      </c>
      <c r="C592" s="5">
        <f>WEEKDAY(Table1[[#This Row],[Date]])</f>
        <v>3</v>
      </c>
      <c r="D592" s="5">
        <f>MONTH(Table1[[#This Row],[Date]])</f>
        <v>8</v>
      </c>
      <c r="E592" s="5">
        <f>WEEKNUM(Table1[[#This Row],[Date]])</f>
        <v>34</v>
      </c>
      <c r="F592" s="5">
        <f>YEAR(Table1[[#This Row],[Date]])</f>
        <v>2021</v>
      </c>
      <c r="G592">
        <v>139</v>
      </c>
      <c r="L592" s="5">
        <v>139</v>
      </c>
      <c r="M592" s="6">
        <v>0.97199999999999998</v>
      </c>
      <c r="N592" s="5">
        <v>4</v>
      </c>
      <c r="O592" s="7">
        <v>5.7870370370370373E-5</v>
      </c>
      <c r="P592" s="7">
        <v>1.6898148148148148E-3</v>
      </c>
      <c r="Q592" s="7">
        <v>1.3425925925925925E-3</v>
      </c>
      <c r="R592" s="6">
        <v>0.94410000000000005</v>
      </c>
      <c r="S592" s="8">
        <f>CONVERT(Table1[[#This Row],[Talk Duration (AVG)]]*Table1[[#This Row],[Answered Calls]],"day","hr")</f>
        <v>5.6372222222222224</v>
      </c>
      <c r="T592" s="9">
        <f>Table1[[#This Row],[Actual Workload hours]]*60</f>
        <v>338.23333333333335</v>
      </c>
      <c r="U592" s="9">
        <f>CONVERT(Table1[[#This Row],[Actual]]*Table1[[#This Row],[Talk Duration (AVG)]],"day","hr")</f>
        <v>5.6372222222222224</v>
      </c>
      <c r="V592" s="10">
        <f>Table1[[#This Row],[Required Workload Hours]]*60</f>
        <v>338.23333333333335</v>
      </c>
      <c r="W592" s="9">
        <v>1</v>
      </c>
      <c r="X592" s="9">
        <f t="shared" si="18"/>
        <v>1</v>
      </c>
      <c r="Y592" s="5">
        <f t="shared" si="19"/>
        <v>2</v>
      </c>
      <c r="Z592" s="8">
        <f>ROUNDUP(Table1[[#This Row],[Actual Heacount]],0)</f>
        <v>1</v>
      </c>
      <c r="AA592" s="8"/>
      <c r="AB592" s="10"/>
      <c r="AC592" s="10"/>
      <c r="AD592" s="10"/>
      <c r="AE592" s="11">
        <v>25.697538806244651</v>
      </c>
      <c r="AF592" s="11">
        <v>244.81793178597329</v>
      </c>
      <c r="AG592" t="s">
        <v>34</v>
      </c>
    </row>
    <row r="593" spans="1:33">
      <c r="A593" s="2">
        <v>44426</v>
      </c>
      <c r="B593" s="5" t="s">
        <v>37</v>
      </c>
      <c r="C593" s="5">
        <f>WEEKDAY(Table1[[#This Row],[Date]])</f>
        <v>4</v>
      </c>
      <c r="D593" s="5">
        <f>MONTH(Table1[[#This Row],[Date]])</f>
        <v>8</v>
      </c>
      <c r="E593" s="5">
        <f>WEEKNUM(Table1[[#This Row],[Date]])</f>
        <v>34</v>
      </c>
      <c r="F593" s="5">
        <f>YEAR(Table1[[#This Row],[Date]])</f>
        <v>2021</v>
      </c>
      <c r="G593">
        <v>135</v>
      </c>
      <c r="L593" s="5">
        <v>96</v>
      </c>
      <c r="M593" s="6">
        <v>0.96</v>
      </c>
      <c r="N593" s="5">
        <v>4</v>
      </c>
      <c r="O593" s="7">
        <v>6.9444444444444444E-5</v>
      </c>
      <c r="P593" s="7">
        <v>1.712962962962963E-3</v>
      </c>
      <c r="Q593" s="7">
        <v>1.2731481481481483E-3</v>
      </c>
      <c r="R593" s="6">
        <v>0.91920000000000002</v>
      </c>
      <c r="S593" s="8">
        <f>CONVERT(Table1[[#This Row],[Talk Duration (AVG)]]*Table1[[#This Row],[Answered Calls]],"day","hr")</f>
        <v>3.9466666666666668</v>
      </c>
      <c r="T593" s="9">
        <f>Table1[[#This Row],[Actual Workload hours]]*60</f>
        <v>236.8</v>
      </c>
      <c r="U593" s="9">
        <f>CONVERT(Table1[[#This Row],[Actual]]*Table1[[#This Row],[Talk Duration (AVG)]],"day","hr")</f>
        <v>5.55</v>
      </c>
      <c r="V593" s="10">
        <f>Table1[[#This Row],[Required Workload Hours]]*60</f>
        <v>333</v>
      </c>
      <c r="W593" s="9">
        <v>1</v>
      </c>
      <c r="X593" s="9">
        <f t="shared" si="18"/>
        <v>1</v>
      </c>
      <c r="Y593" s="5">
        <f t="shared" si="19"/>
        <v>2</v>
      </c>
      <c r="Z593" s="8">
        <f>ROUNDUP(Table1[[#This Row],[Actual Heacount]],0)</f>
        <v>1</v>
      </c>
      <c r="AA593" s="8"/>
      <c r="AB593" s="10"/>
      <c r="AC593" s="10"/>
      <c r="AD593" s="10"/>
      <c r="AE593" s="11">
        <v>38.080927564668571</v>
      </c>
      <c r="AF593" s="11">
        <v>245.59101398954971</v>
      </c>
      <c r="AG593" t="s">
        <v>34</v>
      </c>
    </row>
    <row r="594" spans="1:33">
      <c r="A594" s="2">
        <v>44427</v>
      </c>
      <c r="B594" s="5" t="s">
        <v>38</v>
      </c>
      <c r="C594" s="5">
        <f>WEEKDAY(Table1[[#This Row],[Date]])</f>
        <v>5</v>
      </c>
      <c r="D594" s="5">
        <f>MONTH(Table1[[#This Row],[Date]])</f>
        <v>8</v>
      </c>
      <c r="E594" s="5">
        <f>WEEKNUM(Table1[[#This Row],[Date]])</f>
        <v>34</v>
      </c>
      <c r="F594" s="5">
        <f>YEAR(Table1[[#This Row],[Date]])</f>
        <v>2021</v>
      </c>
      <c r="G594">
        <v>29</v>
      </c>
      <c r="L594" s="5">
        <v>17</v>
      </c>
      <c r="M594" s="6">
        <v>1</v>
      </c>
      <c r="N594" s="5">
        <v>0</v>
      </c>
      <c r="O594" s="7">
        <v>9.2592592592592588E-5</v>
      </c>
      <c r="P594" s="7">
        <v>2.0254629629629629E-3</v>
      </c>
      <c r="Q594" s="7">
        <v>6.8287037037037036E-4</v>
      </c>
      <c r="R594" s="6">
        <v>0.88239999999999996</v>
      </c>
      <c r="S594" s="8">
        <f>CONVERT(Table1[[#This Row],[Talk Duration (AVG)]]*Table1[[#This Row],[Answered Calls]],"day","hr")</f>
        <v>0.82638888888888884</v>
      </c>
      <c r="T594" s="9">
        <f>Table1[[#This Row],[Actual Workload hours]]*60</f>
        <v>49.583333333333329</v>
      </c>
      <c r="U594" s="9">
        <f>CONVERT(Table1[[#This Row],[Actual]]*Table1[[#This Row],[Talk Duration (AVG)]],"day","hr")</f>
        <v>1.4097222222222223</v>
      </c>
      <c r="V594" s="10">
        <f>Table1[[#This Row],[Required Workload Hours]]*60</f>
        <v>84.583333333333343</v>
      </c>
      <c r="W594" s="9">
        <v>1</v>
      </c>
      <c r="X594" s="9">
        <f t="shared" si="18"/>
        <v>1</v>
      </c>
      <c r="Y594" s="5">
        <f t="shared" si="19"/>
        <v>1</v>
      </c>
      <c r="Z594" s="8">
        <f>ROUNDUP(Table1[[#This Row],[Actual Heacount]],0)</f>
        <v>1</v>
      </c>
      <c r="AA594" s="8"/>
      <c r="AB594" s="10"/>
      <c r="AC594" s="10"/>
      <c r="AD594" s="10"/>
      <c r="AE594" s="11">
        <v>26.67107309661526</v>
      </c>
      <c r="AF594" s="11">
        <v>251.0901444056145</v>
      </c>
      <c r="AG594" t="s">
        <v>34</v>
      </c>
    </row>
    <row r="595" spans="1:33">
      <c r="A595" s="2">
        <v>44428</v>
      </c>
      <c r="B595" s="5" t="s">
        <v>39</v>
      </c>
      <c r="C595" s="5">
        <f>WEEKDAY(Table1[[#This Row],[Date]])</f>
        <v>6</v>
      </c>
      <c r="D595" s="5">
        <f>MONTH(Table1[[#This Row],[Date]])</f>
        <v>8</v>
      </c>
      <c r="E595" s="5">
        <f>WEEKNUM(Table1[[#This Row],[Date]])</f>
        <v>34</v>
      </c>
      <c r="F595" s="5">
        <f>YEAR(Table1[[#This Row],[Date]])</f>
        <v>2021</v>
      </c>
      <c r="G595">
        <v>120</v>
      </c>
      <c r="L595" s="5">
        <v>110</v>
      </c>
      <c r="M595" s="6">
        <v>0.97350000000000003</v>
      </c>
      <c r="N595" s="5">
        <v>3</v>
      </c>
      <c r="O595" s="7">
        <v>9.2592592592592588E-5</v>
      </c>
      <c r="P595" s="7">
        <v>1.7708333333333332E-3</v>
      </c>
      <c r="Q595" s="7">
        <v>9.0277777777777774E-4</v>
      </c>
      <c r="R595" s="6">
        <v>0.90180000000000005</v>
      </c>
      <c r="S595" s="8">
        <f>CONVERT(Table1[[#This Row],[Talk Duration (AVG)]]*Table1[[#This Row],[Answered Calls]],"day","hr")</f>
        <v>4.6749999999999998</v>
      </c>
      <c r="T595" s="9">
        <f>Table1[[#This Row],[Actual Workload hours]]*60</f>
        <v>280.5</v>
      </c>
      <c r="U595" s="9">
        <f>CONVERT(Table1[[#This Row],[Actual]]*Table1[[#This Row],[Talk Duration (AVG)]],"day","hr")</f>
        <v>5.0999999999999996</v>
      </c>
      <c r="V595" s="10">
        <f>Table1[[#This Row],[Required Workload Hours]]*60</f>
        <v>306</v>
      </c>
      <c r="W595" s="9">
        <v>1</v>
      </c>
      <c r="X595" s="9">
        <f t="shared" si="18"/>
        <v>1</v>
      </c>
      <c r="Y595" s="5">
        <f t="shared" si="19"/>
        <v>2</v>
      </c>
      <c r="Z595" s="8">
        <f>ROUNDUP(Table1[[#This Row],[Actual Heacount]],0)</f>
        <v>1</v>
      </c>
      <c r="AA595" s="8"/>
      <c r="AB595" s="10"/>
      <c r="AC595" s="10"/>
      <c r="AD595" s="10"/>
      <c r="AE595" s="11">
        <v>19.424853803859431</v>
      </c>
      <c r="AF595" s="11">
        <v>241.02399732191671</v>
      </c>
      <c r="AG595" t="s">
        <v>34</v>
      </c>
    </row>
    <row r="596" spans="1:33">
      <c r="A596" s="2">
        <v>44429</v>
      </c>
      <c r="B596" s="5" t="s">
        <v>40</v>
      </c>
      <c r="C596" s="5">
        <f>WEEKDAY(Table1[[#This Row],[Date]])</f>
        <v>7</v>
      </c>
      <c r="D596" s="5">
        <f>MONTH(Table1[[#This Row],[Date]])</f>
        <v>8</v>
      </c>
      <c r="E596" s="5">
        <f>WEEKNUM(Table1[[#This Row],[Date]])</f>
        <v>34</v>
      </c>
      <c r="F596" s="5">
        <f>YEAR(Table1[[#This Row],[Date]])</f>
        <v>2021</v>
      </c>
      <c r="G596">
        <v>115</v>
      </c>
      <c r="L596" s="5">
        <v>128</v>
      </c>
      <c r="M596" s="6">
        <v>0.92090000000000005</v>
      </c>
      <c r="N596" s="5">
        <v>11</v>
      </c>
      <c r="O596" s="7">
        <v>1.5046296296296297E-4</v>
      </c>
      <c r="P596" s="7">
        <v>1.8287037037037037E-3</v>
      </c>
      <c r="Q596" s="7">
        <v>2.5462962962962965E-3</v>
      </c>
      <c r="R596" s="6">
        <v>0.82010000000000005</v>
      </c>
      <c r="S596" s="8">
        <f>CONVERT(Table1[[#This Row],[Talk Duration (AVG)]]*Table1[[#This Row],[Answered Calls]],"day","hr")</f>
        <v>5.6177777777777775</v>
      </c>
      <c r="T596" s="9">
        <f>Table1[[#This Row],[Actual Workload hours]]*60</f>
        <v>337.06666666666666</v>
      </c>
      <c r="U596" s="9">
        <f>CONVERT(Table1[[#This Row],[Actual]]*Table1[[#This Row],[Talk Duration (AVG)]],"day","hr")</f>
        <v>5.0472222222222225</v>
      </c>
      <c r="V596" s="10">
        <f>Table1[[#This Row],[Required Workload Hours]]*60</f>
        <v>302.83333333333337</v>
      </c>
      <c r="W596" s="9">
        <v>1</v>
      </c>
      <c r="X596" s="9">
        <f t="shared" si="18"/>
        <v>1</v>
      </c>
      <c r="Y596" s="5">
        <f t="shared" si="19"/>
        <v>2</v>
      </c>
      <c r="Z596" s="8">
        <f>ROUNDUP(Table1[[#This Row],[Actual Heacount]],0)</f>
        <v>1</v>
      </c>
      <c r="AA596" s="8"/>
      <c r="AB596" s="10"/>
      <c r="AC596" s="10"/>
      <c r="AD596" s="10"/>
      <c r="AE596" s="11">
        <v>32.087356748485739</v>
      </c>
      <c r="AF596" s="11">
        <v>251.09556850449121</v>
      </c>
      <c r="AG596" t="s">
        <v>34</v>
      </c>
    </row>
    <row r="597" spans="1:33">
      <c r="A597" s="2">
        <v>44430</v>
      </c>
      <c r="B597" s="5" t="s">
        <v>33</v>
      </c>
      <c r="C597" s="5">
        <f>WEEKDAY(Table1[[#This Row],[Date]])</f>
        <v>1</v>
      </c>
      <c r="D597" s="5">
        <f>MONTH(Table1[[#This Row],[Date]])</f>
        <v>8</v>
      </c>
      <c r="E597" s="5">
        <f>WEEKNUM(Table1[[#This Row],[Date]])</f>
        <v>35</v>
      </c>
      <c r="F597" s="5">
        <f>YEAR(Table1[[#This Row],[Date]])</f>
        <v>2021</v>
      </c>
      <c r="G597">
        <v>14</v>
      </c>
      <c r="L597" s="5">
        <v>134</v>
      </c>
      <c r="M597" s="6">
        <v>0.99260000000000004</v>
      </c>
      <c r="N597" s="5">
        <v>1</v>
      </c>
      <c r="O597" s="7">
        <v>4.6296296296296294E-5</v>
      </c>
      <c r="P597" s="7">
        <v>1.7824074074074075E-3</v>
      </c>
      <c r="Q597" s="7">
        <v>1.2731481481481483E-3</v>
      </c>
      <c r="R597" s="6">
        <v>0.98519999999999996</v>
      </c>
      <c r="S597" s="8">
        <f>CONVERT(Table1[[#This Row],[Talk Duration (AVG)]]*Table1[[#This Row],[Answered Calls]],"day","hr")</f>
        <v>5.7322222222222221</v>
      </c>
      <c r="T597" s="9">
        <f>Table1[[#This Row],[Actual Workload hours]]*60</f>
        <v>343.93333333333334</v>
      </c>
      <c r="U597" s="9">
        <f>CONVERT(Table1[[#This Row],[Actual]]*Table1[[#This Row],[Talk Duration (AVG)]],"day","hr")</f>
        <v>0.59888888888888892</v>
      </c>
      <c r="V597" s="10">
        <f>Table1[[#This Row],[Required Workload Hours]]*60</f>
        <v>35.933333333333337</v>
      </c>
      <c r="W597" s="9">
        <v>1</v>
      </c>
      <c r="X597" s="9">
        <f t="shared" si="18"/>
        <v>1</v>
      </c>
      <c r="Y597" s="5">
        <f t="shared" si="19"/>
        <v>2</v>
      </c>
      <c r="Z597" s="8">
        <f>ROUNDUP(Table1[[#This Row],[Actual Heacount]],0)</f>
        <v>1</v>
      </c>
      <c r="AA597" s="8"/>
      <c r="AB597" s="10"/>
      <c r="AC597" s="10"/>
      <c r="AD597" s="10"/>
      <c r="AE597" s="11">
        <v>-44.783711924785671</v>
      </c>
      <c r="AF597" s="11">
        <v>165.97972217659091</v>
      </c>
      <c r="AG597" t="s">
        <v>34</v>
      </c>
    </row>
    <row r="598" spans="1:33">
      <c r="A598" s="2">
        <v>44431</v>
      </c>
      <c r="B598" s="5" t="s">
        <v>35</v>
      </c>
      <c r="C598" s="5">
        <f>WEEKDAY(Table1[[#This Row],[Date]])</f>
        <v>2</v>
      </c>
      <c r="D598" s="5">
        <f>MONTH(Table1[[#This Row],[Date]])</f>
        <v>8</v>
      </c>
      <c r="E598" s="5">
        <f>WEEKNUM(Table1[[#This Row],[Date]])</f>
        <v>35</v>
      </c>
      <c r="F598" s="5">
        <f>YEAR(Table1[[#This Row],[Date]])</f>
        <v>2021</v>
      </c>
      <c r="G598">
        <v>107</v>
      </c>
      <c r="L598" s="5">
        <v>29</v>
      </c>
      <c r="M598" s="6">
        <v>1</v>
      </c>
      <c r="N598" s="5">
        <v>0</v>
      </c>
      <c r="O598" s="7">
        <v>1.7361111111111112E-4</v>
      </c>
      <c r="P598" s="7">
        <v>2.2337962962962962E-3</v>
      </c>
      <c r="Q598" s="7">
        <v>1.0300925925925926E-3</v>
      </c>
      <c r="R598" s="6">
        <v>0.79310000000000003</v>
      </c>
      <c r="S598" s="8">
        <f>CONVERT(Table1[[#This Row],[Talk Duration (AVG)]]*Table1[[#This Row],[Answered Calls]],"day","hr")</f>
        <v>1.5547222222222221</v>
      </c>
      <c r="T598" s="9">
        <f>Table1[[#This Row],[Actual Workload hours]]*60</f>
        <v>93.283333333333331</v>
      </c>
      <c r="U598" s="9">
        <f>CONVERT(Table1[[#This Row],[Actual]]*Table1[[#This Row],[Talk Duration (AVG)]],"day","hr")</f>
        <v>5.7363888888888885</v>
      </c>
      <c r="V598" s="10">
        <f>Table1[[#This Row],[Required Workload Hours]]*60</f>
        <v>344.18333333333334</v>
      </c>
      <c r="W598" s="9">
        <v>1</v>
      </c>
      <c r="X598" s="9">
        <f t="shared" si="18"/>
        <v>1</v>
      </c>
      <c r="Y598" s="5">
        <f t="shared" si="19"/>
        <v>2</v>
      </c>
      <c r="Z598" s="8">
        <f>ROUNDUP(Table1[[#This Row],[Actual Heacount]],0)</f>
        <v>1</v>
      </c>
      <c r="AA598" s="8"/>
      <c r="AB598" s="10"/>
      <c r="AC598" s="10"/>
      <c r="AD598" s="10"/>
      <c r="AE598" s="11">
        <v>36.892345118120758</v>
      </c>
      <c r="AF598" s="11">
        <v>247.25939021280919</v>
      </c>
      <c r="AG598" t="s">
        <v>34</v>
      </c>
    </row>
    <row r="599" spans="1:33">
      <c r="A599" s="2">
        <v>44432</v>
      </c>
      <c r="B599" s="5" t="s">
        <v>36</v>
      </c>
      <c r="C599" s="5">
        <f>WEEKDAY(Table1[[#This Row],[Date]])</f>
        <v>3</v>
      </c>
      <c r="D599" s="5">
        <f>MONTH(Table1[[#This Row],[Date]])</f>
        <v>8</v>
      </c>
      <c r="E599" s="5">
        <f>WEEKNUM(Table1[[#This Row],[Date]])</f>
        <v>35</v>
      </c>
      <c r="F599" s="5">
        <f>YEAR(Table1[[#This Row],[Date]])</f>
        <v>2021</v>
      </c>
      <c r="G599">
        <v>137</v>
      </c>
      <c r="L599" s="5">
        <v>116</v>
      </c>
      <c r="M599" s="6">
        <v>0.9667</v>
      </c>
      <c r="N599" s="5">
        <v>4</v>
      </c>
      <c r="O599" s="7">
        <v>5.7870370370370373E-5</v>
      </c>
      <c r="P599" s="7">
        <v>1.8865740740740742E-3</v>
      </c>
      <c r="Q599" s="7">
        <v>1.9097222222222222E-3</v>
      </c>
      <c r="R599" s="6">
        <v>0.95830000000000004</v>
      </c>
      <c r="S599" s="8">
        <f>CONVERT(Table1[[#This Row],[Talk Duration (AVG)]]*Table1[[#This Row],[Answered Calls]],"day","hr")</f>
        <v>5.2522222222222226</v>
      </c>
      <c r="T599" s="9">
        <f>Table1[[#This Row],[Actual Workload hours]]*60</f>
        <v>315.13333333333333</v>
      </c>
      <c r="U599" s="9">
        <f>CONVERT(Table1[[#This Row],[Actual]]*Table1[[#This Row],[Talk Duration (AVG)]],"day","hr")</f>
        <v>6.2030555555555562</v>
      </c>
      <c r="V599" s="10">
        <f>Table1[[#This Row],[Required Workload Hours]]*60</f>
        <v>372.18333333333339</v>
      </c>
      <c r="W599" s="9">
        <v>1</v>
      </c>
      <c r="X599" s="9">
        <f t="shared" si="18"/>
        <v>1</v>
      </c>
      <c r="Y599" s="5">
        <f t="shared" si="19"/>
        <v>2</v>
      </c>
      <c r="Z599" s="8">
        <f>ROUNDUP(Table1[[#This Row],[Actual Heacount]],0)</f>
        <v>1</v>
      </c>
      <c r="AA599" s="8"/>
      <c r="AB599" s="10"/>
      <c r="AC599" s="10"/>
      <c r="AD599" s="10"/>
      <c r="AE599" s="11">
        <v>18.04488862603332</v>
      </c>
      <c r="AF599" s="11">
        <v>245.67471532521651</v>
      </c>
      <c r="AG599" t="s">
        <v>34</v>
      </c>
    </row>
    <row r="600" spans="1:33">
      <c r="A600" s="2">
        <v>44433</v>
      </c>
      <c r="B600" s="5" t="s">
        <v>37</v>
      </c>
      <c r="C600" s="5">
        <f>WEEKDAY(Table1[[#This Row],[Date]])</f>
        <v>4</v>
      </c>
      <c r="D600" s="5">
        <f>MONTH(Table1[[#This Row],[Date]])</f>
        <v>8</v>
      </c>
      <c r="E600" s="5">
        <f>WEEKNUM(Table1[[#This Row],[Date]])</f>
        <v>35</v>
      </c>
      <c r="F600" s="5">
        <f>YEAR(Table1[[#This Row],[Date]])</f>
        <v>2021</v>
      </c>
      <c r="G600">
        <v>106</v>
      </c>
      <c r="L600" s="5">
        <v>108</v>
      </c>
      <c r="M600" s="6">
        <v>0.93910000000000005</v>
      </c>
      <c r="N600" s="5">
        <v>7</v>
      </c>
      <c r="O600" s="7">
        <v>1.0416666666666667E-4</v>
      </c>
      <c r="P600" s="7">
        <v>1.9675925925925924E-3</v>
      </c>
      <c r="Q600" s="7">
        <v>3.0671296296296297E-3</v>
      </c>
      <c r="R600" s="6">
        <v>0.88700000000000001</v>
      </c>
      <c r="S600" s="8">
        <f>CONVERT(Table1[[#This Row],[Talk Duration (AVG)]]*Table1[[#This Row],[Answered Calls]],"day","hr")</f>
        <v>5.0999999999999988</v>
      </c>
      <c r="T600" s="9">
        <f>Table1[[#This Row],[Actual Workload hours]]*60</f>
        <v>305.99999999999994</v>
      </c>
      <c r="U600" s="9">
        <f>CONVERT(Table1[[#This Row],[Actual]]*Table1[[#This Row],[Talk Duration (AVG)]],"day","hr")</f>
        <v>5.0055555555555546</v>
      </c>
      <c r="V600" s="10">
        <f>Table1[[#This Row],[Required Workload Hours]]*60</f>
        <v>300.33333333333326</v>
      </c>
      <c r="W600" s="9">
        <v>1</v>
      </c>
      <c r="X600" s="9">
        <f t="shared" si="18"/>
        <v>1</v>
      </c>
      <c r="Y600" s="5">
        <f t="shared" si="19"/>
        <v>2</v>
      </c>
      <c r="Z600" s="8">
        <f>ROUNDUP(Table1[[#This Row],[Actual Heacount]],0)</f>
        <v>1</v>
      </c>
      <c r="AA600" s="8"/>
      <c r="AB600" s="10"/>
      <c r="AC600" s="10"/>
      <c r="AD600" s="10"/>
      <c r="AE600" s="11">
        <v>28.58178891926876</v>
      </c>
      <c r="AF600" s="11">
        <v>261.02991061965429</v>
      </c>
      <c r="AG600" t="s">
        <v>34</v>
      </c>
    </row>
    <row r="601" spans="1:33">
      <c r="A601" s="2">
        <v>44434</v>
      </c>
      <c r="B601" s="5" t="s">
        <v>38</v>
      </c>
      <c r="C601" s="5">
        <f>WEEKDAY(Table1[[#This Row],[Date]])</f>
        <v>5</v>
      </c>
      <c r="D601" s="5">
        <f>MONTH(Table1[[#This Row],[Date]])</f>
        <v>8</v>
      </c>
      <c r="E601" s="5">
        <f>WEEKNUM(Table1[[#This Row],[Date]])</f>
        <v>35</v>
      </c>
      <c r="F601" s="5">
        <f>YEAR(Table1[[#This Row],[Date]])</f>
        <v>2021</v>
      </c>
      <c r="G601">
        <v>116</v>
      </c>
      <c r="L601" s="5">
        <v>14</v>
      </c>
      <c r="M601" s="6">
        <v>1</v>
      </c>
      <c r="N601" s="5">
        <v>0</v>
      </c>
      <c r="O601" s="7">
        <v>1.6203703703703703E-4</v>
      </c>
      <c r="P601" s="7">
        <v>1.5856481481481481E-3</v>
      </c>
      <c r="Q601" s="7">
        <v>8.564814814814815E-4</v>
      </c>
      <c r="R601" s="6">
        <v>0.78569999999999995</v>
      </c>
      <c r="S601" s="8">
        <f>CONVERT(Table1[[#This Row],[Talk Duration (AVG)]]*Table1[[#This Row],[Answered Calls]],"day","hr")</f>
        <v>0.53277777777777768</v>
      </c>
      <c r="T601" s="9">
        <f>Table1[[#This Row],[Actual Workload hours]]*60</f>
        <v>31.966666666666661</v>
      </c>
      <c r="U601" s="9">
        <f>CONVERT(Table1[[#This Row],[Actual]]*Table1[[#This Row],[Talk Duration (AVG)]],"day","hr")</f>
        <v>4.4144444444444435</v>
      </c>
      <c r="V601" s="10">
        <f>Table1[[#This Row],[Required Workload Hours]]*60</f>
        <v>264.86666666666662</v>
      </c>
      <c r="W601" s="9">
        <v>1</v>
      </c>
      <c r="X601" s="9">
        <f t="shared" si="18"/>
        <v>1</v>
      </c>
      <c r="Y601" s="5">
        <f t="shared" si="19"/>
        <v>1</v>
      </c>
      <c r="Z601" s="8">
        <f>ROUNDUP(Table1[[#This Row],[Actual Heacount]],0)</f>
        <v>1</v>
      </c>
      <c r="AA601" s="8"/>
      <c r="AB601" s="10"/>
      <c r="AC601" s="10"/>
      <c r="AD601" s="10"/>
      <c r="AE601" s="11">
        <v>29.646257492747111</v>
      </c>
      <c r="AF601" s="11">
        <v>252.37527120900191</v>
      </c>
      <c r="AG601" t="s">
        <v>34</v>
      </c>
    </row>
    <row r="602" spans="1:33">
      <c r="A602" s="2">
        <v>44435</v>
      </c>
      <c r="B602" s="5" t="s">
        <v>39</v>
      </c>
      <c r="C602" s="5">
        <f>WEEKDAY(Table1[[#This Row],[Date]])</f>
        <v>6</v>
      </c>
      <c r="D602" s="5">
        <f>MONTH(Table1[[#This Row],[Date]])</f>
        <v>8</v>
      </c>
      <c r="E602" s="5">
        <f>WEEKNUM(Table1[[#This Row],[Date]])</f>
        <v>35</v>
      </c>
      <c r="F602" s="5">
        <f>YEAR(Table1[[#This Row],[Date]])</f>
        <v>2021</v>
      </c>
      <c r="G602">
        <v>120</v>
      </c>
      <c r="L602" s="5">
        <v>104</v>
      </c>
      <c r="M602" s="6">
        <v>0.97199999999999998</v>
      </c>
      <c r="N602" s="5">
        <v>3</v>
      </c>
      <c r="O602" s="7">
        <v>8.1018518518518516E-5</v>
      </c>
      <c r="P602" s="7">
        <v>1.724537037037037E-3</v>
      </c>
      <c r="Q602" s="7">
        <v>6.7129629629629625E-4</v>
      </c>
      <c r="R602" s="6">
        <v>0.90569999999999995</v>
      </c>
      <c r="S602" s="8">
        <f>CONVERT(Table1[[#This Row],[Talk Duration (AVG)]]*Table1[[#This Row],[Answered Calls]],"day","hr")</f>
        <v>4.3044444444444441</v>
      </c>
      <c r="T602" s="9">
        <f>Table1[[#This Row],[Actual Workload hours]]*60</f>
        <v>258.26666666666665</v>
      </c>
      <c r="U602" s="9">
        <f>CONVERT(Table1[[#This Row],[Actual]]*Table1[[#This Row],[Talk Duration (AVG)]],"day","hr")</f>
        <v>4.9666666666666668</v>
      </c>
      <c r="V602" s="10">
        <f>Table1[[#This Row],[Required Workload Hours]]*60</f>
        <v>298</v>
      </c>
      <c r="W602" s="9">
        <v>1</v>
      </c>
      <c r="X602" s="9">
        <f t="shared" si="18"/>
        <v>1</v>
      </c>
      <c r="Y602" s="5">
        <f t="shared" si="19"/>
        <v>2</v>
      </c>
      <c r="Z602" s="8">
        <f>ROUNDUP(Table1[[#This Row],[Actual Heacount]],0)</f>
        <v>1</v>
      </c>
      <c r="AA602" s="8"/>
      <c r="AB602" s="10"/>
      <c r="AC602" s="10"/>
      <c r="AD602" s="10"/>
      <c r="AE602" s="11">
        <v>31.19438213661417</v>
      </c>
      <c r="AF602" s="11">
        <v>242.58907187725271</v>
      </c>
      <c r="AG602" t="s">
        <v>34</v>
      </c>
    </row>
    <row r="603" spans="1:33">
      <c r="A603" s="2">
        <v>44436</v>
      </c>
      <c r="B603" s="5" t="s">
        <v>40</v>
      </c>
      <c r="C603" s="5">
        <f>WEEKDAY(Table1[[#This Row],[Date]])</f>
        <v>7</v>
      </c>
      <c r="D603" s="5">
        <f>MONTH(Table1[[#This Row],[Date]])</f>
        <v>8</v>
      </c>
      <c r="E603" s="5">
        <f>WEEKNUM(Table1[[#This Row],[Date]])</f>
        <v>35</v>
      </c>
      <c r="F603" s="5">
        <f>YEAR(Table1[[#This Row],[Date]])</f>
        <v>2021</v>
      </c>
      <c r="G603">
        <v>123</v>
      </c>
      <c r="L603" s="5">
        <v>128</v>
      </c>
      <c r="M603" s="6">
        <v>0.93430000000000002</v>
      </c>
      <c r="N603" s="5">
        <v>9</v>
      </c>
      <c r="O603" s="7">
        <v>1.1574074074074075E-4</v>
      </c>
      <c r="P603" s="7">
        <v>1.736111111111111E-3</v>
      </c>
      <c r="Q603" s="7">
        <v>1.4236111111111112E-3</v>
      </c>
      <c r="R603" s="6">
        <v>0.85289999999999999</v>
      </c>
      <c r="S603" s="8">
        <f>CONVERT(Table1[[#This Row],[Talk Duration (AVG)]]*Table1[[#This Row],[Answered Calls]],"day","hr")</f>
        <v>5.333333333333333</v>
      </c>
      <c r="T603" s="9">
        <f>Table1[[#This Row],[Actual Workload hours]]*60</f>
        <v>320</v>
      </c>
      <c r="U603" s="9">
        <f>CONVERT(Table1[[#This Row],[Actual]]*Table1[[#This Row],[Talk Duration (AVG)]],"day","hr")</f>
        <v>5.125</v>
      </c>
      <c r="V603" s="10">
        <f>Table1[[#This Row],[Required Workload Hours]]*60</f>
        <v>307.5</v>
      </c>
      <c r="W603" s="9">
        <v>1</v>
      </c>
      <c r="X603" s="9">
        <f t="shared" si="18"/>
        <v>1</v>
      </c>
      <c r="Y603" s="5">
        <f t="shared" si="19"/>
        <v>2</v>
      </c>
      <c r="Z603" s="8">
        <f>ROUNDUP(Table1[[#This Row],[Actual Heacount]],0)</f>
        <v>1</v>
      </c>
      <c r="AA603" s="8"/>
      <c r="AB603" s="10"/>
      <c r="AC603" s="10"/>
      <c r="AD603" s="10"/>
      <c r="AE603" s="11">
        <v>41.250714233506507</v>
      </c>
      <c r="AF603" s="11">
        <v>251.3258070253616</v>
      </c>
      <c r="AG603" t="s">
        <v>34</v>
      </c>
    </row>
    <row r="604" spans="1:33">
      <c r="A604" s="2">
        <v>44437</v>
      </c>
      <c r="B604" s="5" t="s">
        <v>33</v>
      </c>
      <c r="C604" s="5">
        <f>WEEKDAY(Table1[[#This Row],[Date]])</f>
        <v>1</v>
      </c>
      <c r="D604" s="5">
        <f>MONTH(Table1[[#This Row],[Date]])</f>
        <v>8</v>
      </c>
      <c r="E604" s="5">
        <f>WEEKNUM(Table1[[#This Row],[Date]])</f>
        <v>36</v>
      </c>
      <c r="F604" s="5">
        <f>YEAR(Table1[[#This Row],[Date]])</f>
        <v>2021</v>
      </c>
      <c r="G604">
        <v>31</v>
      </c>
      <c r="L604" s="5">
        <v>105</v>
      </c>
      <c r="M604" s="6">
        <v>0.99060000000000004</v>
      </c>
      <c r="N604" s="5">
        <v>1</v>
      </c>
      <c r="O604" s="7">
        <v>1.273148148148148E-4</v>
      </c>
      <c r="P604" s="7">
        <v>1.9328703703703704E-3</v>
      </c>
      <c r="Q604" s="7">
        <v>1.3078703703703703E-3</v>
      </c>
      <c r="R604" s="6">
        <v>0.85850000000000004</v>
      </c>
      <c r="S604" s="8">
        <f>CONVERT(Table1[[#This Row],[Talk Duration (AVG)]]*Table1[[#This Row],[Answered Calls]],"day","hr")</f>
        <v>4.8708333333333336</v>
      </c>
      <c r="T604" s="9">
        <f>Table1[[#This Row],[Actual Workload hours]]*60</f>
        <v>292.25</v>
      </c>
      <c r="U604" s="9">
        <f>CONVERT(Table1[[#This Row],[Actual]]*Table1[[#This Row],[Talk Duration (AVG)]],"day","hr")</f>
        <v>1.4380555555555556</v>
      </c>
      <c r="V604" s="10">
        <f>Table1[[#This Row],[Required Workload Hours]]*60</f>
        <v>86.283333333333331</v>
      </c>
      <c r="W604" s="9">
        <v>1</v>
      </c>
      <c r="X604" s="9">
        <f t="shared" si="18"/>
        <v>1</v>
      </c>
      <c r="Y604" s="5">
        <f t="shared" si="19"/>
        <v>2</v>
      </c>
      <c r="Z604" s="8">
        <f>ROUNDUP(Table1[[#This Row],[Actual Heacount]],0)</f>
        <v>1</v>
      </c>
      <c r="AA604" s="8"/>
      <c r="AB604" s="10"/>
      <c r="AC604" s="10"/>
      <c r="AD604" s="10"/>
      <c r="AE604" s="11">
        <v>-43.942905168896758</v>
      </c>
      <c r="AF604" s="11">
        <v>165.93400811095</v>
      </c>
      <c r="AG604" t="s">
        <v>34</v>
      </c>
    </row>
    <row r="605" spans="1:33">
      <c r="A605" s="2">
        <v>44438</v>
      </c>
      <c r="B605" s="5" t="s">
        <v>35</v>
      </c>
      <c r="C605" s="5">
        <f>WEEKDAY(Table1[[#This Row],[Date]])</f>
        <v>2</v>
      </c>
      <c r="D605" s="5">
        <f>MONTH(Table1[[#This Row],[Date]])</f>
        <v>8</v>
      </c>
      <c r="E605" s="5">
        <f>WEEKNUM(Table1[[#This Row],[Date]])</f>
        <v>36</v>
      </c>
      <c r="F605" s="5">
        <f>YEAR(Table1[[#This Row],[Date]])</f>
        <v>2021</v>
      </c>
      <c r="G605">
        <v>140</v>
      </c>
      <c r="L605" s="5">
        <v>108</v>
      </c>
      <c r="M605" s="6">
        <v>0.93100000000000005</v>
      </c>
      <c r="N605" s="5">
        <v>8</v>
      </c>
      <c r="O605" s="7">
        <v>2.199074074074074E-4</v>
      </c>
      <c r="P605" s="7">
        <v>1.6898148148148148E-3</v>
      </c>
      <c r="Q605" s="7">
        <v>1.7708333333333332E-3</v>
      </c>
      <c r="R605" s="6">
        <v>0.8407</v>
      </c>
      <c r="S605" s="8">
        <f>CONVERT(Table1[[#This Row],[Talk Duration (AVG)]]*Table1[[#This Row],[Answered Calls]],"day","hr")</f>
        <v>4.38</v>
      </c>
      <c r="T605" s="9">
        <f>Table1[[#This Row],[Actual Workload hours]]*60</f>
        <v>262.8</v>
      </c>
      <c r="U605" s="9">
        <f>CONVERT(Table1[[#This Row],[Actual]]*Table1[[#This Row],[Talk Duration (AVG)]],"day","hr")</f>
        <v>5.677777777777778</v>
      </c>
      <c r="V605" s="10">
        <f>Table1[[#This Row],[Required Workload Hours]]*60</f>
        <v>340.66666666666669</v>
      </c>
      <c r="W605" s="9">
        <v>1</v>
      </c>
      <c r="X605" s="9">
        <f t="shared" si="18"/>
        <v>1</v>
      </c>
      <c r="Y605" s="5">
        <f t="shared" si="19"/>
        <v>2</v>
      </c>
      <c r="Z605" s="8">
        <f>ROUNDUP(Table1[[#This Row],[Actual Heacount]],0)</f>
        <v>1</v>
      </c>
      <c r="AA605" s="8"/>
      <c r="AB605" s="10"/>
      <c r="AC605" s="10"/>
      <c r="AD605" s="10"/>
      <c r="AE605" s="11">
        <v>43.885532821568333</v>
      </c>
      <c r="AF605" s="11">
        <v>258.01091009022008</v>
      </c>
      <c r="AG605" t="s">
        <v>34</v>
      </c>
    </row>
    <row r="606" spans="1:33">
      <c r="A606" s="2">
        <v>44439</v>
      </c>
      <c r="B606" s="5" t="s">
        <v>36</v>
      </c>
      <c r="C606" s="5">
        <f>WEEKDAY(Table1[[#This Row],[Date]])</f>
        <v>3</v>
      </c>
      <c r="D606" s="5">
        <f>MONTH(Table1[[#This Row],[Date]])</f>
        <v>8</v>
      </c>
      <c r="E606" s="5">
        <f>WEEKNUM(Table1[[#This Row],[Date]])</f>
        <v>36</v>
      </c>
      <c r="F606" s="5">
        <f>YEAR(Table1[[#This Row],[Date]])</f>
        <v>2021</v>
      </c>
      <c r="G606">
        <v>168</v>
      </c>
      <c r="L606" s="5">
        <v>117</v>
      </c>
      <c r="M606" s="6">
        <v>0.97499999999999998</v>
      </c>
      <c r="N606" s="5">
        <v>3</v>
      </c>
      <c r="O606" s="7">
        <v>1.0416666666666667E-4</v>
      </c>
      <c r="P606" s="7">
        <v>1.8171296296296297E-3</v>
      </c>
      <c r="Q606" s="7">
        <v>7.5231481481481482E-4</v>
      </c>
      <c r="R606" s="6">
        <v>0.90759999999999996</v>
      </c>
      <c r="S606" s="8">
        <f>CONVERT(Table1[[#This Row],[Talk Duration (AVG)]]*Table1[[#This Row],[Answered Calls]],"day","hr")</f>
        <v>5.1025</v>
      </c>
      <c r="T606" s="9">
        <f>Table1[[#This Row],[Actual Workload hours]]*60</f>
        <v>306.14999999999998</v>
      </c>
      <c r="U606" s="9">
        <f>CONVERT(Table1[[#This Row],[Actual]]*Table1[[#This Row],[Talk Duration (AVG)]],"day","hr")</f>
        <v>7.326666666666668</v>
      </c>
      <c r="V606" s="10">
        <f>Table1[[#This Row],[Required Workload Hours]]*60</f>
        <v>439.60000000000008</v>
      </c>
      <c r="W606" s="9">
        <v>1</v>
      </c>
      <c r="X606" s="9">
        <f t="shared" si="18"/>
        <v>1.1447916666666669</v>
      </c>
      <c r="Y606" s="5">
        <f t="shared" si="19"/>
        <v>2</v>
      </c>
      <c r="Z606" s="8">
        <f>ROUNDUP(Table1[[#This Row],[Actual Heacount]],0)</f>
        <v>1</v>
      </c>
      <c r="AA606" s="8"/>
      <c r="AB606" s="10"/>
      <c r="AC606" s="10"/>
      <c r="AD606" s="10"/>
      <c r="AE606" s="11">
        <v>27.918075057868808</v>
      </c>
      <c r="AF606" s="11">
        <v>241.38895832802729</v>
      </c>
      <c r="AG606" t="s">
        <v>34</v>
      </c>
    </row>
    <row r="607" spans="1:33">
      <c r="A607" s="2">
        <v>44440</v>
      </c>
      <c r="B607" s="5" t="s">
        <v>37</v>
      </c>
      <c r="C607" s="5">
        <f>WEEKDAY(Table1[[#This Row],[Date]])</f>
        <v>4</v>
      </c>
      <c r="D607" s="5">
        <f>MONTH(Table1[[#This Row],[Date]])</f>
        <v>9</v>
      </c>
      <c r="E607" s="5">
        <f>WEEKNUM(Table1[[#This Row],[Date]])</f>
        <v>36</v>
      </c>
      <c r="F607" s="5">
        <f>YEAR(Table1[[#This Row],[Date]])</f>
        <v>2021</v>
      </c>
      <c r="G607">
        <v>191</v>
      </c>
      <c r="L607" s="5">
        <v>121</v>
      </c>
      <c r="M607" s="6">
        <v>0.98370000000000002</v>
      </c>
      <c r="N607" s="5">
        <v>2</v>
      </c>
      <c r="O607" s="7">
        <v>8.1018518518518516E-5</v>
      </c>
      <c r="P607" s="7">
        <v>1.7013888888888888E-3</v>
      </c>
      <c r="Q607" s="7">
        <v>1.3310185185185185E-3</v>
      </c>
      <c r="R607" s="6">
        <v>0.91059999999999997</v>
      </c>
      <c r="S607" s="8">
        <f>CONVERT(Table1[[#This Row],[Talk Duration (AVG)]]*Table1[[#This Row],[Answered Calls]],"day","hr")</f>
        <v>4.940833333333333</v>
      </c>
      <c r="T607" s="9">
        <f>Table1[[#This Row],[Actual Workload hours]]*60</f>
        <v>296.45</v>
      </c>
      <c r="U607" s="9">
        <f>CONVERT(Table1[[#This Row],[Actual]]*Table1[[#This Row],[Talk Duration (AVG)]],"day","hr")</f>
        <v>7.7991666666666664</v>
      </c>
      <c r="V607" s="10">
        <f>Table1[[#This Row],[Required Workload Hours]]*60</f>
        <v>467.95</v>
      </c>
      <c r="W607" s="9">
        <v>1</v>
      </c>
      <c r="X607" s="9">
        <f t="shared" si="18"/>
        <v>1.2186197916666666</v>
      </c>
      <c r="Y607" s="5">
        <f t="shared" si="19"/>
        <v>2</v>
      </c>
      <c r="Z607" s="8">
        <f>ROUNDUP(Table1[[#This Row],[Actual Heacount]],0)</f>
        <v>1</v>
      </c>
      <c r="AA607" s="8"/>
      <c r="AB607" s="10"/>
      <c r="AC607" s="10"/>
      <c r="AD607" s="10"/>
      <c r="AE607" s="11">
        <v>46.301299705607818</v>
      </c>
      <c r="AF607" s="11">
        <v>266.26773626142659</v>
      </c>
      <c r="AG607" t="s">
        <v>34</v>
      </c>
    </row>
    <row r="608" spans="1:33">
      <c r="A608" s="2">
        <v>44441</v>
      </c>
      <c r="B608" s="5" t="s">
        <v>38</v>
      </c>
      <c r="C608" s="5">
        <f>WEEKDAY(Table1[[#This Row],[Date]])</f>
        <v>5</v>
      </c>
      <c r="D608" s="5">
        <f>MONTH(Table1[[#This Row],[Date]])</f>
        <v>9</v>
      </c>
      <c r="E608" s="5">
        <f>WEEKNUM(Table1[[#This Row],[Date]])</f>
        <v>36</v>
      </c>
      <c r="F608" s="5">
        <f>YEAR(Table1[[#This Row],[Date]])</f>
        <v>2021</v>
      </c>
      <c r="G608">
        <v>215</v>
      </c>
      <c r="L608" s="5">
        <v>31</v>
      </c>
      <c r="M608" s="6">
        <v>1</v>
      </c>
      <c r="N608" s="5">
        <v>0</v>
      </c>
      <c r="O608" s="7">
        <v>3.4722222222222222E-5</v>
      </c>
      <c r="P608" s="7">
        <v>1.5972222222222223E-3</v>
      </c>
      <c r="Q608" s="7">
        <v>3.4722222222222222E-5</v>
      </c>
      <c r="R608" s="6">
        <v>1</v>
      </c>
      <c r="S608" s="8">
        <f>CONVERT(Table1[[#This Row],[Talk Duration (AVG)]]*Table1[[#This Row],[Answered Calls]],"day","hr")</f>
        <v>1.1883333333333332</v>
      </c>
      <c r="T608" s="9">
        <f>Table1[[#This Row],[Actual Workload hours]]*60</f>
        <v>71.3</v>
      </c>
      <c r="U608" s="9">
        <f>CONVERT(Table1[[#This Row],[Actual]]*Table1[[#This Row],[Talk Duration (AVG)]],"day","hr")</f>
        <v>8.2416666666666671</v>
      </c>
      <c r="V608" s="10">
        <f>Table1[[#This Row],[Required Workload Hours]]*60</f>
        <v>494.5</v>
      </c>
      <c r="W608" s="9">
        <v>1</v>
      </c>
      <c r="X608" s="9">
        <f t="shared" si="18"/>
        <v>1.2877604166666667</v>
      </c>
      <c r="Y608" s="5">
        <f t="shared" si="19"/>
        <v>1</v>
      </c>
      <c r="Z608" s="8">
        <f>ROUNDUP(Table1[[#This Row],[Actual Heacount]],0)</f>
        <v>1</v>
      </c>
      <c r="AA608" s="8"/>
      <c r="AB608" s="10"/>
      <c r="AC608" s="10"/>
      <c r="AD608" s="10"/>
      <c r="AE608" s="11">
        <v>43.167579955525682</v>
      </c>
      <c r="AF608" s="11">
        <v>267.1571574512547</v>
      </c>
      <c r="AG608" t="s">
        <v>34</v>
      </c>
    </row>
    <row r="609" spans="1:33">
      <c r="A609" s="2">
        <v>44442</v>
      </c>
      <c r="B609" s="5" t="s">
        <v>39</v>
      </c>
      <c r="C609" s="5">
        <f>WEEKDAY(Table1[[#This Row],[Date]])</f>
        <v>6</v>
      </c>
      <c r="D609" s="5">
        <f>MONTH(Table1[[#This Row],[Date]])</f>
        <v>9</v>
      </c>
      <c r="E609" s="5">
        <f>WEEKNUM(Table1[[#This Row],[Date]])</f>
        <v>36</v>
      </c>
      <c r="F609" s="5">
        <f>YEAR(Table1[[#This Row],[Date]])</f>
        <v>2021</v>
      </c>
      <c r="G609">
        <v>156</v>
      </c>
      <c r="L609" s="5">
        <v>139</v>
      </c>
      <c r="M609" s="6">
        <v>0.9929</v>
      </c>
      <c r="N609" s="5">
        <v>1</v>
      </c>
      <c r="O609" s="7">
        <v>9.2592592592592588E-5</v>
      </c>
      <c r="P609" s="7">
        <v>1.8402777777777777E-3</v>
      </c>
      <c r="Q609" s="7">
        <v>8.2175925925925927E-4</v>
      </c>
      <c r="R609" s="6">
        <v>0.9214</v>
      </c>
      <c r="S609" s="8">
        <f>CONVERT(Table1[[#This Row],[Talk Duration (AVG)]]*Table1[[#This Row],[Answered Calls]],"day","hr")</f>
        <v>6.1391666666666653</v>
      </c>
      <c r="T609" s="9">
        <f>Table1[[#This Row],[Actual Workload hours]]*60</f>
        <v>368.34999999999991</v>
      </c>
      <c r="U609" s="9">
        <f>CONVERT(Table1[[#This Row],[Actual]]*Table1[[#This Row],[Talk Duration (AVG)]],"day","hr")</f>
        <v>6.8899999999999988</v>
      </c>
      <c r="V609" s="10">
        <f>Table1[[#This Row],[Required Workload Hours]]*60</f>
        <v>413.39999999999992</v>
      </c>
      <c r="W609" s="9">
        <v>1</v>
      </c>
      <c r="X609" s="9">
        <f t="shared" si="18"/>
        <v>1.0765624999999999</v>
      </c>
      <c r="Y609" s="5">
        <f t="shared" si="19"/>
        <v>2</v>
      </c>
      <c r="Z609" s="8">
        <f>ROUNDUP(Table1[[#This Row],[Actual Heacount]],0)</f>
        <v>1</v>
      </c>
      <c r="AA609" s="8"/>
      <c r="AB609" s="10"/>
      <c r="AC609" s="10"/>
      <c r="AD609" s="10"/>
      <c r="AE609" s="11">
        <v>38.422919030074823</v>
      </c>
      <c r="AF609" s="11">
        <v>256.97767378616311</v>
      </c>
      <c r="AG609" t="s">
        <v>34</v>
      </c>
    </row>
    <row r="610" spans="1:33">
      <c r="A610" s="2">
        <v>44443</v>
      </c>
      <c r="B610" s="5" t="s">
        <v>40</v>
      </c>
      <c r="C610" s="5">
        <f>WEEKDAY(Table1[[#This Row],[Date]])</f>
        <v>7</v>
      </c>
      <c r="D610" s="5">
        <f>MONTH(Table1[[#This Row],[Date]])</f>
        <v>9</v>
      </c>
      <c r="E610" s="5">
        <f>WEEKNUM(Table1[[#This Row],[Date]])</f>
        <v>36</v>
      </c>
      <c r="F610" s="5">
        <f>YEAR(Table1[[#This Row],[Date]])</f>
        <v>2021</v>
      </c>
      <c r="G610">
        <v>125</v>
      </c>
      <c r="L610" s="5">
        <v>161</v>
      </c>
      <c r="M610" s="6">
        <v>0.95830000000000004</v>
      </c>
      <c r="N610" s="5">
        <v>7</v>
      </c>
      <c r="O610" s="7">
        <v>2.0833333333333335E-4</v>
      </c>
      <c r="P610" s="7">
        <v>1.6666666666666668E-3</v>
      </c>
      <c r="Q610" s="7">
        <v>1.6666666666666668E-3</v>
      </c>
      <c r="R610" s="6">
        <v>0.73650000000000004</v>
      </c>
      <c r="S610" s="8">
        <f>CONVERT(Table1[[#This Row],[Talk Duration (AVG)]]*Table1[[#This Row],[Answered Calls]],"day","hr")</f>
        <v>6.4400000000000013</v>
      </c>
      <c r="T610" s="9">
        <f>Table1[[#This Row],[Actual Workload hours]]*60</f>
        <v>386.40000000000009</v>
      </c>
      <c r="U610" s="9">
        <f>CONVERT(Table1[[#This Row],[Actual]]*Table1[[#This Row],[Talk Duration (AVG)]],"day","hr")</f>
        <v>5</v>
      </c>
      <c r="V610" s="10">
        <f>Table1[[#This Row],[Required Workload Hours]]*60</f>
        <v>300</v>
      </c>
      <c r="W610" s="9">
        <v>1.01</v>
      </c>
      <c r="X610" s="9">
        <f t="shared" si="18"/>
        <v>1</v>
      </c>
      <c r="Y610" s="5">
        <f t="shared" si="19"/>
        <v>2</v>
      </c>
      <c r="Z610" s="8">
        <f>ROUNDUP(Table1[[#This Row],[Actual Heacount]],0)</f>
        <v>2</v>
      </c>
      <c r="AA610" s="8"/>
      <c r="AB610" s="10"/>
      <c r="AC610" s="10"/>
      <c r="AD610" s="10"/>
      <c r="AE610" s="11">
        <v>35.919181173353842</v>
      </c>
      <c r="AF610" s="11">
        <v>261.18059585699592</v>
      </c>
      <c r="AG610" t="s">
        <v>34</v>
      </c>
    </row>
    <row r="611" spans="1:33">
      <c r="A611" s="2">
        <v>44444</v>
      </c>
      <c r="B611" s="5" t="s">
        <v>33</v>
      </c>
      <c r="C611" s="5">
        <f>WEEKDAY(Table1[[#This Row],[Date]])</f>
        <v>1</v>
      </c>
      <c r="D611" s="5">
        <f>MONTH(Table1[[#This Row],[Date]])</f>
        <v>9</v>
      </c>
      <c r="E611" s="5">
        <f>WEEKNUM(Table1[[#This Row],[Date]])</f>
        <v>37</v>
      </c>
      <c r="F611" s="5">
        <f>YEAR(Table1[[#This Row],[Date]])</f>
        <v>2021</v>
      </c>
      <c r="G611">
        <v>24</v>
      </c>
      <c r="L611" s="5">
        <v>144</v>
      </c>
      <c r="M611" s="6">
        <v>0.98629999999999995</v>
      </c>
      <c r="N611" s="5">
        <v>2</v>
      </c>
      <c r="O611" s="7">
        <v>6.9444444444444444E-5</v>
      </c>
      <c r="P611" s="7">
        <v>1.8287037037037037E-3</v>
      </c>
      <c r="Q611" s="7">
        <v>6.7129629629629625E-4</v>
      </c>
      <c r="R611" s="6">
        <v>0.94479999999999997</v>
      </c>
      <c r="S611" s="8">
        <f>CONVERT(Table1[[#This Row],[Talk Duration (AVG)]]*Table1[[#This Row],[Answered Calls]],"day","hr")</f>
        <v>6.3199999999999994</v>
      </c>
      <c r="T611" s="9">
        <f>Table1[[#This Row],[Actual Workload hours]]*60</f>
        <v>379.2</v>
      </c>
      <c r="U611" s="9">
        <f>CONVERT(Table1[[#This Row],[Actual]]*Table1[[#This Row],[Talk Duration (AVG)]],"day","hr")</f>
        <v>1.0533333333333332</v>
      </c>
      <c r="V611" s="10">
        <f>Table1[[#This Row],[Required Workload Hours]]*60</f>
        <v>63.199999999999996</v>
      </c>
      <c r="W611" s="9">
        <v>1</v>
      </c>
      <c r="X611" s="9">
        <f t="shared" si="18"/>
        <v>1</v>
      </c>
      <c r="Y611" s="5">
        <f t="shared" si="19"/>
        <v>2</v>
      </c>
      <c r="Z611" s="8">
        <f>ROUNDUP(Table1[[#This Row],[Actual Heacount]],0)</f>
        <v>1</v>
      </c>
      <c r="AA611" s="8"/>
      <c r="AB611" s="10"/>
      <c r="AC611" s="10"/>
      <c r="AD611" s="10"/>
      <c r="AE611" s="11">
        <v>-42.892787675204268</v>
      </c>
      <c r="AF611" s="11">
        <v>176.5383836896348</v>
      </c>
      <c r="AG611" t="s">
        <v>34</v>
      </c>
    </row>
    <row r="612" spans="1:33">
      <c r="A612" s="2">
        <v>44445</v>
      </c>
      <c r="B612" s="5" t="s">
        <v>35</v>
      </c>
      <c r="C612" s="5">
        <f>WEEKDAY(Table1[[#This Row],[Date]])</f>
        <v>2</v>
      </c>
      <c r="D612" s="5">
        <f>MONTH(Table1[[#This Row],[Date]])</f>
        <v>9</v>
      </c>
      <c r="E612" s="5">
        <f>WEEKNUM(Table1[[#This Row],[Date]])</f>
        <v>37</v>
      </c>
      <c r="F612" s="5">
        <f>YEAR(Table1[[#This Row],[Date]])</f>
        <v>2021</v>
      </c>
      <c r="G612">
        <v>173</v>
      </c>
      <c r="L612" s="5">
        <v>106</v>
      </c>
      <c r="M612" s="6">
        <v>0.96360000000000001</v>
      </c>
      <c r="N612" s="5">
        <v>4</v>
      </c>
      <c r="O612" s="7">
        <v>1.7361111111111112E-4</v>
      </c>
      <c r="P612" s="7">
        <v>1.9675925925925924E-3</v>
      </c>
      <c r="Q612" s="7">
        <v>1.736111111111111E-3</v>
      </c>
      <c r="R612" s="6">
        <v>0.8</v>
      </c>
      <c r="S612" s="8">
        <f>CONVERT(Table1[[#This Row],[Talk Duration (AVG)]]*Table1[[#This Row],[Answered Calls]],"day","hr")</f>
        <v>5.0055555555555546</v>
      </c>
      <c r="T612" s="9">
        <f>Table1[[#This Row],[Actual Workload hours]]*60</f>
        <v>300.33333333333326</v>
      </c>
      <c r="U612" s="9">
        <f>CONVERT(Table1[[#This Row],[Actual]]*Table1[[#This Row],[Talk Duration (AVG)]],"day","hr")</f>
        <v>8.1694444444444443</v>
      </c>
      <c r="V612" s="10">
        <f>Table1[[#This Row],[Required Workload Hours]]*60</f>
        <v>490.16666666666663</v>
      </c>
      <c r="W612" s="9">
        <v>1</v>
      </c>
      <c r="X612" s="9">
        <f t="shared" si="18"/>
        <v>1.2764756944444444</v>
      </c>
      <c r="Y612" s="5">
        <f t="shared" si="19"/>
        <v>2</v>
      </c>
      <c r="Z612" s="8">
        <f>ROUNDUP(Table1[[#This Row],[Actual Heacount]],0)</f>
        <v>1</v>
      </c>
      <c r="AA612" s="8"/>
      <c r="AB612" s="10"/>
      <c r="AC612" s="10"/>
      <c r="AD612" s="10"/>
      <c r="AE612" s="11">
        <v>45.066982905178357</v>
      </c>
      <c r="AF612" s="11">
        <v>270.99774055336451</v>
      </c>
      <c r="AG612" t="s">
        <v>34</v>
      </c>
    </row>
    <row r="613" spans="1:33">
      <c r="A613" s="2">
        <v>44446</v>
      </c>
      <c r="B613" s="5" t="s">
        <v>36</v>
      </c>
      <c r="C613" s="5">
        <f>WEEKDAY(Table1[[#This Row],[Date]])</f>
        <v>3</v>
      </c>
      <c r="D613" s="5">
        <f>MONTH(Table1[[#This Row],[Date]])</f>
        <v>9</v>
      </c>
      <c r="E613" s="5">
        <f>WEEKNUM(Table1[[#This Row],[Date]])</f>
        <v>37</v>
      </c>
      <c r="F613" s="5">
        <f>YEAR(Table1[[#This Row],[Date]])</f>
        <v>2021</v>
      </c>
      <c r="G613">
        <v>128</v>
      </c>
      <c r="L613" s="5">
        <v>333</v>
      </c>
      <c r="M613" s="6">
        <v>0.97370000000000001</v>
      </c>
      <c r="N613" s="5">
        <v>9</v>
      </c>
      <c r="O613" s="7">
        <v>1.7361111111111112E-4</v>
      </c>
      <c r="P613" s="7">
        <v>1.5046296296296296E-3</v>
      </c>
      <c r="Q613" s="7">
        <v>1.8402777777777777E-3</v>
      </c>
      <c r="R613" s="6">
        <v>0.81420000000000003</v>
      </c>
      <c r="S613" s="8">
        <f>CONVERT(Table1[[#This Row],[Talk Duration (AVG)]]*Table1[[#This Row],[Answered Calls]],"day","hr")</f>
        <v>12.025000000000002</v>
      </c>
      <c r="T613" s="9">
        <f>Table1[[#This Row],[Actual Workload hours]]*60</f>
        <v>721.50000000000011</v>
      </c>
      <c r="U613" s="9">
        <f>CONVERT(Table1[[#This Row],[Actual]]*Table1[[#This Row],[Talk Duration (AVG)]],"day","hr")</f>
        <v>4.6222222222222218</v>
      </c>
      <c r="V613" s="10">
        <f>Table1[[#This Row],[Required Workload Hours]]*60</f>
        <v>277.33333333333331</v>
      </c>
      <c r="W613" s="9">
        <v>1.88</v>
      </c>
      <c r="X613" s="9">
        <f t="shared" si="18"/>
        <v>1</v>
      </c>
      <c r="Y613" s="5">
        <f t="shared" si="19"/>
        <v>2</v>
      </c>
      <c r="Z613" s="8">
        <f>ROUNDUP(Table1[[#This Row],[Actual Heacount]],0)</f>
        <v>2</v>
      </c>
      <c r="AA613" s="8"/>
      <c r="AB613" s="10"/>
      <c r="AC613" s="10"/>
      <c r="AD613" s="10"/>
      <c r="AE613" s="11">
        <v>37.016657173222903</v>
      </c>
      <c r="AF613" s="11">
        <v>259.50285835900257</v>
      </c>
      <c r="AG613" t="s">
        <v>34</v>
      </c>
    </row>
    <row r="614" spans="1:33">
      <c r="A614" s="2">
        <v>44447</v>
      </c>
      <c r="B614" s="5" t="s">
        <v>37</v>
      </c>
      <c r="C614" s="5">
        <f>WEEKDAY(Table1[[#This Row],[Date]])</f>
        <v>4</v>
      </c>
      <c r="D614" s="5">
        <f>MONTH(Table1[[#This Row],[Date]])</f>
        <v>9</v>
      </c>
      <c r="E614" s="5">
        <f>WEEKNUM(Table1[[#This Row],[Date]])</f>
        <v>37</v>
      </c>
      <c r="F614" s="5">
        <f>YEAR(Table1[[#This Row],[Date]])</f>
        <v>2021</v>
      </c>
      <c r="G614">
        <v>170</v>
      </c>
      <c r="L614" s="5">
        <v>183</v>
      </c>
      <c r="M614" s="6">
        <v>0.96319999999999995</v>
      </c>
      <c r="N614" s="5">
        <v>7</v>
      </c>
      <c r="O614" s="7">
        <v>1.8518518518518518E-4</v>
      </c>
      <c r="P614" s="7">
        <v>1.7592592592592592E-3</v>
      </c>
      <c r="Q614" s="7">
        <v>1.3773148148148147E-3</v>
      </c>
      <c r="R614" s="6">
        <v>0.78949999999999998</v>
      </c>
      <c r="S614" s="8">
        <f>CONVERT(Table1[[#This Row],[Talk Duration (AVG)]]*Table1[[#This Row],[Answered Calls]],"day","hr")</f>
        <v>7.7266666666666657</v>
      </c>
      <c r="T614" s="9">
        <f>Table1[[#This Row],[Actual Workload hours]]*60</f>
        <v>463.59999999999997</v>
      </c>
      <c r="U614" s="9">
        <f>CONVERT(Table1[[#This Row],[Actual]]*Table1[[#This Row],[Talk Duration (AVG)]],"day","hr")</f>
        <v>7.1777777777777771</v>
      </c>
      <c r="V614" s="10">
        <f>Table1[[#This Row],[Required Workload Hours]]*60</f>
        <v>430.66666666666663</v>
      </c>
      <c r="W614" s="9">
        <v>1.21</v>
      </c>
      <c r="X614" s="9">
        <f t="shared" si="18"/>
        <v>1.1215277777777777</v>
      </c>
      <c r="Y614" s="5">
        <f t="shared" si="19"/>
        <v>2</v>
      </c>
      <c r="Z614" s="8">
        <f>ROUNDUP(Table1[[#This Row],[Actual Heacount]],0)</f>
        <v>2</v>
      </c>
      <c r="AA614" s="8"/>
      <c r="AB614" s="10"/>
      <c r="AC614" s="10"/>
      <c r="AD614" s="10"/>
      <c r="AE614" s="11">
        <v>49.951371654397761</v>
      </c>
      <c r="AF614" s="11">
        <v>268.30808677855771</v>
      </c>
      <c r="AG614" t="s">
        <v>34</v>
      </c>
    </row>
    <row r="615" spans="1:33">
      <c r="A615" s="2">
        <v>44448</v>
      </c>
      <c r="B615" s="5" t="s">
        <v>38</v>
      </c>
      <c r="C615" s="5">
        <f>WEEKDAY(Table1[[#This Row],[Date]])</f>
        <v>5</v>
      </c>
      <c r="D615" s="5">
        <f>MONTH(Table1[[#This Row],[Date]])</f>
        <v>9</v>
      </c>
      <c r="E615" s="5">
        <f>WEEKNUM(Table1[[#This Row],[Date]])</f>
        <v>37</v>
      </c>
      <c r="F615" s="5">
        <f>YEAR(Table1[[#This Row],[Date]])</f>
        <v>2021</v>
      </c>
      <c r="G615">
        <v>5</v>
      </c>
      <c r="L615" s="5">
        <v>24</v>
      </c>
      <c r="M615" s="6">
        <v>0.96</v>
      </c>
      <c r="N615" s="5">
        <v>1</v>
      </c>
      <c r="O615" s="7">
        <v>6.9444444444444444E-5</v>
      </c>
      <c r="P615" s="7">
        <v>1.6435185185185185E-3</v>
      </c>
      <c r="Q615" s="7">
        <v>5.5555555555555556E-4</v>
      </c>
      <c r="R615" s="6">
        <v>0.91669999999999996</v>
      </c>
      <c r="S615" s="8">
        <f>CONVERT(Table1[[#This Row],[Talk Duration (AVG)]]*Table1[[#This Row],[Answered Calls]],"day","hr")</f>
        <v>0.94666666666666677</v>
      </c>
      <c r="T615" s="9">
        <f>Table1[[#This Row],[Actual Workload hours]]*60</f>
        <v>56.800000000000004</v>
      </c>
      <c r="U615" s="9">
        <f>CONVERT(Table1[[#This Row],[Actual]]*Table1[[#This Row],[Talk Duration (AVG)]],"day","hr")</f>
        <v>0.19722222222222222</v>
      </c>
      <c r="V615" s="10">
        <f>Table1[[#This Row],[Required Workload Hours]]*60</f>
        <v>11.833333333333332</v>
      </c>
      <c r="W615" s="9">
        <v>1</v>
      </c>
      <c r="X615" s="9">
        <f t="shared" si="18"/>
        <v>1</v>
      </c>
      <c r="Y615" s="5">
        <f t="shared" si="19"/>
        <v>1</v>
      </c>
      <c r="Z615" s="8">
        <f>ROUNDUP(Table1[[#This Row],[Actual Heacount]],0)</f>
        <v>1</v>
      </c>
      <c r="AA615" s="8"/>
      <c r="AB615" s="10"/>
      <c r="AC615" s="10"/>
      <c r="AD615" s="10"/>
      <c r="AE615" s="11">
        <v>41.516143108157493</v>
      </c>
      <c r="AF615" s="11">
        <v>261.69125524418848</v>
      </c>
      <c r="AG615" t="s">
        <v>34</v>
      </c>
    </row>
    <row r="616" spans="1:33">
      <c r="A616" s="2">
        <v>44449</v>
      </c>
      <c r="B616" s="5" t="s">
        <v>39</v>
      </c>
      <c r="C616" s="5">
        <f>WEEKDAY(Table1[[#This Row],[Date]])</f>
        <v>6</v>
      </c>
      <c r="D616" s="5">
        <f>MONTH(Table1[[#This Row],[Date]])</f>
        <v>9</v>
      </c>
      <c r="E616" s="5">
        <f>WEEKNUM(Table1[[#This Row],[Date]])</f>
        <v>37</v>
      </c>
      <c r="F616" s="5">
        <f>YEAR(Table1[[#This Row],[Date]])</f>
        <v>2021</v>
      </c>
      <c r="G616">
        <v>146</v>
      </c>
      <c r="L616" s="5">
        <v>162</v>
      </c>
      <c r="M616" s="6">
        <v>0.95860000000000001</v>
      </c>
      <c r="N616" s="5">
        <v>7</v>
      </c>
      <c r="O616" s="7">
        <v>1.0416666666666667E-4</v>
      </c>
      <c r="P616" s="7">
        <v>1.7476851851851852E-3</v>
      </c>
      <c r="Q616" s="7">
        <v>3.1944444444444446E-3</v>
      </c>
      <c r="R616" s="6">
        <v>0.89159999999999995</v>
      </c>
      <c r="S616" s="8">
        <f>CONVERT(Table1[[#This Row],[Talk Duration (AVG)]]*Table1[[#This Row],[Answered Calls]],"day","hr")</f>
        <v>6.7949999999999999</v>
      </c>
      <c r="T616" s="9">
        <f>Table1[[#This Row],[Actual Workload hours]]*60</f>
        <v>407.7</v>
      </c>
      <c r="U616" s="9">
        <f>CONVERT(Table1[[#This Row],[Actual]]*Table1[[#This Row],[Talk Duration (AVG)]],"day","hr")</f>
        <v>6.1238888888888887</v>
      </c>
      <c r="V616" s="10">
        <f>Table1[[#This Row],[Required Workload Hours]]*60</f>
        <v>367.43333333333334</v>
      </c>
      <c r="W616" s="9">
        <v>1.06</v>
      </c>
      <c r="X616" s="9">
        <f t="shared" si="18"/>
        <v>1</v>
      </c>
      <c r="Y616" s="5">
        <f t="shared" si="19"/>
        <v>2</v>
      </c>
      <c r="Z616" s="8">
        <f>ROUNDUP(Table1[[#This Row],[Actual Heacount]],0)</f>
        <v>2</v>
      </c>
      <c r="AA616" s="8"/>
      <c r="AB616" s="10"/>
      <c r="AC616" s="10"/>
      <c r="AD616" s="10"/>
      <c r="AE616" s="11">
        <v>25.9560614116727</v>
      </c>
      <c r="AF616" s="11">
        <v>246.79040353836081</v>
      </c>
      <c r="AG616" t="s">
        <v>34</v>
      </c>
    </row>
    <row r="617" spans="1:33">
      <c r="A617" s="2">
        <v>44450</v>
      </c>
      <c r="B617" s="5" t="s">
        <v>40</v>
      </c>
      <c r="C617" s="5">
        <f>WEEKDAY(Table1[[#This Row],[Date]])</f>
        <v>7</v>
      </c>
      <c r="D617" s="5">
        <f>MONTH(Table1[[#This Row],[Date]])</f>
        <v>9</v>
      </c>
      <c r="E617" s="5">
        <f>WEEKNUM(Table1[[#This Row],[Date]])</f>
        <v>37</v>
      </c>
      <c r="F617" s="5">
        <f>YEAR(Table1[[#This Row],[Date]])</f>
        <v>2021</v>
      </c>
      <c r="G617">
        <v>159</v>
      </c>
      <c r="L617" s="5">
        <v>129</v>
      </c>
      <c r="M617" s="6">
        <v>0.99229999999999996</v>
      </c>
      <c r="N617" s="5">
        <v>1</v>
      </c>
      <c r="O617" s="7">
        <v>1.273148148148148E-4</v>
      </c>
      <c r="P617" s="7">
        <v>1.736111111111111E-3</v>
      </c>
      <c r="Q617" s="7">
        <v>1.2962962962962963E-3</v>
      </c>
      <c r="R617" s="6">
        <v>0.86919999999999997</v>
      </c>
      <c r="S617" s="8">
        <f>CONVERT(Table1[[#This Row],[Talk Duration (AVG)]]*Table1[[#This Row],[Answered Calls]],"day","hr")</f>
        <v>5.375</v>
      </c>
      <c r="T617" s="9">
        <f>Table1[[#This Row],[Actual Workload hours]]*60</f>
        <v>322.5</v>
      </c>
      <c r="U617" s="9">
        <f>CONVERT(Table1[[#This Row],[Actual]]*Table1[[#This Row],[Talk Duration (AVG)]],"day","hr")</f>
        <v>6.6249999999999991</v>
      </c>
      <c r="V617" s="10">
        <f>Table1[[#This Row],[Required Workload Hours]]*60</f>
        <v>397.49999999999994</v>
      </c>
      <c r="W617" s="9">
        <v>1</v>
      </c>
      <c r="X617" s="9">
        <f t="shared" si="18"/>
        <v>1.0351562499999998</v>
      </c>
      <c r="Y617" s="5">
        <f t="shared" si="19"/>
        <v>2</v>
      </c>
      <c r="Z617" s="8">
        <f>ROUNDUP(Table1[[#This Row],[Actual Heacount]],0)</f>
        <v>1</v>
      </c>
      <c r="AA617" s="8"/>
      <c r="AB617" s="10"/>
      <c r="AC617" s="10"/>
      <c r="AD617" s="10"/>
      <c r="AE617" s="11">
        <v>35.668206202626237</v>
      </c>
      <c r="AF617" s="11">
        <v>264.17806381805309</v>
      </c>
      <c r="AG617" t="s">
        <v>34</v>
      </c>
    </row>
    <row r="618" spans="1:33">
      <c r="A618" s="2">
        <v>44451</v>
      </c>
      <c r="B618" s="5" t="s">
        <v>33</v>
      </c>
      <c r="C618" s="5">
        <f>WEEKDAY(Table1[[#This Row],[Date]])</f>
        <v>1</v>
      </c>
      <c r="D618" s="5">
        <f>MONTH(Table1[[#This Row],[Date]])</f>
        <v>9</v>
      </c>
      <c r="E618" s="5">
        <f>WEEKNUM(Table1[[#This Row],[Date]])</f>
        <v>38</v>
      </c>
      <c r="F618" s="5">
        <f>YEAR(Table1[[#This Row],[Date]])</f>
        <v>2021</v>
      </c>
      <c r="G618">
        <v>190</v>
      </c>
      <c r="L618" s="5">
        <v>20</v>
      </c>
      <c r="M618" s="6">
        <v>0.90910000000000002</v>
      </c>
      <c r="N618" s="5">
        <v>2</v>
      </c>
      <c r="O618" s="7">
        <v>1.0416666666666667E-4</v>
      </c>
      <c r="P618" s="7">
        <v>2.2569444444444442E-3</v>
      </c>
      <c r="Q618" s="7">
        <v>1.2731481481481483E-3</v>
      </c>
      <c r="R618" s="6">
        <v>0.90480000000000005</v>
      </c>
      <c r="S618" s="8">
        <f>CONVERT(Table1[[#This Row],[Talk Duration (AVG)]]*Table1[[#This Row],[Answered Calls]],"day","hr")</f>
        <v>1.0833333333333333</v>
      </c>
      <c r="T618" s="9">
        <f>Table1[[#This Row],[Actual Workload hours]]*60</f>
        <v>65</v>
      </c>
      <c r="U618" s="9">
        <f>CONVERT(Table1[[#This Row],[Actual]]*Table1[[#This Row],[Talk Duration (AVG)]],"day","hr")</f>
        <v>10.291666666666666</v>
      </c>
      <c r="V618" s="10">
        <f>Table1[[#This Row],[Required Workload Hours]]*60</f>
        <v>617.5</v>
      </c>
      <c r="W618" s="9">
        <v>1</v>
      </c>
      <c r="X618" s="9">
        <f t="shared" si="18"/>
        <v>1.6080729166666667</v>
      </c>
      <c r="Y618" s="5">
        <f t="shared" si="19"/>
        <v>2</v>
      </c>
      <c r="Z618" s="8">
        <f>ROUNDUP(Table1[[#This Row],[Actual Heacount]],0)</f>
        <v>1</v>
      </c>
      <c r="AA618" s="8"/>
      <c r="AB618" s="10"/>
      <c r="AC618" s="10"/>
      <c r="AD618" s="10"/>
      <c r="AE618" s="11">
        <v>-49.582717058736883</v>
      </c>
      <c r="AF618" s="11">
        <v>172.62395493934511</v>
      </c>
      <c r="AG618" t="s">
        <v>34</v>
      </c>
    </row>
    <row r="619" spans="1:33">
      <c r="A619" s="2">
        <v>44452</v>
      </c>
      <c r="B619" s="5" t="s">
        <v>35</v>
      </c>
      <c r="C619" s="5">
        <f>WEEKDAY(Table1[[#This Row],[Date]])</f>
        <v>2</v>
      </c>
      <c r="D619" s="5">
        <f>MONTH(Table1[[#This Row],[Date]])</f>
        <v>9</v>
      </c>
      <c r="E619" s="5">
        <f>WEEKNUM(Table1[[#This Row],[Date]])</f>
        <v>38</v>
      </c>
      <c r="F619" s="5">
        <f>YEAR(Table1[[#This Row],[Date]])</f>
        <v>2021</v>
      </c>
      <c r="G619">
        <v>126</v>
      </c>
      <c r="L619" s="5">
        <v>5</v>
      </c>
      <c r="M619" s="6">
        <v>1</v>
      </c>
      <c r="N619" s="5">
        <v>0</v>
      </c>
      <c r="O619" s="7">
        <v>3.2407407407407406E-4</v>
      </c>
      <c r="P619" s="7">
        <v>1.6782407407407408E-3</v>
      </c>
      <c r="Q619" s="7">
        <v>8.564814814814815E-4</v>
      </c>
      <c r="R619" s="6">
        <v>0.6</v>
      </c>
      <c r="S619" s="8">
        <f>CONVERT(Table1[[#This Row],[Talk Duration (AVG)]]*Table1[[#This Row],[Answered Calls]],"day","hr")</f>
        <v>0.20138888888888892</v>
      </c>
      <c r="T619" s="9">
        <f>Table1[[#This Row],[Actual Workload hours]]*60</f>
        <v>12.083333333333336</v>
      </c>
      <c r="U619" s="9">
        <f>CONVERT(Table1[[#This Row],[Actual]]*Table1[[#This Row],[Talk Duration (AVG)]],"day","hr")</f>
        <v>5.0750000000000002</v>
      </c>
      <c r="V619" s="10">
        <f>Table1[[#This Row],[Required Workload Hours]]*60</f>
        <v>304.5</v>
      </c>
      <c r="W619" s="9">
        <v>1</v>
      </c>
      <c r="X619" s="9">
        <f t="shared" si="18"/>
        <v>1</v>
      </c>
      <c r="Y619" s="5">
        <f t="shared" si="19"/>
        <v>2</v>
      </c>
      <c r="Z619" s="8">
        <f>ROUNDUP(Table1[[#This Row],[Actual Heacount]],0)</f>
        <v>1</v>
      </c>
      <c r="AA619" s="8"/>
      <c r="AB619" s="10"/>
      <c r="AC619" s="10"/>
      <c r="AD619" s="10"/>
      <c r="AE619" s="11">
        <v>52.272045180369389</v>
      </c>
      <c r="AF619" s="11">
        <v>275.7793769732952</v>
      </c>
      <c r="AG619" t="s">
        <v>34</v>
      </c>
    </row>
    <row r="620" spans="1:33">
      <c r="A620" s="2">
        <v>44453</v>
      </c>
      <c r="B620" s="5" t="s">
        <v>36</v>
      </c>
      <c r="C620" s="5">
        <f>WEEKDAY(Table1[[#This Row],[Date]])</f>
        <v>3</v>
      </c>
      <c r="D620" s="5">
        <f>MONTH(Table1[[#This Row],[Date]])</f>
        <v>9</v>
      </c>
      <c r="E620" s="5">
        <f>WEEKNUM(Table1[[#This Row],[Date]])</f>
        <v>38</v>
      </c>
      <c r="F620" s="5">
        <f>YEAR(Table1[[#This Row],[Date]])</f>
        <v>2021</v>
      </c>
      <c r="G620">
        <v>122</v>
      </c>
      <c r="L620" s="5">
        <v>115</v>
      </c>
      <c r="M620" s="6">
        <v>0.96640000000000004</v>
      </c>
      <c r="N620" s="5">
        <v>4</v>
      </c>
      <c r="O620" s="7">
        <v>1.273148148148148E-4</v>
      </c>
      <c r="P620" s="7">
        <v>1.712962962962963E-3</v>
      </c>
      <c r="Q620" s="7">
        <v>1.2731481481481483E-3</v>
      </c>
      <c r="R620" s="6">
        <v>0.86439999999999995</v>
      </c>
      <c r="S620" s="8">
        <f>CONVERT(Table1[[#This Row],[Talk Duration (AVG)]]*Table1[[#This Row],[Answered Calls]],"day","hr")</f>
        <v>4.7277777777777779</v>
      </c>
      <c r="T620" s="9">
        <f>Table1[[#This Row],[Actual Workload hours]]*60</f>
        <v>283.66666666666669</v>
      </c>
      <c r="U620" s="9">
        <f>CONVERT(Table1[[#This Row],[Actual]]*Table1[[#This Row],[Talk Duration (AVG)]],"day","hr")</f>
        <v>5.0155555555555553</v>
      </c>
      <c r="V620" s="10">
        <f>Table1[[#This Row],[Required Workload Hours]]*60</f>
        <v>300.93333333333334</v>
      </c>
      <c r="W620" s="9">
        <v>1</v>
      </c>
      <c r="X620" s="9">
        <f t="shared" si="18"/>
        <v>1</v>
      </c>
      <c r="Y620" s="5">
        <f t="shared" si="19"/>
        <v>2</v>
      </c>
      <c r="Z620" s="8">
        <f>ROUNDUP(Table1[[#This Row],[Actual Heacount]],0)</f>
        <v>1</v>
      </c>
      <c r="AA620" s="8"/>
      <c r="AB620" s="10"/>
      <c r="AC620" s="10"/>
      <c r="AD620" s="10"/>
      <c r="AE620" s="11">
        <v>27.920667943526119</v>
      </c>
      <c r="AF620" s="11">
        <v>257.59062900204549</v>
      </c>
      <c r="AG620" t="s">
        <v>34</v>
      </c>
    </row>
    <row r="621" spans="1:33">
      <c r="A621" s="2">
        <v>44454</v>
      </c>
      <c r="B621" s="5" t="s">
        <v>37</v>
      </c>
      <c r="C621" s="5">
        <f>WEEKDAY(Table1[[#This Row],[Date]])</f>
        <v>4</v>
      </c>
      <c r="D621" s="5">
        <f>MONTH(Table1[[#This Row],[Date]])</f>
        <v>9</v>
      </c>
      <c r="E621" s="5">
        <f>WEEKNUM(Table1[[#This Row],[Date]])</f>
        <v>38</v>
      </c>
      <c r="F621" s="5">
        <f>YEAR(Table1[[#This Row],[Date]])</f>
        <v>2021</v>
      </c>
      <c r="G621">
        <v>113</v>
      </c>
      <c r="L621" s="5">
        <v>138</v>
      </c>
      <c r="M621" s="6">
        <v>0.98570000000000002</v>
      </c>
      <c r="N621" s="5">
        <v>2</v>
      </c>
      <c r="O621" s="7">
        <v>1.0416666666666667E-4</v>
      </c>
      <c r="P621" s="7">
        <v>1.5856481481481481E-3</v>
      </c>
      <c r="Q621" s="7">
        <v>1.5162037037037036E-3</v>
      </c>
      <c r="R621" s="6">
        <v>0.9214</v>
      </c>
      <c r="S621" s="8">
        <f>CONVERT(Table1[[#This Row],[Talk Duration (AVG)]]*Table1[[#This Row],[Answered Calls]],"day","hr")</f>
        <v>5.2516666666666669</v>
      </c>
      <c r="T621" s="9">
        <f>Table1[[#This Row],[Actual Workload hours]]*60</f>
        <v>315.10000000000002</v>
      </c>
      <c r="U621" s="9">
        <f>CONVERT(Table1[[#This Row],[Actual]]*Table1[[#This Row],[Talk Duration (AVG)]],"day","hr")</f>
        <v>4.3002777777777776</v>
      </c>
      <c r="V621" s="10">
        <f>Table1[[#This Row],[Required Workload Hours]]*60</f>
        <v>258.01666666666665</v>
      </c>
      <c r="W621" s="9">
        <v>1</v>
      </c>
      <c r="X621" s="9">
        <f t="shared" si="18"/>
        <v>1</v>
      </c>
      <c r="Y621" s="5">
        <f t="shared" si="19"/>
        <v>2</v>
      </c>
      <c r="Z621" s="8">
        <f>ROUNDUP(Table1[[#This Row],[Actual Heacount]],0)</f>
        <v>1</v>
      </c>
      <c r="AA621" s="8"/>
      <c r="AB621" s="10"/>
      <c r="AC621" s="10"/>
      <c r="AD621" s="10"/>
      <c r="AE621" s="11">
        <v>42.857281076860112</v>
      </c>
      <c r="AF621" s="11">
        <v>270.7179304346763</v>
      </c>
      <c r="AG621" t="s">
        <v>34</v>
      </c>
    </row>
    <row r="622" spans="1:33">
      <c r="A622" s="2">
        <v>44455</v>
      </c>
      <c r="B622" s="5" t="s">
        <v>38</v>
      </c>
      <c r="C622" s="5">
        <f>WEEKDAY(Table1[[#This Row],[Date]])</f>
        <v>5</v>
      </c>
      <c r="D622" s="5">
        <f>MONTH(Table1[[#This Row],[Date]])</f>
        <v>9</v>
      </c>
      <c r="E622" s="5">
        <f>WEEKNUM(Table1[[#This Row],[Date]])</f>
        <v>38</v>
      </c>
      <c r="F622" s="5">
        <f>YEAR(Table1[[#This Row],[Date]])</f>
        <v>2021</v>
      </c>
      <c r="G622">
        <v>119</v>
      </c>
      <c r="L622" s="5">
        <v>22</v>
      </c>
      <c r="M622" s="6">
        <v>1</v>
      </c>
      <c r="N622" s="5">
        <v>0</v>
      </c>
      <c r="O622" s="7">
        <v>6.9444444444444444E-5</v>
      </c>
      <c r="P622" s="7">
        <v>1.6319444444444445E-3</v>
      </c>
      <c r="Q622" s="7">
        <v>5.5555555555555556E-4</v>
      </c>
      <c r="R622" s="6">
        <v>0.90910000000000002</v>
      </c>
      <c r="S622" s="8">
        <f>CONVERT(Table1[[#This Row],[Talk Duration (AVG)]]*Table1[[#This Row],[Answered Calls]],"day","hr")</f>
        <v>0.8616666666666668</v>
      </c>
      <c r="T622" s="9">
        <f>Table1[[#This Row],[Actual Workload hours]]*60</f>
        <v>51.70000000000001</v>
      </c>
      <c r="U622" s="9">
        <f>CONVERT(Table1[[#This Row],[Actual]]*Table1[[#This Row],[Talk Duration (AVG)]],"day","hr")</f>
        <v>4.6608333333333336</v>
      </c>
      <c r="V622" s="10">
        <f>Table1[[#This Row],[Required Workload Hours]]*60</f>
        <v>279.65000000000003</v>
      </c>
      <c r="W622" s="9">
        <v>1</v>
      </c>
      <c r="X622" s="9">
        <f t="shared" si="18"/>
        <v>1</v>
      </c>
      <c r="Y622" s="5">
        <f t="shared" si="19"/>
        <v>1</v>
      </c>
      <c r="Z622" s="8">
        <f>ROUNDUP(Table1[[#This Row],[Actual Heacount]],0)</f>
        <v>1</v>
      </c>
      <c r="AA622" s="8"/>
      <c r="AB622" s="10"/>
      <c r="AC622" s="10"/>
      <c r="AD622" s="10"/>
      <c r="AE622" s="11">
        <v>35.590784714306963</v>
      </c>
      <c r="AF622" s="11">
        <v>261.49101451436348</v>
      </c>
      <c r="AG622" t="s">
        <v>34</v>
      </c>
    </row>
    <row r="623" spans="1:33">
      <c r="A623" s="2">
        <v>44456</v>
      </c>
      <c r="B623" s="5" t="s">
        <v>39</v>
      </c>
      <c r="C623" s="5">
        <f>WEEKDAY(Table1[[#This Row],[Date]])</f>
        <v>6</v>
      </c>
      <c r="D623" s="5">
        <f>MONTH(Table1[[#This Row],[Date]])</f>
        <v>9</v>
      </c>
      <c r="E623" s="5">
        <f>WEEKNUM(Table1[[#This Row],[Date]])</f>
        <v>38</v>
      </c>
      <c r="F623" s="5">
        <f>YEAR(Table1[[#This Row],[Date]])</f>
        <v>2021</v>
      </c>
      <c r="G623">
        <v>134</v>
      </c>
      <c r="L623" s="5">
        <v>124</v>
      </c>
      <c r="M623" s="6">
        <v>0.98409999999999997</v>
      </c>
      <c r="N623" s="5">
        <v>2</v>
      </c>
      <c r="O623" s="7">
        <v>9.2592592592592588E-5</v>
      </c>
      <c r="P623" s="7">
        <v>1.7939814814814815E-3</v>
      </c>
      <c r="Q623" s="7">
        <v>6.7129629629629625E-4</v>
      </c>
      <c r="R623" s="6">
        <v>0.94399999999999995</v>
      </c>
      <c r="S623" s="8">
        <f>CONVERT(Table1[[#This Row],[Talk Duration (AVG)]]*Table1[[#This Row],[Answered Calls]],"day","hr")</f>
        <v>5.3388888888888886</v>
      </c>
      <c r="T623" s="9">
        <f>Table1[[#This Row],[Actual Workload hours]]*60</f>
        <v>320.33333333333331</v>
      </c>
      <c r="U623" s="9">
        <f>CONVERT(Table1[[#This Row],[Actual]]*Table1[[#This Row],[Talk Duration (AVG)]],"day","hr")</f>
        <v>5.7694444444444448</v>
      </c>
      <c r="V623" s="10">
        <f>Table1[[#This Row],[Required Workload Hours]]*60</f>
        <v>346.16666666666669</v>
      </c>
      <c r="W623" s="9">
        <v>1</v>
      </c>
      <c r="X623" s="9">
        <f t="shared" si="18"/>
        <v>1</v>
      </c>
      <c r="Y623" s="5">
        <f t="shared" si="19"/>
        <v>2</v>
      </c>
      <c r="Z623" s="8">
        <f>ROUNDUP(Table1[[#This Row],[Actual Heacount]],0)</f>
        <v>1</v>
      </c>
      <c r="AA623" s="8"/>
      <c r="AB623" s="10"/>
      <c r="AC623" s="10"/>
      <c r="AD623" s="10"/>
      <c r="AE623" s="11">
        <v>38.134171930611338</v>
      </c>
      <c r="AF623" s="11">
        <v>255.0621131876614</v>
      </c>
      <c r="AG623" t="s">
        <v>34</v>
      </c>
    </row>
    <row r="624" spans="1:33">
      <c r="A624" s="2">
        <v>44457</v>
      </c>
      <c r="B624" s="5" t="s">
        <v>40</v>
      </c>
      <c r="C624" s="5">
        <f>WEEKDAY(Table1[[#This Row],[Date]])</f>
        <v>7</v>
      </c>
      <c r="D624" s="5">
        <f>MONTH(Table1[[#This Row],[Date]])</f>
        <v>9</v>
      </c>
      <c r="E624" s="5">
        <f>WEEKNUM(Table1[[#This Row],[Date]])</f>
        <v>38</v>
      </c>
      <c r="F624" s="5">
        <f>YEAR(Table1[[#This Row],[Date]])</f>
        <v>2021</v>
      </c>
      <c r="G624">
        <v>101</v>
      </c>
      <c r="L624" s="5">
        <v>111</v>
      </c>
      <c r="M624" s="6">
        <v>0.90980000000000005</v>
      </c>
      <c r="N624" s="5">
        <v>11</v>
      </c>
      <c r="O624" s="7">
        <v>1.5046296296296297E-4</v>
      </c>
      <c r="P624" s="7">
        <v>1.8865740740740742E-3</v>
      </c>
      <c r="Q624" s="7">
        <v>1.5393518518518519E-3</v>
      </c>
      <c r="R624" s="6">
        <v>0.77690000000000003</v>
      </c>
      <c r="S624" s="8">
        <f>CONVERT(Table1[[#This Row],[Talk Duration (AVG)]]*Table1[[#This Row],[Answered Calls]],"day","hr")</f>
        <v>5.0258333333333329</v>
      </c>
      <c r="T624" s="9">
        <f>Table1[[#This Row],[Actual Workload hours]]*60</f>
        <v>301.54999999999995</v>
      </c>
      <c r="U624" s="9">
        <f>CONVERT(Table1[[#This Row],[Actual]]*Table1[[#This Row],[Talk Duration (AVG)]],"day","hr")</f>
        <v>4.5730555555555554</v>
      </c>
      <c r="V624" s="10">
        <f>Table1[[#This Row],[Required Workload Hours]]*60</f>
        <v>274.38333333333333</v>
      </c>
      <c r="W624" s="9">
        <v>1</v>
      </c>
      <c r="X624" s="9">
        <f t="shared" si="18"/>
        <v>1</v>
      </c>
      <c r="Y624" s="5">
        <f t="shared" si="19"/>
        <v>2</v>
      </c>
      <c r="Z624" s="8">
        <f>ROUNDUP(Table1[[#This Row],[Actual Heacount]],0)</f>
        <v>1</v>
      </c>
      <c r="AA624" s="8"/>
      <c r="AB624" s="10"/>
      <c r="AC624" s="10"/>
      <c r="AD624" s="10"/>
      <c r="AE624" s="11">
        <v>33.462001638730513</v>
      </c>
      <c r="AF624" s="11">
        <v>268.9402619858401</v>
      </c>
      <c r="AG624" t="s">
        <v>34</v>
      </c>
    </row>
    <row r="625" spans="1:33">
      <c r="A625" s="2">
        <v>44458</v>
      </c>
      <c r="B625" s="5" t="s">
        <v>33</v>
      </c>
      <c r="C625" s="5">
        <f>WEEKDAY(Table1[[#This Row],[Date]])</f>
        <v>1</v>
      </c>
      <c r="D625" s="5">
        <f>MONTH(Table1[[#This Row],[Date]])</f>
        <v>9</v>
      </c>
      <c r="E625" s="5">
        <f>WEEKNUM(Table1[[#This Row],[Date]])</f>
        <v>39</v>
      </c>
      <c r="F625" s="5">
        <f>YEAR(Table1[[#This Row],[Date]])</f>
        <v>2021</v>
      </c>
      <c r="G625">
        <v>20</v>
      </c>
      <c r="L625" s="5">
        <v>108</v>
      </c>
      <c r="M625" s="6">
        <v>0.95579999999999998</v>
      </c>
      <c r="N625" s="5">
        <v>5</v>
      </c>
      <c r="O625" s="7">
        <v>1.5046296296296297E-4</v>
      </c>
      <c r="P625" s="7">
        <v>1.7476851851851852E-3</v>
      </c>
      <c r="Q625" s="7">
        <v>1.0069444444444444E-3</v>
      </c>
      <c r="R625" s="6">
        <v>0.82879999999999998</v>
      </c>
      <c r="S625" s="8">
        <f>CONVERT(Table1[[#This Row],[Talk Duration (AVG)]]*Table1[[#This Row],[Answered Calls]],"day","hr")</f>
        <v>4.53</v>
      </c>
      <c r="T625" s="9">
        <f>Table1[[#This Row],[Actual Workload hours]]*60</f>
        <v>271.8</v>
      </c>
      <c r="U625" s="9">
        <f>CONVERT(Table1[[#This Row],[Actual]]*Table1[[#This Row],[Talk Duration (AVG)]],"day","hr")</f>
        <v>0.83888888888888891</v>
      </c>
      <c r="V625" s="10">
        <f>Table1[[#This Row],[Required Workload Hours]]*60</f>
        <v>50.333333333333336</v>
      </c>
      <c r="W625" s="9">
        <v>1</v>
      </c>
      <c r="X625" s="9">
        <f t="shared" si="18"/>
        <v>1</v>
      </c>
      <c r="Y625" s="5">
        <f t="shared" si="19"/>
        <v>2</v>
      </c>
      <c r="Z625" s="8">
        <f>ROUNDUP(Table1[[#This Row],[Actual Heacount]],0)</f>
        <v>1</v>
      </c>
      <c r="AA625" s="8"/>
      <c r="AB625" s="10"/>
      <c r="AC625" s="10"/>
      <c r="AD625" s="10"/>
      <c r="AE625" s="11">
        <v>-45.700311430417891</v>
      </c>
      <c r="AF625" s="11">
        <v>162.91474197239609</v>
      </c>
      <c r="AG625" t="s">
        <v>34</v>
      </c>
    </row>
    <row r="626" spans="1:33">
      <c r="A626" s="2">
        <v>44459</v>
      </c>
      <c r="B626" s="5" t="s">
        <v>35</v>
      </c>
      <c r="C626" s="5">
        <f>WEEKDAY(Table1[[#This Row],[Date]])</f>
        <v>2</v>
      </c>
      <c r="D626" s="5">
        <f>MONTH(Table1[[#This Row],[Date]])</f>
        <v>9</v>
      </c>
      <c r="E626" s="5">
        <f>WEEKNUM(Table1[[#This Row],[Date]])</f>
        <v>39</v>
      </c>
      <c r="F626" s="5">
        <f>YEAR(Table1[[#This Row],[Date]])</f>
        <v>2021</v>
      </c>
      <c r="G626">
        <v>169</v>
      </c>
      <c r="L626" s="5">
        <v>109</v>
      </c>
      <c r="M626" s="6">
        <v>0.91600000000000004</v>
      </c>
      <c r="N626" s="5">
        <v>10</v>
      </c>
      <c r="O626" s="7">
        <v>1.9675925925925926E-4</v>
      </c>
      <c r="P626" s="7">
        <v>1.8055555555555555E-3</v>
      </c>
      <c r="Q626" s="7">
        <v>3.6458333333333334E-3</v>
      </c>
      <c r="R626" s="6">
        <v>0.83620000000000005</v>
      </c>
      <c r="S626" s="8">
        <f>CONVERT(Table1[[#This Row],[Talk Duration (AVG)]]*Table1[[#This Row],[Answered Calls]],"day","hr")</f>
        <v>4.7233333333333336</v>
      </c>
      <c r="T626" s="9">
        <f>Table1[[#This Row],[Actual Workload hours]]*60</f>
        <v>283.40000000000003</v>
      </c>
      <c r="U626" s="9">
        <f>CONVERT(Table1[[#This Row],[Actual]]*Table1[[#This Row],[Talk Duration (AVG)]],"day","hr")</f>
        <v>7.3233333333333324</v>
      </c>
      <c r="V626" s="10">
        <f>Table1[[#This Row],[Required Workload Hours]]*60</f>
        <v>439.39999999999992</v>
      </c>
      <c r="W626" s="9">
        <v>1</v>
      </c>
      <c r="X626" s="9">
        <f t="shared" si="18"/>
        <v>1.1442708333333331</v>
      </c>
      <c r="Y626" s="5">
        <f t="shared" si="19"/>
        <v>2</v>
      </c>
      <c r="Z626" s="8">
        <f>ROUNDUP(Table1[[#This Row],[Actual Heacount]],0)</f>
        <v>1</v>
      </c>
      <c r="AA626" s="8"/>
      <c r="AB626" s="10"/>
      <c r="AC626" s="10"/>
      <c r="AD626" s="10"/>
      <c r="AE626" s="11">
        <v>59.182357537076903</v>
      </c>
      <c r="AF626" s="11">
        <v>280.333169775496</v>
      </c>
      <c r="AG626" t="s">
        <v>34</v>
      </c>
    </row>
    <row r="627" spans="1:33">
      <c r="A627" s="2">
        <v>44460</v>
      </c>
      <c r="B627" s="5" t="s">
        <v>36</v>
      </c>
      <c r="C627" s="5">
        <f>WEEKDAY(Table1[[#This Row],[Date]])</f>
        <v>3</v>
      </c>
      <c r="D627" s="5">
        <f>MONTH(Table1[[#This Row],[Date]])</f>
        <v>9</v>
      </c>
      <c r="E627" s="5">
        <f>WEEKNUM(Table1[[#This Row],[Date]])</f>
        <v>39</v>
      </c>
      <c r="F627" s="5">
        <f>YEAR(Table1[[#This Row],[Date]])</f>
        <v>2021</v>
      </c>
      <c r="G627">
        <v>137</v>
      </c>
      <c r="L627" s="5">
        <v>119</v>
      </c>
      <c r="M627" s="6">
        <v>0.8881</v>
      </c>
      <c r="N627" s="5">
        <v>15</v>
      </c>
      <c r="O627" s="7">
        <v>2.7777777777777778E-4</v>
      </c>
      <c r="P627" s="7">
        <v>1.9212962962962964E-3</v>
      </c>
      <c r="Q627" s="7">
        <v>1.9097222222222222E-3</v>
      </c>
      <c r="R627" s="6">
        <v>0.63429999999999997</v>
      </c>
      <c r="S627" s="8">
        <f>CONVERT(Table1[[#This Row],[Talk Duration (AVG)]]*Table1[[#This Row],[Answered Calls]],"day","hr")</f>
        <v>5.487222222222222</v>
      </c>
      <c r="T627" s="9">
        <f>Table1[[#This Row],[Actual Workload hours]]*60</f>
        <v>329.23333333333335</v>
      </c>
      <c r="U627" s="9">
        <f>CONVERT(Table1[[#This Row],[Actual]]*Table1[[#This Row],[Talk Duration (AVG)]],"day","hr")</f>
        <v>6.3172222222222221</v>
      </c>
      <c r="V627" s="10">
        <f>Table1[[#This Row],[Required Workload Hours]]*60</f>
        <v>379.0333333333333</v>
      </c>
      <c r="W627" s="9">
        <v>1</v>
      </c>
      <c r="X627" s="9">
        <f t="shared" si="18"/>
        <v>1</v>
      </c>
      <c r="Y627" s="5">
        <f t="shared" si="19"/>
        <v>2</v>
      </c>
      <c r="Z627" s="8">
        <f>ROUNDUP(Table1[[#This Row],[Actual Heacount]],0)</f>
        <v>1</v>
      </c>
      <c r="AA627" s="8"/>
      <c r="AB627" s="10"/>
      <c r="AC627" s="10"/>
      <c r="AD627" s="10"/>
      <c r="AE627" s="11">
        <v>35.028423448864402</v>
      </c>
      <c r="AF627" s="11">
        <v>256.03491551728399</v>
      </c>
      <c r="AG627" t="s">
        <v>34</v>
      </c>
    </row>
    <row r="628" spans="1:33">
      <c r="A628" s="2">
        <v>44461</v>
      </c>
      <c r="B628" s="5" t="s">
        <v>37</v>
      </c>
      <c r="C628" s="5">
        <f>WEEKDAY(Table1[[#This Row],[Date]])</f>
        <v>4</v>
      </c>
      <c r="D628" s="5">
        <f>MONTH(Table1[[#This Row],[Date]])</f>
        <v>9</v>
      </c>
      <c r="E628" s="5">
        <f>WEEKNUM(Table1[[#This Row],[Date]])</f>
        <v>39</v>
      </c>
      <c r="F628" s="5">
        <f>YEAR(Table1[[#This Row],[Date]])</f>
        <v>2021</v>
      </c>
      <c r="G628">
        <v>133</v>
      </c>
      <c r="L628" s="5">
        <v>97</v>
      </c>
      <c r="M628" s="6">
        <v>0.96040000000000003</v>
      </c>
      <c r="N628" s="5">
        <v>4</v>
      </c>
      <c r="O628" s="7">
        <v>1.8518518518518518E-4</v>
      </c>
      <c r="P628" s="7">
        <v>1.7708333333333332E-3</v>
      </c>
      <c r="Q628" s="7">
        <v>1.1342592592592593E-3</v>
      </c>
      <c r="R628" s="6">
        <v>0.77</v>
      </c>
      <c r="S628" s="8">
        <f>CONVERT(Table1[[#This Row],[Talk Duration (AVG)]]*Table1[[#This Row],[Answered Calls]],"day","hr")</f>
        <v>4.1224999999999996</v>
      </c>
      <c r="T628" s="9">
        <f>Table1[[#This Row],[Actual Workload hours]]*60</f>
        <v>247.34999999999997</v>
      </c>
      <c r="U628" s="9">
        <f>CONVERT(Table1[[#This Row],[Actual]]*Table1[[#This Row],[Talk Duration (AVG)]],"day","hr")</f>
        <v>5.6524999999999999</v>
      </c>
      <c r="V628" s="10">
        <f>Table1[[#This Row],[Required Workload Hours]]*60</f>
        <v>339.15</v>
      </c>
      <c r="W628" s="9">
        <v>1</v>
      </c>
      <c r="X628" s="9">
        <f t="shared" si="18"/>
        <v>1</v>
      </c>
      <c r="Y628" s="5">
        <f t="shared" si="19"/>
        <v>2</v>
      </c>
      <c r="Z628" s="8">
        <f>ROUNDUP(Table1[[#This Row],[Actual Heacount]],0)</f>
        <v>1</v>
      </c>
      <c r="AA628" s="8"/>
      <c r="AB628" s="10"/>
      <c r="AC628" s="10"/>
      <c r="AD628" s="10"/>
      <c r="AE628" s="11">
        <v>42.042543545600459</v>
      </c>
      <c r="AF628" s="11">
        <v>267.13081149145842</v>
      </c>
      <c r="AG628" t="s">
        <v>34</v>
      </c>
    </row>
    <row r="629" spans="1:33">
      <c r="A629" s="2">
        <v>44462</v>
      </c>
      <c r="B629" s="5" t="s">
        <v>38</v>
      </c>
      <c r="C629" s="5">
        <f>WEEKDAY(Table1[[#This Row],[Date]])</f>
        <v>5</v>
      </c>
      <c r="D629" s="5">
        <f>MONTH(Table1[[#This Row],[Date]])</f>
        <v>9</v>
      </c>
      <c r="E629" s="5">
        <f>WEEKNUM(Table1[[#This Row],[Date]])</f>
        <v>39</v>
      </c>
      <c r="F629" s="5">
        <f>YEAR(Table1[[#This Row],[Date]])</f>
        <v>2021</v>
      </c>
      <c r="G629">
        <v>184</v>
      </c>
      <c r="L629" s="5">
        <v>20</v>
      </c>
      <c r="M629" s="6">
        <v>1</v>
      </c>
      <c r="N629" s="5">
        <v>0</v>
      </c>
      <c r="O629" s="7">
        <v>4.6296296296296294E-5</v>
      </c>
      <c r="P629" s="7">
        <v>1.6666666666666668E-3</v>
      </c>
      <c r="Q629" s="7">
        <v>2.0833333333333335E-4</v>
      </c>
      <c r="R629" s="6">
        <v>1</v>
      </c>
      <c r="S629" s="8">
        <f>CONVERT(Table1[[#This Row],[Talk Duration (AVG)]]*Table1[[#This Row],[Answered Calls]],"day","hr")</f>
        <v>0.8</v>
      </c>
      <c r="T629" s="9">
        <f>Table1[[#This Row],[Actual Workload hours]]*60</f>
        <v>48</v>
      </c>
      <c r="U629" s="9">
        <f>CONVERT(Table1[[#This Row],[Actual]]*Table1[[#This Row],[Talk Duration (AVG)]],"day","hr")</f>
        <v>7.3600000000000012</v>
      </c>
      <c r="V629" s="10">
        <f>Table1[[#This Row],[Required Workload Hours]]*60</f>
        <v>441.60000000000008</v>
      </c>
      <c r="W629" s="9">
        <v>1</v>
      </c>
      <c r="X629" s="9">
        <f t="shared" si="18"/>
        <v>1.1500000000000001</v>
      </c>
      <c r="Y629" s="5">
        <f t="shared" si="19"/>
        <v>1</v>
      </c>
      <c r="Z629" s="8">
        <f>ROUNDUP(Table1[[#This Row],[Actual Heacount]],0)</f>
        <v>1</v>
      </c>
      <c r="AA629" s="8"/>
      <c r="AB629" s="10"/>
      <c r="AC629" s="10"/>
      <c r="AD629" s="10"/>
      <c r="AE629" s="11">
        <v>38.334457370250149</v>
      </c>
      <c r="AF629" s="11">
        <v>259.73113519976732</v>
      </c>
      <c r="AG629" t="s">
        <v>34</v>
      </c>
    </row>
    <row r="630" spans="1:33">
      <c r="A630" s="2">
        <v>44463</v>
      </c>
      <c r="B630" s="5" t="s">
        <v>39</v>
      </c>
      <c r="C630" s="5">
        <f>WEEKDAY(Table1[[#This Row],[Date]])</f>
        <v>6</v>
      </c>
      <c r="D630" s="5">
        <f>MONTH(Table1[[#This Row],[Date]])</f>
        <v>9</v>
      </c>
      <c r="E630" s="5">
        <f>WEEKNUM(Table1[[#This Row],[Date]])</f>
        <v>39</v>
      </c>
      <c r="F630" s="5">
        <f>YEAR(Table1[[#This Row],[Date]])</f>
        <v>2021</v>
      </c>
      <c r="G630">
        <v>145</v>
      </c>
      <c r="L630" s="5">
        <v>162</v>
      </c>
      <c r="M630" s="6">
        <v>0.95860000000000001</v>
      </c>
      <c r="N630" s="5">
        <v>7</v>
      </c>
      <c r="O630" s="7">
        <v>1.9675925925925926E-4</v>
      </c>
      <c r="P630" s="7">
        <v>1.7592592592592592E-3</v>
      </c>
      <c r="Q630" s="7">
        <v>3.8310185185185183E-3</v>
      </c>
      <c r="R630" s="6">
        <v>0.80120000000000002</v>
      </c>
      <c r="S630" s="8">
        <f>CONVERT(Table1[[#This Row],[Talk Duration (AVG)]]*Table1[[#This Row],[Answered Calls]],"day","hr")</f>
        <v>6.839999999999999</v>
      </c>
      <c r="T630" s="9">
        <f>Table1[[#This Row],[Actual Workload hours]]*60</f>
        <v>410.39999999999992</v>
      </c>
      <c r="U630" s="9">
        <f>CONVERT(Table1[[#This Row],[Actual]]*Table1[[#This Row],[Talk Duration (AVG)]],"day","hr")</f>
        <v>6.1222222222222218</v>
      </c>
      <c r="V630" s="10">
        <f>Table1[[#This Row],[Required Workload Hours]]*60</f>
        <v>367.33333333333331</v>
      </c>
      <c r="W630" s="9">
        <v>1.07</v>
      </c>
      <c r="X630" s="9">
        <f t="shared" si="18"/>
        <v>1</v>
      </c>
      <c r="Y630" s="5">
        <f t="shared" si="19"/>
        <v>2</v>
      </c>
      <c r="Z630" s="8">
        <f>ROUNDUP(Table1[[#This Row],[Actual Heacount]],0)</f>
        <v>2</v>
      </c>
      <c r="AA630" s="8"/>
      <c r="AB630" s="10"/>
      <c r="AC630" s="10"/>
      <c r="AD630" s="10"/>
      <c r="AE630" s="11">
        <v>37.583232078411768</v>
      </c>
      <c r="AF630" s="11">
        <v>252.81446614602999</v>
      </c>
      <c r="AG630" t="s">
        <v>34</v>
      </c>
    </row>
    <row r="631" spans="1:33">
      <c r="A631" s="2">
        <v>44464</v>
      </c>
      <c r="B631" s="5" t="s">
        <v>40</v>
      </c>
      <c r="C631" s="5">
        <f>WEEKDAY(Table1[[#This Row],[Date]])</f>
        <v>7</v>
      </c>
      <c r="D631" s="5">
        <f>MONTH(Table1[[#This Row],[Date]])</f>
        <v>9</v>
      </c>
      <c r="E631" s="5">
        <f>WEEKNUM(Table1[[#This Row],[Date]])</f>
        <v>39</v>
      </c>
      <c r="F631" s="5">
        <f>YEAR(Table1[[#This Row],[Date]])</f>
        <v>2021</v>
      </c>
      <c r="G631">
        <v>114</v>
      </c>
      <c r="L631" s="5">
        <v>133</v>
      </c>
      <c r="M631" s="6">
        <v>0.9708</v>
      </c>
      <c r="N631" s="5">
        <v>4</v>
      </c>
      <c r="O631" s="7">
        <v>3.3564814814814812E-4</v>
      </c>
      <c r="P631" s="7">
        <v>1.8171296296296297E-3</v>
      </c>
      <c r="Q631" s="7">
        <v>1.8749999999999999E-3</v>
      </c>
      <c r="R631" s="6">
        <v>0.62039999999999995</v>
      </c>
      <c r="S631" s="8">
        <f>CONVERT(Table1[[#This Row],[Talk Duration (AVG)]]*Table1[[#This Row],[Answered Calls]],"day","hr")</f>
        <v>5.8002777777777785</v>
      </c>
      <c r="T631" s="9">
        <f>Table1[[#This Row],[Actual Workload hours]]*60</f>
        <v>348.01666666666671</v>
      </c>
      <c r="U631" s="9">
        <f>CONVERT(Table1[[#This Row],[Actual]]*Table1[[#This Row],[Talk Duration (AVG)]],"day","hr")</f>
        <v>4.9716666666666667</v>
      </c>
      <c r="V631" s="10">
        <f>Table1[[#This Row],[Required Workload Hours]]*60</f>
        <v>298.3</v>
      </c>
      <c r="W631" s="9">
        <v>1</v>
      </c>
      <c r="X631" s="9">
        <f t="shared" si="18"/>
        <v>1</v>
      </c>
      <c r="Y631" s="5">
        <f t="shared" si="19"/>
        <v>2</v>
      </c>
      <c r="Z631" s="8">
        <f>ROUNDUP(Table1[[#This Row],[Actual Heacount]],0)</f>
        <v>1</v>
      </c>
      <c r="AA631" s="8"/>
      <c r="AB631" s="10"/>
      <c r="AC631" s="10"/>
      <c r="AD631" s="10"/>
      <c r="AE631" s="11">
        <v>36.949549662423969</v>
      </c>
      <c r="AF631" s="11">
        <v>258.09823883936087</v>
      </c>
      <c r="AG631" t="s">
        <v>34</v>
      </c>
    </row>
    <row r="632" spans="1:33">
      <c r="A632" s="2">
        <v>44465</v>
      </c>
      <c r="B632" s="5" t="s">
        <v>33</v>
      </c>
      <c r="C632" s="5">
        <f>WEEKDAY(Table1[[#This Row],[Date]])</f>
        <v>1</v>
      </c>
      <c r="D632" s="5">
        <f>MONTH(Table1[[#This Row],[Date]])</f>
        <v>9</v>
      </c>
      <c r="E632" s="5">
        <f>WEEKNUM(Table1[[#This Row],[Date]])</f>
        <v>40</v>
      </c>
      <c r="F632" s="5">
        <f>YEAR(Table1[[#This Row],[Date]])</f>
        <v>2021</v>
      </c>
      <c r="G632">
        <v>24</v>
      </c>
      <c r="L632" s="5">
        <v>127</v>
      </c>
      <c r="M632" s="6">
        <v>0.95489999999999997</v>
      </c>
      <c r="N632" s="5">
        <v>6</v>
      </c>
      <c r="O632" s="7">
        <v>2.0833333333333335E-4</v>
      </c>
      <c r="P632" s="7">
        <v>1.8402777777777777E-3</v>
      </c>
      <c r="Q632" s="7">
        <v>3.1944444444444446E-3</v>
      </c>
      <c r="R632" s="6">
        <v>0.81950000000000001</v>
      </c>
      <c r="S632" s="8">
        <f>CONVERT(Table1[[#This Row],[Talk Duration (AVG)]]*Table1[[#This Row],[Answered Calls]],"day","hr")</f>
        <v>5.6091666666666669</v>
      </c>
      <c r="T632" s="9">
        <f>Table1[[#This Row],[Actual Workload hours]]*60</f>
        <v>336.55</v>
      </c>
      <c r="U632" s="9">
        <f>CONVERT(Table1[[#This Row],[Actual]]*Table1[[#This Row],[Talk Duration (AVG)]],"day","hr")</f>
        <v>1.06</v>
      </c>
      <c r="V632" s="10">
        <f>Table1[[#This Row],[Required Workload Hours]]*60</f>
        <v>63.6</v>
      </c>
      <c r="W632" s="9">
        <v>1</v>
      </c>
      <c r="X632" s="9">
        <f t="shared" si="18"/>
        <v>1</v>
      </c>
      <c r="Y632" s="5">
        <f t="shared" si="19"/>
        <v>2</v>
      </c>
      <c r="Z632" s="8">
        <f>ROUNDUP(Table1[[#This Row],[Actual Heacount]],0)</f>
        <v>1</v>
      </c>
      <c r="AA632" s="8"/>
      <c r="AB632" s="10"/>
      <c r="AC632" s="10"/>
      <c r="AD632" s="10"/>
      <c r="AE632" s="11">
        <v>-54.811897100265512</v>
      </c>
      <c r="AF632" s="11">
        <v>176.19305446969801</v>
      </c>
      <c r="AG632" t="s">
        <v>34</v>
      </c>
    </row>
    <row r="633" spans="1:33">
      <c r="A633" s="2">
        <v>44466</v>
      </c>
      <c r="B633" s="5" t="s">
        <v>35</v>
      </c>
      <c r="C633" s="5">
        <f>WEEKDAY(Table1[[#This Row],[Date]])</f>
        <v>2</v>
      </c>
      <c r="D633" s="5">
        <f>MONTH(Table1[[#This Row],[Date]])</f>
        <v>9</v>
      </c>
      <c r="E633" s="5">
        <f>WEEKNUM(Table1[[#This Row],[Date]])</f>
        <v>40</v>
      </c>
      <c r="F633" s="5">
        <f>YEAR(Table1[[#This Row],[Date]])</f>
        <v>2021</v>
      </c>
      <c r="G633">
        <v>143</v>
      </c>
      <c r="L633" s="5">
        <v>179</v>
      </c>
      <c r="M633" s="6">
        <v>0.9728</v>
      </c>
      <c r="N633" s="5">
        <v>5</v>
      </c>
      <c r="O633" s="7">
        <v>1.1574074074074075E-4</v>
      </c>
      <c r="P633" s="7">
        <v>1.4236111111111112E-3</v>
      </c>
      <c r="Q633" s="7">
        <v>1.8981481481481482E-3</v>
      </c>
      <c r="R633" s="6">
        <v>0.90559999999999996</v>
      </c>
      <c r="S633" s="8">
        <f>CONVERT(Table1[[#This Row],[Talk Duration (AVG)]]*Table1[[#This Row],[Answered Calls]],"day","hr")</f>
        <v>6.1158333333333346</v>
      </c>
      <c r="T633" s="9">
        <f>Table1[[#This Row],[Actual Workload hours]]*60</f>
        <v>366.95000000000005</v>
      </c>
      <c r="U633" s="9">
        <f>CONVERT(Table1[[#This Row],[Actual]]*Table1[[#This Row],[Talk Duration (AVG)]],"day","hr")</f>
        <v>4.8858333333333333</v>
      </c>
      <c r="V633" s="10">
        <f>Table1[[#This Row],[Required Workload Hours]]*60</f>
        <v>293.14999999999998</v>
      </c>
      <c r="W633" s="9">
        <v>1</v>
      </c>
      <c r="X633" s="9">
        <f t="shared" si="18"/>
        <v>1</v>
      </c>
      <c r="Y633" s="5">
        <f t="shared" si="19"/>
        <v>2</v>
      </c>
      <c r="Z633" s="8">
        <f>ROUNDUP(Table1[[#This Row],[Actual Heacount]],0)</f>
        <v>1</v>
      </c>
      <c r="AA633" s="8"/>
      <c r="AB633" s="10"/>
      <c r="AC633" s="10"/>
      <c r="AD633" s="10"/>
      <c r="AE633" s="11">
        <v>48.746619770307589</v>
      </c>
      <c r="AF633" s="11">
        <v>271.92391194559531</v>
      </c>
      <c r="AG633" t="s">
        <v>34</v>
      </c>
    </row>
    <row r="634" spans="1:33">
      <c r="A634" s="2">
        <v>44467</v>
      </c>
      <c r="B634" s="5" t="s">
        <v>36</v>
      </c>
      <c r="C634" s="5">
        <f>WEEKDAY(Table1[[#This Row],[Date]])</f>
        <v>3</v>
      </c>
      <c r="D634" s="5">
        <f>MONTH(Table1[[#This Row],[Date]])</f>
        <v>9</v>
      </c>
      <c r="E634" s="5">
        <f>WEEKNUM(Table1[[#This Row],[Date]])</f>
        <v>40</v>
      </c>
      <c r="F634" s="5">
        <f>YEAR(Table1[[#This Row],[Date]])</f>
        <v>2021</v>
      </c>
      <c r="G634">
        <v>119</v>
      </c>
      <c r="L634" s="5">
        <v>135</v>
      </c>
      <c r="M634" s="6">
        <v>0.93100000000000005</v>
      </c>
      <c r="N634" s="5">
        <v>10</v>
      </c>
      <c r="O634" s="7">
        <v>2.4305555555555555E-4</v>
      </c>
      <c r="P634" s="7">
        <v>1.7939814814814815E-3</v>
      </c>
      <c r="Q634" s="7">
        <v>2.1990740740740742E-3</v>
      </c>
      <c r="R634" s="6">
        <v>0.74129999999999996</v>
      </c>
      <c r="S634" s="8">
        <f>CONVERT(Table1[[#This Row],[Talk Duration (AVG)]]*Table1[[#This Row],[Answered Calls]],"day","hr")</f>
        <v>5.8125</v>
      </c>
      <c r="T634" s="9">
        <f>Table1[[#This Row],[Actual Workload hours]]*60</f>
        <v>348.75</v>
      </c>
      <c r="U634" s="9">
        <f>CONVERT(Table1[[#This Row],[Actual]]*Table1[[#This Row],[Talk Duration (AVG)]],"day","hr")</f>
        <v>5.1236111111111109</v>
      </c>
      <c r="V634" s="10">
        <f>Table1[[#This Row],[Required Workload Hours]]*60</f>
        <v>307.41666666666663</v>
      </c>
      <c r="W634" s="9">
        <v>1</v>
      </c>
      <c r="X634" s="9">
        <f t="shared" si="18"/>
        <v>1</v>
      </c>
      <c r="Y634" s="5">
        <f t="shared" si="19"/>
        <v>2</v>
      </c>
      <c r="Z634" s="8">
        <f>ROUNDUP(Table1[[#This Row],[Actual Heacount]],0)</f>
        <v>1</v>
      </c>
      <c r="AA634" s="8"/>
      <c r="AB634" s="10"/>
      <c r="AC634" s="10"/>
      <c r="AD634" s="10"/>
      <c r="AE634" s="11">
        <v>46.915638367293347</v>
      </c>
      <c r="AF634" s="11">
        <v>257.15906604024121</v>
      </c>
      <c r="AG634" t="s">
        <v>34</v>
      </c>
    </row>
    <row r="635" spans="1:33">
      <c r="A635" s="2">
        <v>44468</v>
      </c>
      <c r="B635" s="5" t="s">
        <v>37</v>
      </c>
      <c r="C635" s="5">
        <f>WEEKDAY(Table1[[#This Row],[Date]])</f>
        <v>4</v>
      </c>
      <c r="D635" s="5">
        <f>MONTH(Table1[[#This Row],[Date]])</f>
        <v>9</v>
      </c>
      <c r="E635" s="5">
        <f>WEEKNUM(Table1[[#This Row],[Date]])</f>
        <v>40</v>
      </c>
      <c r="F635" s="5">
        <f>YEAR(Table1[[#This Row],[Date]])</f>
        <v>2021</v>
      </c>
      <c r="G635">
        <v>123</v>
      </c>
      <c r="L635" s="5">
        <v>108</v>
      </c>
      <c r="M635" s="6">
        <v>0.94740000000000002</v>
      </c>
      <c r="N635" s="5">
        <v>6</v>
      </c>
      <c r="O635" s="7">
        <v>1.6203703703703703E-4</v>
      </c>
      <c r="P635" s="7">
        <v>1.7476851851851852E-3</v>
      </c>
      <c r="Q635" s="7">
        <v>1.7708333333333332E-3</v>
      </c>
      <c r="R635" s="6">
        <v>0.82879999999999998</v>
      </c>
      <c r="S635" s="8">
        <f>CONVERT(Table1[[#This Row],[Talk Duration (AVG)]]*Table1[[#This Row],[Answered Calls]],"day","hr")</f>
        <v>4.53</v>
      </c>
      <c r="T635" s="9">
        <f>Table1[[#This Row],[Actual Workload hours]]*60</f>
        <v>271.8</v>
      </c>
      <c r="U635" s="9">
        <f>CONVERT(Table1[[#This Row],[Actual]]*Table1[[#This Row],[Talk Duration (AVG)]],"day","hr")</f>
        <v>5.1591666666666667</v>
      </c>
      <c r="V635" s="10">
        <f>Table1[[#This Row],[Required Workload Hours]]*60</f>
        <v>309.55</v>
      </c>
      <c r="W635" s="9">
        <v>1</v>
      </c>
      <c r="X635" s="9">
        <f t="shared" si="18"/>
        <v>1</v>
      </c>
      <c r="Y635" s="5">
        <f t="shared" si="19"/>
        <v>2</v>
      </c>
      <c r="Z635" s="8">
        <f>ROUNDUP(Table1[[#This Row],[Actual Heacount]],0)</f>
        <v>1</v>
      </c>
      <c r="AA635" s="8"/>
      <c r="AB635" s="10"/>
      <c r="AC635" s="10"/>
      <c r="AD635" s="10"/>
      <c r="AE635" s="11">
        <v>47.258440928295002</v>
      </c>
      <c r="AF635" s="11">
        <v>261.71065790263589</v>
      </c>
      <c r="AG635" t="s">
        <v>34</v>
      </c>
    </row>
    <row r="636" spans="1:33">
      <c r="A636" s="2">
        <v>44469</v>
      </c>
      <c r="B636" s="5" t="s">
        <v>38</v>
      </c>
      <c r="C636" s="5">
        <f>WEEKDAY(Table1[[#This Row],[Date]])</f>
        <v>5</v>
      </c>
      <c r="D636" s="5">
        <f>MONTH(Table1[[#This Row],[Date]])</f>
        <v>9</v>
      </c>
      <c r="E636" s="5">
        <f>WEEKNUM(Table1[[#This Row],[Date]])</f>
        <v>40</v>
      </c>
      <c r="F636" s="5">
        <f>YEAR(Table1[[#This Row],[Date]])</f>
        <v>2021</v>
      </c>
      <c r="G636">
        <v>145</v>
      </c>
      <c r="L636" s="5">
        <v>23</v>
      </c>
      <c r="M636" s="6">
        <v>0.95830000000000004</v>
      </c>
      <c r="N636" s="5">
        <v>1</v>
      </c>
      <c r="O636" s="7">
        <v>5.7870370370370373E-5</v>
      </c>
      <c r="P636" s="7">
        <v>1.5277777777777779E-3</v>
      </c>
      <c r="Q636" s="7">
        <v>6.3657407407407413E-4</v>
      </c>
      <c r="R636" s="6">
        <v>0.95830000000000004</v>
      </c>
      <c r="S636" s="8">
        <f>CONVERT(Table1[[#This Row],[Talk Duration (AVG)]]*Table1[[#This Row],[Answered Calls]],"day","hr")</f>
        <v>0.84333333333333349</v>
      </c>
      <c r="T636" s="9">
        <f>Table1[[#This Row],[Actual Workload hours]]*60</f>
        <v>50.600000000000009</v>
      </c>
      <c r="U636" s="9">
        <f>CONVERT(Table1[[#This Row],[Actual]]*Table1[[#This Row],[Talk Duration (AVG)]],"day","hr")</f>
        <v>5.3166666666666664</v>
      </c>
      <c r="V636" s="10">
        <f>Table1[[#This Row],[Required Workload Hours]]*60</f>
        <v>319</v>
      </c>
      <c r="W636" s="9">
        <v>1</v>
      </c>
      <c r="X636" s="9">
        <f t="shared" si="18"/>
        <v>1</v>
      </c>
      <c r="Y636" s="5">
        <f t="shared" si="19"/>
        <v>1</v>
      </c>
      <c r="Z636" s="8">
        <f>ROUNDUP(Table1[[#This Row],[Actual Heacount]],0)</f>
        <v>1</v>
      </c>
      <c r="AA636" s="8"/>
      <c r="AB636" s="10"/>
      <c r="AC636" s="10"/>
      <c r="AD636" s="10"/>
      <c r="AE636" s="11">
        <v>45.673114732464008</v>
      </c>
      <c r="AF636" s="11">
        <v>266.20319490689081</v>
      </c>
      <c r="AG636" t="s">
        <v>34</v>
      </c>
    </row>
    <row r="637" spans="1:33">
      <c r="A637" s="2">
        <v>44470</v>
      </c>
      <c r="B637" s="5" t="s">
        <v>39</v>
      </c>
      <c r="C637" s="5">
        <f>WEEKDAY(Table1[[#This Row],[Date]])</f>
        <v>6</v>
      </c>
      <c r="D637" s="5">
        <f>MONTH(Table1[[#This Row],[Date]])</f>
        <v>10</v>
      </c>
      <c r="E637" s="5">
        <f>WEEKNUM(Table1[[#This Row],[Date]])</f>
        <v>40</v>
      </c>
      <c r="F637" s="5">
        <f>YEAR(Table1[[#This Row],[Date]])</f>
        <v>2021</v>
      </c>
      <c r="G637">
        <v>30</v>
      </c>
      <c r="L637" s="5">
        <v>136</v>
      </c>
      <c r="M637" s="6">
        <v>0.95099999999999996</v>
      </c>
      <c r="N637" s="5">
        <v>7</v>
      </c>
      <c r="O637" s="7">
        <v>1.0416666666666667E-4</v>
      </c>
      <c r="P637" s="7">
        <v>1.7592592592592592E-3</v>
      </c>
      <c r="Q637" s="7">
        <v>3.8194444444444443E-3</v>
      </c>
      <c r="R637" s="6">
        <v>0.84509999999999996</v>
      </c>
      <c r="S637" s="8">
        <f>CONVERT(Table1[[#This Row],[Talk Duration (AVG)]]*Table1[[#This Row],[Answered Calls]],"day","hr")</f>
        <v>5.7422222222222219</v>
      </c>
      <c r="T637" s="9">
        <f>Table1[[#This Row],[Actual Workload hours]]*60</f>
        <v>344.5333333333333</v>
      </c>
      <c r="U637" s="9">
        <f>CONVERT(Table1[[#This Row],[Actual]]*Table1[[#This Row],[Talk Duration (AVG)]],"day","hr")</f>
        <v>1.2666666666666666</v>
      </c>
      <c r="V637" s="10">
        <f>Table1[[#This Row],[Required Workload Hours]]*60</f>
        <v>76</v>
      </c>
      <c r="W637" s="9">
        <v>1</v>
      </c>
      <c r="X637" s="9">
        <f t="shared" si="18"/>
        <v>1</v>
      </c>
      <c r="Y637" s="5">
        <f t="shared" si="19"/>
        <v>2</v>
      </c>
      <c r="Z637" s="8">
        <f>ROUNDUP(Table1[[#This Row],[Actual Heacount]],0)</f>
        <v>1</v>
      </c>
      <c r="AA637" s="8"/>
      <c r="AB637" s="10"/>
      <c r="AC637" s="10"/>
      <c r="AD637" s="10"/>
      <c r="AE637" s="11">
        <v>31.82926607941419</v>
      </c>
      <c r="AF637" s="11">
        <v>269.61676040212762</v>
      </c>
      <c r="AG637" t="s">
        <v>34</v>
      </c>
    </row>
    <row r="638" spans="1:33">
      <c r="A638" s="2">
        <v>44471</v>
      </c>
      <c r="B638" s="5" t="s">
        <v>40</v>
      </c>
      <c r="C638" s="5">
        <f>WEEKDAY(Table1[[#This Row],[Date]])</f>
        <v>7</v>
      </c>
      <c r="D638" s="5">
        <f>MONTH(Table1[[#This Row],[Date]])</f>
        <v>10</v>
      </c>
      <c r="E638" s="5">
        <f>WEEKNUM(Table1[[#This Row],[Date]])</f>
        <v>40</v>
      </c>
      <c r="F638" s="5">
        <f>YEAR(Table1[[#This Row],[Date]])</f>
        <v>2021</v>
      </c>
      <c r="G638">
        <v>50</v>
      </c>
      <c r="L638" s="5">
        <v>114</v>
      </c>
      <c r="M638" s="6">
        <v>0.95799999999999996</v>
      </c>
      <c r="N638" s="5">
        <v>5</v>
      </c>
      <c r="O638" s="7">
        <v>9.2592592592592588E-5</v>
      </c>
      <c r="P638" s="7">
        <v>1.6435185185185185E-3</v>
      </c>
      <c r="Q638" s="7">
        <v>9.1435185185185185E-4</v>
      </c>
      <c r="R638" s="6">
        <v>0.90600000000000003</v>
      </c>
      <c r="S638" s="8">
        <f>CONVERT(Table1[[#This Row],[Talk Duration (AVG)]]*Table1[[#This Row],[Answered Calls]],"day","hr")</f>
        <v>4.496666666666667</v>
      </c>
      <c r="T638" s="9">
        <f>Table1[[#This Row],[Actual Workload hours]]*60</f>
        <v>269.8</v>
      </c>
      <c r="U638" s="9">
        <f>CONVERT(Table1[[#This Row],[Actual]]*Table1[[#This Row],[Talk Duration (AVG)]],"day","hr")</f>
        <v>1.9722222222222223</v>
      </c>
      <c r="V638" s="10">
        <f>Table1[[#This Row],[Required Workload Hours]]*60</f>
        <v>118.33333333333334</v>
      </c>
      <c r="W638" s="9">
        <v>1</v>
      </c>
      <c r="X638" s="9">
        <f t="shared" si="18"/>
        <v>1</v>
      </c>
      <c r="Y638" s="5">
        <f t="shared" si="19"/>
        <v>2</v>
      </c>
      <c r="Z638" s="8">
        <f>ROUNDUP(Table1[[#This Row],[Actual Heacount]],0)</f>
        <v>1</v>
      </c>
      <c r="AA638" s="8"/>
      <c r="AB638" s="10"/>
      <c r="AC638" s="10"/>
      <c r="AD638" s="10"/>
      <c r="AE638" s="11">
        <v>52.412913386148439</v>
      </c>
      <c r="AF638" s="11">
        <v>262.95601942954443</v>
      </c>
      <c r="AG638" t="s">
        <v>34</v>
      </c>
    </row>
    <row r="639" spans="1:33">
      <c r="A639" s="2">
        <v>44472</v>
      </c>
      <c r="B639" s="5" t="s">
        <v>33</v>
      </c>
      <c r="C639" s="5">
        <f>WEEKDAY(Table1[[#This Row],[Date]])</f>
        <v>1</v>
      </c>
      <c r="D639" s="5">
        <f>MONTH(Table1[[#This Row],[Date]])</f>
        <v>10</v>
      </c>
      <c r="E639" s="5">
        <f>WEEKNUM(Table1[[#This Row],[Date]])</f>
        <v>41</v>
      </c>
      <c r="F639" s="5">
        <f>YEAR(Table1[[#This Row],[Date]])</f>
        <v>2021</v>
      </c>
      <c r="G639">
        <v>123</v>
      </c>
      <c r="L639" s="5">
        <v>118</v>
      </c>
      <c r="M639" s="6">
        <v>0.95930000000000004</v>
      </c>
      <c r="N639" s="5">
        <v>5</v>
      </c>
      <c r="O639" s="7">
        <v>2.4305555555555555E-4</v>
      </c>
      <c r="P639" s="7">
        <v>1.9212962962962964E-3</v>
      </c>
      <c r="Q639" s="7">
        <v>1.8981481481481482E-3</v>
      </c>
      <c r="R639" s="6">
        <v>0.70730000000000004</v>
      </c>
      <c r="S639" s="8">
        <f>CONVERT(Table1[[#This Row],[Talk Duration (AVG)]]*Table1[[#This Row],[Answered Calls]],"day","hr")</f>
        <v>5.4411111111111108</v>
      </c>
      <c r="T639" s="9">
        <f>Table1[[#This Row],[Actual Workload hours]]*60</f>
        <v>326.46666666666664</v>
      </c>
      <c r="U639" s="9">
        <f>CONVERT(Table1[[#This Row],[Actual]]*Table1[[#This Row],[Talk Duration (AVG)]],"day","hr")</f>
        <v>5.6716666666666669</v>
      </c>
      <c r="V639" s="10">
        <f>Table1[[#This Row],[Required Workload Hours]]*60</f>
        <v>340.3</v>
      </c>
      <c r="W639" s="9">
        <v>1</v>
      </c>
      <c r="X639" s="9">
        <f t="shared" si="18"/>
        <v>1</v>
      </c>
      <c r="Y639" s="5">
        <f t="shared" si="19"/>
        <v>2</v>
      </c>
      <c r="Z639" s="8">
        <f>ROUNDUP(Table1[[#This Row],[Actual Heacount]],0)</f>
        <v>1</v>
      </c>
      <c r="AA639" s="8"/>
      <c r="AB639" s="10"/>
      <c r="AC639" s="10"/>
      <c r="AD639" s="10"/>
      <c r="AE639" s="11">
        <v>-33.89606383884334</v>
      </c>
      <c r="AF639" s="11">
        <v>185.9992827324148</v>
      </c>
      <c r="AG639" t="s">
        <v>34</v>
      </c>
    </row>
    <row r="640" spans="1:33">
      <c r="A640" s="2">
        <v>44473</v>
      </c>
      <c r="B640" s="5" t="s">
        <v>35</v>
      </c>
      <c r="C640" s="5">
        <f>WEEKDAY(Table1[[#This Row],[Date]])</f>
        <v>2</v>
      </c>
      <c r="D640" s="5">
        <f>MONTH(Table1[[#This Row],[Date]])</f>
        <v>10</v>
      </c>
      <c r="E640" s="5">
        <f>WEEKNUM(Table1[[#This Row],[Date]])</f>
        <v>41</v>
      </c>
      <c r="F640" s="5">
        <f>YEAR(Table1[[#This Row],[Date]])</f>
        <v>2021</v>
      </c>
      <c r="G640">
        <v>98</v>
      </c>
      <c r="L640" s="5">
        <v>141</v>
      </c>
      <c r="M640" s="6">
        <v>0.97240000000000004</v>
      </c>
      <c r="N640" s="5">
        <v>4</v>
      </c>
      <c r="O640" s="7">
        <v>1.6203703703703703E-4</v>
      </c>
      <c r="P640" s="7">
        <v>1.8055555555555555E-3</v>
      </c>
      <c r="Q640" s="7">
        <v>1.2731481481481483E-3</v>
      </c>
      <c r="R640" s="6">
        <v>0.83330000000000004</v>
      </c>
      <c r="S640" s="8">
        <f>CONVERT(Table1[[#This Row],[Talk Duration (AVG)]]*Table1[[#This Row],[Answered Calls]],"day","hr")</f>
        <v>6.11</v>
      </c>
      <c r="T640" s="9">
        <f>Table1[[#This Row],[Actual Workload hours]]*60</f>
        <v>366.6</v>
      </c>
      <c r="U640" s="9">
        <f>CONVERT(Table1[[#This Row],[Actual]]*Table1[[#This Row],[Talk Duration (AVG)]],"day","hr")</f>
        <v>4.2466666666666661</v>
      </c>
      <c r="V640" s="10">
        <f>Table1[[#This Row],[Required Workload Hours]]*60</f>
        <v>254.79999999999995</v>
      </c>
      <c r="W640" s="9">
        <v>1</v>
      </c>
      <c r="X640" s="9">
        <f t="shared" si="18"/>
        <v>1</v>
      </c>
      <c r="Y640" s="5">
        <f t="shared" si="19"/>
        <v>2</v>
      </c>
      <c r="Z640" s="8">
        <f>ROUNDUP(Table1[[#This Row],[Actual Heacount]],0)</f>
        <v>1</v>
      </c>
      <c r="AA640" s="8"/>
      <c r="AB640" s="10"/>
      <c r="AC640" s="10"/>
      <c r="AD640" s="10"/>
      <c r="AE640" s="11">
        <v>63.405600548066133</v>
      </c>
      <c r="AF640" s="11">
        <v>281.27248283248201</v>
      </c>
      <c r="AG640" t="s">
        <v>34</v>
      </c>
    </row>
    <row r="641" spans="1:33">
      <c r="A641" s="2">
        <v>44474</v>
      </c>
      <c r="B641" s="5" t="s">
        <v>36</v>
      </c>
      <c r="C641" s="5">
        <f>WEEKDAY(Table1[[#This Row],[Date]])</f>
        <v>3</v>
      </c>
      <c r="D641" s="5">
        <f>MONTH(Table1[[#This Row],[Date]])</f>
        <v>10</v>
      </c>
      <c r="E641" s="5">
        <f>WEEKNUM(Table1[[#This Row],[Date]])</f>
        <v>41</v>
      </c>
      <c r="F641" s="5">
        <f>YEAR(Table1[[#This Row],[Date]])</f>
        <v>2021</v>
      </c>
      <c r="G641">
        <v>168</v>
      </c>
      <c r="L641" s="5">
        <v>106</v>
      </c>
      <c r="M641" s="6">
        <v>0.98150000000000004</v>
      </c>
      <c r="N641" s="5">
        <v>2</v>
      </c>
      <c r="O641" s="7">
        <v>3.0092592592592595E-4</v>
      </c>
      <c r="P641" s="7">
        <v>1.9675925925925924E-3</v>
      </c>
      <c r="Q641" s="7">
        <v>3.4375E-3</v>
      </c>
      <c r="R641" s="6">
        <v>0.68220000000000003</v>
      </c>
      <c r="S641" s="8">
        <f>CONVERT(Table1[[#This Row],[Talk Duration (AVG)]]*Table1[[#This Row],[Answered Calls]],"day","hr")</f>
        <v>5.0055555555555546</v>
      </c>
      <c r="T641" s="9">
        <f>Table1[[#This Row],[Actual Workload hours]]*60</f>
        <v>300.33333333333326</v>
      </c>
      <c r="U641" s="9">
        <f>CONVERT(Table1[[#This Row],[Actual]]*Table1[[#This Row],[Talk Duration (AVG)]],"day","hr")</f>
        <v>7.9333333333333336</v>
      </c>
      <c r="V641" s="10">
        <f>Table1[[#This Row],[Required Workload Hours]]*60</f>
        <v>476</v>
      </c>
      <c r="W641" s="9">
        <v>1</v>
      </c>
      <c r="X641" s="9">
        <f t="shared" si="18"/>
        <v>1.2395833333333333</v>
      </c>
      <c r="Y641" s="5">
        <f t="shared" si="19"/>
        <v>2</v>
      </c>
      <c r="Z641" s="8">
        <f>ROUNDUP(Table1[[#This Row],[Actual Heacount]],0)</f>
        <v>1</v>
      </c>
      <c r="AA641" s="8"/>
      <c r="AB641" s="10"/>
      <c r="AC641" s="10"/>
      <c r="AD641" s="10"/>
      <c r="AE641" s="11">
        <v>48.775467337953408</v>
      </c>
      <c r="AF641" s="11">
        <v>266.15909094942538</v>
      </c>
      <c r="AG641" t="s">
        <v>34</v>
      </c>
    </row>
    <row r="642" spans="1:33">
      <c r="A642" s="2">
        <v>44475</v>
      </c>
      <c r="B642" s="5" t="s">
        <v>37</v>
      </c>
      <c r="C642" s="5">
        <f>WEEKDAY(Table1[[#This Row],[Date]])</f>
        <v>4</v>
      </c>
      <c r="D642" s="5">
        <f>MONTH(Table1[[#This Row],[Date]])</f>
        <v>10</v>
      </c>
      <c r="E642" s="5">
        <f>WEEKNUM(Table1[[#This Row],[Date]])</f>
        <v>41</v>
      </c>
      <c r="F642" s="5">
        <f>YEAR(Table1[[#This Row],[Date]])</f>
        <v>2021</v>
      </c>
      <c r="G642">
        <v>256</v>
      </c>
      <c r="L642" s="5">
        <v>125</v>
      </c>
      <c r="M642" s="6">
        <v>0.97660000000000002</v>
      </c>
      <c r="N642" s="5">
        <v>3</v>
      </c>
      <c r="O642" s="7">
        <v>1.5046296296296297E-4</v>
      </c>
      <c r="P642" s="7">
        <v>1.9097222222222222E-3</v>
      </c>
      <c r="Q642" s="7">
        <v>1.1805555555555556E-3</v>
      </c>
      <c r="R642" s="6">
        <v>0.82679999999999998</v>
      </c>
      <c r="S642" s="8">
        <f>CONVERT(Table1[[#This Row],[Talk Duration (AVG)]]*Table1[[#This Row],[Answered Calls]],"day","hr")</f>
        <v>5.729166666666667</v>
      </c>
      <c r="T642" s="9">
        <f>Table1[[#This Row],[Actual Workload hours]]*60</f>
        <v>343.75</v>
      </c>
      <c r="U642" s="9">
        <f>CONVERT(Table1[[#This Row],[Actual]]*Table1[[#This Row],[Talk Duration (AVG)]],"day","hr")</f>
        <v>11.733333333333333</v>
      </c>
      <c r="V642" s="10">
        <f>Table1[[#This Row],[Required Workload Hours]]*60</f>
        <v>704</v>
      </c>
      <c r="W642" s="9">
        <v>1</v>
      </c>
      <c r="X642" s="9">
        <f t="shared" si="18"/>
        <v>1.8333333333333333</v>
      </c>
      <c r="Y642" s="5">
        <f t="shared" si="19"/>
        <v>2</v>
      </c>
      <c r="Z642" s="8">
        <f>ROUNDUP(Table1[[#This Row],[Actual Heacount]],0)</f>
        <v>1</v>
      </c>
      <c r="AA642" s="8"/>
      <c r="AB642" s="10"/>
      <c r="AC642" s="10"/>
      <c r="AD642" s="10"/>
      <c r="AE642" s="11">
        <v>68.264745203251977</v>
      </c>
      <c r="AF642" s="11">
        <v>278.86027242318647</v>
      </c>
      <c r="AG642" t="s">
        <v>34</v>
      </c>
    </row>
    <row r="643" spans="1:33">
      <c r="A643" s="2">
        <v>44476</v>
      </c>
      <c r="B643" s="5" t="s">
        <v>38</v>
      </c>
      <c r="C643" s="5">
        <f>WEEKDAY(Table1[[#This Row],[Date]])</f>
        <v>5</v>
      </c>
      <c r="D643" s="5">
        <f>MONTH(Table1[[#This Row],[Date]])</f>
        <v>10</v>
      </c>
      <c r="E643" s="5">
        <f>WEEKNUM(Table1[[#This Row],[Date]])</f>
        <v>41</v>
      </c>
      <c r="F643" s="5">
        <f>YEAR(Table1[[#This Row],[Date]])</f>
        <v>2021</v>
      </c>
      <c r="G643">
        <v>134</v>
      </c>
      <c r="L643" s="5">
        <v>26</v>
      </c>
      <c r="M643" s="6">
        <v>0.96299999999999997</v>
      </c>
      <c r="N643" s="5">
        <v>1</v>
      </c>
      <c r="O643" s="7">
        <v>2.3148148148148149E-4</v>
      </c>
      <c r="P643" s="7">
        <v>1.9791666666666668E-3</v>
      </c>
      <c r="Q643" s="7">
        <v>1.8518518518518519E-3</v>
      </c>
      <c r="R643" s="6">
        <v>0.84619999999999995</v>
      </c>
      <c r="S643" s="8">
        <f>CONVERT(Table1[[#This Row],[Talk Duration (AVG)]]*Table1[[#This Row],[Answered Calls]],"day","hr")</f>
        <v>1.2350000000000001</v>
      </c>
      <c r="T643" s="9">
        <f>Table1[[#This Row],[Actual Workload hours]]*60</f>
        <v>74.100000000000009</v>
      </c>
      <c r="U643" s="9">
        <f>CONVERT(Table1[[#This Row],[Actual]]*Table1[[#This Row],[Talk Duration (AVG)]],"day","hr")</f>
        <v>6.3650000000000011</v>
      </c>
      <c r="V643" s="10">
        <f>Table1[[#This Row],[Required Workload Hours]]*60</f>
        <v>381.90000000000009</v>
      </c>
      <c r="W643" s="9">
        <v>1</v>
      </c>
      <c r="X643" s="9">
        <f t="shared" ref="X643:X706" si="20">IF(V643&lt;384,1,(V643/384))</f>
        <v>1</v>
      </c>
      <c r="Y643" s="5">
        <f t="shared" ref="Y643:Y706" si="21">IF(B643="Sunday",1,2)</f>
        <v>1</v>
      </c>
      <c r="Z643" s="8">
        <f>ROUNDUP(Table1[[#This Row],[Actual Heacount]],0)</f>
        <v>1</v>
      </c>
      <c r="AA643" s="8"/>
      <c r="AB643" s="10"/>
      <c r="AC643" s="10"/>
      <c r="AD643" s="10"/>
      <c r="AE643" s="11">
        <v>55.251937606986417</v>
      </c>
      <c r="AF643" s="11">
        <v>274.33550685752112</v>
      </c>
      <c r="AG643" t="s">
        <v>34</v>
      </c>
    </row>
    <row r="644" spans="1:33">
      <c r="A644" s="2">
        <v>44477</v>
      </c>
      <c r="B644" s="5" t="s">
        <v>39</v>
      </c>
      <c r="C644" s="5">
        <f>WEEKDAY(Table1[[#This Row],[Date]])</f>
        <v>6</v>
      </c>
      <c r="D644" s="5">
        <f>MONTH(Table1[[#This Row],[Date]])</f>
        <v>10</v>
      </c>
      <c r="E644" s="5">
        <f>WEEKNUM(Table1[[#This Row],[Date]])</f>
        <v>41</v>
      </c>
      <c r="F644" s="5">
        <f>YEAR(Table1[[#This Row],[Date]])</f>
        <v>2021</v>
      </c>
      <c r="G644">
        <v>187</v>
      </c>
      <c r="L644" s="5">
        <v>151</v>
      </c>
      <c r="M644" s="6">
        <v>0.97419999999999995</v>
      </c>
      <c r="N644" s="5">
        <v>4</v>
      </c>
      <c r="O644" s="7">
        <v>1.273148148148148E-4</v>
      </c>
      <c r="P644" s="7">
        <v>1.7592592592592592E-3</v>
      </c>
      <c r="Q644" s="7">
        <v>1.5972222222222223E-3</v>
      </c>
      <c r="R644" s="6">
        <v>0.89610000000000001</v>
      </c>
      <c r="S644" s="8">
        <f>CONVERT(Table1[[#This Row],[Talk Duration (AVG)]]*Table1[[#This Row],[Answered Calls]],"day","hr")</f>
        <v>6.3755555555555556</v>
      </c>
      <c r="T644" s="9">
        <f>Table1[[#This Row],[Actual Workload hours]]*60</f>
        <v>382.53333333333336</v>
      </c>
      <c r="U644" s="9">
        <f>CONVERT(Table1[[#This Row],[Actual]]*Table1[[#This Row],[Talk Duration (AVG)]],"day","hr")</f>
        <v>7.8955555555555552</v>
      </c>
      <c r="V644" s="10">
        <f>Table1[[#This Row],[Required Workload Hours]]*60</f>
        <v>473.73333333333329</v>
      </c>
      <c r="W644" s="9">
        <v>1</v>
      </c>
      <c r="X644" s="9">
        <f t="shared" si="20"/>
        <v>1.2336805555555554</v>
      </c>
      <c r="Y644" s="5">
        <f t="shared" si="21"/>
        <v>2</v>
      </c>
      <c r="Z644" s="8">
        <f>ROUNDUP(Table1[[#This Row],[Actual Heacount]],0)</f>
        <v>1</v>
      </c>
      <c r="AA644" s="8"/>
      <c r="AB644" s="10"/>
      <c r="AC644" s="10"/>
      <c r="AD644" s="10"/>
      <c r="AE644" s="11">
        <v>47.698821932777442</v>
      </c>
      <c r="AF644" s="11">
        <v>274.16738672194509</v>
      </c>
      <c r="AG644" t="s">
        <v>34</v>
      </c>
    </row>
    <row r="645" spans="1:33">
      <c r="A645" s="2">
        <v>44478</v>
      </c>
      <c r="B645" s="5" t="s">
        <v>40</v>
      </c>
      <c r="C645" s="5">
        <f>WEEKDAY(Table1[[#This Row],[Date]])</f>
        <v>7</v>
      </c>
      <c r="D645" s="5">
        <f>MONTH(Table1[[#This Row],[Date]])</f>
        <v>10</v>
      </c>
      <c r="E645" s="5">
        <f>WEEKNUM(Table1[[#This Row],[Date]])</f>
        <v>41</v>
      </c>
      <c r="F645" s="5">
        <f>YEAR(Table1[[#This Row],[Date]])</f>
        <v>2021</v>
      </c>
      <c r="G645">
        <v>119</v>
      </c>
      <c r="L645" s="5">
        <v>110</v>
      </c>
      <c r="M645" s="6">
        <v>0.94830000000000003</v>
      </c>
      <c r="N645" s="5">
        <v>6</v>
      </c>
      <c r="O645" s="7">
        <v>2.0833333333333335E-4</v>
      </c>
      <c r="P645" s="7">
        <v>1.6550925925925926E-3</v>
      </c>
      <c r="Q645" s="7">
        <v>1.9328703703703704E-3</v>
      </c>
      <c r="R645" s="6">
        <v>0.75</v>
      </c>
      <c r="S645" s="8">
        <f>CONVERT(Table1[[#This Row],[Talk Duration (AVG)]]*Table1[[#This Row],[Answered Calls]],"day","hr")</f>
        <v>4.3694444444444445</v>
      </c>
      <c r="T645" s="9">
        <f>Table1[[#This Row],[Actual Workload hours]]*60</f>
        <v>262.16666666666669</v>
      </c>
      <c r="U645" s="9">
        <f>CONVERT(Table1[[#This Row],[Actual]]*Table1[[#This Row],[Talk Duration (AVG)]],"day","hr")</f>
        <v>4.7269444444444444</v>
      </c>
      <c r="V645" s="10">
        <f>Table1[[#This Row],[Required Workload Hours]]*60</f>
        <v>283.61666666666667</v>
      </c>
      <c r="W645" s="9">
        <v>1</v>
      </c>
      <c r="X645" s="9">
        <f t="shared" si="20"/>
        <v>1</v>
      </c>
      <c r="Y645" s="5">
        <f t="shared" si="21"/>
        <v>2</v>
      </c>
      <c r="Z645" s="8">
        <f>ROUNDUP(Table1[[#This Row],[Actual Heacount]],0)</f>
        <v>1</v>
      </c>
      <c r="AA645" s="8"/>
      <c r="AB645" s="10"/>
      <c r="AC645" s="10"/>
      <c r="AD645" s="10"/>
      <c r="AE645" s="11">
        <v>62.208619244970301</v>
      </c>
      <c r="AF645" s="11">
        <v>276.32340322867589</v>
      </c>
      <c r="AG645" t="s">
        <v>34</v>
      </c>
    </row>
    <row r="646" spans="1:33">
      <c r="A646" s="2">
        <v>44479</v>
      </c>
      <c r="B646" s="5" t="s">
        <v>33</v>
      </c>
      <c r="C646" s="5">
        <f>WEEKDAY(Table1[[#This Row],[Date]])</f>
        <v>1</v>
      </c>
      <c r="D646" s="5">
        <f>MONTH(Table1[[#This Row],[Date]])</f>
        <v>10</v>
      </c>
      <c r="E646" s="5">
        <f>WEEKNUM(Table1[[#This Row],[Date]])</f>
        <v>42</v>
      </c>
      <c r="F646" s="5">
        <f>YEAR(Table1[[#This Row],[Date]])</f>
        <v>2021</v>
      </c>
      <c r="G646">
        <v>29</v>
      </c>
      <c r="L646" s="5">
        <v>111</v>
      </c>
      <c r="M646" s="6">
        <v>0.94869999999999999</v>
      </c>
      <c r="N646" s="5">
        <v>6</v>
      </c>
      <c r="O646" s="7">
        <v>2.0833333333333335E-4</v>
      </c>
      <c r="P646" s="7">
        <v>1.8865740740740742E-3</v>
      </c>
      <c r="Q646" s="7">
        <v>1.4583333333333334E-3</v>
      </c>
      <c r="R646" s="6">
        <v>0.76519999999999999</v>
      </c>
      <c r="S646" s="8">
        <f>CONVERT(Table1[[#This Row],[Talk Duration (AVG)]]*Table1[[#This Row],[Answered Calls]],"day","hr")</f>
        <v>5.0258333333333329</v>
      </c>
      <c r="T646" s="9">
        <f>Table1[[#This Row],[Actual Workload hours]]*60</f>
        <v>301.54999999999995</v>
      </c>
      <c r="U646" s="9">
        <f>CONVERT(Table1[[#This Row],[Actual]]*Table1[[#This Row],[Talk Duration (AVG)]],"day","hr")</f>
        <v>1.3130555555555556</v>
      </c>
      <c r="V646" s="10">
        <f>Table1[[#This Row],[Required Workload Hours]]*60</f>
        <v>78.783333333333331</v>
      </c>
      <c r="W646" s="9">
        <v>1</v>
      </c>
      <c r="X646" s="9">
        <f t="shared" si="20"/>
        <v>1</v>
      </c>
      <c r="Y646" s="5">
        <f t="shared" si="21"/>
        <v>2</v>
      </c>
      <c r="Z646" s="8">
        <f>ROUNDUP(Table1[[#This Row],[Actual Heacount]],0)</f>
        <v>1</v>
      </c>
      <c r="AA646" s="8"/>
      <c r="AB646" s="10"/>
      <c r="AC646" s="10"/>
      <c r="AD646" s="10"/>
      <c r="AE646" s="11">
        <v>-24.639225673240851</v>
      </c>
      <c r="AF646" s="11">
        <v>184.77220286761519</v>
      </c>
      <c r="AG646" t="s">
        <v>34</v>
      </c>
    </row>
    <row r="647" spans="1:33">
      <c r="A647" s="2">
        <v>44480</v>
      </c>
      <c r="B647" s="5" t="s">
        <v>35</v>
      </c>
      <c r="C647" s="5">
        <f>WEEKDAY(Table1[[#This Row],[Date]])</f>
        <v>2</v>
      </c>
      <c r="D647" s="5">
        <f>MONTH(Table1[[#This Row],[Date]])</f>
        <v>10</v>
      </c>
      <c r="E647" s="5">
        <f>WEEKNUM(Table1[[#This Row],[Date]])</f>
        <v>42</v>
      </c>
      <c r="F647" s="5">
        <f>YEAR(Table1[[#This Row],[Date]])</f>
        <v>2021</v>
      </c>
      <c r="G647">
        <v>115</v>
      </c>
      <c r="L647" s="5">
        <v>105</v>
      </c>
      <c r="M647" s="6">
        <v>0.92920000000000003</v>
      </c>
      <c r="N647" s="5">
        <v>8</v>
      </c>
      <c r="O647" s="7">
        <v>3.5879629629629629E-4</v>
      </c>
      <c r="P647" s="7">
        <v>1.8171296296296297E-3</v>
      </c>
      <c r="Q647" s="7">
        <v>2.5462962962962965E-3</v>
      </c>
      <c r="R647" s="6">
        <v>0.53979999999999995</v>
      </c>
      <c r="S647" s="8">
        <f>CONVERT(Table1[[#This Row],[Talk Duration (AVG)]]*Table1[[#This Row],[Answered Calls]],"day","hr")</f>
        <v>4.5791666666666666</v>
      </c>
      <c r="T647" s="9">
        <f>Table1[[#This Row],[Actual Workload hours]]*60</f>
        <v>274.75</v>
      </c>
      <c r="U647" s="9">
        <f>CONVERT(Table1[[#This Row],[Actual]]*Table1[[#This Row],[Talk Duration (AVG)]],"day","hr")</f>
        <v>5.0152777777777775</v>
      </c>
      <c r="V647" s="10">
        <f>Table1[[#This Row],[Required Workload Hours]]*60</f>
        <v>300.91666666666663</v>
      </c>
      <c r="W647" s="9">
        <v>1</v>
      </c>
      <c r="X647" s="9">
        <f t="shared" si="20"/>
        <v>1</v>
      </c>
      <c r="Y647" s="5">
        <f t="shared" si="21"/>
        <v>2</v>
      </c>
      <c r="Z647" s="8">
        <f>ROUNDUP(Table1[[#This Row],[Actual Heacount]],0)</f>
        <v>1</v>
      </c>
      <c r="AA647" s="8"/>
      <c r="AB647" s="10"/>
      <c r="AC647" s="10"/>
      <c r="AD647" s="10"/>
      <c r="AE647" s="11">
        <v>76.790313630292943</v>
      </c>
      <c r="AF647" s="11">
        <v>296.67241623081679</v>
      </c>
      <c r="AG647" t="s">
        <v>34</v>
      </c>
    </row>
    <row r="648" spans="1:33">
      <c r="A648" s="2">
        <v>44481</v>
      </c>
      <c r="B648" s="5" t="s">
        <v>36</v>
      </c>
      <c r="C648" s="5">
        <f>WEEKDAY(Table1[[#This Row],[Date]])</f>
        <v>3</v>
      </c>
      <c r="D648" s="5">
        <f>MONTH(Table1[[#This Row],[Date]])</f>
        <v>10</v>
      </c>
      <c r="E648" s="5">
        <f>WEEKNUM(Table1[[#This Row],[Date]])</f>
        <v>42</v>
      </c>
      <c r="F648" s="5">
        <f>YEAR(Table1[[#This Row],[Date]])</f>
        <v>2021</v>
      </c>
      <c r="G648">
        <v>188</v>
      </c>
      <c r="L648" s="5">
        <v>101</v>
      </c>
      <c r="M648" s="6">
        <v>0.94389999999999996</v>
      </c>
      <c r="N648" s="5">
        <v>6</v>
      </c>
      <c r="O648" s="7">
        <v>2.6620370370370372E-4</v>
      </c>
      <c r="P648" s="7">
        <v>1.8981481481481482E-3</v>
      </c>
      <c r="Q648" s="7">
        <v>2.2106481481481482E-3</v>
      </c>
      <c r="R648" s="6">
        <v>0.73580000000000001</v>
      </c>
      <c r="S648" s="8">
        <f>CONVERT(Table1[[#This Row],[Talk Duration (AVG)]]*Table1[[#This Row],[Answered Calls]],"day","hr")</f>
        <v>4.6011111111111109</v>
      </c>
      <c r="T648" s="9">
        <f>Table1[[#This Row],[Actual Workload hours]]*60</f>
        <v>276.06666666666666</v>
      </c>
      <c r="U648" s="9">
        <f>CONVERT(Table1[[#This Row],[Actual]]*Table1[[#This Row],[Talk Duration (AVG)]],"day","hr")</f>
        <v>8.5644444444444439</v>
      </c>
      <c r="V648" s="10">
        <f>Table1[[#This Row],[Required Workload Hours]]*60</f>
        <v>513.86666666666667</v>
      </c>
      <c r="W648" s="9">
        <v>1</v>
      </c>
      <c r="X648" s="9">
        <f t="shared" si="20"/>
        <v>1.3381944444444445</v>
      </c>
      <c r="Y648" s="5">
        <f t="shared" si="21"/>
        <v>2</v>
      </c>
      <c r="Z648" s="8">
        <f>ROUNDUP(Table1[[#This Row],[Actual Heacount]],0)</f>
        <v>1</v>
      </c>
      <c r="AA648" s="8"/>
      <c r="AB648" s="10"/>
      <c r="AC648" s="10"/>
      <c r="AD648" s="10"/>
      <c r="AE648" s="11">
        <v>56.859975699905291</v>
      </c>
      <c r="AF648" s="11">
        <v>285.19539007170789</v>
      </c>
      <c r="AG648" t="s">
        <v>34</v>
      </c>
    </row>
    <row r="649" spans="1:33">
      <c r="A649" s="2">
        <v>44482</v>
      </c>
      <c r="B649" s="5" t="s">
        <v>37</v>
      </c>
      <c r="C649" s="5">
        <f>WEEKDAY(Table1[[#This Row],[Date]])</f>
        <v>4</v>
      </c>
      <c r="D649" s="5">
        <f>MONTH(Table1[[#This Row],[Date]])</f>
        <v>10</v>
      </c>
      <c r="E649" s="5">
        <f>WEEKNUM(Table1[[#This Row],[Date]])</f>
        <v>42</v>
      </c>
      <c r="F649" s="5">
        <f>YEAR(Table1[[#This Row],[Date]])</f>
        <v>2021</v>
      </c>
      <c r="G649">
        <v>174</v>
      </c>
      <c r="L649" s="5">
        <v>141</v>
      </c>
      <c r="M649" s="6">
        <v>0.96579999999999999</v>
      </c>
      <c r="N649" s="5">
        <v>5</v>
      </c>
      <c r="O649" s="7">
        <v>2.8935185185185184E-4</v>
      </c>
      <c r="P649" s="7">
        <v>1.6435185185185185E-3</v>
      </c>
      <c r="Q649" s="7">
        <v>1.9212962962962964E-3</v>
      </c>
      <c r="R649" s="6">
        <v>0.65749999999999997</v>
      </c>
      <c r="S649" s="8">
        <f>CONVERT(Table1[[#This Row],[Talk Duration (AVG)]]*Table1[[#This Row],[Answered Calls]],"day","hr")</f>
        <v>5.5616666666666665</v>
      </c>
      <c r="T649" s="9">
        <f>Table1[[#This Row],[Actual Workload hours]]*60</f>
        <v>333.7</v>
      </c>
      <c r="U649" s="9">
        <f>CONVERT(Table1[[#This Row],[Actual]]*Table1[[#This Row],[Talk Duration (AVG)]],"day","hr")</f>
        <v>6.8633333333333333</v>
      </c>
      <c r="V649" s="10">
        <f>Table1[[#This Row],[Required Workload Hours]]*60</f>
        <v>411.8</v>
      </c>
      <c r="W649" s="9">
        <v>1</v>
      </c>
      <c r="X649" s="9">
        <f t="shared" si="20"/>
        <v>1.0723958333333334</v>
      </c>
      <c r="Y649" s="5">
        <f t="shared" si="21"/>
        <v>2</v>
      </c>
      <c r="Z649" s="8">
        <f>ROUNDUP(Table1[[#This Row],[Actual Heacount]],0)</f>
        <v>1</v>
      </c>
      <c r="AA649" s="8"/>
      <c r="AB649" s="10"/>
      <c r="AC649" s="10"/>
      <c r="AD649" s="10"/>
      <c r="AE649" s="11">
        <v>73.134773249889335</v>
      </c>
      <c r="AF649" s="11">
        <v>288.42991971681653</v>
      </c>
      <c r="AG649" t="s">
        <v>34</v>
      </c>
    </row>
    <row r="650" spans="1:33">
      <c r="A650" s="2">
        <v>44483</v>
      </c>
      <c r="B650" s="5" t="s">
        <v>38</v>
      </c>
      <c r="C650" s="5">
        <f>WEEKDAY(Table1[[#This Row],[Date]])</f>
        <v>5</v>
      </c>
      <c r="D650" s="5">
        <f>MONTH(Table1[[#This Row],[Date]])</f>
        <v>10</v>
      </c>
      <c r="E650" s="5">
        <f>WEEKNUM(Table1[[#This Row],[Date]])</f>
        <v>42</v>
      </c>
      <c r="F650" s="5">
        <f>YEAR(Table1[[#This Row],[Date]])</f>
        <v>2021</v>
      </c>
      <c r="G650">
        <v>168</v>
      </c>
      <c r="L650" s="5">
        <v>26</v>
      </c>
      <c r="M650" s="6">
        <v>0.89659999999999995</v>
      </c>
      <c r="N650" s="5">
        <v>3</v>
      </c>
      <c r="O650" s="7">
        <v>1.0416666666666667E-4</v>
      </c>
      <c r="P650" s="7">
        <v>1.8171296296296297E-3</v>
      </c>
      <c r="Q650" s="7">
        <v>1.2731481481481483E-3</v>
      </c>
      <c r="R650" s="6">
        <v>0.85709999999999997</v>
      </c>
      <c r="S650" s="8">
        <f>CONVERT(Table1[[#This Row],[Talk Duration (AVG)]]*Table1[[#This Row],[Answered Calls]],"day","hr")</f>
        <v>1.1338888888888889</v>
      </c>
      <c r="T650" s="9">
        <f>Table1[[#This Row],[Actual Workload hours]]*60</f>
        <v>68.033333333333331</v>
      </c>
      <c r="U650" s="9">
        <f>CONVERT(Table1[[#This Row],[Actual]]*Table1[[#This Row],[Talk Duration (AVG)]],"day","hr")</f>
        <v>7.326666666666668</v>
      </c>
      <c r="V650" s="10">
        <f>Table1[[#This Row],[Required Workload Hours]]*60</f>
        <v>439.60000000000008</v>
      </c>
      <c r="W650" s="9">
        <v>1</v>
      </c>
      <c r="X650" s="9">
        <f t="shared" si="20"/>
        <v>1.1447916666666669</v>
      </c>
      <c r="Y650" s="5">
        <f t="shared" si="21"/>
        <v>1</v>
      </c>
      <c r="Z650" s="8">
        <f>ROUNDUP(Table1[[#This Row],[Actual Heacount]],0)</f>
        <v>1</v>
      </c>
      <c r="AA650" s="8"/>
      <c r="AB650" s="10"/>
      <c r="AC650" s="10"/>
      <c r="AD650" s="10"/>
      <c r="AE650" s="11">
        <v>70.804411490424428</v>
      </c>
      <c r="AF650" s="11">
        <v>293.43606424024472</v>
      </c>
      <c r="AG650" t="s">
        <v>34</v>
      </c>
    </row>
    <row r="651" spans="1:33">
      <c r="A651" s="2">
        <v>44484</v>
      </c>
      <c r="B651" s="5" t="s">
        <v>39</v>
      </c>
      <c r="C651" s="5">
        <f>WEEKDAY(Table1[[#This Row],[Date]])</f>
        <v>6</v>
      </c>
      <c r="D651" s="5">
        <f>MONTH(Table1[[#This Row],[Date]])</f>
        <v>10</v>
      </c>
      <c r="E651" s="5">
        <f>WEEKNUM(Table1[[#This Row],[Date]])</f>
        <v>42</v>
      </c>
      <c r="F651" s="5">
        <f>YEAR(Table1[[#This Row],[Date]])</f>
        <v>2021</v>
      </c>
      <c r="G651">
        <v>135</v>
      </c>
      <c r="L651" s="5">
        <v>228</v>
      </c>
      <c r="M651" s="6">
        <v>0.98699999999999999</v>
      </c>
      <c r="N651" s="5">
        <v>3</v>
      </c>
      <c r="O651" s="7">
        <v>1.7361111111111112E-4</v>
      </c>
      <c r="P651" s="7">
        <v>1.4930555555555556E-3</v>
      </c>
      <c r="Q651" s="7">
        <v>2.3842592592592591E-3</v>
      </c>
      <c r="R651" s="6">
        <v>0.81389999999999996</v>
      </c>
      <c r="S651" s="8">
        <f>CONVERT(Table1[[#This Row],[Talk Duration (AVG)]]*Table1[[#This Row],[Answered Calls]],"day","hr")</f>
        <v>8.1700000000000017</v>
      </c>
      <c r="T651" s="9">
        <f>Table1[[#This Row],[Actual Workload hours]]*60</f>
        <v>490.2000000000001</v>
      </c>
      <c r="U651" s="9">
        <f>CONVERT(Table1[[#This Row],[Actual]]*Table1[[#This Row],[Talk Duration (AVG)]],"day","hr")</f>
        <v>4.8375000000000004</v>
      </c>
      <c r="V651" s="10">
        <f>Table1[[#This Row],[Required Workload Hours]]*60</f>
        <v>290.25</v>
      </c>
      <c r="W651" s="9">
        <v>1.28</v>
      </c>
      <c r="X651" s="9">
        <f t="shared" si="20"/>
        <v>1</v>
      </c>
      <c r="Y651" s="5">
        <f t="shared" si="21"/>
        <v>2</v>
      </c>
      <c r="Z651" s="8">
        <f>ROUNDUP(Table1[[#This Row],[Actual Heacount]],0)</f>
        <v>2</v>
      </c>
      <c r="AA651" s="8"/>
      <c r="AB651" s="10"/>
      <c r="AC651" s="10"/>
      <c r="AD651" s="10"/>
      <c r="AE651" s="11">
        <v>61.847492278014748</v>
      </c>
      <c r="AF651" s="11">
        <v>277.60853674180601</v>
      </c>
      <c r="AG651" t="s">
        <v>34</v>
      </c>
    </row>
    <row r="652" spans="1:33">
      <c r="A652" s="2">
        <v>44485</v>
      </c>
      <c r="B652" s="5" t="s">
        <v>40</v>
      </c>
      <c r="C652" s="5">
        <f>WEEKDAY(Table1[[#This Row],[Date]])</f>
        <v>7</v>
      </c>
      <c r="D652" s="5">
        <f>MONTH(Table1[[#This Row],[Date]])</f>
        <v>10</v>
      </c>
      <c r="E652" s="5">
        <f>WEEKNUM(Table1[[#This Row],[Date]])</f>
        <v>42</v>
      </c>
      <c r="F652" s="5">
        <f>YEAR(Table1[[#This Row],[Date]])</f>
        <v>2021</v>
      </c>
      <c r="G652">
        <v>122</v>
      </c>
      <c r="L652" s="5">
        <v>215</v>
      </c>
      <c r="M652" s="6">
        <v>0.89959999999999996</v>
      </c>
      <c r="N652" s="5">
        <v>24</v>
      </c>
      <c r="O652" s="7">
        <v>2.6620370370370372E-4</v>
      </c>
      <c r="P652" s="7">
        <v>1.8055555555555555E-3</v>
      </c>
      <c r="Q652" s="7">
        <v>3.1828703703703702E-3</v>
      </c>
      <c r="R652" s="6">
        <v>0.66669999999999996</v>
      </c>
      <c r="S652" s="8">
        <f>CONVERT(Table1[[#This Row],[Talk Duration (AVG)]]*Table1[[#This Row],[Answered Calls]],"day","hr")</f>
        <v>9.3166666666666664</v>
      </c>
      <c r="T652" s="9">
        <f>Table1[[#This Row],[Actual Workload hours]]*60</f>
        <v>559</v>
      </c>
      <c r="U652" s="9">
        <f>CONVERT(Table1[[#This Row],[Actual]]*Table1[[#This Row],[Talk Duration (AVG)]],"day","hr")</f>
        <v>5.2866666666666671</v>
      </c>
      <c r="V652" s="10">
        <f>Table1[[#This Row],[Required Workload Hours]]*60</f>
        <v>317.20000000000005</v>
      </c>
      <c r="W652" s="9">
        <v>1.46</v>
      </c>
      <c r="X652" s="9">
        <f t="shared" si="20"/>
        <v>1</v>
      </c>
      <c r="Y652" s="5">
        <f t="shared" si="21"/>
        <v>2</v>
      </c>
      <c r="Z652" s="8">
        <f>ROUNDUP(Table1[[#This Row],[Actual Heacount]],0)</f>
        <v>2</v>
      </c>
      <c r="AA652" s="8"/>
      <c r="AB652" s="10"/>
      <c r="AC652" s="10"/>
      <c r="AD652" s="10"/>
      <c r="AE652" s="11">
        <v>69.778666474112839</v>
      </c>
      <c r="AF652" s="11">
        <v>295.41714634354298</v>
      </c>
      <c r="AG652" t="s">
        <v>34</v>
      </c>
    </row>
    <row r="653" spans="1:33">
      <c r="A653" s="2">
        <v>44486</v>
      </c>
      <c r="B653" s="5" t="s">
        <v>33</v>
      </c>
      <c r="C653" s="5">
        <f>WEEKDAY(Table1[[#This Row],[Date]])</f>
        <v>1</v>
      </c>
      <c r="D653" s="5">
        <f>MONTH(Table1[[#This Row],[Date]])</f>
        <v>10</v>
      </c>
      <c r="E653" s="5">
        <f>WEEKNUM(Table1[[#This Row],[Date]])</f>
        <v>43</v>
      </c>
      <c r="F653" s="5">
        <f>YEAR(Table1[[#This Row],[Date]])</f>
        <v>2021</v>
      </c>
      <c r="G653">
        <v>13</v>
      </c>
      <c r="L653" s="5">
        <v>154</v>
      </c>
      <c r="M653" s="6">
        <v>0.8851</v>
      </c>
      <c r="N653" s="5">
        <v>20</v>
      </c>
      <c r="O653" s="7">
        <v>3.3564814814814812E-4</v>
      </c>
      <c r="P653" s="7">
        <v>1.8518518518518519E-3</v>
      </c>
      <c r="Q653" s="7">
        <v>3.5648148148148149E-3</v>
      </c>
      <c r="R653" s="6">
        <v>0.61309999999999998</v>
      </c>
      <c r="S653" s="8">
        <f>CONVERT(Table1[[#This Row],[Talk Duration (AVG)]]*Table1[[#This Row],[Answered Calls]],"day","hr")</f>
        <v>6.8444444444444459</v>
      </c>
      <c r="T653" s="9">
        <f>Table1[[#This Row],[Actual Workload hours]]*60</f>
        <v>410.66666666666674</v>
      </c>
      <c r="U653" s="9">
        <f>CONVERT(Table1[[#This Row],[Actual]]*Table1[[#This Row],[Talk Duration (AVG)]],"day","hr")</f>
        <v>0.57777777777777772</v>
      </c>
      <c r="V653" s="10">
        <f>Table1[[#This Row],[Required Workload Hours]]*60</f>
        <v>34.666666666666664</v>
      </c>
      <c r="W653" s="9">
        <v>1.07</v>
      </c>
      <c r="X653" s="9">
        <f t="shared" si="20"/>
        <v>1</v>
      </c>
      <c r="Y653" s="5">
        <f t="shared" si="21"/>
        <v>2</v>
      </c>
      <c r="Z653" s="8">
        <f>ROUNDUP(Table1[[#This Row],[Actual Heacount]],0)</f>
        <v>2</v>
      </c>
      <c r="AA653" s="8"/>
      <c r="AB653" s="10"/>
      <c r="AC653" s="10"/>
      <c r="AD653" s="10"/>
      <c r="AE653" s="11">
        <v>-13.378919844574609</v>
      </c>
      <c r="AF653" s="11">
        <v>196.36372926934689</v>
      </c>
      <c r="AG653" t="s">
        <v>34</v>
      </c>
    </row>
    <row r="654" spans="1:33">
      <c r="A654" s="2">
        <v>44487</v>
      </c>
      <c r="B654" s="5" t="s">
        <v>35</v>
      </c>
      <c r="C654" s="5">
        <f>WEEKDAY(Table1[[#This Row],[Date]])</f>
        <v>2</v>
      </c>
      <c r="D654" s="5">
        <f>MONTH(Table1[[#This Row],[Date]])</f>
        <v>10</v>
      </c>
      <c r="E654" s="5">
        <f>WEEKNUM(Table1[[#This Row],[Date]])</f>
        <v>43</v>
      </c>
      <c r="F654" s="5">
        <f>YEAR(Table1[[#This Row],[Date]])</f>
        <v>2021</v>
      </c>
      <c r="G654">
        <v>20</v>
      </c>
      <c r="L654" s="5">
        <v>163</v>
      </c>
      <c r="M654" s="6">
        <v>0.97019999999999995</v>
      </c>
      <c r="N654" s="5">
        <v>5</v>
      </c>
      <c r="O654" s="7">
        <v>2.4305555555555555E-4</v>
      </c>
      <c r="P654" s="7">
        <v>1.9560185185185184E-3</v>
      </c>
      <c r="Q654" s="7">
        <v>1.9097222222222222E-3</v>
      </c>
      <c r="R654" s="6">
        <v>0.70660000000000001</v>
      </c>
      <c r="S654" s="8">
        <f>CONVERT(Table1[[#This Row],[Talk Duration (AVG)]]*Table1[[#This Row],[Answered Calls]],"day","hr")</f>
        <v>7.6519444444444433</v>
      </c>
      <c r="T654" s="9">
        <f>Table1[[#This Row],[Actual Workload hours]]*60</f>
        <v>459.11666666666662</v>
      </c>
      <c r="U654" s="9">
        <f>CONVERT(Table1[[#This Row],[Actual]]*Table1[[#This Row],[Talk Duration (AVG)]],"day","hr")</f>
        <v>0.93888888888888888</v>
      </c>
      <c r="V654" s="10">
        <f>Table1[[#This Row],[Required Workload Hours]]*60</f>
        <v>56.333333333333336</v>
      </c>
      <c r="W654" s="9">
        <v>1.2</v>
      </c>
      <c r="X654" s="9">
        <f t="shared" si="20"/>
        <v>1</v>
      </c>
      <c r="Y654" s="5">
        <f t="shared" si="21"/>
        <v>2</v>
      </c>
      <c r="Z654" s="8">
        <f>ROUNDUP(Table1[[#This Row],[Actual Heacount]],0)</f>
        <v>2</v>
      </c>
      <c r="AA654" s="8"/>
      <c r="AB654" s="10"/>
      <c r="AC654" s="10"/>
      <c r="AD654" s="10"/>
      <c r="AE654" s="11">
        <v>77.856592543722172</v>
      </c>
      <c r="AF654" s="11">
        <v>303.38273495285461</v>
      </c>
      <c r="AG654" t="s">
        <v>34</v>
      </c>
    </row>
    <row r="655" spans="1:33">
      <c r="A655" s="2">
        <v>44488</v>
      </c>
      <c r="B655" s="5" t="s">
        <v>36</v>
      </c>
      <c r="C655" s="5">
        <f>WEEKDAY(Table1[[#This Row],[Date]])</f>
        <v>3</v>
      </c>
      <c r="D655" s="5">
        <f>MONTH(Table1[[#This Row],[Date]])</f>
        <v>10</v>
      </c>
      <c r="E655" s="5">
        <f>WEEKNUM(Table1[[#This Row],[Date]])</f>
        <v>43</v>
      </c>
      <c r="F655" s="5">
        <f>YEAR(Table1[[#This Row],[Date]])</f>
        <v>2021</v>
      </c>
      <c r="G655">
        <v>152</v>
      </c>
      <c r="L655" s="5">
        <v>128</v>
      </c>
      <c r="M655" s="6">
        <v>0.94810000000000005</v>
      </c>
      <c r="N655" s="5">
        <v>7</v>
      </c>
      <c r="O655" s="7">
        <v>2.0833333333333335E-4</v>
      </c>
      <c r="P655" s="7">
        <v>1.8055555555555555E-3</v>
      </c>
      <c r="Q655" s="7">
        <v>3.8194444444444443E-3</v>
      </c>
      <c r="R655" s="6">
        <v>0.72589999999999999</v>
      </c>
      <c r="S655" s="8">
        <f>CONVERT(Table1[[#This Row],[Talk Duration (AVG)]]*Table1[[#This Row],[Answered Calls]],"day","hr")</f>
        <v>5.5466666666666669</v>
      </c>
      <c r="T655" s="9">
        <f>Table1[[#This Row],[Actual Workload hours]]*60</f>
        <v>332.8</v>
      </c>
      <c r="U655" s="9">
        <f>CONVERT(Table1[[#This Row],[Actual]]*Table1[[#This Row],[Talk Duration (AVG)]],"day","hr")</f>
        <v>6.5866666666666669</v>
      </c>
      <c r="V655" s="10">
        <f>Table1[[#This Row],[Required Workload Hours]]*60</f>
        <v>395.2</v>
      </c>
      <c r="W655" s="9">
        <v>1</v>
      </c>
      <c r="X655" s="9">
        <f t="shared" si="20"/>
        <v>1.0291666666666666</v>
      </c>
      <c r="Y655" s="5">
        <f t="shared" si="21"/>
        <v>2</v>
      </c>
      <c r="Z655" s="8">
        <f>ROUNDUP(Table1[[#This Row],[Actual Heacount]],0)</f>
        <v>1</v>
      </c>
      <c r="AA655" s="8"/>
      <c r="AB655" s="10"/>
      <c r="AC655" s="10"/>
      <c r="AD655" s="10"/>
      <c r="AE655" s="11">
        <v>67.20824350800298</v>
      </c>
      <c r="AF655" s="11">
        <v>281.44275737455769</v>
      </c>
      <c r="AG655" t="s">
        <v>34</v>
      </c>
    </row>
    <row r="656" spans="1:33">
      <c r="A656" s="2">
        <v>44489</v>
      </c>
      <c r="B656" s="5" t="s">
        <v>37</v>
      </c>
      <c r="C656" s="5">
        <f>WEEKDAY(Table1[[#This Row],[Date]])</f>
        <v>4</v>
      </c>
      <c r="D656" s="5">
        <f>MONTH(Table1[[#This Row],[Date]])</f>
        <v>10</v>
      </c>
      <c r="E656" s="5">
        <f>WEEKNUM(Table1[[#This Row],[Date]])</f>
        <v>43</v>
      </c>
      <c r="F656" s="5">
        <f>YEAR(Table1[[#This Row],[Date]])</f>
        <v>2021</v>
      </c>
      <c r="G656">
        <v>132</v>
      </c>
      <c r="L656" s="5">
        <v>113</v>
      </c>
      <c r="M656" s="6">
        <v>0.92620000000000002</v>
      </c>
      <c r="N656" s="5">
        <v>9</v>
      </c>
      <c r="O656" s="7">
        <v>3.4722222222222224E-4</v>
      </c>
      <c r="P656" s="7">
        <v>1.9560185185185184E-3</v>
      </c>
      <c r="Q656" s="7">
        <v>2.5462962962962965E-3</v>
      </c>
      <c r="R656" s="6">
        <v>0.61160000000000003</v>
      </c>
      <c r="S656" s="8">
        <f>CONVERT(Table1[[#This Row],[Talk Duration (AVG)]]*Table1[[#This Row],[Answered Calls]],"day","hr")</f>
        <v>5.304722222222221</v>
      </c>
      <c r="T656" s="9">
        <f>Table1[[#This Row],[Actual Workload hours]]*60</f>
        <v>318.28333333333325</v>
      </c>
      <c r="U656" s="9">
        <f>CONVERT(Table1[[#This Row],[Actual]]*Table1[[#This Row],[Talk Duration (AVG)]],"day","hr")</f>
        <v>6.1966666666666663</v>
      </c>
      <c r="V656" s="10">
        <f>Table1[[#This Row],[Required Workload Hours]]*60</f>
        <v>371.79999999999995</v>
      </c>
      <c r="W656" s="9">
        <v>1</v>
      </c>
      <c r="X656" s="9">
        <f t="shared" si="20"/>
        <v>1</v>
      </c>
      <c r="Y656" s="5">
        <f t="shared" si="21"/>
        <v>2</v>
      </c>
      <c r="Z656" s="8">
        <f>ROUNDUP(Table1[[#This Row],[Actual Heacount]],0)</f>
        <v>1</v>
      </c>
      <c r="AA656" s="8"/>
      <c r="AB656" s="10"/>
      <c r="AC656" s="10"/>
      <c r="AD656" s="10"/>
      <c r="AE656" s="11">
        <v>89.072876744060537</v>
      </c>
      <c r="AF656" s="11">
        <v>304.67689515590843</v>
      </c>
      <c r="AG656" t="s">
        <v>34</v>
      </c>
    </row>
    <row r="657" spans="1:33">
      <c r="A657" s="2">
        <v>44490</v>
      </c>
      <c r="B657" s="5" t="s">
        <v>38</v>
      </c>
      <c r="C657" s="5">
        <f>WEEKDAY(Table1[[#This Row],[Date]])</f>
        <v>5</v>
      </c>
      <c r="D657" s="5">
        <f>MONTH(Table1[[#This Row],[Date]])</f>
        <v>10</v>
      </c>
      <c r="E657" s="5">
        <f>WEEKNUM(Table1[[#This Row],[Date]])</f>
        <v>43</v>
      </c>
      <c r="F657" s="5">
        <f>YEAR(Table1[[#This Row],[Date]])</f>
        <v>2021</v>
      </c>
      <c r="G657">
        <v>180</v>
      </c>
      <c r="L657" s="5">
        <v>12</v>
      </c>
      <c r="M657" s="6">
        <v>0.92310000000000003</v>
      </c>
      <c r="N657" s="5">
        <v>1</v>
      </c>
      <c r="O657" s="7">
        <v>2.7777777777777778E-4</v>
      </c>
      <c r="P657" s="7">
        <v>1.9097222222222222E-3</v>
      </c>
      <c r="Q657" s="7">
        <v>8.3333333333333339E-4</v>
      </c>
      <c r="R657" s="6">
        <v>0.66669999999999996</v>
      </c>
      <c r="S657" s="8">
        <f>CONVERT(Table1[[#This Row],[Talk Duration (AVG)]]*Table1[[#This Row],[Answered Calls]],"day","hr")</f>
        <v>0.54999999999999993</v>
      </c>
      <c r="T657" s="9">
        <f>Table1[[#This Row],[Actual Workload hours]]*60</f>
        <v>32.999999999999993</v>
      </c>
      <c r="U657" s="9">
        <f>CONVERT(Table1[[#This Row],[Actual]]*Table1[[#This Row],[Talk Duration (AVG)]],"day","hr")</f>
        <v>8.25</v>
      </c>
      <c r="V657" s="10">
        <f>Table1[[#This Row],[Required Workload Hours]]*60</f>
        <v>495</v>
      </c>
      <c r="W657" s="9">
        <v>1</v>
      </c>
      <c r="X657" s="9">
        <f t="shared" si="20"/>
        <v>1.2890625</v>
      </c>
      <c r="Y657" s="5">
        <f t="shared" si="21"/>
        <v>1</v>
      </c>
      <c r="Z657" s="8">
        <f>ROUNDUP(Table1[[#This Row],[Actual Heacount]],0)</f>
        <v>1</v>
      </c>
      <c r="AA657" s="8"/>
      <c r="AB657" s="10"/>
      <c r="AC657" s="10"/>
      <c r="AD657" s="10"/>
      <c r="AE657" s="11">
        <v>70.49215542707465</v>
      </c>
      <c r="AF657" s="11">
        <v>296.75146736113447</v>
      </c>
      <c r="AG657" t="s">
        <v>34</v>
      </c>
    </row>
    <row r="658" spans="1:33">
      <c r="A658" s="2">
        <v>44491</v>
      </c>
      <c r="B658" s="5" t="s">
        <v>39</v>
      </c>
      <c r="C658" s="5">
        <f>WEEKDAY(Table1[[#This Row],[Date]])</f>
        <v>6</v>
      </c>
      <c r="D658" s="5">
        <f>MONTH(Table1[[#This Row],[Date]])</f>
        <v>10</v>
      </c>
      <c r="E658" s="5">
        <f>WEEKNUM(Table1[[#This Row],[Date]])</f>
        <v>43</v>
      </c>
      <c r="F658" s="5">
        <f>YEAR(Table1[[#This Row],[Date]])</f>
        <v>2021</v>
      </c>
      <c r="G658">
        <v>193</v>
      </c>
      <c r="L658" s="5">
        <v>18</v>
      </c>
      <c r="M658" s="6">
        <v>0.9</v>
      </c>
      <c r="N658" s="5">
        <v>2</v>
      </c>
      <c r="O658" s="7">
        <v>2.6620370370370372E-4</v>
      </c>
      <c r="P658" s="7">
        <v>1.8865740740740742E-3</v>
      </c>
      <c r="Q658" s="7">
        <v>1.8981481481481482E-3</v>
      </c>
      <c r="R658" s="6">
        <v>0.73680000000000001</v>
      </c>
      <c r="S658" s="8">
        <f>CONVERT(Table1[[#This Row],[Talk Duration (AVG)]]*Table1[[#This Row],[Answered Calls]],"day","hr")</f>
        <v>0.81499999999999995</v>
      </c>
      <c r="T658" s="9">
        <f>Table1[[#This Row],[Actual Workload hours]]*60</f>
        <v>48.9</v>
      </c>
      <c r="U658" s="9">
        <f>CONVERT(Table1[[#This Row],[Actual]]*Table1[[#This Row],[Talk Duration (AVG)]],"day","hr")</f>
        <v>8.738611111111112</v>
      </c>
      <c r="V658" s="10">
        <f>Table1[[#This Row],[Required Workload Hours]]*60</f>
        <v>524.31666666666672</v>
      </c>
      <c r="W658" s="9">
        <v>1</v>
      </c>
      <c r="X658" s="9">
        <f t="shared" si="20"/>
        <v>1.3654079861111112</v>
      </c>
      <c r="Y658" s="5">
        <f t="shared" si="21"/>
        <v>2</v>
      </c>
      <c r="Z658" s="8">
        <f>ROUNDUP(Table1[[#This Row],[Actual Heacount]],0)</f>
        <v>1</v>
      </c>
      <c r="AA658" s="8"/>
      <c r="AB658" s="10"/>
      <c r="AC658" s="10"/>
      <c r="AD658" s="10"/>
      <c r="AE658" s="11">
        <v>72.405643192207009</v>
      </c>
      <c r="AF658" s="11">
        <v>282.71724332865159</v>
      </c>
      <c r="AG658" t="s">
        <v>34</v>
      </c>
    </row>
    <row r="659" spans="1:33">
      <c r="A659" s="2">
        <v>44492</v>
      </c>
      <c r="B659" s="5" t="s">
        <v>40</v>
      </c>
      <c r="C659" s="5">
        <f>WEEKDAY(Table1[[#This Row],[Date]])</f>
        <v>7</v>
      </c>
      <c r="D659" s="5">
        <f>MONTH(Table1[[#This Row],[Date]])</f>
        <v>10</v>
      </c>
      <c r="E659" s="5">
        <f>WEEKNUM(Table1[[#This Row],[Date]])</f>
        <v>43</v>
      </c>
      <c r="F659" s="5">
        <f>YEAR(Table1[[#This Row],[Date]])</f>
        <v>2021</v>
      </c>
      <c r="G659">
        <v>245</v>
      </c>
      <c r="L659" s="5">
        <v>141</v>
      </c>
      <c r="M659" s="6">
        <v>0.92759999999999998</v>
      </c>
      <c r="N659" s="5">
        <v>11</v>
      </c>
      <c r="O659" s="7">
        <v>2.5462962962962961E-4</v>
      </c>
      <c r="P659" s="7">
        <v>1.8634259259259259E-3</v>
      </c>
      <c r="Q659" s="7">
        <v>3.1134259259259257E-3</v>
      </c>
      <c r="R659" s="6">
        <v>0.7</v>
      </c>
      <c r="S659" s="8">
        <f>CONVERT(Table1[[#This Row],[Talk Duration (AVG)]]*Table1[[#This Row],[Answered Calls]],"day","hr")</f>
        <v>6.3058333333333332</v>
      </c>
      <c r="T659" s="9">
        <f>Table1[[#This Row],[Actual Workload hours]]*60</f>
        <v>378.34999999999997</v>
      </c>
      <c r="U659" s="9">
        <f>CONVERT(Table1[[#This Row],[Actual]]*Table1[[#This Row],[Talk Duration (AVG)]],"day","hr")</f>
        <v>10.956944444444444</v>
      </c>
      <c r="V659" s="10">
        <f>Table1[[#This Row],[Required Workload Hours]]*60</f>
        <v>657.41666666666663</v>
      </c>
      <c r="W659" s="9">
        <v>1</v>
      </c>
      <c r="X659" s="9">
        <f t="shared" si="20"/>
        <v>1.7120225694444444</v>
      </c>
      <c r="Y659" s="5">
        <f t="shared" si="21"/>
        <v>2</v>
      </c>
      <c r="Z659" s="8">
        <f>ROUNDUP(Table1[[#This Row],[Actual Heacount]],0)</f>
        <v>1</v>
      </c>
      <c r="AA659" s="8"/>
      <c r="AB659" s="10"/>
      <c r="AC659" s="10"/>
      <c r="AD659" s="10"/>
      <c r="AE659" s="11">
        <v>74.292214120710597</v>
      </c>
      <c r="AF659" s="11">
        <v>301.70218136303708</v>
      </c>
      <c r="AG659" t="s">
        <v>34</v>
      </c>
    </row>
    <row r="660" spans="1:33">
      <c r="A660" s="2">
        <v>44493</v>
      </c>
      <c r="B660" s="5" t="s">
        <v>33</v>
      </c>
      <c r="C660" s="5">
        <f>WEEKDAY(Table1[[#This Row],[Date]])</f>
        <v>1</v>
      </c>
      <c r="D660" s="5">
        <f>MONTH(Table1[[#This Row],[Date]])</f>
        <v>10</v>
      </c>
      <c r="E660" s="5">
        <f>WEEKNUM(Table1[[#This Row],[Date]])</f>
        <v>44</v>
      </c>
      <c r="F660" s="5">
        <f>YEAR(Table1[[#This Row],[Date]])</f>
        <v>2021</v>
      </c>
      <c r="G660">
        <v>35</v>
      </c>
      <c r="L660" s="5">
        <v>131</v>
      </c>
      <c r="M660" s="6">
        <v>0.99239999999999995</v>
      </c>
      <c r="N660" s="5">
        <v>1</v>
      </c>
      <c r="O660" s="7">
        <v>1.3888888888888889E-4</v>
      </c>
      <c r="P660" s="7">
        <v>1.8402777777777777E-3</v>
      </c>
      <c r="Q660" s="7">
        <v>1.3888888888888889E-3</v>
      </c>
      <c r="R660" s="6">
        <v>0.87019999999999997</v>
      </c>
      <c r="S660" s="8">
        <f>CONVERT(Table1[[#This Row],[Talk Duration (AVG)]]*Table1[[#This Row],[Answered Calls]],"day","hr")</f>
        <v>5.7858333333333336</v>
      </c>
      <c r="T660" s="9">
        <f>Table1[[#This Row],[Actual Workload hours]]*60</f>
        <v>347.15000000000003</v>
      </c>
      <c r="U660" s="9">
        <f>CONVERT(Table1[[#This Row],[Actual]]*Table1[[#This Row],[Talk Duration (AVG)]],"day","hr")</f>
        <v>1.5458333333333332</v>
      </c>
      <c r="V660" s="10">
        <f>Table1[[#This Row],[Required Workload Hours]]*60</f>
        <v>92.749999999999986</v>
      </c>
      <c r="W660" s="9">
        <v>1</v>
      </c>
      <c r="X660" s="9">
        <f t="shared" si="20"/>
        <v>1</v>
      </c>
      <c r="Y660" s="5">
        <f t="shared" si="21"/>
        <v>2</v>
      </c>
      <c r="Z660" s="8">
        <f>ROUNDUP(Table1[[#This Row],[Actual Heacount]],0)</f>
        <v>1</v>
      </c>
      <c r="AA660" s="8"/>
      <c r="AB660" s="10"/>
      <c r="AC660" s="10"/>
      <c r="AD660" s="10"/>
      <c r="AE660" s="11">
        <v>-7.5894796915678926</v>
      </c>
      <c r="AF660" s="11">
        <v>208.22285372570551</v>
      </c>
      <c r="AG660" t="s">
        <v>34</v>
      </c>
    </row>
    <row r="661" spans="1:33">
      <c r="A661" s="2">
        <v>44494</v>
      </c>
      <c r="B661" s="5" t="s">
        <v>35</v>
      </c>
      <c r="C661" s="5">
        <f>WEEKDAY(Table1[[#This Row],[Date]])</f>
        <v>2</v>
      </c>
      <c r="D661" s="5">
        <f>MONTH(Table1[[#This Row],[Date]])</f>
        <v>10</v>
      </c>
      <c r="E661" s="5">
        <f>WEEKNUM(Table1[[#This Row],[Date]])</f>
        <v>44</v>
      </c>
      <c r="F661" s="5">
        <f>YEAR(Table1[[#This Row],[Date]])</f>
        <v>2021</v>
      </c>
      <c r="G661">
        <v>198</v>
      </c>
      <c r="L661" s="5">
        <v>171</v>
      </c>
      <c r="M661" s="6">
        <v>0.95</v>
      </c>
      <c r="N661" s="5">
        <v>9</v>
      </c>
      <c r="O661" s="7">
        <v>2.4305555555555555E-4</v>
      </c>
      <c r="P661" s="7">
        <v>1.9791666666666668E-3</v>
      </c>
      <c r="Q661" s="7">
        <v>1.8402777777777777E-3</v>
      </c>
      <c r="R661" s="6">
        <v>0.71909999999999996</v>
      </c>
      <c r="S661" s="8">
        <f>CONVERT(Table1[[#This Row],[Talk Duration (AVG)]]*Table1[[#This Row],[Answered Calls]],"day","hr")</f>
        <v>8.1225000000000005</v>
      </c>
      <c r="T661" s="9">
        <f>Table1[[#This Row],[Actual Workload hours]]*60</f>
        <v>487.35</v>
      </c>
      <c r="U661" s="9">
        <f>CONVERT(Table1[[#This Row],[Actual]]*Table1[[#This Row],[Talk Duration (AVG)]],"day","hr")</f>
        <v>9.4049999999999994</v>
      </c>
      <c r="V661" s="10">
        <f>Table1[[#This Row],[Required Workload Hours]]*60</f>
        <v>564.29999999999995</v>
      </c>
      <c r="W661" s="9">
        <v>1.27</v>
      </c>
      <c r="X661" s="9">
        <f t="shared" si="20"/>
        <v>1.46953125</v>
      </c>
      <c r="Y661" s="5">
        <f t="shared" si="21"/>
        <v>2</v>
      </c>
      <c r="Z661" s="8">
        <f>ROUNDUP(Table1[[#This Row],[Actual Heacount]],0)</f>
        <v>2</v>
      </c>
      <c r="AA661" s="8"/>
      <c r="AB661" s="10"/>
      <c r="AC661" s="10"/>
      <c r="AD661" s="10"/>
      <c r="AE661" s="11">
        <v>87.569237981958807</v>
      </c>
      <c r="AF661" s="11">
        <v>310.56981373849851</v>
      </c>
      <c r="AG661" t="s">
        <v>34</v>
      </c>
    </row>
    <row r="662" spans="1:33">
      <c r="A662" s="2">
        <v>44495</v>
      </c>
      <c r="B662" s="5" t="s">
        <v>36</v>
      </c>
      <c r="C662" s="5">
        <f>WEEKDAY(Table1[[#This Row],[Date]])</f>
        <v>3</v>
      </c>
      <c r="D662" s="5">
        <f>MONTH(Table1[[#This Row],[Date]])</f>
        <v>10</v>
      </c>
      <c r="E662" s="5">
        <f>WEEKNUM(Table1[[#This Row],[Date]])</f>
        <v>44</v>
      </c>
      <c r="F662" s="5">
        <f>YEAR(Table1[[#This Row],[Date]])</f>
        <v>2021</v>
      </c>
      <c r="G662">
        <v>47</v>
      </c>
      <c r="L662" s="5">
        <v>189</v>
      </c>
      <c r="M662" s="6">
        <v>0.97929999999999995</v>
      </c>
      <c r="N662" s="5">
        <v>4</v>
      </c>
      <c r="O662" s="7">
        <v>1.5046296296296297E-4</v>
      </c>
      <c r="P662" s="7">
        <v>1.7939814814814815E-3</v>
      </c>
      <c r="Q662" s="7">
        <v>1.6898148148148148E-3</v>
      </c>
      <c r="R662" s="6">
        <v>0.82899999999999996</v>
      </c>
      <c r="S662" s="8">
        <f>CONVERT(Table1[[#This Row],[Talk Duration (AVG)]]*Table1[[#This Row],[Answered Calls]],"day","hr")</f>
        <v>8.1374999999999993</v>
      </c>
      <c r="T662" s="9">
        <f>Table1[[#This Row],[Actual Workload hours]]*60</f>
        <v>488.24999999999994</v>
      </c>
      <c r="U662" s="9">
        <f>CONVERT(Table1[[#This Row],[Actual]]*Table1[[#This Row],[Talk Duration (AVG)]],"day","hr")</f>
        <v>2.0236111111111112</v>
      </c>
      <c r="V662" s="10">
        <f>Table1[[#This Row],[Required Workload Hours]]*60</f>
        <v>121.41666666666667</v>
      </c>
      <c r="W662" s="9">
        <v>1.27</v>
      </c>
      <c r="X662" s="9">
        <f t="shared" si="20"/>
        <v>1</v>
      </c>
      <c r="Y662" s="5">
        <f t="shared" si="21"/>
        <v>2</v>
      </c>
      <c r="Z662" s="8">
        <f>ROUNDUP(Table1[[#This Row],[Actual Heacount]],0)</f>
        <v>2</v>
      </c>
      <c r="AA662" s="8"/>
      <c r="AB662" s="10"/>
      <c r="AC662" s="10"/>
      <c r="AD662" s="10"/>
      <c r="AE662" s="11">
        <v>60.030939024303329</v>
      </c>
      <c r="AF662" s="11">
        <v>283.71029870059641</v>
      </c>
      <c r="AG662" t="s">
        <v>34</v>
      </c>
    </row>
    <row r="663" spans="1:33">
      <c r="A663" s="2">
        <v>44496</v>
      </c>
      <c r="B663" s="5" t="s">
        <v>37</v>
      </c>
      <c r="C663" s="5">
        <f>WEEKDAY(Table1[[#This Row],[Date]])</f>
        <v>4</v>
      </c>
      <c r="D663" s="5">
        <f>MONTH(Table1[[#This Row],[Date]])</f>
        <v>10</v>
      </c>
      <c r="E663" s="5">
        <f>WEEKNUM(Table1[[#This Row],[Date]])</f>
        <v>44</v>
      </c>
      <c r="F663" s="5">
        <f>YEAR(Table1[[#This Row],[Date]])</f>
        <v>2021</v>
      </c>
      <c r="G663">
        <v>187</v>
      </c>
      <c r="L663" s="5">
        <v>236</v>
      </c>
      <c r="M663" s="6">
        <v>0.96330000000000005</v>
      </c>
      <c r="N663" s="5">
        <v>9</v>
      </c>
      <c r="O663" s="7">
        <v>1.5046296296296297E-4</v>
      </c>
      <c r="P663" s="7">
        <v>1.8981481481481482E-3</v>
      </c>
      <c r="Q663" s="7">
        <v>1.6203703703703703E-3</v>
      </c>
      <c r="R663" s="6">
        <v>0.82789999999999997</v>
      </c>
      <c r="S663" s="8">
        <f>CONVERT(Table1[[#This Row],[Talk Duration (AVG)]]*Table1[[#This Row],[Answered Calls]],"day","hr")</f>
        <v>10.751111111111111</v>
      </c>
      <c r="T663" s="9">
        <f>Table1[[#This Row],[Actual Workload hours]]*60</f>
        <v>645.06666666666672</v>
      </c>
      <c r="U663" s="9">
        <f>CONVERT(Table1[[#This Row],[Actual]]*Table1[[#This Row],[Talk Duration (AVG)]],"day","hr")</f>
        <v>8.5188888888888883</v>
      </c>
      <c r="V663" s="10">
        <f>Table1[[#This Row],[Required Workload Hours]]*60</f>
        <v>511.13333333333333</v>
      </c>
      <c r="W663" s="9">
        <v>1.68</v>
      </c>
      <c r="X663" s="9">
        <f t="shared" si="20"/>
        <v>1.3310763888888888</v>
      </c>
      <c r="Y663" s="5">
        <f t="shared" si="21"/>
        <v>2</v>
      </c>
      <c r="Z663" s="8">
        <f>ROUNDUP(Table1[[#This Row],[Actual Heacount]],0)</f>
        <v>2</v>
      </c>
      <c r="AA663" s="8"/>
      <c r="AB663" s="10"/>
      <c r="AC663" s="10"/>
      <c r="AD663" s="10"/>
      <c r="AE663" s="11">
        <v>84.458073127933801</v>
      </c>
      <c r="AF663" s="11">
        <v>284.04540317863518</v>
      </c>
      <c r="AG663" t="s">
        <v>34</v>
      </c>
    </row>
    <row r="664" spans="1:33">
      <c r="A664" s="2">
        <v>44497</v>
      </c>
      <c r="B664" s="5" t="s">
        <v>38</v>
      </c>
      <c r="C664" s="5">
        <f>WEEKDAY(Table1[[#This Row],[Date]])</f>
        <v>5</v>
      </c>
      <c r="D664" s="5">
        <f>MONTH(Table1[[#This Row],[Date]])</f>
        <v>10</v>
      </c>
      <c r="E664" s="5">
        <f>WEEKNUM(Table1[[#This Row],[Date]])</f>
        <v>44</v>
      </c>
      <c r="F664" s="5">
        <f>YEAR(Table1[[#This Row],[Date]])</f>
        <v>2021</v>
      </c>
      <c r="G664">
        <v>57</v>
      </c>
      <c r="L664" s="5">
        <v>34</v>
      </c>
      <c r="M664" s="6">
        <v>0.97140000000000004</v>
      </c>
      <c r="N664" s="5">
        <v>1</v>
      </c>
      <c r="O664" s="7">
        <v>1.273148148148148E-4</v>
      </c>
      <c r="P664" s="7">
        <v>1.5162037037037036E-3</v>
      </c>
      <c r="Q664" s="7">
        <v>1.2037037037037038E-3</v>
      </c>
      <c r="R664" s="6">
        <v>0.88239999999999996</v>
      </c>
      <c r="S664" s="8">
        <f>CONVERT(Table1[[#This Row],[Talk Duration (AVG)]]*Table1[[#This Row],[Answered Calls]],"day","hr")</f>
        <v>1.2372222222222222</v>
      </c>
      <c r="T664" s="9">
        <f>Table1[[#This Row],[Actual Workload hours]]*60</f>
        <v>74.233333333333334</v>
      </c>
      <c r="U664" s="9">
        <f>CONVERT(Table1[[#This Row],[Actual]]*Table1[[#This Row],[Talk Duration (AVG)]],"day","hr")</f>
        <v>2.0741666666666663</v>
      </c>
      <c r="V664" s="10">
        <f>Table1[[#This Row],[Required Workload Hours]]*60</f>
        <v>124.44999999999997</v>
      </c>
      <c r="W664" s="9">
        <v>1</v>
      </c>
      <c r="X664" s="9">
        <f t="shared" si="20"/>
        <v>1</v>
      </c>
      <c r="Y664" s="5">
        <f t="shared" si="21"/>
        <v>1</v>
      </c>
      <c r="Z664" s="8">
        <f>ROUNDUP(Table1[[#This Row],[Actual Heacount]],0)</f>
        <v>1</v>
      </c>
      <c r="AA664" s="8"/>
      <c r="AB664" s="10"/>
      <c r="AC664" s="10"/>
      <c r="AD664" s="10"/>
      <c r="AE664" s="11">
        <v>70.637017441848329</v>
      </c>
      <c r="AF664" s="11">
        <v>293.6872402923438</v>
      </c>
      <c r="AG664" t="s">
        <v>34</v>
      </c>
    </row>
    <row r="665" spans="1:33">
      <c r="A665" s="2">
        <v>44498</v>
      </c>
      <c r="B665" s="5" t="s">
        <v>39</v>
      </c>
      <c r="C665" s="5">
        <f>WEEKDAY(Table1[[#This Row],[Date]])</f>
        <v>6</v>
      </c>
      <c r="D665" s="5">
        <f>MONTH(Table1[[#This Row],[Date]])</f>
        <v>10</v>
      </c>
      <c r="E665" s="5">
        <f>WEEKNUM(Table1[[#This Row],[Date]])</f>
        <v>44</v>
      </c>
      <c r="F665" s="5">
        <f>YEAR(Table1[[#This Row],[Date]])</f>
        <v>2021</v>
      </c>
      <c r="G665">
        <v>169</v>
      </c>
      <c r="L665" s="5">
        <v>190</v>
      </c>
      <c r="M665" s="6">
        <v>0.95960000000000001</v>
      </c>
      <c r="N665" s="5">
        <v>8</v>
      </c>
      <c r="O665" s="7">
        <v>1.3888888888888889E-4</v>
      </c>
      <c r="P665" s="7">
        <v>1.8287037037037037E-3</v>
      </c>
      <c r="Q665" s="7">
        <v>9.4907407407407408E-4</v>
      </c>
      <c r="R665" s="6">
        <v>0.84689999999999999</v>
      </c>
      <c r="S665" s="8">
        <f>CONVERT(Table1[[#This Row],[Talk Duration (AVG)]]*Table1[[#This Row],[Answered Calls]],"day","hr")</f>
        <v>8.3388888888888886</v>
      </c>
      <c r="T665" s="9">
        <f>Table1[[#This Row],[Actual Workload hours]]*60</f>
        <v>500.33333333333331</v>
      </c>
      <c r="U665" s="9">
        <f>CONVERT(Table1[[#This Row],[Actual]]*Table1[[#This Row],[Talk Duration (AVG)]],"day","hr")</f>
        <v>7.4172222222222226</v>
      </c>
      <c r="V665" s="10">
        <f>Table1[[#This Row],[Required Workload Hours]]*60</f>
        <v>445.03333333333336</v>
      </c>
      <c r="W665" s="9">
        <v>1.3</v>
      </c>
      <c r="X665" s="9">
        <f t="shared" si="20"/>
        <v>1.1589409722222224</v>
      </c>
      <c r="Y665" s="5">
        <f t="shared" si="21"/>
        <v>2</v>
      </c>
      <c r="Z665" s="8">
        <f>ROUNDUP(Table1[[#This Row],[Actual Heacount]],0)</f>
        <v>2</v>
      </c>
      <c r="AA665" s="8"/>
      <c r="AB665" s="10"/>
      <c r="AC665" s="10"/>
      <c r="AD665" s="10"/>
      <c r="AE665" s="11">
        <v>61.733897219202618</v>
      </c>
      <c r="AF665" s="11">
        <v>285.12926222716243</v>
      </c>
      <c r="AG665" t="s">
        <v>34</v>
      </c>
    </row>
    <row r="666" spans="1:33">
      <c r="A666" s="2">
        <v>44499</v>
      </c>
      <c r="B666" s="5" t="s">
        <v>40</v>
      </c>
      <c r="C666" s="5">
        <f>WEEKDAY(Table1[[#This Row],[Date]])</f>
        <v>7</v>
      </c>
      <c r="D666" s="5">
        <f>MONTH(Table1[[#This Row],[Date]])</f>
        <v>10</v>
      </c>
      <c r="E666" s="5">
        <f>WEEKNUM(Table1[[#This Row],[Date]])</f>
        <v>44</v>
      </c>
      <c r="F666" s="5">
        <f>YEAR(Table1[[#This Row],[Date]])</f>
        <v>2021</v>
      </c>
      <c r="G666">
        <v>337</v>
      </c>
      <c r="L666" s="5">
        <v>47</v>
      </c>
      <c r="M666" s="6">
        <v>1</v>
      </c>
      <c r="N666" s="5">
        <v>0</v>
      </c>
      <c r="O666" s="7">
        <v>6.9444444444444444E-5</v>
      </c>
      <c r="P666" s="7">
        <v>1.4930555555555556E-3</v>
      </c>
      <c r="Q666" s="7">
        <v>6.5972222222222224E-4</v>
      </c>
      <c r="R666" s="6">
        <v>0.93620000000000003</v>
      </c>
      <c r="S666" s="8">
        <f>CONVERT(Table1[[#This Row],[Talk Duration (AVG)]]*Table1[[#This Row],[Answered Calls]],"day","hr")</f>
        <v>1.6841666666666668</v>
      </c>
      <c r="T666" s="9">
        <f>Table1[[#This Row],[Actual Workload hours]]*60</f>
        <v>101.05000000000001</v>
      </c>
      <c r="U666" s="9">
        <f>CONVERT(Table1[[#This Row],[Actual]]*Table1[[#This Row],[Talk Duration (AVG)]],"day","hr")</f>
        <v>12.075833333333335</v>
      </c>
      <c r="V666" s="10">
        <f>Table1[[#This Row],[Required Workload Hours]]*60</f>
        <v>724.55000000000018</v>
      </c>
      <c r="W666" s="9">
        <v>1</v>
      </c>
      <c r="X666" s="9">
        <f t="shared" si="20"/>
        <v>1.8868489583333339</v>
      </c>
      <c r="Y666" s="5">
        <f t="shared" si="21"/>
        <v>2</v>
      </c>
      <c r="Z666" s="8">
        <f>ROUNDUP(Table1[[#This Row],[Actual Heacount]],0)</f>
        <v>1</v>
      </c>
      <c r="AA666" s="8"/>
      <c r="AB666" s="10"/>
      <c r="AC666" s="10"/>
      <c r="AD666" s="10"/>
      <c r="AE666" s="11">
        <v>72.537390446626077</v>
      </c>
      <c r="AF666" s="11">
        <v>284.98321526340862</v>
      </c>
      <c r="AG666" t="s">
        <v>34</v>
      </c>
    </row>
    <row r="667" spans="1:33">
      <c r="A667" s="2">
        <v>44500</v>
      </c>
      <c r="B667" s="5" t="s">
        <v>33</v>
      </c>
      <c r="C667" s="5">
        <f>WEEKDAY(Table1[[#This Row],[Date]])</f>
        <v>1</v>
      </c>
      <c r="D667" s="5">
        <f>MONTH(Table1[[#This Row],[Date]])</f>
        <v>10</v>
      </c>
      <c r="E667" s="5">
        <f>WEEKNUM(Table1[[#This Row],[Date]])</f>
        <v>45</v>
      </c>
      <c r="F667" s="5">
        <f>YEAR(Table1[[#This Row],[Date]])</f>
        <v>2021</v>
      </c>
      <c r="G667">
        <v>44</v>
      </c>
      <c r="L667" s="5">
        <v>186</v>
      </c>
      <c r="M667" s="6">
        <v>0.99470000000000003</v>
      </c>
      <c r="N667" s="5">
        <v>1</v>
      </c>
      <c r="O667" s="7">
        <v>8.1018518518518516E-5</v>
      </c>
      <c r="P667" s="7">
        <v>1.736111111111111E-3</v>
      </c>
      <c r="Q667" s="7">
        <v>1.9097222222222222E-3</v>
      </c>
      <c r="R667" s="6">
        <v>0.93579999999999997</v>
      </c>
      <c r="S667" s="8">
        <f>CONVERT(Table1[[#This Row],[Talk Duration (AVG)]]*Table1[[#This Row],[Answered Calls]],"day","hr")</f>
        <v>7.7499999999999991</v>
      </c>
      <c r="T667" s="9">
        <f>Table1[[#This Row],[Actual Workload hours]]*60</f>
        <v>464.99999999999994</v>
      </c>
      <c r="U667" s="9">
        <f>CONVERT(Table1[[#This Row],[Actual]]*Table1[[#This Row],[Talk Duration (AVG)]],"day","hr")</f>
        <v>1.833333333333333</v>
      </c>
      <c r="V667" s="10">
        <f>Table1[[#This Row],[Required Workload Hours]]*60</f>
        <v>109.99999999999999</v>
      </c>
      <c r="W667" s="9">
        <v>1.21</v>
      </c>
      <c r="X667" s="9">
        <f t="shared" si="20"/>
        <v>1</v>
      </c>
      <c r="Y667" s="5">
        <f t="shared" si="21"/>
        <v>2</v>
      </c>
      <c r="Z667" s="8">
        <f>ROUNDUP(Table1[[#This Row],[Actual Heacount]],0)</f>
        <v>2</v>
      </c>
      <c r="AA667" s="8"/>
      <c r="AB667" s="10"/>
      <c r="AC667" s="10"/>
      <c r="AD667" s="10"/>
      <c r="AE667" s="11">
        <v>-27.60287041454513</v>
      </c>
      <c r="AF667" s="11">
        <v>193.13079262088641</v>
      </c>
      <c r="AG667" t="s">
        <v>34</v>
      </c>
    </row>
    <row r="668" spans="1:33">
      <c r="A668" s="2">
        <v>44501</v>
      </c>
      <c r="B668" s="5" t="s">
        <v>35</v>
      </c>
      <c r="C668" s="5">
        <f>WEEKDAY(Table1[[#This Row],[Date]])</f>
        <v>2</v>
      </c>
      <c r="D668" s="5">
        <f>MONTH(Table1[[#This Row],[Date]])</f>
        <v>11</v>
      </c>
      <c r="E668" s="5">
        <f>WEEKNUM(Table1[[#This Row],[Date]])</f>
        <v>45</v>
      </c>
      <c r="F668" s="5">
        <f>YEAR(Table1[[#This Row],[Date]])</f>
        <v>2021</v>
      </c>
      <c r="G668">
        <v>316</v>
      </c>
      <c r="L668" s="5">
        <v>54</v>
      </c>
      <c r="M668" s="6">
        <v>0.94740000000000002</v>
      </c>
      <c r="N668" s="5">
        <v>3</v>
      </c>
      <c r="O668" s="7">
        <v>8.1018518518518516E-5</v>
      </c>
      <c r="P668" s="7">
        <v>1.8171296296296297E-3</v>
      </c>
      <c r="Q668" s="7">
        <v>6.3657407407407413E-4</v>
      </c>
      <c r="R668" s="6">
        <v>0.91069999999999995</v>
      </c>
      <c r="S668" s="8">
        <f>CONVERT(Table1[[#This Row],[Talk Duration (AVG)]]*Table1[[#This Row],[Answered Calls]],"day","hr")</f>
        <v>2.355</v>
      </c>
      <c r="T668" s="9">
        <f>Table1[[#This Row],[Actual Workload hours]]*60</f>
        <v>141.30000000000001</v>
      </c>
      <c r="U668" s="9">
        <f>CONVERT(Table1[[#This Row],[Actual]]*Table1[[#This Row],[Talk Duration (AVG)]],"day","hr")</f>
        <v>13.781111111111111</v>
      </c>
      <c r="V668" s="10">
        <f>Table1[[#This Row],[Required Workload Hours]]*60</f>
        <v>826.86666666666667</v>
      </c>
      <c r="W668" s="9">
        <v>1</v>
      </c>
      <c r="X668" s="9">
        <f t="shared" si="20"/>
        <v>2.153298611111111</v>
      </c>
      <c r="Y668" s="5">
        <f t="shared" si="21"/>
        <v>2</v>
      </c>
      <c r="Z668" s="8">
        <f>ROUNDUP(Table1[[#This Row],[Actual Heacount]],0)</f>
        <v>1</v>
      </c>
      <c r="AA668" s="8"/>
      <c r="AB668" s="10"/>
      <c r="AC668" s="10"/>
      <c r="AD668" s="10"/>
      <c r="AE668" s="11">
        <v>77.641735196778939</v>
      </c>
      <c r="AF668" s="11">
        <v>293.66386053093731</v>
      </c>
      <c r="AG668" t="s">
        <v>34</v>
      </c>
    </row>
    <row r="669" spans="1:33">
      <c r="A669" s="2">
        <v>44502</v>
      </c>
      <c r="B669" s="5" t="s">
        <v>36</v>
      </c>
      <c r="C669" s="5">
        <f>WEEKDAY(Table1[[#This Row],[Date]])</f>
        <v>3</v>
      </c>
      <c r="D669" s="5">
        <f>MONTH(Table1[[#This Row],[Date]])</f>
        <v>11</v>
      </c>
      <c r="E669" s="5">
        <f>WEEKNUM(Table1[[#This Row],[Date]])</f>
        <v>45</v>
      </c>
      <c r="F669" s="5">
        <f>YEAR(Table1[[#This Row],[Date]])</f>
        <v>2021</v>
      </c>
      <c r="G669">
        <v>136</v>
      </c>
      <c r="L669" s="5">
        <v>162</v>
      </c>
      <c r="M669" s="6">
        <v>0.95860000000000001</v>
      </c>
      <c r="N669" s="5">
        <v>7</v>
      </c>
      <c r="O669" s="7">
        <v>1.0416666666666667E-4</v>
      </c>
      <c r="P669" s="7">
        <v>1.8402777777777777E-3</v>
      </c>
      <c r="Q669" s="7">
        <v>1.2731481481481483E-3</v>
      </c>
      <c r="R669" s="6">
        <v>0.88170000000000004</v>
      </c>
      <c r="S669" s="8">
        <f>CONVERT(Table1[[#This Row],[Talk Duration (AVG)]]*Table1[[#This Row],[Answered Calls]],"day","hr")</f>
        <v>7.1549999999999994</v>
      </c>
      <c r="T669" s="9">
        <f>Table1[[#This Row],[Actual Workload hours]]*60</f>
        <v>429.29999999999995</v>
      </c>
      <c r="U669" s="9">
        <f>CONVERT(Table1[[#This Row],[Actual]]*Table1[[#This Row],[Talk Duration (AVG)]],"day","hr")</f>
        <v>6.0066666666666668</v>
      </c>
      <c r="V669" s="10">
        <f>Table1[[#This Row],[Required Workload Hours]]*60</f>
        <v>360.40000000000003</v>
      </c>
      <c r="W669" s="9">
        <v>1.1200000000000001</v>
      </c>
      <c r="X669" s="9">
        <f t="shared" si="20"/>
        <v>1</v>
      </c>
      <c r="Y669" s="5">
        <f t="shared" si="21"/>
        <v>2</v>
      </c>
      <c r="Z669" s="8">
        <f>ROUNDUP(Table1[[#This Row],[Actual Heacount]],0)</f>
        <v>2</v>
      </c>
      <c r="AA669" s="8"/>
      <c r="AB669" s="10"/>
      <c r="AC669" s="10"/>
      <c r="AD669" s="10"/>
      <c r="AE669" s="11">
        <v>48.723252137996212</v>
      </c>
      <c r="AF669" s="11">
        <v>274.84082364946539</v>
      </c>
      <c r="AG669" t="s">
        <v>34</v>
      </c>
    </row>
    <row r="670" spans="1:33">
      <c r="A670" s="2">
        <v>44503</v>
      </c>
      <c r="B670" s="5" t="s">
        <v>37</v>
      </c>
      <c r="C670" s="5">
        <f>WEEKDAY(Table1[[#This Row],[Date]])</f>
        <v>4</v>
      </c>
      <c r="D670" s="5">
        <f>MONTH(Table1[[#This Row],[Date]])</f>
        <v>11</v>
      </c>
      <c r="E670" s="5">
        <f>WEEKNUM(Table1[[#This Row],[Date]])</f>
        <v>45</v>
      </c>
      <c r="F670" s="5">
        <f>YEAR(Table1[[#This Row],[Date]])</f>
        <v>2021</v>
      </c>
      <c r="G670">
        <v>130</v>
      </c>
      <c r="L670" s="5">
        <v>316</v>
      </c>
      <c r="M670" s="6">
        <v>0.93769999999999998</v>
      </c>
      <c r="N670" s="5">
        <v>21</v>
      </c>
      <c r="O670" s="7">
        <v>2.6620370370370372E-4</v>
      </c>
      <c r="P670" s="7">
        <v>1.5393518518518519E-3</v>
      </c>
      <c r="Q670" s="7">
        <v>3.6689814814814814E-3</v>
      </c>
      <c r="R670" s="6">
        <v>0.72919999999999996</v>
      </c>
      <c r="S670" s="8">
        <f>CONVERT(Table1[[#This Row],[Talk Duration (AVG)]]*Table1[[#This Row],[Answered Calls]],"day","hr")</f>
        <v>11.674444444444445</v>
      </c>
      <c r="T670" s="9">
        <f>Table1[[#This Row],[Actual Workload hours]]*60</f>
        <v>700.4666666666667</v>
      </c>
      <c r="U670" s="9">
        <f>CONVERT(Table1[[#This Row],[Actual]]*Table1[[#This Row],[Talk Duration (AVG)]],"day","hr")</f>
        <v>4.802777777777778</v>
      </c>
      <c r="V670" s="10">
        <f>Table1[[#This Row],[Required Workload Hours]]*60</f>
        <v>288.16666666666669</v>
      </c>
      <c r="W670" s="9">
        <v>1.82</v>
      </c>
      <c r="X670" s="9">
        <f t="shared" si="20"/>
        <v>1</v>
      </c>
      <c r="Y670" s="5">
        <f t="shared" si="21"/>
        <v>2</v>
      </c>
      <c r="Z670" s="8">
        <f>ROUNDUP(Table1[[#This Row],[Actual Heacount]],0)</f>
        <v>2</v>
      </c>
      <c r="AA670" s="8"/>
      <c r="AB670" s="10"/>
      <c r="AC670" s="10"/>
      <c r="AD670" s="10"/>
      <c r="AE670" s="11">
        <v>67.496229152754452</v>
      </c>
      <c r="AF670" s="11">
        <v>296.33850322066507</v>
      </c>
      <c r="AG670" t="s">
        <v>34</v>
      </c>
    </row>
    <row r="671" spans="1:33">
      <c r="A671" s="2">
        <v>44504</v>
      </c>
      <c r="B671" s="5" t="s">
        <v>38</v>
      </c>
      <c r="C671" s="5">
        <f>WEEKDAY(Table1[[#This Row],[Date]])</f>
        <v>5</v>
      </c>
      <c r="D671" s="5">
        <f>MONTH(Table1[[#This Row],[Date]])</f>
        <v>11</v>
      </c>
      <c r="E671" s="5">
        <f>WEEKNUM(Table1[[#This Row],[Date]])</f>
        <v>45</v>
      </c>
      <c r="F671" s="5">
        <f>YEAR(Table1[[#This Row],[Date]])</f>
        <v>2021</v>
      </c>
      <c r="G671">
        <v>12</v>
      </c>
      <c r="L671" s="5">
        <v>43</v>
      </c>
      <c r="M671" s="6">
        <v>0.97729999999999995</v>
      </c>
      <c r="N671" s="5">
        <v>1</v>
      </c>
      <c r="O671" s="7">
        <v>1.0416666666666667E-4</v>
      </c>
      <c r="P671" s="7">
        <v>1.7939814814814815E-3</v>
      </c>
      <c r="Q671" s="7">
        <v>1.2731481481481483E-3</v>
      </c>
      <c r="R671" s="6">
        <v>0.84089999999999998</v>
      </c>
      <c r="S671" s="8">
        <f>CONVERT(Table1[[#This Row],[Talk Duration (AVG)]]*Table1[[#This Row],[Answered Calls]],"day","hr")</f>
        <v>1.8513888888888885</v>
      </c>
      <c r="T671" s="9">
        <f>Table1[[#This Row],[Actual Workload hours]]*60</f>
        <v>111.08333333333331</v>
      </c>
      <c r="U671" s="9">
        <f>CONVERT(Table1[[#This Row],[Actual]]*Table1[[#This Row],[Talk Duration (AVG)]],"day","hr")</f>
        <v>0.51666666666666672</v>
      </c>
      <c r="V671" s="10">
        <f>Table1[[#This Row],[Required Workload Hours]]*60</f>
        <v>31.000000000000004</v>
      </c>
      <c r="W671" s="9">
        <v>1</v>
      </c>
      <c r="X671" s="9">
        <f t="shared" si="20"/>
        <v>1</v>
      </c>
      <c r="Y671" s="5">
        <f t="shared" si="21"/>
        <v>1</v>
      </c>
      <c r="Z671" s="8">
        <f>ROUNDUP(Table1[[#This Row],[Actual Heacount]],0)</f>
        <v>1</v>
      </c>
      <c r="AA671" s="8"/>
      <c r="AB671" s="10"/>
      <c r="AC671" s="10"/>
      <c r="AD671" s="10"/>
      <c r="AE671" s="11">
        <v>56.205392837322528</v>
      </c>
      <c r="AF671" s="11">
        <v>276.88094935380713</v>
      </c>
      <c r="AG671" t="s">
        <v>34</v>
      </c>
    </row>
    <row r="672" spans="1:33">
      <c r="A672" s="2">
        <v>44505</v>
      </c>
      <c r="B672" s="5" t="s">
        <v>39</v>
      </c>
      <c r="C672" s="5">
        <f>WEEKDAY(Table1[[#This Row],[Date]])</f>
        <v>6</v>
      </c>
      <c r="D672" s="5">
        <f>MONTH(Table1[[#This Row],[Date]])</f>
        <v>11</v>
      </c>
      <c r="E672" s="5">
        <f>WEEKNUM(Table1[[#This Row],[Date]])</f>
        <v>45</v>
      </c>
      <c r="F672" s="5">
        <f>YEAR(Table1[[#This Row],[Date]])</f>
        <v>2021</v>
      </c>
      <c r="G672">
        <v>146</v>
      </c>
      <c r="L672" s="5">
        <v>206</v>
      </c>
      <c r="M672" s="6">
        <v>0.98099999999999998</v>
      </c>
      <c r="N672" s="5">
        <v>4</v>
      </c>
      <c r="O672" s="7">
        <v>1.3888888888888889E-4</v>
      </c>
      <c r="P672" s="7">
        <v>1.8402777777777777E-3</v>
      </c>
      <c r="Q672" s="7">
        <v>1.7592592592592592E-3</v>
      </c>
      <c r="R672" s="6">
        <v>0.87080000000000002</v>
      </c>
      <c r="S672" s="8">
        <f>CONVERT(Table1[[#This Row],[Talk Duration (AVG)]]*Table1[[#This Row],[Answered Calls]],"day","hr")</f>
        <v>9.0983333333333327</v>
      </c>
      <c r="T672" s="9">
        <f>Table1[[#This Row],[Actual Workload hours]]*60</f>
        <v>545.9</v>
      </c>
      <c r="U672" s="9">
        <f>CONVERT(Table1[[#This Row],[Actual]]*Table1[[#This Row],[Talk Duration (AVG)]],"day","hr")</f>
        <v>6.4483333333333324</v>
      </c>
      <c r="V672" s="10">
        <f>Table1[[#This Row],[Required Workload Hours]]*60</f>
        <v>386.89999999999992</v>
      </c>
      <c r="W672" s="9">
        <v>1.42</v>
      </c>
      <c r="X672" s="9">
        <f t="shared" si="20"/>
        <v>1.0075520833333331</v>
      </c>
      <c r="Y672" s="5">
        <f t="shared" si="21"/>
        <v>2</v>
      </c>
      <c r="Z672" s="8">
        <f>ROUNDUP(Table1[[#This Row],[Actual Heacount]],0)</f>
        <v>2</v>
      </c>
      <c r="AA672" s="8"/>
      <c r="AB672" s="10"/>
      <c r="AC672" s="10"/>
      <c r="AD672" s="10"/>
      <c r="AE672" s="11">
        <v>47.537324529293556</v>
      </c>
      <c r="AF672" s="11">
        <v>266.03988018170179</v>
      </c>
      <c r="AG672" t="s">
        <v>34</v>
      </c>
    </row>
    <row r="673" spans="1:33">
      <c r="A673" s="2">
        <v>44506</v>
      </c>
      <c r="B673" s="5" t="s">
        <v>40</v>
      </c>
      <c r="C673" s="5">
        <f>WEEKDAY(Table1[[#This Row],[Date]])</f>
        <v>7</v>
      </c>
      <c r="D673" s="5">
        <f>MONTH(Table1[[#This Row],[Date]])</f>
        <v>11</v>
      </c>
      <c r="E673" s="5">
        <f>WEEKNUM(Table1[[#This Row],[Date]])</f>
        <v>45</v>
      </c>
      <c r="F673" s="5">
        <f>YEAR(Table1[[#This Row],[Date]])</f>
        <v>2021</v>
      </c>
      <c r="G673">
        <v>199</v>
      </c>
      <c r="L673" s="5">
        <v>186</v>
      </c>
      <c r="M673" s="6">
        <v>0.97889999999999999</v>
      </c>
      <c r="N673" s="5">
        <v>4</v>
      </c>
      <c r="O673" s="7">
        <v>1.9675925925925926E-4</v>
      </c>
      <c r="P673" s="7">
        <v>1.6435185185185185E-3</v>
      </c>
      <c r="Q673" s="7">
        <v>3.3912037037037036E-3</v>
      </c>
      <c r="R673" s="6">
        <v>0.84130000000000005</v>
      </c>
      <c r="S673" s="8">
        <f>CONVERT(Table1[[#This Row],[Talk Duration (AVG)]]*Table1[[#This Row],[Answered Calls]],"day","hr")</f>
        <v>7.3366666666666669</v>
      </c>
      <c r="T673" s="9">
        <f>Table1[[#This Row],[Actual Workload hours]]*60</f>
        <v>440.2</v>
      </c>
      <c r="U673" s="9">
        <f>CONVERT(Table1[[#This Row],[Actual]]*Table1[[#This Row],[Talk Duration (AVG)]],"day","hr")</f>
        <v>7.849444444444444</v>
      </c>
      <c r="V673" s="10">
        <f>Table1[[#This Row],[Required Workload Hours]]*60</f>
        <v>470.96666666666664</v>
      </c>
      <c r="W673" s="9">
        <v>1.1499999999999999</v>
      </c>
      <c r="X673" s="9">
        <f t="shared" si="20"/>
        <v>1.2264756944444444</v>
      </c>
      <c r="Y673" s="5">
        <f t="shared" si="21"/>
        <v>2</v>
      </c>
      <c r="Z673" s="8">
        <f>ROUNDUP(Table1[[#This Row],[Actual Heacount]],0)</f>
        <v>2</v>
      </c>
      <c r="AA673" s="8"/>
      <c r="AB673" s="10"/>
      <c r="AC673" s="10"/>
      <c r="AD673" s="10"/>
      <c r="AE673" s="11">
        <v>55.118604312095258</v>
      </c>
      <c r="AF673" s="11">
        <v>274.65398024414532</v>
      </c>
      <c r="AG673" t="s">
        <v>34</v>
      </c>
    </row>
    <row r="674" spans="1:33">
      <c r="A674" s="2">
        <v>44507</v>
      </c>
      <c r="B674" s="5" t="s">
        <v>33</v>
      </c>
      <c r="C674" s="5">
        <f>WEEKDAY(Table1[[#This Row],[Date]])</f>
        <v>1</v>
      </c>
      <c r="D674" s="5">
        <f>MONTH(Table1[[#This Row],[Date]])</f>
        <v>11</v>
      </c>
      <c r="E674" s="5">
        <f>WEEKNUM(Table1[[#This Row],[Date]])</f>
        <v>46</v>
      </c>
      <c r="F674" s="5">
        <f>YEAR(Table1[[#This Row],[Date]])</f>
        <v>2021</v>
      </c>
      <c r="G674">
        <v>21</v>
      </c>
      <c r="L674" s="5">
        <v>182</v>
      </c>
      <c r="M674" s="6">
        <v>0.95789999999999997</v>
      </c>
      <c r="N674" s="5">
        <v>8</v>
      </c>
      <c r="O674" s="7">
        <v>1.1574074074074075E-4</v>
      </c>
      <c r="P674" s="7">
        <v>1.8518518518518519E-3</v>
      </c>
      <c r="Q674" s="7">
        <v>1.1342592592592593E-3</v>
      </c>
      <c r="R674" s="6">
        <v>0.87029999999999996</v>
      </c>
      <c r="S674" s="8">
        <f>CONVERT(Table1[[#This Row],[Talk Duration (AVG)]]*Table1[[#This Row],[Answered Calls]],"day","hr")</f>
        <v>8.0888888888888886</v>
      </c>
      <c r="T674" s="9">
        <f>Table1[[#This Row],[Actual Workload hours]]*60</f>
        <v>485.33333333333331</v>
      </c>
      <c r="U674" s="9">
        <f>CONVERT(Table1[[#This Row],[Actual]]*Table1[[#This Row],[Talk Duration (AVG)]],"day","hr")</f>
        <v>0.93333333333333335</v>
      </c>
      <c r="V674" s="10">
        <f>Table1[[#This Row],[Required Workload Hours]]*60</f>
        <v>56</v>
      </c>
      <c r="W674" s="9">
        <v>1.26</v>
      </c>
      <c r="X674" s="9">
        <f t="shared" si="20"/>
        <v>1</v>
      </c>
      <c r="Y674" s="5">
        <f t="shared" si="21"/>
        <v>2</v>
      </c>
      <c r="Z674" s="8">
        <f>ROUNDUP(Table1[[#This Row],[Actual Heacount]],0)</f>
        <v>2</v>
      </c>
      <c r="AA674" s="8"/>
      <c r="AB674" s="10"/>
      <c r="AC674" s="10"/>
      <c r="AD674" s="10"/>
      <c r="AE674" s="11">
        <v>-41.123161869057419</v>
      </c>
      <c r="AF674" s="11">
        <v>191.74364921100599</v>
      </c>
      <c r="AG674" t="s">
        <v>34</v>
      </c>
    </row>
    <row r="675" spans="1:33">
      <c r="A675" s="2">
        <v>44508</v>
      </c>
      <c r="B675" s="5" t="s">
        <v>35</v>
      </c>
      <c r="C675" s="5">
        <f>WEEKDAY(Table1[[#This Row],[Date]])</f>
        <v>2</v>
      </c>
      <c r="D675" s="5">
        <f>MONTH(Table1[[#This Row],[Date]])</f>
        <v>11</v>
      </c>
      <c r="E675" s="5">
        <f>WEEKNUM(Table1[[#This Row],[Date]])</f>
        <v>46</v>
      </c>
      <c r="F675" s="5">
        <f>YEAR(Table1[[#This Row],[Date]])</f>
        <v>2021</v>
      </c>
      <c r="G675">
        <v>53</v>
      </c>
      <c r="L675" s="5">
        <v>168</v>
      </c>
      <c r="M675" s="6">
        <v>0.99409999999999998</v>
      </c>
      <c r="N675" s="5">
        <v>1</v>
      </c>
      <c r="O675" s="7">
        <v>1.273148148148148E-4</v>
      </c>
      <c r="P675" s="7">
        <v>1.6782407407407408E-3</v>
      </c>
      <c r="Q675" s="7">
        <v>1.25E-3</v>
      </c>
      <c r="R675" s="6">
        <v>0.88170000000000004</v>
      </c>
      <c r="S675" s="8">
        <f>CONVERT(Table1[[#This Row],[Talk Duration (AVG)]]*Table1[[#This Row],[Answered Calls]],"day","hr")</f>
        <v>6.7666666666666666</v>
      </c>
      <c r="T675" s="9">
        <f>Table1[[#This Row],[Actual Workload hours]]*60</f>
        <v>406</v>
      </c>
      <c r="U675" s="9">
        <f>CONVERT(Table1[[#This Row],[Actual]]*Table1[[#This Row],[Talk Duration (AVG)]],"day","hr")</f>
        <v>2.1347222222222224</v>
      </c>
      <c r="V675" s="10">
        <f>Table1[[#This Row],[Required Workload Hours]]*60</f>
        <v>128.08333333333334</v>
      </c>
      <c r="W675" s="9">
        <v>1.06</v>
      </c>
      <c r="X675" s="9">
        <f t="shared" si="20"/>
        <v>1</v>
      </c>
      <c r="Y675" s="5">
        <f t="shared" si="21"/>
        <v>2</v>
      </c>
      <c r="Z675" s="8">
        <f>ROUNDUP(Table1[[#This Row],[Actual Heacount]],0)</f>
        <v>2</v>
      </c>
      <c r="AA675" s="8"/>
      <c r="AB675" s="10"/>
      <c r="AC675" s="10"/>
      <c r="AD675" s="10"/>
      <c r="AE675" s="11">
        <v>63.048209332656619</v>
      </c>
      <c r="AF675" s="11">
        <v>288.45212084764779</v>
      </c>
      <c r="AG675" t="s">
        <v>34</v>
      </c>
    </row>
    <row r="676" spans="1:33">
      <c r="A676" s="2">
        <v>44509</v>
      </c>
      <c r="B676" s="5" t="s">
        <v>36</v>
      </c>
      <c r="C676" s="5">
        <f>WEEKDAY(Table1[[#This Row],[Date]])</f>
        <v>3</v>
      </c>
      <c r="D676" s="5">
        <f>MONTH(Table1[[#This Row],[Date]])</f>
        <v>11</v>
      </c>
      <c r="E676" s="5">
        <f>WEEKNUM(Table1[[#This Row],[Date]])</f>
        <v>46</v>
      </c>
      <c r="F676" s="5">
        <f>YEAR(Table1[[#This Row],[Date]])</f>
        <v>2021</v>
      </c>
      <c r="G676">
        <v>140</v>
      </c>
      <c r="L676" s="5">
        <v>50</v>
      </c>
      <c r="M676" s="6">
        <v>0.96150000000000002</v>
      </c>
      <c r="N676" s="5">
        <v>2</v>
      </c>
      <c r="O676" s="7">
        <v>6.9444444444444444E-5</v>
      </c>
      <c r="P676" s="7">
        <v>1.7824074074074075E-3</v>
      </c>
      <c r="Q676" s="7">
        <v>6.7129629629629625E-4</v>
      </c>
      <c r="R676" s="6">
        <v>0.92159999999999997</v>
      </c>
      <c r="S676" s="8">
        <f>CONVERT(Table1[[#This Row],[Talk Duration (AVG)]]*Table1[[#This Row],[Answered Calls]],"day","hr")</f>
        <v>2.1388888888888893</v>
      </c>
      <c r="T676" s="9">
        <f>Table1[[#This Row],[Actual Workload hours]]*60</f>
        <v>128.33333333333337</v>
      </c>
      <c r="U676" s="9">
        <f>CONVERT(Table1[[#This Row],[Actual]]*Table1[[#This Row],[Talk Duration (AVG)]],"day","hr")</f>
        <v>5.9888888888888889</v>
      </c>
      <c r="V676" s="10">
        <f>Table1[[#This Row],[Required Workload Hours]]*60</f>
        <v>359.33333333333331</v>
      </c>
      <c r="W676" s="9">
        <v>1</v>
      </c>
      <c r="X676" s="9">
        <f t="shared" si="20"/>
        <v>1</v>
      </c>
      <c r="Y676" s="5">
        <f t="shared" si="21"/>
        <v>2</v>
      </c>
      <c r="Z676" s="8">
        <f>ROUNDUP(Table1[[#This Row],[Actual Heacount]],0)</f>
        <v>1</v>
      </c>
      <c r="AA676" s="8"/>
      <c r="AB676" s="10"/>
      <c r="AC676" s="10"/>
      <c r="AD676" s="10"/>
      <c r="AE676" s="11">
        <v>36.550901271557251</v>
      </c>
      <c r="AF676" s="11">
        <v>262.61836932565637</v>
      </c>
      <c r="AG676" t="s">
        <v>34</v>
      </c>
    </row>
    <row r="677" spans="1:33">
      <c r="A677" s="2">
        <v>44510</v>
      </c>
      <c r="B677" s="5" t="s">
        <v>37</v>
      </c>
      <c r="C677" s="5">
        <f>WEEKDAY(Table1[[#This Row],[Date]])</f>
        <v>4</v>
      </c>
      <c r="D677" s="5">
        <f>MONTH(Table1[[#This Row],[Date]])</f>
        <v>11</v>
      </c>
      <c r="E677" s="5">
        <f>WEEKNUM(Table1[[#This Row],[Date]])</f>
        <v>46</v>
      </c>
      <c r="F677" s="5">
        <f>YEAR(Table1[[#This Row],[Date]])</f>
        <v>2021</v>
      </c>
      <c r="G677">
        <v>231</v>
      </c>
      <c r="L677" s="5">
        <v>137</v>
      </c>
      <c r="M677" s="6">
        <v>0.95140000000000002</v>
      </c>
      <c r="N677" s="5">
        <v>7</v>
      </c>
      <c r="O677" s="7">
        <v>1.6203703703703703E-4</v>
      </c>
      <c r="P677" s="7">
        <v>1.8055555555555555E-3</v>
      </c>
      <c r="Q677" s="7">
        <v>2.0370370370370369E-3</v>
      </c>
      <c r="R677" s="6">
        <v>0.77080000000000004</v>
      </c>
      <c r="S677" s="8">
        <f>CONVERT(Table1[[#This Row],[Talk Duration (AVG)]]*Table1[[#This Row],[Answered Calls]],"day","hr")</f>
        <v>5.9366666666666656</v>
      </c>
      <c r="T677" s="9">
        <f>Table1[[#This Row],[Actual Workload hours]]*60</f>
        <v>356.19999999999993</v>
      </c>
      <c r="U677" s="9">
        <f>CONVERT(Table1[[#This Row],[Actual]]*Table1[[#This Row],[Talk Duration (AVG)]],"day","hr")</f>
        <v>10.01</v>
      </c>
      <c r="V677" s="10">
        <f>Table1[[#This Row],[Required Workload Hours]]*60</f>
        <v>600.6</v>
      </c>
      <c r="W677" s="9">
        <v>1</v>
      </c>
      <c r="X677" s="9">
        <f t="shared" si="20"/>
        <v>1.5640625000000001</v>
      </c>
      <c r="Y677" s="5">
        <f t="shared" si="21"/>
        <v>2</v>
      </c>
      <c r="Z677" s="8">
        <f>ROUNDUP(Table1[[#This Row],[Actual Heacount]],0)</f>
        <v>1</v>
      </c>
      <c r="AA677" s="8"/>
      <c r="AB677" s="10"/>
      <c r="AC677" s="10"/>
      <c r="AD677" s="10"/>
      <c r="AE677" s="11">
        <v>53.693032649619077</v>
      </c>
      <c r="AF677" s="11">
        <v>277.76518401916007</v>
      </c>
      <c r="AG677" t="s">
        <v>34</v>
      </c>
    </row>
    <row r="678" spans="1:33">
      <c r="A678" s="2">
        <v>44511</v>
      </c>
      <c r="B678" s="5" t="s">
        <v>38</v>
      </c>
      <c r="C678" s="5">
        <f>WEEKDAY(Table1[[#This Row],[Date]])</f>
        <v>5</v>
      </c>
      <c r="D678" s="5">
        <f>MONTH(Table1[[#This Row],[Date]])</f>
        <v>11</v>
      </c>
      <c r="E678" s="5">
        <f>WEEKNUM(Table1[[#This Row],[Date]])</f>
        <v>46</v>
      </c>
      <c r="F678" s="5">
        <f>YEAR(Table1[[#This Row],[Date]])</f>
        <v>2021</v>
      </c>
      <c r="G678">
        <v>186</v>
      </c>
      <c r="L678" s="5">
        <v>36</v>
      </c>
      <c r="M678" s="6">
        <v>1</v>
      </c>
      <c r="N678" s="5">
        <v>0</v>
      </c>
      <c r="O678" s="7">
        <v>1.7361111111111112E-4</v>
      </c>
      <c r="P678" s="7">
        <v>2.0023148148148148E-3</v>
      </c>
      <c r="Q678" s="7">
        <v>1.1689814814814816E-3</v>
      </c>
      <c r="R678" s="6">
        <v>0.80559999999999998</v>
      </c>
      <c r="S678" s="8">
        <f>CONVERT(Table1[[#This Row],[Talk Duration (AVG)]]*Table1[[#This Row],[Answered Calls]],"day","hr")</f>
        <v>1.73</v>
      </c>
      <c r="T678" s="9">
        <f>Table1[[#This Row],[Actual Workload hours]]*60</f>
        <v>103.8</v>
      </c>
      <c r="U678" s="9">
        <f>CONVERT(Table1[[#This Row],[Actual]]*Table1[[#This Row],[Talk Duration (AVG)]],"day","hr")</f>
        <v>8.9383333333333326</v>
      </c>
      <c r="V678" s="10">
        <f>Table1[[#This Row],[Required Workload Hours]]*60</f>
        <v>536.29999999999995</v>
      </c>
      <c r="W678" s="9">
        <v>1</v>
      </c>
      <c r="X678" s="9">
        <f t="shared" si="20"/>
        <v>1.3966145833333332</v>
      </c>
      <c r="Y678" s="5">
        <f t="shared" si="21"/>
        <v>1</v>
      </c>
      <c r="Z678" s="8">
        <f>ROUNDUP(Table1[[#This Row],[Actual Heacount]],0)</f>
        <v>1</v>
      </c>
      <c r="AA678" s="8"/>
      <c r="AB678" s="10"/>
      <c r="AC678" s="10"/>
      <c r="AD678" s="10"/>
      <c r="AE678" s="11">
        <v>50.096099414634438</v>
      </c>
      <c r="AF678" s="11">
        <v>269.84858215600019</v>
      </c>
      <c r="AG678" t="s">
        <v>34</v>
      </c>
    </row>
    <row r="679" spans="1:33">
      <c r="A679" s="2">
        <v>44512</v>
      </c>
      <c r="B679" s="5" t="s">
        <v>39</v>
      </c>
      <c r="C679" s="5">
        <f>WEEKDAY(Table1[[#This Row],[Date]])</f>
        <v>6</v>
      </c>
      <c r="D679" s="5">
        <f>MONTH(Table1[[#This Row],[Date]])</f>
        <v>11</v>
      </c>
      <c r="E679" s="5">
        <f>WEEKNUM(Table1[[#This Row],[Date]])</f>
        <v>46</v>
      </c>
      <c r="F679" s="5">
        <f>YEAR(Table1[[#This Row],[Date]])</f>
        <v>2021</v>
      </c>
      <c r="G679">
        <v>166</v>
      </c>
      <c r="L679" s="5">
        <v>148</v>
      </c>
      <c r="M679" s="6">
        <v>0.95479999999999998</v>
      </c>
      <c r="N679" s="5">
        <v>7</v>
      </c>
      <c r="O679" s="7">
        <v>1.6203703703703703E-4</v>
      </c>
      <c r="P679" s="7">
        <v>1.6898148148148148E-3</v>
      </c>
      <c r="Q679" s="7">
        <v>2.3495370370370371E-3</v>
      </c>
      <c r="R679" s="6">
        <v>0.81289999999999996</v>
      </c>
      <c r="S679" s="8">
        <f>CONVERT(Table1[[#This Row],[Talk Duration (AVG)]]*Table1[[#This Row],[Answered Calls]],"day","hr")</f>
        <v>6.0022222222222226</v>
      </c>
      <c r="T679" s="9">
        <f>Table1[[#This Row],[Actual Workload hours]]*60</f>
        <v>360.13333333333333</v>
      </c>
      <c r="U679" s="9">
        <f>CONVERT(Table1[[#This Row],[Actual]]*Table1[[#This Row],[Talk Duration (AVG)]],"day","hr")</f>
        <v>6.7322222222222212</v>
      </c>
      <c r="V679" s="10">
        <f>Table1[[#This Row],[Required Workload Hours]]*60</f>
        <v>403.93333333333328</v>
      </c>
      <c r="W679" s="9">
        <v>1</v>
      </c>
      <c r="X679" s="9">
        <f t="shared" si="20"/>
        <v>1.051909722222222</v>
      </c>
      <c r="Y679" s="5">
        <f t="shared" si="21"/>
        <v>2</v>
      </c>
      <c r="Z679" s="8">
        <f>ROUNDUP(Table1[[#This Row],[Actual Heacount]],0)</f>
        <v>1</v>
      </c>
      <c r="AA679" s="8"/>
      <c r="AB679" s="10"/>
      <c r="AC679" s="10"/>
      <c r="AD679" s="10"/>
      <c r="AE679" s="11">
        <v>37.631736053444321</v>
      </c>
      <c r="AF679" s="11">
        <v>260.87987493367473</v>
      </c>
      <c r="AG679" t="s">
        <v>34</v>
      </c>
    </row>
    <row r="680" spans="1:33">
      <c r="A680" s="2">
        <v>44513</v>
      </c>
      <c r="B680" s="5" t="s">
        <v>40</v>
      </c>
      <c r="C680" s="5">
        <f>WEEKDAY(Table1[[#This Row],[Date]])</f>
        <v>7</v>
      </c>
      <c r="D680" s="5">
        <f>MONTH(Table1[[#This Row],[Date]])</f>
        <v>11</v>
      </c>
      <c r="E680" s="5">
        <f>WEEKNUM(Table1[[#This Row],[Date]])</f>
        <v>46</v>
      </c>
      <c r="F680" s="5">
        <f>YEAR(Table1[[#This Row],[Date]])</f>
        <v>2021</v>
      </c>
      <c r="G680">
        <v>146</v>
      </c>
      <c r="L680" s="5">
        <v>154</v>
      </c>
      <c r="M680" s="6">
        <v>0.96860000000000002</v>
      </c>
      <c r="N680" s="5">
        <v>5</v>
      </c>
      <c r="O680" s="7">
        <v>1.8518518518518518E-4</v>
      </c>
      <c r="P680" s="7">
        <v>1.8634259259259259E-3</v>
      </c>
      <c r="Q680" s="7">
        <v>1.5277777777777779E-3</v>
      </c>
      <c r="R680" s="6">
        <v>0.78620000000000001</v>
      </c>
      <c r="S680" s="8">
        <f>CONVERT(Table1[[#This Row],[Talk Duration (AVG)]]*Table1[[#This Row],[Answered Calls]],"day","hr")</f>
        <v>6.8872222222222224</v>
      </c>
      <c r="T680" s="9">
        <f>Table1[[#This Row],[Actual Workload hours]]*60</f>
        <v>413.23333333333335</v>
      </c>
      <c r="U680" s="9">
        <f>CONVERT(Table1[[#This Row],[Actual]]*Table1[[#This Row],[Talk Duration (AVG)]],"day","hr")</f>
        <v>6.5294444444444455</v>
      </c>
      <c r="V680" s="10">
        <f>Table1[[#This Row],[Required Workload Hours]]*60</f>
        <v>391.76666666666671</v>
      </c>
      <c r="W680" s="9">
        <v>1.08</v>
      </c>
      <c r="X680" s="9">
        <f t="shared" si="20"/>
        <v>1.0202256944444446</v>
      </c>
      <c r="Y680" s="5">
        <f t="shared" si="21"/>
        <v>2</v>
      </c>
      <c r="Z680" s="8">
        <f>ROUNDUP(Table1[[#This Row],[Actual Heacount]],0)</f>
        <v>2</v>
      </c>
      <c r="AA680" s="8"/>
      <c r="AB680" s="10"/>
      <c r="AC680" s="10"/>
      <c r="AD680" s="10"/>
      <c r="AE680" s="11">
        <v>52.721296998023831</v>
      </c>
      <c r="AF680" s="11">
        <v>272.07325937352641</v>
      </c>
      <c r="AG680" t="s">
        <v>34</v>
      </c>
    </row>
    <row r="681" spans="1:33">
      <c r="A681" s="2">
        <v>44514</v>
      </c>
      <c r="B681" s="5" t="s">
        <v>33</v>
      </c>
      <c r="C681" s="5">
        <f>WEEKDAY(Table1[[#This Row],[Date]])</f>
        <v>1</v>
      </c>
      <c r="D681" s="5">
        <f>MONTH(Table1[[#This Row],[Date]])</f>
        <v>11</v>
      </c>
      <c r="E681" s="5">
        <f>WEEKNUM(Table1[[#This Row],[Date]])</f>
        <v>47</v>
      </c>
      <c r="F681" s="5">
        <f>YEAR(Table1[[#This Row],[Date]])</f>
        <v>2021</v>
      </c>
      <c r="G681">
        <v>41</v>
      </c>
      <c r="L681" s="5">
        <v>110</v>
      </c>
      <c r="M681" s="6">
        <v>0.95650000000000002</v>
      </c>
      <c r="N681" s="5">
        <v>5</v>
      </c>
      <c r="O681" s="7">
        <v>1.6203703703703703E-4</v>
      </c>
      <c r="P681" s="7">
        <v>1.712962962962963E-3</v>
      </c>
      <c r="Q681" s="7">
        <v>1.5856481481481481E-3</v>
      </c>
      <c r="R681" s="6">
        <v>0.83189999999999997</v>
      </c>
      <c r="S681" s="8">
        <f>CONVERT(Table1[[#This Row],[Talk Duration (AVG)]]*Table1[[#This Row],[Answered Calls]],"day","hr")</f>
        <v>4.522222222222223</v>
      </c>
      <c r="T681" s="9">
        <f>Table1[[#This Row],[Actual Workload hours]]*60</f>
        <v>271.33333333333337</v>
      </c>
      <c r="U681" s="9">
        <f>CONVERT(Table1[[#This Row],[Actual]]*Table1[[#This Row],[Talk Duration (AVG)]],"day","hr")</f>
        <v>1.6855555555555555</v>
      </c>
      <c r="V681" s="10">
        <f>Table1[[#This Row],[Required Workload Hours]]*60</f>
        <v>101.13333333333333</v>
      </c>
      <c r="W681" s="9">
        <v>1</v>
      </c>
      <c r="X681" s="9">
        <f t="shared" si="20"/>
        <v>1</v>
      </c>
      <c r="Y681" s="5">
        <f t="shared" si="21"/>
        <v>2</v>
      </c>
      <c r="Z681" s="8">
        <f>ROUNDUP(Table1[[#This Row],[Actual Heacount]],0)</f>
        <v>1</v>
      </c>
      <c r="AA681" s="8"/>
      <c r="AB681" s="10"/>
      <c r="AC681" s="10"/>
      <c r="AD681" s="10"/>
      <c r="AE681" s="11">
        <v>-53.5434892711571</v>
      </c>
      <c r="AF681" s="11">
        <v>182.49346418583369</v>
      </c>
      <c r="AG681" t="s">
        <v>34</v>
      </c>
    </row>
    <row r="682" spans="1:33">
      <c r="A682" s="2">
        <v>44518</v>
      </c>
      <c r="B682" s="5" t="s">
        <v>35</v>
      </c>
      <c r="C682" s="5">
        <f>WEEKDAY(Table1[[#This Row],[Date]])</f>
        <v>5</v>
      </c>
      <c r="D682" s="5">
        <f>MONTH(Table1[[#This Row],[Date]])</f>
        <v>11</v>
      </c>
      <c r="E682" s="5">
        <f>WEEKNUM(Table1[[#This Row],[Date]])</f>
        <v>47</v>
      </c>
      <c r="F682" s="5">
        <f>YEAR(Table1[[#This Row],[Date]])</f>
        <v>2021</v>
      </c>
      <c r="G682">
        <v>173</v>
      </c>
      <c r="L682" s="5">
        <v>173</v>
      </c>
      <c r="M682" s="6">
        <v>0.93010000000000004</v>
      </c>
      <c r="N682" s="5">
        <v>13</v>
      </c>
      <c r="O682" s="7">
        <v>2.199074074074074E-4</v>
      </c>
      <c r="P682" s="7">
        <v>1.8402777777777777E-3</v>
      </c>
      <c r="Q682" s="7">
        <v>1.8981481481481482E-3</v>
      </c>
      <c r="R682" s="6">
        <v>0.73509999999999998</v>
      </c>
      <c r="S682" s="8">
        <f>CONVERT(Table1[[#This Row],[Talk Duration (AVG)]]*Table1[[#This Row],[Answered Calls]],"day","hr")</f>
        <v>7.6408333333333323</v>
      </c>
      <c r="T682" s="9">
        <f>Table1[[#This Row],[Actual Workload hours]]*60</f>
        <v>458.44999999999993</v>
      </c>
      <c r="U682" s="9">
        <f>CONVERT(Table1[[#This Row],[Actual]]*Table1[[#This Row],[Talk Duration (AVG)]],"day","hr")</f>
        <v>7.6408333333333323</v>
      </c>
      <c r="V682" s="10">
        <f>Table1[[#This Row],[Required Workload Hours]]*60</f>
        <v>458.44999999999993</v>
      </c>
      <c r="W682" s="9">
        <v>1.19</v>
      </c>
      <c r="X682" s="9">
        <f t="shared" si="20"/>
        <v>1.1938802083333331</v>
      </c>
      <c r="Y682" s="5">
        <f t="shared" si="21"/>
        <v>2</v>
      </c>
      <c r="Z682" s="8">
        <f>ROUNDUP(Table1[[#This Row],[Actual Heacount]],0)</f>
        <v>2</v>
      </c>
      <c r="AA682" s="8"/>
      <c r="AB682" s="10"/>
      <c r="AC682" s="10"/>
      <c r="AD682" s="10"/>
      <c r="AE682" s="11">
        <v>52.151672342031929</v>
      </c>
      <c r="AF682" s="11">
        <v>274.94970693916417</v>
      </c>
      <c r="AG682" t="s">
        <v>34</v>
      </c>
    </row>
    <row r="683" spans="1:33">
      <c r="A683" s="2">
        <v>44519</v>
      </c>
      <c r="B683" s="5" t="s">
        <v>36</v>
      </c>
      <c r="C683" s="5">
        <f>WEEKDAY(Table1[[#This Row],[Date]])</f>
        <v>6</v>
      </c>
      <c r="D683" s="5">
        <f>MONTH(Table1[[#This Row],[Date]])</f>
        <v>11</v>
      </c>
      <c r="E683" s="5">
        <f>WEEKNUM(Table1[[#This Row],[Date]])</f>
        <v>47</v>
      </c>
      <c r="F683" s="5">
        <f>YEAR(Table1[[#This Row],[Date]])</f>
        <v>2021</v>
      </c>
      <c r="G683">
        <v>176</v>
      </c>
      <c r="L683" s="5">
        <v>157</v>
      </c>
      <c r="M683" s="6">
        <v>0.94010000000000005</v>
      </c>
      <c r="N683" s="5">
        <v>10</v>
      </c>
      <c r="O683" s="7">
        <v>2.6620370370370372E-4</v>
      </c>
      <c r="P683" s="7">
        <v>1.7592592592592592E-3</v>
      </c>
      <c r="Q683" s="7">
        <v>1.9560185185185184E-3</v>
      </c>
      <c r="R683" s="6">
        <v>0.67679999999999996</v>
      </c>
      <c r="S683" s="8">
        <f>CONVERT(Table1[[#This Row],[Talk Duration (AVG)]]*Table1[[#This Row],[Answered Calls]],"day","hr")</f>
        <v>6.6288888888888877</v>
      </c>
      <c r="T683" s="9">
        <f>Table1[[#This Row],[Actual Workload hours]]*60</f>
        <v>397.73333333333323</v>
      </c>
      <c r="U683" s="9">
        <f>CONVERT(Table1[[#This Row],[Actual]]*Table1[[#This Row],[Talk Duration (AVG)]],"day","hr")</f>
        <v>7.431111111111111</v>
      </c>
      <c r="V683" s="10">
        <f>Table1[[#This Row],[Required Workload Hours]]*60</f>
        <v>445.86666666666667</v>
      </c>
      <c r="W683" s="9">
        <v>1.04</v>
      </c>
      <c r="X683" s="9">
        <f t="shared" si="20"/>
        <v>1.1611111111111112</v>
      </c>
      <c r="Y683" s="5">
        <f t="shared" si="21"/>
        <v>2</v>
      </c>
      <c r="Z683" s="8">
        <f>ROUNDUP(Table1[[#This Row],[Actual Heacount]],0)</f>
        <v>2</v>
      </c>
      <c r="AA683" s="8"/>
      <c r="AB683" s="10"/>
      <c r="AC683" s="10"/>
      <c r="AD683" s="10"/>
      <c r="AE683" s="11">
        <v>31.262178112135999</v>
      </c>
      <c r="AF683" s="11">
        <v>252.7497097963157</v>
      </c>
      <c r="AG683" t="s">
        <v>34</v>
      </c>
    </row>
    <row r="684" spans="1:33">
      <c r="A684" s="2">
        <v>44520</v>
      </c>
      <c r="B684" s="5" t="s">
        <v>37</v>
      </c>
      <c r="C684" s="5">
        <f>WEEKDAY(Table1[[#This Row],[Date]])</f>
        <v>7</v>
      </c>
      <c r="D684" s="5">
        <f>MONTH(Table1[[#This Row],[Date]])</f>
        <v>11</v>
      </c>
      <c r="E684" s="5">
        <f>WEEKNUM(Table1[[#This Row],[Date]])</f>
        <v>47</v>
      </c>
      <c r="F684" s="5">
        <f>YEAR(Table1[[#This Row],[Date]])</f>
        <v>2021</v>
      </c>
      <c r="G684">
        <v>147</v>
      </c>
      <c r="L684" s="5">
        <v>142</v>
      </c>
      <c r="M684" s="6">
        <v>0.97260000000000002</v>
      </c>
      <c r="N684" s="5">
        <v>4</v>
      </c>
      <c r="O684" s="7">
        <v>2.5462962962962961E-4</v>
      </c>
      <c r="P684" s="7">
        <v>1.8749999999999999E-3</v>
      </c>
      <c r="Q684" s="7">
        <v>1.3773148148148147E-3</v>
      </c>
      <c r="R684" s="6">
        <v>0.66900000000000004</v>
      </c>
      <c r="S684" s="8">
        <f>CONVERT(Table1[[#This Row],[Talk Duration (AVG)]]*Table1[[#This Row],[Answered Calls]],"day","hr")</f>
        <v>6.39</v>
      </c>
      <c r="T684" s="9">
        <f>Table1[[#This Row],[Actual Workload hours]]*60</f>
        <v>383.4</v>
      </c>
      <c r="U684" s="9">
        <f>CONVERT(Table1[[#This Row],[Actual]]*Table1[[#This Row],[Talk Duration (AVG)]],"day","hr")</f>
        <v>6.6150000000000002</v>
      </c>
      <c r="V684" s="10">
        <f>Table1[[#This Row],[Required Workload Hours]]*60</f>
        <v>396.90000000000003</v>
      </c>
      <c r="W684" s="9">
        <v>1</v>
      </c>
      <c r="X684" s="9">
        <f t="shared" si="20"/>
        <v>1.0335937500000001</v>
      </c>
      <c r="Y684" s="5">
        <f t="shared" si="21"/>
        <v>2</v>
      </c>
      <c r="Z684" s="8">
        <f>ROUNDUP(Table1[[#This Row],[Actual Heacount]],0)</f>
        <v>1</v>
      </c>
      <c r="AA684" s="8"/>
      <c r="AB684" s="10"/>
      <c r="AC684" s="10"/>
      <c r="AD684" s="10"/>
      <c r="AE684" s="11">
        <v>41.898266079648849</v>
      </c>
      <c r="AF684" s="11">
        <v>263.02164107905128</v>
      </c>
      <c r="AG684" t="s">
        <v>34</v>
      </c>
    </row>
    <row r="685" spans="1:33">
      <c r="A685" s="2">
        <v>44521</v>
      </c>
      <c r="B685" s="5" t="s">
        <v>38</v>
      </c>
      <c r="C685" s="5">
        <f>WEEKDAY(Table1[[#This Row],[Date]])</f>
        <v>1</v>
      </c>
      <c r="D685" s="5">
        <f>MONTH(Table1[[#This Row],[Date]])</f>
        <v>11</v>
      </c>
      <c r="E685" s="5">
        <f>WEEKNUM(Table1[[#This Row],[Date]])</f>
        <v>48</v>
      </c>
      <c r="F685" s="5">
        <f>YEAR(Table1[[#This Row],[Date]])</f>
        <v>2021</v>
      </c>
      <c r="G685">
        <v>84</v>
      </c>
      <c r="L685" s="5">
        <v>31</v>
      </c>
      <c r="M685" s="6">
        <v>0.75609999999999999</v>
      </c>
      <c r="N685" s="5">
        <v>10</v>
      </c>
      <c r="O685" s="7">
        <v>4.5138888888888887E-4</v>
      </c>
      <c r="P685" s="7">
        <v>2.5810185185185185E-3</v>
      </c>
      <c r="Q685" s="7">
        <v>2.5462962962962965E-3</v>
      </c>
      <c r="R685" s="6">
        <v>0.48780000000000001</v>
      </c>
      <c r="S685" s="8">
        <f>CONVERT(Table1[[#This Row],[Talk Duration (AVG)]]*Table1[[#This Row],[Answered Calls]],"day","hr")</f>
        <v>1.9202777777777775</v>
      </c>
      <c r="T685" s="9">
        <f>Table1[[#This Row],[Actual Workload hours]]*60</f>
        <v>115.21666666666665</v>
      </c>
      <c r="U685" s="9">
        <f>CONVERT(Table1[[#This Row],[Actual]]*Table1[[#This Row],[Talk Duration (AVG)]],"day","hr")</f>
        <v>5.2033333333333331</v>
      </c>
      <c r="V685" s="10">
        <f>Table1[[#This Row],[Required Workload Hours]]*60</f>
        <v>312.2</v>
      </c>
      <c r="W685" s="9">
        <v>1</v>
      </c>
      <c r="X685" s="9">
        <f t="shared" si="20"/>
        <v>1</v>
      </c>
      <c r="Y685" s="5">
        <f t="shared" si="21"/>
        <v>1</v>
      </c>
      <c r="Z685" s="8">
        <f>ROUNDUP(Table1[[#This Row],[Actual Heacount]],0)</f>
        <v>1</v>
      </c>
      <c r="AA685" s="8"/>
      <c r="AB685" s="10"/>
      <c r="AC685" s="10"/>
      <c r="AD685" s="10"/>
      <c r="AE685" s="11">
        <v>-44.694422940948492</v>
      </c>
      <c r="AF685" s="11">
        <v>176.11181216194089</v>
      </c>
      <c r="AG685" t="s">
        <v>34</v>
      </c>
    </row>
    <row r="686" spans="1:33">
      <c r="A686" s="2">
        <v>44527</v>
      </c>
      <c r="B686" s="5" t="s">
        <v>39</v>
      </c>
      <c r="C686" s="5">
        <f>WEEKDAY(Table1[[#This Row],[Date]])</f>
        <v>7</v>
      </c>
      <c r="D686" s="5">
        <f>MONTH(Table1[[#This Row],[Date]])</f>
        <v>11</v>
      </c>
      <c r="E686" s="5">
        <f>WEEKNUM(Table1[[#This Row],[Date]])</f>
        <v>48</v>
      </c>
      <c r="F686" s="5">
        <f>YEAR(Table1[[#This Row],[Date]])</f>
        <v>2021</v>
      </c>
      <c r="G686">
        <v>378</v>
      </c>
      <c r="L686" s="5">
        <v>85</v>
      </c>
      <c r="M686" s="6">
        <v>0.45950000000000002</v>
      </c>
      <c r="N686" s="5">
        <v>100</v>
      </c>
      <c r="O686" s="7">
        <v>1.261574074074074E-3</v>
      </c>
      <c r="P686" s="7">
        <v>1.9212962962962964E-3</v>
      </c>
      <c r="Q686" s="7">
        <v>7.6504629629629631E-3</v>
      </c>
      <c r="R686" s="6">
        <v>3.7999999999999999E-2</v>
      </c>
      <c r="S686" s="8">
        <f>CONVERT(Table1[[#This Row],[Talk Duration (AVG)]]*Table1[[#This Row],[Answered Calls]],"day","hr")</f>
        <v>3.9194444444444447</v>
      </c>
      <c r="T686" s="9">
        <f>Table1[[#This Row],[Actual Workload hours]]*60</f>
        <v>235.16666666666669</v>
      </c>
      <c r="U686" s="9">
        <f>CONVERT(Table1[[#This Row],[Actual]]*Table1[[#This Row],[Talk Duration (AVG)]],"day","hr")</f>
        <v>17.430000000000003</v>
      </c>
      <c r="V686" s="10">
        <f>Table1[[#This Row],[Required Workload Hours]]*60</f>
        <v>1045.8000000000002</v>
      </c>
      <c r="W686" s="9">
        <v>1</v>
      </c>
      <c r="X686" s="9">
        <f t="shared" si="20"/>
        <v>2.7234375000000006</v>
      </c>
      <c r="Y686" s="5">
        <f t="shared" si="21"/>
        <v>2</v>
      </c>
      <c r="Z686" s="8">
        <f>ROUNDUP(Table1[[#This Row],[Actual Heacount]],0)</f>
        <v>1</v>
      </c>
      <c r="AA686" s="8"/>
      <c r="AB686" s="10"/>
      <c r="AC686" s="10"/>
      <c r="AD686" s="10"/>
      <c r="AE686" s="11">
        <v>60.150103068026183</v>
      </c>
      <c r="AF686" s="11">
        <v>280.06869699962459</v>
      </c>
      <c r="AG686" t="s">
        <v>34</v>
      </c>
    </row>
    <row r="687" spans="1:33">
      <c r="A687" s="2">
        <v>44528</v>
      </c>
      <c r="B687" s="5" t="s">
        <v>40</v>
      </c>
      <c r="C687" s="5">
        <f>WEEKDAY(Table1[[#This Row],[Date]])</f>
        <v>1</v>
      </c>
      <c r="D687" s="5">
        <f>MONTH(Table1[[#This Row],[Date]])</f>
        <v>11</v>
      </c>
      <c r="E687" s="5">
        <f>WEEKNUM(Table1[[#This Row],[Date]])</f>
        <v>49</v>
      </c>
      <c r="F687" s="5">
        <f>YEAR(Table1[[#This Row],[Date]])</f>
        <v>2021</v>
      </c>
      <c r="G687">
        <v>80</v>
      </c>
      <c r="L687" s="5">
        <v>83</v>
      </c>
      <c r="M687" s="6">
        <v>0.55700000000000005</v>
      </c>
      <c r="N687" s="5">
        <v>66</v>
      </c>
      <c r="O687" s="7">
        <v>1.1342592592592593E-3</v>
      </c>
      <c r="P687" s="7">
        <v>1.5972222222222223E-3</v>
      </c>
      <c r="Q687" s="7">
        <v>7.013888888888889E-3</v>
      </c>
      <c r="R687" s="6">
        <v>4.8300000000000003E-2</v>
      </c>
      <c r="S687" s="8">
        <f>CONVERT(Table1[[#This Row],[Talk Duration (AVG)]]*Table1[[#This Row],[Answered Calls]],"day","hr")</f>
        <v>3.1816666666666671</v>
      </c>
      <c r="T687" s="9">
        <f>Table1[[#This Row],[Actual Workload hours]]*60</f>
        <v>190.90000000000003</v>
      </c>
      <c r="U687" s="9">
        <f>CONVERT(Table1[[#This Row],[Actual]]*Table1[[#This Row],[Talk Duration (AVG)]],"day","hr")</f>
        <v>3.0666666666666673</v>
      </c>
      <c r="V687" s="10">
        <f>Table1[[#This Row],[Required Workload Hours]]*60</f>
        <v>184.00000000000003</v>
      </c>
      <c r="W687" s="9">
        <v>1</v>
      </c>
      <c r="X687" s="9">
        <f t="shared" si="20"/>
        <v>1</v>
      </c>
      <c r="Y687" s="5">
        <f t="shared" si="21"/>
        <v>2</v>
      </c>
      <c r="Z687" s="8">
        <f>ROUNDUP(Table1[[#This Row],[Actual Heacount]],0)</f>
        <v>1</v>
      </c>
      <c r="AA687" s="8"/>
      <c r="AB687" s="10"/>
      <c r="AC687" s="10"/>
      <c r="AD687" s="10"/>
      <c r="AE687" s="11">
        <v>-30.186388168311339</v>
      </c>
      <c r="AF687" s="11">
        <v>189.0674929248689</v>
      </c>
      <c r="AG687" t="s">
        <v>34</v>
      </c>
    </row>
    <row r="688" spans="1:33">
      <c r="A688" s="2">
        <v>44529</v>
      </c>
      <c r="B688" s="5" t="s">
        <v>33</v>
      </c>
      <c r="C688" s="5">
        <f>WEEKDAY(Table1[[#This Row],[Date]])</f>
        <v>2</v>
      </c>
      <c r="D688" s="5">
        <f>MONTH(Table1[[#This Row],[Date]])</f>
        <v>11</v>
      </c>
      <c r="E688" s="5">
        <f>WEEKNUM(Table1[[#This Row],[Date]])</f>
        <v>49</v>
      </c>
      <c r="F688" s="5">
        <f>YEAR(Table1[[#This Row],[Date]])</f>
        <v>2021</v>
      </c>
      <c r="G688">
        <v>356</v>
      </c>
      <c r="L688" s="5">
        <v>115</v>
      </c>
      <c r="M688" s="6">
        <v>0.63890000000000002</v>
      </c>
      <c r="N688" s="5">
        <v>65</v>
      </c>
      <c r="O688" s="7">
        <v>7.407407407407407E-4</v>
      </c>
      <c r="P688" s="7">
        <v>1.7708333333333332E-3</v>
      </c>
      <c r="Q688" s="7">
        <v>8.9120370370370378E-3</v>
      </c>
      <c r="R688" s="6">
        <v>0.23860000000000001</v>
      </c>
      <c r="S688" s="8">
        <f>CONVERT(Table1[[#This Row],[Talk Duration (AVG)]]*Table1[[#This Row],[Answered Calls]],"day","hr")</f>
        <v>4.8875000000000002</v>
      </c>
      <c r="T688" s="9">
        <f>Table1[[#This Row],[Actual Workload hours]]*60</f>
        <v>293.25</v>
      </c>
      <c r="U688" s="9">
        <f>CONVERT(Table1[[#This Row],[Actual]]*Table1[[#This Row],[Talk Duration (AVG)]],"day","hr")</f>
        <v>15.13</v>
      </c>
      <c r="V688" s="10">
        <f>Table1[[#This Row],[Required Workload Hours]]*60</f>
        <v>907.80000000000007</v>
      </c>
      <c r="W688" s="9">
        <v>1</v>
      </c>
      <c r="X688" s="9">
        <f t="shared" si="20"/>
        <v>2.3640625000000002</v>
      </c>
      <c r="Y688" s="5">
        <f t="shared" si="21"/>
        <v>2</v>
      </c>
      <c r="Z688" s="8">
        <f>ROUNDUP(Table1[[#This Row],[Actual Heacount]],0)</f>
        <v>1</v>
      </c>
      <c r="AA688" s="8"/>
      <c r="AB688" s="10"/>
      <c r="AC688" s="10"/>
      <c r="AD688" s="10"/>
      <c r="AE688" s="11">
        <v>71.136749677811935</v>
      </c>
      <c r="AF688" s="11">
        <v>296.25680952083871</v>
      </c>
      <c r="AG688" t="s">
        <v>34</v>
      </c>
    </row>
    <row r="689" spans="1:33">
      <c r="A689" s="2">
        <v>44530</v>
      </c>
      <c r="B689" s="5" t="s">
        <v>35</v>
      </c>
      <c r="C689" s="5">
        <f>WEEKDAY(Table1[[#This Row],[Date]])</f>
        <v>3</v>
      </c>
      <c r="D689" s="5">
        <f>MONTH(Table1[[#This Row],[Date]])</f>
        <v>11</v>
      </c>
      <c r="E689" s="5">
        <f>WEEKNUM(Table1[[#This Row],[Date]])</f>
        <v>49</v>
      </c>
      <c r="F689" s="5">
        <f>YEAR(Table1[[#This Row],[Date]])</f>
        <v>2021</v>
      </c>
      <c r="G689">
        <v>409</v>
      </c>
      <c r="L689" s="5">
        <v>144</v>
      </c>
      <c r="M689" s="6">
        <v>0.83240000000000003</v>
      </c>
      <c r="N689" s="5">
        <v>29</v>
      </c>
      <c r="O689" s="7">
        <v>4.3981481481481481E-4</v>
      </c>
      <c r="P689" s="7">
        <v>2.0833333333333333E-3</v>
      </c>
      <c r="Q689" s="7">
        <v>3.8425925925925928E-3</v>
      </c>
      <c r="R689" s="6">
        <v>0.4647</v>
      </c>
      <c r="S689" s="8">
        <f>CONVERT(Table1[[#This Row],[Talk Duration (AVG)]]*Table1[[#This Row],[Answered Calls]],"day","hr")</f>
        <v>7.2</v>
      </c>
      <c r="T689" s="9">
        <f>Table1[[#This Row],[Actual Workload hours]]*60</f>
        <v>432</v>
      </c>
      <c r="U689" s="9">
        <f>CONVERT(Table1[[#This Row],[Actual]]*Table1[[#This Row],[Talk Duration (AVG)]],"day","hr")</f>
        <v>20.45</v>
      </c>
      <c r="V689" s="10">
        <f>Table1[[#This Row],[Required Workload Hours]]*60</f>
        <v>1227</v>
      </c>
      <c r="W689" s="9">
        <v>1.1299999999999999</v>
      </c>
      <c r="X689" s="9">
        <f t="shared" si="20"/>
        <v>3.1953125</v>
      </c>
      <c r="Y689" s="5">
        <f t="shared" si="21"/>
        <v>2</v>
      </c>
      <c r="Z689" s="8">
        <f>ROUNDUP(Table1[[#This Row],[Actual Heacount]],0)</f>
        <v>2</v>
      </c>
      <c r="AA689" s="8"/>
      <c r="AB689" s="10"/>
      <c r="AC689" s="10"/>
      <c r="AD689" s="10"/>
      <c r="AE689" s="11">
        <v>52.773233869489289</v>
      </c>
      <c r="AF689" s="11">
        <v>273.07671329272358</v>
      </c>
      <c r="AG689" t="s">
        <v>34</v>
      </c>
    </row>
    <row r="690" spans="1:33">
      <c r="A690" s="2">
        <v>44531</v>
      </c>
      <c r="B690" s="5" t="s">
        <v>36</v>
      </c>
      <c r="C690" s="5">
        <f>WEEKDAY(Table1[[#This Row],[Date]])</f>
        <v>4</v>
      </c>
      <c r="D690" s="5">
        <f>MONTH(Table1[[#This Row],[Date]])</f>
        <v>12</v>
      </c>
      <c r="E690" s="5">
        <f>WEEKNUM(Table1[[#This Row],[Date]])</f>
        <v>49</v>
      </c>
      <c r="F690" s="5">
        <f>YEAR(Table1[[#This Row],[Date]])</f>
        <v>2021</v>
      </c>
      <c r="G690">
        <v>211</v>
      </c>
      <c r="L690" s="5">
        <v>158</v>
      </c>
      <c r="M690" s="6">
        <v>0.89770000000000005</v>
      </c>
      <c r="N690" s="5">
        <v>18</v>
      </c>
      <c r="O690" s="7">
        <v>2.3148148148148149E-4</v>
      </c>
      <c r="P690" s="7">
        <v>1.7708333333333332E-3</v>
      </c>
      <c r="Q690" s="7">
        <v>3.6458333333333334E-3</v>
      </c>
      <c r="R690" s="6">
        <v>0.70350000000000001</v>
      </c>
      <c r="S690" s="8">
        <f>CONVERT(Table1[[#This Row],[Talk Duration (AVG)]]*Table1[[#This Row],[Answered Calls]],"day","hr")</f>
        <v>6.7149999999999999</v>
      </c>
      <c r="T690" s="9">
        <f>Table1[[#This Row],[Actual Workload hours]]*60</f>
        <v>402.9</v>
      </c>
      <c r="U690" s="9">
        <f>CONVERT(Table1[[#This Row],[Actual]]*Table1[[#This Row],[Talk Duration (AVG)]],"day","hr")</f>
        <v>8.9674999999999994</v>
      </c>
      <c r="V690" s="10">
        <f>Table1[[#This Row],[Required Workload Hours]]*60</f>
        <v>538.04999999999995</v>
      </c>
      <c r="W690" s="9">
        <v>1.05</v>
      </c>
      <c r="X690" s="9">
        <f t="shared" si="20"/>
        <v>1.401171875</v>
      </c>
      <c r="Y690" s="5">
        <f t="shared" si="21"/>
        <v>2</v>
      </c>
      <c r="Z690" s="8">
        <f>ROUNDUP(Table1[[#This Row],[Actual Heacount]],0)</f>
        <v>2</v>
      </c>
      <c r="AA690" s="8"/>
      <c r="AB690" s="10"/>
      <c r="AC690" s="10"/>
      <c r="AD690" s="10"/>
      <c r="AE690" s="11">
        <v>77.268009324332041</v>
      </c>
      <c r="AF690" s="11">
        <v>297.62020905930041</v>
      </c>
      <c r="AG690" t="s">
        <v>34</v>
      </c>
    </row>
    <row r="691" spans="1:33">
      <c r="A691" s="2">
        <v>44532</v>
      </c>
      <c r="B691" s="5" t="s">
        <v>37</v>
      </c>
      <c r="C691" s="5">
        <f>WEEKDAY(Table1[[#This Row],[Date]])</f>
        <v>5</v>
      </c>
      <c r="D691" s="5">
        <f>MONTH(Table1[[#This Row],[Date]])</f>
        <v>12</v>
      </c>
      <c r="E691" s="5">
        <f>WEEKNUM(Table1[[#This Row],[Date]])</f>
        <v>49</v>
      </c>
      <c r="F691" s="5">
        <f>YEAR(Table1[[#This Row],[Date]])</f>
        <v>2021</v>
      </c>
      <c r="G691">
        <v>160</v>
      </c>
      <c r="L691" s="5">
        <v>120</v>
      </c>
      <c r="M691" s="6">
        <v>0.81630000000000003</v>
      </c>
      <c r="N691" s="5">
        <v>27</v>
      </c>
      <c r="O691" s="7">
        <v>5.3240740740740744E-4</v>
      </c>
      <c r="P691" s="7">
        <v>1.8402777777777777E-3</v>
      </c>
      <c r="Q691" s="7">
        <v>2.9629629629629628E-3</v>
      </c>
      <c r="R691" s="6">
        <v>0.39729999999999999</v>
      </c>
      <c r="S691" s="8">
        <f>CONVERT(Table1[[#This Row],[Talk Duration (AVG)]]*Table1[[#This Row],[Answered Calls]],"day","hr")</f>
        <v>5.3</v>
      </c>
      <c r="T691" s="9">
        <f>Table1[[#This Row],[Actual Workload hours]]*60</f>
        <v>318</v>
      </c>
      <c r="U691" s="9">
        <f>CONVERT(Table1[[#This Row],[Actual]]*Table1[[#This Row],[Talk Duration (AVG)]],"day","hr")</f>
        <v>7.0666666666666664</v>
      </c>
      <c r="V691" s="10">
        <f>Table1[[#This Row],[Required Workload Hours]]*60</f>
        <v>424</v>
      </c>
      <c r="W691" s="9">
        <v>1</v>
      </c>
      <c r="X691" s="9">
        <f t="shared" si="20"/>
        <v>1.1041666666666667</v>
      </c>
      <c r="Y691" s="5">
        <f t="shared" si="21"/>
        <v>2</v>
      </c>
      <c r="Z691" s="8">
        <f>ROUNDUP(Table1[[#This Row],[Actual Heacount]],0)</f>
        <v>1</v>
      </c>
      <c r="AA691" s="8"/>
      <c r="AB691" s="10"/>
      <c r="AC691" s="10"/>
      <c r="AD691" s="10"/>
      <c r="AE691" s="11">
        <v>73.272354398465254</v>
      </c>
      <c r="AF691" s="11">
        <v>294.49120225655969</v>
      </c>
      <c r="AG691" t="s">
        <v>34</v>
      </c>
    </row>
    <row r="692" spans="1:33">
      <c r="A692" s="2">
        <v>44533</v>
      </c>
      <c r="B692" s="5" t="s">
        <v>38</v>
      </c>
      <c r="C692" s="5">
        <f>WEEKDAY(Table1[[#This Row],[Date]])</f>
        <v>6</v>
      </c>
      <c r="D692" s="5">
        <f>MONTH(Table1[[#This Row],[Date]])</f>
        <v>12</v>
      </c>
      <c r="E692" s="5">
        <f>WEEKNUM(Table1[[#This Row],[Date]])</f>
        <v>49</v>
      </c>
      <c r="F692" s="5">
        <f>YEAR(Table1[[#This Row],[Date]])</f>
        <v>2021</v>
      </c>
      <c r="G692">
        <v>141</v>
      </c>
      <c r="L692" s="5">
        <v>77</v>
      </c>
      <c r="M692" s="6">
        <v>0.91669999999999996</v>
      </c>
      <c r="N692" s="5">
        <v>7</v>
      </c>
      <c r="O692" s="7">
        <v>1.9675925925925926E-4</v>
      </c>
      <c r="P692" s="7">
        <v>1.4699074074074074E-3</v>
      </c>
      <c r="Q692" s="7">
        <v>3.1250000000000002E-3</v>
      </c>
      <c r="R692" s="6">
        <v>0.7349</v>
      </c>
      <c r="S692" s="8">
        <f>CONVERT(Table1[[#This Row],[Talk Duration (AVG)]]*Table1[[#This Row],[Answered Calls]],"day","hr")</f>
        <v>2.716388888888889</v>
      </c>
      <c r="T692" s="9">
        <f>Table1[[#This Row],[Actual Workload hours]]*60</f>
        <v>162.98333333333335</v>
      </c>
      <c r="U692" s="9">
        <f>CONVERT(Table1[[#This Row],[Actual]]*Table1[[#This Row],[Talk Duration (AVG)]],"day","hr")</f>
        <v>4.9741666666666671</v>
      </c>
      <c r="V692" s="10">
        <f>Table1[[#This Row],[Required Workload Hours]]*60</f>
        <v>298.45000000000005</v>
      </c>
      <c r="W692" s="9">
        <v>1</v>
      </c>
      <c r="X692" s="9">
        <f t="shared" si="20"/>
        <v>1</v>
      </c>
      <c r="Y692" s="5">
        <f t="shared" si="21"/>
        <v>1</v>
      </c>
      <c r="Z692" s="8">
        <f>ROUNDUP(Table1[[#This Row],[Actual Heacount]],0)</f>
        <v>1</v>
      </c>
      <c r="AA692" s="8"/>
      <c r="AB692" s="10"/>
      <c r="AC692" s="10"/>
      <c r="AD692" s="10"/>
      <c r="AE692" s="11">
        <v>70.643054518458683</v>
      </c>
      <c r="AF692" s="11">
        <v>284.67888519887163</v>
      </c>
      <c r="AG692" t="s">
        <v>34</v>
      </c>
    </row>
    <row r="693" spans="1:33">
      <c r="A693" s="2">
        <v>44534</v>
      </c>
      <c r="B693" s="5" t="s">
        <v>39</v>
      </c>
      <c r="C693" s="5">
        <f>WEEKDAY(Table1[[#This Row],[Date]])</f>
        <v>7</v>
      </c>
      <c r="D693" s="5">
        <f>MONTH(Table1[[#This Row],[Date]])</f>
        <v>12</v>
      </c>
      <c r="E693" s="5">
        <f>WEEKNUM(Table1[[#This Row],[Date]])</f>
        <v>49</v>
      </c>
      <c r="F693" s="5">
        <f>YEAR(Table1[[#This Row],[Date]])</f>
        <v>2021</v>
      </c>
      <c r="G693">
        <v>119</v>
      </c>
      <c r="L693" s="5">
        <v>78</v>
      </c>
      <c r="M693" s="6">
        <v>0.24</v>
      </c>
      <c r="N693" s="5">
        <v>247</v>
      </c>
      <c r="O693" s="7">
        <v>2.2337962962962962E-3</v>
      </c>
      <c r="P693" s="7">
        <v>2.0949074074074073E-3</v>
      </c>
      <c r="Q693" s="7">
        <v>1.2118055555555556E-2</v>
      </c>
      <c r="R693" s="6">
        <v>0</v>
      </c>
      <c r="S693" s="8">
        <f>CONVERT(Table1[[#This Row],[Talk Duration (AVG)]]*Table1[[#This Row],[Answered Calls]],"day","hr")</f>
        <v>3.921666666666666</v>
      </c>
      <c r="T693" s="9">
        <f>Table1[[#This Row],[Actual Workload hours]]*60</f>
        <v>235.29999999999995</v>
      </c>
      <c r="U693" s="9">
        <f>CONVERT(Table1[[#This Row],[Actual]]*Table1[[#This Row],[Talk Duration (AVG)]],"day","hr")</f>
        <v>5.9830555555555556</v>
      </c>
      <c r="V693" s="10">
        <f>Table1[[#This Row],[Required Workload Hours]]*60</f>
        <v>358.98333333333335</v>
      </c>
      <c r="W693" s="9">
        <v>1</v>
      </c>
      <c r="X693" s="9">
        <f t="shared" si="20"/>
        <v>1</v>
      </c>
      <c r="Y693" s="5">
        <f t="shared" si="21"/>
        <v>2</v>
      </c>
      <c r="Z693" s="8">
        <f>ROUNDUP(Table1[[#This Row],[Actual Heacount]],0)</f>
        <v>1</v>
      </c>
      <c r="AA693" s="8"/>
      <c r="AB693" s="10"/>
      <c r="AC693" s="10"/>
      <c r="AD693" s="10"/>
      <c r="AE693" s="11">
        <v>75.709977877088647</v>
      </c>
      <c r="AF693" s="11">
        <v>291.97045933376052</v>
      </c>
      <c r="AG693" t="s">
        <v>34</v>
      </c>
    </row>
    <row r="694" spans="1:33">
      <c r="A694" s="2">
        <v>44535</v>
      </c>
      <c r="B694" s="5" t="s">
        <v>40</v>
      </c>
      <c r="C694" s="5">
        <f>WEEKDAY(Table1[[#This Row],[Date]])</f>
        <v>1</v>
      </c>
      <c r="D694" s="5">
        <f>MONTH(Table1[[#This Row],[Date]])</f>
        <v>12</v>
      </c>
      <c r="E694" s="5">
        <f>WEEKNUM(Table1[[#This Row],[Date]])</f>
        <v>50</v>
      </c>
      <c r="F694" s="5">
        <f>YEAR(Table1[[#This Row],[Date]])</f>
        <v>2021</v>
      </c>
      <c r="G694">
        <v>100</v>
      </c>
      <c r="L694" s="5">
        <v>103</v>
      </c>
      <c r="M694" s="6">
        <v>0.2336</v>
      </c>
      <c r="N694" s="5">
        <v>338</v>
      </c>
      <c r="O694" s="7">
        <v>2.8240740740740739E-3</v>
      </c>
      <c r="P694" s="7">
        <v>1.8865740740740742E-3</v>
      </c>
      <c r="Q694" s="7">
        <v>1.0856481481481481E-2</v>
      </c>
      <c r="R694" s="6">
        <v>2.3E-3</v>
      </c>
      <c r="S694" s="8">
        <f>CONVERT(Table1[[#This Row],[Talk Duration (AVG)]]*Table1[[#This Row],[Answered Calls]],"day","hr")</f>
        <v>4.6636111111111109</v>
      </c>
      <c r="T694" s="9">
        <f>Table1[[#This Row],[Actual Workload hours]]*60</f>
        <v>279.81666666666666</v>
      </c>
      <c r="U694" s="9">
        <f>CONVERT(Table1[[#This Row],[Actual]]*Table1[[#This Row],[Talk Duration (AVG)]],"day","hr")</f>
        <v>4.5277777777777777</v>
      </c>
      <c r="V694" s="10">
        <f>Table1[[#This Row],[Required Workload Hours]]*60</f>
        <v>271.66666666666669</v>
      </c>
      <c r="W694" s="9">
        <v>1</v>
      </c>
      <c r="X694" s="9">
        <f t="shared" si="20"/>
        <v>1</v>
      </c>
      <c r="Y694" s="5">
        <f t="shared" si="21"/>
        <v>2</v>
      </c>
      <c r="Z694" s="8">
        <f>ROUNDUP(Table1[[#This Row],[Actual Heacount]],0)</f>
        <v>1</v>
      </c>
      <c r="AA694" s="8"/>
      <c r="AB694" s="10"/>
      <c r="AC694" s="10"/>
      <c r="AD694" s="10"/>
      <c r="AE694" s="11">
        <v>-20.786931965632579</v>
      </c>
      <c r="AF694" s="11">
        <v>202.43849197363889</v>
      </c>
      <c r="AG694" t="s">
        <v>34</v>
      </c>
    </row>
    <row r="695" spans="1:33">
      <c r="A695" s="2">
        <v>44536</v>
      </c>
      <c r="B695" s="5" t="s">
        <v>33</v>
      </c>
      <c r="C695" s="5">
        <f>WEEKDAY(Table1[[#This Row],[Date]])</f>
        <v>2</v>
      </c>
      <c r="D695" s="5">
        <f>MONTH(Table1[[#This Row],[Date]])</f>
        <v>12</v>
      </c>
      <c r="E695" s="5">
        <f>WEEKNUM(Table1[[#This Row],[Date]])</f>
        <v>50</v>
      </c>
      <c r="F695" s="5">
        <f>YEAR(Table1[[#This Row],[Date]])</f>
        <v>2021</v>
      </c>
      <c r="G695">
        <v>182</v>
      </c>
      <c r="L695" s="5">
        <v>116</v>
      </c>
      <c r="M695" s="6">
        <v>0.221</v>
      </c>
      <c r="N695" s="5">
        <v>409</v>
      </c>
      <c r="O695" s="7">
        <v>3.5648148148148149E-3</v>
      </c>
      <c r="P695" s="7">
        <v>2.1759259259259258E-3</v>
      </c>
      <c r="Q695" s="7">
        <v>1.5925925925925927E-2</v>
      </c>
      <c r="R695" s="6">
        <v>0</v>
      </c>
      <c r="S695" s="8">
        <f>CONVERT(Table1[[#This Row],[Talk Duration (AVG)]]*Table1[[#This Row],[Answered Calls]],"day","hr")</f>
        <v>6.0577777777777779</v>
      </c>
      <c r="T695" s="9">
        <f>Table1[[#This Row],[Actual Workload hours]]*60</f>
        <v>363.4666666666667</v>
      </c>
      <c r="U695" s="9">
        <f>CONVERT(Table1[[#This Row],[Actual]]*Table1[[#This Row],[Talk Duration (AVG)]],"day","hr")</f>
        <v>9.5044444444444451</v>
      </c>
      <c r="V695" s="10">
        <f>Table1[[#This Row],[Required Workload Hours]]*60</f>
        <v>570.26666666666665</v>
      </c>
      <c r="W695" s="9">
        <v>1</v>
      </c>
      <c r="X695" s="9">
        <f t="shared" si="20"/>
        <v>1.4850694444444443</v>
      </c>
      <c r="Y695" s="5">
        <f t="shared" si="21"/>
        <v>2</v>
      </c>
      <c r="Z695" s="8">
        <f>ROUNDUP(Table1[[#This Row],[Actual Heacount]],0)</f>
        <v>1</v>
      </c>
      <c r="AA695" s="8"/>
      <c r="AB695" s="10"/>
      <c r="AC695" s="10"/>
      <c r="AD695" s="10"/>
      <c r="AE695" s="11">
        <v>94.984819223746442</v>
      </c>
      <c r="AF695" s="11">
        <v>303.32162834363322</v>
      </c>
      <c r="AG695" t="s">
        <v>34</v>
      </c>
    </row>
    <row r="696" spans="1:33">
      <c r="A696" s="2">
        <v>44537</v>
      </c>
      <c r="B696" s="5" t="s">
        <v>35</v>
      </c>
      <c r="C696" s="5">
        <f>WEEKDAY(Table1[[#This Row],[Date]])</f>
        <v>3</v>
      </c>
      <c r="D696" s="5">
        <f>MONTH(Table1[[#This Row],[Date]])</f>
        <v>12</v>
      </c>
      <c r="E696" s="5">
        <f>WEEKNUM(Table1[[#This Row],[Date]])</f>
        <v>50</v>
      </c>
      <c r="F696" s="5">
        <f>YEAR(Table1[[#This Row],[Date]])</f>
        <v>2021</v>
      </c>
      <c r="G696">
        <v>150</v>
      </c>
      <c r="L696" s="5">
        <v>201</v>
      </c>
      <c r="M696" s="6">
        <v>0.32950000000000002</v>
      </c>
      <c r="N696" s="5">
        <v>409</v>
      </c>
      <c r="O696" s="7">
        <v>2.2337962962962962E-3</v>
      </c>
      <c r="P696" s="7">
        <v>1.9907407407407408E-3</v>
      </c>
      <c r="Q696" s="7">
        <v>1.3368055555555555E-2</v>
      </c>
      <c r="R696" s="6">
        <v>3.5200000000000002E-2</v>
      </c>
      <c r="S696" s="8">
        <f>CONVERT(Table1[[#This Row],[Talk Duration (AVG)]]*Table1[[#This Row],[Answered Calls]],"day","hr")</f>
        <v>9.6033333333333353</v>
      </c>
      <c r="T696" s="9">
        <f>Table1[[#This Row],[Actual Workload hours]]*60</f>
        <v>576.20000000000016</v>
      </c>
      <c r="U696" s="9">
        <f>CONVERT(Table1[[#This Row],[Actual]]*Table1[[#This Row],[Talk Duration (AVG)]],"day","hr")</f>
        <v>7.166666666666667</v>
      </c>
      <c r="V696" s="10">
        <f>Table1[[#This Row],[Required Workload Hours]]*60</f>
        <v>430</v>
      </c>
      <c r="W696" s="9">
        <v>1.5</v>
      </c>
      <c r="X696" s="9">
        <f t="shared" si="20"/>
        <v>1.1197916666666667</v>
      </c>
      <c r="Y696" s="5">
        <f t="shared" si="21"/>
        <v>2</v>
      </c>
      <c r="Z696" s="8">
        <f>ROUNDUP(Table1[[#This Row],[Actual Heacount]],0)</f>
        <v>2</v>
      </c>
      <c r="AA696" s="8"/>
      <c r="AB696" s="10"/>
      <c r="AC696" s="10"/>
      <c r="AD696" s="10"/>
      <c r="AE696" s="11">
        <v>77.245629158376829</v>
      </c>
      <c r="AF696" s="11">
        <v>281.05180699395561</v>
      </c>
      <c r="AG696" t="s">
        <v>34</v>
      </c>
    </row>
    <row r="697" spans="1:33">
      <c r="A697" s="2">
        <v>44538</v>
      </c>
      <c r="B697" s="5" t="s">
        <v>36</v>
      </c>
      <c r="C697" s="5">
        <f>WEEKDAY(Table1[[#This Row],[Date]])</f>
        <v>4</v>
      </c>
      <c r="D697" s="5">
        <f>MONTH(Table1[[#This Row],[Date]])</f>
        <v>12</v>
      </c>
      <c r="E697" s="5">
        <f>WEEKNUM(Table1[[#This Row],[Date]])</f>
        <v>50</v>
      </c>
      <c r="F697" s="5">
        <f>YEAR(Table1[[#This Row],[Date]])</f>
        <v>2021</v>
      </c>
      <c r="G697">
        <v>121</v>
      </c>
      <c r="L697" s="5">
        <v>282</v>
      </c>
      <c r="M697" s="6">
        <v>0.66039999999999999</v>
      </c>
      <c r="N697" s="5">
        <v>145</v>
      </c>
      <c r="O697" s="7">
        <v>7.1759259259259259E-4</v>
      </c>
      <c r="P697" s="7">
        <v>1.9560185185185184E-3</v>
      </c>
      <c r="Q697" s="7">
        <v>1.0208333333333333E-2</v>
      </c>
      <c r="R697" s="6">
        <v>0.24879999999999999</v>
      </c>
      <c r="S697" s="8">
        <f>CONVERT(Table1[[#This Row],[Talk Duration (AVG)]]*Table1[[#This Row],[Answered Calls]],"day","hr")</f>
        <v>13.238333333333333</v>
      </c>
      <c r="T697" s="9">
        <f>Table1[[#This Row],[Actual Workload hours]]*60</f>
        <v>794.3</v>
      </c>
      <c r="U697" s="9">
        <f>CONVERT(Table1[[#This Row],[Actual]]*Table1[[#This Row],[Talk Duration (AVG)]],"day","hr")</f>
        <v>5.6802777777777775</v>
      </c>
      <c r="V697" s="10">
        <f>Table1[[#This Row],[Required Workload Hours]]*60</f>
        <v>340.81666666666666</v>
      </c>
      <c r="W697" s="9">
        <v>2.0699999999999998</v>
      </c>
      <c r="X697" s="9">
        <f t="shared" si="20"/>
        <v>1</v>
      </c>
      <c r="Y697" s="5">
        <f t="shared" si="21"/>
        <v>2</v>
      </c>
      <c r="Z697" s="8">
        <f>ROUNDUP(Table1[[#This Row],[Actual Heacount]],0)</f>
        <v>3</v>
      </c>
      <c r="AA697" s="8"/>
      <c r="AB697" s="10"/>
      <c r="AC697" s="10"/>
      <c r="AD697" s="10"/>
      <c r="AE697" s="11">
        <v>83.221314060296976</v>
      </c>
      <c r="AF697" s="11">
        <v>307.84082980277822</v>
      </c>
      <c r="AG697" t="s">
        <v>34</v>
      </c>
    </row>
    <row r="698" spans="1:33">
      <c r="A698" s="2">
        <v>44539</v>
      </c>
      <c r="B698" s="5" t="s">
        <v>37</v>
      </c>
      <c r="C698" s="5">
        <f>WEEKDAY(Table1[[#This Row],[Date]])</f>
        <v>5</v>
      </c>
      <c r="D698" s="5">
        <f>MONTH(Table1[[#This Row],[Date]])</f>
        <v>12</v>
      </c>
      <c r="E698" s="5">
        <f>WEEKNUM(Table1[[#This Row],[Date]])</f>
        <v>50</v>
      </c>
      <c r="F698" s="5">
        <f>YEAR(Table1[[#This Row],[Date]])</f>
        <v>2021</v>
      </c>
      <c r="G698">
        <v>22</v>
      </c>
      <c r="L698" s="5">
        <v>331</v>
      </c>
      <c r="M698" s="6">
        <v>0.87570000000000003</v>
      </c>
      <c r="N698" s="5">
        <v>47</v>
      </c>
      <c r="O698" s="7">
        <v>4.9768518518518521E-4</v>
      </c>
      <c r="P698" s="7">
        <v>1.8171296296296297E-3</v>
      </c>
      <c r="Q698" s="7">
        <v>3.8194444444444443E-3</v>
      </c>
      <c r="R698" s="6">
        <v>0.40329999999999999</v>
      </c>
      <c r="S698" s="8">
        <f>CONVERT(Table1[[#This Row],[Talk Duration (AVG)]]*Table1[[#This Row],[Answered Calls]],"day","hr")</f>
        <v>14.435277777777779</v>
      </c>
      <c r="T698" s="9">
        <f>Table1[[#This Row],[Actual Workload hours]]*60</f>
        <v>866.11666666666679</v>
      </c>
      <c r="U698" s="9">
        <f>CONVERT(Table1[[#This Row],[Actual]]*Table1[[#This Row],[Talk Duration (AVG)]],"day","hr")</f>
        <v>0.95944444444444443</v>
      </c>
      <c r="V698" s="10">
        <f>Table1[[#This Row],[Required Workload Hours]]*60</f>
        <v>57.566666666666663</v>
      </c>
      <c r="W698" s="9">
        <v>2.2599999999999998</v>
      </c>
      <c r="X698" s="9">
        <f t="shared" si="20"/>
        <v>1</v>
      </c>
      <c r="Y698" s="5">
        <f t="shared" si="21"/>
        <v>2</v>
      </c>
      <c r="Z698" s="8">
        <f>ROUNDUP(Table1[[#This Row],[Actual Heacount]],0)</f>
        <v>3</v>
      </c>
      <c r="AA698" s="8"/>
      <c r="AB698" s="10"/>
      <c r="AC698" s="10"/>
      <c r="AD698" s="10"/>
      <c r="AE698" s="11">
        <v>80.160428185461342</v>
      </c>
      <c r="AF698" s="11">
        <v>295.27191502278907</v>
      </c>
      <c r="AG698" t="s">
        <v>34</v>
      </c>
    </row>
    <row r="699" spans="1:33">
      <c r="A699" s="2">
        <v>44540</v>
      </c>
      <c r="B699" s="5" t="s">
        <v>38</v>
      </c>
      <c r="C699" s="5">
        <f>WEEKDAY(Table1[[#This Row],[Date]])</f>
        <v>6</v>
      </c>
      <c r="D699" s="5">
        <f>MONTH(Table1[[#This Row],[Date]])</f>
        <v>12</v>
      </c>
      <c r="E699" s="5">
        <f>WEEKNUM(Table1[[#This Row],[Date]])</f>
        <v>50</v>
      </c>
      <c r="F699" s="5">
        <f>YEAR(Table1[[#This Row],[Date]])</f>
        <v>2021</v>
      </c>
      <c r="G699">
        <v>239</v>
      </c>
      <c r="L699" s="5">
        <v>67</v>
      </c>
      <c r="M699" s="6">
        <v>0.83750000000000002</v>
      </c>
      <c r="N699" s="5">
        <v>13</v>
      </c>
      <c r="O699" s="7">
        <v>4.3981481481481481E-4</v>
      </c>
      <c r="P699" s="7">
        <v>2.2222222222222222E-3</v>
      </c>
      <c r="Q699" s="7">
        <v>3.8194444444444443E-3</v>
      </c>
      <c r="R699" s="6">
        <v>0.46250000000000002</v>
      </c>
      <c r="S699" s="8">
        <f>CONVERT(Table1[[#This Row],[Talk Duration (AVG)]]*Table1[[#This Row],[Answered Calls]],"day","hr")</f>
        <v>3.5733333333333328</v>
      </c>
      <c r="T699" s="9">
        <f>Table1[[#This Row],[Actual Workload hours]]*60</f>
        <v>214.39999999999998</v>
      </c>
      <c r="U699" s="9">
        <f>CONVERT(Table1[[#This Row],[Actual]]*Table1[[#This Row],[Talk Duration (AVG)]],"day","hr")</f>
        <v>12.746666666666666</v>
      </c>
      <c r="V699" s="10">
        <f>Table1[[#This Row],[Required Workload Hours]]*60</f>
        <v>764.8</v>
      </c>
      <c r="W699" s="9">
        <v>1</v>
      </c>
      <c r="X699" s="9">
        <f t="shared" si="20"/>
        <v>1.9916666666666665</v>
      </c>
      <c r="Y699" s="5">
        <f t="shared" si="21"/>
        <v>1</v>
      </c>
      <c r="Z699" s="8">
        <f>ROUNDUP(Table1[[#This Row],[Actual Heacount]],0)</f>
        <v>1</v>
      </c>
      <c r="AA699" s="8"/>
      <c r="AB699" s="10"/>
      <c r="AC699" s="10"/>
      <c r="AD699" s="10"/>
      <c r="AE699" s="11">
        <v>76.96330891747084</v>
      </c>
      <c r="AF699" s="11">
        <v>293.08443664047383</v>
      </c>
      <c r="AG699" t="s">
        <v>34</v>
      </c>
    </row>
    <row r="700" spans="1:33">
      <c r="A700" s="2">
        <v>44541</v>
      </c>
      <c r="B700" s="5" t="s">
        <v>39</v>
      </c>
      <c r="C700" s="5">
        <f>WEEKDAY(Table1[[#This Row],[Date]])</f>
        <v>7</v>
      </c>
      <c r="D700" s="5">
        <f>MONTH(Table1[[#This Row],[Date]])</f>
        <v>12</v>
      </c>
      <c r="E700" s="5">
        <f>WEEKNUM(Table1[[#This Row],[Date]])</f>
        <v>50</v>
      </c>
      <c r="F700" s="5">
        <f>YEAR(Table1[[#This Row],[Date]])</f>
        <v>2021</v>
      </c>
      <c r="G700">
        <v>167</v>
      </c>
      <c r="L700" s="5">
        <v>320</v>
      </c>
      <c r="M700" s="6">
        <v>0.89890000000000003</v>
      </c>
      <c r="N700" s="5">
        <v>36</v>
      </c>
      <c r="O700" s="7">
        <v>3.9351851851851852E-4</v>
      </c>
      <c r="P700" s="7">
        <v>1.9907407407407408E-3</v>
      </c>
      <c r="Q700" s="7">
        <v>3.8194444444444443E-3</v>
      </c>
      <c r="R700" s="6">
        <v>0.52559999999999996</v>
      </c>
      <c r="S700" s="8">
        <f>CONVERT(Table1[[#This Row],[Talk Duration (AVG)]]*Table1[[#This Row],[Answered Calls]],"day","hr")</f>
        <v>15.28888888888889</v>
      </c>
      <c r="T700" s="9">
        <f>Table1[[#This Row],[Actual Workload hours]]*60</f>
        <v>917.33333333333337</v>
      </c>
      <c r="U700" s="9">
        <f>CONVERT(Table1[[#This Row],[Actual]]*Table1[[#This Row],[Talk Duration (AVG)]],"day","hr")</f>
        <v>7.9788888888888891</v>
      </c>
      <c r="V700" s="10">
        <f>Table1[[#This Row],[Required Workload Hours]]*60</f>
        <v>478.73333333333335</v>
      </c>
      <c r="W700" s="9">
        <v>2.39</v>
      </c>
      <c r="X700" s="9">
        <f t="shared" si="20"/>
        <v>1.2467013888888889</v>
      </c>
      <c r="Y700" s="5">
        <f t="shared" si="21"/>
        <v>2</v>
      </c>
      <c r="Z700" s="8">
        <f>ROUNDUP(Table1[[#This Row],[Actual Heacount]],0)</f>
        <v>3</v>
      </c>
      <c r="AA700" s="8"/>
      <c r="AB700" s="10"/>
      <c r="AC700" s="10"/>
      <c r="AD700" s="10"/>
      <c r="AE700" s="11">
        <v>90.41188792280478</v>
      </c>
      <c r="AF700" s="11">
        <v>300.561238433867</v>
      </c>
      <c r="AG700" t="s">
        <v>34</v>
      </c>
    </row>
    <row r="701" spans="1:33">
      <c r="A701" s="2">
        <v>44542</v>
      </c>
      <c r="B701" s="5" t="s">
        <v>40</v>
      </c>
      <c r="C701" s="5">
        <f>WEEKDAY(Table1[[#This Row],[Date]])</f>
        <v>1</v>
      </c>
      <c r="D701" s="5">
        <f>MONTH(Table1[[#This Row],[Date]])</f>
        <v>12</v>
      </c>
      <c r="E701" s="5">
        <f>WEEKNUM(Table1[[#This Row],[Date]])</f>
        <v>51</v>
      </c>
      <c r="F701" s="5">
        <f>YEAR(Table1[[#This Row],[Date]])</f>
        <v>2021</v>
      </c>
      <c r="G701">
        <v>73</v>
      </c>
      <c r="L701" s="5">
        <v>355</v>
      </c>
      <c r="M701" s="6">
        <v>0.86799999999999999</v>
      </c>
      <c r="N701" s="5">
        <v>54</v>
      </c>
      <c r="O701" s="7">
        <v>5.0925925925925921E-4</v>
      </c>
      <c r="P701" s="7">
        <v>2.0254629629629629E-3</v>
      </c>
      <c r="Q701" s="7">
        <v>3.0208333333333333E-3</v>
      </c>
      <c r="R701" s="6">
        <v>0.39700000000000002</v>
      </c>
      <c r="S701" s="8">
        <f>CONVERT(Table1[[#This Row],[Talk Duration (AVG)]]*Table1[[#This Row],[Answered Calls]],"day","hr")</f>
        <v>17.256944444444443</v>
      </c>
      <c r="T701" s="9">
        <f>Table1[[#This Row],[Actual Workload hours]]*60</f>
        <v>1035.4166666666665</v>
      </c>
      <c r="U701" s="9">
        <f>CONVERT(Table1[[#This Row],[Actual]]*Table1[[#This Row],[Talk Duration (AVG)]],"day","hr")</f>
        <v>3.5486111111111107</v>
      </c>
      <c r="V701" s="10">
        <f>Table1[[#This Row],[Required Workload Hours]]*60</f>
        <v>212.91666666666663</v>
      </c>
      <c r="W701" s="9">
        <v>2.7</v>
      </c>
      <c r="X701" s="9">
        <f t="shared" si="20"/>
        <v>1</v>
      </c>
      <c r="Y701" s="5">
        <f t="shared" si="21"/>
        <v>2</v>
      </c>
      <c r="Z701" s="8">
        <f>ROUNDUP(Table1[[#This Row],[Actual Heacount]],0)</f>
        <v>3</v>
      </c>
      <c r="AA701" s="8"/>
      <c r="AB701" s="10"/>
      <c r="AC701" s="10"/>
      <c r="AD701" s="10"/>
      <c r="AE701" s="11">
        <v>-5.3719857437214147</v>
      </c>
      <c r="AF701" s="11">
        <v>217.78354541683541</v>
      </c>
      <c r="AG701" t="s">
        <v>34</v>
      </c>
    </row>
    <row r="702" spans="1:33">
      <c r="A702" s="2">
        <v>44543</v>
      </c>
      <c r="B702" s="5" t="s">
        <v>33</v>
      </c>
      <c r="C702" s="5">
        <f>WEEKDAY(Table1[[#This Row],[Date]])</f>
        <v>2</v>
      </c>
      <c r="D702" s="5">
        <f>MONTH(Table1[[#This Row],[Date]])</f>
        <v>12</v>
      </c>
      <c r="E702" s="5">
        <f>WEEKNUM(Table1[[#This Row],[Date]])</f>
        <v>51</v>
      </c>
      <c r="F702" s="5">
        <f>YEAR(Table1[[#This Row],[Date]])</f>
        <v>2021</v>
      </c>
      <c r="G702">
        <v>170</v>
      </c>
      <c r="L702" s="5">
        <v>302</v>
      </c>
      <c r="M702" s="6">
        <v>0.85799999999999998</v>
      </c>
      <c r="N702" s="5">
        <v>50</v>
      </c>
      <c r="O702" s="7">
        <v>4.7453703703703704E-4</v>
      </c>
      <c r="P702" s="7">
        <v>2.1180555555555558E-3</v>
      </c>
      <c r="Q702" s="7">
        <v>4.0393518518518521E-3</v>
      </c>
      <c r="R702" s="6">
        <v>0.47399999999999998</v>
      </c>
      <c r="S702" s="8">
        <f>CONVERT(Table1[[#This Row],[Talk Duration (AVG)]]*Table1[[#This Row],[Answered Calls]],"day","hr")</f>
        <v>15.351666666666668</v>
      </c>
      <c r="T702" s="9">
        <f>Table1[[#This Row],[Actual Workload hours]]*60</f>
        <v>921.10000000000014</v>
      </c>
      <c r="U702" s="9">
        <f>CONVERT(Table1[[#This Row],[Actual]]*Table1[[#This Row],[Talk Duration (AVG)]],"day","hr")</f>
        <v>8.6416666666666675</v>
      </c>
      <c r="V702" s="10">
        <f>Table1[[#This Row],[Required Workload Hours]]*60</f>
        <v>518.5</v>
      </c>
      <c r="W702" s="9">
        <v>2.4</v>
      </c>
      <c r="X702" s="9">
        <f t="shared" si="20"/>
        <v>1.3502604166666667</v>
      </c>
      <c r="Y702" s="5">
        <f t="shared" si="21"/>
        <v>2</v>
      </c>
      <c r="Z702" s="8">
        <f>ROUNDUP(Table1[[#This Row],[Actual Heacount]],0)</f>
        <v>3</v>
      </c>
      <c r="AA702" s="8"/>
      <c r="AB702" s="10"/>
      <c r="AC702" s="10"/>
      <c r="AD702" s="10"/>
      <c r="AE702" s="11">
        <v>93.930883529513224</v>
      </c>
      <c r="AF702" s="11">
        <v>320.702858868661</v>
      </c>
      <c r="AG702" t="s">
        <v>34</v>
      </c>
    </row>
    <row r="703" spans="1:33">
      <c r="A703" s="2">
        <v>44544</v>
      </c>
      <c r="B703" s="5" t="s">
        <v>35</v>
      </c>
      <c r="C703" s="5">
        <f>WEEKDAY(Table1[[#This Row],[Date]])</f>
        <v>3</v>
      </c>
      <c r="D703" s="5">
        <f>MONTH(Table1[[#This Row],[Date]])</f>
        <v>12</v>
      </c>
      <c r="E703" s="5">
        <f>WEEKNUM(Table1[[#This Row],[Date]])</f>
        <v>51</v>
      </c>
      <c r="F703" s="5">
        <f>YEAR(Table1[[#This Row],[Date]])</f>
        <v>2021</v>
      </c>
      <c r="G703">
        <v>188</v>
      </c>
      <c r="L703" s="5">
        <v>239</v>
      </c>
      <c r="M703" s="6">
        <v>0.84750000000000003</v>
      </c>
      <c r="N703" s="5">
        <v>43</v>
      </c>
      <c r="O703" s="7">
        <v>4.5138888888888887E-4</v>
      </c>
      <c r="P703" s="7">
        <v>2.1527777777777778E-3</v>
      </c>
      <c r="Q703" s="7">
        <v>5.8564814814814816E-3</v>
      </c>
      <c r="R703" s="6">
        <v>0.51070000000000004</v>
      </c>
      <c r="S703" s="8">
        <f>CONVERT(Table1[[#This Row],[Talk Duration (AVG)]]*Table1[[#This Row],[Answered Calls]],"day","hr")</f>
        <v>12.348333333333334</v>
      </c>
      <c r="T703" s="9">
        <f>Table1[[#This Row],[Actual Workload hours]]*60</f>
        <v>740.90000000000009</v>
      </c>
      <c r="U703" s="9">
        <f>CONVERT(Table1[[#This Row],[Actual]]*Table1[[#This Row],[Talk Duration (AVG)]],"day","hr")</f>
        <v>9.7133333333333329</v>
      </c>
      <c r="V703" s="10">
        <f>Table1[[#This Row],[Required Workload Hours]]*60</f>
        <v>582.79999999999995</v>
      </c>
      <c r="W703" s="9">
        <v>1.93</v>
      </c>
      <c r="X703" s="9">
        <f t="shared" si="20"/>
        <v>1.5177083333333332</v>
      </c>
      <c r="Y703" s="5">
        <f t="shared" si="21"/>
        <v>2</v>
      </c>
      <c r="Z703" s="8">
        <f>ROUNDUP(Table1[[#This Row],[Actual Heacount]],0)</f>
        <v>2</v>
      </c>
      <c r="AA703" s="8"/>
      <c r="AB703" s="10"/>
      <c r="AC703" s="10"/>
      <c r="AD703" s="10"/>
      <c r="AE703" s="11">
        <v>79.274977368743109</v>
      </c>
      <c r="AF703" s="11">
        <v>299.4169439968494</v>
      </c>
      <c r="AG703" t="s">
        <v>34</v>
      </c>
    </row>
    <row r="704" spans="1:33">
      <c r="A704" s="2">
        <v>44545</v>
      </c>
      <c r="B704" s="5" t="s">
        <v>36</v>
      </c>
      <c r="C704" s="5">
        <f>WEEKDAY(Table1[[#This Row],[Date]])</f>
        <v>4</v>
      </c>
      <c r="D704" s="5">
        <f>MONTH(Table1[[#This Row],[Date]])</f>
        <v>12</v>
      </c>
      <c r="E704" s="5">
        <f>WEEKNUM(Table1[[#This Row],[Date]])</f>
        <v>51</v>
      </c>
      <c r="F704" s="5">
        <f>YEAR(Table1[[#This Row],[Date]])</f>
        <v>2021</v>
      </c>
      <c r="G704">
        <v>306</v>
      </c>
      <c r="L704" s="5">
        <v>390</v>
      </c>
      <c r="M704" s="6">
        <v>0.90910000000000002</v>
      </c>
      <c r="N704" s="5">
        <v>39</v>
      </c>
      <c r="O704" s="7">
        <v>4.3981481481481481E-4</v>
      </c>
      <c r="P704" s="7">
        <v>1.8634259259259259E-3</v>
      </c>
      <c r="Q704" s="7">
        <v>2.5462962962962965E-3</v>
      </c>
      <c r="R704" s="6">
        <v>0.4466</v>
      </c>
      <c r="S704" s="8">
        <f>CONVERT(Table1[[#This Row],[Talk Duration (AVG)]]*Table1[[#This Row],[Answered Calls]],"day","hr")</f>
        <v>17.441666666666666</v>
      </c>
      <c r="T704" s="9">
        <f>Table1[[#This Row],[Actual Workload hours]]*60</f>
        <v>1046.5</v>
      </c>
      <c r="U704" s="9">
        <f>CONVERT(Table1[[#This Row],[Actual]]*Table1[[#This Row],[Talk Duration (AVG)]],"day","hr")</f>
        <v>13.685</v>
      </c>
      <c r="V704" s="10">
        <f>Table1[[#This Row],[Required Workload Hours]]*60</f>
        <v>821.1</v>
      </c>
      <c r="W704" s="9">
        <v>2.73</v>
      </c>
      <c r="X704" s="9">
        <f t="shared" si="20"/>
        <v>2.1382812499999999</v>
      </c>
      <c r="Y704" s="5">
        <f t="shared" si="21"/>
        <v>2</v>
      </c>
      <c r="Z704" s="8">
        <f>ROUNDUP(Table1[[#This Row],[Actual Heacount]],0)</f>
        <v>3</v>
      </c>
      <c r="AA704" s="8"/>
      <c r="AB704" s="10"/>
      <c r="AC704" s="10"/>
      <c r="AD704" s="10"/>
      <c r="AE704" s="11">
        <v>96.896226283845209</v>
      </c>
      <c r="AF704" s="11">
        <v>315.81476674350381</v>
      </c>
      <c r="AG704" t="s">
        <v>34</v>
      </c>
    </row>
    <row r="705" spans="1:33">
      <c r="A705" s="2">
        <v>44546</v>
      </c>
      <c r="B705" s="5" t="s">
        <v>37</v>
      </c>
      <c r="C705" s="5">
        <f>WEEKDAY(Table1[[#This Row],[Date]])</f>
        <v>5</v>
      </c>
      <c r="D705" s="5">
        <f>MONTH(Table1[[#This Row],[Date]])</f>
        <v>12</v>
      </c>
      <c r="E705" s="5">
        <f>WEEKNUM(Table1[[#This Row],[Date]])</f>
        <v>51</v>
      </c>
      <c r="F705" s="5">
        <f>YEAR(Table1[[#This Row],[Date]])</f>
        <v>2021</v>
      </c>
      <c r="G705">
        <v>201</v>
      </c>
      <c r="L705" s="5">
        <v>285</v>
      </c>
      <c r="M705" s="6">
        <v>0.9194</v>
      </c>
      <c r="N705" s="5">
        <v>25</v>
      </c>
      <c r="O705" s="7">
        <v>3.8194444444444446E-4</v>
      </c>
      <c r="P705" s="7">
        <v>1.9097222222222222E-3</v>
      </c>
      <c r="Q705" s="7">
        <v>2.9166666666666668E-3</v>
      </c>
      <c r="R705" s="6">
        <v>0.56110000000000004</v>
      </c>
      <c r="S705" s="8">
        <f>CONVERT(Table1[[#This Row],[Talk Duration (AVG)]]*Table1[[#This Row],[Answered Calls]],"day","hr")</f>
        <v>13.0625</v>
      </c>
      <c r="T705" s="9">
        <f>Table1[[#This Row],[Actual Workload hours]]*60</f>
        <v>783.75</v>
      </c>
      <c r="U705" s="9">
        <f>CONVERT(Table1[[#This Row],[Actual]]*Table1[[#This Row],[Talk Duration (AVG)]],"day","hr")</f>
        <v>9.2125000000000004</v>
      </c>
      <c r="V705" s="10">
        <f>Table1[[#This Row],[Required Workload Hours]]*60</f>
        <v>552.75</v>
      </c>
      <c r="W705" s="9">
        <v>2.04</v>
      </c>
      <c r="X705" s="9">
        <f t="shared" si="20"/>
        <v>1.439453125</v>
      </c>
      <c r="Y705" s="5">
        <f t="shared" si="21"/>
        <v>2</v>
      </c>
      <c r="Z705" s="8">
        <f>ROUNDUP(Table1[[#This Row],[Actual Heacount]],0)</f>
        <v>3</v>
      </c>
      <c r="AA705" s="8"/>
      <c r="AB705" s="10"/>
      <c r="AC705" s="10"/>
      <c r="AD705" s="10"/>
      <c r="AE705" s="11">
        <v>89.654800727991855</v>
      </c>
      <c r="AF705" s="11">
        <v>309.49651460058089</v>
      </c>
      <c r="AG705" t="s">
        <v>34</v>
      </c>
    </row>
    <row r="706" spans="1:33">
      <c r="A706" s="2">
        <v>44547</v>
      </c>
      <c r="B706" s="5" t="s">
        <v>38</v>
      </c>
      <c r="C706" s="5">
        <f>WEEKDAY(Table1[[#This Row],[Date]])</f>
        <v>6</v>
      </c>
      <c r="D706" s="5">
        <f>MONTH(Table1[[#This Row],[Date]])</f>
        <v>12</v>
      </c>
      <c r="E706" s="5">
        <f>WEEKNUM(Table1[[#This Row],[Date]])</f>
        <v>51</v>
      </c>
      <c r="F706" s="5">
        <f>YEAR(Table1[[#This Row],[Date]])</f>
        <v>2021</v>
      </c>
      <c r="G706">
        <v>188</v>
      </c>
      <c r="L706" s="5">
        <v>94</v>
      </c>
      <c r="M706" s="6">
        <v>0.92159999999999997</v>
      </c>
      <c r="N706" s="5">
        <v>8</v>
      </c>
      <c r="O706" s="7">
        <v>3.3564814814814812E-4</v>
      </c>
      <c r="P706" s="7">
        <v>1.8518518518518519E-3</v>
      </c>
      <c r="Q706" s="7">
        <v>1.9444444444444444E-3</v>
      </c>
      <c r="R706" s="6">
        <v>0.63729999999999998</v>
      </c>
      <c r="S706" s="8">
        <f>CONVERT(Table1[[#This Row],[Talk Duration (AVG)]]*Table1[[#This Row],[Answered Calls]],"day","hr")</f>
        <v>4.177777777777778</v>
      </c>
      <c r="T706" s="9">
        <f>Table1[[#This Row],[Actual Workload hours]]*60</f>
        <v>250.66666666666669</v>
      </c>
      <c r="U706" s="9">
        <f>CONVERT(Table1[[#This Row],[Actual]]*Table1[[#This Row],[Talk Duration (AVG)]],"day","hr")</f>
        <v>8.3555555555555561</v>
      </c>
      <c r="V706" s="10">
        <f>Table1[[#This Row],[Required Workload Hours]]*60</f>
        <v>501.33333333333337</v>
      </c>
      <c r="W706" s="9">
        <v>1</v>
      </c>
      <c r="X706" s="9">
        <f t="shared" si="20"/>
        <v>1.3055555555555556</v>
      </c>
      <c r="Y706" s="5">
        <f t="shared" si="21"/>
        <v>1</v>
      </c>
      <c r="Z706" s="8">
        <f>ROUNDUP(Table1[[#This Row],[Actual Heacount]],0)</f>
        <v>1</v>
      </c>
      <c r="AA706" s="8"/>
      <c r="AB706" s="10"/>
      <c r="AC706" s="10"/>
      <c r="AD706" s="10"/>
      <c r="AE706" s="11">
        <v>82.675656899299256</v>
      </c>
      <c r="AF706" s="11">
        <v>297.50980606887691</v>
      </c>
      <c r="AG706" t="s">
        <v>34</v>
      </c>
    </row>
    <row r="707" spans="1:33">
      <c r="A707" s="2">
        <v>44548</v>
      </c>
      <c r="B707" s="5" t="s">
        <v>39</v>
      </c>
      <c r="C707" s="5">
        <f>WEEKDAY(Table1[[#This Row],[Date]])</f>
        <v>7</v>
      </c>
      <c r="D707" s="5">
        <f>MONTH(Table1[[#This Row],[Date]])</f>
        <v>12</v>
      </c>
      <c r="E707" s="5">
        <f>WEEKNUM(Table1[[#This Row],[Date]])</f>
        <v>51</v>
      </c>
      <c r="F707" s="5">
        <f>YEAR(Table1[[#This Row],[Date]])</f>
        <v>2021</v>
      </c>
      <c r="G707">
        <v>148</v>
      </c>
      <c r="L707" s="5">
        <v>297</v>
      </c>
      <c r="M707" s="6">
        <v>0.88660000000000005</v>
      </c>
      <c r="N707" s="5">
        <v>38</v>
      </c>
      <c r="O707" s="7">
        <v>4.5138888888888887E-4</v>
      </c>
      <c r="P707" s="7">
        <v>1.7708333333333332E-3</v>
      </c>
      <c r="Q707" s="7">
        <v>2.5694444444444445E-3</v>
      </c>
      <c r="R707" s="6">
        <v>0.43640000000000001</v>
      </c>
      <c r="S707" s="8">
        <f>CONVERT(Table1[[#This Row],[Talk Duration (AVG)]]*Table1[[#This Row],[Answered Calls]],"day","hr")</f>
        <v>12.622499999999999</v>
      </c>
      <c r="T707" s="9">
        <f>Table1[[#This Row],[Actual Workload hours]]*60</f>
        <v>757.34999999999991</v>
      </c>
      <c r="U707" s="9">
        <f>CONVERT(Table1[[#This Row],[Actual]]*Table1[[#This Row],[Talk Duration (AVG)]],"day","hr")</f>
        <v>6.29</v>
      </c>
      <c r="V707" s="10">
        <f>Table1[[#This Row],[Required Workload Hours]]*60</f>
        <v>377.4</v>
      </c>
      <c r="W707" s="9">
        <v>1.97</v>
      </c>
      <c r="X707" s="9">
        <f t="shared" ref="X707:X770" si="22">IF(V707&lt;384,1,(V707/384))</f>
        <v>1</v>
      </c>
      <c r="Y707" s="5">
        <f t="shared" ref="Y707:Y770" si="23">IF(B707="Sunday",1,2)</f>
        <v>2</v>
      </c>
      <c r="Z707" s="8">
        <f>ROUNDUP(Table1[[#This Row],[Actual Heacount]],0)</f>
        <v>2</v>
      </c>
      <c r="AA707" s="8"/>
      <c r="AB707" s="10"/>
      <c r="AC707" s="10"/>
      <c r="AD707" s="10"/>
      <c r="AE707" s="11">
        <v>79.755293912860338</v>
      </c>
      <c r="AF707" s="11">
        <v>302.5747554616546</v>
      </c>
      <c r="AG707" t="s">
        <v>34</v>
      </c>
    </row>
    <row r="708" spans="1:33">
      <c r="A708" s="2">
        <v>44549</v>
      </c>
      <c r="B708" s="5" t="s">
        <v>40</v>
      </c>
      <c r="C708" s="5">
        <f>WEEKDAY(Table1[[#This Row],[Date]])</f>
        <v>1</v>
      </c>
      <c r="D708" s="5">
        <f>MONTH(Table1[[#This Row],[Date]])</f>
        <v>12</v>
      </c>
      <c r="E708" s="5">
        <f>WEEKNUM(Table1[[#This Row],[Date]])</f>
        <v>52</v>
      </c>
      <c r="F708" s="5">
        <f>YEAR(Table1[[#This Row],[Date]])</f>
        <v>2021</v>
      </c>
      <c r="G708">
        <v>21</v>
      </c>
      <c r="L708" s="5">
        <v>291</v>
      </c>
      <c r="M708" s="6">
        <v>0.92969999999999997</v>
      </c>
      <c r="N708" s="5">
        <v>22</v>
      </c>
      <c r="O708" s="7">
        <v>3.0092592592592595E-4</v>
      </c>
      <c r="P708" s="7">
        <v>1.6782407407407408E-3</v>
      </c>
      <c r="Q708" s="7">
        <v>2.5694444444444445E-3</v>
      </c>
      <c r="R708" s="6">
        <v>0.64290000000000003</v>
      </c>
      <c r="S708" s="8">
        <f>CONVERT(Table1[[#This Row],[Talk Duration (AVG)]]*Table1[[#This Row],[Answered Calls]],"day","hr")</f>
        <v>11.720833333333333</v>
      </c>
      <c r="T708" s="9">
        <f>Table1[[#This Row],[Actual Workload hours]]*60</f>
        <v>703.25</v>
      </c>
      <c r="U708" s="9">
        <f>CONVERT(Table1[[#This Row],[Actual]]*Table1[[#This Row],[Talk Duration (AVG)]],"day","hr")</f>
        <v>0.84583333333333333</v>
      </c>
      <c r="V708" s="10">
        <f>Table1[[#This Row],[Required Workload Hours]]*60</f>
        <v>50.75</v>
      </c>
      <c r="W708" s="9">
        <v>1.83</v>
      </c>
      <c r="X708" s="9">
        <f t="shared" si="22"/>
        <v>1</v>
      </c>
      <c r="Y708" s="5">
        <f t="shared" si="23"/>
        <v>2</v>
      </c>
      <c r="Z708" s="8">
        <f>ROUNDUP(Table1[[#This Row],[Actual Heacount]],0)</f>
        <v>2</v>
      </c>
      <c r="AA708" s="8"/>
      <c r="AB708" s="10"/>
      <c r="AC708" s="10"/>
      <c r="AD708" s="10"/>
      <c r="AE708" s="11">
        <v>-0.57301860750763278</v>
      </c>
      <c r="AF708" s="11">
        <v>217.63741027113781</v>
      </c>
      <c r="AG708" t="s">
        <v>34</v>
      </c>
    </row>
    <row r="709" spans="1:33">
      <c r="A709" s="2">
        <v>44550</v>
      </c>
      <c r="B709" s="5" t="s">
        <v>33</v>
      </c>
      <c r="C709" s="5">
        <f>WEEKDAY(Table1[[#This Row],[Date]])</f>
        <v>2</v>
      </c>
      <c r="D709" s="5">
        <f>MONTH(Table1[[#This Row],[Date]])</f>
        <v>12</v>
      </c>
      <c r="E709" s="5">
        <f>WEEKNUM(Table1[[#This Row],[Date]])</f>
        <v>52</v>
      </c>
      <c r="F709" s="5">
        <f>YEAR(Table1[[#This Row],[Date]])</f>
        <v>2021</v>
      </c>
      <c r="G709">
        <v>148</v>
      </c>
      <c r="L709" s="5">
        <v>240</v>
      </c>
      <c r="M709" s="6">
        <v>0.95620000000000005</v>
      </c>
      <c r="N709" s="5">
        <v>11</v>
      </c>
      <c r="O709" s="7">
        <v>2.7777777777777778E-4</v>
      </c>
      <c r="P709" s="7">
        <v>1.8749999999999999E-3</v>
      </c>
      <c r="Q709" s="7">
        <v>1.9097222222222222E-3</v>
      </c>
      <c r="R709" s="6">
        <v>0.67200000000000004</v>
      </c>
      <c r="S709" s="8">
        <f>CONVERT(Table1[[#This Row],[Talk Duration (AVG)]]*Table1[[#This Row],[Answered Calls]],"day","hr")</f>
        <v>10.799999999999997</v>
      </c>
      <c r="T709" s="9">
        <f>Table1[[#This Row],[Actual Workload hours]]*60</f>
        <v>647.99999999999977</v>
      </c>
      <c r="U709" s="9">
        <f>CONVERT(Table1[[#This Row],[Actual]]*Table1[[#This Row],[Talk Duration (AVG)]],"day","hr")</f>
        <v>6.6599999999999993</v>
      </c>
      <c r="V709" s="10">
        <f>Table1[[#This Row],[Required Workload Hours]]*60</f>
        <v>399.59999999999997</v>
      </c>
      <c r="W709" s="9">
        <v>1.69</v>
      </c>
      <c r="X709" s="9">
        <f t="shared" si="22"/>
        <v>1.0406249999999999</v>
      </c>
      <c r="Y709" s="5">
        <f t="shared" si="23"/>
        <v>2</v>
      </c>
      <c r="Z709" s="8">
        <f>ROUNDUP(Table1[[#This Row],[Actual Heacount]],0)</f>
        <v>2</v>
      </c>
      <c r="AA709" s="8"/>
      <c r="AB709" s="10"/>
      <c r="AC709" s="10"/>
      <c r="AD709" s="10"/>
      <c r="AE709" s="11">
        <v>105.6807064374173</v>
      </c>
      <c r="AF709" s="11">
        <v>317.93330167081291</v>
      </c>
      <c r="AG709" t="s">
        <v>34</v>
      </c>
    </row>
    <row r="710" spans="1:33">
      <c r="A710" s="2">
        <v>44551</v>
      </c>
      <c r="B710" s="5" t="s">
        <v>35</v>
      </c>
      <c r="C710" s="5">
        <f>WEEKDAY(Table1[[#This Row],[Date]])</f>
        <v>3</v>
      </c>
      <c r="D710" s="5">
        <f>MONTH(Table1[[#This Row],[Date]])</f>
        <v>12</v>
      </c>
      <c r="E710" s="5">
        <f>WEEKNUM(Table1[[#This Row],[Date]])</f>
        <v>52</v>
      </c>
      <c r="F710" s="5">
        <f>YEAR(Table1[[#This Row],[Date]])</f>
        <v>2021</v>
      </c>
      <c r="G710">
        <v>167</v>
      </c>
      <c r="L710" s="5">
        <v>176</v>
      </c>
      <c r="M710" s="6">
        <v>0.92630000000000001</v>
      </c>
      <c r="N710" s="5">
        <v>14</v>
      </c>
      <c r="O710" s="7">
        <v>2.7777777777777778E-4</v>
      </c>
      <c r="P710" s="7">
        <v>1.7476851851851852E-3</v>
      </c>
      <c r="Q710" s="7">
        <v>2.6967592592592594E-3</v>
      </c>
      <c r="R710" s="6">
        <v>0.67720000000000002</v>
      </c>
      <c r="S710" s="8">
        <f>CONVERT(Table1[[#This Row],[Talk Duration (AVG)]]*Table1[[#This Row],[Answered Calls]],"day","hr")</f>
        <v>7.3822222222222225</v>
      </c>
      <c r="T710" s="9">
        <f>Table1[[#This Row],[Actual Workload hours]]*60</f>
        <v>442.93333333333334</v>
      </c>
      <c r="U710" s="9">
        <f>CONVERT(Table1[[#This Row],[Actual]]*Table1[[#This Row],[Talk Duration (AVG)]],"day","hr")</f>
        <v>7.004722222222223</v>
      </c>
      <c r="V710" s="10">
        <f>Table1[[#This Row],[Required Workload Hours]]*60</f>
        <v>420.28333333333336</v>
      </c>
      <c r="W710" s="9">
        <v>1.1499999999999999</v>
      </c>
      <c r="X710" s="9">
        <f t="shared" si="22"/>
        <v>1.0944878472222224</v>
      </c>
      <c r="Y710" s="5">
        <f t="shared" si="23"/>
        <v>2</v>
      </c>
      <c r="Z710" s="8">
        <f>ROUNDUP(Table1[[#This Row],[Actual Heacount]],0)</f>
        <v>2</v>
      </c>
      <c r="AA710" s="8"/>
      <c r="AB710" s="10"/>
      <c r="AC710" s="10"/>
      <c r="AD710" s="10"/>
      <c r="AE710" s="11">
        <v>79.470065816053506</v>
      </c>
      <c r="AF710" s="11">
        <v>301.69560347419912</v>
      </c>
      <c r="AG710" t="s">
        <v>34</v>
      </c>
    </row>
    <row r="711" spans="1:33">
      <c r="A711" s="2">
        <v>44552</v>
      </c>
      <c r="B711" s="5" t="s">
        <v>36</v>
      </c>
      <c r="C711" s="5">
        <f>WEEKDAY(Table1[[#This Row],[Date]])</f>
        <v>4</v>
      </c>
      <c r="D711" s="5">
        <f>MONTH(Table1[[#This Row],[Date]])</f>
        <v>12</v>
      </c>
      <c r="E711" s="5">
        <f>WEEKNUM(Table1[[#This Row],[Date]])</f>
        <v>52</v>
      </c>
      <c r="F711" s="5">
        <f>YEAR(Table1[[#This Row],[Date]])</f>
        <v>2021</v>
      </c>
      <c r="G711">
        <v>169</v>
      </c>
      <c r="L711" s="5">
        <v>170</v>
      </c>
      <c r="M711" s="6">
        <v>0.90429999999999999</v>
      </c>
      <c r="N711" s="5">
        <v>18</v>
      </c>
      <c r="O711" s="7">
        <v>3.9351851851851852E-4</v>
      </c>
      <c r="P711" s="7">
        <v>1.9560185185185184E-3</v>
      </c>
      <c r="Q711" s="7">
        <v>4.4560185185185189E-3</v>
      </c>
      <c r="R711" s="6">
        <v>0.5323</v>
      </c>
      <c r="S711" s="8">
        <f>CONVERT(Table1[[#This Row],[Talk Duration (AVG)]]*Table1[[#This Row],[Answered Calls]],"day","hr")</f>
        <v>7.9805555555555552</v>
      </c>
      <c r="T711" s="9">
        <f>Table1[[#This Row],[Actual Workload hours]]*60</f>
        <v>478.83333333333331</v>
      </c>
      <c r="U711" s="9">
        <f>CONVERT(Table1[[#This Row],[Actual]]*Table1[[#This Row],[Talk Duration (AVG)]],"day","hr")</f>
        <v>7.9336111111111105</v>
      </c>
      <c r="V711" s="10">
        <f>Table1[[#This Row],[Required Workload Hours]]*60</f>
        <v>476.01666666666665</v>
      </c>
      <c r="W711" s="9">
        <v>1.25</v>
      </c>
      <c r="X711" s="9">
        <f t="shared" si="22"/>
        <v>1.2396267361111111</v>
      </c>
      <c r="Y711" s="5">
        <f t="shared" si="23"/>
        <v>2</v>
      </c>
      <c r="Z711" s="8">
        <f>ROUNDUP(Table1[[#This Row],[Actual Heacount]],0)</f>
        <v>2</v>
      </c>
      <c r="AA711" s="8"/>
      <c r="AB711" s="10"/>
      <c r="AC711" s="10"/>
      <c r="AD711" s="10"/>
      <c r="AE711" s="11">
        <v>94.675259778222824</v>
      </c>
      <c r="AF711" s="11">
        <v>309.04228772322813</v>
      </c>
      <c r="AG711" t="s">
        <v>34</v>
      </c>
    </row>
    <row r="712" spans="1:33">
      <c r="A712" s="2">
        <v>44553</v>
      </c>
      <c r="B712" s="5" t="s">
        <v>37</v>
      </c>
      <c r="C712" s="5">
        <f>WEEKDAY(Table1[[#This Row],[Date]])</f>
        <v>5</v>
      </c>
      <c r="D712" s="5">
        <f>MONTH(Table1[[#This Row],[Date]])</f>
        <v>12</v>
      </c>
      <c r="E712" s="5">
        <f>WEEKNUM(Table1[[#This Row],[Date]])</f>
        <v>52</v>
      </c>
      <c r="F712" s="5">
        <f>YEAR(Table1[[#This Row],[Date]])</f>
        <v>2021</v>
      </c>
      <c r="G712">
        <v>175</v>
      </c>
      <c r="L712" s="5">
        <v>160</v>
      </c>
      <c r="M712" s="6">
        <v>0.96389999999999998</v>
      </c>
      <c r="N712" s="5">
        <v>6</v>
      </c>
      <c r="O712" s="7">
        <v>1.7361111111111112E-4</v>
      </c>
      <c r="P712" s="7">
        <v>1.8518518518518519E-3</v>
      </c>
      <c r="Q712" s="7">
        <v>1.9097222222222222E-3</v>
      </c>
      <c r="R712" s="6">
        <v>0.81820000000000004</v>
      </c>
      <c r="S712" s="8">
        <f>CONVERT(Table1[[#This Row],[Talk Duration (AVG)]]*Table1[[#This Row],[Answered Calls]],"day","hr")</f>
        <v>7.1111111111111107</v>
      </c>
      <c r="T712" s="9">
        <f>Table1[[#This Row],[Actual Workload hours]]*60</f>
        <v>426.66666666666663</v>
      </c>
      <c r="U712" s="9">
        <f>CONVERT(Table1[[#This Row],[Actual]]*Table1[[#This Row],[Talk Duration (AVG)]],"day","hr")</f>
        <v>7.7777777777777777</v>
      </c>
      <c r="V712" s="10">
        <f>Table1[[#This Row],[Required Workload Hours]]*60</f>
        <v>466.66666666666669</v>
      </c>
      <c r="W712" s="9">
        <v>1.1100000000000001</v>
      </c>
      <c r="X712" s="9">
        <f t="shared" si="22"/>
        <v>1.2152777777777779</v>
      </c>
      <c r="Y712" s="5">
        <f t="shared" si="23"/>
        <v>2</v>
      </c>
      <c r="Z712" s="8">
        <f>ROUNDUP(Table1[[#This Row],[Actual Heacount]],0)</f>
        <v>2</v>
      </c>
      <c r="AA712" s="8"/>
      <c r="AB712" s="10"/>
      <c r="AC712" s="10"/>
      <c r="AD712" s="10"/>
      <c r="AE712" s="11">
        <v>94.645627245148987</v>
      </c>
      <c r="AF712" s="11">
        <v>311.9567318239715</v>
      </c>
      <c r="AG712" t="s">
        <v>34</v>
      </c>
    </row>
    <row r="713" spans="1:33">
      <c r="A713" s="2">
        <v>44554</v>
      </c>
      <c r="B713" s="5" t="s">
        <v>38</v>
      </c>
      <c r="C713" s="5">
        <f>WEEKDAY(Table1[[#This Row],[Date]])</f>
        <v>6</v>
      </c>
      <c r="D713" s="5">
        <f>MONTH(Table1[[#This Row],[Date]])</f>
        <v>12</v>
      </c>
      <c r="E713" s="5">
        <f>WEEKNUM(Table1[[#This Row],[Date]])</f>
        <v>52</v>
      </c>
      <c r="F713" s="5">
        <f>YEAR(Table1[[#This Row],[Date]])</f>
        <v>2021</v>
      </c>
      <c r="G713">
        <v>193</v>
      </c>
      <c r="L713" s="5">
        <v>68</v>
      </c>
      <c r="M713" s="6">
        <v>0.93149999999999999</v>
      </c>
      <c r="N713" s="5">
        <v>5</v>
      </c>
      <c r="O713" s="7">
        <v>1.7361111111111112E-4</v>
      </c>
      <c r="P713" s="7">
        <v>1.5393518518518519E-3</v>
      </c>
      <c r="Q713" s="7">
        <v>1.712962962962963E-3</v>
      </c>
      <c r="R713" s="6">
        <v>0.78869999999999996</v>
      </c>
      <c r="S713" s="8">
        <f>CONVERT(Table1[[#This Row],[Talk Duration (AVG)]]*Table1[[#This Row],[Answered Calls]],"day","hr")</f>
        <v>2.5122222222222224</v>
      </c>
      <c r="T713" s="9">
        <f>Table1[[#This Row],[Actual Workload hours]]*60</f>
        <v>150.73333333333335</v>
      </c>
      <c r="U713" s="9">
        <f>CONVERT(Table1[[#This Row],[Actual]]*Table1[[#This Row],[Talk Duration (AVG)]],"day","hr")</f>
        <v>7.1302777777777777</v>
      </c>
      <c r="V713" s="10">
        <f>Table1[[#This Row],[Required Workload Hours]]*60</f>
        <v>427.81666666666666</v>
      </c>
      <c r="W713" s="9">
        <v>1</v>
      </c>
      <c r="X713" s="9">
        <f t="shared" si="22"/>
        <v>1.1141059027777778</v>
      </c>
      <c r="Y713" s="5">
        <f t="shared" si="23"/>
        <v>1</v>
      </c>
      <c r="Z713" s="8">
        <f>ROUNDUP(Table1[[#This Row],[Actual Heacount]],0)</f>
        <v>1</v>
      </c>
      <c r="AA713" s="8"/>
      <c r="AB713" s="10"/>
      <c r="AC713" s="10"/>
      <c r="AD713" s="10"/>
      <c r="AE713" s="11">
        <v>82.367827917168938</v>
      </c>
      <c r="AF713" s="11">
        <v>298.97415566509682</v>
      </c>
      <c r="AG713" t="s">
        <v>34</v>
      </c>
    </row>
    <row r="714" spans="1:33">
      <c r="A714" s="2">
        <v>44555</v>
      </c>
      <c r="B714" s="5" t="s">
        <v>39</v>
      </c>
      <c r="C714" s="5">
        <f>WEEKDAY(Table1[[#This Row],[Date]])</f>
        <v>7</v>
      </c>
      <c r="D714" s="5">
        <f>MONTH(Table1[[#This Row],[Date]])</f>
        <v>12</v>
      </c>
      <c r="E714" s="5">
        <f>WEEKNUM(Table1[[#This Row],[Date]])</f>
        <v>52</v>
      </c>
      <c r="F714" s="5">
        <f>YEAR(Table1[[#This Row],[Date]])</f>
        <v>2021</v>
      </c>
      <c r="G714">
        <v>154</v>
      </c>
      <c r="L714" s="5">
        <v>159</v>
      </c>
      <c r="M714" s="6">
        <v>0.93530000000000002</v>
      </c>
      <c r="N714" s="5">
        <v>11</v>
      </c>
      <c r="O714" s="7">
        <v>2.3148148148148149E-4</v>
      </c>
      <c r="P714" s="7">
        <v>1.8518518518518519E-3</v>
      </c>
      <c r="Q714" s="7">
        <v>3.3680555555555556E-3</v>
      </c>
      <c r="R714" s="6">
        <v>0.73209999999999997</v>
      </c>
      <c r="S714" s="8">
        <f>CONVERT(Table1[[#This Row],[Talk Duration (AVG)]]*Table1[[#This Row],[Answered Calls]],"day","hr")</f>
        <v>7.0666666666666664</v>
      </c>
      <c r="T714" s="9">
        <f>Table1[[#This Row],[Actual Workload hours]]*60</f>
        <v>424</v>
      </c>
      <c r="U714" s="9">
        <f>CONVERT(Table1[[#This Row],[Actual]]*Table1[[#This Row],[Talk Duration (AVG)]],"day","hr")</f>
        <v>6.8444444444444459</v>
      </c>
      <c r="V714" s="10">
        <f>Table1[[#This Row],[Required Workload Hours]]*60</f>
        <v>410.66666666666674</v>
      </c>
      <c r="W714" s="9">
        <v>1.1000000000000001</v>
      </c>
      <c r="X714" s="9">
        <f t="shared" si="22"/>
        <v>1.0694444444444446</v>
      </c>
      <c r="Y714" s="5">
        <f t="shared" si="23"/>
        <v>2</v>
      </c>
      <c r="Z714" s="8">
        <f>ROUNDUP(Table1[[#This Row],[Actual Heacount]],0)</f>
        <v>2</v>
      </c>
      <c r="AA714" s="8"/>
      <c r="AB714" s="10"/>
      <c r="AC714" s="10"/>
      <c r="AD714" s="10"/>
      <c r="AE714" s="11">
        <v>87.366640544657528</v>
      </c>
      <c r="AF714" s="11">
        <v>300.9014353358458</v>
      </c>
      <c r="AG714" t="s">
        <v>34</v>
      </c>
    </row>
    <row r="715" spans="1:33">
      <c r="A715" s="2">
        <v>44556</v>
      </c>
      <c r="B715" s="5" t="s">
        <v>40</v>
      </c>
      <c r="C715" s="5">
        <f>WEEKDAY(Table1[[#This Row],[Date]])</f>
        <v>1</v>
      </c>
      <c r="D715" s="5">
        <f>MONTH(Table1[[#This Row],[Date]])</f>
        <v>12</v>
      </c>
      <c r="E715" s="5">
        <f>WEEKNUM(Table1[[#This Row],[Date]])</f>
        <v>53</v>
      </c>
      <c r="F715" s="5">
        <f>YEAR(Table1[[#This Row],[Date]])</f>
        <v>2021</v>
      </c>
      <c r="G715">
        <v>35</v>
      </c>
      <c r="L715" s="5">
        <v>181</v>
      </c>
      <c r="M715" s="6">
        <v>0.96279999999999999</v>
      </c>
      <c r="N715" s="5">
        <v>7</v>
      </c>
      <c r="O715" s="7">
        <v>2.6620370370370372E-4</v>
      </c>
      <c r="P715" s="7">
        <v>1.8402777777777777E-3</v>
      </c>
      <c r="Q715" s="7">
        <v>2.0949074074074073E-3</v>
      </c>
      <c r="R715" s="6">
        <v>0.68279999999999996</v>
      </c>
      <c r="S715" s="8">
        <f>CONVERT(Table1[[#This Row],[Talk Duration (AVG)]]*Table1[[#This Row],[Answered Calls]],"day","hr")</f>
        <v>7.9941666666666666</v>
      </c>
      <c r="T715" s="9">
        <f>Table1[[#This Row],[Actual Workload hours]]*60</f>
        <v>479.65</v>
      </c>
      <c r="U715" s="9">
        <f>CONVERT(Table1[[#This Row],[Actual]]*Table1[[#This Row],[Talk Duration (AVG)]],"day","hr")</f>
        <v>1.5458333333333332</v>
      </c>
      <c r="V715" s="10">
        <f>Table1[[#This Row],[Required Workload Hours]]*60</f>
        <v>92.749999999999986</v>
      </c>
      <c r="W715" s="9">
        <v>1.25</v>
      </c>
      <c r="X715" s="9">
        <f t="shared" si="22"/>
        <v>1</v>
      </c>
      <c r="Y715" s="5">
        <f t="shared" si="23"/>
        <v>2</v>
      </c>
      <c r="Z715" s="8">
        <f>ROUNDUP(Table1[[#This Row],[Actual Heacount]],0)</f>
        <v>2</v>
      </c>
      <c r="AA715" s="8"/>
      <c r="AB715" s="10"/>
      <c r="AC715" s="10"/>
      <c r="AD715" s="10"/>
      <c r="AE715" s="11">
        <v>-1.5497750494696809</v>
      </c>
      <c r="AF715" s="11">
        <v>220.19888615154679</v>
      </c>
      <c r="AG715" t="s">
        <v>34</v>
      </c>
    </row>
    <row r="716" spans="1:33">
      <c r="A716" s="2">
        <v>44557</v>
      </c>
      <c r="B716" s="5" t="s">
        <v>33</v>
      </c>
      <c r="C716" s="5">
        <f>WEEKDAY(Table1[[#This Row],[Date]])</f>
        <v>2</v>
      </c>
      <c r="D716" s="5">
        <f>MONTH(Table1[[#This Row],[Date]])</f>
        <v>12</v>
      </c>
      <c r="E716" s="5">
        <f>WEEKNUM(Table1[[#This Row],[Date]])</f>
        <v>53</v>
      </c>
      <c r="F716" s="5">
        <f>YEAR(Table1[[#This Row],[Date]])</f>
        <v>2021</v>
      </c>
      <c r="G716">
        <v>172</v>
      </c>
      <c r="L716" s="5">
        <v>262</v>
      </c>
      <c r="M716" s="6">
        <v>0.85619999999999996</v>
      </c>
      <c r="N716" s="5">
        <v>44</v>
      </c>
      <c r="O716" s="7">
        <v>5.0925925925925921E-4</v>
      </c>
      <c r="P716" s="7">
        <v>1.9444444444444444E-3</v>
      </c>
      <c r="Q716" s="7">
        <v>5.2893518518518515E-3</v>
      </c>
      <c r="R716" s="6">
        <v>0.46329999999999999</v>
      </c>
      <c r="S716" s="8">
        <f>CONVERT(Table1[[#This Row],[Talk Duration (AVG)]]*Table1[[#This Row],[Answered Calls]],"day","hr")</f>
        <v>12.226666666666667</v>
      </c>
      <c r="T716" s="9">
        <f>Table1[[#This Row],[Actual Workload hours]]*60</f>
        <v>733.6</v>
      </c>
      <c r="U716" s="9">
        <f>CONVERT(Table1[[#This Row],[Actual]]*Table1[[#This Row],[Talk Duration (AVG)]],"day","hr")</f>
        <v>8.0266666666666673</v>
      </c>
      <c r="V716" s="10">
        <f>Table1[[#This Row],[Required Workload Hours]]*60</f>
        <v>481.6</v>
      </c>
      <c r="W716" s="9">
        <v>1.91</v>
      </c>
      <c r="X716" s="9">
        <f t="shared" si="22"/>
        <v>1.2541666666666667</v>
      </c>
      <c r="Y716" s="5">
        <f t="shared" si="23"/>
        <v>2</v>
      </c>
      <c r="Z716" s="8">
        <f>ROUNDUP(Table1[[#This Row],[Actual Heacount]],0)</f>
        <v>2</v>
      </c>
      <c r="AA716" s="8"/>
      <c r="AB716" s="10"/>
      <c r="AC716" s="10"/>
      <c r="AD716" s="10"/>
      <c r="AE716" s="11">
        <v>96.540038321165667</v>
      </c>
      <c r="AF716" s="11">
        <v>317.105480290537</v>
      </c>
      <c r="AG716" t="s">
        <v>34</v>
      </c>
    </row>
    <row r="717" spans="1:33">
      <c r="A717" s="2">
        <v>44558</v>
      </c>
      <c r="B717" s="5" t="s">
        <v>35</v>
      </c>
      <c r="C717" s="5">
        <f>WEEKDAY(Table1[[#This Row],[Date]])</f>
        <v>3</v>
      </c>
      <c r="D717" s="5">
        <f>MONTH(Table1[[#This Row],[Date]])</f>
        <v>12</v>
      </c>
      <c r="E717" s="5">
        <f>WEEKNUM(Table1[[#This Row],[Date]])</f>
        <v>53</v>
      </c>
      <c r="F717" s="5">
        <f>YEAR(Table1[[#This Row],[Date]])</f>
        <v>2021</v>
      </c>
      <c r="G717">
        <v>195</v>
      </c>
      <c r="L717" s="5">
        <v>185</v>
      </c>
      <c r="M717" s="6">
        <v>0.9204</v>
      </c>
      <c r="N717" s="5">
        <v>16</v>
      </c>
      <c r="O717" s="7">
        <v>2.6620370370370372E-4</v>
      </c>
      <c r="P717" s="7">
        <v>1.8287037037037037E-3</v>
      </c>
      <c r="Q717" s="7">
        <v>1.9212962962962964E-3</v>
      </c>
      <c r="R717" s="6">
        <v>0.6734</v>
      </c>
      <c r="S717" s="8">
        <f>CONVERT(Table1[[#This Row],[Talk Duration (AVG)]]*Table1[[#This Row],[Answered Calls]],"day","hr")</f>
        <v>8.1194444444444436</v>
      </c>
      <c r="T717" s="9">
        <f>Table1[[#This Row],[Actual Workload hours]]*60</f>
        <v>487.16666666666663</v>
      </c>
      <c r="U717" s="9">
        <f>CONVERT(Table1[[#This Row],[Actual]]*Table1[[#This Row],[Talk Duration (AVG)]],"day","hr")</f>
        <v>8.5583333333333336</v>
      </c>
      <c r="V717" s="10">
        <f>Table1[[#This Row],[Required Workload Hours]]*60</f>
        <v>513.5</v>
      </c>
      <c r="W717" s="9">
        <v>1.27</v>
      </c>
      <c r="X717" s="9">
        <f t="shared" si="22"/>
        <v>1.3372395833333333</v>
      </c>
      <c r="Y717" s="5">
        <f t="shared" si="23"/>
        <v>2</v>
      </c>
      <c r="Z717" s="8">
        <f>ROUNDUP(Table1[[#This Row],[Actual Heacount]],0)</f>
        <v>2</v>
      </c>
      <c r="AA717" s="8"/>
      <c r="AB717" s="10"/>
      <c r="AC717" s="10"/>
      <c r="AD717" s="10"/>
      <c r="AE717" s="11">
        <v>86.868284007269423</v>
      </c>
      <c r="AF717" s="11">
        <v>305.22413815758472</v>
      </c>
      <c r="AG717" t="s">
        <v>34</v>
      </c>
    </row>
    <row r="718" spans="1:33">
      <c r="A718" s="2">
        <v>44559</v>
      </c>
      <c r="B718" s="5" t="s">
        <v>36</v>
      </c>
      <c r="C718" s="5">
        <f>WEEKDAY(Table1[[#This Row],[Date]])</f>
        <v>4</v>
      </c>
      <c r="D718" s="5">
        <f>MONTH(Table1[[#This Row],[Date]])</f>
        <v>12</v>
      </c>
      <c r="E718" s="5">
        <f>WEEKNUM(Table1[[#This Row],[Date]])</f>
        <v>53</v>
      </c>
      <c r="F718" s="5">
        <f>YEAR(Table1[[#This Row],[Date]])</f>
        <v>2021</v>
      </c>
      <c r="G718">
        <v>163</v>
      </c>
      <c r="L718" s="5">
        <v>184</v>
      </c>
      <c r="M718" s="6">
        <v>0.97870000000000001</v>
      </c>
      <c r="N718" s="5">
        <v>4</v>
      </c>
      <c r="O718" s="7">
        <v>1.9675925925925926E-4</v>
      </c>
      <c r="P718" s="7">
        <v>1.8055555555555555E-3</v>
      </c>
      <c r="Q718" s="7">
        <v>1.6435185185185185E-3</v>
      </c>
      <c r="R718" s="6">
        <v>0.79259999999999997</v>
      </c>
      <c r="S718" s="8">
        <f>CONVERT(Table1[[#This Row],[Talk Duration (AVG)]]*Table1[[#This Row],[Answered Calls]],"day","hr")</f>
        <v>7.9733333333333327</v>
      </c>
      <c r="T718" s="9">
        <f>Table1[[#This Row],[Actual Workload hours]]*60</f>
        <v>478.4</v>
      </c>
      <c r="U718" s="9">
        <f>CONVERT(Table1[[#This Row],[Actual]]*Table1[[#This Row],[Talk Duration (AVG)]],"day","hr")</f>
        <v>7.0633333333333335</v>
      </c>
      <c r="V718" s="10">
        <f>Table1[[#This Row],[Required Workload Hours]]*60</f>
        <v>423.8</v>
      </c>
      <c r="W718" s="9">
        <v>1.25</v>
      </c>
      <c r="X718" s="9">
        <f t="shared" si="22"/>
        <v>1.1036458333333334</v>
      </c>
      <c r="Y718" s="5">
        <f t="shared" si="23"/>
        <v>2</v>
      </c>
      <c r="Z718" s="8">
        <f>ROUNDUP(Table1[[#This Row],[Actual Heacount]],0)</f>
        <v>2</v>
      </c>
      <c r="AA718" s="8"/>
      <c r="AB718" s="10"/>
      <c r="AC718" s="10"/>
      <c r="AD718" s="10"/>
      <c r="AE718" s="11">
        <v>94.494998875227054</v>
      </c>
      <c r="AF718" s="11">
        <v>310.77589612873788</v>
      </c>
      <c r="AG718" t="s">
        <v>34</v>
      </c>
    </row>
    <row r="719" spans="1:33">
      <c r="A719" s="2">
        <v>44560</v>
      </c>
      <c r="B719" s="5" t="s">
        <v>37</v>
      </c>
      <c r="C719" s="5">
        <f>WEEKDAY(Table1[[#This Row],[Date]])</f>
        <v>5</v>
      </c>
      <c r="D719" s="5">
        <f>MONTH(Table1[[#This Row],[Date]])</f>
        <v>12</v>
      </c>
      <c r="E719" s="5">
        <f>WEEKNUM(Table1[[#This Row],[Date]])</f>
        <v>53</v>
      </c>
      <c r="F719" s="5">
        <f>YEAR(Table1[[#This Row],[Date]])</f>
        <v>2021</v>
      </c>
      <c r="G719">
        <v>134</v>
      </c>
      <c r="L719" s="5">
        <v>131</v>
      </c>
      <c r="M719" s="6">
        <v>0.8851</v>
      </c>
      <c r="N719" s="5">
        <v>17</v>
      </c>
      <c r="O719" s="7">
        <v>3.5879629629629629E-4</v>
      </c>
      <c r="P719" s="7">
        <v>1.9791666666666668E-3</v>
      </c>
      <c r="Q719" s="7">
        <v>2.5000000000000001E-3</v>
      </c>
      <c r="R719" s="6">
        <v>0.53059999999999996</v>
      </c>
      <c r="S719" s="8">
        <f>CONVERT(Table1[[#This Row],[Talk Duration (AVG)]]*Table1[[#This Row],[Answered Calls]],"day","hr")</f>
        <v>6.2225000000000001</v>
      </c>
      <c r="T719" s="9">
        <f>Table1[[#This Row],[Actual Workload hours]]*60</f>
        <v>373.35</v>
      </c>
      <c r="U719" s="9">
        <f>CONVERT(Table1[[#This Row],[Actual]]*Table1[[#This Row],[Talk Duration (AVG)]],"day","hr")</f>
        <v>6.3650000000000011</v>
      </c>
      <c r="V719" s="10">
        <f>Table1[[#This Row],[Required Workload Hours]]*60</f>
        <v>381.90000000000009</v>
      </c>
      <c r="W719" s="9">
        <v>1</v>
      </c>
      <c r="X719" s="9">
        <f t="shared" si="22"/>
        <v>1</v>
      </c>
      <c r="Y719" s="5">
        <f t="shared" si="23"/>
        <v>2</v>
      </c>
      <c r="Z719" s="8">
        <f>ROUNDUP(Table1[[#This Row],[Actual Heacount]],0)</f>
        <v>1</v>
      </c>
      <c r="AA719" s="8"/>
      <c r="AB719" s="10"/>
      <c r="AC719" s="10"/>
      <c r="AD719" s="10"/>
      <c r="AE719" s="11">
        <v>85.9555263827869</v>
      </c>
      <c r="AF719" s="11">
        <v>303.60218636314607</v>
      </c>
      <c r="AG719" t="s">
        <v>34</v>
      </c>
    </row>
    <row r="720" spans="1:33">
      <c r="A720" s="2">
        <v>44561</v>
      </c>
      <c r="B720" s="5" t="s">
        <v>38</v>
      </c>
      <c r="C720" s="5">
        <f>WEEKDAY(Table1[[#This Row],[Date]])</f>
        <v>6</v>
      </c>
      <c r="D720" s="5">
        <f>MONTH(Table1[[#This Row],[Date]])</f>
        <v>12</v>
      </c>
      <c r="E720" s="5">
        <f>WEEKNUM(Table1[[#This Row],[Date]])</f>
        <v>53</v>
      </c>
      <c r="F720" s="5">
        <f>YEAR(Table1[[#This Row],[Date]])</f>
        <v>2021</v>
      </c>
      <c r="G720">
        <v>158</v>
      </c>
      <c r="L720" s="5">
        <v>17</v>
      </c>
      <c r="M720" s="6">
        <v>0.8095</v>
      </c>
      <c r="N720" s="5">
        <v>4</v>
      </c>
      <c r="O720" s="7">
        <v>6.018518518518519E-4</v>
      </c>
      <c r="P720" s="7">
        <v>2.4189814814814816E-3</v>
      </c>
      <c r="Q720" s="7">
        <v>7.6388888888888886E-3</v>
      </c>
      <c r="R720" s="6">
        <v>0.52380000000000004</v>
      </c>
      <c r="S720" s="8">
        <f>CONVERT(Table1[[#This Row],[Talk Duration (AVG)]]*Table1[[#This Row],[Answered Calls]],"day","hr")</f>
        <v>0.9869444444444444</v>
      </c>
      <c r="T720" s="9">
        <f>Table1[[#This Row],[Actual Workload hours]]*60</f>
        <v>59.216666666666661</v>
      </c>
      <c r="U720" s="9">
        <f>CONVERT(Table1[[#This Row],[Actual]]*Table1[[#This Row],[Talk Duration (AVG)]],"day","hr")</f>
        <v>9.1727777777777781</v>
      </c>
      <c r="V720" s="10">
        <f>Table1[[#This Row],[Required Workload Hours]]*60</f>
        <v>550.36666666666667</v>
      </c>
      <c r="W720" s="9">
        <v>1</v>
      </c>
      <c r="X720" s="9">
        <f t="shared" si="22"/>
        <v>1.4332465277777777</v>
      </c>
      <c r="Y720" s="5">
        <f t="shared" si="23"/>
        <v>1</v>
      </c>
      <c r="Z720" s="8">
        <f>ROUNDUP(Table1[[#This Row],[Actual Heacount]],0)</f>
        <v>1</v>
      </c>
      <c r="AA720" s="8"/>
      <c r="AB720" s="10"/>
      <c r="AC720" s="10"/>
      <c r="AD720" s="10"/>
      <c r="AE720" s="11">
        <v>82.26907070626045</v>
      </c>
      <c r="AF720" s="11">
        <v>301.68070275441812</v>
      </c>
      <c r="AG720" t="s">
        <v>34</v>
      </c>
    </row>
    <row r="721" spans="1:33">
      <c r="A721" s="2">
        <v>44562</v>
      </c>
      <c r="B721" s="5" t="s">
        <v>39</v>
      </c>
      <c r="C721" s="5">
        <f>WEEKDAY(Table1[[#This Row],[Date]])</f>
        <v>7</v>
      </c>
      <c r="D721" s="5">
        <f>MONTH(Table1[[#This Row],[Date]])</f>
        <v>1</v>
      </c>
      <c r="E721" s="5">
        <f>WEEKNUM(Table1[[#This Row],[Date]])</f>
        <v>1</v>
      </c>
      <c r="F721" s="5">
        <f>YEAR(Table1[[#This Row],[Date]])</f>
        <v>2022</v>
      </c>
      <c r="G721">
        <v>161</v>
      </c>
      <c r="L721" s="5">
        <v>129</v>
      </c>
      <c r="M721" s="6">
        <v>0.87160000000000004</v>
      </c>
      <c r="N721" s="5">
        <v>19</v>
      </c>
      <c r="O721" s="7">
        <v>4.6296296296296298E-4</v>
      </c>
      <c r="P721" s="7">
        <v>2.0949074074074073E-3</v>
      </c>
      <c r="Q721" s="7">
        <v>4.8148148148148152E-3</v>
      </c>
      <c r="R721" s="6">
        <v>0.45519999999999999</v>
      </c>
      <c r="S721" s="8">
        <f>CONVERT(Table1[[#This Row],[Talk Duration (AVG)]]*Table1[[#This Row],[Answered Calls]],"day","hr")</f>
        <v>6.4858333333333329</v>
      </c>
      <c r="T721" s="9">
        <f>Table1[[#This Row],[Actual Workload hours]]*60</f>
        <v>389.15</v>
      </c>
      <c r="U721" s="9">
        <f>CONVERT(Table1[[#This Row],[Actual]]*Table1[[#This Row],[Talk Duration (AVG)]],"day","hr")</f>
        <v>8.0947222222222219</v>
      </c>
      <c r="V721" s="10">
        <f>Table1[[#This Row],[Required Workload Hours]]*60</f>
        <v>485.68333333333334</v>
      </c>
      <c r="W721" s="9">
        <v>1.01</v>
      </c>
      <c r="X721" s="9">
        <f t="shared" si="22"/>
        <v>1.2648003472222222</v>
      </c>
      <c r="Y721" s="5">
        <f t="shared" si="23"/>
        <v>2</v>
      </c>
      <c r="Z721" s="8">
        <f>ROUNDUP(Table1[[#This Row],[Actual Heacount]],0)</f>
        <v>2</v>
      </c>
      <c r="AA721" s="8"/>
      <c r="AB721" s="10"/>
      <c r="AC721" s="10"/>
      <c r="AD721" s="10"/>
      <c r="AE721" s="11">
        <v>91.950208220338936</v>
      </c>
      <c r="AF721" s="11">
        <v>305.96192930069111</v>
      </c>
      <c r="AG721" t="s">
        <v>34</v>
      </c>
    </row>
    <row r="722" spans="1:33">
      <c r="A722" s="2">
        <v>44563</v>
      </c>
      <c r="B722" s="5" t="s">
        <v>40</v>
      </c>
      <c r="C722" s="5">
        <f>WEEKDAY(Table1[[#This Row],[Date]])</f>
        <v>1</v>
      </c>
      <c r="D722" s="5">
        <f>MONTH(Table1[[#This Row],[Date]])</f>
        <v>1</v>
      </c>
      <c r="E722" s="5">
        <f>WEEKNUM(Table1[[#This Row],[Date]])</f>
        <v>2</v>
      </c>
      <c r="F722" s="5">
        <f>YEAR(Table1[[#This Row],[Date]])</f>
        <v>2022</v>
      </c>
      <c r="G722">
        <v>270</v>
      </c>
      <c r="L722" s="5">
        <v>154</v>
      </c>
      <c r="M722" s="6">
        <v>0.92220000000000002</v>
      </c>
      <c r="N722" s="5">
        <v>13</v>
      </c>
      <c r="O722" s="7">
        <v>1.9675925925925926E-4</v>
      </c>
      <c r="P722" s="7">
        <v>1.8865740740740742E-3</v>
      </c>
      <c r="Q722" s="7">
        <v>1.9560185185185184E-3</v>
      </c>
      <c r="R722" s="6">
        <v>0.7349</v>
      </c>
      <c r="S722" s="8">
        <f>CONVERT(Table1[[#This Row],[Talk Duration (AVG)]]*Table1[[#This Row],[Answered Calls]],"day","hr")</f>
        <v>6.9727777777777789</v>
      </c>
      <c r="T722" s="9">
        <f>Table1[[#This Row],[Actual Workload hours]]*60</f>
        <v>418.36666666666673</v>
      </c>
      <c r="U722" s="9">
        <f>CONVERT(Table1[[#This Row],[Actual]]*Table1[[#This Row],[Talk Duration (AVG)]],"day","hr")</f>
        <v>12.225</v>
      </c>
      <c r="V722" s="10">
        <f>Table1[[#This Row],[Required Workload Hours]]*60</f>
        <v>733.5</v>
      </c>
      <c r="W722" s="9">
        <v>1.0900000000000001</v>
      </c>
      <c r="X722" s="9">
        <f t="shared" si="22"/>
        <v>1.91015625</v>
      </c>
      <c r="Y722" s="5">
        <f t="shared" si="23"/>
        <v>2</v>
      </c>
      <c r="Z722" s="8">
        <f>ROUNDUP(Table1[[#This Row],[Actual Heacount]],0)</f>
        <v>2</v>
      </c>
      <c r="AA722" s="8"/>
      <c r="AB722" s="10"/>
      <c r="AC722" s="10"/>
      <c r="AD722" s="10"/>
      <c r="AE722" s="11">
        <v>-6.7482072060275451</v>
      </c>
      <c r="AF722" s="11">
        <v>217.98403908053541</v>
      </c>
      <c r="AG722" t="s">
        <v>34</v>
      </c>
    </row>
    <row r="723" spans="1:33">
      <c r="A723" s="2">
        <v>44564</v>
      </c>
      <c r="B723" s="5" t="s">
        <v>33</v>
      </c>
      <c r="C723" s="5">
        <f>WEEKDAY(Table1[[#This Row],[Date]])</f>
        <v>2</v>
      </c>
      <c r="D723" s="5">
        <f>MONTH(Table1[[#This Row],[Date]])</f>
        <v>1</v>
      </c>
      <c r="E723" s="5">
        <f>WEEKNUM(Table1[[#This Row],[Date]])</f>
        <v>2</v>
      </c>
      <c r="F723" s="5">
        <f>YEAR(Table1[[#This Row],[Date]])</f>
        <v>2022</v>
      </c>
      <c r="G723">
        <v>429</v>
      </c>
      <c r="L723" s="5">
        <v>158</v>
      </c>
      <c r="M723" s="6">
        <v>0.93489999999999995</v>
      </c>
      <c r="N723" s="5">
        <v>11</v>
      </c>
      <c r="O723" s="7">
        <v>1.8518518518518518E-4</v>
      </c>
      <c r="P723" s="7">
        <v>1.8055555555555555E-3</v>
      </c>
      <c r="Q723" s="7">
        <v>1.2037037037037038E-3</v>
      </c>
      <c r="R723" s="6">
        <v>0.75</v>
      </c>
      <c r="S723" s="8">
        <f>CONVERT(Table1[[#This Row],[Talk Duration (AVG)]]*Table1[[#This Row],[Answered Calls]],"day","hr")</f>
        <v>6.8466666666666658</v>
      </c>
      <c r="T723" s="9">
        <f>Table1[[#This Row],[Actual Workload hours]]*60</f>
        <v>410.79999999999995</v>
      </c>
      <c r="U723" s="9">
        <f>CONVERT(Table1[[#This Row],[Actual]]*Table1[[#This Row],[Talk Duration (AVG)]],"day","hr")</f>
        <v>18.59</v>
      </c>
      <c r="V723" s="10">
        <f>Table1[[#This Row],[Required Workload Hours]]*60</f>
        <v>1115.4000000000001</v>
      </c>
      <c r="W723" s="9">
        <v>1.07</v>
      </c>
      <c r="X723" s="9">
        <f t="shared" si="22"/>
        <v>2.9046875000000001</v>
      </c>
      <c r="Y723" s="5">
        <f t="shared" si="23"/>
        <v>2</v>
      </c>
      <c r="Z723" s="8">
        <f>ROUNDUP(Table1[[#This Row],[Actual Heacount]],0)</f>
        <v>2</v>
      </c>
      <c r="AA723" s="8"/>
      <c r="AB723" s="10"/>
      <c r="AC723" s="10"/>
      <c r="AD723" s="10"/>
      <c r="AE723" s="11">
        <v>92.127621298619744</v>
      </c>
      <c r="AF723" s="11">
        <v>309.74867527709688</v>
      </c>
      <c r="AG723" t="s">
        <v>34</v>
      </c>
    </row>
    <row r="724" spans="1:33">
      <c r="A724" s="2">
        <v>44565</v>
      </c>
      <c r="B724" s="5" t="s">
        <v>35</v>
      </c>
      <c r="C724" s="5">
        <f>WEEKDAY(Table1[[#This Row],[Date]])</f>
        <v>3</v>
      </c>
      <c r="D724" s="5">
        <f>MONTH(Table1[[#This Row],[Date]])</f>
        <v>1</v>
      </c>
      <c r="E724" s="5">
        <f>WEEKNUM(Table1[[#This Row],[Date]])</f>
        <v>2</v>
      </c>
      <c r="F724" s="5">
        <f>YEAR(Table1[[#This Row],[Date]])</f>
        <v>2022</v>
      </c>
      <c r="G724">
        <v>24</v>
      </c>
      <c r="L724" s="5">
        <v>163</v>
      </c>
      <c r="M724" s="6">
        <v>0.93140000000000001</v>
      </c>
      <c r="N724" s="5">
        <v>12</v>
      </c>
      <c r="O724" s="7">
        <v>2.5462962962962961E-4</v>
      </c>
      <c r="P724" s="7">
        <v>1.8171296296296297E-3</v>
      </c>
      <c r="Q724" s="7">
        <v>1.5972222222222223E-3</v>
      </c>
      <c r="R724" s="6">
        <v>0.71099999999999997</v>
      </c>
      <c r="S724" s="8">
        <f>CONVERT(Table1[[#This Row],[Talk Duration (AVG)]]*Table1[[#This Row],[Answered Calls]],"day","hr")</f>
        <v>7.1086111111111121</v>
      </c>
      <c r="T724" s="9">
        <f>Table1[[#This Row],[Actual Workload hours]]*60</f>
        <v>426.51666666666671</v>
      </c>
      <c r="U724" s="9">
        <f>CONVERT(Table1[[#This Row],[Actual]]*Table1[[#This Row],[Talk Duration (AVG)]],"day","hr")</f>
        <v>1.0466666666666669</v>
      </c>
      <c r="V724" s="10">
        <f>Table1[[#This Row],[Required Workload Hours]]*60</f>
        <v>62.800000000000011</v>
      </c>
      <c r="W724" s="9">
        <v>1.1100000000000001</v>
      </c>
      <c r="X724" s="9">
        <f t="shared" si="22"/>
        <v>1</v>
      </c>
      <c r="Y724" s="5">
        <f t="shared" si="23"/>
        <v>2</v>
      </c>
      <c r="Z724" s="8">
        <f>ROUNDUP(Table1[[#This Row],[Actual Heacount]],0)</f>
        <v>2</v>
      </c>
      <c r="AA724" s="8"/>
      <c r="AB724" s="10"/>
      <c r="AC724" s="10"/>
      <c r="AD724" s="10"/>
      <c r="AE724" s="11">
        <v>88.990075416614928</v>
      </c>
      <c r="AF724" s="11">
        <v>301.87586817421078</v>
      </c>
      <c r="AG724" t="s">
        <v>34</v>
      </c>
    </row>
    <row r="725" spans="1:33">
      <c r="A725" s="2">
        <v>44566</v>
      </c>
      <c r="B725" s="5" t="s">
        <v>36</v>
      </c>
      <c r="C725" s="5">
        <f>WEEKDAY(Table1[[#This Row],[Date]])</f>
        <v>4</v>
      </c>
      <c r="D725" s="5">
        <f>MONTH(Table1[[#This Row],[Date]])</f>
        <v>1</v>
      </c>
      <c r="E725" s="5">
        <f>WEEKNUM(Table1[[#This Row],[Date]])</f>
        <v>2</v>
      </c>
      <c r="F725" s="5">
        <f>YEAR(Table1[[#This Row],[Date]])</f>
        <v>2022</v>
      </c>
      <c r="G725">
        <v>112</v>
      </c>
      <c r="L725" s="5">
        <v>183</v>
      </c>
      <c r="M725" s="6">
        <v>0.94820000000000004</v>
      </c>
      <c r="N725" s="5">
        <v>10</v>
      </c>
      <c r="O725" s="7">
        <v>1.8518518518518518E-4</v>
      </c>
      <c r="P725" s="7">
        <v>1.9560185185185184E-3</v>
      </c>
      <c r="Q725" s="7">
        <v>1.9444444444444444E-3</v>
      </c>
      <c r="R725" s="6">
        <v>0.80210000000000004</v>
      </c>
      <c r="S725" s="8">
        <f>CONVERT(Table1[[#This Row],[Talk Duration (AVG)]]*Table1[[#This Row],[Answered Calls]],"day","hr")</f>
        <v>8.5908333333333342</v>
      </c>
      <c r="T725" s="9">
        <f>Table1[[#This Row],[Actual Workload hours]]*60</f>
        <v>515.45000000000005</v>
      </c>
      <c r="U725" s="9">
        <f>CONVERT(Table1[[#This Row],[Actual]]*Table1[[#This Row],[Talk Duration (AVG)]],"day","hr")</f>
        <v>5.2577777777777781</v>
      </c>
      <c r="V725" s="10">
        <f>Table1[[#This Row],[Required Workload Hours]]*60</f>
        <v>315.4666666666667</v>
      </c>
      <c r="W725" s="9">
        <v>1.34</v>
      </c>
      <c r="X725" s="9">
        <f t="shared" si="22"/>
        <v>1</v>
      </c>
      <c r="Y725" s="5">
        <f t="shared" si="23"/>
        <v>2</v>
      </c>
      <c r="Z725" s="8">
        <f>ROUNDUP(Table1[[#This Row],[Actual Heacount]],0)</f>
        <v>2</v>
      </c>
      <c r="AA725" s="8"/>
      <c r="AB725" s="10"/>
      <c r="AC725" s="10"/>
      <c r="AD725" s="10"/>
      <c r="AE725" s="11">
        <v>84.549776348500586</v>
      </c>
      <c r="AF725" s="11">
        <v>308.21302460633609</v>
      </c>
      <c r="AG725" t="s">
        <v>34</v>
      </c>
    </row>
    <row r="726" spans="1:33">
      <c r="A726" s="2">
        <v>44569</v>
      </c>
      <c r="B726" s="5" t="s">
        <v>37</v>
      </c>
      <c r="C726" s="5">
        <f>WEEKDAY(Table1[[#This Row],[Date]])</f>
        <v>7</v>
      </c>
      <c r="D726" s="5">
        <f>MONTH(Table1[[#This Row],[Date]])</f>
        <v>1</v>
      </c>
      <c r="E726" s="5">
        <f>WEEKNUM(Table1[[#This Row],[Date]])</f>
        <v>2</v>
      </c>
      <c r="F726" s="5">
        <f>YEAR(Table1[[#This Row],[Date]])</f>
        <v>2022</v>
      </c>
      <c r="G726">
        <v>170</v>
      </c>
      <c r="L726" s="5">
        <v>144</v>
      </c>
      <c r="M726" s="6">
        <v>0.93510000000000004</v>
      </c>
      <c r="N726" s="5">
        <v>10</v>
      </c>
      <c r="O726" s="7">
        <v>2.3148148148148149E-4</v>
      </c>
      <c r="P726" s="7">
        <v>1.8634259259259259E-3</v>
      </c>
      <c r="Q726" s="7">
        <v>2.0138888888888888E-3</v>
      </c>
      <c r="R726" s="6">
        <v>0.73509999999999998</v>
      </c>
      <c r="S726" s="8">
        <f>CONVERT(Table1[[#This Row],[Talk Duration (AVG)]]*Table1[[#This Row],[Answered Calls]],"day","hr")</f>
        <v>6.44</v>
      </c>
      <c r="T726" s="9">
        <f>Table1[[#This Row],[Actual Workload hours]]*60</f>
        <v>386.40000000000003</v>
      </c>
      <c r="U726" s="9">
        <f>CONVERT(Table1[[#This Row],[Actual]]*Table1[[#This Row],[Talk Duration (AVG)]],"day","hr")</f>
        <v>7.6027777777777787</v>
      </c>
      <c r="V726" s="10">
        <f>Table1[[#This Row],[Required Workload Hours]]*60</f>
        <v>456.16666666666674</v>
      </c>
      <c r="W726" s="9">
        <v>1.01</v>
      </c>
      <c r="X726" s="9">
        <f t="shared" si="22"/>
        <v>1.1879340277777779</v>
      </c>
      <c r="Y726" s="5">
        <f t="shared" si="23"/>
        <v>2</v>
      </c>
      <c r="Z726" s="8">
        <f>ROUNDUP(Table1[[#This Row],[Actual Heacount]],0)</f>
        <v>2</v>
      </c>
      <c r="AA726" s="8"/>
      <c r="AB726" s="10"/>
      <c r="AC726" s="10"/>
      <c r="AD726" s="10"/>
      <c r="AE726" s="11">
        <v>79.809222056357299</v>
      </c>
      <c r="AF726" s="11">
        <v>315.0115882180977</v>
      </c>
      <c r="AG726" t="s">
        <v>34</v>
      </c>
    </row>
    <row r="727" spans="1:33">
      <c r="A727" s="2">
        <v>44570</v>
      </c>
      <c r="B727" s="5" t="s">
        <v>38</v>
      </c>
      <c r="C727" s="5">
        <f>WEEKDAY(Table1[[#This Row],[Date]])</f>
        <v>1</v>
      </c>
      <c r="D727" s="5">
        <f>MONTH(Table1[[#This Row],[Date]])</f>
        <v>1</v>
      </c>
      <c r="E727" s="5">
        <f>WEEKNUM(Table1[[#This Row],[Date]])</f>
        <v>3</v>
      </c>
      <c r="F727" s="5">
        <f>YEAR(Table1[[#This Row],[Date]])</f>
        <v>2022</v>
      </c>
      <c r="G727">
        <v>224</v>
      </c>
      <c r="L727" s="5">
        <v>34</v>
      </c>
      <c r="M727" s="6">
        <v>0.97140000000000004</v>
      </c>
      <c r="N727" s="5">
        <v>1</v>
      </c>
      <c r="O727" s="7">
        <v>1.6203703703703703E-4</v>
      </c>
      <c r="P727" s="7">
        <v>2.1527777777777778E-3</v>
      </c>
      <c r="Q727" s="7">
        <v>6.7129629629629625E-4</v>
      </c>
      <c r="R727" s="6">
        <v>0.77139999999999997</v>
      </c>
      <c r="S727" s="8">
        <f>CONVERT(Table1[[#This Row],[Talk Duration (AVG)]]*Table1[[#This Row],[Answered Calls]],"day","hr")</f>
        <v>1.7566666666666668</v>
      </c>
      <c r="T727" s="9">
        <f>Table1[[#This Row],[Actual Workload hours]]*60</f>
        <v>105.4</v>
      </c>
      <c r="U727" s="9">
        <f>CONVERT(Table1[[#This Row],[Actual]]*Table1[[#This Row],[Talk Duration (AVG)]],"day","hr")</f>
        <v>11.573333333333334</v>
      </c>
      <c r="V727" s="10">
        <f>Table1[[#This Row],[Required Workload Hours]]*60</f>
        <v>694.40000000000009</v>
      </c>
      <c r="W727" s="9">
        <v>1</v>
      </c>
      <c r="X727" s="9">
        <f t="shared" si="22"/>
        <v>1.8083333333333336</v>
      </c>
      <c r="Y727" s="5">
        <f t="shared" si="23"/>
        <v>1</v>
      </c>
      <c r="Z727" s="8">
        <f>ROUNDUP(Table1[[#This Row],[Actual Heacount]],0)</f>
        <v>1</v>
      </c>
      <c r="AA727" s="8"/>
      <c r="AB727" s="10"/>
      <c r="AC727" s="10"/>
      <c r="AD727" s="10"/>
      <c r="AE727" s="11">
        <v>-2.628961849398324</v>
      </c>
      <c r="AF727" s="11">
        <v>209.92002701852539</v>
      </c>
      <c r="AG727" t="s">
        <v>34</v>
      </c>
    </row>
    <row r="728" spans="1:33">
      <c r="A728" s="2">
        <v>44571</v>
      </c>
      <c r="B728" s="5" t="s">
        <v>39</v>
      </c>
      <c r="C728" s="5">
        <f>WEEKDAY(Table1[[#This Row],[Date]])</f>
        <v>2</v>
      </c>
      <c r="D728" s="5">
        <f>MONTH(Table1[[#This Row],[Date]])</f>
        <v>1</v>
      </c>
      <c r="E728" s="5">
        <f>WEEKNUM(Table1[[#This Row],[Date]])</f>
        <v>3</v>
      </c>
      <c r="F728" s="5">
        <f>YEAR(Table1[[#This Row],[Date]])</f>
        <v>2022</v>
      </c>
      <c r="G728">
        <v>176</v>
      </c>
      <c r="L728" s="5">
        <v>161</v>
      </c>
      <c r="M728" s="6">
        <v>0.93600000000000005</v>
      </c>
      <c r="N728" s="5">
        <v>11</v>
      </c>
      <c r="O728" s="7">
        <v>2.3148148148148149E-4</v>
      </c>
      <c r="P728" s="7">
        <v>1.9444444444444444E-3</v>
      </c>
      <c r="Q728" s="7">
        <v>1.7592592592592592E-3</v>
      </c>
      <c r="R728" s="6">
        <v>0.72089999999999999</v>
      </c>
      <c r="S728" s="8">
        <f>CONVERT(Table1[[#This Row],[Talk Duration (AVG)]]*Table1[[#This Row],[Answered Calls]],"day","hr")</f>
        <v>7.5133333333333328</v>
      </c>
      <c r="T728" s="9">
        <f>Table1[[#This Row],[Actual Workload hours]]*60</f>
        <v>450.79999999999995</v>
      </c>
      <c r="U728" s="9">
        <f>CONVERT(Table1[[#This Row],[Actual]]*Table1[[#This Row],[Talk Duration (AVG)]],"day","hr")</f>
        <v>8.2133333333333329</v>
      </c>
      <c r="V728" s="10">
        <f>Table1[[#This Row],[Required Workload Hours]]*60</f>
        <v>492.79999999999995</v>
      </c>
      <c r="W728" s="9">
        <v>1.17</v>
      </c>
      <c r="X728" s="9">
        <f t="shared" si="22"/>
        <v>1.2833333333333332</v>
      </c>
      <c r="Y728" s="5">
        <f t="shared" si="23"/>
        <v>2</v>
      </c>
      <c r="Z728" s="8">
        <f>ROUNDUP(Table1[[#This Row],[Actual Heacount]],0)</f>
        <v>2</v>
      </c>
      <c r="AA728" s="8"/>
      <c r="AB728" s="10"/>
      <c r="AC728" s="10"/>
      <c r="AD728" s="10"/>
      <c r="AE728" s="11">
        <v>100.3752748118572</v>
      </c>
      <c r="AF728" s="11">
        <v>323.69224699094372</v>
      </c>
      <c r="AG728" t="s">
        <v>34</v>
      </c>
    </row>
    <row r="729" spans="1:33">
      <c r="A729" s="2">
        <v>44572</v>
      </c>
      <c r="B729" s="5" t="s">
        <v>40</v>
      </c>
      <c r="C729" s="5">
        <f>WEEKDAY(Table1[[#This Row],[Date]])</f>
        <v>3</v>
      </c>
      <c r="D729" s="5">
        <f>MONTH(Table1[[#This Row],[Date]])</f>
        <v>1</v>
      </c>
      <c r="E729" s="5">
        <f>WEEKNUM(Table1[[#This Row],[Date]])</f>
        <v>3</v>
      </c>
      <c r="F729" s="5">
        <f>YEAR(Table1[[#This Row],[Date]])</f>
        <v>2022</v>
      </c>
      <c r="G729">
        <v>328</v>
      </c>
      <c r="L729" s="5">
        <v>182</v>
      </c>
      <c r="M729" s="6">
        <v>0.93330000000000002</v>
      </c>
      <c r="N729" s="5">
        <v>13</v>
      </c>
      <c r="O729" s="7">
        <v>2.7777777777777778E-4</v>
      </c>
      <c r="P729" s="7">
        <v>1.9791666666666668E-3</v>
      </c>
      <c r="Q729" s="7">
        <v>2.1990740740740742E-3</v>
      </c>
      <c r="R729" s="6">
        <v>0.66839999999999999</v>
      </c>
      <c r="S729" s="8">
        <f>CONVERT(Table1[[#This Row],[Talk Duration (AVG)]]*Table1[[#This Row],[Answered Calls]],"day","hr")</f>
        <v>8.6449999999999996</v>
      </c>
      <c r="T729" s="9">
        <f>Table1[[#This Row],[Actual Workload hours]]*60</f>
        <v>518.69999999999993</v>
      </c>
      <c r="U729" s="9">
        <f>CONVERT(Table1[[#This Row],[Actual]]*Table1[[#This Row],[Talk Duration (AVG)]],"day","hr")</f>
        <v>15.58</v>
      </c>
      <c r="V729" s="10">
        <f>Table1[[#This Row],[Required Workload Hours]]*60</f>
        <v>934.8</v>
      </c>
      <c r="W729" s="9">
        <v>1.35</v>
      </c>
      <c r="X729" s="9">
        <f t="shared" si="22"/>
        <v>2.4343749999999997</v>
      </c>
      <c r="Y729" s="5">
        <f t="shared" si="23"/>
        <v>2</v>
      </c>
      <c r="Z729" s="8">
        <f>ROUNDUP(Table1[[#This Row],[Actual Heacount]],0)</f>
        <v>2</v>
      </c>
      <c r="AA729" s="8"/>
      <c r="AB729" s="10"/>
      <c r="AC729" s="10"/>
      <c r="AD729" s="10"/>
      <c r="AE729" s="11">
        <v>79.635671084886567</v>
      </c>
      <c r="AF729" s="11">
        <v>294.29440973715742</v>
      </c>
      <c r="AG729" t="s">
        <v>34</v>
      </c>
    </row>
    <row r="730" spans="1:33">
      <c r="A730" s="2">
        <v>44573</v>
      </c>
      <c r="B730" s="5" t="s">
        <v>33</v>
      </c>
      <c r="C730" s="5">
        <f>WEEKDAY(Table1[[#This Row],[Date]])</f>
        <v>4</v>
      </c>
      <c r="D730" s="5">
        <f>MONTH(Table1[[#This Row],[Date]])</f>
        <v>1</v>
      </c>
      <c r="E730" s="5">
        <f>WEEKNUM(Table1[[#This Row],[Date]])</f>
        <v>3</v>
      </c>
      <c r="F730" s="5">
        <f>YEAR(Table1[[#This Row],[Date]])</f>
        <v>2022</v>
      </c>
      <c r="G730">
        <v>230</v>
      </c>
      <c r="L730" s="5">
        <v>157</v>
      </c>
      <c r="M730" s="6">
        <v>0.96319999999999995</v>
      </c>
      <c r="N730" s="5">
        <v>6</v>
      </c>
      <c r="O730" s="7">
        <v>1.9675925925925926E-4</v>
      </c>
      <c r="P730" s="7">
        <v>1.9212962962962964E-3</v>
      </c>
      <c r="Q730" s="7">
        <v>3.8541666666666668E-3</v>
      </c>
      <c r="R730" s="6">
        <v>0.82210000000000005</v>
      </c>
      <c r="S730" s="8">
        <f>CONVERT(Table1[[#This Row],[Talk Duration (AVG)]]*Table1[[#This Row],[Answered Calls]],"day","hr")</f>
        <v>7.2394444444444446</v>
      </c>
      <c r="T730" s="9">
        <f>Table1[[#This Row],[Actual Workload hours]]*60</f>
        <v>434.36666666666667</v>
      </c>
      <c r="U730" s="9">
        <f>CONVERT(Table1[[#This Row],[Actual]]*Table1[[#This Row],[Talk Duration (AVG)]],"day","hr")</f>
        <v>10.605555555555556</v>
      </c>
      <c r="V730" s="10">
        <f>Table1[[#This Row],[Required Workload Hours]]*60</f>
        <v>636.33333333333337</v>
      </c>
      <c r="W730" s="9">
        <v>1.1299999999999999</v>
      </c>
      <c r="X730" s="9">
        <f t="shared" si="22"/>
        <v>1.6571180555555556</v>
      </c>
      <c r="Y730" s="5">
        <f t="shared" si="23"/>
        <v>2</v>
      </c>
      <c r="Z730" s="8">
        <f>ROUNDUP(Table1[[#This Row],[Actual Heacount]],0)</f>
        <v>2</v>
      </c>
      <c r="AA730" s="8"/>
      <c r="AB730" s="10"/>
      <c r="AC730" s="10"/>
      <c r="AD730" s="10"/>
      <c r="AE730" s="11">
        <v>96.563721491424857</v>
      </c>
      <c r="AF730" s="11">
        <v>310.55668753864802</v>
      </c>
      <c r="AG730" t="s">
        <v>34</v>
      </c>
    </row>
    <row r="731" spans="1:33">
      <c r="A731" s="2">
        <v>44574</v>
      </c>
      <c r="B731" s="5" t="s">
        <v>35</v>
      </c>
      <c r="C731" s="5">
        <f>WEEKDAY(Table1[[#This Row],[Date]])</f>
        <v>5</v>
      </c>
      <c r="D731" s="5">
        <f>MONTH(Table1[[#This Row],[Date]])</f>
        <v>1</v>
      </c>
      <c r="E731" s="5">
        <f>WEEKNUM(Table1[[#This Row],[Date]])</f>
        <v>3</v>
      </c>
      <c r="F731" s="5">
        <f>YEAR(Table1[[#This Row],[Date]])</f>
        <v>2022</v>
      </c>
      <c r="G731">
        <v>180</v>
      </c>
      <c r="L731" s="5">
        <v>126</v>
      </c>
      <c r="M731" s="6">
        <v>0.94030000000000002</v>
      </c>
      <c r="N731" s="5">
        <v>8</v>
      </c>
      <c r="O731" s="7">
        <v>3.4722222222222224E-4</v>
      </c>
      <c r="P731" s="7">
        <v>2.0601851851851853E-3</v>
      </c>
      <c r="Q731" s="7">
        <v>3.460648148148148E-3</v>
      </c>
      <c r="R731" s="6">
        <v>0.63570000000000004</v>
      </c>
      <c r="S731" s="8">
        <f>CONVERT(Table1[[#This Row],[Talk Duration (AVG)]]*Table1[[#This Row],[Answered Calls]],"day","hr")</f>
        <v>6.23</v>
      </c>
      <c r="T731" s="9">
        <f>Table1[[#This Row],[Actual Workload hours]]*60</f>
        <v>373.8</v>
      </c>
      <c r="U731" s="9">
        <f>CONVERT(Table1[[#This Row],[Actual]]*Table1[[#This Row],[Talk Duration (AVG)]],"day","hr")</f>
        <v>8.9</v>
      </c>
      <c r="V731" s="10">
        <f>Table1[[#This Row],[Required Workload Hours]]*60</f>
        <v>534</v>
      </c>
      <c r="W731" s="9">
        <v>1</v>
      </c>
      <c r="X731" s="9">
        <f t="shared" si="22"/>
        <v>1.390625</v>
      </c>
      <c r="Y731" s="5">
        <f t="shared" si="23"/>
        <v>2</v>
      </c>
      <c r="Z731" s="8">
        <f>ROUNDUP(Table1[[#This Row],[Actual Heacount]],0)</f>
        <v>1</v>
      </c>
      <c r="AA731" s="8"/>
      <c r="AB731" s="10"/>
      <c r="AC731" s="10"/>
      <c r="AD731" s="10"/>
      <c r="AE731" s="11">
        <v>93.534630459139279</v>
      </c>
      <c r="AF731" s="11">
        <v>313.52661053181407</v>
      </c>
      <c r="AG731" t="s">
        <v>34</v>
      </c>
    </row>
    <row r="732" spans="1:33">
      <c r="A732" s="2">
        <v>44575</v>
      </c>
      <c r="B732" s="5" t="s">
        <v>36</v>
      </c>
      <c r="C732" s="5">
        <f>WEEKDAY(Table1[[#This Row],[Date]])</f>
        <v>6</v>
      </c>
      <c r="D732" s="5">
        <f>MONTH(Table1[[#This Row],[Date]])</f>
        <v>1</v>
      </c>
      <c r="E732" s="5">
        <f>WEEKNUM(Table1[[#This Row],[Date]])</f>
        <v>3</v>
      </c>
      <c r="F732" s="5">
        <f>YEAR(Table1[[#This Row],[Date]])</f>
        <v>2022</v>
      </c>
      <c r="G732">
        <v>192</v>
      </c>
      <c r="L732" s="5">
        <v>142</v>
      </c>
      <c r="M732" s="6">
        <v>0.89870000000000005</v>
      </c>
      <c r="N732" s="5">
        <v>16</v>
      </c>
      <c r="O732" s="7">
        <v>2.8935185185185184E-4</v>
      </c>
      <c r="P732" s="7">
        <v>1.9097222222222222E-3</v>
      </c>
      <c r="Q732" s="7">
        <v>2.0370370370370369E-3</v>
      </c>
      <c r="R732" s="6">
        <v>0.59350000000000003</v>
      </c>
      <c r="S732" s="8">
        <f>CONVERT(Table1[[#This Row],[Talk Duration (AVG)]]*Table1[[#This Row],[Answered Calls]],"day","hr")</f>
        <v>6.5083333333333337</v>
      </c>
      <c r="T732" s="9">
        <f>Table1[[#This Row],[Actual Workload hours]]*60</f>
        <v>390.5</v>
      </c>
      <c r="U732" s="9">
        <f>CONVERT(Table1[[#This Row],[Actual]]*Table1[[#This Row],[Talk Duration (AVG)]],"day","hr")</f>
        <v>8.7999999999999989</v>
      </c>
      <c r="V732" s="10">
        <f>Table1[[#This Row],[Required Workload Hours]]*60</f>
        <v>527.99999999999989</v>
      </c>
      <c r="W732" s="9">
        <v>1.02</v>
      </c>
      <c r="X732" s="9">
        <f t="shared" si="22"/>
        <v>1.3749999999999998</v>
      </c>
      <c r="Y732" s="5">
        <f t="shared" si="23"/>
        <v>2</v>
      </c>
      <c r="Z732" s="8">
        <f>ROUNDUP(Table1[[#This Row],[Actual Heacount]],0)</f>
        <v>2</v>
      </c>
      <c r="AA732" s="8"/>
      <c r="AB732" s="10"/>
      <c r="AC732" s="10"/>
      <c r="AD732" s="10"/>
      <c r="AE732" s="11">
        <v>73.637604536133068</v>
      </c>
      <c r="AF732" s="11">
        <v>298.42015047136351</v>
      </c>
      <c r="AG732" t="s">
        <v>34</v>
      </c>
    </row>
    <row r="733" spans="1:33">
      <c r="A733" s="2">
        <v>44576</v>
      </c>
      <c r="B733" s="5" t="s">
        <v>37</v>
      </c>
      <c r="C733" s="5">
        <f>WEEKDAY(Table1[[#This Row],[Date]])</f>
        <v>7</v>
      </c>
      <c r="D733" s="5">
        <f>MONTH(Table1[[#This Row],[Date]])</f>
        <v>1</v>
      </c>
      <c r="E733" s="5">
        <f>WEEKNUM(Table1[[#This Row],[Date]])</f>
        <v>3</v>
      </c>
      <c r="F733" s="5">
        <f>YEAR(Table1[[#This Row],[Date]])</f>
        <v>2022</v>
      </c>
      <c r="G733">
        <v>194</v>
      </c>
      <c r="L733" s="5">
        <v>144</v>
      </c>
      <c r="M733" s="6">
        <v>0.89439999999999997</v>
      </c>
      <c r="N733" s="5">
        <v>17</v>
      </c>
      <c r="O733" s="7">
        <v>3.9351851851851852E-4</v>
      </c>
      <c r="P733" s="7">
        <v>1.9560185185185184E-3</v>
      </c>
      <c r="Q733" s="7">
        <v>3.472222222222222E-3</v>
      </c>
      <c r="R733" s="6">
        <v>0.53129999999999999</v>
      </c>
      <c r="S733" s="8">
        <f>CONVERT(Table1[[#This Row],[Talk Duration (AVG)]]*Table1[[#This Row],[Answered Calls]],"day","hr")</f>
        <v>6.7599999999999989</v>
      </c>
      <c r="T733" s="9">
        <f>Table1[[#This Row],[Actual Workload hours]]*60</f>
        <v>405.59999999999991</v>
      </c>
      <c r="U733" s="9">
        <f>CONVERT(Table1[[#This Row],[Actual]]*Table1[[#This Row],[Talk Duration (AVG)]],"day","hr")</f>
        <v>9.107222222222223</v>
      </c>
      <c r="V733" s="10">
        <f>Table1[[#This Row],[Required Workload Hours]]*60</f>
        <v>546.43333333333339</v>
      </c>
      <c r="W733" s="9">
        <v>1.06</v>
      </c>
      <c r="X733" s="9">
        <f t="shared" si="22"/>
        <v>1.4230034722222225</v>
      </c>
      <c r="Y733" s="5">
        <f t="shared" si="23"/>
        <v>2</v>
      </c>
      <c r="Z733" s="8">
        <f>ROUNDUP(Table1[[#This Row],[Actual Heacount]],0)</f>
        <v>2</v>
      </c>
      <c r="AA733" s="8"/>
      <c r="AB733" s="10"/>
      <c r="AC733" s="10"/>
      <c r="AD733" s="10"/>
      <c r="AE733" s="11">
        <v>75.971269495567512</v>
      </c>
      <c r="AF733" s="11">
        <v>304.20999416493731</v>
      </c>
      <c r="AG733" t="s">
        <v>34</v>
      </c>
    </row>
    <row r="734" spans="1:33">
      <c r="A734" s="2">
        <v>44577</v>
      </c>
      <c r="B734" s="5" t="s">
        <v>38</v>
      </c>
      <c r="C734" s="5">
        <f>WEEKDAY(Table1[[#This Row],[Date]])</f>
        <v>1</v>
      </c>
      <c r="D734" s="5">
        <f>MONTH(Table1[[#This Row],[Date]])</f>
        <v>1</v>
      </c>
      <c r="E734" s="5">
        <f>WEEKNUM(Table1[[#This Row],[Date]])</f>
        <v>4</v>
      </c>
      <c r="F734" s="5">
        <f>YEAR(Table1[[#This Row],[Date]])</f>
        <v>2022</v>
      </c>
      <c r="G734">
        <v>37</v>
      </c>
      <c r="L734" s="5">
        <v>34</v>
      </c>
      <c r="M734" s="6">
        <v>0.94440000000000002</v>
      </c>
      <c r="N734" s="5">
        <v>2</v>
      </c>
      <c r="O734" s="7">
        <v>2.3148148148148149E-4</v>
      </c>
      <c r="P734" s="7">
        <v>1.4467592592592592E-3</v>
      </c>
      <c r="Q734" s="7">
        <v>1.3541666666666667E-3</v>
      </c>
      <c r="R734" s="6">
        <v>0.72219999999999995</v>
      </c>
      <c r="S734" s="8">
        <f>CONVERT(Table1[[#This Row],[Talk Duration (AVG)]]*Table1[[#This Row],[Answered Calls]],"day","hr")</f>
        <v>1.1805555555555556</v>
      </c>
      <c r="T734" s="9">
        <f>Table1[[#This Row],[Actual Workload hours]]*60</f>
        <v>70.833333333333329</v>
      </c>
      <c r="U734" s="9">
        <f>CONVERT(Table1[[#This Row],[Actual]]*Table1[[#This Row],[Talk Duration (AVG)]],"day","hr")</f>
        <v>1.2847222222222223</v>
      </c>
      <c r="V734" s="10">
        <f>Table1[[#This Row],[Required Workload Hours]]*60</f>
        <v>77.083333333333343</v>
      </c>
      <c r="W734" s="9">
        <v>1</v>
      </c>
      <c r="X734" s="9">
        <f t="shared" si="22"/>
        <v>1</v>
      </c>
      <c r="Y734" s="5">
        <f t="shared" si="23"/>
        <v>1</v>
      </c>
      <c r="Z734" s="8">
        <f>ROUNDUP(Table1[[#This Row],[Actual Heacount]],0)</f>
        <v>1</v>
      </c>
      <c r="AA734" s="8"/>
      <c r="AB734" s="10"/>
      <c r="AC734" s="10"/>
      <c r="AD734" s="10"/>
      <c r="AE734" s="11">
        <v>-1.650260537844551</v>
      </c>
      <c r="AF734" s="11">
        <v>216.71527017071861</v>
      </c>
      <c r="AG734" t="s">
        <v>34</v>
      </c>
    </row>
    <row r="735" spans="1:33">
      <c r="A735" s="2">
        <v>44578</v>
      </c>
      <c r="B735" s="5" t="s">
        <v>39</v>
      </c>
      <c r="C735" s="5">
        <f>WEEKDAY(Table1[[#This Row],[Date]])</f>
        <v>2</v>
      </c>
      <c r="D735" s="5">
        <f>MONTH(Table1[[#This Row],[Date]])</f>
        <v>1</v>
      </c>
      <c r="E735" s="5">
        <f>WEEKNUM(Table1[[#This Row],[Date]])</f>
        <v>4</v>
      </c>
      <c r="F735" s="5">
        <f>YEAR(Table1[[#This Row],[Date]])</f>
        <v>2022</v>
      </c>
      <c r="G735">
        <v>180</v>
      </c>
      <c r="L735" s="5">
        <v>136</v>
      </c>
      <c r="M735" s="6">
        <v>0.92520000000000002</v>
      </c>
      <c r="N735" s="5">
        <v>11</v>
      </c>
      <c r="O735" s="7">
        <v>1.9675925925925926E-4</v>
      </c>
      <c r="P735" s="7">
        <v>2.0254629629629629E-3</v>
      </c>
      <c r="Q735" s="7">
        <v>2.2569444444444442E-3</v>
      </c>
      <c r="R735" s="6">
        <v>0.7671</v>
      </c>
      <c r="S735" s="8">
        <f>CONVERT(Table1[[#This Row],[Talk Duration (AVG)]]*Table1[[#This Row],[Answered Calls]],"day","hr")</f>
        <v>6.6111111111111107</v>
      </c>
      <c r="T735" s="9">
        <f>Table1[[#This Row],[Actual Workload hours]]*60</f>
        <v>396.66666666666663</v>
      </c>
      <c r="U735" s="9">
        <f>CONVERT(Table1[[#This Row],[Actual]]*Table1[[#This Row],[Talk Duration (AVG)]],"day","hr")</f>
        <v>8.75</v>
      </c>
      <c r="V735" s="10">
        <f>Table1[[#This Row],[Required Workload Hours]]*60</f>
        <v>525</v>
      </c>
      <c r="W735" s="9">
        <v>1.03</v>
      </c>
      <c r="X735" s="9">
        <f t="shared" si="22"/>
        <v>1.3671875</v>
      </c>
      <c r="Y735" s="5">
        <f t="shared" si="23"/>
        <v>2</v>
      </c>
      <c r="Z735" s="8">
        <f>ROUNDUP(Table1[[#This Row],[Actual Heacount]],0)</f>
        <v>2</v>
      </c>
      <c r="AA735" s="8"/>
      <c r="AB735" s="10"/>
      <c r="AC735" s="10"/>
      <c r="AD735" s="10"/>
      <c r="AE735" s="11">
        <v>94.260302847049246</v>
      </c>
      <c r="AF735" s="11">
        <v>313.46875606273147</v>
      </c>
      <c r="AG735" t="s">
        <v>34</v>
      </c>
    </row>
    <row r="736" spans="1:33">
      <c r="A736" s="2">
        <v>44579</v>
      </c>
      <c r="B736" s="5" t="s">
        <v>40</v>
      </c>
      <c r="C736" s="5">
        <f>WEEKDAY(Table1[[#This Row],[Date]])</f>
        <v>3</v>
      </c>
      <c r="D736" s="5">
        <f>MONTH(Table1[[#This Row],[Date]])</f>
        <v>1</v>
      </c>
      <c r="E736" s="5">
        <f>WEEKNUM(Table1[[#This Row],[Date]])</f>
        <v>4</v>
      </c>
      <c r="F736" s="5">
        <f>YEAR(Table1[[#This Row],[Date]])</f>
        <v>2022</v>
      </c>
      <c r="G736">
        <v>213</v>
      </c>
      <c r="L736" s="5">
        <v>130</v>
      </c>
      <c r="M736" s="6">
        <v>0.99239999999999995</v>
      </c>
      <c r="N736" s="5">
        <v>1</v>
      </c>
      <c r="O736" s="7">
        <v>2.0833333333333335E-4</v>
      </c>
      <c r="P736" s="7">
        <v>1.9328703703703704E-3</v>
      </c>
      <c r="Q736" s="7">
        <v>2.2916666666666667E-3</v>
      </c>
      <c r="R736" s="6">
        <v>0.76919999999999999</v>
      </c>
      <c r="S736" s="8">
        <f>CONVERT(Table1[[#This Row],[Talk Duration (AVG)]]*Table1[[#This Row],[Answered Calls]],"day","hr")</f>
        <v>6.0305555555555559</v>
      </c>
      <c r="T736" s="9">
        <f>Table1[[#This Row],[Actual Workload hours]]*60</f>
        <v>361.83333333333337</v>
      </c>
      <c r="U736" s="9">
        <f>CONVERT(Table1[[#This Row],[Actual]]*Table1[[#This Row],[Talk Duration (AVG)]],"day","hr")</f>
        <v>9.8808333333333334</v>
      </c>
      <c r="V736" s="10">
        <f>Table1[[#This Row],[Required Workload Hours]]*60</f>
        <v>592.85</v>
      </c>
      <c r="W736" s="9">
        <v>1</v>
      </c>
      <c r="X736" s="9">
        <f t="shared" si="22"/>
        <v>1.5438802083333334</v>
      </c>
      <c r="Y736" s="5">
        <f t="shared" si="23"/>
        <v>2</v>
      </c>
      <c r="Z736" s="8">
        <f>ROUNDUP(Table1[[#This Row],[Actual Heacount]],0)</f>
        <v>1</v>
      </c>
      <c r="AA736" s="8"/>
      <c r="AB736" s="10"/>
      <c r="AC736" s="10"/>
      <c r="AD736" s="10"/>
      <c r="AE736" s="11">
        <v>82.357294964572432</v>
      </c>
      <c r="AF736" s="11">
        <v>293.85109941018192</v>
      </c>
      <c r="AG736" t="s">
        <v>34</v>
      </c>
    </row>
    <row r="737" spans="1:33">
      <c r="A737" s="2">
        <v>44580</v>
      </c>
      <c r="B737" s="5" t="s">
        <v>33</v>
      </c>
      <c r="C737" s="5">
        <f>WEEKDAY(Table1[[#This Row],[Date]])</f>
        <v>4</v>
      </c>
      <c r="D737" s="5">
        <f>MONTH(Table1[[#This Row],[Date]])</f>
        <v>1</v>
      </c>
      <c r="E737" s="5">
        <f>WEEKNUM(Table1[[#This Row],[Date]])</f>
        <v>4</v>
      </c>
      <c r="F737" s="5">
        <f>YEAR(Table1[[#This Row],[Date]])</f>
        <v>2022</v>
      </c>
      <c r="G737">
        <v>251</v>
      </c>
      <c r="L737" s="5">
        <v>120</v>
      </c>
      <c r="M737" s="6">
        <v>0.9375</v>
      </c>
      <c r="N737" s="5">
        <v>8</v>
      </c>
      <c r="O737" s="7">
        <v>2.5462962962962961E-4</v>
      </c>
      <c r="P737" s="7">
        <v>1.9328703703703704E-3</v>
      </c>
      <c r="Q737" s="7">
        <v>1.3194444444444445E-3</v>
      </c>
      <c r="R737" s="6">
        <v>0.6825</v>
      </c>
      <c r="S737" s="8">
        <f>CONVERT(Table1[[#This Row],[Talk Duration (AVG)]]*Table1[[#This Row],[Answered Calls]],"day","hr")</f>
        <v>5.5666666666666664</v>
      </c>
      <c r="T737" s="9">
        <f>Table1[[#This Row],[Actual Workload hours]]*60</f>
        <v>334</v>
      </c>
      <c r="U737" s="9">
        <f>CONVERT(Table1[[#This Row],[Actual]]*Table1[[#This Row],[Talk Duration (AVG)]],"day","hr")</f>
        <v>11.643611111111111</v>
      </c>
      <c r="V737" s="10">
        <f>Table1[[#This Row],[Required Workload Hours]]*60</f>
        <v>698.61666666666667</v>
      </c>
      <c r="W737" s="9">
        <v>1</v>
      </c>
      <c r="X737" s="9">
        <f t="shared" si="22"/>
        <v>1.8193142361111112</v>
      </c>
      <c r="Y737" s="5">
        <f t="shared" si="23"/>
        <v>2</v>
      </c>
      <c r="Z737" s="8">
        <f>ROUNDUP(Table1[[#This Row],[Actual Heacount]],0)</f>
        <v>1</v>
      </c>
      <c r="AA737" s="8"/>
      <c r="AB737" s="10"/>
      <c r="AC737" s="10"/>
      <c r="AD737" s="10"/>
      <c r="AE737" s="11">
        <v>85.602656090952394</v>
      </c>
      <c r="AF737" s="11">
        <v>315.20617200198342</v>
      </c>
      <c r="AG737" t="s">
        <v>34</v>
      </c>
    </row>
    <row r="738" spans="1:33">
      <c r="A738" s="2">
        <v>44581</v>
      </c>
      <c r="B738" s="5" t="s">
        <v>35</v>
      </c>
      <c r="C738" s="5">
        <f>WEEKDAY(Table1[[#This Row],[Date]])</f>
        <v>5</v>
      </c>
      <c r="D738" s="5">
        <f>MONTH(Table1[[#This Row],[Date]])</f>
        <v>1</v>
      </c>
      <c r="E738" s="5">
        <f>WEEKNUM(Table1[[#This Row],[Date]])</f>
        <v>4</v>
      </c>
      <c r="F738" s="5">
        <f>YEAR(Table1[[#This Row],[Date]])</f>
        <v>2022</v>
      </c>
      <c r="G738">
        <v>200</v>
      </c>
      <c r="L738" s="5">
        <v>119</v>
      </c>
      <c r="M738" s="6">
        <v>0.875</v>
      </c>
      <c r="N738" s="5">
        <v>17</v>
      </c>
      <c r="O738" s="7">
        <v>3.0092592592592595E-4</v>
      </c>
      <c r="P738" s="7">
        <v>1.9907407407407408E-3</v>
      </c>
      <c r="Q738" s="7">
        <v>3.1828703703703702E-3</v>
      </c>
      <c r="R738" s="6">
        <v>0.60150000000000003</v>
      </c>
      <c r="S738" s="8">
        <f>CONVERT(Table1[[#This Row],[Talk Duration (AVG)]]*Table1[[#This Row],[Answered Calls]],"day","hr")</f>
        <v>5.6855555555555553</v>
      </c>
      <c r="T738" s="9">
        <f>Table1[[#This Row],[Actual Workload hours]]*60</f>
        <v>341.13333333333333</v>
      </c>
      <c r="U738" s="9">
        <f>CONVERT(Table1[[#This Row],[Actual]]*Table1[[#This Row],[Talk Duration (AVG)]],"day","hr")</f>
        <v>9.5555555555555554</v>
      </c>
      <c r="V738" s="10">
        <f>Table1[[#This Row],[Required Workload Hours]]*60</f>
        <v>573.33333333333337</v>
      </c>
      <c r="W738" s="9">
        <v>1</v>
      </c>
      <c r="X738" s="9">
        <f t="shared" si="22"/>
        <v>1.4930555555555556</v>
      </c>
      <c r="Y738" s="5">
        <f t="shared" si="23"/>
        <v>2</v>
      </c>
      <c r="Z738" s="8">
        <f>ROUNDUP(Table1[[#This Row],[Actual Heacount]],0)</f>
        <v>1</v>
      </c>
      <c r="AA738" s="8"/>
      <c r="AB738" s="10"/>
      <c r="AC738" s="10"/>
      <c r="AD738" s="10"/>
      <c r="AE738" s="11">
        <v>85.841297452393803</v>
      </c>
      <c r="AF738" s="11">
        <v>317.58210014370849</v>
      </c>
      <c r="AG738" t="s">
        <v>34</v>
      </c>
    </row>
    <row r="739" spans="1:33">
      <c r="A739" s="2">
        <v>44582</v>
      </c>
      <c r="B739" s="5" t="s">
        <v>36</v>
      </c>
      <c r="C739" s="5">
        <f>WEEKDAY(Table1[[#This Row],[Date]])</f>
        <v>6</v>
      </c>
      <c r="D739" s="5">
        <f>MONTH(Table1[[#This Row],[Date]])</f>
        <v>1</v>
      </c>
      <c r="E739" s="5">
        <f>WEEKNUM(Table1[[#This Row],[Date]])</f>
        <v>4</v>
      </c>
      <c r="F739" s="5">
        <f>YEAR(Table1[[#This Row],[Date]])</f>
        <v>2022</v>
      </c>
      <c r="G739">
        <v>214</v>
      </c>
      <c r="L739" s="5">
        <v>209</v>
      </c>
      <c r="M739" s="6">
        <v>0.92889999999999995</v>
      </c>
      <c r="N739" s="5">
        <v>16</v>
      </c>
      <c r="O739" s="7">
        <v>2.199074074074074E-4</v>
      </c>
      <c r="P739" s="7">
        <v>1.724537037037037E-3</v>
      </c>
      <c r="Q739" s="7">
        <v>2.8472222222222223E-3</v>
      </c>
      <c r="R739" s="6">
        <v>0.76019999999999999</v>
      </c>
      <c r="S739" s="8">
        <f>CONVERT(Table1[[#This Row],[Talk Duration (AVG)]]*Table1[[#This Row],[Answered Calls]],"day","hr")</f>
        <v>8.6502777777777773</v>
      </c>
      <c r="T739" s="9">
        <f>Table1[[#This Row],[Actual Workload hours]]*60</f>
        <v>519.01666666666665</v>
      </c>
      <c r="U739" s="9">
        <f>CONVERT(Table1[[#This Row],[Actual]]*Table1[[#This Row],[Talk Duration (AVG)]],"day","hr")</f>
        <v>8.857222222222223</v>
      </c>
      <c r="V739" s="10">
        <f>Table1[[#This Row],[Required Workload Hours]]*60</f>
        <v>531.43333333333339</v>
      </c>
      <c r="W739" s="9">
        <v>1.35</v>
      </c>
      <c r="X739" s="9">
        <f t="shared" si="22"/>
        <v>1.3839409722222225</v>
      </c>
      <c r="Y739" s="5">
        <f t="shared" si="23"/>
        <v>2</v>
      </c>
      <c r="Z739" s="8">
        <f>ROUNDUP(Table1[[#This Row],[Actual Heacount]],0)</f>
        <v>2</v>
      </c>
      <c r="AA739" s="8"/>
      <c r="AB739" s="10"/>
      <c r="AC739" s="10"/>
      <c r="AD739" s="10"/>
      <c r="AE739" s="11">
        <v>71.95929993447308</v>
      </c>
      <c r="AF739" s="11">
        <v>290.71867370183293</v>
      </c>
      <c r="AG739" t="s">
        <v>34</v>
      </c>
    </row>
    <row r="740" spans="1:33">
      <c r="A740" s="2">
        <v>44583</v>
      </c>
      <c r="B740" s="5" t="s">
        <v>37</v>
      </c>
      <c r="C740" s="5">
        <f>WEEKDAY(Table1[[#This Row],[Date]])</f>
        <v>7</v>
      </c>
      <c r="D740" s="5">
        <f>MONTH(Table1[[#This Row],[Date]])</f>
        <v>1</v>
      </c>
      <c r="E740" s="5">
        <f>WEEKNUM(Table1[[#This Row],[Date]])</f>
        <v>4</v>
      </c>
      <c r="F740" s="5">
        <f>YEAR(Table1[[#This Row],[Date]])</f>
        <v>2022</v>
      </c>
      <c r="G740">
        <v>185</v>
      </c>
      <c r="L740" s="5">
        <v>151</v>
      </c>
      <c r="M740" s="6">
        <v>0.9042</v>
      </c>
      <c r="N740" s="5">
        <v>16</v>
      </c>
      <c r="O740" s="7">
        <v>2.199074074074074E-4</v>
      </c>
      <c r="P740" s="7">
        <v>1.7013888888888888E-3</v>
      </c>
      <c r="Q740" s="7">
        <v>1.8981481481481482E-3</v>
      </c>
      <c r="R740" s="6">
        <v>0.73329999999999995</v>
      </c>
      <c r="S740" s="8">
        <f>CONVERT(Table1[[#This Row],[Talk Duration (AVG)]]*Table1[[#This Row],[Answered Calls]],"day","hr")</f>
        <v>6.1658333333333326</v>
      </c>
      <c r="T740" s="9">
        <f>Table1[[#This Row],[Actual Workload hours]]*60</f>
        <v>369.94999999999993</v>
      </c>
      <c r="U740" s="9">
        <f>CONVERT(Table1[[#This Row],[Actual]]*Table1[[#This Row],[Talk Duration (AVG)]],"day","hr")</f>
        <v>7.5541666666666654</v>
      </c>
      <c r="V740" s="10">
        <f>Table1[[#This Row],[Required Workload Hours]]*60</f>
        <v>453.24999999999994</v>
      </c>
      <c r="W740" s="9">
        <v>1</v>
      </c>
      <c r="X740" s="9">
        <f t="shared" si="22"/>
        <v>1.1803385416666665</v>
      </c>
      <c r="Y740" s="5">
        <f t="shared" si="23"/>
        <v>2</v>
      </c>
      <c r="Z740" s="8">
        <f>ROUNDUP(Table1[[#This Row],[Actual Heacount]],0)</f>
        <v>1</v>
      </c>
      <c r="AA740" s="8"/>
      <c r="AB740" s="10"/>
      <c r="AC740" s="10"/>
      <c r="AD740" s="10"/>
      <c r="AE740" s="11">
        <v>78.896277637400729</v>
      </c>
      <c r="AF740" s="11">
        <v>303.87324364476581</v>
      </c>
      <c r="AG740" t="s">
        <v>34</v>
      </c>
    </row>
    <row r="741" spans="1:33">
      <c r="A741" s="2">
        <v>44584</v>
      </c>
      <c r="B741" s="5" t="s">
        <v>38</v>
      </c>
      <c r="C741" s="5">
        <f>WEEKDAY(Table1[[#This Row],[Date]])</f>
        <v>1</v>
      </c>
      <c r="D741" s="5">
        <f>MONTH(Table1[[#This Row],[Date]])</f>
        <v>1</v>
      </c>
      <c r="E741" s="5">
        <f>WEEKNUM(Table1[[#This Row],[Date]])</f>
        <v>5</v>
      </c>
      <c r="F741" s="5">
        <f>YEAR(Table1[[#This Row],[Date]])</f>
        <v>2022</v>
      </c>
      <c r="G741">
        <v>49</v>
      </c>
      <c r="L741" s="5">
        <v>46</v>
      </c>
      <c r="M741" s="6">
        <v>0.95830000000000004</v>
      </c>
      <c r="N741" s="5">
        <v>2</v>
      </c>
      <c r="O741" s="7">
        <v>1.8518518518518518E-4</v>
      </c>
      <c r="P741" s="7">
        <v>1.6898148148148148E-3</v>
      </c>
      <c r="Q741" s="7">
        <v>1.8287037037037037E-3</v>
      </c>
      <c r="R741" s="6">
        <v>0.78720000000000001</v>
      </c>
      <c r="S741" s="8">
        <f>CONVERT(Table1[[#This Row],[Talk Duration (AVG)]]*Table1[[#This Row],[Answered Calls]],"day","hr")</f>
        <v>1.8655555555555556</v>
      </c>
      <c r="T741" s="9">
        <f>Table1[[#This Row],[Actual Workload hours]]*60</f>
        <v>111.93333333333334</v>
      </c>
      <c r="U741" s="9">
        <f>CONVERT(Table1[[#This Row],[Actual]]*Table1[[#This Row],[Talk Duration (AVG)]],"day","hr")</f>
        <v>1.9872222222222222</v>
      </c>
      <c r="V741" s="10">
        <f>Table1[[#This Row],[Required Workload Hours]]*60</f>
        <v>119.23333333333333</v>
      </c>
      <c r="W741" s="9">
        <v>1</v>
      </c>
      <c r="X741" s="9">
        <f t="shared" si="22"/>
        <v>1</v>
      </c>
      <c r="Y741" s="5">
        <f t="shared" si="23"/>
        <v>1</v>
      </c>
      <c r="Z741" s="8">
        <f>ROUNDUP(Table1[[#This Row],[Actual Heacount]],0)</f>
        <v>1</v>
      </c>
      <c r="AA741" s="8"/>
      <c r="AB741" s="10"/>
      <c r="AC741" s="10"/>
      <c r="AD741" s="10"/>
      <c r="AE741" s="11">
        <v>-12.085030288576689</v>
      </c>
      <c r="AF741" s="11">
        <v>210.45545629117569</v>
      </c>
      <c r="AG741" t="s">
        <v>34</v>
      </c>
    </row>
    <row r="742" spans="1:33">
      <c r="A742" s="2">
        <v>44585</v>
      </c>
      <c r="B742" s="5" t="s">
        <v>39</v>
      </c>
      <c r="C742" s="5">
        <f>WEEKDAY(Table1[[#This Row],[Date]])</f>
        <v>2</v>
      </c>
      <c r="D742" s="5">
        <f>MONTH(Table1[[#This Row],[Date]])</f>
        <v>1</v>
      </c>
      <c r="E742" s="5">
        <f>WEEKNUM(Table1[[#This Row],[Date]])</f>
        <v>5</v>
      </c>
      <c r="F742" s="5">
        <f>YEAR(Table1[[#This Row],[Date]])</f>
        <v>2022</v>
      </c>
      <c r="G742">
        <v>193</v>
      </c>
      <c r="L742" s="5">
        <v>204</v>
      </c>
      <c r="M742" s="6">
        <v>0.87929999999999997</v>
      </c>
      <c r="N742" s="5">
        <v>28</v>
      </c>
      <c r="O742" s="7">
        <v>3.7037037037037035E-4</v>
      </c>
      <c r="P742" s="7">
        <v>1.6435185185185185E-3</v>
      </c>
      <c r="Q742" s="7">
        <v>2.7314814814814814E-3</v>
      </c>
      <c r="R742" s="6">
        <v>0.55410000000000004</v>
      </c>
      <c r="S742" s="8">
        <f>CONVERT(Table1[[#This Row],[Talk Duration (AVG)]]*Table1[[#This Row],[Answered Calls]],"day","hr")</f>
        <v>8.0466666666666669</v>
      </c>
      <c r="T742" s="9">
        <f>Table1[[#This Row],[Actual Workload hours]]*60</f>
        <v>482.8</v>
      </c>
      <c r="U742" s="9">
        <f>CONVERT(Table1[[#This Row],[Actual]]*Table1[[#This Row],[Talk Duration (AVG)]],"day","hr")</f>
        <v>7.6127777777777785</v>
      </c>
      <c r="V742" s="10">
        <f>Table1[[#This Row],[Required Workload Hours]]*60</f>
        <v>456.76666666666671</v>
      </c>
      <c r="W742" s="9">
        <v>1.26</v>
      </c>
      <c r="X742" s="9">
        <f t="shared" si="22"/>
        <v>1.1894965277777778</v>
      </c>
      <c r="Y742" s="5">
        <f t="shared" si="23"/>
        <v>2</v>
      </c>
      <c r="Z742" s="8">
        <f>ROUNDUP(Table1[[#This Row],[Actual Heacount]],0)</f>
        <v>2</v>
      </c>
      <c r="AA742" s="8"/>
      <c r="AB742" s="10"/>
      <c r="AC742" s="10"/>
      <c r="AD742" s="10"/>
      <c r="AE742" s="11">
        <v>83.742429472641504</v>
      </c>
      <c r="AF742" s="11">
        <v>308.92874168319349</v>
      </c>
      <c r="AG742" t="s">
        <v>34</v>
      </c>
    </row>
    <row r="743" spans="1:33">
      <c r="A743" s="2">
        <v>44586</v>
      </c>
      <c r="B743" s="5" t="s">
        <v>40</v>
      </c>
      <c r="C743" s="5">
        <f>WEEKDAY(Table1[[#This Row],[Date]])</f>
        <v>3</v>
      </c>
      <c r="D743" s="5">
        <f>MONTH(Table1[[#This Row],[Date]])</f>
        <v>1</v>
      </c>
      <c r="E743" s="5">
        <f>WEEKNUM(Table1[[#This Row],[Date]])</f>
        <v>5</v>
      </c>
      <c r="F743" s="5">
        <f>YEAR(Table1[[#This Row],[Date]])</f>
        <v>2022</v>
      </c>
      <c r="G743">
        <v>195</v>
      </c>
      <c r="L743" s="5">
        <v>187</v>
      </c>
      <c r="M743" s="6">
        <v>0.94440000000000002</v>
      </c>
      <c r="N743" s="5">
        <v>11</v>
      </c>
      <c r="O743" s="7">
        <v>3.1250000000000001E-4</v>
      </c>
      <c r="P743" s="7">
        <v>1.9444444444444444E-3</v>
      </c>
      <c r="Q743" s="7">
        <v>2.2337962962962962E-3</v>
      </c>
      <c r="R743" s="6">
        <v>0.60199999999999998</v>
      </c>
      <c r="S743" s="8">
        <f>CONVERT(Table1[[#This Row],[Talk Duration (AVG)]]*Table1[[#This Row],[Answered Calls]],"day","hr")</f>
        <v>8.7266666666666666</v>
      </c>
      <c r="T743" s="9">
        <f>Table1[[#This Row],[Actual Workload hours]]*60</f>
        <v>523.6</v>
      </c>
      <c r="U743" s="9">
        <f>CONVERT(Table1[[#This Row],[Actual]]*Table1[[#This Row],[Talk Duration (AVG)]],"day","hr")</f>
        <v>9.1</v>
      </c>
      <c r="V743" s="10">
        <f>Table1[[#This Row],[Required Workload Hours]]*60</f>
        <v>546</v>
      </c>
      <c r="W743" s="9">
        <v>1.36</v>
      </c>
      <c r="X743" s="9">
        <f t="shared" si="22"/>
        <v>1.421875</v>
      </c>
      <c r="Y743" s="5">
        <f t="shared" si="23"/>
        <v>2</v>
      </c>
      <c r="Z743" s="8">
        <f>ROUNDUP(Table1[[#This Row],[Actual Heacount]],0)</f>
        <v>2</v>
      </c>
      <c r="AA743" s="8"/>
      <c r="AB743" s="10"/>
      <c r="AC743" s="10"/>
      <c r="AD743" s="10"/>
      <c r="AE743" s="11">
        <v>72.370173963399154</v>
      </c>
      <c r="AF743" s="11">
        <v>283.52705706471761</v>
      </c>
      <c r="AG743" t="s">
        <v>34</v>
      </c>
    </row>
    <row r="744" spans="1:33">
      <c r="A744" s="2">
        <v>44587</v>
      </c>
      <c r="B744" s="5" t="s">
        <v>33</v>
      </c>
      <c r="C744" s="5">
        <f>WEEKDAY(Table1[[#This Row],[Date]])</f>
        <v>4</v>
      </c>
      <c r="D744" s="5">
        <f>MONTH(Table1[[#This Row],[Date]])</f>
        <v>1</v>
      </c>
      <c r="E744" s="5">
        <f>WEEKNUM(Table1[[#This Row],[Date]])</f>
        <v>5</v>
      </c>
      <c r="F744" s="5">
        <f>YEAR(Table1[[#This Row],[Date]])</f>
        <v>2022</v>
      </c>
      <c r="G744">
        <v>211</v>
      </c>
      <c r="L744" s="5">
        <v>163</v>
      </c>
      <c r="M744" s="6">
        <v>0.95320000000000005</v>
      </c>
      <c r="N744" s="5">
        <v>8</v>
      </c>
      <c r="O744" s="7">
        <v>2.199074074074074E-4</v>
      </c>
      <c r="P744" s="7">
        <v>1.8634259259259259E-3</v>
      </c>
      <c r="Q744" s="7">
        <v>1.9444444444444444E-3</v>
      </c>
      <c r="R744" s="6">
        <v>0.69410000000000005</v>
      </c>
      <c r="S744" s="8">
        <f>CONVERT(Table1[[#This Row],[Talk Duration (AVG)]]*Table1[[#This Row],[Answered Calls]],"day","hr")</f>
        <v>7.2897222222222222</v>
      </c>
      <c r="T744" s="9">
        <f>Table1[[#This Row],[Actual Workload hours]]*60</f>
        <v>437.38333333333333</v>
      </c>
      <c r="U744" s="9">
        <f>CONVERT(Table1[[#This Row],[Actual]]*Table1[[#This Row],[Talk Duration (AVG)]],"day","hr")</f>
        <v>9.4363888888888887</v>
      </c>
      <c r="V744" s="10">
        <f>Table1[[#This Row],[Required Workload Hours]]*60</f>
        <v>566.18333333333328</v>
      </c>
      <c r="W744" s="9">
        <v>1.1399999999999999</v>
      </c>
      <c r="X744" s="9">
        <f t="shared" si="22"/>
        <v>1.4744357638888888</v>
      </c>
      <c r="Y744" s="5">
        <f t="shared" si="23"/>
        <v>2</v>
      </c>
      <c r="Z744" s="8">
        <f>ROUNDUP(Table1[[#This Row],[Actual Heacount]],0)</f>
        <v>2</v>
      </c>
      <c r="AA744" s="8"/>
      <c r="AB744" s="10"/>
      <c r="AC744" s="10"/>
      <c r="AD744" s="10"/>
      <c r="AE744" s="11">
        <v>84.551773961520027</v>
      </c>
      <c r="AF744" s="11">
        <v>307.25232021264361</v>
      </c>
      <c r="AG744" t="s">
        <v>34</v>
      </c>
    </row>
    <row r="745" spans="1:33">
      <c r="A745" s="2">
        <v>44588</v>
      </c>
      <c r="B745" s="5" t="s">
        <v>35</v>
      </c>
      <c r="C745" s="5">
        <f>WEEKDAY(Table1[[#This Row],[Date]])</f>
        <v>5</v>
      </c>
      <c r="D745" s="5">
        <f>MONTH(Table1[[#This Row],[Date]])</f>
        <v>1</v>
      </c>
      <c r="E745" s="5">
        <f>WEEKNUM(Table1[[#This Row],[Date]])</f>
        <v>5</v>
      </c>
      <c r="F745" s="5">
        <f>YEAR(Table1[[#This Row],[Date]])</f>
        <v>2022</v>
      </c>
      <c r="G745">
        <v>200</v>
      </c>
      <c r="L745" s="5">
        <v>173</v>
      </c>
      <c r="M745" s="6">
        <v>0.96109999999999995</v>
      </c>
      <c r="N745" s="5">
        <v>7</v>
      </c>
      <c r="O745" s="7">
        <v>3.5879629629629629E-4</v>
      </c>
      <c r="P745" s="7">
        <v>1.9560185185185184E-3</v>
      </c>
      <c r="Q745" s="7">
        <v>5.7060185185185183E-3</v>
      </c>
      <c r="R745" s="6">
        <v>0.72219999999999995</v>
      </c>
      <c r="S745" s="8">
        <f>CONVERT(Table1[[#This Row],[Talk Duration (AVG)]]*Table1[[#This Row],[Answered Calls]],"day","hr")</f>
        <v>8.1213888888888874</v>
      </c>
      <c r="T745" s="9">
        <f>Table1[[#This Row],[Actual Workload hours]]*60</f>
        <v>487.28333333333325</v>
      </c>
      <c r="U745" s="9">
        <f>CONVERT(Table1[[#This Row],[Actual]]*Table1[[#This Row],[Talk Duration (AVG)]],"day","hr")</f>
        <v>9.3888888888888893</v>
      </c>
      <c r="V745" s="10">
        <f>Table1[[#This Row],[Required Workload Hours]]*60</f>
        <v>563.33333333333337</v>
      </c>
      <c r="W745" s="9">
        <v>1.27</v>
      </c>
      <c r="X745" s="9">
        <f t="shared" si="22"/>
        <v>1.4670138888888891</v>
      </c>
      <c r="Y745" s="5">
        <f t="shared" si="23"/>
        <v>2</v>
      </c>
      <c r="Z745" s="8">
        <f>ROUNDUP(Table1[[#This Row],[Actual Heacount]],0)</f>
        <v>2</v>
      </c>
      <c r="AA745" s="8"/>
      <c r="AB745" s="10"/>
      <c r="AC745" s="10"/>
      <c r="AD745" s="10"/>
      <c r="AE745" s="11">
        <v>81.489858252555194</v>
      </c>
      <c r="AF745" s="11">
        <v>305.88216175685551</v>
      </c>
      <c r="AG745" t="s">
        <v>34</v>
      </c>
    </row>
    <row r="746" spans="1:33">
      <c r="A746" s="2">
        <v>44589</v>
      </c>
      <c r="B746" s="5" t="s">
        <v>36</v>
      </c>
      <c r="C746" s="5">
        <f>WEEKDAY(Table1[[#This Row],[Date]])</f>
        <v>6</v>
      </c>
      <c r="D746" s="5">
        <f>MONTH(Table1[[#This Row],[Date]])</f>
        <v>1</v>
      </c>
      <c r="E746" s="5">
        <f>WEEKNUM(Table1[[#This Row],[Date]])</f>
        <v>5</v>
      </c>
      <c r="F746" s="5">
        <f>YEAR(Table1[[#This Row],[Date]])</f>
        <v>2022</v>
      </c>
      <c r="G746">
        <v>48</v>
      </c>
      <c r="L746" s="5">
        <v>175</v>
      </c>
      <c r="M746" s="6">
        <v>0.91149999999999998</v>
      </c>
      <c r="N746" s="5">
        <v>17</v>
      </c>
      <c r="O746" s="7">
        <v>3.0092592592592595E-4</v>
      </c>
      <c r="P746" s="7">
        <v>2.0949074074074073E-3</v>
      </c>
      <c r="Q746" s="7">
        <v>2.5462962962962965E-3</v>
      </c>
      <c r="R746" s="6">
        <v>0.61580000000000001</v>
      </c>
      <c r="S746" s="8">
        <f>CONVERT(Table1[[#This Row],[Talk Duration (AVG)]]*Table1[[#This Row],[Answered Calls]],"day","hr")</f>
        <v>8.7986111111111107</v>
      </c>
      <c r="T746" s="9">
        <f>Table1[[#This Row],[Actual Workload hours]]*60</f>
        <v>527.91666666666663</v>
      </c>
      <c r="U746" s="9">
        <f>CONVERT(Table1[[#This Row],[Actual]]*Table1[[#This Row],[Talk Duration (AVG)]],"day","hr")</f>
        <v>2.4133333333333336</v>
      </c>
      <c r="V746" s="10">
        <f>Table1[[#This Row],[Required Workload Hours]]*60</f>
        <v>144.80000000000001</v>
      </c>
      <c r="W746" s="9">
        <v>1.37</v>
      </c>
      <c r="X746" s="9">
        <f t="shared" si="22"/>
        <v>1</v>
      </c>
      <c r="Y746" s="5">
        <f t="shared" si="23"/>
        <v>2</v>
      </c>
      <c r="Z746" s="8">
        <f>ROUNDUP(Table1[[#This Row],[Actual Heacount]],0)</f>
        <v>2</v>
      </c>
      <c r="AA746" s="8"/>
      <c r="AB746" s="10"/>
      <c r="AC746" s="10"/>
      <c r="AD746" s="10"/>
      <c r="AE746" s="11">
        <v>77.551094752185207</v>
      </c>
      <c r="AF746" s="11">
        <v>294.04099223598388</v>
      </c>
      <c r="AG746" t="s">
        <v>34</v>
      </c>
    </row>
    <row r="747" spans="1:33">
      <c r="A747" s="2">
        <v>44590</v>
      </c>
      <c r="B747" s="5" t="s">
        <v>37</v>
      </c>
      <c r="C747" s="5">
        <f>WEEKDAY(Table1[[#This Row],[Date]])</f>
        <v>7</v>
      </c>
      <c r="D747" s="5">
        <f>MONTH(Table1[[#This Row],[Date]])</f>
        <v>1</v>
      </c>
      <c r="E747" s="5">
        <f>WEEKNUM(Table1[[#This Row],[Date]])</f>
        <v>5</v>
      </c>
      <c r="F747" s="5">
        <f>YEAR(Table1[[#This Row],[Date]])</f>
        <v>2022</v>
      </c>
      <c r="G747">
        <v>164</v>
      </c>
      <c r="L747" s="5">
        <v>180</v>
      </c>
      <c r="M747" s="6">
        <v>0.92779999999999996</v>
      </c>
      <c r="N747" s="5">
        <v>14</v>
      </c>
      <c r="O747" s="7">
        <v>2.8935185185185184E-4</v>
      </c>
      <c r="P747" s="7">
        <v>1.9675925925925924E-3</v>
      </c>
      <c r="Q747" s="7">
        <v>2.8124999999999999E-3</v>
      </c>
      <c r="R747" s="6">
        <v>0.68389999999999995</v>
      </c>
      <c r="S747" s="8">
        <f>CONVERT(Table1[[#This Row],[Talk Duration (AVG)]]*Table1[[#This Row],[Answered Calls]],"day","hr")</f>
        <v>8.4999999999999982</v>
      </c>
      <c r="T747" s="9">
        <f>Table1[[#This Row],[Actual Workload hours]]*60</f>
        <v>509.99999999999989</v>
      </c>
      <c r="U747" s="9">
        <f>CONVERT(Table1[[#This Row],[Actual]]*Table1[[#This Row],[Talk Duration (AVG)]],"day","hr")</f>
        <v>7.7444444444444436</v>
      </c>
      <c r="V747" s="10">
        <f>Table1[[#This Row],[Required Workload Hours]]*60</f>
        <v>464.66666666666663</v>
      </c>
      <c r="W747" s="9">
        <v>1.33</v>
      </c>
      <c r="X747" s="9">
        <f t="shared" si="22"/>
        <v>1.2100694444444444</v>
      </c>
      <c r="Y747" s="5">
        <f t="shared" si="23"/>
        <v>2</v>
      </c>
      <c r="Z747" s="8">
        <f>ROUNDUP(Table1[[#This Row],[Actual Heacount]],0)</f>
        <v>2</v>
      </c>
      <c r="AA747" s="8"/>
      <c r="AB747" s="10"/>
      <c r="AC747" s="10"/>
      <c r="AD747" s="10"/>
      <c r="AE747" s="11">
        <v>73.04192392977707</v>
      </c>
      <c r="AF747" s="11">
        <v>298.63800261822689</v>
      </c>
      <c r="AG747" t="s">
        <v>34</v>
      </c>
    </row>
    <row r="748" spans="1:33">
      <c r="A748" s="2">
        <v>44591</v>
      </c>
      <c r="B748" s="5" t="s">
        <v>38</v>
      </c>
      <c r="C748" s="5">
        <f>WEEKDAY(Table1[[#This Row],[Date]])</f>
        <v>1</v>
      </c>
      <c r="D748" s="5">
        <f>MONTH(Table1[[#This Row],[Date]])</f>
        <v>1</v>
      </c>
      <c r="E748" s="5">
        <f>WEEKNUM(Table1[[#This Row],[Date]])</f>
        <v>6</v>
      </c>
      <c r="F748" s="5">
        <f>YEAR(Table1[[#This Row],[Date]])</f>
        <v>2022</v>
      </c>
      <c r="G748">
        <v>43</v>
      </c>
      <c r="L748" s="5">
        <v>27</v>
      </c>
      <c r="M748" s="6">
        <v>0.72970000000000002</v>
      </c>
      <c r="N748" s="5">
        <v>10</v>
      </c>
      <c r="O748" s="7">
        <v>4.0509259259259258E-4</v>
      </c>
      <c r="P748" s="7">
        <v>2.0023148148148148E-3</v>
      </c>
      <c r="Q748" s="7">
        <v>2.0601851851851853E-3</v>
      </c>
      <c r="R748" s="6">
        <v>0.5</v>
      </c>
      <c r="S748" s="8">
        <f>CONVERT(Table1[[#This Row],[Talk Duration (AVG)]]*Table1[[#This Row],[Answered Calls]],"day","hr")</f>
        <v>1.2975000000000001</v>
      </c>
      <c r="T748" s="9">
        <f>Table1[[#This Row],[Actual Workload hours]]*60</f>
        <v>77.850000000000009</v>
      </c>
      <c r="U748" s="9">
        <f>CONVERT(Table1[[#This Row],[Actual]]*Table1[[#This Row],[Talk Duration (AVG)]],"day","hr")</f>
        <v>2.0663888888888891</v>
      </c>
      <c r="V748" s="10">
        <f>Table1[[#This Row],[Required Workload Hours]]*60</f>
        <v>123.98333333333335</v>
      </c>
      <c r="W748" s="9">
        <v>1</v>
      </c>
      <c r="X748" s="9">
        <f t="shared" si="22"/>
        <v>1</v>
      </c>
      <c r="Y748" s="5">
        <f t="shared" si="23"/>
        <v>1</v>
      </c>
      <c r="Z748" s="8">
        <f>ROUNDUP(Table1[[#This Row],[Actual Heacount]],0)</f>
        <v>1</v>
      </c>
      <c r="AA748" s="8"/>
      <c r="AB748" s="10"/>
      <c r="AC748" s="10"/>
      <c r="AD748" s="10"/>
      <c r="AE748" s="11">
        <v>-17.096766227982329</v>
      </c>
      <c r="AF748" s="11">
        <v>208.93338717703921</v>
      </c>
      <c r="AG748" t="s">
        <v>34</v>
      </c>
    </row>
    <row r="749" spans="1:33">
      <c r="A749" s="2">
        <v>44592</v>
      </c>
      <c r="B749" s="5" t="s">
        <v>39</v>
      </c>
      <c r="C749" s="5">
        <f>WEEKDAY(Table1[[#This Row],[Date]])</f>
        <v>2</v>
      </c>
      <c r="D749" s="5">
        <f>MONTH(Table1[[#This Row],[Date]])</f>
        <v>1</v>
      </c>
      <c r="E749" s="5">
        <f>WEEKNUM(Table1[[#This Row],[Date]])</f>
        <v>6</v>
      </c>
      <c r="F749" s="5">
        <f>YEAR(Table1[[#This Row],[Date]])</f>
        <v>2022</v>
      </c>
      <c r="G749">
        <v>236</v>
      </c>
      <c r="L749" s="5">
        <v>169</v>
      </c>
      <c r="M749" s="6">
        <v>0.93889999999999996</v>
      </c>
      <c r="N749" s="5">
        <v>11</v>
      </c>
      <c r="O749" s="7">
        <v>2.6620370370370372E-4</v>
      </c>
      <c r="P749" s="7">
        <v>1.8981481481481482E-3</v>
      </c>
      <c r="Q749" s="7">
        <v>1.4467592592592592E-3</v>
      </c>
      <c r="R749" s="6">
        <v>0.67979999999999996</v>
      </c>
      <c r="S749" s="8">
        <f>CONVERT(Table1[[#This Row],[Talk Duration (AVG)]]*Table1[[#This Row],[Answered Calls]],"day","hr")</f>
        <v>7.6988888888888889</v>
      </c>
      <c r="T749" s="9">
        <f>Table1[[#This Row],[Actual Workload hours]]*60</f>
        <v>461.93333333333334</v>
      </c>
      <c r="U749" s="9">
        <f>CONVERT(Table1[[#This Row],[Actual]]*Table1[[#This Row],[Talk Duration (AVG)]],"day","hr")</f>
        <v>10.751111111111111</v>
      </c>
      <c r="V749" s="10">
        <f>Table1[[#This Row],[Required Workload Hours]]*60</f>
        <v>645.06666666666672</v>
      </c>
      <c r="W749" s="9">
        <v>1.2</v>
      </c>
      <c r="X749" s="9">
        <f t="shared" si="22"/>
        <v>1.6798611111111112</v>
      </c>
      <c r="Y749" s="5">
        <f t="shared" si="23"/>
        <v>2</v>
      </c>
      <c r="Z749" s="8">
        <f>ROUNDUP(Table1[[#This Row],[Actual Heacount]],0)</f>
        <v>2</v>
      </c>
      <c r="AA749" s="8"/>
      <c r="AB749" s="10"/>
      <c r="AC749" s="10"/>
      <c r="AD749" s="10"/>
      <c r="AE749" s="11">
        <v>89.003006552937961</v>
      </c>
      <c r="AF749" s="11">
        <v>309.59716921180359</v>
      </c>
      <c r="AG749" t="s">
        <v>34</v>
      </c>
    </row>
    <row r="750" spans="1:33">
      <c r="A750" s="2">
        <v>44593</v>
      </c>
      <c r="B750" s="5" t="s">
        <v>40</v>
      </c>
      <c r="C750" s="5">
        <f>WEEKDAY(Table1[[#This Row],[Date]])</f>
        <v>3</v>
      </c>
      <c r="D750" s="5">
        <f>MONTH(Table1[[#This Row],[Date]])</f>
        <v>2</v>
      </c>
      <c r="E750" s="5">
        <f>WEEKNUM(Table1[[#This Row],[Date]])</f>
        <v>6</v>
      </c>
      <c r="F750" s="5">
        <f>YEAR(Table1[[#This Row],[Date]])</f>
        <v>2022</v>
      </c>
      <c r="G750">
        <v>36</v>
      </c>
      <c r="L750" s="5">
        <v>198</v>
      </c>
      <c r="M750" s="6">
        <v>0.92959999999999998</v>
      </c>
      <c r="N750" s="5">
        <v>15</v>
      </c>
      <c r="O750" s="7">
        <v>1.8518518518518518E-4</v>
      </c>
      <c r="P750" s="7">
        <v>1.9328703703703704E-3</v>
      </c>
      <c r="Q750" s="7">
        <v>4.409722222222222E-3</v>
      </c>
      <c r="R750" s="6">
        <v>0.77249999999999996</v>
      </c>
      <c r="S750" s="8">
        <f>CONVERT(Table1[[#This Row],[Talk Duration (AVG)]]*Table1[[#This Row],[Answered Calls]],"day","hr")</f>
        <v>9.1850000000000005</v>
      </c>
      <c r="T750" s="9">
        <f>Table1[[#This Row],[Actual Workload hours]]*60</f>
        <v>551.1</v>
      </c>
      <c r="U750" s="9">
        <f>CONVERT(Table1[[#This Row],[Actual]]*Table1[[#This Row],[Talk Duration (AVG)]],"day","hr")</f>
        <v>1.67</v>
      </c>
      <c r="V750" s="10">
        <f>Table1[[#This Row],[Required Workload Hours]]*60</f>
        <v>100.19999999999999</v>
      </c>
      <c r="W750" s="9">
        <v>1.44</v>
      </c>
      <c r="X750" s="9">
        <f t="shared" si="22"/>
        <v>1</v>
      </c>
      <c r="Y750" s="5">
        <f t="shared" si="23"/>
        <v>2</v>
      </c>
      <c r="Z750" s="8">
        <f>ROUNDUP(Table1[[#This Row],[Actual Heacount]],0)</f>
        <v>2</v>
      </c>
      <c r="AA750" s="8"/>
      <c r="AB750" s="10"/>
      <c r="AC750" s="10"/>
      <c r="AD750" s="10"/>
      <c r="AE750" s="11">
        <v>75.923262932957002</v>
      </c>
      <c r="AF750" s="11">
        <v>284.67668737415642</v>
      </c>
      <c r="AG750" t="s">
        <v>34</v>
      </c>
    </row>
    <row r="751" spans="1:33">
      <c r="A751" s="2">
        <v>44594</v>
      </c>
      <c r="B751" s="5" t="s">
        <v>33</v>
      </c>
      <c r="C751" s="5">
        <f>WEEKDAY(Table1[[#This Row],[Date]])</f>
        <v>4</v>
      </c>
      <c r="D751" s="5">
        <f>MONTH(Table1[[#This Row],[Date]])</f>
        <v>2</v>
      </c>
      <c r="E751" s="5">
        <f>WEEKNUM(Table1[[#This Row],[Date]])</f>
        <v>6</v>
      </c>
      <c r="F751" s="5">
        <f>YEAR(Table1[[#This Row],[Date]])</f>
        <v>2022</v>
      </c>
      <c r="G751">
        <v>304</v>
      </c>
      <c r="L751" s="5">
        <v>239</v>
      </c>
      <c r="M751" s="6">
        <v>0.95220000000000005</v>
      </c>
      <c r="N751" s="5">
        <v>12</v>
      </c>
      <c r="O751" s="7">
        <v>2.4305555555555555E-4</v>
      </c>
      <c r="P751" s="7">
        <v>1.5972222222222223E-3</v>
      </c>
      <c r="Q751" s="7">
        <v>1.9444444444444444E-3</v>
      </c>
      <c r="R751" s="6">
        <v>0.7177</v>
      </c>
      <c r="S751" s="8">
        <f>CONVERT(Table1[[#This Row],[Talk Duration (AVG)]]*Table1[[#This Row],[Answered Calls]],"day","hr")</f>
        <v>9.1616666666666671</v>
      </c>
      <c r="T751" s="9">
        <f>Table1[[#This Row],[Actual Workload hours]]*60</f>
        <v>549.70000000000005</v>
      </c>
      <c r="U751" s="9">
        <f>CONVERT(Table1[[#This Row],[Actual]]*Table1[[#This Row],[Talk Duration (AVG)]],"day","hr")</f>
        <v>11.653333333333334</v>
      </c>
      <c r="V751" s="10">
        <f>Table1[[#This Row],[Required Workload Hours]]*60</f>
        <v>699.2</v>
      </c>
      <c r="W751" s="9">
        <v>1.43</v>
      </c>
      <c r="X751" s="9">
        <f t="shared" si="22"/>
        <v>1.8208333333333335</v>
      </c>
      <c r="Y751" s="5">
        <f t="shared" si="23"/>
        <v>2</v>
      </c>
      <c r="Z751" s="8">
        <f>ROUNDUP(Table1[[#This Row],[Actual Heacount]],0)</f>
        <v>2</v>
      </c>
      <c r="AA751" s="8"/>
      <c r="AB751" s="10"/>
      <c r="AC751" s="10"/>
      <c r="AD751" s="10"/>
      <c r="AE751" s="11">
        <v>91.073219247734926</v>
      </c>
      <c r="AF751" s="11">
        <v>310.75592422384682</v>
      </c>
      <c r="AG751" t="s">
        <v>34</v>
      </c>
    </row>
    <row r="752" spans="1:33">
      <c r="A752" s="2">
        <v>44595</v>
      </c>
      <c r="B752" s="5" t="s">
        <v>35</v>
      </c>
      <c r="C752" s="5">
        <f>WEEKDAY(Table1[[#This Row],[Date]])</f>
        <v>5</v>
      </c>
      <c r="D752" s="5">
        <f>MONTH(Table1[[#This Row],[Date]])</f>
        <v>2</v>
      </c>
      <c r="E752" s="5">
        <f>WEEKNUM(Table1[[#This Row],[Date]])</f>
        <v>6</v>
      </c>
      <c r="F752" s="5">
        <f>YEAR(Table1[[#This Row],[Date]])</f>
        <v>2022</v>
      </c>
      <c r="G752">
        <v>499</v>
      </c>
      <c r="L752" s="5">
        <v>189</v>
      </c>
      <c r="M752" s="6">
        <v>0.94499999999999995</v>
      </c>
      <c r="N752" s="5">
        <v>11</v>
      </c>
      <c r="O752" s="7">
        <v>2.199074074074074E-4</v>
      </c>
      <c r="P752" s="7">
        <v>2.0023148148148148E-3</v>
      </c>
      <c r="Q752" s="7">
        <v>3.1944444444444446E-3</v>
      </c>
      <c r="R752" s="6">
        <v>0.76259999999999994</v>
      </c>
      <c r="S752" s="8">
        <f>CONVERT(Table1[[#This Row],[Talk Duration (AVG)]]*Table1[[#This Row],[Answered Calls]],"day","hr")</f>
        <v>9.0824999999999996</v>
      </c>
      <c r="T752" s="9">
        <f>Table1[[#This Row],[Actual Workload hours]]*60</f>
        <v>544.94999999999993</v>
      </c>
      <c r="U752" s="9">
        <f>CONVERT(Table1[[#This Row],[Actual]]*Table1[[#This Row],[Talk Duration (AVG)]],"day","hr")</f>
        <v>23.979722222222222</v>
      </c>
      <c r="V752" s="10">
        <f>Table1[[#This Row],[Required Workload Hours]]*60</f>
        <v>1438.7833333333333</v>
      </c>
      <c r="W752" s="9">
        <v>1.42</v>
      </c>
      <c r="X752" s="9">
        <f t="shared" si="22"/>
        <v>3.7468315972222221</v>
      </c>
      <c r="Y752" s="5">
        <f t="shared" si="23"/>
        <v>2</v>
      </c>
      <c r="Z752" s="8">
        <f>ROUNDUP(Table1[[#This Row],[Actual Heacount]],0)</f>
        <v>2</v>
      </c>
      <c r="AA752" s="8"/>
      <c r="AB752" s="10"/>
      <c r="AC752" s="10"/>
      <c r="AD752" s="10"/>
      <c r="AE752" s="11">
        <v>85.738576103846583</v>
      </c>
      <c r="AF752" s="11">
        <v>302.65238259590541</v>
      </c>
      <c r="AG752" t="s">
        <v>34</v>
      </c>
    </row>
    <row r="753" spans="1:33">
      <c r="A753" s="2">
        <v>44596</v>
      </c>
      <c r="B753" s="5" t="s">
        <v>36</v>
      </c>
      <c r="C753" s="5">
        <f>WEEKDAY(Table1[[#This Row],[Date]])</f>
        <v>6</v>
      </c>
      <c r="D753" s="5">
        <f>MONTH(Table1[[#This Row],[Date]])</f>
        <v>2</v>
      </c>
      <c r="E753" s="5">
        <f>WEEKNUM(Table1[[#This Row],[Date]])</f>
        <v>6</v>
      </c>
      <c r="F753" s="5">
        <f>YEAR(Table1[[#This Row],[Date]])</f>
        <v>2022</v>
      </c>
      <c r="G753">
        <v>106</v>
      </c>
      <c r="L753" s="5">
        <v>205</v>
      </c>
      <c r="M753" s="6">
        <v>0.95789999999999997</v>
      </c>
      <c r="N753" s="5">
        <v>9</v>
      </c>
      <c r="O753" s="7">
        <v>2.8935185185185184E-4</v>
      </c>
      <c r="P753" s="7">
        <v>1.9444444444444444E-3</v>
      </c>
      <c r="Q753" s="7">
        <v>5.0578703703703706E-3</v>
      </c>
      <c r="R753" s="6">
        <v>0.71960000000000002</v>
      </c>
      <c r="S753" s="8">
        <f>CONVERT(Table1[[#This Row],[Talk Duration (AVG)]]*Table1[[#This Row],[Answered Calls]],"day","hr")</f>
        <v>9.5666666666666664</v>
      </c>
      <c r="T753" s="9">
        <f>Table1[[#This Row],[Actual Workload hours]]*60</f>
        <v>574</v>
      </c>
      <c r="U753" s="9">
        <f>CONVERT(Table1[[#This Row],[Actual]]*Table1[[#This Row],[Talk Duration (AVG)]],"day","hr")</f>
        <v>4.9466666666666663</v>
      </c>
      <c r="V753" s="10">
        <f>Table1[[#This Row],[Required Workload Hours]]*60</f>
        <v>296.79999999999995</v>
      </c>
      <c r="W753" s="9">
        <v>1.49</v>
      </c>
      <c r="X753" s="9">
        <f t="shared" si="22"/>
        <v>1</v>
      </c>
      <c r="Y753" s="5">
        <f t="shared" si="23"/>
        <v>2</v>
      </c>
      <c r="Z753" s="8">
        <f>ROUNDUP(Table1[[#This Row],[Actual Heacount]],0)</f>
        <v>2</v>
      </c>
      <c r="AA753" s="8"/>
      <c r="AB753" s="10"/>
      <c r="AC753" s="10"/>
      <c r="AD753" s="10"/>
      <c r="AE753" s="11">
        <v>84.101039567784184</v>
      </c>
      <c r="AF753" s="11">
        <v>306.74385853280302</v>
      </c>
      <c r="AG753" t="s">
        <v>34</v>
      </c>
    </row>
    <row r="754" spans="1:33">
      <c r="A754" s="2">
        <v>44597</v>
      </c>
      <c r="B754" s="5" t="s">
        <v>37</v>
      </c>
      <c r="C754" s="5">
        <f>WEEKDAY(Table1[[#This Row],[Date]])</f>
        <v>7</v>
      </c>
      <c r="D754" s="5">
        <f>MONTH(Table1[[#This Row],[Date]])</f>
        <v>2</v>
      </c>
      <c r="E754" s="5">
        <f>WEEKNUM(Table1[[#This Row],[Date]])</f>
        <v>6</v>
      </c>
      <c r="F754" s="5">
        <f>YEAR(Table1[[#This Row],[Date]])</f>
        <v>2022</v>
      </c>
      <c r="G754">
        <v>482</v>
      </c>
      <c r="L754" s="5">
        <v>154</v>
      </c>
      <c r="M754" s="6">
        <v>0.83240000000000003</v>
      </c>
      <c r="N754" s="5">
        <v>31</v>
      </c>
      <c r="O754" s="7">
        <v>5.4398148148148144E-4</v>
      </c>
      <c r="P754" s="7">
        <v>2.0370370370370369E-3</v>
      </c>
      <c r="Q754" s="7">
        <v>2.2685185185185187E-3</v>
      </c>
      <c r="R754" s="6">
        <v>0.35909999999999997</v>
      </c>
      <c r="S754" s="8">
        <f>CONVERT(Table1[[#This Row],[Talk Duration (AVG)]]*Table1[[#This Row],[Answered Calls]],"day","hr")</f>
        <v>7.5288888888888881</v>
      </c>
      <c r="T754" s="9">
        <f>Table1[[#This Row],[Actual Workload hours]]*60</f>
        <v>451.73333333333329</v>
      </c>
      <c r="U754" s="9">
        <f>CONVERT(Table1[[#This Row],[Actual]]*Table1[[#This Row],[Talk Duration (AVG)]],"day","hr")</f>
        <v>23.56444444444444</v>
      </c>
      <c r="V754" s="10">
        <f>Table1[[#This Row],[Required Workload Hours]]*60</f>
        <v>1413.8666666666663</v>
      </c>
      <c r="W754" s="9">
        <v>1.18</v>
      </c>
      <c r="X754" s="9">
        <f t="shared" si="22"/>
        <v>3.6819444444444436</v>
      </c>
      <c r="Y754" s="5">
        <f t="shared" si="23"/>
        <v>2</v>
      </c>
      <c r="Z754" s="8">
        <f>ROUNDUP(Table1[[#This Row],[Actual Heacount]],0)</f>
        <v>2</v>
      </c>
      <c r="AA754" s="8"/>
      <c r="AB754" s="10"/>
      <c r="AC754" s="10"/>
      <c r="AD754" s="10"/>
      <c r="AE754" s="11">
        <v>80.970100197605575</v>
      </c>
      <c r="AF754" s="11">
        <v>304.32656829318512</v>
      </c>
      <c r="AG754" t="s">
        <v>34</v>
      </c>
    </row>
    <row r="755" spans="1:33">
      <c r="A755" s="2">
        <v>44600</v>
      </c>
      <c r="B755" s="5" t="s">
        <v>38</v>
      </c>
      <c r="C755" s="5">
        <f>WEEKDAY(Table1[[#This Row],[Date]])</f>
        <v>3</v>
      </c>
      <c r="D755" s="5">
        <f>MONTH(Table1[[#This Row],[Date]])</f>
        <v>2</v>
      </c>
      <c r="E755" s="5">
        <f>WEEKNUM(Table1[[#This Row],[Date]])</f>
        <v>7</v>
      </c>
      <c r="F755" s="5">
        <f>YEAR(Table1[[#This Row],[Date]])</f>
        <v>2022</v>
      </c>
      <c r="G755">
        <v>154</v>
      </c>
      <c r="L755" s="5">
        <v>46</v>
      </c>
      <c r="M755" s="6">
        <v>0.93879999999999997</v>
      </c>
      <c r="N755" s="5">
        <v>3</v>
      </c>
      <c r="O755" s="7">
        <v>4.3981481481481481E-4</v>
      </c>
      <c r="P755" s="7">
        <v>1.6319444444444445E-3</v>
      </c>
      <c r="Q755" s="7">
        <v>1.5740740740740741E-3</v>
      </c>
      <c r="R755" s="6">
        <v>0.52080000000000004</v>
      </c>
      <c r="S755" s="8">
        <f>CONVERT(Table1[[#This Row],[Talk Duration (AVG)]]*Table1[[#This Row],[Answered Calls]],"day","hr")</f>
        <v>1.801666666666667</v>
      </c>
      <c r="T755" s="9">
        <f>Table1[[#This Row],[Actual Workload hours]]*60</f>
        <v>108.10000000000002</v>
      </c>
      <c r="U755" s="9">
        <f>CONVERT(Table1[[#This Row],[Actual]]*Table1[[#This Row],[Talk Duration (AVG)]],"day","hr")</f>
        <v>6.0316666666666681</v>
      </c>
      <c r="V755" s="10">
        <f>Table1[[#This Row],[Required Workload Hours]]*60</f>
        <v>361.90000000000009</v>
      </c>
      <c r="W755" s="9">
        <v>1</v>
      </c>
      <c r="X755" s="9">
        <f t="shared" si="22"/>
        <v>1</v>
      </c>
      <c r="Y755" s="5">
        <f t="shared" si="23"/>
        <v>1</v>
      </c>
      <c r="Z755" s="8">
        <f>ROUNDUP(Table1[[#This Row],[Actual Heacount]],0)</f>
        <v>1</v>
      </c>
      <c r="AA755" s="8"/>
      <c r="AB755" s="10"/>
      <c r="AC755" s="10"/>
      <c r="AD755" s="10"/>
      <c r="AE755" s="11">
        <v>94.751104917465369</v>
      </c>
      <c r="AF755" s="11">
        <v>312.08794381799231</v>
      </c>
      <c r="AG755" t="s">
        <v>34</v>
      </c>
    </row>
    <row r="756" spans="1:33">
      <c r="A756" s="2">
        <v>44601</v>
      </c>
      <c r="B756" s="5" t="s">
        <v>39</v>
      </c>
      <c r="C756" s="5">
        <f>WEEKDAY(Table1[[#This Row],[Date]])</f>
        <v>4</v>
      </c>
      <c r="D756" s="5">
        <f>MONTH(Table1[[#This Row],[Date]])</f>
        <v>2</v>
      </c>
      <c r="E756" s="5">
        <f>WEEKNUM(Table1[[#This Row],[Date]])</f>
        <v>7</v>
      </c>
      <c r="F756" s="5">
        <f>YEAR(Table1[[#This Row],[Date]])</f>
        <v>2022</v>
      </c>
      <c r="G756">
        <v>170</v>
      </c>
      <c r="L756" s="5">
        <v>185</v>
      </c>
      <c r="M756" s="6">
        <v>0.95850000000000002</v>
      </c>
      <c r="N756" s="5">
        <v>8</v>
      </c>
      <c r="O756" s="7">
        <v>2.4305555555555555E-4</v>
      </c>
      <c r="P756" s="7">
        <v>1.9791666666666668E-3</v>
      </c>
      <c r="Q756" s="7">
        <v>2.7430555555555554E-3</v>
      </c>
      <c r="R756" s="6">
        <v>0.75790000000000002</v>
      </c>
      <c r="S756" s="8">
        <f>CONVERT(Table1[[#This Row],[Talk Duration (AVG)]]*Table1[[#This Row],[Answered Calls]],"day","hr")</f>
        <v>8.7874999999999996</v>
      </c>
      <c r="T756" s="9">
        <f>Table1[[#This Row],[Actual Workload hours]]*60</f>
        <v>527.25</v>
      </c>
      <c r="U756" s="9">
        <f>CONVERT(Table1[[#This Row],[Actual]]*Table1[[#This Row],[Talk Duration (AVG)]],"day","hr")</f>
        <v>8.0750000000000011</v>
      </c>
      <c r="V756" s="10">
        <f>Table1[[#This Row],[Required Workload Hours]]*60</f>
        <v>484.50000000000006</v>
      </c>
      <c r="W756" s="9">
        <v>1.37</v>
      </c>
      <c r="X756" s="9">
        <f t="shared" si="22"/>
        <v>1.2617187500000002</v>
      </c>
      <c r="Y756" s="5">
        <f t="shared" si="23"/>
        <v>2</v>
      </c>
      <c r="Z756" s="8">
        <f>ROUNDUP(Table1[[#This Row],[Actual Heacount]],0)</f>
        <v>2</v>
      </c>
      <c r="AA756" s="8"/>
      <c r="AB756" s="10"/>
      <c r="AC756" s="10"/>
      <c r="AD756" s="10"/>
      <c r="AE756" s="11">
        <v>105.1157900786126</v>
      </c>
      <c r="AF756" s="11">
        <v>319.97934445711411</v>
      </c>
      <c r="AG756" t="s">
        <v>34</v>
      </c>
    </row>
    <row r="757" spans="1:33">
      <c r="A757" s="2">
        <v>44602</v>
      </c>
      <c r="B757" s="5" t="s">
        <v>40</v>
      </c>
      <c r="C757" s="5">
        <f>WEEKDAY(Table1[[#This Row],[Date]])</f>
        <v>5</v>
      </c>
      <c r="D757" s="5">
        <f>MONTH(Table1[[#This Row],[Date]])</f>
        <v>2</v>
      </c>
      <c r="E757" s="5">
        <f>WEEKNUM(Table1[[#This Row],[Date]])</f>
        <v>7</v>
      </c>
      <c r="F757" s="5">
        <f>YEAR(Table1[[#This Row],[Date]])</f>
        <v>2022</v>
      </c>
      <c r="G757">
        <v>61</v>
      </c>
      <c r="L757" s="5">
        <v>184</v>
      </c>
      <c r="M757" s="6">
        <v>0.94359999999999999</v>
      </c>
      <c r="N757" s="5">
        <v>11</v>
      </c>
      <c r="O757" s="7">
        <v>2.5462962962962961E-4</v>
      </c>
      <c r="P757" s="7">
        <v>1.8402777777777777E-3</v>
      </c>
      <c r="Q757" s="7">
        <v>1.8287037037037037E-3</v>
      </c>
      <c r="R757" s="6">
        <v>0.7</v>
      </c>
      <c r="S757" s="8">
        <f>CONVERT(Table1[[#This Row],[Talk Duration (AVG)]]*Table1[[#This Row],[Answered Calls]],"day","hr")</f>
        <v>8.1266666666666652</v>
      </c>
      <c r="T757" s="9">
        <f>Table1[[#This Row],[Actual Workload hours]]*60</f>
        <v>487.59999999999991</v>
      </c>
      <c r="U757" s="9">
        <f>CONVERT(Table1[[#This Row],[Actual]]*Table1[[#This Row],[Talk Duration (AVG)]],"day","hr")</f>
        <v>2.6941666666666668</v>
      </c>
      <c r="V757" s="10">
        <f>Table1[[#This Row],[Required Workload Hours]]*60</f>
        <v>161.65</v>
      </c>
      <c r="W757" s="9">
        <v>1.27</v>
      </c>
      <c r="X757" s="9">
        <f t="shared" si="22"/>
        <v>1</v>
      </c>
      <c r="Y757" s="5">
        <f t="shared" si="23"/>
        <v>2</v>
      </c>
      <c r="Z757" s="8">
        <f>ROUNDUP(Table1[[#This Row],[Actual Heacount]],0)</f>
        <v>2</v>
      </c>
      <c r="AA757" s="8"/>
      <c r="AB757" s="10"/>
      <c r="AC757" s="10"/>
      <c r="AD757" s="10"/>
      <c r="AE757" s="11">
        <v>106.4193098697685</v>
      </c>
      <c r="AF757" s="11">
        <v>326.59441764880478</v>
      </c>
      <c r="AG757" t="s">
        <v>34</v>
      </c>
    </row>
    <row r="758" spans="1:33">
      <c r="A758" s="2">
        <v>44603</v>
      </c>
      <c r="B758" s="5" t="s">
        <v>33</v>
      </c>
      <c r="C758" s="5">
        <f>WEEKDAY(Table1[[#This Row],[Date]])</f>
        <v>6</v>
      </c>
      <c r="D758" s="5">
        <f>MONTH(Table1[[#This Row],[Date]])</f>
        <v>2</v>
      </c>
      <c r="E758" s="5">
        <f>WEEKNUM(Table1[[#This Row],[Date]])</f>
        <v>7</v>
      </c>
      <c r="F758" s="5">
        <f>YEAR(Table1[[#This Row],[Date]])</f>
        <v>2022</v>
      </c>
      <c r="G758">
        <v>234</v>
      </c>
      <c r="L758" s="5">
        <v>195</v>
      </c>
      <c r="M758" s="6">
        <v>0.92420000000000002</v>
      </c>
      <c r="N758" s="5">
        <v>16</v>
      </c>
      <c r="O758" s="7">
        <v>3.9351851851851852E-4</v>
      </c>
      <c r="P758" s="7">
        <v>1.9791666666666668E-3</v>
      </c>
      <c r="Q758" s="7">
        <v>3.1365740740740742E-3</v>
      </c>
      <c r="R758" s="6">
        <v>0.56940000000000002</v>
      </c>
      <c r="S758" s="8">
        <f>CONVERT(Table1[[#This Row],[Talk Duration (AVG)]]*Table1[[#This Row],[Answered Calls]],"day","hr")</f>
        <v>9.2625000000000028</v>
      </c>
      <c r="T758" s="9">
        <f>Table1[[#This Row],[Actual Workload hours]]*60</f>
        <v>555.75000000000023</v>
      </c>
      <c r="U758" s="9">
        <f>CONVERT(Table1[[#This Row],[Actual]]*Table1[[#This Row],[Talk Duration (AVG)]],"day","hr")</f>
        <v>11.115000000000002</v>
      </c>
      <c r="V758" s="10">
        <f>Table1[[#This Row],[Required Workload Hours]]*60</f>
        <v>666.90000000000009</v>
      </c>
      <c r="W758" s="9">
        <v>1.45</v>
      </c>
      <c r="X758" s="9">
        <f t="shared" si="22"/>
        <v>1.7367187500000003</v>
      </c>
      <c r="Y758" s="5">
        <f t="shared" si="23"/>
        <v>2</v>
      </c>
      <c r="Z758" s="8">
        <f>ROUNDUP(Table1[[#This Row],[Actual Heacount]],0)</f>
        <v>2</v>
      </c>
      <c r="AA758" s="8"/>
      <c r="AB758" s="10"/>
      <c r="AC758" s="10"/>
      <c r="AD758" s="10"/>
      <c r="AE758" s="11">
        <v>90.288549193413004</v>
      </c>
      <c r="AF758" s="11">
        <v>321.88456220457198</v>
      </c>
      <c r="AG758" t="s">
        <v>34</v>
      </c>
    </row>
    <row r="759" spans="1:33">
      <c r="A759" s="2">
        <v>44604</v>
      </c>
      <c r="B759" s="5" t="s">
        <v>35</v>
      </c>
      <c r="C759" s="5">
        <f>WEEKDAY(Table1[[#This Row],[Date]])</f>
        <v>7</v>
      </c>
      <c r="D759" s="5">
        <f>MONTH(Table1[[#This Row],[Date]])</f>
        <v>2</v>
      </c>
      <c r="E759" s="5">
        <f>WEEKNUM(Table1[[#This Row],[Date]])</f>
        <v>7</v>
      </c>
      <c r="F759" s="5">
        <f>YEAR(Table1[[#This Row],[Date]])</f>
        <v>2022</v>
      </c>
      <c r="G759">
        <v>174</v>
      </c>
      <c r="L759" s="5">
        <v>190</v>
      </c>
      <c r="M759" s="6">
        <v>0.95</v>
      </c>
      <c r="N759" s="5">
        <v>10</v>
      </c>
      <c r="O759" s="7">
        <v>1.7361111111111112E-4</v>
      </c>
      <c r="P759" s="7">
        <v>2.0370370370370369E-3</v>
      </c>
      <c r="Q759" s="7">
        <v>2.1527777777777778E-3</v>
      </c>
      <c r="R759" s="6">
        <v>0.80930000000000002</v>
      </c>
      <c r="S759" s="8">
        <f>CONVERT(Table1[[#This Row],[Talk Duration (AVG)]]*Table1[[#This Row],[Answered Calls]],"day","hr")</f>
        <v>9.2888888888888896</v>
      </c>
      <c r="T759" s="9">
        <f>Table1[[#This Row],[Actual Workload hours]]*60</f>
        <v>557.33333333333337</v>
      </c>
      <c r="U759" s="9">
        <f>CONVERT(Table1[[#This Row],[Actual]]*Table1[[#This Row],[Talk Duration (AVG)]],"day","hr")</f>
        <v>8.5066666666666659</v>
      </c>
      <c r="V759" s="10">
        <f>Table1[[#This Row],[Required Workload Hours]]*60</f>
        <v>510.4</v>
      </c>
      <c r="W759" s="9">
        <v>1.45</v>
      </c>
      <c r="X759" s="9">
        <f t="shared" si="22"/>
        <v>1.3291666666666666</v>
      </c>
      <c r="Y759" s="5">
        <f t="shared" si="23"/>
        <v>2</v>
      </c>
      <c r="Z759" s="8">
        <f>ROUNDUP(Table1[[#This Row],[Actual Heacount]],0)</f>
        <v>2</v>
      </c>
      <c r="AA759" s="8"/>
      <c r="AB759" s="10"/>
      <c r="AC759" s="10"/>
      <c r="AD759" s="10"/>
      <c r="AE759" s="11">
        <v>108.309055045631</v>
      </c>
      <c r="AF759" s="11">
        <v>324.21252279192589</v>
      </c>
      <c r="AG759" t="s">
        <v>34</v>
      </c>
    </row>
    <row r="760" spans="1:33">
      <c r="A760" s="2">
        <v>44605</v>
      </c>
      <c r="B760" s="5" t="s">
        <v>36</v>
      </c>
      <c r="C760" s="5">
        <f>WEEKDAY(Table1[[#This Row],[Date]])</f>
        <v>1</v>
      </c>
      <c r="D760" s="5">
        <f>MONTH(Table1[[#This Row],[Date]])</f>
        <v>2</v>
      </c>
      <c r="E760" s="5">
        <f>WEEKNUM(Table1[[#This Row],[Date]])</f>
        <v>8</v>
      </c>
      <c r="F760" s="5">
        <f>YEAR(Table1[[#This Row],[Date]])</f>
        <v>2022</v>
      </c>
      <c r="G760">
        <v>70</v>
      </c>
      <c r="L760" s="5">
        <v>47</v>
      </c>
      <c r="M760" s="6">
        <v>0.97919999999999996</v>
      </c>
      <c r="N760" s="5">
        <v>1</v>
      </c>
      <c r="O760" s="7">
        <v>1.7361111111111112E-4</v>
      </c>
      <c r="P760" s="7">
        <v>2.2337962962962962E-3</v>
      </c>
      <c r="Q760" s="7">
        <v>2.0601851851851853E-3</v>
      </c>
      <c r="R760" s="6">
        <v>0.8125</v>
      </c>
      <c r="S760" s="8">
        <f>CONVERT(Table1[[#This Row],[Talk Duration (AVG)]]*Table1[[#This Row],[Answered Calls]],"day","hr")</f>
        <v>2.5197222222222222</v>
      </c>
      <c r="T760" s="9">
        <f>Table1[[#This Row],[Actual Workload hours]]*60</f>
        <v>151.18333333333334</v>
      </c>
      <c r="U760" s="9">
        <f>CONVERT(Table1[[#This Row],[Actual]]*Table1[[#This Row],[Talk Duration (AVG)]],"day","hr")</f>
        <v>3.7527777777777773</v>
      </c>
      <c r="V760" s="10">
        <f>Table1[[#This Row],[Required Workload Hours]]*60</f>
        <v>225.16666666666663</v>
      </c>
      <c r="W760" s="9">
        <v>1</v>
      </c>
      <c r="X760" s="9">
        <f t="shared" si="22"/>
        <v>1</v>
      </c>
      <c r="Y760" s="5">
        <f t="shared" si="23"/>
        <v>2</v>
      </c>
      <c r="Z760" s="8">
        <f>ROUNDUP(Table1[[#This Row],[Actual Heacount]],0)</f>
        <v>1</v>
      </c>
      <c r="AA760" s="8"/>
      <c r="AB760" s="10"/>
      <c r="AC760" s="10"/>
      <c r="AD760" s="10"/>
      <c r="AE760" s="11">
        <v>18.360836852568749</v>
      </c>
      <c r="AF760" s="11">
        <v>242.85952682493721</v>
      </c>
      <c r="AG760" t="s">
        <v>34</v>
      </c>
    </row>
    <row r="761" spans="1:33">
      <c r="A761" s="2">
        <v>44606</v>
      </c>
      <c r="B761" s="5" t="s">
        <v>37</v>
      </c>
      <c r="C761" s="5">
        <f>WEEKDAY(Table1[[#This Row],[Date]])</f>
        <v>2</v>
      </c>
      <c r="D761" s="5">
        <f>MONTH(Table1[[#This Row],[Date]])</f>
        <v>2</v>
      </c>
      <c r="E761" s="5">
        <f>WEEKNUM(Table1[[#This Row],[Date]])</f>
        <v>8</v>
      </c>
      <c r="F761" s="5">
        <f>YEAR(Table1[[#This Row],[Date]])</f>
        <v>2022</v>
      </c>
      <c r="G761">
        <v>287</v>
      </c>
      <c r="L761" s="5">
        <v>159</v>
      </c>
      <c r="M761" s="6">
        <v>0.96950000000000003</v>
      </c>
      <c r="N761" s="5">
        <v>5</v>
      </c>
      <c r="O761" s="7">
        <v>2.3148148148148149E-4</v>
      </c>
      <c r="P761" s="7">
        <v>1.9791666666666668E-3</v>
      </c>
      <c r="Q761" s="7">
        <v>3.3217592592592591E-3</v>
      </c>
      <c r="R761" s="6">
        <v>0.77780000000000005</v>
      </c>
      <c r="S761" s="8">
        <f>CONVERT(Table1[[#This Row],[Talk Duration (AVG)]]*Table1[[#This Row],[Answered Calls]],"day","hr")</f>
        <v>7.5525000000000002</v>
      </c>
      <c r="T761" s="9">
        <f>Table1[[#This Row],[Actual Workload hours]]*60</f>
        <v>453.15000000000003</v>
      </c>
      <c r="U761" s="9">
        <f>CONVERT(Table1[[#This Row],[Actual]]*Table1[[#This Row],[Talk Duration (AVG)]],"day","hr")</f>
        <v>13.632500000000002</v>
      </c>
      <c r="V761" s="10">
        <f>Table1[[#This Row],[Required Workload Hours]]*60</f>
        <v>817.95000000000016</v>
      </c>
      <c r="W761" s="9">
        <v>1.18</v>
      </c>
      <c r="X761" s="9">
        <f t="shared" si="22"/>
        <v>2.1300781250000003</v>
      </c>
      <c r="Y761" s="5">
        <f t="shared" si="23"/>
        <v>2</v>
      </c>
      <c r="Z761" s="8">
        <f>ROUNDUP(Table1[[#This Row],[Actual Heacount]],0)</f>
        <v>2</v>
      </c>
      <c r="AA761" s="8"/>
      <c r="AB761" s="10"/>
      <c r="AC761" s="10"/>
      <c r="AD761" s="10"/>
      <c r="AE761" s="11">
        <v>129.72869596044421</v>
      </c>
      <c r="AF761" s="11">
        <v>342.57132280996149</v>
      </c>
      <c r="AG761" t="s">
        <v>34</v>
      </c>
    </row>
    <row r="762" spans="1:33">
      <c r="A762" s="2">
        <v>44607</v>
      </c>
      <c r="B762" s="5" t="s">
        <v>38</v>
      </c>
      <c r="C762" s="5">
        <f>WEEKDAY(Table1[[#This Row],[Date]])</f>
        <v>3</v>
      </c>
      <c r="D762" s="5">
        <f>MONTH(Table1[[#This Row],[Date]])</f>
        <v>2</v>
      </c>
      <c r="E762" s="5">
        <f>WEEKNUM(Table1[[#This Row],[Date]])</f>
        <v>8</v>
      </c>
      <c r="F762" s="5">
        <f>YEAR(Table1[[#This Row],[Date]])</f>
        <v>2022</v>
      </c>
      <c r="G762">
        <v>298</v>
      </c>
      <c r="L762" s="5">
        <v>42</v>
      </c>
      <c r="M762" s="6">
        <v>0.97670000000000001</v>
      </c>
      <c r="N762" s="5">
        <v>1</v>
      </c>
      <c r="O762" s="7">
        <v>1.6203703703703703E-4</v>
      </c>
      <c r="P762" s="7">
        <v>1.7592592592592592E-3</v>
      </c>
      <c r="Q762" s="7">
        <v>1.7824074074074075E-3</v>
      </c>
      <c r="R762" s="6">
        <v>0.83720000000000006</v>
      </c>
      <c r="S762" s="8">
        <f>CONVERT(Table1[[#This Row],[Talk Duration (AVG)]]*Table1[[#This Row],[Answered Calls]],"day","hr")</f>
        <v>1.7733333333333334</v>
      </c>
      <c r="T762" s="9">
        <f>Table1[[#This Row],[Actual Workload hours]]*60</f>
        <v>106.4</v>
      </c>
      <c r="U762" s="9">
        <f>CONVERT(Table1[[#This Row],[Actual]]*Table1[[#This Row],[Talk Duration (AVG)]],"day","hr")</f>
        <v>12.582222222222221</v>
      </c>
      <c r="V762" s="10">
        <f>Table1[[#This Row],[Required Workload Hours]]*60</f>
        <v>754.93333333333328</v>
      </c>
      <c r="W762" s="9">
        <v>1</v>
      </c>
      <c r="X762" s="9">
        <f t="shared" si="22"/>
        <v>1.965972222222222</v>
      </c>
      <c r="Y762" s="5">
        <f t="shared" si="23"/>
        <v>1</v>
      </c>
      <c r="Z762" s="8">
        <f>ROUNDUP(Table1[[#This Row],[Actual Heacount]],0)</f>
        <v>1</v>
      </c>
      <c r="AA762" s="8"/>
      <c r="AB762" s="10"/>
      <c r="AC762" s="10"/>
      <c r="AD762" s="10"/>
      <c r="AE762" s="11">
        <v>106.22570906956319</v>
      </c>
      <c r="AF762" s="11">
        <v>339.21283334594409</v>
      </c>
      <c r="AG762" t="s">
        <v>34</v>
      </c>
    </row>
    <row r="763" spans="1:33">
      <c r="A763" s="2">
        <v>44608</v>
      </c>
      <c r="B763" s="5" t="s">
        <v>39</v>
      </c>
      <c r="C763" s="5">
        <f>WEEKDAY(Table1[[#This Row],[Date]])</f>
        <v>4</v>
      </c>
      <c r="D763" s="5">
        <f>MONTH(Table1[[#This Row],[Date]])</f>
        <v>2</v>
      </c>
      <c r="E763" s="5">
        <f>WEEKNUM(Table1[[#This Row],[Date]])</f>
        <v>8</v>
      </c>
      <c r="F763" s="5">
        <f>YEAR(Table1[[#This Row],[Date]])</f>
        <v>2022</v>
      </c>
      <c r="G763">
        <v>347</v>
      </c>
      <c r="L763" s="5">
        <v>223</v>
      </c>
      <c r="M763" s="6">
        <v>0.94489999999999996</v>
      </c>
      <c r="N763" s="5">
        <v>13</v>
      </c>
      <c r="O763" s="7">
        <v>3.0092592592592595E-4</v>
      </c>
      <c r="P763" s="7">
        <v>1.9212962962962964E-3</v>
      </c>
      <c r="Q763" s="7">
        <v>2.5231481481481481E-3</v>
      </c>
      <c r="R763" s="6">
        <v>0.64829999999999999</v>
      </c>
      <c r="S763" s="8">
        <f>CONVERT(Table1[[#This Row],[Talk Duration (AVG)]]*Table1[[#This Row],[Answered Calls]],"day","hr")</f>
        <v>10.282777777777778</v>
      </c>
      <c r="T763" s="9">
        <f>Table1[[#This Row],[Actual Workload hours]]*60</f>
        <v>616.9666666666667</v>
      </c>
      <c r="U763" s="9">
        <f>CONVERT(Table1[[#This Row],[Actual]]*Table1[[#This Row],[Talk Duration (AVG)]],"day","hr")</f>
        <v>16.000555555555554</v>
      </c>
      <c r="V763" s="10">
        <f>Table1[[#This Row],[Required Workload Hours]]*60</f>
        <v>960.03333333333319</v>
      </c>
      <c r="W763" s="9">
        <v>1.61</v>
      </c>
      <c r="X763" s="9">
        <f t="shared" si="22"/>
        <v>2.5000868055555552</v>
      </c>
      <c r="Y763" s="5">
        <f t="shared" si="23"/>
        <v>2</v>
      </c>
      <c r="Z763" s="8">
        <f>ROUNDUP(Table1[[#This Row],[Actual Heacount]],0)</f>
        <v>2</v>
      </c>
      <c r="AA763" s="8"/>
      <c r="AB763" s="10"/>
      <c r="AC763" s="10"/>
      <c r="AD763" s="10"/>
      <c r="AE763" s="11">
        <v>131.60303650310689</v>
      </c>
      <c r="AF763" s="11">
        <v>341.4876237175402</v>
      </c>
      <c r="AG763" t="s">
        <v>34</v>
      </c>
    </row>
    <row r="764" spans="1:33">
      <c r="A764" s="2">
        <v>44609</v>
      </c>
      <c r="B764" s="5" t="s">
        <v>40</v>
      </c>
      <c r="C764" s="5">
        <f>WEEKDAY(Table1[[#This Row],[Date]])</f>
        <v>5</v>
      </c>
      <c r="D764" s="5">
        <f>MONTH(Table1[[#This Row],[Date]])</f>
        <v>2</v>
      </c>
      <c r="E764" s="5">
        <f>WEEKNUM(Table1[[#This Row],[Date]])</f>
        <v>8</v>
      </c>
      <c r="F764" s="5">
        <f>YEAR(Table1[[#This Row],[Date]])</f>
        <v>2022</v>
      </c>
      <c r="G764">
        <v>414</v>
      </c>
      <c r="L764" s="5">
        <v>262</v>
      </c>
      <c r="M764" s="6">
        <v>0.97040000000000004</v>
      </c>
      <c r="N764" s="5">
        <v>8</v>
      </c>
      <c r="O764" s="7">
        <v>1.7361111111111112E-4</v>
      </c>
      <c r="P764" s="7">
        <v>1.8055555555555555E-3</v>
      </c>
      <c r="Q764" s="7">
        <v>1.4814814814814814E-3</v>
      </c>
      <c r="R764" s="6">
        <v>0.83209999999999995</v>
      </c>
      <c r="S764" s="8">
        <f>CONVERT(Table1[[#This Row],[Talk Duration (AVG)]]*Table1[[#This Row],[Answered Calls]],"day","hr")</f>
        <v>11.353333333333332</v>
      </c>
      <c r="T764" s="9">
        <f>Table1[[#This Row],[Actual Workload hours]]*60</f>
        <v>681.19999999999993</v>
      </c>
      <c r="U764" s="9">
        <f>CONVERT(Table1[[#This Row],[Actual]]*Table1[[#This Row],[Talk Duration (AVG)]],"day","hr")</f>
        <v>17.939999999999998</v>
      </c>
      <c r="V764" s="10">
        <f>Table1[[#This Row],[Required Workload Hours]]*60</f>
        <v>1076.3999999999999</v>
      </c>
      <c r="W764" s="9">
        <v>1.77</v>
      </c>
      <c r="X764" s="9">
        <f t="shared" si="22"/>
        <v>2.8031249999999996</v>
      </c>
      <c r="Y764" s="5">
        <f t="shared" si="23"/>
        <v>2</v>
      </c>
      <c r="Z764" s="8">
        <f>ROUNDUP(Table1[[#This Row],[Actual Heacount]],0)</f>
        <v>2</v>
      </c>
      <c r="AA764" s="8"/>
      <c r="AB764" s="10"/>
      <c r="AC764" s="10"/>
      <c r="AD764" s="10"/>
      <c r="AE764" s="11">
        <v>128.3618298725458</v>
      </c>
      <c r="AF764" s="11">
        <v>343.84925344317497</v>
      </c>
      <c r="AG764" t="s">
        <v>34</v>
      </c>
    </row>
    <row r="765" spans="1:33">
      <c r="A765" s="2">
        <v>44610</v>
      </c>
      <c r="B765" s="5" t="s">
        <v>33</v>
      </c>
      <c r="C765" s="5">
        <f>WEEKDAY(Table1[[#This Row],[Date]])</f>
        <v>6</v>
      </c>
      <c r="D765" s="5">
        <f>MONTH(Table1[[#This Row],[Date]])</f>
        <v>2</v>
      </c>
      <c r="E765" s="5">
        <f>WEEKNUM(Table1[[#This Row],[Date]])</f>
        <v>8</v>
      </c>
      <c r="F765" s="5">
        <f>YEAR(Table1[[#This Row],[Date]])</f>
        <v>2022</v>
      </c>
      <c r="G765">
        <v>406</v>
      </c>
      <c r="L765" s="5">
        <v>262</v>
      </c>
      <c r="M765" s="6">
        <v>0.86180000000000001</v>
      </c>
      <c r="N765" s="5">
        <v>42</v>
      </c>
      <c r="O765" s="7">
        <v>3.9351851851851852E-4</v>
      </c>
      <c r="P765" s="7">
        <v>2.0370370370370369E-3</v>
      </c>
      <c r="Q765" s="7">
        <v>4.8726851851851848E-3</v>
      </c>
      <c r="R765" s="6">
        <v>0.56620000000000004</v>
      </c>
      <c r="S765" s="8">
        <f>CONVERT(Table1[[#This Row],[Talk Duration (AVG)]]*Table1[[#This Row],[Answered Calls]],"day","hr")</f>
        <v>12.808888888888889</v>
      </c>
      <c r="T765" s="9">
        <f>Table1[[#This Row],[Actual Workload hours]]*60</f>
        <v>768.5333333333333</v>
      </c>
      <c r="U765" s="9">
        <f>CONVERT(Table1[[#This Row],[Actual]]*Table1[[#This Row],[Talk Duration (AVG)]],"day","hr")</f>
        <v>19.84888888888889</v>
      </c>
      <c r="V765" s="10">
        <f>Table1[[#This Row],[Required Workload Hours]]*60</f>
        <v>1190.9333333333334</v>
      </c>
      <c r="W765" s="9">
        <v>2</v>
      </c>
      <c r="X765" s="9">
        <f t="shared" si="22"/>
        <v>3.1013888888888892</v>
      </c>
      <c r="Y765" s="5">
        <f t="shared" si="23"/>
        <v>2</v>
      </c>
      <c r="Z765" s="8">
        <f>ROUNDUP(Table1[[#This Row],[Actual Heacount]],0)</f>
        <v>2</v>
      </c>
      <c r="AA765" s="8"/>
      <c r="AB765" s="10"/>
      <c r="AC765" s="10"/>
      <c r="AD765" s="10"/>
      <c r="AE765" s="11">
        <v>135.28072963613349</v>
      </c>
      <c r="AF765" s="11">
        <v>339.76377260727003</v>
      </c>
      <c r="AG765" t="s">
        <v>34</v>
      </c>
    </row>
    <row r="766" spans="1:33">
      <c r="A766" s="2">
        <v>44611</v>
      </c>
      <c r="B766" s="5" t="s">
        <v>35</v>
      </c>
      <c r="C766" s="5">
        <f>WEEKDAY(Table1[[#This Row],[Date]])</f>
        <v>7</v>
      </c>
      <c r="D766" s="5">
        <f>MONTH(Table1[[#This Row],[Date]])</f>
        <v>2</v>
      </c>
      <c r="E766" s="5">
        <f>WEEKNUM(Table1[[#This Row],[Date]])</f>
        <v>8</v>
      </c>
      <c r="F766" s="5">
        <f>YEAR(Table1[[#This Row],[Date]])</f>
        <v>2022</v>
      </c>
      <c r="G766">
        <v>366</v>
      </c>
      <c r="L766" s="5">
        <v>270</v>
      </c>
      <c r="M766" s="6">
        <v>0.94410000000000005</v>
      </c>
      <c r="N766" s="5">
        <v>16</v>
      </c>
      <c r="O766" s="7">
        <v>2.3148148148148149E-4</v>
      </c>
      <c r="P766" s="7">
        <v>1.9444444444444444E-3</v>
      </c>
      <c r="Q766" s="7">
        <v>2.1527777777777778E-3</v>
      </c>
      <c r="R766" s="6">
        <v>0.71479999999999999</v>
      </c>
      <c r="S766" s="8">
        <f>CONVERT(Table1[[#This Row],[Talk Duration (AVG)]]*Table1[[#This Row],[Answered Calls]],"day","hr")</f>
        <v>12.6</v>
      </c>
      <c r="T766" s="9">
        <f>Table1[[#This Row],[Actual Workload hours]]*60</f>
        <v>756</v>
      </c>
      <c r="U766" s="9">
        <f>CONVERT(Table1[[#This Row],[Actual]]*Table1[[#This Row],[Talk Duration (AVG)]],"day","hr")</f>
        <v>17.079999999999998</v>
      </c>
      <c r="V766" s="10">
        <f>Table1[[#This Row],[Required Workload Hours]]*60</f>
        <v>1024.8</v>
      </c>
      <c r="W766" s="9">
        <v>1.97</v>
      </c>
      <c r="X766" s="9">
        <f t="shared" si="22"/>
        <v>2.6687499999999997</v>
      </c>
      <c r="Y766" s="5">
        <f t="shared" si="23"/>
        <v>2</v>
      </c>
      <c r="Z766" s="8">
        <f>ROUNDUP(Table1[[#This Row],[Actual Heacount]],0)</f>
        <v>2</v>
      </c>
      <c r="AA766" s="8"/>
      <c r="AB766" s="10"/>
      <c r="AC766" s="10"/>
      <c r="AD766" s="10"/>
      <c r="AE766" s="11">
        <v>134.36478585429569</v>
      </c>
      <c r="AF766" s="11">
        <v>351.72229236586571</v>
      </c>
      <c r="AG766" t="s">
        <v>34</v>
      </c>
    </row>
    <row r="767" spans="1:33">
      <c r="A767" s="2">
        <v>44612</v>
      </c>
      <c r="B767" s="5" t="s">
        <v>36</v>
      </c>
      <c r="C767" s="5">
        <f>WEEKDAY(Table1[[#This Row],[Date]])</f>
        <v>1</v>
      </c>
      <c r="D767" s="5">
        <f>MONTH(Table1[[#This Row],[Date]])</f>
        <v>2</v>
      </c>
      <c r="E767" s="5">
        <f>WEEKNUM(Table1[[#This Row],[Date]])</f>
        <v>9</v>
      </c>
      <c r="F767" s="5">
        <f>YEAR(Table1[[#This Row],[Date]])</f>
        <v>2022</v>
      </c>
      <c r="G767">
        <v>68</v>
      </c>
      <c r="L767" s="5">
        <v>284</v>
      </c>
      <c r="M767" s="6">
        <v>0.89590000000000003</v>
      </c>
      <c r="N767" s="5">
        <v>33</v>
      </c>
      <c r="O767" s="7">
        <v>3.4722222222222224E-4</v>
      </c>
      <c r="P767" s="7">
        <v>1.9444444444444444E-3</v>
      </c>
      <c r="Q767" s="7">
        <v>5.7407407407407407E-3</v>
      </c>
      <c r="R767" s="6">
        <v>0.6603</v>
      </c>
      <c r="S767" s="8">
        <f>CONVERT(Table1[[#This Row],[Talk Duration (AVG)]]*Table1[[#This Row],[Answered Calls]],"day","hr")</f>
        <v>13.253333333333332</v>
      </c>
      <c r="T767" s="9">
        <f>Table1[[#This Row],[Actual Workload hours]]*60</f>
        <v>795.19999999999993</v>
      </c>
      <c r="U767" s="9">
        <f>CONVERT(Table1[[#This Row],[Actual]]*Table1[[#This Row],[Talk Duration (AVG)]],"day","hr")</f>
        <v>3.1733333333333333</v>
      </c>
      <c r="V767" s="10">
        <f>Table1[[#This Row],[Required Workload Hours]]*60</f>
        <v>190.4</v>
      </c>
      <c r="W767" s="9">
        <v>2.0699999999999998</v>
      </c>
      <c r="X767" s="9">
        <f t="shared" si="22"/>
        <v>1</v>
      </c>
      <c r="Y767" s="5">
        <f t="shared" si="23"/>
        <v>2</v>
      </c>
      <c r="Z767" s="8">
        <f>ROUNDUP(Table1[[#This Row],[Actual Heacount]],0)</f>
        <v>3</v>
      </c>
      <c r="AA767" s="8"/>
      <c r="AB767" s="10"/>
      <c r="AC767" s="10"/>
      <c r="AD767" s="10"/>
      <c r="AE767" s="11">
        <v>46.723416015065347</v>
      </c>
      <c r="AF767" s="11">
        <v>271.64121337523102</v>
      </c>
      <c r="AG767" t="s">
        <v>34</v>
      </c>
    </row>
    <row r="768" spans="1:33">
      <c r="A768" s="2">
        <v>44613</v>
      </c>
      <c r="B768" s="5" t="s">
        <v>37</v>
      </c>
      <c r="C768" s="5">
        <f>WEEKDAY(Table1[[#This Row],[Date]])</f>
        <v>2</v>
      </c>
      <c r="D768" s="5">
        <f>MONTH(Table1[[#This Row],[Date]])</f>
        <v>2</v>
      </c>
      <c r="E768" s="5">
        <f>WEEKNUM(Table1[[#This Row],[Date]])</f>
        <v>9</v>
      </c>
      <c r="F768" s="5">
        <f>YEAR(Table1[[#This Row],[Date]])</f>
        <v>2022</v>
      </c>
      <c r="G768">
        <v>350</v>
      </c>
      <c r="L768" s="5">
        <v>396</v>
      </c>
      <c r="M768" s="6">
        <v>0.84079999999999999</v>
      </c>
      <c r="N768" s="5">
        <v>75</v>
      </c>
      <c r="O768" s="7">
        <v>6.8287037037037036E-4</v>
      </c>
      <c r="P768" s="7">
        <v>1.8634259259259259E-3</v>
      </c>
      <c r="Q768" s="7">
        <v>3.8078703703703703E-3</v>
      </c>
      <c r="R768" s="6">
        <v>0.308</v>
      </c>
      <c r="S768" s="8">
        <f>CONVERT(Table1[[#This Row],[Talk Duration (AVG)]]*Table1[[#This Row],[Answered Calls]],"day","hr")</f>
        <v>17.71</v>
      </c>
      <c r="T768" s="9">
        <f>Table1[[#This Row],[Actual Workload hours]]*60</f>
        <v>1062.6000000000001</v>
      </c>
      <c r="U768" s="9">
        <f>CONVERT(Table1[[#This Row],[Actual]]*Table1[[#This Row],[Talk Duration (AVG)]],"day","hr")</f>
        <v>15.652777777777779</v>
      </c>
      <c r="V768" s="10">
        <f>Table1[[#This Row],[Required Workload Hours]]*60</f>
        <v>939.16666666666674</v>
      </c>
      <c r="W768" s="9">
        <v>2.77</v>
      </c>
      <c r="X768" s="9">
        <f t="shared" si="22"/>
        <v>2.4457465277777781</v>
      </c>
      <c r="Y768" s="5">
        <f t="shared" si="23"/>
        <v>2</v>
      </c>
      <c r="Z768" s="8">
        <f>ROUNDUP(Table1[[#This Row],[Actual Heacount]],0)</f>
        <v>3</v>
      </c>
      <c r="AA768" s="8"/>
      <c r="AB768" s="10"/>
      <c r="AC768" s="10"/>
      <c r="AD768" s="10"/>
      <c r="AE768" s="11">
        <v>142.08043489519281</v>
      </c>
      <c r="AF768" s="11">
        <v>358.33041577327742</v>
      </c>
      <c r="AG768" t="s">
        <v>34</v>
      </c>
    </row>
    <row r="769" spans="1:33">
      <c r="A769" s="2">
        <v>44614</v>
      </c>
      <c r="B769" s="5" t="s">
        <v>38</v>
      </c>
      <c r="C769" s="5">
        <f>WEEKDAY(Table1[[#This Row],[Date]])</f>
        <v>3</v>
      </c>
      <c r="D769" s="5">
        <f>MONTH(Table1[[#This Row],[Date]])</f>
        <v>2</v>
      </c>
      <c r="E769" s="5">
        <f>WEEKNUM(Table1[[#This Row],[Date]])</f>
        <v>9</v>
      </c>
      <c r="F769" s="5">
        <f>YEAR(Table1[[#This Row],[Date]])</f>
        <v>2022</v>
      </c>
      <c r="G769">
        <v>437</v>
      </c>
      <c r="L769" s="5">
        <v>44</v>
      </c>
      <c r="M769" s="6">
        <v>0.91669999999999996</v>
      </c>
      <c r="N769" s="5">
        <v>4</v>
      </c>
      <c r="O769" s="7">
        <v>3.3564814814814812E-4</v>
      </c>
      <c r="P769" s="7">
        <v>1.7476851851851852E-3</v>
      </c>
      <c r="Q769" s="7">
        <v>2.1643518518518518E-3</v>
      </c>
      <c r="R769" s="6">
        <v>0.65959999999999996</v>
      </c>
      <c r="S769" s="8">
        <f>CONVERT(Table1[[#This Row],[Talk Duration (AVG)]]*Table1[[#This Row],[Answered Calls]],"day","hr")</f>
        <v>1.8455555555555556</v>
      </c>
      <c r="T769" s="9">
        <f>Table1[[#This Row],[Actual Workload hours]]*60</f>
        <v>110.73333333333333</v>
      </c>
      <c r="U769" s="9">
        <f>CONVERT(Table1[[#This Row],[Actual]]*Table1[[#This Row],[Talk Duration (AVG)]],"day","hr")</f>
        <v>18.329722222222223</v>
      </c>
      <c r="V769" s="10">
        <f>Table1[[#This Row],[Required Workload Hours]]*60</f>
        <v>1099.7833333333333</v>
      </c>
      <c r="W769" s="9">
        <v>1</v>
      </c>
      <c r="X769" s="9">
        <f t="shared" si="22"/>
        <v>2.8640190972222221</v>
      </c>
      <c r="Y769" s="5">
        <f t="shared" si="23"/>
        <v>1</v>
      </c>
      <c r="Z769" s="8">
        <f>ROUNDUP(Table1[[#This Row],[Actual Heacount]],0)</f>
        <v>1</v>
      </c>
      <c r="AA769" s="8"/>
      <c r="AB769" s="10"/>
      <c r="AC769" s="10"/>
      <c r="AD769" s="10"/>
      <c r="AE769" s="11">
        <v>133.16373101862021</v>
      </c>
      <c r="AF769" s="11">
        <v>349.83526897601678</v>
      </c>
      <c r="AG769" t="s">
        <v>34</v>
      </c>
    </row>
    <row r="770" spans="1:33">
      <c r="A770" s="2">
        <v>44615</v>
      </c>
      <c r="B770" s="5" t="s">
        <v>39</v>
      </c>
      <c r="C770" s="5">
        <f>WEEKDAY(Table1[[#This Row],[Date]])</f>
        <v>4</v>
      </c>
      <c r="D770" s="5">
        <f>MONTH(Table1[[#This Row],[Date]])</f>
        <v>2</v>
      </c>
      <c r="E770" s="5">
        <f>WEEKNUM(Table1[[#This Row],[Date]])</f>
        <v>9</v>
      </c>
      <c r="F770" s="5">
        <f>YEAR(Table1[[#This Row],[Date]])</f>
        <v>2022</v>
      </c>
      <c r="G770">
        <v>484</v>
      </c>
      <c r="L770" s="5">
        <v>317</v>
      </c>
      <c r="M770" s="6">
        <v>0.84530000000000005</v>
      </c>
      <c r="N770" s="5">
        <v>58</v>
      </c>
      <c r="O770" s="7">
        <v>4.9768518518518521E-4</v>
      </c>
      <c r="P770" s="7">
        <v>1.9907407407407408E-3</v>
      </c>
      <c r="Q770" s="7">
        <v>3.5416666666666665E-3</v>
      </c>
      <c r="R770" s="6">
        <v>0.40870000000000001</v>
      </c>
      <c r="S770" s="8">
        <f>CONVERT(Table1[[#This Row],[Talk Duration (AVG)]]*Table1[[#This Row],[Answered Calls]],"day","hr")</f>
        <v>15.145555555555555</v>
      </c>
      <c r="T770" s="9">
        <f>Table1[[#This Row],[Actual Workload hours]]*60</f>
        <v>908.73333333333335</v>
      </c>
      <c r="U770" s="9">
        <f>CONVERT(Table1[[#This Row],[Actual]]*Table1[[#This Row],[Talk Duration (AVG)]],"day","hr")</f>
        <v>23.124444444444446</v>
      </c>
      <c r="V770" s="10">
        <f>Table1[[#This Row],[Required Workload Hours]]*60</f>
        <v>1387.4666666666667</v>
      </c>
      <c r="W770" s="9">
        <v>2.37</v>
      </c>
      <c r="X770" s="9">
        <f t="shared" si="22"/>
        <v>3.6131944444444444</v>
      </c>
      <c r="Y770" s="5">
        <f t="shared" si="23"/>
        <v>2</v>
      </c>
      <c r="Z770" s="8">
        <f>ROUNDUP(Table1[[#This Row],[Actual Heacount]],0)</f>
        <v>3</v>
      </c>
      <c r="AA770" s="8"/>
      <c r="AB770" s="10"/>
      <c r="AC770" s="10"/>
      <c r="AD770" s="10"/>
      <c r="AE770" s="11">
        <v>138.94988620493649</v>
      </c>
      <c r="AF770" s="11">
        <v>359.18908339133122</v>
      </c>
      <c r="AG770" t="s">
        <v>34</v>
      </c>
    </row>
    <row r="771" spans="1:33">
      <c r="A771" s="2">
        <v>44616</v>
      </c>
      <c r="B771" s="5" t="s">
        <v>40</v>
      </c>
      <c r="C771" s="5">
        <f>WEEKDAY(Table1[[#This Row],[Date]])</f>
        <v>5</v>
      </c>
      <c r="D771" s="5">
        <f>MONTH(Table1[[#This Row],[Date]])</f>
        <v>2</v>
      </c>
      <c r="E771" s="5">
        <f>WEEKNUM(Table1[[#This Row],[Date]])</f>
        <v>9</v>
      </c>
      <c r="F771" s="5">
        <f>YEAR(Table1[[#This Row],[Date]])</f>
        <v>2022</v>
      </c>
      <c r="G771">
        <v>405</v>
      </c>
      <c r="L771" s="5">
        <v>309</v>
      </c>
      <c r="M771" s="6">
        <v>0.94499999999999995</v>
      </c>
      <c r="N771" s="5">
        <v>18</v>
      </c>
      <c r="O771" s="7">
        <v>2.5462962962962961E-4</v>
      </c>
      <c r="P771" s="7">
        <v>1.9444444444444444E-3</v>
      </c>
      <c r="Q771" s="7">
        <v>2.6157407407407405E-3</v>
      </c>
      <c r="R771" s="6">
        <v>0.68210000000000004</v>
      </c>
      <c r="S771" s="8">
        <f>CONVERT(Table1[[#This Row],[Talk Duration (AVG)]]*Table1[[#This Row],[Answered Calls]],"day","hr")</f>
        <v>14.42</v>
      </c>
      <c r="T771" s="9">
        <f>Table1[[#This Row],[Actual Workload hours]]*60</f>
        <v>865.2</v>
      </c>
      <c r="U771" s="9">
        <f>CONVERT(Table1[[#This Row],[Actual]]*Table1[[#This Row],[Talk Duration (AVG)]],"day","hr")</f>
        <v>18.899999999999999</v>
      </c>
      <c r="V771" s="10">
        <f>Table1[[#This Row],[Required Workload Hours]]*60</f>
        <v>1134</v>
      </c>
      <c r="W771" s="9">
        <v>2.25</v>
      </c>
      <c r="X771" s="9">
        <f t="shared" ref="X771:X834" si="24">IF(V771&lt;384,1,(V771/384))</f>
        <v>2.953125</v>
      </c>
      <c r="Y771" s="5">
        <f t="shared" ref="Y771:Y834" si="25">IF(B771="Sunday",1,2)</f>
        <v>2</v>
      </c>
      <c r="Z771" s="8">
        <f>ROUNDUP(Table1[[#This Row],[Actual Heacount]],0)</f>
        <v>3</v>
      </c>
      <c r="AA771" s="8"/>
      <c r="AB771" s="10"/>
      <c r="AC771" s="10"/>
      <c r="AD771" s="10"/>
      <c r="AE771" s="11">
        <v>128.30267003376099</v>
      </c>
      <c r="AF771" s="11">
        <v>356.33493303679552</v>
      </c>
      <c r="AG771" t="s">
        <v>34</v>
      </c>
    </row>
    <row r="772" spans="1:33">
      <c r="A772" s="2">
        <v>44618</v>
      </c>
      <c r="B772" s="5" t="s">
        <v>33</v>
      </c>
      <c r="C772" s="5">
        <f>WEEKDAY(Table1[[#This Row],[Date]])</f>
        <v>7</v>
      </c>
      <c r="D772" s="5">
        <f>MONTH(Table1[[#This Row],[Date]])</f>
        <v>2</v>
      </c>
      <c r="E772" s="5">
        <f>WEEKNUM(Table1[[#This Row],[Date]])</f>
        <v>9</v>
      </c>
      <c r="F772" s="5">
        <f>YEAR(Table1[[#This Row],[Date]])</f>
        <v>2022</v>
      </c>
      <c r="G772">
        <v>424</v>
      </c>
      <c r="L772" s="5">
        <v>316</v>
      </c>
      <c r="M772" s="6">
        <v>0.86339999999999995</v>
      </c>
      <c r="N772" s="5">
        <v>50</v>
      </c>
      <c r="O772" s="7">
        <v>4.2824074074074075E-4</v>
      </c>
      <c r="P772" s="7">
        <v>1.8981481481481482E-3</v>
      </c>
      <c r="Q772" s="7">
        <v>3.5995370370370369E-3</v>
      </c>
      <c r="R772" s="6">
        <v>0.53739999999999999</v>
      </c>
      <c r="S772" s="8">
        <f>CONVERT(Table1[[#This Row],[Talk Duration (AVG)]]*Table1[[#This Row],[Answered Calls]],"day","hr")</f>
        <v>14.395555555555555</v>
      </c>
      <c r="T772" s="9">
        <f>Table1[[#This Row],[Actual Workload hours]]*60</f>
        <v>863.73333333333335</v>
      </c>
      <c r="U772" s="9">
        <f>CONVERT(Table1[[#This Row],[Actual]]*Table1[[#This Row],[Talk Duration (AVG)]],"day","hr")</f>
        <v>19.315555555555555</v>
      </c>
      <c r="V772" s="10">
        <f>Table1[[#This Row],[Required Workload Hours]]*60</f>
        <v>1158.9333333333334</v>
      </c>
      <c r="W772" s="9">
        <v>2.25</v>
      </c>
      <c r="X772" s="9">
        <f t="shared" si="24"/>
        <v>3.0180555555555557</v>
      </c>
      <c r="Y772" s="5">
        <f t="shared" si="25"/>
        <v>2</v>
      </c>
      <c r="Z772" s="8">
        <f>ROUNDUP(Table1[[#This Row],[Actual Heacount]],0)</f>
        <v>3</v>
      </c>
      <c r="AA772" s="8"/>
      <c r="AB772" s="10"/>
      <c r="AC772" s="10"/>
      <c r="AD772" s="10"/>
      <c r="AE772" s="11">
        <v>133.6947746873675</v>
      </c>
      <c r="AF772" s="11">
        <v>347.17055744352228</v>
      </c>
      <c r="AG772" t="s">
        <v>34</v>
      </c>
    </row>
    <row r="773" spans="1:33">
      <c r="A773" s="2">
        <v>44619</v>
      </c>
      <c r="B773" s="5" t="s">
        <v>35</v>
      </c>
      <c r="C773" s="5">
        <f>WEEKDAY(Table1[[#This Row],[Date]])</f>
        <v>1</v>
      </c>
      <c r="D773" s="5">
        <f>MONTH(Table1[[#This Row],[Date]])</f>
        <v>2</v>
      </c>
      <c r="E773" s="5">
        <f>WEEKNUM(Table1[[#This Row],[Date]])</f>
        <v>10</v>
      </c>
      <c r="F773" s="5">
        <f>YEAR(Table1[[#This Row],[Date]])</f>
        <v>2022</v>
      </c>
      <c r="G773">
        <v>60</v>
      </c>
      <c r="L773" s="5">
        <v>105</v>
      </c>
      <c r="M773" s="6">
        <v>0.86780000000000002</v>
      </c>
      <c r="N773" s="5">
        <v>16</v>
      </c>
      <c r="O773" s="7">
        <v>5.4398148148148144E-4</v>
      </c>
      <c r="P773" s="7">
        <v>2.0833333333333333E-3</v>
      </c>
      <c r="Q773" s="7">
        <v>6.030092592592593E-3</v>
      </c>
      <c r="R773" s="6">
        <v>0.6</v>
      </c>
      <c r="S773" s="8">
        <f>CONVERT(Table1[[#This Row],[Talk Duration (AVG)]]*Table1[[#This Row],[Answered Calls]],"day","hr")</f>
        <v>5.25</v>
      </c>
      <c r="T773" s="9">
        <f>Table1[[#This Row],[Actual Workload hours]]*60</f>
        <v>315</v>
      </c>
      <c r="U773" s="9">
        <f>CONVERT(Table1[[#This Row],[Actual]]*Table1[[#This Row],[Talk Duration (AVG)]],"day","hr")</f>
        <v>3</v>
      </c>
      <c r="V773" s="10">
        <f>Table1[[#This Row],[Required Workload Hours]]*60</f>
        <v>180</v>
      </c>
      <c r="W773" s="9">
        <v>1</v>
      </c>
      <c r="X773" s="9">
        <f t="shared" si="24"/>
        <v>1</v>
      </c>
      <c r="Y773" s="5">
        <f t="shared" si="25"/>
        <v>2</v>
      </c>
      <c r="Z773" s="8">
        <f>ROUNDUP(Table1[[#This Row],[Actual Heacount]],0)</f>
        <v>1</v>
      </c>
      <c r="AA773" s="8"/>
      <c r="AB773" s="10"/>
      <c r="AC773" s="10"/>
      <c r="AD773" s="10"/>
      <c r="AE773" s="11">
        <v>48.091943568745172</v>
      </c>
      <c r="AF773" s="11">
        <v>268.82075456643582</v>
      </c>
      <c r="AG773" t="s">
        <v>34</v>
      </c>
    </row>
    <row r="774" spans="1:33">
      <c r="A774" s="2">
        <v>44620</v>
      </c>
      <c r="B774" s="5" t="s">
        <v>36</v>
      </c>
      <c r="C774" s="5">
        <f>WEEKDAY(Table1[[#This Row],[Date]])</f>
        <v>2</v>
      </c>
      <c r="D774" s="5">
        <f>MONTH(Table1[[#This Row],[Date]])</f>
        <v>2</v>
      </c>
      <c r="E774" s="5">
        <f>WEEKNUM(Table1[[#This Row],[Date]])</f>
        <v>10</v>
      </c>
      <c r="F774" s="5">
        <f>YEAR(Table1[[#This Row],[Date]])</f>
        <v>2022</v>
      </c>
      <c r="G774">
        <v>497</v>
      </c>
      <c r="L774" s="5">
        <v>266</v>
      </c>
      <c r="M774" s="6">
        <v>0.92679999999999996</v>
      </c>
      <c r="N774" s="5">
        <v>21</v>
      </c>
      <c r="O774" s="7">
        <v>3.9351851851851852E-4</v>
      </c>
      <c r="P774" s="7">
        <v>2.1527777777777778E-3</v>
      </c>
      <c r="Q774" s="7">
        <v>2.8703703703703703E-3</v>
      </c>
      <c r="R774" s="6">
        <v>0.59719999999999995</v>
      </c>
      <c r="S774" s="8">
        <f>CONVERT(Table1[[#This Row],[Talk Duration (AVG)]]*Table1[[#This Row],[Answered Calls]],"day","hr")</f>
        <v>13.743333333333334</v>
      </c>
      <c r="T774" s="9">
        <f>Table1[[#This Row],[Actual Workload hours]]*60</f>
        <v>824.6</v>
      </c>
      <c r="U774" s="9">
        <f>CONVERT(Table1[[#This Row],[Actual]]*Table1[[#This Row],[Talk Duration (AVG)]],"day","hr")</f>
        <v>25.678333333333335</v>
      </c>
      <c r="V774" s="10">
        <f>Table1[[#This Row],[Required Workload Hours]]*60</f>
        <v>1540.7</v>
      </c>
      <c r="W774" s="9">
        <v>2.15</v>
      </c>
      <c r="X774" s="9">
        <f t="shared" si="24"/>
        <v>4.0122395833333337</v>
      </c>
      <c r="Y774" s="5">
        <f t="shared" si="25"/>
        <v>2</v>
      </c>
      <c r="Z774" s="8">
        <f>ROUNDUP(Table1[[#This Row],[Actual Heacount]],0)</f>
        <v>3</v>
      </c>
      <c r="AA774" s="8"/>
      <c r="AB774" s="10"/>
      <c r="AC774" s="10"/>
      <c r="AD774" s="10"/>
      <c r="AE774" s="11">
        <v>140.4071490060214</v>
      </c>
      <c r="AF774" s="11">
        <v>364.52586452221158</v>
      </c>
      <c r="AG774" t="s">
        <v>34</v>
      </c>
    </row>
    <row r="775" spans="1:33">
      <c r="A775" s="2">
        <v>44621</v>
      </c>
      <c r="B775" s="5" t="s">
        <v>37</v>
      </c>
      <c r="C775" s="5">
        <f>WEEKDAY(Table1[[#This Row],[Date]])</f>
        <v>3</v>
      </c>
      <c r="D775" s="5">
        <f>MONTH(Table1[[#This Row],[Date]])</f>
        <v>3</v>
      </c>
      <c r="E775" s="5">
        <f>WEEKNUM(Table1[[#This Row],[Date]])</f>
        <v>10</v>
      </c>
      <c r="F775" s="5">
        <f>YEAR(Table1[[#This Row],[Date]])</f>
        <v>2022</v>
      </c>
      <c r="G775">
        <v>147</v>
      </c>
      <c r="L775" s="5">
        <v>277</v>
      </c>
      <c r="M775" s="6">
        <v>0.92949999999999999</v>
      </c>
      <c r="N775" s="5">
        <v>21</v>
      </c>
      <c r="O775" s="7">
        <v>4.5138888888888887E-4</v>
      </c>
      <c r="P775" s="7">
        <v>2.1759259259259258E-3</v>
      </c>
      <c r="Q775" s="7">
        <v>2.488425925925926E-3</v>
      </c>
      <c r="R775" s="6">
        <v>0.51180000000000003</v>
      </c>
      <c r="S775" s="8">
        <f>CONVERT(Table1[[#This Row],[Talk Duration (AVG)]]*Table1[[#This Row],[Answered Calls]],"day","hr")</f>
        <v>14.465555555555556</v>
      </c>
      <c r="T775" s="9">
        <f>Table1[[#This Row],[Actual Workload hours]]*60</f>
        <v>867.93333333333328</v>
      </c>
      <c r="U775" s="9">
        <f>CONVERT(Table1[[#This Row],[Actual]]*Table1[[#This Row],[Talk Duration (AVG)]],"day","hr")</f>
        <v>7.6766666666666667</v>
      </c>
      <c r="V775" s="10">
        <f>Table1[[#This Row],[Required Workload Hours]]*60</f>
        <v>460.6</v>
      </c>
      <c r="W775" s="9">
        <v>2.2599999999999998</v>
      </c>
      <c r="X775" s="9">
        <f t="shared" si="24"/>
        <v>1.1994791666666667</v>
      </c>
      <c r="Y775" s="5">
        <f t="shared" si="25"/>
        <v>2</v>
      </c>
      <c r="Z775" s="8">
        <f>ROUNDUP(Table1[[#This Row],[Actual Heacount]],0)</f>
        <v>3</v>
      </c>
      <c r="AA775" s="8"/>
      <c r="AB775" s="10"/>
      <c r="AC775" s="10"/>
      <c r="AD775" s="10"/>
      <c r="AE775" s="11">
        <v>126.2607078512341</v>
      </c>
      <c r="AF775" s="11">
        <v>333.03374118708672</v>
      </c>
      <c r="AG775" t="s">
        <v>34</v>
      </c>
    </row>
    <row r="776" spans="1:33">
      <c r="A776" s="2">
        <v>44622</v>
      </c>
      <c r="B776" s="5" t="s">
        <v>38</v>
      </c>
      <c r="C776" s="5">
        <f>WEEKDAY(Table1[[#This Row],[Date]])</f>
        <v>4</v>
      </c>
      <c r="D776" s="5">
        <f>MONTH(Table1[[#This Row],[Date]])</f>
        <v>3</v>
      </c>
      <c r="E776" s="5">
        <f>WEEKNUM(Table1[[#This Row],[Date]])</f>
        <v>10</v>
      </c>
      <c r="F776" s="5">
        <f>YEAR(Table1[[#This Row],[Date]])</f>
        <v>2022</v>
      </c>
      <c r="G776">
        <v>286</v>
      </c>
      <c r="L776" s="5">
        <v>56</v>
      </c>
      <c r="M776" s="6">
        <v>0.8</v>
      </c>
      <c r="N776" s="5">
        <v>14</v>
      </c>
      <c r="O776" s="7">
        <v>5.3240740740740744E-4</v>
      </c>
      <c r="P776" s="7">
        <v>2.3495370370370371E-3</v>
      </c>
      <c r="Q776" s="7">
        <v>3.5648148148148149E-3</v>
      </c>
      <c r="R776" s="6">
        <v>0.45710000000000001</v>
      </c>
      <c r="S776" s="8">
        <f>CONVERT(Table1[[#This Row],[Talk Duration (AVG)]]*Table1[[#This Row],[Answered Calls]],"day","hr")</f>
        <v>3.1577777777777776</v>
      </c>
      <c r="T776" s="9">
        <f>Table1[[#This Row],[Actual Workload hours]]*60</f>
        <v>189.46666666666664</v>
      </c>
      <c r="U776" s="9">
        <f>CONVERT(Table1[[#This Row],[Actual]]*Table1[[#This Row],[Talk Duration (AVG)]],"day","hr")</f>
        <v>16.127222222222223</v>
      </c>
      <c r="V776" s="10">
        <f>Table1[[#This Row],[Required Workload Hours]]*60</f>
        <v>967.63333333333333</v>
      </c>
      <c r="W776" s="9">
        <v>1</v>
      </c>
      <c r="X776" s="9">
        <f t="shared" si="24"/>
        <v>2.5198784722222221</v>
      </c>
      <c r="Y776" s="5">
        <f t="shared" si="25"/>
        <v>1</v>
      </c>
      <c r="Z776" s="8">
        <f>ROUNDUP(Table1[[#This Row],[Actual Heacount]],0)</f>
        <v>1</v>
      </c>
      <c r="AA776" s="8"/>
      <c r="AB776" s="10"/>
      <c r="AC776" s="10"/>
      <c r="AD776" s="10"/>
      <c r="AE776" s="11">
        <v>135.74403569623439</v>
      </c>
      <c r="AF776" s="11">
        <v>348.77593508104769</v>
      </c>
      <c r="AG776" t="s">
        <v>34</v>
      </c>
    </row>
    <row r="777" spans="1:33">
      <c r="A777" s="2">
        <v>44624</v>
      </c>
      <c r="B777" s="5" t="s">
        <v>39</v>
      </c>
      <c r="C777" s="5">
        <f>WEEKDAY(Table1[[#This Row],[Date]])</f>
        <v>6</v>
      </c>
      <c r="D777" s="5">
        <f>MONTH(Table1[[#This Row],[Date]])</f>
        <v>3</v>
      </c>
      <c r="E777" s="5">
        <f>WEEKNUM(Table1[[#This Row],[Date]])</f>
        <v>10</v>
      </c>
      <c r="F777" s="5">
        <f>YEAR(Table1[[#This Row],[Date]])</f>
        <v>2022</v>
      </c>
      <c r="G777">
        <v>52</v>
      </c>
      <c r="L777" s="5">
        <v>255</v>
      </c>
      <c r="M777" s="6">
        <v>0.88849999999999996</v>
      </c>
      <c r="N777" s="5">
        <v>32</v>
      </c>
      <c r="O777" s="7">
        <v>4.6296296296296298E-4</v>
      </c>
      <c r="P777" s="7">
        <v>2.4305555555555556E-3</v>
      </c>
      <c r="Q777" s="7">
        <v>2.8819444444444444E-3</v>
      </c>
      <c r="R777" s="6">
        <v>0.46810000000000002</v>
      </c>
      <c r="S777" s="8">
        <f>CONVERT(Table1[[#This Row],[Talk Duration (AVG)]]*Table1[[#This Row],[Answered Calls]],"day","hr")</f>
        <v>14.875</v>
      </c>
      <c r="T777" s="9">
        <f>Table1[[#This Row],[Actual Workload hours]]*60</f>
        <v>892.5</v>
      </c>
      <c r="U777" s="9">
        <f>CONVERT(Table1[[#This Row],[Actual]]*Table1[[#This Row],[Talk Duration (AVG)]],"day","hr")</f>
        <v>3.0333333333333332</v>
      </c>
      <c r="V777" s="10">
        <f>Table1[[#This Row],[Required Workload Hours]]*60</f>
        <v>182</v>
      </c>
      <c r="W777" s="9">
        <v>2.3199999999999998</v>
      </c>
      <c r="X777" s="9">
        <f t="shared" si="24"/>
        <v>1</v>
      </c>
      <c r="Y777" s="5">
        <f t="shared" si="25"/>
        <v>2</v>
      </c>
      <c r="Z777" s="8">
        <f>ROUNDUP(Table1[[#This Row],[Actual Heacount]],0)</f>
        <v>3</v>
      </c>
      <c r="AA777" s="8"/>
      <c r="AB777" s="10"/>
      <c r="AC777" s="10"/>
      <c r="AD777" s="10"/>
      <c r="AE777" s="11">
        <v>116.0052723005487</v>
      </c>
      <c r="AF777" s="11">
        <v>336.09013326920058</v>
      </c>
      <c r="AG777" t="s">
        <v>34</v>
      </c>
    </row>
    <row r="778" spans="1:33">
      <c r="A778" s="2">
        <v>44626</v>
      </c>
      <c r="B778" s="5" t="s">
        <v>40</v>
      </c>
      <c r="C778" s="5">
        <f>WEEKDAY(Table1[[#This Row],[Date]])</f>
        <v>1</v>
      </c>
      <c r="D778" s="5">
        <f>MONTH(Table1[[#This Row],[Date]])</f>
        <v>3</v>
      </c>
      <c r="E778" s="5">
        <f>WEEKNUM(Table1[[#This Row],[Date]])</f>
        <v>11</v>
      </c>
      <c r="F778" s="5">
        <f>YEAR(Table1[[#This Row],[Date]])</f>
        <v>2022</v>
      </c>
      <c r="G778">
        <v>436</v>
      </c>
      <c r="L778" s="5">
        <v>259</v>
      </c>
      <c r="M778" s="6">
        <v>0.86909999999999998</v>
      </c>
      <c r="N778" s="5">
        <v>39</v>
      </c>
      <c r="O778" s="7">
        <v>3.4722222222222224E-4</v>
      </c>
      <c r="P778" s="7">
        <v>2.2453703703703702E-3</v>
      </c>
      <c r="Q778" s="7">
        <v>5.0347222222222225E-3</v>
      </c>
      <c r="R778" s="6">
        <v>0.57969999999999999</v>
      </c>
      <c r="S778" s="8">
        <f>CONVERT(Table1[[#This Row],[Talk Duration (AVG)]]*Table1[[#This Row],[Answered Calls]],"day","hr")</f>
        <v>13.957222222222223</v>
      </c>
      <c r="T778" s="9">
        <f>Table1[[#This Row],[Actual Workload hours]]*60</f>
        <v>837.43333333333339</v>
      </c>
      <c r="U778" s="9">
        <f>CONVERT(Table1[[#This Row],[Actual]]*Table1[[#This Row],[Talk Duration (AVG)]],"day","hr")</f>
        <v>23.495555555555555</v>
      </c>
      <c r="V778" s="10">
        <f>Table1[[#This Row],[Required Workload Hours]]*60</f>
        <v>1409.7333333333333</v>
      </c>
      <c r="W778" s="9">
        <v>2.1800000000000002</v>
      </c>
      <c r="X778" s="9">
        <f t="shared" si="24"/>
        <v>3.6711805555555554</v>
      </c>
      <c r="Y778" s="5">
        <f t="shared" si="25"/>
        <v>2</v>
      </c>
      <c r="Z778" s="8">
        <f>ROUNDUP(Table1[[#This Row],[Actual Heacount]],0)</f>
        <v>3</v>
      </c>
      <c r="AA778" s="8"/>
      <c r="AB778" s="10"/>
      <c r="AC778" s="10"/>
      <c r="AD778" s="10"/>
      <c r="AE778" s="11">
        <v>28.094514326374089</v>
      </c>
      <c r="AF778" s="11">
        <v>246.83168546770179</v>
      </c>
      <c r="AG778" t="s">
        <v>34</v>
      </c>
    </row>
    <row r="779" spans="1:33">
      <c r="A779" s="2">
        <v>44627</v>
      </c>
      <c r="B779" s="5" t="s">
        <v>33</v>
      </c>
      <c r="C779" s="5">
        <f>WEEKDAY(Table1[[#This Row],[Date]])</f>
        <v>2</v>
      </c>
      <c r="D779" s="5">
        <f>MONTH(Table1[[#This Row],[Date]])</f>
        <v>3</v>
      </c>
      <c r="E779" s="5">
        <f>WEEKNUM(Table1[[#This Row],[Date]])</f>
        <v>11</v>
      </c>
      <c r="F779" s="5">
        <f>YEAR(Table1[[#This Row],[Date]])</f>
        <v>2022</v>
      </c>
      <c r="G779">
        <v>63</v>
      </c>
      <c r="L779" s="5">
        <v>317</v>
      </c>
      <c r="M779" s="6">
        <v>0.91349999999999998</v>
      </c>
      <c r="N779" s="5">
        <v>30</v>
      </c>
      <c r="O779" s="7">
        <v>3.4722222222222224E-4</v>
      </c>
      <c r="P779" s="7">
        <v>2.2106481481481482E-3</v>
      </c>
      <c r="Q779" s="7">
        <v>4.0740740740740737E-3</v>
      </c>
      <c r="R779" s="6">
        <v>0.59770000000000001</v>
      </c>
      <c r="S779" s="8">
        <f>CONVERT(Table1[[#This Row],[Talk Duration (AVG)]]*Table1[[#This Row],[Answered Calls]],"day","hr")</f>
        <v>16.81861111111111</v>
      </c>
      <c r="T779" s="9">
        <f>Table1[[#This Row],[Actual Workload hours]]*60</f>
        <v>1009.1166666666666</v>
      </c>
      <c r="U779" s="9">
        <f>CONVERT(Table1[[#This Row],[Actual]]*Table1[[#This Row],[Talk Duration (AVG)]],"day","hr")</f>
        <v>3.3424999999999998</v>
      </c>
      <c r="V779" s="10">
        <f>Table1[[#This Row],[Required Workload Hours]]*60</f>
        <v>200.54999999999998</v>
      </c>
      <c r="W779" s="9">
        <v>2.63</v>
      </c>
      <c r="X779" s="9">
        <f t="shared" si="24"/>
        <v>1</v>
      </c>
      <c r="Y779" s="5">
        <f t="shared" si="25"/>
        <v>2</v>
      </c>
      <c r="Z779" s="8">
        <f>ROUNDUP(Table1[[#This Row],[Actual Heacount]],0)</f>
        <v>3</v>
      </c>
      <c r="AA779" s="8"/>
      <c r="AB779" s="10"/>
      <c r="AC779" s="10"/>
      <c r="AD779" s="10"/>
      <c r="AE779" s="11">
        <v>113.93846431808871</v>
      </c>
      <c r="AF779" s="11">
        <v>339.53290029975938</v>
      </c>
      <c r="AG779" t="s">
        <v>34</v>
      </c>
    </row>
    <row r="780" spans="1:33">
      <c r="A780" s="2">
        <v>44628</v>
      </c>
      <c r="B780" s="5" t="s">
        <v>35</v>
      </c>
      <c r="C780" s="5">
        <f>WEEKDAY(Table1[[#This Row],[Date]])</f>
        <v>3</v>
      </c>
      <c r="D780" s="5">
        <f>MONTH(Table1[[#This Row],[Date]])</f>
        <v>3</v>
      </c>
      <c r="E780" s="5">
        <f>WEEKNUM(Table1[[#This Row],[Date]])</f>
        <v>11</v>
      </c>
      <c r="F780" s="5">
        <f>YEAR(Table1[[#This Row],[Date]])</f>
        <v>2022</v>
      </c>
      <c r="G780">
        <v>165</v>
      </c>
      <c r="L780" s="5">
        <v>356</v>
      </c>
      <c r="M780" s="6">
        <v>0.8599</v>
      </c>
      <c r="N780" s="5">
        <v>58</v>
      </c>
      <c r="O780" s="7">
        <v>4.9768518518518521E-4</v>
      </c>
      <c r="P780" s="7">
        <v>2.3958333333333331E-3</v>
      </c>
      <c r="Q780" s="7">
        <v>1.0787037037037038E-2</v>
      </c>
      <c r="R780" s="6">
        <v>0.47149999999999997</v>
      </c>
      <c r="S780" s="8">
        <f>CONVERT(Table1[[#This Row],[Talk Duration (AVG)]]*Table1[[#This Row],[Answered Calls]],"day","hr")</f>
        <v>20.469999999999995</v>
      </c>
      <c r="T780" s="9">
        <f>Table1[[#This Row],[Actual Workload hours]]*60</f>
        <v>1228.1999999999998</v>
      </c>
      <c r="U780" s="9">
        <f>CONVERT(Table1[[#This Row],[Actual]]*Table1[[#This Row],[Talk Duration (AVG)]],"day","hr")</f>
        <v>9.4874999999999972</v>
      </c>
      <c r="V780" s="10">
        <f>Table1[[#This Row],[Required Workload Hours]]*60</f>
        <v>569.24999999999977</v>
      </c>
      <c r="W780" s="9">
        <v>3.2</v>
      </c>
      <c r="X780" s="9">
        <f t="shared" si="24"/>
        <v>1.4824218749999993</v>
      </c>
      <c r="Y780" s="5">
        <f t="shared" si="25"/>
        <v>2</v>
      </c>
      <c r="Z780" s="8">
        <f>ROUNDUP(Table1[[#This Row],[Actual Heacount]],0)</f>
        <v>4</v>
      </c>
      <c r="AA780" s="8"/>
      <c r="AB780" s="10"/>
      <c r="AC780" s="10"/>
      <c r="AD780" s="10"/>
      <c r="AE780" s="11">
        <v>95.278610300662677</v>
      </c>
      <c r="AF780" s="11">
        <v>316.10303192247682</v>
      </c>
      <c r="AG780" t="s">
        <v>34</v>
      </c>
    </row>
    <row r="781" spans="1:33">
      <c r="A781" s="2">
        <v>44629</v>
      </c>
      <c r="B781" s="5" t="s">
        <v>36</v>
      </c>
      <c r="C781" s="5">
        <f>WEEKDAY(Table1[[#This Row],[Date]])</f>
        <v>4</v>
      </c>
      <c r="D781" s="5">
        <f>MONTH(Table1[[#This Row],[Date]])</f>
        <v>3</v>
      </c>
      <c r="E781" s="5">
        <f>WEEKNUM(Table1[[#This Row],[Date]])</f>
        <v>11</v>
      </c>
      <c r="F781" s="5">
        <f>YEAR(Table1[[#This Row],[Date]])</f>
        <v>2022</v>
      </c>
      <c r="G781">
        <v>161</v>
      </c>
      <c r="L781" s="5">
        <v>362</v>
      </c>
      <c r="M781" s="6">
        <v>0.89159999999999995</v>
      </c>
      <c r="N781" s="5">
        <v>44</v>
      </c>
      <c r="O781" s="7">
        <v>4.2824074074074075E-4</v>
      </c>
      <c r="P781" s="7">
        <v>2.1064814814814813E-3</v>
      </c>
      <c r="Q781" s="7">
        <v>3.6689814814814814E-3</v>
      </c>
      <c r="R781" s="6">
        <v>0.53480000000000005</v>
      </c>
      <c r="S781" s="8">
        <f>CONVERT(Table1[[#This Row],[Talk Duration (AVG)]]*Table1[[#This Row],[Answered Calls]],"day","hr")</f>
        <v>18.301111111111112</v>
      </c>
      <c r="T781" s="9">
        <f>Table1[[#This Row],[Actual Workload hours]]*60</f>
        <v>1098.0666666666666</v>
      </c>
      <c r="U781" s="9">
        <f>CONVERT(Table1[[#This Row],[Actual]]*Table1[[#This Row],[Talk Duration (AVG)]],"day","hr")</f>
        <v>8.1394444444444431</v>
      </c>
      <c r="V781" s="10">
        <f>Table1[[#This Row],[Required Workload Hours]]*60</f>
        <v>488.36666666666656</v>
      </c>
      <c r="W781" s="9">
        <v>2.86</v>
      </c>
      <c r="X781" s="9">
        <f t="shared" si="24"/>
        <v>1.2717881944444442</v>
      </c>
      <c r="Y781" s="5">
        <f t="shared" si="25"/>
        <v>2</v>
      </c>
      <c r="Z781" s="8">
        <f>ROUNDUP(Table1[[#This Row],[Actual Heacount]],0)</f>
        <v>3</v>
      </c>
      <c r="AA781" s="8"/>
      <c r="AB781" s="10"/>
      <c r="AC781" s="10"/>
      <c r="AD781" s="10"/>
      <c r="AE781" s="11">
        <v>105.02868129073779</v>
      </c>
      <c r="AF781" s="11">
        <v>317.43250056348739</v>
      </c>
      <c r="AG781" t="s">
        <v>34</v>
      </c>
    </row>
    <row r="782" spans="1:33">
      <c r="A782" s="2">
        <v>44630</v>
      </c>
      <c r="B782" s="5" t="s">
        <v>37</v>
      </c>
      <c r="C782" s="5">
        <f>WEEKDAY(Table1[[#This Row],[Date]])</f>
        <v>5</v>
      </c>
      <c r="D782" s="5">
        <f>MONTH(Table1[[#This Row],[Date]])</f>
        <v>3</v>
      </c>
      <c r="E782" s="5">
        <f>WEEKNUM(Table1[[#This Row],[Date]])</f>
        <v>11</v>
      </c>
      <c r="F782" s="5">
        <f>YEAR(Table1[[#This Row],[Date]])</f>
        <v>2022</v>
      </c>
      <c r="G782">
        <v>166</v>
      </c>
      <c r="L782" s="5">
        <v>322</v>
      </c>
      <c r="M782" s="6">
        <v>0.87980000000000003</v>
      </c>
      <c r="N782" s="5">
        <v>44</v>
      </c>
      <c r="O782" s="7">
        <v>4.0509259259259258E-4</v>
      </c>
      <c r="P782" s="7">
        <v>2.1180555555555558E-3</v>
      </c>
      <c r="Q782" s="7">
        <v>7.7777777777777776E-3</v>
      </c>
      <c r="R782" s="6">
        <v>0.5706</v>
      </c>
      <c r="S782" s="8">
        <f>CONVERT(Table1[[#This Row],[Talk Duration (AVG)]]*Table1[[#This Row],[Answered Calls]],"day","hr")</f>
        <v>16.368333333333332</v>
      </c>
      <c r="T782" s="9">
        <f>Table1[[#This Row],[Actual Workload hours]]*60</f>
        <v>982.09999999999991</v>
      </c>
      <c r="U782" s="9">
        <f>CONVERT(Table1[[#This Row],[Actual]]*Table1[[#This Row],[Talk Duration (AVG)]],"day","hr")</f>
        <v>8.4383333333333326</v>
      </c>
      <c r="V782" s="10">
        <f>Table1[[#This Row],[Required Workload Hours]]*60</f>
        <v>506.29999999999995</v>
      </c>
      <c r="W782" s="9">
        <v>2.56</v>
      </c>
      <c r="X782" s="9">
        <f t="shared" si="24"/>
        <v>1.3184895833333332</v>
      </c>
      <c r="Y782" s="5">
        <f t="shared" si="25"/>
        <v>2</v>
      </c>
      <c r="Z782" s="8">
        <f>ROUNDUP(Table1[[#This Row],[Actual Heacount]],0)</f>
        <v>3</v>
      </c>
      <c r="AA782" s="8"/>
      <c r="AB782" s="10"/>
      <c r="AC782" s="10"/>
      <c r="AD782" s="10"/>
      <c r="AE782" s="11">
        <v>85.529742490667431</v>
      </c>
      <c r="AF782" s="11">
        <v>309.43176766060049</v>
      </c>
      <c r="AG782" t="s">
        <v>34</v>
      </c>
    </row>
    <row r="783" spans="1:33">
      <c r="A783" s="2">
        <v>44631</v>
      </c>
      <c r="B783" s="5" t="s">
        <v>38</v>
      </c>
      <c r="C783" s="5">
        <f>WEEKDAY(Table1[[#This Row],[Date]])</f>
        <v>6</v>
      </c>
      <c r="D783" s="5">
        <f>MONTH(Table1[[#This Row],[Date]])</f>
        <v>3</v>
      </c>
      <c r="E783" s="5">
        <f>WEEKNUM(Table1[[#This Row],[Date]])</f>
        <v>11</v>
      </c>
      <c r="F783" s="5">
        <f>YEAR(Table1[[#This Row],[Date]])</f>
        <v>2022</v>
      </c>
      <c r="G783">
        <v>37</v>
      </c>
      <c r="L783" s="5">
        <v>64</v>
      </c>
      <c r="M783" s="6">
        <v>0.94120000000000004</v>
      </c>
      <c r="N783" s="5">
        <v>4</v>
      </c>
      <c r="O783" s="7">
        <v>1.6203703703703703E-4</v>
      </c>
      <c r="P783" s="7">
        <v>2.0601851851851853E-3</v>
      </c>
      <c r="Q783" s="7">
        <v>1.4351851851851852E-3</v>
      </c>
      <c r="R783" s="6">
        <v>0.82350000000000001</v>
      </c>
      <c r="S783" s="8">
        <f>CONVERT(Table1[[#This Row],[Talk Duration (AVG)]]*Table1[[#This Row],[Answered Calls]],"day","hr")</f>
        <v>3.1644444444444444</v>
      </c>
      <c r="T783" s="9">
        <f>Table1[[#This Row],[Actual Workload hours]]*60</f>
        <v>189.86666666666667</v>
      </c>
      <c r="U783" s="9">
        <f>CONVERT(Table1[[#This Row],[Actual]]*Table1[[#This Row],[Talk Duration (AVG)]],"day","hr")</f>
        <v>1.8294444444444444</v>
      </c>
      <c r="V783" s="10">
        <f>Table1[[#This Row],[Required Workload Hours]]*60</f>
        <v>109.76666666666667</v>
      </c>
      <c r="W783" s="9">
        <v>1</v>
      </c>
      <c r="X783" s="9">
        <f t="shared" si="24"/>
        <v>1</v>
      </c>
      <c r="Y783" s="5">
        <f t="shared" si="25"/>
        <v>1</v>
      </c>
      <c r="Z783" s="8">
        <f>ROUNDUP(Table1[[#This Row],[Actual Heacount]],0)</f>
        <v>1</v>
      </c>
      <c r="AA783" s="8"/>
      <c r="AB783" s="10"/>
      <c r="AC783" s="10"/>
      <c r="AD783" s="10"/>
      <c r="AE783" s="11">
        <v>77.781707288243595</v>
      </c>
      <c r="AF783" s="11">
        <v>303.34995391498569</v>
      </c>
      <c r="AG783" t="s">
        <v>34</v>
      </c>
    </row>
    <row r="784" spans="1:33">
      <c r="A784" s="2">
        <v>44632</v>
      </c>
      <c r="B784" s="5" t="s">
        <v>39</v>
      </c>
      <c r="C784" s="5">
        <f>WEEKDAY(Table1[[#This Row],[Date]])</f>
        <v>7</v>
      </c>
      <c r="D784" s="5">
        <f>MONTH(Table1[[#This Row],[Date]])</f>
        <v>3</v>
      </c>
      <c r="E784" s="5">
        <f>WEEKNUM(Table1[[#This Row],[Date]])</f>
        <v>11</v>
      </c>
      <c r="F784" s="5">
        <f>YEAR(Table1[[#This Row],[Date]])</f>
        <v>2022</v>
      </c>
      <c r="G784">
        <v>240</v>
      </c>
      <c r="L784" s="5">
        <v>320</v>
      </c>
      <c r="M784" s="6">
        <v>0.9143</v>
      </c>
      <c r="N784" s="5">
        <v>30</v>
      </c>
      <c r="O784" s="7">
        <v>4.2824074074074075E-4</v>
      </c>
      <c r="P784" s="7">
        <v>2.2337962962962962E-3</v>
      </c>
      <c r="Q784" s="7">
        <v>3.9236111111111112E-3</v>
      </c>
      <c r="R784" s="6">
        <v>0.54179999999999995</v>
      </c>
      <c r="S784" s="8">
        <f>CONVERT(Table1[[#This Row],[Talk Duration (AVG)]]*Table1[[#This Row],[Answered Calls]],"day","hr")</f>
        <v>17.155555555555555</v>
      </c>
      <c r="T784" s="9">
        <f>Table1[[#This Row],[Actual Workload hours]]*60</f>
        <v>1029.3333333333333</v>
      </c>
      <c r="U784" s="9">
        <f>CONVERT(Table1[[#This Row],[Actual]]*Table1[[#This Row],[Talk Duration (AVG)]],"day","hr")</f>
        <v>12.866666666666667</v>
      </c>
      <c r="V784" s="10">
        <f>Table1[[#This Row],[Required Workload Hours]]*60</f>
        <v>772</v>
      </c>
      <c r="W784" s="9">
        <v>2.68</v>
      </c>
      <c r="X784" s="9">
        <f t="shared" si="24"/>
        <v>2.0104166666666665</v>
      </c>
      <c r="Y784" s="5">
        <f t="shared" si="25"/>
        <v>2</v>
      </c>
      <c r="Z784" s="8">
        <f>ROUNDUP(Table1[[#This Row],[Actual Heacount]],0)</f>
        <v>3</v>
      </c>
      <c r="AA784" s="8"/>
      <c r="AB784" s="10"/>
      <c r="AC784" s="10"/>
      <c r="AD784" s="10"/>
      <c r="AE784" s="11">
        <v>81.980506069370875</v>
      </c>
      <c r="AF784" s="11">
        <v>296.40597032343072</v>
      </c>
      <c r="AG784" t="s">
        <v>34</v>
      </c>
    </row>
    <row r="785" spans="1:33">
      <c r="A785" s="2">
        <v>44633</v>
      </c>
      <c r="B785" s="5" t="s">
        <v>40</v>
      </c>
      <c r="C785" s="5">
        <f>WEEKDAY(Table1[[#This Row],[Date]])</f>
        <v>1</v>
      </c>
      <c r="D785" s="5">
        <f>MONTH(Table1[[#This Row],[Date]])</f>
        <v>3</v>
      </c>
      <c r="E785" s="5">
        <f>WEEKNUM(Table1[[#This Row],[Date]])</f>
        <v>12</v>
      </c>
      <c r="F785" s="5">
        <f>YEAR(Table1[[#This Row],[Date]])</f>
        <v>2022</v>
      </c>
      <c r="G785">
        <v>116</v>
      </c>
      <c r="L785" s="5">
        <v>352</v>
      </c>
      <c r="M785" s="6">
        <v>0.80549999999999999</v>
      </c>
      <c r="N785" s="5">
        <v>85</v>
      </c>
      <c r="O785" s="7">
        <v>6.018518518518519E-4</v>
      </c>
      <c r="P785" s="7">
        <v>2.0949074074074073E-3</v>
      </c>
      <c r="Q785" s="7">
        <v>6.6319444444444446E-3</v>
      </c>
      <c r="R785" s="6">
        <v>0.41260000000000002</v>
      </c>
      <c r="S785" s="8">
        <f>CONVERT(Table1[[#This Row],[Talk Duration (AVG)]]*Table1[[#This Row],[Answered Calls]],"day","hr")</f>
        <v>17.697777777777777</v>
      </c>
      <c r="T785" s="9">
        <f>Table1[[#This Row],[Actual Workload hours]]*60</f>
        <v>1061.8666666666666</v>
      </c>
      <c r="U785" s="9">
        <f>CONVERT(Table1[[#This Row],[Actual]]*Table1[[#This Row],[Talk Duration (AVG)]],"day","hr")</f>
        <v>5.8322222222222226</v>
      </c>
      <c r="V785" s="10">
        <f>Table1[[#This Row],[Required Workload Hours]]*60</f>
        <v>349.93333333333334</v>
      </c>
      <c r="W785" s="9">
        <v>2.77</v>
      </c>
      <c r="X785" s="9">
        <f t="shared" si="24"/>
        <v>1</v>
      </c>
      <c r="Y785" s="5">
        <f t="shared" si="25"/>
        <v>2</v>
      </c>
      <c r="Z785" s="8">
        <f>ROUNDUP(Table1[[#This Row],[Actual Heacount]],0)</f>
        <v>3</v>
      </c>
      <c r="AA785" s="8"/>
      <c r="AB785" s="10"/>
      <c r="AC785" s="10"/>
      <c r="AD785" s="10"/>
      <c r="AE785" s="11">
        <v>-21.651110016622621</v>
      </c>
      <c r="AF785" s="11">
        <v>207.1059310805083</v>
      </c>
      <c r="AG785" t="s">
        <v>34</v>
      </c>
    </row>
    <row r="786" spans="1:33">
      <c r="A786" s="2">
        <v>44635</v>
      </c>
      <c r="B786" s="5" t="s">
        <v>33</v>
      </c>
      <c r="C786" s="5">
        <f>WEEKDAY(Table1[[#This Row],[Date]])</f>
        <v>3</v>
      </c>
      <c r="D786" s="5">
        <f>MONTH(Table1[[#This Row],[Date]])</f>
        <v>3</v>
      </c>
      <c r="E786" s="5">
        <f>WEEKNUM(Table1[[#This Row],[Date]])</f>
        <v>12</v>
      </c>
      <c r="F786" s="5">
        <f>YEAR(Table1[[#This Row],[Date]])</f>
        <v>2022</v>
      </c>
      <c r="G786">
        <v>416</v>
      </c>
      <c r="L786" s="5">
        <v>438</v>
      </c>
      <c r="M786" s="6">
        <v>0.90500000000000003</v>
      </c>
      <c r="N786" s="5">
        <v>46</v>
      </c>
      <c r="O786" s="7">
        <v>5.2083333333333333E-4</v>
      </c>
      <c r="P786" s="7">
        <v>2.0486111111111113E-3</v>
      </c>
      <c r="Q786" s="7">
        <v>4.0162037037037041E-3</v>
      </c>
      <c r="R786" s="6">
        <v>0.44790000000000002</v>
      </c>
      <c r="S786" s="8">
        <f>CONVERT(Table1[[#This Row],[Talk Duration (AVG)]]*Table1[[#This Row],[Answered Calls]],"day","hr")</f>
        <v>21.535</v>
      </c>
      <c r="T786" s="9">
        <f>Table1[[#This Row],[Actual Workload hours]]*60</f>
        <v>1292.0999999999999</v>
      </c>
      <c r="U786" s="9">
        <f>CONVERT(Table1[[#This Row],[Actual]]*Table1[[#This Row],[Talk Duration (AVG)]],"day","hr")</f>
        <v>20.453333333333337</v>
      </c>
      <c r="V786" s="10">
        <f>Table1[[#This Row],[Required Workload Hours]]*60</f>
        <v>1227.2000000000003</v>
      </c>
      <c r="W786" s="9">
        <v>3.36</v>
      </c>
      <c r="X786" s="9">
        <f t="shared" si="24"/>
        <v>3.1958333333333342</v>
      </c>
      <c r="Y786" s="5">
        <f t="shared" si="25"/>
        <v>2</v>
      </c>
      <c r="Z786" s="8">
        <f>ROUNDUP(Table1[[#This Row],[Actual Heacount]],0)</f>
        <v>4</v>
      </c>
      <c r="AA786" s="8"/>
      <c r="AB786" s="10"/>
      <c r="AC786" s="10"/>
      <c r="AD786" s="10"/>
      <c r="AE786" s="11">
        <v>55.513180317513097</v>
      </c>
      <c r="AF786" s="11">
        <v>286.27717023339642</v>
      </c>
      <c r="AG786" t="s">
        <v>34</v>
      </c>
    </row>
    <row r="787" spans="1:33">
      <c r="A787" s="2">
        <v>44639</v>
      </c>
      <c r="B787" s="5" t="s">
        <v>35</v>
      </c>
      <c r="C787" s="5">
        <f>WEEKDAY(Table1[[#This Row],[Date]])</f>
        <v>7</v>
      </c>
      <c r="D787" s="5">
        <f>MONTH(Table1[[#This Row],[Date]])</f>
        <v>3</v>
      </c>
      <c r="E787" s="5">
        <f>WEEKNUM(Table1[[#This Row],[Date]])</f>
        <v>12</v>
      </c>
      <c r="F787" s="5">
        <f>YEAR(Table1[[#This Row],[Date]])</f>
        <v>2022</v>
      </c>
      <c r="G787">
        <v>244</v>
      </c>
      <c r="L787" s="5">
        <v>368</v>
      </c>
      <c r="M787" s="6">
        <v>0.90859999999999996</v>
      </c>
      <c r="N787" s="5">
        <v>37</v>
      </c>
      <c r="O787" s="7">
        <v>4.0509259259259258E-4</v>
      </c>
      <c r="P787" s="7">
        <v>2.1875000000000002E-3</v>
      </c>
      <c r="Q787" s="7">
        <v>3.9467592592592592E-3</v>
      </c>
      <c r="R787" s="6">
        <v>0.58099999999999996</v>
      </c>
      <c r="S787" s="8">
        <f>CONVERT(Table1[[#This Row],[Talk Duration (AVG)]]*Table1[[#This Row],[Answered Calls]],"day","hr")</f>
        <v>19.32</v>
      </c>
      <c r="T787" s="9">
        <f>Table1[[#This Row],[Actual Workload hours]]*60</f>
        <v>1159.2</v>
      </c>
      <c r="U787" s="9">
        <f>CONVERT(Table1[[#This Row],[Actual]]*Table1[[#This Row],[Talk Duration (AVG)]],"day","hr")</f>
        <v>12.810000000000002</v>
      </c>
      <c r="V787" s="10">
        <f>Table1[[#This Row],[Required Workload Hours]]*60</f>
        <v>768.60000000000014</v>
      </c>
      <c r="W787" s="9">
        <v>3.02</v>
      </c>
      <c r="X787" s="9">
        <f t="shared" si="24"/>
        <v>2.0015625000000004</v>
      </c>
      <c r="Y787" s="5">
        <f t="shared" si="25"/>
        <v>2</v>
      </c>
      <c r="Z787" s="8">
        <f>ROUNDUP(Table1[[#This Row],[Actual Heacount]],0)</f>
        <v>4</v>
      </c>
      <c r="AA787" s="8"/>
      <c r="AB787" s="10"/>
      <c r="AC787" s="10"/>
      <c r="AD787" s="10"/>
      <c r="AE787" s="11">
        <v>55.226705486951822</v>
      </c>
      <c r="AF787" s="11">
        <v>272.4363913405686</v>
      </c>
      <c r="AG787" t="s">
        <v>34</v>
      </c>
    </row>
    <row r="788" spans="1:33">
      <c r="A788" s="2">
        <v>44640</v>
      </c>
      <c r="B788" s="5" t="s">
        <v>36</v>
      </c>
      <c r="C788" s="5">
        <f>WEEKDAY(Table1[[#This Row],[Date]])</f>
        <v>1</v>
      </c>
      <c r="D788" s="5">
        <f>MONTH(Table1[[#This Row],[Date]])</f>
        <v>3</v>
      </c>
      <c r="E788" s="5">
        <f>WEEKNUM(Table1[[#This Row],[Date]])</f>
        <v>13</v>
      </c>
      <c r="F788" s="5">
        <f>YEAR(Table1[[#This Row],[Date]])</f>
        <v>2022</v>
      </c>
      <c r="G788">
        <v>51</v>
      </c>
      <c r="L788" s="5">
        <v>368</v>
      </c>
      <c r="M788" s="6">
        <v>0.64559999999999995</v>
      </c>
      <c r="N788" s="5">
        <v>202</v>
      </c>
      <c r="O788" s="7">
        <v>8.2175925925925927E-4</v>
      </c>
      <c r="P788" s="7">
        <v>2.3611111111111111E-3</v>
      </c>
      <c r="Q788" s="7">
        <v>1.7951388888888888E-2</v>
      </c>
      <c r="R788" s="6">
        <v>0.2354</v>
      </c>
      <c r="S788" s="8">
        <f>CONVERT(Table1[[#This Row],[Talk Duration (AVG)]]*Table1[[#This Row],[Answered Calls]],"day","hr")</f>
        <v>20.853333333333332</v>
      </c>
      <c r="T788" s="9">
        <f>Table1[[#This Row],[Actual Workload hours]]*60</f>
        <v>1251.1999999999998</v>
      </c>
      <c r="U788" s="9">
        <f>CONVERT(Table1[[#This Row],[Actual]]*Table1[[#This Row],[Talk Duration (AVG)]],"day","hr")</f>
        <v>2.89</v>
      </c>
      <c r="V788" s="10">
        <f>Table1[[#This Row],[Required Workload Hours]]*60</f>
        <v>173.4</v>
      </c>
      <c r="W788" s="9">
        <v>3.26</v>
      </c>
      <c r="X788" s="9">
        <f t="shared" si="24"/>
        <v>1</v>
      </c>
      <c r="Y788" s="5">
        <f t="shared" si="25"/>
        <v>2</v>
      </c>
      <c r="Z788" s="8">
        <f>ROUNDUP(Table1[[#This Row],[Actual Heacount]],0)</f>
        <v>4</v>
      </c>
      <c r="AA788" s="8"/>
      <c r="AB788" s="10"/>
      <c r="AC788" s="10"/>
      <c r="AD788" s="10"/>
      <c r="AE788" s="11">
        <v>-31.193695235158561</v>
      </c>
      <c r="AF788" s="11">
        <v>177.17287963044421</v>
      </c>
      <c r="AG788" t="s">
        <v>34</v>
      </c>
    </row>
    <row r="789" spans="1:33">
      <c r="A789" s="2">
        <v>44641</v>
      </c>
      <c r="B789" s="5" t="s">
        <v>37</v>
      </c>
      <c r="C789" s="5">
        <f>WEEKDAY(Table1[[#This Row],[Date]])</f>
        <v>2</v>
      </c>
      <c r="D789" s="5">
        <f>MONTH(Table1[[#This Row],[Date]])</f>
        <v>3</v>
      </c>
      <c r="E789" s="5">
        <f>WEEKNUM(Table1[[#This Row],[Date]])</f>
        <v>13</v>
      </c>
      <c r="F789" s="5">
        <f>YEAR(Table1[[#This Row],[Date]])</f>
        <v>2022</v>
      </c>
      <c r="G789">
        <v>202</v>
      </c>
      <c r="L789" s="5">
        <v>384</v>
      </c>
      <c r="M789" s="6">
        <v>0.90569999999999995</v>
      </c>
      <c r="N789" s="5">
        <v>40</v>
      </c>
      <c r="O789" s="7">
        <v>5.6712962962962967E-4</v>
      </c>
      <c r="P789" s="7">
        <v>2.2453703703703702E-3</v>
      </c>
      <c r="Q789" s="7">
        <v>6.2037037037037035E-3</v>
      </c>
      <c r="R789" s="6">
        <v>0.3952</v>
      </c>
      <c r="S789" s="8">
        <f>CONVERT(Table1[[#This Row],[Talk Duration (AVG)]]*Table1[[#This Row],[Answered Calls]],"day","hr")</f>
        <v>20.693333333333332</v>
      </c>
      <c r="T789" s="9">
        <f>Table1[[#This Row],[Actual Workload hours]]*60</f>
        <v>1241.5999999999999</v>
      </c>
      <c r="U789" s="9">
        <f>CONVERT(Table1[[#This Row],[Actual]]*Table1[[#This Row],[Talk Duration (AVG)]],"day","hr")</f>
        <v>10.885555555555555</v>
      </c>
      <c r="V789" s="10">
        <f>Table1[[#This Row],[Required Workload Hours]]*60</f>
        <v>653.13333333333333</v>
      </c>
      <c r="W789" s="9">
        <v>3.23</v>
      </c>
      <c r="X789" s="9">
        <f t="shared" si="24"/>
        <v>1.7008680555555555</v>
      </c>
      <c r="Y789" s="5">
        <f t="shared" si="25"/>
        <v>2</v>
      </c>
      <c r="Z789" s="8">
        <f>ROUNDUP(Table1[[#This Row],[Actual Heacount]],0)</f>
        <v>4</v>
      </c>
      <c r="AA789" s="8"/>
      <c r="AB789" s="10"/>
      <c r="AC789" s="10"/>
      <c r="AD789" s="10"/>
      <c r="AE789" s="11">
        <v>69.283641893071646</v>
      </c>
      <c r="AF789" s="11">
        <v>291.44206036957178</v>
      </c>
      <c r="AG789" t="s">
        <v>34</v>
      </c>
    </row>
    <row r="790" spans="1:33">
      <c r="A790" s="2">
        <v>44642</v>
      </c>
      <c r="B790" s="5" t="s">
        <v>38</v>
      </c>
      <c r="C790" s="5">
        <f>WEEKDAY(Table1[[#This Row],[Date]])</f>
        <v>3</v>
      </c>
      <c r="D790" s="5">
        <f>MONTH(Table1[[#This Row],[Date]])</f>
        <v>3</v>
      </c>
      <c r="E790" s="5">
        <f>WEEKNUM(Table1[[#This Row],[Date]])</f>
        <v>13</v>
      </c>
      <c r="F790" s="5">
        <f>YEAR(Table1[[#This Row],[Date]])</f>
        <v>2022</v>
      </c>
      <c r="G790">
        <v>128</v>
      </c>
      <c r="L790" s="5">
        <v>57</v>
      </c>
      <c r="M790" s="6">
        <v>0.95</v>
      </c>
      <c r="N790" s="5">
        <v>3</v>
      </c>
      <c r="O790" s="7">
        <v>3.7037037037037035E-4</v>
      </c>
      <c r="P790" s="7">
        <v>2.3032407407407407E-3</v>
      </c>
      <c r="Q790" s="7">
        <v>2.0833333333333333E-3</v>
      </c>
      <c r="R790" s="6">
        <v>0.55930000000000002</v>
      </c>
      <c r="S790" s="8">
        <f>CONVERT(Table1[[#This Row],[Talk Duration (AVG)]]*Table1[[#This Row],[Answered Calls]],"day","hr")</f>
        <v>3.1508333333333329</v>
      </c>
      <c r="T790" s="9">
        <f>Table1[[#This Row],[Actual Workload hours]]*60</f>
        <v>189.04999999999998</v>
      </c>
      <c r="U790" s="9">
        <f>CONVERT(Table1[[#This Row],[Actual]]*Table1[[#This Row],[Talk Duration (AVG)]],"day","hr")</f>
        <v>7.0755555555555558</v>
      </c>
      <c r="V790" s="10">
        <f>Table1[[#This Row],[Required Workload Hours]]*60</f>
        <v>424.53333333333336</v>
      </c>
      <c r="W790" s="9">
        <v>1</v>
      </c>
      <c r="X790" s="9">
        <f t="shared" si="24"/>
        <v>1.1055555555555556</v>
      </c>
      <c r="Y790" s="5">
        <f t="shared" si="25"/>
        <v>1</v>
      </c>
      <c r="Z790" s="8">
        <f>ROUNDUP(Table1[[#This Row],[Actual Heacount]],0)</f>
        <v>1</v>
      </c>
      <c r="AA790" s="8"/>
      <c r="AB790" s="10"/>
      <c r="AC790" s="10"/>
      <c r="AD790" s="10"/>
      <c r="AE790" s="11">
        <v>46.826467259723657</v>
      </c>
      <c r="AF790" s="11">
        <v>258.27485204050782</v>
      </c>
      <c r="AG790" t="s">
        <v>34</v>
      </c>
    </row>
    <row r="791" spans="1:33">
      <c r="A791" s="2">
        <v>44643</v>
      </c>
      <c r="B791" s="5" t="s">
        <v>39</v>
      </c>
      <c r="C791" s="5">
        <f>WEEKDAY(Table1[[#This Row],[Date]])</f>
        <v>4</v>
      </c>
      <c r="D791" s="5">
        <f>MONTH(Table1[[#This Row],[Date]])</f>
        <v>3</v>
      </c>
      <c r="E791" s="5">
        <f>WEEKNUM(Table1[[#This Row],[Date]])</f>
        <v>13</v>
      </c>
      <c r="F791" s="5">
        <f>YEAR(Table1[[#This Row],[Date]])</f>
        <v>2022</v>
      </c>
      <c r="G791">
        <v>102</v>
      </c>
      <c r="L791" s="5">
        <v>442</v>
      </c>
      <c r="M791" s="6">
        <v>0.88929999999999998</v>
      </c>
      <c r="N791" s="5">
        <v>55</v>
      </c>
      <c r="O791" s="7">
        <v>5.5555555555555556E-4</v>
      </c>
      <c r="P791" s="7">
        <v>1.1111111111111111E-3</v>
      </c>
      <c r="Q791" s="7">
        <v>7.4652777777777781E-3</v>
      </c>
      <c r="R791" s="6">
        <v>0.57579999999999998</v>
      </c>
      <c r="S791" s="8">
        <f>CONVERT(Table1[[#This Row],[Talk Duration (AVG)]]*Table1[[#This Row],[Answered Calls]],"day","hr")</f>
        <v>11.786666666666667</v>
      </c>
      <c r="T791" s="9">
        <f>Table1[[#This Row],[Actual Workload hours]]*60</f>
        <v>707.2</v>
      </c>
      <c r="U791" s="9">
        <f>CONVERT(Table1[[#This Row],[Actual]]*Table1[[#This Row],[Talk Duration (AVG)]],"day","hr")</f>
        <v>2.72</v>
      </c>
      <c r="V791" s="10">
        <f>Table1[[#This Row],[Required Workload Hours]]*60</f>
        <v>163.20000000000002</v>
      </c>
      <c r="W791" s="9">
        <v>1.84</v>
      </c>
      <c r="X791" s="9">
        <f t="shared" si="24"/>
        <v>1</v>
      </c>
      <c r="Y791" s="5">
        <f t="shared" si="25"/>
        <v>2</v>
      </c>
      <c r="Z791" s="8">
        <f>ROUNDUP(Table1[[#This Row],[Actual Heacount]],0)</f>
        <v>2</v>
      </c>
      <c r="AA791" s="8"/>
      <c r="AB791" s="10"/>
      <c r="AC791" s="10"/>
      <c r="AD791" s="10"/>
      <c r="AE791" s="11">
        <v>59.961283557311248</v>
      </c>
      <c r="AF791" s="11">
        <v>273.46325354076959</v>
      </c>
      <c r="AG791" t="s">
        <v>34</v>
      </c>
    </row>
    <row r="792" spans="1:33">
      <c r="A792" s="2">
        <v>44644</v>
      </c>
      <c r="B792" s="5" t="s">
        <v>40</v>
      </c>
      <c r="C792" s="5">
        <f>WEEKDAY(Table1[[#This Row],[Date]])</f>
        <v>5</v>
      </c>
      <c r="D792" s="5">
        <f>MONTH(Table1[[#This Row],[Date]])</f>
        <v>3</v>
      </c>
      <c r="E792" s="5">
        <f>WEEKNUM(Table1[[#This Row],[Date]])</f>
        <v>13</v>
      </c>
      <c r="F792" s="5">
        <f>YEAR(Table1[[#This Row],[Date]])</f>
        <v>2022</v>
      </c>
      <c r="G792">
        <v>201</v>
      </c>
      <c r="L792" s="5">
        <v>378</v>
      </c>
      <c r="M792" s="6">
        <v>0.88109999999999999</v>
      </c>
      <c r="N792" s="5">
        <v>51</v>
      </c>
      <c r="O792" s="7">
        <v>4.2824074074074075E-4</v>
      </c>
      <c r="P792" s="7">
        <v>1.4467592592592592E-3</v>
      </c>
      <c r="Q792" s="7">
        <v>7.5810185185185182E-3</v>
      </c>
      <c r="R792" s="6">
        <v>0.55289999999999995</v>
      </c>
      <c r="S792" s="8">
        <f>CONVERT(Table1[[#This Row],[Talk Duration (AVG)]]*Table1[[#This Row],[Answered Calls]],"day","hr")</f>
        <v>13.125</v>
      </c>
      <c r="T792" s="9">
        <f>Table1[[#This Row],[Actual Workload hours]]*60</f>
        <v>787.5</v>
      </c>
      <c r="U792" s="9">
        <f>CONVERT(Table1[[#This Row],[Actual]]*Table1[[#This Row],[Talk Duration (AVG)]],"day","hr")</f>
        <v>6.979166666666667</v>
      </c>
      <c r="V792" s="10">
        <f>Table1[[#This Row],[Required Workload Hours]]*60</f>
        <v>418.75</v>
      </c>
      <c r="W792" s="9">
        <v>2.0499999999999998</v>
      </c>
      <c r="X792" s="9">
        <f t="shared" si="24"/>
        <v>1.0904947916666667</v>
      </c>
      <c r="Y792" s="5">
        <f t="shared" si="25"/>
        <v>2</v>
      </c>
      <c r="Z792" s="8">
        <f>ROUNDUP(Table1[[#This Row],[Actual Heacount]],0)</f>
        <v>3</v>
      </c>
      <c r="AA792" s="8"/>
      <c r="AB792" s="10"/>
      <c r="AC792" s="10"/>
      <c r="AD792" s="10"/>
      <c r="AE792" s="11">
        <v>51.990074419490362</v>
      </c>
      <c r="AF792" s="11">
        <v>272.06510654336341</v>
      </c>
      <c r="AG792" t="s">
        <v>34</v>
      </c>
    </row>
    <row r="793" spans="1:33">
      <c r="A793" s="2">
        <v>44645</v>
      </c>
      <c r="B793" s="5" t="s">
        <v>33</v>
      </c>
      <c r="C793" s="5">
        <f>WEEKDAY(Table1[[#This Row],[Date]])</f>
        <v>6</v>
      </c>
      <c r="D793" s="5">
        <f>MONTH(Table1[[#This Row],[Date]])</f>
        <v>3</v>
      </c>
      <c r="E793" s="5">
        <f>WEEKNUM(Table1[[#This Row],[Date]])</f>
        <v>13</v>
      </c>
      <c r="F793" s="5">
        <f>YEAR(Table1[[#This Row],[Date]])</f>
        <v>2022</v>
      </c>
      <c r="G793">
        <v>261</v>
      </c>
      <c r="L793" s="5">
        <v>388</v>
      </c>
      <c r="M793" s="6">
        <v>0.77759999999999996</v>
      </c>
      <c r="N793" s="5">
        <v>111</v>
      </c>
      <c r="O793" s="7">
        <v>6.2500000000000001E-4</v>
      </c>
      <c r="P793" s="7">
        <v>1.5625000000000001E-3</v>
      </c>
      <c r="Q793" s="7">
        <v>1.1793981481481482E-2</v>
      </c>
      <c r="R793" s="6">
        <v>0.47760000000000002</v>
      </c>
      <c r="S793" s="8">
        <f>CONVERT(Table1[[#This Row],[Talk Duration (AVG)]]*Table1[[#This Row],[Answered Calls]],"day","hr")</f>
        <v>14.550000000000002</v>
      </c>
      <c r="T793" s="9">
        <f>Table1[[#This Row],[Actual Workload hours]]*60</f>
        <v>873.00000000000011</v>
      </c>
      <c r="U793" s="9">
        <f>CONVERT(Table1[[#This Row],[Actual]]*Table1[[#This Row],[Talk Duration (AVG)]],"day","hr")</f>
        <v>9.7874999999999996</v>
      </c>
      <c r="V793" s="10">
        <f>Table1[[#This Row],[Required Workload Hours]]*60</f>
        <v>587.25</v>
      </c>
      <c r="W793" s="9">
        <v>2.27</v>
      </c>
      <c r="X793" s="9">
        <f t="shared" si="24"/>
        <v>1.529296875</v>
      </c>
      <c r="Y793" s="5">
        <f t="shared" si="25"/>
        <v>2</v>
      </c>
      <c r="Z793" s="8">
        <f>ROUNDUP(Table1[[#This Row],[Actual Heacount]],0)</f>
        <v>3</v>
      </c>
      <c r="AA793" s="8"/>
      <c r="AB793" s="10"/>
      <c r="AC793" s="10"/>
      <c r="AD793" s="10"/>
      <c r="AE793" s="11">
        <v>43.354526975691137</v>
      </c>
      <c r="AF793" s="11">
        <v>256.63205787965251</v>
      </c>
      <c r="AG793" t="s">
        <v>34</v>
      </c>
    </row>
    <row r="794" spans="1:33">
      <c r="A794" s="2">
        <v>44646</v>
      </c>
      <c r="B794" s="5" t="s">
        <v>35</v>
      </c>
      <c r="C794" s="5">
        <f>WEEKDAY(Table1[[#This Row],[Date]])</f>
        <v>7</v>
      </c>
      <c r="D794" s="5">
        <f>MONTH(Table1[[#This Row],[Date]])</f>
        <v>3</v>
      </c>
      <c r="E794" s="5">
        <f>WEEKNUM(Table1[[#This Row],[Date]])</f>
        <v>13</v>
      </c>
      <c r="F794" s="5">
        <f>YEAR(Table1[[#This Row],[Date]])</f>
        <v>2022</v>
      </c>
      <c r="G794">
        <v>201</v>
      </c>
      <c r="L794" s="5">
        <v>434</v>
      </c>
      <c r="M794" s="6">
        <v>0.85099999999999998</v>
      </c>
      <c r="N794" s="5">
        <v>76</v>
      </c>
      <c r="O794" s="7">
        <v>5.5555555555555556E-4</v>
      </c>
      <c r="P794" s="7">
        <v>2.4189814814814816E-3</v>
      </c>
      <c r="Q794" s="7">
        <v>7.1875000000000003E-3</v>
      </c>
      <c r="R794" s="6">
        <v>0.4219</v>
      </c>
      <c r="S794" s="8">
        <f>CONVERT(Table1[[#This Row],[Talk Duration (AVG)]]*Table1[[#This Row],[Answered Calls]],"day","hr")</f>
        <v>25.196111111111115</v>
      </c>
      <c r="T794" s="9">
        <f>Table1[[#This Row],[Actual Workload hours]]*60</f>
        <v>1511.7666666666669</v>
      </c>
      <c r="U794" s="9">
        <f>CONVERT(Table1[[#This Row],[Actual]]*Table1[[#This Row],[Talk Duration (AVG)]],"day","hr")</f>
        <v>11.669166666666667</v>
      </c>
      <c r="V794" s="10">
        <f>Table1[[#This Row],[Required Workload Hours]]*60</f>
        <v>700.15000000000009</v>
      </c>
      <c r="W794" s="9">
        <v>3.94</v>
      </c>
      <c r="X794" s="9">
        <f t="shared" si="24"/>
        <v>1.8233072916666668</v>
      </c>
      <c r="Y794" s="5">
        <f t="shared" si="25"/>
        <v>2</v>
      </c>
      <c r="Z794" s="8">
        <f>ROUNDUP(Table1[[#This Row],[Actual Heacount]],0)</f>
        <v>4</v>
      </c>
      <c r="AA794" s="8"/>
      <c r="AB794" s="10"/>
      <c r="AC794" s="10"/>
      <c r="AD794" s="10"/>
      <c r="AE794" s="11">
        <v>53.909792069455463</v>
      </c>
      <c r="AF794" s="11">
        <v>269.62148344728149</v>
      </c>
      <c r="AG794" t="s">
        <v>34</v>
      </c>
    </row>
    <row r="795" spans="1:33">
      <c r="A795" s="2">
        <v>44647</v>
      </c>
      <c r="B795" s="5" t="s">
        <v>36</v>
      </c>
      <c r="C795" s="5">
        <f>WEEKDAY(Table1[[#This Row],[Date]])</f>
        <v>1</v>
      </c>
      <c r="D795" s="5">
        <f>MONTH(Table1[[#This Row],[Date]])</f>
        <v>3</v>
      </c>
      <c r="E795" s="5">
        <f>WEEKNUM(Table1[[#This Row],[Date]])</f>
        <v>14</v>
      </c>
      <c r="F795" s="5">
        <f>YEAR(Table1[[#This Row],[Date]])</f>
        <v>2022</v>
      </c>
      <c r="G795">
        <v>64</v>
      </c>
      <c r="L795" s="5">
        <v>458</v>
      </c>
      <c r="M795" s="6">
        <v>0.83420000000000005</v>
      </c>
      <c r="N795" s="5">
        <v>91</v>
      </c>
      <c r="O795" s="7">
        <v>8.4490740740740739E-4</v>
      </c>
      <c r="P795" s="7">
        <v>2.488425925925926E-3</v>
      </c>
      <c r="Q795" s="7">
        <v>6.3888888888888893E-3</v>
      </c>
      <c r="R795" s="6">
        <v>0.29070000000000001</v>
      </c>
      <c r="S795" s="8">
        <f>CONVERT(Table1[[#This Row],[Talk Duration (AVG)]]*Table1[[#This Row],[Answered Calls]],"day","hr")</f>
        <v>27.352777777777781</v>
      </c>
      <c r="T795" s="9">
        <f>Table1[[#This Row],[Actual Workload hours]]*60</f>
        <v>1641.166666666667</v>
      </c>
      <c r="U795" s="9">
        <f>CONVERT(Table1[[#This Row],[Actual]]*Table1[[#This Row],[Talk Duration (AVG)]],"day","hr")</f>
        <v>3.8222222222222224</v>
      </c>
      <c r="V795" s="10">
        <f>Table1[[#This Row],[Required Workload Hours]]*60</f>
        <v>229.33333333333334</v>
      </c>
      <c r="W795" s="9">
        <v>4.2699999999999996</v>
      </c>
      <c r="X795" s="9">
        <f t="shared" si="24"/>
        <v>1</v>
      </c>
      <c r="Y795" s="5">
        <f t="shared" si="25"/>
        <v>2</v>
      </c>
      <c r="Z795" s="8">
        <f>ROUNDUP(Table1[[#This Row],[Actual Heacount]],0)</f>
        <v>5</v>
      </c>
      <c r="AA795" s="8"/>
      <c r="AB795" s="10"/>
      <c r="AC795" s="10"/>
      <c r="AD795" s="10"/>
      <c r="AE795" s="11">
        <v>-37.239337825145668</v>
      </c>
      <c r="AF795" s="11">
        <v>186.7936347429804</v>
      </c>
      <c r="AG795" t="s">
        <v>34</v>
      </c>
    </row>
    <row r="796" spans="1:33">
      <c r="A796" s="2">
        <v>44648</v>
      </c>
      <c r="B796" s="5" t="s">
        <v>37</v>
      </c>
      <c r="C796" s="5">
        <f>WEEKDAY(Table1[[#This Row],[Date]])</f>
        <v>2</v>
      </c>
      <c r="D796" s="5">
        <f>MONTH(Table1[[#This Row],[Date]])</f>
        <v>3</v>
      </c>
      <c r="E796" s="5">
        <f>WEEKNUM(Table1[[#This Row],[Date]])</f>
        <v>14</v>
      </c>
      <c r="F796" s="5">
        <f>YEAR(Table1[[#This Row],[Date]])</f>
        <v>2022</v>
      </c>
      <c r="G796">
        <v>200</v>
      </c>
      <c r="L796" s="5">
        <v>444</v>
      </c>
      <c r="M796" s="6">
        <v>0.75249999999999995</v>
      </c>
      <c r="N796" s="5">
        <v>146</v>
      </c>
      <c r="O796" s="7">
        <v>9.6064814814814819E-4</v>
      </c>
      <c r="P796" s="7">
        <v>2.476851851851852E-3</v>
      </c>
      <c r="Q796" s="7">
        <v>6.2268518518518515E-3</v>
      </c>
      <c r="R796" s="6">
        <v>0.1903</v>
      </c>
      <c r="S796" s="8">
        <f>CONVERT(Table1[[#This Row],[Talk Duration (AVG)]]*Table1[[#This Row],[Answered Calls]],"day","hr")</f>
        <v>26.393333333333334</v>
      </c>
      <c r="T796" s="9">
        <f>Table1[[#This Row],[Actual Workload hours]]*60</f>
        <v>1583.6000000000001</v>
      </c>
      <c r="U796" s="9">
        <f>CONVERT(Table1[[#This Row],[Actual]]*Table1[[#This Row],[Talk Duration (AVG)]],"day","hr")</f>
        <v>11.888888888888889</v>
      </c>
      <c r="V796" s="10">
        <f>Table1[[#This Row],[Required Workload Hours]]*60</f>
        <v>713.33333333333337</v>
      </c>
      <c r="W796" s="9">
        <v>4.12</v>
      </c>
      <c r="X796" s="9">
        <f t="shared" si="24"/>
        <v>1.8576388888888891</v>
      </c>
      <c r="Y796" s="5">
        <f t="shared" si="25"/>
        <v>2</v>
      </c>
      <c r="Z796" s="8">
        <f>ROUNDUP(Table1[[#This Row],[Actual Heacount]],0)</f>
        <v>5</v>
      </c>
      <c r="AA796" s="8"/>
      <c r="AB796" s="10"/>
      <c r="AC796" s="10"/>
      <c r="AD796" s="10"/>
      <c r="AE796" s="11">
        <v>72.503481030384194</v>
      </c>
      <c r="AF796" s="11">
        <v>287.26088979598211</v>
      </c>
      <c r="AG796" t="s">
        <v>34</v>
      </c>
    </row>
    <row r="797" spans="1:33">
      <c r="A797" s="2">
        <v>44649</v>
      </c>
      <c r="B797" s="5" t="s">
        <v>38</v>
      </c>
      <c r="C797" s="5">
        <f>WEEKDAY(Table1[[#This Row],[Date]])</f>
        <v>3</v>
      </c>
      <c r="D797" s="5">
        <f>MONTH(Table1[[#This Row],[Date]])</f>
        <v>3</v>
      </c>
      <c r="E797" s="5">
        <f>WEEKNUM(Table1[[#This Row],[Date]])</f>
        <v>14</v>
      </c>
      <c r="F797" s="5">
        <f>YEAR(Table1[[#This Row],[Date]])</f>
        <v>2022</v>
      </c>
      <c r="G797">
        <v>158</v>
      </c>
      <c r="L797" s="5">
        <v>120</v>
      </c>
      <c r="M797" s="6">
        <v>0.87590000000000001</v>
      </c>
      <c r="N797" s="5">
        <v>17</v>
      </c>
      <c r="O797" s="7">
        <v>6.7129629629629625E-4</v>
      </c>
      <c r="P797" s="7">
        <v>2.2106481481481482E-3</v>
      </c>
      <c r="Q797" s="7">
        <v>3.7268518518518519E-3</v>
      </c>
      <c r="R797" s="6">
        <v>0.33090000000000003</v>
      </c>
      <c r="S797" s="8">
        <f>CONVERT(Table1[[#This Row],[Talk Duration (AVG)]]*Table1[[#This Row],[Answered Calls]],"day","hr")</f>
        <v>6.3666666666666663</v>
      </c>
      <c r="T797" s="9">
        <f>Table1[[#This Row],[Actual Workload hours]]*60</f>
        <v>382</v>
      </c>
      <c r="U797" s="9">
        <f>CONVERT(Table1[[#This Row],[Actual]]*Table1[[#This Row],[Talk Duration (AVG)]],"day","hr")</f>
        <v>8.3827777777777772</v>
      </c>
      <c r="V797" s="10">
        <f>Table1[[#This Row],[Required Workload Hours]]*60</f>
        <v>502.96666666666664</v>
      </c>
      <c r="W797" s="9">
        <v>1</v>
      </c>
      <c r="X797" s="9">
        <f t="shared" si="24"/>
        <v>1.3098090277777776</v>
      </c>
      <c r="Y797" s="5">
        <f t="shared" si="25"/>
        <v>1</v>
      </c>
      <c r="Z797" s="8">
        <f>ROUNDUP(Table1[[#This Row],[Actual Heacount]],0)</f>
        <v>1</v>
      </c>
      <c r="AA797" s="8"/>
      <c r="AB797" s="10"/>
      <c r="AC797" s="10"/>
      <c r="AD797" s="10"/>
      <c r="AE797" s="11">
        <v>53.756456809740968</v>
      </c>
      <c r="AF797" s="11">
        <v>283.51739952111751</v>
      </c>
      <c r="AG797" t="s">
        <v>34</v>
      </c>
    </row>
    <row r="798" spans="1:33">
      <c r="A798" s="2">
        <v>44650</v>
      </c>
      <c r="B798" s="5" t="s">
        <v>39</v>
      </c>
      <c r="C798" s="5">
        <f>WEEKDAY(Table1[[#This Row],[Date]])</f>
        <v>4</v>
      </c>
      <c r="D798" s="5">
        <f>MONTH(Table1[[#This Row],[Date]])</f>
        <v>3</v>
      </c>
      <c r="E798" s="5">
        <f>WEEKNUM(Table1[[#This Row],[Date]])</f>
        <v>14</v>
      </c>
      <c r="F798" s="5">
        <f>YEAR(Table1[[#This Row],[Date]])</f>
        <v>2022</v>
      </c>
      <c r="G798">
        <v>174</v>
      </c>
      <c r="L798" s="5">
        <v>476</v>
      </c>
      <c r="M798" s="6">
        <v>0.79600000000000004</v>
      </c>
      <c r="N798" s="5">
        <v>122</v>
      </c>
      <c r="O798" s="7">
        <v>6.7129629629629625E-4</v>
      </c>
      <c r="P798" s="7">
        <v>2.5347222222222221E-3</v>
      </c>
      <c r="Q798" s="7">
        <v>6.076388888888889E-3</v>
      </c>
      <c r="R798" s="6">
        <v>0.32029999999999997</v>
      </c>
      <c r="S798" s="8">
        <f>CONVERT(Table1[[#This Row],[Talk Duration (AVG)]]*Table1[[#This Row],[Answered Calls]],"day","hr")</f>
        <v>28.956666666666663</v>
      </c>
      <c r="T798" s="9">
        <f>Table1[[#This Row],[Actual Workload hours]]*60</f>
        <v>1737.3999999999999</v>
      </c>
      <c r="U798" s="9">
        <f>CONVERT(Table1[[#This Row],[Actual]]*Table1[[#This Row],[Talk Duration (AVG)]],"day","hr")</f>
        <v>10.585000000000001</v>
      </c>
      <c r="V798" s="10">
        <f>Table1[[#This Row],[Required Workload Hours]]*60</f>
        <v>635.1</v>
      </c>
      <c r="W798" s="9">
        <v>4.5199999999999996</v>
      </c>
      <c r="X798" s="9">
        <f t="shared" si="24"/>
        <v>1.6539062500000001</v>
      </c>
      <c r="Y798" s="5">
        <f t="shared" si="25"/>
        <v>2</v>
      </c>
      <c r="Z798" s="8">
        <f>ROUNDUP(Table1[[#This Row],[Actual Heacount]],0)</f>
        <v>5</v>
      </c>
      <c r="AA798" s="8"/>
      <c r="AB798" s="10"/>
      <c r="AC798" s="10"/>
      <c r="AD798" s="10"/>
      <c r="AE798" s="11">
        <v>71.666950179905371</v>
      </c>
      <c r="AF798" s="11">
        <v>286.05029959057708</v>
      </c>
      <c r="AG798" t="s">
        <v>34</v>
      </c>
    </row>
    <row r="799" spans="1:33">
      <c r="A799" s="2">
        <v>44651</v>
      </c>
      <c r="B799" s="5" t="s">
        <v>40</v>
      </c>
      <c r="C799" s="5">
        <f>WEEKDAY(Table1[[#This Row],[Date]])</f>
        <v>5</v>
      </c>
      <c r="D799" s="5">
        <f>MONTH(Table1[[#This Row],[Date]])</f>
        <v>3</v>
      </c>
      <c r="E799" s="5">
        <f>WEEKNUM(Table1[[#This Row],[Date]])</f>
        <v>14</v>
      </c>
      <c r="F799" s="5">
        <f>YEAR(Table1[[#This Row],[Date]])</f>
        <v>2022</v>
      </c>
      <c r="G799">
        <v>67</v>
      </c>
      <c r="L799" s="5">
        <v>180</v>
      </c>
      <c r="M799" s="6">
        <v>0.7792</v>
      </c>
      <c r="N799" s="5">
        <v>51</v>
      </c>
      <c r="O799" s="7">
        <v>7.407407407407407E-4</v>
      </c>
      <c r="P799" s="7">
        <v>2.4652777777777776E-3</v>
      </c>
      <c r="Q799" s="7">
        <v>6.3310185185185188E-3</v>
      </c>
      <c r="R799" s="6">
        <v>0.33779999999999999</v>
      </c>
      <c r="S799" s="8">
        <f>CONVERT(Table1[[#This Row],[Talk Duration (AVG)]]*Table1[[#This Row],[Answered Calls]],"day","hr")</f>
        <v>10.65</v>
      </c>
      <c r="T799" s="9">
        <f>Table1[[#This Row],[Actual Workload hours]]*60</f>
        <v>639</v>
      </c>
      <c r="U799" s="9">
        <f>CONVERT(Table1[[#This Row],[Actual]]*Table1[[#This Row],[Talk Duration (AVG)]],"day","hr")</f>
        <v>3.964166666666666</v>
      </c>
      <c r="V799" s="10">
        <f>Table1[[#This Row],[Required Workload Hours]]*60</f>
        <v>237.84999999999997</v>
      </c>
      <c r="W799" s="9">
        <v>1.66</v>
      </c>
      <c r="X799" s="9">
        <f t="shared" si="24"/>
        <v>1</v>
      </c>
      <c r="Y799" s="5">
        <f t="shared" si="25"/>
        <v>2</v>
      </c>
      <c r="Z799" s="8">
        <f>ROUNDUP(Table1[[#This Row],[Actual Heacount]],0)</f>
        <v>2</v>
      </c>
      <c r="AA799" s="8"/>
      <c r="AB799" s="10"/>
      <c r="AC799" s="10"/>
      <c r="AD799" s="10"/>
      <c r="AE799" s="11">
        <v>70.856485796198257</v>
      </c>
      <c r="AF799" s="11">
        <v>293.15841863893212</v>
      </c>
      <c r="AG799" t="s">
        <v>34</v>
      </c>
    </row>
    <row r="800" spans="1:33">
      <c r="A800" s="2">
        <v>44652</v>
      </c>
      <c r="B800" s="5" t="s">
        <v>33</v>
      </c>
      <c r="C800" s="5">
        <f>WEEKDAY(Table1[[#This Row],[Date]])</f>
        <v>6</v>
      </c>
      <c r="D800" s="5">
        <f>MONTH(Table1[[#This Row],[Date]])</f>
        <v>4</v>
      </c>
      <c r="E800" s="5">
        <f>WEEKNUM(Table1[[#This Row],[Date]])</f>
        <v>14</v>
      </c>
      <c r="F800" s="5">
        <f>YEAR(Table1[[#This Row],[Date]])</f>
        <v>2022</v>
      </c>
      <c r="G800">
        <v>131</v>
      </c>
      <c r="L800" s="5">
        <v>362</v>
      </c>
      <c r="M800" s="6">
        <v>0.5</v>
      </c>
      <c r="N800" s="5">
        <v>362</v>
      </c>
      <c r="O800" s="7">
        <v>1.4004629629629629E-3</v>
      </c>
      <c r="P800" s="7">
        <v>2.7199074074074074E-3</v>
      </c>
      <c r="Q800" s="7">
        <v>8.5416666666666662E-3</v>
      </c>
      <c r="R800" s="6">
        <v>0.1166</v>
      </c>
      <c r="S800" s="8">
        <f>CONVERT(Table1[[#This Row],[Talk Duration (AVG)]]*Table1[[#This Row],[Answered Calls]],"day","hr")</f>
        <v>23.630555555555556</v>
      </c>
      <c r="T800" s="9">
        <f>Table1[[#This Row],[Actual Workload hours]]*60</f>
        <v>1417.8333333333335</v>
      </c>
      <c r="U800" s="9">
        <f>CONVERT(Table1[[#This Row],[Actual]]*Table1[[#This Row],[Talk Duration (AVG)]],"day","hr")</f>
        <v>8.5513888888888889</v>
      </c>
      <c r="V800" s="10">
        <f>Table1[[#This Row],[Required Workload Hours]]*60</f>
        <v>513.08333333333337</v>
      </c>
      <c r="W800" s="9">
        <v>3.69</v>
      </c>
      <c r="X800" s="9">
        <f t="shared" si="24"/>
        <v>1.3361545138888891</v>
      </c>
      <c r="Y800" s="5">
        <f t="shared" si="25"/>
        <v>2</v>
      </c>
      <c r="Z800" s="8">
        <f>ROUNDUP(Table1[[#This Row],[Actual Heacount]],0)</f>
        <v>4</v>
      </c>
      <c r="AA800" s="8"/>
      <c r="AB800" s="10"/>
      <c r="AC800" s="10"/>
      <c r="AD800" s="10"/>
      <c r="AE800" s="11">
        <v>61.86664647269037</v>
      </c>
      <c r="AF800" s="11">
        <v>273.24921813567619</v>
      </c>
      <c r="AG800" t="s">
        <v>34</v>
      </c>
    </row>
    <row r="801" spans="1:33">
      <c r="A801" s="2">
        <v>44653</v>
      </c>
      <c r="B801" s="5" t="s">
        <v>35</v>
      </c>
      <c r="C801" s="5">
        <f>WEEKDAY(Table1[[#This Row],[Date]])</f>
        <v>7</v>
      </c>
      <c r="D801" s="5">
        <f>MONTH(Table1[[#This Row],[Date]])</f>
        <v>4</v>
      </c>
      <c r="E801" s="5">
        <f>WEEKNUM(Table1[[#This Row],[Date]])</f>
        <v>14</v>
      </c>
      <c r="F801" s="5">
        <f>YEAR(Table1[[#This Row],[Date]])</f>
        <v>2022</v>
      </c>
      <c r="G801">
        <v>317</v>
      </c>
      <c r="L801" s="5">
        <v>367</v>
      </c>
      <c r="M801" s="6">
        <v>0.50139999999999996</v>
      </c>
      <c r="N801" s="5">
        <v>365</v>
      </c>
      <c r="O801" s="7">
        <v>1.9444444444444444E-3</v>
      </c>
      <c r="P801" s="7">
        <v>1.9907407407407408E-3</v>
      </c>
      <c r="Q801" s="7">
        <v>1.1550925925925926E-2</v>
      </c>
      <c r="R801" s="6">
        <v>8.09E-2</v>
      </c>
      <c r="S801" s="8">
        <f>CONVERT(Table1[[#This Row],[Talk Duration (AVG)]]*Table1[[#This Row],[Answered Calls]],"day","hr")</f>
        <v>17.534444444444443</v>
      </c>
      <c r="T801" s="9">
        <f>Table1[[#This Row],[Actual Workload hours]]*60</f>
        <v>1052.0666666666666</v>
      </c>
      <c r="U801" s="9">
        <f>CONVERT(Table1[[#This Row],[Actual]]*Table1[[#This Row],[Talk Duration (AVG)]],"day","hr")</f>
        <v>15.145555555555555</v>
      </c>
      <c r="V801" s="10">
        <f>Table1[[#This Row],[Required Workload Hours]]*60</f>
        <v>908.73333333333335</v>
      </c>
      <c r="W801" s="9">
        <v>2.74</v>
      </c>
      <c r="X801" s="9">
        <f t="shared" si="24"/>
        <v>2.3664930555555554</v>
      </c>
      <c r="Y801" s="5">
        <f t="shared" si="25"/>
        <v>2</v>
      </c>
      <c r="Z801" s="8">
        <f>ROUNDUP(Table1[[#This Row],[Actual Heacount]],0)</f>
        <v>3</v>
      </c>
      <c r="AA801" s="8"/>
      <c r="AB801" s="10"/>
      <c r="AC801" s="10"/>
      <c r="AD801" s="10"/>
      <c r="AE801" s="11">
        <v>63.886573472697158</v>
      </c>
      <c r="AF801" s="11">
        <v>300.4109039129562</v>
      </c>
      <c r="AG801" t="s">
        <v>34</v>
      </c>
    </row>
    <row r="802" spans="1:33">
      <c r="A802" s="2">
        <v>44655</v>
      </c>
      <c r="B802" s="5" t="s">
        <v>36</v>
      </c>
      <c r="C802" s="5">
        <f>WEEKDAY(Table1[[#This Row],[Date]])</f>
        <v>2</v>
      </c>
      <c r="D802" s="5">
        <f>MONTH(Table1[[#This Row],[Date]])</f>
        <v>4</v>
      </c>
      <c r="E802" s="5">
        <f>WEEKNUM(Table1[[#This Row],[Date]])</f>
        <v>15</v>
      </c>
      <c r="F802" s="5">
        <f>YEAR(Table1[[#This Row],[Date]])</f>
        <v>2022</v>
      </c>
      <c r="G802">
        <v>223</v>
      </c>
      <c r="L802" s="5">
        <v>301</v>
      </c>
      <c r="M802" s="6">
        <v>0.51719999999999999</v>
      </c>
      <c r="N802" s="5">
        <v>281</v>
      </c>
      <c r="O802" s="7">
        <v>1.8634259259259259E-3</v>
      </c>
      <c r="P802" s="7">
        <v>2.9282407407407408E-3</v>
      </c>
      <c r="Q802" s="7">
        <v>1.5069444444444444E-2</v>
      </c>
      <c r="R802" s="6">
        <v>0.1208</v>
      </c>
      <c r="S802" s="8">
        <f>CONVERT(Table1[[#This Row],[Talk Duration (AVG)]]*Table1[[#This Row],[Answered Calls]],"day","hr")</f>
        <v>21.153611111111111</v>
      </c>
      <c r="T802" s="9">
        <f>Table1[[#This Row],[Actual Workload hours]]*60</f>
        <v>1269.2166666666667</v>
      </c>
      <c r="U802" s="9">
        <f>CONVERT(Table1[[#This Row],[Actual]]*Table1[[#This Row],[Talk Duration (AVG)]],"day","hr")</f>
        <v>15.671944444444444</v>
      </c>
      <c r="V802" s="10">
        <f>Table1[[#This Row],[Required Workload Hours]]*60</f>
        <v>940.31666666666661</v>
      </c>
      <c r="W802" s="9">
        <v>3.31</v>
      </c>
      <c r="X802" s="9">
        <f t="shared" si="24"/>
        <v>2.4487413194444443</v>
      </c>
      <c r="Y802" s="5">
        <f t="shared" si="25"/>
        <v>2</v>
      </c>
      <c r="Z802" s="8">
        <f>ROUNDUP(Table1[[#This Row],[Actual Heacount]],0)</f>
        <v>4</v>
      </c>
      <c r="AA802" s="8"/>
      <c r="AB802" s="10"/>
      <c r="AC802" s="10"/>
      <c r="AD802" s="10"/>
      <c r="AE802" s="11">
        <v>84.101288776074284</v>
      </c>
      <c r="AF802" s="11">
        <v>306.9805665261718</v>
      </c>
      <c r="AG802" t="s">
        <v>34</v>
      </c>
    </row>
    <row r="803" spans="1:33">
      <c r="A803" s="2">
        <v>44656</v>
      </c>
      <c r="B803" s="5" t="s">
        <v>37</v>
      </c>
      <c r="C803" s="5">
        <f>WEEKDAY(Table1[[#This Row],[Date]])</f>
        <v>3</v>
      </c>
      <c r="D803" s="5">
        <f>MONTH(Table1[[#This Row],[Date]])</f>
        <v>4</v>
      </c>
      <c r="E803" s="5">
        <f>WEEKNUM(Table1[[#This Row],[Date]])</f>
        <v>15</v>
      </c>
      <c r="F803" s="5">
        <f>YEAR(Table1[[#This Row],[Date]])</f>
        <v>2022</v>
      </c>
      <c r="G803">
        <v>490</v>
      </c>
      <c r="L803" s="5">
        <v>344</v>
      </c>
      <c r="M803" s="6">
        <v>0.55389999999999995</v>
      </c>
      <c r="N803" s="5">
        <v>277</v>
      </c>
      <c r="O803" s="7">
        <v>1.4699074074074074E-3</v>
      </c>
      <c r="P803" s="7">
        <v>2.4189814814814816E-3</v>
      </c>
      <c r="Q803" s="7">
        <v>8.611111111111111E-3</v>
      </c>
      <c r="R803" s="6">
        <v>0.1447</v>
      </c>
      <c r="S803" s="8">
        <f>CONVERT(Table1[[#This Row],[Talk Duration (AVG)]]*Table1[[#This Row],[Answered Calls]],"day","hr")</f>
        <v>19.97111111111111</v>
      </c>
      <c r="T803" s="9">
        <f>Table1[[#This Row],[Actual Workload hours]]*60</f>
        <v>1198.2666666666667</v>
      </c>
      <c r="U803" s="9">
        <f>CONVERT(Table1[[#This Row],[Actual]]*Table1[[#This Row],[Talk Duration (AVG)]],"day","hr")</f>
        <v>28.447222222222223</v>
      </c>
      <c r="V803" s="10">
        <f>Table1[[#This Row],[Required Workload Hours]]*60</f>
        <v>1706.8333333333335</v>
      </c>
      <c r="W803" s="9">
        <v>3.12</v>
      </c>
      <c r="X803" s="9">
        <f t="shared" si="24"/>
        <v>4.4448784722222223</v>
      </c>
      <c r="Y803" s="5">
        <f t="shared" si="25"/>
        <v>2</v>
      </c>
      <c r="Z803" s="8">
        <f>ROUNDUP(Table1[[#This Row],[Actual Heacount]],0)</f>
        <v>4</v>
      </c>
      <c r="AA803" s="8"/>
      <c r="AB803" s="10"/>
      <c r="AC803" s="10"/>
      <c r="AD803" s="10"/>
      <c r="AE803" s="11">
        <v>71.23843527158391</v>
      </c>
      <c r="AF803" s="11">
        <v>284.35800637529888</v>
      </c>
      <c r="AG803" t="s">
        <v>34</v>
      </c>
    </row>
    <row r="804" spans="1:33">
      <c r="A804" s="2">
        <v>44657</v>
      </c>
      <c r="B804" s="5" t="s">
        <v>38</v>
      </c>
      <c r="C804" s="5">
        <f>WEEKDAY(Table1[[#This Row],[Date]])</f>
        <v>4</v>
      </c>
      <c r="D804" s="5">
        <f>MONTH(Table1[[#This Row],[Date]])</f>
        <v>4</v>
      </c>
      <c r="E804" s="5">
        <f>WEEKNUM(Table1[[#This Row],[Date]])</f>
        <v>15</v>
      </c>
      <c r="F804" s="5">
        <f>YEAR(Table1[[#This Row],[Date]])</f>
        <v>2022</v>
      </c>
      <c r="G804">
        <v>191</v>
      </c>
      <c r="L804" s="5">
        <v>106</v>
      </c>
      <c r="M804" s="6">
        <v>0.91379999999999995</v>
      </c>
      <c r="N804" s="5">
        <v>10</v>
      </c>
      <c r="O804" s="7">
        <v>3.9351851851851852E-4</v>
      </c>
      <c r="P804" s="7">
        <v>3.0439814814814813E-3</v>
      </c>
      <c r="Q804" s="7">
        <v>3.2870370370370371E-3</v>
      </c>
      <c r="R804" s="6">
        <v>0.62929999999999997</v>
      </c>
      <c r="S804" s="8">
        <f>CONVERT(Table1[[#This Row],[Talk Duration (AVG)]]*Table1[[#This Row],[Answered Calls]],"day","hr")</f>
        <v>7.7438888888888879</v>
      </c>
      <c r="T804" s="9">
        <f>Table1[[#This Row],[Actual Workload hours]]*60</f>
        <v>464.63333333333327</v>
      </c>
      <c r="U804" s="9">
        <f>CONVERT(Table1[[#This Row],[Actual]]*Table1[[#This Row],[Talk Duration (AVG)]],"day","hr")</f>
        <v>13.953611111111108</v>
      </c>
      <c r="V804" s="10">
        <f>Table1[[#This Row],[Required Workload Hours]]*60</f>
        <v>837.21666666666647</v>
      </c>
      <c r="W804" s="9">
        <v>1.21</v>
      </c>
      <c r="X804" s="9">
        <f t="shared" si="24"/>
        <v>2.1802517361111104</v>
      </c>
      <c r="Y804" s="5">
        <f t="shared" si="25"/>
        <v>1</v>
      </c>
      <c r="Z804" s="8">
        <f>ROUNDUP(Table1[[#This Row],[Actual Heacount]],0)</f>
        <v>2</v>
      </c>
      <c r="AA804" s="8"/>
      <c r="AB804" s="10"/>
      <c r="AC804" s="10"/>
      <c r="AD804" s="10"/>
      <c r="AE804" s="11">
        <v>89.139850099137803</v>
      </c>
      <c r="AF804" s="11">
        <v>313.00623235962831</v>
      </c>
      <c r="AG804" t="s">
        <v>34</v>
      </c>
    </row>
    <row r="805" spans="1:33">
      <c r="A805" s="2">
        <v>44658</v>
      </c>
      <c r="B805" s="5" t="s">
        <v>39</v>
      </c>
      <c r="C805" s="5">
        <f>WEEKDAY(Table1[[#This Row],[Date]])</f>
        <v>5</v>
      </c>
      <c r="D805" s="5">
        <f>MONTH(Table1[[#This Row],[Date]])</f>
        <v>4</v>
      </c>
      <c r="E805" s="5">
        <f>WEEKNUM(Table1[[#This Row],[Date]])</f>
        <v>15</v>
      </c>
      <c r="F805" s="5">
        <f>YEAR(Table1[[#This Row],[Date]])</f>
        <v>2022</v>
      </c>
      <c r="G805">
        <v>573</v>
      </c>
      <c r="L805" s="5">
        <v>300</v>
      </c>
      <c r="M805" s="6">
        <v>0.56289999999999996</v>
      </c>
      <c r="N805" s="5">
        <v>233</v>
      </c>
      <c r="O805" s="7">
        <v>1.5277777777777779E-3</v>
      </c>
      <c r="P805" s="7">
        <v>2.8124999999999999E-3</v>
      </c>
      <c r="Q805" s="7">
        <v>8.611111111111111E-3</v>
      </c>
      <c r="R805" s="6">
        <v>0.1255</v>
      </c>
      <c r="S805" s="8">
        <f>CONVERT(Table1[[#This Row],[Talk Duration (AVG)]]*Table1[[#This Row],[Answered Calls]],"day","hr")</f>
        <v>20.25</v>
      </c>
      <c r="T805" s="9">
        <f>Table1[[#This Row],[Actual Workload hours]]*60</f>
        <v>1215</v>
      </c>
      <c r="U805" s="9">
        <f>CONVERT(Table1[[#This Row],[Actual]]*Table1[[#This Row],[Talk Duration (AVG)]],"day","hr")</f>
        <v>38.677500000000002</v>
      </c>
      <c r="V805" s="10">
        <f>Table1[[#This Row],[Required Workload Hours]]*60</f>
        <v>2320.65</v>
      </c>
      <c r="W805" s="9">
        <v>3.16</v>
      </c>
      <c r="X805" s="9">
        <f t="shared" si="24"/>
        <v>6.0433593750000005</v>
      </c>
      <c r="Y805" s="5">
        <f t="shared" si="25"/>
        <v>2</v>
      </c>
      <c r="Z805" s="8">
        <f>ROUNDUP(Table1[[#This Row],[Actual Heacount]],0)</f>
        <v>4</v>
      </c>
      <c r="AA805" s="8"/>
      <c r="AB805" s="10"/>
      <c r="AC805" s="10"/>
      <c r="AD805" s="10"/>
      <c r="AE805" s="11">
        <v>90.713687615533459</v>
      </c>
      <c r="AF805" s="11">
        <v>307.50509382858951</v>
      </c>
      <c r="AG805" t="s">
        <v>34</v>
      </c>
    </row>
    <row r="806" spans="1:33">
      <c r="A806" s="2">
        <v>44659</v>
      </c>
      <c r="B806" s="5" t="s">
        <v>40</v>
      </c>
      <c r="C806" s="5">
        <f>WEEKDAY(Table1[[#This Row],[Date]])</f>
        <v>6</v>
      </c>
      <c r="D806" s="5">
        <f>MONTH(Table1[[#This Row],[Date]])</f>
        <v>4</v>
      </c>
      <c r="E806" s="5">
        <f>WEEKNUM(Table1[[#This Row],[Date]])</f>
        <v>15</v>
      </c>
      <c r="F806" s="5">
        <f>YEAR(Table1[[#This Row],[Date]])</f>
        <v>2022</v>
      </c>
      <c r="G806">
        <v>153</v>
      </c>
      <c r="L806" s="5">
        <v>322</v>
      </c>
      <c r="M806" s="6">
        <v>0.77400000000000002</v>
      </c>
      <c r="N806" s="5">
        <v>94</v>
      </c>
      <c r="O806" s="7">
        <v>7.407407407407407E-4</v>
      </c>
      <c r="P806" s="7">
        <v>2.476851851851852E-3</v>
      </c>
      <c r="Q806" s="7">
        <v>4.3055555555555555E-3</v>
      </c>
      <c r="R806" s="6">
        <v>0.38590000000000002</v>
      </c>
      <c r="S806" s="8">
        <f>CONVERT(Table1[[#This Row],[Talk Duration (AVG)]]*Table1[[#This Row],[Answered Calls]],"day","hr")</f>
        <v>19.141111111111112</v>
      </c>
      <c r="T806" s="9">
        <f>Table1[[#This Row],[Actual Workload hours]]*60</f>
        <v>1148.4666666666667</v>
      </c>
      <c r="U806" s="9">
        <f>CONVERT(Table1[[#This Row],[Actual]]*Table1[[#This Row],[Talk Duration (AVG)]],"day","hr")</f>
        <v>9.0950000000000006</v>
      </c>
      <c r="V806" s="10">
        <f>Table1[[#This Row],[Required Workload Hours]]*60</f>
        <v>545.70000000000005</v>
      </c>
      <c r="W806" s="9">
        <v>2.99</v>
      </c>
      <c r="X806" s="9">
        <f t="shared" si="24"/>
        <v>1.42109375</v>
      </c>
      <c r="Y806" s="5">
        <f t="shared" si="25"/>
        <v>2</v>
      </c>
      <c r="Z806" s="8">
        <f>ROUNDUP(Table1[[#This Row],[Actual Heacount]],0)</f>
        <v>3</v>
      </c>
      <c r="AA806" s="8"/>
      <c r="AB806" s="10"/>
      <c r="AC806" s="10"/>
      <c r="AD806" s="10"/>
      <c r="AE806" s="11">
        <v>75.362481294545617</v>
      </c>
      <c r="AF806" s="11">
        <v>307.44498333354608</v>
      </c>
      <c r="AG806" t="s">
        <v>34</v>
      </c>
    </row>
    <row r="807" spans="1:33">
      <c r="A807" s="2">
        <v>44660</v>
      </c>
      <c r="B807" s="5" t="s">
        <v>33</v>
      </c>
      <c r="C807" s="5">
        <f>WEEKDAY(Table1[[#This Row],[Date]])</f>
        <v>7</v>
      </c>
      <c r="D807" s="5">
        <f>MONTH(Table1[[#This Row],[Date]])</f>
        <v>4</v>
      </c>
      <c r="E807" s="5">
        <f>WEEKNUM(Table1[[#This Row],[Date]])</f>
        <v>15</v>
      </c>
      <c r="F807" s="5">
        <f>YEAR(Table1[[#This Row],[Date]])</f>
        <v>2022</v>
      </c>
      <c r="G807">
        <v>37</v>
      </c>
      <c r="L807" s="5">
        <v>259</v>
      </c>
      <c r="M807" s="6">
        <v>0.62409999999999999</v>
      </c>
      <c r="N807" s="5">
        <v>156</v>
      </c>
      <c r="O807" s="7">
        <v>1.5046296296296296E-3</v>
      </c>
      <c r="P807" s="7">
        <v>2.7430555555555554E-3</v>
      </c>
      <c r="Q807" s="7">
        <v>9.4675925925925934E-3</v>
      </c>
      <c r="R807" s="6">
        <v>0.1789</v>
      </c>
      <c r="S807" s="8">
        <f>CONVERT(Table1[[#This Row],[Talk Duration (AVG)]]*Table1[[#This Row],[Answered Calls]],"day","hr")</f>
        <v>17.05083333333333</v>
      </c>
      <c r="T807" s="9">
        <f>Table1[[#This Row],[Actual Workload hours]]*60</f>
        <v>1023.0499999999997</v>
      </c>
      <c r="U807" s="9">
        <f>CONVERT(Table1[[#This Row],[Actual]]*Table1[[#This Row],[Talk Duration (AVG)]],"day","hr")</f>
        <v>2.4358333333333326</v>
      </c>
      <c r="V807" s="10">
        <f>Table1[[#This Row],[Required Workload Hours]]*60</f>
        <v>146.14999999999995</v>
      </c>
      <c r="W807" s="9">
        <v>2.66</v>
      </c>
      <c r="X807" s="9">
        <f t="shared" si="24"/>
        <v>1</v>
      </c>
      <c r="Y807" s="5">
        <f t="shared" si="25"/>
        <v>2</v>
      </c>
      <c r="Z807" s="8">
        <f>ROUNDUP(Table1[[#This Row],[Actual Heacount]],0)</f>
        <v>3</v>
      </c>
      <c r="AA807" s="8"/>
      <c r="AB807" s="10"/>
      <c r="AC807" s="10"/>
      <c r="AD807" s="10"/>
      <c r="AE807" s="11">
        <v>80.647684517246773</v>
      </c>
      <c r="AF807" s="11">
        <v>305.92222016220131</v>
      </c>
      <c r="AG807" t="s">
        <v>34</v>
      </c>
    </row>
    <row r="808" spans="1:33">
      <c r="A808" s="2">
        <v>44661</v>
      </c>
      <c r="B808" s="5" t="s">
        <v>35</v>
      </c>
      <c r="C808" s="5">
        <f>WEEKDAY(Table1[[#This Row],[Date]])</f>
        <v>1</v>
      </c>
      <c r="D808" s="5">
        <f>MONTH(Table1[[#This Row],[Date]])</f>
        <v>4</v>
      </c>
      <c r="E808" s="5">
        <f>WEEKNUM(Table1[[#This Row],[Date]])</f>
        <v>16</v>
      </c>
      <c r="F808" s="5">
        <f>YEAR(Table1[[#This Row],[Date]])</f>
        <v>2022</v>
      </c>
      <c r="G808">
        <v>191</v>
      </c>
      <c r="L808" s="5">
        <v>289</v>
      </c>
      <c r="M808" s="6">
        <v>0.66739999999999999</v>
      </c>
      <c r="N808" s="5">
        <v>144</v>
      </c>
      <c r="O808" s="7">
        <v>1.1805555555555556E-3</v>
      </c>
      <c r="P808" s="7">
        <v>2.4074074074074076E-3</v>
      </c>
      <c r="Q808" s="7">
        <v>9.1666666666666667E-3</v>
      </c>
      <c r="R808" s="6">
        <v>0.22950000000000001</v>
      </c>
      <c r="S808" s="8">
        <f>CONVERT(Table1[[#This Row],[Talk Duration (AVG)]]*Table1[[#This Row],[Answered Calls]],"day","hr")</f>
        <v>16.697777777777777</v>
      </c>
      <c r="T808" s="9">
        <f>Table1[[#This Row],[Actual Workload hours]]*60</f>
        <v>1001.8666666666666</v>
      </c>
      <c r="U808" s="9">
        <f>CONVERT(Table1[[#This Row],[Actual]]*Table1[[#This Row],[Talk Duration (AVG)]],"day","hr")</f>
        <v>11.035555555555556</v>
      </c>
      <c r="V808" s="10">
        <f>Table1[[#This Row],[Required Workload Hours]]*60</f>
        <v>662.13333333333333</v>
      </c>
      <c r="W808" s="9">
        <v>2.61</v>
      </c>
      <c r="X808" s="9">
        <f t="shared" si="24"/>
        <v>1.7243055555555555</v>
      </c>
      <c r="Y808" s="5">
        <f t="shared" si="25"/>
        <v>2</v>
      </c>
      <c r="Z808" s="8">
        <f>ROUNDUP(Table1[[#This Row],[Actual Heacount]],0)</f>
        <v>3</v>
      </c>
      <c r="AA808" s="8"/>
      <c r="AB808" s="10"/>
      <c r="AC808" s="10"/>
      <c r="AD808" s="10"/>
      <c r="AE808" s="11">
        <v>7.4320819859400231</v>
      </c>
      <c r="AF808" s="11">
        <v>225.32452731916419</v>
      </c>
      <c r="AG808" t="s">
        <v>34</v>
      </c>
    </row>
    <row r="809" spans="1:33">
      <c r="A809" s="2">
        <v>44662</v>
      </c>
      <c r="B809" s="5" t="s">
        <v>36</v>
      </c>
      <c r="C809" s="5">
        <f>WEEKDAY(Table1[[#This Row],[Date]])</f>
        <v>2</v>
      </c>
      <c r="D809" s="5">
        <f>MONTH(Table1[[#This Row],[Date]])</f>
        <v>4</v>
      </c>
      <c r="E809" s="5">
        <f>WEEKNUM(Table1[[#This Row],[Date]])</f>
        <v>16</v>
      </c>
      <c r="F809" s="5">
        <f>YEAR(Table1[[#This Row],[Date]])</f>
        <v>2022</v>
      </c>
      <c r="G809">
        <v>185</v>
      </c>
      <c r="L809" s="5">
        <v>284</v>
      </c>
      <c r="M809" s="6">
        <v>0.62560000000000004</v>
      </c>
      <c r="N809" s="5">
        <v>170</v>
      </c>
      <c r="O809" s="7">
        <v>1.3078703703703703E-3</v>
      </c>
      <c r="P809" s="7">
        <v>2.476851851851852E-3</v>
      </c>
      <c r="Q809" s="7">
        <v>1.3449074074074073E-2</v>
      </c>
      <c r="R809" s="6">
        <v>0.24440000000000001</v>
      </c>
      <c r="S809" s="8">
        <f>CONVERT(Table1[[#This Row],[Talk Duration (AVG)]]*Table1[[#This Row],[Answered Calls]],"day","hr")</f>
        <v>16.882222222222225</v>
      </c>
      <c r="T809" s="9">
        <f>Table1[[#This Row],[Actual Workload hours]]*60</f>
        <v>1012.9333333333335</v>
      </c>
      <c r="U809" s="9">
        <f>CONVERT(Table1[[#This Row],[Actual]]*Table1[[#This Row],[Talk Duration (AVG)]],"day","hr")</f>
        <v>10.997222222222224</v>
      </c>
      <c r="V809" s="10">
        <f>Table1[[#This Row],[Required Workload Hours]]*60</f>
        <v>659.83333333333337</v>
      </c>
      <c r="W809" s="9">
        <v>2.64</v>
      </c>
      <c r="X809" s="9">
        <f t="shared" si="24"/>
        <v>1.7183159722222223</v>
      </c>
      <c r="Y809" s="5">
        <f t="shared" si="25"/>
        <v>2</v>
      </c>
      <c r="Z809" s="8">
        <f>ROUNDUP(Table1[[#This Row],[Actual Heacount]],0)</f>
        <v>3</v>
      </c>
      <c r="AA809" s="8"/>
      <c r="AB809" s="10"/>
      <c r="AC809" s="10"/>
      <c r="AD809" s="10"/>
      <c r="AE809" s="11">
        <v>113.7442273360456</v>
      </c>
      <c r="AF809" s="11">
        <v>334.5248952197702</v>
      </c>
      <c r="AG809" t="s">
        <v>34</v>
      </c>
    </row>
    <row r="810" spans="1:33">
      <c r="A810" s="2">
        <v>44663</v>
      </c>
      <c r="B810" s="5" t="s">
        <v>37</v>
      </c>
      <c r="C810" s="5">
        <f>WEEKDAY(Table1[[#This Row],[Date]])</f>
        <v>3</v>
      </c>
      <c r="D810" s="5">
        <f>MONTH(Table1[[#This Row],[Date]])</f>
        <v>4</v>
      </c>
      <c r="E810" s="5">
        <f>WEEKNUM(Table1[[#This Row],[Date]])</f>
        <v>16</v>
      </c>
      <c r="F810" s="5">
        <f>YEAR(Table1[[#This Row],[Date]])</f>
        <v>2022</v>
      </c>
      <c r="G810">
        <v>35</v>
      </c>
      <c r="L810" s="5">
        <v>195</v>
      </c>
      <c r="M810" s="6">
        <v>0.79920000000000002</v>
      </c>
      <c r="N810" s="5">
        <v>49</v>
      </c>
      <c r="O810" s="7">
        <v>9.837962962962962E-4</v>
      </c>
      <c r="P810" s="7">
        <v>2.673611111111111E-3</v>
      </c>
      <c r="Q810" s="7">
        <v>7.8935185185185185E-3</v>
      </c>
      <c r="R810" s="6">
        <v>0.36670000000000003</v>
      </c>
      <c r="S810" s="8">
        <f>CONVERT(Table1[[#This Row],[Talk Duration (AVG)]]*Table1[[#This Row],[Answered Calls]],"day","hr")</f>
        <v>12.512499999999999</v>
      </c>
      <c r="T810" s="9">
        <f>Table1[[#This Row],[Actual Workload hours]]*60</f>
        <v>750.75</v>
      </c>
      <c r="U810" s="9">
        <f>CONVERT(Table1[[#This Row],[Actual]]*Table1[[#This Row],[Talk Duration (AVG)]],"day","hr")</f>
        <v>2.2458333333333331</v>
      </c>
      <c r="V810" s="10">
        <f>Table1[[#This Row],[Required Workload Hours]]*60</f>
        <v>134.75</v>
      </c>
      <c r="W810" s="9">
        <v>1.96</v>
      </c>
      <c r="X810" s="9">
        <f t="shared" si="24"/>
        <v>1</v>
      </c>
      <c r="Y810" s="5">
        <f t="shared" si="25"/>
        <v>2</v>
      </c>
      <c r="Z810" s="8">
        <f>ROUNDUP(Table1[[#This Row],[Actual Heacount]],0)</f>
        <v>2</v>
      </c>
      <c r="AA810" s="8"/>
      <c r="AB810" s="10"/>
      <c r="AC810" s="10"/>
      <c r="AD810" s="10"/>
      <c r="AE810" s="11">
        <v>97.39541438560957</v>
      </c>
      <c r="AF810" s="11">
        <v>313.69311400024333</v>
      </c>
      <c r="AG810" t="s">
        <v>34</v>
      </c>
    </row>
    <row r="811" spans="1:33">
      <c r="A811" s="2">
        <v>44664</v>
      </c>
      <c r="B811" s="5" t="s">
        <v>38</v>
      </c>
      <c r="C811" s="5">
        <f>WEEKDAY(Table1[[#This Row],[Date]])</f>
        <v>4</v>
      </c>
      <c r="D811" s="5">
        <f>MONTH(Table1[[#This Row],[Date]])</f>
        <v>4</v>
      </c>
      <c r="E811" s="5">
        <f>WEEKNUM(Table1[[#This Row],[Date]])</f>
        <v>16</v>
      </c>
      <c r="F811" s="5">
        <f>YEAR(Table1[[#This Row],[Date]])</f>
        <v>2022</v>
      </c>
      <c r="G811">
        <v>389</v>
      </c>
      <c r="L811" s="5">
        <v>48</v>
      </c>
      <c r="M811" s="6">
        <v>0.94120000000000004</v>
      </c>
      <c r="N811" s="5">
        <v>3</v>
      </c>
      <c r="O811" s="7">
        <v>1.6203703703703703E-4</v>
      </c>
      <c r="P811" s="7">
        <v>2.3842592592592591E-3</v>
      </c>
      <c r="Q811" s="7">
        <v>2.3263888888888887E-3</v>
      </c>
      <c r="R811" s="6">
        <v>0.84309999999999996</v>
      </c>
      <c r="S811" s="8">
        <f>CONVERT(Table1[[#This Row],[Talk Duration (AVG)]]*Table1[[#This Row],[Answered Calls]],"day","hr")</f>
        <v>2.7466666666666661</v>
      </c>
      <c r="T811" s="9">
        <f>Table1[[#This Row],[Actual Workload hours]]*60</f>
        <v>164.79999999999995</v>
      </c>
      <c r="U811" s="9">
        <f>CONVERT(Table1[[#This Row],[Actual]]*Table1[[#This Row],[Talk Duration (AVG)]],"day","hr")</f>
        <v>22.259444444444444</v>
      </c>
      <c r="V811" s="10">
        <f>Table1[[#This Row],[Required Workload Hours]]*60</f>
        <v>1335.5666666666666</v>
      </c>
      <c r="W811" s="9">
        <v>1</v>
      </c>
      <c r="X811" s="9">
        <f t="shared" si="24"/>
        <v>3.4780381944444443</v>
      </c>
      <c r="Y811" s="5">
        <f t="shared" si="25"/>
        <v>1</v>
      </c>
      <c r="Z811" s="8">
        <f>ROUNDUP(Table1[[#This Row],[Actual Heacount]],0)</f>
        <v>1</v>
      </c>
      <c r="AA811" s="8"/>
      <c r="AB811" s="10"/>
      <c r="AC811" s="10"/>
      <c r="AD811" s="10"/>
      <c r="AE811" s="11">
        <v>109.5619432821438</v>
      </c>
      <c r="AF811" s="11">
        <v>336.44174580409901</v>
      </c>
      <c r="AG811" t="s">
        <v>34</v>
      </c>
    </row>
    <row r="812" spans="1:33">
      <c r="A812" s="2">
        <v>44675</v>
      </c>
      <c r="B812" s="5" t="s">
        <v>39</v>
      </c>
      <c r="C812" s="5">
        <f>WEEKDAY(Table1[[#This Row],[Date]])</f>
        <v>1</v>
      </c>
      <c r="D812" s="5">
        <f>MONTH(Table1[[#This Row],[Date]])</f>
        <v>4</v>
      </c>
      <c r="E812" s="5">
        <f>WEEKNUM(Table1[[#This Row],[Date]])</f>
        <v>18</v>
      </c>
      <c r="F812" s="5">
        <f>YEAR(Table1[[#This Row],[Date]])</f>
        <v>2022</v>
      </c>
      <c r="G812">
        <v>252</v>
      </c>
      <c r="L812" s="5">
        <v>176</v>
      </c>
      <c r="M812" s="6">
        <v>0.87129999999999996</v>
      </c>
      <c r="N812" s="5">
        <v>26</v>
      </c>
      <c r="O812" s="7">
        <v>2.7777777777777778E-4</v>
      </c>
      <c r="P812" s="7">
        <v>2.5694444444444445E-3</v>
      </c>
      <c r="Q812" s="7">
        <v>3.7962962962962963E-3</v>
      </c>
      <c r="R812" s="6">
        <v>0.67159999999999997</v>
      </c>
      <c r="S812" s="8">
        <f>CONVERT(Table1[[#This Row],[Talk Duration (AVG)]]*Table1[[#This Row],[Answered Calls]],"day","hr")</f>
        <v>10.853333333333333</v>
      </c>
      <c r="T812" s="9">
        <f>Table1[[#This Row],[Actual Workload hours]]*60</f>
        <v>651.20000000000005</v>
      </c>
      <c r="U812" s="9">
        <f>CONVERT(Table1[[#This Row],[Actual]]*Table1[[#This Row],[Talk Duration (AVG)]],"day","hr")</f>
        <v>15.54</v>
      </c>
      <c r="V812" s="10">
        <f>Table1[[#This Row],[Required Workload Hours]]*60</f>
        <v>932.4</v>
      </c>
      <c r="W812" s="9">
        <v>1.7</v>
      </c>
      <c r="X812" s="9">
        <f t="shared" si="24"/>
        <v>2.4281250000000001</v>
      </c>
      <c r="Y812" s="5">
        <f t="shared" si="25"/>
        <v>2</v>
      </c>
      <c r="Z812" s="8">
        <f>ROUNDUP(Table1[[#This Row],[Actual Heacount]],0)</f>
        <v>2</v>
      </c>
      <c r="AA812" s="8"/>
      <c r="AB812" s="10"/>
      <c r="AC812" s="10"/>
      <c r="AD812" s="10"/>
      <c r="AE812" s="11">
        <v>12.95258955912405</v>
      </c>
      <c r="AF812" s="11">
        <v>233.9684283879979</v>
      </c>
      <c r="AG812" t="s">
        <v>34</v>
      </c>
    </row>
    <row r="813" spans="1:33">
      <c r="A813" s="2">
        <v>44682</v>
      </c>
      <c r="B813" s="5" t="s">
        <v>40</v>
      </c>
      <c r="C813" s="5">
        <f>WEEKDAY(Table1[[#This Row],[Date]])</f>
        <v>1</v>
      </c>
      <c r="D813" s="5">
        <f>MONTH(Table1[[#This Row],[Date]])</f>
        <v>5</v>
      </c>
      <c r="E813" s="5">
        <f>WEEKNUM(Table1[[#This Row],[Date]])</f>
        <v>19</v>
      </c>
      <c r="F813" s="5">
        <f>YEAR(Table1[[#This Row],[Date]])</f>
        <v>2022</v>
      </c>
      <c r="G813">
        <v>128</v>
      </c>
      <c r="L813" s="5">
        <v>118</v>
      </c>
      <c r="M813" s="6">
        <v>0.92190000000000005</v>
      </c>
      <c r="N813" s="5">
        <v>10</v>
      </c>
      <c r="O813" s="7">
        <v>3.4722222222222224E-4</v>
      </c>
      <c r="P813" s="7">
        <v>2.5694444444444445E-3</v>
      </c>
      <c r="Q813" s="7">
        <v>5.4745370370370373E-3</v>
      </c>
      <c r="R813" s="6">
        <v>0.74019999999999997</v>
      </c>
      <c r="S813" s="8">
        <f>CONVERT(Table1[[#This Row],[Talk Duration (AVG)]]*Table1[[#This Row],[Answered Calls]],"day","hr")</f>
        <v>7.2766666666666664</v>
      </c>
      <c r="T813" s="9">
        <f>Table1[[#This Row],[Actual Workload hours]]*60</f>
        <v>436.59999999999997</v>
      </c>
      <c r="U813" s="9">
        <f>CONVERT(Table1[[#This Row],[Actual]]*Table1[[#This Row],[Talk Duration (AVG)]],"day","hr")</f>
        <v>7.8933333333333335</v>
      </c>
      <c r="V813" s="10">
        <f>Table1[[#This Row],[Required Workload Hours]]*60</f>
        <v>473.6</v>
      </c>
      <c r="W813" s="9">
        <v>1.1399999999999999</v>
      </c>
      <c r="X813" s="9">
        <f t="shared" si="24"/>
        <v>1.2333333333333334</v>
      </c>
      <c r="Y813" s="5">
        <f t="shared" si="25"/>
        <v>2</v>
      </c>
      <c r="Z813" s="8">
        <f>ROUNDUP(Table1[[#This Row],[Actual Heacount]],0)</f>
        <v>2</v>
      </c>
      <c r="AA813" s="8"/>
      <c r="AB813" s="10"/>
      <c r="AC813" s="10"/>
      <c r="AD813" s="10"/>
      <c r="AE813" s="11">
        <v>11.312053558279439</v>
      </c>
      <c r="AF813" s="11">
        <v>232.68140839095551</v>
      </c>
      <c r="AG813" t="s">
        <v>34</v>
      </c>
    </row>
    <row r="814" spans="1:33">
      <c r="A814" s="2">
        <v>44683</v>
      </c>
      <c r="B814" s="5" t="s">
        <v>33</v>
      </c>
      <c r="C814" s="5">
        <f>WEEKDAY(Table1[[#This Row],[Date]])</f>
        <v>2</v>
      </c>
      <c r="D814" s="5">
        <f>MONTH(Table1[[#This Row],[Date]])</f>
        <v>5</v>
      </c>
      <c r="E814" s="5">
        <f>WEEKNUM(Table1[[#This Row],[Date]])</f>
        <v>19</v>
      </c>
      <c r="F814" s="5">
        <f>YEAR(Table1[[#This Row],[Date]])</f>
        <v>2022</v>
      </c>
      <c r="G814">
        <v>471</v>
      </c>
      <c r="L814" s="5">
        <v>100</v>
      </c>
      <c r="M814" s="6">
        <v>0.98040000000000005</v>
      </c>
      <c r="N814" s="5">
        <v>2</v>
      </c>
      <c r="O814" s="7">
        <v>1.6203703703703703E-4</v>
      </c>
      <c r="P814" s="7">
        <v>2.4537037037037036E-3</v>
      </c>
      <c r="Q814" s="7">
        <v>2.1875000000000002E-3</v>
      </c>
      <c r="R814" s="6">
        <v>0.85289999999999999</v>
      </c>
      <c r="S814" s="8">
        <f>CONVERT(Table1[[#This Row],[Talk Duration (AVG)]]*Table1[[#This Row],[Answered Calls]],"day","hr")</f>
        <v>5.8888888888888893</v>
      </c>
      <c r="T814" s="9">
        <f>Table1[[#This Row],[Actual Workload hours]]*60</f>
        <v>353.33333333333337</v>
      </c>
      <c r="U814" s="9">
        <f>CONVERT(Table1[[#This Row],[Actual]]*Table1[[#This Row],[Talk Duration (AVG)]],"day","hr")</f>
        <v>27.736666666666661</v>
      </c>
      <c r="V814" s="10">
        <f>Table1[[#This Row],[Required Workload Hours]]*60</f>
        <v>1664.1999999999996</v>
      </c>
      <c r="W814" s="9">
        <v>1</v>
      </c>
      <c r="X814" s="9">
        <f t="shared" si="24"/>
        <v>4.3338541666666659</v>
      </c>
      <c r="Y814" s="5">
        <f t="shared" si="25"/>
        <v>2</v>
      </c>
      <c r="Z814" s="8">
        <f>ROUNDUP(Table1[[#This Row],[Actual Heacount]],0)</f>
        <v>1</v>
      </c>
      <c r="AA814" s="8"/>
      <c r="AB814" s="10"/>
      <c r="AC814" s="10"/>
      <c r="AD814" s="10"/>
      <c r="AE814" s="11">
        <v>114.3381050994161</v>
      </c>
      <c r="AF814" s="11">
        <v>331.70144983518389</v>
      </c>
      <c r="AG814" t="s">
        <v>34</v>
      </c>
    </row>
    <row r="815" spans="1:33">
      <c r="A815" s="2">
        <v>44685</v>
      </c>
      <c r="B815" s="5" t="s">
        <v>35</v>
      </c>
      <c r="C815" s="5">
        <f>WEEKDAY(Table1[[#This Row],[Date]])</f>
        <v>4</v>
      </c>
      <c r="D815" s="5">
        <f>MONTH(Table1[[#This Row],[Date]])</f>
        <v>5</v>
      </c>
      <c r="E815" s="5">
        <f>WEEKNUM(Table1[[#This Row],[Date]])</f>
        <v>19</v>
      </c>
      <c r="F815" s="5">
        <f>YEAR(Table1[[#This Row],[Date]])</f>
        <v>2022</v>
      </c>
      <c r="G815">
        <v>274</v>
      </c>
      <c r="L815" s="5">
        <v>169</v>
      </c>
      <c r="M815" s="6">
        <v>0.84079999999999999</v>
      </c>
      <c r="N815" s="5">
        <v>32</v>
      </c>
      <c r="O815" s="7">
        <v>3.7037037037037035E-4</v>
      </c>
      <c r="P815" s="7">
        <v>2.3726851851851851E-3</v>
      </c>
      <c r="Q815" s="7">
        <v>4.3055555555555555E-3</v>
      </c>
      <c r="R815" s="6">
        <v>0.58079999999999998</v>
      </c>
      <c r="S815" s="8">
        <f>CONVERT(Table1[[#This Row],[Talk Duration (AVG)]]*Table1[[#This Row],[Answered Calls]],"day","hr")</f>
        <v>9.6236111111111118</v>
      </c>
      <c r="T815" s="9">
        <f>Table1[[#This Row],[Actual Workload hours]]*60</f>
        <v>577.41666666666674</v>
      </c>
      <c r="U815" s="9">
        <f>CONVERT(Table1[[#This Row],[Actual]]*Table1[[#This Row],[Talk Duration (AVG)]],"day","hr")</f>
        <v>15.602777777777778</v>
      </c>
      <c r="V815" s="10">
        <f>Table1[[#This Row],[Required Workload Hours]]*60</f>
        <v>936.16666666666663</v>
      </c>
      <c r="W815" s="9">
        <v>1.5</v>
      </c>
      <c r="X815" s="9">
        <f t="shared" si="24"/>
        <v>2.4379340277777777</v>
      </c>
      <c r="Y815" s="5">
        <f t="shared" si="25"/>
        <v>2</v>
      </c>
      <c r="Z815" s="8">
        <f>ROUNDUP(Table1[[#This Row],[Actual Heacount]],0)</f>
        <v>2</v>
      </c>
      <c r="AA815" s="8"/>
      <c r="AB815" s="10"/>
      <c r="AC815" s="10"/>
      <c r="AD815" s="10"/>
      <c r="AE815" s="11">
        <v>113.2660348723436</v>
      </c>
      <c r="AF815" s="11">
        <v>331.23668804157728</v>
      </c>
      <c r="AG815" t="s">
        <v>34</v>
      </c>
    </row>
    <row r="816" spans="1:33">
      <c r="A816" s="2">
        <v>44686</v>
      </c>
      <c r="B816" s="5" t="s">
        <v>36</v>
      </c>
      <c r="C816" s="5">
        <f>WEEKDAY(Table1[[#This Row],[Date]])</f>
        <v>5</v>
      </c>
      <c r="D816" s="5">
        <f>MONTH(Table1[[#This Row],[Date]])</f>
        <v>5</v>
      </c>
      <c r="E816" s="5">
        <f>WEEKNUM(Table1[[#This Row],[Date]])</f>
        <v>19</v>
      </c>
      <c r="F816" s="5">
        <f>YEAR(Table1[[#This Row],[Date]])</f>
        <v>2022</v>
      </c>
      <c r="G816">
        <v>462</v>
      </c>
      <c r="L816" s="5">
        <v>195</v>
      </c>
      <c r="M816" s="6">
        <v>0.74709999999999999</v>
      </c>
      <c r="N816" s="5">
        <v>66</v>
      </c>
      <c r="O816" s="7">
        <v>7.0601851851851847E-4</v>
      </c>
      <c r="P816" s="7">
        <v>2.3958333333333331E-3</v>
      </c>
      <c r="Q816" s="7">
        <v>5.4976851851851853E-3</v>
      </c>
      <c r="R816" s="6">
        <v>0.37980000000000003</v>
      </c>
      <c r="S816" s="8">
        <f>CONVERT(Table1[[#This Row],[Talk Duration (AVG)]]*Table1[[#This Row],[Answered Calls]],"day","hr")</f>
        <v>11.2125</v>
      </c>
      <c r="T816" s="9">
        <f>Table1[[#This Row],[Actual Workload hours]]*60</f>
        <v>672.75</v>
      </c>
      <c r="U816" s="9">
        <f>CONVERT(Table1[[#This Row],[Actual]]*Table1[[#This Row],[Talk Duration (AVG)]],"day","hr")</f>
        <v>26.564999999999998</v>
      </c>
      <c r="V816" s="10">
        <f>Table1[[#This Row],[Required Workload Hours]]*60</f>
        <v>1593.8999999999999</v>
      </c>
      <c r="W816" s="9">
        <v>1.75</v>
      </c>
      <c r="X816" s="9">
        <f t="shared" si="24"/>
        <v>4.1507812499999996</v>
      </c>
      <c r="Y816" s="5">
        <f t="shared" si="25"/>
        <v>2</v>
      </c>
      <c r="Z816" s="8">
        <f>ROUNDUP(Table1[[#This Row],[Actual Heacount]],0)</f>
        <v>2</v>
      </c>
      <c r="AA816" s="8"/>
      <c r="AB816" s="10"/>
      <c r="AC816" s="10"/>
      <c r="AD816" s="10"/>
      <c r="AE816" s="11">
        <v>109.7633201976643</v>
      </c>
      <c r="AF816" s="11">
        <v>320.43017884366691</v>
      </c>
      <c r="AG816" t="s">
        <v>34</v>
      </c>
    </row>
    <row r="817" spans="1:33">
      <c r="A817" s="2">
        <v>44687</v>
      </c>
      <c r="B817" s="5" t="s">
        <v>37</v>
      </c>
      <c r="C817" s="5">
        <f>WEEKDAY(Table1[[#This Row],[Date]])</f>
        <v>6</v>
      </c>
      <c r="D817" s="5">
        <f>MONTH(Table1[[#This Row],[Date]])</f>
        <v>5</v>
      </c>
      <c r="E817" s="5">
        <f>WEEKNUM(Table1[[#This Row],[Date]])</f>
        <v>19</v>
      </c>
      <c r="F817" s="5">
        <f>YEAR(Table1[[#This Row],[Date]])</f>
        <v>2022</v>
      </c>
      <c r="G817">
        <v>68</v>
      </c>
      <c r="L817" s="5">
        <v>173</v>
      </c>
      <c r="M817" s="6">
        <v>0.86070000000000002</v>
      </c>
      <c r="N817" s="5">
        <v>28</v>
      </c>
      <c r="O817" s="7">
        <v>4.7453703703703704E-4</v>
      </c>
      <c r="P817" s="7">
        <v>2.2569444444444442E-3</v>
      </c>
      <c r="Q817" s="7">
        <v>4.7453703703703703E-3</v>
      </c>
      <c r="R817" s="6">
        <v>0.59499999999999997</v>
      </c>
      <c r="S817" s="8">
        <f>CONVERT(Table1[[#This Row],[Talk Duration (AVG)]]*Table1[[#This Row],[Answered Calls]],"day","hr")</f>
        <v>9.3708333333333336</v>
      </c>
      <c r="T817" s="9">
        <f>Table1[[#This Row],[Actual Workload hours]]*60</f>
        <v>562.25</v>
      </c>
      <c r="U817" s="9">
        <f>CONVERT(Table1[[#This Row],[Actual]]*Table1[[#This Row],[Talk Duration (AVG)]],"day","hr")</f>
        <v>3.6833333333333327</v>
      </c>
      <c r="V817" s="10">
        <f>Table1[[#This Row],[Required Workload Hours]]*60</f>
        <v>220.99999999999997</v>
      </c>
      <c r="W817" s="9">
        <v>1.46</v>
      </c>
      <c r="X817" s="9">
        <f t="shared" si="24"/>
        <v>1</v>
      </c>
      <c r="Y817" s="5">
        <f t="shared" si="25"/>
        <v>2</v>
      </c>
      <c r="Z817" s="8">
        <f>ROUNDUP(Table1[[#This Row],[Actual Heacount]],0)</f>
        <v>2</v>
      </c>
      <c r="AA817" s="8"/>
      <c r="AB817" s="10"/>
      <c r="AC817" s="10"/>
      <c r="AD817" s="10"/>
      <c r="AE817" s="11">
        <v>99.86155278085478</v>
      </c>
      <c r="AF817" s="11">
        <v>328.16547787844121</v>
      </c>
      <c r="AG817" t="s">
        <v>34</v>
      </c>
    </row>
    <row r="818" spans="1:33">
      <c r="A818" s="2">
        <v>44688</v>
      </c>
      <c r="B818" s="5" t="s">
        <v>38</v>
      </c>
      <c r="C818" s="5">
        <f>WEEKDAY(Table1[[#This Row],[Date]])</f>
        <v>7</v>
      </c>
      <c r="D818" s="5">
        <f>MONTH(Table1[[#This Row],[Date]])</f>
        <v>5</v>
      </c>
      <c r="E818" s="5">
        <f>WEEKNUM(Table1[[#This Row],[Date]])</f>
        <v>19</v>
      </c>
      <c r="F818" s="5">
        <f>YEAR(Table1[[#This Row],[Date]])</f>
        <v>2022</v>
      </c>
      <c r="G818">
        <v>391</v>
      </c>
      <c r="L818" s="5">
        <v>61</v>
      </c>
      <c r="M818" s="6">
        <v>0.95309999999999995</v>
      </c>
      <c r="N818" s="5">
        <v>3</v>
      </c>
      <c r="O818" s="7">
        <v>1.0416666666666667E-4</v>
      </c>
      <c r="P818" s="7">
        <v>2.2569444444444442E-3</v>
      </c>
      <c r="Q818" s="7">
        <v>1.6550925925925926E-3</v>
      </c>
      <c r="R818" s="6">
        <v>0.92059999999999997</v>
      </c>
      <c r="S818" s="8">
        <f>CONVERT(Table1[[#This Row],[Talk Duration (AVG)]]*Table1[[#This Row],[Answered Calls]],"day","hr")</f>
        <v>3.3041666666666663</v>
      </c>
      <c r="T818" s="9">
        <f>Table1[[#This Row],[Actual Workload hours]]*60</f>
        <v>198.24999999999997</v>
      </c>
      <c r="U818" s="9">
        <f>CONVERT(Table1[[#This Row],[Actual]]*Table1[[#This Row],[Talk Duration (AVG)]],"day","hr")</f>
        <v>21.179166666666667</v>
      </c>
      <c r="V818" s="10">
        <f>Table1[[#This Row],[Required Workload Hours]]*60</f>
        <v>1270.75</v>
      </c>
      <c r="W818" s="9">
        <v>1</v>
      </c>
      <c r="X818" s="9">
        <f t="shared" si="24"/>
        <v>3.3092447916666665</v>
      </c>
      <c r="Y818" s="5">
        <f t="shared" si="25"/>
        <v>1</v>
      </c>
      <c r="Z818" s="8">
        <f>ROUNDUP(Table1[[#This Row],[Actual Heacount]],0)</f>
        <v>1</v>
      </c>
      <c r="AA818" s="8"/>
      <c r="AB818" s="10"/>
      <c r="AC818" s="10"/>
      <c r="AD818" s="10"/>
      <c r="AE818" s="11">
        <v>106.8964300938548</v>
      </c>
      <c r="AF818" s="11">
        <v>319.96684073771422</v>
      </c>
      <c r="AG818" t="s">
        <v>34</v>
      </c>
    </row>
    <row r="819" spans="1:33">
      <c r="A819" s="2">
        <v>44689</v>
      </c>
      <c r="B819" s="5" t="s">
        <v>39</v>
      </c>
      <c r="C819" s="5">
        <f>WEEKDAY(Table1[[#This Row],[Date]])</f>
        <v>1</v>
      </c>
      <c r="D819" s="5">
        <f>MONTH(Table1[[#This Row],[Date]])</f>
        <v>5</v>
      </c>
      <c r="E819" s="5">
        <f>WEEKNUM(Table1[[#This Row],[Date]])</f>
        <v>20</v>
      </c>
      <c r="F819" s="5">
        <f>YEAR(Table1[[#This Row],[Date]])</f>
        <v>2022</v>
      </c>
      <c r="G819">
        <v>175</v>
      </c>
      <c r="L819" s="5">
        <v>168</v>
      </c>
      <c r="M819" s="6">
        <v>0.84</v>
      </c>
      <c r="N819" s="5">
        <v>32</v>
      </c>
      <c r="O819" s="7">
        <v>5.9027777777777778E-4</v>
      </c>
      <c r="P819" s="7">
        <v>2.3495370370370371E-3</v>
      </c>
      <c r="Q819" s="7">
        <v>4.6990740740740743E-3</v>
      </c>
      <c r="R819" s="6">
        <v>0.4874</v>
      </c>
      <c r="S819" s="8">
        <f>CONVERT(Table1[[#This Row],[Talk Duration (AVG)]]*Table1[[#This Row],[Answered Calls]],"day","hr")</f>
        <v>9.4733333333333327</v>
      </c>
      <c r="T819" s="9">
        <f>Table1[[#This Row],[Actual Workload hours]]*60</f>
        <v>568.4</v>
      </c>
      <c r="U819" s="9">
        <f>CONVERT(Table1[[#This Row],[Actual]]*Table1[[#This Row],[Talk Duration (AVG)]],"day","hr")</f>
        <v>9.8680555555555554</v>
      </c>
      <c r="V819" s="10">
        <f>Table1[[#This Row],[Required Workload Hours]]*60</f>
        <v>592.08333333333337</v>
      </c>
      <c r="W819" s="9">
        <v>1.48</v>
      </c>
      <c r="X819" s="9">
        <f t="shared" si="24"/>
        <v>1.5418836805555556</v>
      </c>
      <c r="Y819" s="5">
        <f t="shared" si="25"/>
        <v>2</v>
      </c>
      <c r="Z819" s="8">
        <f>ROUNDUP(Table1[[#This Row],[Actual Heacount]],0)</f>
        <v>2</v>
      </c>
      <c r="AA819" s="8"/>
      <c r="AB819" s="10"/>
      <c r="AC819" s="10"/>
      <c r="AD819" s="10"/>
      <c r="AE819" s="11">
        <v>21.189161092145799</v>
      </c>
      <c r="AF819" s="11">
        <v>234.7585732549407</v>
      </c>
      <c r="AG819" t="s">
        <v>34</v>
      </c>
    </row>
    <row r="820" spans="1:33">
      <c r="A820" s="2">
        <v>44690</v>
      </c>
      <c r="B820" s="5" t="s">
        <v>40</v>
      </c>
      <c r="C820" s="5">
        <f>WEEKDAY(Table1[[#This Row],[Date]])</f>
        <v>2</v>
      </c>
      <c r="D820" s="5">
        <f>MONTH(Table1[[#This Row],[Date]])</f>
        <v>5</v>
      </c>
      <c r="E820" s="5">
        <f>WEEKNUM(Table1[[#This Row],[Date]])</f>
        <v>20</v>
      </c>
      <c r="F820" s="5">
        <f>YEAR(Table1[[#This Row],[Date]])</f>
        <v>2022</v>
      </c>
      <c r="G820">
        <v>183</v>
      </c>
      <c r="L820" s="5">
        <v>148</v>
      </c>
      <c r="M820" s="6">
        <v>0.93669999999999998</v>
      </c>
      <c r="N820" s="5">
        <v>10</v>
      </c>
      <c r="O820" s="7">
        <v>3.4722222222222224E-4</v>
      </c>
      <c r="P820" s="7">
        <v>2.2800925925925927E-3</v>
      </c>
      <c r="Q820" s="7">
        <v>2.8703703703703703E-3</v>
      </c>
      <c r="R820" s="6">
        <v>0.56689999999999996</v>
      </c>
      <c r="S820" s="8">
        <f>CONVERT(Table1[[#This Row],[Talk Duration (AVG)]]*Table1[[#This Row],[Answered Calls]],"day","hr")</f>
        <v>8.0988888888888884</v>
      </c>
      <c r="T820" s="9">
        <f>Table1[[#This Row],[Actual Workload hours]]*60</f>
        <v>485.93333333333328</v>
      </c>
      <c r="U820" s="9">
        <f>CONVERT(Table1[[#This Row],[Actual]]*Table1[[#This Row],[Talk Duration (AVG)]],"day","hr")</f>
        <v>10.014166666666666</v>
      </c>
      <c r="V820" s="10">
        <f>Table1[[#This Row],[Required Workload Hours]]*60</f>
        <v>600.85</v>
      </c>
      <c r="W820" s="9">
        <v>1.27</v>
      </c>
      <c r="X820" s="9">
        <f t="shared" si="24"/>
        <v>1.5647135416666667</v>
      </c>
      <c r="Y820" s="5">
        <f t="shared" si="25"/>
        <v>2</v>
      </c>
      <c r="Z820" s="8">
        <f>ROUNDUP(Table1[[#This Row],[Actual Heacount]],0)</f>
        <v>2</v>
      </c>
      <c r="AA820" s="8"/>
      <c r="AB820" s="10"/>
      <c r="AC820" s="10"/>
      <c r="AD820" s="10"/>
      <c r="AE820" s="11">
        <v>115.77824244481771</v>
      </c>
      <c r="AF820" s="11">
        <v>337.63366896219873</v>
      </c>
      <c r="AG820" t="s">
        <v>34</v>
      </c>
    </row>
    <row r="821" spans="1:33">
      <c r="A821" s="2">
        <v>44691</v>
      </c>
      <c r="B821" s="5" t="s">
        <v>33</v>
      </c>
      <c r="C821" s="5">
        <f>WEEKDAY(Table1[[#This Row],[Date]])</f>
        <v>3</v>
      </c>
      <c r="D821" s="5">
        <f>MONTH(Table1[[#This Row],[Date]])</f>
        <v>5</v>
      </c>
      <c r="E821" s="5">
        <f>WEEKNUM(Table1[[#This Row],[Date]])</f>
        <v>20</v>
      </c>
      <c r="F821" s="5">
        <f>YEAR(Table1[[#This Row],[Date]])</f>
        <v>2022</v>
      </c>
      <c r="G821">
        <v>171</v>
      </c>
      <c r="L821" s="5">
        <v>155</v>
      </c>
      <c r="M821" s="6">
        <v>0.89080000000000004</v>
      </c>
      <c r="N821" s="5">
        <v>19</v>
      </c>
      <c r="O821" s="7">
        <v>3.0092592592592595E-4</v>
      </c>
      <c r="P821" s="7">
        <v>2.0949074074074073E-3</v>
      </c>
      <c r="Q821" s="7">
        <v>3.5879629629629629E-3</v>
      </c>
      <c r="R821" s="6">
        <v>0.62350000000000005</v>
      </c>
      <c r="S821" s="8">
        <f>CONVERT(Table1[[#This Row],[Talk Duration (AVG)]]*Table1[[#This Row],[Answered Calls]],"day","hr")</f>
        <v>7.7930555555555552</v>
      </c>
      <c r="T821" s="9">
        <f>Table1[[#This Row],[Actual Workload hours]]*60</f>
        <v>467.58333333333331</v>
      </c>
      <c r="U821" s="9">
        <f>CONVERT(Table1[[#This Row],[Actual]]*Table1[[#This Row],[Talk Duration (AVG)]],"day","hr")</f>
        <v>8.5975000000000001</v>
      </c>
      <c r="V821" s="10">
        <f>Table1[[#This Row],[Required Workload Hours]]*60</f>
        <v>515.85</v>
      </c>
      <c r="W821" s="9">
        <v>1.22</v>
      </c>
      <c r="X821" s="9">
        <f t="shared" si="24"/>
        <v>1.3433593750000001</v>
      </c>
      <c r="Y821" s="5">
        <f t="shared" si="25"/>
        <v>2</v>
      </c>
      <c r="Z821" s="8">
        <f>ROUNDUP(Table1[[#This Row],[Actual Heacount]],0)</f>
        <v>2</v>
      </c>
      <c r="AA821" s="8"/>
      <c r="AB821" s="10"/>
      <c r="AC821" s="10"/>
      <c r="AD821" s="10"/>
      <c r="AE821" s="11">
        <v>91.768157956000877</v>
      </c>
      <c r="AF821" s="11">
        <v>313.6624119308625</v>
      </c>
      <c r="AG821" t="s">
        <v>34</v>
      </c>
    </row>
    <row r="822" spans="1:33">
      <c r="A822" s="2">
        <v>44692</v>
      </c>
      <c r="B822" s="5" t="s">
        <v>35</v>
      </c>
      <c r="C822" s="5">
        <f>WEEKDAY(Table1[[#This Row],[Date]])</f>
        <v>4</v>
      </c>
      <c r="D822" s="5">
        <f>MONTH(Table1[[#This Row],[Date]])</f>
        <v>5</v>
      </c>
      <c r="E822" s="5">
        <f>WEEKNUM(Table1[[#This Row],[Date]])</f>
        <v>20</v>
      </c>
      <c r="F822" s="5">
        <f>YEAR(Table1[[#This Row],[Date]])</f>
        <v>2022</v>
      </c>
      <c r="G822">
        <v>139</v>
      </c>
      <c r="L822" s="5">
        <v>64</v>
      </c>
      <c r="M822" s="6">
        <v>0.95520000000000005</v>
      </c>
      <c r="N822" s="5">
        <v>3</v>
      </c>
      <c r="O822" s="7">
        <v>3.0092592592592595E-4</v>
      </c>
      <c r="P822" s="7">
        <v>2.4421296296296296E-3</v>
      </c>
      <c r="Q822" s="7">
        <v>3.449074074074074E-3</v>
      </c>
      <c r="R822" s="6">
        <v>0.71209999999999996</v>
      </c>
      <c r="S822" s="8">
        <f>CONVERT(Table1[[#This Row],[Talk Duration (AVG)]]*Table1[[#This Row],[Answered Calls]],"day","hr")</f>
        <v>3.7511111111111113</v>
      </c>
      <c r="T822" s="9">
        <f>Table1[[#This Row],[Actual Workload hours]]*60</f>
        <v>225.06666666666666</v>
      </c>
      <c r="U822" s="9">
        <f>CONVERT(Table1[[#This Row],[Actual]]*Table1[[#This Row],[Talk Duration (AVG)]],"day","hr")</f>
        <v>8.1469444444444452</v>
      </c>
      <c r="V822" s="10">
        <f>Table1[[#This Row],[Required Workload Hours]]*60</f>
        <v>488.81666666666672</v>
      </c>
      <c r="W822" s="9">
        <v>1</v>
      </c>
      <c r="X822" s="9">
        <f t="shared" si="24"/>
        <v>1.2729600694444445</v>
      </c>
      <c r="Y822" s="5">
        <f t="shared" si="25"/>
        <v>2</v>
      </c>
      <c r="Z822" s="8">
        <f>ROUNDUP(Table1[[#This Row],[Actual Heacount]],0)</f>
        <v>1</v>
      </c>
      <c r="AA822" s="8"/>
      <c r="AB822" s="10"/>
      <c r="AC822" s="10"/>
      <c r="AD822" s="10"/>
      <c r="AE822" s="11">
        <v>115.41258938863299</v>
      </c>
      <c r="AF822" s="11">
        <v>328.79654569583948</v>
      </c>
      <c r="AG822" t="s">
        <v>34</v>
      </c>
    </row>
    <row r="823" spans="1:33">
      <c r="A823" s="2">
        <v>44693</v>
      </c>
      <c r="B823" s="5" t="s">
        <v>36</v>
      </c>
      <c r="C823" s="5">
        <f>WEEKDAY(Table1[[#This Row],[Date]])</f>
        <v>5</v>
      </c>
      <c r="D823" s="5">
        <f>MONTH(Table1[[#This Row],[Date]])</f>
        <v>5</v>
      </c>
      <c r="E823" s="5">
        <f>WEEKNUM(Table1[[#This Row],[Date]])</f>
        <v>20</v>
      </c>
      <c r="F823" s="5">
        <f>YEAR(Table1[[#This Row],[Date]])</f>
        <v>2022</v>
      </c>
      <c r="G823">
        <v>198</v>
      </c>
      <c r="L823" s="5">
        <v>23</v>
      </c>
      <c r="M823" s="6">
        <v>0.95830000000000004</v>
      </c>
      <c r="N823" s="5">
        <v>1</v>
      </c>
      <c r="O823" s="7">
        <v>2.6620370370370372E-4</v>
      </c>
      <c r="P823" s="7">
        <v>1.9675925925925924E-3</v>
      </c>
      <c r="Q823" s="7">
        <v>1.4004629629629629E-3</v>
      </c>
      <c r="R823" s="6">
        <v>0.75</v>
      </c>
      <c r="S823" s="8">
        <f>CONVERT(Table1[[#This Row],[Talk Duration (AVG)]]*Table1[[#This Row],[Answered Calls]],"day","hr")</f>
        <v>1.086111111111111</v>
      </c>
      <c r="T823" s="9">
        <f>Table1[[#This Row],[Actual Workload hours]]*60</f>
        <v>65.166666666666657</v>
      </c>
      <c r="U823" s="9">
        <f>CONVERT(Table1[[#This Row],[Actual]]*Table1[[#This Row],[Talk Duration (AVG)]],"day","hr")</f>
        <v>9.3499999999999979</v>
      </c>
      <c r="V823" s="10">
        <f>Table1[[#This Row],[Required Workload Hours]]*60</f>
        <v>560.99999999999989</v>
      </c>
      <c r="W823" s="9">
        <v>1</v>
      </c>
      <c r="X823" s="9">
        <f t="shared" si="24"/>
        <v>1.4609374999999998</v>
      </c>
      <c r="Y823" s="5">
        <f t="shared" si="25"/>
        <v>2</v>
      </c>
      <c r="Z823" s="8">
        <f>ROUNDUP(Table1[[#This Row],[Actual Heacount]],0)</f>
        <v>1</v>
      </c>
      <c r="AA823" s="8"/>
      <c r="AB823" s="10"/>
      <c r="AC823" s="10"/>
      <c r="AD823" s="10"/>
      <c r="AE823" s="11">
        <v>102.7278430440404</v>
      </c>
      <c r="AF823" s="11">
        <v>326.50801753820031</v>
      </c>
      <c r="AG823" t="s">
        <v>34</v>
      </c>
    </row>
    <row r="824" spans="1:33">
      <c r="A824" s="2">
        <v>44694</v>
      </c>
      <c r="B824" s="5" t="s">
        <v>37</v>
      </c>
      <c r="C824" s="5">
        <f>WEEKDAY(Table1[[#This Row],[Date]])</f>
        <v>6</v>
      </c>
      <c r="D824" s="5">
        <f>MONTH(Table1[[#This Row],[Date]])</f>
        <v>5</v>
      </c>
      <c r="E824" s="5">
        <f>WEEKNUM(Table1[[#This Row],[Date]])</f>
        <v>20</v>
      </c>
      <c r="F824" s="5">
        <f>YEAR(Table1[[#This Row],[Date]])</f>
        <v>2022</v>
      </c>
      <c r="G824">
        <v>464</v>
      </c>
      <c r="L824" s="5">
        <v>92</v>
      </c>
      <c r="M824" s="6">
        <v>0.8679</v>
      </c>
      <c r="N824" s="5">
        <v>14</v>
      </c>
      <c r="O824" s="7">
        <v>5.0925925925925921E-4</v>
      </c>
      <c r="P824" s="7">
        <v>2.1180555555555558E-3</v>
      </c>
      <c r="Q824" s="7">
        <v>3.5185185185185185E-3</v>
      </c>
      <c r="R824" s="6">
        <v>0.45629999999999998</v>
      </c>
      <c r="S824" s="8">
        <f>CONVERT(Table1[[#This Row],[Talk Duration (AVG)]]*Table1[[#This Row],[Answered Calls]],"day","hr")</f>
        <v>4.6766666666666667</v>
      </c>
      <c r="T824" s="9">
        <f>Table1[[#This Row],[Actual Workload hours]]*60</f>
        <v>280.60000000000002</v>
      </c>
      <c r="U824" s="9">
        <f>CONVERT(Table1[[#This Row],[Actual]]*Table1[[#This Row],[Talk Duration (AVG)]],"day","hr")</f>
        <v>23.586666666666666</v>
      </c>
      <c r="V824" s="10">
        <f>Table1[[#This Row],[Required Workload Hours]]*60</f>
        <v>1415.2</v>
      </c>
      <c r="W824" s="9">
        <v>1</v>
      </c>
      <c r="X824" s="9">
        <f t="shared" si="24"/>
        <v>3.6854166666666668</v>
      </c>
      <c r="Y824" s="5">
        <f t="shared" si="25"/>
        <v>2</v>
      </c>
      <c r="Z824" s="8">
        <f>ROUNDUP(Table1[[#This Row],[Actual Heacount]],0)</f>
        <v>1</v>
      </c>
      <c r="AA824" s="8"/>
      <c r="AB824" s="10"/>
      <c r="AC824" s="10"/>
      <c r="AD824" s="10"/>
      <c r="AE824" s="11">
        <v>100.6254746036529</v>
      </c>
      <c r="AF824" s="11">
        <v>309.18328228177188</v>
      </c>
      <c r="AG824" t="s">
        <v>34</v>
      </c>
    </row>
    <row r="825" spans="1:33">
      <c r="A825" s="2">
        <v>44695</v>
      </c>
      <c r="B825" s="5" t="s">
        <v>38</v>
      </c>
      <c r="C825" s="5">
        <f>WEEKDAY(Table1[[#This Row],[Date]])</f>
        <v>7</v>
      </c>
      <c r="D825" s="5">
        <f>MONTH(Table1[[#This Row],[Date]])</f>
        <v>5</v>
      </c>
      <c r="E825" s="5">
        <f>WEEKNUM(Table1[[#This Row],[Date]])</f>
        <v>20</v>
      </c>
      <c r="F825" s="5">
        <f>YEAR(Table1[[#This Row],[Date]])</f>
        <v>2022</v>
      </c>
      <c r="G825">
        <v>302</v>
      </c>
      <c r="L825" s="5">
        <v>50</v>
      </c>
      <c r="M825" s="6">
        <v>0.96150000000000002</v>
      </c>
      <c r="N825" s="5">
        <v>2</v>
      </c>
      <c r="O825" s="7">
        <v>1.273148148148148E-4</v>
      </c>
      <c r="P825" s="7">
        <v>2.3032407407407407E-3</v>
      </c>
      <c r="Q825" s="7">
        <v>9.7222222222222219E-4</v>
      </c>
      <c r="R825" s="6">
        <v>0.88460000000000005</v>
      </c>
      <c r="S825" s="8">
        <f>CONVERT(Table1[[#This Row],[Talk Duration (AVG)]]*Table1[[#This Row],[Answered Calls]],"day","hr")</f>
        <v>2.7638888888888888</v>
      </c>
      <c r="T825" s="9">
        <f>Table1[[#This Row],[Actual Workload hours]]*60</f>
        <v>165.83333333333334</v>
      </c>
      <c r="U825" s="9">
        <f>CONVERT(Table1[[#This Row],[Actual]]*Table1[[#This Row],[Talk Duration (AVG)]],"day","hr")</f>
        <v>16.693888888888889</v>
      </c>
      <c r="V825" s="10">
        <f>Table1[[#This Row],[Required Workload Hours]]*60</f>
        <v>1001.6333333333333</v>
      </c>
      <c r="W825" s="9">
        <v>1</v>
      </c>
      <c r="X825" s="9">
        <f t="shared" si="24"/>
        <v>2.608420138888889</v>
      </c>
      <c r="Y825" s="5">
        <f t="shared" si="25"/>
        <v>1</v>
      </c>
      <c r="Z825" s="8">
        <f>ROUNDUP(Table1[[#This Row],[Actual Heacount]],0)</f>
        <v>1</v>
      </c>
      <c r="AA825" s="8"/>
      <c r="AB825" s="10"/>
      <c r="AC825" s="10"/>
      <c r="AD825" s="10"/>
      <c r="AE825" s="11">
        <v>97.275554650209656</v>
      </c>
      <c r="AF825" s="11">
        <v>335.05045671257841</v>
      </c>
      <c r="AG825" t="s">
        <v>34</v>
      </c>
    </row>
    <row r="826" spans="1:33">
      <c r="A826" s="2">
        <v>44696</v>
      </c>
      <c r="B826" s="5" t="s">
        <v>39</v>
      </c>
      <c r="C826" s="5">
        <f>WEEKDAY(Table1[[#This Row],[Date]])</f>
        <v>1</v>
      </c>
      <c r="D826" s="5">
        <f>MONTH(Table1[[#This Row],[Date]])</f>
        <v>5</v>
      </c>
      <c r="E826" s="5">
        <f>WEEKNUM(Table1[[#This Row],[Date]])</f>
        <v>21</v>
      </c>
      <c r="F826" s="5">
        <f>YEAR(Table1[[#This Row],[Date]])</f>
        <v>2022</v>
      </c>
      <c r="G826">
        <v>47</v>
      </c>
      <c r="L826" s="5">
        <v>203</v>
      </c>
      <c r="M826" s="6">
        <v>0.9103</v>
      </c>
      <c r="N826" s="5">
        <v>20</v>
      </c>
      <c r="O826" s="7">
        <v>3.5879629629629629E-4</v>
      </c>
      <c r="P826" s="7">
        <v>2.2916666666666667E-3</v>
      </c>
      <c r="Q826" s="7">
        <v>2.9050925925925928E-3</v>
      </c>
      <c r="R826" s="6">
        <v>0.621</v>
      </c>
      <c r="S826" s="8">
        <f>CONVERT(Table1[[#This Row],[Talk Duration (AVG)]]*Table1[[#This Row],[Answered Calls]],"day","hr")</f>
        <v>11.164999999999999</v>
      </c>
      <c r="T826" s="9">
        <f>Table1[[#This Row],[Actual Workload hours]]*60</f>
        <v>669.9</v>
      </c>
      <c r="U826" s="9">
        <f>CONVERT(Table1[[#This Row],[Actual]]*Table1[[#This Row],[Talk Duration (AVG)]],"day","hr")</f>
        <v>2.585</v>
      </c>
      <c r="V826" s="10">
        <f>Table1[[#This Row],[Required Workload Hours]]*60</f>
        <v>155.1</v>
      </c>
      <c r="W826" s="9">
        <v>1.74</v>
      </c>
      <c r="X826" s="9">
        <f t="shared" si="24"/>
        <v>1</v>
      </c>
      <c r="Y826" s="5">
        <f t="shared" si="25"/>
        <v>2</v>
      </c>
      <c r="Z826" s="8">
        <f>ROUNDUP(Table1[[#This Row],[Actual Heacount]],0)</f>
        <v>2</v>
      </c>
      <c r="AA826" s="8"/>
      <c r="AB826" s="10"/>
      <c r="AC826" s="10"/>
      <c r="AD826" s="10"/>
      <c r="AE826" s="11">
        <v>13.437834283373279</v>
      </c>
      <c r="AF826" s="11">
        <v>233.42850593856011</v>
      </c>
      <c r="AG826" t="s">
        <v>34</v>
      </c>
    </row>
    <row r="827" spans="1:33">
      <c r="A827" s="2">
        <v>44697</v>
      </c>
      <c r="B827" s="5" t="s">
        <v>40</v>
      </c>
      <c r="C827" s="5">
        <f>WEEKDAY(Table1[[#This Row],[Date]])</f>
        <v>2</v>
      </c>
      <c r="D827" s="5">
        <f>MONTH(Table1[[#This Row],[Date]])</f>
        <v>5</v>
      </c>
      <c r="E827" s="5">
        <f>WEEKNUM(Table1[[#This Row],[Date]])</f>
        <v>21</v>
      </c>
      <c r="F827" s="5">
        <f>YEAR(Table1[[#This Row],[Date]])</f>
        <v>2022</v>
      </c>
      <c r="G827">
        <v>293</v>
      </c>
      <c r="L827" s="5">
        <v>233</v>
      </c>
      <c r="M827" s="6">
        <v>0.85040000000000004</v>
      </c>
      <c r="N827" s="5">
        <v>41</v>
      </c>
      <c r="O827" s="7">
        <v>5.5555555555555556E-4</v>
      </c>
      <c r="P827" s="7">
        <v>2.3958333333333331E-3</v>
      </c>
      <c r="Q827" s="7">
        <v>3.5879629629629629E-3</v>
      </c>
      <c r="R827" s="6">
        <v>0.36059999999999998</v>
      </c>
      <c r="S827" s="8">
        <f>CONVERT(Table1[[#This Row],[Talk Duration (AVG)]]*Table1[[#This Row],[Answered Calls]],"day","hr")</f>
        <v>13.397500000000001</v>
      </c>
      <c r="T827" s="9">
        <f>Table1[[#This Row],[Actual Workload hours]]*60</f>
        <v>803.85</v>
      </c>
      <c r="U827" s="9">
        <f>CONVERT(Table1[[#This Row],[Actual]]*Table1[[#This Row],[Talk Duration (AVG)]],"day","hr")</f>
        <v>16.847499999999997</v>
      </c>
      <c r="V827" s="10">
        <f>Table1[[#This Row],[Required Workload Hours]]*60</f>
        <v>1010.8499999999998</v>
      </c>
      <c r="W827" s="9">
        <v>2.09</v>
      </c>
      <c r="X827" s="9">
        <f t="shared" si="24"/>
        <v>2.6324218749999995</v>
      </c>
      <c r="Y827" s="5">
        <f t="shared" si="25"/>
        <v>2</v>
      </c>
      <c r="Z827" s="8">
        <f>ROUNDUP(Table1[[#This Row],[Actual Heacount]],0)</f>
        <v>3</v>
      </c>
      <c r="AA827" s="8"/>
      <c r="AB827" s="10"/>
      <c r="AC827" s="10"/>
      <c r="AD827" s="10"/>
      <c r="AE827" s="11">
        <v>111.4577372690292</v>
      </c>
      <c r="AF827" s="11">
        <v>341.05089361164079</v>
      </c>
      <c r="AG827" t="s">
        <v>34</v>
      </c>
    </row>
    <row r="828" spans="1:33">
      <c r="A828" s="2">
        <v>44698</v>
      </c>
      <c r="B828" s="5" t="s">
        <v>33</v>
      </c>
      <c r="C828" s="5">
        <f>WEEKDAY(Table1[[#This Row],[Date]])</f>
        <v>3</v>
      </c>
      <c r="D828" s="5">
        <f>MONTH(Table1[[#This Row],[Date]])</f>
        <v>5</v>
      </c>
      <c r="E828" s="5">
        <f>WEEKNUM(Table1[[#This Row],[Date]])</f>
        <v>21</v>
      </c>
      <c r="F828" s="5">
        <f>YEAR(Table1[[#This Row],[Date]])</f>
        <v>2022</v>
      </c>
      <c r="G828">
        <v>245</v>
      </c>
      <c r="L828" s="5">
        <v>263</v>
      </c>
      <c r="M828" s="6">
        <v>0.93930000000000002</v>
      </c>
      <c r="N828" s="5">
        <v>17</v>
      </c>
      <c r="O828" s="7">
        <v>2.6620370370370372E-4</v>
      </c>
      <c r="P828" s="7">
        <v>2.2337962962962962E-3</v>
      </c>
      <c r="Q828" s="7">
        <v>2.662037037037037E-3</v>
      </c>
      <c r="R828" s="6">
        <v>0.6764</v>
      </c>
      <c r="S828" s="8">
        <f>CONVERT(Table1[[#This Row],[Talk Duration (AVG)]]*Table1[[#This Row],[Answered Calls]],"day","hr")</f>
        <v>14.099722222222221</v>
      </c>
      <c r="T828" s="9">
        <f>Table1[[#This Row],[Actual Workload hours]]*60</f>
        <v>845.98333333333323</v>
      </c>
      <c r="U828" s="9">
        <f>CONVERT(Table1[[#This Row],[Actual]]*Table1[[#This Row],[Talk Duration (AVG)]],"day","hr")</f>
        <v>13.134722222222223</v>
      </c>
      <c r="V828" s="10">
        <f>Table1[[#This Row],[Required Workload Hours]]*60</f>
        <v>788.08333333333337</v>
      </c>
      <c r="W828" s="9">
        <v>2.2000000000000002</v>
      </c>
      <c r="X828" s="9">
        <f t="shared" si="24"/>
        <v>2.0523003472222223</v>
      </c>
      <c r="Y828" s="5">
        <f t="shared" si="25"/>
        <v>2</v>
      </c>
      <c r="Z828" s="8">
        <f>ROUNDUP(Table1[[#This Row],[Actual Heacount]],0)</f>
        <v>3</v>
      </c>
      <c r="AA828" s="8"/>
      <c r="AB828" s="10"/>
      <c r="AC828" s="10"/>
      <c r="AD828" s="10"/>
      <c r="AE828" s="11">
        <v>94.092586616889633</v>
      </c>
      <c r="AF828" s="11">
        <v>320.72776676920938</v>
      </c>
      <c r="AG828" t="s">
        <v>34</v>
      </c>
    </row>
    <row r="829" spans="1:33">
      <c r="A829" s="2">
        <v>44699</v>
      </c>
      <c r="B829" s="5" t="s">
        <v>35</v>
      </c>
      <c r="C829" s="5">
        <f>WEEKDAY(Table1[[#This Row],[Date]])</f>
        <v>4</v>
      </c>
      <c r="D829" s="5">
        <f>MONTH(Table1[[#This Row],[Date]])</f>
        <v>5</v>
      </c>
      <c r="E829" s="5">
        <f>WEEKNUM(Table1[[#This Row],[Date]])</f>
        <v>21</v>
      </c>
      <c r="F829" s="5">
        <f>YEAR(Table1[[#This Row],[Date]])</f>
        <v>2022</v>
      </c>
      <c r="G829">
        <v>295</v>
      </c>
      <c r="L829" s="5">
        <v>468</v>
      </c>
      <c r="M829" s="6">
        <v>0.87639999999999996</v>
      </c>
      <c r="N829" s="5">
        <v>66</v>
      </c>
      <c r="O829" s="7">
        <v>3.4722222222222224E-4</v>
      </c>
      <c r="P829" s="7">
        <v>1.9212962962962964E-3</v>
      </c>
      <c r="Q829" s="7">
        <v>3.2291666666666666E-3</v>
      </c>
      <c r="R829" s="6">
        <v>0.57469999999999999</v>
      </c>
      <c r="S829" s="8">
        <f>CONVERT(Table1[[#This Row],[Talk Duration (AVG)]]*Table1[[#This Row],[Answered Calls]],"day","hr")</f>
        <v>21.58</v>
      </c>
      <c r="T829" s="9">
        <f>Table1[[#This Row],[Actual Workload hours]]*60</f>
        <v>1294.8</v>
      </c>
      <c r="U829" s="9">
        <f>CONVERT(Table1[[#This Row],[Actual]]*Table1[[#This Row],[Talk Duration (AVG)]],"day","hr")</f>
        <v>13.60277777777778</v>
      </c>
      <c r="V829" s="10">
        <f>Table1[[#This Row],[Required Workload Hours]]*60</f>
        <v>816.16666666666674</v>
      </c>
      <c r="W829" s="9">
        <v>3.37</v>
      </c>
      <c r="X829" s="9">
        <f t="shared" si="24"/>
        <v>2.1254340277777781</v>
      </c>
      <c r="Y829" s="5">
        <f t="shared" si="25"/>
        <v>2</v>
      </c>
      <c r="Z829" s="8">
        <f>ROUNDUP(Table1[[#This Row],[Actual Heacount]],0)</f>
        <v>4</v>
      </c>
      <c r="AA829" s="8"/>
      <c r="AB829" s="10"/>
      <c r="AC829" s="10"/>
      <c r="AD829" s="10"/>
      <c r="AE829" s="11">
        <v>108.5217630770874</v>
      </c>
      <c r="AF829" s="11">
        <v>324.75505256138678</v>
      </c>
      <c r="AG829" t="s">
        <v>34</v>
      </c>
    </row>
    <row r="830" spans="1:33">
      <c r="A830" s="2">
        <v>44700</v>
      </c>
      <c r="B830" s="5" t="s">
        <v>36</v>
      </c>
      <c r="C830" s="5">
        <f>WEEKDAY(Table1[[#This Row],[Date]])</f>
        <v>5</v>
      </c>
      <c r="D830" s="5">
        <f>MONTH(Table1[[#This Row],[Date]])</f>
        <v>5</v>
      </c>
      <c r="E830" s="5">
        <f>WEEKNUM(Table1[[#This Row],[Date]])</f>
        <v>21</v>
      </c>
      <c r="F830" s="5">
        <f>YEAR(Table1[[#This Row],[Date]])</f>
        <v>2022</v>
      </c>
      <c r="G830">
        <v>205</v>
      </c>
      <c r="L830" s="5">
        <v>300</v>
      </c>
      <c r="M830" s="6">
        <v>0.95240000000000002</v>
      </c>
      <c r="N830" s="5">
        <v>15</v>
      </c>
      <c r="O830" s="7">
        <v>2.7777777777777778E-4</v>
      </c>
      <c r="P830" s="7">
        <v>2.2106481481481482E-3</v>
      </c>
      <c r="Q830" s="7">
        <v>1.9675925925925924E-3</v>
      </c>
      <c r="R830" s="6">
        <v>0.70230000000000004</v>
      </c>
      <c r="S830" s="8">
        <f>CONVERT(Table1[[#This Row],[Talk Duration (AVG)]]*Table1[[#This Row],[Answered Calls]],"day","hr")</f>
        <v>15.916666666666666</v>
      </c>
      <c r="T830" s="9">
        <f>Table1[[#This Row],[Actual Workload hours]]*60</f>
        <v>955</v>
      </c>
      <c r="U830" s="9">
        <f>CONVERT(Table1[[#This Row],[Actual]]*Table1[[#This Row],[Talk Duration (AVG)]],"day","hr")</f>
        <v>10.876388888888888</v>
      </c>
      <c r="V830" s="10">
        <f>Table1[[#This Row],[Required Workload Hours]]*60</f>
        <v>652.58333333333326</v>
      </c>
      <c r="W830" s="9">
        <v>2.4900000000000002</v>
      </c>
      <c r="X830" s="9">
        <f t="shared" si="24"/>
        <v>1.6994357638888886</v>
      </c>
      <c r="Y830" s="5">
        <f t="shared" si="25"/>
        <v>2</v>
      </c>
      <c r="Z830" s="8">
        <f>ROUNDUP(Table1[[#This Row],[Actual Heacount]],0)</f>
        <v>3</v>
      </c>
      <c r="AA830" s="8"/>
      <c r="AB830" s="10"/>
      <c r="AC830" s="10"/>
      <c r="AD830" s="10"/>
      <c r="AE830" s="11">
        <v>95.564950050117019</v>
      </c>
      <c r="AF830" s="11">
        <v>325.17030146437088</v>
      </c>
      <c r="AG830" t="s">
        <v>34</v>
      </c>
    </row>
    <row r="831" spans="1:33">
      <c r="A831" s="2">
        <v>44701</v>
      </c>
      <c r="B831" s="5" t="s">
        <v>37</v>
      </c>
      <c r="C831" s="5">
        <f>WEEKDAY(Table1[[#This Row],[Date]])</f>
        <v>6</v>
      </c>
      <c r="D831" s="5">
        <f>MONTH(Table1[[#This Row],[Date]])</f>
        <v>5</v>
      </c>
      <c r="E831" s="5">
        <f>WEEKNUM(Table1[[#This Row],[Date]])</f>
        <v>21</v>
      </c>
      <c r="F831" s="5">
        <f>YEAR(Table1[[#This Row],[Date]])</f>
        <v>2022</v>
      </c>
      <c r="G831">
        <v>249</v>
      </c>
      <c r="L831" s="5">
        <v>113</v>
      </c>
      <c r="M831" s="6">
        <v>0.92620000000000002</v>
      </c>
      <c r="N831" s="5">
        <v>9</v>
      </c>
      <c r="O831" s="7">
        <v>2.3148148148148149E-4</v>
      </c>
      <c r="P831" s="7">
        <v>2.0601851851851853E-3</v>
      </c>
      <c r="Q831" s="7">
        <v>1.6087962962962963E-3</v>
      </c>
      <c r="R831" s="6">
        <v>0.76670000000000005</v>
      </c>
      <c r="S831" s="8">
        <f>CONVERT(Table1[[#This Row],[Talk Duration (AVG)]]*Table1[[#This Row],[Answered Calls]],"day","hr")</f>
        <v>5.5872222222222225</v>
      </c>
      <c r="T831" s="9">
        <f>Table1[[#This Row],[Actual Workload hours]]*60</f>
        <v>335.23333333333335</v>
      </c>
      <c r="U831" s="9">
        <f>CONVERT(Table1[[#This Row],[Actual]]*Table1[[#This Row],[Talk Duration (AVG)]],"day","hr")</f>
        <v>12.311666666666667</v>
      </c>
      <c r="V831" s="10">
        <f>Table1[[#This Row],[Required Workload Hours]]*60</f>
        <v>738.7</v>
      </c>
      <c r="W831" s="9">
        <v>1</v>
      </c>
      <c r="X831" s="9">
        <f t="shared" si="24"/>
        <v>1.9236979166666668</v>
      </c>
      <c r="Y831" s="5">
        <f t="shared" si="25"/>
        <v>2</v>
      </c>
      <c r="Z831" s="8">
        <f>ROUNDUP(Table1[[#This Row],[Actual Heacount]],0)</f>
        <v>1</v>
      </c>
      <c r="AA831" s="8"/>
      <c r="AB831" s="10"/>
      <c r="AC831" s="10"/>
      <c r="AD831" s="10"/>
      <c r="AE831" s="11">
        <v>102.0152227803209</v>
      </c>
      <c r="AF831" s="11">
        <v>317.86899242200252</v>
      </c>
      <c r="AG831" t="s">
        <v>34</v>
      </c>
    </row>
    <row r="832" spans="1:33">
      <c r="A832" s="2">
        <v>44702</v>
      </c>
      <c r="B832" s="5" t="s">
        <v>38</v>
      </c>
      <c r="C832" s="5">
        <f>WEEKDAY(Table1[[#This Row],[Date]])</f>
        <v>7</v>
      </c>
      <c r="D832" s="5">
        <f>MONTH(Table1[[#This Row],[Date]])</f>
        <v>5</v>
      </c>
      <c r="E832" s="5">
        <f>WEEKNUM(Table1[[#This Row],[Date]])</f>
        <v>21</v>
      </c>
      <c r="F832" s="5">
        <f>YEAR(Table1[[#This Row],[Date]])</f>
        <v>2022</v>
      </c>
      <c r="G832">
        <v>236</v>
      </c>
      <c r="L832" s="5">
        <v>60</v>
      </c>
      <c r="M832" s="6">
        <v>0.95240000000000002</v>
      </c>
      <c r="N832" s="5">
        <v>3</v>
      </c>
      <c r="O832" s="7">
        <v>2.4305555555555555E-4</v>
      </c>
      <c r="P832" s="7">
        <v>1.9791666666666668E-3</v>
      </c>
      <c r="Q832" s="7">
        <v>1.9907407407407408E-3</v>
      </c>
      <c r="R832" s="6">
        <v>0.7419</v>
      </c>
      <c r="S832" s="8">
        <f>CONVERT(Table1[[#This Row],[Talk Duration (AVG)]]*Table1[[#This Row],[Answered Calls]],"day","hr")</f>
        <v>2.85</v>
      </c>
      <c r="T832" s="9">
        <f>Table1[[#This Row],[Actual Workload hours]]*60</f>
        <v>171</v>
      </c>
      <c r="U832" s="9">
        <f>CONVERT(Table1[[#This Row],[Actual]]*Table1[[#This Row],[Talk Duration (AVG)]],"day","hr")</f>
        <v>11.21</v>
      </c>
      <c r="V832" s="10">
        <f>Table1[[#This Row],[Required Workload Hours]]*60</f>
        <v>672.6</v>
      </c>
      <c r="W832" s="9">
        <v>1</v>
      </c>
      <c r="X832" s="9">
        <f t="shared" si="24"/>
        <v>1.7515625000000001</v>
      </c>
      <c r="Y832" s="5">
        <f t="shared" si="25"/>
        <v>1</v>
      </c>
      <c r="Z832" s="8">
        <f>ROUNDUP(Table1[[#This Row],[Actual Heacount]],0)</f>
        <v>1</v>
      </c>
      <c r="AA832" s="8"/>
      <c r="AB832" s="10"/>
      <c r="AC832" s="10"/>
      <c r="AD832" s="10"/>
      <c r="AE832" s="11">
        <v>100.5153114482104</v>
      </c>
      <c r="AF832" s="11">
        <v>327.1384306943807</v>
      </c>
      <c r="AG832" t="s">
        <v>34</v>
      </c>
    </row>
    <row r="833" spans="1:33">
      <c r="A833" s="2">
        <v>44703</v>
      </c>
      <c r="B833" s="5" t="s">
        <v>39</v>
      </c>
      <c r="C833" s="5">
        <f>WEEKDAY(Table1[[#This Row],[Date]])</f>
        <v>1</v>
      </c>
      <c r="D833" s="5">
        <f>MONTH(Table1[[#This Row],[Date]])</f>
        <v>5</v>
      </c>
      <c r="E833" s="5">
        <f>WEEKNUM(Table1[[#This Row],[Date]])</f>
        <v>22</v>
      </c>
      <c r="F833" s="5">
        <f>YEAR(Table1[[#This Row],[Date]])</f>
        <v>2022</v>
      </c>
      <c r="G833">
        <v>39</v>
      </c>
      <c r="L833" s="5">
        <v>368</v>
      </c>
      <c r="M833" s="6">
        <v>0.91539999999999999</v>
      </c>
      <c r="N833" s="5">
        <v>34</v>
      </c>
      <c r="O833" s="7">
        <v>3.7037037037037035E-4</v>
      </c>
      <c r="P833" s="7">
        <v>2.1643518518518518E-3</v>
      </c>
      <c r="Q833" s="7">
        <v>2.1527777777777778E-3</v>
      </c>
      <c r="R833" s="6">
        <v>0.54179999999999995</v>
      </c>
      <c r="S833" s="8">
        <f>CONVERT(Table1[[#This Row],[Talk Duration (AVG)]]*Table1[[#This Row],[Answered Calls]],"day","hr")</f>
        <v>19.115555555555556</v>
      </c>
      <c r="T833" s="9">
        <f>Table1[[#This Row],[Actual Workload hours]]*60</f>
        <v>1146.9333333333334</v>
      </c>
      <c r="U833" s="9">
        <f>CONVERT(Table1[[#This Row],[Actual]]*Table1[[#This Row],[Talk Duration (AVG)]],"day","hr")</f>
        <v>2.0258333333333334</v>
      </c>
      <c r="V833" s="10">
        <f>Table1[[#This Row],[Required Workload Hours]]*60</f>
        <v>121.55</v>
      </c>
      <c r="W833" s="9">
        <v>2.99</v>
      </c>
      <c r="X833" s="9">
        <f t="shared" si="24"/>
        <v>1</v>
      </c>
      <c r="Y833" s="5">
        <f t="shared" si="25"/>
        <v>2</v>
      </c>
      <c r="Z833" s="8">
        <f>ROUNDUP(Table1[[#This Row],[Actual Heacount]],0)</f>
        <v>3</v>
      </c>
      <c r="AA833" s="8"/>
      <c r="AB833" s="10"/>
      <c r="AC833" s="10"/>
      <c r="AD833" s="10"/>
      <c r="AE833" s="11">
        <v>6.8282589879771578</v>
      </c>
      <c r="AF833" s="11">
        <v>231.55930884490331</v>
      </c>
      <c r="AG833" t="s">
        <v>34</v>
      </c>
    </row>
    <row r="834" spans="1:33">
      <c r="A834" s="2">
        <v>44704</v>
      </c>
      <c r="B834" s="5" t="s">
        <v>40</v>
      </c>
      <c r="C834" s="5">
        <f>WEEKDAY(Table1[[#This Row],[Date]])</f>
        <v>2</v>
      </c>
      <c r="D834" s="5">
        <f>MONTH(Table1[[#This Row],[Date]])</f>
        <v>5</v>
      </c>
      <c r="E834" s="5">
        <f>WEEKNUM(Table1[[#This Row],[Date]])</f>
        <v>22</v>
      </c>
      <c r="F834" s="5">
        <f>YEAR(Table1[[#This Row],[Date]])</f>
        <v>2022</v>
      </c>
      <c r="G834">
        <v>208</v>
      </c>
      <c r="L834" s="5">
        <v>370</v>
      </c>
      <c r="M834" s="6">
        <v>0.89590000000000003</v>
      </c>
      <c r="N834" s="5">
        <v>43</v>
      </c>
      <c r="O834" s="7">
        <v>3.3564814814814812E-4</v>
      </c>
      <c r="P834" s="7">
        <v>2.1990740740740742E-3</v>
      </c>
      <c r="Q834" s="7">
        <v>2.3379629629629631E-3</v>
      </c>
      <c r="R834" s="6">
        <v>0.58420000000000005</v>
      </c>
      <c r="S834" s="8">
        <f>CONVERT(Table1[[#This Row],[Talk Duration (AVG)]]*Table1[[#This Row],[Answered Calls]],"day","hr")</f>
        <v>19.527777777777779</v>
      </c>
      <c r="T834" s="9">
        <f>Table1[[#This Row],[Actual Workload hours]]*60</f>
        <v>1171.6666666666667</v>
      </c>
      <c r="U834" s="9">
        <f>CONVERT(Table1[[#This Row],[Actual]]*Table1[[#This Row],[Talk Duration (AVG)]],"day","hr")</f>
        <v>10.977777777777778</v>
      </c>
      <c r="V834" s="10">
        <f>Table1[[#This Row],[Required Workload Hours]]*60</f>
        <v>658.66666666666663</v>
      </c>
      <c r="W834" s="9">
        <v>3.05</v>
      </c>
      <c r="X834" s="9">
        <f t="shared" si="24"/>
        <v>1.7152777777777777</v>
      </c>
      <c r="Y834" s="5">
        <f t="shared" si="25"/>
        <v>2</v>
      </c>
      <c r="Z834" s="8">
        <f>ROUNDUP(Table1[[#This Row],[Actual Heacount]],0)</f>
        <v>4</v>
      </c>
      <c r="AA834" s="8"/>
      <c r="AB834" s="10"/>
      <c r="AC834" s="10"/>
      <c r="AD834" s="10"/>
      <c r="AE834" s="11">
        <v>100.8540020360855</v>
      </c>
      <c r="AF834" s="11">
        <v>336.21052682566727</v>
      </c>
      <c r="AG834" t="s">
        <v>34</v>
      </c>
    </row>
    <row r="835" spans="1:33">
      <c r="A835" s="2">
        <v>44705</v>
      </c>
      <c r="B835" s="5" t="s">
        <v>33</v>
      </c>
      <c r="C835" s="5">
        <f>WEEKDAY(Table1[[#This Row],[Date]])</f>
        <v>3</v>
      </c>
      <c r="D835" s="5">
        <f>MONTH(Table1[[#This Row],[Date]])</f>
        <v>5</v>
      </c>
      <c r="E835" s="5">
        <f>WEEKNUM(Table1[[#This Row],[Date]])</f>
        <v>22</v>
      </c>
      <c r="F835" s="5">
        <f>YEAR(Table1[[#This Row],[Date]])</f>
        <v>2022</v>
      </c>
      <c r="G835">
        <v>39</v>
      </c>
      <c r="L835" s="5">
        <v>346</v>
      </c>
      <c r="M835" s="6">
        <v>0.88949999999999996</v>
      </c>
      <c r="N835" s="5">
        <v>43</v>
      </c>
      <c r="O835" s="7">
        <v>4.1666666666666669E-4</v>
      </c>
      <c r="P835" s="7">
        <v>2.3263888888888887E-3</v>
      </c>
      <c r="Q835" s="7">
        <v>3.5879629629629629E-3</v>
      </c>
      <c r="R835" s="6">
        <v>0.49869999999999998</v>
      </c>
      <c r="S835" s="8">
        <f>CONVERT(Table1[[#This Row],[Talk Duration (AVG)]]*Table1[[#This Row],[Answered Calls]],"day","hr")</f>
        <v>19.318333333333332</v>
      </c>
      <c r="T835" s="9">
        <f>Table1[[#This Row],[Actual Workload hours]]*60</f>
        <v>1159.0999999999999</v>
      </c>
      <c r="U835" s="9">
        <f>CONVERT(Table1[[#This Row],[Actual]]*Table1[[#This Row],[Talk Duration (AVG)]],"day","hr")</f>
        <v>2.1774999999999998</v>
      </c>
      <c r="V835" s="10">
        <f>Table1[[#This Row],[Required Workload Hours]]*60</f>
        <v>130.64999999999998</v>
      </c>
      <c r="W835" s="9">
        <v>3.02</v>
      </c>
      <c r="X835" s="9">
        <f t="shared" ref="X835:X898" si="26">IF(V835&lt;384,1,(V835/384))</f>
        <v>1</v>
      </c>
      <c r="Y835" s="5">
        <f t="shared" ref="Y835:Y898" si="27">IF(B835="Sunday",1,2)</f>
        <v>2</v>
      </c>
      <c r="Z835" s="8">
        <f>ROUNDUP(Table1[[#This Row],[Actual Heacount]],0)</f>
        <v>4</v>
      </c>
      <c r="AA835" s="8"/>
      <c r="AB835" s="10"/>
      <c r="AC835" s="10"/>
      <c r="AD835" s="10"/>
      <c r="AE835" s="11">
        <v>95.329100079986674</v>
      </c>
      <c r="AF835" s="11">
        <v>317.10819463050223</v>
      </c>
      <c r="AG835" t="s">
        <v>34</v>
      </c>
    </row>
    <row r="836" spans="1:33">
      <c r="A836" s="2">
        <v>44706</v>
      </c>
      <c r="B836" s="5" t="s">
        <v>35</v>
      </c>
      <c r="C836" s="5">
        <f>WEEKDAY(Table1[[#This Row],[Date]])</f>
        <v>4</v>
      </c>
      <c r="D836" s="5">
        <f>MONTH(Table1[[#This Row],[Date]])</f>
        <v>5</v>
      </c>
      <c r="E836" s="5">
        <f>WEEKNUM(Table1[[#This Row],[Date]])</f>
        <v>22</v>
      </c>
      <c r="F836" s="5">
        <f>YEAR(Table1[[#This Row],[Date]])</f>
        <v>2022</v>
      </c>
      <c r="G836">
        <v>115</v>
      </c>
      <c r="L836" s="5">
        <v>308</v>
      </c>
      <c r="M836" s="6">
        <v>0.62219999999999998</v>
      </c>
      <c r="N836" s="5">
        <v>187</v>
      </c>
      <c r="O836" s="7">
        <v>1.0532407407407407E-3</v>
      </c>
      <c r="P836" s="7">
        <v>2.3726851851851851E-3</v>
      </c>
      <c r="Q836" s="7">
        <v>1.1516203703703704E-2</v>
      </c>
      <c r="R836" s="6">
        <v>0.18559999999999999</v>
      </c>
      <c r="S836" s="8">
        <f>CONVERT(Table1[[#This Row],[Talk Duration (AVG)]]*Table1[[#This Row],[Answered Calls]],"day","hr")</f>
        <v>17.538888888888888</v>
      </c>
      <c r="T836" s="9">
        <f>Table1[[#This Row],[Actual Workload hours]]*60</f>
        <v>1052.3333333333333</v>
      </c>
      <c r="U836" s="9">
        <f>CONVERT(Table1[[#This Row],[Actual]]*Table1[[#This Row],[Talk Duration (AVG)]],"day","hr")</f>
        <v>6.5486111111111107</v>
      </c>
      <c r="V836" s="10">
        <f>Table1[[#This Row],[Required Workload Hours]]*60</f>
        <v>392.91666666666663</v>
      </c>
      <c r="W836" s="9">
        <v>2.74</v>
      </c>
      <c r="X836" s="9">
        <f t="shared" si="26"/>
        <v>1.0232204861111109</v>
      </c>
      <c r="Y836" s="5">
        <f t="shared" si="27"/>
        <v>2</v>
      </c>
      <c r="Z836" s="8">
        <f>ROUNDUP(Table1[[#This Row],[Actual Heacount]],0)</f>
        <v>3</v>
      </c>
      <c r="AA836" s="8"/>
      <c r="AB836" s="10"/>
      <c r="AC836" s="10"/>
      <c r="AD836" s="10"/>
      <c r="AE836" s="11">
        <v>108.6674940587433</v>
      </c>
      <c r="AF836" s="11">
        <v>326.36311637351099</v>
      </c>
      <c r="AG836" t="s">
        <v>34</v>
      </c>
    </row>
    <row r="837" spans="1:33">
      <c r="A837" s="2">
        <v>44707</v>
      </c>
      <c r="B837" s="5" t="s">
        <v>36</v>
      </c>
      <c r="C837" s="5">
        <f>WEEKDAY(Table1[[#This Row],[Date]])</f>
        <v>5</v>
      </c>
      <c r="D837" s="5">
        <f>MONTH(Table1[[#This Row],[Date]])</f>
        <v>5</v>
      </c>
      <c r="E837" s="5">
        <f>WEEKNUM(Table1[[#This Row],[Date]])</f>
        <v>22</v>
      </c>
      <c r="F837" s="5">
        <f>YEAR(Table1[[#This Row],[Date]])</f>
        <v>2022</v>
      </c>
      <c r="G837">
        <v>338</v>
      </c>
      <c r="L837" s="5">
        <v>340</v>
      </c>
      <c r="M837" s="6">
        <v>0.47749999999999998</v>
      </c>
      <c r="N837" s="5">
        <v>372</v>
      </c>
      <c r="O837" s="7">
        <v>1.3888888888888889E-3</v>
      </c>
      <c r="P837" s="7">
        <v>2.3842592592592591E-3</v>
      </c>
      <c r="Q837" s="7">
        <v>1.1400462962962963E-2</v>
      </c>
      <c r="R837" s="6">
        <v>0.1226</v>
      </c>
      <c r="S837" s="8">
        <f>CONVERT(Table1[[#This Row],[Talk Duration (AVG)]]*Table1[[#This Row],[Answered Calls]],"day","hr")</f>
        <v>19.455555555555556</v>
      </c>
      <c r="T837" s="9">
        <f>Table1[[#This Row],[Actual Workload hours]]*60</f>
        <v>1167.3333333333333</v>
      </c>
      <c r="U837" s="9">
        <f>CONVERT(Table1[[#This Row],[Actual]]*Table1[[#This Row],[Talk Duration (AVG)]],"day","hr")</f>
        <v>19.341111111111111</v>
      </c>
      <c r="V837" s="10">
        <f>Table1[[#This Row],[Required Workload Hours]]*60</f>
        <v>1160.4666666666667</v>
      </c>
      <c r="W837" s="9">
        <v>3.04</v>
      </c>
      <c r="X837" s="9">
        <f t="shared" si="26"/>
        <v>3.0220486111111113</v>
      </c>
      <c r="Y837" s="5">
        <f t="shared" si="27"/>
        <v>2</v>
      </c>
      <c r="Z837" s="8">
        <f>ROUNDUP(Table1[[#This Row],[Actual Heacount]],0)</f>
        <v>4</v>
      </c>
      <c r="AA837" s="8"/>
      <c r="AB837" s="10"/>
      <c r="AC837" s="10"/>
      <c r="AD837" s="10"/>
      <c r="AE837" s="11">
        <v>99.521323567192169</v>
      </c>
      <c r="AF837" s="11">
        <v>322.66197133004403</v>
      </c>
      <c r="AG837" t="s">
        <v>34</v>
      </c>
    </row>
    <row r="838" spans="1:33">
      <c r="A838" s="2">
        <v>44708</v>
      </c>
      <c r="B838" s="5" t="s">
        <v>37</v>
      </c>
      <c r="C838" s="5">
        <f>WEEKDAY(Table1[[#This Row],[Date]])</f>
        <v>6</v>
      </c>
      <c r="D838" s="5">
        <f>MONTH(Table1[[#This Row],[Date]])</f>
        <v>5</v>
      </c>
      <c r="E838" s="5">
        <f>WEEKNUM(Table1[[#This Row],[Date]])</f>
        <v>22</v>
      </c>
      <c r="F838" s="5">
        <f>YEAR(Table1[[#This Row],[Date]])</f>
        <v>2022</v>
      </c>
      <c r="G838">
        <v>404</v>
      </c>
      <c r="L838" s="5">
        <v>602</v>
      </c>
      <c r="M838" s="6">
        <v>0.56950000000000001</v>
      </c>
      <c r="N838" s="5">
        <v>455</v>
      </c>
      <c r="O838" s="7">
        <v>1.2037037037037038E-3</v>
      </c>
      <c r="P838" s="7">
        <v>1.7708333333333332E-3</v>
      </c>
      <c r="Q838" s="7">
        <v>8.611111111111111E-3</v>
      </c>
      <c r="R838" s="6">
        <v>0.1149</v>
      </c>
      <c r="S838" s="8">
        <f>CONVERT(Table1[[#This Row],[Talk Duration (AVG)]]*Table1[[#This Row],[Answered Calls]],"day","hr")</f>
        <v>25.584999999999997</v>
      </c>
      <c r="T838" s="9">
        <f>Table1[[#This Row],[Actual Workload hours]]*60</f>
        <v>1535.1</v>
      </c>
      <c r="U838" s="9">
        <f>CONVERT(Table1[[#This Row],[Actual]]*Table1[[#This Row],[Talk Duration (AVG)]],"day","hr")</f>
        <v>17.169999999999998</v>
      </c>
      <c r="V838" s="10">
        <f>Table1[[#This Row],[Required Workload Hours]]*60</f>
        <v>1030.1999999999998</v>
      </c>
      <c r="W838" s="9">
        <v>4</v>
      </c>
      <c r="X838" s="9">
        <f t="shared" si="26"/>
        <v>2.6828124999999994</v>
      </c>
      <c r="Y838" s="5">
        <f t="shared" si="27"/>
        <v>2</v>
      </c>
      <c r="Z838" s="8">
        <f>ROUNDUP(Table1[[#This Row],[Actual Heacount]],0)</f>
        <v>4</v>
      </c>
      <c r="AA838" s="8"/>
      <c r="AB838" s="10"/>
      <c r="AC838" s="10"/>
      <c r="AD838" s="10"/>
      <c r="AE838" s="11">
        <v>89.94741457513409</v>
      </c>
      <c r="AF838" s="11">
        <v>307.53782627948033</v>
      </c>
      <c r="AG838" t="s">
        <v>34</v>
      </c>
    </row>
    <row r="839" spans="1:33">
      <c r="A839" s="2">
        <v>44709</v>
      </c>
      <c r="B839" s="5" t="s">
        <v>38</v>
      </c>
      <c r="C839" s="5">
        <f>WEEKDAY(Table1[[#This Row],[Date]])</f>
        <v>7</v>
      </c>
      <c r="D839" s="5">
        <f>MONTH(Table1[[#This Row],[Date]])</f>
        <v>5</v>
      </c>
      <c r="E839" s="5">
        <f>WEEKNUM(Table1[[#This Row],[Date]])</f>
        <v>22</v>
      </c>
      <c r="F839" s="5">
        <f>YEAR(Table1[[#This Row],[Date]])</f>
        <v>2022</v>
      </c>
      <c r="G839">
        <v>436</v>
      </c>
      <c r="L839" s="5">
        <v>321</v>
      </c>
      <c r="M839" s="6">
        <v>0.51770000000000005</v>
      </c>
      <c r="N839" s="5">
        <v>299</v>
      </c>
      <c r="O839" s="7">
        <v>1.8749999999999999E-3</v>
      </c>
      <c r="P839" s="7">
        <v>2.2337962962962962E-3</v>
      </c>
      <c r="Q839" s="7">
        <v>1.150462962962963E-2</v>
      </c>
      <c r="R839" s="6">
        <v>0.1087</v>
      </c>
      <c r="S839" s="8">
        <f>CONVERT(Table1[[#This Row],[Talk Duration (AVG)]]*Table1[[#This Row],[Answered Calls]],"day","hr")</f>
        <v>17.209166666666665</v>
      </c>
      <c r="T839" s="9">
        <f>Table1[[#This Row],[Actual Workload hours]]*60</f>
        <v>1032.55</v>
      </c>
      <c r="U839" s="9">
        <f>CONVERT(Table1[[#This Row],[Actual]]*Table1[[#This Row],[Talk Duration (AVG)]],"day","hr")</f>
        <v>23.374444444444446</v>
      </c>
      <c r="V839" s="10">
        <f>Table1[[#This Row],[Required Workload Hours]]*60</f>
        <v>1402.4666666666667</v>
      </c>
      <c r="W839" s="9">
        <v>2.69</v>
      </c>
      <c r="X839" s="9">
        <f t="shared" si="26"/>
        <v>3.6522569444444444</v>
      </c>
      <c r="Y839" s="5">
        <f t="shared" si="27"/>
        <v>1</v>
      </c>
      <c r="Z839" s="8">
        <f>ROUNDUP(Table1[[#This Row],[Actual Heacount]],0)</f>
        <v>3</v>
      </c>
      <c r="AA839" s="8"/>
      <c r="AB839" s="10"/>
      <c r="AC839" s="10"/>
      <c r="AD839" s="10"/>
      <c r="AE839" s="11">
        <v>99.014912611021416</v>
      </c>
      <c r="AF839" s="11">
        <v>316.97031795493501</v>
      </c>
      <c r="AG839" t="s">
        <v>34</v>
      </c>
    </row>
    <row r="840" spans="1:33">
      <c r="A840" s="2">
        <v>44710</v>
      </c>
      <c r="B840" s="5" t="s">
        <v>39</v>
      </c>
      <c r="C840" s="5">
        <f>WEEKDAY(Table1[[#This Row],[Date]])</f>
        <v>1</v>
      </c>
      <c r="D840" s="5">
        <f>MONTH(Table1[[#This Row],[Date]])</f>
        <v>5</v>
      </c>
      <c r="E840" s="5">
        <f>WEEKNUM(Table1[[#This Row],[Date]])</f>
        <v>23</v>
      </c>
      <c r="F840" s="5">
        <f>YEAR(Table1[[#This Row],[Date]])</f>
        <v>2022</v>
      </c>
      <c r="G840">
        <v>73</v>
      </c>
      <c r="L840" s="5">
        <v>871</v>
      </c>
      <c r="M840" s="6">
        <v>0.55300000000000005</v>
      </c>
      <c r="N840" s="5">
        <v>704</v>
      </c>
      <c r="O840" s="7">
        <v>1.0648148148148149E-3</v>
      </c>
      <c r="P840" s="7">
        <v>1.7708333333333332E-3</v>
      </c>
      <c r="Q840" s="7">
        <v>1.579861111111111E-2</v>
      </c>
      <c r="R840" s="6">
        <v>0.13930000000000001</v>
      </c>
      <c r="S840" s="8">
        <f>CONVERT(Table1[[#This Row],[Talk Duration (AVG)]]*Table1[[#This Row],[Answered Calls]],"day","hr")</f>
        <v>37.017499999999998</v>
      </c>
      <c r="T840" s="9">
        <f>Table1[[#This Row],[Actual Workload hours]]*60</f>
        <v>2221.0499999999997</v>
      </c>
      <c r="U840" s="9">
        <f>CONVERT(Table1[[#This Row],[Actual]]*Table1[[#This Row],[Talk Duration (AVG)]],"day","hr")</f>
        <v>3.1025</v>
      </c>
      <c r="V840" s="10">
        <f>Table1[[#This Row],[Required Workload Hours]]*60</f>
        <v>186.15</v>
      </c>
      <c r="W840" s="9">
        <v>5.78</v>
      </c>
      <c r="X840" s="9">
        <f t="shared" si="26"/>
        <v>1</v>
      </c>
      <c r="Y840" s="5">
        <f t="shared" si="27"/>
        <v>2</v>
      </c>
      <c r="Z840" s="8">
        <f>ROUNDUP(Table1[[#This Row],[Actual Heacount]],0)</f>
        <v>6</v>
      </c>
      <c r="AA840" s="8"/>
      <c r="AB840" s="10"/>
      <c r="AC840" s="10"/>
      <c r="AD840" s="10"/>
      <c r="AE840" s="11">
        <v>-2.7739438196785891</v>
      </c>
      <c r="AF840" s="11">
        <v>229.44027737361759</v>
      </c>
      <c r="AG840" t="s">
        <v>34</v>
      </c>
    </row>
    <row r="841" spans="1:33">
      <c r="A841" s="2">
        <v>44711</v>
      </c>
      <c r="B841" s="5" t="s">
        <v>40</v>
      </c>
      <c r="C841" s="5">
        <f>WEEKDAY(Table1[[#This Row],[Date]])</f>
        <v>2</v>
      </c>
      <c r="D841" s="5">
        <f>MONTH(Table1[[#This Row],[Date]])</f>
        <v>5</v>
      </c>
      <c r="E841" s="5">
        <f>WEEKNUM(Table1[[#This Row],[Date]])</f>
        <v>23</v>
      </c>
      <c r="F841" s="5">
        <f>YEAR(Table1[[#This Row],[Date]])</f>
        <v>2022</v>
      </c>
      <c r="G841">
        <v>521</v>
      </c>
      <c r="L841" s="5">
        <v>775</v>
      </c>
      <c r="M841" s="6">
        <v>0.57450000000000001</v>
      </c>
      <c r="N841" s="5">
        <v>574</v>
      </c>
      <c r="O841" s="7">
        <v>1.2268518518518518E-3</v>
      </c>
      <c r="P841" s="7">
        <v>2.1990740740740742E-3</v>
      </c>
      <c r="Q841" s="7">
        <v>1.1030092592592593E-2</v>
      </c>
      <c r="R841" s="6">
        <v>0.1216</v>
      </c>
      <c r="S841" s="8">
        <f>CONVERT(Table1[[#This Row],[Talk Duration (AVG)]]*Table1[[#This Row],[Answered Calls]],"day","hr")</f>
        <v>40.902777777777779</v>
      </c>
      <c r="T841" s="9">
        <f>Table1[[#This Row],[Actual Workload hours]]*60</f>
        <v>2454.1666666666665</v>
      </c>
      <c r="U841" s="9">
        <f>CONVERT(Table1[[#This Row],[Actual]]*Table1[[#This Row],[Talk Duration (AVG)]],"day","hr")</f>
        <v>27.497222222222224</v>
      </c>
      <c r="V841" s="10">
        <f>Table1[[#This Row],[Required Workload Hours]]*60</f>
        <v>1649.8333333333335</v>
      </c>
      <c r="W841" s="9">
        <v>6.39</v>
      </c>
      <c r="X841" s="9">
        <f t="shared" si="26"/>
        <v>4.2964409722222223</v>
      </c>
      <c r="Y841" s="5">
        <f t="shared" si="27"/>
        <v>2</v>
      </c>
      <c r="Z841" s="8">
        <f>ROUNDUP(Table1[[#This Row],[Actual Heacount]],0)</f>
        <v>7</v>
      </c>
      <c r="AA841" s="8"/>
      <c r="AB841" s="10"/>
      <c r="AC841" s="10"/>
      <c r="AD841" s="10"/>
      <c r="AE841" s="11">
        <v>105.880739246175</v>
      </c>
      <c r="AF841" s="11">
        <v>326.27181533604499</v>
      </c>
      <c r="AG841" t="s">
        <v>34</v>
      </c>
    </row>
    <row r="842" spans="1:33">
      <c r="A842" s="2">
        <v>44713</v>
      </c>
      <c r="B842" s="5" t="s">
        <v>33</v>
      </c>
      <c r="C842" s="5">
        <f>WEEKDAY(Table1[[#This Row],[Date]])</f>
        <v>4</v>
      </c>
      <c r="D842" s="5">
        <f>MONTH(Table1[[#This Row],[Date]])</f>
        <v>6</v>
      </c>
      <c r="E842" s="5">
        <f>WEEKNUM(Table1[[#This Row],[Date]])</f>
        <v>23</v>
      </c>
      <c r="F842" s="5">
        <f>YEAR(Table1[[#This Row],[Date]])</f>
        <v>2022</v>
      </c>
      <c r="G842">
        <v>136</v>
      </c>
      <c r="L842" s="5">
        <v>454</v>
      </c>
      <c r="M842" s="6">
        <v>0.45450000000000002</v>
      </c>
      <c r="N842" s="5">
        <v>545</v>
      </c>
      <c r="O842" s="7">
        <v>1.9444444444444444E-3</v>
      </c>
      <c r="P842" s="7">
        <v>2.2453703703703702E-3</v>
      </c>
      <c r="Q842" s="7">
        <v>9.3055555555555548E-3</v>
      </c>
      <c r="R842" s="6">
        <v>4.07E-2</v>
      </c>
      <c r="S842" s="8">
        <f>CONVERT(Table1[[#This Row],[Talk Duration (AVG)]]*Table1[[#This Row],[Answered Calls]],"day","hr")</f>
        <v>24.46555555555555</v>
      </c>
      <c r="T842" s="9">
        <f>Table1[[#This Row],[Actual Workload hours]]*60</f>
        <v>1467.9333333333329</v>
      </c>
      <c r="U842" s="9">
        <f>CONVERT(Table1[[#This Row],[Actual]]*Table1[[#This Row],[Talk Duration (AVG)]],"day","hr")</f>
        <v>7.3288888888888879</v>
      </c>
      <c r="V842" s="10">
        <f>Table1[[#This Row],[Required Workload Hours]]*60</f>
        <v>439.73333333333329</v>
      </c>
      <c r="W842" s="9">
        <v>3.82</v>
      </c>
      <c r="X842" s="9">
        <f t="shared" si="26"/>
        <v>1.1451388888888887</v>
      </c>
      <c r="Y842" s="5">
        <f t="shared" si="27"/>
        <v>2</v>
      </c>
      <c r="Z842" s="8">
        <f>ROUNDUP(Table1[[#This Row],[Actual Heacount]],0)</f>
        <v>4</v>
      </c>
      <c r="AA842" s="8"/>
      <c r="AB842" s="10"/>
      <c r="AC842" s="10"/>
      <c r="AD842" s="10"/>
      <c r="AE842" s="11">
        <v>104.6827636752575</v>
      </c>
      <c r="AF842" s="11">
        <v>320.53138634694261</v>
      </c>
      <c r="AG842" t="s">
        <v>34</v>
      </c>
    </row>
    <row r="843" spans="1:33">
      <c r="A843" s="2">
        <v>44714</v>
      </c>
      <c r="B843" s="5" t="s">
        <v>35</v>
      </c>
      <c r="C843" s="5">
        <f>WEEKDAY(Table1[[#This Row],[Date]])</f>
        <v>5</v>
      </c>
      <c r="D843" s="5">
        <f>MONTH(Table1[[#This Row],[Date]])</f>
        <v>6</v>
      </c>
      <c r="E843" s="5">
        <f>WEEKNUM(Table1[[#This Row],[Date]])</f>
        <v>23</v>
      </c>
      <c r="F843" s="5">
        <f>YEAR(Table1[[#This Row],[Date]])</f>
        <v>2022</v>
      </c>
      <c r="G843">
        <v>48</v>
      </c>
      <c r="L843" s="5">
        <v>547</v>
      </c>
      <c r="M843" s="6">
        <v>0.56510000000000005</v>
      </c>
      <c r="N843" s="5">
        <v>421</v>
      </c>
      <c r="O843" s="7">
        <v>1.6898148148148148E-3</v>
      </c>
      <c r="P843" s="7">
        <v>2.2916666666666667E-3</v>
      </c>
      <c r="Q843" s="7">
        <v>9.8726851851851857E-3</v>
      </c>
      <c r="R843" s="6">
        <v>0.1171</v>
      </c>
      <c r="S843" s="8">
        <f>CONVERT(Table1[[#This Row],[Talk Duration (AVG)]]*Table1[[#This Row],[Answered Calls]],"day","hr")</f>
        <v>30.085000000000004</v>
      </c>
      <c r="T843" s="9">
        <f>Table1[[#This Row],[Actual Workload hours]]*60</f>
        <v>1805.1000000000004</v>
      </c>
      <c r="U843" s="9">
        <f>CONVERT(Table1[[#This Row],[Actual]]*Table1[[#This Row],[Talk Duration (AVG)]],"day","hr")</f>
        <v>2.64</v>
      </c>
      <c r="V843" s="10">
        <f>Table1[[#This Row],[Required Workload Hours]]*60</f>
        <v>158.4</v>
      </c>
      <c r="W843" s="9">
        <v>4.7</v>
      </c>
      <c r="X843" s="9">
        <f t="shared" si="26"/>
        <v>1</v>
      </c>
      <c r="Y843" s="5">
        <f t="shared" si="27"/>
        <v>2</v>
      </c>
      <c r="Z843" s="8">
        <f>ROUNDUP(Table1[[#This Row],[Actual Heacount]],0)</f>
        <v>5</v>
      </c>
      <c r="AA843" s="8"/>
      <c r="AB843" s="10"/>
      <c r="AC843" s="10"/>
      <c r="AD843" s="10"/>
      <c r="AE843" s="11">
        <v>91.146524445692933</v>
      </c>
      <c r="AF843" s="11">
        <v>325.92419126046741</v>
      </c>
      <c r="AG843" t="s">
        <v>34</v>
      </c>
    </row>
    <row r="844" spans="1:33">
      <c r="A844" s="2">
        <v>44715</v>
      </c>
      <c r="B844" s="5" t="s">
        <v>36</v>
      </c>
      <c r="C844" s="5">
        <f>WEEKDAY(Table1[[#This Row],[Date]])</f>
        <v>6</v>
      </c>
      <c r="D844" s="5">
        <f>MONTH(Table1[[#This Row],[Date]])</f>
        <v>6</v>
      </c>
      <c r="E844" s="5">
        <f>WEEKNUM(Table1[[#This Row],[Date]])</f>
        <v>23</v>
      </c>
      <c r="F844" s="5">
        <f>YEAR(Table1[[#This Row],[Date]])</f>
        <v>2022</v>
      </c>
      <c r="G844">
        <v>137</v>
      </c>
      <c r="L844" s="5">
        <v>453</v>
      </c>
      <c r="M844" s="6">
        <v>0.42499999999999999</v>
      </c>
      <c r="N844" s="5">
        <v>613</v>
      </c>
      <c r="O844" s="7">
        <v>3.5185185185185185E-3</v>
      </c>
      <c r="P844" s="7">
        <v>2.5347222222222221E-3</v>
      </c>
      <c r="Q844" s="7">
        <v>1.5706018518518518E-2</v>
      </c>
      <c r="R844" s="6">
        <v>2.24E-2</v>
      </c>
      <c r="S844" s="8">
        <f>CONVERT(Table1[[#This Row],[Talk Duration (AVG)]]*Table1[[#This Row],[Answered Calls]],"day","hr")</f>
        <v>27.557500000000001</v>
      </c>
      <c r="T844" s="9">
        <f>Table1[[#This Row],[Actual Workload hours]]*60</f>
        <v>1653.45</v>
      </c>
      <c r="U844" s="9">
        <f>CONVERT(Table1[[#This Row],[Actual]]*Table1[[#This Row],[Talk Duration (AVG)]],"day","hr")</f>
        <v>8.3341666666666665</v>
      </c>
      <c r="V844" s="10">
        <f>Table1[[#This Row],[Required Workload Hours]]*60</f>
        <v>500.05</v>
      </c>
      <c r="W844" s="9">
        <v>4.3099999999999996</v>
      </c>
      <c r="X844" s="9">
        <f t="shared" si="26"/>
        <v>1.3022135416666667</v>
      </c>
      <c r="Y844" s="5">
        <f t="shared" si="27"/>
        <v>2</v>
      </c>
      <c r="Z844" s="8">
        <f>ROUNDUP(Table1[[#This Row],[Actual Heacount]],0)</f>
        <v>5</v>
      </c>
      <c r="AA844" s="8"/>
      <c r="AB844" s="10"/>
      <c r="AC844" s="10"/>
      <c r="AD844" s="10"/>
      <c r="AE844" s="11">
        <v>91.805896442283597</v>
      </c>
      <c r="AF844" s="11">
        <v>303.96969630038171</v>
      </c>
      <c r="AG844" t="s">
        <v>34</v>
      </c>
    </row>
    <row r="845" spans="1:33">
      <c r="A845" s="2">
        <v>44716</v>
      </c>
      <c r="B845" s="5" t="s">
        <v>37</v>
      </c>
      <c r="C845" s="5">
        <f>WEEKDAY(Table1[[#This Row],[Date]])</f>
        <v>7</v>
      </c>
      <c r="D845" s="5">
        <f>MONTH(Table1[[#This Row],[Date]])</f>
        <v>6</v>
      </c>
      <c r="E845" s="5">
        <f>WEEKNUM(Table1[[#This Row],[Date]])</f>
        <v>23</v>
      </c>
      <c r="F845" s="5">
        <f>YEAR(Table1[[#This Row],[Date]])</f>
        <v>2022</v>
      </c>
      <c r="G845">
        <v>280</v>
      </c>
      <c r="L845" s="5">
        <v>633</v>
      </c>
      <c r="M845" s="6">
        <v>0.80330000000000001</v>
      </c>
      <c r="N845" s="5">
        <v>155</v>
      </c>
      <c r="O845" s="7">
        <v>8.4490740740740739E-4</v>
      </c>
      <c r="P845" s="7">
        <v>2.3495370370370371E-3</v>
      </c>
      <c r="Q845" s="7">
        <v>8.6342592592592599E-3</v>
      </c>
      <c r="R845" s="6">
        <v>0.20880000000000001</v>
      </c>
      <c r="S845" s="8">
        <f>CONVERT(Table1[[#This Row],[Talk Duration (AVG)]]*Table1[[#This Row],[Answered Calls]],"day","hr")</f>
        <v>35.694166666666668</v>
      </c>
      <c r="T845" s="9">
        <f>Table1[[#This Row],[Actual Workload hours]]*60</f>
        <v>2141.65</v>
      </c>
      <c r="U845" s="9">
        <f>CONVERT(Table1[[#This Row],[Actual]]*Table1[[#This Row],[Talk Duration (AVG)]],"day","hr")</f>
        <v>15.788888888888891</v>
      </c>
      <c r="V845" s="10">
        <f>Table1[[#This Row],[Required Workload Hours]]*60</f>
        <v>947.33333333333348</v>
      </c>
      <c r="W845" s="9">
        <v>5.58</v>
      </c>
      <c r="X845" s="9">
        <f t="shared" si="26"/>
        <v>2.4670138888888893</v>
      </c>
      <c r="Y845" s="5">
        <f t="shared" si="27"/>
        <v>2</v>
      </c>
      <c r="Z845" s="8">
        <f>ROUNDUP(Table1[[#This Row],[Actual Heacount]],0)</f>
        <v>6</v>
      </c>
      <c r="AA845" s="8"/>
      <c r="AB845" s="10"/>
      <c r="AC845" s="10"/>
      <c r="AD845" s="10"/>
      <c r="AE845" s="11">
        <v>94.959121105494404</v>
      </c>
      <c r="AF845" s="11">
        <v>316.47429711558237</v>
      </c>
      <c r="AG845" t="s">
        <v>34</v>
      </c>
    </row>
    <row r="846" spans="1:33">
      <c r="A846" s="2">
        <v>44717</v>
      </c>
      <c r="B846" s="5" t="s">
        <v>38</v>
      </c>
      <c r="C846" s="5">
        <f>WEEKDAY(Table1[[#This Row],[Date]])</f>
        <v>1</v>
      </c>
      <c r="D846" s="5">
        <f>MONTH(Table1[[#This Row],[Date]])</f>
        <v>6</v>
      </c>
      <c r="E846" s="5">
        <f>WEEKNUM(Table1[[#This Row],[Date]])</f>
        <v>24</v>
      </c>
      <c r="F846" s="5">
        <f>YEAR(Table1[[#This Row],[Date]])</f>
        <v>2022</v>
      </c>
      <c r="G846">
        <v>428</v>
      </c>
      <c r="L846" s="5">
        <v>213</v>
      </c>
      <c r="M846" s="6">
        <v>0.84519999999999995</v>
      </c>
      <c r="N846" s="5">
        <v>39</v>
      </c>
      <c r="O846" s="7">
        <v>6.134259259259259E-4</v>
      </c>
      <c r="P846" s="7">
        <v>2.4421296296296296E-3</v>
      </c>
      <c r="Q846" s="7">
        <v>5.7523148148148151E-3</v>
      </c>
      <c r="R846" s="6">
        <v>0.44080000000000003</v>
      </c>
      <c r="S846" s="8">
        <f>CONVERT(Table1[[#This Row],[Talk Duration (AVG)]]*Table1[[#This Row],[Answered Calls]],"day","hr")</f>
        <v>12.484166666666669</v>
      </c>
      <c r="T846" s="9">
        <f>Table1[[#This Row],[Actual Workload hours]]*60</f>
        <v>749.05000000000007</v>
      </c>
      <c r="U846" s="9">
        <f>CONVERT(Table1[[#This Row],[Actual]]*Table1[[#This Row],[Talk Duration (AVG)]],"day","hr")</f>
        <v>25.085555555555551</v>
      </c>
      <c r="V846" s="10">
        <f>Table1[[#This Row],[Required Workload Hours]]*60</f>
        <v>1505.133333333333</v>
      </c>
      <c r="W846" s="9">
        <v>1.95</v>
      </c>
      <c r="X846" s="9">
        <f t="shared" si="26"/>
        <v>3.9196180555555546</v>
      </c>
      <c r="Y846" s="5">
        <f t="shared" si="27"/>
        <v>1</v>
      </c>
      <c r="Z846" s="8">
        <f>ROUNDUP(Table1[[#This Row],[Actual Heacount]],0)</f>
        <v>2</v>
      </c>
      <c r="AA846" s="8"/>
      <c r="AB846" s="10"/>
      <c r="AC846" s="10"/>
      <c r="AD846" s="10"/>
      <c r="AE846" s="11">
        <v>12.27226808392966</v>
      </c>
      <c r="AF846" s="11">
        <v>227.12064919666631</v>
      </c>
      <c r="AG846" t="s">
        <v>34</v>
      </c>
    </row>
    <row r="847" spans="1:33">
      <c r="A847" s="2">
        <v>44718</v>
      </c>
      <c r="B847" s="5" t="s">
        <v>39</v>
      </c>
      <c r="C847" s="5">
        <f>WEEKDAY(Table1[[#This Row],[Date]])</f>
        <v>2</v>
      </c>
      <c r="D847" s="5">
        <f>MONTH(Table1[[#This Row],[Date]])</f>
        <v>6</v>
      </c>
      <c r="E847" s="5">
        <f>WEEKNUM(Table1[[#This Row],[Date]])</f>
        <v>24</v>
      </c>
      <c r="F847" s="5">
        <f>YEAR(Table1[[#This Row],[Date]])</f>
        <v>2022</v>
      </c>
      <c r="G847">
        <v>498</v>
      </c>
      <c r="L847" s="5">
        <v>625</v>
      </c>
      <c r="M847" s="6">
        <v>0.74229999999999996</v>
      </c>
      <c r="N847" s="5">
        <v>217</v>
      </c>
      <c r="O847" s="7">
        <v>8.2175925925925927E-4</v>
      </c>
      <c r="P847" s="7">
        <v>2.1990740740740742E-3</v>
      </c>
      <c r="Q847" s="7">
        <v>1.0046296296296296E-2</v>
      </c>
      <c r="R847" s="6">
        <v>0.26929999999999998</v>
      </c>
      <c r="S847" s="8">
        <f>CONVERT(Table1[[#This Row],[Talk Duration (AVG)]]*Table1[[#This Row],[Answered Calls]],"day","hr")</f>
        <v>32.986111111111114</v>
      </c>
      <c r="T847" s="9">
        <f>Table1[[#This Row],[Actual Workload hours]]*60</f>
        <v>1979.166666666667</v>
      </c>
      <c r="U847" s="9">
        <f>CONVERT(Table1[[#This Row],[Actual]]*Table1[[#This Row],[Talk Duration (AVG)]],"day","hr")</f>
        <v>26.283333333333335</v>
      </c>
      <c r="V847" s="10">
        <f>Table1[[#This Row],[Required Workload Hours]]*60</f>
        <v>1577</v>
      </c>
      <c r="W847" s="9">
        <v>5.15</v>
      </c>
      <c r="X847" s="9">
        <f t="shared" si="26"/>
        <v>4.106770833333333</v>
      </c>
      <c r="Y847" s="5">
        <f t="shared" si="27"/>
        <v>2</v>
      </c>
      <c r="Z847" s="8">
        <f>ROUNDUP(Table1[[#This Row],[Actual Heacount]],0)</f>
        <v>6</v>
      </c>
      <c r="AA847" s="8"/>
      <c r="AB847" s="10"/>
      <c r="AC847" s="10"/>
      <c r="AD847" s="10"/>
      <c r="AE847" s="11">
        <v>110.15143784802819</v>
      </c>
      <c r="AF847" s="11">
        <v>329.54907064355592</v>
      </c>
      <c r="AG847" t="s">
        <v>34</v>
      </c>
    </row>
    <row r="848" spans="1:33">
      <c r="A848" s="2">
        <v>44720</v>
      </c>
      <c r="B848" s="5" t="s">
        <v>40</v>
      </c>
      <c r="C848" s="5">
        <f>WEEKDAY(Table1[[#This Row],[Date]])</f>
        <v>4</v>
      </c>
      <c r="D848" s="5">
        <f>MONTH(Table1[[#This Row],[Date]])</f>
        <v>6</v>
      </c>
      <c r="E848" s="5">
        <f>WEEKNUM(Table1[[#This Row],[Date]])</f>
        <v>24</v>
      </c>
      <c r="F848" s="5">
        <f>YEAR(Table1[[#This Row],[Date]])</f>
        <v>2022</v>
      </c>
      <c r="G848">
        <v>241</v>
      </c>
      <c r="L848" s="5">
        <v>722</v>
      </c>
      <c r="M848" s="6">
        <v>0.85240000000000005</v>
      </c>
      <c r="N848" s="5">
        <v>125</v>
      </c>
      <c r="O848" s="7">
        <v>6.2500000000000001E-4</v>
      </c>
      <c r="P848" s="7">
        <v>2.1296296296296298E-3</v>
      </c>
      <c r="Q848" s="7">
        <v>5.6134259259259262E-3</v>
      </c>
      <c r="R848" s="6">
        <v>0.33489999999999998</v>
      </c>
      <c r="S848" s="8">
        <f>CONVERT(Table1[[#This Row],[Talk Duration (AVG)]]*Table1[[#This Row],[Answered Calls]],"day","hr")</f>
        <v>36.902222222222221</v>
      </c>
      <c r="T848" s="9">
        <f>Table1[[#This Row],[Actual Workload hours]]*60</f>
        <v>2214.1333333333332</v>
      </c>
      <c r="U848" s="9">
        <f>CONVERT(Table1[[#This Row],[Actual]]*Table1[[#This Row],[Talk Duration (AVG)]],"day","hr")</f>
        <v>12.317777777777778</v>
      </c>
      <c r="V848" s="10">
        <f>Table1[[#This Row],[Required Workload Hours]]*60</f>
        <v>739.06666666666661</v>
      </c>
      <c r="W848" s="9">
        <v>5.77</v>
      </c>
      <c r="X848" s="9">
        <f t="shared" si="26"/>
        <v>1.9246527777777775</v>
      </c>
      <c r="Y848" s="5">
        <f t="shared" si="27"/>
        <v>2</v>
      </c>
      <c r="Z848" s="8">
        <f>ROUNDUP(Table1[[#This Row],[Actual Heacount]],0)</f>
        <v>6</v>
      </c>
      <c r="AA848" s="8"/>
      <c r="AB848" s="10"/>
      <c r="AC848" s="10"/>
      <c r="AD848" s="10"/>
      <c r="AE848" s="11">
        <v>110.0622115563216</v>
      </c>
      <c r="AF848" s="11">
        <v>329.78353721398167</v>
      </c>
      <c r="AG848" t="s">
        <v>34</v>
      </c>
    </row>
    <row r="849" spans="1:33">
      <c r="A849" s="2">
        <v>44721</v>
      </c>
      <c r="B849" s="5" t="s">
        <v>33</v>
      </c>
      <c r="C849" s="5">
        <f>WEEKDAY(Table1[[#This Row],[Date]])</f>
        <v>5</v>
      </c>
      <c r="D849" s="5">
        <f>MONTH(Table1[[#This Row],[Date]])</f>
        <v>6</v>
      </c>
      <c r="E849" s="5">
        <f>WEEKNUM(Table1[[#This Row],[Date]])</f>
        <v>24</v>
      </c>
      <c r="F849" s="5">
        <f>YEAR(Table1[[#This Row],[Date]])</f>
        <v>2022</v>
      </c>
      <c r="G849">
        <v>221</v>
      </c>
      <c r="L849" s="5">
        <v>615</v>
      </c>
      <c r="M849" s="6">
        <v>0.76880000000000004</v>
      </c>
      <c r="N849" s="5">
        <v>185</v>
      </c>
      <c r="O849" s="7">
        <v>7.7546296296296293E-4</v>
      </c>
      <c r="P849" s="7">
        <v>2.3726851851851851E-3</v>
      </c>
      <c r="Q849" s="7">
        <v>5.138888888888889E-3</v>
      </c>
      <c r="R849" s="6">
        <v>0.23980000000000001</v>
      </c>
      <c r="S849" s="8">
        <f>CONVERT(Table1[[#This Row],[Talk Duration (AVG)]]*Table1[[#This Row],[Answered Calls]],"day","hr")</f>
        <v>35.020833333333336</v>
      </c>
      <c r="T849" s="9">
        <f>Table1[[#This Row],[Actual Workload hours]]*60</f>
        <v>2101.25</v>
      </c>
      <c r="U849" s="9">
        <f>CONVERT(Table1[[#This Row],[Actual]]*Table1[[#This Row],[Talk Duration (AVG)]],"day","hr")</f>
        <v>12.584722222222222</v>
      </c>
      <c r="V849" s="10">
        <f>Table1[[#This Row],[Required Workload Hours]]*60</f>
        <v>755.08333333333337</v>
      </c>
      <c r="W849" s="9">
        <v>5.47</v>
      </c>
      <c r="X849" s="9">
        <f t="shared" si="26"/>
        <v>1.9663628472222223</v>
      </c>
      <c r="Y849" s="5">
        <f t="shared" si="27"/>
        <v>2</v>
      </c>
      <c r="Z849" s="8">
        <f>ROUNDUP(Table1[[#This Row],[Actual Heacount]],0)</f>
        <v>6</v>
      </c>
      <c r="AA849" s="8"/>
      <c r="AB849" s="10"/>
      <c r="AC849" s="10"/>
      <c r="AD849" s="10"/>
      <c r="AE849" s="11">
        <v>104.59245334121719</v>
      </c>
      <c r="AF849" s="11">
        <v>326.84956091856372</v>
      </c>
      <c r="AG849" t="s">
        <v>34</v>
      </c>
    </row>
    <row r="850" spans="1:33">
      <c r="A850" s="2">
        <v>44722</v>
      </c>
      <c r="B850" s="5" t="s">
        <v>35</v>
      </c>
      <c r="C850" s="5">
        <f>WEEKDAY(Table1[[#This Row],[Date]])</f>
        <v>6</v>
      </c>
      <c r="D850" s="5">
        <f>MONTH(Table1[[#This Row],[Date]])</f>
        <v>6</v>
      </c>
      <c r="E850" s="5">
        <f>WEEKNUM(Table1[[#This Row],[Date]])</f>
        <v>24</v>
      </c>
      <c r="F850" s="5">
        <f>YEAR(Table1[[#This Row],[Date]])</f>
        <v>2022</v>
      </c>
      <c r="G850">
        <v>153</v>
      </c>
      <c r="L850" s="5">
        <v>823</v>
      </c>
      <c r="M850" s="6">
        <v>0.74819999999999998</v>
      </c>
      <c r="N850" s="5">
        <v>277</v>
      </c>
      <c r="O850" s="7">
        <v>7.8703703703703705E-4</v>
      </c>
      <c r="P850" s="7">
        <v>2.2916666666666667E-3</v>
      </c>
      <c r="Q850" s="7">
        <v>1.0775462962962962E-2</v>
      </c>
      <c r="R850" s="6">
        <v>0.29649999999999999</v>
      </c>
      <c r="S850" s="8">
        <f>CONVERT(Table1[[#This Row],[Talk Duration (AVG)]]*Table1[[#This Row],[Answered Calls]],"day","hr")</f>
        <v>45.265000000000001</v>
      </c>
      <c r="T850" s="9">
        <f>Table1[[#This Row],[Actual Workload hours]]*60</f>
        <v>2715.9</v>
      </c>
      <c r="U850" s="9">
        <f>CONVERT(Table1[[#This Row],[Actual]]*Table1[[#This Row],[Talk Duration (AVG)]],"day","hr")</f>
        <v>8.4149999999999991</v>
      </c>
      <c r="V850" s="10">
        <f>Table1[[#This Row],[Required Workload Hours]]*60</f>
        <v>504.9</v>
      </c>
      <c r="W850" s="9">
        <v>7.07</v>
      </c>
      <c r="X850" s="9">
        <f t="shared" si="26"/>
        <v>1.3148437499999999</v>
      </c>
      <c r="Y850" s="5">
        <f t="shared" si="27"/>
        <v>2</v>
      </c>
      <c r="Z850" s="8">
        <f>ROUNDUP(Table1[[#This Row],[Actual Heacount]],0)</f>
        <v>8</v>
      </c>
      <c r="AA850" s="8"/>
      <c r="AB850" s="10"/>
      <c r="AC850" s="10"/>
      <c r="AD850" s="10"/>
      <c r="AE850" s="11">
        <v>90.036863933161371</v>
      </c>
      <c r="AF850" s="11">
        <v>318.19638387419081</v>
      </c>
      <c r="AG850" t="s">
        <v>34</v>
      </c>
    </row>
    <row r="851" spans="1:33">
      <c r="A851" s="2">
        <v>44723</v>
      </c>
      <c r="B851" s="5" t="s">
        <v>36</v>
      </c>
      <c r="C851" s="5">
        <f>WEEKDAY(Table1[[#This Row],[Date]])</f>
        <v>7</v>
      </c>
      <c r="D851" s="5">
        <f>MONTH(Table1[[#This Row],[Date]])</f>
        <v>6</v>
      </c>
      <c r="E851" s="5">
        <f>WEEKNUM(Table1[[#This Row],[Date]])</f>
        <v>24</v>
      </c>
      <c r="F851" s="5">
        <f>YEAR(Table1[[#This Row],[Date]])</f>
        <v>2022</v>
      </c>
      <c r="G851">
        <v>13</v>
      </c>
      <c r="L851" s="5">
        <v>909</v>
      </c>
      <c r="M851" s="6">
        <v>0.7319</v>
      </c>
      <c r="N851" s="5">
        <v>333</v>
      </c>
      <c r="O851" s="7">
        <v>9.6064814814814819E-4</v>
      </c>
      <c r="P851" s="7">
        <v>2.1296296296296298E-3</v>
      </c>
      <c r="Q851" s="7">
        <v>7.766203703703704E-3</v>
      </c>
      <c r="R851" s="6">
        <v>0.19</v>
      </c>
      <c r="S851" s="8">
        <f>CONVERT(Table1[[#This Row],[Talk Duration (AVG)]]*Table1[[#This Row],[Answered Calls]],"day","hr")</f>
        <v>46.460000000000008</v>
      </c>
      <c r="T851" s="9">
        <f>Table1[[#This Row],[Actual Workload hours]]*60</f>
        <v>2787.6000000000004</v>
      </c>
      <c r="U851" s="9">
        <f>CONVERT(Table1[[#This Row],[Actual]]*Table1[[#This Row],[Talk Duration (AVG)]],"day","hr")</f>
        <v>0.66444444444444439</v>
      </c>
      <c r="V851" s="10">
        <f>Table1[[#This Row],[Required Workload Hours]]*60</f>
        <v>39.86666666666666</v>
      </c>
      <c r="W851" s="9">
        <v>7.26</v>
      </c>
      <c r="X851" s="9">
        <f t="shared" si="26"/>
        <v>1</v>
      </c>
      <c r="Y851" s="5">
        <f t="shared" si="27"/>
        <v>2</v>
      </c>
      <c r="Z851" s="8">
        <f>ROUNDUP(Table1[[#This Row],[Actual Heacount]],0)</f>
        <v>8</v>
      </c>
      <c r="AA851" s="8"/>
      <c r="AB851" s="10"/>
      <c r="AC851" s="10"/>
      <c r="AD851" s="10"/>
      <c r="AE851" s="11">
        <v>109.5514708764422</v>
      </c>
      <c r="AF851" s="11">
        <v>327.16508770883598</v>
      </c>
      <c r="AG851" t="s">
        <v>34</v>
      </c>
    </row>
    <row r="852" spans="1:33">
      <c r="A852" s="2">
        <v>44724</v>
      </c>
      <c r="B852" s="5" t="s">
        <v>37</v>
      </c>
      <c r="C852" s="5">
        <f>WEEKDAY(Table1[[#This Row],[Date]])</f>
        <v>1</v>
      </c>
      <c r="D852" s="5">
        <f>MONTH(Table1[[#This Row],[Date]])</f>
        <v>6</v>
      </c>
      <c r="E852" s="5">
        <f>WEEKNUM(Table1[[#This Row],[Date]])</f>
        <v>25</v>
      </c>
      <c r="F852" s="5">
        <f>YEAR(Table1[[#This Row],[Date]])</f>
        <v>2022</v>
      </c>
      <c r="G852">
        <v>189</v>
      </c>
      <c r="L852" s="5">
        <v>460</v>
      </c>
      <c r="M852" s="6">
        <v>0.62839999999999996</v>
      </c>
      <c r="N852" s="5">
        <v>272</v>
      </c>
      <c r="O852" s="7">
        <v>1.0532407407407407E-3</v>
      </c>
      <c r="P852" s="7">
        <v>2.2222222222222222E-3</v>
      </c>
      <c r="Q852" s="7">
        <v>7.2800925925925923E-3</v>
      </c>
      <c r="R852" s="6">
        <v>0.1792</v>
      </c>
      <c r="S852" s="8">
        <f>CONVERT(Table1[[#This Row],[Talk Duration (AVG)]]*Table1[[#This Row],[Answered Calls]],"day","hr")</f>
        <v>24.533333333333335</v>
      </c>
      <c r="T852" s="9">
        <f>Table1[[#This Row],[Actual Workload hours]]*60</f>
        <v>1472</v>
      </c>
      <c r="U852" s="9">
        <f>CONVERT(Table1[[#This Row],[Actual]]*Table1[[#This Row],[Talk Duration (AVG)]],"day","hr")</f>
        <v>10.08</v>
      </c>
      <c r="V852" s="10">
        <f>Table1[[#This Row],[Required Workload Hours]]*60</f>
        <v>604.79999999999995</v>
      </c>
      <c r="W852" s="9">
        <v>3.83</v>
      </c>
      <c r="X852" s="9">
        <f t="shared" si="26"/>
        <v>1.575</v>
      </c>
      <c r="Y852" s="5">
        <f t="shared" si="27"/>
        <v>2</v>
      </c>
      <c r="Z852" s="8">
        <f>ROUNDUP(Table1[[#This Row],[Actual Heacount]],0)</f>
        <v>4</v>
      </c>
      <c r="AA852" s="8"/>
      <c r="AB852" s="10"/>
      <c r="AC852" s="10"/>
      <c r="AD852" s="10"/>
      <c r="AE852" s="11">
        <v>14.781101109572189</v>
      </c>
      <c r="AF852" s="11">
        <v>236.2773820762722</v>
      </c>
      <c r="AG852" t="s">
        <v>34</v>
      </c>
    </row>
    <row r="853" spans="1:33">
      <c r="A853" s="2">
        <v>44725</v>
      </c>
      <c r="B853" s="5" t="s">
        <v>38</v>
      </c>
      <c r="C853" s="5">
        <f>WEEKDAY(Table1[[#This Row],[Date]])</f>
        <v>2</v>
      </c>
      <c r="D853" s="5">
        <f>MONTH(Table1[[#This Row],[Date]])</f>
        <v>6</v>
      </c>
      <c r="E853" s="5">
        <f>WEEKNUM(Table1[[#This Row],[Date]])</f>
        <v>25</v>
      </c>
      <c r="F853" s="5">
        <f>YEAR(Table1[[#This Row],[Date]])</f>
        <v>2022</v>
      </c>
      <c r="G853">
        <v>266</v>
      </c>
      <c r="L853" s="5">
        <v>104</v>
      </c>
      <c r="M853" s="6">
        <v>0.92859999999999998</v>
      </c>
      <c r="N853" s="5">
        <v>8</v>
      </c>
      <c r="O853" s="7">
        <v>3.9351851851851852E-4</v>
      </c>
      <c r="P853" s="7">
        <v>2.3263888888888887E-3</v>
      </c>
      <c r="Q853" s="7">
        <v>2.9282407407407408E-3</v>
      </c>
      <c r="R853" s="6">
        <v>0.56359999999999999</v>
      </c>
      <c r="S853" s="8">
        <f>CONVERT(Table1[[#This Row],[Talk Duration (AVG)]]*Table1[[#This Row],[Answered Calls]],"day","hr")</f>
        <v>5.8066666666666666</v>
      </c>
      <c r="T853" s="9">
        <f>Table1[[#This Row],[Actual Workload hours]]*60</f>
        <v>348.4</v>
      </c>
      <c r="U853" s="9">
        <f>CONVERT(Table1[[#This Row],[Actual]]*Table1[[#This Row],[Talk Duration (AVG)]],"day","hr")</f>
        <v>14.851666666666665</v>
      </c>
      <c r="V853" s="10">
        <f>Table1[[#This Row],[Required Workload Hours]]*60</f>
        <v>891.09999999999991</v>
      </c>
      <c r="W853" s="9">
        <v>1</v>
      </c>
      <c r="X853" s="9">
        <f t="shared" si="26"/>
        <v>2.3205729166666664</v>
      </c>
      <c r="Y853" s="5">
        <f t="shared" si="27"/>
        <v>1</v>
      </c>
      <c r="Z853" s="8">
        <f>ROUNDUP(Table1[[#This Row],[Actual Heacount]],0)</f>
        <v>1</v>
      </c>
      <c r="AA853" s="8"/>
      <c r="AB853" s="10"/>
      <c r="AC853" s="10"/>
      <c r="AD853" s="10"/>
      <c r="AE853" s="11">
        <v>121.19274989033499</v>
      </c>
      <c r="AF853" s="11">
        <v>339.03525102664508</v>
      </c>
      <c r="AG853" t="s">
        <v>34</v>
      </c>
    </row>
    <row r="854" spans="1:33">
      <c r="A854" s="2">
        <v>44726</v>
      </c>
      <c r="B854" s="5" t="s">
        <v>39</v>
      </c>
      <c r="C854" s="5">
        <f>WEEKDAY(Table1[[#This Row],[Date]])</f>
        <v>3</v>
      </c>
      <c r="D854" s="5">
        <f>MONTH(Table1[[#This Row],[Date]])</f>
        <v>6</v>
      </c>
      <c r="E854" s="5">
        <f>WEEKNUM(Table1[[#This Row],[Date]])</f>
        <v>25</v>
      </c>
      <c r="F854" s="5">
        <f>YEAR(Table1[[#This Row],[Date]])</f>
        <v>2022</v>
      </c>
      <c r="G854">
        <v>242</v>
      </c>
      <c r="L854" s="5">
        <v>434</v>
      </c>
      <c r="M854" s="6">
        <v>0.90039999999999998</v>
      </c>
      <c r="N854" s="5">
        <v>48</v>
      </c>
      <c r="O854" s="7">
        <v>4.7453703703703704E-4</v>
      </c>
      <c r="P854" s="7">
        <v>2.0949074074074073E-3</v>
      </c>
      <c r="Q854" s="7">
        <v>7.6504629629629631E-3</v>
      </c>
      <c r="R854" s="6">
        <v>0.47439999999999999</v>
      </c>
      <c r="S854" s="8">
        <f>CONVERT(Table1[[#This Row],[Talk Duration (AVG)]]*Table1[[#This Row],[Answered Calls]],"day","hr")</f>
        <v>21.820555555555554</v>
      </c>
      <c r="T854" s="9">
        <f>Table1[[#This Row],[Actual Workload hours]]*60</f>
        <v>1309.2333333333333</v>
      </c>
      <c r="U854" s="9">
        <f>CONVERT(Table1[[#This Row],[Actual]]*Table1[[#This Row],[Talk Duration (AVG)]],"day","hr")</f>
        <v>12.167222222222222</v>
      </c>
      <c r="V854" s="10">
        <f>Table1[[#This Row],[Required Workload Hours]]*60</f>
        <v>730.0333333333333</v>
      </c>
      <c r="W854" s="9">
        <v>3.41</v>
      </c>
      <c r="X854" s="9">
        <f t="shared" si="26"/>
        <v>1.9011284722222221</v>
      </c>
      <c r="Y854" s="5">
        <f t="shared" si="27"/>
        <v>2</v>
      </c>
      <c r="Z854" s="8">
        <f>ROUNDUP(Table1[[#This Row],[Actual Heacount]],0)</f>
        <v>4</v>
      </c>
      <c r="AA854" s="8"/>
      <c r="AB854" s="10"/>
      <c r="AC854" s="10"/>
      <c r="AD854" s="10"/>
      <c r="AE854" s="11">
        <v>111.4481556648648</v>
      </c>
      <c r="AF854" s="11">
        <v>323.8449091725077</v>
      </c>
      <c r="AG854" t="s">
        <v>34</v>
      </c>
    </row>
    <row r="855" spans="1:33">
      <c r="A855" s="2">
        <v>44727</v>
      </c>
      <c r="B855" s="5" t="s">
        <v>40</v>
      </c>
      <c r="C855" s="5">
        <f>WEEKDAY(Table1[[#This Row],[Date]])</f>
        <v>4</v>
      </c>
      <c r="D855" s="5">
        <f>MONTH(Table1[[#This Row],[Date]])</f>
        <v>6</v>
      </c>
      <c r="E855" s="5">
        <f>WEEKNUM(Table1[[#This Row],[Date]])</f>
        <v>25</v>
      </c>
      <c r="F855" s="5">
        <f>YEAR(Table1[[#This Row],[Date]])</f>
        <v>2022</v>
      </c>
      <c r="G855">
        <v>241</v>
      </c>
      <c r="L855" s="5">
        <v>484</v>
      </c>
      <c r="M855" s="6">
        <v>0.84909999999999997</v>
      </c>
      <c r="N855" s="5">
        <v>86</v>
      </c>
      <c r="O855" s="7">
        <v>5.9027777777777778E-4</v>
      </c>
      <c r="P855" s="7">
        <v>2.1643518518518518E-3</v>
      </c>
      <c r="Q855" s="7">
        <v>8.1944444444444452E-3</v>
      </c>
      <c r="R855" s="6">
        <v>0.36899999999999999</v>
      </c>
      <c r="S855" s="8">
        <f>CONVERT(Table1[[#This Row],[Talk Duration (AVG)]]*Table1[[#This Row],[Answered Calls]],"day","hr")</f>
        <v>25.141111111111112</v>
      </c>
      <c r="T855" s="9">
        <f>Table1[[#This Row],[Actual Workload hours]]*60</f>
        <v>1508.4666666666667</v>
      </c>
      <c r="U855" s="9">
        <f>CONVERT(Table1[[#This Row],[Actual]]*Table1[[#This Row],[Talk Duration (AVG)]],"day","hr")</f>
        <v>12.518611111111111</v>
      </c>
      <c r="V855" s="10">
        <f>Table1[[#This Row],[Required Workload Hours]]*60</f>
        <v>751.11666666666667</v>
      </c>
      <c r="W855" s="9">
        <v>3.93</v>
      </c>
      <c r="X855" s="9">
        <f t="shared" si="26"/>
        <v>1.9560329861111112</v>
      </c>
      <c r="Y855" s="5">
        <f t="shared" si="27"/>
        <v>2</v>
      </c>
      <c r="Z855" s="8">
        <f>ROUNDUP(Table1[[#This Row],[Actual Heacount]],0)</f>
        <v>4</v>
      </c>
      <c r="AA855" s="8"/>
      <c r="AB855" s="10"/>
      <c r="AC855" s="10"/>
      <c r="AD855" s="10"/>
      <c r="AE855" s="11">
        <v>114.2837726854937</v>
      </c>
      <c r="AF855" s="11">
        <v>340.27886873207723</v>
      </c>
      <c r="AG855" t="s">
        <v>34</v>
      </c>
    </row>
    <row r="856" spans="1:33">
      <c r="A856" s="2">
        <v>44728</v>
      </c>
      <c r="B856" s="5" t="s">
        <v>33</v>
      </c>
      <c r="C856" s="5">
        <f>WEEKDAY(Table1[[#This Row],[Date]])</f>
        <v>5</v>
      </c>
      <c r="D856" s="5">
        <f>MONTH(Table1[[#This Row],[Date]])</f>
        <v>6</v>
      </c>
      <c r="E856" s="5">
        <f>WEEKNUM(Table1[[#This Row],[Date]])</f>
        <v>25</v>
      </c>
      <c r="F856" s="5">
        <f>YEAR(Table1[[#This Row],[Date]])</f>
        <v>2022</v>
      </c>
      <c r="G856">
        <v>279</v>
      </c>
      <c r="L856" s="5">
        <v>398</v>
      </c>
      <c r="M856" s="6">
        <v>0.81220000000000003</v>
      </c>
      <c r="N856" s="5">
        <v>92</v>
      </c>
      <c r="O856" s="7">
        <v>5.7870370370370367E-4</v>
      </c>
      <c r="P856" s="7">
        <v>2.2800925925925927E-3</v>
      </c>
      <c r="Q856" s="7">
        <v>1.5092592592592593E-2</v>
      </c>
      <c r="R856" s="6">
        <v>0.36099999999999999</v>
      </c>
      <c r="S856" s="8">
        <f>CONVERT(Table1[[#This Row],[Talk Duration (AVG)]]*Table1[[#This Row],[Answered Calls]],"day","hr")</f>
        <v>21.779444444444444</v>
      </c>
      <c r="T856" s="9">
        <f>Table1[[#This Row],[Actual Workload hours]]*60</f>
        <v>1306.7666666666667</v>
      </c>
      <c r="U856" s="9">
        <f>CONVERT(Table1[[#This Row],[Actual]]*Table1[[#This Row],[Talk Duration (AVG)]],"day","hr")</f>
        <v>15.267500000000002</v>
      </c>
      <c r="V856" s="10">
        <f>Table1[[#This Row],[Required Workload Hours]]*60</f>
        <v>916.05000000000007</v>
      </c>
      <c r="W856" s="9">
        <v>3.4</v>
      </c>
      <c r="X856" s="9">
        <f t="shared" si="26"/>
        <v>2.3855468750000002</v>
      </c>
      <c r="Y856" s="5">
        <f t="shared" si="27"/>
        <v>2</v>
      </c>
      <c r="Z856" s="8">
        <f>ROUNDUP(Table1[[#This Row],[Actual Heacount]],0)</f>
        <v>4</v>
      </c>
      <c r="AA856" s="8"/>
      <c r="AB856" s="10"/>
      <c r="AC856" s="10"/>
      <c r="AD856" s="10"/>
      <c r="AE856" s="11">
        <v>113.95221714802101</v>
      </c>
      <c r="AF856" s="11">
        <v>329.6131302872792</v>
      </c>
      <c r="AG856" t="s">
        <v>34</v>
      </c>
    </row>
    <row r="857" spans="1:33">
      <c r="A857" s="2">
        <v>44729</v>
      </c>
      <c r="B857" s="5" t="s">
        <v>35</v>
      </c>
      <c r="C857" s="5">
        <f>WEEKDAY(Table1[[#This Row],[Date]])</f>
        <v>6</v>
      </c>
      <c r="D857" s="5">
        <f>MONTH(Table1[[#This Row],[Date]])</f>
        <v>6</v>
      </c>
      <c r="E857" s="5">
        <f>WEEKNUM(Table1[[#This Row],[Date]])</f>
        <v>25</v>
      </c>
      <c r="F857" s="5">
        <f>YEAR(Table1[[#This Row],[Date]])</f>
        <v>2022</v>
      </c>
      <c r="G857">
        <v>73</v>
      </c>
      <c r="L857" s="5">
        <v>311</v>
      </c>
      <c r="M857" s="6">
        <v>0.67320000000000002</v>
      </c>
      <c r="N857" s="5">
        <v>151</v>
      </c>
      <c r="O857" s="7">
        <v>8.2175925925925927E-4</v>
      </c>
      <c r="P857" s="7">
        <v>2.2800925925925927E-3</v>
      </c>
      <c r="Q857" s="7">
        <v>6.1342592592592594E-3</v>
      </c>
      <c r="R857" s="6">
        <v>0.26340000000000002</v>
      </c>
      <c r="S857" s="8">
        <f>CONVERT(Table1[[#This Row],[Talk Duration (AVG)]]*Table1[[#This Row],[Answered Calls]],"day","hr")</f>
        <v>17.01861111111111</v>
      </c>
      <c r="T857" s="9">
        <f>Table1[[#This Row],[Actual Workload hours]]*60</f>
        <v>1021.1166666666666</v>
      </c>
      <c r="U857" s="9">
        <f>CONVERT(Table1[[#This Row],[Actual]]*Table1[[#This Row],[Talk Duration (AVG)]],"day","hr")</f>
        <v>3.9947222222222223</v>
      </c>
      <c r="V857" s="10">
        <f>Table1[[#This Row],[Required Workload Hours]]*60</f>
        <v>239.68333333333334</v>
      </c>
      <c r="W857" s="9">
        <v>2.66</v>
      </c>
      <c r="X857" s="9">
        <f t="shared" si="26"/>
        <v>1</v>
      </c>
      <c r="Y857" s="5">
        <f t="shared" si="27"/>
        <v>2</v>
      </c>
      <c r="Z857" s="8">
        <f>ROUNDUP(Table1[[#This Row],[Actual Heacount]],0)</f>
        <v>3</v>
      </c>
      <c r="AA857" s="8"/>
      <c r="AB857" s="10"/>
      <c r="AC857" s="10"/>
      <c r="AD857" s="10"/>
      <c r="AE857" s="11">
        <v>105.04676868538139</v>
      </c>
      <c r="AF857" s="11">
        <v>332.69994398649459</v>
      </c>
      <c r="AG857" t="s">
        <v>34</v>
      </c>
    </row>
    <row r="858" spans="1:33">
      <c r="A858" s="2">
        <v>44730</v>
      </c>
      <c r="B858" s="5" t="s">
        <v>36</v>
      </c>
      <c r="C858" s="5">
        <f>WEEKDAY(Table1[[#This Row],[Date]])</f>
        <v>7</v>
      </c>
      <c r="D858" s="5">
        <f>MONTH(Table1[[#This Row],[Date]])</f>
        <v>6</v>
      </c>
      <c r="E858" s="5">
        <f>WEEKNUM(Table1[[#This Row],[Date]])</f>
        <v>25</v>
      </c>
      <c r="F858" s="5">
        <f>YEAR(Table1[[#This Row],[Date]])</f>
        <v>2022</v>
      </c>
      <c r="G858">
        <v>226</v>
      </c>
      <c r="L858" s="5">
        <v>373</v>
      </c>
      <c r="M858" s="6">
        <v>0.87150000000000005</v>
      </c>
      <c r="N858" s="5">
        <v>55</v>
      </c>
      <c r="O858" s="7">
        <v>4.6296296296296298E-4</v>
      </c>
      <c r="P858" s="7">
        <v>2.0601851851851853E-3</v>
      </c>
      <c r="Q858" s="7">
        <v>4.8726851851851848E-3</v>
      </c>
      <c r="R858" s="6">
        <v>0.50600000000000001</v>
      </c>
      <c r="S858" s="8">
        <f>CONVERT(Table1[[#This Row],[Talk Duration (AVG)]]*Table1[[#This Row],[Answered Calls]],"day","hr")</f>
        <v>18.442777777777778</v>
      </c>
      <c r="T858" s="9">
        <f>Table1[[#This Row],[Actual Workload hours]]*60</f>
        <v>1106.5666666666666</v>
      </c>
      <c r="U858" s="9">
        <f>CONVERT(Table1[[#This Row],[Actual]]*Table1[[#This Row],[Talk Duration (AVG)]],"day","hr")</f>
        <v>11.174444444444445</v>
      </c>
      <c r="V858" s="10">
        <f>Table1[[#This Row],[Required Workload Hours]]*60</f>
        <v>670.4666666666667</v>
      </c>
      <c r="W858" s="9">
        <v>2.88</v>
      </c>
      <c r="X858" s="9">
        <f t="shared" si="26"/>
        <v>1.7460069444444446</v>
      </c>
      <c r="Y858" s="5">
        <f t="shared" si="27"/>
        <v>2</v>
      </c>
      <c r="Z858" s="8">
        <f>ROUNDUP(Table1[[#This Row],[Actual Heacount]],0)</f>
        <v>3</v>
      </c>
      <c r="AA858" s="8"/>
      <c r="AB858" s="10"/>
      <c r="AC858" s="10"/>
      <c r="AD858" s="10"/>
      <c r="AE858" s="11">
        <v>113.0359906001438</v>
      </c>
      <c r="AF858" s="11">
        <v>330.19229849257363</v>
      </c>
      <c r="AG858" t="s">
        <v>34</v>
      </c>
    </row>
    <row r="859" spans="1:33">
      <c r="A859" s="2">
        <v>44731</v>
      </c>
      <c r="B859" s="5" t="s">
        <v>37</v>
      </c>
      <c r="C859" s="5">
        <f>WEEKDAY(Table1[[#This Row],[Date]])</f>
        <v>1</v>
      </c>
      <c r="D859" s="5">
        <f>MONTH(Table1[[#This Row],[Date]])</f>
        <v>6</v>
      </c>
      <c r="E859" s="5">
        <f>WEEKNUM(Table1[[#This Row],[Date]])</f>
        <v>26</v>
      </c>
      <c r="F859" s="5">
        <f>YEAR(Table1[[#This Row],[Date]])</f>
        <v>2022</v>
      </c>
      <c r="G859">
        <v>43</v>
      </c>
      <c r="L859" s="5">
        <v>312</v>
      </c>
      <c r="M859" s="6">
        <v>0.79390000000000005</v>
      </c>
      <c r="N859" s="5">
        <v>81</v>
      </c>
      <c r="O859" s="7">
        <v>7.1759259259259259E-4</v>
      </c>
      <c r="P859" s="7">
        <v>2.2685185185185187E-3</v>
      </c>
      <c r="Q859" s="7">
        <v>5.7407407407407407E-3</v>
      </c>
      <c r="R859" s="6">
        <v>0.314</v>
      </c>
      <c r="S859" s="8">
        <f>CONVERT(Table1[[#This Row],[Talk Duration (AVG)]]*Table1[[#This Row],[Answered Calls]],"day","hr")</f>
        <v>16.986666666666668</v>
      </c>
      <c r="T859" s="9">
        <f>Table1[[#This Row],[Actual Workload hours]]*60</f>
        <v>1019.2</v>
      </c>
      <c r="U859" s="9">
        <f>CONVERT(Table1[[#This Row],[Actual]]*Table1[[#This Row],[Talk Duration (AVG)]],"day","hr")</f>
        <v>2.3411111111111111</v>
      </c>
      <c r="V859" s="10">
        <f>Table1[[#This Row],[Required Workload Hours]]*60</f>
        <v>140.46666666666667</v>
      </c>
      <c r="W859" s="9">
        <v>2.65</v>
      </c>
      <c r="X859" s="9">
        <f t="shared" si="26"/>
        <v>1</v>
      </c>
      <c r="Y859" s="5">
        <f t="shared" si="27"/>
        <v>2</v>
      </c>
      <c r="Z859" s="8">
        <f>ROUNDUP(Table1[[#This Row],[Actual Heacount]],0)</f>
        <v>3</v>
      </c>
      <c r="AA859" s="8"/>
      <c r="AB859" s="10"/>
      <c r="AC859" s="10"/>
      <c r="AD859" s="10"/>
      <c r="AE859" s="11">
        <v>24.958194043436158</v>
      </c>
      <c r="AF859" s="11">
        <v>252.90734029589521</v>
      </c>
      <c r="AG859" t="s">
        <v>34</v>
      </c>
    </row>
    <row r="860" spans="1:33">
      <c r="A860" s="2">
        <v>44732</v>
      </c>
      <c r="B860" s="5" t="s">
        <v>38</v>
      </c>
      <c r="C860" s="5">
        <f>WEEKDAY(Table1[[#This Row],[Date]])</f>
        <v>2</v>
      </c>
      <c r="D860" s="5">
        <f>MONTH(Table1[[#This Row],[Date]])</f>
        <v>6</v>
      </c>
      <c r="E860" s="5">
        <f>WEEKNUM(Table1[[#This Row],[Date]])</f>
        <v>26</v>
      </c>
      <c r="F860" s="5">
        <f>YEAR(Table1[[#This Row],[Date]])</f>
        <v>2022</v>
      </c>
      <c r="G860">
        <v>311</v>
      </c>
      <c r="L860" s="5">
        <v>50</v>
      </c>
      <c r="M860" s="6">
        <v>0.86209999999999998</v>
      </c>
      <c r="N860" s="5">
        <v>8</v>
      </c>
      <c r="O860" s="7">
        <v>3.3564814814814812E-4</v>
      </c>
      <c r="P860" s="7">
        <v>2.1296296296296298E-3</v>
      </c>
      <c r="Q860" s="7">
        <v>2.1527777777777778E-3</v>
      </c>
      <c r="R860" s="6">
        <v>0.6724</v>
      </c>
      <c r="S860" s="8">
        <f>CONVERT(Table1[[#This Row],[Talk Duration (AVG)]]*Table1[[#This Row],[Answered Calls]],"day","hr")</f>
        <v>2.5555555555555554</v>
      </c>
      <c r="T860" s="9">
        <f>Table1[[#This Row],[Actual Workload hours]]*60</f>
        <v>153.33333333333331</v>
      </c>
      <c r="U860" s="9">
        <f>CONVERT(Table1[[#This Row],[Actual]]*Table1[[#This Row],[Talk Duration (AVG)]],"day","hr")</f>
        <v>15.895555555555555</v>
      </c>
      <c r="V860" s="10">
        <f>Table1[[#This Row],[Required Workload Hours]]*60</f>
        <v>953.73333333333335</v>
      </c>
      <c r="W860" s="9">
        <v>1</v>
      </c>
      <c r="X860" s="9">
        <f t="shared" si="26"/>
        <v>2.4836805555555554</v>
      </c>
      <c r="Y860" s="5">
        <f t="shared" si="27"/>
        <v>1</v>
      </c>
      <c r="Z860" s="8">
        <f>ROUNDUP(Table1[[#This Row],[Actual Heacount]],0)</f>
        <v>1</v>
      </c>
      <c r="AA860" s="8"/>
      <c r="AB860" s="10"/>
      <c r="AC860" s="10"/>
      <c r="AD860" s="10"/>
      <c r="AE860" s="11">
        <v>132.4019274932858</v>
      </c>
      <c r="AF860" s="11">
        <v>352.73188521756231</v>
      </c>
      <c r="AG860" t="s">
        <v>34</v>
      </c>
    </row>
    <row r="861" spans="1:33">
      <c r="A861" s="2">
        <v>44733</v>
      </c>
      <c r="B861" s="5" t="s">
        <v>39</v>
      </c>
      <c r="C861" s="5">
        <f>WEEKDAY(Table1[[#This Row],[Date]])</f>
        <v>3</v>
      </c>
      <c r="D861" s="5">
        <f>MONTH(Table1[[#This Row],[Date]])</f>
        <v>6</v>
      </c>
      <c r="E861" s="5">
        <f>WEEKNUM(Table1[[#This Row],[Date]])</f>
        <v>26</v>
      </c>
      <c r="F861" s="5">
        <f>YEAR(Table1[[#This Row],[Date]])</f>
        <v>2022</v>
      </c>
      <c r="G861">
        <v>251</v>
      </c>
      <c r="L861" s="5">
        <v>279</v>
      </c>
      <c r="M861" s="6">
        <v>0.88290000000000002</v>
      </c>
      <c r="N861" s="5">
        <v>37</v>
      </c>
      <c r="O861" s="7">
        <v>4.6296296296296298E-4</v>
      </c>
      <c r="P861" s="7">
        <v>2.0601851851851853E-3</v>
      </c>
      <c r="Q861" s="7">
        <v>2.4421296296296296E-3</v>
      </c>
      <c r="R861" s="6">
        <v>0.44159999999999999</v>
      </c>
      <c r="S861" s="8">
        <f>CONVERT(Table1[[#This Row],[Talk Duration (AVG)]]*Table1[[#This Row],[Answered Calls]],"day","hr")</f>
        <v>13.795</v>
      </c>
      <c r="T861" s="9">
        <f>Table1[[#This Row],[Actual Workload hours]]*60</f>
        <v>827.7</v>
      </c>
      <c r="U861" s="9">
        <f>CONVERT(Table1[[#This Row],[Actual]]*Table1[[#This Row],[Talk Duration (AVG)]],"day","hr")</f>
        <v>12.410555555555558</v>
      </c>
      <c r="V861" s="10">
        <f>Table1[[#This Row],[Required Workload Hours]]*60</f>
        <v>744.63333333333344</v>
      </c>
      <c r="W861" s="9">
        <v>2.16</v>
      </c>
      <c r="X861" s="9">
        <f t="shared" si="26"/>
        <v>1.9391493055555558</v>
      </c>
      <c r="Y861" s="5">
        <f t="shared" si="27"/>
        <v>2</v>
      </c>
      <c r="Z861" s="8">
        <f>ROUNDUP(Table1[[#This Row],[Actual Heacount]],0)</f>
        <v>3</v>
      </c>
      <c r="AA861" s="8"/>
      <c r="AB861" s="10"/>
      <c r="AC861" s="10"/>
      <c r="AD861" s="10"/>
      <c r="AE861" s="11">
        <v>115.1096061247171</v>
      </c>
      <c r="AF861" s="11">
        <v>335.46052319935342</v>
      </c>
      <c r="AG861" t="s">
        <v>34</v>
      </c>
    </row>
    <row r="862" spans="1:33">
      <c r="A862" s="2">
        <v>44734</v>
      </c>
      <c r="B862" s="5" t="s">
        <v>40</v>
      </c>
      <c r="C862" s="5">
        <f>WEEKDAY(Table1[[#This Row],[Date]])</f>
        <v>4</v>
      </c>
      <c r="D862" s="5">
        <f>MONTH(Table1[[#This Row],[Date]])</f>
        <v>6</v>
      </c>
      <c r="E862" s="5">
        <f>WEEKNUM(Table1[[#This Row],[Date]])</f>
        <v>26</v>
      </c>
      <c r="F862" s="5">
        <f>YEAR(Table1[[#This Row],[Date]])</f>
        <v>2022</v>
      </c>
      <c r="G862">
        <v>339</v>
      </c>
      <c r="L862" s="5">
        <v>274</v>
      </c>
      <c r="M862" s="6">
        <v>0.91949999999999998</v>
      </c>
      <c r="N862" s="5">
        <v>24</v>
      </c>
      <c r="O862" s="7">
        <v>3.4722222222222224E-4</v>
      </c>
      <c r="P862" s="7">
        <v>2.0717592592592593E-3</v>
      </c>
      <c r="Q862" s="7">
        <v>2.1064814814814813E-3</v>
      </c>
      <c r="R862" s="6">
        <v>0.55779999999999996</v>
      </c>
      <c r="S862" s="8">
        <f>CONVERT(Table1[[#This Row],[Talk Duration (AVG)]]*Table1[[#This Row],[Answered Calls]],"day","hr")</f>
        <v>13.62388888888889</v>
      </c>
      <c r="T862" s="9">
        <f>Table1[[#This Row],[Actual Workload hours]]*60</f>
        <v>817.43333333333339</v>
      </c>
      <c r="U862" s="9">
        <f>CONVERT(Table1[[#This Row],[Actual]]*Table1[[#This Row],[Talk Duration (AVG)]],"day","hr")</f>
        <v>16.855833333333333</v>
      </c>
      <c r="V862" s="10">
        <f>Table1[[#This Row],[Required Workload Hours]]*60</f>
        <v>1011.35</v>
      </c>
      <c r="W862" s="9">
        <v>2.13</v>
      </c>
      <c r="X862" s="9">
        <f t="shared" si="26"/>
        <v>2.6337239583333334</v>
      </c>
      <c r="Y862" s="5">
        <f t="shared" si="27"/>
        <v>2</v>
      </c>
      <c r="Z862" s="8">
        <f>ROUNDUP(Table1[[#This Row],[Actual Heacount]],0)</f>
        <v>3</v>
      </c>
      <c r="AA862" s="8"/>
      <c r="AB862" s="10"/>
      <c r="AC862" s="10"/>
      <c r="AD862" s="10"/>
      <c r="AE862" s="11">
        <v>128.908834090369</v>
      </c>
      <c r="AF862" s="11">
        <v>349.92080363071329</v>
      </c>
      <c r="AG862" t="s">
        <v>34</v>
      </c>
    </row>
    <row r="863" spans="1:33">
      <c r="A863" s="2">
        <v>44735</v>
      </c>
      <c r="B863" s="5" t="s">
        <v>33</v>
      </c>
      <c r="C863" s="5">
        <f>WEEKDAY(Table1[[#This Row],[Date]])</f>
        <v>5</v>
      </c>
      <c r="D863" s="5">
        <f>MONTH(Table1[[#This Row],[Date]])</f>
        <v>6</v>
      </c>
      <c r="E863" s="5">
        <f>WEEKNUM(Table1[[#This Row],[Date]])</f>
        <v>26</v>
      </c>
      <c r="F863" s="5">
        <f>YEAR(Table1[[#This Row],[Date]])</f>
        <v>2022</v>
      </c>
      <c r="G863">
        <v>323</v>
      </c>
      <c r="L863" s="5">
        <v>275</v>
      </c>
      <c r="M863" s="6">
        <v>0.89290000000000003</v>
      </c>
      <c r="N863" s="5">
        <v>33</v>
      </c>
      <c r="O863" s="7">
        <v>4.6296296296296298E-4</v>
      </c>
      <c r="P863" s="7">
        <v>2.0370370370370369E-3</v>
      </c>
      <c r="Q863" s="7">
        <v>4.7916666666666663E-3</v>
      </c>
      <c r="R863" s="6">
        <v>0.51629999999999998</v>
      </c>
      <c r="S863" s="8">
        <f>CONVERT(Table1[[#This Row],[Talk Duration (AVG)]]*Table1[[#This Row],[Answered Calls]],"day","hr")</f>
        <v>13.444444444444443</v>
      </c>
      <c r="T863" s="9">
        <f>Table1[[#This Row],[Actual Workload hours]]*60</f>
        <v>806.66666666666652</v>
      </c>
      <c r="U863" s="9">
        <f>CONVERT(Table1[[#This Row],[Actual]]*Table1[[#This Row],[Talk Duration (AVG)]],"day","hr")</f>
        <v>15.791111111111109</v>
      </c>
      <c r="V863" s="10">
        <f>Table1[[#This Row],[Required Workload Hours]]*60</f>
        <v>947.46666666666647</v>
      </c>
      <c r="W863" s="9">
        <v>2.1</v>
      </c>
      <c r="X863" s="9">
        <f t="shared" si="26"/>
        <v>2.4673611111111104</v>
      </c>
      <c r="Y863" s="5">
        <f t="shared" si="27"/>
        <v>2</v>
      </c>
      <c r="Z863" s="8">
        <f>ROUNDUP(Table1[[#This Row],[Actual Heacount]],0)</f>
        <v>3</v>
      </c>
      <c r="AA863" s="8"/>
      <c r="AB863" s="10"/>
      <c r="AC863" s="10"/>
      <c r="AD863" s="10"/>
      <c r="AE863" s="11">
        <v>116.79224547608371</v>
      </c>
      <c r="AF863" s="11">
        <v>339.92955560448593</v>
      </c>
      <c r="AG863" t="s">
        <v>34</v>
      </c>
    </row>
    <row r="864" spans="1:33">
      <c r="A864" s="2">
        <v>44736</v>
      </c>
      <c r="B864" s="5" t="s">
        <v>35</v>
      </c>
      <c r="C864" s="5">
        <f>WEEKDAY(Table1[[#This Row],[Date]])</f>
        <v>6</v>
      </c>
      <c r="D864" s="5">
        <f>MONTH(Table1[[#This Row],[Date]])</f>
        <v>6</v>
      </c>
      <c r="E864" s="5">
        <f>WEEKNUM(Table1[[#This Row],[Date]])</f>
        <v>26</v>
      </c>
      <c r="F864" s="5">
        <f>YEAR(Table1[[#This Row],[Date]])</f>
        <v>2022</v>
      </c>
      <c r="G864">
        <v>289</v>
      </c>
      <c r="L864" s="5">
        <v>242</v>
      </c>
      <c r="M864" s="6">
        <v>0.93440000000000001</v>
      </c>
      <c r="N864" s="5">
        <v>17</v>
      </c>
      <c r="O864" s="7">
        <v>1.8518518518518518E-4</v>
      </c>
      <c r="P864" s="7">
        <v>2.0138888888888888E-3</v>
      </c>
      <c r="Q864" s="7">
        <v>2.8819444444444444E-3</v>
      </c>
      <c r="R864" s="6">
        <v>0.78259999999999996</v>
      </c>
      <c r="S864" s="8">
        <f>CONVERT(Table1[[#This Row],[Talk Duration (AVG)]]*Table1[[#This Row],[Answered Calls]],"day","hr")</f>
        <v>11.696666666666667</v>
      </c>
      <c r="T864" s="9">
        <f>Table1[[#This Row],[Actual Workload hours]]*60</f>
        <v>701.80000000000007</v>
      </c>
      <c r="U864" s="9">
        <f>CONVERT(Table1[[#This Row],[Actual]]*Table1[[#This Row],[Talk Duration (AVG)]],"day","hr")</f>
        <v>13.968333333333332</v>
      </c>
      <c r="V864" s="10">
        <f>Table1[[#This Row],[Required Workload Hours]]*60</f>
        <v>838.09999999999991</v>
      </c>
      <c r="W864" s="9">
        <v>1.83</v>
      </c>
      <c r="X864" s="9">
        <f t="shared" si="26"/>
        <v>2.1825520833333329</v>
      </c>
      <c r="Y864" s="5">
        <f t="shared" si="27"/>
        <v>2</v>
      </c>
      <c r="Z864" s="8">
        <f>ROUNDUP(Table1[[#This Row],[Actual Heacount]],0)</f>
        <v>2</v>
      </c>
      <c r="AA864" s="8"/>
      <c r="AB864" s="10"/>
      <c r="AC864" s="10"/>
      <c r="AD864" s="10"/>
      <c r="AE864" s="11">
        <v>123.0758626180819</v>
      </c>
      <c r="AF864" s="11">
        <v>338.81288698938482</v>
      </c>
      <c r="AG864" t="s">
        <v>34</v>
      </c>
    </row>
    <row r="865" spans="1:33">
      <c r="A865" s="2">
        <v>44737</v>
      </c>
      <c r="B865" s="5" t="s">
        <v>36</v>
      </c>
      <c r="C865" s="5">
        <f>WEEKDAY(Table1[[#This Row],[Date]])</f>
        <v>7</v>
      </c>
      <c r="D865" s="5">
        <f>MONTH(Table1[[#This Row],[Date]])</f>
        <v>6</v>
      </c>
      <c r="E865" s="5">
        <f>WEEKNUM(Table1[[#This Row],[Date]])</f>
        <v>26</v>
      </c>
      <c r="F865" s="5">
        <f>YEAR(Table1[[#This Row],[Date]])</f>
        <v>2022</v>
      </c>
      <c r="G865">
        <v>310</v>
      </c>
      <c r="L865" s="5">
        <v>391</v>
      </c>
      <c r="M865" s="6">
        <v>0.8427</v>
      </c>
      <c r="N865" s="5">
        <v>73</v>
      </c>
      <c r="O865" s="7">
        <v>6.3657407407407413E-4</v>
      </c>
      <c r="P865" s="7">
        <v>2.4421296296296296E-3</v>
      </c>
      <c r="Q865" s="7">
        <v>3.6226851851851854E-3</v>
      </c>
      <c r="R865" s="6">
        <v>0.35449999999999998</v>
      </c>
      <c r="S865" s="8">
        <f>CONVERT(Table1[[#This Row],[Talk Duration (AVG)]]*Table1[[#This Row],[Answered Calls]],"day","hr")</f>
        <v>22.916944444444443</v>
      </c>
      <c r="T865" s="9">
        <f>Table1[[#This Row],[Actual Workload hours]]*60</f>
        <v>1375.0166666666667</v>
      </c>
      <c r="U865" s="9">
        <f>CONVERT(Table1[[#This Row],[Actual]]*Table1[[#This Row],[Talk Duration (AVG)]],"day","hr")</f>
        <v>18.169444444444441</v>
      </c>
      <c r="V865" s="10">
        <f>Table1[[#This Row],[Required Workload Hours]]*60</f>
        <v>1090.1666666666665</v>
      </c>
      <c r="W865" s="9">
        <v>3.58</v>
      </c>
      <c r="X865" s="9">
        <f t="shared" si="26"/>
        <v>2.8389756944444442</v>
      </c>
      <c r="Y865" s="5">
        <f t="shared" si="27"/>
        <v>2</v>
      </c>
      <c r="Z865" s="8">
        <f>ROUNDUP(Table1[[#This Row],[Actual Heacount]],0)</f>
        <v>4</v>
      </c>
      <c r="AA865" s="8"/>
      <c r="AB865" s="10"/>
      <c r="AC865" s="10"/>
      <c r="AD865" s="10"/>
      <c r="AE865" s="11">
        <v>114.15888690859239</v>
      </c>
      <c r="AF865" s="11">
        <v>342.92827821100178</v>
      </c>
      <c r="AG865" t="s">
        <v>34</v>
      </c>
    </row>
    <row r="866" spans="1:33">
      <c r="A866" s="2">
        <v>44738</v>
      </c>
      <c r="B866" s="5" t="s">
        <v>37</v>
      </c>
      <c r="C866" s="5">
        <f>WEEKDAY(Table1[[#This Row],[Date]])</f>
        <v>1</v>
      </c>
      <c r="D866" s="5">
        <f>MONTH(Table1[[#This Row],[Date]])</f>
        <v>6</v>
      </c>
      <c r="E866" s="5">
        <f>WEEKNUM(Table1[[#This Row],[Date]])</f>
        <v>27</v>
      </c>
      <c r="F866" s="5">
        <f>YEAR(Table1[[#This Row],[Date]])</f>
        <v>2022</v>
      </c>
      <c r="G866">
        <v>33</v>
      </c>
      <c r="L866" s="5">
        <v>275</v>
      </c>
      <c r="M866" s="6">
        <v>0.91059999999999997</v>
      </c>
      <c r="N866" s="5">
        <v>27</v>
      </c>
      <c r="O866" s="7">
        <v>3.4722222222222224E-4</v>
      </c>
      <c r="P866" s="7">
        <v>2.1064814814814813E-3</v>
      </c>
      <c r="Q866" s="7">
        <v>6.875E-3</v>
      </c>
      <c r="R866" s="6">
        <v>0.56040000000000001</v>
      </c>
      <c r="S866" s="8">
        <f>CONVERT(Table1[[#This Row],[Talk Duration (AVG)]]*Table1[[#This Row],[Answered Calls]],"day","hr")</f>
        <v>13.902777777777775</v>
      </c>
      <c r="T866" s="9">
        <f>Table1[[#This Row],[Actual Workload hours]]*60</f>
        <v>834.16666666666652</v>
      </c>
      <c r="U866" s="9">
        <f>CONVERT(Table1[[#This Row],[Actual]]*Table1[[#This Row],[Talk Duration (AVG)]],"day","hr")</f>
        <v>1.6683333333333332</v>
      </c>
      <c r="V866" s="10">
        <f>Table1[[#This Row],[Required Workload Hours]]*60</f>
        <v>100.1</v>
      </c>
      <c r="W866" s="9">
        <v>2.17</v>
      </c>
      <c r="X866" s="9">
        <f t="shared" si="26"/>
        <v>1</v>
      </c>
      <c r="Y866" s="5">
        <f t="shared" si="27"/>
        <v>2</v>
      </c>
      <c r="Z866" s="8">
        <f>ROUNDUP(Table1[[#This Row],[Actual Heacount]],0)</f>
        <v>3</v>
      </c>
      <c r="AA866" s="8"/>
      <c r="AB866" s="10"/>
      <c r="AC866" s="10"/>
      <c r="AD866" s="10"/>
      <c r="AE866" s="11">
        <v>25.941046159722958</v>
      </c>
      <c r="AF866" s="11">
        <v>252.0074737185424</v>
      </c>
      <c r="AG866" t="s">
        <v>34</v>
      </c>
    </row>
    <row r="867" spans="1:33">
      <c r="A867" s="2">
        <v>44739</v>
      </c>
      <c r="B867" s="5" t="s">
        <v>38</v>
      </c>
      <c r="C867" s="5">
        <f>WEEKDAY(Table1[[#This Row],[Date]])</f>
        <v>2</v>
      </c>
      <c r="D867" s="5">
        <f>MONTH(Table1[[#This Row],[Date]])</f>
        <v>6</v>
      </c>
      <c r="E867" s="5">
        <f>WEEKNUM(Table1[[#This Row],[Date]])</f>
        <v>27</v>
      </c>
      <c r="F867" s="5">
        <f>YEAR(Table1[[#This Row],[Date]])</f>
        <v>2022</v>
      </c>
      <c r="G867">
        <v>346</v>
      </c>
      <c r="L867" s="5">
        <v>45</v>
      </c>
      <c r="M867" s="6">
        <v>0.95740000000000003</v>
      </c>
      <c r="N867" s="5">
        <v>2</v>
      </c>
      <c r="O867" s="7">
        <v>1.3888888888888889E-4</v>
      </c>
      <c r="P867" s="7">
        <v>1.8634259259259259E-3</v>
      </c>
      <c r="Q867" s="7">
        <v>1.8171296296296297E-3</v>
      </c>
      <c r="R867" s="6">
        <v>0.85109999999999997</v>
      </c>
      <c r="S867" s="8">
        <f>CONVERT(Table1[[#This Row],[Talk Duration (AVG)]]*Table1[[#This Row],[Answered Calls]],"day","hr")</f>
        <v>2.0124999999999997</v>
      </c>
      <c r="T867" s="9">
        <f>Table1[[#This Row],[Actual Workload hours]]*60</f>
        <v>120.74999999999999</v>
      </c>
      <c r="U867" s="9">
        <f>CONVERT(Table1[[#This Row],[Actual]]*Table1[[#This Row],[Talk Duration (AVG)]],"day","hr")</f>
        <v>15.473888888888888</v>
      </c>
      <c r="V867" s="10">
        <f>Table1[[#This Row],[Required Workload Hours]]*60</f>
        <v>928.43333333333328</v>
      </c>
      <c r="W867" s="9">
        <v>1</v>
      </c>
      <c r="X867" s="9">
        <f t="shared" si="26"/>
        <v>2.4177951388888888</v>
      </c>
      <c r="Y867" s="5">
        <f t="shared" si="27"/>
        <v>1</v>
      </c>
      <c r="Z867" s="8">
        <f>ROUNDUP(Table1[[#This Row],[Actual Heacount]],0)</f>
        <v>1</v>
      </c>
      <c r="AA867" s="8"/>
      <c r="AB867" s="10"/>
      <c r="AC867" s="10"/>
      <c r="AD867" s="10"/>
      <c r="AE867" s="11">
        <v>141.8651437443333</v>
      </c>
      <c r="AF867" s="11">
        <v>359.58002736127997</v>
      </c>
      <c r="AG867" t="s">
        <v>34</v>
      </c>
    </row>
    <row r="868" spans="1:33">
      <c r="A868" s="2">
        <v>44740</v>
      </c>
      <c r="B868" s="5" t="s">
        <v>39</v>
      </c>
      <c r="C868" s="5">
        <f>WEEKDAY(Table1[[#This Row],[Date]])</f>
        <v>3</v>
      </c>
      <c r="D868" s="5">
        <f>MONTH(Table1[[#This Row],[Date]])</f>
        <v>6</v>
      </c>
      <c r="E868" s="5">
        <f>WEEKNUM(Table1[[#This Row],[Date]])</f>
        <v>27</v>
      </c>
      <c r="F868" s="5">
        <f>YEAR(Table1[[#This Row],[Date]])</f>
        <v>2022</v>
      </c>
      <c r="G868">
        <v>325</v>
      </c>
      <c r="L868" s="5">
        <v>279</v>
      </c>
      <c r="M868" s="6">
        <v>0.95220000000000005</v>
      </c>
      <c r="N868" s="5">
        <v>14</v>
      </c>
      <c r="O868" s="7">
        <v>2.5462962962962961E-4</v>
      </c>
      <c r="P868" s="7">
        <v>2.0023148148148148E-3</v>
      </c>
      <c r="Q868" s="7">
        <v>2.0486111111111113E-3</v>
      </c>
      <c r="R868" s="6">
        <v>0.67469999999999997</v>
      </c>
      <c r="S868" s="8">
        <f>CONVERT(Table1[[#This Row],[Talk Duration (AVG)]]*Table1[[#This Row],[Answered Calls]],"day","hr")</f>
        <v>13.407499999999999</v>
      </c>
      <c r="T868" s="9">
        <f>Table1[[#This Row],[Actual Workload hours]]*60</f>
        <v>804.44999999999993</v>
      </c>
      <c r="U868" s="9">
        <f>CONVERT(Table1[[#This Row],[Actual]]*Table1[[#This Row],[Talk Duration (AVG)]],"day","hr")</f>
        <v>15.618055555555554</v>
      </c>
      <c r="V868" s="10">
        <f>Table1[[#This Row],[Required Workload Hours]]*60</f>
        <v>937.08333333333326</v>
      </c>
      <c r="W868" s="9">
        <v>2.09</v>
      </c>
      <c r="X868" s="9">
        <f t="shared" si="26"/>
        <v>2.4403211805555554</v>
      </c>
      <c r="Y868" s="5">
        <f t="shared" si="27"/>
        <v>2</v>
      </c>
      <c r="Z868" s="8">
        <f>ROUNDUP(Table1[[#This Row],[Actual Heacount]],0)</f>
        <v>3</v>
      </c>
      <c r="AA868" s="8"/>
      <c r="AB868" s="10"/>
      <c r="AC868" s="10"/>
      <c r="AD868" s="10"/>
      <c r="AE868" s="11">
        <v>123.5848341839388</v>
      </c>
      <c r="AF868" s="11">
        <v>341.98008871423758</v>
      </c>
      <c r="AG868" t="s">
        <v>34</v>
      </c>
    </row>
    <row r="869" spans="1:33">
      <c r="A869" s="2">
        <v>44743</v>
      </c>
      <c r="B869" s="5" t="s">
        <v>40</v>
      </c>
      <c r="C869" s="5">
        <f>WEEKDAY(Table1[[#This Row],[Date]])</f>
        <v>6</v>
      </c>
      <c r="D869" s="5">
        <f>MONTH(Table1[[#This Row],[Date]])</f>
        <v>7</v>
      </c>
      <c r="E869" s="5">
        <f>WEEKNUM(Table1[[#This Row],[Date]])</f>
        <v>27</v>
      </c>
      <c r="F869" s="5">
        <f>YEAR(Table1[[#This Row],[Date]])</f>
        <v>2022</v>
      </c>
      <c r="G869">
        <v>225</v>
      </c>
      <c r="L869" s="5">
        <v>225</v>
      </c>
      <c r="M869" s="6">
        <v>0.91839999999999999</v>
      </c>
      <c r="N869" s="5">
        <v>20</v>
      </c>
      <c r="O869" s="7">
        <v>2.0833333333333335E-4</v>
      </c>
      <c r="P869" s="7">
        <v>2.0254629629629629E-3</v>
      </c>
      <c r="Q869" s="7">
        <v>2.9050925925925928E-3</v>
      </c>
      <c r="R869" s="6">
        <v>0.73550000000000004</v>
      </c>
      <c r="S869" s="8">
        <f>CONVERT(Table1[[#This Row],[Talk Duration (AVG)]]*Table1[[#This Row],[Answered Calls]],"day","hr")</f>
        <v>10.9375</v>
      </c>
      <c r="T869" s="9">
        <f>Table1[[#This Row],[Actual Workload hours]]*60</f>
        <v>656.25</v>
      </c>
      <c r="U869" s="9">
        <f>CONVERT(Table1[[#This Row],[Actual]]*Table1[[#This Row],[Talk Duration (AVG)]],"day","hr")</f>
        <v>10.9375</v>
      </c>
      <c r="V869" s="10">
        <f>Table1[[#This Row],[Required Workload Hours]]*60</f>
        <v>656.25</v>
      </c>
      <c r="W869" s="9">
        <v>1.71</v>
      </c>
      <c r="X869" s="9">
        <f t="shared" si="26"/>
        <v>1.708984375</v>
      </c>
      <c r="Y869" s="5">
        <f t="shared" si="27"/>
        <v>2</v>
      </c>
      <c r="Z869" s="8">
        <f>ROUNDUP(Table1[[#This Row],[Actual Heacount]],0)</f>
        <v>2</v>
      </c>
      <c r="AA869" s="8"/>
      <c r="AB869" s="10"/>
      <c r="AC869" s="10"/>
      <c r="AD869" s="10"/>
      <c r="AE869" s="11">
        <v>121.166311137375</v>
      </c>
      <c r="AF869" s="11">
        <v>340.1988023673469</v>
      </c>
      <c r="AG869" t="s">
        <v>34</v>
      </c>
    </row>
    <row r="870" spans="1:33">
      <c r="A870" s="2">
        <v>44744</v>
      </c>
      <c r="B870" s="5" t="s">
        <v>33</v>
      </c>
      <c r="C870" s="5">
        <f>WEEKDAY(Table1[[#This Row],[Date]])</f>
        <v>7</v>
      </c>
      <c r="D870" s="5">
        <f>MONTH(Table1[[#This Row],[Date]])</f>
        <v>7</v>
      </c>
      <c r="E870" s="5">
        <f>WEEKNUM(Table1[[#This Row],[Date]])</f>
        <v>27</v>
      </c>
      <c r="F870" s="5">
        <f>YEAR(Table1[[#This Row],[Date]])</f>
        <v>2022</v>
      </c>
      <c r="G870">
        <v>375</v>
      </c>
      <c r="L870" s="5">
        <v>227</v>
      </c>
      <c r="M870" s="6">
        <v>0.76949999999999996</v>
      </c>
      <c r="N870" s="5">
        <v>68</v>
      </c>
      <c r="O870" s="7">
        <v>5.5555555555555556E-4</v>
      </c>
      <c r="P870" s="7">
        <v>2.3032407407407407E-3</v>
      </c>
      <c r="Q870" s="7">
        <v>3.9583333333333337E-3</v>
      </c>
      <c r="R870" s="6">
        <v>0.44790000000000002</v>
      </c>
      <c r="S870" s="8">
        <f>CONVERT(Table1[[#This Row],[Talk Duration (AVG)]]*Table1[[#This Row],[Answered Calls]],"day","hr")</f>
        <v>12.548055555555553</v>
      </c>
      <c r="T870" s="9">
        <f>Table1[[#This Row],[Actual Workload hours]]*60</f>
        <v>752.88333333333321</v>
      </c>
      <c r="U870" s="9">
        <f>CONVERT(Table1[[#This Row],[Actual]]*Table1[[#This Row],[Talk Duration (AVG)]],"day","hr")</f>
        <v>20.729166666666668</v>
      </c>
      <c r="V870" s="10">
        <f>Table1[[#This Row],[Required Workload Hours]]*60</f>
        <v>1243.75</v>
      </c>
      <c r="W870" s="9">
        <v>1.96</v>
      </c>
      <c r="X870" s="9">
        <f t="shared" si="26"/>
        <v>3.2389322916666665</v>
      </c>
      <c r="Y870" s="5">
        <f t="shared" si="27"/>
        <v>2</v>
      </c>
      <c r="Z870" s="8">
        <f>ROUNDUP(Table1[[#This Row],[Actual Heacount]],0)</f>
        <v>2</v>
      </c>
      <c r="AA870" s="8"/>
      <c r="AB870" s="10"/>
      <c r="AC870" s="10"/>
      <c r="AD870" s="10"/>
      <c r="AE870" s="11">
        <v>128.2699693212233</v>
      </c>
      <c r="AF870" s="11">
        <v>342.65880963754051</v>
      </c>
      <c r="AG870" t="s">
        <v>34</v>
      </c>
    </row>
    <row r="871" spans="1:33">
      <c r="A871" s="2">
        <v>44746</v>
      </c>
      <c r="B871" s="5" t="s">
        <v>35</v>
      </c>
      <c r="C871" s="5">
        <f>WEEKDAY(Table1[[#This Row],[Date]])</f>
        <v>2</v>
      </c>
      <c r="D871" s="5">
        <f>MONTH(Table1[[#This Row],[Date]])</f>
        <v>7</v>
      </c>
      <c r="E871" s="5">
        <f>WEEKNUM(Table1[[#This Row],[Date]])</f>
        <v>28</v>
      </c>
      <c r="F871" s="5">
        <f>YEAR(Table1[[#This Row],[Date]])</f>
        <v>2022</v>
      </c>
      <c r="G871">
        <v>534</v>
      </c>
      <c r="L871" s="5">
        <v>196</v>
      </c>
      <c r="M871" s="6">
        <v>0.95609999999999995</v>
      </c>
      <c r="N871" s="5">
        <v>9</v>
      </c>
      <c r="O871" s="7">
        <v>2.3148148148148149E-4</v>
      </c>
      <c r="P871" s="7">
        <v>2.1527777777777778E-3</v>
      </c>
      <c r="Q871" s="7">
        <v>3.5879629629629629E-3</v>
      </c>
      <c r="R871" s="6">
        <v>0.73660000000000003</v>
      </c>
      <c r="S871" s="8">
        <f>CONVERT(Table1[[#This Row],[Talk Duration (AVG)]]*Table1[[#This Row],[Answered Calls]],"day","hr")</f>
        <v>10.126666666666667</v>
      </c>
      <c r="T871" s="9">
        <f>Table1[[#This Row],[Actual Workload hours]]*60</f>
        <v>607.6</v>
      </c>
      <c r="U871" s="9">
        <f>CONVERT(Table1[[#This Row],[Actual]]*Table1[[#This Row],[Talk Duration (AVG)]],"day","hr")</f>
        <v>27.59</v>
      </c>
      <c r="V871" s="10">
        <f>Table1[[#This Row],[Required Workload Hours]]*60</f>
        <v>1655.4</v>
      </c>
      <c r="W871" s="9">
        <v>1.58</v>
      </c>
      <c r="X871" s="9">
        <f t="shared" si="26"/>
        <v>4.3109375000000005</v>
      </c>
      <c r="Y871" s="5">
        <f t="shared" si="27"/>
        <v>2</v>
      </c>
      <c r="Z871" s="8">
        <f>ROUNDUP(Table1[[#This Row],[Actual Heacount]],0)</f>
        <v>2</v>
      </c>
      <c r="AA871" s="8"/>
      <c r="AB871" s="10"/>
      <c r="AC871" s="10"/>
      <c r="AD871" s="10"/>
      <c r="AE871" s="11">
        <v>137.21286351238521</v>
      </c>
      <c r="AF871" s="11">
        <v>359.90996511750558</v>
      </c>
      <c r="AG871" t="s">
        <v>34</v>
      </c>
    </row>
    <row r="872" spans="1:33">
      <c r="A872" s="2">
        <v>44747</v>
      </c>
      <c r="B872" s="5" t="s">
        <v>36</v>
      </c>
      <c r="C872" s="5">
        <f>WEEKDAY(Table1[[#This Row],[Date]])</f>
        <v>3</v>
      </c>
      <c r="D872" s="5">
        <f>MONTH(Table1[[#This Row],[Date]])</f>
        <v>7</v>
      </c>
      <c r="E872" s="5">
        <f>WEEKNUM(Table1[[#This Row],[Date]])</f>
        <v>28</v>
      </c>
      <c r="F872" s="5">
        <f>YEAR(Table1[[#This Row],[Date]])</f>
        <v>2022</v>
      </c>
      <c r="G872">
        <v>393</v>
      </c>
      <c r="L872" s="5">
        <v>215</v>
      </c>
      <c r="M872" s="6">
        <v>0.86350000000000005</v>
      </c>
      <c r="N872" s="5">
        <v>34</v>
      </c>
      <c r="O872" s="7">
        <v>4.6296296296296298E-4</v>
      </c>
      <c r="P872" s="7">
        <v>2.0601851851851853E-3</v>
      </c>
      <c r="Q872" s="7">
        <v>1.7256944444444443E-2</v>
      </c>
      <c r="R872" s="6">
        <v>0.46089999999999998</v>
      </c>
      <c r="S872" s="8">
        <f>CONVERT(Table1[[#This Row],[Talk Duration (AVG)]]*Table1[[#This Row],[Answered Calls]],"day","hr")</f>
        <v>10.630555555555556</v>
      </c>
      <c r="T872" s="9">
        <f>Table1[[#This Row],[Actual Workload hours]]*60</f>
        <v>637.83333333333337</v>
      </c>
      <c r="U872" s="9">
        <f>CONVERT(Table1[[#This Row],[Actual]]*Table1[[#This Row],[Talk Duration (AVG)]],"day","hr")</f>
        <v>19.431666666666668</v>
      </c>
      <c r="V872" s="10">
        <f>Table1[[#This Row],[Required Workload Hours]]*60</f>
        <v>1165.9000000000001</v>
      </c>
      <c r="W872" s="9">
        <v>1.66</v>
      </c>
      <c r="X872" s="9">
        <f t="shared" si="26"/>
        <v>3.0361979166666671</v>
      </c>
      <c r="Y872" s="5">
        <f t="shared" si="27"/>
        <v>2</v>
      </c>
      <c r="Z872" s="8">
        <f>ROUNDUP(Table1[[#This Row],[Actual Heacount]],0)</f>
        <v>2</v>
      </c>
      <c r="AA872" s="8"/>
      <c r="AB872" s="10"/>
      <c r="AC872" s="10"/>
      <c r="AD872" s="10"/>
      <c r="AE872" s="11">
        <v>118.71954457874629</v>
      </c>
      <c r="AF872" s="11">
        <v>338.35975041495811</v>
      </c>
      <c r="AG872" t="s">
        <v>34</v>
      </c>
    </row>
    <row r="873" spans="1:33">
      <c r="A873" s="2">
        <v>44748</v>
      </c>
      <c r="B873" s="5" t="s">
        <v>37</v>
      </c>
      <c r="C873" s="5">
        <f>WEEKDAY(Table1[[#This Row],[Date]])</f>
        <v>4</v>
      </c>
      <c r="D873" s="5">
        <f>MONTH(Table1[[#This Row],[Date]])</f>
        <v>7</v>
      </c>
      <c r="E873" s="5">
        <f>WEEKNUM(Table1[[#This Row],[Date]])</f>
        <v>28</v>
      </c>
      <c r="F873" s="5">
        <f>YEAR(Table1[[#This Row],[Date]])</f>
        <v>2022</v>
      </c>
      <c r="G873">
        <v>358</v>
      </c>
      <c r="L873" s="5">
        <v>213</v>
      </c>
      <c r="M873" s="6">
        <v>0.90249999999999997</v>
      </c>
      <c r="N873" s="5">
        <v>23</v>
      </c>
      <c r="O873" s="7">
        <v>3.0092592592592595E-4</v>
      </c>
      <c r="P873" s="7">
        <v>2.2453703703703702E-3</v>
      </c>
      <c r="Q873" s="7">
        <v>2.7083333333333334E-3</v>
      </c>
      <c r="R873" s="6">
        <v>0.63360000000000005</v>
      </c>
      <c r="S873" s="8">
        <f>CONVERT(Table1[[#This Row],[Talk Duration (AVG)]]*Table1[[#This Row],[Answered Calls]],"day","hr")</f>
        <v>11.478333333333333</v>
      </c>
      <c r="T873" s="9">
        <f>Table1[[#This Row],[Actual Workload hours]]*60</f>
        <v>688.7</v>
      </c>
      <c r="U873" s="9">
        <f>CONVERT(Table1[[#This Row],[Actual]]*Table1[[#This Row],[Talk Duration (AVG)]],"day","hr")</f>
        <v>19.292222222222218</v>
      </c>
      <c r="V873" s="10">
        <f>Table1[[#This Row],[Required Workload Hours]]*60</f>
        <v>1157.5333333333331</v>
      </c>
      <c r="W873" s="9">
        <v>1.79</v>
      </c>
      <c r="X873" s="9">
        <f t="shared" si="26"/>
        <v>3.0144097222222217</v>
      </c>
      <c r="Y873" s="5">
        <f t="shared" si="27"/>
        <v>2</v>
      </c>
      <c r="Z873" s="8">
        <f>ROUNDUP(Table1[[#This Row],[Actual Heacount]],0)</f>
        <v>2</v>
      </c>
      <c r="AA873" s="8"/>
      <c r="AB873" s="10"/>
      <c r="AC873" s="10"/>
      <c r="AD873" s="10"/>
      <c r="AE873" s="11">
        <v>134.8311442463602</v>
      </c>
      <c r="AF873" s="11">
        <v>347.83996781283258</v>
      </c>
      <c r="AG873" t="s">
        <v>34</v>
      </c>
    </row>
    <row r="874" spans="1:33">
      <c r="A874" s="2">
        <v>44749</v>
      </c>
      <c r="B874" s="5" t="s">
        <v>38</v>
      </c>
      <c r="C874" s="5">
        <f>WEEKDAY(Table1[[#This Row],[Date]])</f>
        <v>5</v>
      </c>
      <c r="D874" s="5">
        <f>MONTH(Table1[[#This Row],[Date]])</f>
        <v>7</v>
      </c>
      <c r="E874" s="5">
        <f>WEEKNUM(Table1[[#This Row],[Date]])</f>
        <v>28</v>
      </c>
      <c r="F874" s="5">
        <f>YEAR(Table1[[#This Row],[Date]])</f>
        <v>2022</v>
      </c>
      <c r="G874">
        <v>343</v>
      </c>
      <c r="L874" s="5">
        <v>39</v>
      </c>
      <c r="M874" s="6">
        <v>1</v>
      </c>
      <c r="N874" s="5">
        <v>0</v>
      </c>
      <c r="O874" s="7">
        <v>1.6203703703703703E-4</v>
      </c>
      <c r="P874" s="7">
        <v>1.736111111111111E-3</v>
      </c>
      <c r="Q874" s="7">
        <v>1.7013888888888888E-3</v>
      </c>
      <c r="R874" s="6">
        <v>0.87180000000000002</v>
      </c>
      <c r="S874" s="8">
        <f>CONVERT(Table1[[#This Row],[Talk Duration (AVG)]]*Table1[[#This Row],[Answered Calls]],"day","hr")</f>
        <v>1.625</v>
      </c>
      <c r="T874" s="9">
        <f>Table1[[#This Row],[Actual Workload hours]]*60</f>
        <v>97.5</v>
      </c>
      <c r="U874" s="9">
        <f>CONVERT(Table1[[#This Row],[Actual]]*Table1[[#This Row],[Talk Duration (AVG)]],"day","hr")</f>
        <v>14.291666666666664</v>
      </c>
      <c r="V874" s="10">
        <f>Table1[[#This Row],[Required Workload Hours]]*60</f>
        <v>857.49999999999989</v>
      </c>
      <c r="W874" s="9">
        <v>1</v>
      </c>
      <c r="X874" s="9">
        <f t="shared" si="26"/>
        <v>2.2330729166666665</v>
      </c>
      <c r="Y874" s="5">
        <f t="shared" si="27"/>
        <v>1</v>
      </c>
      <c r="Z874" s="8">
        <f>ROUNDUP(Table1[[#This Row],[Actual Heacount]],0)</f>
        <v>1</v>
      </c>
      <c r="AA874" s="8"/>
      <c r="AB874" s="10"/>
      <c r="AC874" s="10"/>
      <c r="AD874" s="10"/>
      <c r="AE874" s="11">
        <v>140.4788145289115</v>
      </c>
      <c r="AF874" s="11">
        <v>343.21788820692569</v>
      </c>
      <c r="AG874" t="s">
        <v>34</v>
      </c>
    </row>
    <row r="875" spans="1:33">
      <c r="A875" s="2">
        <v>44750</v>
      </c>
      <c r="B875" s="5" t="s">
        <v>39</v>
      </c>
      <c r="C875" s="5">
        <f>WEEKDAY(Table1[[#This Row],[Date]])</f>
        <v>6</v>
      </c>
      <c r="D875" s="5">
        <f>MONTH(Table1[[#This Row],[Date]])</f>
        <v>7</v>
      </c>
      <c r="E875" s="5">
        <f>WEEKNUM(Table1[[#This Row],[Date]])</f>
        <v>28</v>
      </c>
      <c r="F875" s="5">
        <f>YEAR(Table1[[#This Row],[Date]])</f>
        <v>2022</v>
      </c>
      <c r="G875">
        <v>14</v>
      </c>
      <c r="L875" s="5">
        <v>194</v>
      </c>
      <c r="M875" s="6">
        <v>0.93269999999999997</v>
      </c>
      <c r="N875" s="5">
        <v>14</v>
      </c>
      <c r="O875" s="7">
        <v>1.9675925925925926E-4</v>
      </c>
      <c r="P875" s="7">
        <v>2.0138888888888888E-3</v>
      </c>
      <c r="Q875" s="7">
        <v>2.0717592592592593E-3</v>
      </c>
      <c r="R875" s="6">
        <v>0.76959999999999995</v>
      </c>
      <c r="S875" s="8">
        <f>CONVERT(Table1[[#This Row],[Talk Duration (AVG)]]*Table1[[#This Row],[Answered Calls]],"day","hr")</f>
        <v>9.3766666666666669</v>
      </c>
      <c r="T875" s="9">
        <f>Table1[[#This Row],[Actual Workload hours]]*60</f>
        <v>562.6</v>
      </c>
      <c r="U875" s="9">
        <f>CONVERT(Table1[[#This Row],[Actual]]*Table1[[#This Row],[Talk Duration (AVG)]],"day","hr")</f>
        <v>0.67666666666666664</v>
      </c>
      <c r="V875" s="10">
        <f>Table1[[#This Row],[Required Workload Hours]]*60</f>
        <v>40.6</v>
      </c>
      <c r="W875" s="9">
        <v>1.47</v>
      </c>
      <c r="X875" s="9">
        <f t="shared" si="26"/>
        <v>1</v>
      </c>
      <c r="Y875" s="5">
        <f t="shared" si="27"/>
        <v>2</v>
      </c>
      <c r="Z875" s="8">
        <f>ROUNDUP(Table1[[#This Row],[Actual Heacount]],0)</f>
        <v>2</v>
      </c>
      <c r="AA875" s="8"/>
      <c r="AB875" s="10"/>
      <c r="AC875" s="10"/>
      <c r="AD875" s="10"/>
      <c r="AE875" s="11">
        <v>116.67797243082521</v>
      </c>
      <c r="AF875" s="11">
        <v>330.10189304798968</v>
      </c>
      <c r="AG875" t="s">
        <v>34</v>
      </c>
    </row>
    <row r="876" spans="1:33">
      <c r="A876" s="2">
        <v>44751</v>
      </c>
      <c r="B876" s="5" t="s">
        <v>40</v>
      </c>
      <c r="C876" s="5">
        <f>WEEKDAY(Table1[[#This Row],[Date]])</f>
        <v>7</v>
      </c>
      <c r="D876" s="5">
        <f>MONTH(Table1[[#This Row],[Date]])</f>
        <v>7</v>
      </c>
      <c r="E876" s="5">
        <f>WEEKNUM(Table1[[#This Row],[Date]])</f>
        <v>28</v>
      </c>
      <c r="F876" s="5">
        <f>YEAR(Table1[[#This Row],[Date]])</f>
        <v>2022</v>
      </c>
      <c r="G876">
        <v>202</v>
      </c>
      <c r="L876" s="5">
        <v>38</v>
      </c>
      <c r="M876" s="6">
        <v>0.97440000000000004</v>
      </c>
      <c r="N876" s="5">
        <v>1</v>
      </c>
      <c r="O876" s="7">
        <v>4.6296296296296294E-5</v>
      </c>
      <c r="P876" s="7">
        <v>1.6319444444444445E-3</v>
      </c>
      <c r="Q876" s="7">
        <v>7.1759259259259259E-4</v>
      </c>
      <c r="R876" s="6">
        <v>0.94869999999999999</v>
      </c>
      <c r="S876" s="8">
        <f>CONVERT(Table1[[#This Row],[Talk Duration (AVG)]]*Table1[[#This Row],[Answered Calls]],"day","hr")</f>
        <v>1.4883333333333335</v>
      </c>
      <c r="T876" s="9">
        <f>Table1[[#This Row],[Actual Workload hours]]*60</f>
        <v>89.300000000000011</v>
      </c>
      <c r="U876" s="9">
        <f>CONVERT(Table1[[#This Row],[Actual]]*Table1[[#This Row],[Talk Duration (AVG)]],"day","hr")</f>
        <v>7.9116666666666671</v>
      </c>
      <c r="V876" s="10">
        <f>Table1[[#This Row],[Required Workload Hours]]*60</f>
        <v>474.70000000000005</v>
      </c>
      <c r="W876" s="9">
        <v>1</v>
      </c>
      <c r="X876" s="9">
        <f t="shared" si="26"/>
        <v>1.2361979166666668</v>
      </c>
      <c r="Y876" s="5">
        <f t="shared" si="27"/>
        <v>2</v>
      </c>
      <c r="Z876" s="8">
        <f>ROUNDUP(Table1[[#This Row],[Actual Heacount]],0)</f>
        <v>1</v>
      </c>
      <c r="AA876" s="8"/>
      <c r="AB876" s="10"/>
      <c r="AC876" s="10"/>
      <c r="AD876" s="10"/>
      <c r="AE876" s="11">
        <v>127.6659835067816</v>
      </c>
      <c r="AF876" s="11">
        <v>339.82481794994197</v>
      </c>
      <c r="AG876" t="s">
        <v>34</v>
      </c>
    </row>
    <row r="877" spans="1:33">
      <c r="A877" s="2">
        <v>44752</v>
      </c>
      <c r="B877" s="5" t="s">
        <v>33</v>
      </c>
      <c r="C877" s="5">
        <f>WEEKDAY(Table1[[#This Row],[Date]])</f>
        <v>1</v>
      </c>
      <c r="D877" s="5">
        <f>MONTH(Table1[[#This Row],[Date]])</f>
        <v>7</v>
      </c>
      <c r="E877" s="5">
        <f>WEEKNUM(Table1[[#This Row],[Date]])</f>
        <v>29</v>
      </c>
      <c r="F877" s="5">
        <f>YEAR(Table1[[#This Row],[Date]])</f>
        <v>2022</v>
      </c>
      <c r="G877">
        <v>183</v>
      </c>
      <c r="L877" s="5">
        <v>110</v>
      </c>
      <c r="M877" s="6">
        <v>0.95650000000000002</v>
      </c>
      <c r="N877" s="5">
        <v>5</v>
      </c>
      <c r="O877" s="7">
        <v>9.2592592592592588E-5</v>
      </c>
      <c r="P877" s="7">
        <v>1.9212962962962964E-3</v>
      </c>
      <c r="Q877" s="7">
        <v>2.9166666666666668E-3</v>
      </c>
      <c r="R877" s="6">
        <v>0.90429999999999999</v>
      </c>
      <c r="S877" s="8">
        <f>CONVERT(Table1[[#This Row],[Talk Duration (AVG)]]*Table1[[#This Row],[Answered Calls]],"day","hr")</f>
        <v>5.072222222222222</v>
      </c>
      <c r="T877" s="9">
        <f>Table1[[#This Row],[Actual Workload hours]]*60</f>
        <v>304.33333333333331</v>
      </c>
      <c r="U877" s="9">
        <f>CONVERT(Table1[[#This Row],[Actual]]*Table1[[#This Row],[Talk Duration (AVG)]],"day","hr")</f>
        <v>8.4383333333333326</v>
      </c>
      <c r="V877" s="10">
        <f>Table1[[#This Row],[Required Workload Hours]]*60</f>
        <v>506.29999999999995</v>
      </c>
      <c r="W877" s="9">
        <v>1</v>
      </c>
      <c r="X877" s="9">
        <f t="shared" si="26"/>
        <v>1.3184895833333332</v>
      </c>
      <c r="Y877" s="5">
        <f t="shared" si="27"/>
        <v>2</v>
      </c>
      <c r="Z877" s="8">
        <f>ROUNDUP(Table1[[#This Row],[Actual Heacount]],0)</f>
        <v>1</v>
      </c>
      <c r="AA877" s="8"/>
      <c r="AB877" s="10"/>
      <c r="AC877" s="10"/>
      <c r="AD877" s="10"/>
      <c r="AE877" s="11">
        <v>39.71059639044276</v>
      </c>
      <c r="AF877" s="11">
        <v>259.19537352383742</v>
      </c>
      <c r="AG877" t="s">
        <v>34</v>
      </c>
    </row>
    <row r="878" spans="1:33">
      <c r="A878" s="2">
        <v>44753</v>
      </c>
      <c r="B878" s="5" t="s">
        <v>35</v>
      </c>
      <c r="C878" s="5">
        <f>WEEKDAY(Table1[[#This Row],[Date]])</f>
        <v>2</v>
      </c>
      <c r="D878" s="5">
        <f>MONTH(Table1[[#This Row],[Date]])</f>
        <v>7</v>
      </c>
      <c r="E878" s="5">
        <f>WEEKNUM(Table1[[#This Row],[Date]])</f>
        <v>29</v>
      </c>
      <c r="F878" s="5">
        <f>YEAR(Table1[[#This Row],[Date]])</f>
        <v>2022</v>
      </c>
      <c r="G878">
        <v>161</v>
      </c>
      <c r="L878" s="5">
        <v>308</v>
      </c>
      <c r="M878" s="6">
        <v>0.91120000000000001</v>
      </c>
      <c r="N878" s="5">
        <v>30</v>
      </c>
      <c r="O878" s="7">
        <v>3.1250000000000001E-4</v>
      </c>
      <c r="P878" s="7">
        <v>1.9675925925925924E-3</v>
      </c>
      <c r="Q878" s="7">
        <v>2.9050925925925928E-3</v>
      </c>
      <c r="R878" s="6">
        <v>0.63100000000000001</v>
      </c>
      <c r="S878" s="8">
        <f>CONVERT(Table1[[#This Row],[Talk Duration (AVG)]]*Table1[[#This Row],[Answered Calls]],"day","hr")</f>
        <v>14.544444444444444</v>
      </c>
      <c r="T878" s="9">
        <f>Table1[[#This Row],[Actual Workload hours]]*60</f>
        <v>872.66666666666663</v>
      </c>
      <c r="U878" s="9">
        <f>CONVERT(Table1[[#This Row],[Actual]]*Table1[[#This Row],[Talk Duration (AVG)]],"day","hr")</f>
        <v>7.602777777777777</v>
      </c>
      <c r="V878" s="10">
        <f>Table1[[#This Row],[Required Workload Hours]]*60</f>
        <v>456.16666666666663</v>
      </c>
      <c r="W878" s="9">
        <v>2.27</v>
      </c>
      <c r="X878" s="9">
        <f t="shared" si="26"/>
        <v>1.1879340277777777</v>
      </c>
      <c r="Y878" s="5">
        <f t="shared" si="27"/>
        <v>2</v>
      </c>
      <c r="Z878" s="8">
        <f>ROUNDUP(Table1[[#This Row],[Actual Heacount]],0)</f>
        <v>3</v>
      </c>
      <c r="AA878" s="8"/>
      <c r="AB878" s="10"/>
      <c r="AC878" s="10"/>
      <c r="AD878" s="10"/>
      <c r="AE878" s="11">
        <v>142.41315189659329</v>
      </c>
      <c r="AF878" s="11">
        <v>359.79602788918351</v>
      </c>
      <c r="AG878" t="s">
        <v>34</v>
      </c>
    </row>
    <row r="879" spans="1:33">
      <c r="A879" s="2">
        <v>44754</v>
      </c>
      <c r="B879" s="5" t="s">
        <v>36</v>
      </c>
      <c r="C879" s="5">
        <f>WEEKDAY(Table1[[#This Row],[Date]])</f>
        <v>3</v>
      </c>
      <c r="D879" s="5">
        <f>MONTH(Table1[[#This Row],[Date]])</f>
        <v>7</v>
      </c>
      <c r="E879" s="5">
        <f>WEEKNUM(Table1[[#This Row],[Date]])</f>
        <v>29</v>
      </c>
      <c r="F879" s="5">
        <f>YEAR(Table1[[#This Row],[Date]])</f>
        <v>2022</v>
      </c>
      <c r="G879">
        <v>229</v>
      </c>
      <c r="L879" s="5">
        <v>320</v>
      </c>
      <c r="M879" s="6">
        <v>0.79210000000000003</v>
      </c>
      <c r="N879" s="5">
        <v>84</v>
      </c>
      <c r="O879" s="7">
        <v>5.2083333333333333E-4</v>
      </c>
      <c r="P879" s="7">
        <v>2.0601851851851853E-3</v>
      </c>
      <c r="Q879" s="7">
        <v>8.2523148148148148E-3</v>
      </c>
      <c r="R879" s="6">
        <v>0.51390000000000002</v>
      </c>
      <c r="S879" s="8">
        <f>CONVERT(Table1[[#This Row],[Talk Duration (AVG)]]*Table1[[#This Row],[Answered Calls]],"day","hr")</f>
        <v>15.822222222222225</v>
      </c>
      <c r="T879" s="9">
        <f>Table1[[#This Row],[Actual Workload hours]]*60</f>
        <v>949.33333333333348</v>
      </c>
      <c r="U879" s="9">
        <f>CONVERT(Table1[[#This Row],[Actual]]*Table1[[#This Row],[Talk Duration (AVG)]],"day","hr")</f>
        <v>11.32277777777778</v>
      </c>
      <c r="V879" s="10">
        <f>Table1[[#This Row],[Required Workload Hours]]*60</f>
        <v>679.36666666666679</v>
      </c>
      <c r="W879" s="9">
        <v>2.4700000000000002</v>
      </c>
      <c r="X879" s="9">
        <f t="shared" si="26"/>
        <v>1.7691840277777782</v>
      </c>
      <c r="Y879" s="5">
        <f t="shared" si="27"/>
        <v>2</v>
      </c>
      <c r="Z879" s="8">
        <f>ROUNDUP(Table1[[#This Row],[Actual Heacount]],0)</f>
        <v>3</v>
      </c>
      <c r="AA879" s="8"/>
      <c r="AB879" s="10"/>
      <c r="AC879" s="10"/>
      <c r="AD879" s="10"/>
      <c r="AE879" s="11">
        <v>112.3611049154327</v>
      </c>
      <c r="AF879" s="11">
        <v>341.06339731026151</v>
      </c>
      <c r="AG879" t="s">
        <v>34</v>
      </c>
    </row>
    <row r="880" spans="1:33">
      <c r="A880" s="2">
        <v>44755</v>
      </c>
      <c r="B880" s="5" t="s">
        <v>37</v>
      </c>
      <c r="C880" s="5">
        <f>WEEKDAY(Table1[[#This Row],[Date]])</f>
        <v>4</v>
      </c>
      <c r="D880" s="5">
        <f>MONTH(Table1[[#This Row],[Date]])</f>
        <v>7</v>
      </c>
      <c r="E880" s="5">
        <f>WEEKNUM(Table1[[#This Row],[Date]])</f>
        <v>29</v>
      </c>
      <c r="F880" s="5">
        <f>YEAR(Table1[[#This Row],[Date]])</f>
        <v>2022</v>
      </c>
      <c r="G880">
        <v>258</v>
      </c>
      <c r="L880" s="5">
        <v>393</v>
      </c>
      <c r="M880" s="6">
        <v>0.90139999999999998</v>
      </c>
      <c r="N880" s="5">
        <v>43</v>
      </c>
      <c r="O880" s="7">
        <v>3.0092592592592595E-4</v>
      </c>
      <c r="P880" s="7">
        <v>1.9791666666666668E-3</v>
      </c>
      <c r="Q880" s="7">
        <v>4.31712962962963E-3</v>
      </c>
      <c r="R880" s="6">
        <v>0.65259999999999996</v>
      </c>
      <c r="S880" s="8">
        <f>CONVERT(Table1[[#This Row],[Talk Duration (AVG)]]*Table1[[#This Row],[Answered Calls]],"day","hr")</f>
        <v>18.6675</v>
      </c>
      <c r="T880" s="9">
        <f>Table1[[#This Row],[Actual Workload hours]]*60</f>
        <v>1120.05</v>
      </c>
      <c r="U880" s="9">
        <f>CONVERT(Table1[[#This Row],[Actual]]*Table1[[#This Row],[Talk Duration (AVG)]],"day","hr")</f>
        <v>12.255000000000001</v>
      </c>
      <c r="V880" s="10">
        <f>Table1[[#This Row],[Required Workload Hours]]*60</f>
        <v>735.30000000000007</v>
      </c>
      <c r="W880" s="9">
        <v>2.92</v>
      </c>
      <c r="X880" s="9">
        <f t="shared" si="26"/>
        <v>1.9148437500000002</v>
      </c>
      <c r="Y880" s="5">
        <f t="shared" si="27"/>
        <v>2</v>
      </c>
      <c r="Z880" s="8">
        <f>ROUNDUP(Table1[[#This Row],[Actual Heacount]],0)</f>
        <v>3</v>
      </c>
      <c r="AA880" s="8"/>
      <c r="AB880" s="10"/>
      <c r="AC880" s="10"/>
      <c r="AD880" s="10"/>
      <c r="AE880" s="11">
        <v>127.0829627149964</v>
      </c>
      <c r="AF880" s="11">
        <v>349.83106038126459</v>
      </c>
      <c r="AG880" t="s">
        <v>34</v>
      </c>
    </row>
    <row r="881" spans="1:33">
      <c r="A881" s="2">
        <v>44756</v>
      </c>
      <c r="B881" s="5" t="s">
        <v>38</v>
      </c>
      <c r="C881" s="5">
        <f>WEEKDAY(Table1[[#This Row],[Date]])</f>
        <v>5</v>
      </c>
      <c r="D881" s="5">
        <f>MONTH(Table1[[#This Row],[Date]])</f>
        <v>7</v>
      </c>
      <c r="E881" s="5">
        <f>WEEKNUM(Table1[[#This Row],[Date]])</f>
        <v>29</v>
      </c>
      <c r="F881" s="5">
        <f>YEAR(Table1[[#This Row],[Date]])</f>
        <v>2022</v>
      </c>
      <c r="G881">
        <v>282</v>
      </c>
      <c r="L881" s="5">
        <v>72</v>
      </c>
      <c r="M881" s="6">
        <v>0.98629999999999995</v>
      </c>
      <c r="N881" s="5">
        <v>1</v>
      </c>
      <c r="O881" s="7">
        <v>8.1018518518518516E-5</v>
      </c>
      <c r="P881" s="7">
        <v>1.9212962962962964E-3</v>
      </c>
      <c r="Q881" s="7">
        <v>1.1921296296296296E-3</v>
      </c>
      <c r="R881" s="6">
        <v>0.93149999999999999</v>
      </c>
      <c r="S881" s="8">
        <f>CONVERT(Table1[[#This Row],[Talk Duration (AVG)]]*Table1[[#This Row],[Answered Calls]],"day","hr")</f>
        <v>3.32</v>
      </c>
      <c r="T881" s="9">
        <f>Table1[[#This Row],[Actual Workload hours]]*60</f>
        <v>199.2</v>
      </c>
      <c r="U881" s="9">
        <f>CONVERT(Table1[[#This Row],[Actual]]*Table1[[#This Row],[Talk Duration (AVG)]],"day","hr")</f>
        <v>13.003333333333334</v>
      </c>
      <c r="V881" s="10">
        <f>Table1[[#This Row],[Required Workload Hours]]*60</f>
        <v>780.2</v>
      </c>
      <c r="W881" s="9">
        <v>1</v>
      </c>
      <c r="X881" s="9">
        <f t="shared" si="26"/>
        <v>2.0317708333333333</v>
      </c>
      <c r="Y881" s="5">
        <f t="shared" si="27"/>
        <v>1</v>
      </c>
      <c r="Z881" s="8">
        <f>ROUNDUP(Table1[[#This Row],[Actual Heacount]],0)</f>
        <v>1</v>
      </c>
      <c r="AA881" s="8"/>
      <c r="AB881" s="10"/>
      <c r="AC881" s="10"/>
      <c r="AD881" s="10"/>
      <c r="AE881" s="11">
        <v>129.77429081084841</v>
      </c>
      <c r="AF881" s="11">
        <v>345.5315360284178</v>
      </c>
      <c r="AG881" t="s">
        <v>34</v>
      </c>
    </row>
    <row r="882" spans="1:33">
      <c r="A882" s="2">
        <v>44757</v>
      </c>
      <c r="B882" s="5" t="s">
        <v>39</v>
      </c>
      <c r="C882" s="5">
        <f>WEEKDAY(Table1[[#This Row],[Date]])</f>
        <v>6</v>
      </c>
      <c r="D882" s="5">
        <f>MONTH(Table1[[#This Row],[Date]])</f>
        <v>7</v>
      </c>
      <c r="E882" s="5">
        <f>WEEKNUM(Table1[[#This Row],[Date]])</f>
        <v>29</v>
      </c>
      <c r="F882" s="5">
        <f>YEAR(Table1[[#This Row],[Date]])</f>
        <v>2022</v>
      </c>
      <c r="G882">
        <v>253</v>
      </c>
      <c r="L882" s="5">
        <v>492</v>
      </c>
      <c r="M882" s="6">
        <v>0.94430000000000003</v>
      </c>
      <c r="N882" s="5">
        <v>29</v>
      </c>
      <c r="O882" s="7">
        <v>1.9675925925925926E-4</v>
      </c>
      <c r="P882" s="7">
        <v>1.9097222222222222E-3</v>
      </c>
      <c r="Q882" s="7">
        <v>2.3495370370370371E-3</v>
      </c>
      <c r="R882" s="6">
        <v>0.78939999999999999</v>
      </c>
      <c r="S882" s="8">
        <f>CONVERT(Table1[[#This Row],[Talk Duration (AVG)]]*Table1[[#This Row],[Answered Calls]],"day","hr")</f>
        <v>22.55</v>
      </c>
      <c r="T882" s="9">
        <f>Table1[[#This Row],[Actual Workload hours]]*60</f>
        <v>1353</v>
      </c>
      <c r="U882" s="9">
        <f>CONVERT(Table1[[#This Row],[Actual]]*Table1[[#This Row],[Talk Duration (AVG)]],"day","hr")</f>
        <v>11.595833333333333</v>
      </c>
      <c r="V882" s="10">
        <f>Table1[[#This Row],[Required Workload Hours]]*60</f>
        <v>695.75</v>
      </c>
      <c r="W882" s="9">
        <v>3.52</v>
      </c>
      <c r="X882" s="9">
        <f t="shared" si="26"/>
        <v>1.8118489583333333</v>
      </c>
      <c r="Y882" s="5">
        <f t="shared" si="27"/>
        <v>2</v>
      </c>
      <c r="Z882" s="8">
        <f>ROUNDUP(Table1[[#This Row],[Actual Heacount]],0)</f>
        <v>4</v>
      </c>
      <c r="AA882" s="8"/>
      <c r="AB882" s="10"/>
      <c r="AC882" s="10"/>
      <c r="AD882" s="10"/>
      <c r="AE882" s="11">
        <v>110.75937145200049</v>
      </c>
      <c r="AF882" s="11">
        <v>341.45654620497822</v>
      </c>
      <c r="AG882" t="s">
        <v>34</v>
      </c>
    </row>
    <row r="883" spans="1:33">
      <c r="A883" s="2">
        <v>44758</v>
      </c>
      <c r="B883" s="5" t="s">
        <v>40</v>
      </c>
      <c r="C883" s="5">
        <f>WEEKDAY(Table1[[#This Row],[Date]])</f>
        <v>7</v>
      </c>
      <c r="D883" s="5">
        <f>MONTH(Table1[[#This Row],[Date]])</f>
        <v>7</v>
      </c>
      <c r="E883" s="5">
        <f>WEEKNUM(Table1[[#This Row],[Date]])</f>
        <v>29</v>
      </c>
      <c r="F883" s="5">
        <f>YEAR(Table1[[#This Row],[Date]])</f>
        <v>2022</v>
      </c>
      <c r="G883">
        <v>266</v>
      </c>
      <c r="L883" s="5">
        <v>564</v>
      </c>
      <c r="M883" s="6">
        <v>0.87039999999999995</v>
      </c>
      <c r="N883" s="5">
        <v>84</v>
      </c>
      <c r="O883" s="7">
        <v>3.1250000000000001E-4</v>
      </c>
      <c r="P883" s="7">
        <v>1.9212962962962964E-3</v>
      </c>
      <c r="Q883" s="7">
        <v>3.7615740740740739E-3</v>
      </c>
      <c r="R883" s="6">
        <v>0.61360000000000003</v>
      </c>
      <c r="S883" s="8">
        <f>CONVERT(Table1[[#This Row],[Talk Duration (AVG)]]*Table1[[#This Row],[Answered Calls]],"day","hr")</f>
        <v>26.006666666666668</v>
      </c>
      <c r="T883" s="9">
        <f>Table1[[#This Row],[Actual Workload hours]]*60</f>
        <v>1560.4</v>
      </c>
      <c r="U883" s="9">
        <f>CONVERT(Table1[[#This Row],[Actual]]*Table1[[#This Row],[Talk Duration (AVG)]],"day","hr")</f>
        <v>12.265555555555556</v>
      </c>
      <c r="V883" s="10">
        <f>Table1[[#This Row],[Required Workload Hours]]*60</f>
        <v>735.93333333333339</v>
      </c>
      <c r="W883" s="9">
        <v>4.0599999999999996</v>
      </c>
      <c r="X883" s="9">
        <f t="shared" si="26"/>
        <v>1.9164930555555557</v>
      </c>
      <c r="Y883" s="5">
        <f t="shared" si="27"/>
        <v>2</v>
      </c>
      <c r="Z883" s="8">
        <f>ROUNDUP(Table1[[#This Row],[Actual Heacount]],0)</f>
        <v>5</v>
      </c>
      <c r="AA883" s="8"/>
      <c r="AB883" s="10"/>
      <c r="AC883" s="10"/>
      <c r="AD883" s="10"/>
      <c r="AE883" s="11">
        <v>117.28736664143111</v>
      </c>
      <c r="AF883" s="11">
        <v>346.18286112837347</v>
      </c>
      <c r="AG883" t="s">
        <v>34</v>
      </c>
    </row>
    <row r="884" spans="1:33">
      <c r="A884" s="2">
        <v>44759</v>
      </c>
      <c r="B884" s="5" t="s">
        <v>33</v>
      </c>
      <c r="C884" s="5">
        <f>WEEKDAY(Table1[[#This Row],[Date]])</f>
        <v>1</v>
      </c>
      <c r="D884" s="5">
        <f>MONTH(Table1[[#This Row],[Date]])</f>
        <v>7</v>
      </c>
      <c r="E884" s="5">
        <f>WEEKNUM(Table1[[#This Row],[Date]])</f>
        <v>30</v>
      </c>
      <c r="F884" s="5">
        <f>YEAR(Table1[[#This Row],[Date]])</f>
        <v>2022</v>
      </c>
      <c r="G884">
        <v>30</v>
      </c>
      <c r="L884" s="5">
        <v>592</v>
      </c>
      <c r="M884" s="6">
        <v>0.81210000000000004</v>
      </c>
      <c r="N884" s="5">
        <v>137</v>
      </c>
      <c r="O884" s="7">
        <v>6.3657407407407413E-4</v>
      </c>
      <c r="P884" s="7">
        <v>2.0023148148148148E-3</v>
      </c>
      <c r="Q884" s="7">
        <v>5.1967592592592595E-3</v>
      </c>
      <c r="R884" s="6">
        <v>0.35830000000000001</v>
      </c>
      <c r="S884" s="8">
        <f>CONVERT(Table1[[#This Row],[Talk Duration (AVG)]]*Table1[[#This Row],[Answered Calls]],"day","hr")</f>
        <v>28.448888888888888</v>
      </c>
      <c r="T884" s="9">
        <f>Table1[[#This Row],[Actual Workload hours]]*60</f>
        <v>1706.9333333333334</v>
      </c>
      <c r="U884" s="9">
        <f>CONVERT(Table1[[#This Row],[Actual]]*Table1[[#This Row],[Talk Duration (AVG)]],"day","hr")</f>
        <v>1.4416666666666667</v>
      </c>
      <c r="V884" s="10">
        <f>Table1[[#This Row],[Required Workload Hours]]*60</f>
        <v>86.5</v>
      </c>
      <c r="W884" s="9">
        <v>4.45</v>
      </c>
      <c r="X884" s="9">
        <f t="shared" si="26"/>
        <v>1</v>
      </c>
      <c r="Y884" s="5">
        <f t="shared" si="27"/>
        <v>2</v>
      </c>
      <c r="Z884" s="8">
        <f>ROUNDUP(Table1[[#This Row],[Actual Heacount]],0)</f>
        <v>5</v>
      </c>
      <c r="AA884" s="8"/>
      <c r="AB884" s="10"/>
      <c r="AC884" s="10"/>
      <c r="AD884" s="10"/>
      <c r="AE884" s="11">
        <v>32.154750912173057</v>
      </c>
      <c r="AF884" s="11">
        <v>253.40524445765541</v>
      </c>
      <c r="AG884" t="s">
        <v>34</v>
      </c>
    </row>
    <row r="885" spans="1:33">
      <c r="A885" s="2">
        <v>44760</v>
      </c>
      <c r="B885" s="5" t="s">
        <v>35</v>
      </c>
      <c r="C885" s="5">
        <f>WEEKDAY(Table1[[#This Row],[Date]])</f>
        <v>2</v>
      </c>
      <c r="D885" s="5">
        <f>MONTH(Table1[[#This Row],[Date]])</f>
        <v>7</v>
      </c>
      <c r="E885" s="5">
        <f>WEEKNUM(Table1[[#This Row],[Date]])</f>
        <v>30</v>
      </c>
      <c r="F885" s="5">
        <f>YEAR(Table1[[#This Row],[Date]])</f>
        <v>2022</v>
      </c>
      <c r="G885">
        <v>258</v>
      </c>
      <c r="L885" s="5">
        <v>718</v>
      </c>
      <c r="M885" s="6">
        <v>0.60029999999999994</v>
      </c>
      <c r="N885" s="5">
        <v>478</v>
      </c>
      <c r="O885" s="7">
        <v>1.2962962962962963E-3</v>
      </c>
      <c r="P885" s="7">
        <v>2.1875000000000002E-3</v>
      </c>
      <c r="Q885" s="7">
        <v>7.7083333333333335E-3</v>
      </c>
      <c r="R885" s="6">
        <v>0.1462</v>
      </c>
      <c r="S885" s="8">
        <f>CONVERT(Table1[[#This Row],[Talk Duration (AVG)]]*Table1[[#This Row],[Answered Calls]],"day","hr")</f>
        <v>37.695</v>
      </c>
      <c r="T885" s="9">
        <f>Table1[[#This Row],[Actual Workload hours]]*60</f>
        <v>2261.6999999999998</v>
      </c>
      <c r="U885" s="9">
        <f>CONVERT(Table1[[#This Row],[Actual]]*Table1[[#This Row],[Talk Duration (AVG)]],"day","hr")</f>
        <v>13.545000000000002</v>
      </c>
      <c r="V885" s="10">
        <f>Table1[[#This Row],[Required Workload Hours]]*60</f>
        <v>812.7</v>
      </c>
      <c r="W885" s="9">
        <v>5.89</v>
      </c>
      <c r="X885" s="9">
        <f t="shared" si="26"/>
        <v>2.1164062500000003</v>
      </c>
      <c r="Y885" s="5">
        <f t="shared" si="27"/>
        <v>2</v>
      </c>
      <c r="Z885" s="8">
        <f>ROUNDUP(Table1[[#This Row],[Actual Heacount]],0)</f>
        <v>6</v>
      </c>
      <c r="AA885" s="8"/>
      <c r="AB885" s="10"/>
      <c r="AC885" s="10"/>
      <c r="AD885" s="10"/>
      <c r="AE885" s="11">
        <v>124.17004185532249</v>
      </c>
      <c r="AF885" s="11">
        <v>354.86291075246652</v>
      </c>
      <c r="AG885" t="s">
        <v>34</v>
      </c>
    </row>
    <row r="886" spans="1:33">
      <c r="A886" s="2">
        <v>44761</v>
      </c>
      <c r="B886" s="5" t="s">
        <v>36</v>
      </c>
      <c r="C886" s="5">
        <f>WEEKDAY(Table1[[#This Row],[Date]])</f>
        <v>3</v>
      </c>
      <c r="D886" s="5">
        <f>MONTH(Table1[[#This Row],[Date]])</f>
        <v>7</v>
      </c>
      <c r="E886" s="5">
        <f>WEEKNUM(Table1[[#This Row],[Date]])</f>
        <v>30</v>
      </c>
      <c r="F886" s="5">
        <f>YEAR(Table1[[#This Row],[Date]])</f>
        <v>2022</v>
      </c>
      <c r="G886">
        <v>293</v>
      </c>
      <c r="L886" s="5">
        <v>323</v>
      </c>
      <c r="M886" s="6">
        <v>0.74080000000000001</v>
      </c>
      <c r="N886" s="5">
        <v>113</v>
      </c>
      <c r="O886" s="7">
        <v>5.0925925925925921E-4</v>
      </c>
      <c r="P886" s="7">
        <v>2.1064814814814813E-3</v>
      </c>
      <c r="Q886" s="7">
        <v>4.3055555555555555E-3</v>
      </c>
      <c r="R886" s="6">
        <v>0.4375</v>
      </c>
      <c r="S886" s="8">
        <f>CONVERT(Table1[[#This Row],[Talk Duration (AVG)]]*Table1[[#This Row],[Answered Calls]],"day","hr")</f>
        <v>16.329444444444444</v>
      </c>
      <c r="T886" s="9">
        <f>Table1[[#This Row],[Actual Workload hours]]*60</f>
        <v>979.76666666666665</v>
      </c>
      <c r="U886" s="9">
        <f>CONVERT(Table1[[#This Row],[Actual]]*Table1[[#This Row],[Talk Duration (AVG)]],"day","hr")</f>
        <v>14.812777777777777</v>
      </c>
      <c r="V886" s="10">
        <f>Table1[[#This Row],[Required Workload Hours]]*60</f>
        <v>888.76666666666665</v>
      </c>
      <c r="W886" s="9">
        <v>2.5499999999999998</v>
      </c>
      <c r="X886" s="9">
        <f t="shared" si="26"/>
        <v>2.3144965277777776</v>
      </c>
      <c r="Y886" s="5">
        <f t="shared" si="27"/>
        <v>2</v>
      </c>
      <c r="Z886" s="8">
        <f>ROUNDUP(Table1[[#This Row],[Actual Heacount]],0)</f>
        <v>3</v>
      </c>
      <c r="AA886" s="8"/>
      <c r="AB886" s="10"/>
      <c r="AC886" s="10"/>
      <c r="AD886" s="10"/>
      <c r="AE886" s="11">
        <v>118.1911835107426</v>
      </c>
      <c r="AF886" s="11">
        <v>327.14459201855192</v>
      </c>
      <c r="AG886" t="s">
        <v>34</v>
      </c>
    </row>
    <row r="887" spans="1:33">
      <c r="A887" s="2">
        <v>44762</v>
      </c>
      <c r="B887" s="5" t="s">
        <v>37</v>
      </c>
      <c r="C887" s="5">
        <f>WEEKDAY(Table1[[#This Row],[Date]])</f>
        <v>4</v>
      </c>
      <c r="D887" s="5">
        <f>MONTH(Table1[[#This Row],[Date]])</f>
        <v>7</v>
      </c>
      <c r="E887" s="5">
        <f>WEEKNUM(Table1[[#This Row],[Date]])</f>
        <v>30</v>
      </c>
      <c r="F887" s="5">
        <f>YEAR(Table1[[#This Row],[Date]])</f>
        <v>2022</v>
      </c>
      <c r="G887">
        <v>377</v>
      </c>
      <c r="L887" s="5">
        <v>178</v>
      </c>
      <c r="M887" s="6">
        <v>0.93189999999999995</v>
      </c>
      <c r="N887" s="5">
        <v>13</v>
      </c>
      <c r="O887" s="7">
        <v>1.8518518518518518E-4</v>
      </c>
      <c r="P887" s="7">
        <v>1.9791666666666668E-3</v>
      </c>
      <c r="Q887" s="7">
        <v>2.8703703703703703E-3</v>
      </c>
      <c r="R887" s="6">
        <v>0.80530000000000002</v>
      </c>
      <c r="S887" s="8">
        <f>CONVERT(Table1[[#This Row],[Talk Duration (AVG)]]*Table1[[#This Row],[Answered Calls]],"day","hr")</f>
        <v>8.4550000000000001</v>
      </c>
      <c r="T887" s="9">
        <f>Table1[[#This Row],[Actual Workload hours]]*60</f>
        <v>507.3</v>
      </c>
      <c r="U887" s="9">
        <f>CONVERT(Table1[[#This Row],[Actual]]*Table1[[#This Row],[Talk Duration (AVG)]],"day","hr")</f>
        <v>17.907500000000002</v>
      </c>
      <c r="V887" s="10">
        <f>Table1[[#This Row],[Required Workload Hours]]*60</f>
        <v>1074.45</v>
      </c>
      <c r="W887" s="9">
        <v>1.32</v>
      </c>
      <c r="X887" s="9">
        <f t="shared" si="26"/>
        <v>2.7980468750000003</v>
      </c>
      <c r="Y887" s="5">
        <f t="shared" si="27"/>
        <v>2</v>
      </c>
      <c r="Z887" s="8">
        <f>ROUNDUP(Table1[[#This Row],[Actual Heacount]],0)</f>
        <v>2</v>
      </c>
      <c r="AA887" s="8"/>
      <c r="AB887" s="10"/>
      <c r="AC887" s="10"/>
      <c r="AD887" s="10"/>
      <c r="AE887" s="11">
        <v>123.7946104284984</v>
      </c>
      <c r="AF887" s="11">
        <v>345.8597323151933</v>
      </c>
      <c r="AG887" t="s">
        <v>34</v>
      </c>
    </row>
    <row r="888" spans="1:33">
      <c r="A888" s="2">
        <v>44763</v>
      </c>
      <c r="B888" s="5" t="s">
        <v>38</v>
      </c>
      <c r="C888" s="5">
        <f>WEEKDAY(Table1[[#This Row],[Date]])</f>
        <v>5</v>
      </c>
      <c r="D888" s="5">
        <f>MONTH(Table1[[#This Row],[Date]])</f>
        <v>7</v>
      </c>
      <c r="E888" s="5">
        <f>WEEKNUM(Table1[[#This Row],[Date]])</f>
        <v>30</v>
      </c>
      <c r="F888" s="5">
        <f>YEAR(Table1[[#This Row],[Date]])</f>
        <v>2022</v>
      </c>
      <c r="G888">
        <v>196</v>
      </c>
      <c r="L888" s="5">
        <v>68</v>
      </c>
      <c r="M888" s="6">
        <v>1</v>
      </c>
      <c r="N888" s="5">
        <v>0</v>
      </c>
      <c r="O888" s="7">
        <v>5.7870370370370373E-5</v>
      </c>
      <c r="P888" s="7">
        <v>2.0370370370370369E-3</v>
      </c>
      <c r="Q888" s="7">
        <v>1.1458333333333333E-3</v>
      </c>
      <c r="R888" s="6">
        <v>0.98529999999999995</v>
      </c>
      <c r="S888" s="8">
        <f>CONVERT(Table1[[#This Row],[Talk Duration (AVG)]]*Table1[[#This Row],[Answered Calls]],"day","hr")</f>
        <v>3.3244444444444445</v>
      </c>
      <c r="T888" s="9">
        <f>Table1[[#This Row],[Actual Workload hours]]*60</f>
        <v>199.46666666666667</v>
      </c>
      <c r="U888" s="9">
        <f>CONVERT(Table1[[#This Row],[Actual]]*Table1[[#This Row],[Talk Duration (AVG)]],"day","hr")</f>
        <v>9.5822222222222209</v>
      </c>
      <c r="V888" s="10">
        <f>Table1[[#This Row],[Required Workload Hours]]*60</f>
        <v>574.93333333333328</v>
      </c>
      <c r="W888" s="9">
        <v>1</v>
      </c>
      <c r="X888" s="9">
        <f t="shared" si="26"/>
        <v>1.497222222222222</v>
      </c>
      <c r="Y888" s="5">
        <f t="shared" si="27"/>
        <v>1</v>
      </c>
      <c r="Z888" s="8">
        <f>ROUNDUP(Table1[[#This Row],[Actual Heacount]],0)</f>
        <v>1</v>
      </c>
      <c r="AA888" s="8"/>
      <c r="AB888" s="10"/>
      <c r="AC888" s="10"/>
      <c r="AD888" s="10"/>
      <c r="AE888" s="11">
        <v>122.8704619761956</v>
      </c>
      <c r="AF888" s="11">
        <v>346.26071337703178</v>
      </c>
      <c r="AG888" t="s">
        <v>34</v>
      </c>
    </row>
    <row r="889" spans="1:33">
      <c r="A889" s="2">
        <v>44764</v>
      </c>
      <c r="B889" s="5" t="s">
        <v>39</v>
      </c>
      <c r="C889" s="5">
        <f>WEEKDAY(Table1[[#This Row],[Date]])</f>
        <v>6</v>
      </c>
      <c r="D889" s="5">
        <f>MONTH(Table1[[#This Row],[Date]])</f>
        <v>7</v>
      </c>
      <c r="E889" s="5">
        <f>WEEKNUM(Table1[[#This Row],[Date]])</f>
        <v>30</v>
      </c>
      <c r="F889" s="5">
        <f>YEAR(Table1[[#This Row],[Date]])</f>
        <v>2022</v>
      </c>
      <c r="G889">
        <v>192</v>
      </c>
      <c r="L889" s="5">
        <v>429</v>
      </c>
      <c r="M889" s="6">
        <v>0.86140000000000005</v>
      </c>
      <c r="N889" s="5">
        <v>69</v>
      </c>
      <c r="O889" s="7">
        <v>3.9351851851851852E-4</v>
      </c>
      <c r="P889" s="7">
        <v>2.1875000000000002E-3</v>
      </c>
      <c r="Q889" s="7">
        <v>2.9166666666666668E-3</v>
      </c>
      <c r="R889" s="6">
        <v>0.5071</v>
      </c>
      <c r="S889" s="8">
        <f>CONVERT(Table1[[#This Row],[Talk Duration (AVG)]]*Table1[[#This Row],[Answered Calls]],"day","hr")</f>
        <v>22.522500000000001</v>
      </c>
      <c r="T889" s="9">
        <f>Table1[[#This Row],[Actual Workload hours]]*60</f>
        <v>1351.3500000000001</v>
      </c>
      <c r="U889" s="9">
        <f>CONVERT(Table1[[#This Row],[Actual]]*Table1[[#This Row],[Talk Duration (AVG)]],"day","hr")</f>
        <v>10.08</v>
      </c>
      <c r="V889" s="10">
        <f>Table1[[#This Row],[Required Workload Hours]]*60</f>
        <v>604.79999999999995</v>
      </c>
      <c r="W889" s="9">
        <v>3.52</v>
      </c>
      <c r="X889" s="9">
        <f t="shared" si="26"/>
        <v>1.575</v>
      </c>
      <c r="Y889" s="5">
        <f t="shared" si="27"/>
        <v>2</v>
      </c>
      <c r="Z889" s="8">
        <f>ROUNDUP(Table1[[#This Row],[Actual Heacount]],0)</f>
        <v>4</v>
      </c>
      <c r="AA889" s="8"/>
      <c r="AB889" s="10"/>
      <c r="AC889" s="10"/>
      <c r="AD889" s="10"/>
      <c r="AE889" s="11">
        <v>102.74004665810349</v>
      </c>
      <c r="AF889" s="11">
        <v>327.61664664137692</v>
      </c>
      <c r="AG889" t="s">
        <v>34</v>
      </c>
    </row>
    <row r="890" spans="1:33">
      <c r="A890" s="2">
        <v>44765</v>
      </c>
      <c r="B890" s="5" t="s">
        <v>40</v>
      </c>
      <c r="C890" s="5">
        <f>WEEKDAY(Table1[[#This Row],[Date]])</f>
        <v>7</v>
      </c>
      <c r="D890" s="5">
        <f>MONTH(Table1[[#This Row],[Date]])</f>
        <v>7</v>
      </c>
      <c r="E890" s="5">
        <f>WEEKNUM(Table1[[#This Row],[Date]])</f>
        <v>30</v>
      </c>
      <c r="F890" s="5">
        <f>YEAR(Table1[[#This Row],[Date]])</f>
        <v>2022</v>
      </c>
      <c r="G890">
        <v>185</v>
      </c>
      <c r="L890" s="5">
        <v>329</v>
      </c>
      <c r="M890" s="6">
        <v>0.91900000000000004</v>
      </c>
      <c r="N890" s="5">
        <v>29</v>
      </c>
      <c r="O890" s="7">
        <v>2.4305555555555555E-4</v>
      </c>
      <c r="P890" s="7">
        <v>2.1180555555555558E-3</v>
      </c>
      <c r="Q890" s="7">
        <v>1.5625000000000001E-3</v>
      </c>
      <c r="R890" s="6">
        <v>0.66949999999999998</v>
      </c>
      <c r="S890" s="8">
        <f>CONVERT(Table1[[#This Row],[Talk Duration (AVG)]]*Table1[[#This Row],[Answered Calls]],"day","hr")</f>
        <v>16.724166666666665</v>
      </c>
      <c r="T890" s="9">
        <f>Table1[[#This Row],[Actual Workload hours]]*60</f>
        <v>1003.4499999999999</v>
      </c>
      <c r="U890" s="9">
        <f>CONVERT(Table1[[#This Row],[Actual]]*Table1[[#This Row],[Talk Duration (AVG)]],"day","hr")</f>
        <v>9.4041666666666668</v>
      </c>
      <c r="V890" s="10">
        <f>Table1[[#This Row],[Required Workload Hours]]*60</f>
        <v>564.25</v>
      </c>
      <c r="W890" s="9">
        <v>2.61</v>
      </c>
      <c r="X890" s="9">
        <f t="shared" si="26"/>
        <v>1.4694010416666667</v>
      </c>
      <c r="Y890" s="5">
        <f t="shared" si="27"/>
        <v>2</v>
      </c>
      <c r="Z890" s="8">
        <f>ROUNDUP(Table1[[#This Row],[Actual Heacount]],0)</f>
        <v>3</v>
      </c>
      <c r="AA890" s="8"/>
      <c r="AB890" s="10"/>
      <c r="AC890" s="10"/>
      <c r="AD890" s="10"/>
      <c r="AE890" s="11">
        <v>120.56137401893039</v>
      </c>
      <c r="AF890" s="11">
        <v>331.16929513150228</v>
      </c>
      <c r="AG890" t="s">
        <v>34</v>
      </c>
    </row>
    <row r="891" spans="1:33">
      <c r="A891" s="2">
        <v>44766</v>
      </c>
      <c r="B891" s="5" t="s">
        <v>33</v>
      </c>
      <c r="C891" s="5">
        <f>WEEKDAY(Table1[[#This Row],[Date]])</f>
        <v>1</v>
      </c>
      <c r="D891" s="5">
        <f>MONTH(Table1[[#This Row],[Date]])</f>
        <v>7</v>
      </c>
      <c r="E891" s="5">
        <f>WEEKNUM(Table1[[#This Row],[Date]])</f>
        <v>31</v>
      </c>
      <c r="F891" s="5">
        <f>YEAR(Table1[[#This Row],[Date]])</f>
        <v>2022</v>
      </c>
      <c r="G891">
        <v>27</v>
      </c>
      <c r="L891" s="5">
        <v>302</v>
      </c>
      <c r="M891" s="6">
        <v>0.88819999999999999</v>
      </c>
      <c r="N891" s="5">
        <v>38</v>
      </c>
      <c r="O891" s="7">
        <v>2.7777777777777778E-4</v>
      </c>
      <c r="P891" s="7">
        <v>1.9675925925925924E-3</v>
      </c>
      <c r="Q891" s="7">
        <v>3.5879629629629629E-3</v>
      </c>
      <c r="R891" s="6">
        <v>0.65669999999999995</v>
      </c>
      <c r="S891" s="8">
        <f>CONVERT(Table1[[#This Row],[Talk Duration (AVG)]]*Table1[[#This Row],[Answered Calls]],"day","hr")</f>
        <v>14.261111111111109</v>
      </c>
      <c r="T891" s="9">
        <f>Table1[[#This Row],[Actual Workload hours]]*60</f>
        <v>855.66666666666652</v>
      </c>
      <c r="U891" s="9">
        <f>CONVERT(Table1[[#This Row],[Actual]]*Table1[[#This Row],[Talk Duration (AVG)]],"day","hr")</f>
        <v>1.2749999999999997</v>
      </c>
      <c r="V891" s="10">
        <f>Table1[[#This Row],[Required Workload Hours]]*60</f>
        <v>76.499999999999986</v>
      </c>
      <c r="W891" s="9">
        <v>2.23</v>
      </c>
      <c r="X891" s="9">
        <f t="shared" si="26"/>
        <v>1</v>
      </c>
      <c r="Y891" s="5">
        <f t="shared" si="27"/>
        <v>2</v>
      </c>
      <c r="Z891" s="8">
        <f>ROUNDUP(Table1[[#This Row],[Actual Heacount]],0)</f>
        <v>3</v>
      </c>
      <c r="AA891" s="8"/>
      <c r="AB891" s="10"/>
      <c r="AC891" s="10"/>
      <c r="AD891" s="10"/>
      <c r="AE891" s="11">
        <v>27.33981202576377</v>
      </c>
      <c r="AF891" s="11">
        <v>248.1212873441562</v>
      </c>
      <c r="AG891" t="s">
        <v>34</v>
      </c>
    </row>
    <row r="892" spans="1:33">
      <c r="A892" s="2">
        <v>44767</v>
      </c>
      <c r="B892" s="5" t="s">
        <v>35</v>
      </c>
      <c r="C892" s="5">
        <f>WEEKDAY(Table1[[#This Row],[Date]])</f>
        <v>2</v>
      </c>
      <c r="D892" s="5">
        <f>MONTH(Table1[[#This Row],[Date]])</f>
        <v>7</v>
      </c>
      <c r="E892" s="5">
        <f>WEEKNUM(Table1[[#This Row],[Date]])</f>
        <v>31</v>
      </c>
      <c r="F892" s="5">
        <f>YEAR(Table1[[#This Row],[Date]])</f>
        <v>2022</v>
      </c>
      <c r="G892">
        <v>222</v>
      </c>
      <c r="L892" s="5">
        <v>306</v>
      </c>
      <c r="M892" s="6">
        <v>0.95030000000000003</v>
      </c>
      <c r="N892" s="5">
        <v>16</v>
      </c>
      <c r="O892" s="7">
        <v>1.8518518518518518E-4</v>
      </c>
      <c r="P892" s="7">
        <v>1.8402777777777777E-3</v>
      </c>
      <c r="Q892" s="7">
        <v>4.363425925925926E-3</v>
      </c>
      <c r="R892" s="6">
        <v>0.77739999999999998</v>
      </c>
      <c r="S892" s="8">
        <f>CONVERT(Table1[[#This Row],[Talk Duration (AVG)]]*Table1[[#This Row],[Answered Calls]],"day","hr")</f>
        <v>13.515000000000001</v>
      </c>
      <c r="T892" s="9">
        <f>Table1[[#This Row],[Actual Workload hours]]*60</f>
        <v>810.90000000000009</v>
      </c>
      <c r="U892" s="9">
        <f>CONVERT(Table1[[#This Row],[Actual]]*Table1[[#This Row],[Talk Duration (AVG)]],"day","hr")</f>
        <v>9.8049999999999997</v>
      </c>
      <c r="V892" s="10">
        <f>Table1[[#This Row],[Required Workload Hours]]*60</f>
        <v>588.29999999999995</v>
      </c>
      <c r="W892" s="9">
        <v>2.11</v>
      </c>
      <c r="X892" s="9">
        <f t="shared" si="26"/>
        <v>1.53203125</v>
      </c>
      <c r="Y892" s="5">
        <f t="shared" si="27"/>
        <v>2</v>
      </c>
      <c r="Z892" s="8">
        <f>ROUNDUP(Table1[[#This Row],[Actual Heacount]],0)</f>
        <v>3</v>
      </c>
      <c r="AA892" s="8"/>
      <c r="AB892" s="10"/>
      <c r="AC892" s="10"/>
      <c r="AD892" s="10"/>
      <c r="AE892" s="11">
        <v>135.4843710168102</v>
      </c>
      <c r="AF892" s="11">
        <v>350.90594054106748</v>
      </c>
      <c r="AG892" t="s">
        <v>34</v>
      </c>
    </row>
    <row r="893" spans="1:33">
      <c r="A893" s="2">
        <v>44768</v>
      </c>
      <c r="B893" s="5" t="s">
        <v>36</v>
      </c>
      <c r="C893" s="5">
        <f>WEEKDAY(Table1[[#This Row],[Date]])</f>
        <v>3</v>
      </c>
      <c r="D893" s="5">
        <f>MONTH(Table1[[#This Row],[Date]])</f>
        <v>7</v>
      </c>
      <c r="E893" s="5">
        <f>WEEKNUM(Table1[[#This Row],[Date]])</f>
        <v>31</v>
      </c>
      <c r="F893" s="5">
        <f>YEAR(Table1[[#This Row],[Date]])</f>
        <v>2022</v>
      </c>
      <c r="G893">
        <v>217</v>
      </c>
      <c r="L893" s="5">
        <v>282</v>
      </c>
      <c r="M893" s="6">
        <v>0.95269999999999999</v>
      </c>
      <c r="N893" s="5">
        <v>14</v>
      </c>
      <c r="O893" s="7">
        <v>2.0833333333333335E-4</v>
      </c>
      <c r="P893" s="7">
        <v>1.8171296296296297E-3</v>
      </c>
      <c r="Q893" s="7">
        <v>1.9097222222222222E-3</v>
      </c>
      <c r="R893" s="6">
        <v>0.76529999999999998</v>
      </c>
      <c r="S893" s="8">
        <f>CONVERT(Table1[[#This Row],[Talk Duration (AVG)]]*Table1[[#This Row],[Answered Calls]],"day","hr")</f>
        <v>12.298333333333336</v>
      </c>
      <c r="T893" s="9">
        <f>Table1[[#This Row],[Actual Workload hours]]*60</f>
        <v>737.90000000000009</v>
      </c>
      <c r="U893" s="9">
        <f>CONVERT(Table1[[#This Row],[Actual]]*Table1[[#This Row],[Talk Duration (AVG)]],"day","hr")</f>
        <v>9.4636111111111116</v>
      </c>
      <c r="V893" s="10">
        <f>Table1[[#This Row],[Required Workload Hours]]*60</f>
        <v>567.81666666666672</v>
      </c>
      <c r="W893" s="9">
        <v>1.92</v>
      </c>
      <c r="X893" s="9">
        <f t="shared" si="26"/>
        <v>1.4786892361111112</v>
      </c>
      <c r="Y893" s="5">
        <f t="shared" si="27"/>
        <v>2</v>
      </c>
      <c r="Z893" s="8">
        <f>ROUNDUP(Table1[[#This Row],[Actual Heacount]],0)</f>
        <v>2</v>
      </c>
      <c r="AA893" s="8"/>
      <c r="AB893" s="10"/>
      <c r="AC893" s="10"/>
      <c r="AD893" s="10"/>
      <c r="AE893" s="11">
        <v>106.5372463668035</v>
      </c>
      <c r="AF893" s="11">
        <v>324.66675163228479</v>
      </c>
      <c r="AG893" t="s">
        <v>34</v>
      </c>
    </row>
    <row r="894" spans="1:33">
      <c r="A894" s="2">
        <v>44769</v>
      </c>
      <c r="B894" s="5" t="s">
        <v>37</v>
      </c>
      <c r="C894" s="5">
        <f>WEEKDAY(Table1[[#This Row],[Date]])</f>
        <v>4</v>
      </c>
      <c r="D894" s="5">
        <f>MONTH(Table1[[#This Row],[Date]])</f>
        <v>7</v>
      </c>
      <c r="E894" s="5">
        <f>WEEKNUM(Table1[[#This Row],[Date]])</f>
        <v>31</v>
      </c>
      <c r="F894" s="5">
        <f>YEAR(Table1[[#This Row],[Date]])</f>
        <v>2022</v>
      </c>
      <c r="G894">
        <v>204</v>
      </c>
      <c r="L894" s="5">
        <v>234</v>
      </c>
      <c r="M894" s="6">
        <v>0.88639999999999997</v>
      </c>
      <c r="N894" s="5">
        <v>30</v>
      </c>
      <c r="O894" s="7">
        <v>2.3148148148148149E-4</v>
      </c>
      <c r="P894" s="7">
        <v>1.7824074074074075E-3</v>
      </c>
      <c r="Q894" s="7">
        <v>3.4027777777777776E-3</v>
      </c>
      <c r="R894" s="6">
        <v>0.69879999999999998</v>
      </c>
      <c r="S894" s="8">
        <f>CONVERT(Table1[[#This Row],[Talk Duration (AVG)]]*Table1[[#This Row],[Answered Calls]],"day","hr")</f>
        <v>10.01</v>
      </c>
      <c r="T894" s="9">
        <f>Table1[[#This Row],[Actual Workload hours]]*60</f>
        <v>600.6</v>
      </c>
      <c r="U894" s="9">
        <f>CONVERT(Table1[[#This Row],[Actual]]*Table1[[#This Row],[Talk Duration (AVG)]],"day","hr")</f>
        <v>8.7266666666666666</v>
      </c>
      <c r="V894" s="10">
        <f>Table1[[#This Row],[Required Workload Hours]]*60</f>
        <v>523.6</v>
      </c>
      <c r="W894" s="9">
        <v>1.56</v>
      </c>
      <c r="X894" s="9">
        <f t="shared" si="26"/>
        <v>1.3635416666666667</v>
      </c>
      <c r="Y894" s="5">
        <f t="shared" si="27"/>
        <v>2</v>
      </c>
      <c r="Z894" s="8">
        <f>ROUNDUP(Table1[[#This Row],[Actual Heacount]],0)</f>
        <v>2</v>
      </c>
      <c r="AA894" s="8"/>
      <c r="AB894" s="10"/>
      <c r="AC894" s="10"/>
      <c r="AD894" s="10"/>
      <c r="AE894" s="11">
        <v>120.4900059872059</v>
      </c>
      <c r="AF894" s="11">
        <v>344.33916698177012</v>
      </c>
      <c r="AG894" t="s">
        <v>34</v>
      </c>
    </row>
    <row r="895" spans="1:33">
      <c r="A895" s="2">
        <v>44770</v>
      </c>
      <c r="B895" s="5" t="s">
        <v>38</v>
      </c>
      <c r="C895" s="5">
        <f>WEEKDAY(Table1[[#This Row],[Date]])</f>
        <v>5</v>
      </c>
      <c r="D895" s="5">
        <f>MONTH(Table1[[#This Row],[Date]])</f>
        <v>7</v>
      </c>
      <c r="E895" s="5">
        <f>WEEKNUM(Table1[[#This Row],[Date]])</f>
        <v>31</v>
      </c>
      <c r="F895" s="5">
        <f>YEAR(Table1[[#This Row],[Date]])</f>
        <v>2022</v>
      </c>
      <c r="G895">
        <v>191</v>
      </c>
      <c r="L895" s="5">
        <v>51</v>
      </c>
      <c r="M895" s="6">
        <v>0.98080000000000001</v>
      </c>
      <c r="N895" s="5">
        <v>1</v>
      </c>
      <c r="O895" s="7">
        <v>6.9444444444444444E-5</v>
      </c>
      <c r="P895" s="7">
        <v>1.8055555555555555E-3</v>
      </c>
      <c r="Q895" s="7">
        <v>7.5231481481481482E-4</v>
      </c>
      <c r="R895" s="6">
        <v>0.94120000000000004</v>
      </c>
      <c r="S895" s="8">
        <f>CONVERT(Table1[[#This Row],[Talk Duration (AVG)]]*Table1[[#This Row],[Answered Calls]],"day","hr")</f>
        <v>2.21</v>
      </c>
      <c r="T895" s="9">
        <f>Table1[[#This Row],[Actual Workload hours]]*60</f>
        <v>132.6</v>
      </c>
      <c r="U895" s="9">
        <f>CONVERT(Table1[[#This Row],[Actual]]*Table1[[#This Row],[Talk Duration (AVG)]],"day","hr")</f>
        <v>8.2766666666666673</v>
      </c>
      <c r="V895" s="10">
        <f>Table1[[#This Row],[Required Workload Hours]]*60</f>
        <v>496.6</v>
      </c>
      <c r="W895" s="9">
        <v>1</v>
      </c>
      <c r="X895" s="9">
        <f t="shared" si="26"/>
        <v>1.2932291666666667</v>
      </c>
      <c r="Y895" s="5">
        <f t="shared" si="27"/>
        <v>1</v>
      </c>
      <c r="Z895" s="8">
        <f>ROUNDUP(Table1[[#This Row],[Actual Heacount]],0)</f>
        <v>1</v>
      </c>
      <c r="AA895" s="8"/>
      <c r="AB895" s="10"/>
      <c r="AC895" s="10"/>
      <c r="AD895" s="10"/>
      <c r="AE895" s="11">
        <v>114.6075526471043</v>
      </c>
      <c r="AF895" s="11">
        <v>332.725576278576</v>
      </c>
      <c r="AG895" t="s">
        <v>34</v>
      </c>
    </row>
    <row r="896" spans="1:33">
      <c r="A896" s="2">
        <v>44771</v>
      </c>
      <c r="B896" s="5" t="s">
        <v>39</v>
      </c>
      <c r="C896" s="5">
        <f>WEEKDAY(Table1[[#This Row],[Date]])</f>
        <v>6</v>
      </c>
      <c r="D896" s="5">
        <f>MONTH(Table1[[#This Row],[Date]])</f>
        <v>7</v>
      </c>
      <c r="E896" s="5">
        <f>WEEKNUM(Table1[[#This Row],[Date]])</f>
        <v>31</v>
      </c>
      <c r="F896" s="5">
        <f>YEAR(Table1[[#This Row],[Date]])</f>
        <v>2022</v>
      </c>
      <c r="G896">
        <v>176</v>
      </c>
      <c r="L896" s="5">
        <v>264</v>
      </c>
      <c r="M896" s="6">
        <v>0.99250000000000005</v>
      </c>
      <c r="N896" s="5">
        <v>2</v>
      </c>
      <c r="O896" s="7">
        <v>1.0416666666666667E-4</v>
      </c>
      <c r="P896" s="7">
        <v>1.8402777777777777E-3</v>
      </c>
      <c r="Q896" s="7">
        <v>1.4004629629629629E-3</v>
      </c>
      <c r="R896" s="6">
        <v>0.90980000000000005</v>
      </c>
      <c r="S896" s="8">
        <f>CONVERT(Table1[[#This Row],[Talk Duration (AVG)]]*Table1[[#This Row],[Answered Calls]],"day","hr")</f>
        <v>11.66</v>
      </c>
      <c r="T896" s="9">
        <f>Table1[[#This Row],[Actual Workload hours]]*60</f>
        <v>699.6</v>
      </c>
      <c r="U896" s="9">
        <f>CONVERT(Table1[[#This Row],[Actual]]*Table1[[#This Row],[Talk Duration (AVG)]],"day","hr")</f>
        <v>7.7733333333333334</v>
      </c>
      <c r="V896" s="10">
        <f>Table1[[#This Row],[Required Workload Hours]]*60</f>
        <v>466.4</v>
      </c>
      <c r="W896" s="9">
        <v>1.82</v>
      </c>
      <c r="X896" s="9">
        <f t="shared" si="26"/>
        <v>1.2145833333333333</v>
      </c>
      <c r="Y896" s="5">
        <f t="shared" si="27"/>
        <v>2</v>
      </c>
      <c r="Z896" s="8">
        <f>ROUNDUP(Table1[[#This Row],[Actual Heacount]],0)</f>
        <v>2</v>
      </c>
      <c r="AA896" s="8"/>
      <c r="AB896" s="10"/>
      <c r="AC896" s="10"/>
      <c r="AD896" s="10"/>
      <c r="AE896" s="11">
        <v>100.2433422901459</v>
      </c>
      <c r="AF896" s="11">
        <v>329.34623524343948</v>
      </c>
      <c r="AG896" t="s">
        <v>34</v>
      </c>
    </row>
    <row r="897" spans="1:33">
      <c r="A897" s="2">
        <v>44772</v>
      </c>
      <c r="B897" s="5" t="s">
        <v>40</v>
      </c>
      <c r="C897" s="5">
        <f>WEEKDAY(Table1[[#This Row],[Date]])</f>
        <v>7</v>
      </c>
      <c r="D897" s="5">
        <f>MONTH(Table1[[#This Row],[Date]])</f>
        <v>7</v>
      </c>
      <c r="E897" s="5">
        <f>WEEKNUM(Table1[[#This Row],[Date]])</f>
        <v>31</v>
      </c>
      <c r="F897" s="5">
        <f>YEAR(Table1[[#This Row],[Date]])</f>
        <v>2022</v>
      </c>
      <c r="G897">
        <v>176</v>
      </c>
      <c r="L897" s="5">
        <v>238</v>
      </c>
      <c r="M897" s="6">
        <v>0.98350000000000004</v>
      </c>
      <c r="N897" s="5">
        <v>4</v>
      </c>
      <c r="O897" s="7">
        <v>1.0416666666666667E-4</v>
      </c>
      <c r="P897" s="7">
        <v>1.9097222222222222E-3</v>
      </c>
      <c r="Q897" s="7">
        <v>1.736111111111111E-3</v>
      </c>
      <c r="R897" s="6">
        <v>0.90459999999999996</v>
      </c>
      <c r="S897" s="8">
        <f>CONVERT(Table1[[#This Row],[Talk Duration (AVG)]]*Table1[[#This Row],[Answered Calls]],"day","hr")</f>
        <v>10.908333333333333</v>
      </c>
      <c r="T897" s="9">
        <f>Table1[[#This Row],[Actual Workload hours]]*60</f>
        <v>654.5</v>
      </c>
      <c r="U897" s="9">
        <f>CONVERT(Table1[[#This Row],[Actual]]*Table1[[#This Row],[Talk Duration (AVG)]],"day","hr")</f>
        <v>8.0666666666666664</v>
      </c>
      <c r="V897" s="10">
        <f>Table1[[#This Row],[Required Workload Hours]]*60</f>
        <v>484</v>
      </c>
      <c r="W897" s="9">
        <v>1.7</v>
      </c>
      <c r="X897" s="9">
        <f t="shared" si="26"/>
        <v>1.2604166666666667</v>
      </c>
      <c r="Y897" s="5">
        <f t="shared" si="27"/>
        <v>2</v>
      </c>
      <c r="Z897" s="8">
        <f>ROUNDUP(Table1[[#This Row],[Actual Heacount]],0)</f>
        <v>2</v>
      </c>
      <c r="AA897" s="8"/>
      <c r="AB897" s="10"/>
      <c r="AC897" s="10"/>
      <c r="AD897" s="10"/>
      <c r="AE897" s="11">
        <v>103.2326543669942</v>
      </c>
      <c r="AF897" s="11">
        <v>330.67375337735513</v>
      </c>
      <c r="AG897" t="s">
        <v>34</v>
      </c>
    </row>
    <row r="898" spans="1:33">
      <c r="A898" s="2">
        <v>44773</v>
      </c>
      <c r="B898" s="5" t="s">
        <v>33</v>
      </c>
      <c r="C898" s="5">
        <f>WEEKDAY(Table1[[#This Row],[Date]])</f>
        <v>1</v>
      </c>
      <c r="D898" s="5">
        <f>MONTH(Table1[[#This Row],[Date]])</f>
        <v>7</v>
      </c>
      <c r="E898" s="5">
        <f>WEEKNUM(Table1[[#This Row],[Date]])</f>
        <v>32</v>
      </c>
      <c r="F898" s="5">
        <f>YEAR(Table1[[#This Row],[Date]])</f>
        <v>2022</v>
      </c>
      <c r="G898">
        <v>26</v>
      </c>
      <c r="L898" s="5">
        <v>228</v>
      </c>
      <c r="M898" s="6">
        <v>0.94610000000000005</v>
      </c>
      <c r="N898" s="5">
        <v>13</v>
      </c>
      <c r="O898" s="7">
        <v>2.199074074074074E-4</v>
      </c>
      <c r="P898" s="7">
        <v>1.9444444444444444E-3</v>
      </c>
      <c r="Q898" s="7">
        <v>4.2592592592592595E-3</v>
      </c>
      <c r="R898" s="6">
        <v>0.79579999999999995</v>
      </c>
      <c r="S898" s="8">
        <f>CONVERT(Table1[[#This Row],[Talk Duration (AVG)]]*Table1[[#This Row],[Answered Calls]],"day","hr")</f>
        <v>10.64</v>
      </c>
      <c r="T898" s="9">
        <f>Table1[[#This Row],[Actual Workload hours]]*60</f>
        <v>638.40000000000009</v>
      </c>
      <c r="U898" s="9">
        <f>CONVERT(Table1[[#This Row],[Actual]]*Table1[[#This Row],[Talk Duration (AVG)]],"day","hr")</f>
        <v>1.2133333333333334</v>
      </c>
      <c r="V898" s="10">
        <f>Table1[[#This Row],[Required Workload Hours]]*60</f>
        <v>72.8</v>
      </c>
      <c r="W898" s="9">
        <v>1.66</v>
      </c>
      <c r="X898" s="9">
        <f t="shared" si="26"/>
        <v>1</v>
      </c>
      <c r="Y898" s="5">
        <f t="shared" si="27"/>
        <v>2</v>
      </c>
      <c r="Z898" s="8">
        <f>ROUNDUP(Table1[[#This Row],[Actual Heacount]],0)</f>
        <v>2</v>
      </c>
      <c r="AA898" s="8"/>
      <c r="AB898" s="10"/>
      <c r="AC898" s="10"/>
      <c r="AD898" s="10"/>
      <c r="AE898" s="11">
        <v>20.679302677485939</v>
      </c>
      <c r="AF898" s="11">
        <v>233.70229201399621</v>
      </c>
      <c r="AG898" t="s">
        <v>34</v>
      </c>
    </row>
    <row r="899" spans="1:33">
      <c r="A899" s="2">
        <v>44774</v>
      </c>
      <c r="B899" s="5" t="s">
        <v>35</v>
      </c>
      <c r="C899" s="5">
        <f>WEEKDAY(Table1[[#This Row],[Date]])</f>
        <v>2</v>
      </c>
      <c r="D899" s="5">
        <f>MONTH(Table1[[#This Row],[Date]])</f>
        <v>8</v>
      </c>
      <c r="E899" s="5">
        <f>WEEKNUM(Table1[[#This Row],[Date]])</f>
        <v>32</v>
      </c>
      <c r="F899" s="5">
        <f>YEAR(Table1[[#This Row],[Date]])</f>
        <v>2022</v>
      </c>
      <c r="G899">
        <v>167</v>
      </c>
      <c r="L899" s="5">
        <v>269</v>
      </c>
      <c r="M899" s="6">
        <v>0.96419999999999995</v>
      </c>
      <c r="N899" s="5">
        <v>10</v>
      </c>
      <c r="O899" s="7">
        <v>9.2592592592592588E-5</v>
      </c>
      <c r="P899" s="7">
        <v>1.8865740740740742E-3</v>
      </c>
      <c r="Q899" s="7">
        <v>2.1643518518518518E-3</v>
      </c>
      <c r="R899" s="6">
        <v>0.91300000000000003</v>
      </c>
      <c r="S899" s="8">
        <f>CONVERT(Table1[[#This Row],[Talk Duration (AVG)]]*Table1[[#This Row],[Answered Calls]],"day","hr")</f>
        <v>12.179722222222223</v>
      </c>
      <c r="T899" s="9">
        <f>Table1[[#This Row],[Actual Workload hours]]*60</f>
        <v>730.78333333333342</v>
      </c>
      <c r="U899" s="9">
        <f>CONVERT(Table1[[#This Row],[Actual]]*Table1[[#This Row],[Talk Duration (AVG)]],"day","hr")</f>
        <v>7.5613888888888887</v>
      </c>
      <c r="V899" s="10">
        <f>Table1[[#This Row],[Required Workload Hours]]*60</f>
        <v>453.68333333333334</v>
      </c>
      <c r="W899" s="9">
        <v>1.9</v>
      </c>
      <c r="X899" s="9">
        <f t="shared" ref="X899:X962" si="28">IF(V899&lt;384,1,(V899/384))</f>
        <v>1.181467013888889</v>
      </c>
      <c r="Y899" s="5">
        <f t="shared" ref="Y899:Y962" si="29">IF(B899="Sunday",1,2)</f>
        <v>2</v>
      </c>
      <c r="Z899" s="8">
        <f>ROUNDUP(Table1[[#This Row],[Actual Heacount]],0)</f>
        <v>2</v>
      </c>
      <c r="AA899" s="8"/>
      <c r="AB899" s="10"/>
      <c r="AC899" s="10"/>
      <c r="AD899" s="10"/>
      <c r="AE899" s="11">
        <v>113.3823418310203</v>
      </c>
      <c r="AF899" s="11">
        <v>335.08300062492538</v>
      </c>
      <c r="AG899" t="s">
        <v>34</v>
      </c>
    </row>
    <row r="900" spans="1:33">
      <c r="A900" s="2">
        <v>44775</v>
      </c>
      <c r="B900" s="5" t="s">
        <v>36</v>
      </c>
      <c r="C900" s="5">
        <f>WEEKDAY(Table1[[#This Row],[Date]])</f>
        <v>3</v>
      </c>
      <c r="D900" s="5">
        <f>MONTH(Table1[[#This Row],[Date]])</f>
        <v>8</v>
      </c>
      <c r="E900" s="5">
        <f>WEEKNUM(Table1[[#This Row],[Date]])</f>
        <v>32</v>
      </c>
      <c r="F900" s="5">
        <f>YEAR(Table1[[#This Row],[Date]])</f>
        <v>2022</v>
      </c>
      <c r="G900">
        <v>327</v>
      </c>
      <c r="L900" s="5">
        <v>72</v>
      </c>
      <c r="M900" s="6">
        <v>0.98629999999999995</v>
      </c>
      <c r="N900" s="5">
        <v>1</v>
      </c>
      <c r="O900" s="7">
        <v>9.2592592592592588E-5</v>
      </c>
      <c r="P900" s="7">
        <v>2.1296296296296298E-3</v>
      </c>
      <c r="Q900" s="7">
        <v>1.5046296296296296E-3</v>
      </c>
      <c r="R900" s="6">
        <v>0.91779999999999995</v>
      </c>
      <c r="S900" s="8">
        <f>CONVERT(Table1[[#This Row],[Talk Duration (AVG)]]*Table1[[#This Row],[Answered Calls]],"day","hr")</f>
        <v>3.6800000000000006</v>
      </c>
      <c r="T900" s="9">
        <f>Table1[[#This Row],[Actual Workload hours]]*60</f>
        <v>220.80000000000004</v>
      </c>
      <c r="U900" s="9">
        <f>CONVERT(Table1[[#This Row],[Actual]]*Table1[[#This Row],[Talk Duration (AVG)]],"day","hr")</f>
        <v>16.713333333333335</v>
      </c>
      <c r="V900" s="10">
        <f>Table1[[#This Row],[Required Workload Hours]]*60</f>
        <v>1002.8000000000001</v>
      </c>
      <c r="W900" s="9">
        <v>1</v>
      </c>
      <c r="X900" s="9">
        <f t="shared" si="28"/>
        <v>2.6114583333333337</v>
      </c>
      <c r="Y900" s="5">
        <f t="shared" si="29"/>
        <v>2</v>
      </c>
      <c r="Z900" s="8">
        <f>ROUNDUP(Table1[[#This Row],[Actual Heacount]],0)</f>
        <v>1</v>
      </c>
      <c r="AA900" s="8"/>
      <c r="AB900" s="10"/>
      <c r="AC900" s="10"/>
      <c r="AD900" s="10"/>
      <c r="AE900" s="11">
        <v>100.49623849334949</v>
      </c>
      <c r="AF900" s="11">
        <v>322.39036662028451</v>
      </c>
      <c r="AG900" t="s">
        <v>34</v>
      </c>
    </row>
    <row r="901" spans="1:33">
      <c r="A901" s="2">
        <v>44776</v>
      </c>
      <c r="B901" s="5" t="s">
        <v>37</v>
      </c>
      <c r="C901" s="5">
        <f>WEEKDAY(Table1[[#This Row],[Date]])</f>
        <v>4</v>
      </c>
      <c r="D901" s="5">
        <f>MONTH(Table1[[#This Row],[Date]])</f>
        <v>8</v>
      </c>
      <c r="E901" s="5">
        <f>WEEKNUM(Table1[[#This Row],[Date]])</f>
        <v>32</v>
      </c>
      <c r="F901" s="5">
        <f>YEAR(Table1[[#This Row],[Date]])</f>
        <v>2022</v>
      </c>
      <c r="G901">
        <v>231</v>
      </c>
      <c r="L901" s="5">
        <v>218</v>
      </c>
      <c r="M901" s="6">
        <v>0.96460000000000001</v>
      </c>
      <c r="N901" s="5">
        <v>8</v>
      </c>
      <c r="O901" s="7">
        <v>9.2592592592592588E-5</v>
      </c>
      <c r="P901" s="7">
        <v>2.0138888888888888E-3</v>
      </c>
      <c r="Q901" s="7">
        <v>1.9328703703703704E-3</v>
      </c>
      <c r="R901" s="6">
        <v>0.91859999999999997</v>
      </c>
      <c r="S901" s="8">
        <f>CONVERT(Table1[[#This Row],[Talk Duration (AVG)]]*Table1[[#This Row],[Answered Calls]],"day","hr")</f>
        <v>10.536666666666667</v>
      </c>
      <c r="T901" s="9">
        <f>Table1[[#This Row],[Actual Workload hours]]*60</f>
        <v>632.20000000000005</v>
      </c>
      <c r="U901" s="9">
        <f>CONVERT(Table1[[#This Row],[Actual]]*Table1[[#This Row],[Talk Duration (AVG)]],"day","hr")</f>
        <v>11.164999999999999</v>
      </c>
      <c r="V901" s="10">
        <f>Table1[[#This Row],[Required Workload Hours]]*60</f>
        <v>669.9</v>
      </c>
      <c r="W901" s="9">
        <v>1.65</v>
      </c>
      <c r="X901" s="9">
        <f t="shared" si="28"/>
        <v>1.7445312499999999</v>
      </c>
      <c r="Y901" s="5">
        <f t="shared" si="29"/>
        <v>2</v>
      </c>
      <c r="Z901" s="8">
        <f>ROUNDUP(Table1[[#This Row],[Actual Heacount]],0)</f>
        <v>2</v>
      </c>
      <c r="AA901" s="8"/>
      <c r="AB901" s="10"/>
      <c r="AC901" s="10"/>
      <c r="AD901" s="10"/>
      <c r="AE901" s="11">
        <v>108.5089989598339</v>
      </c>
      <c r="AF901" s="11">
        <v>333.52272225341801</v>
      </c>
      <c r="AG901" t="s">
        <v>34</v>
      </c>
    </row>
    <row r="902" spans="1:33">
      <c r="A902" s="2">
        <v>44777</v>
      </c>
      <c r="B902" s="5" t="s">
        <v>38</v>
      </c>
      <c r="C902" s="5">
        <f>WEEKDAY(Table1[[#This Row],[Date]])</f>
        <v>5</v>
      </c>
      <c r="D902" s="5">
        <f>MONTH(Table1[[#This Row],[Date]])</f>
        <v>8</v>
      </c>
      <c r="E902" s="5">
        <f>WEEKNUM(Table1[[#This Row],[Date]])</f>
        <v>32</v>
      </c>
      <c r="F902" s="5">
        <f>YEAR(Table1[[#This Row],[Date]])</f>
        <v>2022</v>
      </c>
      <c r="G902">
        <v>315</v>
      </c>
      <c r="L902" s="5">
        <v>42</v>
      </c>
      <c r="M902" s="6">
        <v>0.97670000000000001</v>
      </c>
      <c r="N902" s="5">
        <v>1</v>
      </c>
      <c r="O902" s="7">
        <v>1.273148148148148E-4</v>
      </c>
      <c r="P902" s="7">
        <v>1.8287037037037037E-3</v>
      </c>
      <c r="Q902" s="7">
        <v>8.9120370370370373E-4</v>
      </c>
      <c r="R902" s="6">
        <v>0.83720000000000006</v>
      </c>
      <c r="S902" s="8">
        <f>CONVERT(Table1[[#This Row],[Talk Duration (AVG)]]*Table1[[#This Row],[Answered Calls]],"day","hr")</f>
        <v>1.8433333333333333</v>
      </c>
      <c r="T902" s="9">
        <f>Table1[[#This Row],[Actual Workload hours]]*60</f>
        <v>110.6</v>
      </c>
      <c r="U902" s="9">
        <f>CONVERT(Table1[[#This Row],[Actual]]*Table1[[#This Row],[Talk Duration (AVG)]],"day","hr")</f>
        <v>13.824999999999999</v>
      </c>
      <c r="V902" s="10">
        <f>Table1[[#This Row],[Required Workload Hours]]*60</f>
        <v>829.5</v>
      </c>
      <c r="W902" s="9">
        <v>1</v>
      </c>
      <c r="X902" s="9">
        <f t="shared" si="28"/>
        <v>2.16015625</v>
      </c>
      <c r="Y902" s="5">
        <f t="shared" si="29"/>
        <v>1</v>
      </c>
      <c r="Z902" s="8">
        <f>ROUNDUP(Table1[[#This Row],[Actual Heacount]],0)</f>
        <v>1</v>
      </c>
      <c r="AA902" s="8"/>
      <c r="AB902" s="10"/>
      <c r="AC902" s="10"/>
      <c r="AD902" s="10"/>
      <c r="AE902" s="11">
        <v>102.3536031737455</v>
      </c>
      <c r="AF902" s="11">
        <v>328.71942795854102</v>
      </c>
      <c r="AG902" t="s">
        <v>34</v>
      </c>
    </row>
    <row r="903" spans="1:33">
      <c r="A903" s="2">
        <v>44778</v>
      </c>
      <c r="B903" s="5" t="s">
        <v>39</v>
      </c>
      <c r="C903" s="5">
        <f>WEEKDAY(Table1[[#This Row],[Date]])</f>
        <v>6</v>
      </c>
      <c r="D903" s="5">
        <f>MONTH(Table1[[#This Row],[Date]])</f>
        <v>8</v>
      </c>
      <c r="E903" s="5">
        <f>WEEKNUM(Table1[[#This Row],[Date]])</f>
        <v>32</v>
      </c>
      <c r="F903" s="5">
        <f>YEAR(Table1[[#This Row],[Date]])</f>
        <v>2022</v>
      </c>
      <c r="G903">
        <v>58</v>
      </c>
      <c r="L903" s="5">
        <v>255</v>
      </c>
      <c r="M903" s="6">
        <v>0.81989999999999996</v>
      </c>
      <c r="N903" s="5">
        <v>56</v>
      </c>
      <c r="O903" s="7">
        <v>5.2083333333333333E-4</v>
      </c>
      <c r="P903" s="7">
        <v>2.0254629629629629E-3</v>
      </c>
      <c r="Q903" s="7">
        <v>3.3564814814814816E-3</v>
      </c>
      <c r="R903" s="6">
        <v>0.4718</v>
      </c>
      <c r="S903" s="8">
        <f>CONVERT(Table1[[#This Row],[Talk Duration (AVG)]]*Table1[[#This Row],[Answered Calls]],"day","hr")</f>
        <v>12.395833333333334</v>
      </c>
      <c r="T903" s="9">
        <f>Table1[[#This Row],[Actual Workload hours]]*60</f>
        <v>743.75</v>
      </c>
      <c r="U903" s="9">
        <f>CONVERT(Table1[[#This Row],[Actual]]*Table1[[#This Row],[Talk Duration (AVG)]],"day","hr")</f>
        <v>2.8194444444444446</v>
      </c>
      <c r="V903" s="10">
        <f>Table1[[#This Row],[Required Workload Hours]]*60</f>
        <v>169.16666666666669</v>
      </c>
      <c r="W903" s="9">
        <v>1.94</v>
      </c>
      <c r="X903" s="9">
        <f t="shared" si="28"/>
        <v>1</v>
      </c>
      <c r="Y903" s="5">
        <f t="shared" si="29"/>
        <v>2</v>
      </c>
      <c r="Z903" s="8">
        <f>ROUNDUP(Table1[[#This Row],[Actual Heacount]],0)</f>
        <v>2</v>
      </c>
      <c r="AA903" s="8"/>
      <c r="AB903" s="10"/>
      <c r="AC903" s="10"/>
      <c r="AD903" s="10"/>
      <c r="AE903" s="11">
        <v>88.272110498083421</v>
      </c>
      <c r="AF903" s="11">
        <v>315.56149154667082</v>
      </c>
      <c r="AG903" t="s">
        <v>34</v>
      </c>
    </row>
    <row r="904" spans="1:33">
      <c r="A904" s="2">
        <v>44779</v>
      </c>
      <c r="B904" s="5" t="s">
        <v>40</v>
      </c>
      <c r="C904" s="5">
        <f>WEEKDAY(Table1[[#This Row],[Date]])</f>
        <v>7</v>
      </c>
      <c r="D904" s="5">
        <f>MONTH(Table1[[#This Row],[Date]])</f>
        <v>8</v>
      </c>
      <c r="E904" s="5">
        <f>WEEKNUM(Table1[[#This Row],[Date]])</f>
        <v>32</v>
      </c>
      <c r="F904" s="5">
        <f>YEAR(Table1[[#This Row],[Date]])</f>
        <v>2022</v>
      </c>
      <c r="G904">
        <v>340</v>
      </c>
      <c r="L904" s="5">
        <v>210</v>
      </c>
      <c r="M904" s="6">
        <v>0.8367</v>
      </c>
      <c r="N904" s="5">
        <v>41</v>
      </c>
      <c r="O904" s="7">
        <v>3.0092592592592595E-4</v>
      </c>
      <c r="P904" s="7">
        <v>2.0138888888888888E-3</v>
      </c>
      <c r="Q904" s="7">
        <v>6.4583333333333333E-3</v>
      </c>
      <c r="R904" s="6">
        <v>0.63519999999999999</v>
      </c>
      <c r="S904" s="8">
        <f>CONVERT(Table1[[#This Row],[Talk Duration (AVG)]]*Table1[[#This Row],[Answered Calls]],"day","hr")</f>
        <v>10.15</v>
      </c>
      <c r="T904" s="9">
        <f>Table1[[#This Row],[Actual Workload hours]]*60</f>
        <v>609</v>
      </c>
      <c r="U904" s="9">
        <f>CONVERT(Table1[[#This Row],[Actual]]*Table1[[#This Row],[Talk Duration (AVG)]],"day","hr")</f>
        <v>16.433333333333334</v>
      </c>
      <c r="V904" s="10">
        <f>Table1[[#This Row],[Required Workload Hours]]*60</f>
        <v>986</v>
      </c>
      <c r="W904" s="9">
        <v>1.59</v>
      </c>
      <c r="X904" s="9">
        <f t="shared" si="28"/>
        <v>2.5677083333333335</v>
      </c>
      <c r="Y904" s="5">
        <f t="shared" si="29"/>
        <v>2</v>
      </c>
      <c r="Z904" s="8">
        <f>ROUNDUP(Table1[[#This Row],[Actual Heacount]],0)</f>
        <v>2</v>
      </c>
      <c r="AA904" s="8"/>
      <c r="AB904" s="10"/>
      <c r="AC904" s="10"/>
      <c r="AD904" s="10"/>
      <c r="AE904" s="11">
        <v>99.60059936870374</v>
      </c>
      <c r="AF904" s="11">
        <v>318.79716551282178</v>
      </c>
      <c r="AG904" t="s">
        <v>34</v>
      </c>
    </row>
    <row r="905" spans="1:33">
      <c r="A905" s="2">
        <v>44780</v>
      </c>
      <c r="B905" s="5" t="s">
        <v>33</v>
      </c>
      <c r="C905" s="5">
        <f>WEEKDAY(Table1[[#This Row],[Date]])</f>
        <v>1</v>
      </c>
      <c r="D905" s="5">
        <f>MONTH(Table1[[#This Row],[Date]])</f>
        <v>8</v>
      </c>
      <c r="E905" s="5">
        <f>WEEKNUM(Table1[[#This Row],[Date]])</f>
        <v>33</v>
      </c>
      <c r="F905" s="5">
        <f>YEAR(Table1[[#This Row],[Date]])</f>
        <v>2022</v>
      </c>
      <c r="G905">
        <v>401</v>
      </c>
      <c r="L905" s="5">
        <v>313</v>
      </c>
      <c r="M905" s="6">
        <v>0.92330000000000001</v>
      </c>
      <c r="N905" s="5">
        <v>26</v>
      </c>
      <c r="O905" s="7">
        <v>1.3888888888888889E-4</v>
      </c>
      <c r="P905" s="7">
        <v>1.4120370370370369E-3</v>
      </c>
      <c r="Q905" s="7">
        <v>4.6412037037037038E-3</v>
      </c>
      <c r="R905" s="6">
        <v>0.82089999999999996</v>
      </c>
      <c r="S905" s="8">
        <f>CONVERT(Table1[[#This Row],[Talk Duration (AVG)]]*Table1[[#This Row],[Answered Calls]],"day","hr")</f>
        <v>10.607222222222223</v>
      </c>
      <c r="T905" s="9">
        <f>Table1[[#This Row],[Actual Workload hours]]*60</f>
        <v>636.43333333333339</v>
      </c>
      <c r="U905" s="9">
        <f>CONVERT(Table1[[#This Row],[Actual]]*Table1[[#This Row],[Talk Duration (AVG)]],"day","hr")</f>
        <v>13.589444444444444</v>
      </c>
      <c r="V905" s="10">
        <f>Table1[[#This Row],[Required Workload Hours]]*60</f>
        <v>815.36666666666667</v>
      </c>
      <c r="W905" s="9">
        <v>1.66</v>
      </c>
      <c r="X905" s="9">
        <f t="shared" si="28"/>
        <v>2.1233506944444445</v>
      </c>
      <c r="Y905" s="5">
        <f t="shared" si="29"/>
        <v>2</v>
      </c>
      <c r="Z905" s="8">
        <f>ROUNDUP(Table1[[#This Row],[Actual Heacount]],0)</f>
        <v>2</v>
      </c>
      <c r="AA905" s="8"/>
      <c r="AB905" s="10"/>
      <c r="AC905" s="10"/>
      <c r="AD905" s="10"/>
      <c r="AE905" s="11">
        <v>6.7712080073473766</v>
      </c>
      <c r="AF905" s="11">
        <v>221.94865686199131</v>
      </c>
      <c r="AG905" t="s">
        <v>34</v>
      </c>
    </row>
    <row r="906" spans="1:33">
      <c r="A906" s="2">
        <v>44781</v>
      </c>
      <c r="B906" s="5" t="s">
        <v>35</v>
      </c>
      <c r="C906" s="5">
        <f>WEEKDAY(Table1[[#This Row],[Date]])</f>
        <v>2</v>
      </c>
      <c r="D906" s="5">
        <f>MONTH(Table1[[#This Row],[Date]])</f>
        <v>8</v>
      </c>
      <c r="E906" s="5">
        <f>WEEKNUM(Table1[[#This Row],[Date]])</f>
        <v>33</v>
      </c>
      <c r="F906" s="5">
        <f>YEAR(Table1[[#This Row],[Date]])</f>
        <v>2022</v>
      </c>
      <c r="G906">
        <v>57</v>
      </c>
      <c r="L906" s="5">
        <v>261</v>
      </c>
      <c r="M906" s="6">
        <v>0.80800000000000005</v>
      </c>
      <c r="N906" s="5">
        <v>62</v>
      </c>
      <c r="O906" s="7">
        <v>4.7453703703703704E-4</v>
      </c>
      <c r="P906" s="7">
        <v>2.0486111111111113E-3</v>
      </c>
      <c r="Q906" s="7">
        <v>6.5624999999999998E-3</v>
      </c>
      <c r="R906" s="6">
        <v>0.53990000000000005</v>
      </c>
      <c r="S906" s="8">
        <f>CONVERT(Table1[[#This Row],[Talk Duration (AVG)]]*Table1[[#This Row],[Answered Calls]],"day","hr")</f>
        <v>12.832500000000001</v>
      </c>
      <c r="T906" s="9">
        <f>Table1[[#This Row],[Actual Workload hours]]*60</f>
        <v>769.95</v>
      </c>
      <c r="U906" s="9">
        <f>CONVERT(Table1[[#This Row],[Actual]]*Table1[[#This Row],[Talk Duration (AVG)]],"day","hr")</f>
        <v>2.8025000000000002</v>
      </c>
      <c r="V906" s="10">
        <f>Table1[[#This Row],[Required Workload Hours]]*60</f>
        <v>168.15</v>
      </c>
      <c r="W906" s="9">
        <v>2.0099999999999998</v>
      </c>
      <c r="X906" s="9">
        <f t="shared" si="28"/>
        <v>1</v>
      </c>
      <c r="Y906" s="5">
        <f t="shared" si="29"/>
        <v>2</v>
      </c>
      <c r="Z906" s="8">
        <f>ROUNDUP(Table1[[#This Row],[Actual Heacount]],0)</f>
        <v>3</v>
      </c>
      <c r="AA906" s="8"/>
      <c r="AB906" s="10"/>
      <c r="AC906" s="10"/>
      <c r="AD906" s="10"/>
      <c r="AE906" s="11">
        <v>105.1267592219493</v>
      </c>
      <c r="AF906" s="11">
        <v>326.04993452567538</v>
      </c>
      <c r="AG906" t="s">
        <v>34</v>
      </c>
    </row>
    <row r="907" spans="1:33">
      <c r="A907" s="2">
        <v>44782</v>
      </c>
      <c r="B907" s="5" t="s">
        <v>36</v>
      </c>
      <c r="C907" s="5">
        <f>WEEKDAY(Table1[[#This Row],[Date]])</f>
        <v>3</v>
      </c>
      <c r="D907" s="5">
        <f>MONTH(Table1[[#This Row],[Date]])</f>
        <v>8</v>
      </c>
      <c r="E907" s="5">
        <f>WEEKNUM(Table1[[#This Row],[Date]])</f>
        <v>33</v>
      </c>
      <c r="F907" s="5">
        <f>YEAR(Table1[[#This Row],[Date]])</f>
        <v>2022</v>
      </c>
      <c r="G907">
        <v>193</v>
      </c>
      <c r="L907" s="5">
        <v>265</v>
      </c>
      <c r="M907" s="6">
        <v>0.91700000000000004</v>
      </c>
      <c r="N907" s="5">
        <v>24</v>
      </c>
      <c r="O907" s="7">
        <v>1.273148148148148E-4</v>
      </c>
      <c r="P907" s="7">
        <v>2.0833333333333333E-3</v>
      </c>
      <c r="Q907" s="7">
        <v>3.9583333333333337E-3</v>
      </c>
      <c r="R907" s="6">
        <v>0.8327</v>
      </c>
      <c r="S907" s="8">
        <f>CONVERT(Table1[[#This Row],[Talk Duration (AVG)]]*Table1[[#This Row],[Answered Calls]],"day","hr")</f>
        <v>13.25</v>
      </c>
      <c r="T907" s="9">
        <f>Table1[[#This Row],[Actual Workload hours]]*60</f>
        <v>795</v>
      </c>
      <c r="U907" s="9">
        <f>CONVERT(Table1[[#This Row],[Actual]]*Table1[[#This Row],[Talk Duration (AVG)]],"day","hr")</f>
        <v>9.65</v>
      </c>
      <c r="V907" s="10">
        <f>Table1[[#This Row],[Required Workload Hours]]*60</f>
        <v>579</v>
      </c>
      <c r="W907" s="9">
        <v>2.0699999999999998</v>
      </c>
      <c r="X907" s="9">
        <f t="shared" si="28"/>
        <v>1.5078125</v>
      </c>
      <c r="Y907" s="5">
        <f t="shared" si="29"/>
        <v>2</v>
      </c>
      <c r="Z907" s="8">
        <f>ROUNDUP(Table1[[#This Row],[Actual Heacount]],0)</f>
        <v>3</v>
      </c>
      <c r="AA907" s="8"/>
      <c r="AB907" s="10"/>
      <c r="AC907" s="10"/>
      <c r="AD907" s="10"/>
      <c r="AE907" s="11">
        <v>80.729147275445428</v>
      </c>
      <c r="AF907" s="11">
        <v>304.43707296565071</v>
      </c>
      <c r="AG907" t="s">
        <v>34</v>
      </c>
    </row>
    <row r="908" spans="1:33">
      <c r="A908" s="2">
        <v>44783</v>
      </c>
      <c r="B908" s="5" t="s">
        <v>37</v>
      </c>
      <c r="C908" s="5">
        <f>WEEKDAY(Table1[[#This Row],[Date]])</f>
        <v>4</v>
      </c>
      <c r="D908" s="5">
        <f>MONTH(Table1[[#This Row],[Date]])</f>
        <v>8</v>
      </c>
      <c r="E908" s="5">
        <f>WEEKNUM(Table1[[#This Row],[Date]])</f>
        <v>33</v>
      </c>
      <c r="F908" s="5">
        <f>YEAR(Table1[[#This Row],[Date]])</f>
        <v>2022</v>
      </c>
      <c r="G908">
        <v>14</v>
      </c>
      <c r="L908" s="5">
        <v>281</v>
      </c>
      <c r="M908" s="6">
        <v>0.90649999999999997</v>
      </c>
      <c r="N908" s="5">
        <v>29</v>
      </c>
      <c r="O908" s="7">
        <v>1.7361111111111112E-4</v>
      </c>
      <c r="P908" s="7">
        <v>1.8634259259259259E-3</v>
      </c>
      <c r="Q908" s="7">
        <v>2.0486111111111113E-3</v>
      </c>
      <c r="R908" s="6">
        <v>0.79120000000000001</v>
      </c>
      <c r="S908" s="8">
        <f>CONVERT(Table1[[#This Row],[Talk Duration (AVG)]]*Table1[[#This Row],[Answered Calls]],"day","hr")</f>
        <v>12.566944444444445</v>
      </c>
      <c r="T908" s="9">
        <f>Table1[[#This Row],[Actual Workload hours]]*60</f>
        <v>754.01666666666665</v>
      </c>
      <c r="U908" s="9">
        <f>CONVERT(Table1[[#This Row],[Actual]]*Table1[[#This Row],[Talk Duration (AVG)]],"day","hr")</f>
        <v>0.62611111111111106</v>
      </c>
      <c r="V908" s="10">
        <f>Table1[[#This Row],[Required Workload Hours]]*60</f>
        <v>37.566666666666663</v>
      </c>
      <c r="W908" s="9">
        <v>1.96</v>
      </c>
      <c r="X908" s="9">
        <f t="shared" si="28"/>
        <v>1</v>
      </c>
      <c r="Y908" s="5">
        <f t="shared" si="29"/>
        <v>2</v>
      </c>
      <c r="Z908" s="8">
        <f>ROUNDUP(Table1[[#This Row],[Actual Heacount]],0)</f>
        <v>2</v>
      </c>
      <c r="AA908" s="8"/>
      <c r="AB908" s="10"/>
      <c r="AC908" s="10"/>
      <c r="AD908" s="10"/>
      <c r="AE908" s="11">
        <v>98.409057060135709</v>
      </c>
      <c r="AF908" s="11">
        <v>320.81419883699988</v>
      </c>
      <c r="AG908" t="s">
        <v>34</v>
      </c>
    </row>
    <row r="909" spans="1:33">
      <c r="A909" s="2">
        <v>44784</v>
      </c>
      <c r="B909" s="5" t="s">
        <v>38</v>
      </c>
      <c r="C909" s="5">
        <f>WEEKDAY(Table1[[#This Row],[Date]])</f>
        <v>5</v>
      </c>
      <c r="D909" s="5">
        <f>MONTH(Table1[[#This Row],[Date]])</f>
        <v>8</v>
      </c>
      <c r="E909" s="5">
        <f>WEEKNUM(Table1[[#This Row],[Date]])</f>
        <v>33</v>
      </c>
      <c r="F909" s="5">
        <f>YEAR(Table1[[#This Row],[Date]])</f>
        <v>2022</v>
      </c>
      <c r="G909">
        <v>149</v>
      </c>
      <c r="L909" s="5">
        <v>31</v>
      </c>
      <c r="M909" s="6">
        <v>0.93940000000000001</v>
      </c>
      <c r="N909" s="5">
        <v>2</v>
      </c>
      <c r="O909" s="7">
        <v>1.6203703703703703E-4</v>
      </c>
      <c r="P909" s="7">
        <v>2.0023148148148148E-3</v>
      </c>
      <c r="Q909" s="7">
        <v>1.4699074074074074E-3</v>
      </c>
      <c r="R909" s="6">
        <v>0.84850000000000003</v>
      </c>
      <c r="S909" s="8">
        <f>CONVERT(Table1[[#This Row],[Talk Duration (AVG)]]*Table1[[#This Row],[Answered Calls]],"day","hr")</f>
        <v>1.4897222222222222</v>
      </c>
      <c r="T909" s="9">
        <f>Table1[[#This Row],[Actual Workload hours]]*60</f>
        <v>89.383333333333326</v>
      </c>
      <c r="U909" s="9">
        <f>CONVERT(Table1[[#This Row],[Actual]]*Table1[[#This Row],[Talk Duration (AVG)]],"day","hr")</f>
        <v>7.1602777777777789</v>
      </c>
      <c r="V909" s="10">
        <f>Table1[[#This Row],[Required Workload Hours]]*60</f>
        <v>429.61666666666673</v>
      </c>
      <c r="W909" s="9">
        <v>1</v>
      </c>
      <c r="X909" s="9">
        <f t="shared" si="28"/>
        <v>1.1187934027777779</v>
      </c>
      <c r="Y909" s="5">
        <f t="shared" si="29"/>
        <v>1</v>
      </c>
      <c r="Z909" s="8">
        <f>ROUNDUP(Table1[[#This Row],[Actual Heacount]],0)</f>
        <v>1</v>
      </c>
      <c r="AA909" s="8"/>
      <c r="AB909" s="10"/>
      <c r="AC909" s="10"/>
      <c r="AD909" s="10"/>
      <c r="AE909" s="11">
        <v>85.423048696836346</v>
      </c>
      <c r="AF909" s="11">
        <v>314.89122006810152</v>
      </c>
      <c r="AG909" t="s">
        <v>34</v>
      </c>
    </row>
    <row r="910" spans="1:33">
      <c r="A910" s="2">
        <v>44785</v>
      </c>
      <c r="B910" s="5" t="s">
        <v>39</v>
      </c>
      <c r="C910" s="5">
        <f>WEEKDAY(Table1[[#This Row],[Date]])</f>
        <v>6</v>
      </c>
      <c r="D910" s="5">
        <f>MONTH(Table1[[#This Row],[Date]])</f>
        <v>8</v>
      </c>
      <c r="E910" s="5">
        <f>WEEKNUM(Table1[[#This Row],[Date]])</f>
        <v>33</v>
      </c>
      <c r="F910" s="5">
        <f>YEAR(Table1[[#This Row],[Date]])</f>
        <v>2022</v>
      </c>
      <c r="G910">
        <v>254</v>
      </c>
      <c r="L910" s="5">
        <v>318</v>
      </c>
      <c r="M910" s="6">
        <v>0.91910000000000003</v>
      </c>
      <c r="N910" s="5">
        <v>28</v>
      </c>
      <c r="O910" s="7">
        <v>1.3888888888888889E-4</v>
      </c>
      <c r="P910" s="7">
        <v>1.8055555555555555E-3</v>
      </c>
      <c r="Q910" s="7">
        <v>2.4537037037037036E-3</v>
      </c>
      <c r="R910" s="6">
        <v>0.82489999999999997</v>
      </c>
      <c r="S910" s="8">
        <f>CONVERT(Table1[[#This Row],[Talk Duration (AVG)]]*Table1[[#This Row],[Answered Calls]],"day","hr")</f>
        <v>13.779999999999998</v>
      </c>
      <c r="T910" s="9">
        <f>Table1[[#This Row],[Actual Workload hours]]*60</f>
        <v>826.79999999999984</v>
      </c>
      <c r="U910" s="9">
        <f>CONVERT(Table1[[#This Row],[Actual]]*Table1[[#This Row],[Talk Duration (AVG)]],"day","hr")</f>
        <v>11.006666666666666</v>
      </c>
      <c r="V910" s="10">
        <f>Table1[[#This Row],[Required Workload Hours]]*60</f>
        <v>660.4</v>
      </c>
      <c r="W910" s="9">
        <v>2.15</v>
      </c>
      <c r="X910" s="9">
        <f t="shared" si="28"/>
        <v>1.7197916666666666</v>
      </c>
      <c r="Y910" s="5">
        <f t="shared" si="29"/>
        <v>2</v>
      </c>
      <c r="Z910" s="8">
        <f>ROUNDUP(Table1[[#This Row],[Actual Heacount]],0)</f>
        <v>3</v>
      </c>
      <c r="AA910" s="8"/>
      <c r="AB910" s="10"/>
      <c r="AC910" s="10"/>
      <c r="AD910" s="10"/>
      <c r="AE910" s="11">
        <v>81.745604887840742</v>
      </c>
      <c r="AF910" s="11">
        <v>302.75016519413742</v>
      </c>
      <c r="AG910" t="s">
        <v>34</v>
      </c>
    </row>
    <row r="911" spans="1:33">
      <c r="A911" s="2">
        <v>44786</v>
      </c>
      <c r="B911" s="5" t="s">
        <v>40</v>
      </c>
      <c r="C911" s="5">
        <f>WEEKDAY(Table1[[#This Row],[Date]])</f>
        <v>7</v>
      </c>
      <c r="D911" s="5">
        <f>MONTH(Table1[[#This Row],[Date]])</f>
        <v>8</v>
      </c>
      <c r="E911" s="5">
        <f>WEEKNUM(Table1[[#This Row],[Date]])</f>
        <v>33</v>
      </c>
      <c r="F911" s="5">
        <f>YEAR(Table1[[#This Row],[Date]])</f>
        <v>2022</v>
      </c>
      <c r="G911">
        <v>203</v>
      </c>
      <c r="L911" s="5">
        <v>285</v>
      </c>
      <c r="M911" s="6">
        <v>0.87690000000000001</v>
      </c>
      <c r="N911" s="5">
        <v>40</v>
      </c>
      <c r="O911" s="7">
        <v>3.7037037037037035E-4</v>
      </c>
      <c r="P911" s="7">
        <v>1.9097222222222222E-3</v>
      </c>
      <c r="Q911" s="7">
        <v>6.7013888888888887E-3</v>
      </c>
      <c r="R911" s="6">
        <v>0.60819999999999996</v>
      </c>
      <c r="S911" s="8">
        <f>CONVERT(Table1[[#This Row],[Talk Duration (AVG)]]*Table1[[#This Row],[Answered Calls]],"day","hr")</f>
        <v>13.0625</v>
      </c>
      <c r="T911" s="9">
        <f>Table1[[#This Row],[Actual Workload hours]]*60</f>
        <v>783.75</v>
      </c>
      <c r="U911" s="9">
        <f>CONVERT(Table1[[#This Row],[Actual]]*Table1[[#This Row],[Talk Duration (AVG)]],"day","hr")</f>
        <v>9.3041666666666671</v>
      </c>
      <c r="V911" s="10">
        <f>Table1[[#This Row],[Required Workload Hours]]*60</f>
        <v>558.25</v>
      </c>
      <c r="W911" s="9">
        <v>2.04</v>
      </c>
      <c r="X911" s="9">
        <f t="shared" si="28"/>
        <v>1.4537760416666667</v>
      </c>
      <c r="Y911" s="5">
        <f t="shared" si="29"/>
        <v>2</v>
      </c>
      <c r="Z911" s="8">
        <f>ROUNDUP(Table1[[#This Row],[Actual Heacount]],0)</f>
        <v>3</v>
      </c>
      <c r="AA911" s="8"/>
      <c r="AB911" s="10"/>
      <c r="AC911" s="10"/>
      <c r="AD911" s="10"/>
      <c r="AE911" s="11">
        <v>92.588921182081918</v>
      </c>
      <c r="AF911" s="11">
        <v>308.26128437944328</v>
      </c>
      <c r="AG911" t="s">
        <v>34</v>
      </c>
    </row>
    <row r="912" spans="1:33">
      <c r="A912" s="2">
        <v>44787</v>
      </c>
      <c r="B912" s="5" t="s">
        <v>33</v>
      </c>
      <c r="C912" s="5">
        <f>WEEKDAY(Table1[[#This Row],[Date]])</f>
        <v>1</v>
      </c>
      <c r="D912" s="5">
        <f>MONTH(Table1[[#This Row],[Date]])</f>
        <v>8</v>
      </c>
      <c r="E912" s="5">
        <f>WEEKNUM(Table1[[#This Row],[Date]])</f>
        <v>34</v>
      </c>
      <c r="F912" s="5">
        <f>YEAR(Table1[[#This Row],[Date]])</f>
        <v>2022</v>
      </c>
      <c r="G912">
        <v>33</v>
      </c>
      <c r="L912" s="5">
        <v>504</v>
      </c>
      <c r="M912" s="6">
        <v>0.80379999999999996</v>
      </c>
      <c r="N912" s="5">
        <v>123</v>
      </c>
      <c r="O912" s="7">
        <v>4.2824074074074075E-4</v>
      </c>
      <c r="P912" s="7">
        <v>2.3148148148148147E-3</v>
      </c>
      <c r="Q912" s="7">
        <v>1.3680555555555555E-2</v>
      </c>
      <c r="R912" s="6">
        <v>0.56930000000000003</v>
      </c>
      <c r="S912" s="8">
        <f>CONVERT(Table1[[#This Row],[Talk Duration (AVG)]]*Table1[[#This Row],[Answered Calls]],"day","hr")</f>
        <v>27.999999999999996</v>
      </c>
      <c r="T912" s="9">
        <f>Table1[[#This Row],[Actual Workload hours]]*60</f>
        <v>1679.9999999999998</v>
      </c>
      <c r="U912" s="9">
        <f>CONVERT(Table1[[#This Row],[Actual]]*Table1[[#This Row],[Talk Duration (AVG)]],"day","hr")</f>
        <v>1.833333333333333</v>
      </c>
      <c r="V912" s="10">
        <f>Table1[[#This Row],[Required Workload Hours]]*60</f>
        <v>109.99999999999999</v>
      </c>
      <c r="W912" s="9">
        <v>4.38</v>
      </c>
      <c r="X912" s="9">
        <f t="shared" si="28"/>
        <v>1</v>
      </c>
      <c r="Y912" s="5">
        <f t="shared" si="29"/>
        <v>2</v>
      </c>
      <c r="Z912" s="8">
        <f>ROUNDUP(Table1[[#This Row],[Actual Heacount]],0)</f>
        <v>5</v>
      </c>
      <c r="AA912" s="8"/>
      <c r="AB912" s="10"/>
      <c r="AC912" s="10"/>
      <c r="AD912" s="10"/>
      <c r="AE912" s="11">
        <v>-0.22952147198688019</v>
      </c>
      <c r="AF912" s="11">
        <v>219.35563154879091</v>
      </c>
      <c r="AG912" t="s">
        <v>34</v>
      </c>
    </row>
    <row r="913" spans="1:33">
      <c r="A913" s="2">
        <v>44788</v>
      </c>
      <c r="B913" s="5" t="s">
        <v>35</v>
      </c>
      <c r="C913" s="5">
        <f>WEEKDAY(Table1[[#This Row],[Date]])</f>
        <v>2</v>
      </c>
      <c r="D913" s="5">
        <f>MONTH(Table1[[#This Row],[Date]])</f>
        <v>8</v>
      </c>
      <c r="E913" s="5">
        <f>WEEKNUM(Table1[[#This Row],[Date]])</f>
        <v>34</v>
      </c>
      <c r="F913" s="5">
        <f>YEAR(Table1[[#This Row],[Date]])</f>
        <v>2022</v>
      </c>
      <c r="G913">
        <v>220</v>
      </c>
      <c r="L913" s="5">
        <v>631</v>
      </c>
      <c r="M913" s="6">
        <v>0.69720000000000004</v>
      </c>
      <c r="N913" s="5">
        <v>274</v>
      </c>
      <c r="O913" s="7">
        <v>9.6064814814814819E-4</v>
      </c>
      <c r="P913" s="7">
        <v>2.5694444444444445E-3</v>
      </c>
      <c r="Q913" s="7">
        <v>8.3796296296296292E-3</v>
      </c>
      <c r="R913" s="6">
        <v>0.25679999999999997</v>
      </c>
      <c r="S913" s="8">
        <f>CONVERT(Table1[[#This Row],[Talk Duration (AVG)]]*Table1[[#This Row],[Answered Calls]],"day","hr")</f>
        <v>38.911666666666669</v>
      </c>
      <c r="T913" s="9">
        <f>Table1[[#This Row],[Actual Workload hours]]*60</f>
        <v>2334.7000000000003</v>
      </c>
      <c r="U913" s="9">
        <f>CONVERT(Table1[[#This Row],[Actual]]*Table1[[#This Row],[Talk Duration (AVG)]],"day","hr")</f>
        <v>13.566666666666666</v>
      </c>
      <c r="V913" s="10">
        <f>Table1[[#This Row],[Required Workload Hours]]*60</f>
        <v>814</v>
      </c>
      <c r="W913" s="9">
        <v>6.08</v>
      </c>
      <c r="X913" s="9">
        <f t="shared" si="28"/>
        <v>2.1197916666666665</v>
      </c>
      <c r="Y913" s="5">
        <f t="shared" si="29"/>
        <v>2</v>
      </c>
      <c r="Z913" s="8">
        <f>ROUNDUP(Table1[[#This Row],[Actual Heacount]],0)</f>
        <v>7</v>
      </c>
      <c r="AA913" s="8"/>
      <c r="AB913" s="10"/>
      <c r="AC913" s="10"/>
      <c r="AD913" s="10"/>
      <c r="AE913" s="11">
        <v>87.453475059648952</v>
      </c>
      <c r="AF913" s="11">
        <v>316.72348906484632</v>
      </c>
      <c r="AG913" t="s">
        <v>34</v>
      </c>
    </row>
    <row r="914" spans="1:33">
      <c r="A914" s="2">
        <v>44789</v>
      </c>
      <c r="B914" s="5" t="s">
        <v>36</v>
      </c>
      <c r="C914" s="5">
        <f>WEEKDAY(Table1[[#This Row],[Date]])</f>
        <v>3</v>
      </c>
      <c r="D914" s="5">
        <f>MONTH(Table1[[#This Row],[Date]])</f>
        <v>8</v>
      </c>
      <c r="E914" s="5">
        <f>WEEKNUM(Table1[[#This Row],[Date]])</f>
        <v>34</v>
      </c>
      <c r="F914" s="5">
        <f>YEAR(Table1[[#This Row],[Date]])</f>
        <v>2022</v>
      </c>
      <c r="G914">
        <v>185</v>
      </c>
      <c r="L914" s="5">
        <v>610</v>
      </c>
      <c r="M914" s="6">
        <v>0.53459999999999996</v>
      </c>
      <c r="N914" s="5">
        <v>531</v>
      </c>
      <c r="O914" s="7">
        <v>1.2268518518518518E-3</v>
      </c>
      <c r="P914" s="7">
        <v>2.2222222222222222E-3</v>
      </c>
      <c r="Q914" s="7">
        <v>1.7951388888888888E-2</v>
      </c>
      <c r="R914" s="6">
        <v>0.14549999999999999</v>
      </c>
      <c r="S914" s="8">
        <f>CONVERT(Table1[[#This Row],[Talk Duration (AVG)]]*Table1[[#This Row],[Answered Calls]],"day","hr")</f>
        <v>32.533333333333331</v>
      </c>
      <c r="T914" s="9">
        <f>Table1[[#This Row],[Actual Workload hours]]*60</f>
        <v>1952</v>
      </c>
      <c r="U914" s="9">
        <f>CONVERT(Table1[[#This Row],[Actual]]*Table1[[#This Row],[Talk Duration (AVG)]],"day","hr")</f>
        <v>9.8666666666666671</v>
      </c>
      <c r="V914" s="10">
        <f>Table1[[#This Row],[Required Workload Hours]]*60</f>
        <v>592</v>
      </c>
      <c r="W914" s="9">
        <v>5.08</v>
      </c>
      <c r="X914" s="9">
        <f t="shared" si="28"/>
        <v>1.5416666666666667</v>
      </c>
      <c r="Y914" s="5">
        <f t="shared" si="29"/>
        <v>2</v>
      </c>
      <c r="Z914" s="8">
        <f>ROUNDUP(Table1[[#This Row],[Actual Heacount]],0)</f>
        <v>6</v>
      </c>
      <c r="AA914" s="8"/>
      <c r="AB914" s="10"/>
      <c r="AC914" s="10"/>
      <c r="AD914" s="10"/>
      <c r="AE914" s="11">
        <v>88.349712074532434</v>
      </c>
      <c r="AF914" s="11">
        <v>305.83267693671019</v>
      </c>
      <c r="AG914" t="s">
        <v>34</v>
      </c>
    </row>
    <row r="915" spans="1:33">
      <c r="A915" s="2">
        <v>44790</v>
      </c>
      <c r="B915" s="5" t="s">
        <v>37</v>
      </c>
      <c r="C915" s="5">
        <f>WEEKDAY(Table1[[#This Row],[Date]])</f>
        <v>4</v>
      </c>
      <c r="D915" s="5">
        <f>MONTH(Table1[[#This Row],[Date]])</f>
        <v>8</v>
      </c>
      <c r="E915" s="5">
        <f>WEEKNUM(Table1[[#This Row],[Date]])</f>
        <v>34</v>
      </c>
      <c r="F915" s="5">
        <f>YEAR(Table1[[#This Row],[Date]])</f>
        <v>2022</v>
      </c>
      <c r="G915">
        <v>203</v>
      </c>
      <c r="L915" s="5">
        <v>511</v>
      </c>
      <c r="M915" s="6">
        <v>0.59209999999999996</v>
      </c>
      <c r="N915" s="5">
        <v>352</v>
      </c>
      <c r="O915" s="7">
        <v>1.4699074074074074E-3</v>
      </c>
      <c r="P915" s="7">
        <v>2.1180555555555558E-3</v>
      </c>
      <c r="Q915" s="7">
        <v>1.0914351851851852E-2</v>
      </c>
      <c r="R915" s="6">
        <v>0.12130000000000001</v>
      </c>
      <c r="S915" s="8">
        <f>CONVERT(Table1[[#This Row],[Talk Duration (AVG)]]*Table1[[#This Row],[Answered Calls]],"day","hr")</f>
        <v>25.975833333333338</v>
      </c>
      <c r="T915" s="9">
        <f>Table1[[#This Row],[Actual Workload hours]]*60</f>
        <v>1558.5500000000002</v>
      </c>
      <c r="U915" s="9">
        <f>CONVERT(Table1[[#This Row],[Actual]]*Table1[[#This Row],[Talk Duration (AVG)]],"day","hr")</f>
        <v>10.319166666666669</v>
      </c>
      <c r="V915" s="10">
        <f>Table1[[#This Row],[Required Workload Hours]]*60</f>
        <v>619.1500000000002</v>
      </c>
      <c r="W915" s="9">
        <v>4.0599999999999996</v>
      </c>
      <c r="X915" s="9">
        <f t="shared" si="28"/>
        <v>1.6123697916666673</v>
      </c>
      <c r="Y915" s="5">
        <f t="shared" si="29"/>
        <v>2</v>
      </c>
      <c r="Z915" s="8">
        <f>ROUNDUP(Table1[[#This Row],[Actual Heacount]],0)</f>
        <v>5</v>
      </c>
      <c r="AA915" s="8"/>
      <c r="AB915" s="10"/>
      <c r="AC915" s="10"/>
      <c r="AD915" s="10"/>
      <c r="AE915" s="11">
        <v>96.643412763278192</v>
      </c>
      <c r="AF915" s="11">
        <v>312.22759861070409</v>
      </c>
      <c r="AG915" t="s">
        <v>34</v>
      </c>
    </row>
    <row r="916" spans="1:33">
      <c r="A916" s="2">
        <v>44791</v>
      </c>
      <c r="B916" s="5" t="s">
        <v>38</v>
      </c>
      <c r="C916" s="5">
        <f>WEEKDAY(Table1[[#This Row],[Date]])</f>
        <v>5</v>
      </c>
      <c r="D916" s="5">
        <f>MONTH(Table1[[#This Row],[Date]])</f>
        <v>8</v>
      </c>
      <c r="E916" s="5">
        <f>WEEKNUM(Table1[[#This Row],[Date]])</f>
        <v>34</v>
      </c>
      <c r="F916" s="5">
        <f>YEAR(Table1[[#This Row],[Date]])</f>
        <v>2022</v>
      </c>
      <c r="G916">
        <v>218</v>
      </c>
      <c r="L916" s="5">
        <v>56</v>
      </c>
      <c r="M916" s="6">
        <v>0.88890000000000002</v>
      </c>
      <c r="N916" s="5">
        <v>7</v>
      </c>
      <c r="O916" s="7">
        <v>1.8518518518518518E-4</v>
      </c>
      <c r="P916" s="7">
        <v>1.7476851851851852E-3</v>
      </c>
      <c r="Q916" s="7">
        <v>2.8703703703703703E-3</v>
      </c>
      <c r="R916" s="6">
        <v>0.7097</v>
      </c>
      <c r="S916" s="8">
        <f>CONVERT(Table1[[#This Row],[Talk Duration (AVG)]]*Table1[[#This Row],[Answered Calls]],"day","hr")</f>
        <v>2.3488888888888888</v>
      </c>
      <c r="T916" s="9">
        <f>Table1[[#This Row],[Actual Workload hours]]*60</f>
        <v>140.93333333333334</v>
      </c>
      <c r="U916" s="9">
        <f>CONVERT(Table1[[#This Row],[Actual]]*Table1[[#This Row],[Talk Duration (AVG)]],"day","hr")</f>
        <v>9.1438888888888883</v>
      </c>
      <c r="V916" s="10">
        <f>Table1[[#This Row],[Required Workload Hours]]*60</f>
        <v>548.63333333333333</v>
      </c>
      <c r="W916" s="9">
        <v>1</v>
      </c>
      <c r="X916" s="9">
        <f t="shared" si="28"/>
        <v>1.4287326388888888</v>
      </c>
      <c r="Y916" s="5">
        <f t="shared" si="29"/>
        <v>1</v>
      </c>
      <c r="Z916" s="8">
        <f>ROUNDUP(Table1[[#This Row],[Actual Heacount]],0)</f>
        <v>1</v>
      </c>
      <c r="AA916" s="8"/>
      <c r="AB916" s="10"/>
      <c r="AC916" s="10"/>
      <c r="AD916" s="10"/>
      <c r="AE916" s="11">
        <v>84.605900071993503</v>
      </c>
      <c r="AF916" s="11">
        <v>313.03634725458039</v>
      </c>
      <c r="AG916" t="s">
        <v>34</v>
      </c>
    </row>
    <row r="917" spans="1:33">
      <c r="A917" s="2">
        <v>44792</v>
      </c>
      <c r="B917" s="5" t="s">
        <v>39</v>
      </c>
      <c r="C917" s="5">
        <f>WEEKDAY(Table1[[#This Row],[Date]])</f>
        <v>6</v>
      </c>
      <c r="D917" s="5">
        <f>MONTH(Table1[[#This Row],[Date]])</f>
        <v>8</v>
      </c>
      <c r="E917" s="5">
        <f>WEEKNUM(Table1[[#This Row],[Date]])</f>
        <v>34</v>
      </c>
      <c r="F917" s="5">
        <f>YEAR(Table1[[#This Row],[Date]])</f>
        <v>2022</v>
      </c>
      <c r="G917">
        <v>204</v>
      </c>
      <c r="L917" s="5">
        <v>487</v>
      </c>
      <c r="M917" s="6">
        <v>0.84989999999999999</v>
      </c>
      <c r="N917" s="5">
        <v>86</v>
      </c>
      <c r="O917" s="7">
        <v>6.4814814814814813E-4</v>
      </c>
      <c r="P917" s="7">
        <v>1.9097222222222222E-3</v>
      </c>
      <c r="Q917" s="7">
        <v>3.9699074074074072E-3</v>
      </c>
      <c r="R917" s="6">
        <v>0.34989999999999999</v>
      </c>
      <c r="S917" s="8">
        <f>CONVERT(Table1[[#This Row],[Talk Duration (AVG)]]*Table1[[#This Row],[Answered Calls]],"day","hr")</f>
        <v>22.320833333333333</v>
      </c>
      <c r="T917" s="9">
        <f>Table1[[#This Row],[Actual Workload hours]]*60</f>
        <v>1339.25</v>
      </c>
      <c r="U917" s="9">
        <f>CONVERT(Table1[[#This Row],[Actual]]*Table1[[#This Row],[Talk Duration (AVG)]],"day","hr")</f>
        <v>9.35</v>
      </c>
      <c r="V917" s="10">
        <f>Table1[[#This Row],[Required Workload Hours]]*60</f>
        <v>561</v>
      </c>
      <c r="W917" s="9">
        <v>3.49</v>
      </c>
      <c r="X917" s="9">
        <f t="shared" si="28"/>
        <v>1.4609375</v>
      </c>
      <c r="Y917" s="5">
        <f t="shared" si="29"/>
        <v>2</v>
      </c>
      <c r="Z917" s="8">
        <f>ROUNDUP(Table1[[#This Row],[Actual Heacount]],0)</f>
        <v>4</v>
      </c>
      <c r="AA917" s="8"/>
      <c r="AB917" s="10"/>
      <c r="AC917" s="10"/>
      <c r="AD917" s="10"/>
      <c r="AE917" s="11">
        <v>65.708481091073153</v>
      </c>
      <c r="AF917" s="11">
        <v>294.60798904970801</v>
      </c>
      <c r="AG917" t="s">
        <v>34</v>
      </c>
    </row>
    <row r="918" spans="1:33">
      <c r="A918" s="2">
        <v>44793</v>
      </c>
      <c r="B918" s="5" t="s">
        <v>40</v>
      </c>
      <c r="C918" s="5">
        <f>WEEKDAY(Table1[[#This Row],[Date]])</f>
        <v>7</v>
      </c>
      <c r="D918" s="5">
        <f>MONTH(Table1[[#This Row],[Date]])</f>
        <v>8</v>
      </c>
      <c r="E918" s="5">
        <f>WEEKNUM(Table1[[#This Row],[Date]])</f>
        <v>34</v>
      </c>
      <c r="F918" s="5">
        <f>YEAR(Table1[[#This Row],[Date]])</f>
        <v>2022</v>
      </c>
      <c r="G918">
        <v>242</v>
      </c>
      <c r="L918" s="5">
        <v>323</v>
      </c>
      <c r="M918" s="6">
        <v>0.82609999999999995</v>
      </c>
      <c r="N918" s="5">
        <v>68</v>
      </c>
      <c r="O918" s="7">
        <v>5.3240740740740744E-4</v>
      </c>
      <c r="P918" s="7">
        <v>2.1759259259259258E-3</v>
      </c>
      <c r="Q918" s="7">
        <v>5.7407407407407407E-3</v>
      </c>
      <c r="R918" s="6">
        <v>0.42709999999999998</v>
      </c>
      <c r="S918" s="8">
        <f>CONVERT(Table1[[#This Row],[Talk Duration (AVG)]]*Table1[[#This Row],[Answered Calls]],"day","hr")</f>
        <v>16.867777777777775</v>
      </c>
      <c r="T918" s="9">
        <f>Table1[[#This Row],[Actual Workload hours]]*60</f>
        <v>1012.0666666666665</v>
      </c>
      <c r="U918" s="9">
        <f>CONVERT(Table1[[#This Row],[Actual]]*Table1[[#This Row],[Talk Duration (AVG)]],"day","hr")</f>
        <v>12.637777777777778</v>
      </c>
      <c r="V918" s="10">
        <f>Table1[[#This Row],[Required Workload Hours]]*60</f>
        <v>758.26666666666665</v>
      </c>
      <c r="W918" s="9">
        <v>2.64</v>
      </c>
      <c r="X918" s="9">
        <f t="shared" si="28"/>
        <v>1.9746527777777778</v>
      </c>
      <c r="Y918" s="5">
        <f t="shared" si="29"/>
        <v>2</v>
      </c>
      <c r="Z918" s="8">
        <f>ROUNDUP(Table1[[#This Row],[Actual Heacount]],0)</f>
        <v>3</v>
      </c>
      <c r="AA918" s="8"/>
      <c r="AB918" s="10"/>
      <c r="AC918" s="10"/>
      <c r="AD918" s="10"/>
      <c r="AE918" s="11">
        <v>80.070267620769499</v>
      </c>
      <c r="AF918" s="11">
        <v>308.74767647121661</v>
      </c>
      <c r="AG918" t="s">
        <v>34</v>
      </c>
    </row>
    <row r="919" spans="1:33">
      <c r="A919" s="2">
        <v>44794</v>
      </c>
      <c r="B919" s="5" t="s">
        <v>33</v>
      </c>
      <c r="C919" s="5">
        <f>WEEKDAY(Table1[[#This Row],[Date]])</f>
        <v>1</v>
      </c>
      <c r="D919" s="5">
        <f>MONTH(Table1[[#This Row],[Date]])</f>
        <v>8</v>
      </c>
      <c r="E919" s="5">
        <f>WEEKNUM(Table1[[#This Row],[Date]])</f>
        <v>35</v>
      </c>
      <c r="F919" s="5">
        <f>YEAR(Table1[[#This Row],[Date]])</f>
        <v>2022</v>
      </c>
      <c r="G919">
        <v>29</v>
      </c>
      <c r="L919" s="5">
        <v>355</v>
      </c>
      <c r="M919" s="6">
        <v>0.67490000000000006</v>
      </c>
      <c r="N919" s="5">
        <v>171</v>
      </c>
      <c r="O919" s="7">
        <v>1.0300925925925926E-3</v>
      </c>
      <c r="P919" s="7">
        <v>2.662037037037037E-3</v>
      </c>
      <c r="Q919" s="7">
        <v>1.3043981481481481E-2</v>
      </c>
      <c r="R919" s="6">
        <v>0.224</v>
      </c>
      <c r="S919" s="8">
        <f>CONVERT(Table1[[#This Row],[Talk Duration (AVG)]]*Table1[[#This Row],[Answered Calls]],"day","hr")</f>
        <v>22.680555555555557</v>
      </c>
      <c r="T919" s="9">
        <f>Table1[[#This Row],[Actual Workload hours]]*60</f>
        <v>1360.8333333333335</v>
      </c>
      <c r="U919" s="9">
        <f>CONVERT(Table1[[#This Row],[Actual]]*Table1[[#This Row],[Talk Duration (AVG)]],"day","hr")</f>
        <v>1.8527777777777779</v>
      </c>
      <c r="V919" s="10">
        <f>Table1[[#This Row],[Required Workload Hours]]*60</f>
        <v>111.16666666666667</v>
      </c>
      <c r="W919" s="9">
        <v>3.54</v>
      </c>
      <c r="X919" s="9">
        <f t="shared" si="28"/>
        <v>1</v>
      </c>
      <c r="Y919" s="5">
        <f t="shared" si="29"/>
        <v>2</v>
      </c>
      <c r="Z919" s="8">
        <f>ROUNDUP(Table1[[#This Row],[Actual Heacount]],0)</f>
        <v>4</v>
      </c>
      <c r="AA919" s="8"/>
      <c r="AB919" s="10"/>
      <c r="AC919" s="10"/>
      <c r="AD919" s="10"/>
      <c r="AE919" s="11">
        <v>-1.0686229692192839</v>
      </c>
      <c r="AF919" s="11">
        <v>211.14277167105871</v>
      </c>
      <c r="AG919" t="s">
        <v>34</v>
      </c>
    </row>
    <row r="920" spans="1:33">
      <c r="A920" s="2">
        <v>44795</v>
      </c>
      <c r="B920" s="5" t="s">
        <v>35</v>
      </c>
      <c r="C920" s="5">
        <f>WEEKDAY(Table1[[#This Row],[Date]])</f>
        <v>2</v>
      </c>
      <c r="D920" s="5">
        <f>MONTH(Table1[[#This Row],[Date]])</f>
        <v>8</v>
      </c>
      <c r="E920" s="5">
        <f>WEEKNUM(Table1[[#This Row],[Date]])</f>
        <v>35</v>
      </c>
      <c r="F920" s="5">
        <f>YEAR(Table1[[#This Row],[Date]])</f>
        <v>2022</v>
      </c>
      <c r="G920">
        <v>171</v>
      </c>
      <c r="L920" s="5">
        <v>309</v>
      </c>
      <c r="M920" s="6">
        <v>0.90090000000000003</v>
      </c>
      <c r="N920" s="5">
        <v>34</v>
      </c>
      <c r="O920" s="7">
        <v>4.5138888888888887E-4</v>
      </c>
      <c r="P920" s="7">
        <v>2.3611111111111111E-3</v>
      </c>
      <c r="Q920" s="7">
        <v>3.5879629629629629E-3</v>
      </c>
      <c r="R920" s="6">
        <v>0.48820000000000002</v>
      </c>
      <c r="S920" s="8">
        <f>CONVERT(Table1[[#This Row],[Talk Duration (AVG)]]*Table1[[#This Row],[Answered Calls]],"day","hr")</f>
        <v>17.510000000000002</v>
      </c>
      <c r="T920" s="9">
        <f>Table1[[#This Row],[Actual Workload hours]]*60</f>
        <v>1050.6000000000001</v>
      </c>
      <c r="U920" s="9">
        <f>CONVERT(Table1[[#This Row],[Actual]]*Table1[[#This Row],[Talk Duration (AVG)]],"day","hr")</f>
        <v>9.69</v>
      </c>
      <c r="V920" s="10">
        <f>Table1[[#This Row],[Required Workload Hours]]*60</f>
        <v>581.4</v>
      </c>
      <c r="W920" s="9">
        <v>2.74</v>
      </c>
      <c r="X920" s="9">
        <f t="shared" si="28"/>
        <v>1.5140624999999999</v>
      </c>
      <c r="Y920" s="5">
        <f t="shared" si="29"/>
        <v>2</v>
      </c>
      <c r="Z920" s="8">
        <f>ROUNDUP(Table1[[#This Row],[Actual Heacount]],0)</f>
        <v>3</v>
      </c>
      <c r="AA920" s="8"/>
      <c r="AB920" s="10"/>
      <c r="AC920" s="10"/>
      <c r="AD920" s="10"/>
      <c r="AE920" s="11">
        <v>95.138161225978166</v>
      </c>
      <c r="AF920" s="11">
        <v>313.57048818738588</v>
      </c>
      <c r="AG920" t="s">
        <v>34</v>
      </c>
    </row>
    <row r="921" spans="1:33">
      <c r="A921" s="2">
        <v>44796</v>
      </c>
      <c r="B921" s="5" t="s">
        <v>36</v>
      </c>
      <c r="C921" s="5">
        <f>WEEKDAY(Table1[[#This Row],[Date]])</f>
        <v>3</v>
      </c>
      <c r="D921" s="5">
        <f>MONTH(Table1[[#This Row],[Date]])</f>
        <v>8</v>
      </c>
      <c r="E921" s="5">
        <f>WEEKNUM(Table1[[#This Row],[Date]])</f>
        <v>35</v>
      </c>
      <c r="F921" s="5">
        <f>YEAR(Table1[[#This Row],[Date]])</f>
        <v>2022</v>
      </c>
      <c r="G921">
        <v>190</v>
      </c>
      <c r="L921" s="5">
        <v>346</v>
      </c>
      <c r="M921" s="6">
        <v>0.86280000000000001</v>
      </c>
      <c r="N921" s="5">
        <v>55</v>
      </c>
      <c r="O921" s="7">
        <v>4.7453703703703704E-4</v>
      </c>
      <c r="P921" s="7">
        <v>2.2337962962962962E-3</v>
      </c>
      <c r="Q921" s="7">
        <v>3.5879629629629629E-3</v>
      </c>
      <c r="R921" s="6">
        <v>0.44269999999999998</v>
      </c>
      <c r="S921" s="8">
        <f>CONVERT(Table1[[#This Row],[Talk Duration (AVG)]]*Table1[[#This Row],[Answered Calls]],"day","hr")</f>
        <v>18.549444444444443</v>
      </c>
      <c r="T921" s="9">
        <f>Table1[[#This Row],[Actual Workload hours]]*60</f>
        <v>1112.9666666666667</v>
      </c>
      <c r="U921" s="9">
        <f>CONVERT(Table1[[#This Row],[Actual]]*Table1[[#This Row],[Talk Duration (AVG)]],"day","hr")</f>
        <v>10.186111111111112</v>
      </c>
      <c r="V921" s="10">
        <f>Table1[[#This Row],[Required Workload Hours]]*60</f>
        <v>611.16666666666674</v>
      </c>
      <c r="W921" s="9">
        <v>2.9</v>
      </c>
      <c r="X921" s="9">
        <f t="shared" si="28"/>
        <v>1.5915798611111114</v>
      </c>
      <c r="Y921" s="5">
        <f t="shared" si="29"/>
        <v>2</v>
      </c>
      <c r="Z921" s="8">
        <f>ROUNDUP(Table1[[#This Row],[Actual Heacount]],0)</f>
        <v>3</v>
      </c>
      <c r="AA921" s="8"/>
      <c r="AB921" s="10"/>
      <c r="AC921" s="10"/>
      <c r="AD921" s="10"/>
      <c r="AE921" s="11">
        <v>84.140998601342432</v>
      </c>
      <c r="AF921" s="11">
        <v>299.84060725320649</v>
      </c>
      <c r="AG921" t="s">
        <v>34</v>
      </c>
    </row>
    <row r="922" spans="1:33">
      <c r="A922" s="2">
        <v>44797</v>
      </c>
      <c r="B922" s="5" t="s">
        <v>37</v>
      </c>
      <c r="C922" s="5">
        <f>WEEKDAY(Table1[[#This Row],[Date]])</f>
        <v>4</v>
      </c>
      <c r="D922" s="5">
        <f>MONTH(Table1[[#This Row],[Date]])</f>
        <v>8</v>
      </c>
      <c r="E922" s="5">
        <f>WEEKNUM(Table1[[#This Row],[Date]])</f>
        <v>35</v>
      </c>
      <c r="F922" s="5">
        <f>YEAR(Table1[[#This Row],[Date]])</f>
        <v>2022</v>
      </c>
      <c r="G922">
        <v>221</v>
      </c>
      <c r="L922" s="5">
        <v>239</v>
      </c>
      <c r="M922" s="6">
        <v>0.85050000000000003</v>
      </c>
      <c r="N922" s="5">
        <v>42</v>
      </c>
      <c r="O922" s="7">
        <v>4.7453703703703704E-4</v>
      </c>
      <c r="P922" s="7">
        <v>2.1643518518518518E-3</v>
      </c>
      <c r="Q922" s="7">
        <v>2.3148148148148147E-3</v>
      </c>
      <c r="R922" s="6">
        <v>0.42549999999999999</v>
      </c>
      <c r="S922" s="8">
        <f>CONVERT(Table1[[#This Row],[Talk Duration (AVG)]]*Table1[[#This Row],[Answered Calls]],"day","hr")</f>
        <v>12.414722222222222</v>
      </c>
      <c r="T922" s="9">
        <f>Table1[[#This Row],[Actual Workload hours]]*60</f>
        <v>744.88333333333333</v>
      </c>
      <c r="U922" s="9">
        <f>CONVERT(Table1[[#This Row],[Actual]]*Table1[[#This Row],[Talk Duration (AVG)]],"day","hr")</f>
        <v>11.479722222222222</v>
      </c>
      <c r="V922" s="10">
        <f>Table1[[#This Row],[Required Workload Hours]]*60</f>
        <v>688.7833333333333</v>
      </c>
      <c r="W922" s="9">
        <v>1.94</v>
      </c>
      <c r="X922" s="9">
        <f t="shared" si="28"/>
        <v>1.7937065972222221</v>
      </c>
      <c r="Y922" s="5">
        <f t="shared" si="29"/>
        <v>2</v>
      </c>
      <c r="Z922" s="8">
        <f>ROUNDUP(Table1[[#This Row],[Actual Heacount]],0)</f>
        <v>2</v>
      </c>
      <c r="AA922" s="8"/>
      <c r="AB922" s="10"/>
      <c r="AC922" s="10"/>
      <c r="AD922" s="10"/>
      <c r="AE922" s="11">
        <v>100.3176801269399</v>
      </c>
      <c r="AF922" s="11">
        <v>309.96949124802438</v>
      </c>
      <c r="AG922" t="s">
        <v>34</v>
      </c>
    </row>
    <row r="923" spans="1:33">
      <c r="A923" s="2">
        <v>44798</v>
      </c>
      <c r="B923" s="5" t="s">
        <v>38</v>
      </c>
      <c r="C923" s="5">
        <f>WEEKDAY(Table1[[#This Row],[Date]])</f>
        <v>5</v>
      </c>
      <c r="D923" s="5">
        <f>MONTH(Table1[[#This Row],[Date]])</f>
        <v>8</v>
      </c>
      <c r="E923" s="5">
        <f>WEEKNUM(Table1[[#This Row],[Date]])</f>
        <v>35</v>
      </c>
      <c r="F923" s="5">
        <f>YEAR(Table1[[#This Row],[Date]])</f>
        <v>2022</v>
      </c>
      <c r="G923">
        <v>297</v>
      </c>
      <c r="L923" s="5">
        <v>39</v>
      </c>
      <c r="M923" s="6">
        <v>0.8478</v>
      </c>
      <c r="N923" s="5">
        <v>7</v>
      </c>
      <c r="O923" s="7">
        <v>1.273148148148148E-4</v>
      </c>
      <c r="P923" s="7">
        <v>2.1875000000000002E-3</v>
      </c>
      <c r="Q923" s="7">
        <v>2.8819444444444444E-3</v>
      </c>
      <c r="R923" s="6">
        <v>0.80430000000000001</v>
      </c>
      <c r="S923" s="8">
        <f>CONVERT(Table1[[#This Row],[Talk Duration (AVG)]]*Table1[[#This Row],[Answered Calls]],"day","hr")</f>
        <v>2.0475000000000003</v>
      </c>
      <c r="T923" s="9">
        <f>Table1[[#This Row],[Actual Workload hours]]*60</f>
        <v>122.85000000000002</v>
      </c>
      <c r="U923" s="9">
        <f>CONVERT(Table1[[#This Row],[Actual]]*Table1[[#This Row],[Talk Duration (AVG)]],"day","hr")</f>
        <v>15.592500000000001</v>
      </c>
      <c r="V923" s="10">
        <f>Table1[[#This Row],[Required Workload Hours]]*60</f>
        <v>935.55000000000007</v>
      </c>
      <c r="W923" s="9">
        <v>1</v>
      </c>
      <c r="X923" s="9">
        <f t="shared" si="28"/>
        <v>2.4363281250000002</v>
      </c>
      <c r="Y923" s="5">
        <f t="shared" si="29"/>
        <v>1</v>
      </c>
      <c r="Z923" s="8">
        <f>ROUNDUP(Table1[[#This Row],[Actual Heacount]],0)</f>
        <v>1</v>
      </c>
      <c r="AA923" s="8"/>
      <c r="AB923" s="10"/>
      <c r="AC923" s="10"/>
      <c r="AD923" s="10"/>
      <c r="AE923" s="11">
        <v>95.594567807928755</v>
      </c>
      <c r="AF923" s="11">
        <v>304.87127854190021</v>
      </c>
      <c r="AG923" t="s">
        <v>34</v>
      </c>
    </row>
    <row r="924" spans="1:33">
      <c r="A924" s="2">
        <v>44799</v>
      </c>
      <c r="B924" s="5" t="s">
        <v>39</v>
      </c>
      <c r="C924" s="5">
        <f>WEEKDAY(Table1[[#This Row],[Date]])</f>
        <v>6</v>
      </c>
      <c r="D924" s="5">
        <f>MONTH(Table1[[#This Row],[Date]])</f>
        <v>8</v>
      </c>
      <c r="E924" s="5">
        <f>WEEKNUM(Table1[[#This Row],[Date]])</f>
        <v>35</v>
      </c>
      <c r="F924" s="5">
        <f>YEAR(Table1[[#This Row],[Date]])</f>
        <v>2022</v>
      </c>
      <c r="G924">
        <v>233</v>
      </c>
      <c r="L924" s="5">
        <v>323</v>
      </c>
      <c r="M924" s="6">
        <v>0.90480000000000005</v>
      </c>
      <c r="N924" s="5">
        <v>34</v>
      </c>
      <c r="O924" s="7">
        <v>3.7037037037037035E-4</v>
      </c>
      <c r="P924" s="7">
        <v>2.1759259259259258E-3</v>
      </c>
      <c r="Q924" s="7">
        <v>5.0231481481481481E-3</v>
      </c>
      <c r="R924" s="6">
        <v>0.60909999999999997</v>
      </c>
      <c r="S924" s="8">
        <f>CONVERT(Table1[[#This Row],[Talk Duration (AVG)]]*Table1[[#This Row],[Answered Calls]],"day","hr")</f>
        <v>16.867777777777775</v>
      </c>
      <c r="T924" s="9">
        <f>Table1[[#This Row],[Actual Workload hours]]*60</f>
        <v>1012.0666666666665</v>
      </c>
      <c r="U924" s="9">
        <f>CONVERT(Table1[[#This Row],[Actual]]*Table1[[#This Row],[Talk Duration (AVG)]],"day","hr")</f>
        <v>12.167777777777776</v>
      </c>
      <c r="V924" s="10">
        <f>Table1[[#This Row],[Required Workload Hours]]*60</f>
        <v>730.06666666666649</v>
      </c>
      <c r="W924" s="9">
        <v>2.64</v>
      </c>
      <c r="X924" s="9">
        <f t="shared" si="28"/>
        <v>1.9012152777777773</v>
      </c>
      <c r="Y924" s="5">
        <f t="shared" si="29"/>
        <v>2</v>
      </c>
      <c r="Z924" s="8">
        <f>ROUNDUP(Table1[[#This Row],[Actual Heacount]],0)</f>
        <v>3</v>
      </c>
      <c r="AA924" s="8"/>
      <c r="AB924" s="10"/>
      <c r="AC924" s="10"/>
      <c r="AD924" s="10"/>
      <c r="AE924" s="11">
        <v>80.279180122208359</v>
      </c>
      <c r="AF924" s="11">
        <v>297.11070494315419</v>
      </c>
      <c r="AG924" t="s">
        <v>34</v>
      </c>
    </row>
    <row r="925" spans="1:33">
      <c r="A925" s="2">
        <v>44800</v>
      </c>
      <c r="B925" s="5" t="s">
        <v>40</v>
      </c>
      <c r="C925" s="5">
        <f>WEEKDAY(Table1[[#This Row],[Date]])</f>
        <v>7</v>
      </c>
      <c r="D925" s="5">
        <f>MONTH(Table1[[#This Row],[Date]])</f>
        <v>8</v>
      </c>
      <c r="E925" s="5">
        <f>WEEKNUM(Table1[[#This Row],[Date]])</f>
        <v>35</v>
      </c>
      <c r="F925" s="5">
        <f>YEAR(Table1[[#This Row],[Date]])</f>
        <v>2022</v>
      </c>
      <c r="G925">
        <v>198</v>
      </c>
      <c r="L925" s="5">
        <v>255</v>
      </c>
      <c r="M925" s="6">
        <v>0.91069999999999995</v>
      </c>
      <c r="N925" s="5">
        <v>25</v>
      </c>
      <c r="O925" s="7">
        <v>3.9351851851851852E-4</v>
      </c>
      <c r="P925" s="7">
        <v>2.1064814814814813E-3</v>
      </c>
      <c r="Q925" s="7">
        <v>2.4421296296296296E-3</v>
      </c>
      <c r="R925" s="6">
        <v>0.52900000000000003</v>
      </c>
      <c r="S925" s="8">
        <f>CONVERT(Table1[[#This Row],[Talk Duration (AVG)]]*Table1[[#This Row],[Answered Calls]],"day","hr")</f>
        <v>12.891666666666664</v>
      </c>
      <c r="T925" s="9">
        <f>Table1[[#This Row],[Actual Workload hours]]*60</f>
        <v>773.49999999999989</v>
      </c>
      <c r="U925" s="9">
        <f>CONVERT(Table1[[#This Row],[Actual]]*Table1[[#This Row],[Talk Duration (AVG)]],"day","hr")</f>
        <v>10.01</v>
      </c>
      <c r="V925" s="10">
        <f>Table1[[#This Row],[Required Workload Hours]]*60</f>
        <v>600.6</v>
      </c>
      <c r="W925" s="9">
        <v>2.0099999999999998</v>
      </c>
      <c r="X925" s="9">
        <f t="shared" si="28"/>
        <v>1.5640625000000001</v>
      </c>
      <c r="Y925" s="5">
        <f t="shared" si="29"/>
        <v>2</v>
      </c>
      <c r="Z925" s="8">
        <f>ROUNDUP(Table1[[#This Row],[Actual Heacount]],0)</f>
        <v>3</v>
      </c>
      <c r="AA925" s="8"/>
      <c r="AB925" s="10"/>
      <c r="AC925" s="10"/>
      <c r="AD925" s="10"/>
      <c r="AE925" s="11">
        <v>86.571081157114634</v>
      </c>
      <c r="AF925" s="11">
        <v>317.42546390645208</v>
      </c>
      <c r="AG925" t="s">
        <v>34</v>
      </c>
    </row>
    <row r="926" spans="1:33">
      <c r="A926" s="2">
        <v>44801</v>
      </c>
      <c r="B926" s="5" t="s">
        <v>33</v>
      </c>
      <c r="C926" s="5">
        <f>WEEKDAY(Table1[[#This Row],[Date]])</f>
        <v>1</v>
      </c>
      <c r="D926" s="5">
        <f>MONTH(Table1[[#This Row],[Date]])</f>
        <v>8</v>
      </c>
      <c r="E926" s="5">
        <f>WEEKNUM(Table1[[#This Row],[Date]])</f>
        <v>36</v>
      </c>
      <c r="F926" s="5">
        <f>YEAR(Table1[[#This Row],[Date]])</f>
        <v>2022</v>
      </c>
      <c r="G926">
        <v>15</v>
      </c>
      <c r="L926" s="5">
        <v>247</v>
      </c>
      <c r="M926" s="6">
        <v>0.95740000000000003</v>
      </c>
      <c r="N926" s="5">
        <v>11</v>
      </c>
      <c r="O926" s="7">
        <v>2.8935185185185184E-4</v>
      </c>
      <c r="P926" s="7">
        <v>2.0486111111111113E-3</v>
      </c>
      <c r="Q926" s="7">
        <v>2.9166666666666668E-3</v>
      </c>
      <c r="R926" s="6">
        <v>0.70199999999999996</v>
      </c>
      <c r="S926" s="8">
        <f>CONVERT(Table1[[#This Row],[Talk Duration (AVG)]]*Table1[[#This Row],[Answered Calls]],"day","hr")</f>
        <v>12.144166666666669</v>
      </c>
      <c r="T926" s="9">
        <f>Table1[[#This Row],[Actual Workload hours]]*60</f>
        <v>728.65000000000009</v>
      </c>
      <c r="U926" s="9">
        <f>CONVERT(Table1[[#This Row],[Actual]]*Table1[[#This Row],[Talk Duration (AVG)]],"day","hr")</f>
        <v>0.73750000000000004</v>
      </c>
      <c r="V926" s="10">
        <f>Table1[[#This Row],[Required Workload Hours]]*60</f>
        <v>44.25</v>
      </c>
      <c r="W926" s="9">
        <v>1.9</v>
      </c>
      <c r="X926" s="9">
        <f t="shared" si="28"/>
        <v>1</v>
      </c>
      <c r="Y926" s="5">
        <f t="shared" si="29"/>
        <v>2</v>
      </c>
      <c r="Z926" s="8">
        <f>ROUNDUP(Table1[[#This Row],[Actual Heacount]],0)</f>
        <v>2</v>
      </c>
      <c r="AA926" s="8"/>
      <c r="AB926" s="10"/>
      <c r="AC926" s="10"/>
      <c r="AD926" s="10"/>
      <c r="AE926" s="11">
        <v>1.0487961478787911</v>
      </c>
      <c r="AF926" s="11">
        <v>225.99548484640979</v>
      </c>
      <c r="AG926" t="s">
        <v>34</v>
      </c>
    </row>
    <row r="927" spans="1:33">
      <c r="A927" s="2">
        <v>44802</v>
      </c>
      <c r="B927" s="5" t="s">
        <v>35</v>
      </c>
      <c r="C927" s="5">
        <f>WEEKDAY(Table1[[#This Row],[Date]])</f>
        <v>2</v>
      </c>
      <c r="D927" s="5">
        <f>MONTH(Table1[[#This Row],[Date]])</f>
        <v>8</v>
      </c>
      <c r="E927" s="5">
        <f>WEEKNUM(Table1[[#This Row],[Date]])</f>
        <v>36</v>
      </c>
      <c r="F927" s="5">
        <f>YEAR(Table1[[#This Row],[Date]])</f>
        <v>2022</v>
      </c>
      <c r="G927">
        <v>27</v>
      </c>
      <c r="L927" s="5">
        <v>255</v>
      </c>
      <c r="M927" s="6">
        <v>0.90429999999999999</v>
      </c>
      <c r="N927" s="5">
        <v>27</v>
      </c>
      <c r="O927" s="7">
        <v>2.0833333333333335E-4</v>
      </c>
      <c r="P927" s="7">
        <v>1.9328703703703704E-3</v>
      </c>
      <c r="Q927" s="7">
        <v>2.8819444444444444E-3</v>
      </c>
      <c r="R927" s="6">
        <v>0.74729999999999996</v>
      </c>
      <c r="S927" s="8">
        <f>CONVERT(Table1[[#This Row],[Talk Duration (AVG)]]*Table1[[#This Row],[Answered Calls]],"day","hr")</f>
        <v>11.829166666666667</v>
      </c>
      <c r="T927" s="9">
        <f>Table1[[#This Row],[Actual Workload hours]]*60</f>
        <v>709.75</v>
      </c>
      <c r="U927" s="9">
        <f>CONVERT(Table1[[#This Row],[Actual]]*Table1[[#This Row],[Talk Duration (AVG)]],"day","hr")</f>
        <v>1.2524999999999999</v>
      </c>
      <c r="V927" s="10">
        <f>Table1[[#This Row],[Required Workload Hours]]*60</f>
        <v>75.149999999999991</v>
      </c>
      <c r="W927" s="9">
        <v>1.85</v>
      </c>
      <c r="X927" s="9">
        <f t="shared" si="28"/>
        <v>1</v>
      </c>
      <c r="Y927" s="5">
        <f t="shared" si="29"/>
        <v>2</v>
      </c>
      <c r="Z927" s="8">
        <f>ROUNDUP(Table1[[#This Row],[Actual Heacount]],0)</f>
        <v>2</v>
      </c>
      <c r="AA927" s="8"/>
      <c r="AB927" s="10"/>
      <c r="AC927" s="10"/>
      <c r="AD927" s="10"/>
      <c r="AE927" s="11">
        <v>107.3730594254977</v>
      </c>
      <c r="AF927" s="11">
        <v>325.30419288582908</v>
      </c>
      <c r="AG927" t="s">
        <v>34</v>
      </c>
    </row>
    <row r="928" spans="1:33">
      <c r="A928" s="2">
        <v>44803</v>
      </c>
      <c r="B928" s="5" t="s">
        <v>36</v>
      </c>
      <c r="C928" s="5">
        <f>WEEKDAY(Table1[[#This Row],[Date]])</f>
        <v>3</v>
      </c>
      <c r="D928" s="5">
        <f>MONTH(Table1[[#This Row],[Date]])</f>
        <v>8</v>
      </c>
      <c r="E928" s="5">
        <f>WEEKNUM(Table1[[#This Row],[Date]])</f>
        <v>36</v>
      </c>
      <c r="F928" s="5">
        <f>YEAR(Table1[[#This Row],[Date]])</f>
        <v>2022</v>
      </c>
      <c r="G928">
        <v>7</v>
      </c>
      <c r="L928" s="5">
        <v>240</v>
      </c>
      <c r="M928" s="6">
        <v>0.9486</v>
      </c>
      <c r="N928" s="5">
        <v>13</v>
      </c>
      <c r="O928" s="7">
        <v>2.0833333333333335E-4</v>
      </c>
      <c r="P928" s="7">
        <v>1.8634259259259259E-3</v>
      </c>
      <c r="Q928" s="7">
        <v>4.2939814814814811E-3</v>
      </c>
      <c r="R928" s="6">
        <v>0.752</v>
      </c>
      <c r="S928" s="8">
        <f>CONVERT(Table1[[#This Row],[Talk Duration (AVG)]]*Table1[[#This Row],[Answered Calls]],"day","hr")</f>
        <v>10.733333333333333</v>
      </c>
      <c r="T928" s="9">
        <f>Table1[[#This Row],[Actual Workload hours]]*60</f>
        <v>644</v>
      </c>
      <c r="U928" s="9">
        <f>CONVERT(Table1[[#This Row],[Actual]]*Table1[[#This Row],[Talk Duration (AVG)]],"day","hr")</f>
        <v>0.31305555555555553</v>
      </c>
      <c r="V928" s="10">
        <f>Table1[[#This Row],[Required Workload Hours]]*60</f>
        <v>18.783333333333331</v>
      </c>
      <c r="W928" s="9">
        <v>1.68</v>
      </c>
      <c r="X928" s="9">
        <f t="shared" si="28"/>
        <v>1</v>
      </c>
      <c r="Y928" s="5">
        <f t="shared" si="29"/>
        <v>2</v>
      </c>
      <c r="Z928" s="8">
        <f>ROUNDUP(Table1[[#This Row],[Actual Heacount]],0)</f>
        <v>2</v>
      </c>
      <c r="AA928" s="8"/>
      <c r="AB928" s="10"/>
      <c r="AC928" s="10"/>
      <c r="AD928" s="10"/>
      <c r="AE928" s="11">
        <v>87.637695424831662</v>
      </c>
      <c r="AF928" s="11">
        <v>309.43368788027482</v>
      </c>
      <c r="AG928" t="s">
        <v>34</v>
      </c>
    </row>
    <row r="929" spans="1:33">
      <c r="A929" s="2">
        <v>44804</v>
      </c>
      <c r="B929" s="5" t="s">
        <v>37</v>
      </c>
      <c r="C929" s="5">
        <f>WEEKDAY(Table1[[#This Row],[Date]])</f>
        <v>4</v>
      </c>
      <c r="D929" s="5">
        <f>MONTH(Table1[[#This Row],[Date]])</f>
        <v>8</v>
      </c>
      <c r="E929" s="5">
        <f>WEEKNUM(Table1[[#This Row],[Date]])</f>
        <v>36</v>
      </c>
      <c r="F929" s="5">
        <f>YEAR(Table1[[#This Row],[Date]])</f>
        <v>2022</v>
      </c>
      <c r="G929">
        <v>169</v>
      </c>
      <c r="L929" s="5">
        <v>232</v>
      </c>
      <c r="M929" s="6">
        <v>0.87219999999999998</v>
      </c>
      <c r="N929" s="5">
        <v>34</v>
      </c>
      <c r="O929" s="7">
        <v>4.2824074074074075E-4</v>
      </c>
      <c r="P929" s="7">
        <v>1.9560185185185184E-3</v>
      </c>
      <c r="Q929" s="7">
        <v>4.2939814814814811E-3</v>
      </c>
      <c r="R929" s="6">
        <v>0.57589999999999997</v>
      </c>
      <c r="S929" s="8">
        <f>CONVERT(Table1[[#This Row],[Talk Duration (AVG)]]*Table1[[#This Row],[Answered Calls]],"day","hr")</f>
        <v>10.891111111111108</v>
      </c>
      <c r="T929" s="9">
        <f>Table1[[#This Row],[Actual Workload hours]]*60</f>
        <v>653.46666666666647</v>
      </c>
      <c r="U929" s="9">
        <f>CONVERT(Table1[[#This Row],[Actual]]*Table1[[#This Row],[Talk Duration (AVG)]],"day","hr")</f>
        <v>7.9336111111111105</v>
      </c>
      <c r="V929" s="10">
        <f>Table1[[#This Row],[Required Workload Hours]]*60</f>
        <v>476.01666666666665</v>
      </c>
      <c r="W929" s="9">
        <v>1.7</v>
      </c>
      <c r="X929" s="9">
        <f t="shared" si="28"/>
        <v>1.2396267361111111</v>
      </c>
      <c r="Y929" s="5">
        <f t="shared" si="29"/>
        <v>2</v>
      </c>
      <c r="Z929" s="8">
        <f>ROUNDUP(Table1[[#This Row],[Actual Heacount]],0)</f>
        <v>2</v>
      </c>
      <c r="AA929" s="8"/>
      <c r="AB929" s="10"/>
      <c r="AC929" s="10"/>
      <c r="AD929" s="10"/>
      <c r="AE929" s="11">
        <v>89.687573635074884</v>
      </c>
      <c r="AF929" s="11">
        <v>318.47518070462502</v>
      </c>
      <c r="AG929" t="s">
        <v>34</v>
      </c>
    </row>
    <row r="930" spans="1:33">
      <c r="A930" s="2">
        <v>44805</v>
      </c>
      <c r="B930" s="5" t="s">
        <v>38</v>
      </c>
      <c r="C930" s="5">
        <f>WEEKDAY(Table1[[#This Row],[Date]])</f>
        <v>5</v>
      </c>
      <c r="D930" s="5">
        <f>MONTH(Table1[[#This Row],[Date]])</f>
        <v>9</v>
      </c>
      <c r="E930" s="5">
        <f>WEEKNUM(Table1[[#This Row],[Date]])</f>
        <v>36</v>
      </c>
      <c r="F930" s="5">
        <f>YEAR(Table1[[#This Row],[Date]])</f>
        <v>2022</v>
      </c>
      <c r="G930">
        <v>48</v>
      </c>
      <c r="L930" s="5">
        <v>29</v>
      </c>
      <c r="M930" s="6">
        <v>0.9667</v>
      </c>
      <c r="N930" s="5">
        <v>1</v>
      </c>
      <c r="O930" s="7">
        <v>1.1574074074074075E-4</v>
      </c>
      <c r="P930" s="7">
        <v>2.3263888888888887E-3</v>
      </c>
      <c r="Q930" s="7">
        <v>5.6712962962962967E-4</v>
      </c>
      <c r="R930" s="6">
        <v>0.9</v>
      </c>
      <c r="S930" s="8">
        <f>CONVERT(Table1[[#This Row],[Talk Duration (AVG)]]*Table1[[#This Row],[Answered Calls]],"day","hr")</f>
        <v>1.6191666666666666</v>
      </c>
      <c r="T930" s="9">
        <f>Table1[[#This Row],[Actual Workload hours]]*60</f>
        <v>97.15</v>
      </c>
      <c r="U930" s="9">
        <f>CONVERT(Table1[[#This Row],[Actual]]*Table1[[#This Row],[Talk Duration (AVG)]],"day","hr")</f>
        <v>2.68</v>
      </c>
      <c r="V930" s="10">
        <f>Table1[[#This Row],[Required Workload Hours]]*60</f>
        <v>160.80000000000001</v>
      </c>
      <c r="W930" s="9">
        <v>1</v>
      </c>
      <c r="X930" s="9">
        <f t="shared" si="28"/>
        <v>1</v>
      </c>
      <c r="Y930" s="5">
        <f t="shared" si="29"/>
        <v>1</v>
      </c>
      <c r="Z930" s="8">
        <f>ROUNDUP(Table1[[#This Row],[Actual Heacount]],0)</f>
        <v>1</v>
      </c>
      <c r="AA930" s="8"/>
      <c r="AB930" s="10"/>
      <c r="AC930" s="10"/>
      <c r="AD930" s="10"/>
      <c r="AE930" s="11">
        <v>102.0967405187552</v>
      </c>
      <c r="AF930" s="11">
        <v>313.27440301069271</v>
      </c>
      <c r="AG930" t="s">
        <v>34</v>
      </c>
    </row>
    <row r="931" spans="1:33">
      <c r="A931" s="2">
        <v>44806</v>
      </c>
      <c r="B931" s="5" t="s">
        <v>39</v>
      </c>
      <c r="C931" s="5">
        <f>WEEKDAY(Table1[[#This Row],[Date]])</f>
        <v>6</v>
      </c>
      <c r="D931" s="5">
        <f>MONTH(Table1[[#This Row],[Date]])</f>
        <v>9</v>
      </c>
      <c r="E931" s="5">
        <f>WEEKNUM(Table1[[#This Row],[Date]])</f>
        <v>36</v>
      </c>
      <c r="F931" s="5">
        <f>YEAR(Table1[[#This Row],[Date]])</f>
        <v>2022</v>
      </c>
      <c r="G931">
        <v>366</v>
      </c>
      <c r="L931" s="5">
        <v>230</v>
      </c>
      <c r="M931" s="6">
        <v>0.89149999999999996</v>
      </c>
      <c r="N931" s="5">
        <v>28</v>
      </c>
      <c r="O931" s="7">
        <v>3.8194444444444446E-4</v>
      </c>
      <c r="P931" s="7">
        <v>2.0949074074074073E-3</v>
      </c>
      <c r="Q931" s="7">
        <v>2.9398148148148148E-3</v>
      </c>
      <c r="R931" s="6">
        <v>0.53539999999999999</v>
      </c>
      <c r="S931" s="8">
        <f>CONVERT(Table1[[#This Row],[Talk Duration (AVG)]]*Table1[[#This Row],[Answered Calls]],"day","hr")</f>
        <v>11.563888888888888</v>
      </c>
      <c r="T931" s="9">
        <f>Table1[[#This Row],[Actual Workload hours]]*60</f>
        <v>693.83333333333326</v>
      </c>
      <c r="U931" s="9">
        <f>CONVERT(Table1[[#This Row],[Actual]]*Table1[[#This Row],[Talk Duration (AVG)]],"day","hr")</f>
        <v>18.401666666666667</v>
      </c>
      <c r="V931" s="10">
        <f>Table1[[#This Row],[Required Workload Hours]]*60</f>
        <v>1104.1000000000001</v>
      </c>
      <c r="W931" s="9">
        <v>1.81</v>
      </c>
      <c r="X931" s="9">
        <f t="shared" si="28"/>
        <v>2.8752604166666669</v>
      </c>
      <c r="Y931" s="5">
        <f t="shared" si="29"/>
        <v>2</v>
      </c>
      <c r="Z931" s="8">
        <f>ROUNDUP(Table1[[#This Row],[Actual Heacount]],0)</f>
        <v>2</v>
      </c>
      <c r="AA931" s="8"/>
      <c r="AB931" s="10"/>
      <c r="AC931" s="10"/>
      <c r="AD931" s="10"/>
      <c r="AE931" s="11">
        <v>92.518953659864295</v>
      </c>
      <c r="AF931" s="11">
        <v>301.37345528426619</v>
      </c>
      <c r="AG931" t="s">
        <v>34</v>
      </c>
    </row>
    <row r="932" spans="1:33">
      <c r="A932" s="2">
        <v>44808</v>
      </c>
      <c r="B932" s="5" t="s">
        <v>40</v>
      </c>
      <c r="C932" s="5">
        <f>WEEKDAY(Table1[[#This Row],[Date]])</f>
        <v>1</v>
      </c>
      <c r="D932" s="5">
        <f>MONTH(Table1[[#This Row],[Date]])</f>
        <v>9</v>
      </c>
      <c r="E932" s="5">
        <f>WEEKNUM(Table1[[#This Row],[Date]])</f>
        <v>37</v>
      </c>
      <c r="F932" s="5">
        <f>YEAR(Table1[[#This Row],[Date]])</f>
        <v>2022</v>
      </c>
      <c r="G932">
        <v>122</v>
      </c>
      <c r="L932" s="5">
        <v>282</v>
      </c>
      <c r="M932" s="6">
        <v>0.96250000000000002</v>
      </c>
      <c r="N932" s="5">
        <v>11</v>
      </c>
      <c r="O932" s="7">
        <v>2.6620370370370372E-4</v>
      </c>
      <c r="P932" s="7">
        <v>1.8402777777777777E-3</v>
      </c>
      <c r="Q932" s="7">
        <v>1.8287037037037037E-3</v>
      </c>
      <c r="R932" s="6">
        <v>0.70240000000000002</v>
      </c>
      <c r="S932" s="8">
        <f>CONVERT(Table1[[#This Row],[Talk Duration (AVG)]]*Table1[[#This Row],[Answered Calls]],"day","hr")</f>
        <v>12.455</v>
      </c>
      <c r="T932" s="9">
        <f>Table1[[#This Row],[Actual Workload hours]]*60</f>
        <v>747.3</v>
      </c>
      <c r="U932" s="9">
        <f>CONVERT(Table1[[#This Row],[Actual]]*Table1[[#This Row],[Talk Duration (AVG)]],"day","hr")</f>
        <v>5.3883333333333336</v>
      </c>
      <c r="V932" s="10">
        <f>Table1[[#This Row],[Required Workload Hours]]*60</f>
        <v>323.3</v>
      </c>
      <c r="W932" s="9">
        <v>1.95</v>
      </c>
      <c r="X932" s="9">
        <f t="shared" si="28"/>
        <v>1</v>
      </c>
      <c r="Y932" s="5">
        <f t="shared" si="29"/>
        <v>2</v>
      </c>
      <c r="Z932" s="8">
        <f>ROUNDUP(Table1[[#This Row],[Actual Heacount]],0)</f>
        <v>2</v>
      </c>
      <c r="AA932" s="8"/>
      <c r="AB932" s="10"/>
      <c r="AC932" s="10"/>
      <c r="AD932" s="10"/>
      <c r="AE932" s="11">
        <v>4.478032414771647</v>
      </c>
      <c r="AF932" s="11">
        <v>232.19461448140379</v>
      </c>
      <c r="AG932" t="s">
        <v>34</v>
      </c>
    </row>
    <row r="933" spans="1:33">
      <c r="A933" s="2">
        <v>44809</v>
      </c>
      <c r="B933" s="5" t="s">
        <v>33</v>
      </c>
      <c r="C933" s="5">
        <f>WEEKDAY(Table1[[#This Row],[Date]])</f>
        <v>2</v>
      </c>
      <c r="D933" s="5">
        <f>MONTH(Table1[[#This Row],[Date]])</f>
        <v>9</v>
      </c>
      <c r="E933" s="5">
        <f>WEEKNUM(Table1[[#This Row],[Date]])</f>
        <v>37</v>
      </c>
      <c r="F933" s="5">
        <f>YEAR(Table1[[#This Row],[Date]])</f>
        <v>2022</v>
      </c>
      <c r="G933">
        <v>316</v>
      </c>
      <c r="L933" s="5">
        <v>341</v>
      </c>
      <c r="M933" s="6">
        <v>0.90449999999999997</v>
      </c>
      <c r="N933" s="5">
        <v>36</v>
      </c>
      <c r="O933" s="7">
        <v>2.3148148148148149E-4</v>
      </c>
      <c r="P933" s="7">
        <v>1.6319444444444445E-3</v>
      </c>
      <c r="Q933" s="7">
        <v>2.1875000000000002E-3</v>
      </c>
      <c r="R933" s="6">
        <v>0.68279999999999996</v>
      </c>
      <c r="S933" s="8">
        <f>CONVERT(Table1[[#This Row],[Talk Duration (AVG)]]*Table1[[#This Row],[Answered Calls]],"day","hr")</f>
        <v>13.355833333333335</v>
      </c>
      <c r="T933" s="9">
        <f>Table1[[#This Row],[Actual Workload hours]]*60</f>
        <v>801.35000000000014</v>
      </c>
      <c r="U933" s="9">
        <f>CONVERT(Table1[[#This Row],[Actual]]*Table1[[#This Row],[Talk Duration (AVG)]],"day","hr")</f>
        <v>12.376666666666667</v>
      </c>
      <c r="V933" s="10">
        <f>Table1[[#This Row],[Required Workload Hours]]*60</f>
        <v>742.6</v>
      </c>
      <c r="W933" s="9">
        <v>2.09</v>
      </c>
      <c r="X933" s="9">
        <f t="shared" si="28"/>
        <v>1.9338541666666667</v>
      </c>
      <c r="Y933" s="5">
        <f t="shared" si="29"/>
        <v>2</v>
      </c>
      <c r="Z933" s="8">
        <f>ROUNDUP(Table1[[#This Row],[Actual Heacount]],0)</f>
        <v>3</v>
      </c>
      <c r="AA933" s="8"/>
      <c r="AB933" s="10"/>
      <c r="AC933" s="10"/>
      <c r="AD933" s="10"/>
      <c r="AE933" s="11">
        <v>105.6947451144782</v>
      </c>
      <c r="AF933" s="11">
        <v>318.06398882352272</v>
      </c>
      <c r="AG933" t="s">
        <v>34</v>
      </c>
    </row>
    <row r="934" spans="1:33">
      <c r="A934" s="2">
        <v>44810</v>
      </c>
      <c r="B934" s="5" t="s">
        <v>35</v>
      </c>
      <c r="C934" s="5">
        <f>WEEKDAY(Table1[[#This Row],[Date]])</f>
        <v>3</v>
      </c>
      <c r="D934" s="5">
        <f>MONTH(Table1[[#This Row],[Date]])</f>
        <v>9</v>
      </c>
      <c r="E934" s="5">
        <f>WEEKNUM(Table1[[#This Row],[Date]])</f>
        <v>37</v>
      </c>
      <c r="F934" s="5">
        <f>YEAR(Table1[[#This Row],[Date]])</f>
        <v>2022</v>
      </c>
      <c r="G934">
        <v>322</v>
      </c>
      <c r="L934" s="5">
        <v>182</v>
      </c>
      <c r="M934" s="6">
        <v>0.92859999999999998</v>
      </c>
      <c r="N934" s="5">
        <v>14</v>
      </c>
      <c r="O934" s="7">
        <v>3.2407407407407406E-4</v>
      </c>
      <c r="P934" s="7">
        <v>1.8171296296296297E-3</v>
      </c>
      <c r="Q934" s="7">
        <v>2.0138888888888888E-3</v>
      </c>
      <c r="R934" s="6">
        <v>0.61860000000000004</v>
      </c>
      <c r="S934" s="8">
        <f>CONVERT(Table1[[#This Row],[Talk Duration (AVG)]]*Table1[[#This Row],[Answered Calls]],"day","hr")</f>
        <v>7.9372222222222222</v>
      </c>
      <c r="T934" s="9">
        <f>Table1[[#This Row],[Actual Workload hours]]*60</f>
        <v>476.23333333333335</v>
      </c>
      <c r="U934" s="9">
        <f>CONVERT(Table1[[#This Row],[Actual]]*Table1[[#This Row],[Talk Duration (AVG)]],"day","hr")</f>
        <v>14.042777777777779</v>
      </c>
      <c r="V934" s="10">
        <f>Table1[[#This Row],[Required Workload Hours]]*60</f>
        <v>842.56666666666672</v>
      </c>
      <c r="W934" s="9">
        <v>1.24</v>
      </c>
      <c r="X934" s="9">
        <f t="shared" si="28"/>
        <v>2.1941840277777778</v>
      </c>
      <c r="Y934" s="5">
        <f t="shared" si="29"/>
        <v>2</v>
      </c>
      <c r="Z934" s="8">
        <f>ROUNDUP(Table1[[#This Row],[Actual Heacount]],0)</f>
        <v>2</v>
      </c>
      <c r="AA934" s="8"/>
      <c r="AB934" s="10"/>
      <c r="AC934" s="10"/>
      <c r="AD934" s="10"/>
      <c r="AE934" s="11">
        <v>86.733583442941637</v>
      </c>
      <c r="AF934" s="11">
        <v>315.46780842171228</v>
      </c>
      <c r="AG934" t="s">
        <v>34</v>
      </c>
    </row>
    <row r="935" spans="1:33">
      <c r="A935" s="2">
        <v>44811</v>
      </c>
      <c r="B935" s="5" t="s">
        <v>36</v>
      </c>
      <c r="C935" s="5">
        <f>WEEKDAY(Table1[[#This Row],[Date]])</f>
        <v>4</v>
      </c>
      <c r="D935" s="5">
        <f>MONTH(Table1[[#This Row],[Date]])</f>
        <v>9</v>
      </c>
      <c r="E935" s="5">
        <f>WEEKNUM(Table1[[#This Row],[Date]])</f>
        <v>37</v>
      </c>
      <c r="F935" s="5">
        <f>YEAR(Table1[[#This Row],[Date]])</f>
        <v>2022</v>
      </c>
      <c r="G935">
        <v>281</v>
      </c>
      <c r="L935" s="5">
        <v>173</v>
      </c>
      <c r="M935" s="6">
        <v>0.90100000000000002</v>
      </c>
      <c r="N935" s="5">
        <v>19</v>
      </c>
      <c r="O935" s="7">
        <v>3.8194444444444446E-4</v>
      </c>
      <c r="P935" s="7">
        <v>1.8981481481481482E-3</v>
      </c>
      <c r="Q935" s="7">
        <v>4.6180555555555558E-3</v>
      </c>
      <c r="R935" s="6">
        <v>0.61780000000000002</v>
      </c>
      <c r="S935" s="8">
        <f>CONVERT(Table1[[#This Row],[Talk Duration (AVG)]]*Table1[[#This Row],[Answered Calls]],"day","hr")</f>
        <v>7.8811111111111112</v>
      </c>
      <c r="T935" s="9">
        <f>Table1[[#This Row],[Actual Workload hours]]*60</f>
        <v>472.86666666666667</v>
      </c>
      <c r="U935" s="9">
        <f>CONVERT(Table1[[#This Row],[Actual]]*Table1[[#This Row],[Talk Duration (AVG)]],"day","hr")</f>
        <v>12.801111111111112</v>
      </c>
      <c r="V935" s="10">
        <f>Table1[[#This Row],[Required Workload Hours]]*60</f>
        <v>768.06666666666672</v>
      </c>
      <c r="W935" s="9">
        <v>1.23</v>
      </c>
      <c r="X935" s="9">
        <f t="shared" si="28"/>
        <v>2.0001736111111112</v>
      </c>
      <c r="Y935" s="5">
        <f t="shared" si="29"/>
        <v>2</v>
      </c>
      <c r="Z935" s="8">
        <f>ROUNDUP(Table1[[#This Row],[Actual Heacount]],0)</f>
        <v>2</v>
      </c>
      <c r="AA935" s="8"/>
      <c r="AB935" s="10"/>
      <c r="AC935" s="10"/>
      <c r="AD935" s="10"/>
      <c r="AE935" s="11">
        <v>107.21318217077039</v>
      </c>
      <c r="AF935" s="11">
        <v>328.74046184204849</v>
      </c>
      <c r="AG935" t="s">
        <v>34</v>
      </c>
    </row>
    <row r="936" spans="1:33">
      <c r="A936" s="2">
        <v>44813</v>
      </c>
      <c r="B936" s="5" t="s">
        <v>37</v>
      </c>
      <c r="C936" s="5">
        <f>WEEKDAY(Table1[[#This Row],[Date]])</f>
        <v>6</v>
      </c>
      <c r="D936" s="5">
        <f>MONTH(Table1[[#This Row],[Date]])</f>
        <v>9</v>
      </c>
      <c r="E936" s="5">
        <f>WEEKNUM(Table1[[#This Row],[Date]])</f>
        <v>37</v>
      </c>
      <c r="F936" s="5">
        <f>YEAR(Table1[[#This Row],[Date]])</f>
        <v>2022</v>
      </c>
      <c r="G936">
        <v>201</v>
      </c>
      <c r="L936" s="5">
        <v>178</v>
      </c>
      <c r="M936" s="6">
        <v>0.96220000000000006</v>
      </c>
      <c r="N936" s="5">
        <v>7</v>
      </c>
      <c r="O936" s="7">
        <v>1.9675925925925926E-4</v>
      </c>
      <c r="P936" s="7">
        <v>1.9212962962962964E-3</v>
      </c>
      <c r="Q936" s="7">
        <v>2.1875000000000002E-3</v>
      </c>
      <c r="R936" s="6">
        <v>0.7772</v>
      </c>
      <c r="S936" s="8">
        <f>CONVERT(Table1[[#This Row],[Talk Duration (AVG)]]*Table1[[#This Row],[Answered Calls]],"day","hr")</f>
        <v>8.2077777777777783</v>
      </c>
      <c r="T936" s="9">
        <f>Table1[[#This Row],[Actual Workload hours]]*60</f>
        <v>492.4666666666667</v>
      </c>
      <c r="U936" s="9">
        <f>CONVERT(Table1[[#This Row],[Actual]]*Table1[[#This Row],[Talk Duration (AVG)]],"day","hr")</f>
        <v>9.2683333333333326</v>
      </c>
      <c r="V936" s="10">
        <f>Table1[[#This Row],[Required Workload Hours]]*60</f>
        <v>556.09999999999991</v>
      </c>
      <c r="W936" s="9">
        <v>1.28</v>
      </c>
      <c r="X936" s="9">
        <f t="shared" si="28"/>
        <v>1.4481770833333332</v>
      </c>
      <c r="Y936" s="5">
        <f t="shared" si="29"/>
        <v>2</v>
      </c>
      <c r="Z936" s="8">
        <f>ROUNDUP(Table1[[#This Row],[Actual Heacount]],0)</f>
        <v>2</v>
      </c>
      <c r="AA936" s="8"/>
      <c r="AB936" s="10"/>
      <c r="AC936" s="10"/>
      <c r="AD936" s="10"/>
      <c r="AE936" s="11">
        <v>89.756241333007125</v>
      </c>
      <c r="AF936" s="11">
        <v>305.82259030176772</v>
      </c>
      <c r="AG936" t="s">
        <v>34</v>
      </c>
    </row>
    <row r="937" spans="1:33">
      <c r="A937" s="2">
        <v>44814</v>
      </c>
      <c r="B937" s="5" t="s">
        <v>38</v>
      </c>
      <c r="C937" s="5">
        <f>WEEKDAY(Table1[[#This Row],[Date]])</f>
        <v>7</v>
      </c>
      <c r="D937" s="5">
        <f>MONTH(Table1[[#This Row],[Date]])</f>
        <v>9</v>
      </c>
      <c r="E937" s="5">
        <f>WEEKNUM(Table1[[#This Row],[Date]])</f>
        <v>37</v>
      </c>
      <c r="F937" s="5">
        <f>YEAR(Table1[[#This Row],[Date]])</f>
        <v>2022</v>
      </c>
      <c r="G937">
        <v>18</v>
      </c>
      <c r="L937" s="5">
        <v>25</v>
      </c>
      <c r="M937" s="6">
        <v>0.92589999999999995</v>
      </c>
      <c r="N937" s="5">
        <v>2</v>
      </c>
      <c r="O937" s="7">
        <v>2.0833333333333335E-4</v>
      </c>
      <c r="P937" s="7">
        <v>1.4930555555555556E-3</v>
      </c>
      <c r="Q937" s="7">
        <v>2.1643518518518518E-3</v>
      </c>
      <c r="R937" s="6">
        <v>0.74070000000000003</v>
      </c>
      <c r="S937" s="8">
        <f>CONVERT(Table1[[#This Row],[Talk Duration (AVG)]]*Table1[[#This Row],[Answered Calls]],"day","hr")</f>
        <v>0.89583333333333337</v>
      </c>
      <c r="T937" s="9">
        <f>Table1[[#This Row],[Actual Workload hours]]*60</f>
        <v>53.75</v>
      </c>
      <c r="U937" s="9">
        <f>CONVERT(Table1[[#This Row],[Actual]]*Table1[[#This Row],[Talk Duration (AVG)]],"day","hr")</f>
        <v>0.64500000000000013</v>
      </c>
      <c r="V937" s="10">
        <f>Table1[[#This Row],[Required Workload Hours]]*60</f>
        <v>38.70000000000001</v>
      </c>
      <c r="W937" s="9">
        <v>1</v>
      </c>
      <c r="X937" s="9">
        <f t="shared" si="28"/>
        <v>1</v>
      </c>
      <c r="Y937" s="5">
        <f t="shared" si="29"/>
        <v>1</v>
      </c>
      <c r="Z937" s="8">
        <f>ROUNDUP(Table1[[#This Row],[Actual Heacount]],0)</f>
        <v>1</v>
      </c>
      <c r="AA937" s="8"/>
      <c r="AB937" s="10"/>
      <c r="AC937" s="10"/>
      <c r="AD937" s="10"/>
      <c r="AE937" s="11">
        <v>99.012098492345601</v>
      </c>
      <c r="AF937" s="11">
        <v>313.80523787570343</v>
      </c>
      <c r="AG937" t="s">
        <v>34</v>
      </c>
    </row>
    <row r="938" spans="1:33">
      <c r="A938" s="2">
        <v>44815</v>
      </c>
      <c r="B938" s="5" t="s">
        <v>39</v>
      </c>
      <c r="C938" s="5">
        <f>WEEKDAY(Table1[[#This Row],[Date]])</f>
        <v>1</v>
      </c>
      <c r="D938" s="5">
        <f>MONTH(Table1[[#This Row],[Date]])</f>
        <v>9</v>
      </c>
      <c r="E938" s="5">
        <f>WEEKNUM(Table1[[#This Row],[Date]])</f>
        <v>38</v>
      </c>
      <c r="F938" s="5">
        <f>YEAR(Table1[[#This Row],[Date]])</f>
        <v>2022</v>
      </c>
      <c r="G938">
        <v>178</v>
      </c>
      <c r="L938" s="5">
        <v>214</v>
      </c>
      <c r="M938" s="6">
        <v>0.96399999999999997</v>
      </c>
      <c r="N938" s="5">
        <v>8</v>
      </c>
      <c r="O938" s="7">
        <v>2.0833333333333335E-4</v>
      </c>
      <c r="P938" s="7">
        <v>2.0486111111111113E-3</v>
      </c>
      <c r="Q938" s="7">
        <v>4.3055555555555555E-3</v>
      </c>
      <c r="R938" s="6">
        <v>0.74660000000000004</v>
      </c>
      <c r="S938" s="8">
        <f>CONVERT(Table1[[#This Row],[Talk Duration (AVG)]]*Table1[[#This Row],[Answered Calls]],"day","hr")</f>
        <v>10.521666666666667</v>
      </c>
      <c r="T938" s="9">
        <f>Table1[[#This Row],[Actual Workload hours]]*60</f>
        <v>631.29999999999995</v>
      </c>
      <c r="U938" s="9">
        <f>CONVERT(Table1[[#This Row],[Actual]]*Table1[[#This Row],[Talk Duration (AVG)]],"day","hr")</f>
        <v>8.7516666666666669</v>
      </c>
      <c r="V938" s="10">
        <f>Table1[[#This Row],[Required Workload Hours]]*60</f>
        <v>525.1</v>
      </c>
      <c r="W938" s="9">
        <v>1.64</v>
      </c>
      <c r="X938" s="9">
        <f t="shared" si="28"/>
        <v>1.3674479166666667</v>
      </c>
      <c r="Y938" s="5">
        <f t="shared" si="29"/>
        <v>2</v>
      </c>
      <c r="Z938" s="8">
        <f>ROUNDUP(Table1[[#This Row],[Actual Heacount]],0)</f>
        <v>2</v>
      </c>
      <c r="AA938" s="8"/>
      <c r="AB938" s="10"/>
      <c r="AC938" s="10"/>
      <c r="AD938" s="10"/>
      <c r="AE938" s="11">
        <v>9.4305739763950793</v>
      </c>
      <c r="AF938" s="11">
        <v>218.91205007247461</v>
      </c>
      <c r="AG938" t="s">
        <v>34</v>
      </c>
    </row>
    <row r="939" spans="1:33">
      <c r="A939" s="2">
        <v>44816</v>
      </c>
      <c r="B939" s="5" t="s">
        <v>40</v>
      </c>
      <c r="C939" s="5">
        <f>WEEKDAY(Table1[[#This Row],[Date]])</f>
        <v>2</v>
      </c>
      <c r="D939" s="5">
        <f>MONTH(Table1[[#This Row],[Date]])</f>
        <v>9</v>
      </c>
      <c r="E939" s="5">
        <f>WEEKNUM(Table1[[#This Row],[Date]])</f>
        <v>38</v>
      </c>
      <c r="F939" s="5">
        <f>YEAR(Table1[[#This Row],[Date]])</f>
        <v>2022</v>
      </c>
      <c r="G939">
        <v>584</v>
      </c>
      <c r="L939" s="5">
        <v>198</v>
      </c>
      <c r="M939" s="6">
        <v>0.91239999999999999</v>
      </c>
      <c r="N939" s="5">
        <v>19</v>
      </c>
      <c r="O939" s="7">
        <v>1.0416666666666667E-4</v>
      </c>
      <c r="P939" s="7">
        <v>1.8865740740740742E-3</v>
      </c>
      <c r="Q939" s="7">
        <v>2.0486111111111113E-3</v>
      </c>
      <c r="R939" s="6">
        <v>0.88829999999999998</v>
      </c>
      <c r="S939" s="8">
        <f>CONVERT(Table1[[#This Row],[Talk Duration (AVG)]]*Table1[[#This Row],[Answered Calls]],"day","hr")</f>
        <v>8.9649999999999999</v>
      </c>
      <c r="T939" s="9">
        <f>Table1[[#This Row],[Actual Workload hours]]*60</f>
        <v>537.9</v>
      </c>
      <c r="U939" s="9">
        <f>CONVERT(Table1[[#This Row],[Actual]]*Table1[[#This Row],[Talk Duration (AVG)]],"day","hr")</f>
        <v>26.442222222222224</v>
      </c>
      <c r="V939" s="10">
        <f>Table1[[#This Row],[Required Workload Hours]]*60</f>
        <v>1586.5333333333335</v>
      </c>
      <c r="W939" s="9">
        <v>1.4</v>
      </c>
      <c r="X939" s="9">
        <f t="shared" si="28"/>
        <v>4.131597222222223</v>
      </c>
      <c r="Y939" s="5">
        <f t="shared" si="29"/>
        <v>2</v>
      </c>
      <c r="Z939" s="8">
        <f>ROUNDUP(Table1[[#This Row],[Actual Heacount]],0)</f>
        <v>2</v>
      </c>
      <c r="AA939" s="8"/>
      <c r="AB939" s="10"/>
      <c r="AC939" s="10"/>
      <c r="AD939" s="10"/>
      <c r="AE939" s="11">
        <v>96.829125554574645</v>
      </c>
      <c r="AF939" s="11">
        <v>326.07962727359438</v>
      </c>
      <c r="AG939" t="s">
        <v>34</v>
      </c>
    </row>
    <row r="940" spans="1:33">
      <c r="A940" s="2">
        <v>44817</v>
      </c>
      <c r="B940" s="5" t="s">
        <v>33</v>
      </c>
      <c r="C940" s="5">
        <f>WEEKDAY(Table1[[#This Row],[Date]])</f>
        <v>3</v>
      </c>
      <c r="D940" s="5">
        <f>MONTH(Table1[[#This Row],[Date]])</f>
        <v>9</v>
      </c>
      <c r="E940" s="5">
        <f>WEEKNUM(Table1[[#This Row],[Date]])</f>
        <v>38</v>
      </c>
      <c r="F940" s="5">
        <f>YEAR(Table1[[#This Row],[Date]])</f>
        <v>2022</v>
      </c>
      <c r="G940">
        <v>225</v>
      </c>
      <c r="L940" s="5">
        <v>197</v>
      </c>
      <c r="M940" s="6">
        <v>0.9657</v>
      </c>
      <c r="N940" s="5">
        <v>7</v>
      </c>
      <c r="O940" s="7">
        <v>1.9675925925925926E-4</v>
      </c>
      <c r="P940" s="7">
        <v>1.8518518518518519E-3</v>
      </c>
      <c r="Q940" s="7">
        <v>2.662037037037037E-3</v>
      </c>
      <c r="R940" s="6">
        <v>0.79700000000000004</v>
      </c>
      <c r="S940" s="8">
        <f>CONVERT(Table1[[#This Row],[Talk Duration (AVG)]]*Table1[[#This Row],[Answered Calls]],"day","hr")</f>
        <v>8.7555555555555564</v>
      </c>
      <c r="T940" s="9">
        <f>Table1[[#This Row],[Actual Workload hours]]*60</f>
        <v>525.33333333333337</v>
      </c>
      <c r="U940" s="9">
        <f>CONVERT(Table1[[#This Row],[Actual]]*Table1[[#This Row],[Talk Duration (AVG)]],"day","hr")</f>
        <v>10</v>
      </c>
      <c r="V940" s="10">
        <f>Table1[[#This Row],[Required Workload Hours]]*60</f>
        <v>600</v>
      </c>
      <c r="W940" s="9">
        <v>1.37</v>
      </c>
      <c r="X940" s="9">
        <f t="shared" si="28"/>
        <v>1.5625</v>
      </c>
      <c r="Y940" s="5">
        <f t="shared" si="29"/>
        <v>2</v>
      </c>
      <c r="Z940" s="8">
        <f>ROUNDUP(Table1[[#This Row],[Actual Heacount]],0)</f>
        <v>2</v>
      </c>
      <c r="AA940" s="8"/>
      <c r="AB940" s="10"/>
      <c r="AC940" s="10"/>
      <c r="AD940" s="10"/>
      <c r="AE940" s="11">
        <v>96.68644592402768</v>
      </c>
      <c r="AF940" s="11">
        <v>316.48001495230432</v>
      </c>
      <c r="AG940" t="s">
        <v>34</v>
      </c>
    </row>
    <row r="941" spans="1:33">
      <c r="A941" s="2">
        <v>44818</v>
      </c>
      <c r="B941" s="5" t="s">
        <v>35</v>
      </c>
      <c r="C941" s="5">
        <f>WEEKDAY(Table1[[#This Row],[Date]])</f>
        <v>4</v>
      </c>
      <c r="D941" s="5">
        <f>MONTH(Table1[[#This Row],[Date]])</f>
        <v>9</v>
      </c>
      <c r="E941" s="5">
        <f>WEEKNUM(Table1[[#This Row],[Date]])</f>
        <v>38</v>
      </c>
      <c r="F941" s="5">
        <f>YEAR(Table1[[#This Row],[Date]])</f>
        <v>2022</v>
      </c>
      <c r="G941">
        <v>204</v>
      </c>
      <c r="L941" s="5">
        <v>181</v>
      </c>
      <c r="M941" s="6">
        <v>0.9476</v>
      </c>
      <c r="N941" s="5">
        <v>10</v>
      </c>
      <c r="O941" s="7">
        <v>1.3888888888888889E-4</v>
      </c>
      <c r="P941" s="7">
        <v>1.9212962962962964E-3</v>
      </c>
      <c r="Q941" s="7">
        <v>3.2870370370370371E-3</v>
      </c>
      <c r="R941" s="6">
        <v>0.87229999999999996</v>
      </c>
      <c r="S941" s="8">
        <f>CONVERT(Table1[[#This Row],[Talk Duration (AVG)]]*Table1[[#This Row],[Answered Calls]],"day","hr")</f>
        <v>8.3461111111111119</v>
      </c>
      <c r="T941" s="9">
        <f>Table1[[#This Row],[Actual Workload hours]]*60</f>
        <v>500.76666666666671</v>
      </c>
      <c r="U941" s="9">
        <f>CONVERT(Table1[[#This Row],[Actual]]*Table1[[#This Row],[Talk Duration (AVG)]],"day","hr")</f>
        <v>9.4066666666666663</v>
      </c>
      <c r="V941" s="10">
        <f>Table1[[#This Row],[Required Workload Hours]]*60</f>
        <v>564.4</v>
      </c>
      <c r="W941" s="9">
        <v>1.3</v>
      </c>
      <c r="X941" s="9">
        <f t="shared" si="28"/>
        <v>1.4697916666666666</v>
      </c>
      <c r="Y941" s="5">
        <f t="shared" si="29"/>
        <v>2</v>
      </c>
      <c r="Z941" s="8">
        <f>ROUNDUP(Table1[[#This Row],[Actual Heacount]],0)</f>
        <v>2</v>
      </c>
      <c r="AA941" s="8"/>
      <c r="AB941" s="10"/>
      <c r="AC941" s="10"/>
      <c r="AD941" s="10"/>
      <c r="AE941" s="11">
        <v>103.17656575310571</v>
      </c>
      <c r="AF941" s="11">
        <v>323.41263757684879</v>
      </c>
      <c r="AG941" t="s">
        <v>34</v>
      </c>
    </row>
    <row r="942" spans="1:33">
      <c r="A942" s="2">
        <v>44819</v>
      </c>
      <c r="B942" s="5" t="s">
        <v>36</v>
      </c>
      <c r="C942" s="5">
        <f>WEEKDAY(Table1[[#This Row],[Date]])</f>
        <v>5</v>
      </c>
      <c r="D942" s="5">
        <f>MONTH(Table1[[#This Row],[Date]])</f>
        <v>9</v>
      </c>
      <c r="E942" s="5">
        <f>WEEKNUM(Table1[[#This Row],[Date]])</f>
        <v>38</v>
      </c>
      <c r="F942" s="5">
        <f>YEAR(Table1[[#This Row],[Date]])</f>
        <v>2022</v>
      </c>
      <c r="G942">
        <v>221</v>
      </c>
      <c r="L942" s="5">
        <v>157</v>
      </c>
      <c r="M942" s="6">
        <v>0.89200000000000002</v>
      </c>
      <c r="N942" s="5">
        <v>19</v>
      </c>
      <c r="O942" s="7">
        <v>1.9675925925925926E-4</v>
      </c>
      <c r="P942" s="7">
        <v>1.9791666666666668E-3</v>
      </c>
      <c r="Q942" s="7">
        <v>2.8703703703703703E-3</v>
      </c>
      <c r="R942" s="6">
        <v>0.73529999999999995</v>
      </c>
      <c r="S942" s="8">
        <f>CONVERT(Table1[[#This Row],[Talk Duration (AVG)]]*Table1[[#This Row],[Answered Calls]],"day","hr")</f>
        <v>7.4574999999999996</v>
      </c>
      <c r="T942" s="9">
        <f>Table1[[#This Row],[Actual Workload hours]]*60</f>
        <v>447.45</v>
      </c>
      <c r="U942" s="9">
        <f>CONVERT(Table1[[#This Row],[Actual]]*Table1[[#This Row],[Talk Duration (AVG)]],"day","hr")</f>
        <v>10.4975</v>
      </c>
      <c r="V942" s="10">
        <f>Table1[[#This Row],[Required Workload Hours]]*60</f>
        <v>629.85</v>
      </c>
      <c r="W942" s="9">
        <v>1.17</v>
      </c>
      <c r="X942" s="9">
        <f t="shared" si="28"/>
        <v>1.6402343750000001</v>
      </c>
      <c r="Y942" s="5">
        <f t="shared" si="29"/>
        <v>2</v>
      </c>
      <c r="Z942" s="8">
        <f>ROUNDUP(Table1[[#This Row],[Actual Heacount]],0)</f>
        <v>2</v>
      </c>
      <c r="AA942" s="8"/>
      <c r="AB942" s="10"/>
      <c r="AC942" s="10"/>
      <c r="AD942" s="10"/>
      <c r="AE942" s="11">
        <v>102.9888395913825</v>
      </c>
      <c r="AF942" s="11">
        <v>320.83087672037209</v>
      </c>
      <c r="AG942" t="s">
        <v>34</v>
      </c>
    </row>
    <row r="943" spans="1:33">
      <c r="A943" s="2">
        <v>44820</v>
      </c>
      <c r="B943" s="5" t="s">
        <v>37</v>
      </c>
      <c r="C943" s="5">
        <f>WEEKDAY(Table1[[#This Row],[Date]])</f>
        <v>6</v>
      </c>
      <c r="D943" s="5">
        <f>MONTH(Table1[[#This Row],[Date]])</f>
        <v>9</v>
      </c>
      <c r="E943" s="5">
        <f>WEEKNUM(Table1[[#This Row],[Date]])</f>
        <v>38</v>
      </c>
      <c r="F943" s="5">
        <f>YEAR(Table1[[#This Row],[Date]])</f>
        <v>2022</v>
      </c>
      <c r="G943">
        <v>172</v>
      </c>
      <c r="L943" s="5">
        <v>163</v>
      </c>
      <c r="M943" s="6">
        <v>0.92610000000000003</v>
      </c>
      <c r="N943" s="5">
        <v>13</v>
      </c>
      <c r="O943" s="7">
        <v>2.7777777777777778E-4</v>
      </c>
      <c r="P943" s="7">
        <v>2.2106481481481482E-3</v>
      </c>
      <c r="Q943" s="7">
        <v>2.1643518518518518E-3</v>
      </c>
      <c r="R943" s="6">
        <v>0.64159999999999995</v>
      </c>
      <c r="S943" s="8">
        <f>CONVERT(Table1[[#This Row],[Talk Duration (AVG)]]*Table1[[#This Row],[Answered Calls]],"day","hr")</f>
        <v>8.6480555555555547</v>
      </c>
      <c r="T943" s="9">
        <f>Table1[[#This Row],[Actual Workload hours]]*60</f>
        <v>518.88333333333333</v>
      </c>
      <c r="U943" s="9">
        <f>CONVERT(Table1[[#This Row],[Actual]]*Table1[[#This Row],[Talk Duration (AVG)]],"day","hr")</f>
        <v>9.1255555555555556</v>
      </c>
      <c r="V943" s="10">
        <f>Table1[[#This Row],[Required Workload Hours]]*60</f>
        <v>547.5333333333333</v>
      </c>
      <c r="W943" s="9">
        <v>1.35</v>
      </c>
      <c r="X943" s="9">
        <f t="shared" si="28"/>
        <v>1.4258680555555554</v>
      </c>
      <c r="Y943" s="5">
        <f t="shared" si="29"/>
        <v>2</v>
      </c>
      <c r="Z943" s="8">
        <f>ROUNDUP(Table1[[#This Row],[Actual Heacount]],0)</f>
        <v>2</v>
      </c>
      <c r="AA943" s="8"/>
      <c r="AB943" s="10"/>
      <c r="AC943" s="10"/>
      <c r="AD943" s="10"/>
      <c r="AE943" s="11">
        <v>87.371955034534082</v>
      </c>
      <c r="AF943" s="11">
        <v>307.275976860046</v>
      </c>
      <c r="AG943" t="s">
        <v>34</v>
      </c>
    </row>
    <row r="944" spans="1:33">
      <c r="A944" s="2">
        <v>44821</v>
      </c>
      <c r="B944" s="5" t="s">
        <v>38</v>
      </c>
      <c r="C944" s="5">
        <f>WEEKDAY(Table1[[#This Row],[Date]])</f>
        <v>7</v>
      </c>
      <c r="D944" s="5">
        <f>MONTH(Table1[[#This Row],[Date]])</f>
        <v>9</v>
      </c>
      <c r="E944" s="5">
        <f>WEEKNUM(Table1[[#This Row],[Date]])</f>
        <v>38</v>
      </c>
      <c r="F944" s="5">
        <f>YEAR(Table1[[#This Row],[Date]])</f>
        <v>2022</v>
      </c>
      <c r="G944">
        <v>161</v>
      </c>
      <c r="L944" s="5">
        <v>26</v>
      </c>
      <c r="M944" s="6">
        <v>1</v>
      </c>
      <c r="N944" s="5">
        <v>0</v>
      </c>
      <c r="O944" s="7">
        <v>2.7777777777777778E-4</v>
      </c>
      <c r="P944" s="7">
        <v>2.1180555555555558E-3</v>
      </c>
      <c r="Q944" s="7">
        <v>1.3541666666666667E-3</v>
      </c>
      <c r="R944" s="6">
        <v>0.69230000000000003</v>
      </c>
      <c r="S944" s="8">
        <f>CONVERT(Table1[[#This Row],[Talk Duration (AVG)]]*Table1[[#This Row],[Answered Calls]],"day","hr")</f>
        <v>1.3216666666666668</v>
      </c>
      <c r="T944" s="9">
        <f>Table1[[#This Row],[Actual Workload hours]]*60</f>
        <v>79.300000000000011</v>
      </c>
      <c r="U944" s="9">
        <f>CONVERT(Table1[[#This Row],[Actual]]*Table1[[#This Row],[Talk Duration (AVG)]],"day","hr")</f>
        <v>8.1841666666666661</v>
      </c>
      <c r="V944" s="10">
        <f>Table1[[#This Row],[Required Workload Hours]]*60</f>
        <v>491.04999999999995</v>
      </c>
      <c r="W944" s="9">
        <v>1</v>
      </c>
      <c r="X944" s="9">
        <f t="shared" si="28"/>
        <v>1.2787760416666665</v>
      </c>
      <c r="Y944" s="5">
        <f t="shared" si="29"/>
        <v>1</v>
      </c>
      <c r="Z944" s="8">
        <f>ROUNDUP(Table1[[#This Row],[Actual Heacount]],0)</f>
        <v>1</v>
      </c>
      <c r="AA944" s="8"/>
      <c r="AB944" s="10"/>
      <c r="AC944" s="10"/>
      <c r="AD944" s="10"/>
      <c r="AE944" s="11">
        <v>94.42954913218945</v>
      </c>
      <c r="AF944" s="11">
        <v>316.12447817326267</v>
      </c>
      <c r="AG944" t="s">
        <v>34</v>
      </c>
    </row>
    <row r="945" spans="1:33">
      <c r="A945" s="2">
        <v>44822</v>
      </c>
      <c r="B945" s="5" t="s">
        <v>39</v>
      </c>
      <c r="C945" s="5">
        <f>WEEKDAY(Table1[[#This Row],[Date]])</f>
        <v>1</v>
      </c>
      <c r="D945" s="5">
        <f>MONTH(Table1[[#This Row],[Date]])</f>
        <v>9</v>
      </c>
      <c r="E945" s="5">
        <f>WEEKNUM(Table1[[#This Row],[Date]])</f>
        <v>39</v>
      </c>
      <c r="F945" s="5">
        <f>YEAR(Table1[[#This Row],[Date]])</f>
        <v>2022</v>
      </c>
      <c r="G945">
        <v>17</v>
      </c>
      <c r="L945" s="5">
        <v>167</v>
      </c>
      <c r="M945" s="6">
        <v>0.98240000000000005</v>
      </c>
      <c r="N945" s="5">
        <v>3</v>
      </c>
      <c r="O945" s="7">
        <v>1.8518518518518518E-4</v>
      </c>
      <c r="P945" s="7">
        <v>1.9328703703703704E-3</v>
      </c>
      <c r="Q945" s="7">
        <v>1.4814814814814814E-3</v>
      </c>
      <c r="R945" s="6">
        <v>0.79410000000000003</v>
      </c>
      <c r="S945" s="8">
        <f>CONVERT(Table1[[#This Row],[Talk Duration (AVG)]]*Table1[[#This Row],[Answered Calls]],"day","hr")</f>
        <v>7.7469444444444449</v>
      </c>
      <c r="T945" s="9">
        <f>Table1[[#This Row],[Actual Workload hours]]*60</f>
        <v>464.81666666666672</v>
      </c>
      <c r="U945" s="9">
        <f>CONVERT(Table1[[#This Row],[Actual]]*Table1[[#This Row],[Talk Duration (AVG)]],"day","hr")</f>
        <v>0.78861111111111115</v>
      </c>
      <c r="V945" s="10">
        <f>Table1[[#This Row],[Required Workload Hours]]*60</f>
        <v>47.31666666666667</v>
      </c>
      <c r="W945" s="9">
        <v>1.21</v>
      </c>
      <c r="X945" s="9">
        <f t="shared" si="28"/>
        <v>1</v>
      </c>
      <c r="Y945" s="5">
        <f t="shared" si="29"/>
        <v>2</v>
      </c>
      <c r="Z945" s="8">
        <f>ROUNDUP(Table1[[#This Row],[Actual Heacount]],0)</f>
        <v>2</v>
      </c>
      <c r="AA945" s="8"/>
      <c r="AB945" s="10"/>
      <c r="AC945" s="10"/>
      <c r="AD945" s="10"/>
      <c r="AE945" s="11">
        <v>8.7786621999163827</v>
      </c>
      <c r="AF945" s="11">
        <v>231.82968511762229</v>
      </c>
      <c r="AG945" t="s">
        <v>34</v>
      </c>
    </row>
    <row r="946" spans="1:33">
      <c r="A946" s="2">
        <v>44823</v>
      </c>
      <c r="B946" s="5" t="s">
        <v>40</v>
      </c>
      <c r="C946" s="5">
        <f>WEEKDAY(Table1[[#This Row],[Date]])</f>
        <v>2</v>
      </c>
      <c r="D946" s="5">
        <f>MONTH(Table1[[#This Row],[Date]])</f>
        <v>9</v>
      </c>
      <c r="E946" s="5">
        <f>WEEKNUM(Table1[[#This Row],[Date]])</f>
        <v>39</v>
      </c>
      <c r="F946" s="5">
        <f>YEAR(Table1[[#This Row],[Date]])</f>
        <v>2022</v>
      </c>
      <c r="G946">
        <v>168</v>
      </c>
      <c r="L946" s="5">
        <v>147</v>
      </c>
      <c r="M946" s="6">
        <v>0.95450000000000002</v>
      </c>
      <c r="N946" s="5">
        <v>7</v>
      </c>
      <c r="O946" s="7">
        <v>2.4305555555555555E-4</v>
      </c>
      <c r="P946" s="7">
        <v>2.1064814814814813E-3</v>
      </c>
      <c r="Q946" s="7">
        <v>2.627314814814815E-3</v>
      </c>
      <c r="R946" s="6">
        <v>0.75160000000000005</v>
      </c>
      <c r="S946" s="8">
        <f>CONVERT(Table1[[#This Row],[Talk Duration (AVG)]]*Table1[[#This Row],[Answered Calls]],"day","hr")</f>
        <v>7.4316666666666666</v>
      </c>
      <c r="T946" s="9">
        <f>Table1[[#This Row],[Actual Workload hours]]*60</f>
        <v>445.9</v>
      </c>
      <c r="U946" s="9">
        <f>CONVERT(Table1[[#This Row],[Actual]]*Table1[[#This Row],[Talk Duration (AVG)]],"day","hr")</f>
        <v>8.4933333333333323</v>
      </c>
      <c r="V946" s="10">
        <f>Table1[[#This Row],[Required Workload Hours]]*60</f>
        <v>509.59999999999991</v>
      </c>
      <c r="W946" s="9">
        <v>1.1599999999999999</v>
      </c>
      <c r="X946" s="9">
        <f t="shared" si="28"/>
        <v>1.3270833333333332</v>
      </c>
      <c r="Y946" s="5">
        <f t="shared" si="29"/>
        <v>2</v>
      </c>
      <c r="Z946" s="8">
        <f>ROUNDUP(Table1[[#This Row],[Actual Heacount]],0)</f>
        <v>2</v>
      </c>
      <c r="AA946" s="8"/>
      <c r="AB946" s="10"/>
      <c r="AC946" s="10"/>
      <c r="AD946" s="10"/>
      <c r="AE946" s="11">
        <v>98.622710111095699</v>
      </c>
      <c r="AF946" s="11">
        <v>325.48124371741261</v>
      </c>
      <c r="AG946" t="s">
        <v>34</v>
      </c>
    </row>
    <row r="947" spans="1:33">
      <c r="A947" s="2">
        <v>44824</v>
      </c>
      <c r="B947" s="5" t="s">
        <v>33</v>
      </c>
      <c r="C947" s="5">
        <f>WEEKDAY(Table1[[#This Row],[Date]])</f>
        <v>3</v>
      </c>
      <c r="D947" s="5">
        <f>MONTH(Table1[[#This Row],[Date]])</f>
        <v>9</v>
      </c>
      <c r="E947" s="5">
        <f>WEEKNUM(Table1[[#This Row],[Date]])</f>
        <v>39</v>
      </c>
      <c r="F947" s="5">
        <f>YEAR(Table1[[#This Row],[Date]])</f>
        <v>2022</v>
      </c>
      <c r="G947">
        <v>160</v>
      </c>
      <c r="L947" s="5">
        <v>152</v>
      </c>
      <c r="M947" s="6">
        <v>0.92120000000000002</v>
      </c>
      <c r="N947" s="5">
        <v>13</v>
      </c>
      <c r="O947" s="7">
        <v>1.9675925925925926E-4</v>
      </c>
      <c r="P947" s="7">
        <v>2.0601851851851853E-3</v>
      </c>
      <c r="Q947" s="7">
        <v>2.5462962962962965E-3</v>
      </c>
      <c r="R947" s="6">
        <v>0.8075</v>
      </c>
      <c r="S947" s="8">
        <f>CONVERT(Table1[[#This Row],[Talk Duration (AVG)]]*Table1[[#This Row],[Answered Calls]],"day","hr")</f>
        <v>7.5155555555555562</v>
      </c>
      <c r="T947" s="9">
        <f>Table1[[#This Row],[Actual Workload hours]]*60</f>
        <v>450.93333333333339</v>
      </c>
      <c r="U947" s="9">
        <f>CONVERT(Table1[[#This Row],[Actual]]*Table1[[#This Row],[Talk Duration (AVG)]],"day","hr")</f>
        <v>7.9111111111111123</v>
      </c>
      <c r="V947" s="10">
        <f>Table1[[#This Row],[Required Workload Hours]]*60</f>
        <v>474.66666666666674</v>
      </c>
      <c r="W947" s="9">
        <v>1.17</v>
      </c>
      <c r="X947" s="9">
        <f t="shared" si="28"/>
        <v>1.2361111111111114</v>
      </c>
      <c r="Y947" s="5">
        <f t="shared" si="29"/>
        <v>2</v>
      </c>
      <c r="Z947" s="8">
        <f>ROUNDUP(Table1[[#This Row],[Actual Heacount]],0)</f>
        <v>2</v>
      </c>
      <c r="AA947" s="8"/>
      <c r="AB947" s="10"/>
      <c r="AC947" s="10"/>
      <c r="AD947" s="10"/>
      <c r="AE947" s="11">
        <v>84.395351732708505</v>
      </c>
      <c r="AF947" s="11">
        <v>302.47257631485257</v>
      </c>
      <c r="AG947" t="s">
        <v>34</v>
      </c>
    </row>
    <row r="948" spans="1:33">
      <c r="A948" s="2">
        <v>44825</v>
      </c>
      <c r="B948" s="5" t="s">
        <v>35</v>
      </c>
      <c r="C948" s="5">
        <f>WEEKDAY(Table1[[#This Row],[Date]])</f>
        <v>4</v>
      </c>
      <c r="D948" s="5">
        <f>MONTH(Table1[[#This Row],[Date]])</f>
        <v>9</v>
      </c>
      <c r="E948" s="5">
        <f>WEEKNUM(Table1[[#This Row],[Date]])</f>
        <v>39</v>
      </c>
      <c r="F948" s="5">
        <f>YEAR(Table1[[#This Row],[Date]])</f>
        <v>2022</v>
      </c>
      <c r="G948">
        <v>185</v>
      </c>
      <c r="L948" s="5">
        <v>143</v>
      </c>
      <c r="M948" s="6">
        <v>0.93459999999999999</v>
      </c>
      <c r="N948" s="5">
        <v>10</v>
      </c>
      <c r="O948" s="7">
        <v>2.199074074074074E-4</v>
      </c>
      <c r="P948" s="7">
        <v>2.1412037037037038E-3</v>
      </c>
      <c r="Q948" s="7">
        <v>2.2569444444444442E-3</v>
      </c>
      <c r="R948" s="6">
        <v>0.77629999999999999</v>
      </c>
      <c r="S948" s="8">
        <f>CONVERT(Table1[[#This Row],[Talk Duration (AVG)]]*Table1[[#This Row],[Answered Calls]],"day","hr")</f>
        <v>7.3486111111111123</v>
      </c>
      <c r="T948" s="9">
        <f>Table1[[#This Row],[Actual Workload hours]]*60</f>
        <v>440.91666666666674</v>
      </c>
      <c r="U948" s="9">
        <f>CONVERT(Table1[[#This Row],[Actual]]*Table1[[#This Row],[Talk Duration (AVG)]],"day","hr")</f>
        <v>9.5069444444444446</v>
      </c>
      <c r="V948" s="10">
        <f>Table1[[#This Row],[Required Workload Hours]]*60</f>
        <v>570.41666666666663</v>
      </c>
      <c r="W948" s="9">
        <v>1.1499999999999999</v>
      </c>
      <c r="X948" s="9">
        <f t="shared" si="28"/>
        <v>1.4854600694444444</v>
      </c>
      <c r="Y948" s="5">
        <f t="shared" si="29"/>
        <v>2</v>
      </c>
      <c r="Z948" s="8">
        <f>ROUNDUP(Table1[[#This Row],[Actual Heacount]],0)</f>
        <v>2</v>
      </c>
      <c r="AA948" s="8"/>
      <c r="AB948" s="10"/>
      <c r="AC948" s="10"/>
      <c r="AD948" s="10"/>
      <c r="AE948" s="11">
        <v>95.918617940717056</v>
      </c>
      <c r="AF948" s="11">
        <v>324.3608586344522</v>
      </c>
      <c r="AG948" t="s">
        <v>34</v>
      </c>
    </row>
    <row r="949" spans="1:33">
      <c r="A949" s="2">
        <v>44826</v>
      </c>
      <c r="B949" s="5" t="s">
        <v>36</v>
      </c>
      <c r="C949" s="5">
        <f>WEEKDAY(Table1[[#This Row],[Date]])</f>
        <v>5</v>
      </c>
      <c r="D949" s="5">
        <f>MONTH(Table1[[#This Row],[Date]])</f>
        <v>9</v>
      </c>
      <c r="E949" s="5">
        <f>WEEKNUM(Table1[[#This Row],[Date]])</f>
        <v>39</v>
      </c>
      <c r="F949" s="5">
        <f>YEAR(Table1[[#This Row],[Date]])</f>
        <v>2022</v>
      </c>
      <c r="G949">
        <v>155</v>
      </c>
      <c r="L949" s="5">
        <v>169</v>
      </c>
      <c r="M949" s="6">
        <v>0.9657</v>
      </c>
      <c r="N949" s="5">
        <v>6</v>
      </c>
      <c r="O949" s="7">
        <v>1.273148148148148E-4</v>
      </c>
      <c r="P949" s="7">
        <v>1.5856481481481481E-3</v>
      </c>
      <c r="Q949" s="7">
        <v>1.5277777777777779E-3</v>
      </c>
      <c r="R949" s="6">
        <v>0.85629999999999995</v>
      </c>
      <c r="S949" s="8">
        <f>CONVERT(Table1[[#This Row],[Talk Duration (AVG)]]*Table1[[#This Row],[Answered Calls]],"day","hr")</f>
        <v>6.4313888888888888</v>
      </c>
      <c r="T949" s="9">
        <f>Table1[[#This Row],[Actual Workload hours]]*60</f>
        <v>385.88333333333333</v>
      </c>
      <c r="U949" s="9">
        <f>CONVERT(Table1[[#This Row],[Actual]]*Table1[[#This Row],[Talk Duration (AVG)]],"day","hr")</f>
        <v>5.8986111111111112</v>
      </c>
      <c r="V949" s="10">
        <f>Table1[[#This Row],[Required Workload Hours]]*60</f>
        <v>353.91666666666669</v>
      </c>
      <c r="W949" s="9">
        <v>1</v>
      </c>
      <c r="X949" s="9">
        <f t="shared" si="28"/>
        <v>1</v>
      </c>
      <c r="Y949" s="5">
        <f t="shared" si="29"/>
        <v>2</v>
      </c>
      <c r="Z949" s="8">
        <f>ROUNDUP(Table1[[#This Row],[Actual Heacount]],0)</f>
        <v>1</v>
      </c>
      <c r="AA949" s="8"/>
      <c r="AB949" s="10"/>
      <c r="AC949" s="10"/>
      <c r="AD949" s="10"/>
      <c r="AE949" s="11">
        <v>97.099136108574925</v>
      </c>
      <c r="AF949" s="11">
        <v>311.76307152849051</v>
      </c>
      <c r="AG949" t="s">
        <v>34</v>
      </c>
    </row>
    <row r="950" spans="1:33">
      <c r="A950" s="2">
        <v>44827</v>
      </c>
      <c r="B950" s="5" t="s">
        <v>37</v>
      </c>
      <c r="C950" s="5">
        <f>WEEKDAY(Table1[[#This Row],[Date]])</f>
        <v>6</v>
      </c>
      <c r="D950" s="5">
        <f>MONTH(Table1[[#This Row],[Date]])</f>
        <v>9</v>
      </c>
      <c r="E950" s="5">
        <f>WEEKNUM(Table1[[#This Row],[Date]])</f>
        <v>39</v>
      </c>
      <c r="F950" s="5">
        <f>YEAR(Table1[[#This Row],[Date]])</f>
        <v>2022</v>
      </c>
      <c r="G950">
        <v>188</v>
      </c>
      <c r="L950" s="5">
        <v>214</v>
      </c>
      <c r="M950" s="6">
        <v>0.88800000000000001</v>
      </c>
      <c r="N950" s="5">
        <v>27</v>
      </c>
      <c r="O950" s="7">
        <v>3.3564814814814812E-4</v>
      </c>
      <c r="P950" s="7">
        <v>2.0833333333333333E-3</v>
      </c>
      <c r="Q950" s="7">
        <v>1.0104166666666666E-2</v>
      </c>
      <c r="R950" s="6">
        <v>0.6623</v>
      </c>
      <c r="S950" s="8">
        <f>CONVERT(Table1[[#This Row],[Talk Duration (AVG)]]*Table1[[#This Row],[Answered Calls]],"day","hr")</f>
        <v>10.7</v>
      </c>
      <c r="T950" s="9">
        <f>Table1[[#This Row],[Actual Workload hours]]*60</f>
        <v>642</v>
      </c>
      <c r="U950" s="9">
        <f>CONVERT(Table1[[#This Row],[Actual]]*Table1[[#This Row],[Talk Duration (AVG)]],"day","hr")</f>
        <v>9.4</v>
      </c>
      <c r="V950" s="10">
        <f>Table1[[#This Row],[Required Workload Hours]]*60</f>
        <v>564</v>
      </c>
      <c r="W950" s="9">
        <v>1.67</v>
      </c>
      <c r="X950" s="9">
        <f t="shared" si="28"/>
        <v>1.46875</v>
      </c>
      <c r="Y950" s="5">
        <f t="shared" si="29"/>
        <v>2</v>
      </c>
      <c r="Z950" s="8">
        <f>ROUNDUP(Table1[[#This Row],[Actual Heacount]],0)</f>
        <v>2</v>
      </c>
      <c r="AA950" s="8"/>
      <c r="AB950" s="10"/>
      <c r="AC950" s="10"/>
      <c r="AD950" s="10"/>
      <c r="AE950" s="11">
        <v>83.524099086751391</v>
      </c>
      <c r="AF950" s="11">
        <v>310.77636843975989</v>
      </c>
      <c r="AG950" t="s">
        <v>34</v>
      </c>
    </row>
    <row r="951" spans="1:33">
      <c r="A951" s="2">
        <v>44828</v>
      </c>
      <c r="B951" s="5" t="s">
        <v>38</v>
      </c>
      <c r="C951" s="5">
        <f>WEEKDAY(Table1[[#This Row],[Date]])</f>
        <v>7</v>
      </c>
      <c r="D951" s="5">
        <f>MONTH(Table1[[#This Row],[Date]])</f>
        <v>9</v>
      </c>
      <c r="E951" s="5">
        <f>WEEKNUM(Table1[[#This Row],[Date]])</f>
        <v>39</v>
      </c>
      <c r="F951" s="5">
        <f>YEAR(Table1[[#This Row],[Date]])</f>
        <v>2022</v>
      </c>
      <c r="G951">
        <v>152</v>
      </c>
      <c r="L951" s="5">
        <v>14</v>
      </c>
      <c r="M951" s="6">
        <v>1</v>
      </c>
      <c r="N951" s="5">
        <v>0</v>
      </c>
      <c r="O951" s="7">
        <v>1.8518518518518518E-4</v>
      </c>
      <c r="P951" s="7">
        <v>1.9212962962962964E-3</v>
      </c>
      <c r="Q951" s="7">
        <v>1.0069444444444444E-3</v>
      </c>
      <c r="R951" s="6">
        <v>0.85709999999999997</v>
      </c>
      <c r="S951" s="8">
        <f>CONVERT(Table1[[#This Row],[Talk Duration (AVG)]]*Table1[[#This Row],[Answered Calls]],"day","hr")</f>
        <v>0.64555555555555555</v>
      </c>
      <c r="T951" s="9">
        <f>Table1[[#This Row],[Actual Workload hours]]*60</f>
        <v>38.733333333333334</v>
      </c>
      <c r="U951" s="9">
        <f>CONVERT(Table1[[#This Row],[Actual]]*Table1[[#This Row],[Talk Duration (AVG)]],"day","hr")</f>
        <v>7.0088888888888885</v>
      </c>
      <c r="V951" s="10">
        <f>Table1[[#This Row],[Required Workload Hours]]*60</f>
        <v>420.5333333333333</v>
      </c>
      <c r="W951" s="9">
        <v>1</v>
      </c>
      <c r="X951" s="9">
        <f t="shared" si="28"/>
        <v>1.0951388888888889</v>
      </c>
      <c r="Y951" s="5">
        <f t="shared" si="29"/>
        <v>1</v>
      </c>
      <c r="Z951" s="8">
        <f>ROUNDUP(Table1[[#This Row],[Actual Heacount]],0)</f>
        <v>1</v>
      </c>
      <c r="AA951" s="8"/>
      <c r="AB951" s="10"/>
      <c r="AC951" s="10"/>
      <c r="AD951" s="10"/>
      <c r="AE951" s="11">
        <v>99.862099920587468</v>
      </c>
      <c r="AF951" s="11">
        <v>321.12827325838703</v>
      </c>
      <c r="AG951" t="s">
        <v>34</v>
      </c>
    </row>
    <row r="952" spans="1:33">
      <c r="A952" s="2">
        <v>44829</v>
      </c>
      <c r="B952" s="5" t="s">
        <v>39</v>
      </c>
      <c r="C952" s="5">
        <f>WEEKDAY(Table1[[#This Row],[Date]])</f>
        <v>1</v>
      </c>
      <c r="D952" s="5">
        <f>MONTH(Table1[[#This Row],[Date]])</f>
        <v>9</v>
      </c>
      <c r="E952" s="5">
        <f>WEEKNUM(Table1[[#This Row],[Date]])</f>
        <v>40</v>
      </c>
      <c r="F952" s="5">
        <f>YEAR(Table1[[#This Row],[Date]])</f>
        <v>2022</v>
      </c>
      <c r="G952">
        <v>26</v>
      </c>
      <c r="L952" s="5">
        <v>55</v>
      </c>
      <c r="M952" s="6">
        <v>0.96489999999999998</v>
      </c>
      <c r="N952" s="5">
        <v>2</v>
      </c>
      <c r="O952" s="7">
        <v>1.3888888888888889E-4</v>
      </c>
      <c r="P952" s="7">
        <v>1.7939814814814815E-3</v>
      </c>
      <c r="Q952" s="7">
        <v>1.4699074074074074E-3</v>
      </c>
      <c r="R952" s="6">
        <v>0.85960000000000003</v>
      </c>
      <c r="S952" s="8">
        <f>CONVERT(Table1[[#This Row],[Talk Duration (AVG)]]*Table1[[#This Row],[Answered Calls]],"day","hr")</f>
        <v>2.3680555555555554</v>
      </c>
      <c r="T952" s="9">
        <f>Table1[[#This Row],[Actual Workload hours]]*60</f>
        <v>142.08333333333331</v>
      </c>
      <c r="U952" s="9">
        <f>CONVERT(Table1[[#This Row],[Actual]]*Table1[[#This Row],[Talk Duration (AVG)]],"day","hr")</f>
        <v>1.1194444444444442</v>
      </c>
      <c r="V952" s="10">
        <f>Table1[[#This Row],[Required Workload Hours]]*60</f>
        <v>67.166666666666657</v>
      </c>
      <c r="W952" s="9">
        <v>1</v>
      </c>
      <c r="X952" s="9">
        <f t="shared" si="28"/>
        <v>1</v>
      </c>
      <c r="Y952" s="5">
        <f t="shared" si="29"/>
        <v>2</v>
      </c>
      <c r="Z952" s="8">
        <f>ROUNDUP(Table1[[#This Row],[Actual Heacount]],0)</f>
        <v>1</v>
      </c>
      <c r="AA952" s="8"/>
      <c r="AB952" s="10"/>
      <c r="AC952" s="10"/>
      <c r="AD952" s="10"/>
      <c r="AE952" s="11">
        <v>10.658853998599261</v>
      </c>
      <c r="AF952" s="11">
        <v>232.29682805189839</v>
      </c>
      <c r="AG952" t="s">
        <v>34</v>
      </c>
    </row>
    <row r="953" spans="1:33">
      <c r="A953" s="2">
        <v>44830</v>
      </c>
      <c r="B953" s="5" t="s">
        <v>40</v>
      </c>
      <c r="C953" s="5">
        <f>WEEKDAY(Table1[[#This Row],[Date]])</f>
        <v>2</v>
      </c>
      <c r="D953" s="5">
        <f>MONTH(Table1[[#This Row],[Date]])</f>
        <v>9</v>
      </c>
      <c r="E953" s="5">
        <f>WEEKNUM(Table1[[#This Row],[Date]])</f>
        <v>40</v>
      </c>
      <c r="F953" s="5">
        <f>YEAR(Table1[[#This Row],[Date]])</f>
        <v>2022</v>
      </c>
      <c r="G953">
        <v>152</v>
      </c>
      <c r="L953" s="5">
        <v>644</v>
      </c>
      <c r="M953" s="6">
        <v>0.67510000000000003</v>
      </c>
      <c r="N953" s="5">
        <v>310</v>
      </c>
      <c r="O953" s="7">
        <v>8.564814814814815E-4</v>
      </c>
      <c r="P953" s="7">
        <v>1.4467592592592592E-3</v>
      </c>
      <c r="Q953" s="7">
        <v>7.7777777777777776E-3</v>
      </c>
      <c r="R953" s="6">
        <v>0.26329999999999998</v>
      </c>
      <c r="S953" s="8">
        <f>CONVERT(Table1[[#This Row],[Talk Duration (AVG)]]*Table1[[#This Row],[Answered Calls]],"day","hr")</f>
        <v>22.361111111111111</v>
      </c>
      <c r="T953" s="9">
        <f>Table1[[#This Row],[Actual Workload hours]]*60</f>
        <v>1341.6666666666667</v>
      </c>
      <c r="U953" s="9">
        <f>CONVERT(Table1[[#This Row],[Actual]]*Table1[[#This Row],[Talk Duration (AVG)]],"day","hr")</f>
        <v>5.2777777777777768</v>
      </c>
      <c r="V953" s="10">
        <f>Table1[[#This Row],[Required Workload Hours]]*60</f>
        <v>316.66666666666663</v>
      </c>
      <c r="W953" s="9">
        <v>3.49</v>
      </c>
      <c r="X953" s="9">
        <f t="shared" si="28"/>
        <v>1</v>
      </c>
      <c r="Y953" s="5">
        <f t="shared" si="29"/>
        <v>2</v>
      </c>
      <c r="Z953" s="8">
        <f>ROUNDUP(Table1[[#This Row],[Actual Heacount]],0)</f>
        <v>4</v>
      </c>
      <c r="AA953" s="8"/>
      <c r="AB953" s="10"/>
      <c r="AC953" s="10"/>
      <c r="AD953" s="10"/>
      <c r="AE953" s="11">
        <v>110.92118979387659</v>
      </c>
      <c r="AF953" s="11">
        <v>333.17445949428151</v>
      </c>
      <c r="AG953" t="s">
        <v>34</v>
      </c>
    </row>
    <row r="954" spans="1:33">
      <c r="A954" s="2">
        <v>44831</v>
      </c>
      <c r="B954" s="5" t="s">
        <v>33</v>
      </c>
      <c r="C954" s="5">
        <f>WEEKDAY(Table1[[#This Row],[Date]])</f>
        <v>3</v>
      </c>
      <c r="D954" s="5">
        <f>MONTH(Table1[[#This Row],[Date]])</f>
        <v>9</v>
      </c>
      <c r="E954" s="5">
        <f>WEEKNUM(Table1[[#This Row],[Date]])</f>
        <v>40</v>
      </c>
      <c r="F954" s="5">
        <f>YEAR(Table1[[#This Row],[Date]])</f>
        <v>2022</v>
      </c>
      <c r="G954">
        <v>130</v>
      </c>
      <c r="L954" s="5">
        <v>344</v>
      </c>
      <c r="M954" s="6">
        <v>0.91979999999999995</v>
      </c>
      <c r="N954" s="5">
        <v>30</v>
      </c>
      <c r="O954" s="7">
        <v>3.2407407407407406E-4</v>
      </c>
      <c r="P954" s="7">
        <v>2.1180555555555558E-3</v>
      </c>
      <c r="Q954" s="7">
        <v>6.1574074074074074E-3</v>
      </c>
      <c r="R954" s="6">
        <v>0.61850000000000005</v>
      </c>
      <c r="S954" s="8">
        <f>CONVERT(Table1[[#This Row],[Talk Duration (AVG)]]*Table1[[#This Row],[Answered Calls]],"day","hr")</f>
        <v>17.486666666666668</v>
      </c>
      <c r="T954" s="9">
        <f>Table1[[#This Row],[Actual Workload hours]]*60</f>
        <v>1049.2</v>
      </c>
      <c r="U954" s="9">
        <f>CONVERT(Table1[[#This Row],[Actual]]*Table1[[#This Row],[Talk Duration (AVG)]],"day","hr")</f>
        <v>6.6083333333333334</v>
      </c>
      <c r="V954" s="10">
        <f>Table1[[#This Row],[Required Workload Hours]]*60</f>
        <v>396.5</v>
      </c>
      <c r="W954" s="9">
        <v>2.73</v>
      </c>
      <c r="X954" s="9">
        <f t="shared" si="28"/>
        <v>1.0325520833333333</v>
      </c>
      <c r="Y954" s="5">
        <f t="shared" si="29"/>
        <v>2</v>
      </c>
      <c r="Z954" s="8">
        <f>ROUNDUP(Table1[[#This Row],[Actual Heacount]],0)</f>
        <v>3</v>
      </c>
      <c r="AA954" s="8"/>
      <c r="AB954" s="10"/>
      <c r="AC954" s="10"/>
      <c r="AD954" s="10"/>
      <c r="AE954" s="11">
        <v>91.698664874723605</v>
      </c>
      <c r="AF954" s="11">
        <v>313.92613164219028</v>
      </c>
      <c r="AG954" t="s">
        <v>34</v>
      </c>
    </row>
    <row r="955" spans="1:33">
      <c r="A955" s="2">
        <v>44832</v>
      </c>
      <c r="B955" s="5" t="s">
        <v>35</v>
      </c>
      <c r="C955" s="5">
        <f>WEEKDAY(Table1[[#This Row],[Date]])</f>
        <v>4</v>
      </c>
      <c r="D955" s="5">
        <f>MONTH(Table1[[#This Row],[Date]])</f>
        <v>9</v>
      </c>
      <c r="E955" s="5">
        <f>WEEKNUM(Table1[[#This Row],[Date]])</f>
        <v>40</v>
      </c>
      <c r="F955" s="5">
        <f>YEAR(Table1[[#This Row],[Date]])</f>
        <v>2022</v>
      </c>
      <c r="G955">
        <v>191</v>
      </c>
      <c r="L955" s="5">
        <v>245</v>
      </c>
      <c r="M955" s="6">
        <v>0.92449999999999999</v>
      </c>
      <c r="N955" s="5">
        <v>20</v>
      </c>
      <c r="O955" s="7">
        <v>3.5879629629629629E-4</v>
      </c>
      <c r="P955" s="7">
        <v>2.1412037037037038E-3</v>
      </c>
      <c r="Q955" s="7">
        <v>2.3263888888888887E-3</v>
      </c>
      <c r="R955" s="6">
        <v>0.56699999999999995</v>
      </c>
      <c r="S955" s="8">
        <f>CONVERT(Table1[[#This Row],[Talk Duration (AVG)]]*Table1[[#This Row],[Answered Calls]],"day","hr")</f>
        <v>12.590277777777779</v>
      </c>
      <c r="T955" s="9">
        <f>Table1[[#This Row],[Actual Workload hours]]*60</f>
        <v>755.41666666666674</v>
      </c>
      <c r="U955" s="9">
        <f>CONVERT(Table1[[#This Row],[Actual]]*Table1[[#This Row],[Talk Duration (AVG)]],"day","hr")</f>
        <v>9.8152777777777782</v>
      </c>
      <c r="V955" s="10">
        <f>Table1[[#This Row],[Required Workload Hours]]*60</f>
        <v>588.91666666666674</v>
      </c>
      <c r="W955" s="9">
        <v>1.97</v>
      </c>
      <c r="X955" s="9">
        <f t="shared" si="28"/>
        <v>1.5336371527777779</v>
      </c>
      <c r="Y955" s="5">
        <f t="shared" si="29"/>
        <v>2</v>
      </c>
      <c r="Z955" s="8">
        <f>ROUNDUP(Table1[[#This Row],[Actual Heacount]],0)</f>
        <v>2</v>
      </c>
      <c r="AA955" s="8"/>
      <c r="AB955" s="10"/>
      <c r="AC955" s="10"/>
      <c r="AD955" s="10"/>
      <c r="AE955" s="11">
        <v>106.28273612999639</v>
      </c>
      <c r="AF955" s="11">
        <v>325.84097900273349</v>
      </c>
      <c r="AG955" t="s">
        <v>34</v>
      </c>
    </row>
    <row r="956" spans="1:33">
      <c r="A956" s="2">
        <v>44833</v>
      </c>
      <c r="B956" s="5" t="s">
        <v>36</v>
      </c>
      <c r="C956" s="5">
        <f>WEEKDAY(Table1[[#This Row],[Date]])</f>
        <v>5</v>
      </c>
      <c r="D956" s="5">
        <f>MONTH(Table1[[#This Row],[Date]])</f>
        <v>9</v>
      </c>
      <c r="E956" s="5">
        <f>WEEKNUM(Table1[[#This Row],[Date]])</f>
        <v>40</v>
      </c>
      <c r="F956" s="5">
        <f>YEAR(Table1[[#This Row],[Date]])</f>
        <v>2022</v>
      </c>
      <c r="G956">
        <v>254</v>
      </c>
      <c r="L956" s="5">
        <v>205</v>
      </c>
      <c r="M956" s="6">
        <v>0.9234</v>
      </c>
      <c r="N956" s="5">
        <v>17</v>
      </c>
      <c r="O956" s="7">
        <v>2.3148148148148149E-4</v>
      </c>
      <c r="P956" s="7">
        <v>2.2222222222222222E-3</v>
      </c>
      <c r="Q956" s="7">
        <v>1.5046296296296296E-3</v>
      </c>
      <c r="R956" s="6">
        <v>0.72689999999999999</v>
      </c>
      <c r="S956" s="8">
        <f>CONVERT(Table1[[#This Row],[Talk Duration (AVG)]]*Table1[[#This Row],[Answered Calls]],"day","hr")</f>
        <v>10.933333333333334</v>
      </c>
      <c r="T956" s="9">
        <f>Table1[[#This Row],[Actual Workload hours]]*60</f>
        <v>656</v>
      </c>
      <c r="U956" s="9">
        <f>CONVERT(Table1[[#This Row],[Actual]]*Table1[[#This Row],[Talk Duration (AVG)]],"day","hr")</f>
        <v>13.546666666666667</v>
      </c>
      <c r="V956" s="10">
        <f>Table1[[#This Row],[Required Workload Hours]]*60</f>
        <v>812.8</v>
      </c>
      <c r="W956" s="9">
        <v>1.71</v>
      </c>
      <c r="X956" s="9">
        <f t="shared" si="28"/>
        <v>2.1166666666666667</v>
      </c>
      <c r="Y956" s="5">
        <f t="shared" si="29"/>
        <v>2</v>
      </c>
      <c r="Z956" s="8">
        <f>ROUNDUP(Table1[[#This Row],[Actual Heacount]],0)</f>
        <v>2</v>
      </c>
      <c r="AA956" s="8"/>
      <c r="AB956" s="10"/>
      <c r="AC956" s="10"/>
      <c r="AD956" s="10"/>
      <c r="AE956" s="11">
        <v>98.029116183484447</v>
      </c>
      <c r="AF956" s="11">
        <v>320.28303140438737</v>
      </c>
      <c r="AG956" t="s">
        <v>34</v>
      </c>
    </row>
    <row r="957" spans="1:33">
      <c r="A957" s="2">
        <v>44834</v>
      </c>
      <c r="B957" s="5" t="s">
        <v>37</v>
      </c>
      <c r="C957" s="5">
        <f>WEEKDAY(Table1[[#This Row],[Date]])</f>
        <v>6</v>
      </c>
      <c r="D957" s="5">
        <f>MONTH(Table1[[#This Row],[Date]])</f>
        <v>9</v>
      </c>
      <c r="E957" s="5">
        <f>WEEKNUM(Table1[[#This Row],[Date]])</f>
        <v>40</v>
      </c>
      <c r="F957" s="5">
        <f>YEAR(Table1[[#This Row],[Date]])</f>
        <v>2022</v>
      </c>
      <c r="G957">
        <v>213</v>
      </c>
      <c r="L957" s="5">
        <v>192</v>
      </c>
      <c r="M957" s="6">
        <v>0.94579999999999997</v>
      </c>
      <c r="N957" s="5">
        <v>11</v>
      </c>
      <c r="O957" s="7">
        <v>3.1250000000000001E-4</v>
      </c>
      <c r="P957" s="7">
        <v>2.1296296296296298E-3</v>
      </c>
      <c r="Q957" s="7">
        <v>2.8587962962962963E-3</v>
      </c>
      <c r="R957" s="6">
        <v>0.68659999999999999</v>
      </c>
      <c r="S957" s="8">
        <f>CONVERT(Table1[[#This Row],[Talk Duration (AVG)]]*Table1[[#This Row],[Answered Calls]],"day","hr")</f>
        <v>9.8133333333333326</v>
      </c>
      <c r="T957" s="9">
        <f>Table1[[#This Row],[Actual Workload hours]]*60</f>
        <v>588.79999999999995</v>
      </c>
      <c r="U957" s="9">
        <f>CONVERT(Table1[[#This Row],[Actual]]*Table1[[#This Row],[Talk Duration (AVG)]],"day","hr")</f>
        <v>10.886666666666667</v>
      </c>
      <c r="V957" s="10">
        <f>Table1[[#This Row],[Required Workload Hours]]*60</f>
        <v>653.20000000000005</v>
      </c>
      <c r="W957" s="9">
        <v>1.53</v>
      </c>
      <c r="X957" s="9">
        <f t="shared" si="28"/>
        <v>1.7010416666666668</v>
      </c>
      <c r="Y957" s="5">
        <f t="shared" si="29"/>
        <v>2</v>
      </c>
      <c r="Z957" s="8">
        <f>ROUNDUP(Table1[[#This Row],[Actual Heacount]],0)</f>
        <v>2</v>
      </c>
      <c r="AA957" s="8"/>
      <c r="AB957" s="10"/>
      <c r="AC957" s="10"/>
      <c r="AD957" s="10"/>
      <c r="AE957" s="11">
        <v>99.282859050710854</v>
      </c>
      <c r="AF957" s="11">
        <v>312.65511875994241</v>
      </c>
      <c r="AG957" t="s">
        <v>34</v>
      </c>
    </row>
    <row r="958" spans="1:33">
      <c r="A958" s="2">
        <v>44835</v>
      </c>
      <c r="B958" s="5" t="s">
        <v>38</v>
      </c>
      <c r="C958" s="5">
        <f>WEEKDAY(Table1[[#This Row],[Date]])</f>
        <v>7</v>
      </c>
      <c r="D958" s="5">
        <f>MONTH(Table1[[#This Row],[Date]])</f>
        <v>10</v>
      </c>
      <c r="E958" s="5">
        <f>WEEKNUM(Table1[[#This Row],[Date]])</f>
        <v>40</v>
      </c>
      <c r="F958" s="5">
        <f>YEAR(Table1[[#This Row],[Date]])</f>
        <v>2022</v>
      </c>
      <c r="G958">
        <v>232</v>
      </c>
      <c r="L958" s="5">
        <v>31</v>
      </c>
      <c r="M958" s="6">
        <v>0.93940000000000001</v>
      </c>
      <c r="N958" s="5">
        <v>2</v>
      </c>
      <c r="O958" s="7">
        <v>3.3564814814814812E-4</v>
      </c>
      <c r="P958" s="7">
        <v>1.5625000000000001E-3</v>
      </c>
      <c r="Q958" s="7">
        <v>3.9699074074074072E-3</v>
      </c>
      <c r="R958" s="6">
        <v>0.78129999999999999</v>
      </c>
      <c r="S958" s="8">
        <f>CONVERT(Table1[[#This Row],[Talk Duration (AVG)]]*Table1[[#This Row],[Answered Calls]],"day","hr")</f>
        <v>1.1625000000000001</v>
      </c>
      <c r="T958" s="9">
        <f>Table1[[#This Row],[Actual Workload hours]]*60</f>
        <v>69.75</v>
      </c>
      <c r="U958" s="9">
        <f>CONVERT(Table1[[#This Row],[Actual]]*Table1[[#This Row],[Talk Duration (AVG)]],"day","hr")</f>
        <v>8.7000000000000011</v>
      </c>
      <c r="V958" s="10">
        <f>Table1[[#This Row],[Required Workload Hours]]*60</f>
        <v>522.00000000000011</v>
      </c>
      <c r="W958" s="9">
        <v>1</v>
      </c>
      <c r="X958" s="9">
        <f t="shared" si="28"/>
        <v>1.3593750000000002</v>
      </c>
      <c r="Y958" s="5">
        <f t="shared" si="29"/>
        <v>1</v>
      </c>
      <c r="Z958" s="8">
        <f>ROUNDUP(Table1[[#This Row],[Actual Heacount]],0)</f>
        <v>1</v>
      </c>
      <c r="AA958" s="8"/>
      <c r="AB958" s="10"/>
      <c r="AC958" s="10"/>
      <c r="AD958" s="10"/>
      <c r="AE958" s="11">
        <v>108.0097051047788</v>
      </c>
      <c r="AF958" s="11">
        <v>319.48634003868801</v>
      </c>
      <c r="AG958" t="s">
        <v>34</v>
      </c>
    </row>
    <row r="959" spans="1:33">
      <c r="A959" s="2">
        <v>44836</v>
      </c>
      <c r="B959" s="5" t="s">
        <v>39</v>
      </c>
      <c r="C959" s="5">
        <f>WEEKDAY(Table1[[#This Row],[Date]])</f>
        <v>1</v>
      </c>
      <c r="D959" s="5">
        <f>MONTH(Table1[[#This Row],[Date]])</f>
        <v>10</v>
      </c>
      <c r="E959" s="5">
        <f>WEEKNUM(Table1[[#This Row],[Date]])</f>
        <v>41</v>
      </c>
      <c r="F959" s="5">
        <f>YEAR(Table1[[#This Row],[Date]])</f>
        <v>2022</v>
      </c>
      <c r="G959">
        <v>121</v>
      </c>
      <c r="L959" s="5">
        <v>195</v>
      </c>
      <c r="M959" s="6">
        <v>0.88639999999999997</v>
      </c>
      <c r="N959" s="5">
        <v>25</v>
      </c>
      <c r="O959" s="7">
        <v>3.2407407407407406E-4</v>
      </c>
      <c r="P959" s="7">
        <v>1.9097222222222222E-3</v>
      </c>
      <c r="Q959" s="7">
        <v>2.1527777777777778E-3</v>
      </c>
      <c r="R959" s="6">
        <v>0.59619999999999995</v>
      </c>
      <c r="S959" s="8">
        <f>CONVERT(Table1[[#This Row],[Talk Duration (AVG)]]*Table1[[#This Row],[Answered Calls]],"day","hr")</f>
        <v>8.9375</v>
      </c>
      <c r="T959" s="9">
        <f>Table1[[#This Row],[Actual Workload hours]]*60</f>
        <v>536.25</v>
      </c>
      <c r="U959" s="9">
        <f>CONVERT(Table1[[#This Row],[Actual]]*Table1[[#This Row],[Talk Duration (AVG)]],"day","hr")</f>
        <v>5.5458333333333334</v>
      </c>
      <c r="V959" s="10">
        <f>Table1[[#This Row],[Required Workload Hours]]*60</f>
        <v>332.75</v>
      </c>
      <c r="W959" s="9">
        <v>1.4</v>
      </c>
      <c r="X959" s="9">
        <f t="shared" si="28"/>
        <v>1</v>
      </c>
      <c r="Y959" s="5">
        <f t="shared" si="29"/>
        <v>2</v>
      </c>
      <c r="Z959" s="8">
        <f>ROUNDUP(Table1[[#This Row],[Actual Heacount]],0)</f>
        <v>2</v>
      </c>
      <c r="AA959" s="8"/>
      <c r="AB959" s="10"/>
      <c r="AC959" s="10"/>
      <c r="AD959" s="10"/>
      <c r="AE959" s="11">
        <v>16.043089512436492</v>
      </c>
      <c r="AF959" s="11">
        <v>231.90429331513391</v>
      </c>
      <c r="AG959" t="s">
        <v>34</v>
      </c>
    </row>
    <row r="960" spans="1:33">
      <c r="A960" s="2">
        <v>44838</v>
      </c>
      <c r="B960" s="5" t="s">
        <v>40</v>
      </c>
      <c r="C960" s="5">
        <f>WEEKDAY(Table1[[#This Row],[Date]])</f>
        <v>3</v>
      </c>
      <c r="D960" s="5">
        <f>MONTH(Table1[[#This Row],[Date]])</f>
        <v>10</v>
      </c>
      <c r="E960" s="5">
        <f>WEEKNUM(Table1[[#This Row],[Date]])</f>
        <v>41</v>
      </c>
      <c r="F960" s="5">
        <f>YEAR(Table1[[#This Row],[Date]])</f>
        <v>2022</v>
      </c>
      <c r="G960">
        <v>63</v>
      </c>
      <c r="L960" s="5">
        <v>177</v>
      </c>
      <c r="M960" s="6">
        <v>0.95679999999999998</v>
      </c>
      <c r="N960" s="5">
        <v>8</v>
      </c>
      <c r="O960" s="7">
        <v>1.8518518518518518E-4</v>
      </c>
      <c r="P960" s="7">
        <v>1.7708333333333332E-3</v>
      </c>
      <c r="Q960" s="7">
        <v>2.1759259259259258E-3</v>
      </c>
      <c r="R960" s="6">
        <v>0.80110000000000003</v>
      </c>
      <c r="S960" s="8">
        <f>CONVERT(Table1[[#This Row],[Talk Duration (AVG)]]*Table1[[#This Row],[Answered Calls]],"day","hr")</f>
        <v>7.5225</v>
      </c>
      <c r="T960" s="9">
        <f>Table1[[#This Row],[Actual Workload hours]]*60</f>
        <v>451.35</v>
      </c>
      <c r="U960" s="9">
        <f>CONVERT(Table1[[#This Row],[Actual]]*Table1[[#This Row],[Talk Duration (AVG)]],"day","hr")</f>
        <v>2.6775000000000002</v>
      </c>
      <c r="V960" s="10">
        <f>Table1[[#This Row],[Required Workload Hours]]*60</f>
        <v>160.65</v>
      </c>
      <c r="W960" s="9">
        <v>1.18</v>
      </c>
      <c r="X960" s="9">
        <f t="shared" si="28"/>
        <v>1</v>
      </c>
      <c r="Y960" s="5">
        <f t="shared" si="29"/>
        <v>2</v>
      </c>
      <c r="Z960" s="8">
        <f>ROUNDUP(Table1[[#This Row],[Actual Heacount]],0)</f>
        <v>2</v>
      </c>
      <c r="AA960" s="8"/>
      <c r="AB960" s="10"/>
      <c r="AC960" s="10"/>
      <c r="AD960" s="10"/>
      <c r="AE960" s="11">
        <v>110.841409852881</v>
      </c>
      <c r="AF960" s="11">
        <v>328.40872942642881</v>
      </c>
      <c r="AG960" t="s">
        <v>34</v>
      </c>
    </row>
    <row r="961" spans="1:33">
      <c r="A961" s="2">
        <v>44839</v>
      </c>
      <c r="B961" s="5" t="s">
        <v>33</v>
      </c>
      <c r="C961" s="5">
        <f>WEEKDAY(Table1[[#This Row],[Date]])</f>
        <v>4</v>
      </c>
      <c r="D961" s="5">
        <f>MONTH(Table1[[#This Row],[Date]])</f>
        <v>10</v>
      </c>
      <c r="E961" s="5">
        <f>WEEKNUM(Table1[[#This Row],[Date]])</f>
        <v>41</v>
      </c>
      <c r="F961" s="5">
        <f>YEAR(Table1[[#This Row],[Date]])</f>
        <v>2022</v>
      </c>
      <c r="G961">
        <v>298</v>
      </c>
      <c r="L961" s="5">
        <v>172</v>
      </c>
      <c r="M961" s="6">
        <v>0.84730000000000005</v>
      </c>
      <c r="N961" s="5">
        <v>31</v>
      </c>
      <c r="O961" s="7">
        <v>3.9351851851851852E-4</v>
      </c>
      <c r="P961" s="7">
        <v>2.0023148148148148E-3</v>
      </c>
      <c r="Q961" s="7">
        <v>3.5416666666666665E-3</v>
      </c>
      <c r="R961" s="6">
        <v>0.52790000000000004</v>
      </c>
      <c r="S961" s="8">
        <f>CONVERT(Table1[[#This Row],[Talk Duration (AVG)]]*Table1[[#This Row],[Answered Calls]],"day","hr")</f>
        <v>8.2655555555555562</v>
      </c>
      <c r="T961" s="9">
        <f>Table1[[#This Row],[Actual Workload hours]]*60</f>
        <v>495.93333333333339</v>
      </c>
      <c r="U961" s="9">
        <f>CONVERT(Table1[[#This Row],[Actual]]*Table1[[#This Row],[Talk Duration (AVG)]],"day","hr")</f>
        <v>14.320555555555558</v>
      </c>
      <c r="V961" s="10">
        <f>Table1[[#This Row],[Required Workload Hours]]*60</f>
        <v>859.23333333333346</v>
      </c>
      <c r="W961" s="9">
        <v>1.29</v>
      </c>
      <c r="X961" s="9">
        <f t="shared" si="28"/>
        <v>2.2375868055555559</v>
      </c>
      <c r="Y961" s="5">
        <f t="shared" si="29"/>
        <v>2</v>
      </c>
      <c r="Z961" s="8">
        <f>ROUNDUP(Table1[[#This Row],[Actual Heacount]],0)</f>
        <v>2</v>
      </c>
      <c r="AA961" s="8"/>
      <c r="AB961" s="10"/>
      <c r="AC961" s="10"/>
      <c r="AD961" s="10"/>
      <c r="AE961" s="11">
        <v>122.2011276131793</v>
      </c>
      <c r="AF961" s="11">
        <v>336.95702018752468</v>
      </c>
      <c r="AG961" t="s">
        <v>34</v>
      </c>
    </row>
    <row r="962" spans="1:33">
      <c r="A962" s="2">
        <v>44840</v>
      </c>
      <c r="B962" s="5" t="s">
        <v>35</v>
      </c>
      <c r="C962" s="5">
        <f>WEEKDAY(Table1[[#This Row],[Date]])</f>
        <v>5</v>
      </c>
      <c r="D962" s="5">
        <f>MONTH(Table1[[#This Row],[Date]])</f>
        <v>10</v>
      </c>
      <c r="E962" s="5">
        <f>WEEKNUM(Table1[[#This Row],[Date]])</f>
        <v>41</v>
      </c>
      <c r="F962" s="5">
        <f>YEAR(Table1[[#This Row],[Date]])</f>
        <v>2022</v>
      </c>
      <c r="G962">
        <v>296</v>
      </c>
      <c r="L962" s="5">
        <v>193</v>
      </c>
      <c r="M962" s="6">
        <v>0.88529999999999998</v>
      </c>
      <c r="N962" s="5">
        <v>25</v>
      </c>
      <c r="O962" s="7">
        <v>3.9351851851851852E-4</v>
      </c>
      <c r="P962" s="7">
        <v>2.0601851851851853E-3</v>
      </c>
      <c r="Q962" s="7">
        <v>5.2546296296296299E-3</v>
      </c>
      <c r="R962" s="6">
        <v>0.61970000000000003</v>
      </c>
      <c r="S962" s="8">
        <f>CONVERT(Table1[[#This Row],[Talk Duration (AVG)]]*Table1[[#This Row],[Answered Calls]],"day","hr")</f>
        <v>9.5427777777777774</v>
      </c>
      <c r="T962" s="9">
        <f>Table1[[#This Row],[Actual Workload hours]]*60</f>
        <v>572.56666666666661</v>
      </c>
      <c r="U962" s="9">
        <f>CONVERT(Table1[[#This Row],[Actual]]*Table1[[#This Row],[Talk Duration (AVG)]],"day","hr")</f>
        <v>14.635555555555555</v>
      </c>
      <c r="V962" s="10">
        <f>Table1[[#This Row],[Required Workload Hours]]*60</f>
        <v>878.13333333333333</v>
      </c>
      <c r="W962" s="9">
        <v>1.49</v>
      </c>
      <c r="X962" s="9">
        <f t="shared" si="28"/>
        <v>2.2868055555555555</v>
      </c>
      <c r="Y962" s="5">
        <f t="shared" si="29"/>
        <v>2</v>
      </c>
      <c r="Z962" s="8">
        <f>ROUNDUP(Table1[[#This Row],[Actual Heacount]],0)</f>
        <v>2</v>
      </c>
      <c r="AA962" s="8"/>
      <c r="AB962" s="10"/>
      <c r="AC962" s="10"/>
      <c r="AD962" s="10"/>
      <c r="AE962" s="11">
        <v>109.9417255420566</v>
      </c>
      <c r="AF962" s="11">
        <v>336.40541777814099</v>
      </c>
      <c r="AG962" t="s">
        <v>34</v>
      </c>
    </row>
    <row r="963" spans="1:33">
      <c r="A963" s="2">
        <v>44841</v>
      </c>
      <c r="B963" s="5" t="s">
        <v>36</v>
      </c>
      <c r="C963" s="5">
        <f>WEEKDAY(Table1[[#This Row],[Date]])</f>
        <v>6</v>
      </c>
      <c r="D963" s="5">
        <f>MONTH(Table1[[#This Row],[Date]])</f>
        <v>10</v>
      </c>
      <c r="E963" s="5">
        <f>WEEKNUM(Table1[[#This Row],[Date]])</f>
        <v>41</v>
      </c>
      <c r="F963" s="5">
        <f>YEAR(Table1[[#This Row],[Date]])</f>
        <v>2022</v>
      </c>
      <c r="G963">
        <v>46</v>
      </c>
      <c r="L963" s="5">
        <v>194</v>
      </c>
      <c r="M963" s="6">
        <v>0.95099999999999996</v>
      </c>
      <c r="N963" s="5">
        <v>10</v>
      </c>
      <c r="O963" s="7">
        <v>1.8518518518518518E-4</v>
      </c>
      <c r="P963" s="7">
        <v>1.9907407407407408E-3</v>
      </c>
      <c r="Q963" s="7">
        <v>2.1527777777777778E-3</v>
      </c>
      <c r="R963" s="6">
        <v>0.81310000000000004</v>
      </c>
      <c r="S963" s="8">
        <f>CONVERT(Table1[[#This Row],[Talk Duration (AVG)]]*Table1[[#This Row],[Answered Calls]],"day","hr")</f>
        <v>9.2688888888888883</v>
      </c>
      <c r="T963" s="9">
        <f>Table1[[#This Row],[Actual Workload hours]]*60</f>
        <v>556.13333333333333</v>
      </c>
      <c r="U963" s="9">
        <f>CONVERT(Table1[[#This Row],[Actual]]*Table1[[#This Row],[Talk Duration (AVG)]],"day","hr")</f>
        <v>2.1977777777777781</v>
      </c>
      <c r="V963" s="10">
        <f>Table1[[#This Row],[Required Workload Hours]]*60</f>
        <v>131.86666666666667</v>
      </c>
      <c r="W963" s="9">
        <v>1.45</v>
      </c>
      <c r="X963" s="9">
        <f t="shared" ref="X963:X1026" si="30">IF(V963&lt;384,1,(V963/384))</f>
        <v>1</v>
      </c>
      <c r="Y963" s="5">
        <f t="shared" ref="Y963:Y1026" si="31">IF(B963="Sunday",1,2)</f>
        <v>2</v>
      </c>
      <c r="Z963" s="8">
        <f>ROUNDUP(Table1[[#This Row],[Actual Heacount]],0)</f>
        <v>2</v>
      </c>
      <c r="AA963" s="8"/>
      <c r="AB963" s="10"/>
      <c r="AC963" s="10"/>
      <c r="AD963" s="10"/>
      <c r="AE963" s="11">
        <v>97.504931370138451</v>
      </c>
      <c r="AF963" s="11">
        <v>334.48601048403748</v>
      </c>
      <c r="AG963" t="s">
        <v>34</v>
      </c>
    </row>
    <row r="964" spans="1:33">
      <c r="A964" s="2">
        <v>44842</v>
      </c>
      <c r="B964" s="5" t="s">
        <v>37</v>
      </c>
      <c r="C964" s="5">
        <f>WEEKDAY(Table1[[#This Row],[Date]])</f>
        <v>7</v>
      </c>
      <c r="D964" s="5">
        <f>MONTH(Table1[[#This Row],[Date]])</f>
        <v>10</v>
      </c>
      <c r="E964" s="5">
        <f>WEEKNUM(Table1[[#This Row],[Date]])</f>
        <v>41</v>
      </c>
      <c r="F964" s="5">
        <f>YEAR(Table1[[#This Row],[Date]])</f>
        <v>2022</v>
      </c>
      <c r="G964">
        <v>374</v>
      </c>
      <c r="L964" s="5">
        <v>211</v>
      </c>
      <c r="M964" s="6">
        <v>0.87190000000000001</v>
      </c>
      <c r="N964" s="5">
        <v>31</v>
      </c>
      <c r="O964" s="7">
        <v>5.0925925925925921E-4</v>
      </c>
      <c r="P964" s="7">
        <v>2.0486111111111113E-3</v>
      </c>
      <c r="Q964" s="7">
        <v>4.2592592592592595E-3</v>
      </c>
      <c r="R964" s="6">
        <v>0.47699999999999998</v>
      </c>
      <c r="S964" s="8">
        <f>CONVERT(Table1[[#This Row],[Talk Duration (AVG)]]*Table1[[#This Row],[Answered Calls]],"day","hr")</f>
        <v>10.374166666666667</v>
      </c>
      <c r="T964" s="9">
        <f>Table1[[#This Row],[Actual Workload hours]]*60</f>
        <v>622.45000000000005</v>
      </c>
      <c r="U964" s="9">
        <f>CONVERT(Table1[[#This Row],[Actual]]*Table1[[#This Row],[Talk Duration (AVG)]],"day","hr")</f>
        <v>18.388333333333339</v>
      </c>
      <c r="V964" s="10">
        <f>Table1[[#This Row],[Required Workload Hours]]*60</f>
        <v>1103.3000000000004</v>
      </c>
      <c r="W964" s="9">
        <v>1.62</v>
      </c>
      <c r="X964" s="9">
        <f t="shared" si="30"/>
        <v>2.8731770833333345</v>
      </c>
      <c r="Y964" s="5">
        <f t="shared" si="31"/>
        <v>2</v>
      </c>
      <c r="Z964" s="8">
        <f>ROUNDUP(Table1[[#This Row],[Actual Heacount]],0)</f>
        <v>2</v>
      </c>
      <c r="AA964" s="8"/>
      <c r="AB964" s="10"/>
      <c r="AC964" s="10"/>
      <c r="AD964" s="10"/>
      <c r="AE964" s="11">
        <v>114.6818380785778</v>
      </c>
      <c r="AF964" s="11">
        <v>341.44917185451408</v>
      </c>
      <c r="AG964" t="s">
        <v>34</v>
      </c>
    </row>
    <row r="965" spans="1:33">
      <c r="A965" s="2">
        <v>44843</v>
      </c>
      <c r="B965" s="5" t="s">
        <v>38</v>
      </c>
      <c r="C965" s="5">
        <f>WEEKDAY(Table1[[#This Row],[Date]])</f>
        <v>1</v>
      </c>
      <c r="D965" s="5">
        <f>MONTH(Table1[[#This Row],[Date]])</f>
        <v>10</v>
      </c>
      <c r="E965" s="5">
        <f>WEEKNUM(Table1[[#This Row],[Date]])</f>
        <v>42</v>
      </c>
      <c r="F965" s="5">
        <f>YEAR(Table1[[#This Row],[Date]])</f>
        <v>2022</v>
      </c>
      <c r="G965">
        <v>193</v>
      </c>
      <c r="L965" s="5">
        <v>29</v>
      </c>
      <c r="M965" s="6">
        <v>1</v>
      </c>
      <c r="N965" s="5">
        <v>0</v>
      </c>
      <c r="O965" s="7">
        <v>9.2592592592592588E-5</v>
      </c>
      <c r="P965" s="7">
        <v>1.8518518518518519E-3</v>
      </c>
      <c r="Q965" s="7">
        <v>5.0925925925925921E-4</v>
      </c>
      <c r="R965" s="6">
        <v>0.89659999999999995</v>
      </c>
      <c r="S965" s="8">
        <f>CONVERT(Table1[[#This Row],[Talk Duration (AVG)]]*Table1[[#This Row],[Answered Calls]],"day","hr")</f>
        <v>1.288888888888889</v>
      </c>
      <c r="T965" s="9">
        <f>Table1[[#This Row],[Actual Workload hours]]*60</f>
        <v>77.333333333333343</v>
      </c>
      <c r="U965" s="9">
        <f>CONVERT(Table1[[#This Row],[Actual]]*Table1[[#This Row],[Talk Duration (AVG)]],"day","hr")</f>
        <v>8.5777777777777775</v>
      </c>
      <c r="V965" s="10">
        <f>Table1[[#This Row],[Required Workload Hours]]*60</f>
        <v>514.66666666666663</v>
      </c>
      <c r="W965" s="9">
        <v>1</v>
      </c>
      <c r="X965" s="9">
        <f t="shared" si="30"/>
        <v>1.3402777777777777</v>
      </c>
      <c r="Y965" s="5">
        <f t="shared" si="31"/>
        <v>1</v>
      </c>
      <c r="Z965" s="8">
        <f>ROUNDUP(Table1[[#This Row],[Actual Heacount]],0)</f>
        <v>1</v>
      </c>
      <c r="AA965" s="8"/>
      <c r="AB965" s="10"/>
      <c r="AC965" s="10"/>
      <c r="AD965" s="10"/>
      <c r="AE965" s="11">
        <v>26.088626513868959</v>
      </c>
      <c r="AF965" s="11">
        <v>254.15043768092741</v>
      </c>
      <c r="AG965" t="s">
        <v>34</v>
      </c>
    </row>
    <row r="966" spans="1:33">
      <c r="A966" s="2">
        <v>44844</v>
      </c>
      <c r="B966" s="5" t="s">
        <v>39</v>
      </c>
      <c r="C966" s="5">
        <f>WEEKDAY(Table1[[#This Row],[Date]])</f>
        <v>2</v>
      </c>
      <c r="D966" s="5">
        <f>MONTH(Table1[[#This Row],[Date]])</f>
        <v>10</v>
      </c>
      <c r="E966" s="5">
        <f>WEEKNUM(Table1[[#This Row],[Date]])</f>
        <v>42</v>
      </c>
      <c r="F966" s="5">
        <f>YEAR(Table1[[#This Row],[Date]])</f>
        <v>2022</v>
      </c>
      <c r="G966">
        <v>159</v>
      </c>
      <c r="L966" s="5">
        <v>163</v>
      </c>
      <c r="M966" s="6">
        <v>0.95320000000000005</v>
      </c>
      <c r="N966" s="5">
        <v>8</v>
      </c>
      <c r="O966" s="7">
        <v>2.7777777777777778E-4</v>
      </c>
      <c r="P966" s="7">
        <v>2.0601851851851853E-3</v>
      </c>
      <c r="Q966" s="7">
        <v>2.3032407407407407E-3</v>
      </c>
      <c r="R966" s="6">
        <v>0.69230000000000003</v>
      </c>
      <c r="S966" s="8">
        <f>CONVERT(Table1[[#This Row],[Talk Duration (AVG)]]*Table1[[#This Row],[Answered Calls]],"day","hr")</f>
        <v>8.0594444444444449</v>
      </c>
      <c r="T966" s="9">
        <f>Table1[[#This Row],[Actual Workload hours]]*60</f>
        <v>483.56666666666672</v>
      </c>
      <c r="U966" s="9">
        <f>CONVERT(Table1[[#This Row],[Actual]]*Table1[[#This Row],[Talk Duration (AVG)]],"day","hr")</f>
        <v>7.8616666666666672</v>
      </c>
      <c r="V966" s="10">
        <f>Table1[[#This Row],[Required Workload Hours]]*60</f>
        <v>471.70000000000005</v>
      </c>
      <c r="W966" s="9">
        <v>1.26</v>
      </c>
      <c r="X966" s="9">
        <f t="shared" si="30"/>
        <v>1.2283854166666668</v>
      </c>
      <c r="Y966" s="5">
        <f t="shared" si="31"/>
        <v>2</v>
      </c>
      <c r="Z966" s="8">
        <f>ROUNDUP(Table1[[#This Row],[Actual Heacount]],0)</f>
        <v>2</v>
      </c>
      <c r="AA966" s="8"/>
      <c r="AB966" s="10"/>
      <c r="AC966" s="10"/>
      <c r="AD966" s="10"/>
      <c r="AE966" s="11">
        <v>123.0385830752512</v>
      </c>
      <c r="AF966" s="11">
        <v>343.04692830026329</v>
      </c>
      <c r="AG966" t="s">
        <v>34</v>
      </c>
    </row>
    <row r="967" spans="1:33">
      <c r="A967" s="2">
        <v>44845</v>
      </c>
      <c r="B967" s="5" t="s">
        <v>40</v>
      </c>
      <c r="C967" s="5">
        <f>WEEKDAY(Table1[[#This Row],[Date]])</f>
        <v>3</v>
      </c>
      <c r="D967" s="5">
        <f>MONTH(Table1[[#This Row],[Date]])</f>
        <v>10</v>
      </c>
      <c r="E967" s="5">
        <f>WEEKNUM(Table1[[#This Row],[Date]])</f>
        <v>42</v>
      </c>
      <c r="F967" s="5">
        <f>YEAR(Table1[[#This Row],[Date]])</f>
        <v>2022</v>
      </c>
      <c r="G967">
        <v>224</v>
      </c>
      <c r="L967" s="5">
        <v>166</v>
      </c>
      <c r="M967" s="6">
        <v>0.87370000000000003</v>
      </c>
      <c r="N967" s="5">
        <v>24</v>
      </c>
      <c r="O967" s="7">
        <v>5.3240740740740744E-4</v>
      </c>
      <c r="P967" s="7">
        <v>2.0717592592592593E-3</v>
      </c>
      <c r="Q967" s="7">
        <v>6.4814814814814813E-3</v>
      </c>
      <c r="R967" s="6">
        <v>0.42249999999999999</v>
      </c>
      <c r="S967" s="8">
        <f>CONVERT(Table1[[#This Row],[Talk Duration (AVG)]]*Table1[[#This Row],[Answered Calls]],"day","hr")</f>
        <v>8.2538888888888895</v>
      </c>
      <c r="T967" s="9">
        <f>Table1[[#This Row],[Actual Workload hours]]*60</f>
        <v>495.23333333333335</v>
      </c>
      <c r="U967" s="9">
        <f>CONVERT(Table1[[#This Row],[Actual]]*Table1[[#This Row],[Talk Duration (AVG)]],"day","hr")</f>
        <v>11.137777777777778</v>
      </c>
      <c r="V967" s="10">
        <f>Table1[[#This Row],[Required Workload Hours]]*60</f>
        <v>668.26666666666665</v>
      </c>
      <c r="W967" s="9">
        <v>1.29</v>
      </c>
      <c r="X967" s="9">
        <f t="shared" si="30"/>
        <v>1.7402777777777778</v>
      </c>
      <c r="Y967" s="5">
        <f t="shared" si="31"/>
        <v>2</v>
      </c>
      <c r="Z967" s="8">
        <f>ROUNDUP(Table1[[#This Row],[Actual Heacount]],0)</f>
        <v>2</v>
      </c>
      <c r="AA967" s="8"/>
      <c r="AB967" s="10"/>
      <c r="AC967" s="10"/>
      <c r="AD967" s="10"/>
      <c r="AE967" s="11">
        <v>115.3400335047606</v>
      </c>
      <c r="AF967" s="11">
        <v>339.65929012910078</v>
      </c>
      <c r="AG967" t="s">
        <v>34</v>
      </c>
    </row>
    <row r="968" spans="1:33">
      <c r="A968" s="2">
        <v>44847</v>
      </c>
      <c r="B968" s="5" t="s">
        <v>33</v>
      </c>
      <c r="C968" s="5">
        <f>WEEKDAY(Table1[[#This Row],[Date]])</f>
        <v>5</v>
      </c>
      <c r="D968" s="5">
        <f>MONTH(Table1[[#This Row],[Date]])</f>
        <v>10</v>
      </c>
      <c r="E968" s="5">
        <f>WEEKNUM(Table1[[#This Row],[Date]])</f>
        <v>42</v>
      </c>
      <c r="F968" s="5">
        <f>YEAR(Table1[[#This Row],[Date]])</f>
        <v>2022</v>
      </c>
      <c r="G968">
        <v>194</v>
      </c>
      <c r="L968" s="5">
        <v>196</v>
      </c>
      <c r="M968" s="6">
        <v>0.88690000000000002</v>
      </c>
      <c r="N968" s="5">
        <v>25</v>
      </c>
      <c r="O968" s="7">
        <v>3.8194444444444446E-4</v>
      </c>
      <c r="P968" s="7">
        <v>2.0486111111111113E-3</v>
      </c>
      <c r="Q968" s="7">
        <v>3.7615740740740739E-3</v>
      </c>
      <c r="R968" s="6">
        <v>0.53669999999999995</v>
      </c>
      <c r="S968" s="8">
        <f>CONVERT(Table1[[#This Row],[Talk Duration (AVG)]]*Table1[[#This Row],[Answered Calls]],"day","hr")</f>
        <v>9.6366666666666667</v>
      </c>
      <c r="T968" s="9">
        <f>Table1[[#This Row],[Actual Workload hours]]*60</f>
        <v>578.20000000000005</v>
      </c>
      <c r="U968" s="9">
        <f>CONVERT(Table1[[#This Row],[Actual]]*Table1[[#This Row],[Talk Duration (AVG)]],"day","hr")</f>
        <v>9.538333333333334</v>
      </c>
      <c r="V968" s="10">
        <f>Table1[[#This Row],[Required Workload Hours]]*60</f>
        <v>572.30000000000007</v>
      </c>
      <c r="W968" s="9">
        <v>1.51</v>
      </c>
      <c r="X968" s="9">
        <f t="shared" si="30"/>
        <v>1.4903645833333334</v>
      </c>
      <c r="Y968" s="5">
        <f t="shared" si="31"/>
        <v>2</v>
      </c>
      <c r="Z968" s="8">
        <f>ROUNDUP(Table1[[#This Row],[Actual Heacount]],0)</f>
        <v>2</v>
      </c>
      <c r="AA968" s="8"/>
      <c r="AB968" s="10"/>
      <c r="AC968" s="10"/>
      <c r="AD968" s="10"/>
      <c r="AE968" s="11">
        <v>127.5455905201365</v>
      </c>
      <c r="AF968" s="11">
        <v>341.86353237914022</v>
      </c>
      <c r="AG968" t="s">
        <v>34</v>
      </c>
    </row>
    <row r="969" spans="1:33">
      <c r="A969" s="2">
        <v>44848</v>
      </c>
      <c r="B969" s="5" t="s">
        <v>35</v>
      </c>
      <c r="C969" s="5">
        <f>WEEKDAY(Table1[[#This Row],[Date]])</f>
        <v>6</v>
      </c>
      <c r="D969" s="5">
        <f>MONTH(Table1[[#This Row],[Date]])</f>
        <v>10</v>
      </c>
      <c r="E969" s="5">
        <f>WEEKNUM(Table1[[#This Row],[Date]])</f>
        <v>42</v>
      </c>
      <c r="F969" s="5">
        <f>YEAR(Table1[[#This Row],[Date]])</f>
        <v>2022</v>
      </c>
      <c r="G969">
        <v>390</v>
      </c>
      <c r="L969" s="5">
        <v>241</v>
      </c>
      <c r="M969" s="6">
        <v>0.81140000000000001</v>
      </c>
      <c r="N969" s="5">
        <v>56</v>
      </c>
      <c r="O969" s="7">
        <v>5.6712962962962967E-4</v>
      </c>
      <c r="P969" s="7">
        <v>2.2106481481481482E-3</v>
      </c>
      <c r="Q969" s="7">
        <v>4.7685185185185183E-3</v>
      </c>
      <c r="R969" s="6">
        <v>0.44829999999999998</v>
      </c>
      <c r="S969" s="8">
        <f>CONVERT(Table1[[#This Row],[Talk Duration (AVG)]]*Table1[[#This Row],[Answered Calls]],"day","hr")</f>
        <v>12.78638888888889</v>
      </c>
      <c r="T969" s="9">
        <f>Table1[[#This Row],[Actual Workload hours]]*60</f>
        <v>767.18333333333339</v>
      </c>
      <c r="U969" s="9">
        <f>CONVERT(Table1[[#This Row],[Actual]]*Table1[[#This Row],[Talk Duration (AVG)]],"day","hr")</f>
        <v>20.691666666666666</v>
      </c>
      <c r="V969" s="10">
        <f>Table1[[#This Row],[Required Workload Hours]]*60</f>
        <v>1241.5</v>
      </c>
      <c r="W969" s="9">
        <v>2</v>
      </c>
      <c r="X969" s="9">
        <f t="shared" si="30"/>
        <v>3.2330729166666665</v>
      </c>
      <c r="Y969" s="5">
        <f t="shared" si="31"/>
        <v>2</v>
      </c>
      <c r="Z969" s="8">
        <f>ROUNDUP(Table1[[#This Row],[Actual Heacount]],0)</f>
        <v>2</v>
      </c>
      <c r="AA969" s="8"/>
      <c r="AB969" s="10"/>
      <c r="AC969" s="10"/>
      <c r="AD969" s="10"/>
      <c r="AE969" s="11">
        <v>113.8580772581178</v>
      </c>
      <c r="AF969" s="11">
        <v>339.61955609735531</v>
      </c>
      <c r="AG969" t="s">
        <v>34</v>
      </c>
    </row>
    <row r="970" spans="1:33">
      <c r="A970" s="2">
        <v>44849</v>
      </c>
      <c r="B970" s="5" t="s">
        <v>36</v>
      </c>
      <c r="C970" s="5">
        <f>WEEKDAY(Table1[[#This Row],[Date]])</f>
        <v>7</v>
      </c>
      <c r="D970" s="5">
        <f>MONTH(Table1[[#This Row],[Date]])</f>
        <v>10</v>
      </c>
      <c r="E970" s="5">
        <f>WEEKNUM(Table1[[#This Row],[Date]])</f>
        <v>42</v>
      </c>
      <c r="F970" s="5">
        <f>YEAR(Table1[[#This Row],[Date]])</f>
        <v>2022</v>
      </c>
      <c r="G970">
        <v>238</v>
      </c>
      <c r="L970" s="5">
        <v>214</v>
      </c>
      <c r="M970" s="6">
        <v>0.91849999999999998</v>
      </c>
      <c r="N970" s="5">
        <v>19</v>
      </c>
      <c r="O970" s="7">
        <v>3.0092592592592595E-4</v>
      </c>
      <c r="P970" s="7">
        <v>1.9560185185185184E-3</v>
      </c>
      <c r="Q970" s="7">
        <v>2.6967592592592594E-3</v>
      </c>
      <c r="R970" s="6">
        <v>0.625</v>
      </c>
      <c r="S970" s="8">
        <f>CONVERT(Table1[[#This Row],[Talk Duration (AVG)]]*Table1[[#This Row],[Answered Calls]],"day","hr")</f>
        <v>10.046111111111109</v>
      </c>
      <c r="T970" s="9">
        <f>Table1[[#This Row],[Actual Workload hours]]*60</f>
        <v>602.76666666666654</v>
      </c>
      <c r="U970" s="9">
        <f>CONVERT(Table1[[#This Row],[Actual]]*Table1[[#This Row],[Talk Duration (AVG)]],"day","hr")</f>
        <v>11.172777777777778</v>
      </c>
      <c r="V970" s="10">
        <f>Table1[[#This Row],[Required Workload Hours]]*60</f>
        <v>670.36666666666667</v>
      </c>
      <c r="W970" s="9">
        <v>1.57</v>
      </c>
      <c r="X970" s="9">
        <f t="shared" si="30"/>
        <v>1.7457465277777777</v>
      </c>
      <c r="Y970" s="5">
        <f t="shared" si="31"/>
        <v>2</v>
      </c>
      <c r="Z970" s="8">
        <f>ROUNDUP(Table1[[#This Row],[Actual Heacount]],0)</f>
        <v>2</v>
      </c>
      <c r="AA970" s="8"/>
      <c r="AB970" s="10"/>
      <c r="AC970" s="10"/>
      <c r="AD970" s="10"/>
      <c r="AE970" s="11">
        <v>127.38680500109059</v>
      </c>
      <c r="AF970" s="11">
        <v>346.01674024488858</v>
      </c>
      <c r="AG970" t="s">
        <v>34</v>
      </c>
    </row>
    <row r="971" spans="1:33">
      <c r="A971" s="2">
        <v>44850</v>
      </c>
      <c r="B971" s="5" t="s">
        <v>37</v>
      </c>
      <c r="C971" s="5">
        <f>WEEKDAY(Table1[[#This Row],[Date]])</f>
        <v>1</v>
      </c>
      <c r="D971" s="5">
        <f>MONTH(Table1[[#This Row],[Date]])</f>
        <v>10</v>
      </c>
      <c r="E971" s="5">
        <f>WEEKNUM(Table1[[#This Row],[Date]])</f>
        <v>43</v>
      </c>
      <c r="F971" s="5">
        <f>YEAR(Table1[[#This Row],[Date]])</f>
        <v>2022</v>
      </c>
      <c r="G971">
        <v>29</v>
      </c>
      <c r="L971" s="5">
        <v>191</v>
      </c>
      <c r="M971" s="6">
        <v>0.96460000000000001</v>
      </c>
      <c r="N971" s="5">
        <v>7</v>
      </c>
      <c r="O971" s="7">
        <v>1.6203703703703703E-4</v>
      </c>
      <c r="P971" s="7">
        <v>2.0949074074074073E-3</v>
      </c>
      <c r="Q971" s="7">
        <v>1.4930555555555556E-3</v>
      </c>
      <c r="R971" s="6">
        <v>0.82740000000000002</v>
      </c>
      <c r="S971" s="8">
        <f>CONVERT(Table1[[#This Row],[Talk Duration (AVG)]]*Table1[[#This Row],[Answered Calls]],"day","hr")</f>
        <v>9.6030555555555548</v>
      </c>
      <c r="T971" s="9">
        <f>Table1[[#This Row],[Actual Workload hours]]*60</f>
        <v>576.18333333333328</v>
      </c>
      <c r="U971" s="9">
        <f>CONVERT(Table1[[#This Row],[Actual]]*Table1[[#This Row],[Talk Duration (AVG)]],"day","hr")</f>
        <v>1.4580555555555557</v>
      </c>
      <c r="V971" s="10">
        <f>Table1[[#This Row],[Required Workload Hours]]*60</f>
        <v>87.483333333333334</v>
      </c>
      <c r="W971" s="9">
        <v>1.5</v>
      </c>
      <c r="X971" s="9">
        <f t="shared" si="30"/>
        <v>1</v>
      </c>
      <c r="Y971" s="5">
        <f t="shared" si="31"/>
        <v>2</v>
      </c>
      <c r="Z971" s="8">
        <f>ROUNDUP(Table1[[#This Row],[Actual Heacount]],0)</f>
        <v>2</v>
      </c>
      <c r="AA971" s="8"/>
      <c r="AB971" s="10"/>
      <c r="AC971" s="10"/>
      <c r="AD971" s="10"/>
      <c r="AE971" s="11">
        <v>42.291863219010523</v>
      </c>
      <c r="AF971" s="11">
        <v>260.91487082966478</v>
      </c>
      <c r="AG971" t="s">
        <v>34</v>
      </c>
    </row>
    <row r="972" spans="1:33">
      <c r="A972" s="2">
        <v>44851</v>
      </c>
      <c r="B972" s="5" t="s">
        <v>38</v>
      </c>
      <c r="C972" s="5">
        <f>WEEKDAY(Table1[[#This Row],[Date]])</f>
        <v>2</v>
      </c>
      <c r="D972" s="5">
        <f>MONTH(Table1[[#This Row],[Date]])</f>
        <v>10</v>
      </c>
      <c r="E972" s="5">
        <f>WEEKNUM(Table1[[#This Row],[Date]])</f>
        <v>43</v>
      </c>
      <c r="F972" s="5">
        <f>YEAR(Table1[[#This Row],[Date]])</f>
        <v>2022</v>
      </c>
      <c r="G972">
        <v>30</v>
      </c>
      <c r="L972" s="5">
        <v>15</v>
      </c>
      <c r="M972" s="6">
        <v>1</v>
      </c>
      <c r="N972" s="5">
        <v>0</v>
      </c>
      <c r="O972" s="7">
        <v>4.6296296296296294E-5</v>
      </c>
      <c r="P972" s="7">
        <v>2.3032407407407407E-3</v>
      </c>
      <c r="Q972" s="7">
        <v>1.6203703703703703E-4</v>
      </c>
      <c r="R972" s="6">
        <v>1</v>
      </c>
      <c r="S972" s="8">
        <f>CONVERT(Table1[[#This Row],[Talk Duration (AVG)]]*Table1[[#This Row],[Answered Calls]],"day","hr")</f>
        <v>0.82916666666666672</v>
      </c>
      <c r="T972" s="9">
        <f>Table1[[#This Row],[Actual Workload hours]]*60</f>
        <v>49.75</v>
      </c>
      <c r="U972" s="9">
        <f>CONVERT(Table1[[#This Row],[Actual]]*Table1[[#This Row],[Talk Duration (AVG)]],"day","hr")</f>
        <v>1.6583333333333334</v>
      </c>
      <c r="V972" s="10">
        <f>Table1[[#This Row],[Required Workload Hours]]*60</f>
        <v>99.5</v>
      </c>
      <c r="W972" s="9">
        <v>1</v>
      </c>
      <c r="X972" s="9">
        <f t="shared" si="30"/>
        <v>1</v>
      </c>
      <c r="Y972" s="5">
        <f t="shared" si="31"/>
        <v>1</v>
      </c>
      <c r="Z972" s="8">
        <f>ROUNDUP(Table1[[#This Row],[Actual Heacount]],0)</f>
        <v>1</v>
      </c>
      <c r="AA972" s="8"/>
      <c r="AB972" s="10"/>
      <c r="AC972" s="10"/>
      <c r="AD972" s="10"/>
      <c r="AE972" s="11">
        <v>145.2413841944913</v>
      </c>
      <c r="AF972" s="11">
        <v>358.72216470682741</v>
      </c>
      <c r="AG972" t="s">
        <v>34</v>
      </c>
    </row>
    <row r="973" spans="1:33">
      <c r="A973" s="2">
        <v>44852</v>
      </c>
      <c r="B973" s="5" t="s">
        <v>39</v>
      </c>
      <c r="C973" s="5">
        <f>WEEKDAY(Table1[[#This Row],[Date]])</f>
        <v>3</v>
      </c>
      <c r="D973" s="5">
        <f>MONTH(Table1[[#This Row],[Date]])</f>
        <v>10</v>
      </c>
      <c r="E973" s="5">
        <f>WEEKNUM(Table1[[#This Row],[Date]])</f>
        <v>43</v>
      </c>
      <c r="F973" s="5">
        <f>YEAR(Table1[[#This Row],[Date]])</f>
        <v>2022</v>
      </c>
      <c r="G973">
        <v>287</v>
      </c>
      <c r="L973" s="5">
        <v>25</v>
      </c>
      <c r="M973" s="6">
        <v>0.92589999999999995</v>
      </c>
      <c r="N973" s="5">
        <v>2</v>
      </c>
      <c r="O973" s="7">
        <v>9.2592592592592588E-5</v>
      </c>
      <c r="P973" s="7">
        <v>1.7824074074074075E-3</v>
      </c>
      <c r="Q973" s="7">
        <v>1.4351851851851852E-3</v>
      </c>
      <c r="R973" s="6">
        <v>0.88890000000000002</v>
      </c>
      <c r="S973" s="8">
        <f>CONVERT(Table1[[#This Row],[Talk Duration (AVG)]]*Table1[[#This Row],[Answered Calls]],"day","hr")</f>
        <v>1.0694444444444446</v>
      </c>
      <c r="T973" s="9">
        <f>Table1[[#This Row],[Actual Workload hours]]*60</f>
        <v>64.166666666666686</v>
      </c>
      <c r="U973" s="9">
        <f>CONVERT(Table1[[#This Row],[Actual]]*Table1[[#This Row],[Talk Duration (AVG)]],"day","hr")</f>
        <v>12.277222222222225</v>
      </c>
      <c r="V973" s="10">
        <f>Table1[[#This Row],[Required Workload Hours]]*60</f>
        <v>736.63333333333344</v>
      </c>
      <c r="W973" s="9">
        <v>1</v>
      </c>
      <c r="X973" s="9">
        <f t="shared" si="30"/>
        <v>1.9183159722222225</v>
      </c>
      <c r="Y973" s="5">
        <f t="shared" si="31"/>
        <v>2</v>
      </c>
      <c r="Z973" s="8">
        <f>ROUNDUP(Table1[[#This Row],[Actual Heacount]],0)</f>
        <v>1</v>
      </c>
      <c r="AA973" s="8"/>
      <c r="AB973" s="10"/>
      <c r="AC973" s="10"/>
      <c r="AD973" s="10"/>
      <c r="AE973" s="11">
        <v>123.2329790153937</v>
      </c>
      <c r="AF973" s="11">
        <v>349.27874042465709</v>
      </c>
      <c r="AG973" t="s">
        <v>34</v>
      </c>
    </row>
    <row r="974" spans="1:33">
      <c r="A974" s="2">
        <v>44853</v>
      </c>
      <c r="B974" s="5" t="s">
        <v>40</v>
      </c>
      <c r="C974" s="5">
        <f>WEEKDAY(Table1[[#This Row],[Date]])</f>
        <v>4</v>
      </c>
      <c r="D974" s="5">
        <f>MONTH(Table1[[#This Row],[Date]])</f>
        <v>10</v>
      </c>
      <c r="E974" s="5">
        <f>WEEKNUM(Table1[[#This Row],[Date]])</f>
        <v>43</v>
      </c>
      <c r="F974" s="5">
        <f>YEAR(Table1[[#This Row],[Date]])</f>
        <v>2022</v>
      </c>
      <c r="G974">
        <v>474</v>
      </c>
      <c r="L974" s="5">
        <v>6</v>
      </c>
      <c r="M974" s="6">
        <v>0.85709999999999997</v>
      </c>
      <c r="N974" s="5">
        <v>1</v>
      </c>
      <c r="O974" s="7">
        <v>3.4722222222222222E-5</v>
      </c>
      <c r="P974" s="7">
        <v>3.3333333333333335E-3</v>
      </c>
      <c r="Q974" s="7">
        <v>3.5879629629629629E-4</v>
      </c>
      <c r="R974" s="6">
        <v>0.85709999999999997</v>
      </c>
      <c r="S974" s="8">
        <f>CONVERT(Table1[[#This Row],[Talk Duration (AVG)]]*Table1[[#This Row],[Answered Calls]],"day","hr")</f>
        <v>0.48</v>
      </c>
      <c r="T974" s="9">
        <f>Table1[[#This Row],[Actual Workload hours]]*60</f>
        <v>28.799999999999997</v>
      </c>
      <c r="U974" s="9">
        <f>CONVERT(Table1[[#This Row],[Actual]]*Table1[[#This Row],[Talk Duration (AVG)]],"day","hr")</f>
        <v>37.92</v>
      </c>
      <c r="V974" s="10">
        <f>Table1[[#This Row],[Required Workload Hours]]*60</f>
        <v>2275.2000000000003</v>
      </c>
      <c r="W974" s="9">
        <v>1</v>
      </c>
      <c r="X974" s="9">
        <f t="shared" si="30"/>
        <v>5.9250000000000007</v>
      </c>
      <c r="Y974" s="5">
        <f t="shared" si="31"/>
        <v>2</v>
      </c>
      <c r="Z974" s="8">
        <f>ROUNDUP(Table1[[#This Row],[Actual Heacount]],0)</f>
        <v>1</v>
      </c>
      <c r="AA974" s="8"/>
      <c r="AB974" s="10"/>
      <c r="AC974" s="10"/>
      <c r="AD974" s="10"/>
      <c r="AE974" s="11">
        <v>141.44380327682049</v>
      </c>
      <c r="AF974" s="11">
        <v>366.68111113184131</v>
      </c>
      <c r="AG974" t="s">
        <v>34</v>
      </c>
    </row>
    <row r="975" spans="1:33">
      <c r="A975" s="2">
        <v>44854</v>
      </c>
      <c r="B975" s="5" t="s">
        <v>33</v>
      </c>
      <c r="C975" s="5">
        <f>WEEKDAY(Table1[[#This Row],[Date]])</f>
        <v>5</v>
      </c>
      <c r="D975" s="5">
        <f>MONTH(Table1[[#This Row],[Date]])</f>
        <v>10</v>
      </c>
      <c r="E975" s="5">
        <f>WEEKNUM(Table1[[#This Row],[Date]])</f>
        <v>43</v>
      </c>
      <c r="F975" s="5">
        <f>YEAR(Table1[[#This Row],[Date]])</f>
        <v>2022</v>
      </c>
      <c r="G975">
        <v>277</v>
      </c>
      <c r="L975" s="5">
        <v>144</v>
      </c>
      <c r="M975" s="6">
        <v>0.85209999999999997</v>
      </c>
      <c r="N975" s="5">
        <v>25</v>
      </c>
      <c r="O975" s="7">
        <v>3.8194444444444446E-4</v>
      </c>
      <c r="P975" s="7">
        <v>1.8055555555555555E-3</v>
      </c>
      <c r="Q975" s="7">
        <v>5.9143518518518521E-3</v>
      </c>
      <c r="R975" s="6">
        <v>0.56359999999999999</v>
      </c>
      <c r="S975" s="8">
        <f>CONVERT(Table1[[#This Row],[Talk Duration (AVG)]]*Table1[[#This Row],[Answered Calls]],"day","hr")</f>
        <v>6.24</v>
      </c>
      <c r="T975" s="9">
        <f>Table1[[#This Row],[Actual Workload hours]]*60</f>
        <v>374.40000000000003</v>
      </c>
      <c r="U975" s="9">
        <f>CONVERT(Table1[[#This Row],[Actual]]*Table1[[#This Row],[Talk Duration (AVG)]],"day","hr")</f>
        <v>12.003333333333334</v>
      </c>
      <c r="V975" s="10">
        <f>Table1[[#This Row],[Required Workload Hours]]*60</f>
        <v>720.2</v>
      </c>
      <c r="W975" s="9">
        <v>1</v>
      </c>
      <c r="X975" s="9">
        <f t="shared" si="30"/>
        <v>1.8755208333333335</v>
      </c>
      <c r="Y975" s="5">
        <f t="shared" si="31"/>
        <v>2</v>
      </c>
      <c r="Z975" s="8">
        <f>ROUNDUP(Table1[[#This Row],[Actual Heacount]],0)</f>
        <v>1</v>
      </c>
      <c r="AA975" s="8"/>
      <c r="AB975" s="10"/>
      <c r="AC975" s="10"/>
      <c r="AD975" s="10"/>
      <c r="AE975" s="11">
        <v>138.1553603263535</v>
      </c>
      <c r="AF975" s="11">
        <v>352.06740189843032</v>
      </c>
      <c r="AG975" t="s">
        <v>34</v>
      </c>
    </row>
    <row r="976" spans="1:33">
      <c r="A976" s="2">
        <v>44855</v>
      </c>
      <c r="B976" s="5" t="s">
        <v>35</v>
      </c>
      <c r="C976" s="5">
        <f>WEEKDAY(Table1[[#This Row],[Date]])</f>
        <v>6</v>
      </c>
      <c r="D976" s="5">
        <f>MONTH(Table1[[#This Row],[Date]])</f>
        <v>10</v>
      </c>
      <c r="E976" s="5">
        <f>WEEKNUM(Table1[[#This Row],[Date]])</f>
        <v>43</v>
      </c>
      <c r="F976" s="5">
        <f>YEAR(Table1[[#This Row],[Date]])</f>
        <v>2022</v>
      </c>
      <c r="G976">
        <v>173</v>
      </c>
      <c r="L976" s="5">
        <v>206</v>
      </c>
      <c r="M976" s="6">
        <v>0.91959999999999997</v>
      </c>
      <c r="N976" s="5">
        <v>18</v>
      </c>
      <c r="O976" s="7">
        <v>2.3148148148148149E-4</v>
      </c>
      <c r="P976" s="7">
        <v>1.7939814814814815E-3</v>
      </c>
      <c r="Q976" s="7">
        <v>1.6898148148148148E-3</v>
      </c>
      <c r="R976" s="6">
        <v>0.70720000000000005</v>
      </c>
      <c r="S976" s="8">
        <f>CONVERT(Table1[[#This Row],[Talk Duration (AVG)]]*Table1[[#This Row],[Answered Calls]],"day","hr")</f>
        <v>8.8694444444444436</v>
      </c>
      <c r="T976" s="9">
        <f>Table1[[#This Row],[Actual Workload hours]]*60</f>
        <v>532.16666666666663</v>
      </c>
      <c r="U976" s="9">
        <f>CONVERT(Table1[[#This Row],[Actual]]*Table1[[#This Row],[Talk Duration (AVG)]],"day","hr")</f>
        <v>7.4486111111111111</v>
      </c>
      <c r="V976" s="10">
        <f>Table1[[#This Row],[Required Workload Hours]]*60</f>
        <v>446.91666666666669</v>
      </c>
      <c r="W976" s="9">
        <v>1.39</v>
      </c>
      <c r="X976" s="9">
        <f t="shared" si="30"/>
        <v>1.1638454861111112</v>
      </c>
      <c r="Y976" s="5">
        <f t="shared" si="31"/>
        <v>2</v>
      </c>
      <c r="Z976" s="8">
        <f>ROUNDUP(Table1[[#This Row],[Actual Heacount]],0)</f>
        <v>2</v>
      </c>
      <c r="AA976" s="8"/>
      <c r="AB976" s="10"/>
      <c r="AC976" s="10"/>
      <c r="AD976" s="10"/>
      <c r="AE976" s="11">
        <v>127.56565517271009</v>
      </c>
      <c r="AF976" s="11">
        <v>342.95543824831992</v>
      </c>
      <c r="AG976" t="s">
        <v>34</v>
      </c>
    </row>
    <row r="977" spans="1:33">
      <c r="A977" s="2">
        <v>44856</v>
      </c>
      <c r="B977" s="5" t="s">
        <v>36</v>
      </c>
      <c r="C977" s="5">
        <f>WEEKDAY(Table1[[#This Row],[Date]])</f>
        <v>7</v>
      </c>
      <c r="D977" s="5">
        <f>MONTH(Table1[[#This Row],[Date]])</f>
        <v>10</v>
      </c>
      <c r="E977" s="5">
        <f>WEEKNUM(Table1[[#This Row],[Date]])</f>
        <v>43</v>
      </c>
      <c r="F977" s="5">
        <f>YEAR(Table1[[#This Row],[Date]])</f>
        <v>2022</v>
      </c>
      <c r="G977">
        <v>167</v>
      </c>
      <c r="L977" s="5">
        <v>160</v>
      </c>
      <c r="M977" s="6">
        <v>0.94120000000000004</v>
      </c>
      <c r="N977" s="5">
        <v>10</v>
      </c>
      <c r="O977" s="7">
        <v>3.2407407407407406E-4</v>
      </c>
      <c r="P977" s="7">
        <v>2.0949074074074073E-3</v>
      </c>
      <c r="Q977" s="7">
        <v>3.5879629629629629E-3</v>
      </c>
      <c r="R977" s="6">
        <v>0.62350000000000005</v>
      </c>
      <c r="S977" s="8">
        <f>CONVERT(Table1[[#This Row],[Talk Duration (AVG)]]*Table1[[#This Row],[Answered Calls]],"day","hr")</f>
        <v>8.0444444444444443</v>
      </c>
      <c r="T977" s="9">
        <f>Table1[[#This Row],[Actual Workload hours]]*60</f>
        <v>482.66666666666663</v>
      </c>
      <c r="U977" s="9">
        <f>CONVERT(Table1[[#This Row],[Actual]]*Table1[[#This Row],[Talk Duration (AVG)]],"day","hr")</f>
        <v>8.3963888888888896</v>
      </c>
      <c r="V977" s="10">
        <f>Table1[[#This Row],[Required Workload Hours]]*60</f>
        <v>503.78333333333336</v>
      </c>
      <c r="W977" s="9">
        <v>1.26</v>
      </c>
      <c r="X977" s="9">
        <f t="shared" si="30"/>
        <v>1.3119357638888889</v>
      </c>
      <c r="Y977" s="5">
        <f t="shared" si="31"/>
        <v>2</v>
      </c>
      <c r="Z977" s="8">
        <f>ROUNDUP(Table1[[#This Row],[Actual Heacount]],0)</f>
        <v>2</v>
      </c>
      <c r="AA977" s="8"/>
      <c r="AB977" s="10"/>
      <c r="AC977" s="10"/>
      <c r="AD977" s="10"/>
      <c r="AE977" s="11">
        <v>127.5962624602429</v>
      </c>
      <c r="AF977" s="11">
        <v>351.33528105534862</v>
      </c>
      <c r="AG977" t="s">
        <v>34</v>
      </c>
    </row>
    <row r="978" spans="1:33">
      <c r="A978" s="2">
        <v>44857</v>
      </c>
      <c r="B978" s="5" t="s">
        <v>37</v>
      </c>
      <c r="C978" s="5">
        <f>WEEKDAY(Table1[[#This Row],[Date]])</f>
        <v>1</v>
      </c>
      <c r="D978" s="5">
        <f>MONTH(Table1[[#This Row],[Date]])</f>
        <v>10</v>
      </c>
      <c r="E978" s="5">
        <f>WEEKNUM(Table1[[#This Row],[Date]])</f>
        <v>44</v>
      </c>
      <c r="F978" s="5">
        <f>YEAR(Table1[[#This Row],[Date]])</f>
        <v>2022</v>
      </c>
      <c r="G978">
        <v>27</v>
      </c>
      <c r="L978" s="5">
        <v>149</v>
      </c>
      <c r="M978" s="6">
        <v>0.92549999999999999</v>
      </c>
      <c r="N978" s="5">
        <v>12</v>
      </c>
      <c r="O978" s="7">
        <v>2.7777777777777778E-4</v>
      </c>
      <c r="P978" s="7">
        <v>2.1759259259259258E-3</v>
      </c>
      <c r="Q978" s="7">
        <v>1.7824074074074075E-3</v>
      </c>
      <c r="R978" s="6">
        <v>0.68130000000000002</v>
      </c>
      <c r="S978" s="8">
        <f>CONVERT(Table1[[#This Row],[Talk Duration (AVG)]]*Table1[[#This Row],[Answered Calls]],"day","hr")</f>
        <v>7.7811111111111098</v>
      </c>
      <c r="T978" s="9">
        <f>Table1[[#This Row],[Actual Workload hours]]*60</f>
        <v>466.86666666666656</v>
      </c>
      <c r="U978" s="9">
        <f>CONVERT(Table1[[#This Row],[Actual]]*Table1[[#This Row],[Talk Duration (AVG)]],"day","hr")</f>
        <v>1.41</v>
      </c>
      <c r="V978" s="10">
        <f>Table1[[#This Row],[Required Workload Hours]]*60</f>
        <v>84.6</v>
      </c>
      <c r="W978" s="9">
        <v>1.22</v>
      </c>
      <c r="X978" s="9">
        <f t="shared" si="30"/>
        <v>1</v>
      </c>
      <c r="Y978" s="5">
        <f t="shared" si="31"/>
        <v>2</v>
      </c>
      <c r="Z978" s="8">
        <f>ROUNDUP(Table1[[#This Row],[Actual Heacount]],0)</f>
        <v>2</v>
      </c>
      <c r="AA978" s="8"/>
      <c r="AB978" s="10"/>
      <c r="AC978" s="10"/>
      <c r="AD978" s="10"/>
      <c r="AE978" s="11">
        <v>48.349592945669819</v>
      </c>
      <c r="AF978" s="11">
        <v>267.73670114683938</v>
      </c>
      <c r="AG978" t="s">
        <v>34</v>
      </c>
    </row>
    <row r="979" spans="1:33">
      <c r="A979" s="2">
        <v>44858</v>
      </c>
      <c r="B979" s="5" t="s">
        <v>38</v>
      </c>
      <c r="C979" s="5">
        <f>WEEKDAY(Table1[[#This Row],[Date]])</f>
        <v>2</v>
      </c>
      <c r="D979" s="5">
        <f>MONTH(Table1[[#This Row],[Date]])</f>
        <v>10</v>
      </c>
      <c r="E979" s="5">
        <f>WEEKNUM(Table1[[#This Row],[Date]])</f>
        <v>44</v>
      </c>
      <c r="F979" s="5">
        <f>YEAR(Table1[[#This Row],[Date]])</f>
        <v>2022</v>
      </c>
      <c r="G979">
        <v>173</v>
      </c>
      <c r="L979" s="5">
        <v>35</v>
      </c>
      <c r="M979" s="6">
        <v>0.94589999999999996</v>
      </c>
      <c r="N979" s="5">
        <v>2</v>
      </c>
      <c r="O979" s="7">
        <v>1.3888888888888889E-4</v>
      </c>
      <c r="P979" s="7">
        <v>1.9444444444444444E-3</v>
      </c>
      <c r="Q979" s="7">
        <v>7.291666666666667E-4</v>
      </c>
      <c r="R979" s="6">
        <v>0.80559999999999998</v>
      </c>
      <c r="S979" s="8">
        <f>CONVERT(Table1[[#This Row],[Talk Duration (AVG)]]*Table1[[#This Row],[Answered Calls]],"day","hr")</f>
        <v>1.6333333333333331</v>
      </c>
      <c r="T979" s="9">
        <f>Table1[[#This Row],[Actual Workload hours]]*60</f>
        <v>97.999999999999986</v>
      </c>
      <c r="U979" s="9">
        <f>CONVERT(Table1[[#This Row],[Actual]]*Table1[[#This Row],[Talk Duration (AVG)]],"day","hr")</f>
        <v>8.0733333333333341</v>
      </c>
      <c r="V979" s="10">
        <f>Table1[[#This Row],[Required Workload Hours]]*60</f>
        <v>484.40000000000003</v>
      </c>
      <c r="W979" s="9">
        <v>1</v>
      </c>
      <c r="X979" s="9">
        <f t="shared" si="30"/>
        <v>1.2614583333333333</v>
      </c>
      <c r="Y979" s="5">
        <f t="shared" si="31"/>
        <v>1</v>
      </c>
      <c r="Z979" s="8">
        <f>ROUNDUP(Table1[[#This Row],[Actual Heacount]],0)</f>
        <v>1</v>
      </c>
      <c r="AA979" s="8"/>
      <c r="AB979" s="10"/>
      <c r="AC979" s="10"/>
      <c r="AD979" s="10"/>
      <c r="AE979" s="11">
        <v>145.7490562622439</v>
      </c>
      <c r="AF979" s="11">
        <v>362.72636913620022</v>
      </c>
      <c r="AG979" t="s">
        <v>34</v>
      </c>
    </row>
    <row r="980" spans="1:33">
      <c r="A980" s="2">
        <v>44859</v>
      </c>
      <c r="B980" s="5" t="s">
        <v>39</v>
      </c>
      <c r="C980" s="5">
        <f>WEEKDAY(Table1[[#This Row],[Date]])</f>
        <v>3</v>
      </c>
      <c r="D980" s="5">
        <f>MONTH(Table1[[#This Row],[Date]])</f>
        <v>10</v>
      </c>
      <c r="E980" s="5">
        <f>WEEKNUM(Table1[[#This Row],[Date]])</f>
        <v>44</v>
      </c>
      <c r="F980" s="5">
        <f>YEAR(Table1[[#This Row],[Date]])</f>
        <v>2022</v>
      </c>
      <c r="G980">
        <v>36</v>
      </c>
      <c r="L980" s="5">
        <v>169</v>
      </c>
      <c r="M980" s="6">
        <v>0.92349999999999999</v>
      </c>
      <c r="N980" s="5">
        <v>14</v>
      </c>
      <c r="O980" s="7">
        <v>3.7037037037037035E-4</v>
      </c>
      <c r="P980" s="7">
        <v>2.0601851851851853E-3</v>
      </c>
      <c r="Q980" s="7">
        <v>3.1018518518518517E-3</v>
      </c>
      <c r="R980" s="6">
        <v>0.59889999999999999</v>
      </c>
      <c r="S980" s="8">
        <f>CONVERT(Table1[[#This Row],[Talk Duration (AVG)]]*Table1[[#This Row],[Answered Calls]],"day","hr")</f>
        <v>8.3561111111111117</v>
      </c>
      <c r="T980" s="9">
        <f>Table1[[#This Row],[Actual Workload hours]]*60</f>
        <v>501.36666666666667</v>
      </c>
      <c r="U980" s="9">
        <f>CONVERT(Table1[[#This Row],[Actual]]*Table1[[#This Row],[Talk Duration (AVG)]],"day","hr")</f>
        <v>1.7800000000000002</v>
      </c>
      <c r="V980" s="10">
        <f>Table1[[#This Row],[Required Workload Hours]]*60</f>
        <v>106.80000000000001</v>
      </c>
      <c r="W980" s="9">
        <v>1.31</v>
      </c>
      <c r="X980" s="9">
        <f t="shared" si="30"/>
        <v>1</v>
      </c>
      <c r="Y980" s="5">
        <f t="shared" si="31"/>
        <v>2</v>
      </c>
      <c r="Z980" s="8">
        <f>ROUNDUP(Table1[[#This Row],[Actual Heacount]],0)</f>
        <v>2</v>
      </c>
      <c r="AA980" s="8"/>
      <c r="AB980" s="10"/>
      <c r="AC980" s="10"/>
      <c r="AD980" s="10"/>
      <c r="AE980" s="11">
        <v>130.72523896242359</v>
      </c>
      <c r="AF980" s="11">
        <v>350.75533891592858</v>
      </c>
      <c r="AG980" t="s">
        <v>34</v>
      </c>
    </row>
    <row r="981" spans="1:33">
      <c r="A981" s="2">
        <v>44860</v>
      </c>
      <c r="B981" s="5" t="s">
        <v>40</v>
      </c>
      <c r="C981" s="5">
        <f>WEEKDAY(Table1[[#This Row],[Date]])</f>
        <v>4</v>
      </c>
      <c r="D981" s="5">
        <f>MONTH(Table1[[#This Row],[Date]])</f>
        <v>10</v>
      </c>
      <c r="E981" s="5">
        <f>WEEKNUM(Table1[[#This Row],[Date]])</f>
        <v>44</v>
      </c>
      <c r="F981" s="5">
        <f>YEAR(Table1[[#This Row],[Date]])</f>
        <v>2022</v>
      </c>
      <c r="G981">
        <v>186</v>
      </c>
      <c r="L981" s="5">
        <v>206</v>
      </c>
      <c r="M981" s="6">
        <v>0.93210000000000004</v>
      </c>
      <c r="N981" s="5">
        <v>15</v>
      </c>
      <c r="O981" s="7">
        <v>3.4722222222222224E-4</v>
      </c>
      <c r="P981" s="7">
        <v>2.0138888888888888E-3</v>
      </c>
      <c r="Q981" s="7">
        <v>3.0439814814814813E-3</v>
      </c>
      <c r="R981" s="6">
        <v>0.58179999999999998</v>
      </c>
      <c r="S981" s="8">
        <f>CONVERT(Table1[[#This Row],[Talk Duration (AVG)]]*Table1[[#This Row],[Answered Calls]],"day","hr")</f>
        <v>9.956666666666667</v>
      </c>
      <c r="T981" s="9">
        <f>Table1[[#This Row],[Actual Workload hours]]*60</f>
        <v>597.4</v>
      </c>
      <c r="U981" s="9">
        <f>CONVERT(Table1[[#This Row],[Actual]]*Table1[[#This Row],[Talk Duration (AVG)]],"day","hr")</f>
        <v>8.99</v>
      </c>
      <c r="V981" s="10">
        <f>Table1[[#This Row],[Required Workload Hours]]*60</f>
        <v>539.4</v>
      </c>
      <c r="W981" s="9">
        <v>1.56</v>
      </c>
      <c r="X981" s="9">
        <f t="shared" si="30"/>
        <v>1.4046874999999999</v>
      </c>
      <c r="Y981" s="5">
        <f t="shared" si="31"/>
        <v>2</v>
      </c>
      <c r="Z981" s="8">
        <f>ROUNDUP(Table1[[#This Row],[Actual Heacount]],0)</f>
        <v>2</v>
      </c>
      <c r="AA981" s="8"/>
      <c r="AB981" s="10"/>
      <c r="AC981" s="10"/>
      <c r="AD981" s="10"/>
      <c r="AE981" s="11">
        <v>136.60091790993749</v>
      </c>
      <c r="AF981" s="11">
        <v>359.41101806485392</v>
      </c>
      <c r="AG981" t="s">
        <v>34</v>
      </c>
    </row>
    <row r="982" spans="1:33">
      <c r="A982" s="2">
        <v>44861</v>
      </c>
      <c r="B982" s="5" t="s">
        <v>33</v>
      </c>
      <c r="C982" s="5">
        <f>WEEKDAY(Table1[[#This Row],[Date]])</f>
        <v>5</v>
      </c>
      <c r="D982" s="5">
        <f>MONTH(Table1[[#This Row],[Date]])</f>
        <v>10</v>
      </c>
      <c r="E982" s="5">
        <f>WEEKNUM(Table1[[#This Row],[Date]])</f>
        <v>44</v>
      </c>
      <c r="F982" s="5">
        <f>YEAR(Table1[[#This Row],[Date]])</f>
        <v>2022</v>
      </c>
      <c r="G982">
        <v>160</v>
      </c>
      <c r="L982" s="5">
        <v>193</v>
      </c>
      <c r="M982" s="6">
        <v>0.95540000000000003</v>
      </c>
      <c r="N982" s="5">
        <v>9</v>
      </c>
      <c r="O982" s="7">
        <v>2.0833333333333335E-4</v>
      </c>
      <c r="P982" s="7">
        <v>2.0023148148148148E-3</v>
      </c>
      <c r="Q982" s="7">
        <v>1.9444444444444444E-3</v>
      </c>
      <c r="R982" s="6">
        <v>0.75380000000000003</v>
      </c>
      <c r="S982" s="8">
        <f>CONVERT(Table1[[#This Row],[Talk Duration (AVG)]]*Table1[[#This Row],[Answered Calls]],"day","hr")</f>
        <v>9.2747222222222216</v>
      </c>
      <c r="T982" s="9">
        <f>Table1[[#This Row],[Actual Workload hours]]*60</f>
        <v>556.48333333333335</v>
      </c>
      <c r="U982" s="9">
        <f>CONVERT(Table1[[#This Row],[Actual]]*Table1[[#This Row],[Talk Duration (AVG)]],"day","hr")</f>
        <v>7.6888888888888891</v>
      </c>
      <c r="V982" s="10">
        <f>Table1[[#This Row],[Required Workload Hours]]*60</f>
        <v>461.33333333333337</v>
      </c>
      <c r="W982" s="9">
        <v>1.45</v>
      </c>
      <c r="X982" s="9">
        <f t="shared" si="30"/>
        <v>1.2013888888888891</v>
      </c>
      <c r="Y982" s="5">
        <f t="shared" si="31"/>
        <v>2</v>
      </c>
      <c r="Z982" s="8">
        <f>ROUNDUP(Table1[[#This Row],[Actual Heacount]],0)</f>
        <v>2</v>
      </c>
      <c r="AA982" s="8"/>
      <c r="AB982" s="10"/>
      <c r="AC982" s="10"/>
      <c r="AD982" s="10"/>
      <c r="AE982" s="11">
        <v>137.76379056939729</v>
      </c>
      <c r="AF982" s="11">
        <v>350.3175414610925</v>
      </c>
      <c r="AG982" t="s">
        <v>34</v>
      </c>
    </row>
    <row r="983" spans="1:33">
      <c r="A983" s="2">
        <v>44862</v>
      </c>
      <c r="B983" s="5" t="s">
        <v>35</v>
      </c>
      <c r="C983" s="5">
        <f>WEEKDAY(Table1[[#This Row],[Date]])</f>
        <v>6</v>
      </c>
      <c r="D983" s="5">
        <f>MONTH(Table1[[#This Row],[Date]])</f>
        <v>10</v>
      </c>
      <c r="E983" s="5">
        <f>WEEKNUM(Table1[[#This Row],[Date]])</f>
        <v>44</v>
      </c>
      <c r="F983" s="5">
        <f>YEAR(Table1[[#This Row],[Date]])</f>
        <v>2022</v>
      </c>
      <c r="G983">
        <v>233</v>
      </c>
      <c r="L983" s="5">
        <v>163</v>
      </c>
      <c r="M983" s="6">
        <v>0.84460000000000002</v>
      </c>
      <c r="N983" s="5">
        <v>30</v>
      </c>
      <c r="O983" s="7">
        <v>4.1666666666666669E-4</v>
      </c>
      <c r="P983" s="7">
        <v>2.2222222222222222E-3</v>
      </c>
      <c r="Q983" s="7">
        <v>3.6111111111111109E-3</v>
      </c>
      <c r="R983" s="6">
        <v>0.53400000000000003</v>
      </c>
      <c r="S983" s="8">
        <f>CONVERT(Table1[[#This Row],[Talk Duration (AVG)]]*Table1[[#This Row],[Answered Calls]],"day","hr")</f>
        <v>8.6933333333333334</v>
      </c>
      <c r="T983" s="9">
        <f>Table1[[#This Row],[Actual Workload hours]]*60</f>
        <v>521.6</v>
      </c>
      <c r="U983" s="9">
        <f>CONVERT(Table1[[#This Row],[Actual]]*Table1[[#This Row],[Talk Duration (AVG)]],"day","hr")</f>
        <v>12.426666666666666</v>
      </c>
      <c r="V983" s="10">
        <f>Table1[[#This Row],[Required Workload Hours]]*60</f>
        <v>745.59999999999991</v>
      </c>
      <c r="W983" s="9">
        <v>1.36</v>
      </c>
      <c r="X983" s="9">
        <f t="shared" si="30"/>
        <v>1.9416666666666664</v>
      </c>
      <c r="Y983" s="5">
        <f t="shared" si="31"/>
        <v>2</v>
      </c>
      <c r="Z983" s="8">
        <f>ROUNDUP(Table1[[#This Row],[Actual Heacount]],0)</f>
        <v>2</v>
      </c>
      <c r="AA983" s="8"/>
      <c r="AB983" s="10"/>
      <c r="AC983" s="10"/>
      <c r="AD983" s="10"/>
      <c r="AE983" s="11">
        <v>126.0538732826369</v>
      </c>
      <c r="AF983" s="11">
        <v>345.98202747448443</v>
      </c>
      <c r="AG983" t="s">
        <v>34</v>
      </c>
    </row>
    <row r="984" spans="1:33">
      <c r="A984" s="2">
        <v>44863</v>
      </c>
      <c r="B984" s="5" t="s">
        <v>36</v>
      </c>
      <c r="C984" s="5">
        <f>WEEKDAY(Table1[[#This Row],[Date]])</f>
        <v>7</v>
      </c>
      <c r="D984" s="5">
        <f>MONTH(Table1[[#This Row],[Date]])</f>
        <v>10</v>
      </c>
      <c r="E984" s="5">
        <f>WEEKNUM(Table1[[#This Row],[Date]])</f>
        <v>44</v>
      </c>
      <c r="F984" s="5">
        <f>YEAR(Table1[[#This Row],[Date]])</f>
        <v>2022</v>
      </c>
      <c r="G984">
        <v>162</v>
      </c>
      <c r="L984" s="5">
        <v>196</v>
      </c>
      <c r="M984" s="6">
        <v>0.97509999999999997</v>
      </c>
      <c r="N984" s="5">
        <v>5</v>
      </c>
      <c r="O984" s="7">
        <v>1.1574074074074075E-4</v>
      </c>
      <c r="P984" s="7">
        <v>1.8865740740740742E-3</v>
      </c>
      <c r="Q984" s="7">
        <v>1.7592592592592592E-3</v>
      </c>
      <c r="R984" s="6">
        <v>0.89</v>
      </c>
      <c r="S984" s="8">
        <f>CONVERT(Table1[[#This Row],[Talk Duration (AVG)]]*Table1[[#This Row],[Answered Calls]],"day","hr")</f>
        <v>8.8744444444444461</v>
      </c>
      <c r="T984" s="9">
        <f>Table1[[#This Row],[Actual Workload hours]]*60</f>
        <v>532.46666666666681</v>
      </c>
      <c r="U984" s="9">
        <f>CONVERT(Table1[[#This Row],[Actual]]*Table1[[#This Row],[Talk Duration (AVG)]],"day","hr")</f>
        <v>7.3350000000000009</v>
      </c>
      <c r="V984" s="10">
        <f>Table1[[#This Row],[Required Workload Hours]]*60</f>
        <v>440.1</v>
      </c>
      <c r="W984" s="9">
        <v>1.39</v>
      </c>
      <c r="X984" s="9">
        <f t="shared" si="30"/>
        <v>1.1460937500000001</v>
      </c>
      <c r="Y984" s="5">
        <f t="shared" si="31"/>
        <v>2</v>
      </c>
      <c r="Z984" s="8">
        <f>ROUNDUP(Table1[[#This Row],[Actual Heacount]],0)</f>
        <v>2</v>
      </c>
      <c r="AA984" s="8"/>
      <c r="AB984" s="10"/>
      <c r="AC984" s="10"/>
      <c r="AD984" s="10"/>
      <c r="AE984" s="11">
        <v>130.08795475919041</v>
      </c>
      <c r="AF984" s="11">
        <v>353.17373129243151</v>
      </c>
      <c r="AG984" t="s">
        <v>34</v>
      </c>
    </row>
    <row r="985" spans="1:33">
      <c r="A985" s="2">
        <v>44864</v>
      </c>
      <c r="B985" s="5" t="s">
        <v>37</v>
      </c>
      <c r="C985" s="5">
        <f>WEEKDAY(Table1[[#This Row],[Date]])</f>
        <v>1</v>
      </c>
      <c r="D985" s="5">
        <f>MONTH(Table1[[#This Row],[Date]])</f>
        <v>10</v>
      </c>
      <c r="E985" s="5">
        <f>WEEKNUM(Table1[[#This Row],[Date]])</f>
        <v>45</v>
      </c>
      <c r="F985" s="5">
        <f>YEAR(Table1[[#This Row],[Date]])</f>
        <v>2022</v>
      </c>
      <c r="G985">
        <v>27</v>
      </c>
      <c r="L985" s="5">
        <v>180</v>
      </c>
      <c r="M985" s="6">
        <v>0.93259999999999998</v>
      </c>
      <c r="N985" s="5">
        <v>13</v>
      </c>
      <c r="O985" s="7">
        <v>2.4305555555555555E-4</v>
      </c>
      <c r="P985" s="7">
        <v>1.8749999999999999E-3</v>
      </c>
      <c r="Q985" s="7">
        <v>2.2800925925925927E-3</v>
      </c>
      <c r="R985" s="6">
        <v>0.73160000000000003</v>
      </c>
      <c r="S985" s="8">
        <f>CONVERT(Table1[[#This Row],[Talk Duration (AVG)]]*Table1[[#This Row],[Answered Calls]],"day","hr")</f>
        <v>8.1</v>
      </c>
      <c r="T985" s="9">
        <f>Table1[[#This Row],[Actual Workload hours]]*60</f>
        <v>486</v>
      </c>
      <c r="U985" s="9">
        <f>CONVERT(Table1[[#This Row],[Actual]]*Table1[[#This Row],[Talk Duration (AVG)]],"day","hr")</f>
        <v>1.2150000000000001</v>
      </c>
      <c r="V985" s="10">
        <f>Table1[[#This Row],[Required Workload Hours]]*60</f>
        <v>72.900000000000006</v>
      </c>
      <c r="W985" s="9">
        <v>1.27</v>
      </c>
      <c r="X985" s="9">
        <f t="shared" si="30"/>
        <v>1</v>
      </c>
      <c r="Y985" s="5">
        <f t="shared" si="31"/>
        <v>2</v>
      </c>
      <c r="Z985" s="8">
        <f>ROUNDUP(Table1[[#This Row],[Actual Heacount]],0)</f>
        <v>2</v>
      </c>
      <c r="AA985" s="8"/>
      <c r="AB985" s="10"/>
      <c r="AC985" s="10"/>
      <c r="AD985" s="10"/>
      <c r="AE985" s="11">
        <v>32.782368282073811</v>
      </c>
      <c r="AF985" s="11">
        <v>261.43740314441237</v>
      </c>
      <c r="AG985" t="s">
        <v>34</v>
      </c>
    </row>
    <row r="986" spans="1:33">
      <c r="A986" s="2">
        <v>44865</v>
      </c>
      <c r="B986" s="5" t="s">
        <v>38</v>
      </c>
      <c r="C986" s="5">
        <f>WEEKDAY(Table1[[#This Row],[Date]])</f>
        <v>2</v>
      </c>
      <c r="D986" s="5">
        <f>MONTH(Table1[[#This Row],[Date]])</f>
        <v>10</v>
      </c>
      <c r="E986" s="5">
        <f>WEEKNUM(Table1[[#This Row],[Date]])</f>
        <v>45</v>
      </c>
      <c r="F986" s="5">
        <f>YEAR(Table1[[#This Row],[Date]])</f>
        <v>2022</v>
      </c>
      <c r="G986">
        <v>168</v>
      </c>
      <c r="L986" s="5">
        <v>25</v>
      </c>
      <c r="M986" s="6">
        <v>0.92589999999999995</v>
      </c>
      <c r="N986" s="5">
        <v>2</v>
      </c>
      <c r="O986" s="7">
        <v>2.8935185185185184E-4</v>
      </c>
      <c r="P986" s="7">
        <v>1.4236111111111112E-3</v>
      </c>
      <c r="Q986" s="7">
        <v>1.4699074074074074E-3</v>
      </c>
      <c r="R986" s="6">
        <v>0.66669999999999996</v>
      </c>
      <c r="S986" s="8">
        <f>CONVERT(Table1[[#This Row],[Talk Duration (AVG)]]*Table1[[#This Row],[Answered Calls]],"day","hr")</f>
        <v>0.85416666666666663</v>
      </c>
      <c r="T986" s="9">
        <f>Table1[[#This Row],[Actual Workload hours]]*60</f>
        <v>51.25</v>
      </c>
      <c r="U986" s="9">
        <f>CONVERT(Table1[[#This Row],[Actual]]*Table1[[#This Row],[Talk Duration (AVG)]],"day","hr")</f>
        <v>5.74</v>
      </c>
      <c r="V986" s="10">
        <f>Table1[[#This Row],[Required Workload Hours]]*60</f>
        <v>344.40000000000003</v>
      </c>
      <c r="W986" s="9">
        <v>1</v>
      </c>
      <c r="X986" s="9">
        <f t="shared" si="30"/>
        <v>1</v>
      </c>
      <c r="Y986" s="5">
        <f t="shared" si="31"/>
        <v>1</v>
      </c>
      <c r="Z986" s="8">
        <f>ROUNDUP(Table1[[#This Row],[Actual Heacount]],0)</f>
        <v>1</v>
      </c>
      <c r="AA986" s="8"/>
      <c r="AB986" s="10"/>
      <c r="AC986" s="10"/>
      <c r="AD986" s="10"/>
      <c r="AE986" s="11">
        <v>135.8347041121107</v>
      </c>
      <c r="AF986" s="11">
        <v>355.69035303578681</v>
      </c>
      <c r="AG986" t="s">
        <v>34</v>
      </c>
    </row>
    <row r="987" spans="1:33">
      <c r="A987" s="2">
        <v>44866</v>
      </c>
      <c r="B987" s="5" t="s">
        <v>39</v>
      </c>
      <c r="C987" s="5">
        <f>WEEKDAY(Table1[[#This Row],[Date]])</f>
        <v>3</v>
      </c>
      <c r="D987" s="5">
        <f>MONTH(Table1[[#This Row],[Date]])</f>
        <v>11</v>
      </c>
      <c r="E987" s="5">
        <f>WEEKNUM(Table1[[#This Row],[Date]])</f>
        <v>45</v>
      </c>
      <c r="F987" s="5">
        <f>YEAR(Table1[[#This Row],[Date]])</f>
        <v>2022</v>
      </c>
      <c r="G987">
        <v>198</v>
      </c>
      <c r="L987" s="5">
        <v>206</v>
      </c>
      <c r="M987" s="6">
        <v>0.90749999999999997</v>
      </c>
      <c r="N987" s="5">
        <v>21</v>
      </c>
      <c r="O987" s="7">
        <v>3.3564814814814812E-4</v>
      </c>
      <c r="P987" s="7">
        <v>2.0949074074074073E-3</v>
      </c>
      <c r="Q987" s="7">
        <v>3.0787037037037037E-3</v>
      </c>
      <c r="R987" s="6">
        <v>0.66669999999999996</v>
      </c>
      <c r="S987" s="8">
        <f>CONVERT(Table1[[#This Row],[Talk Duration (AVG)]]*Table1[[#This Row],[Answered Calls]],"day","hr")</f>
        <v>10.357222222222223</v>
      </c>
      <c r="T987" s="9">
        <f>Table1[[#This Row],[Actual Workload hours]]*60</f>
        <v>621.43333333333339</v>
      </c>
      <c r="U987" s="9">
        <f>CONVERT(Table1[[#This Row],[Actual]]*Table1[[#This Row],[Talk Duration (AVG)]],"day","hr")</f>
        <v>9.9550000000000001</v>
      </c>
      <c r="V987" s="10">
        <f>Table1[[#This Row],[Required Workload Hours]]*60</f>
        <v>597.29999999999995</v>
      </c>
      <c r="W987" s="9">
        <v>1.62</v>
      </c>
      <c r="X987" s="9">
        <f t="shared" si="30"/>
        <v>1.55546875</v>
      </c>
      <c r="Y987" s="5">
        <f t="shared" si="31"/>
        <v>2</v>
      </c>
      <c r="Z987" s="8">
        <f>ROUNDUP(Table1[[#This Row],[Actual Heacount]],0)</f>
        <v>2</v>
      </c>
      <c r="AA987" s="8"/>
      <c r="AB987" s="10"/>
      <c r="AC987" s="10"/>
      <c r="AD987" s="10"/>
      <c r="AE987" s="11">
        <v>121.99842511435141</v>
      </c>
      <c r="AF987" s="11">
        <v>339.31047884907179</v>
      </c>
      <c r="AG987" t="s">
        <v>34</v>
      </c>
    </row>
    <row r="988" spans="1:33">
      <c r="A988" s="2">
        <v>44867</v>
      </c>
      <c r="B988" s="5" t="s">
        <v>40</v>
      </c>
      <c r="C988" s="5">
        <f>WEEKDAY(Table1[[#This Row],[Date]])</f>
        <v>4</v>
      </c>
      <c r="D988" s="5">
        <f>MONTH(Table1[[#This Row],[Date]])</f>
        <v>11</v>
      </c>
      <c r="E988" s="5">
        <f>WEEKNUM(Table1[[#This Row],[Date]])</f>
        <v>45</v>
      </c>
      <c r="F988" s="5">
        <f>YEAR(Table1[[#This Row],[Date]])</f>
        <v>2022</v>
      </c>
      <c r="G988">
        <v>287</v>
      </c>
      <c r="L988" s="5">
        <v>199</v>
      </c>
      <c r="M988" s="6">
        <v>0.88439999999999996</v>
      </c>
      <c r="N988" s="5">
        <v>26</v>
      </c>
      <c r="O988" s="7">
        <v>4.0509259259259258E-4</v>
      </c>
      <c r="P988" s="7">
        <v>2.0601851851851853E-3</v>
      </c>
      <c r="Q988" s="7">
        <v>3.6921296296296298E-3</v>
      </c>
      <c r="R988" s="6">
        <v>0.52680000000000005</v>
      </c>
      <c r="S988" s="8">
        <f>CONVERT(Table1[[#This Row],[Talk Duration (AVG)]]*Table1[[#This Row],[Answered Calls]],"day","hr")</f>
        <v>9.839444444444446</v>
      </c>
      <c r="T988" s="9">
        <f>Table1[[#This Row],[Actual Workload hours]]*60</f>
        <v>590.36666666666679</v>
      </c>
      <c r="U988" s="9">
        <f>CONVERT(Table1[[#This Row],[Actual]]*Table1[[#This Row],[Talk Duration (AVG)]],"day","hr")</f>
        <v>14.190555555555555</v>
      </c>
      <c r="V988" s="10">
        <f>Table1[[#This Row],[Required Workload Hours]]*60</f>
        <v>851.43333333333328</v>
      </c>
      <c r="W988" s="9">
        <v>1.54</v>
      </c>
      <c r="X988" s="9">
        <f t="shared" si="30"/>
        <v>2.2172743055555553</v>
      </c>
      <c r="Y988" s="5">
        <f t="shared" si="31"/>
        <v>2</v>
      </c>
      <c r="Z988" s="8">
        <f>ROUNDUP(Table1[[#This Row],[Actual Heacount]],0)</f>
        <v>2</v>
      </c>
      <c r="AA988" s="8"/>
      <c r="AB988" s="10"/>
      <c r="AC988" s="10"/>
      <c r="AD988" s="10"/>
      <c r="AE988" s="11">
        <v>124.75964647664441</v>
      </c>
      <c r="AF988" s="11">
        <v>349.561167404625</v>
      </c>
      <c r="AG988" t="s">
        <v>34</v>
      </c>
    </row>
    <row r="989" spans="1:33">
      <c r="A989" s="2">
        <v>44869</v>
      </c>
      <c r="B989" s="5" t="s">
        <v>33</v>
      </c>
      <c r="C989" s="5">
        <f>WEEKDAY(Table1[[#This Row],[Date]])</f>
        <v>6</v>
      </c>
      <c r="D989" s="5">
        <f>MONTH(Table1[[#This Row],[Date]])</f>
        <v>11</v>
      </c>
      <c r="E989" s="5">
        <f>WEEKNUM(Table1[[#This Row],[Date]])</f>
        <v>45</v>
      </c>
      <c r="F989" s="5">
        <f>YEAR(Table1[[#This Row],[Date]])</f>
        <v>2022</v>
      </c>
      <c r="G989">
        <v>402</v>
      </c>
      <c r="L989" s="5">
        <v>193</v>
      </c>
      <c r="M989" s="6">
        <v>0.94610000000000005</v>
      </c>
      <c r="N989" s="5">
        <v>11</v>
      </c>
      <c r="O989" s="7">
        <v>3.8194444444444446E-4</v>
      </c>
      <c r="P989" s="7">
        <v>1.8402777777777777E-3</v>
      </c>
      <c r="Q989" s="7">
        <v>3.7152777777777778E-3</v>
      </c>
      <c r="R989" s="6">
        <v>0.58819999999999995</v>
      </c>
      <c r="S989" s="8">
        <f>CONVERT(Table1[[#This Row],[Talk Duration (AVG)]]*Table1[[#This Row],[Answered Calls]],"day","hr")</f>
        <v>8.524166666666666</v>
      </c>
      <c r="T989" s="9">
        <f>Table1[[#This Row],[Actual Workload hours]]*60</f>
        <v>511.44999999999993</v>
      </c>
      <c r="U989" s="9">
        <f>CONVERT(Table1[[#This Row],[Actual]]*Table1[[#This Row],[Talk Duration (AVG)]],"day","hr")</f>
        <v>17.754999999999999</v>
      </c>
      <c r="V989" s="10">
        <f>Table1[[#This Row],[Required Workload Hours]]*60</f>
        <v>1065.3</v>
      </c>
      <c r="W989" s="9">
        <v>1.33</v>
      </c>
      <c r="X989" s="9">
        <f t="shared" si="30"/>
        <v>2.7742187499999997</v>
      </c>
      <c r="Y989" s="5">
        <f t="shared" si="31"/>
        <v>2</v>
      </c>
      <c r="Z989" s="8">
        <f>ROUNDUP(Table1[[#This Row],[Actual Heacount]],0)</f>
        <v>2</v>
      </c>
      <c r="AA989" s="8"/>
      <c r="AB989" s="10"/>
      <c r="AC989" s="10"/>
      <c r="AD989" s="10"/>
      <c r="AE989" s="11">
        <v>107.5724169130136</v>
      </c>
      <c r="AF989" s="11">
        <v>329.03502710084069</v>
      </c>
      <c r="AG989" t="s">
        <v>34</v>
      </c>
    </row>
    <row r="990" spans="1:33">
      <c r="A990" s="2">
        <v>44870</v>
      </c>
      <c r="B990" s="5" t="s">
        <v>35</v>
      </c>
      <c r="C990" s="5">
        <f>WEEKDAY(Table1[[#This Row],[Date]])</f>
        <v>7</v>
      </c>
      <c r="D990" s="5">
        <f>MONTH(Table1[[#This Row],[Date]])</f>
        <v>11</v>
      </c>
      <c r="E990" s="5">
        <f>WEEKNUM(Table1[[#This Row],[Date]])</f>
        <v>45</v>
      </c>
      <c r="F990" s="5">
        <f>YEAR(Table1[[#This Row],[Date]])</f>
        <v>2022</v>
      </c>
      <c r="G990">
        <v>308</v>
      </c>
      <c r="L990" s="5">
        <v>194</v>
      </c>
      <c r="M990" s="6">
        <v>0.87780000000000002</v>
      </c>
      <c r="N990" s="5">
        <v>27</v>
      </c>
      <c r="O990" s="7">
        <v>3.3564814814814812E-4</v>
      </c>
      <c r="P990" s="7">
        <v>1.9444444444444444E-3</v>
      </c>
      <c r="Q990" s="7">
        <v>3.5300925925925925E-3</v>
      </c>
      <c r="R990" s="6">
        <v>0.60729999999999995</v>
      </c>
      <c r="S990" s="8">
        <f>CONVERT(Table1[[#This Row],[Talk Duration (AVG)]]*Table1[[#This Row],[Answered Calls]],"day","hr")</f>
        <v>9.0533333333333328</v>
      </c>
      <c r="T990" s="9">
        <f>Table1[[#This Row],[Actual Workload hours]]*60</f>
        <v>543.19999999999993</v>
      </c>
      <c r="U990" s="9">
        <f>CONVERT(Table1[[#This Row],[Actual]]*Table1[[#This Row],[Talk Duration (AVG)]],"day","hr")</f>
        <v>14.373333333333333</v>
      </c>
      <c r="V990" s="10">
        <f>Table1[[#This Row],[Required Workload Hours]]*60</f>
        <v>862.4</v>
      </c>
      <c r="W990" s="9">
        <v>1.41</v>
      </c>
      <c r="X990" s="9">
        <f t="shared" si="30"/>
        <v>2.2458333333333331</v>
      </c>
      <c r="Y990" s="5">
        <f t="shared" si="31"/>
        <v>2</v>
      </c>
      <c r="Z990" s="8">
        <f>ROUNDUP(Table1[[#This Row],[Actual Heacount]],0)</f>
        <v>2</v>
      </c>
      <c r="AA990" s="8"/>
      <c r="AB990" s="10"/>
      <c r="AC990" s="10"/>
      <c r="AD990" s="10"/>
      <c r="AE990" s="11">
        <v>111.2857160251427</v>
      </c>
      <c r="AF990" s="11">
        <v>337.59304895652372</v>
      </c>
      <c r="AG990" t="s">
        <v>34</v>
      </c>
    </row>
    <row r="991" spans="1:33">
      <c r="A991" s="2">
        <v>44871</v>
      </c>
      <c r="B991" s="5" t="s">
        <v>36</v>
      </c>
      <c r="C991" s="5">
        <f>WEEKDAY(Table1[[#This Row],[Date]])</f>
        <v>1</v>
      </c>
      <c r="D991" s="5">
        <f>MONTH(Table1[[#This Row],[Date]])</f>
        <v>11</v>
      </c>
      <c r="E991" s="5">
        <f>WEEKNUM(Table1[[#This Row],[Date]])</f>
        <v>46</v>
      </c>
      <c r="F991" s="5">
        <f>YEAR(Table1[[#This Row],[Date]])</f>
        <v>2022</v>
      </c>
      <c r="G991">
        <v>264</v>
      </c>
      <c r="L991" s="5">
        <v>154</v>
      </c>
      <c r="M991" s="6">
        <v>0.89529999999999998</v>
      </c>
      <c r="N991" s="5">
        <v>18</v>
      </c>
      <c r="O991" s="7">
        <v>3.9351851851851852E-4</v>
      </c>
      <c r="P991" s="7">
        <v>2.1875000000000002E-3</v>
      </c>
      <c r="Q991" s="7">
        <v>2.1527777777777778E-3</v>
      </c>
      <c r="R991" s="6">
        <v>0.54169999999999996</v>
      </c>
      <c r="S991" s="8">
        <f>CONVERT(Table1[[#This Row],[Talk Duration (AVG)]]*Table1[[#This Row],[Answered Calls]],"day","hr")</f>
        <v>8.0850000000000009</v>
      </c>
      <c r="T991" s="9">
        <f>Table1[[#This Row],[Actual Workload hours]]*60</f>
        <v>485.1</v>
      </c>
      <c r="U991" s="9">
        <f>CONVERT(Table1[[#This Row],[Actual]]*Table1[[#This Row],[Talk Duration (AVG)]],"day","hr")</f>
        <v>13.86</v>
      </c>
      <c r="V991" s="10">
        <f>Table1[[#This Row],[Required Workload Hours]]*60</f>
        <v>831.59999999999991</v>
      </c>
      <c r="W991" s="9">
        <v>1.26</v>
      </c>
      <c r="X991" s="9">
        <f t="shared" si="30"/>
        <v>2.1656249999999999</v>
      </c>
      <c r="Y991" s="5">
        <f t="shared" si="31"/>
        <v>2</v>
      </c>
      <c r="Z991" s="8">
        <f>ROUNDUP(Table1[[#This Row],[Actual Heacount]],0)</f>
        <v>2</v>
      </c>
      <c r="AA991" s="8"/>
      <c r="AB991" s="10"/>
      <c r="AC991" s="10"/>
      <c r="AD991" s="10"/>
      <c r="AE991" s="11">
        <v>29.570415035148709</v>
      </c>
      <c r="AF991" s="11">
        <v>245.62929437720521</v>
      </c>
      <c r="AG991" t="s">
        <v>34</v>
      </c>
    </row>
    <row r="992" spans="1:33">
      <c r="A992" s="2">
        <v>44872</v>
      </c>
      <c r="B992" s="5" t="s">
        <v>37</v>
      </c>
      <c r="C992" s="5">
        <f>WEEKDAY(Table1[[#This Row],[Date]])</f>
        <v>2</v>
      </c>
      <c r="D992" s="5">
        <f>MONTH(Table1[[#This Row],[Date]])</f>
        <v>11</v>
      </c>
      <c r="E992" s="5">
        <f>WEEKNUM(Table1[[#This Row],[Date]])</f>
        <v>46</v>
      </c>
      <c r="F992" s="5">
        <f>YEAR(Table1[[#This Row],[Date]])</f>
        <v>2022</v>
      </c>
      <c r="G992">
        <v>357</v>
      </c>
      <c r="L992" s="5">
        <v>150</v>
      </c>
      <c r="M992" s="6">
        <v>0.93169999999999997</v>
      </c>
      <c r="N992" s="5">
        <v>11</v>
      </c>
      <c r="O992" s="7">
        <v>4.1666666666666669E-4</v>
      </c>
      <c r="P992" s="7">
        <v>1.9791666666666668E-3</v>
      </c>
      <c r="Q992" s="7">
        <v>4.0856481481481481E-3</v>
      </c>
      <c r="R992" s="6">
        <v>0.52800000000000002</v>
      </c>
      <c r="S992" s="8">
        <f>CONVERT(Table1[[#This Row],[Talk Duration (AVG)]]*Table1[[#This Row],[Answered Calls]],"day","hr")</f>
        <v>7.125</v>
      </c>
      <c r="T992" s="9">
        <f>Table1[[#This Row],[Actual Workload hours]]*60</f>
        <v>427.5</v>
      </c>
      <c r="U992" s="9">
        <f>CONVERT(Table1[[#This Row],[Actual]]*Table1[[#This Row],[Talk Duration (AVG)]],"day","hr")</f>
        <v>16.957500000000003</v>
      </c>
      <c r="V992" s="10">
        <f>Table1[[#This Row],[Required Workload Hours]]*60</f>
        <v>1017.4500000000002</v>
      </c>
      <c r="W992" s="9">
        <v>1.1100000000000001</v>
      </c>
      <c r="X992" s="9">
        <f t="shared" si="30"/>
        <v>2.6496093750000003</v>
      </c>
      <c r="Y992" s="5">
        <f t="shared" si="31"/>
        <v>2</v>
      </c>
      <c r="Z992" s="8">
        <f>ROUNDUP(Table1[[#This Row],[Actual Heacount]],0)</f>
        <v>2</v>
      </c>
      <c r="AA992" s="8"/>
      <c r="AB992" s="10"/>
      <c r="AC992" s="10"/>
      <c r="AD992" s="10"/>
      <c r="AE992" s="11">
        <v>121.2724772481297</v>
      </c>
      <c r="AF992" s="11">
        <v>350.21939070355671</v>
      </c>
      <c r="AG992" t="s">
        <v>34</v>
      </c>
    </row>
    <row r="993" spans="1:33">
      <c r="A993" s="2">
        <v>44873</v>
      </c>
      <c r="B993" s="5" t="s">
        <v>38</v>
      </c>
      <c r="C993" s="5">
        <f>WEEKDAY(Table1[[#This Row],[Date]])</f>
        <v>3</v>
      </c>
      <c r="D993" s="5">
        <f>MONTH(Table1[[#This Row],[Date]])</f>
        <v>11</v>
      </c>
      <c r="E993" s="5">
        <f>WEEKNUM(Table1[[#This Row],[Date]])</f>
        <v>46</v>
      </c>
      <c r="F993" s="5">
        <f>YEAR(Table1[[#This Row],[Date]])</f>
        <v>2022</v>
      </c>
      <c r="G993">
        <v>265</v>
      </c>
      <c r="L993" s="5">
        <v>14</v>
      </c>
      <c r="M993" s="6">
        <v>0.82350000000000001</v>
      </c>
      <c r="N993" s="5">
        <v>3</v>
      </c>
      <c r="O993" s="7">
        <v>5.4398148148148144E-4</v>
      </c>
      <c r="P993" s="7">
        <v>2.1759259259259258E-3</v>
      </c>
      <c r="Q993" s="7">
        <v>1.9907407407407408E-3</v>
      </c>
      <c r="R993" s="6">
        <v>0.4118</v>
      </c>
      <c r="S993" s="8">
        <f>CONVERT(Table1[[#This Row],[Talk Duration (AVG)]]*Table1[[#This Row],[Answered Calls]],"day","hr")</f>
        <v>0.73111111111111116</v>
      </c>
      <c r="T993" s="9">
        <f>Table1[[#This Row],[Actual Workload hours]]*60</f>
        <v>43.866666666666667</v>
      </c>
      <c r="U993" s="9">
        <f>CONVERT(Table1[[#This Row],[Actual]]*Table1[[#This Row],[Talk Duration (AVG)]],"day","hr")</f>
        <v>13.838888888888887</v>
      </c>
      <c r="V993" s="10">
        <f>Table1[[#This Row],[Required Workload Hours]]*60</f>
        <v>830.33333333333326</v>
      </c>
      <c r="W993" s="9">
        <v>1</v>
      </c>
      <c r="X993" s="9">
        <f t="shared" si="30"/>
        <v>2.1623263888888888</v>
      </c>
      <c r="Y993" s="5">
        <f t="shared" si="31"/>
        <v>1</v>
      </c>
      <c r="Z993" s="8">
        <f>ROUNDUP(Table1[[#This Row],[Actual Heacount]],0)</f>
        <v>1</v>
      </c>
      <c r="AA993" s="8"/>
      <c r="AB993" s="10"/>
      <c r="AC993" s="10"/>
      <c r="AD993" s="10"/>
      <c r="AE993" s="11">
        <v>109.6981058349523</v>
      </c>
      <c r="AF993" s="11">
        <v>322.22096975149219</v>
      </c>
      <c r="AG993" t="s">
        <v>34</v>
      </c>
    </row>
    <row r="994" spans="1:33">
      <c r="A994" s="2">
        <v>44874</v>
      </c>
      <c r="B994" s="5" t="s">
        <v>39</v>
      </c>
      <c r="C994" s="5">
        <f>WEEKDAY(Table1[[#This Row],[Date]])</f>
        <v>4</v>
      </c>
      <c r="D994" s="5">
        <f>MONTH(Table1[[#This Row],[Date]])</f>
        <v>11</v>
      </c>
      <c r="E994" s="5">
        <f>WEEKNUM(Table1[[#This Row],[Date]])</f>
        <v>46</v>
      </c>
      <c r="F994" s="5">
        <f>YEAR(Table1[[#This Row],[Date]])</f>
        <v>2022</v>
      </c>
      <c r="G994">
        <v>27</v>
      </c>
      <c r="L994" s="5">
        <v>145</v>
      </c>
      <c r="M994" s="6">
        <v>0.86309999999999998</v>
      </c>
      <c r="N994" s="5">
        <v>23</v>
      </c>
      <c r="O994" s="7">
        <v>4.3981481481481481E-4</v>
      </c>
      <c r="P994" s="7">
        <v>2.0486111111111113E-3</v>
      </c>
      <c r="Q994" s="7">
        <v>2.8703703703703703E-3</v>
      </c>
      <c r="R994" s="6">
        <v>0.50609999999999999</v>
      </c>
      <c r="S994" s="8">
        <f>CONVERT(Table1[[#This Row],[Talk Duration (AVG)]]*Table1[[#This Row],[Answered Calls]],"day","hr")</f>
        <v>7.1291666666666673</v>
      </c>
      <c r="T994" s="9">
        <f>Table1[[#This Row],[Actual Workload hours]]*60</f>
        <v>427.75000000000006</v>
      </c>
      <c r="U994" s="9">
        <f>CONVERT(Table1[[#This Row],[Actual]]*Table1[[#This Row],[Talk Duration (AVG)]],"day","hr")</f>
        <v>1.3275000000000003</v>
      </c>
      <c r="V994" s="10">
        <f>Table1[[#This Row],[Required Workload Hours]]*60</f>
        <v>79.65000000000002</v>
      </c>
      <c r="W994" s="9">
        <v>1.1100000000000001</v>
      </c>
      <c r="X994" s="9">
        <f t="shared" si="30"/>
        <v>1</v>
      </c>
      <c r="Y994" s="5">
        <f t="shared" si="31"/>
        <v>2</v>
      </c>
      <c r="Z994" s="8">
        <f>ROUNDUP(Table1[[#This Row],[Actual Heacount]],0)</f>
        <v>2</v>
      </c>
      <c r="AA994" s="8"/>
      <c r="AB994" s="10"/>
      <c r="AC994" s="10"/>
      <c r="AD994" s="10"/>
      <c r="AE994" s="11">
        <v>118.6223934385884</v>
      </c>
      <c r="AF994" s="11">
        <v>330.97967796920472</v>
      </c>
      <c r="AG994" t="s">
        <v>34</v>
      </c>
    </row>
    <row r="995" spans="1:33">
      <c r="A995" s="2">
        <v>44875</v>
      </c>
      <c r="B995" s="5" t="s">
        <v>40</v>
      </c>
      <c r="C995" s="5">
        <f>WEEKDAY(Table1[[#This Row],[Date]])</f>
        <v>5</v>
      </c>
      <c r="D995" s="5">
        <f>MONTH(Table1[[#This Row],[Date]])</f>
        <v>11</v>
      </c>
      <c r="E995" s="5">
        <f>WEEKNUM(Table1[[#This Row],[Date]])</f>
        <v>46</v>
      </c>
      <c r="F995" s="5">
        <f>YEAR(Table1[[#This Row],[Date]])</f>
        <v>2022</v>
      </c>
      <c r="G995">
        <v>143</v>
      </c>
      <c r="L995" s="5">
        <v>142</v>
      </c>
      <c r="M995" s="6">
        <v>0.88749999999999996</v>
      </c>
      <c r="N995" s="5">
        <v>18</v>
      </c>
      <c r="O995" s="7">
        <v>3.8194444444444446E-4</v>
      </c>
      <c r="P995" s="7">
        <v>1.8981481481481482E-3</v>
      </c>
      <c r="Q995" s="7">
        <v>6.4583333333333333E-3</v>
      </c>
      <c r="R995" s="6">
        <v>0.54139999999999999</v>
      </c>
      <c r="S995" s="8">
        <f>CONVERT(Table1[[#This Row],[Talk Duration (AVG)]]*Table1[[#This Row],[Answered Calls]],"day","hr")</f>
        <v>6.4688888888888885</v>
      </c>
      <c r="T995" s="9">
        <f>Table1[[#This Row],[Actual Workload hours]]*60</f>
        <v>388.13333333333333</v>
      </c>
      <c r="U995" s="9">
        <f>CONVERT(Table1[[#This Row],[Actual]]*Table1[[#This Row],[Talk Duration (AVG)]],"day","hr")</f>
        <v>6.514444444444444</v>
      </c>
      <c r="V995" s="10">
        <f>Table1[[#This Row],[Required Workload Hours]]*60</f>
        <v>390.86666666666662</v>
      </c>
      <c r="W995" s="9">
        <v>1.01</v>
      </c>
      <c r="X995" s="9">
        <f t="shared" si="30"/>
        <v>1.0178819444444442</v>
      </c>
      <c r="Y995" s="5">
        <f t="shared" si="31"/>
        <v>2</v>
      </c>
      <c r="Z995" s="8">
        <f>ROUNDUP(Table1[[#This Row],[Actual Heacount]],0)</f>
        <v>2</v>
      </c>
      <c r="AA995" s="8"/>
      <c r="AB995" s="10"/>
      <c r="AC995" s="10"/>
      <c r="AD995" s="10"/>
      <c r="AE995" s="11">
        <v>111.9785585533202</v>
      </c>
      <c r="AF995" s="11">
        <v>330.68035367480428</v>
      </c>
      <c r="AG995" t="s">
        <v>34</v>
      </c>
    </row>
    <row r="996" spans="1:33">
      <c r="A996" s="2">
        <v>44876</v>
      </c>
      <c r="B996" s="5" t="s">
        <v>33</v>
      </c>
      <c r="C996" s="5">
        <f>WEEKDAY(Table1[[#This Row],[Date]])</f>
        <v>6</v>
      </c>
      <c r="D996" s="5">
        <f>MONTH(Table1[[#This Row],[Date]])</f>
        <v>11</v>
      </c>
      <c r="E996" s="5">
        <f>WEEKNUM(Table1[[#This Row],[Date]])</f>
        <v>46</v>
      </c>
      <c r="F996" s="5">
        <f>YEAR(Table1[[#This Row],[Date]])</f>
        <v>2022</v>
      </c>
      <c r="G996">
        <v>277</v>
      </c>
      <c r="L996" s="5">
        <v>159</v>
      </c>
      <c r="M996" s="6">
        <v>0.85950000000000004</v>
      </c>
      <c r="N996" s="5">
        <v>26</v>
      </c>
      <c r="O996" s="7">
        <v>4.7453703703703704E-4</v>
      </c>
      <c r="P996" s="7">
        <v>2.0370370370370369E-3</v>
      </c>
      <c r="Q996" s="7">
        <v>3.9699074074074072E-3</v>
      </c>
      <c r="R996" s="6">
        <v>0.42699999999999999</v>
      </c>
      <c r="S996" s="8">
        <f>CONVERT(Table1[[#This Row],[Talk Duration (AVG)]]*Table1[[#This Row],[Answered Calls]],"day","hr")</f>
        <v>7.7733333333333325</v>
      </c>
      <c r="T996" s="9">
        <f>Table1[[#This Row],[Actual Workload hours]]*60</f>
        <v>466.4</v>
      </c>
      <c r="U996" s="9">
        <f>CONVERT(Table1[[#This Row],[Actual]]*Table1[[#This Row],[Talk Duration (AVG)]],"day","hr")</f>
        <v>13.542222222222222</v>
      </c>
      <c r="V996" s="10">
        <f>Table1[[#This Row],[Required Workload Hours]]*60</f>
        <v>812.5333333333333</v>
      </c>
      <c r="W996" s="9">
        <v>1.21</v>
      </c>
      <c r="X996" s="9">
        <f t="shared" si="30"/>
        <v>2.1159722222222221</v>
      </c>
      <c r="Y996" s="5">
        <f t="shared" si="31"/>
        <v>2</v>
      </c>
      <c r="Z996" s="8">
        <f>ROUNDUP(Table1[[#This Row],[Actual Heacount]],0)</f>
        <v>2</v>
      </c>
      <c r="AA996" s="8"/>
      <c r="AB996" s="10"/>
      <c r="AC996" s="10"/>
      <c r="AD996" s="10"/>
      <c r="AE996" s="11">
        <v>102.3246122271743</v>
      </c>
      <c r="AF996" s="11">
        <v>324.15215889682628</v>
      </c>
      <c r="AG996" t="s">
        <v>34</v>
      </c>
    </row>
    <row r="997" spans="1:33">
      <c r="A997" s="2">
        <v>44877</v>
      </c>
      <c r="B997" s="5" t="s">
        <v>35</v>
      </c>
      <c r="C997" s="5">
        <f>WEEKDAY(Table1[[#This Row],[Date]])</f>
        <v>7</v>
      </c>
      <c r="D997" s="5">
        <f>MONTH(Table1[[#This Row],[Date]])</f>
        <v>11</v>
      </c>
      <c r="E997" s="5">
        <f>WEEKNUM(Table1[[#This Row],[Date]])</f>
        <v>46</v>
      </c>
      <c r="F997" s="5">
        <f>YEAR(Table1[[#This Row],[Date]])</f>
        <v>2022</v>
      </c>
      <c r="G997">
        <v>150</v>
      </c>
      <c r="L997" s="5">
        <v>146</v>
      </c>
      <c r="M997" s="6">
        <v>0.94189999999999996</v>
      </c>
      <c r="N997" s="5">
        <v>9</v>
      </c>
      <c r="O997" s="7">
        <v>3.2407407407407406E-4</v>
      </c>
      <c r="P997" s="7">
        <v>1.9560185185185184E-3</v>
      </c>
      <c r="Q997" s="7">
        <v>2.3958333333333331E-3</v>
      </c>
      <c r="R997" s="6">
        <v>0.65159999999999996</v>
      </c>
      <c r="S997" s="8">
        <f>CONVERT(Table1[[#This Row],[Talk Duration (AVG)]]*Table1[[#This Row],[Answered Calls]],"day","hr")</f>
        <v>6.8538888888888891</v>
      </c>
      <c r="T997" s="9">
        <f>Table1[[#This Row],[Actual Workload hours]]*60</f>
        <v>411.23333333333335</v>
      </c>
      <c r="U997" s="9">
        <f>CONVERT(Table1[[#This Row],[Actual]]*Table1[[#This Row],[Talk Duration (AVG)]],"day","hr")</f>
        <v>7.0416666666666661</v>
      </c>
      <c r="V997" s="10">
        <f>Table1[[#This Row],[Required Workload Hours]]*60</f>
        <v>422.49999999999994</v>
      </c>
      <c r="W997" s="9">
        <v>1.07</v>
      </c>
      <c r="X997" s="9">
        <f t="shared" si="30"/>
        <v>1.1002604166666665</v>
      </c>
      <c r="Y997" s="5">
        <f t="shared" si="31"/>
        <v>2</v>
      </c>
      <c r="Z997" s="8">
        <f>ROUNDUP(Table1[[#This Row],[Actual Heacount]],0)</f>
        <v>2</v>
      </c>
      <c r="AA997" s="8"/>
      <c r="AB997" s="10"/>
      <c r="AC997" s="10"/>
      <c r="AD997" s="10"/>
      <c r="AE997" s="11">
        <v>106.6800767328868</v>
      </c>
      <c r="AF997" s="11">
        <v>327.1791531433941</v>
      </c>
      <c r="AG997" t="s">
        <v>34</v>
      </c>
    </row>
    <row r="998" spans="1:33">
      <c r="A998" s="2">
        <v>44878</v>
      </c>
      <c r="B998" s="5" t="s">
        <v>36</v>
      </c>
      <c r="C998" s="5">
        <f>WEEKDAY(Table1[[#This Row],[Date]])</f>
        <v>1</v>
      </c>
      <c r="D998" s="5">
        <f>MONTH(Table1[[#This Row],[Date]])</f>
        <v>11</v>
      </c>
      <c r="E998" s="5">
        <f>WEEKNUM(Table1[[#This Row],[Date]])</f>
        <v>47</v>
      </c>
      <c r="F998" s="5">
        <f>YEAR(Table1[[#This Row],[Date]])</f>
        <v>2022</v>
      </c>
      <c r="G998">
        <v>26</v>
      </c>
      <c r="L998" s="5">
        <v>172</v>
      </c>
      <c r="M998" s="6">
        <v>0.91490000000000005</v>
      </c>
      <c r="N998" s="5">
        <v>16</v>
      </c>
      <c r="O998" s="7">
        <v>3.2407407407407406E-4</v>
      </c>
      <c r="P998" s="7">
        <v>1.8402777777777777E-3</v>
      </c>
      <c r="Q998" s="7">
        <v>2.1296296296296298E-3</v>
      </c>
      <c r="R998" s="6">
        <v>0.5978</v>
      </c>
      <c r="S998" s="8">
        <f>CONVERT(Table1[[#This Row],[Talk Duration (AVG)]]*Table1[[#This Row],[Answered Calls]],"day","hr")</f>
        <v>7.5966666666666658</v>
      </c>
      <c r="T998" s="9">
        <f>Table1[[#This Row],[Actual Workload hours]]*60</f>
        <v>455.79999999999995</v>
      </c>
      <c r="U998" s="9">
        <f>CONVERT(Table1[[#This Row],[Actual]]*Table1[[#This Row],[Talk Duration (AVG)]],"day","hr")</f>
        <v>1.1483333333333334</v>
      </c>
      <c r="V998" s="10">
        <f>Table1[[#This Row],[Required Workload Hours]]*60</f>
        <v>68.900000000000006</v>
      </c>
      <c r="W998" s="9">
        <v>1.19</v>
      </c>
      <c r="X998" s="9">
        <f t="shared" si="30"/>
        <v>1</v>
      </c>
      <c r="Y998" s="5">
        <f t="shared" si="31"/>
        <v>2</v>
      </c>
      <c r="Z998" s="8">
        <f>ROUNDUP(Table1[[#This Row],[Actual Heacount]],0)</f>
        <v>2</v>
      </c>
      <c r="AA998" s="8"/>
      <c r="AB998" s="10"/>
      <c r="AC998" s="10"/>
      <c r="AD998" s="10"/>
      <c r="AE998" s="11">
        <v>8.4510557681317966</v>
      </c>
      <c r="AF998" s="11">
        <v>232.70926505044599</v>
      </c>
      <c r="AG998" t="s">
        <v>34</v>
      </c>
    </row>
    <row r="999" spans="1:33">
      <c r="A999" s="2">
        <v>44879</v>
      </c>
      <c r="B999" s="5" t="s">
        <v>37</v>
      </c>
      <c r="C999" s="5">
        <f>WEEKDAY(Table1[[#This Row],[Date]])</f>
        <v>2</v>
      </c>
      <c r="D999" s="5">
        <f>MONTH(Table1[[#This Row],[Date]])</f>
        <v>11</v>
      </c>
      <c r="E999" s="5">
        <f>WEEKNUM(Table1[[#This Row],[Date]])</f>
        <v>47</v>
      </c>
      <c r="F999" s="5">
        <f>YEAR(Table1[[#This Row],[Date]])</f>
        <v>2022</v>
      </c>
      <c r="G999">
        <v>177</v>
      </c>
      <c r="L999" s="5">
        <v>120</v>
      </c>
      <c r="M999" s="6">
        <v>0.78949999999999998</v>
      </c>
      <c r="N999" s="5">
        <v>32</v>
      </c>
      <c r="O999" s="7">
        <v>3.3564814814814812E-4</v>
      </c>
      <c r="P999" s="7">
        <v>2.0138888888888888E-3</v>
      </c>
      <c r="Q999" s="7">
        <v>4.5717592592592589E-3</v>
      </c>
      <c r="R999" s="6">
        <v>0.53059999999999996</v>
      </c>
      <c r="S999" s="8">
        <f>CONVERT(Table1[[#This Row],[Talk Duration (AVG)]]*Table1[[#This Row],[Answered Calls]],"day","hr")</f>
        <v>5.8</v>
      </c>
      <c r="T999" s="9">
        <f>Table1[[#This Row],[Actual Workload hours]]*60</f>
        <v>348</v>
      </c>
      <c r="U999" s="9">
        <f>CONVERT(Table1[[#This Row],[Actual]]*Table1[[#This Row],[Talk Duration (AVG)]],"day","hr")</f>
        <v>8.5549999999999997</v>
      </c>
      <c r="V999" s="10">
        <f>Table1[[#This Row],[Required Workload Hours]]*60</f>
        <v>513.29999999999995</v>
      </c>
      <c r="W999" s="9">
        <v>1</v>
      </c>
      <c r="X999" s="9">
        <f t="shared" si="30"/>
        <v>1.33671875</v>
      </c>
      <c r="Y999" s="5">
        <f t="shared" si="31"/>
        <v>2</v>
      </c>
      <c r="Z999" s="8">
        <f>ROUNDUP(Table1[[#This Row],[Actual Heacount]],0)</f>
        <v>1</v>
      </c>
      <c r="AA999" s="8"/>
      <c r="AB999" s="10"/>
      <c r="AC999" s="10"/>
      <c r="AD999" s="10"/>
      <c r="AE999" s="11">
        <v>109.79442943233229</v>
      </c>
      <c r="AF999" s="11">
        <v>339.89152206737231</v>
      </c>
      <c r="AG999" t="s">
        <v>34</v>
      </c>
    </row>
    <row r="1000" spans="1:33">
      <c r="A1000" s="2">
        <v>44880</v>
      </c>
      <c r="B1000" s="5" t="s">
        <v>38</v>
      </c>
      <c r="C1000" s="5">
        <f>WEEKDAY(Table1[[#This Row],[Date]])</f>
        <v>3</v>
      </c>
      <c r="D1000" s="5">
        <f>MONTH(Table1[[#This Row],[Date]])</f>
        <v>11</v>
      </c>
      <c r="E1000" s="5">
        <f>WEEKNUM(Table1[[#This Row],[Date]])</f>
        <v>47</v>
      </c>
      <c r="F1000" s="5">
        <f>YEAR(Table1[[#This Row],[Date]])</f>
        <v>2022</v>
      </c>
      <c r="G1000">
        <v>149</v>
      </c>
      <c r="L1000" s="5">
        <v>26</v>
      </c>
      <c r="M1000" s="6">
        <v>1</v>
      </c>
      <c r="N1000" s="5">
        <v>0</v>
      </c>
      <c r="O1000" s="7">
        <v>1.9675925925925926E-4</v>
      </c>
      <c r="P1000" s="7">
        <v>2.0949074074074073E-3</v>
      </c>
      <c r="Q1000" s="7">
        <v>9.0277777777777774E-4</v>
      </c>
      <c r="R1000" s="6">
        <v>0.80769999999999997</v>
      </c>
      <c r="S1000" s="8">
        <f>CONVERT(Table1[[#This Row],[Talk Duration (AVG)]]*Table1[[#This Row],[Answered Calls]],"day","hr")</f>
        <v>1.3072222222222223</v>
      </c>
      <c r="T1000" s="9">
        <f>Table1[[#This Row],[Actual Workload hours]]*60</f>
        <v>78.433333333333337</v>
      </c>
      <c r="U1000" s="9">
        <f>CONVERT(Table1[[#This Row],[Actual]]*Table1[[#This Row],[Talk Duration (AVG)]],"day","hr")</f>
        <v>7.4913888888888893</v>
      </c>
      <c r="V1000" s="10">
        <f>Table1[[#This Row],[Required Workload Hours]]*60</f>
        <v>449.48333333333335</v>
      </c>
      <c r="W1000" s="9">
        <v>1</v>
      </c>
      <c r="X1000" s="9">
        <f t="shared" si="30"/>
        <v>1.1705295138888889</v>
      </c>
      <c r="Y1000" s="5">
        <f t="shared" si="31"/>
        <v>1</v>
      </c>
      <c r="Z1000" s="8">
        <f>ROUNDUP(Table1[[#This Row],[Actual Heacount]],0)</f>
        <v>1</v>
      </c>
      <c r="AA1000" s="8"/>
      <c r="AB1000" s="10"/>
      <c r="AC1000" s="10"/>
      <c r="AD1000" s="10"/>
      <c r="AE1000" s="11">
        <v>106.512670058675</v>
      </c>
      <c r="AF1000" s="11">
        <v>323.32524566080059</v>
      </c>
      <c r="AG1000" t="s">
        <v>34</v>
      </c>
    </row>
    <row r="1001" spans="1:33">
      <c r="A1001" s="2">
        <v>44881</v>
      </c>
      <c r="B1001" s="5" t="s">
        <v>39</v>
      </c>
      <c r="C1001" s="5">
        <f>WEEKDAY(Table1[[#This Row],[Date]])</f>
        <v>4</v>
      </c>
      <c r="D1001" s="5">
        <f>MONTH(Table1[[#This Row],[Date]])</f>
        <v>11</v>
      </c>
      <c r="E1001" s="5">
        <f>WEEKNUM(Table1[[#This Row],[Date]])</f>
        <v>47</v>
      </c>
      <c r="F1001" s="5">
        <f>YEAR(Table1[[#This Row],[Date]])</f>
        <v>2022</v>
      </c>
      <c r="G1001">
        <v>147</v>
      </c>
      <c r="L1001" s="5">
        <v>140</v>
      </c>
      <c r="M1001" s="6">
        <v>0.92110000000000003</v>
      </c>
      <c r="N1001" s="5">
        <v>12</v>
      </c>
      <c r="O1001" s="7">
        <v>2.4305555555555555E-4</v>
      </c>
      <c r="P1001" s="7">
        <v>2.0601851851851853E-3</v>
      </c>
      <c r="Q1001" s="7">
        <v>4.6296296296296294E-3</v>
      </c>
      <c r="R1001" s="6">
        <v>0.70669999999999999</v>
      </c>
      <c r="S1001" s="8">
        <f>CONVERT(Table1[[#This Row],[Talk Duration (AVG)]]*Table1[[#This Row],[Answered Calls]],"day","hr")</f>
        <v>6.9222222222222225</v>
      </c>
      <c r="T1001" s="9">
        <f>Table1[[#This Row],[Actual Workload hours]]*60</f>
        <v>415.33333333333337</v>
      </c>
      <c r="U1001" s="9">
        <f>CONVERT(Table1[[#This Row],[Actual]]*Table1[[#This Row],[Talk Duration (AVG)]],"day","hr")</f>
        <v>7.2683333333333335</v>
      </c>
      <c r="V1001" s="10">
        <f>Table1[[#This Row],[Required Workload Hours]]*60</f>
        <v>436.1</v>
      </c>
      <c r="W1001" s="9">
        <v>1.08</v>
      </c>
      <c r="X1001" s="9">
        <f t="shared" si="30"/>
        <v>1.1356770833333334</v>
      </c>
      <c r="Y1001" s="5">
        <f t="shared" si="31"/>
        <v>2</v>
      </c>
      <c r="Z1001" s="8">
        <f>ROUNDUP(Table1[[#This Row],[Actual Heacount]],0)</f>
        <v>2</v>
      </c>
      <c r="AA1001" s="8"/>
      <c r="AB1001" s="10"/>
      <c r="AC1001" s="10"/>
      <c r="AD1001" s="10"/>
      <c r="AE1001" s="11">
        <v>108.3548459358372</v>
      </c>
      <c r="AF1001" s="11">
        <v>325.35623983847188</v>
      </c>
      <c r="AG1001" t="s">
        <v>34</v>
      </c>
    </row>
    <row r="1002" spans="1:33">
      <c r="A1002" s="2">
        <v>44882</v>
      </c>
      <c r="B1002" s="5" t="s">
        <v>40</v>
      </c>
      <c r="C1002" s="5">
        <f>WEEKDAY(Table1[[#This Row],[Date]])</f>
        <v>5</v>
      </c>
      <c r="D1002" s="5">
        <f>MONTH(Table1[[#This Row],[Date]])</f>
        <v>11</v>
      </c>
      <c r="E1002" s="5">
        <f>WEEKNUM(Table1[[#This Row],[Date]])</f>
        <v>47</v>
      </c>
      <c r="F1002" s="5">
        <f>YEAR(Table1[[#This Row],[Date]])</f>
        <v>2022</v>
      </c>
      <c r="G1002">
        <v>140</v>
      </c>
      <c r="L1002" s="5">
        <v>125</v>
      </c>
      <c r="M1002" s="6">
        <v>0.96150000000000002</v>
      </c>
      <c r="N1002" s="5">
        <v>5</v>
      </c>
      <c r="O1002" s="7">
        <v>9.2592592592592588E-5</v>
      </c>
      <c r="P1002" s="7">
        <v>1.8402777777777777E-3</v>
      </c>
      <c r="Q1002" s="7">
        <v>7.1759259259259259E-4</v>
      </c>
      <c r="R1002" s="6">
        <v>0.92</v>
      </c>
      <c r="S1002" s="8">
        <f>CONVERT(Table1[[#This Row],[Talk Duration (AVG)]]*Table1[[#This Row],[Answered Calls]],"day","hr")</f>
        <v>5.520833333333333</v>
      </c>
      <c r="T1002" s="9">
        <f>Table1[[#This Row],[Actual Workload hours]]*60</f>
        <v>331.25</v>
      </c>
      <c r="U1002" s="9">
        <f>CONVERT(Table1[[#This Row],[Actual]]*Table1[[#This Row],[Talk Duration (AVG)]],"day","hr")</f>
        <v>6.1833333333333327</v>
      </c>
      <c r="V1002" s="10">
        <f>Table1[[#This Row],[Required Workload Hours]]*60</f>
        <v>370.99999999999994</v>
      </c>
      <c r="W1002" s="9">
        <v>1</v>
      </c>
      <c r="X1002" s="9">
        <f t="shared" si="30"/>
        <v>1</v>
      </c>
      <c r="Y1002" s="5">
        <f t="shared" si="31"/>
        <v>2</v>
      </c>
      <c r="Z1002" s="8">
        <f>ROUNDUP(Table1[[#This Row],[Actual Heacount]],0)</f>
        <v>1</v>
      </c>
      <c r="AA1002" s="8"/>
      <c r="AB1002" s="10"/>
      <c r="AC1002" s="10"/>
      <c r="AD1002" s="10"/>
      <c r="AE1002" s="11">
        <v>100.3250363460815</v>
      </c>
      <c r="AF1002" s="11">
        <v>324.50688414839152</v>
      </c>
      <c r="AG1002" t="s">
        <v>34</v>
      </c>
    </row>
    <row r="1003" spans="1:33">
      <c r="A1003" s="2">
        <v>44883</v>
      </c>
      <c r="B1003" s="5" t="s">
        <v>33</v>
      </c>
      <c r="C1003" s="5">
        <f>WEEKDAY(Table1[[#This Row],[Date]])</f>
        <v>6</v>
      </c>
      <c r="D1003" s="5">
        <f>MONTH(Table1[[#This Row],[Date]])</f>
        <v>11</v>
      </c>
      <c r="E1003" s="5">
        <f>WEEKNUM(Table1[[#This Row],[Date]])</f>
        <v>47</v>
      </c>
      <c r="F1003" s="5">
        <f>YEAR(Table1[[#This Row],[Date]])</f>
        <v>2022</v>
      </c>
      <c r="G1003">
        <v>177</v>
      </c>
      <c r="L1003" s="5">
        <v>187</v>
      </c>
      <c r="M1003" s="6">
        <v>0.97909999999999997</v>
      </c>
      <c r="N1003" s="5">
        <v>4</v>
      </c>
      <c r="O1003" s="7">
        <v>2.0833333333333335E-4</v>
      </c>
      <c r="P1003" s="7">
        <v>1.7708333333333332E-3</v>
      </c>
      <c r="Q1003" s="7">
        <v>2.0023148148148148E-3</v>
      </c>
      <c r="R1003" s="6">
        <v>0.83069999999999999</v>
      </c>
      <c r="S1003" s="8">
        <f>CONVERT(Table1[[#This Row],[Talk Duration (AVG)]]*Table1[[#This Row],[Answered Calls]],"day","hr")</f>
        <v>7.9474999999999989</v>
      </c>
      <c r="T1003" s="9">
        <f>Table1[[#This Row],[Actual Workload hours]]*60</f>
        <v>476.84999999999991</v>
      </c>
      <c r="U1003" s="9">
        <f>CONVERT(Table1[[#This Row],[Actual]]*Table1[[#This Row],[Talk Duration (AVG)]],"day","hr")</f>
        <v>7.5225</v>
      </c>
      <c r="V1003" s="10">
        <f>Table1[[#This Row],[Required Workload Hours]]*60</f>
        <v>451.35</v>
      </c>
      <c r="W1003" s="9">
        <v>1.24</v>
      </c>
      <c r="X1003" s="9">
        <f t="shared" si="30"/>
        <v>1.1753906250000001</v>
      </c>
      <c r="Y1003" s="5">
        <f t="shared" si="31"/>
        <v>2</v>
      </c>
      <c r="Z1003" s="8">
        <f>ROUNDUP(Table1[[#This Row],[Actual Heacount]],0)</f>
        <v>2</v>
      </c>
      <c r="AA1003" s="8"/>
      <c r="AB1003" s="10"/>
      <c r="AC1003" s="10"/>
      <c r="AD1003" s="10"/>
      <c r="AE1003" s="11">
        <v>104.9893895489289</v>
      </c>
      <c r="AF1003" s="11">
        <v>309.76496420537347</v>
      </c>
      <c r="AG1003" t="s">
        <v>34</v>
      </c>
    </row>
    <row r="1004" spans="1:33">
      <c r="A1004" s="2">
        <v>44884</v>
      </c>
      <c r="B1004" s="5" t="s">
        <v>35</v>
      </c>
      <c r="C1004" s="5">
        <f>WEEKDAY(Table1[[#This Row],[Date]])</f>
        <v>7</v>
      </c>
      <c r="D1004" s="5">
        <f>MONTH(Table1[[#This Row],[Date]])</f>
        <v>11</v>
      </c>
      <c r="E1004" s="5">
        <f>WEEKNUM(Table1[[#This Row],[Date]])</f>
        <v>47</v>
      </c>
      <c r="F1004" s="5">
        <f>YEAR(Table1[[#This Row],[Date]])</f>
        <v>2022</v>
      </c>
      <c r="G1004">
        <v>169</v>
      </c>
      <c r="L1004" s="5">
        <v>227</v>
      </c>
      <c r="M1004" s="6">
        <v>0.89370000000000005</v>
      </c>
      <c r="N1004" s="5">
        <v>27</v>
      </c>
      <c r="O1004" s="7">
        <v>3.8194444444444446E-4</v>
      </c>
      <c r="P1004" s="7">
        <v>2.0486111111111113E-3</v>
      </c>
      <c r="Q1004" s="7">
        <v>3.1828703703703702E-3</v>
      </c>
      <c r="R1004" s="6">
        <v>0.56569999999999998</v>
      </c>
      <c r="S1004" s="8">
        <f>CONVERT(Table1[[#This Row],[Talk Duration (AVG)]]*Table1[[#This Row],[Answered Calls]],"day","hr")</f>
        <v>11.160833333333333</v>
      </c>
      <c r="T1004" s="9">
        <f>Table1[[#This Row],[Actual Workload hours]]*60</f>
        <v>669.65</v>
      </c>
      <c r="U1004" s="9">
        <f>CONVERT(Table1[[#This Row],[Actual]]*Table1[[#This Row],[Talk Duration (AVG)]],"day","hr")</f>
        <v>8.3091666666666679</v>
      </c>
      <c r="V1004" s="10">
        <f>Table1[[#This Row],[Required Workload Hours]]*60</f>
        <v>498.55000000000007</v>
      </c>
      <c r="W1004" s="9">
        <v>1.74</v>
      </c>
      <c r="X1004" s="9">
        <f t="shared" si="30"/>
        <v>1.2983072916666669</v>
      </c>
      <c r="Y1004" s="5">
        <f t="shared" si="31"/>
        <v>2</v>
      </c>
      <c r="Z1004" s="8">
        <f>ROUNDUP(Table1[[#This Row],[Actual Heacount]],0)</f>
        <v>2</v>
      </c>
      <c r="AA1004" s="8"/>
      <c r="AB1004" s="10"/>
      <c r="AC1004" s="10"/>
      <c r="AD1004" s="10"/>
      <c r="AE1004" s="11">
        <v>105.6885100080527</v>
      </c>
      <c r="AF1004" s="11">
        <v>328.35329487273469</v>
      </c>
      <c r="AG1004" t="s">
        <v>34</v>
      </c>
    </row>
    <row r="1005" spans="1:33">
      <c r="A1005" s="2">
        <v>44885</v>
      </c>
      <c r="B1005" s="5" t="s">
        <v>36</v>
      </c>
      <c r="C1005" s="5">
        <f>WEEKDAY(Table1[[#This Row],[Date]])</f>
        <v>1</v>
      </c>
      <c r="D1005" s="5">
        <f>MONTH(Table1[[#This Row],[Date]])</f>
        <v>11</v>
      </c>
      <c r="E1005" s="5">
        <f>WEEKNUM(Table1[[#This Row],[Date]])</f>
        <v>48</v>
      </c>
      <c r="F1005" s="5">
        <f>YEAR(Table1[[#This Row],[Date]])</f>
        <v>2022</v>
      </c>
      <c r="G1005">
        <v>26</v>
      </c>
      <c r="L1005" s="5">
        <v>188</v>
      </c>
      <c r="M1005" s="6">
        <v>0.88260000000000005</v>
      </c>
      <c r="N1005" s="5">
        <v>25</v>
      </c>
      <c r="O1005" s="7">
        <v>3.4722222222222224E-4</v>
      </c>
      <c r="P1005" s="7">
        <v>1.9907407407407408E-3</v>
      </c>
      <c r="Q1005" s="7">
        <v>3.5879629629629629E-3</v>
      </c>
      <c r="R1005" s="6">
        <v>0.54810000000000003</v>
      </c>
      <c r="S1005" s="8">
        <f>CONVERT(Table1[[#This Row],[Talk Duration (AVG)]]*Table1[[#This Row],[Answered Calls]],"day","hr")</f>
        <v>8.982222222222223</v>
      </c>
      <c r="T1005" s="9">
        <f>Table1[[#This Row],[Actual Workload hours]]*60</f>
        <v>538.93333333333339</v>
      </c>
      <c r="U1005" s="9">
        <f>CONVERT(Table1[[#This Row],[Actual]]*Table1[[#This Row],[Talk Duration (AVG)]],"day","hr")</f>
        <v>1.2422222222222221</v>
      </c>
      <c r="V1005" s="10">
        <f>Table1[[#This Row],[Required Workload Hours]]*60</f>
        <v>74.533333333333331</v>
      </c>
      <c r="W1005" s="9">
        <v>1.4</v>
      </c>
      <c r="X1005" s="9">
        <f t="shared" si="30"/>
        <v>1</v>
      </c>
      <c r="Y1005" s="5">
        <f t="shared" si="31"/>
        <v>2</v>
      </c>
      <c r="Z1005" s="8">
        <f>ROUNDUP(Table1[[#This Row],[Actual Heacount]],0)</f>
        <v>2</v>
      </c>
      <c r="AA1005" s="8"/>
      <c r="AB1005" s="10"/>
      <c r="AC1005" s="10"/>
      <c r="AD1005" s="10"/>
      <c r="AE1005" s="11">
        <v>16.514746279486442</v>
      </c>
      <c r="AF1005" s="11">
        <v>233.49189812783709</v>
      </c>
      <c r="AG1005" t="s">
        <v>34</v>
      </c>
    </row>
    <row r="1006" spans="1:33">
      <c r="A1006" s="2">
        <v>44886</v>
      </c>
      <c r="B1006" s="5" t="s">
        <v>37</v>
      </c>
      <c r="C1006" s="5">
        <f>WEEKDAY(Table1[[#This Row],[Date]])</f>
        <v>2</v>
      </c>
      <c r="D1006" s="5">
        <f>MONTH(Table1[[#This Row],[Date]])</f>
        <v>11</v>
      </c>
      <c r="E1006" s="5">
        <f>WEEKNUM(Table1[[#This Row],[Date]])</f>
        <v>48</v>
      </c>
      <c r="F1006" s="5">
        <f>YEAR(Table1[[#This Row],[Date]])</f>
        <v>2022</v>
      </c>
      <c r="G1006">
        <v>147</v>
      </c>
      <c r="L1006" s="5">
        <v>151</v>
      </c>
      <c r="M1006" s="6">
        <v>0.85799999999999998</v>
      </c>
      <c r="N1006" s="5">
        <v>25</v>
      </c>
      <c r="O1006" s="7">
        <v>3.7037037037037035E-4</v>
      </c>
      <c r="P1006" s="7">
        <v>1.9097222222222222E-3</v>
      </c>
      <c r="Q1006" s="7">
        <v>4.3055555555555555E-3</v>
      </c>
      <c r="R1006" s="6">
        <v>0.5575</v>
      </c>
      <c r="S1006" s="8">
        <f>CONVERT(Table1[[#This Row],[Talk Duration (AVG)]]*Table1[[#This Row],[Answered Calls]],"day","hr")</f>
        <v>6.9208333333333334</v>
      </c>
      <c r="T1006" s="9">
        <f>Table1[[#This Row],[Actual Workload hours]]*60</f>
        <v>415.25</v>
      </c>
      <c r="U1006" s="9">
        <f>CONVERT(Table1[[#This Row],[Actual]]*Table1[[#This Row],[Talk Duration (AVG)]],"day","hr")</f>
        <v>6.7374999999999989</v>
      </c>
      <c r="V1006" s="10">
        <f>Table1[[#This Row],[Required Workload Hours]]*60</f>
        <v>404.24999999999994</v>
      </c>
      <c r="W1006" s="9">
        <v>1.08</v>
      </c>
      <c r="X1006" s="9">
        <f t="shared" si="30"/>
        <v>1.0527343749999998</v>
      </c>
      <c r="Y1006" s="5">
        <f t="shared" si="31"/>
        <v>2</v>
      </c>
      <c r="Z1006" s="8">
        <f>ROUNDUP(Table1[[#This Row],[Actual Heacount]],0)</f>
        <v>2</v>
      </c>
      <c r="AA1006" s="8"/>
      <c r="AB1006" s="10"/>
      <c r="AC1006" s="10"/>
      <c r="AD1006" s="10"/>
      <c r="AE1006" s="11">
        <v>115.3252001132083</v>
      </c>
      <c r="AF1006" s="11">
        <v>330.82128859225048</v>
      </c>
      <c r="AG1006" t="s">
        <v>34</v>
      </c>
    </row>
    <row r="1007" spans="1:33">
      <c r="A1007" s="2">
        <v>44887</v>
      </c>
      <c r="B1007" s="5" t="s">
        <v>38</v>
      </c>
      <c r="C1007" s="5">
        <f>WEEKDAY(Table1[[#This Row],[Date]])</f>
        <v>3</v>
      </c>
      <c r="D1007" s="5">
        <f>MONTH(Table1[[#This Row],[Date]])</f>
        <v>11</v>
      </c>
      <c r="E1007" s="5">
        <f>WEEKNUM(Table1[[#This Row],[Date]])</f>
        <v>48</v>
      </c>
      <c r="F1007" s="5">
        <f>YEAR(Table1[[#This Row],[Date]])</f>
        <v>2022</v>
      </c>
      <c r="G1007">
        <v>127</v>
      </c>
      <c r="L1007" s="5">
        <v>59</v>
      </c>
      <c r="M1007" s="6">
        <v>0.96719999999999995</v>
      </c>
      <c r="N1007" s="5">
        <v>2</v>
      </c>
      <c r="O1007" s="7">
        <v>1.8518518518518518E-4</v>
      </c>
      <c r="P1007" s="7">
        <v>1.0532407407407407E-3</v>
      </c>
      <c r="Q1007" s="7">
        <v>2.1527777777777778E-3</v>
      </c>
      <c r="R1007" s="6">
        <v>0.80330000000000001</v>
      </c>
      <c r="S1007" s="8">
        <f>CONVERT(Table1[[#This Row],[Talk Duration (AVG)]]*Table1[[#This Row],[Answered Calls]],"day","hr")</f>
        <v>1.4913888888888889</v>
      </c>
      <c r="T1007" s="9">
        <f>Table1[[#This Row],[Actual Workload hours]]*60</f>
        <v>89.483333333333334</v>
      </c>
      <c r="U1007" s="9">
        <f>CONVERT(Table1[[#This Row],[Actual]]*Table1[[#This Row],[Talk Duration (AVG)]],"day","hr")</f>
        <v>3.2102777777777778</v>
      </c>
      <c r="V1007" s="10">
        <f>Table1[[#This Row],[Required Workload Hours]]*60</f>
        <v>192.61666666666667</v>
      </c>
      <c r="W1007" s="9">
        <v>1</v>
      </c>
      <c r="X1007" s="9">
        <f t="shared" si="30"/>
        <v>1</v>
      </c>
      <c r="Y1007" s="5">
        <f t="shared" si="31"/>
        <v>1</v>
      </c>
      <c r="Z1007" s="8">
        <f>ROUNDUP(Table1[[#This Row],[Actual Heacount]],0)</f>
        <v>1</v>
      </c>
      <c r="AA1007" s="8"/>
      <c r="AB1007" s="10"/>
      <c r="AC1007" s="10"/>
      <c r="AD1007" s="10"/>
      <c r="AE1007" s="11">
        <v>100.0627071533756</v>
      </c>
      <c r="AF1007" s="11">
        <v>314.79486012562529</v>
      </c>
      <c r="AG1007" t="s">
        <v>34</v>
      </c>
    </row>
    <row r="1008" spans="1:33">
      <c r="A1008" s="2">
        <v>44888</v>
      </c>
      <c r="B1008" s="5" t="s">
        <v>39</v>
      </c>
      <c r="C1008" s="5">
        <f>WEEKDAY(Table1[[#This Row],[Date]])</f>
        <v>4</v>
      </c>
      <c r="D1008" s="5">
        <f>MONTH(Table1[[#This Row],[Date]])</f>
        <v>11</v>
      </c>
      <c r="E1008" s="5">
        <f>WEEKNUM(Table1[[#This Row],[Date]])</f>
        <v>48</v>
      </c>
      <c r="F1008" s="5">
        <f>YEAR(Table1[[#This Row],[Date]])</f>
        <v>2022</v>
      </c>
      <c r="G1008">
        <v>141</v>
      </c>
      <c r="L1008" s="5">
        <v>154</v>
      </c>
      <c r="M1008" s="6">
        <v>0.92769999999999997</v>
      </c>
      <c r="N1008" s="5">
        <v>12</v>
      </c>
      <c r="O1008" s="7">
        <v>3.2407407407407406E-4</v>
      </c>
      <c r="P1008" s="7">
        <v>2.0370370370370369E-3</v>
      </c>
      <c r="Q1008" s="7">
        <v>2.2685185185185187E-3</v>
      </c>
      <c r="R1008" s="6">
        <v>0.61819999999999997</v>
      </c>
      <c r="S1008" s="8">
        <f>CONVERT(Table1[[#This Row],[Talk Duration (AVG)]]*Table1[[#This Row],[Answered Calls]],"day","hr")</f>
        <v>7.5288888888888881</v>
      </c>
      <c r="T1008" s="9">
        <f>Table1[[#This Row],[Actual Workload hours]]*60</f>
        <v>451.73333333333329</v>
      </c>
      <c r="U1008" s="9">
        <f>CONVERT(Table1[[#This Row],[Actual]]*Table1[[#This Row],[Talk Duration (AVG)]],"day","hr")</f>
        <v>6.8933333333333335</v>
      </c>
      <c r="V1008" s="10">
        <f>Table1[[#This Row],[Required Workload Hours]]*60</f>
        <v>413.6</v>
      </c>
      <c r="W1008" s="9">
        <v>1.18</v>
      </c>
      <c r="X1008" s="9">
        <f t="shared" si="30"/>
        <v>1.0770833333333334</v>
      </c>
      <c r="Y1008" s="5">
        <f t="shared" si="31"/>
        <v>2</v>
      </c>
      <c r="Z1008" s="8">
        <f>ROUNDUP(Table1[[#This Row],[Actual Heacount]],0)</f>
        <v>2</v>
      </c>
      <c r="AA1008" s="8"/>
      <c r="AB1008" s="10"/>
      <c r="AC1008" s="10"/>
      <c r="AD1008" s="10"/>
      <c r="AE1008" s="11">
        <v>113.71500661271639</v>
      </c>
      <c r="AF1008" s="11">
        <v>330.56610990371041</v>
      </c>
      <c r="AG1008" t="s">
        <v>34</v>
      </c>
    </row>
    <row r="1009" spans="1:33">
      <c r="A1009" s="2">
        <v>44889</v>
      </c>
      <c r="B1009" s="5" t="s">
        <v>40</v>
      </c>
      <c r="C1009" s="5">
        <f>WEEKDAY(Table1[[#This Row],[Date]])</f>
        <v>5</v>
      </c>
      <c r="D1009" s="5">
        <f>MONTH(Table1[[#This Row],[Date]])</f>
        <v>11</v>
      </c>
      <c r="E1009" s="5">
        <f>WEEKNUM(Table1[[#This Row],[Date]])</f>
        <v>48</v>
      </c>
      <c r="F1009" s="5">
        <f>YEAR(Table1[[#This Row],[Date]])</f>
        <v>2022</v>
      </c>
      <c r="G1009">
        <v>208</v>
      </c>
      <c r="L1009" s="5">
        <v>172</v>
      </c>
      <c r="M1009" s="6">
        <v>0.90049999999999997</v>
      </c>
      <c r="N1009" s="5">
        <v>19</v>
      </c>
      <c r="O1009" s="7">
        <v>2.4305555555555555E-4</v>
      </c>
      <c r="P1009" s="7">
        <v>1.8518518518518519E-3</v>
      </c>
      <c r="Q1009" s="7">
        <v>2.3495370370370371E-3</v>
      </c>
      <c r="R1009" s="6">
        <v>0.73770000000000002</v>
      </c>
      <c r="S1009" s="8">
        <f>CONVERT(Table1[[#This Row],[Talk Duration (AVG)]]*Table1[[#This Row],[Answered Calls]],"day","hr")</f>
        <v>7.6444444444444448</v>
      </c>
      <c r="T1009" s="9">
        <f>Table1[[#This Row],[Actual Workload hours]]*60</f>
        <v>458.66666666666669</v>
      </c>
      <c r="U1009" s="9">
        <f>CONVERT(Table1[[#This Row],[Actual]]*Table1[[#This Row],[Talk Duration (AVG)]],"day","hr")</f>
        <v>9.2444444444444436</v>
      </c>
      <c r="V1009" s="10">
        <f>Table1[[#This Row],[Required Workload Hours]]*60</f>
        <v>554.66666666666663</v>
      </c>
      <c r="W1009" s="9">
        <v>1.19</v>
      </c>
      <c r="X1009" s="9">
        <f t="shared" si="30"/>
        <v>1.4444444444444444</v>
      </c>
      <c r="Y1009" s="5">
        <f t="shared" si="31"/>
        <v>2</v>
      </c>
      <c r="Z1009" s="8">
        <f>ROUNDUP(Table1[[#This Row],[Actual Heacount]],0)</f>
        <v>2</v>
      </c>
      <c r="AA1009" s="8"/>
      <c r="AB1009" s="10"/>
      <c r="AC1009" s="10"/>
      <c r="AD1009" s="10"/>
      <c r="AE1009" s="11">
        <v>105.4597472626766</v>
      </c>
      <c r="AF1009" s="11">
        <v>328.09966706766431</v>
      </c>
      <c r="AG1009" t="s">
        <v>34</v>
      </c>
    </row>
    <row r="1010" spans="1:33">
      <c r="A1010" s="2">
        <v>44890</v>
      </c>
      <c r="B1010" s="5" t="s">
        <v>33</v>
      </c>
      <c r="C1010" s="5">
        <f>WEEKDAY(Table1[[#This Row],[Date]])</f>
        <v>6</v>
      </c>
      <c r="D1010" s="5">
        <f>MONTH(Table1[[#This Row],[Date]])</f>
        <v>11</v>
      </c>
      <c r="E1010" s="5">
        <f>WEEKNUM(Table1[[#This Row],[Date]])</f>
        <v>48</v>
      </c>
      <c r="F1010" s="5">
        <f>YEAR(Table1[[#This Row],[Date]])</f>
        <v>2022</v>
      </c>
      <c r="G1010">
        <v>178</v>
      </c>
      <c r="L1010" s="5">
        <v>157</v>
      </c>
      <c r="M1010" s="6">
        <v>0.91810000000000003</v>
      </c>
      <c r="N1010" s="5">
        <v>14</v>
      </c>
      <c r="O1010" s="7">
        <v>2.199074074074074E-4</v>
      </c>
      <c r="P1010" s="7">
        <v>1.7824074074074075E-3</v>
      </c>
      <c r="Q1010" s="7">
        <v>1.4699074074074074E-3</v>
      </c>
      <c r="R1010" s="6">
        <v>0.72619999999999996</v>
      </c>
      <c r="S1010" s="8">
        <f>CONVERT(Table1[[#This Row],[Talk Duration (AVG)]]*Table1[[#This Row],[Answered Calls]],"day","hr")</f>
        <v>6.7161111111111111</v>
      </c>
      <c r="T1010" s="9">
        <f>Table1[[#This Row],[Actual Workload hours]]*60</f>
        <v>402.9666666666667</v>
      </c>
      <c r="U1010" s="9">
        <f>CONVERT(Table1[[#This Row],[Actual]]*Table1[[#This Row],[Talk Duration (AVG)]],"day","hr")</f>
        <v>7.6144444444444446</v>
      </c>
      <c r="V1010" s="10">
        <f>Table1[[#This Row],[Required Workload Hours]]*60</f>
        <v>456.86666666666667</v>
      </c>
      <c r="W1010" s="9">
        <v>1.05</v>
      </c>
      <c r="X1010" s="9">
        <f t="shared" si="30"/>
        <v>1.1897569444444445</v>
      </c>
      <c r="Y1010" s="5">
        <f t="shared" si="31"/>
        <v>2</v>
      </c>
      <c r="Z1010" s="8">
        <f>ROUNDUP(Table1[[#This Row],[Actual Heacount]],0)</f>
        <v>2</v>
      </c>
      <c r="AA1010" s="8"/>
      <c r="AB1010" s="10"/>
      <c r="AC1010" s="10"/>
      <c r="AD1010" s="10"/>
      <c r="AE1010" s="11">
        <v>105.8645084918266</v>
      </c>
      <c r="AF1010" s="11">
        <v>329.76916763874868</v>
      </c>
      <c r="AG1010" t="s">
        <v>34</v>
      </c>
    </row>
    <row r="1011" spans="1:33">
      <c r="A1011" s="2">
        <v>44891</v>
      </c>
      <c r="B1011" s="5" t="s">
        <v>35</v>
      </c>
      <c r="C1011" s="5">
        <f>WEEKDAY(Table1[[#This Row],[Date]])</f>
        <v>7</v>
      </c>
      <c r="D1011" s="5">
        <f>MONTH(Table1[[#This Row],[Date]])</f>
        <v>11</v>
      </c>
      <c r="E1011" s="5">
        <f>WEEKNUM(Table1[[#This Row],[Date]])</f>
        <v>48</v>
      </c>
      <c r="F1011" s="5">
        <f>YEAR(Table1[[#This Row],[Date]])</f>
        <v>2022</v>
      </c>
      <c r="G1011">
        <v>198</v>
      </c>
      <c r="L1011" s="5">
        <v>124</v>
      </c>
      <c r="M1011" s="6">
        <v>0.8105</v>
      </c>
      <c r="N1011" s="5">
        <v>29</v>
      </c>
      <c r="O1011" s="7">
        <v>5.7870370370370367E-4</v>
      </c>
      <c r="P1011" s="7">
        <v>2.1296296296296298E-3</v>
      </c>
      <c r="Q1011" s="7">
        <v>4.178240740740741E-3</v>
      </c>
      <c r="R1011" s="6">
        <v>0.45329999999999998</v>
      </c>
      <c r="S1011" s="8">
        <f>CONVERT(Table1[[#This Row],[Talk Duration (AVG)]]*Table1[[#This Row],[Answered Calls]],"day","hr")</f>
        <v>6.3377777777777782</v>
      </c>
      <c r="T1011" s="9">
        <f>Table1[[#This Row],[Actual Workload hours]]*60</f>
        <v>380.26666666666671</v>
      </c>
      <c r="U1011" s="9">
        <f>CONVERT(Table1[[#This Row],[Actual]]*Table1[[#This Row],[Talk Duration (AVG)]],"day","hr")</f>
        <v>10.119999999999999</v>
      </c>
      <c r="V1011" s="10">
        <f>Table1[[#This Row],[Required Workload Hours]]*60</f>
        <v>607.19999999999993</v>
      </c>
      <c r="W1011" s="9">
        <v>1</v>
      </c>
      <c r="X1011" s="9">
        <f t="shared" si="30"/>
        <v>1.5812499999999998</v>
      </c>
      <c r="Y1011" s="5">
        <f t="shared" si="31"/>
        <v>2</v>
      </c>
      <c r="Z1011" s="8">
        <f>ROUNDUP(Table1[[#This Row],[Actual Heacount]],0)</f>
        <v>1</v>
      </c>
      <c r="AA1011" s="8"/>
      <c r="AB1011" s="10"/>
      <c r="AC1011" s="10"/>
      <c r="AD1011" s="10"/>
      <c r="AE1011" s="11">
        <v>111.2419799570885</v>
      </c>
      <c r="AF1011" s="11">
        <v>328.55753866919378</v>
      </c>
      <c r="AG1011" t="s">
        <v>34</v>
      </c>
    </row>
    <row r="1012" spans="1:33">
      <c r="A1012" s="2">
        <v>44892</v>
      </c>
      <c r="B1012" s="5" t="s">
        <v>36</v>
      </c>
      <c r="C1012" s="5">
        <f>WEEKDAY(Table1[[#This Row],[Date]])</f>
        <v>1</v>
      </c>
      <c r="D1012" s="5">
        <f>MONTH(Table1[[#This Row],[Date]])</f>
        <v>11</v>
      </c>
      <c r="E1012" s="5">
        <f>WEEKNUM(Table1[[#This Row],[Date]])</f>
        <v>49</v>
      </c>
      <c r="F1012" s="5">
        <f>YEAR(Table1[[#This Row],[Date]])</f>
        <v>2022</v>
      </c>
      <c r="G1012">
        <v>21</v>
      </c>
      <c r="L1012" s="5">
        <v>158</v>
      </c>
      <c r="M1012" s="6">
        <v>0.86339999999999995</v>
      </c>
      <c r="N1012" s="5">
        <v>25</v>
      </c>
      <c r="O1012" s="7">
        <v>3.8194444444444446E-4</v>
      </c>
      <c r="P1012" s="7">
        <v>1.9907407407407408E-3</v>
      </c>
      <c r="Q1012" s="7">
        <v>3.5879629629629629E-3</v>
      </c>
      <c r="R1012" s="6">
        <v>0.51910000000000001</v>
      </c>
      <c r="S1012" s="8">
        <f>CONVERT(Table1[[#This Row],[Talk Duration (AVG)]]*Table1[[#This Row],[Answered Calls]],"day","hr")</f>
        <v>7.5488888888888903</v>
      </c>
      <c r="T1012" s="9">
        <f>Table1[[#This Row],[Actual Workload hours]]*60</f>
        <v>452.93333333333339</v>
      </c>
      <c r="U1012" s="9">
        <f>CONVERT(Table1[[#This Row],[Actual]]*Table1[[#This Row],[Talk Duration (AVG)]],"day","hr")</f>
        <v>1.0033333333333334</v>
      </c>
      <c r="V1012" s="10">
        <f>Table1[[#This Row],[Required Workload Hours]]*60</f>
        <v>60.2</v>
      </c>
      <c r="W1012" s="9">
        <v>1.18</v>
      </c>
      <c r="X1012" s="9">
        <f t="shared" si="30"/>
        <v>1</v>
      </c>
      <c r="Y1012" s="5">
        <f t="shared" si="31"/>
        <v>2</v>
      </c>
      <c r="Z1012" s="8">
        <f>ROUNDUP(Table1[[#This Row],[Actual Heacount]],0)</f>
        <v>2</v>
      </c>
      <c r="AA1012" s="8"/>
      <c r="AB1012" s="10"/>
      <c r="AC1012" s="10"/>
      <c r="AD1012" s="10"/>
      <c r="AE1012" s="11">
        <v>19.164329892258401</v>
      </c>
      <c r="AF1012" s="11">
        <v>242.7949662235099</v>
      </c>
      <c r="AG1012" t="s">
        <v>34</v>
      </c>
    </row>
    <row r="1013" spans="1:33">
      <c r="A1013" s="2">
        <v>44893</v>
      </c>
      <c r="B1013" s="5" t="s">
        <v>37</v>
      </c>
      <c r="C1013" s="5">
        <f>WEEKDAY(Table1[[#This Row],[Date]])</f>
        <v>2</v>
      </c>
      <c r="D1013" s="5">
        <f>MONTH(Table1[[#This Row],[Date]])</f>
        <v>11</v>
      </c>
      <c r="E1013" s="5">
        <f>WEEKNUM(Table1[[#This Row],[Date]])</f>
        <v>49</v>
      </c>
      <c r="F1013" s="5">
        <f>YEAR(Table1[[#This Row],[Date]])</f>
        <v>2022</v>
      </c>
      <c r="G1013">
        <v>171</v>
      </c>
      <c r="L1013" s="5">
        <v>14</v>
      </c>
      <c r="M1013" s="6">
        <v>1</v>
      </c>
      <c r="N1013" s="5">
        <v>0</v>
      </c>
      <c r="O1013" s="7">
        <v>1.7361111111111112E-4</v>
      </c>
      <c r="P1013" s="7">
        <v>2.5810185185185185E-3</v>
      </c>
      <c r="Q1013" s="7">
        <v>1.0648148148148149E-3</v>
      </c>
      <c r="R1013" s="6">
        <v>0.85709999999999997</v>
      </c>
      <c r="S1013" s="8">
        <f>CONVERT(Table1[[#This Row],[Talk Duration (AVG)]]*Table1[[#This Row],[Answered Calls]],"day","hr")</f>
        <v>0.86722222222222223</v>
      </c>
      <c r="T1013" s="9">
        <f>Table1[[#This Row],[Actual Workload hours]]*60</f>
        <v>52.033333333333331</v>
      </c>
      <c r="U1013" s="9">
        <f>CONVERT(Table1[[#This Row],[Actual]]*Table1[[#This Row],[Talk Duration (AVG)]],"day","hr")</f>
        <v>10.592499999999999</v>
      </c>
      <c r="V1013" s="10">
        <f>Table1[[#This Row],[Required Workload Hours]]*60</f>
        <v>635.54999999999995</v>
      </c>
      <c r="W1013" s="9">
        <v>1</v>
      </c>
      <c r="X1013" s="9">
        <f t="shared" si="30"/>
        <v>1.655078125</v>
      </c>
      <c r="Y1013" s="5">
        <f t="shared" si="31"/>
        <v>2</v>
      </c>
      <c r="Z1013" s="8">
        <f>ROUNDUP(Table1[[#This Row],[Actual Heacount]],0)</f>
        <v>1</v>
      </c>
      <c r="AA1013" s="8"/>
      <c r="AB1013" s="10"/>
      <c r="AC1013" s="10"/>
      <c r="AD1013" s="10"/>
      <c r="AE1013" s="11">
        <v>127.3861123779957</v>
      </c>
      <c r="AF1013" s="11">
        <v>352.10271879713628</v>
      </c>
      <c r="AG1013" t="s">
        <v>34</v>
      </c>
    </row>
    <row r="1014" spans="1:33">
      <c r="A1014" s="2">
        <v>44894</v>
      </c>
      <c r="B1014" s="5" t="s">
        <v>38</v>
      </c>
      <c r="C1014" s="5">
        <f>WEEKDAY(Table1[[#This Row],[Date]])</f>
        <v>3</v>
      </c>
      <c r="D1014" s="5">
        <f>MONTH(Table1[[#This Row],[Date]])</f>
        <v>11</v>
      </c>
      <c r="E1014" s="5">
        <f>WEEKNUM(Table1[[#This Row],[Date]])</f>
        <v>49</v>
      </c>
      <c r="F1014" s="5">
        <f>YEAR(Table1[[#This Row],[Date]])</f>
        <v>2022</v>
      </c>
      <c r="G1014">
        <v>200</v>
      </c>
      <c r="L1014" s="5">
        <v>18</v>
      </c>
      <c r="M1014" s="6">
        <v>1</v>
      </c>
      <c r="N1014" s="5">
        <v>0</v>
      </c>
      <c r="O1014" s="7">
        <v>3.4722222222222222E-5</v>
      </c>
      <c r="P1014" s="7">
        <v>2.0370370370370369E-3</v>
      </c>
      <c r="Q1014" s="7">
        <v>6.9444444444444444E-5</v>
      </c>
      <c r="R1014" s="6">
        <v>1</v>
      </c>
      <c r="S1014" s="8">
        <f>CONVERT(Table1[[#This Row],[Talk Duration (AVG)]]*Table1[[#This Row],[Answered Calls]],"day","hr")</f>
        <v>0.88</v>
      </c>
      <c r="T1014" s="9">
        <f>Table1[[#This Row],[Actual Workload hours]]*60</f>
        <v>52.8</v>
      </c>
      <c r="U1014" s="9">
        <f>CONVERT(Table1[[#This Row],[Actual]]*Table1[[#This Row],[Talk Duration (AVG)]],"day","hr")</f>
        <v>9.7777777777777786</v>
      </c>
      <c r="V1014" s="10">
        <f>Table1[[#This Row],[Required Workload Hours]]*60</f>
        <v>586.66666666666674</v>
      </c>
      <c r="W1014" s="9">
        <v>1</v>
      </c>
      <c r="X1014" s="9">
        <f t="shared" si="30"/>
        <v>1.5277777777777779</v>
      </c>
      <c r="Y1014" s="5">
        <f t="shared" si="31"/>
        <v>1</v>
      </c>
      <c r="Z1014" s="8">
        <f>ROUNDUP(Table1[[#This Row],[Actual Heacount]],0)</f>
        <v>1</v>
      </c>
      <c r="AA1014" s="8"/>
      <c r="AB1014" s="10"/>
      <c r="AC1014" s="10"/>
      <c r="AD1014" s="10"/>
      <c r="AE1014" s="11">
        <v>123.4431563045468</v>
      </c>
      <c r="AF1014" s="11">
        <v>329.64549223372069</v>
      </c>
      <c r="AG1014" t="s">
        <v>34</v>
      </c>
    </row>
    <row r="1015" spans="1:33">
      <c r="A1015" s="2">
        <v>44895</v>
      </c>
      <c r="B1015" s="5" t="s">
        <v>39</v>
      </c>
      <c r="C1015" s="5">
        <f>WEEKDAY(Table1[[#This Row],[Date]])</f>
        <v>4</v>
      </c>
      <c r="D1015" s="5">
        <f>MONTH(Table1[[#This Row],[Date]])</f>
        <v>11</v>
      </c>
      <c r="E1015" s="5">
        <f>WEEKNUM(Table1[[#This Row],[Date]])</f>
        <v>49</v>
      </c>
      <c r="F1015" s="5">
        <f>YEAR(Table1[[#This Row],[Date]])</f>
        <v>2022</v>
      </c>
      <c r="G1015">
        <v>166</v>
      </c>
      <c r="L1015" s="5">
        <v>148</v>
      </c>
      <c r="M1015" s="6">
        <v>0.93079999999999996</v>
      </c>
      <c r="N1015" s="5">
        <v>11</v>
      </c>
      <c r="O1015" s="7">
        <v>2.5462962962962961E-4</v>
      </c>
      <c r="P1015" s="7">
        <v>1.8055555555555555E-3</v>
      </c>
      <c r="Q1015" s="7">
        <v>2.2569444444444442E-3</v>
      </c>
      <c r="R1015" s="6">
        <v>0.69430000000000003</v>
      </c>
      <c r="S1015" s="8">
        <f>CONVERT(Table1[[#This Row],[Talk Duration (AVG)]]*Table1[[#This Row],[Answered Calls]],"day","hr")</f>
        <v>6.4133333333333322</v>
      </c>
      <c r="T1015" s="9">
        <f>Table1[[#This Row],[Actual Workload hours]]*60</f>
        <v>384.79999999999995</v>
      </c>
      <c r="U1015" s="9">
        <f>CONVERT(Table1[[#This Row],[Actual]]*Table1[[#This Row],[Talk Duration (AVG)]],"day","hr")</f>
        <v>7.1933333333333334</v>
      </c>
      <c r="V1015" s="10">
        <f>Table1[[#This Row],[Required Workload Hours]]*60</f>
        <v>431.6</v>
      </c>
      <c r="W1015" s="9">
        <v>1</v>
      </c>
      <c r="X1015" s="9">
        <f t="shared" si="30"/>
        <v>1.1239583333333334</v>
      </c>
      <c r="Y1015" s="5">
        <f t="shared" si="31"/>
        <v>2</v>
      </c>
      <c r="Z1015" s="8">
        <f>ROUNDUP(Table1[[#This Row],[Actual Heacount]],0)</f>
        <v>1</v>
      </c>
      <c r="AA1015" s="8"/>
      <c r="AB1015" s="10"/>
      <c r="AC1015" s="10"/>
      <c r="AD1015" s="10"/>
      <c r="AE1015" s="11">
        <v>129.9732384081149</v>
      </c>
      <c r="AF1015" s="11">
        <v>351.71871241250892</v>
      </c>
      <c r="AG1015" t="s">
        <v>34</v>
      </c>
    </row>
    <row r="1016" spans="1:33">
      <c r="A1016" s="2">
        <v>44896</v>
      </c>
      <c r="B1016" s="5" t="s">
        <v>40</v>
      </c>
      <c r="C1016" s="5">
        <f>WEEKDAY(Table1[[#This Row],[Date]])</f>
        <v>5</v>
      </c>
      <c r="D1016" s="5">
        <f>MONTH(Table1[[#This Row],[Date]])</f>
        <v>12</v>
      </c>
      <c r="E1016" s="5">
        <f>WEEKNUM(Table1[[#This Row],[Date]])</f>
        <v>49</v>
      </c>
      <c r="F1016" s="5">
        <f>YEAR(Table1[[#This Row],[Date]])</f>
        <v>2022</v>
      </c>
      <c r="G1016">
        <v>171</v>
      </c>
      <c r="L1016" s="5">
        <v>134</v>
      </c>
      <c r="M1016" s="6">
        <v>0.93710000000000004</v>
      </c>
      <c r="N1016" s="5">
        <v>9</v>
      </c>
      <c r="O1016" s="7">
        <v>2.5462962962962961E-4</v>
      </c>
      <c r="P1016" s="7">
        <v>1.9791666666666668E-3</v>
      </c>
      <c r="Q1016" s="7">
        <v>3.5879629629629629E-3</v>
      </c>
      <c r="R1016" s="6">
        <v>0.74099999999999999</v>
      </c>
      <c r="S1016" s="8">
        <f>CONVERT(Table1[[#This Row],[Talk Duration (AVG)]]*Table1[[#This Row],[Answered Calls]],"day","hr")</f>
        <v>6.3650000000000011</v>
      </c>
      <c r="T1016" s="9">
        <f>Table1[[#This Row],[Actual Workload hours]]*60</f>
        <v>381.90000000000009</v>
      </c>
      <c r="U1016" s="9">
        <f>CONVERT(Table1[[#This Row],[Actual]]*Table1[[#This Row],[Talk Duration (AVG)]],"day","hr")</f>
        <v>8.1225000000000005</v>
      </c>
      <c r="V1016" s="10">
        <f>Table1[[#This Row],[Required Workload Hours]]*60</f>
        <v>487.35</v>
      </c>
      <c r="W1016" s="9">
        <v>1</v>
      </c>
      <c r="X1016" s="9">
        <f t="shared" si="30"/>
        <v>1.2691406250000001</v>
      </c>
      <c r="Y1016" s="5">
        <f t="shared" si="31"/>
        <v>2</v>
      </c>
      <c r="Z1016" s="8">
        <f>ROUNDUP(Table1[[#This Row],[Actual Heacount]],0)</f>
        <v>1</v>
      </c>
      <c r="AA1016" s="8"/>
      <c r="AB1016" s="10"/>
      <c r="AC1016" s="10"/>
      <c r="AD1016" s="10"/>
      <c r="AE1016" s="11">
        <v>125.6735959554652</v>
      </c>
      <c r="AF1016" s="11">
        <v>341.69349067464168</v>
      </c>
      <c r="AG1016" t="s">
        <v>34</v>
      </c>
    </row>
    <row r="1017" spans="1:33">
      <c r="A1017" s="2">
        <v>44897</v>
      </c>
      <c r="B1017" s="5" t="s">
        <v>33</v>
      </c>
      <c r="C1017" s="5">
        <f>WEEKDAY(Table1[[#This Row],[Date]])</f>
        <v>6</v>
      </c>
      <c r="D1017" s="5">
        <f>MONTH(Table1[[#This Row],[Date]])</f>
        <v>12</v>
      </c>
      <c r="E1017" s="5">
        <f>WEEKNUM(Table1[[#This Row],[Date]])</f>
        <v>49</v>
      </c>
      <c r="F1017" s="5">
        <f>YEAR(Table1[[#This Row],[Date]])</f>
        <v>2022</v>
      </c>
      <c r="G1017">
        <v>298</v>
      </c>
      <c r="L1017" s="5">
        <v>175</v>
      </c>
      <c r="M1017" s="6">
        <v>0.89739999999999998</v>
      </c>
      <c r="N1017" s="5">
        <v>20</v>
      </c>
      <c r="O1017" s="7">
        <v>3.3564814814814812E-4</v>
      </c>
      <c r="P1017" s="7">
        <v>1.9328703703703704E-3</v>
      </c>
      <c r="Q1017" s="7">
        <v>2.9050925925925928E-3</v>
      </c>
      <c r="R1017" s="6">
        <v>0.61580000000000001</v>
      </c>
      <c r="S1017" s="8">
        <f>CONVERT(Table1[[#This Row],[Talk Duration (AVG)]]*Table1[[#This Row],[Answered Calls]],"day","hr")</f>
        <v>8.1180555555555554</v>
      </c>
      <c r="T1017" s="9">
        <f>Table1[[#This Row],[Actual Workload hours]]*60</f>
        <v>487.08333333333331</v>
      </c>
      <c r="U1017" s="9">
        <f>CONVERT(Table1[[#This Row],[Actual]]*Table1[[#This Row],[Talk Duration (AVG)]],"day","hr")</f>
        <v>13.823888888888888</v>
      </c>
      <c r="V1017" s="10">
        <f>Table1[[#This Row],[Required Workload Hours]]*60</f>
        <v>829.43333333333328</v>
      </c>
      <c r="W1017" s="9">
        <v>1.27</v>
      </c>
      <c r="X1017" s="9">
        <f t="shared" si="30"/>
        <v>2.1599826388888888</v>
      </c>
      <c r="Y1017" s="5">
        <f t="shared" si="31"/>
        <v>2</v>
      </c>
      <c r="Z1017" s="8">
        <f>ROUNDUP(Table1[[#This Row],[Actual Heacount]],0)</f>
        <v>2</v>
      </c>
      <c r="AA1017" s="8"/>
      <c r="AB1017" s="10"/>
      <c r="AC1017" s="10"/>
      <c r="AD1017" s="10"/>
      <c r="AE1017" s="11">
        <v>119.25069709577841</v>
      </c>
      <c r="AF1017" s="11">
        <v>342.19963425596512</v>
      </c>
      <c r="AG1017" t="s">
        <v>34</v>
      </c>
    </row>
    <row r="1018" spans="1:33">
      <c r="A1018" s="2">
        <v>44899</v>
      </c>
      <c r="B1018" s="5" t="s">
        <v>35</v>
      </c>
      <c r="C1018" s="5">
        <f>WEEKDAY(Table1[[#This Row],[Date]])</f>
        <v>1</v>
      </c>
      <c r="D1018" s="5">
        <f>MONTH(Table1[[#This Row],[Date]])</f>
        <v>12</v>
      </c>
      <c r="E1018" s="5">
        <f>WEEKNUM(Table1[[#This Row],[Date]])</f>
        <v>50</v>
      </c>
      <c r="F1018" s="5">
        <f>YEAR(Table1[[#This Row],[Date]])</f>
        <v>2022</v>
      </c>
      <c r="G1018">
        <v>413</v>
      </c>
      <c r="L1018" s="5">
        <v>150</v>
      </c>
      <c r="M1018" s="6">
        <v>0.7732</v>
      </c>
      <c r="N1018" s="5">
        <v>44</v>
      </c>
      <c r="O1018" s="7">
        <v>4.2824074074074075E-4</v>
      </c>
      <c r="P1018" s="7">
        <v>1.9328703703703704E-3</v>
      </c>
      <c r="Q1018" s="7">
        <v>2.9745370370370373E-3</v>
      </c>
      <c r="R1018" s="6">
        <v>0.47339999999999999</v>
      </c>
      <c r="S1018" s="8">
        <f>CONVERT(Table1[[#This Row],[Talk Duration (AVG)]]*Table1[[#This Row],[Answered Calls]],"day","hr")</f>
        <v>6.9583333333333339</v>
      </c>
      <c r="T1018" s="9">
        <f>Table1[[#This Row],[Actual Workload hours]]*60</f>
        <v>417.50000000000006</v>
      </c>
      <c r="U1018" s="9">
        <f>CONVERT(Table1[[#This Row],[Actual]]*Table1[[#This Row],[Talk Duration (AVG)]],"day","hr")</f>
        <v>19.15861111111111</v>
      </c>
      <c r="V1018" s="10">
        <f>Table1[[#This Row],[Required Workload Hours]]*60</f>
        <v>1149.5166666666667</v>
      </c>
      <c r="W1018" s="9">
        <v>1.0900000000000001</v>
      </c>
      <c r="X1018" s="9">
        <f t="shared" si="30"/>
        <v>2.9935329861111111</v>
      </c>
      <c r="Y1018" s="5">
        <f t="shared" si="31"/>
        <v>2</v>
      </c>
      <c r="Z1018" s="8">
        <f>ROUNDUP(Table1[[#This Row],[Actual Heacount]],0)</f>
        <v>2</v>
      </c>
      <c r="AA1018" s="8"/>
      <c r="AB1018" s="10"/>
      <c r="AC1018" s="10"/>
      <c r="AD1018" s="10"/>
      <c r="AE1018" s="11">
        <v>35.697914879392563</v>
      </c>
      <c r="AF1018" s="11">
        <v>257.42466521157581</v>
      </c>
      <c r="AG1018" t="s">
        <v>34</v>
      </c>
    </row>
    <row r="1019" spans="1:33">
      <c r="A1019" s="2">
        <v>44900</v>
      </c>
      <c r="B1019" s="5" t="s">
        <v>36</v>
      </c>
      <c r="C1019" s="5">
        <f>WEEKDAY(Table1[[#This Row],[Date]])</f>
        <v>2</v>
      </c>
      <c r="D1019" s="5">
        <f>MONTH(Table1[[#This Row],[Date]])</f>
        <v>12</v>
      </c>
      <c r="E1019" s="5">
        <f>WEEKNUM(Table1[[#This Row],[Date]])</f>
        <v>50</v>
      </c>
      <c r="F1019" s="5">
        <f>YEAR(Table1[[#This Row],[Date]])</f>
        <v>2022</v>
      </c>
      <c r="G1019">
        <v>259</v>
      </c>
      <c r="L1019" s="5">
        <v>362</v>
      </c>
      <c r="M1019" s="6">
        <v>0.92820000000000003</v>
      </c>
      <c r="N1019" s="5">
        <v>28</v>
      </c>
      <c r="O1019" s="7">
        <v>3.5879629629629629E-4</v>
      </c>
      <c r="P1019" s="7">
        <v>1.9675925925925924E-3</v>
      </c>
      <c r="Q1019" s="7">
        <v>4.0046296296296297E-3</v>
      </c>
      <c r="R1019" s="6">
        <v>0.5948</v>
      </c>
      <c r="S1019" s="8">
        <f>CONVERT(Table1[[#This Row],[Talk Duration (AVG)]]*Table1[[#This Row],[Answered Calls]],"day","hr")</f>
        <v>17.094444444444441</v>
      </c>
      <c r="T1019" s="9">
        <f>Table1[[#This Row],[Actual Workload hours]]*60</f>
        <v>1025.6666666666665</v>
      </c>
      <c r="U1019" s="9">
        <f>CONVERT(Table1[[#This Row],[Actual]]*Table1[[#This Row],[Talk Duration (AVG)]],"day","hr")</f>
        <v>12.230555555555556</v>
      </c>
      <c r="V1019" s="10">
        <f>Table1[[#This Row],[Required Workload Hours]]*60</f>
        <v>733.83333333333337</v>
      </c>
      <c r="W1019" s="9">
        <v>2.67</v>
      </c>
      <c r="X1019" s="9">
        <f t="shared" si="30"/>
        <v>1.9110243055555556</v>
      </c>
      <c r="Y1019" s="5">
        <f t="shared" si="31"/>
        <v>2</v>
      </c>
      <c r="Z1019" s="8">
        <f>ROUNDUP(Table1[[#This Row],[Actual Heacount]],0)</f>
        <v>3</v>
      </c>
      <c r="AA1019" s="8"/>
      <c r="AB1019" s="10"/>
      <c r="AC1019" s="10"/>
      <c r="AD1019" s="10"/>
      <c r="AE1019" s="11">
        <v>142.7965873004845</v>
      </c>
      <c r="AF1019" s="11">
        <v>363.70452990164739</v>
      </c>
      <c r="AG1019" t="s">
        <v>34</v>
      </c>
    </row>
    <row r="1020" spans="1:33">
      <c r="A1020" s="2">
        <v>44901</v>
      </c>
      <c r="B1020" s="5" t="s">
        <v>37</v>
      </c>
      <c r="C1020" s="5">
        <f>WEEKDAY(Table1[[#This Row],[Date]])</f>
        <v>3</v>
      </c>
      <c r="D1020" s="5">
        <f>MONTH(Table1[[#This Row],[Date]])</f>
        <v>12</v>
      </c>
      <c r="E1020" s="5">
        <f>WEEKNUM(Table1[[#This Row],[Date]])</f>
        <v>50</v>
      </c>
      <c r="F1020" s="5">
        <f>YEAR(Table1[[#This Row],[Date]])</f>
        <v>2022</v>
      </c>
      <c r="G1020">
        <v>52</v>
      </c>
      <c r="L1020" s="5">
        <v>205</v>
      </c>
      <c r="M1020" s="6">
        <v>0.86129999999999995</v>
      </c>
      <c r="N1020" s="5">
        <v>33</v>
      </c>
      <c r="O1020" s="7">
        <v>3.3564814814814812E-4</v>
      </c>
      <c r="P1020" s="7">
        <v>1.5972222222222223E-3</v>
      </c>
      <c r="Q1020" s="7">
        <v>3.5879629629629629E-3</v>
      </c>
      <c r="R1020" s="6">
        <v>0.60870000000000002</v>
      </c>
      <c r="S1020" s="8">
        <f>CONVERT(Table1[[#This Row],[Talk Duration (AVG)]]*Table1[[#This Row],[Answered Calls]],"day","hr")</f>
        <v>7.8583333333333334</v>
      </c>
      <c r="T1020" s="9">
        <f>Table1[[#This Row],[Actual Workload hours]]*60</f>
        <v>471.5</v>
      </c>
      <c r="U1020" s="9">
        <f>CONVERT(Table1[[#This Row],[Actual]]*Table1[[#This Row],[Talk Duration (AVG)]],"day","hr")</f>
        <v>1.9933333333333336</v>
      </c>
      <c r="V1020" s="10">
        <f>Table1[[#This Row],[Required Workload Hours]]*60</f>
        <v>119.60000000000002</v>
      </c>
      <c r="W1020" s="9">
        <v>1.23</v>
      </c>
      <c r="X1020" s="9">
        <f t="shared" si="30"/>
        <v>1</v>
      </c>
      <c r="Y1020" s="5">
        <f t="shared" si="31"/>
        <v>2</v>
      </c>
      <c r="Z1020" s="8">
        <f>ROUNDUP(Table1[[#This Row],[Actual Heacount]],0)</f>
        <v>2</v>
      </c>
      <c r="AA1020" s="8"/>
      <c r="AB1020" s="10"/>
      <c r="AC1020" s="10"/>
      <c r="AD1020" s="10"/>
      <c r="AE1020" s="11">
        <v>128.36404760434459</v>
      </c>
      <c r="AF1020" s="11">
        <v>350.8335320796669</v>
      </c>
      <c r="AG1020" t="s">
        <v>34</v>
      </c>
    </row>
    <row r="1021" spans="1:33">
      <c r="A1021" s="2">
        <v>44902</v>
      </c>
      <c r="B1021" s="5" t="s">
        <v>38</v>
      </c>
      <c r="C1021" s="5">
        <f>WEEKDAY(Table1[[#This Row],[Date]])</f>
        <v>4</v>
      </c>
      <c r="D1021" s="5">
        <f>MONTH(Table1[[#This Row],[Date]])</f>
        <v>12</v>
      </c>
      <c r="E1021" s="5">
        <f>WEEKNUM(Table1[[#This Row],[Date]])</f>
        <v>50</v>
      </c>
      <c r="F1021" s="5">
        <f>YEAR(Table1[[#This Row],[Date]])</f>
        <v>2022</v>
      </c>
      <c r="G1021">
        <v>280</v>
      </c>
      <c r="L1021" s="5">
        <v>28</v>
      </c>
      <c r="M1021" s="6">
        <v>0.96550000000000002</v>
      </c>
      <c r="N1021" s="5">
        <v>1</v>
      </c>
      <c r="O1021" s="7">
        <v>1.0416666666666667E-4</v>
      </c>
      <c r="P1021" s="7">
        <v>1.712962962962963E-3</v>
      </c>
      <c r="Q1021" s="7">
        <v>7.5231481481481482E-4</v>
      </c>
      <c r="R1021" s="6">
        <v>0.89290000000000003</v>
      </c>
      <c r="S1021" s="8">
        <f>CONVERT(Table1[[#This Row],[Talk Duration (AVG)]]*Table1[[#This Row],[Answered Calls]],"day","hr")</f>
        <v>1.1511111111111112</v>
      </c>
      <c r="T1021" s="9">
        <f>Table1[[#This Row],[Actual Workload hours]]*60</f>
        <v>69.066666666666677</v>
      </c>
      <c r="U1021" s="9">
        <f>CONVERT(Table1[[#This Row],[Actual]]*Table1[[#This Row],[Talk Duration (AVG)]],"day","hr")</f>
        <v>11.511111111111111</v>
      </c>
      <c r="V1021" s="10">
        <f>Table1[[#This Row],[Required Workload Hours]]*60</f>
        <v>690.66666666666663</v>
      </c>
      <c r="W1021" s="9">
        <v>1</v>
      </c>
      <c r="X1021" s="9">
        <f t="shared" si="30"/>
        <v>1.7986111111111109</v>
      </c>
      <c r="Y1021" s="5">
        <f t="shared" si="31"/>
        <v>1</v>
      </c>
      <c r="Z1021" s="8">
        <f>ROUNDUP(Table1[[#This Row],[Actual Heacount]],0)</f>
        <v>1</v>
      </c>
      <c r="AA1021" s="8"/>
      <c r="AB1021" s="10"/>
      <c r="AC1021" s="10"/>
      <c r="AD1021" s="10"/>
      <c r="AE1021" s="11">
        <v>141.76693605755159</v>
      </c>
      <c r="AF1021" s="11">
        <v>355.330110123569</v>
      </c>
      <c r="AG1021" t="s">
        <v>34</v>
      </c>
    </row>
    <row r="1022" spans="1:33">
      <c r="A1022" s="2">
        <v>44903</v>
      </c>
      <c r="B1022" s="5" t="s">
        <v>39</v>
      </c>
      <c r="C1022" s="5">
        <f>WEEKDAY(Table1[[#This Row],[Date]])</f>
        <v>5</v>
      </c>
      <c r="D1022" s="5">
        <f>MONTH(Table1[[#This Row],[Date]])</f>
        <v>12</v>
      </c>
      <c r="E1022" s="5">
        <f>WEEKNUM(Table1[[#This Row],[Date]])</f>
        <v>50</v>
      </c>
      <c r="F1022" s="5">
        <f>YEAR(Table1[[#This Row],[Date]])</f>
        <v>2022</v>
      </c>
      <c r="G1022">
        <v>222</v>
      </c>
      <c r="L1022" s="5">
        <v>29</v>
      </c>
      <c r="M1022" s="6">
        <v>0.9667</v>
      </c>
      <c r="N1022" s="5">
        <v>1</v>
      </c>
      <c r="O1022" s="7">
        <v>2.199074074074074E-4</v>
      </c>
      <c r="P1022" s="7">
        <v>1.736111111111111E-3</v>
      </c>
      <c r="Q1022" s="7">
        <v>1.7476851851851852E-3</v>
      </c>
      <c r="R1022" s="6">
        <v>0.83330000000000004</v>
      </c>
      <c r="S1022" s="8">
        <f>CONVERT(Table1[[#This Row],[Talk Duration (AVG)]]*Table1[[#This Row],[Answered Calls]],"day","hr")</f>
        <v>1.208333333333333</v>
      </c>
      <c r="T1022" s="9">
        <f>Table1[[#This Row],[Actual Workload hours]]*60</f>
        <v>72.499999999999986</v>
      </c>
      <c r="U1022" s="9">
        <f>CONVERT(Table1[[#This Row],[Actual]]*Table1[[#This Row],[Talk Duration (AVG)]],"day","hr")</f>
        <v>9.25</v>
      </c>
      <c r="V1022" s="10">
        <f>Table1[[#This Row],[Required Workload Hours]]*60</f>
        <v>555</v>
      </c>
      <c r="W1022" s="9">
        <v>1</v>
      </c>
      <c r="X1022" s="9">
        <f t="shared" si="30"/>
        <v>1.4453125</v>
      </c>
      <c r="Y1022" s="5">
        <f t="shared" si="31"/>
        <v>2</v>
      </c>
      <c r="Z1022" s="8">
        <f>ROUNDUP(Table1[[#This Row],[Actual Heacount]],0)</f>
        <v>1</v>
      </c>
      <c r="AA1022" s="8"/>
      <c r="AB1022" s="10"/>
      <c r="AC1022" s="10"/>
      <c r="AD1022" s="10"/>
      <c r="AE1022" s="11">
        <v>137.45093502029351</v>
      </c>
      <c r="AF1022" s="11">
        <v>348.70936325602992</v>
      </c>
      <c r="AG1022" t="s">
        <v>34</v>
      </c>
    </row>
    <row r="1023" spans="1:33">
      <c r="A1023" s="2">
        <v>44904</v>
      </c>
      <c r="B1023" s="5" t="s">
        <v>40</v>
      </c>
      <c r="C1023" s="5">
        <f>WEEKDAY(Table1[[#This Row],[Date]])</f>
        <v>6</v>
      </c>
      <c r="D1023" s="5">
        <f>MONTH(Table1[[#This Row],[Date]])</f>
        <v>12</v>
      </c>
      <c r="E1023" s="5">
        <f>WEEKNUM(Table1[[#This Row],[Date]])</f>
        <v>50</v>
      </c>
      <c r="F1023" s="5">
        <f>YEAR(Table1[[#This Row],[Date]])</f>
        <v>2022</v>
      </c>
      <c r="G1023">
        <v>227</v>
      </c>
      <c r="L1023" s="5">
        <v>273</v>
      </c>
      <c r="M1023" s="6">
        <v>0.95120000000000005</v>
      </c>
      <c r="N1023" s="5">
        <v>14</v>
      </c>
      <c r="O1023" s="7">
        <v>1.8518518518518518E-4</v>
      </c>
      <c r="P1023" s="7">
        <v>1.6203703703703703E-3</v>
      </c>
      <c r="Q1023" s="7">
        <v>2.1527777777777778E-3</v>
      </c>
      <c r="R1023" s="6">
        <v>0.79</v>
      </c>
      <c r="S1023" s="8">
        <f>CONVERT(Table1[[#This Row],[Talk Duration (AVG)]]*Table1[[#This Row],[Answered Calls]],"day","hr")</f>
        <v>10.616666666666667</v>
      </c>
      <c r="T1023" s="9">
        <f>Table1[[#This Row],[Actual Workload hours]]*60</f>
        <v>637</v>
      </c>
      <c r="U1023" s="9">
        <f>CONVERT(Table1[[#This Row],[Actual]]*Table1[[#This Row],[Talk Duration (AVG)]],"day","hr")</f>
        <v>8.8277777777777775</v>
      </c>
      <c r="V1023" s="10">
        <f>Table1[[#This Row],[Required Workload Hours]]*60</f>
        <v>529.66666666666663</v>
      </c>
      <c r="W1023" s="9">
        <v>1.66</v>
      </c>
      <c r="X1023" s="9">
        <f t="shared" si="30"/>
        <v>1.3793402777777777</v>
      </c>
      <c r="Y1023" s="5">
        <f t="shared" si="31"/>
        <v>2</v>
      </c>
      <c r="Z1023" s="8">
        <f>ROUNDUP(Table1[[#This Row],[Actual Heacount]],0)</f>
        <v>2</v>
      </c>
      <c r="AA1023" s="8"/>
      <c r="AB1023" s="10"/>
      <c r="AC1023" s="10"/>
      <c r="AD1023" s="10"/>
      <c r="AE1023" s="11">
        <v>129.69123877443701</v>
      </c>
      <c r="AF1023" s="11">
        <v>350.39538966822357</v>
      </c>
      <c r="AG1023" t="s">
        <v>34</v>
      </c>
    </row>
    <row r="1024" spans="1:33">
      <c r="A1024" s="2">
        <v>44905</v>
      </c>
      <c r="B1024" s="5" t="s">
        <v>33</v>
      </c>
      <c r="C1024" s="5">
        <f>WEEKDAY(Table1[[#This Row],[Date]])</f>
        <v>7</v>
      </c>
      <c r="D1024" s="5">
        <f>MONTH(Table1[[#This Row],[Date]])</f>
        <v>12</v>
      </c>
      <c r="E1024" s="5">
        <f>WEEKNUM(Table1[[#This Row],[Date]])</f>
        <v>50</v>
      </c>
      <c r="F1024" s="5">
        <f>YEAR(Table1[[#This Row],[Date]])</f>
        <v>2022</v>
      </c>
      <c r="G1024">
        <v>195</v>
      </c>
      <c r="L1024" s="5">
        <v>380</v>
      </c>
      <c r="M1024" s="6">
        <v>0.80169999999999997</v>
      </c>
      <c r="N1024" s="5">
        <v>94</v>
      </c>
      <c r="O1024" s="7">
        <v>4.5138888888888887E-4</v>
      </c>
      <c r="P1024" s="7">
        <v>1.4814814814814814E-3</v>
      </c>
      <c r="Q1024" s="7">
        <v>5.5324074074074078E-3</v>
      </c>
      <c r="R1024" s="6">
        <v>0.47420000000000001</v>
      </c>
      <c r="S1024" s="8">
        <f>CONVERT(Table1[[#This Row],[Talk Duration (AVG)]]*Table1[[#This Row],[Answered Calls]],"day","hr")</f>
        <v>13.511111111111109</v>
      </c>
      <c r="T1024" s="9">
        <f>Table1[[#This Row],[Actual Workload hours]]*60</f>
        <v>810.66666666666652</v>
      </c>
      <c r="U1024" s="9">
        <f>CONVERT(Table1[[#This Row],[Actual]]*Table1[[#This Row],[Talk Duration (AVG)]],"day","hr")</f>
        <v>6.9333333333333327</v>
      </c>
      <c r="V1024" s="10">
        <f>Table1[[#This Row],[Required Workload Hours]]*60</f>
        <v>415.99999999999994</v>
      </c>
      <c r="W1024" s="9">
        <v>2.11</v>
      </c>
      <c r="X1024" s="9">
        <f t="shared" si="30"/>
        <v>1.0833333333333333</v>
      </c>
      <c r="Y1024" s="5">
        <f t="shared" si="31"/>
        <v>2</v>
      </c>
      <c r="Z1024" s="8">
        <f>ROUNDUP(Table1[[#This Row],[Actual Heacount]],0)</f>
        <v>3</v>
      </c>
      <c r="AA1024" s="8"/>
      <c r="AB1024" s="10"/>
      <c r="AC1024" s="10"/>
      <c r="AD1024" s="10"/>
      <c r="AE1024" s="11">
        <v>139.64871135964739</v>
      </c>
      <c r="AF1024" s="11">
        <v>357.45492259041879</v>
      </c>
      <c r="AG1024" t="s">
        <v>34</v>
      </c>
    </row>
    <row r="1025" spans="1:33">
      <c r="A1025" s="2">
        <v>44906</v>
      </c>
      <c r="B1025" s="5" t="s">
        <v>35</v>
      </c>
      <c r="C1025" s="5">
        <f>WEEKDAY(Table1[[#This Row],[Date]])</f>
        <v>1</v>
      </c>
      <c r="D1025" s="5">
        <f>MONTH(Table1[[#This Row],[Date]])</f>
        <v>12</v>
      </c>
      <c r="E1025" s="5">
        <f>WEEKNUM(Table1[[#This Row],[Date]])</f>
        <v>51</v>
      </c>
      <c r="F1025" s="5">
        <f>YEAR(Table1[[#This Row],[Date]])</f>
        <v>2022</v>
      </c>
      <c r="G1025">
        <v>188</v>
      </c>
      <c r="L1025" s="5">
        <v>230</v>
      </c>
      <c r="M1025" s="6">
        <v>0.83030000000000004</v>
      </c>
      <c r="N1025" s="5">
        <v>47</v>
      </c>
      <c r="O1025" s="7">
        <v>4.6296296296296298E-4</v>
      </c>
      <c r="P1025" s="7">
        <v>1.9907407407407408E-3</v>
      </c>
      <c r="Q1025" s="7">
        <v>4.31712962962963E-3</v>
      </c>
      <c r="R1025" s="6">
        <v>0.46179999999999999</v>
      </c>
      <c r="S1025" s="8">
        <f>CONVERT(Table1[[#This Row],[Talk Duration (AVG)]]*Table1[[#This Row],[Answered Calls]],"day","hr")</f>
        <v>10.988888888888889</v>
      </c>
      <c r="T1025" s="9">
        <f>Table1[[#This Row],[Actual Workload hours]]*60</f>
        <v>659.33333333333337</v>
      </c>
      <c r="U1025" s="9">
        <f>CONVERT(Table1[[#This Row],[Actual]]*Table1[[#This Row],[Talk Duration (AVG)]],"day","hr")</f>
        <v>8.982222222222223</v>
      </c>
      <c r="V1025" s="10">
        <f>Table1[[#This Row],[Required Workload Hours]]*60</f>
        <v>538.93333333333339</v>
      </c>
      <c r="W1025" s="9">
        <v>1.72</v>
      </c>
      <c r="X1025" s="9">
        <f t="shared" si="30"/>
        <v>1.4034722222222225</v>
      </c>
      <c r="Y1025" s="5">
        <f t="shared" si="31"/>
        <v>2</v>
      </c>
      <c r="Z1025" s="8">
        <f>ROUNDUP(Table1[[#This Row],[Actual Heacount]],0)</f>
        <v>2</v>
      </c>
      <c r="AA1025" s="8"/>
      <c r="AB1025" s="10"/>
      <c r="AC1025" s="10"/>
      <c r="AD1025" s="10"/>
      <c r="AE1025" s="11">
        <v>57.653924352920583</v>
      </c>
      <c r="AF1025" s="11">
        <v>275.28711622228502</v>
      </c>
      <c r="AG1025" t="s">
        <v>34</v>
      </c>
    </row>
    <row r="1026" spans="1:33">
      <c r="A1026" s="2">
        <v>44907</v>
      </c>
      <c r="B1026" s="5" t="s">
        <v>36</v>
      </c>
      <c r="C1026" s="5">
        <f>WEEKDAY(Table1[[#This Row],[Date]])</f>
        <v>2</v>
      </c>
      <c r="D1026" s="5">
        <f>MONTH(Table1[[#This Row],[Date]])</f>
        <v>12</v>
      </c>
      <c r="E1026" s="5">
        <f>WEEKNUM(Table1[[#This Row],[Date]])</f>
        <v>51</v>
      </c>
      <c r="F1026" s="5">
        <f>YEAR(Table1[[#This Row],[Date]])</f>
        <v>2022</v>
      </c>
      <c r="G1026">
        <v>521</v>
      </c>
      <c r="L1026" s="5">
        <v>163</v>
      </c>
      <c r="M1026" s="6">
        <v>0.94220000000000004</v>
      </c>
      <c r="N1026" s="5">
        <v>10</v>
      </c>
      <c r="O1026" s="7">
        <v>1.9675925925925926E-4</v>
      </c>
      <c r="P1026" s="7">
        <v>1.9212962962962964E-3</v>
      </c>
      <c r="Q1026" s="7">
        <v>1.8981481481481482E-3</v>
      </c>
      <c r="R1026" s="6">
        <v>0.77190000000000003</v>
      </c>
      <c r="S1026" s="8">
        <f>CONVERT(Table1[[#This Row],[Talk Duration (AVG)]]*Table1[[#This Row],[Answered Calls]],"day","hr")</f>
        <v>7.516111111111111</v>
      </c>
      <c r="T1026" s="9">
        <f>Table1[[#This Row],[Actual Workload hours]]*60</f>
        <v>450.96666666666664</v>
      </c>
      <c r="U1026" s="9">
        <f>CONVERT(Table1[[#This Row],[Actual]]*Table1[[#This Row],[Talk Duration (AVG)]],"day","hr")</f>
        <v>24.023888888888887</v>
      </c>
      <c r="V1026" s="10">
        <f>Table1[[#This Row],[Required Workload Hours]]*60</f>
        <v>1441.4333333333332</v>
      </c>
      <c r="W1026" s="9">
        <v>1.17</v>
      </c>
      <c r="X1026" s="9">
        <f t="shared" si="30"/>
        <v>3.7537326388888883</v>
      </c>
      <c r="Y1026" s="5">
        <f t="shared" si="31"/>
        <v>2</v>
      </c>
      <c r="Z1026" s="8">
        <f>ROUNDUP(Table1[[#This Row],[Actual Heacount]],0)</f>
        <v>2</v>
      </c>
      <c r="AA1026" s="8"/>
      <c r="AB1026" s="10"/>
      <c r="AC1026" s="10"/>
      <c r="AD1026" s="10"/>
      <c r="AE1026" s="11">
        <v>153.7837650112846</v>
      </c>
      <c r="AF1026" s="11">
        <v>368.43135098976768</v>
      </c>
      <c r="AG1026" t="s">
        <v>34</v>
      </c>
    </row>
    <row r="1027" spans="1:33">
      <c r="A1027" s="2">
        <v>44908</v>
      </c>
      <c r="B1027" s="5" t="s">
        <v>37</v>
      </c>
      <c r="C1027" s="5">
        <f>WEEKDAY(Table1[[#This Row],[Date]])</f>
        <v>3</v>
      </c>
      <c r="D1027" s="5">
        <f>MONTH(Table1[[#This Row],[Date]])</f>
        <v>12</v>
      </c>
      <c r="E1027" s="5">
        <f>WEEKNUM(Table1[[#This Row],[Date]])</f>
        <v>51</v>
      </c>
      <c r="F1027" s="5">
        <f>YEAR(Table1[[#This Row],[Date]])</f>
        <v>2022</v>
      </c>
      <c r="G1027">
        <v>330</v>
      </c>
      <c r="L1027" s="5">
        <v>152</v>
      </c>
      <c r="M1027" s="6">
        <v>0.91020000000000001</v>
      </c>
      <c r="N1027" s="5">
        <v>15</v>
      </c>
      <c r="O1027" s="7">
        <v>1.5046296296296297E-4</v>
      </c>
      <c r="P1027" s="7">
        <v>1.8171296296296297E-3</v>
      </c>
      <c r="Q1027" s="7">
        <v>3.5879629629629629E-3</v>
      </c>
      <c r="R1027" s="6">
        <v>0.84150000000000003</v>
      </c>
      <c r="S1027" s="8">
        <f>CONVERT(Table1[[#This Row],[Talk Duration (AVG)]]*Table1[[#This Row],[Answered Calls]],"day","hr")</f>
        <v>6.6288888888888895</v>
      </c>
      <c r="T1027" s="9">
        <f>Table1[[#This Row],[Actual Workload hours]]*60</f>
        <v>397.73333333333335</v>
      </c>
      <c r="U1027" s="9">
        <f>CONVERT(Table1[[#This Row],[Actual]]*Table1[[#This Row],[Talk Duration (AVG)]],"day","hr")</f>
        <v>14.391666666666667</v>
      </c>
      <c r="V1027" s="10">
        <f>Table1[[#This Row],[Required Workload Hours]]*60</f>
        <v>863.5</v>
      </c>
      <c r="W1027" s="9">
        <v>1.04</v>
      </c>
      <c r="X1027" s="9">
        <f t="shared" ref="X1027:X1090" si="32">IF(V1027&lt;384,1,(V1027/384))</f>
        <v>2.2486979166666665</v>
      </c>
      <c r="Y1027" s="5">
        <f t="shared" ref="Y1027:Y1090" si="33">IF(B1027="Sunday",1,2)</f>
        <v>2</v>
      </c>
      <c r="Z1027" s="8">
        <f>ROUNDUP(Table1[[#This Row],[Actual Heacount]],0)</f>
        <v>2</v>
      </c>
      <c r="AA1027" s="8"/>
      <c r="AB1027" s="10"/>
      <c r="AC1027" s="10"/>
      <c r="AD1027" s="10"/>
      <c r="AE1027" s="11">
        <v>129.65985979952941</v>
      </c>
      <c r="AF1027" s="11">
        <v>357.82449654475221</v>
      </c>
      <c r="AG1027" t="s">
        <v>34</v>
      </c>
    </row>
    <row r="1028" spans="1:33">
      <c r="A1028" s="2">
        <v>44909</v>
      </c>
      <c r="B1028" s="5" t="s">
        <v>38</v>
      </c>
      <c r="C1028" s="5">
        <f>WEEKDAY(Table1[[#This Row],[Date]])</f>
        <v>4</v>
      </c>
      <c r="D1028" s="5">
        <f>MONTH(Table1[[#This Row],[Date]])</f>
        <v>12</v>
      </c>
      <c r="E1028" s="5">
        <f>WEEKNUM(Table1[[#This Row],[Date]])</f>
        <v>51</v>
      </c>
      <c r="F1028" s="5">
        <f>YEAR(Table1[[#This Row],[Date]])</f>
        <v>2022</v>
      </c>
      <c r="G1028">
        <v>298</v>
      </c>
      <c r="L1028" s="5">
        <v>24</v>
      </c>
      <c r="M1028" s="6">
        <v>0.88890000000000002</v>
      </c>
      <c r="N1028" s="5">
        <v>3</v>
      </c>
      <c r="O1028" s="7">
        <v>2.3148148148148149E-4</v>
      </c>
      <c r="P1028" s="7">
        <v>1.4467592592592592E-3</v>
      </c>
      <c r="Q1028" s="7">
        <v>2.5810185185185185E-3</v>
      </c>
      <c r="R1028" s="6">
        <v>0.76919999999999999</v>
      </c>
      <c r="S1028" s="8">
        <f>CONVERT(Table1[[#This Row],[Talk Duration (AVG)]]*Table1[[#This Row],[Answered Calls]],"day","hr")</f>
        <v>0.83333333333333337</v>
      </c>
      <c r="T1028" s="9">
        <f>Table1[[#This Row],[Actual Workload hours]]*60</f>
        <v>50</v>
      </c>
      <c r="U1028" s="9">
        <f>CONVERT(Table1[[#This Row],[Actual]]*Table1[[#This Row],[Talk Duration (AVG)]],"day","hr")</f>
        <v>10.347222222222221</v>
      </c>
      <c r="V1028" s="10">
        <f>Table1[[#This Row],[Required Workload Hours]]*60</f>
        <v>620.83333333333326</v>
      </c>
      <c r="W1028" s="9">
        <v>1</v>
      </c>
      <c r="X1028" s="9">
        <f t="shared" si="32"/>
        <v>1.6167534722222221</v>
      </c>
      <c r="Y1028" s="5">
        <f t="shared" si="33"/>
        <v>1</v>
      </c>
      <c r="Z1028" s="8">
        <f>ROUNDUP(Table1[[#This Row],[Actual Heacount]],0)</f>
        <v>1</v>
      </c>
      <c r="AA1028" s="8"/>
      <c r="AB1028" s="10"/>
      <c r="AC1028" s="10"/>
      <c r="AD1028" s="10"/>
      <c r="AE1028" s="11">
        <v>141.71625291164409</v>
      </c>
      <c r="AF1028" s="11">
        <v>368.98254160082712</v>
      </c>
      <c r="AG1028" t="s">
        <v>34</v>
      </c>
    </row>
    <row r="1029" spans="1:33">
      <c r="A1029" s="2">
        <v>44910</v>
      </c>
      <c r="B1029" s="5" t="s">
        <v>39</v>
      </c>
      <c r="C1029" s="5">
        <f>WEEKDAY(Table1[[#This Row],[Date]])</f>
        <v>5</v>
      </c>
      <c r="D1029" s="5">
        <f>MONTH(Table1[[#This Row],[Date]])</f>
        <v>12</v>
      </c>
      <c r="E1029" s="5">
        <f>WEEKNUM(Table1[[#This Row],[Date]])</f>
        <v>51</v>
      </c>
      <c r="F1029" s="5">
        <f>YEAR(Table1[[#This Row],[Date]])</f>
        <v>2022</v>
      </c>
      <c r="G1029">
        <v>294</v>
      </c>
      <c r="L1029" s="5">
        <v>153</v>
      </c>
      <c r="M1029" s="6">
        <v>0.88439999999999996</v>
      </c>
      <c r="N1029" s="5">
        <v>20</v>
      </c>
      <c r="O1029" s="7">
        <v>3.3564814814814812E-4</v>
      </c>
      <c r="P1029" s="7">
        <v>1.9212962962962964E-3</v>
      </c>
      <c r="Q1029" s="7">
        <v>2.1527777777777778E-3</v>
      </c>
      <c r="R1029" s="6">
        <v>0.57989999999999997</v>
      </c>
      <c r="S1029" s="8">
        <f>CONVERT(Table1[[#This Row],[Talk Duration (AVG)]]*Table1[[#This Row],[Answered Calls]],"day","hr")</f>
        <v>7.0549999999999997</v>
      </c>
      <c r="T1029" s="9">
        <f>Table1[[#This Row],[Actual Workload hours]]*60</f>
        <v>423.29999999999995</v>
      </c>
      <c r="U1029" s="9">
        <f>CONVERT(Table1[[#This Row],[Actual]]*Table1[[#This Row],[Talk Duration (AVG)]],"day","hr")</f>
        <v>13.556666666666667</v>
      </c>
      <c r="V1029" s="10">
        <f>Table1[[#This Row],[Required Workload Hours]]*60</f>
        <v>813.4</v>
      </c>
      <c r="W1029" s="9">
        <v>1.1000000000000001</v>
      </c>
      <c r="X1029" s="9">
        <f t="shared" si="32"/>
        <v>2.1182291666666666</v>
      </c>
      <c r="Y1029" s="5">
        <f t="shared" si="33"/>
        <v>2</v>
      </c>
      <c r="Z1029" s="8">
        <f>ROUNDUP(Table1[[#This Row],[Actual Heacount]],0)</f>
        <v>2</v>
      </c>
      <c r="AA1029" s="8"/>
      <c r="AB1029" s="10"/>
      <c r="AC1029" s="10"/>
      <c r="AD1029" s="10"/>
      <c r="AE1029" s="11">
        <v>146.58182882056519</v>
      </c>
      <c r="AF1029" s="11">
        <v>365.77615339280862</v>
      </c>
      <c r="AG1029" t="s">
        <v>34</v>
      </c>
    </row>
    <row r="1030" spans="1:33">
      <c r="A1030" s="2">
        <v>44911</v>
      </c>
      <c r="B1030" s="5" t="s">
        <v>40</v>
      </c>
      <c r="C1030" s="5">
        <f>WEEKDAY(Table1[[#This Row],[Date]])</f>
        <v>6</v>
      </c>
      <c r="D1030" s="5">
        <f>MONTH(Table1[[#This Row],[Date]])</f>
        <v>12</v>
      </c>
      <c r="E1030" s="5">
        <f>WEEKNUM(Table1[[#This Row],[Date]])</f>
        <v>51</v>
      </c>
      <c r="F1030" s="5">
        <f>YEAR(Table1[[#This Row],[Date]])</f>
        <v>2022</v>
      </c>
      <c r="G1030">
        <v>261</v>
      </c>
      <c r="L1030" s="5">
        <v>27</v>
      </c>
      <c r="M1030" s="6">
        <v>0.75</v>
      </c>
      <c r="N1030" s="5">
        <v>9</v>
      </c>
      <c r="O1030" s="7">
        <v>4.1666666666666669E-4</v>
      </c>
      <c r="P1030" s="7">
        <v>2.0254629629629629E-3</v>
      </c>
      <c r="Q1030" s="7">
        <v>2.7430555555555554E-3</v>
      </c>
      <c r="R1030" s="6">
        <v>0.41670000000000001</v>
      </c>
      <c r="S1030" s="8">
        <f>CONVERT(Table1[[#This Row],[Talk Duration (AVG)]]*Table1[[#This Row],[Answered Calls]],"day","hr")</f>
        <v>1.3125</v>
      </c>
      <c r="T1030" s="9">
        <f>Table1[[#This Row],[Actual Workload hours]]*60</f>
        <v>78.75</v>
      </c>
      <c r="U1030" s="9">
        <f>CONVERT(Table1[[#This Row],[Actual]]*Table1[[#This Row],[Talk Duration (AVG)]],"day","hr")</f>
        <v>12.687499999999998</v>
      </c>
      <c r="V1030" s="10">
        <f>Table1[[#This Row],[Required Workload Hours]]*60</f>
        <v>761.24999999999989</v>
      </c>
      <c r="W1030" s="9">
        <v>1</v>
      </c>
      <c r="X1030" s="9">
        <f t="shared" si="32"/>
        <v>1.9824218749999998</v>
      </c>
      <c r="Y1030" s="5">
        <f t="shared" si="33"/>
        <v>2</v>
      </c>
      <c r="Z1030" s="8">
        <f>ROUNDUP(Table1[[#This Row],[Actual Heacount]],0)</f>
        <v>1</v>
      </c>
      <c r="AA1030" s="8"/>
      <c r="AB1030" s="10"/>
      <c r="AC1030" s="10"/>
      <c r="AD1030" s="10"/>
      <c r="AE1030" s="11">
        <v>141.17478077479211</v>
      </c>
      <c r="AF1030" s="11">
        <v>345.36311008673738</v>
      </c>
      <c r="AG1030" t="s">
        <v>34</v>
      </c>
    </row>
    <row r="1031" spans="1:33">
      <c r="A1031" s="2">
        <v>44912</v>
      </c>
      <c r="B1031" s="5" t="s">
        <v>33</v>
      </c>
      <c r="C1031" s="5">
        <f>WEEKDAY(Table1[[#This Row],[Date]])</f>
        <v>7</v>
      </c>
      <c r="D1031" s="5">
        <f>MONTH(Table1[[#This Row],[Date]])</f>
        <v>12</v>
      </c>
      <c r="E1031" s="5">
        <f>WEEKNUM(Table1[[#This Row],[Date]])</f>
        <v>51</v>
      </c>
      <c r="F1031" s="5">
        <f>YEAR(Table1[[#This Row],[Date]])</f>
        <v>2022</v>
      </c>
      <c r="G1031">
        <v>223</v>
      </c>
      <c r="L1031" s="5">
        <v>171</v>
      </c>
      <c r="M1031" s="6">
        <v>0.9194</v>
      </c>
      <c r="N1031" s="5">
        <v>15</v>
      </c>
      <c r="O1031" s="7">
        <v>3.1250000000000001E-4</v>
      </c>
      <c r="P1031" s="7">
        <v>1.9560185185185184E-3</v>
      </c>
      <c r="Q1031" s="7">
        <v>2.4074074074074076E-3</v>
      </c>
      <c r="R1031" s="6">
        <v>0.64480000000000004</v>
      </c>
      <c r="S1031" s="8">
        <f>CONVERT(Table1[[#This Row],[Talk Duration (AVG)]]*Table1[[#This Row],[Answered Calls]],"day","hr")</f>
        <v>8.0274999999999999</v>
      </c>
      <c r="T1031" s="9">
        <f>Table1[[#This Row],[Actual Workload hours]]*60</f>
        <v>481.65</v>
      </c>
      <c r="U1031" s="9">
        <f>CONVERT(Table1[[#This Row],[Actual]]*Table1[[#This Row],[Talk Duration (AVG)]],"day","hr")</f>
        <v>10.468611111111111</v>
      </c>
      <c r="V1031" s="10">
        <f>Table1[[#This Row],[Required Workload Hours]]*60</f>
        <v>628.11666666666667</v>
      </c>
      <c r="W1031" s="9">
        <v>1.25</v>
      </c>
      <c r="X1031" s="9">
        <f t="shared" si="32"/>
        <v>1.6357204861111112</v>
      </c>
      <c r="Y1031" s="5">
        <f t="shared" si="33"/>
        <v>2</v>
      </c>
      <c r="Z1031" s="8">
        <f>ROUNDUP(Table1[[#This Row],[Actual Heacount]],0)</f>
        <v>2</v>
      </c>
      <c r="AA1031" s="8"/>
      <c r="AB1031" s="10"/>
      <c r="AC1031" s="10"/>
      <c r="AD1031" s="10"/>
      <c r="AE1031" s="11">
        <v>151.9980357474935</v>
      </c>
      <c r="AF1031" s="11">
        <v>363.91420936615361</v>
      </c>
      <c r="AG1031" t="s">
        <v>34</v>
      </c>
    </row>
    <row r="1032" spans="1:33">
      <c r="A1032" s="2">
        <v>44913</v>
      </c>
      <c r="B1032" s="5" t="s">
        <v>35</v>
      </c>
      <c r="C1032" s="5">
        <f>WEEKDAY(Table1[[#This Row],[Date]])</f>
        <v>1</v>
      </c>
      <c r="D1032" s="5">
        <f>MONTH(Table1[[#This Row],[Date]])</f>
        <v>12</v>
      </c>
      <c r="E1032" s="5">
        <f>WEEKNUM(Table1[[#This Row],[Date]])</f>
        <v>52</v>
      </c>
      <c r="F1032" s="5">
        <f>YEAR(Table1[[#This Row],[Date]])</f>
        <v>2022</v>
      </c>
      <c r="G1032">
        <v>59</v>
      </c>
      <c r="L1032" s="5">
        <v>149</v>
      </c>
      <c r="M1032" s="6">
        <v>0.93130000000000002</v>
      </c>
      <c r="N1032" s="5">
        <v>11</v>
      </c>
      <c r="O1032" s="7">
        <v>2.6620370370370372E-4</v>
      </c>
      <c r="P1032" s="7">
        <v>1.9328703703703704E-3</v>
      </c>
      <c r="Q1032" s="7">
        <v>3.3796296296296296E-3</v>
      </c>
      <c r="R1032" s="6">
        <v>0.74050000000000005</v>
      </c>
      <c r="S1032" s="8">
        <f>CONVERT(Table1[[#This Row],[Talk Duration (AVG)]]*Table1[[#This Row],[Answered Calls]],"day","hr")</f>
        <v>6.911944444444444</v>
      </c>
      <c r="T1032" s="9">
        <f>Table1[[#This Row],[Actual Workload hours]]*60</f>
        <v>414.71666666666664</v>
      </c>
      <c r="U1032" s="9">
        <f>CONVERT(Table1[[#This Row],[Actual]]*Table1[[#This Row],[Talk Duration (AVG)]],"day","hr")</f>
        <v>2.7369444444444446</v>
      </c>
      <c r="V1032" s="10">
        <f>Table1[[#This Row],[Required Workload Hours]]*60</f>
        <v>164.21666666666667</v>
      </c>
      <c r="W1032" s="9">
        <v>1.08</v>
      </c>
      <c r="X1032" s="9">
        <f t="shared" si="32"/>
        <v>1</v>
      </c>
      <c r="Y1032" s="5">
        <f t="shared" si="33"/>
        <v>2</v>
      </c>
      <c r="Z1032" s="8">
        <f>ROUNDUP(Table1[[#This Row],[Actual Heacount]],0)</f>
        <v>2</v>
      </c>
      <c r="AA1032" s="8"/>
      <c r="AB1032" s="10"/>
      <c r="AC1032" s="10"/>
      <c r="AD1032" s="10"/>
      <c r="AE1032" s="11">
        <v>55.832085521048711</v>
      </c>
      <c r="AF1032" s="11">
        <v>278.38975673705471</v>
      </c>
      <c r="AG1032" t="s">
        <v>34</v>
      </c>
    </row>
    <row r="1033" spans="1:33">
      <c r="A1033" s="2">
        <v>44914</v>
      </c>
      <c r="B1033" s="5" t="s">
        <v>36</v>
      </c>
      <c r="C1033" s="5">
        <f>WEEKDAY(Table1[[#This Row],[Date]])</f>
        <v>2</v>
      </c>
      <c r="D1033" s="5">
        <f>MONTH(Table1[[#This Row],[Date]])</f>
        <v>12</v>
      </c>
      <c r="E1033" s="5">
        <f>WEEKNUM(Table1[[#This Row],[Date]])</f>
        <v>52</v>
      </c>
      <c r="F1033" s="5">
        <f>YEAR(Table1[[#This Row],[Date]])</f>
        <v>2022</v>
      </c>
      <c r="G1033">
        <v>340</v>
      </c>
      <c r="L1033" s="5">
        <v>215</v>
      </c>
      <c r="M1033" s="6">
        <v>0.92269999999999996</v>
      </c>
      <c r="N1033" s="5">
        <v>18</v>
      </c>
      <c r="O1033" s="7">
        <v>2.5462962962962961E-4</v>
      </c>
      <c r="P1033" s="7">
        <v>1.7824074074074075E-3</v>
      </c>
      <c r="Q1033" s="7">
        <v>5.6481481481481478E-3</v>
      </c>
      <c r="R1033" s="6">
        <v>0.74119999999999997</v>
      </c>
      <c r="S1033" s="8">
        <f>CONVERT(Table1[[#This Row],[Talk Duration (AVG)]]*Table1[[#This Row],[Answered Calls]],"day","hr")</f>
        <v>9.1972222222222229</v>
      </c>
      <c r="T1033" s="9">
        <f>Table1[[#This Row],[Actual Workload hours]]*60</f>
        <v>551.83333333333337</v>
      </c>
      <c r="U1033" s="9">
        <f>CONVERT(Table1[[#This Row],[Actual]]*Table1[[#This Row],[Talk Duration (AVG)]],"day","hr")</f>
        <v>14.544444444444444</v>
      </c>
      <c r="V1033" s="10">
        <f>Table1[[#This Row],[Required Workload Hours]]*60</f>
        <v>872.66666666666663</v>
      </c>
      <c r="W1033" s="9">
        <v>1.44</v>
      </c>
      <c r="X1033" s="9">
        <f t="shared" si="32"/>
        <v>2.2725694444444442</v>
      </c>
      <c r="Y1033" s="5">
        <f t="shared" si="33"/>
        <v>2</v>
      </c>
      <c r="Z1033" s="8">
        <f>ROUNDUP(Table1[[#This Row],[Actual Heacount]],0)</f>
        <v>2</v>
      </c>
      <c r="AA1033" s="8"/>
      <c r="AB1033" s="10"/>
      <c r="AC1033" s="10"/>
      <c r="AD1033" s="10"/>
      <c r="AE1033" s="11">
        <v>154.54070974742061</v>
      </c>
      <c r="AF1033" s="11">
        <v>369.62039075061608</v>
      </c>
      <c r="AG1033" t="s">
        <v>34</v>
      </c>
    </row>
    <row r="1034" spans="1:33">
      <c r="A1034" s="2">
        <v>44915</v>
      </c>
      <c r="B1034" s="5" t="s">
        <v>37</v>
      </c>
      <c r="C1034" s="5">
        <f>WEEKDAY(Table1[[#This Row],[Date]])</f>
        <v>3</v>
      </c>
      <c r="D1034" s="5">
        <f>MONTH(Table1[[#This Row],[Date]])</f>
        <v>12</v>
      </c>
      <c r="E1034" s="5">
        <f>WEEKNUM(Table1[[#This Row],[Date]])</f>
        <v>52</v>
      </c>
      <c r="F1034" s="5">
        <f>YEAR(Table1[[#This Row],[Date]])</f>
        <v>2022</v>
      </c>
      <c r="G1034">
        <v>287</v>
      </c>
      <c r="L1034" s="5">
        <v>157</v>
      </c>
      <c r="M1034" s="6">
        <v>0.96909999999999996</v>
      </c>
      <c r="N1034" s="5">
        <v>5</v>
      </c>
      <c r="O1034" s="7">
        <v>1.5046296296296297E-4</v>
      </c>
      <c r="P1034" s="7">
        <v>1.7592592592592592E-3</v>
      </c>
      <c r="Q1034" s="7">
        <v>3.5879629629629629E-3</v>
      </c>
      <c r="R1034" s="6">
        <v>0.82720000000000005</v>
      </c>
      <c r="S1034" s="8">
        <f>CONVERT(Table1[[#This Row],[Talk Duration (AVG)]]*Table1[[#This Row],[Answered Calls]],"day","hr")</f>
        <v>6.6288888888888877</v>
      </c>
      <c r="T1034" s="9">
        <f>Table1[[#This Row],[Actual Workload hours]]*60</f>
        <v>397.73333333333323</v>
      </c>
      <c r="U1034" s="9">
        <f>CONVERT(Table1[[#This Row],[Actual]]*Table1[[#This Row],[Talk Duration (AVG)]],"day","hr")</f>
        <v>12.117777777777775</v>
      </c>
      <c r="V1034" s="10">
        <f>Table1[[#This Row],[Required Workload Hours]]*60</f>
        <v>727.06666666666649</v>
      </c>
      <c r="W1034" s="9">
        <v>1.04</v>
      </c>
      <c r="X1034" s="9">
        <f t="shared" si="32"/>
        <v>1.8934027777777773</v>
      </c>
      <c r="Y1034" s="5">
        <f t="shared" si="33"/>
        <v>2</v>
      </c>
      <c r="Z1034" s="8">
        <f>ROUNDUP(Table1[[#This Row],[Actual Heacount]],0)</f>
        <v>2</v>
      </c>
      <c r="AA1034" s="8"/>
      <c r="AB1034" s="10"/>
      <c r="AC1034" s="10"/>
      <c r="AD1034" s="10"/>
      <c r="AE1034" s="11">
        <v>136.70862145681309</v>
      </c>
      <c r="AF1034" s="11">
        <v>359.46154228449609</v>
      </c>
      <c r="AG1034" t="s">
        <v>34</v>
      </c>
    </row>
    <row r="1035" spans="1:33">
      <c r="A1035" s="2">
        <v>44916</v>
      </c>
      <c r="B1035" s="5" t="s">
        <v>38</v>
      </c>
      <c r="C1035" s="5">
        <f>WEEKDAY(Table1[[#This Row],[Date]])</f>
        <v>4</v>
      </c>
      <c r="D1035" s="5">
        <f>MONTH(Table1[[#This Row],[Date]])</f>
        <v>12</v>
      </c>
      <c r="E1035" s="5">
        <f>WEEKNUM(Table1[[#This Row],[Date]])</f>
        <v>52</v>
      </c>
      <c r="F1035" s="5">
        <f>YEAR(Table1[[#This Row],[Date]])</f>
        <v>2022</v>
      </c>
      <c r="G1035">
        <v>269</v>
      </c>
      <c r="L1035" s="5">
        <v>24</v>
      </c>
      <c r="M1035" s="6">
        <v>0.88890000000000002</v>
      </c>
      <c r="N1035" s="5">
        <v>3</v>
      </c>
      <c r="O1035" s="7">
        <v>2.0833333333333335E-4</v>
      </c>
      <c r="P1035" s="7">
        <v>1.5046296296296296E-3</v>
      </c>
      <c r="Q1035" s="7">
        <v>2.673611111111111E-3</v>
      </c>
      <c r="R1035" s="6">
        <v>0.70369999999999999</v>
      </c>
      <c r="S1035" s="8">
        <f>CONVERT(Table1[[#This Row],[Talk Duration (AVG)]]*Table1[[#This Row],[Answered Calls]],"day","hr")</f>
        <v>0.86666666666666659</v>
      </c>
      <c r="T1035" s="9">
        <f>Table1[[#This Row],[Actual Workload hours]]*60</f>
        <v>51.999999999999993</v>
      </c>
      <c r="U1035" s="9">
        <f>CONVERT(Table1[[#This Row],[Actual]]*Table1[[#This Row],[Talk Duration (AVG)]],"day","hr")</f>
        <v>9.7138888888888886</v>
      </c>
      <c r="V1035" s="10">
        <f>Table1[[#This Row],[Required Workload Hours]]*60</f>
        <v>582.83333333333326</v>
      </c>
      <c r="W1035" s="9">
        <v>1</v>
      </c>
      <c r="X1035" s="9">
        <f t="shared" si="32"/>
        <v>1.5177951388888886</v>
      </c>
      <c r="Y1035" s="5">
        <f t="shared" si="33"/>
        <v>1</v>
      </c>
      <c r="Z1035" s="8">
        <f>ROUNDUP(Table1[[#This Row],[Actual Heacount]],0)</f>
        <v>1</v>
      </c>
      <c r="AA1035" s="8"/>
      <c r="AB1035" s="10"/>
      <c r="AC1035" s="10"/>
      <c r="AD1035" s="10"/>
      <c r="AE1035" s="11">
        <v>160.21271991331679</v>
      </c>
      <c r="AF1035" s="11">
        <v>370.08029766345749</v>
      </c>
      <c r="AG1035" t="s">
        <v>34</v>
      </c>
    </row>
    <row r="1036" spans="1:33">
      <c r="A1036" s="2">
        <v>44917</v>
      </c>
      <c r="B1036" s="5" t="s">
        <v>39</v>
      </c>
      <c r="C1036" s="5">
        <f>WEEKDAY(Table1[[#This Row],[Date]])</f>
        <v>5</v>
      </c>
      <c r="D1036" s="5">
        <f>MONTH(Table1[[#This Row],[Date]])</f>
        <v>12</v>
      </c>
      <c r="E1036" s="5">
        <f>WEEKNUM(Table1[[#This Row],[Date]])</f>
        <v>52</v>
      </c>
      <c r="F1036" s="5">
        <f>YEAR(Table1[[#This Row],[Date]])</f>
        <v>2022</v>
      </c>
      <c r="G1036">
        <v>270</v>
      </c>
      <c r="L1036" s="5">
        <v>155</v>
      </c>
      <c r="M1036" s="6">
        <v>0.92259999999999998</v>
      </c>
      <c r="N1036" s="5">
        <v>13</v>
      </c>
      <c r="O1036" s="7">
        <v>3.0092592592592595E-4</v>
      </c>
      <c r="P1036" s="7">
        <v>2.2916666666666667E-3</v>
      </c>
      <c r="Q1036" s="7">
        <v>2.1759259259259258E-3</v>
      </c>
      <c r="R1036" s="6">
        <v>0.64880000000000004</v>
      </c>
      <c r="S1036" s="8">
        <f>CONVERT(Table1[[#This Row],[Talk Duration (AVG)]]*Table1[[#This Row],[Answered Calls]],"day","hr")</f>
        <v>8.5250000000000004</v>
      </c>
      <c r="T1036" s="9">
        <f>Table1[[#This Row],[Actual Workload hours]]*60</f>
        <v>511.5</v>
      </c>
      <c r="U1036" s="9">
        <f>CONVERT(Table1[[#This Row],[Actual]]*Table1[[#This Row],[Talk Duration (AVG)]],"day","hr")</f>
        <v>14.85</v>
      </c>
      <c r="V1036" s="10">
        <f>Table1[[#This Row],[Required Workload Hours]]*60</f>
        <v>891</v>
      </c>
      <c r="W1036" s="9">
        <v>1.33</v>
      </c>
      <c r="X1036" s="9">
        <f t="shared" si="32"/>
        <v>2.3203125</v>
      </c>
      <c r="Y1036" s="5">
        <f t="shared" si="33"/>
        <v>2</v>
      </c>
      <c r="Z1036" s="8">
        <f>ROUNDUP(Table1[[#This Row],[Actual Heacount]],0)</f>
        <v>2</v>
      </c>
      <c r="AA1036" s="8"/>
      <c r="AB1036" s="10"/>
      <c r="AC1036" s="10"/>
      <c r="AD1036" s="10"/>
      <c r="AE1036" s="11">
        <v>148.44580348058059</v>
      </c>
      <c r="AF1036" s="11">
        <v>362.78698131110912</v>
      </c>
      <c r="AG1036" t="s">
        <v>34</v>
      </c>
    </row>
    <row r="1037" spans="1:33">
      <c r="A1037" s="2">
        <v>44918</v>
      </c>
      <c r="B1037" s="5" t="s">
        <v>40</v>
      </c>
      <c r="C1037" s="5">
        <f>WEEKDAY(Table1[[#This Row],[Date]])</f>
        <v>6</v>
      </c>
      <c r="D1037" s="5">
        <f>MONTH(Table1[[#This Row],[Date]])</f>
        <v>12</v>
      </c>
      <c r="E1037" s="5">
        <f>WEEKNUM(Table1[[#This Row],[Date]])</f>
        <v>52</v>
      </c>
      <c r="F1037" s="5">
        <f>YEAR(Table1[[#This Row],[Date]])</f>
        <v>2022</v>
      </c>
      <c r="G1037">
        <v>285</v>
      </c>
      <c r="L1037" s="5">
        <v>301</v>
      </c>
      <c r="M1037" s="6">
        <v>0.91769999999999996</v>
      </c>
      <c r="N1037" s="5">
        <v>27</v>
      </c>
      <c r="O1037" s="7">
        <v>2.6620370370370372E-4</v>
      </c>
      <c r="P1037" s="7">
        <v>1.724537037037037E-3</v>
      </c>
      <c r="Q1037" s="7">
        <v>4.8495370370370368E-3</v>
      </c>
      <c r="R1037" s="6">
        <v>0.67910000000000004</v>
      </c>
      <c r="S1037" s="8">
        <f>CONVERT(Table1[[#This Row],[Talk Duration (AVG)]]*Table1[[#This Row],[Answered Calls]],"day","hr")</f>
        <v>12.458055555555555</v>
      </c>
      <c r="T1037" s="9">
        <f>Table1[[#This Row],[Actual Workload hours]]*60</f>
        <v>747.48333333333335</v>
      </c>
      <c r="U1037" s="9">
        <f>CONVERT(Table1[[#This Row],[Actual]]*Table1[[#This Row],[Talk Duration (AVG)]],"day","hr")</f>
        <v>11.795833333333333</v>
      </c>
      <c r="V1037" s="10">
        <f>Table1[[#This Row],[Required Workload Hours]]*60</f>
        <v>707.75</v>
      </c>
      <c r="W1037" s="9">
        <v>1.95</v>
      </c>
      <c r="X1037" s="9">
        <f t="shared" si="32"/>
        <v>1.8430989583333333</v>
      </c>
      <c r="Y1037" s="5">
        <f t="shared" si="33"/>
        <v>2</v>
      </c>
      <c r="Z1037" s="8">
        <f>ROUNDUP(Table1[[#This Row],[Actual Heacount]],0)</f>
        <v>2</v>
      </c>
      <c r="AA1037" s="8"/>
      <c r="AB1037" s="10"/>
      <c r="AC1037" s="10"/>
      <c r="AD1037" s="10"/>
      <c r="AE1037" s="11">
        <v>131.59510283986609</v>
      </c>
      <c r="AF1037" s="11">
        <v>354.38585368203479</v>
      </c>
      <c r="AG1037" t="s">
        <v>34</v>
      </c>
    </row>
    <row r="1038" spans="1:33">
      <c r="A1038" s="2">
        <v>44919</v>
      </c>
      <c r="B1038" s="5" t="s">
        <v>33</v>
      </c>
      <c r="C1038" s="5">
        <f>WEEKDAY(Table1[[#This Row],[Date]])</f>
        <v>7</v>
      </c>
      <c r="D1038" s="5">
        <f>MONTH(Table1[[#This Row],[Date]])</f>
        <v>12</v>
      </c>
      <c r="E1038" s="5">
        <f>WEEKNUM(Table1[[#This Row],[Date]])</f>
        <v>52</v>
      </c>
      <c r="F1038" s="5">
        <f>YEAR(Table1[[#This Row],[Date]])</f>
        <v>2022</v>
      </c>
      <c r="G1038">
        <v>251</v>
      </c>
      <c r="L1038" s="5">
        <v>208</v>
      </c>
      <c r="M1038" s="6">
        <v>0.88890000000000002</v>
      </c>
      <c r="N1038" s="5">
        <v>26</v>
      </c>
      <c r="O1038" s="7">
        <v>2.3148148148148149E-4</v>
      </c>
      <c r="P1038" s="7">
        <v>1.8981481481481482E-3</v>
      </c>
      <c r="Q1038" s="7">
        <v>3.6805555555555554E-3</v>
      </c>
      <c r="R1038" s="6">
        <v>0.72250000000000003</v>
      </c>
      <c r="S1038" s="8">
        <f>CONVERT(Table1[[#This Row],[Talk Duration (AVG)]]*Table1[[#This Row],[Answered Calls]],"day","hr")</f>
        <v>9.4755555555555553</v>
      </c>
      <c r="T1038" s="9">
        <f>Table1[[#This Row],[Actual Workload hours]]*60</f>
        <v>568.5333333333333</v>
      </c>
      <c r="U1038" s="9">
        <f>CONVERT(Table1[[#This Row],[Actual]]*Table1[[#This Row],[Talk Duration (AVG)]],"day","hr")</f>
        <v>11.434444444444445</v>
      </c>
      <c r="V1038" s="10">
        <f>Table1[[#This Row],[Required Workload Hours]]*60</f>
        <v>686.06666666666672</v>
      </c>
      <c r="W1038" s="9">
        <v>1.48</v>
      </c>
      <c r="X1038" s="9">
        <f t="shared" si="32"/>
        <v>1.7866319444444445</v>
      </c>
      <c r="Y1038" s="5">
        <f t="shared" si="33"/>
        <v>2</v>
      </c>
      <c r="Z1038" s="8">
        <f>ROUNDUP(Table1[[#This Row],[Actual Heacount]],0)</f>
        <v>2</v>
      </c>
      <c r="AA1038" s="8"/>
      <c r="AB1038" s="10"/>
      <c r="AC1038" s="10"/>
      <c r="AD1038" s="10"/>
      <c r="AE1038" s="11">
        <v>144.2065944202225</v>
      </c>
      <c r="AF1038" s="11">
        <v>360.59453078705019</v>
      </c>
      <c r="AG1038" t="s">
        <v>34</v>
      </c>
    </row>
    <row r="1039" spans="1:33">
      <c r="A1039" s="2">
        <v>44920</v>
      </c>
      <c r="B1039" s="5" t="s">
        <v>35</v>
      </c>
      <c r="C1039" s="5">
        <f>WEEKDAY(Table1[[#This Row],[Date]])</f>
        <v>1</v>
      </c>
      <c r="D1039" s="5">
        <f>MONTH(Table1[[#This Row],[Date]])</f>
        <v>12</v>
      </c>
      <c r="E1039" s="5">
        <f>WEEKNUM(Table1[[#This Row],[Date]])</f>
        <v>53</v>
      </c>
      <c r="F1039" s="5">
        <f>YEAR(Table1[[#This Row],[Date]])</f>
        <v>2022</v>
      </c>
      <c r="G1039">
        <v>47</v>
      </c>
      <c r="L1039" s="5">
        <v>34</v>
      </c>
      <c r="M1039" s="6">
        <v>0.91890000000000005</v>
      </c>
      <c r="N1039" s="5">
        <v>3</v>
      </c>
      <c r="O1039" s="7">
        <v>1.6203703703703703E-4</v>
      </c>
      <c r="P1039" s="7">
        <v>1.5740740740740741E-3</v>
      </c>
      <c r="Q1039" s="7">
        <v>2.5925925925925925E-3</v>
      </c>
      <c r="R1039" s="6">
        <v>0.83779999999999999</v>
      </c>
      <c r="S1039" s="8">
        <f>CONVERT(Table1[[#This Row],[Talk Duration (AVG)]]*Table1[[#This Row],[Answered Calls]],"day","hr")</f>
        <v>1.2844444444444445</v>
      </c>
      <c r="T1039" s="9">
        <f>Table1[[#This Row],[Actual Workload hours]]*60</f>
        <v>77.066666666666663</v>
      </c>
      <c r="U1039" s="9">
        <f>CONVERT(Table1[[#This Row],[Actual]]*Table1[[#This Row],[Talk Duration (AVG)]],"day","hr")</f>
        <v>1.7755555555555556</v>
      </c>
      <c r="V1039" s="10">
        <f>Table1[[#This Row],[Required Workload Hours]]*60</f>
        <v>106.53333333333333</v>
      </c>
      <c r="W1039" s="9">
        <v>1</v>
      </c>
      <c r="X1039" s="9">
        <f t="shared" si="32"/>
        <v>1</v>
      </c>
      <c r="Y1039" s="5">
        <f t="shared" si="33"/>
        <v>2</v>
      </c>
      <c r="Z1039" s="8">
        <f>ROUNDUP(Table1[[#This Row],[Actual Heacount]],0)</f>
        <v>1</v>
      </c>
      <c r="AA1039" s="8"/>
      <c r="AB1039" s="10"/>
      <c r="AC1039" s="10"/>
      <c r="AD1039" s="10"/>
      <c r="AE1039" s="11">
        <v>46.249846675551382</v>
      </c>
      <c r="AF1039" s="11">
        <v>269.3564443244212</v>
      </c>
      <c r="AG1039" t="s">
        <v>34</v>
      </c>
    </row>
    <row r="1040" spans="1:33">
      <c r="A1040" s="2">
        <v>44921</v>
      </c>
      <c r="B1040" s="5" t="s">
        <v>36</v>
      </c>
      <c r="C1040" s="5">
        <f>WEEKDAY(Table1[[#This Row],[Date]])</f>
        <v>2</v>
      </c>
      <c r="D1040" s="5">
        <f>MONTH(Table1[[#This Row],[Date]])</f>
        <v>12</v>
      </c>
      <c r="E1040" s="5">
        <f>WEEKNUM(Table1[[#This Row],[Date]])</f>
        <v>53</v>
      </c>
      <c r="F1040" s="5">
        <f>YEAR(Table1[[#This Row],[Date]])</f>
        <v>2022</v>
      </c>
      <c r="G1040">
        <v>233</v>
      </c>
      <c r="L1040" s="5">
        <v>167</v>
      </c>
      <c r="M1040" s="6">
        <v>0.90269999999999995</v>
      </c>
      <c r="N1040" s="5">
        <v>18</v>
      </c>
      <c r="O1040" s="7">
        <v>2.0833333333333335E-4</v>
      </c>
      <c r="P1040" s="7">
        <v>1.8865740740740742E-3</v>
      </c>
      <c r="Q1040" s="7">
        <v>4.3055555555555555E-3</v>
      </c>
      <c r="R1040" s="6">
        <v>0.73509999999999998</v>
      </c>
      <c r="S1040" s="8">
        <f>CONVERT(Table1[[#This Row],[Talk Duration (AVG)]]*Table1[[#This Row],[Answered Calls]],"day","hr")</f>
        <v>7.5613888888888887</v>
      </c>
      <c r="T1040" s="9">
        <f>Table1[[#This Row],[Actual Workload hours]]*60</f>
        <v>453.68333333333334</v>
      </c>
      <c r="U1040" s="9">
        <f>CONVERT(Table1[[#This Row],[Actual]]*Table1[[#This Row],[Talk Duration (AVG)]],"day","hr")</f>
        <v>10.549722222222222</v>
      </c>
      <c r="V1040" s="10">
        <f>Table1[[#This Row],[Required Workload Hours]]*60</f>
        <v>632.98333333333335</v>
      </c>
      <c r="W1040" s="9">
        <v>1.18</v>
      </c>
      <c r="X1040" s="9">
        <f t="shared" si="32"/>
        <v>1.6483940972222222</v>
      </c>
      <c r="Y1040" s="5">
        <f t="shared" si="33"/>
        <v>2</v>
      </c>
      <c r="Z1040" s="8">
        <f>ROUNDUP(Table1[[#This Row],[Actual Heacount]],0)</f>
        <v>2</v>
      </c>
      <c r="AA1040" s="8"/>
      <c r="AB1040" s="10"/>
      <c r="AC1040" s="10"/>
      <c r="AD1040" s="10"/>
      <c r="AE1040" s="11">
        <v>159.14067078053779</v>
      </c>
      <c r="AF1040" s="11">
        <v>376.24942798444368</v>
      </c>
      <c r="AG1040" t="s">
        <v>34</v>
      </c>
    </row>
    <row r="1041" spans="1:33">
      <c r="A1041" s="2">
        <v>44922</v>
      </c>
      <c r="B1041" s="5" t="s">
        <v>37</v>
      </c>
      <c r="C1041" s="5">
        <f>WEEKDAY(Table1[[#This Row],[Date]])</f>
        <v>3</v>
      </c>
      <c r="D1041" s="5">
        <f>MONTH(Table1[[#This Row],[Date]])</f>
        <v>12</v>
      </c>
      <c r="E1041" s="5">
        <f>WEEKNUM(Table1[[#This Row],[Date]])</f>
        <v>53</v>
      </c>
      <c r="F1041" s="5">
        <f>YEAR(Table1[[#This Row],[Date]])</f>
        <v>2022</v>
      </c>
      <c r="G1041">
        <v>257</v>
      </c>
      <c r="L1041" s="5">
        <v>132</v>
      </c>
      <c r="M1041" s="6">
        <v>0.9496</v>
      </c>
      <c r="N1041" s="5">
        <v>7</v>
      </c>
      <c r="O1041" s="7">
        <v>1.1574074074074075E-4</v>
      </c>
      <c r="P1041" s="7">
        <v>2.0486111111111113E-3</v>
      </c>
      <c r="Q1041" s="7">
        <v>2.4074074074074076E-3</v>
      </c>
      <c r="R1041" s="6">
        <v>0.88319999999999999</v>
      </c>
      <c r="S1041" s="8">
        <f>CONVERT(Table1[[#This Row],[Talk Duration (AVG)]]*Table1[[#This Row],[Answered Calls]],"day","hr")</f>
        <v>6.4900000000000011</v>
      </c>
      <c r="T1041" s="9">
        <f>Table1[[#This Row],[Actual Workload hours]]*60</f>
        <v>389.40000000000009</v>
      </c>
      <c r="U1041" s="9">
        <f>CONVERT(Table1[[#This Row],[Actual]]*Table1[[#This Row],[Talk Duration (AVG)]],"day","hr")</f>
        <v>12.635833333333334</v>
      </c>
      <c r="V1041" s="10">
        <f>Table1[[#This Row],[Required Workload Hours]]*60</f>
        <v>758.15000000000009</v>
      </c>
      <c r="W1041" s="9">
        <v>1.01</v>
      </c>
      <c r="X1041" s="9">
        <f t="shared" si="32"/>
        <v>1.9743489583333336</v>
      </c>
      <c r="Y1041" s="5">
        <f t="shared" si="33"/>
        <v>2</v>
      </c>
      <c r="Z1041" s="8">
        <f>ROUNDUP(Table1[[#This Row],[Actual Heacount]],0)</f>
        <v>2</v>
      </c>
      <c r="AA1041" s="8"/>
      <c r="AB1041" s="10"/>
      <c r="AC1041" s="10"/>
      <c r="AD1041" s="10"/>
      <c r="AE1041" s="11">
        <v>139.28989072952359</v>
      </c>
      <c r="AF1041" s="11">
        <v>358.99006147183621</v>
      </c>
      <c r="AG1041" t="s">
        <v>34</v>
      </c>
    </row>
    <row r="1042" spans="1:33">
      <c r="A1042" s="2">
        <v>44923</v>
      </c>
      <c r="B1042" s="5" t="s">
        <v>38</v>
      </c>
      <c r="C1042" s="5">
        <f>WEEKDAY(Table1[[#This Row],[Date]])</f>
        <v>4</v>
      </c>
      <c r="D1042" s="5">
        <f>MONTH(Table1[[#This Row],[Date]])</f>
        <v>12</v>
      </c>
      <c r="E1042" s="5">
        <f>WEEKNUM(Table1[[#This Row],[Date]])</f>
        <v>53</v>
      </c>
      <c r="F1042" s="5">
        <f>YEAR(Table1[[#This Row],[Date]])</f>
        <v>2022</v>
      </c>
      <c r="G1042">
        <v>245</v>
      </c>
      <c r="L1042" s="5">
        <v>11</v>
      </c>
      <c r="M1042" s="6">
        <v>0.84619999999999995</v>
      </c>
      <c r="N1042" s="5">
        <v>2</v>
      </c>
      <c r="O1042" s="7">
        <v>5.3240740740740744E-4</v>
      </c>
      <c r="P1042" s="7">
        <v>1.4699074074074074E-3</v>
      </c>
      <c r="Q1042" s="7">
        <v>1.7939814814814815E-3</v>
      </c>
      <c r="R1042" s="6">
        <v>0.41670000000000001</v>
      </c>
      <c r="S1042" s="8">
        <f>CONVERT(Table1[[#This Row],[Talk Duration (AVG)]]*Table1[[#This Row],[Answered Calls]],"day","hr")</f>
        <v>0.38805555555555554</v>
      </c>
      <c r="T1042" s="9">
        <f>Table1[[#This Row],[Actual Workload hours]]*60</f>
        <v>23.283333333333331</v>
      </c>
      <c r="U1042" s="9">
        <f>CONVERT(Table1[[#This Row],[Actual]]*Table1[[#This Row],[Talk Duration (AVG)]],"day","hr")</f>
        <v>8.6430555555555557</v>
      </c>
      <c r="V1042" s="10">
        <f>Table1[[#This Row],[Required Workload Hours]]*60</f>
        <v>518.58333333333337</v>
      </c>
      <c r="W1042" s="9">
        <v>1</v>
      </c>
      <c r="X1042" s="9">
        <f t="shared" si="32"/>
        <v>1.3504774305555556</v>
      </c>
      <c r="Y1042" s="5">
        <f t="shared" si="33"/>
        <v>1</v>
      </c>
      <c r="Z1042" s="8">
        <f>ROUNDUP(Table1[[#This Row],[Actual Heacount]],0)</f>
        <v>1</v>
      </c>
      <c r="AA1042" s="8"/>
      <c r="AB1042" s="10"/>
      <c r="AC1042" s="10"/>
      <c r="AD1042" s="10"/>
      <c r="AE1042" s="11">
        <v>146.55155263773969</v>
      </c>
      <c r="AF1042" s="11">
        <v>371.78022528253609</v>
      </c>
      <c r="AG1042" t="s">
        <v>34</v>
      </c>
    </row>
    <row r="1043" spans="1:33">
      <c r="A1043" s="2">
        <v>44924</v>
      </c>
      <c r="B1043" s="5" t="s">
        <v>39</v>
      </c>
      <c r="C1043" s="5">
        <f>WEEKDAY(Table1[[#This Row],[Date]])</f>
        <v>5</v>
      </c>
      <c r="D1043" s="5">
        <f>MONTH(Table1[[#This Row],[Date]])</f>
        <v>12</v>
      </c>
      <c r="E1043" s="5">
        <f>WEEKNUM(Table1[[#This Row],[Date]])</f>
        <v>53</v>
      </c>
      <c r="F1043" s="5">
        <f>YEAR(Table1[[#This Row],[Date]])</f>
        <v>2022</v>
      </c>
      <c r="G1043">
        <v>267</v>
      </c>
      <c r="L1043" s="5">
        <v>152</v>
      </c>
      <c r="M1043" s="6">
        <v>0.94410000000000005</v>
      </c>
      <c r="N1043" s="5">
        <v>9</v>
      </c>
      <c r="O1043" s="7">
        <v>2.6620370370370372E-4</v>
      </c>
      <c r="P1043" s="7">
        <v>1.712962962962963E-3</v>
      </c>
      <c r="Q1043" s="7">
        <v>1.9907407407407408E-3</v>
      </c>
      <c r="R1043" s="6">
        <v>0.69620000000000004</v>
      </c>
      <c r="S1043" s="8">
        <f>CONVERT(Table1[[#This Row],[Talk Duration (AVG)]]*Table1[[#This Row],[Answered Calls]],"day","hr")</f>
        <v>6.2488888888888887</v>
      </c>
      <c r="T1043" s="9">
        <f>Table1[[#This Row],[Actual Workload hours]]*60</f>
        <v>374.93333333333334</v>
      </c>
      <c r="U1043" s="9">
        <f>CONVERT(Table1[[#This Row],[Actual]]*Table1[[#This Row],[Talk Duration (AVG)]],"day","hr")</f>
        <v>10.976666666666667</v>
      </c>
      <c r="V1043" s="10">
        <f>Table1[[#This Row],[Required Workload Hours]]*60</f>
        <v>658.6</v>
      </c>
      <c r="W1043" s="9">
        <v>1</v>
      </c>
      <c r="X1043" s="9">
        <f t="shared" si="32"/>
        <v>1.7151041666666667</v>
      </c>
      <c r="Y1043" s="5">
        <f t="shared" si="33"/>
        <v>2</v>
      </c>
      <c r="Z1043" s="8">
        <f>ROUNDUP(Table1[[#This Row],[Actual Heacount]],0)</f>
        <v>1</v>
      </c>
      <c r="AA1043" s="8"/>
      <c r="AB1043" s="10"/>
      <c r="AC1043" s="10"/>
      <c r="AD1043" s="10"/>
      <c r="AE1043" s="11">
        <v>140.60991500429051</v>
      </c>
      <c r="AF1043" s="11">
        <v>359.64922481517021</v>
      </c>
      <c r="AG1043" t="s">
        <v>34</v>
      </c>
    </row>
    <row r="1044" spans="1:33">
      <c r="A1044" s="2">
        <v>44925</v>
      </c>
      <c r="B1044" s="5" t="s">
        <v>40</v>
      </c>
      <c r="C1044" s="5">
        <f>WEEKDAY(Table1[[#This Row],[Date]])</f>
        <v>6</v>
      </c>
      <c r="D1044" s="5">
        <f>MONTH(Table1[[#This Row],[Date]])</f>
        <v>12</v>
      </c>
      <c r="E1044" s="5">
        <f>WEEKNUM(Table1[[#This Row],[Date]])</f>
        <v>53</v>
      </c>
      <c r="F1044" s="5">
        <f>YEAR(Table1[[#This Row],[Date]])</f>
        <v>2022</v>
      </c>
      <c r="G1044">
        <v>231</v>
      </c>
      <c r="L1044" s="5">
        <v>144</v>
      </c>
      <c r="M1044" s="6">
        <v>0.96640000000000004</v>
      </c>
      <c r="N1044" s="5">
        <v>5</v>
      </c>
      <c r="O1044" s="7">
        <v>1.7361111111111112E-4</v>
      </c>
      <c r="P1044" s="7">
        <v>1.9212962962962964E-3</v>
      </c>
      <c r="Q1044" s="7">
        <v>2.0949074074074073E-3</v>
      </c>
      <c r="R1044" s="6">
        <v>0.83109999999999995</v>
      </c>
      <c r="S1044" s="8">
        <f>CONVERT(Table1[[#This Row],[Talk Duration (AVG)]]*Table1[[#This Row],[Answered Calls]],"day","hr")</f>
        <v>6.64</v>
      </c>
      <c r="T1044" s="9">
        <f>Table1[[#This Row],[Actual Workload hours]]*60</f>
        <v>398.4</v>
      </c>
      <c r="U1044" s="9">
        <f>CONVERT(Table1[[#This Row],[Actual]]*Table1[[#This Row],[Talk Duration (AVG)]],"day","hr")</f>
        <v>10.651666666666669</v>
      </c>
      <c r="V1044" s="10">
        <f>Table1[[#This Row],[Required Workload Hours]]*60</f>
        <v>639.10000000000014</v>
      </c>
      <c r="W1044" s="9">
        <v>1.04</v>
      </c>
      <c r="X1044" s="9">
        <f t="shared" si="32"/>
        <v>1.6643229166666671</v>
      </c>
      <c r="Y1044" s="5">
        <f t="shared" si="33"/>
        <v>2</v>
      </c>
      <c r="Z1044" s="8">
        <f>ROUNDUP(Table1[[#This Row],[Actual Heacount]],0)</f>
        <v>2</v>
      </c>
      <c r="AA1044" s="8"/>
      <c r="AB1044" s="10"/>
      <c r="AC1044" s="10"/>
      <c r="AD1044" s="10"/>
      <c r="AE1044" s="11">
        <v>132.25241370294751</v>
      </c>
      <c r="AF1044" s="11">
        <v>359.60353154351782</v>
      </c>
      <c r="AG1044" t="s">
        <v>34</v>
      </c>
    </row>
    <row r="1045" spans="1:33">
      <c r="A1045" s="2">
        <v>44926</v>
      </c>
      <c r="B1045" s="5" t="s">
        <v>33</v>
      </c>
      <c r="C1045" s="5">
        <f>WEEKDAY(Table1[[#This Row],[Date]])</f>
        <v>7</v>
      </c>
      <c r="D1045" s="5">
        <f>MONTH(Table1[[#This Row],[Date]])</f>
        <v>12</v>
      </c>
      <c r="E1045" s="5">
        <f>WEEKNUM(Table1[[#This Row],[Date]])</f>
        <v>53</v>
      </c>
      <c r="F1045" s="5">
        <f>YEAR(Table1[[#This Row],[Date]])</f>
        <v>2022</v>
      </c>
      <c r="G1045">
        <v>236</v>
      </c>
      <c r="L1045" s="5">
        <v>167</v>
      </c>
      <c r="M1045" s="6">
        <v>0.93820000000000003</v>
      </c>
      <c r="N1045" s="5">
        <v>11</v>
      </c>
      <c r="O1045" s="7">
        <v>2.5462962962962961E-4</v>
      </c>
      <c r="P1045" s="7">
        <v>1.8749999999999999E-3</v>
      </c>
      <c r="Q1045" s="7">
        <v>3.7499999999999999E-3</v>
      </c>
      <c r="R1045" s="6">
        <v>0.74860000000000004</v>
      </c>
      <c r="S1045" s="8">
        <f>CONVERT(Table1[[#This Row],[Talk Duration (AVG)]]*Table1[[#This Row],[Answered Calls]],"day","hr")</f>
        <v>7.5149999999999997</v>
      </c>
      <c r="T1045" s="9">
        <f>Table1[[#This Row],[Actual Workload hours]]*60</f>
        <v>450.9</v>
      </c>
      <c r="U1045" s="9">
        <f>CONVERT(Table1[[#This Row],[Actual]]*Table1[[#This Row],[Talk Duration (AVG)]],"day","hr")</f>
        <v>10.62</v>
      </c>
      <c r="V1045" s="10">
        <f>Table1[[#This Row],[Required Workload Hours]]*60</f>
        <v>637.19999999999993</v>
      </c>
      <c r="W1045" s="9">
        <v>1.17</v>
      </c>
      <c r="X1045" s="9">
        <f>IF(V1045&lt;384,1,(V1045/384))</f>
        <v>1.6593749999999998</v>
      </c>
      <c r="Y1045" s="5">
        <f t="shared" si="33"/>
        <v>2</v>
      </c>
      <c r="Z1045" s="8">
        <f>ROUNDUP(Table1[[#This Row],[Actual Heacount]],0)</f>
        <v>2</v>
      </c>
      <c r="AA1045" s="8"/>
      <c r="AB1045" s="10"/>
      <c r="AC1045" s="10"/>
      <c r="AD1045" s="10"/>
      <c r="AE1045" s="11">
        <v>135.21490631019341</v>
      </c>
      <c r="AF1045" s="11">
        <v>354.05631970288158</v>
      </c>
      <c r="AG1045" t="s">
        <v>34</v>
      </c>
    </row>
    <row r="1046" spans="1:33">
      <c r="A1046" s="2">
        <v>44927</v>
      </c>
      <c r="B1046" s="5" t="s">
        <v>35</v>
      </c>
      <c r="C1046" s="5">
        <f>WEEKDAY(Table1[[#This Row],[Date]])</f>
        <v>1</v>
      </c>
      <c r="D1046" s="5">
        <f>MONTH(Table1[[#This Row],[Date]])</f>
        <v>1</v>
      </c>
      <c r="E1046" s="5">
        <f>WEEKNUM(Table1[[#This Row],[Date]])</f>
        <v>1</v>
      </c>
      <c r="F1046" s="5">
        <f>YEAR(Table1[[#This Row],[Date]])</f>
        <v>2023</v>
      </c>
      <c r="G1046" s="17">
        <v>81</v>
      </c>
      <c r="H1046">
        <v>163.26833315440459</v>
      </c>
      <c r="I1046">
        <f>Table1[[#This Row],[Forecast]]*0.9</f>
        <v>146.94149983896412</v>
      </c>
      <c r="J1046">
        <f>Table1[[#This Row],[Forecast]]*0.8</f>
        <v>130.61466652352368</v>
      </c>
      <c r="K1046">
        <f>Table1[[#This Row],[Forecast]]*0.8</f>
        <v>130.61466652352368</v>
      </c>
      <c r="L1046" s="5">
        <v>210</v>
      </c>
      <c r="M1046" s="6">
        <v>0.9375</v>
      </c>
      <c r="N1046" s="5">
        <v>14</v>
      </c>
      <c r="O1046" s="7">
        <v>2.4305555555555555E-4</v>
      </c>
      <c r="P1046" s="7">
        <v>2.0833333333333333E-3</v>
      </c>
      <c r="Q1046" s="7">
        <v>3.3217592592592591E-3</v>
      </c>
      <c r="R1046" s="6">
        <v>0.72519999999999996</v>
      </c>
      <c r="S1046" s="8">
        <f>CONVERT(Table1[[#This Row],[Talk Duration (AVG)]]*Table1[[#This Row],[Answered Calls]],"day","hr")</f>
        <v>10.5</v>
      </c>
      <c r="T1046" s="9">
        <f>Table1[[#This Row],[Actual Workload hours]]*60</f>
        <v>630</v>
      </c>
      <c r="U1046" s="9">
        <f>CONVERT(Table1[[#This Row],[Actual]]*Table1[[#This Row],[Talk Duration (AVG)]],"day","hr")</f>
        <v>4.0500000000000007</v>
      </c>
      <c r="V1046" s="10">
        <f>Table1[[#This Row],[Required Workload Hours]]*60</f>
        <v>243.00000000000006</v>
      </c>
      <c r="W1046" s="9">
        <f>IF(T1046&lt;384,1,(T1046/384))</f>
        <v>1.640625</v>
      </c>
      <c r="X1046" s="9">
        <f>IF(V1046&lt;384,1,(V1046/384))</f>
        <v>1</v>
      </c>
      <c r="Y1046" s="5">
        <f t="shared" si="33"/>
        <v>2</v>
      </c>
      <c r="Z1046" s="8">
        <f>ROUNDUP(Table1[[#This Row],[Actual Heacount]],0)</f>
        <v>2</v>
      </c>
      <c r="AA1046" s="8">
        <f>CONVERT(Table1[[#This Row],[RevisedForecast 30% Recution2]]*Table1[[#This Row],[Talk Duration (AVG)]],"day","hr")</f>
        <v>6.5307333261761835</v>
      </c>
      <c r="AB1046" s="10">
        <f>(Table1[[#This Row],[Forecast Workload Hours]]*60)*1.2</f>
        <v>470.21279948468515</v>
      </c>
      <c r="AC1046" s="10">
        <f>IF(Table1[[#This Row],[Forecast WOrkload Minutes]]&lt;384,1,Table1[[#This Row],[Forecast WOrkload Minutes]]/384)</f>
        <v>1.2245124986580342</v>
      </c>
      <c r="AD1046" s="10">
        <f>ROUNDUP(Table1[[#This Row],[Forecast Headcount]],0)</f>
        <v>2</v>
      </c>
      <c r="AE1046" s="11">
        <v>49.165437422468173</v>
      </c>
      <c r="AF1046" s="11">
        <v>274.78267987222131</v>
      </c>
      <c r="AG1046" t="s">
        <v>7</v>
      </c>
    </row>
    <row r="1047" spans="1:33">
      <c r="A1047" s="2">
        <v>44928</v>
      </c>
      <c r="B1047" s="5" t="s">
        <v>36</v>
      </c>
      <c r="C1047" s="5">
        <f>WEEKDAY(Table1[[#This Row],[Date]])</f>
        <v>2</v>
      </c>
      <c r="D1047" s="5">
        <f>MONTH(Table1[[#This Row],[Date]])</f>
        <v>1</v>
      </c>
      <c r="E1047" s="5">
        <f>WEEKNUM(Table1[[#This Row],[Date]])</f>
        <v>1</v>
      </c>
      <c r="F1047" s="5">
        <f>YEAR(Table1[[#This Row],[Date]])</f>
        <v>2023</v>
      </c>
      <c r="G1047" s="17">
        <v>281</v>
      </c>
      <c r="H1047">
        <v>263.07728365535621</v>
      </c>
      <c r="I1047">
        <f>Table1[[#This Row],[Forecast]]*0.9</f>
        <v>236.7695552898206</v>
      </c>
      <c r="J1047">
        <f>Table1[[#This Row],[Forecast]]*0.8</f>
        <v>210.46182692428499</v>
      </c>
      <c r="K1047">
        <f>Table1[[#This Row],[Forecast]]*0.8</f>
        <v>210.46182692428499</v>
      </c>
      <c r="L1047" s="5">
        <v>273</v>
      </c>
      <c r="M1047" s="6">
        <v>0.98560000000000003</v>
      </c>
      <c r="N1047" s="5">
        <v>4</v>
      </c>
      <c r="O1047" s="7">
        <v>1.1574074074074075E-4</v>
      </c>
      <c r="P1047" s="7">
        <v>1.3888888888888889E-3</v>
      </c>
      <c r="Q1047" s="7">
        <v>1.4236111111111112E-3</v>
      </c>
      <c r="R1047" s="6">
        <v>0.89739999999999998</v>
      </c>
      <c r="S1047" s="8">
        <f>CONVERT(Table1[[#This Row],[Talk Duration (AVG)]]*Table1[[#This Row],[Answered Calls]],"day","hr")</f>
        <v>9.1000000000000014</v>
      </c>
      <c r="T1047" s="9">
        <f>Table1[[#This Row],[Actual Workload hours]]*60</f>
        <v>546.00000000000011</v>
      </c>
      <c r="U1047" s="9">
        <f>CONVERT(Table1[[#This Row],[Actual]]*Table1[[#This Row],[Talk Duration (AVG)]],"day","hr")</f>
        <v>9.3666666666666671</v>
      </c>
      <c r="V1047" s="10">
        <f>Table1[[#This Row],[Required Workload Hours]]*60</f>
        <v>562</v>
      </c>
      <c r="W1047" s="9">
        <f t="shared" ref="W1047:W1110" si="34">IF(T1047&lt;384,1,(T1047/384))</f>
        <v>1.4218750000000002</v>
      </c>
      <c r="X1047" s="9">
        <f t="shared" ref="X1046:X1109" si="35">IF(V1047&lt;384,1,(V1047/384))</f>
        <v>1.4635416666666667</v>
      </c>
      <c r="Y1047" s="5">
        <f t="shared" si="33"/>
        <v>2</v>
      </c>
      <c r="Z1047" s="8">
        <f>ROUNDUP(Table1[[#This Row],[Actual Heacount]],0)</f>
        <v>2</v>
      </c>
      <c r="AA1047" s="8">
        <f>CONVERT(Table1[[#This Row],[RevisedForecast 30% Recution2]]*Table1[[#This Row],[Talk Duration (AVG)]],"day","hr")</f>
        <v>7.0153942308095001</v>
      </c>
      <c r="AB1047" s="10">
        <f>(Table1[[#This Row],[Forecast Workload Hours]]*60)*1.2</f>
        <v>505.10838461828394</v>
      </c>
      <c r="AC1047" s="10">
        <f>IF(Table1[[#This Row],[Forecast WOrkload Minutes]]&lt;384,1,Table1[[#This Row],[Forecast WOrkload Minutes]]/384)</f>
        <v>1.3153864182767812</v>
      </c>
      <c r="AD1047" s="10">
        <f>ROUNDUP(Table1[[#This Row],[Forecast Headcount]],0)</f>
        <v>2</v>
      </c>
      <c r="AE1047" s="11">
        <v>155.40149315175071</v>
      </c>
      <c r="AF1047" s="11">
        <v>376.4736291944638</v>
      </c>
      <c r="AG1047" t="s">
        <v>7</v>
      </c>
    </row>
    <row r="1048" spans="1:33">
      <c r="A1048" s="2">
        <v>44929</v>
      </c>
      <c r="B1048" s="5" t="s">
        <v>37</v>
      </c>
      <c r="C1048" s="5">
        <f>WEEKDAY(Table1[[#This Row],[Date]])</f>
        <v>3</v>
      </c>
      <c r="D1048" s="5">
        <f>MONTH(Table1[[#This Row],[Date]])</f>
        <v>1</v>
      </c>
      <c r="E1048" s="5">
        <f>WEEKNUM(Table1[[#This Row],[Date]])</f>
        <v>1</v>
      </c>
      <c r="F1048" s="5">
        <f>YEAR(Table1[[#This Row],[Date]])</f>
        <v>2023</v>
      </c>
      <c r="G1048" s="17">
        <v>399</v>
      </c>
      <c r="H1048">
        <v>247.00154944050001</v>
      </c>
      <c r="I1048">
        <f>Table1[[#This Row],[Forecast]]*0.9</f>
        <v>222.30139449645003</v>
      </c>
      <c r="J1048">
        <f>Table1[[#This Row],[Forecast]]*0.8</f>
        <v>197.60123955240002</v>
      </c>
      <c r="K1048">
        <f>Table1[[#This Row],[Forecast]]*0.8</f>
        <v>197.60123955240002</v>
      </c>
      <c r="L1048" s="5">
        <v>172</v>
      </c>
      <c r="M1048" s="6">
        <v>0.91490000000000005</v>
      </c>
      <c r="N1048" s="5">
        <v>16</v>
      </c>
      <c r="O1048" s="7">
        <v>2.3148148148148149E-4</v>
      </c>
      <c r="P1048" s="7">
        <v>1.8634259259259259E-3</v>
      </c>
      <c r="Q1048" s="7">
        <v>2.5000000000000001E-3</v>
      </c>
      <c r="R1048" s="6">
        <v>0.72189999999999999</v>
      </c>
      <c r="S1048" s="8">
        <f>CONVERT(Table1[[#This Row],[Talk Duration (AVG)]]*Table1[[#This Row],[Answered Calls]],"day","hr")</f>
        <v>7.6922222222222221</v>
      </c>
      <c r="T1048" s="9">
        <f>Table1[[#This Row],[Actual Workload hours]]*60</f>
        <v>461.5333333333333</v>
      </c>
      <c r="U1048" s="9">
        <f>CONVERT(Table1[[#This Row],[Actual]]*Table1[[#This Row],[Talk Duration (AVG)]],"day","hr")</f>
        <v>17.844166666666666</v>
      </c>
      <c r="V1048" s="10">
        <f>Table1[[#This Row],[Required Workload Hours]]*60</f>
        <v>1070.6500000000001</v>
      </c>
      <c r="W1048" s="9">
        <f t="shared" si="34"/>
        <v>1.2019097222222221</v>
      </c>
      <c r="X1048" s="9">
        <f t="shared" si="35"/>
        <v>2.7881510416666671</v>
      </c>
      <c r="Y1048" s="5">
        <f t="shared" si="33"/>
        <v>2</v>
      </c>
      <c r="Z1048" s="8">
        <f>ROUNDUP(Table1[[#This Row],[Actual Heacount]],0)</f>
        <v>2</v>
      </c>
      <c r="AA1048" s="8">
        <f>CONVERT(Table1[[#This Row],[RevisedForecast 30% Recution2]]*Table1[[#This Row],[Talk Duration (AVG)]],"day","hr")</f>
        <v>8.8371665466490015</v>
      </c>
      <c r="AB1048" s="10">
        <f>(Table1[[#This Row],[Forecast Workload Hours]]*60)*1.2</f>
        <v>636.27599135872811</v>
      </c>
      <c r="AC1048" s="10">
        <f>IF(Table1[[#This Row],[Forecast WOrkload Minutes]]&lt;384,1,Table1[[#This Row],[Forecast WOrkload Minutes]]/384)</f>
        <v>1.6569687274966878</v>
      </c>
      <c r="AD1048" s="10">
        <f>ROUNDUP(Table1[[#This Row],[Forecast Headcount]],0)</f>
        <v>2</v>
      </c>
      <c r="AE1048" s="11">
        <v>136.5344778331939</v>
      </c>
      <c r="AF1048" s="11">
        <v>359.3593077495633</v>
      </c>
      <c r="AG1048" t="s">
        <v>7</v>
      </c>
    </row>
    <row r="1049" spans="1:33">
      <c r="A1049" s="2">
        <v>44930</v>
      </c>
      <c r="B1049" s="5" t="s">
        <v>38</v>
      </c>
      <c r="C1049" s="5">
        <f>WEEKDAY(Table1[[#This Row],[Date]])</f>
        <v>4</v>
      </c>
      <c r="D1049" s="5">
        <f>MONTH(Table1[[#This Row],[Date]])</f>
        <v>1</v>
      </c>
      <c r="E1049" s="5">
        <f>WEEKNUM(Table1[[#This Row],[Date]])</f>
        <v>1</v>
      </c>
      <c r="F1049" s="5">
        <f>YEAR(Table1[[#This Row],[Date]])</f>
        <v>2023</v>
      </c>
      <c r="G1049" s="17">
        <v>291</v>
      </c>
      <c r="H1049">
        <v>259.23927892522198</v>
      </c>
      <c r="I1049">
        <f>Table1[[#This Row],[Forecast]]*0.9</f>
        <v>233.31535103269979</v>
      </c>
      <c r="J1049">
        <f>Table1[[#This Row],[Forecast]]*0.8</f>
        <v>207.39142314017761</v>
      </c>
      <c r="K1049">
        <f>Table1[[#This Row],[Forecast]]*0.8</f>
        <v>207.39142314017761</v>
      </c>
      <c r="L1049" s="5">
        <v>22</v>
      </c>
      <c r="M1049" s="6">
        <v>0.84619999999999995</v>
      </c>
      <c r="N1049" s="5">
        <v>4</v>
      </c>
      <c r="O1049" s="7">
        <v>3.9351851851851852E-4</v>
      </c>
      <c r="P1049" s="7">
        <v>1.6550925925925926E-3</v>
      </c>
      <c r="Q1049" s="7">
        <v>4.3750000000000004E-3</v>
      </c>
      <c r="R1049" s="6">
        <v>0.68</v>
      </c>
      <c r="S1049" s="8">
        <f>CONVERT(Table1[[#This Row],[Talk Duration (AVG)]]*Table1[[#This Row],[Answered Calls]],"day","hr")</f>
        <v>0.87388888888888894</v>
      </c>
      <c r="T1049" s="9">
        <f>Table1[[#This Row],[Actual Workload hours]]*60</f>
        <v>52.433333333333337</v>
      </c>
      <c r="U1049" s="9">
        <f>CONVERT(Table1[[#This Row],[Actual]]*Table1[[#This Row],[Talk Duration (AVG)]],"day","hr")</f>
        <v>11.559166666666666</v>
      </c>
      <c r="V1049" s="10">
        <f>Table1[[#This Row],[Required Workload Hours]]*60</f>
        <v>693.55</v>
      </c>
      <c r="W1049" s="9">
        <f t="shared" si="34"/>
        <v>1</v>
      </c>
      <c r="X1049" s="9">
        <f t="shared" si="35"/>
        <v>1.8061197916666665</v>
      </c>
      <c r="Y1049" s="5">
        <f t="shared" si="33"/>
        <v>1</v>
      </c>
      <c r="Z1049" s="8">
        <f>ROUNDUP(Table1[[#This Row],[Actual Heacount]],0)</f>
        <v>1</v>
      </c>
      <c r="AA1049" s="8">
        <f>CONVERT(Table1[[#This Row],[RevisedForecast 30% Recution2]]*Table1[[#This Row],[Talk Duration (AVG)]],"day","hr")</f>
        <v>8.2380481969570543</v>
      </c>
      <c r="AB1049" s="10">
        <f>(Table1[[#This Row],[Forecast Workload Hours]]*60)*1.2</f>
        <v>593.13947018090789</v>
      </c>
      <c r="AC1049" s="10">
        <f>IF(Table1[[#This Row],[Forecast WOrkload Minutes]]&lt;384,1,Table1[[#This Row],[Forecast WOrkload Minutes]]/384)</f>
        <v>1.5446340369294476</v>
      </c>
      <c r="AD1049" s="10">
        <f>ROUNDUP(Table1[[#This Row],[Forecast Headcount]],0)</f>
        <v>2</v>
      </c>
      <c r="AE1049" s="11">
        <v>153.6655180697505</v>
      </c>
      <c r="AF1049" s="11">
        <v>366.41329176092108</v>
      </c>
      <c r="AG1049" t="s">
        <v>7</v>
      </c>
    </row>
    <row r="1050" spans="1:33">
      <c r="A1050" s="2">
        <v>44931</v>
      </c>
      <c r="B1050" s="5" t="s">
        <v>39</v>
      </c>
      <c r="C1050" s="5">
        <f>WEEKDAY(Table1[[#This Row],[Date]])</f>
        <v>5</v>
      </c>
      <c r="D1050" s="5">
        <f>MONTH(Table1[[#This Row],[Date]])</f>
        <v>1</v>
      </c>
      <c r="E1050" s="5">
        <f>WEEKNUM(Table1[[#This Row],[Date]])</f>
        <v>1</v>
      </c>
      <c r="F1050" s="5">
        <f>YEAR(Table1[[#This Row],[Date]])</f>
        <v>2023</v>
      </c>
      <c r="G1050" s="17">
        <v>290</v>
      </c>
      <c r="H1050">
        <v>254.50137130371351</v>
      </c>
      <c r="I1050">
        <f>Table1[[#This Row],[Forecast]]*0.9</f>
        <v>229.05123417334215</v>
      </c>
      <c r="J1050">
        <f>Table1[[#This Row],[Forecast]]*0.8</f>
        <v>203.60109704297082</v>
      </c>
      <c r="K1050">
        <f>Table1[[#This Row],[Forecast]]*0.8</f>
        <v>203.60109704297082</v>
      </c>
      <c r="L1050" s="5">
        <v>167</v>
      </c>
      <c r="M1050" s="6">
        <v>0.94350000000000001</v>
      </c>
      <c r="N1050" s="5">
        <v>10</v>
      </c>
      <c r="O1050" s="7">
        <v>4.0509259259259258E-4</v>
      </c>
      <c r="P1050" s="7">
        <v>2.0370370370370369E-3</v>
      </c>
      <c r="Q1050" s="7">
        <v>2.2569444444444442E-3</v>
      </c>
      <c r="R1050" s="6">
        <v>0.5625</v>
      </c>
      <c r="S1050" s="8">
        <f>CONVERT(Table1[[#This Row],[Talk Duration (AVG)]]*Table1[[#This Row],[Answered Calls]],"day","hr")</f>
        <v>8.1644444444444435</v>
      </c>
      <c r="T1050" s="9">
        <f>Table1[[#This Row],[Actual Workload hours]]*60</f>
        <v>489.86666666666662</v>
      </c>
      <c r="U1050" s="9">
        <f>CONVERT(Table1[[#This Row],[Actual]]*Table1[[#This Row],[Talk Duration (AVG)]],"day","hr")</f>
        <v>14.177777777777775</v>
      </c>
      <c r="V1050" s="10">
        <f>Table1[[#This Row],[Required Workload Hours]]*60</f>
        <v>850.66666666666652</v>
      </c>
      <c r="W1050" s="9">
        <f t="shared" si="34"/>
        <v>1.2756944444444442</v>
      </c>
      <c r="X1050" s="9">
        <f t="shared" si="35"/>
        <v>2.2152777777777772</v>
      </c>
      <c r="Y1050" s="5">
        <f t="shared" si="33"/>
        <v>2</v>
      </c>
      <c r="Z1050" s="8">
        <f>ROUNDUP(Table1[[#This Row],[Actual Heacount]],0)</f>
        <v>2</v>
      </c>
      <c r="AA1050" s="8">
        <f>CONVERT(Table1[[#This Row],[RevisedForecast 30% Recution2]]*Table1[[#This Row],[Talk Duration (AVG)]],"day","hr")</f>
        <v>9.9538314109896842</v>
      </c>
      <c r="AB1050" s="10">
        <f>(Table1[[#This Row],[Forecast Workload Hours]]*60)*1.2</f>
        <v>716.67586159125722</v>
      </c>
      <c r="AC1050" s="10">
        <f>IF(Table1[[#This Row],[Forecast WOrkload Minutes]]&lt;384,1,Table1[[#This Row],[Forecast WOrkload Minutes]]/384)</f>
        <v>1.8663433895605657</v>
      </c>
      <c r="AD1050" s="10">
        <f>ROUNDUP(Table1[[#This Row],[Forecast Headcount]],0)</f>
        <v>2</v>
      </c>
      <c r="AE1050" s="11">
        <v>135.32868001249241</v>
      </c>
      <c r="AF1050" s="11">
        <v>365.83166177427972</v>
      </c>
      <c r="AG1050" t="s">
        <v>7</v>
      </c>
    </row>
    <row r="1051" spans="1:33">
      <c r="A1051" s="2">
        <v>44932</v>
      </c>
      <c r="B1051" s="5" t="s">
        <v>40</v>
      </c>
      <c r="C1051" s="5">
        <f>WEEKDAY(Table1[[#This Row],[Date]])</f>
        <v>6</v>
      </c>
      <c r="D1051" s="5">
        <f>MONTH(Table1[[#This Row],[Date]])</f>
        <v>1</v>
      </c>
      <c r="E1051" s="5">
        <f>WEEKNUM(Table1[[#This Row],[Date]])</f>
        <v>1</v>
      </c>
      <c r="F1051" s="5">
        <f>YEAR(Table1[[#This Row],[Date]])</f>
        <v>2023</v>
      </c>
      <c r="G1051" s="17">
        <v>230</v>
      </c>
      <c r="H1051">
        <v>245.66217597179951</v>
      </c>
      <c r="I1051">
        <f>Table1[[#This Row],[Forecast]]*0.9</f>
        <v>221.09595837461956</v>
      </c>
      <c r="J1051">
        <f>Table1[[#This Row],[Forecast]]*0.8</f>
        <v>196.52974077743963</v>
      </c>
      <c r="K1051">
        <f>Table1[[#This Row],[Forecast]]*0.8</f>
        <v>196.52974077743963</v>
      </c>
      <c r="L1051" s="5">
        <v>144</v>
      </c>
      <c r="M1051" s="6">
        <v>0.96640000000000004</v>
      </c>
      <c r="N1051" s="5">
        <v>5</v>
      </c>
      <c r="O1051" s="7">
        <v>3.2407407407407406E-4</v>
      </c>
      <c r="P1051" s="7">
        <v>1.9328703703703704E-3</v>
      </c>
      <c r="Q1051" s="7">
        <v>2.638888888888889E-3</v>
      </c>
      <c r="R1051" s="6">
        <v>0.66220000000000001</v>
      </c>
      <c r="S1051" s="8">
        <f>CONVERT(Table1[[#This Row],[Talk Duration (AVG)]]*Table1[[#This Row],[Answered Calls]],"day","hr")</f>
        <v>6.68</v>
      </c>
      <c r="T1051" s="9">
        <f>Table1[[#This Row],[Actual Workload hours]]*60</f>
        <v>400.79999999999995</v>
      </c>
      <c r="U1051" s="9">
        <f>CONVERT(Table1[[#This Row],[Actual]]*Table1[[#This Row],[Talk Duration (AVG)]],"day","hr")</f>
        <v>10.669444444444444</v>
      </c>
      <c r="V1051" s="10">
        <f>Table1[[#This Row],[Required Workload Hours]]*60</f>
        <v>640.16666666666663</v>
      </c>
      <c r="W1051" s="9">
        <f t="shared" si="34"/>
        <v>1.04375</v>
      </c>
      <c r="X1051" s="9">
        <f t="shared" si="35"/>
        <v>1.6671006944444444</v>
      </c>
      <c r="Y1051" s="5">
        <f t="shared" si="33"/>
        <v>2</v>
      </c>
      <c r="Z1051" s="8">
        <f>ROUNDUP(Table1[[#This Row],[Actual Heacount]],0)</f>
        <v>2</v>
      </c>
      <c r="AA1051" s="8">
        <f>CONVERT(Table1[[#This Row],[RevisedForecast 30% Recution2]]*Table1[[#This Row],[Talk Duration (AVG)]],"day","hr")</f>
        <v>9.1167963082867836</v>
      </c>
      <c r="AB1051" s="10">
        <f>(Table1[[#This Row],[Forecast Workload Hours]]*60)*1.2</f>
        <v>656.40933419664839</v>
      </c>
      <c r="AC1051" s="10">
        <f>IF(Table1[[#This Row],[Forecast WOrkload Minutes]]&lt;384,1,Table1[[#This Row],[Forecast WOrkload Minutes]]/384)</f>
        <v>1.7093993078037719</v>
      </c>
      <c r="AD1051" s="10">
        <f>ROUNDUP(Table1[[#This Row],[Forecast Headcount]],0)</f>
        <v>2</v>
      </c>
      <c r="AE1051" s="11">
        <v>135.02398151518219</v>
      </c>
      <c r="AF1051" s="11">
        <v>361.37180012647019</v>
      </c>
      <c r="AG1051" t="s">
        <v>7</v>
      </c>
    </row>
    <row r="1052" spans="1:33">
      <c r="A1052" s="2">
        <v>44933</v>
      </c>
      <c r="B1052" s="5" t="s">
        <v>33</v>
      </c>
      <c r="C1052" s="5">
        <f>WEEKDAY(Table1[[#This Row],[Date]])</f>
        <v>7</v>
      </c>
      <c r="D1052" s="5">
        <f>MONTH(Table1[[#This Row],[Date]])</f>
        <v>1</v>
      </c>
      <c r="E1052" s="5">
        <f>WEEKNUM(Table1[[#This Row],[Date]])</f>
        <v>1</v>
      </c>
      <c r="F1052" s="5">
        <f>YEAR(Table1[[#This Row],[Date]])</f>
        <v>2023</v>
      </c>
      <c r="G1052" s="17">
        <v>236</v>
      </c>
      <c r="H1052">
        <v>252.81957267214031</v>
      </c>
      <c r="I1052">
        <f>Table1[[#This Row],[Forecast]]*0.9</f>
        <v>227.53761540492627</v>
      </c>
      <c r="J1052">
        <f>Table1[[#This Row],[Forecast]]*0.8</f>
        <v>202.25565813771226</v>
      </c>
      <c r="K1052">
        <f>Table1[[#This Row],[Forecast]]*0.8</f>
        <v>202.25565813771226</v>
      </c>
      <c r="L1052" s="5">
        <v>147</v>
      </c>
      <c r="M1052" s="6">
        <v>1</v>
      </c>
      <c r="N1052" s="5">
        <v>0</v>
      </c>
      <c r="O1052" s="7">
        <v>1.273148148148148E-4</v>
      </c>
      <c r="P1052" s="7">
        <v>1.9791666666666668E-3</v>
      </c>
      <c r="Q1052" s="7">
        <v>1.4236111111111112E-3</v>
      </c>
      <c r="R1052" s="6">
        <v>0.85709999999999997</v>
      </c>
      <c r="S1052" s="8">
        <f>CONVERT(Table1[[#This Row],[Talk Duration (AVG)]]*Table1[[#This Row],[Answered Calls]],"day","hr")</f>
        <v>6.9824999999999999</v>
      </c>
      <c r="T1052" s="9">
        <f>Table1[[#This Row],[Actual Workload hours]]*60</f>
        <v>418.95</v>
      </c>
      <c r="U1052" s="9">
        <f>CONVERT(Table1[[#This Row],[Actual]]*Table1[[#This Row],[Talk Duration (AVG)]],"day","hr")</f>
        <v>11.21</v>
      </c>
      <c r="V1052" s="10">
        <f>Table1[[#This Row],[Required Workload Hours]]*60</f>
        <v>672.6</v>
      </c>
      <c r="W1052" s="9">
        <f t="shared" si="34"/>
        <v>1.091015625</v>
      </c>
      <c r="X1052" s="9">
        <f t="shared" si="35"/>
        <v>1.7515625000000001</v>
      </c>
      <c r="Y1052" s="5">
        <f t="shared" si="33"/>
        <v>2</v>
      </c>
      <c r="Z1052" s="8">
        <f>ROUNDUP(Table1[[#This Row],[Actual Heacount]],0)</f>
        <v>2</v>
      </c>
      <c r="AA1052" s="8">
        <f>CONVERT(Table1[[#This Row],[RevisedForecast 30% Recution2]]*Table1[[#This Row],[Talk Duration (AVG)]],"day","hr")</f>
        <v>9.6071437615413338</v>
      </c>
      <c r="AB1052" s="10">
        <f>(Table1[[#This Row],[Forecast Workload Hours]]*60)*1.2</f>
        <v>691.71435083097606</v>
      </c>
      <c r="AC1052" s="10">
        <f>IF(Table1[[#This Row],[Forecast WOrkload Minutes]]&lt;384,1,Table1[[#This Row],[Forecast WOrkload Minutes]]/384)</f>
        <v>1.8013394552890001</v>
      </c>
      <c r="AD1052" s="10">
        <f>ROUNDUP(Table1[[#This Row],[Forecast Headcount]],0)</f>
        <v>2</v>
      </c>
      <c r="AE1052" s="11">
        <v>143.2194443728992</v>
      </c>
      <c r="AF1052" s="11">
        <v>362.87877539901132</v>
      </c>
      <c r="AG1052" t="s">
        <v>7</v>
      </c>
    </row>
    <row r="1053" spans="1:33">
      <c r="A1053" s="2">
        <v>44934</v>
      </c>
      <c r="B1053" s="5" t="s">
        <v>35</v>
      </c>
      <c r="C1053" s="5">
        <f>WEEKDAY(Table1[[#This Row],[Date]])</f>
        <v>1</v>
      </c>
      <c r="D1053" s="5">
        <f>MONTH(Table1[[#This Row],[Date]])</f>
        <v>1</v>
      </c>
      <c r="E1053" s="5">
        <f>WEEKNUM(Table1[[#This Row],[Date]])</f>
        <v>2</v>
      </c>
      <c r="F1053" s="5">
        <f>YEAR(Table1[[#This Row],[Date]])</f>
        <v>2023</v>
      </c>
      <c r="G1053" s="17">
        <v>45</v>
      </c>
      <c r="H1053">
        <v>164.11359385229039</v>
      </c>
      <c r="I1053">
        <f>Table1[[#This Row],[Forecast]]*0.9</f>
        <v>147.70223446706134</v>
      </c>
      <c r="J1053">
        <f>Table1[[#This Row],[Forecast]]*0.8</f>
        <v>131.29087508183233</v>
      </c>
      <c r="K1053">
        <f>Table1[[#This Row],[Forecast]]*0.8</f>
        <v>131.29087508183233</v>
      </c>
      <c r="L1053" s="5">
        <v>134</v>
      </c>
      <c r="M1053" s="6">
        <v>0.95709999999999995</v>
      </c>
      <c r="N1053" s="5">
        <v>6</v>
      </c>
      <c r="O1053" s="7">
        <v>2.199074074074074E-4</v>
      </c>
      <c r="P1053" s="7">
        <v>1.8981481481481482E-3</v>
      </c>
      <c r="Q1053" s="7">
        <v>5.7754629629629631E-3</v>
      </c>
      <c r="R1053" s="6">
        <v>0.78569999999999995</v>
      </c>
      <c r="S1053" s="8">
        <f>CONVERT(Table1[[#This Row],[Talk Duration (AVG)]]*Table1[[#This Row],[Answered Calls]],"day","hr")</f>
        <v>6.104444444444443</v>
      </c>
      <c r="T1053" s="9">
        <f>Table1[[#This Row],[Actual Workload hours]]*60</f>
        <v>366.26666666666659</v>
      </c>
      <c r="U1053" s="9">
        <f>CONVERT(Table1[[#This Row],[Actual]]*Table1[[#This Row],[Talk Duration (AVG)]],"day","hr")</f>
        <v>2.0499999999999998</v>
      </c>
      <c r="V1053" s="10">
        <f>Table1[[#This Row],[Required Workload Hours]]*60</f>
        <v>122.99999999999999</v>
      </c>
      <c r="W1053" s="9">
        <f t="shared" si="34"/>
        <v>1</v>
      </c>
      <c r="X1053" s="9">
        <f t="shared" si="35"/>
        <v>1</v>
      </c>
      <c r="Y1053" s="5">
        <f t="shared" si="33"/>
        <v>2</v>
      </c>
      <c r="Z1053" s="8">
        <f>ROUNDUP(Table1[[#This Row],[Actual Heacount]],0)</f>
        <v>1</v>
      </c>
      <c r="AA1053" s="8">
        <f>CONVERT(Table1[[#This Row],[RevisedForecast 30% Recution2]]*Table1[[#This Row],[Talk Duration (AVG)]],"day","hr")</f>
        <v>5.9810287537279168</v>
      </c>
      <c r="AB1053" s="10">
        <f>(Table1[[#This Row],[Forecast Workload Hours]]*60)*1.2</f>
        <v>430.63407026841003</v>
      </c>
      <c r="AC1053" s="10">
        <f>IF(Table1[[#This Row],[Forecast WOrkload Minutes]]&lt;384,1,Table1[[#This Row],[Forecast WOrkload Minutes]]/384)</f>
        <v>1.1214428913239844</v>
      </c>
      <c r="AD1053" s="10">
        <f>ROUNDUP(Table1[[#This Row],[Forecast Headcount]],0)</f>
        <v>2</v>
      </c>
      <c r="AE1053" s="11">
        <v>46.52601101094217</v>
      </c>
      <c r="AF1053" s="11">
        <v>267.3886670994624</v>
      </c>
      <c r="AG1053" t="s">
        <v>7</v>
      </c>
    </row>
    <row r="1054" spans="1:33">
      <c r="A1054" s="2">
        <v>44935</v>
      </c>
      <c r="B1054" s="5" t="s">
        <v>36</v>
      </c>
      <c r="C1054" s="5">
        <f>WEEKDAY(Table1[[#This Row],[Date]])</f>
        <v>2</v>
      </c>
      <c r="D1054" s="5">
        <f>MONTH(Table1[[#This Row],[Date]])</f>
        <v>1</v>
      </c>
      <c r="E1054" s="5">
        <f>WEEKNUM(Table1[[#This Row],[Date]])</f>
        <v>2</v>
      </c>
      <c r="F1054" s="5">
        <f>YEAR(Table1[[#This Row],[Date]])</f>
        <v>2023</v>
      </c>
      <c r="G1054" s="17">
        <v>249</v>
      </c>
      <c r="H1054">
        <v>263.88587048632951</v>
      </c>
      <c r="I1054">
        <f>Table1[[#This Row],[Forecast]]*0.9</f>
        <v>237.49728343769655</v>
      </c>
      <c r="J1054">
        <f>Table1[[#This Row],[Forecast]]*0.8</f>
        <v>211.10869638906362</v>
      </c>
      <c r="K1054">
        <f>Table1[[#This Row],[Forecast]]*0.8</f>
        <v>211.10869638906362</v>
      </c>
      <c r="L1054" s="5">
        <v>163</v>
      </c>
      <c r="M1054" s="6">
        <v>0.92090000000000005</v>
      </c>
      <c r="N1054" s="5">
        <v>14</v>
      </c>
      <c r="O1054" s="7">
        <v>2.199074074074074E-4</v>
      </c>
      <c r="P1054" s="7">
        <v>1.7939814814814815E-3</v>
      </c>
      <c r="Q1054" s="7">
        <v>5.0462962962962961E-3</v>
      </c>
      <c r="R1054" s="6">
        <v>0.7571</v>
      </c>
      <c r="S1054" s="8">
        <f>CONVERT(Table1[[#This Row],[Talk Duration (AVG)]]*Table1[[#This Row],[Answered Calls]],"day","hr")</f>
        <v>7.0180555555555557</v>
      </c>
      <c r="T1054" s="9">
        <f>Table1[[#This Row],[Actual Workload hours]]*60</f>
        <v>421.08333333333337</v>
      </c>
      <c r="U1054" s="9">
        <f>CONVERT(Table1[[#This Row],[Actual]]*Table1[[#This Row],[Talk Duration (AVG)]],"day","hr")</f>
        <v>10.720833333333333</v>
      </c>
      <c r="V1054" s="10">
        <f>Table1[[#This Row],[Required Workload Hours]]*60</f>
        <v>643.25</v>
      </c>
      <c r="W1054" s="9">
        <f t="shared" si="34"/>
        <v>1.0965711805555556</v>
      </c>
      <c r="X1054" s="9">
        <f t="shared" si="35"/>
        <v>1.6751302083333333</v>
      </c>
      <c r="Y1054" s="5">
        <f t="shared" si="33"/>
        <v>2</v>
      </c>
      <c r="Z1054" s="8">
        <f>ROUNDUP(Table1[[#This Row],[Actual Heacount]],0)</f>
        <v>2</v>
      </c>
      <c r="AA1054" s="8">
        <f>CONVERT(Table1[[#This Row],[RevisedForecast 30% Recution2]]*Table1[[#This Row],[Talk Duration (AVG)]],"day","hr")</f>
        <v>9.0894022056402388</v>
      </c>
      <c r="AB1054" s="10">
        <f>(Table1[[#This Row],[Forecast Workload Hours]]*60)*1.2</f>
        <v>654.43695880609721</v>
      </c>
      <c r="AC1054" s="10">
        <f>IF(Table1[[#This Row],[Forecast WOrkload Minutes]]&lt;384,1,Table1[[#This Row],[Forecast WOrkload Minutes]]/384)</f>
        <v>1.7042629135575449</v>
      </c>
      <c r="AD1054" s="10">
        <f>ROUNDUP(Table1[[#This Row],[Forecast Headcount]],0)</f>
        <v>2</v>
      </c>
      <c r="AE1054" s="11">
        <v>152.73606630901111</v>
      </c>
      <c r="AF1054" s="11">
        <v>377.87173215188659</v>
      </c>
      <c r="AG1054" t="s">
        <v>7</v>
      </c>
    </row>
    <row r="1055" spans="1:33">
      <c r="A1055" s="2">
        <v>44936</v>
      </c>
      <c r="B1055" s="5" t="s">
        <v>37</v>
      </c>
      <c r="C1055" s="5">
        <f>WEEKDAY(Table1[[#This Row],[Date]])</f>
        <v>3</v>
      </c>
      <c r="D1055" s="5">
        <f>MONTH(Table1[[#This Row],[Date]])</f>
        <v>1</v>
      </c>
      <c r="E1055" s="5">
        <f>WEEKNUM(Table1[[#This Row],[Date]])</f>
        <v>2</v>
      </c>
      <c r="F1055" s="5">
        <f>YEAR(Table1[[#This Row],[Date]])</f>
        <v>2023</v>
      </c>
      <c r="G1055" s="17">
        <v>350</v>
      </c>
      <c r="H1055">
        <v>247.68548465304039</v>
      </c>
      <c r="I1055">
        <f>Table1[[#This Row],[Forecast]]*0.9</f>
        <v>222.91693618773635</v>
      </c>
      <c r="J1055">
        <f>Table1[[#This Row],[Forecast]]*0.8</f>
        <v>198.14838772243232</v>
      </c>
      <c r="K1055">
        <f>Table1[[#This Row],[Forecast]]*0.8</f>
        <v>198.14838772243232</v>
      </c>
      <c r="L1055" s="5">
        <v>169</v>
      </c>
      <c r="M1055" s="6">
        <v>1</v>
      </c>
      <c r="N1055" s="5">
        <v>0</v>
      </c>
      <c r="O1055" s="7">
        <v>1.0416666666666667E-4</v>
      </c>
      <c r="P1055" s="7">
        <v>1.9097222222222222E-3</v>
      </c>
      <c r="Q1055" s="7">
        <v>7.5231481481481482E-4</v>
      </c>
      <c r="R1055" s="6">
        <v>0.89939999999999998</v>
      </c>
      <c r="S1055" s="8">
        <f>CONVERT(Table1[[#This Row],[Talk Duration (AVG)]]*Table1[[#This Row],[Answered Calls]],"day","hr")</f>
        <v>7.7458333333333336</v>
      </c>
      <c r="T1055" s="9">
        <f>Table1[[#This Row],[Actual Workload hours]]*60</f>
        <v>464.75</v>
      </c>
      <c r="U1055" s="9">
        <f>CONVERT(Table1[[#This Row],[Actual]]*Table1[[#This Row],[Talk Duration (AVG)]],"day","hr")</f>
        <v>16.041666666666668</v>
      </c>
      <c r="V1055" s="10">
        <f>Table1[[#This Row],[Required Workload Hours]]*60</f>
        <v>962.50000000000011</v>
      </c>
      <c r="W1055" s="9">
        <f t="shared" si="34"/>
        <v>1.2102864583333333</v>
      </c>
      <c r="X1055" s="9">
        <f t="shared" si="35"/>
        <v>2.506510416666667</v>
      </c>
      <c r="Y1055" s="5">
        <f t="shared" si="33"/>
        <v>2</v>
      </c>
      <c r="Z1055" s="8">
        <f>ROUNDUP(Table1[[#This Row],[Actual Heacount]],0)</f>
        <v>2</v>
      </c>
      <c r="AA1055" s="8">
        <f>CONVERT(Table1[[#This Row],[RevisedForecast 30% Recution2]]*Table1[[#This Row],[Talk Duration (AVG)]],"day","hr")</f>
        <v>9.0818011039448141</v>
      </c>
      <c r="AB1055" s="10">
        <f>(Table1[[#This Row],[Forecast Workload Hours]]*60)*1.2</f>
        <v>653.88967948402649</v>
      </c>
      <c r="AC1055" s="10">
        <f>IF(Table1[[#This Row],[Forecast WOrkload Minutes]]&lt;384,1,Table1[[#This Row],[Forecast WOrkload Minutes]]/384)</f>
        <v>1.7028377069896523</v>
      </c>
      <c r="AD1055" s="10">
        <f>ROUNDUP(Table1[[#This Row],[Forecast Headcount]],0)</f>
        <v>2</v>
      </c>
      <c r="AE1055" s="11">
        <v>142.91170965992379</v>
      </c>
      <c r="AF1055" s="11">
        <v>356.28155374152288</v>
      </c>
      <c r="AG1055" t="s">
        <v>7</v>
      </c>
    </row>
    <row r="1056" spans="1:33">
      <c r="A1056" s="2">
        <v>44937</v>
      </c>
      <c r="B1056" s="5" t="s">
        <v>38</v>
      </c>
      <c r="C1056" s="5">
        <f>WEEKDAY(Table1[[#This Row],[Date]])</f>
        <v>4</v>
      </c>
      <c r="D1056" s="5">
        <f>MONTH(Table1[[#This Row],[Date]])</f>
        <v>1</v>
      </c>
      <c r="E1056" s="5">
        <f>WEEKNUM(Table1[[#This Row],[Date]])</f>
        <v>2</v>
      </c>
      <c r="F1056" s="5">
        <f>YEAR(Table1[[#This Row],[Date]])</f>
        <v>2023</v>
      </c>
      <c r="G1056" s="17">
        <v>361</v>
      </c>
      <c r="H1056">
        <v>259.7092163673899</v>
      </c>
      <c r="I1056">
        <f>Table1[[#This Row],[Forecast]]*0.9</f>
        <v>233.73829473065092</v>
      </c>
      <c r="J1056">
        <f>Table1[[#This Row],[Forecast]]*0.8</f>
        <v>207.76737309391194</v>
      </c>
      <c r="K1056">
        <f>Table1[[#This Row],[Forecast]]*0.8</f>
        <v>207.76737309391194</v>
      </c>
      <c r="L1056" s="5">
        <v>21</v>
      </c>
      <c r="M1056" s="6">
        <v>0.80769999999999997</v>
      </c>
      <c r="N1056" s="5">
        <v>5</v>
      </c>
      <c r="O1056" s="7">
        <v>3.1250000000000001E-4</v>
      </c>
      <c r="P1056" s="7">
        <v>1.712962962962963E-3</v>
      </c>
      <c r="Q1056" s="7">
        <v>1.4351851851851852E-3</v>
      </c>
      <c r="R1056" s="6">
        <v>0.48</v>
      </c>
      <c r="S1056" s="8">
        <f>CONVERT(Table1[[#This Row],[Talk Duration (AVG)]]*Table1[[#This Row],[Answered Calls]],"day","hr")</f>
        <v>0.86333333333333351</v>
      </c>
      <c r="T1056" s="9">
        <f>Table1[[#This Row],[Actual Workload hours]]*60</f>
        <v>51.800000000000011</v>
      </c>
      <c r="U1056" s="9">
        <f>CONVERT(Table1[[#This Row],[Actual]]*Table1[[#This Row],[Talk Duration (AVG)]],"day","hr")</f>
        <v>14.841111111111111</v>
      </c>
      <c r="V1056" s="10">
        <f>Table1[[#This Row],[Required Workload Hours]]*60</f>
        <v>890.4666666666667</v>
      </c>
      <c r="W1056" s="9">
        <f t="shared" si="34"/>
        <v>1</v>
      </c>
      <c r="X1056" s="9">
        <f t="shared" si="35"/>
        <v>2.3189236111111113</v>
      </c>
      <c r="Y1056" s="5">
        <f t="shared" si="33"/>
        <v>1</v>
      </c>
      <c r="Z1056" s="8">
        <f>ROUNDUP(Table1[[#This Row],[Actual Heacount]],0)</f>
        <v>1</v>
      </c>
      <c r="AA1056" s="8">
        <f>CONVERT(Table1[[#This Row],[RevisedForecast 30% Recution2]]*Table1[[#This Row],[Talk Duration (AVG)]],"day","hr")</f>
        <v>8.5415475605274924</v>
      </c>
      <c r="AB1056" s="10">
        <f>(Table1[[#This Row],[Forecast Workload Hours]]*60)*1.2</f>
        <v>614.99142435797933</v>
      </c>
      <c r="AC1056" s="10">
        <f>IF(Table1[[#This Row],[Forecast WOrkload Minutes]]&lt;384,1,Table1[[#This Row],[Forecast WOrkload Minutes]]/384)</f>
        <v>1.6015401675989045</v>
      </c>
      <c r="AD1056" s="10">
        <f>ROUNDUP(Table1[[#This Row],[Forecast Headcount]],0)</f>
        <v>2</v>
      </c>
      <c r="AE1056" s="11">
        <v>154.6362492002753</v>
      </c>
      <c r="AF1056" s="11">
        <v>376.74274208865938</v>
      </c>
      <c r="AG1056" t="s">
        <v>7</v>
      </c>
    </row>
    <row r="1057" spans="1:33">
      <c r="A1057" s="2">
        <v>44938</v>
      </c>
      <c r="B1057" s="5" t="s">
        <v>39</v>
      </c>
      <c r="C1057" s="5">
        <f>WEEKDAY(Table1[[#This Row],[Date]])</f>
        <v>5</v>
      </c>
      <c r="D1057" s="5">
        <f>MONTH(Table1[[#This Row],[Date]])</f>
        <v>1</v>
      </c>
      <c r="E1057" s="5">
        <f>WEEKNUM(Table1[[#This Row],[Date]])</f>
        <v>2</v>
      </c>
      <c r="F1057" s="5">
        <f>YEAR(Table1[[#This Row],[Date]])</f>
        <v>2023</v>
      </c>
      <c r="G1057" s="17">
        <v>262</v>
      </c>
      <c r="H1057">
        <v>254.6702771858925</v>
      </c>
      <c r="I1057">
        <f>Table1[[#This Row],[Forecast]]*0.9</f>
        <v>229.20324946730327</v>
      </c>
      <c r="J1057">
        <f>Table1[[#This Row],[Forecast]]*0.8</f>
        <v>203.736221748714</v>
      </c>
      <c r="K1057">
        <f>Table1[[#This Row],[Forecast]]*0.8</f>
        <v>203.736221748714</v>
      </c>
      <c r="L1057" s="5">
        <v>140</v>
      </c>
      <c r="M1057" s="6">
        <v>0.95240000000000002</v>
      </c>
      <c r="N1057" s="5">
        <v>7</v>
      </c>
      <c r="O1057" s="7">
        <v>1.3888888888888889E-4</v>
      </c>
      <c r="P1057" s="7">
        <v>1.9444444444444444E-3</v>
      </c>
      <c r="Q1057" s="7">
        <v>1.5162037037037036E-3</v>
      </c>
      <c r="R1057" s="6">
        <v>0.85519999999999996</v>
      </c>
      <c r="S1057" s="8">
        <f>CONVERT(Table1[[#This Row],[Talk Duration (AVG)]]*Table1[[#This Row],[Answered Calls]],"day","hr")</f>
        <v>6.5333333333333323</v>
      </c>
      <c r="T1057" s="9">
        <f>Table1[[#This Row],[Actual Workload hours]]*60</f>
        <v>391.99999999999994</v>
      </c>
      <c r="U1057" s="9">
        <f>CONVERT(Table1[[#This Row],[Actual]]*Table1[[#This Row],[Talk Duration (AVG)]],"day","hr")</f>
        <v>12.226666666666667</v>
      </c>
      <c r="V1057" s="10">
        <f>Table1[[#This Row],[Required Workload Hours]]*60</f>
        <v>733.6</v>
      </c>
      <c r="W1057" s="9">
        <f t="shared" si="34"/>
        <v>1.0208333333333333</v>
      </c>
      <c r="X1057" s="9">
        <f t="shared" si="35"/>
        <v>1.9104166666666667</v>
      </c>
      <c r="Y1057" s="5">
        <f t="shared" si="33"/>
        <v>2</v>
      </c>
      <c r="Z1057" s="8">
        <f>ROUNDUP(Table1[[#This Row],[Actual Heacount]],0)</f>
        <v>2</v>
      </c>
      <c r="AA1057" s="8">
        <f>CONVERT(Table1[[#This Row],[RevisedForecast 30% Recution2]]*Table1[[#This Row],[Talk Duration (AVG)]],"day","hr")</f>
        <v>9.5076903482733197</v>
      </c>
      <c r="AB1057" s="10">
        <f>(Table1[[#This Row],[Forecast Workload Hours]]*60)*1.2</f>
        <v>684.55370507567898</v>
      </c>
      <c r="AC1057" s="10">
        <f>IF(Table1[[#This Row],[Forecast WOrkload Minutes]]&lt;384,1,Table1[[#This Row],[Forecast WOrkload Minutes]]/384)</f>
        <v>1.7826919403012473</v>
      </c>
      <c r="AD1057" s="10">
        <f>ROUNDUP(Table1[[#This Row],[Forecast Headcount]],0)</f>
        <v>2</v>
      </c>
      <c r="AE1057" s="11">
        <v>135.3739382923666</v>
      </c>
      <c r="AF1057" s="11">
        <v>356.45824401372658</v>
      </c>
      <c r="AG1057" t="s">
        <v>7</v>
      </c>
    </row>
    <row r="1058" spans="1:33">
      <c r="A1058" s="2">
        <v>44939</v>
      </c>
      <c r="B1058" s="5" t="s">
        <v>40</v>
      </c>
      <c r="C1058" s="5">
        <f>WEEKDAY(Table1[[#This Row],[Date]])</f>
        <v>6</v>
      </c>
      <c r="D1058" s="5">
        <f>MONTH(Table1[[#This Row],[Date]])</f>
        <v>1</v>
      </c>
      <c r="E1058" s="5">
        <f>WEEKNUM(Table1[[#This Row],[Date]])</f>
        <v>2</v>
      </c>
      <c r="F1058" s="5">
        <f>YEAR(Table1[[#This Row],[Date]])</f>
        <v>2023</v>
      </c>
      <c r="G1058" s="17">
        <v>302</v>
      </c>
      <c r="H1058">
        <v>245.44906064583171</v>
      </c>
      <c r="I1058">
        <f>Table1[[#This Row],[Forecast]]*0.9</f>
        <v>220.90415458124855</v>
      </c>
      <c r="J1058">
        <f>Table1[[#This Row],[Forecast]]*0.8</f>
        <v>196.35924851666539</v>
      </c>
      <c r="K1058">
        <f>Table1[[#This Row],[Forecast]]*0.8</f>
        <v>196.35924851666539</v>
      </c>
      <c r="L1058" s="5">
        <v>122</v>
      </c>
      <c r="M1058" s="6">
        <v>0.96060000000000001</v>
      </c>
      <c r="N1058" s="5">
        <v>5</v>
      </c>
      <c r="O1058" s="7">
        <v>2.4305555555555555E-4</v>
      </c>
      <c r="P1058" s="7">
        <v>1.9444444444444444E-3</v>
      </c>
      <c r="Q1058" s="7">
        <v>1.4699074074074074E-3</v>
      </c>
      <c r="R1058" s="6">
        <v>0.7087</v>
      </c>
      <c r="S1058" s="8">
        <f>CONVERT(Table1[[#This Row],[Talk Duration (AVG)]]*Table1[[#This Row],[Answered Calls]],"day","hr")</f>
        <v>5.6933333333333334</v>
      </c>
      <c r="T1058" s="9">
        <f>Table1[[#This Row],[Actual Workload hours]]*60</f>
        <v>341.6</v>
      </c>
      <c r="U1058" s="9">
        <f>CONVERT(Table1[[#This Row],[Actual]]*Table1[[#This Row],[Talk Duration (AVG)]],"day","hr")</f>
        <v>14.093333333333334</v>
      </c>
      <c r="V1058" s="10">
        <f>Table1[[#This Row],[Required Workload Hours]]*60</f>
        <v>845.6</v>
      </c>
      <c r="W1058" s="9">
        <f t="shared" si="34"/>
        <v>1</v>
      </c>
      <c r="X1058" s="9">
        <f t="shared" si="35"/>
        <v>2.2020833333333334</v>
      </c>
      <c r="Y1058" s="5">
        <f t="shared" si="33"/>
        <v>2</v>
      </c>
      <c r="Z1058" s="8">
        <f>ROUNDUP(Table1[[#This Row],[Actual Heacount]],0)</f>
        <v>1</v>
      </c>
      <c r="AA1058" s="8">
        <f>CONVERT(Table1[[#This Row],[RevisedForecast 30% Recution2]]*Table1[[#This Row],[Talk Duration (AVG)]],"day","hr")</f>
        <v>9.1634315974443847</v>
      </c>
      <c r="AB1058" s="10">
        <f>(Table1[[#This Row],[Forecast Workload Hours]]*60)*1.2</f>
        <v>659.76707501599572</v>
      </c>
      <c r="AC1058" s="10">
        <f>IF(Table1[[#This Row],[Forecast WOrkload Minutes]]&lt;384,1,Table1[[#This Row],[Forecast WOrkload Minutes]]/384)</f>
        <v>1.7181434245208222</v>
      </c>
      <c r="AD1058" s="10">
        <f>ROUNDUP(Table1[[#This Row],[Forecast Headcount]],0)</f>
        <v>2</v>
      </c>
      <c r="AE1058" s="11">
        <v>133.91263605714201</v>
      </c>
      <c r="AF1058" s="11">
        <v>354.93690426075477</v>
      </c>
      <c r="AG1058" t="s">
        <v>7</v>
      </c>
    </row>
    <row r="1059" spans="1:33">
      <c r="A1059" s="2">
        <v>44940</v>
      </c>
      <c r="B1059" s="5" t="s">
        <v>33</v>
      </c>
      <c r="C1059" s="5">
        <f>WEEKDAY(Table1[[#This Row],[Date]])</f>
        <v>7</v>
      </c>
      <c r="D1059" s="5">
        <f>MONTH(Table1[[#This Row],[Date]])</f>
        <v>1</v>
      </c>
      <c r="E1059" s="5">
        <f>WEEKNUM(Table1[[#This Row],[Date]])</f>
        <v>2</v>
      </c>
      <c r="F1059" s="5">
        <f>YEAR(Table1[[#This Row],[Date]])</f>
        <v>2023</v>
      </c>
      <c r="G1059" s="17">
        <v>299</v>
      </c>
      <c r="H1059">
        <v>252.15316531085219</v>
      </c>
      <c r="I1059">
        <f>Table1[[#This Row],[Forecast]]*0.9</f>
        <v>226.93784877976697</v>
      </c>
      <c r="J1059">
        <f>Table1[[#This Row],[Forecast]]*0.8</f>
        <v>201.72253224868177</v>
      </c>
      <c r="K1059">
        <f>Table1[[#This Row],[Forecast]]*0.8</f>
        <v>201.72253224868177</v>
      </c>
      <c r="L1059" s="5">
        <v>135</v>
      </c>
      <c r="M1059" s="6">
        <v>0.95740000000000003</v>
      </c>
      <c r="N1059" s="5">
        <v>6</v>
      </c>
      <c r="O1059" s="7">
        <v>1.9675925925925926E-4</v>
      </c>
      <c r="P1059" s="7">
        <v>1.7013888888888888E-3</v>
      </c>
      <c r="Q1059" s="7">
        <v>2.8703703703703703E-3</v>
      </c>
      <c r="R1059" s="6">
        <v>0.78010000000000002</v>
      </c>
      <c r="S1059" s="8">
        <f>CONVERT(Table1[[#This Row],[Talk Duration (AVG)]]*Table1[[#This Row],[Answered Calls]],"day","hr")</f>
        <v>5.5125000000000002</v>
      </c>
      <c r="T1059" s="9">
        <f>Table1[[#This Row],[Actual Workload hours]]*60</f>
        <v>330.75</v>
      </c>
      <c r="U1059" s="9">
        <f>CONVERT(Table1[[#This Row],[Actual]]*Table1[[#This Row],[Talk Duration (AVG)]],"day","hr")</f>
        <v>12.209166666666665</v>
      </c>
      <c r="V1059" s="10">
        <f>Table1[[#This Row],[Required Workload Hours]]*60</f>
        <v>732.54999999999984</v>
      </c>
      <c r="W1059" s="9">
        <f t="shared" si="34"/>
        <v>1</v>
      </c>
      <c r="X1059" s="9">
        <f t="shared" si="35"/>
        <v>1.9076822916666663</v>
      </c>
      <c r="Y1059" s="5">
        <f t="shared" si="33"/>
        <v>2</v>
      </c>
      <c r="Z1059" s="8">
        <f>ROUNDUP(Table1[[#This Row],[Actual Heacount]],0)</f>
        <v>1</v>
      </c>
      <c r="AA1059" s="8">
        <f>CONVERT(Table1[[#This Row],[RevisedForecast 30% Recution2]]*Table1[[#This Row],[Talk Duration (AVG)]],"day","hr")</f>
        <v>8.2370034001545047</v>
      </c>
      <c r="AB1059" s="10">
        <f>(Table1[[#This Row],[Forecast Workload Hours]]*60)*1.2</f>
        <v>593.06424481112435</v>
      </c>
      <c r="AC1059" s="10">
        <f>IF(Table1[[#This Row],[Forecast WOrkload Minutes]]&lt;384,1,Table1[[#This Row],[Forecast WOrkload Minutes]]/384)</f>
        <v>1.5444381375289697</v>
      </c>
      <c r="AD1059" s="10">
        <f>ROUNDUP(Table1[[#This Row],[Forecast Headcount]],0)</f>
        <v>2</v>
      </c>
      <c r="AE1059" s="11">
        <v>141.8373419125038</v>
      </c>
      <c r="AF1059" s="11">
        <v>358.16470345626459</v>
      </c>
      <c r="AG1059" t="s">
        <v>7</v>
      </c>
    </row>
    <row r="1060" spans="1:33">
      <c r="A1060" s="2">
        <v>44941</v>
      </c>
      <c r="B1060" s="5" t="s">
        <v>35</v>
      </c>
      <c r="C1060" s="5">
        <f>WEEKDAY(Table1[[#This Row],[Date]])</f>
        <v>1</v>
      </c>
      <c r="D1060" s="5">
        <f>MONTH(Table1[[#This Row],[Date]])</f>
        <v>1</v>
      </c>
      <c r="E1060" s="5">
        <f>WEEKNUM(Table1[[#This Row],[Date]])</f>
        <v>3</v>
      </c>
      <c r="F1060" s="5">
        <f>YEAR(Table1[[#This Row],[Date]])</f>
        <v>2023</v>
      </c>
      <c r="G1060" s="17">
        <v>50</v>
      </c>
      <c r="H1060">
        <v>162.9358505459671</v>
      </c>
      <c r="I1060">
        <f>Table1[[#This Row],[Forecast]]*0.9</f>
        <v>146.64226549137038</v>
      </c>
      <c r="J1060">
        <f>Table1[[#This Row],[Forecast]]*0.8</f>
        <v>130.34868043677369</v>
      </c>
      <c r="K1060">
        <f>Table1[[#This Row],[Forecast]]*0.8</f>
        <v>130.34868043677369</v>
      </c>
      <c r="L1060" s="5">
        <v>181</v>
      </c>
      <c r="M1060" s="6">
        <v>0.87019999999999997</v>
      </c>
      <c r="N1060" s="5">
        <v>27</v>
      </c>
      <c r="O1060" s="7">
        <v>4.3981481481481481E-4</v>
      </c>
      <c r="P1060" s="7">
        <v>1.8402777777777777E-3</v>
      </c>
      <c r="Q1060" s="7">
        <v>2.8703703703703703E-3</v>
      </c>
      <c r="R1060" s="6">
        <v>0.49020000000000002</v>
      </c>
      <c r="S1060" s="8">
        <f>CONVERT(Table1[[#This Row],[Talk Duration (AVG)]]*Table1[[#This Row],[Answered Calls]],"day","hr")</f>
        <v>7.9941666666666666</v>
      </c>
      <c r="T1060" s="9">
        <f>Table1[[#This Row],[Actual Workload hours]]*60</f>
        <v>479.65</v>
      </c>
      <c r="U1060" s="9">
        <f>CONVERT(Table1[[#This Row],[Actual]]*Table1[[#This Row],[Talk Duration (AVG)]],"day","hr")</f>
        <v>2.208333333333333</v>
      </c>
      <c r="V1060" s="10">
        <f>Table1[[#This Row],[Required Workload Hours]]*60</f>
        <v>132.49999999999997</v>
      </c>
      <c r="W1060" s="9">
        <f t="shared" si="34"/>
        <v>1.2490885416666666</v>
      </c>
      <c r="X1060" s="9">
        <f t="shared" si="35"/>
        <v>1</v>
      </c>
      <c r="Y1060" s="5">
        <f t="shared" si="33"/>
        <v>2</v>
      </c>
      <c r="Z1060" s="8">
        <f>ROUNDUP(Table1[[#This Row],[Actual Heacount]],0)</f>
        <v>2</v>
      </c>
      <c r="AA1060" s="8">
        <f>CONVERT(Table1[[#This Row],[RevisedForecast 30% Recution2]]*Table1[[#This Row],[Talk Duration (AVG)]],"day","hr")</f>
        <v>5.7570667192908376</v>
      </c>
      <c r="AB1060" s="10">
        <f>(Table1[[#This Row],[Forecast Workload Hours]]*60)*1.2</f>
        <v>414.50880378894033</v>
      </c>
      <c r="AC1060" s="10">
        <f>IF(Table1[[#This Row],[Forecast WOrkload Minutes]]&lt;384,1,Table1[[#This Row],[Forecast WOrkload Minutes]]/384)</f>
        <v>1.0794500098670321</v>
      </c>
      <c r="AD1060" s="10">
        <f>ROUNDUP(Table1[[#This Row],[Forecast Headcount]],0)</f>
        <v>2</v>
      </c>
      <c r="AE1060" s="11">
        <v>53.745161341920927</v>
      </c>
      <c r="AF1060" s="11">
        <v>272.85636448065031</v>
      </c>
      <c r="AG1060" t="s">
        <v>7</v>
      </c>
    </row>
    <row r="1061" spans="1:33">
      <c r="A1061" s="2">
        <v>44942</v>
      </c>
      <c r="B1061" s="5" t="s">
        <v>36</v>
      </c>
      <c r="C1061" s="5">
        <f>WEEKDAY(Table1[[#This Row],[Date]])</f>
        <v>2</v>
      </c>
      <c r="D1061" s="5">
        <f>MONTH(Table1[[#This Row],[Date]])</f>
        <v>1</v>
      </c>
      <c r="E1061" s="5">
        <f>WEEKNUM(Table1[[#This Row],[Date]])</f>
        <v>3</v>
      </c>
      <c r="F1061" s="5">
        <f>YEAR(Table1[[#This Row],[Date]])</f>
        <v>2023</v>
      </c>
      <c r="G1061" s="17">
        <v>285</v>
      </c>
      <c r="H1061">
        <v>262.15520786565929</v>
      </c>
      <c r="I1061">
        <f>Table1[[#This Row],[Forecast]]*0.9</f>
        <v>235.93968707909337</v>
      </c>
      <c r="J1061">
        <f>Table1[[#This Row],[Forecast]]*0.8</f>
        <v>209.72416629252746</v>
      </c>
      <c r="K1061">
        <f>Table1[[#This Row],[Forecast]]*0.8</f>
        <v>209.72416629252746</v>
      </c>
      <c r="L1061" s="5">
        <v>163</v>
      </c>
      <c r="M1061" s="6">
        <v>0.91569999999999996</v>
      </c>
      <c r="N1061" s="5">
        <v>15</v>
      </c>
      <c r="O1061" s="7">
        <v>3.8194444444444446E-4</v>
      </c>
      <c r="P1061" s="7">
        <v>2.0138888888888888E-3</v>
      </c>
      <c r="Q1061" s="7">
        <v>3.449074074074074E-3</v>
      </c>
      <c r="R1061" s="6">
        <v>0.54800000000000004</v>
      </c>
      <c r="S1061" s="8">
        <f>CONVERT(Table1[[#This Row],[Talk Duration (AVG)]]*Table1[[#This Row],[Answered Calls]],"day","hr")</f>
        <v>7.8783333333333321</v>
      </c>
      <c r="T1061" s="9">
        <f>Table1[[#This Row],[Actual Workload hours]]*60</f>
        <v>472.69999999999993</v>
      </c>
      <c r="U1061" s="9">
        <f>CONVERT(Table1[[#This Row],[Actual]]*Table1[[#This Row],[Talk Duration (AVG)]],"day","hr")</f>
        <v>13.775</v>
      </c>
      <c r="V1061" s="10">
        <f>Table1[[#This Row],[Required Workload Hours]]*60</f>
        <v>826.5</v>
      </c>
      <c r="W1061" s="9">
        <f t="shared" si="34"/>
        <v>1.2309895833333331</v>
      </c>
      <c r="X1061" s="9">
        <f t="shared" si="35"/>
        <v>2.15234375</v>
      </c>
      <c r="Y1061" s="5">
        <f t="shared" si="33"/>
        <v>2</v>
      </c>
      <c r="Z1061" s="8">
        <f>ROUNDUP(Table1[[#This Row],[Actual Heacount]],0)</f>
        <v>2</v>
      </c>
      <c r="AA1061" s="8">
        <f>CONVERT(Table1[[#This Row],[RevisedForecast 30% Recution2]]*Table1[[#This Row],[Talk Duration (AVG)]],"day","hr")</f>
        <v>10.136668037472161</v>
      </c>
      <c r="AB1061" s="10">
        <f>(Table1[[#This Row],[Forecast Workload Hours]]*60)*1.2</f>
        <v>729.84009869799559</v>
      </c>
      <c r="AC1061" s="10">
        <f>IF(Table1[[#This Row],[Forecast WOrkload Minutes]]&lt;384,1,Table1[[#This Row],[Forecast WOrkload Minutes]]/384)</f>
        <v>1.9006252570260302</v>
      </c>
      <c r="AD1061" s="10">
        <f>ROUNDUP(Table1[[#This Row],[Forecast Headcount]],0)</f>
        <v>2</v>
      </c>
      <c r="AE1061" s="11">
        <v>142.83840434961729</v>
      </c>
      <c r="AF1061" s="11">
        <v>374.90036040300822</v>
      </c>
      <c r="AG1061" t="s">
        <v>7</v>
      </c>
    </row>
    <row r="1062" spans="1:33">
      <c r="A1062" s="2">
        <v>44943</v>
      </c>
      <c r="B1062" s="5" t="s">
        <v>37</v>
      </c>
      <c r="C1062" s="5">
        <f>WEEKDAY(Table1[[#This Row],[Date]])</f>
        <v>3</v>
      </c>
      <c r="D1062" s="5">
        <f>MONTH(Table1[[#This Row],[Date]])</f>
        <v>1</v>
      </c>
      <c r="E1062" s="5">
        <f>WEEKNUM(Table1[[#This Row],[Date]])</f>
        <v>3</v>
      </c>
      <c r="F1062" s="5">
        <f>YEAR(Table1[[#This Row],[Date]])</f>
        <v>2023</v>
      </c>
      <c r="G1062" s="17">
        <v>77</v>
      </c>
      <c r="H1062">
        <v>245.37963570054029</v>
      </c>
      <c r="I1062">
        <f>Table1[[#This Row],[Forecast]]*0.9</f>
        <v>220.84167213048627</v>
      </c>
      <c r="J1062">
        <f>Table1[[#This Row],[Forecast]]*0.8</f>
        <v>196.30370856043226</v>
      </c>
      <c r="K1062">
        <f>Table1[[#This Row],[Forecast]]*0.8</f>
        <v>196.30370856043226</v>
      </c>
      <c r="L1062" s="5">
        <v>190</v>
      </c>
      <c r="M1062" s="6">
        <v>0.95960000000000001</v>
      </c>
      <c r="N1062" s="5">
        <v>8</v>
      </c>
      <c r="O1062" s="7">
        <v>2.8935185185185184E-4</v>
      </c>
      <c r="P1062" s="7">
        <v>1.7592592592592592E-3</v>
      </c>
      <c r="Q1062" s="7">
        <v>1.6435185185185185E-3</v>
      </c>
      <c r="R1062" s="6">
        <v>0.67010000000000003</v>
      </c>
      <c r="S1062" s="8">
        <f>CONVERT(Table1[[#This Row],[Talk Duration (AVG)]]*Table1[[#This Row],[Answered Calls]],"day","hr")</f>
        <v>8.0222222222222221</v>
      </c>
      <c r="T1062" s="9">
        <f>Table1[[#This Row],[Actual Workload hours]]*60</f>
        <v>481.33333333333331</v>
      </c>
      <c r="U1062" s="9">
        <f>CONVERT(Table1[[#This Row],[Actual]]*Table1[[#This Row],[Talk Duration (AVG)]],"day","hr")</f>
        <v>3.2511111111111104</v>
      </c>
      <c r="V1062" s="10">
        <f>Table1[[#This Row],[Required Workload Hours]]*60</f>
        <v>195.06666666666663</v>
      </c>
      <c r="W1062" s="9">
        <f t="shared" si="34"/>
        <v>1.2534722222222221</v>
      </c>
      <c r="X1062" s="9">
        <f t="shared" si="35"/>
        <v>1</v>
      </c>
      <c r="Y1062" s="5">
        <f t="shared" si="33"/>
        <v>2</v>
      </c>
      <c r="Z1062" s="8">
        <f>ROUNDUP(Table1[[#This Row],[Actual Heacount]],0)</f>
        <v>2</v>
      </c>
      <c r="AA1062" s="8">
        <f>CONVERT(Table1[[#This Row],[RevisedForecast 30% Recution2]]*Table1[[#This Row],[Talk Duration (AVG)]],"day","hr")</f>
        <v>8.2883788058849177</v>
      </c>
      <c r="AB1062" s="10">
        <f>(Table1[[#This Row],[Forecast Workload Hours]]*60)*1.2</f>
        <v>596.76327402371408</v>
      </c>
      <c r="AC1062" s="10">
        <f>IF(Table1[[#This Row],[Forecast WOrkload Minutes]]&lt;384,1,Table1[[#This Row],[Forecast WOrkload Minutes]]/384)</f>
        <v>1.5540710261034221</v>
      </c>
      <c r="AD1062" s="10">
        <f>ROUNDUP(Table1[[#This Row],[Forecast Headcount]],0)</f>
        <v>2</v>
      </c>
      <c r="AE1062" s="11">
        <v>140.94040217387959</v>
      </c>
      <c r="AF1062" s="11">
        <v>351.0579550590038</v>
      </c>
      <c r="AG1062" t="s">
        <v>7</v>
      </c>
    </row>
    <row r="1063" spans="1:33">
      <c r="A1063" s="2">
        <v>44944</v>
      </c>
      <c r="B1063" s="5" t="s">
        <v>38</v>
      </c>
      <c r="C1063" s="5">
        <f>WEEKDAY(Table1[[#This Row],[Date]])</f>
        <v>4</v>
      </c>
      <c r="D1063" s="5">
        <f>MONTH(Table1[[#This Row],[Date]])</f>
        <v>1</v>
      </c>
      <c r="E1063" s="5">
        <f>WEEKNUM(Table1[[#This Row],[Date]])</f>
        <v>3</v>
      </c>
      <c r="F1063" s="5">
        <f>YEAR(Table1[[#This Row],[Date]])</f>
        <v>2023</v>
      </c>
      <c r="G1063" s="17">
        <v>332</v>
      </c>
      <c r="H1063">
        <v>256.82761253732048</v>
      </c>
      <c r="I1063">
        <f>Table1[[#This Row],[Forecast]]*0.9</f>
        <v>231.14485128358842</v>
      </c>
      <c r="J1063">
        <f>Table1[[#This Row],[Forecast]]*0.8</f>
        <v>205.4620900298564</v>
      </c>
      <c r="K1063">
        <f>Table1[[#This Row],[Forecast]]*0.8</f>
        <v>205.4620900298564</v>
      </c>
      <c r="L1063" s="5">
        <v>17</v>
      </c>
      <c r="M1063" s="6">
        <v>0.8095</v>
      </c>
      <c r="N1063" s="5">
        <v>4</v>
      </c>
      <c r="O1063" s="7">
        <v>5.0925925925925921E-4</v>
      </c>
      <c r="P1063" s="7">
        <v>2.4421296296296296E-3</v>
      </c>
      <c r="Q1063" s="7">
        <v>3.2060185185185186E-3</v>
      </c>
      <c r="R1063" s="6">
        <v>0.47620000000000001</v>
      </c>
      <c r="S1063" s="8">
        <f>CONVERT(Table1[[#This Row],[Talk Duration (AVG)]]*Table1[[#This Row],[Answered Calls]],"day","hr")</f>
        <v>0.99638888888888877</v>
      </c>
      <c r="T1063" s="9">
        <f>Table1[[#This Row],[Actual Workload hours]]*60</f>
        <v>59.783333333333324</v>
      </c>
      <c r="U1063" s="9">
        <f>CONVERT(Table1[[#This Row],[Actual]]*Table1[[#This Row],[Talk Duration (AVG)]],"day","hr")</f>
        <v>19.45888888888889</v>
      </c>
      <c r="V1063" s="10">
        <f>Table1[[#This Row],[Required Workload Hours]]*60</f>
        <v>1167.5333333333333</v>
      </c>
      <c r="W1063" s="9">
        <f t="shared" si="34"/>
        <v>1</v>
      </c>
      <c r="X1063" s="9">
        <f t="shared" si="35"/>
        <v>3.0404513888888887</v>
      </c>
      <c r="Y1063" s="5">
        <f t="shared" si="33"/>
        <v>1</v>
      </c>
      <c r="Z1063" s="8">
        <f>ROUNDUP(Table1[[#This Row],[Actual Heacount]],0)</f>
        <v>1</v>
      </c>
      <c r="AA1063" s="8">
        <f>CONVERT(Table1[[#This Row],[RevisedForecast 30% Recution2]]*Table1[[#This Row],[Talk Duration (AVG)]],"day","hr")</f>
        <v>12.042361387861025</v>
      </c>
      <c r="AB1063" s="10">
        <f>(Table1[[#This Row],[Forecast Workload Hours]]*60)*1.2</f>
        <v>867.05001992599375</v>
      </c>
      <c r="AC1063" s="10">
        <f>IF(Table1[[#This Row],[Forecast WOrkload Minutes]]&lt;384,1,Table1[[#This Row],[Forecast WOrkload Minutes]]/384)</f>
        <v>2.2579427602239419</v>
      </c>
      <c r="AD1063" s="10">
        <f>ROUNDUP(Table1[[#This Row],[Forecast Headcount]],0)</f>
        <v>3</v>
      </c>
      <c r="AE1063" s="11">
        <v>140.564107025353</v>
      </c>
      <c r="AF1063" s="11">
        <v>367.63843271823401</v>
      </c>
      <c r="AG1063" t="s">
        <v>7</v>
      </c>
    </row>
    <row r="1064" spans="1:33">
      <c r="A1064" s="2">
        <v>44945</v>
      </c>
      <c r="B1064" s="5" t="s">
        <v>39</v>
      </c>
      <c r="C1064" s="5">
        <f>WEEKDAY(Table1[[#This Row],[Date]])</f>
        <v>5</v>
      </c>
      <c r="D1064" s="5">
        <f>MONTH(Table1[[#This Row],[Date]])</f>
        <v>1</v>
      </c>
      <c r="E1064" s="5">
        <f>WEEKNUM(Table1[[#This Row],[Date]])</f>
        <v>3</v>
      </c>
      <c r="F1064" s="5">
        <f>YEAR(Table1[[#This Row],[Date]])</f>
        <v>2023</v>
      </c>
      <c r="G1064" s="17">
        <v>282</v>
      </c>
      <c r="H1064">
        <v>251.23587120866031</v>
      </c>
      <c r="I1064">
        <f>Table1[[#This Row],[Forecast]]*0.9</f>
        <v>226.11228408779428</v>
      </c>
      <c r="J1064">
        <f>Table1[[#This Row],[Forecast]]*0.8</f>
        <v>200.98869696692827</v>
      </c>
      <c r="K1064">
        <f>Table1[[#This Row],[Forecast]]*0.8</f>
        <v>200.98869696692827</v>
      </c>
      <c r="L1064" s="5">
        <v>161</v>
      </c>
      <c r="M1064" s="6">
        <v>0.9415</v>
      </c>
      <c r="N1064" s="5">
        <v>10</v>
      </c>
      <c r="O1064" s="7">
        <v>1.8518518518518518E-4</v>
      </c>
      <c r="P1064" s="7">
        <v>1.7939814814814815E-3</v>
      </c>
      <c r="Q1064" s="7">
        <v>4.3287037037037035E-3</v>
      </c>
      <c r="R1064" s="6">
        <v>0.81440000000000001</v>
      </c>
      <c r="S1064" s="8">
        <f>CONVERT(Table1[[#This Row],[Talk Duration (AVG)]]*Table1[[#This Row],[Answered Calls]],"day","hr")</f>
        <v>6.9319444444444445</v>
      </c>
      <c r="T1064" s="9">
        <f>Table1[[#This Row],[Actual Workload hours]]*60</f>
        <v>415.91666666666669</v>
      </c>
      <c r="U1064" s="9">
        <f>CONVERT(Table1[[#This Row],[Actual]]*Table1[[#This Row],[Talk Duration (AVG)]],"day","hr")</f>
        <v>12.141666666666667</v>
      </c>
      <c r="V1064" s="10">
        <f>Table1[[#This Row],[Required Workload Hours]]*60</f>
        <v>728.5</v>
      </c>
      <c r="W1064" s="9">
        <f t="shared" si="34"/>
        <v>1.0831163194444444</v>
      </c>
      <c r="X1064" s="9">
        <f t="shared" si="35"/>
        <v>1.8971354166666667</v>
      </c>
      <c r="Y1064" s="5">
        <f t="shared" si="33"/>
        <v>2</v>
      </c>
      <c r="Z1064" s="8">
        <f>ROUNDUP(Table1[[#This Row],[Actual Heacount]],0)</f>
        <v>2</v>
      </c>
      <c r="AA1064" s="8">
        <f>CONVERT(Table1[[#This Row],[RevisedForecast 30% Recution2]]*Table1[[#This Row],[Talk Duration (AVG)]],"day","hr")</f>
        <v>8.6536800082983003</v>
      </c>
      <c r="AB1064" s="10">
        <f>(Table1[[#This Row],[Forecast Workload Hours]]*60)*1.2</f>
        <v>623.06496059747758</v>
      </c>
      <c r="AC1064" s="10">
        <f>IF(Table1[[#This Row],[Forecast WOrkload Minutes]]&lt;384,1,Table1[[#This Row],[Forecast WOrkload Minutes]]/384)</f>
        <v>1.6225650015559312</v>
      </c>
      <c r="AD1064" s="10">
        <f>ROUNDUP(Table1[[#This Row],[Forecast Headcount]],0)</f>
        <v>2</v>
      </c>
      <c r="AE1064" s="11">
        <v>141.56460455188071</v>
      </c>
      <c r="AF1064" s="11">
        <v>365.7544387046778</v>
      </c>
      <c r="AG1064" t="s">
        <v>7</v>
      </c>
    </row>
    <row r="1065" spans="1:33">
      <c r="A1065" s="2">
        <v>44946</v>
      </c>
      <c r="B1065" s="5" t="s">
        <v>40</v>
      </c>
      <c r="C1065" s="5">
        <f>WEEKDAY(Table1[[#This Row],[Date]])</f>
        <v>6</v>
      </c>
      <c r="D1065" s="5">
        <f>MONTH(Table1[[#This Row],[Date]])</f>
        <v>1</v>
      </c>
      <c r="E1065" s="5">
        <f>WEEKNUM(Table1[[#This Row],[Date]])</f>
        <v>3</v>
      </c>
      <c r="F1065" s="5">
        <f>YEAR(Table1[[#This Row],[Date]])</f>
        <v>2023</v>
      </c>
      <c r="G1065" s="17">
        <v>256</v>
      </c>
      <c r="H1065">
        <v>241.5095172210516</v>
      </c>
      <c r="I1065">
        <f>Table1[[#This Row],[Forecast]]*0.9</f>
        <v>217.35856549894643</v>
      </c>
      <c r="J1065">
        <f>Table1[[#This Row],[Forecast]]*0.8</f>
        <v>193.2076137768413</v>
      </c>
      <c r="K1065">
        <f>Table1[[#This Row],[Forecast]]*0.8</f>
        <v>193.2076137768413</v>
      </c>
      <c r="L1065" s="5">
        <v>196</v>
      </c>
      <c r="M1065" s="6">
        <v>0.98</v>
      </c>
      <c r="N1065" s="5">
        <v>4</v>
      </c>
      <c r="O1065" s="7">
        <v>1.0416666666666667E-4</v>
      </c>
      <c r="P1065" s="7">
        <v>1.9791666666666668E-3</v>
      </c>
      <c r="Q1065" s="7">
        <v>1.4004629629629629E-3</v>
      </c>
      <c r="R1065" s="6">
        <v>0.91920000000000002</v>
      </c>
      <c r="S1065" s="8">
        <f>CONVERT(Table1[[#This Row],[Talk Duration (AVG)]]*Table1[[#This Row],[Answered Calls]],"day","hr")</f>
        <v>9.31</v>
      </c>
      <c r="T1065" s="9">
        <f>Table1[[#This Row],[Actual Workload hours]]*60</f>
        <v>558.6</v>
      </c>
      <c r="U1065" s="9">
        <f>CONVERT(Table1[[#This Row],[Actual]]*Table1[[#This Row],[Talk Duration (AVG)]],"day","hr")</f>
        <v>12.160000000000002</v>
      </c>
      <c r="V1065" s="10">
        <f>Table1[[#This Row],[Required Workload Hours]]*60</f>
        <v>729.60000000000014</v>
      </c>
      <c r="W1065" s="9">
        <f t="shared" si="34"/>
        <v>1.4546875000000001</v>
      </c>
      <c r="X1065" s="9">
        <f t="shared" si="35"/>
        <v>1.9000000000000004</v>
      </c>
      <c r="Y1065" s="5">
        <f t="shared" si="33"/>
        <v>2</v>
      </c>
      <c r="Z1065" s="8">
        <f>ROUNDUP(Table1[[#This Row],[Actual Heacount]],0)</f>
        <v>2</v>
      </c>
      <c r="AA1065" s="8">
        <f>CONVERT(Table1[[#This Row],[RevisedForecast 30% Recution2]]*Table1[[#This Row],[Talk Duration (AVG)]],"day","hr")</f>
        <v>9.1773616543999612</v>
      </c>
      <c r="AB1065" s="10">
        <f>(Table1[[#This Row],[Forecast Workload Hours]]*60)*1.2</f>
        <v>660.77003911679719</v>
      </c>
      <c r="AC1065" s="10">
        <f>IF(Table1[[#This Row],[Forecast WOrkload Minutes]]&lt;384,1,Table1[[#This Row],[Forecast WOrkload Minutes]]/384)</f>
        <v>1.7207553101999926</v>
      </c>
      <c r="AD1065" s="10">
        <f>ROUNDUP(Table1[[#This Row],[Forecast Headcount]],0)</f>
        <v>2</v>
      </c>
      <c r="AE1065" s="11">
        <v>128.6025774971726</v>
      </c>
      <c r="AF1065" s="11">
        <v>360.92000226007411</v>
      </c>
      <c r="AG1065" t="s">
        <v>7</v>
      </c>
    </row>
    <row r="1066" spans="1:33">
      <c r="A1066" s="2">
        <v>44947</v>
      </c>
      <c r="B1066" s="5" t="s">
        <v>33</v>
      </c>
      <c r="C1066" s="5">
        <f>WEEKDAY(Table1[[#This Row],[Date]])</f>
        <v>7</v>
      </c>
      <c r="D1066" s="5">
        <f>MONTH(Table1[[#This Row],[Date]])</f>
        <v>1</v>
      </c>
      <c r="E1066" s="5">
        <f>WEEKNUM(Table1[[#This Row],[Date]])</f>
        <v>3</v>
      </c>
      <c r="F1066" s="5">
        <f>YEAR(Table1[[#This Row],[Date]])</f>
        <v>2023</v>
      </c>
      <c r="G1066" s="17">
        <v>177</v>
      </c>
      <c r="H1066">
        <v>247.7813620178616</v>
      </c>
      <c r="I1066">
        <f>Table1[[#This Row],[Forecast]]*0.9</f>
        <v>223.00322581607543</v>
      </c>
      <c r="J1066">
        <f>Table1[[#This Row],[Forecast]]*0.8</f>
        <v>198.22508961428929</v>
      </c>
      <c r="K1066">
        <f>Table1[[#This Row],[Forecast]]*0.8</f>
        <v>198.22508961428929</v>
      </c>
      <c r="L1066" s="5">
        <v>157</v>
      </c>
      <c r="M1066" s="6">
        <v>0.94579999999999997</v>
      </c>
      <c r="N1066" s="5">
        <v>9</v>
      </c>
      <c r="O1066" s="7">
        <v>2.7777777777777778E-4</v>
      </c>
      <c r="P1066" s="7">
        <v>1.8518518518518519E-3</v>
      </c>
      <c r="Q1066" s="7">
        <v>1.3194444444444445E-3</v>
      </c>
      <c r="R1066" s="6">
        <v>0.64629999999999999</v>
      </c>
      <c r="S1066" s="8">
        <f>CONVERT(Table1[[#This Row],[Talk Duration (AVG)]]*Table1[[#This Row],[Answered Calls]],"day","hr")</f>
        <v>6.9777777777777779</v>
      </c>
      <c r="T1066" s="9">
        <f>Table1[[#This Row],[Actual Workload hours]]*60</f>
        <v>418.66666666666669</v>
      </c>
      <c r="U1066" s="9">
        <f>CONVERT(Table1[[#This Row],[Actual]]*Table1[[#This Row],[Talk Duration (AVG)]],"day","hr")</f>
        <v>7.8666666666666663</v>
      </c>
      <c r="V1066" s="10">
        <f>Table1[[#This Row],[Required Workload Hours]]*60</f>
        <v>472</v>
      </c>
      <c r="W1066" s="9">
        <f t="shared" si="34"/>
        <v>1.0902777777777779</v>
      </c>
      <c r="X1066" s="9">
        <f t="shared" si="35"/>
        <v>1.2291666666666667</v>
      </c>
      <c r="Y1066" s="5">
        <f t="shared" si="33"/>
        <v>2</v>
      </c>
      <c r="Z1066" s="8">
        <f>ROUNDUP(Table1[[#This Row],[Actual Heacount]],0)</f>
        <v>2</v>
      </c>
      <c r="AA1066" s="8">
        <f>CONVERT(Table1[[#This Row],[RevisedForecast 30% Recution2]]*Table1[[#This Row],[Talk Duration (AVG)]],"day","hr")</f>
        <v>8.8100039828573014</v>
      </c>
      <c r="AB1066" s="10">
        <f>(Table1[[#This Row],[Forecast Workload Hours]]*60)*1.2</f>
        <v>634.32028676572565</v>
      </c>
      <c r="AC1066" s="10">
        <f>IF(Table1[[#This Row],[Forecast WOrkload Minutes]]&lt;384,1,Table1[[#This Row],[Forecast WOrkload Minutes]]/384)</f>
        <v>1.6518757467857439</v>
      </c>
      <c r="AD1066" s="10">
        <f>ROUNDUP(Table1[[#This Row],[Forecast Headcount]],0)</f>
        <v>2</v>
      </c>
      <c r="AE1066" s="11">
        <v>131.75554130195019</v>
      </c>
      <c r="AF1066" s="11">
        <v>358.86613302799952</v>
      </c>
      <c r="AG1066" t="s">
        <v>7</v>
      </c>
    </row>
    <row r="1067" spans="1:33">
      <c r="A1067" s="2">
        <v>44948</v>
      </c>
      <c r="B1067" s="5" t="s">
        <v>35</v>
      </c>
      <c r="C1067" s="5">
        <f>WEEKDAY(Table1[[#This Row],[Date]])</f>
        <v>1</v>
      </c>
      <c r="D1067" s="5">
        <f>MONTH(Table1[[#This Row],[Date]])</f>
        <v>1</v>
      </c>
      <c r="E1067" s="5">
        <f>WEEKNUM(Table1[[#This Row],[Date]])</f>
        <v>4</v>
      </c>
      <c r="F1067" s="5">
        <f>YEAR(Table1[[#This Row],[Date]])</f>
        <v>2023</v>
      </c>
      <c r="G1067" s="17">
        <v>27</v>
      </c>
      <c r="H1067">
        <v>158.22964837970741</v>
      </c>
      <c r="I1067">
        <f>Table1[[#This Row],[Forecast]]*0.9</f>
        <v>142.40668354173667</v>
      </c>
      <c r="J1067">
        <f>Table1[[#This Row],[Forecast]]*0.8</f>
        <v>126.58371870376594</v>
      </c>
      <c r="K1067">
        <f>Table1[[#This Row],[Forecast]]*0.8</f>
        <v>126.58371870376594</v>
      </c>
      <c r="L1067" s="5">
        <v>217</v>
      </c>
      <c r="M1067" s="6">
        <v>0.94350000000000001</v>
      </c>
      <c r="N1067" s="5">
        <v>13</v>
      </c>
      <c r="O1067" s="7">
        <v>3.1250000000000001E-4</v>
      </c>
      <c r="P1067" s="7">
        <v>1.8402777777777777E-3</v>
      </c>
      <c r="Q1067" s="7">
        <v>1.4236111111111112E-3</v>
      </c>
      <c r="R1067" s="6">
        <v>0.57210000000000005</v>
      </c>
      <c r="S1067" s="8">
        <f>CONVERT(Table1[[#This Row],[Talk Duration (AVG)]]*Table1[[#This Row],[Answered Calls]],"day","hr")</f>
        <v>9.5841666666666665</v>
      </c>
      <c r="T1067" s="9">
        <f>Table1[[#This Row],[Actual Workload hours]]*60</f>
        <v>575.04999999999995</v>
      </c>
      <c r="U1067" s="9">
        <f>CONVERT(Table1[[#This Row],[Actual]]*Table1[[#This Row],[Talk Duration (AVG)]],"day","hr")</f>
        <v>1.1924999999999999</v>
      </c>
      <c r="V1067" s="10">
        <f>Table1[[#This Row],[Required Workload Hours]]*60</f>
        <v>71.55</v>
      </c>
      <c r="W1067" s="9">
        <f t="shared" si="34"/>
        <v>1.4975260416666665</v>
      </c>
      <c r="X1067" s="9">
        <f t="shared" si="35"/>
        <v>1</v>
      </c>
      <c r="Y1067" s="5">
        <f t="shared" si="33"/>
        <v>2</v>
      </c>
      <c r="Z1067" s="8">
        <f>ROUNDUP(Table1[[#This Row],[Actual Heacount]],0)</f>
        <v>2</v>
      </c>
      <c r="AA1067" s="8">
        <f>CONVERT(Table1[[#This Row],[RevisedForecast 30% Recution2]]*Table1[[#This Row],[Talk Duration (AVG)]],"day","hr")</f>
        <v>5.5907809094163285</v>
      </c>
      <c r="AB1067" s="10">
        <f>(Table1[[#This Row],[Forecast Workload Hours]]*60)*1.2</f>
        <v>402.53622547797568</v>
      </c>
      <c r="AC1067" s="10">
        <f>IF(Table1[[#This Row],[Forecast WOrkload Minutes]]&lt;384,1,Table1[[#This Row],[Forecast WOrkload Minutes]]/384)</f>
        <v>1.0482714205155617</v>
      </c>
      <c r="AD1067" s="10">
        <f>ROUNDUP(Table1[[#This Row],[Forecast Headcount]],0)</f>
        <v>2</v>
      </c>
      <c r="AE1067" s="11">
        <v>53.098790987016663</v>
      </c>
      <c r="AF1067" s="11">
        <v>273.08639463498582</v>
      </c>
      <c r="AG1067" t="s">
        <v>7</v>
      </c>
    </row>
    <row r="1068" spans="1:33">
      <c r="A1068" s="2">
        <v>44949</v>
      </c>
      <c r="B1068" s="5" t="s">
        <v>36</v>
      </c>
      <c r="C1068" s="5">
        <f>WEEKDAY(Table1[[#This Row],[Date]])</f>
        <v>2</v>
      </c>
      <c r="D1068" s="5">
        <f>MONTH(Table1[[#This Row],[Date]])</f>
        <v>1</v>
      </c>
      <c r="E1068" s="5">
        <f>WEEKNUM(Table1[[#This Row],[Date]])</f>
        <v>4</v>
      </c>
      <c r="F1068" s="5">
        <f>YEAR(Table1[[#This Row],[Date]])</f>
        <v>2023</v>
      </c>
      <c r="G1068" s="17">
        <v>307</v>
      </c>
      <c r="H1068">
        <v>257.23646942035322</v>
      </c>
      <c r="I1068">
        <f>Table1[[#This Row],[Forecast]]*0.9</f>
        <v>231.5128224783179</v>
      </c>
      <c r="J1068">
        <f>Table1[[#This Row],[Forecast]]*0.8</f>
        <v>205.78917553628258</v>
      </c>
      <c r="K1068">
        <f>Table1[[#This Row],[Forecast]]*0.8</f>
        <v>205.78917553628258</v>
      </c>
      <c r="L1068" s="5">
        <v>168</v>
      </c>
      <c r="M1068" s="6">
        <v>0.96550000000000002</v>
      </c>
      <c r="N1068" s="5">
        <v>6</v>
      </c>
      <c r="O1068" s="7">
        <v>2.7777777777777778E-4</v>
      </c>
      <c r="P1068" s="7">
        <v>2.0486111111111113E-3</v>
      </c>
      <c r="Q1068" s="7">
        <v>2.0138888888888888E-3</v>
      </c>
      <c r="R1068" s="6">
        <v>0.69589999999999996</v>
      </c>
      <c r="S1068" s="8">
        <f>CONVERT(Table1[[#This Row],[Talk Duration (AVG)]]*Table1[[#This Row],[Answered Calls]],"day","hr")</f>
        <v>8.26</v>
      </c>
      <c r="T1068" s="9">
        <f>Table1[[#This Row],[Actual Workload hours]]*60</f>
        <v>495.59999999999997</v>
      </c>
      <c r="U1068" s="9">
        <f>CONVERT(Table1[[#This Row],[Actual]]*Table1[[#This Row],[Talk Duration (AVG)]],"day","hr")</f>
        <v>15.094166666666668</v>
      </c>
      <c r="V1068" s="10">
        <f>Table1[[#This Row],[Required Workload Hours]]*60</f>
        <v>905.65000000000009</v>
      </c>
      <c r="W1068" s="9">
        <f t="shared" si="34"/>
        <v>1.2906249999999999</v>
      </c>
      <c r="X1068" s="9">
        <f t="shared" si="35"/>
        <v>2.3584635416666671</v>
      </c>
      <c r="Y1068" s="5">
        <f t="shared" si="33"/>
        <v>2</v>
      </c>
      <c r="Z1068" s="8">
        <f>ROUNDUP(Table1[[#This Row],[Actual Heacount]],0)</f>
        <v>2</v>
      </c>
      <c r="AA1068" s="8">
        <f>CONVERT(Table1[[#This Row],[RevisedForecast 30% Recution2]]*Table1[[#This Row],[Talk Duration (AVG)]],"day","hr")</f>
        <v>10.117967797200562</v>
      </c>
      <c r="AB1068" s="10">
        <f>(Table1[[#This Row],[Forecast Workload Hours]]*60)*1.2</f>
        <v>728.49368139844046</v>
      </c>
      <c r="AC1068" s="10">
        <f>IF(Table1[[#This Row],[Forecast WOrkload Minutes]]&lt;384,1,Table1[[#This Row],[Forecast WOrkload Minutes]]/384)</f>
        <v>1.8971189619751054</v>
      </c>
      <c r="AD1068" s="10">
        <f>ROUNDUP(Table1[[#This Row],[Forecast Headcount]],0)</f>
        <v>2</v>
      </c>
      <c r="AE1068" s="11">
        <v>143.52626781394281</v>
      </c>
      <c r="AF1068" s="11">
        <v>370.33434677170271</v>
      </c>
      <c r="AG1068" t="s">
        <v>7</v>
      </c>
    </row>
    <row r="1069" spans="1:33">
      <c r="A1069" s="2">
        <v>44950</v>
      </c>
      <c r="B1069" s="5" t="s">
        <v>37</v>
      </c>
      <c r="C1069" s="5">
        <f>WEEKDAY(Table1[[#This Row],[Date]])</f>
        <v>3</v>
      </c>
      <c r="D1069" s="5">
        <f>MONTH(Table1[[#This Row],[Date]])</f>
        <v>1</v>
      </c>
      <c r="E1069" s="5">
        <f>WEEKNUM(Table1[[#This Row],[Date]])</f>
        <v>4</v>
      </c>
      <c r="F1069" s="5">
        <f>YEAR(Table1[[#This Row],[Date]])</f>
        <v>2023</v>
      </c>
      <c r="G1069" s="17">
        <v>587</v>
      </c>
      <c r="H1069">
        <v>240.39248871830239</v>
      </c>
      <c r="I1069">
        <f>Table1[[#This Row],[Forecast]]*0.9</f>
        <v>216.35323984647215</v>
      </c>
      <c r="J1069">
        <f>Table1[[#This Row],[Forecast]]*0.8</f>
        <v>192.31399097464191</v>
      </c>
      <c r="K1069">
        <f>Table1[[#This Row],[Forecast]]*0.8</f>
        <v>192.31399097464191</v>
      </c>
      <c r="L1069" s="5">
        <v>185</v>
      </c>
      <c r="M1069" s="6">
        <v>0.77080000000000004</v>
      </c>
      <c r="N1069" s="5">
        <v>55</v>
      </c>
      <c r="O1069" s="7">
        <v>6.9444444444444447E-4</v>
      </c>
      <c r="P1069" s="7">
        <v>2.1064814814814813E-3</v>
      </c>
      <c r="Q1069" s="7">
        <v>3.472222222222222E-3</v>
      </c>
      <c r="R1069" s="6">
        <v>0.2979</v>
      </c>
      <c r="S1069" s="8">
        <f>CONVERT(Table1[[#This Row],[Talk Duration (AVG)]]*Table1[[#This Row],[Answered Calls]],"day","hr")</f>
        <v>9.3527777777777779</v>
      </c>
      <c r="T1069" s="9">
        <f>Table1[[#This Row],[Actual Workload hours]]*60</f>
        <v>561.16666666666663</v>
      </c>
      <c r="U1069" s="9">
        <f>CONVERT(Table1[[#This Row],[Actual]]*Table1[[#This Row],[Talk Duration (AVG)]],"day","hr")</f>
        <v>29.676111111111112</v>
      </c>
      <c r="V1069" s="10">
        <f>Table1[[#This Row],[Required Workload Hours]]*60</f>
        <v>1780.5666666666666</v>
      </c>
      <c r="W1069" s="9">
        <f t="shared" si="34"/>
        <v>1.4613715277777777</v>
      </c>
      <c r="X1069" s="9">
        <f t="shared" si="35"/>
        <v>4.6368923611111112</v>
      </c>
      <c r="Y1069" s="5">
        <f t="shared" si="33"/>
        <v>2</v>
      </c>
      <c r="Z1069" s="8">
        <f>ROUNDUP(Table1[[#This Row],[Actual Heacount]],0)</f>
        <v>2</v>
      </c>
      <c r="AA1069" s="8">
        <f>CONVERT(Table1[[#This Row],[RevisedForecast 30% Recution2]]*Table1[[#This Row],[Talk Duration (AVG)]],"day","hr")</f>
        <v>9.7225406548291176</v>
      </c>
      <c r="AB1069" s="10">
        <f>(Table1[[#This Row],[Forecast Workload Hours]]*60)*1.2</f>
        <v>700.02292714769646</v>
      </c>
      <c r="AC1069" s="10">
        <f>IF(Table1[[#This Row],[Forecast WOrkload Minutes]]&lt;384,1,Table1[[#This Row],[Forecast WOrkload Minutes]]/384)</f>
        <v>1.8229763727804595</v>
      </c>
      <c r="AD1069" s="10">
        <f>ROUNDUP(Table1[[#This Row],[Forecast Headcount]],0)</f>
        <v>2</v>
      </c>
      <c r="AE1069" s="11">
        <v>129.65366375680111</v>
      </c>
      <c r="AF1069" s="11">
        <v>352.18841561148452</v>
      </c>
      <c r="AG1069" t="s">
        <v>7</v>
      </c>
    </row>
    <row r="1070" spans="1:33">
      <c r="A1070" s="2">
        <v>44951</v>
      </c>
      <c r="B1070" s="5" t="s">
        <v>38</v>
      </c>
      <c r="C1070" s="5">
        <f>WEEKDAY(Table1[[#This Row],[Date]])</f>
        <v>4</v>
      </c>
      <c r="D1070" s="5">
        <f>MONTH(Table1[[#This Row],[Date]])</f>
        <v>1</v>
      </c>
      <c r="E1070" s="5">
        <f>WEEKNUM(Table1[[#This Row],[Date]])</f>
        <v>4</v>
      </c>
      <c r="F1070" s="5">
        <f>YEAR(Table1[[#This Row],[Date]])</f>
        <v>2023</v>
      </c>
      <c r="G1070" s="17">
        <v>270</v>
      </c>
      <c r="H1070">
        <v>251.93597682163511</v>
      </c>
      <c r="I1070">
        <f>Table1[[#This Row],[Forecast]]*0.9</f>
        <v>226.74237913947161</v>
      </c>
      <c r="J1070">
        <f>Table1[[#This Row],[Forecast]]*0.8</f>
        <v>201.54878145730811</v>
      </c>
      <c r="K1070">
        <f>Table1[[#This Row],[Forecast]]*0.8</f>
        <v>201.54878145730811</v>
      </c>
      <c r="L1070" s="5">
        <v>27</v>
      </c>
      <c r="M1070" s="6">
        <v>0.77139999999999997</v>
      </c>
      <c r="N1070" s="5">
        <v>8</v>
      </c>
      <c r="O1070" s="7">
        <v>5.5555555555555556E-4</v>
      </c>
      <c r="P1070" s="7">
        <v>2.0370370370370369E-3</v>
      </c>
      <c r="Q1070" s="7">
        <v>2.6967592592592594E-3</v>
      </c>
      <c r="R1070" s="6">
        <v>0.43330000000000002</v>
      </c>
      <c r="S1070" s="8">
        <f>CONVERT(Table1[[#This Row],[Talk Duration (AVG)]]*Table1[[#This Row],[Answered Calls]],"day","hr")</f>
        <v>1.3199999999999998</v>
      </c>
      <c r="T1070" s="9">
        <f>Table1[[#This Row],[Actual Workload hours]]*60</f>
        <v>79.199999999999989</v>
      </c>
      <c r="U1070" s="9">
        <f>CONVERT(Table1[[#This Row],[Actual]]*Table1[[#This Row],[Talk Duration (AVG)]],"day","hr")</f>
        <v>13.199999999999998</v>
      </c>
      <c r="V1070" s="10">
        <f>Table1[[#This Row],[Required Workload Hours]]*60</f>
        <v>791.99999999999989</v>
      </c>
      <c r="W1070" s="9">
        <f t="shared" si="34"/>
        <v>1</v>
      </c>
      <c r="X1070" s="9">
        <f t="shared" si="35"/>
        <v>2.0624999999999996</v>
      </c>
      <c r="Y1070" s="5">
        <f t="shared" si="33"/>
        <v>1</v>
      </c>
      <c r="Z1070" s="8">
        <f>ROUNDUP(Table1[[#This Row],[Actual Heacount]],0)</f>
        <v>1</v>
      </c>
      <c r="AA1070" s="8">
        <f>CONVERT(Table1[[#This Row],[RevisedForecast 30% Recution2]]*Table1[[#This Row],[Talk Duration (AVG)]],"day","hr")</f>
        <v>9.8534959823572841</v>
      </c>
      <c r="AB1070" s="10">
        <f>(Table1[[#This Row],[Forecast Workload Hours]]*60)*1.2</f>
        <v>709.45171072972437</v>
      </c>
      <c r="AC1070" s="10">
        <f>IF(Table1[[#This Row],[Forecast WOrkload Minutes]]&lt;384,1,Table1[[#This Row],[Forecast WOrkload Minutes]]/384)</f>
        <v>1.8475304966919905</v>
      </c>
      <c r="AD1070" s="10">
        <f>ROUNDUP(Table1[[#This Row],[Forecast Headcount]],0)</f>
        <v>2</v>
      </c>
      <c r="AE1070" s="11">
        <v>139.1383204607815</v>
      </c>
      <c r="AF1070" s="11">
        <v>367.49044612205762</v>
      </c>
      <c r="AG1070" t="s">
        <v>7</v>
      </c>
    </row>
    <row r="1071" spans="1:33">
      <c r="A1071" s="2">
        <v>44952</v>
      </c>
      <c r="B1071" s="5" t="s">
        <v>39</v>
      </c>
      <c r="C1071" s="5">
        <f>WEEKDAY(Table1[[#This Row],[Date]])</f>
        <v>5</v>
      </c>
      <c r="D1071" s="5">
        <f>MONTH(Table1[[#This Row],[Date]])</f>
        <v>1</v>
      </c>
      <c r="E1071" s="5">
        <f>WEEKNUM(Table1[[#This Row],[Date]])</f>
        <v>4</v>
      </c>
      <c r="F1071" s="5">
        <f>YEAR(Table1[[#This Row],[Date]])</f>
        <v>2023</v>
      </c>
      <c r="G1071" s="17">
        <v>307</v>
      </c>
      <c r="H1071">
        <v>246.62028723712029</v>
      </c>
      <c r="I1071">
        <f>Table1[[#This Row],[Forecast]]*0.9</f>
        <v>221.95825851340828</v>
      </c>
      <c r="J1071">
        <f>Table1[[#This Row],[Forecast]]*0.8</f>
        <v>197.29622978969624</v>
      </c>
      <c r="K1071">
        <f>Table1[[#This Row],[Forecast]]*0.8</f>
        <v>197.29622978969624</v>
      </c>
      <c r="L1071" s="5">
        <v>179</v>
      </c>
      <c r="M1071" s="6">
        <v>0.90400000000000003</v>
      </c>
      <c r="N1071" s="5">
        <v>19</v>
      </c>
      <c r="O1071" s="7">
        <v>3.1250000000000001E-4</v>
      </c>
      <c r="P1071" s="7">
        <v>1.8634259259259259E-3</v>
      </c>
      <c r="Q1071" s="7">
        <v>6.7129629629629631E-3</v>
      </c>
      <c r="R1071" s="6">
        <v>0.60099999999999998</v>
      </c>
      <c r="S1071" s="8">
        <f>CONVERT(Table1[[#This Row],[Talk Duration (AVG)]]*Table1[[#This Row],[Answered Calls]],"day","hr")</f>
        <v>8.0052777777777759</v>
      </c>
      <c r="T1071" s="9">
        <f>Table1[[#This Row],[Actual Workload hours]]*60</f>
        <v>480.31666666666655</v>
      </c>
      <c r="U1071" s="9">
        <f>CONVERT(Table1[[#This Row],[Actual]]*Table1[[#This Row],[Talk Duration (AVG)]],"day","hr")</f>
        <v>13.729722222222222</v>
      </c>
      <c r="V1071" s="10">
        <f>Table1[[#This Row],[Required Workload Hours]]*60</f>
        <v>823.7833333333333</v>
      </c>
      <c r="W1071" s="9">
        <f t="shared" si="34"/>
        <v>1.2508246527777775</v>
      </c>
      <c r="X1071" s="9">
        <f t="shared" si="35"/>
        <v>2.1452690972222221</v>
      </c>
      <c r="Y1071" s="5">
        <f t="shared" si="33"/>
        <v>2</v>
      </c>
      <c r="Z1071" s="8">
        <f>ROUNDUP(Table1[[#This Row],[Actual Heacount]],0)</f>
        <v>2</v>
      </c>
      <c r="AA1071" s="8">
        <f>CONVERT(Table1[[#This Row],[RevisedForecast 30% Recution2]]*Table1[[#This Row],[Talk Duration (AVG)]],"day","hr")</f>
        <v>8.8235258322614154</v>
      </c>
      <c r="AB1071" s="10">
        <f>(Table1[[#This Row],[Forecast Workload Hours]]*60)*1.2</f>
        <v>635.29385992282187</v>
      </c>
      <c r="AC1071" s="10">
        <f>IF(Table1[[#This Row],[Forecast WOrkload Minutes]]&lt;384,1,Table1[[#This Row],[Forecast WOrkload Minutes]]/384)</f>
        <v>1.6544110935490153</v>
      </c>
      <c r="AD1071" s="10">
        <f>ROUNDUP(Table1[[#This Row],[Forecast Headcount]],0)</f>
        <v>2</v>
      </c>
      <c r="AE1071" s="11">
        <v>134.27321311724381</v>
      </c>
      <c r="AF1071" s="11">
        <v>356.03619908313487</v>
      </c>
      <c r="AG1071" t="s">
        <v>7</v>
      </c>
    </row>
    <row r="1072" spans="1:33">
      <c r="A1072" s="2">
        <v>44953</v>
      </c>
      <c r="B1072" s="5" t="s">
        <v>40</v>
      </c>
      <c r="C1072" s="5">
        <f>WEEKDAY(Table1[[#This Row],[Date]])</f>
        <v>6</v>
      </c>
      <c r="D1072" s="5">
        <f>MONTH(Table1[[#This Row],[Date]])</f>
        <v>1</v>
      </c>
      <c r="E1072" s="5">
        <f>WEEKNUM(Table1[[#This Row],[Date]])</f>
        <v>4</v>
      </c>
      <c r="F1072" s="5">
        <f>YEAR(Table1[[#This Row],[Date]])</f>
        <v>2023</v>
      </c>
      <c r="G1072" s="17">
        <v>242</v>
      </c>
      <c r="H1072">
        <v>237.36333465739449</v>
      </c>
      <c r="I1072">
        <f>Table1[[#This Row],[Forecast]]*0.9</f>
        <v>213.62700119165504</v>
      </c>
      <c r="J1072">
        <f>Table1[[#This Row],[Forecast]]*0.8</f>
        <v>189.89066772591559</v>
      </c>
      <c r="K1072">
        <f>Table1[[#This Row],[Forecast]]*0.8</f>
        <v>189.89066772591559</v>
      </c>
      <c r="L1072" s="5">
        <v>181</v>
      </c>
      <c r="M1072" s="6">
        <v>0.9577</v>
      </c>
      <c r="N1072" s="5">
        <v>8</v>
      </c>
      <c r="O1072" s="7">
        <v>2.199074074074074E-4</v>
      </c>
      <c r="P1072" s="7">
        <v>2.0717592592592593E-3</v>
      </c>
      <c r="Q1072" s="7">
        <v>1.8981481481481482E-3</v>
      </c>
      <c r="R1072" s="6">
        <v>0.71430000000000005</v>
      </c>
      <c r="S1072" s="8">
        <f>CONVERT(Table1[[#This Row],[Talk Duration (AVG)]]*Table1[[#This Row],[Answered Calls]],"day","hr")</f>
        <v>8.9997222222222231</v>
      </c>
      <c r="T1072" s="9">
        <f>Table1[[#This Row],[Actual Workload hours]]*60</f>
        <v>539.98333333333335</v>
      </c>
      <c r="U1072" s="9">
        <f>CONVERT(Table1[[#This Row],[Actual]]*Table1[[#This Row],[Talk Duration (AVG)]],"day","hr")</f>
        <v>12.032777777777779</v>
      </c>
      <c r="V1072" s="10">
        <f>Table1[[#This Row],[Required Workload Hours]]*60</f>
        <v>721.96666666666681</v>
      </c>
      <c r="W1072" s="9">
        <f t="shared" si="34"/>
        <v>1.4062065972222222</v>
      </c>
      <c r="X1072" s="9">
        <f t="shared" si="35"/>
        <v>1.8801215277777781</v>
      </c>
      <c r="Y1072" s="5">
        <f t="shared" si="33"/>
        <v>2</v>
      </c>
      <c r="Z1072" s="8">
        <f>ROUNDUP(Table1[[#This Row],[Actual Heacount]],0)</f>
        <v>2</v>
      </c>
      <c r="AA1072" s="8">
        <f>CONVERT(Table1[[#This Row],[RevisedForecast 30% Recution2]]*Table1[[#This Row],[Talk Duration (AVG)]],"day","hr")</f>
        <v>9.4417859785941349</v>
      </c>
      <c r="AB1072" s="10">
        <f>(Table1[[#This Row],[Forecast Workload Hours]]*60)*1.2</f>
        <v>679.80859045877764</v>
      </c>
      <c r="AC1072" s="10">
        <f>IF(Table1[[#This Row],[Forecast WOrkload Minutes]]&lt;384,1,Table1[[#This Row],[Forecast WOrkload Minutes]]/384)</f>
        <v>1.7703348709864002</v>
      </c>
      <c r="AD1072" s="10">
        <f>ROUNDUP(Table1[[#This Row],[Forecast Headcount]],0)</f>
        <v>2</v>
      </c>
      <c r="AE1072" s="11">
        <v>127.7767373859793</v>
      </c>
      <c r="AF1072" s="11">
        <v>353.45470454327028</v>
      </c>
      <c r="AG1072" t="s">
        <v>7</v>
      </c>
    </row>
    <row r="1073" spans="1:33">
      <c r="A1073" s="2">
        <v>44954</v>
      </c>
      <c r="B1073" s="5" t="s">
        <v>33</v>
      </c>
      <c r="C1073" s="5">
        <f>WEEKDAY(Table1[[#This Row],[Date]])</f>
        <v>7</v>
      </c>
      <c r="D1073" s="5">
        <f>MONTH(Table1[[#This Row],[Date]])</f>
        <v>1</v>
      </c>
      <c r="E1073" s="5">
        <f>WEEKNUM(Table1[[#This Row],[Date]])</f>
        <v>4</v>
      </c>
      <c r="F1073" s="5">
        <f>YEAR(Table1[[#This Row],[Date]])</f>
        <v>2023</v>
      </c>
      <c r="G1073" s="17">
        <v>194</v>
      </c>
      <c r="H1073">
        <v>244.30636516071041</v>
      </c>
      <c r="I1073">
        <f>Table1[[#This Row],[Forecast]]*0.9</f>
        <v>219.87572864463937</v>
      </c>
      <c r="J1073">
        <f>Table1[[#This Row],[Forecast]]*0.8</f>
        <v>195.44509212856835</v>
      </c>
      <c r="K1073">
        <f>Table1[[#This Row],[Forecast]]*0.8</f>
        <v>195.44509212856835</v>
      </c>
      <c r="L1073" s="5">
        <v>219</v>
      </c>
      <c r="M1073" s="6">
        <v>0.95630000000000004</v>
      </c>
      <c r="N1073" s="5">
        <v>10</v>
      </c>
      <c r="O1073" s="7">
        <v>3.4722222222222224E-4</v>
      </c>
      <c r="P1073" s="7">
        <v>2.2569444444444442E-3</v>
      </c>
      <c r="Q1073" s="7">
        <v>4.4560185185185189E-3</v>
      </c>
      <c r="R1073" s="6">
        <v>0.59209999999999996</v>
      </c>
      <c r="S1073" s="8">
        <f>CONVERT(Table1[[#This Row],[Talk Duration (AVG)]]*Table1[[#This Row],[Answered Calls]],"day","hr")</f>
        <v>11.862499999999997</v>
      </c>
      <c r="T1073" s="9">
        <f>Table1[[#This Row],[Actual Workload hours]]*60</f>
        <v>711.74999999999977</v>
      </c>
      <c r="U1073" s="9">
        <f>CONVERT(Table1[[#This Row],[Actual]]*Table1[[#This Row],[Talk Duration (AVG)]],"day","hr")</f>
        <v>10.508333333333331</v>
      </c>
      <c r="V1073" s="10">
        <f>Table1[[#This Row],[Required Workload Hours]]*60</f>
        <v>630.49999999999989</v>
      </c>
      <c r="W1073" s="9">
        <f t="shared" si="34"/>
        <v>1.8535156249999993</v>
      </c>
      <c r="X1073" s="9">
        <f t="shared" si="35"/>
        <v>1.641927083333333</v>
      </c>
      <c r="Y1073" s="5">
        <f t="shared" si="33"/>
        <v>2</v>
      </c>
      <c r="Z1073" s="8">
        <f>ROUNDUP(Table1[[#This Row],[Actual Heacount]],0)</f>
        <v>2</v>
      </c>
      <c r="AA1073" s="8">
        <f>CONVERT(Table1[[#This Row],[RevisedForecast 30% Recution2]]*Table1[[#This Row],[Talk Duration (AVG)]],"day","hr")</f>
        <v>10.586609156964117</v>
      </c>
      <c r="AB1073" s="10">
        <f>(Table1[[#This Row],[Forecast Workload Hours]]*60)*1.2</f>
        <v>762.23585930141633</v>
      </c>
      <c r="AC1073" s="10">
        <f>IF(Table1[[#This Row],[Forecast WOrkload Minutes]]&lt;384,1,Table1[[#This Row],[Forecast WOrkload Minutes]]/384)</f>
        <v>1.9849892169307717</v>
      </c>
      <c r="AD1073" s="10">
        <f>ROUNDUP(Table1[[#This Row],[Forecast Headcount]],0)</f>
        <v>2</v>
      </c>
      <c r="AE1073" s="11">
        <v>136.37900753185599</v>
      </c>
      <c r="AF1073" s="11">
        <v>356.27504973054079</v>
      </c>
      <c r="AG1073" t="s">
        <v>7</v>
      </c>
    </row>
    <row r="1074" spans="1:33">
      <c r="A1074" s="2">
        <v>44955</v>
      </c>
      <c r="B1074" s="5" t="s">
        <v>35</v>
      </c>
      <c r="C1074" s="5">
        <f>WEEKDAY(Table1[[#This Row],[Date]])</f>
        <v>1</v>
      </c>
      <c r="D1074" s="5">
        <f>MONTH(Table1[[#This Row],[Date]])</f>
        <v>1</v>
      </c>
      <c r="E1074" s="5">
        <f>WEEKNUM(Table1[[#This Row],[Date]])</f>
        <v>5</v>
      </c>
      <c r="F1074" s="5">
        <f>YEAR(Table1[[#This Row],[Date]])</f>
        <v>2023</v>
      </c>
      <c r="G1074" s="17">
        <v>21</v>
      </c>
      <c r="H1074">
        <v>155.63121290455271</v>
      </c>
      <c r="I1074">
        <f>Table1[[#This Row],[Forecast]]*0.9</f>
        <v>140.06809161409745</v>
      </c>
      <c r="J1074">
        <f>Table1[[#This Row],[Forecast]]*0.8</f>
        <v>124.50497032364217</v>
      </c>
      <c r="K1074">
        <f>Table1[[#This Row],[Forecast]]*0.8</f>
        <v>124.50497032364217</v>
      </c>
      <c r="L1074" s="5">
        <v>235</v>
      </c>
      <c r="M1074" s="6">
        <v>0.92520000000000002</v>
      </c>
      <c r="N1074" s="5">
        <v>19</v>
      </c>
      <c r="O1074" s="7">
        <v>3.1250000000000001E-4</v>
      </c>
      <c r="P1074" s="7">
        <v>2.0370370370370369E-3</v>
      </c>
      <c r="Q1074" s="7">
        <v>2.685185185185185E-3</v>
      </c>
      <c r="R1074" s="6">
        <v>0.5968</v>
      </c>
      <c r="S1074" s="8">
        <f>CONVERT(Table1[[#This Row],[Talk Duration (AVG)]]*Table1[[#This Row],[Answered Calls]],"day","hr")</f>
        <v>11.488888888888889</v>
      </c>
      <c r="T1074" s="9">
        <f>Table1[[#This Row],[Actual Workload hours]]*60</f>
        <v>689.33333333333337</v>
      </c>
      <c r="U1074" s="9">
        <f>CONVERT(Table1[[#This Row],[Actual]]*Table1[[#This Row],[Talk Duration (AVG)]],"day","hr")</f>
        <v>1.0266666666666666</v>
      </c>
      <c r="V1074" s="10">
        <f>Table1[[#This Row],[Required Workload Hours]]*60</f>
        <v>61.599999999999994</v>
      </c>
      <c r="W1074" s="9">
        <f t="shared" si="34"/>
        <v>1.7951388888888891</v>
      </c>
      <c r="X1074" s="9">
        <f t="shared" si="35"/>
        <v>1</v>
      </c>
      <c r="Y1074" s="5">
        <f t="shared" si="33"/>
        <v>2</v>
      </c>
      <c r="Z1074" s="8">
        <f>ROUNDUP(Table1[[#This Row],[Actual Heacount]],0)</f>
        <v>2</v>
      </c>
      <c r="AA1074" s="8">
        <f>CONVERT(Table1[[#This Row],[RevisedForecast 30% Recution2]]*Table1[[#This Row],[Talk Duration (AVG)]],"day","hr")</f>
        <v>6.086909660266949</v>
      </c>
      <c r="AB1074" s="10">
        <f>(Table1[[#This Row],[Forecast Workload Hours]]*60)*1.2</f>
        <v>438.25749553922032</v>
      </c>
      <c r="AC1074" s="10">
        <f>IF(Table1[[#This Row],[Forecast WOrkload Minutes]]&lt;384,1,Table1[[#This Row],[Forecast WOrkload Minutes]]/384)</f>
        <v>1.1412955613000528</v>
      </c>
      <c r="AD1074" s="10">
        <f>ROUNDUP(Table1[[#This Row],[Forecast Headcount]],0)</f>
        <v>2</v>
      </c>
      <c r="AE1074" s="11">
        <v>43.984131656642752</v>
      </c>
      <c r="AF1074" s="11">
        <v>259.76182087593833</v>
      </c>
      <c r="AG1074" t="s">
        <v>7</v>
      </c>
    </row>
    <row r="1075" spans="1:33">
      <c r="A1075" s="2">
        <v>44956</v>
      </c>
      <c r="B1075" s="5" t="s">
        <v>36</v>
      </c>
      <c r="C1075" s="5">
        <f>WEEKDAY(Table1[[#This Row],[Date]])</f>
        <v>2</v>
      </c>
      <c r="D1075" s="5">
        <f>MONTH(Table1[[#This Row],[Date]])</f>
        <v>1</v>
      </c>
      <c r="E1075" s="5">
        <f>WEEKNUM(Table1[[#This Row],[Date]])</f>
        <v>5</v>
      </c>
      <c r="F1075" s="5">
        <f>YEAR(Table1[[#This Row],[Date]])</f>
        <v>2023</v>
      </c>
      <c r="G1075" s="17">
        <v>291</v>
      </c>
      <c r="H1075">
        <v>255.71836005201101</v>
      </c>
      <c r="I1075">
        <f>Table1[[#This Row],[Forecast]]*0.9</f>
        <v>230.1465240468099</v>
      </c>
      <c r="J1075">
        <f>Table1[[#This Row],[Forecast]]*0.8</f>
        <v>204.57468804160882</v>
      </c>
      <c r="K1075">
        <f>Table1[[#This Row],[Forecast]]*0.8</f>
        <v>204.57468804160882</v>
      </c>
      <c r="L1075" s="5">
        <v>521</v>
      </c>
      <c r="M1075" s="6">
        <v>0.8921</v>
      </c>
      <c r="N1075" s="5">
        <v>63</v>
      </c>
      <c r="O1075" s="7">
        <v>3.3564814814814812E-4</v>
      </c>
      <c r="P1075" s="7">
        <v>1.5740740740740741E-3</v>
      </c>
      <c r="Q1075" s="7">
        <v>3.0208333333333333E-3</v>
      </c>
      <c r="R1075" s="6">
        <v>0.58299999999999996</v>
      </c>
      <c r="S1075" s="8">
        <f>CONVERT(Table1[[#This Row],[Talk Duration (AVG)]]*Table1[[#This Row],[Answered Calls]],"day","hr")</f>
        <v>19.682222222222222</v>
      </c>
      <c r="T1075" s="9">
        <f>Table1[[#This Row],[Actual Workload hours]]*60</f>
        <v>1180.9333333333334</v>
      </c>
      <c r="U1075" s="9">
        <f>CONVERT(Table1[[#This Row],[Actual]]*Table1[[#This Row],[Talk Duration (AVG)]],"day","hr")</f>
        <v>10.993333333333334</v>
      </c>
      <c r="V1075" s="10">
        <f>Table1[[#This Row],[Required Workload Hours]]*60</f>
        <v>659.6</v>
      </c>
      <c r="W1075" s="9">
        <f t="shared" si="34"/>
        <v>3.0753472222222222</v>
      </c>
      <c r="X1075" s="9">
        <f t="shared" si="35"/>
        <v>1.7177083333333334</v>
      </c>
      <c r="Y1075" s="5">
        <f t="shared" si="33"/>
        <v>2</v>
      </c>
      <c r="Z1075" s="8">
        <f>ROUNDUP(Table1[[#This Row],[Actual Heacount]],0)</f>
        <v>4</v>
      </c>
      <c r="AA1075" s="8">
        <f>CONVERT(Table1[[#This Row],[RevisedForecast 30% Recution2]]*Table1[[#This Row],[Talk Duration (AVG)]],"day","hr")</f>
        <v>7.728377103794112</v>
      </c>
      <c r="AB1075" s="10">
        <f>(Table1[[#This Row],[Forecast Workload Hours]]*60)*1.2</f>
        <v>556.44315147317604</v>
      </c>
      <c r="AC1075" s="10">
        <f>IF(Table1[[#This Row],[Forecast WOrkload Minutes]]&lt;384,1,Table1[[#This Row],[Forecast WOrkload Minutes]]/384)</f>
        <v>1.4490707069613959</v>
      </c>
      <c r="AD1075" s="10">
        <f>ROUNDUP(Table1[[#This Row],[Forecast Headcount]],0)</f>
        <v>2</v>
      </c>
      <c r="AE1075" s="11">
        <v>149.83895469350469</v>
      </c>
      <c r="AF1075" s="11">
        <v>369.39632364145109</v>
      </c>
      <c r="AG1075" t="s">
        <v>7</v>
      </c>
    </row>
    <row r="1076" spans="1:33">
      <c r="A1076" s="2">
        <v>44957</v>
      </c>
      <c r="B1076" s="5" t="s">
        <v>37</v>
      </c>
      <c r="C1076" s="5">
        <f>WEEKDAY(Table1[[#This Row],[Date]])</f>
        <v>3</v>
      </c>
      <c r="D1076" s="5">
        <f>MONTH(Table1[[#This Row],[Date]])</f>
        <v>1</v>
      </c>
      <c r="E1076" s="5">
        <f>WEEKNUM(Table1[[#This Row],[Date]])</f>
        <v>5</v>
      </c>
      <c r="F1076" s="5">
        <f>YEAR(Table1[[#This Row],[Date]])</f>
        <v>2023</v>
      </c>
      <c r="G1076" s="17">
        <v>516</v>
      </c>
      <c r="H1076">
        <v>240.15142028757899</v>
      </c>
      <c r="I1076">
        <f>Table1[[#This Row],[Forecast]]*0.9</f>
        <v>216.13627825882108</v>
      </c>
      <c r="J1076">
        <f>Table1[[#This Row],[Forecast]]*0.8</f>
        <v>192.1211362300632</v>
      </c>
      <c r="K1076">
        <f>Table1[[#This Row],[Forecast]]*0.8</f>
        <v>192.1211362300632</v>
      </c>
      <c r="L1076" s="5">
        <v>551</v>
      </c>
      <c r="M1076" s="6">
        <v>0.97699999999999998</v>
      </c>
      <c r="N1076" s="5">
        <v>13</v>
      </c>
      <c r="O1076" s="7">
        <v>1.3888888888888889E-4</v>
      </c>
      <c r="P1076" s="7">
        <v>1.1574074074074073E-3</v>
      </c>
      <c r="Q1076" s="7">
        <v>1.2268518518518518E-3</v>
      </c>
      <c r="R1076" s="6">
        <v>0.83960000000000001</v>
      </c>
      <c r="S1076" s="8">
        <f>CONVERT(Table1[[#This Row],[Talk Duration (AVG)]]*Table1[[#This Row],[Answered Calls]],"day","hr")</f>
        <v>15.305555555555554</v>
      </c>
      <c r="T1076" s="9">
        <f>Table1[[#This Row],[Actual Workload hours]]*60</f>
        <v>918.33333333333326</v>
      </c>
      <c r="U1076" s="9">
        <f>CONVERT(Table1[[#This Row],[Actual]]*Table1[[#This Row],[Talk Duration (AVG)]],"day","hr")</f>
        <v>14.333333333333334</v>
      </c>
      <c r="V1076" s="10">
        <f>Table1[[#This Row],[Required Workload Hours]]*60</f>
        <v>860</v>
      </c>
      <c r="W1076" s="9">
        <f t="shared" si="34"/>
        <v>2.3914930555555554</v>
      </c>
      <c r="X1076" s="9">
        <f t="shared" si="35"/>
        <v>2.2395833333333335</v>
      </c>
      <c r="Y1076" s="5">
        <f t="shared" si="33"/>
        <v>2</v>
      </c>
      <c r="Z1076" s="8">
        <f>ROUNDUP(Table1[[#This Row],[Actual Heacount]],0)</f>
        <v>3</v>
      </c>
      <c r="AA1076" s="8">
        <f>CONVERT(Table1[[#This Row],[RevisedForecast 30% Recution2]]*Table1[[#This Row],[Talk Duration (AVG)]],"day","hr")</f>
        <v>5.3366982286128657</v>
      </c>
      <c r="AB1076" s="10">
        <f>(Table1[[#This Row],[Forecast Workload Hours]]*60)*1.2</f>
        <v>384.24227246012634</v>
      </c>
      <c r="AC1076" s="10">
        <f>IF(Table1[[#This Row],[Forecast WOrkload Minutes]]&lt;384,1,Table1[[#This Row],[Forecast WOrkload Minutes]]/384)</f>
        <v>1.0006309178649124</v>
      </c>
      <c r="AD1076" s="10">
        <f>ROUNDUP(Table1[[#This Row],[Forecast Headcount]],0)</f>
        <v>2</v>
      </c>
      <c r="AE1076" s="11">
        <v>132.22494712374839</v>
      </c>
      <c r="AF1076" s="11">
        <v>348.50507820442709</v>
      </c>
      <c r="AG1076" t="s">
        <v>7</v>
      </c>
    </row>
    <row r="1077" spans="1:33">
      <c r="A1077" s="2">
        <v>44958</v>
      </c>
      <c r="B1077" s="5" t="s">
        <v>38</v>
      </c>
      <c r="C1077" s="5">
        <f>WEEKDAY(Table1[[#This Row],[Date]])</f>
        <v>4</v>
      </c>
      <c r="D1077" s="5">
        <f>MONTH(Table1[[#This Row],[Date]])</f>
        <v>2</v>
      </c>
      <c r="E1077" s="5">
        <f>WEEKNUM(Table1[[#This Row],[Date]])</f>
        <v>5</v>
      </c>
      <c r="F1077" s="5">
        <f>YEAR(Table1[[#This Row],[Date]])</f>
        <v>2023</v>
      </c>
      <c r="G1077" s="17">
        <v>452</v>
      </c>
      <c r="H1077">
        <v>253.1560711140117</v>
      </c>
      <c r="I1077">
        <f>Table1[[#This Row],[Forecast]]*0.9</f>
        <v>227.84046400261053</v>
      </c>
      <c r="J1077">
        <f>Table1[[#This Row],[Forecast]]*0.8</f>
        <v>202.52485689120937</v>
      </c>
      <c r="K1077">
        <f>Table1[[#This Row],[Forecast]]*0.8</f>
        <v>202.52485689120937</v>
      </c>
      <c r="L1077" s="5">
        <v>149</v>
      </c>
      <c r="M1077" s="6">
        <v>0.99329999999999996</v>
      </c>
      <c r="N1077" s="5">
        <v>1</v>
      </c>
      <c r="O1077" s="7">
        <v>1.1574074074074075E-4</v>
      </c>
      <c r="P1077" s="7">
        <v>1.1574074074074073E-3</v>
      </c>
      <c r="Q1077" s="7">
        <v>1.5162037037037036E-3</v>
      </c>
      <c r="R1077" s="6">
        <v>0.89329999999999998</v>
      </c>
      <c r="S1077" s="8">
        <f>CONVERT(Table1[[#This Row],[Talk Duration (AVG)]]*Table1[[#This Row],[Answered Calls]],"day","hr")</f>
        <v>4.1388888888888884</v>
      </c>
      <c r="T1077" s="9">
        <f>Table1[[#This Row],[Actual Workload hours]]*60</f>
        <v>248.33333333333331</v>
      </c>
      <c r="U1077" s="9">
        <f>CONVERT(Table1[[#This Row],[Actual]]*Table1[[#This Row],[Talk Duration (AVG)]],"day","hr")</f>
        <v>12.555555555555555</v>
      </c>
      <c r="V1077" s="10">
        <f>Table1[[#This Row],[Required Workload Hours]]*60</f>
        <v>753.33333333333337</v>
      </c>
      <c r="W1077" s="9">
        <f t="shared" si="34"/>
        <v>1</v>
      </c>
      <c r="X1077" s="9">
        <f t="shared" si="35"/>
        <v>1.9618055555555556</v>
      </c>
      <c r="Y1077" s="5">
        <f t="shared" si="33"/>
        <v>1</v>
      </c>
      <c r="Z1077" s="8">
        <f>ROUNDUP(Table1[[#This Row],[Actual Heacount]],0)</f>
        <v>1</v>
      </c>
      <c r="AA1077" s="8">
        <f>CONVERT(Table1[[#This Row],[RevisedForecast 30% Recution2]]*Table1[[#This Row],[Talk Duration (AVG)]],"day","hr")</f>
        <v>5.6256904692002596</v>
      </c>
      <c r="AB1077" s="10">
        <f>(Table1[[#This Row],[Forecast Workload Hours]]*60)*1.2</f>
        <v>405.04971378241868</v>
      </c>
      <c r="AC1077" s="10">
        <f>IF(Table1[[#This Row],[Forecast WOrkload Minutes]]&lt;384,1,Table1[[#This Row],[Forecast WOrkload Minutes]]/384)</f>
        <v>1.0548169629750486</v>
      </c>
      <c r="AD1077" s="10">
        <f>ROUNDUP(Table1[[#This Row],[Forecast Headcount]],0)</f>
        <v>2</v>
      </c>
      <c r="AE1077" s="11">
        <v>138.92284650262931</v>
      </c>
      <c r="AF1077" s="11">
        <v>363.51842075989367</v>
      </c>
      <c r="AG1077" t="s">
        <v>7</v>
      </c>
    </row>
    <row r="1078" spans="1:33">
      <c r="A1078" s="2">
        <v>44959</v>
      </c>
      <c r="B1078" s="5" t="s">
        <v>39</v>
      </c>
      <c r="C1078" s="5">
        <f>WEEKDAY(Table1[[#This Row],[Date]])</f>
        <v>5</v>
      </c>
      <c r="D1078" s="5">
        <f>MONTH(Table1[[#This Row],[Date]])</f>
        <v>2</v>
      </c>
      <c r="E1078" s="5">
        <f>WEEKNUM(Table1[[#This Row],[Date]])</f>
        <v>5</v>
      </c>
      <c r="F1078" s="5">
        <f>YEAR(Table1[[#This Row],[Date]])</f>
        <v>2023</v>
      </c>
      <c r="G1078" s="17">
        <v>375</v>
      </c>
      <c r="H1078">
        <v>249.4675648041827</v>
      </c>
      <c r="I1078">
        <f>Table1[[#This Row],[Forecast]]*0.9</f>
        <v>224.52080832376444</v>
      </c>
      <c r="J1078">
        <f>Table1[[#This Row],[Forecast]]*0.8</f>
        <v>199.57405184334618</v>
      </c>
      <c r="K1078">
        <f>Table1[[#This Row],[Forecast]]*0.8</f>
        <v>199.57405184334618</v>
      </c>
      <c r="L1078" s="5">
        <v>499</v>
      </c>
      <c r="M1078" s="6">
        <v>0.95779999999999998</v>
      </c>
      <c r="N1078" s="5">
        <v>22</v>
      </c>
      <c r="O1078" s="7">
        <v>2.6620370370370372E-4</v>
      </c>
      <c r="P1078" s="7">
        <v>1.1111111111111111E-3</v>
      </c>
      <c r="Q1078" s="7">
        <v>2.1296296296296298E-3</v>
      </c>
      <c r="R1078" s="6">
        <v>0.70930000000000004</v>
      </c>
      <c r="S1078" s="8">
        <f>CONVERT(Table1[[#This Row],[Talk Duration (AVG)]]*Table1[[#This Row],[Answered Calls]],"day","hr")</f>
        <v>13.306666666666667</v>
      </c>
      <c r="T1078" s="9">
        <f>Table1[[#This Row],[Actual Workload hours]]*60</f>
        <v>798.4</v>
      </c>
      <c r="U1078" s="9">
        <f>CONVERT(Table1[[#This Row],[Actual]]*Table1[[#This Row],[Talk Duration (AVG)]],"day","hr")</f>
        <v>10</v>
      </c>
      <c r="V1078" s="10">
        <f>Table1[[#This Row],[Required Workload Hours]]*60</f>
        <v>600</v>
      </c>
      <c r="W1078" s="9">
        <f t="shared" si="34"/>
        <v>2.0791666666666666</v>
      </c>
      <c r="X1078" s="9">
        <f t="shared" si="35"/>
        <v>1.5625</v>
      </c>
      <c r="Y1078" s="5">
        <f t="shared" si="33"/>
        <v>2</v>
      </c>
      <c r="Z1078" s="8">
        <f>ROUNDUP(Table1[[#This Row],[Actual Heacount]],0)</f>
        <v>3</v>
      </c>
      <c r="AA1078" s="8">
        <f>CONVERT(Table1[[#This Row],[RevisedForecast 30% Recution2]]*Table1[[#This Row],[Talk Duration (AVG)]],"day","hr")</f>
        <v>5.3219747158225648</v>
      </c>
      <c r="AB1078" s="10">
        <f>(Table1[[#This Row],[Forecast Workload Hours]]*60)*1.2</f>
        <v>383.18217953922465</v>
      </c>
      <c r="AC1078" s="10">
        <f>IF(Table1[[#This Row],[Forecast WOrkload Minutes]]&lt;384,1,Table1[[#This Row],[Forecast WOrkload Minutes]]/384)</f>
        <v>1</v>
      </c>
      <c r="AD1078" s="10">
        <f>ROUNDUP(Table1[[#This Row],[Forecast Headcount]],0)</f>
        <v>1</v>
      </c>
      <c r="AE1078" s="11">
        <v>138.51297696800609</v>
      </c>
      <c r="AF1078" s="11">
        <v>349.26804210497522</v>
      </c>
      <c r="AG1078" t="s">
        <v>7</v>
      </c>
    </row>
    <row r="1079" spans="1:33">
      <c r="A1079" s="2">
        <v>44960</v>
      </c>
      <c r="B1079" s="5" t="s">
        <v>40</v>
      </c>
      <c r="C1079" s="5">
        <f>WEEKDAY(Table1[[#This Row],[Date]])</f>
        <v>6</v>
      </c>
      <c r="D1079" s="5">
        <f>MONTH(Table1[[#This Row],[Date]])</f>
        <v>2</v>
      </c>
      <c r="E1079" s="5">
        <f>WEEKNUM(Table1[[#This Row],[Date]])</f>
        <v>5</v>
      </c>
      <c r="F1079" s="5">
        <f>YEAR(Table1[[#This Row],[Date]])</f>
        <v>2023</v>
      </c>
      <c r="G1079" s="17">
        <v>306</v>
      </c>
      <c r="H1079">
        <v>241.98038409960679</v>
      </c>
      <c r="I1079">
        <f>Table1[[#This Row],[Forecast]]*0.9</f>
        <v>217.78234568964612</v>
      </c>
      <c r="J1079">
        <f>Table1[[#This Row],[Forecast]]*0.8</f>
        <v>193.58430727968545</v>
      </c>
      <c r="K1079">
        <f>Table1[[#This Row],[Forecast]]*0.8</f>
        <v>193.58430727968545</v>
      </c>
      <c r="L1079" s="5">
        <v>309</v>
      </c>
      <c r="M1079" s="6">
        <v>0.93640000000000001</v>
      </c>
      <c r="N1079" s="5">
        <v>21</v>
      </c>
      <c r="O1079" s="7">
        <v>2.4305555555555555E-4</v>
      </c>
      <c r="P1079" s="7">
        <v>2.3032407407407407E-3</v>
      </c>
      <c r="Q1079" s="7">
        <v>4.5370370370370373E-3</v>
      </c>
      <c r="R1079" s="6">
        <v>0.69540000000000002</v>
      </c>
      <c r="S1079" s="8">
        <f>CONVERT(Table1[[#This Row],[Talk Duration (AVG)]]*Table1[[#This Row],[Answered Calls]],"day","hr")</f>
        <v>17.080833333333334</v>
      </c>
      <c r="T1079" s="9">
        <f>Table1[[#This Row],[Actual Workload hours]]*60</f>
        <v>1024.8500000000001</v>
      </c>
      <c r="U1079" s="9">
        <f>CONVERT(Table1[[#This Row],[Actual]]*Table1[[#This Row],[Talk Duration (AVG)]],"day","hr")</f>
        <v>16.914999999999999</v>
      </c>
      <c r="V1079" s="10">
        <f>Table1[[#This Row],[Required Workload Hours]]*60</f>
        <v>1014.9</v>
      </c>
      <c r="W1079" s="9">
        <f t="shared" si="34"/>
        <v>2.6688802083333338</v>
      </c>
      <c r="X1079" s="9">
        <f t="shared" si="35"/>
        <v>2.6429687500000001</v>
      </c>
      <c r="Y1079" s="5">
        <f t="shared" si="33"/>
        <v>2</v>
      </c>
      <c r="Z1079" s="8">
        <f>ROUNDUP(Table1[[#This Row],[Actual Heacount]],0)</f>
        <v>3</v>
      </c>
      <c r="AA1079" s="8">
        <f>CONVERT(Table1[[#This Row],[RevisedForecast 30% Recution2]]*Table1[[#This Row],[Talk Duration (AVG)]],"day","hr")</f>
        <v>10.700910319071502</v>
      </c>
      <c r="AB1079" s="10">
        <f>(Table1[[#This Row],[Forecast Workload Hours]]*60)*1.2</f>
        <v>770.4655429731481</v>
      </c>
      <c r="AC1079" s="10">
        <f>IF(Table1[[#This Row],[Forecast WOrkload Minutes]]&lt;384,1,Table1[[#This Row],[Forecast WOrkload Minutes]]/384)</f>
        <v>2.0064206848259065</v>
      </c>
      <c r="AD1079" s="10">
        <f>ROUNDUP(Table1[[#This Row],[Forecast Headcount]],0)</f>
        <v>3</v>
      </c>
      <c r="AE1079" s="11">
        <v>126.1146890364687</v>
      </c>
      <c r="AF1079" s="11">
        <v>361.65551437908209</v>
      </c>
      <c r="AG1079" t="s">
        <v>7</v>
      </c>
    </row>
    <row r="1080" spans="1:33">
      <c r="A1080" s="2">
        <v>44961</v>
      </c>
      <c r="B1080" s="5" t="s">
        <v>33</v>
      </c>
      <c r="C1080" s="5">
        <f>WEEKDAY(Table1[[#This Row],[Date]])</f>
        <v>7</v>
      </c>
      <c r="D1080" s="5">
        <f>MONTH(Table1[[#This Row],[Date]])</f>
        <v>2</v>
      </c>
      <c r="E1080" s="5">
        <f>WEEKNUM(Table1[[#This Row],[Date]])</f>
        <v>5</v>
      </c>
      <c r="F1080" s="5">
        <f>YEAR(Table1[[#This Row],[Date]])</f>
        <v>2023</v>
      </c>
      <c r="G1080" s="17">
        <v>241</v>
      </c>
      <c r="H1080">
        <v>250.807332134962</v>
      </c>
      <c r="I1080">
        <f>Table1[[#This Row],[Forecast]]*0.9</f>
        <v>225.72659892146581</v>
      </c>
      <c r="J1080">
        <f>Table1[[#This Row],[Forecast]]*0.8</f>
        <v>200.64586570796962</v>
      </c>
      <c r="K1080">
        <f>Table1[[#This Row],[Forecast]]*0.8</f>
        <v>200.64586570796962</v>
      </c>
      <c r="L1080" s="5">
        <v>288</v>
      </c>
      <c r="M1080" s="6">
        <v>0.96640000000000004</v>
      </c>
      <c r="N1080" s="5">
        <v>10</v>
      </c>
      <c r="O1080" s="7">
        <v>1.5046296296296297E-4</v>
      </c>
      <c r="P1080" s="7">
        <v>2.3148148148148147E-3</v>
      </c>
      <c r="Q1080" s="7">
        <v>2.8124999999999999E-3</v>
      </c>
      <c r="R1080" s="6">
        <v>0.84750000000000003</v>
      </c>
      <c r="S1080" s="8">
        <f>CONVERT(Table1[[#This Row],[Talk Duration (AVG)]]*Table1[[#This Row],[Answered Calls]],"day","hr")</f>
        <v>16</v>
      </c>
      <c r="T1080" s="9">
        <f>Table1[[#This Row],[Actual Workload hours]]*60</f>
        <v>960</v>
      </c>
      <c r="U1080" s="9">
        <f>CONVERT(Table1[[#This Row],[Actual]]*Table1[[#This Row],[Talk Duration (AVG)]],"day","hr")</f>
        <v>13.388888888888889</v>
      </c>
      <c r="V1080" s="10">
        <f>Table1[[#This Row],[Required Workload Hours]]*60</f>
        <v>803.33333333333337</v>
      </c>
      <c r="W1080" s="9">
        <f t="shared" si="34"/>
        <v>2.5</v>
      </c>
      <c r="X1080" s="9">
        <f t="shared" si="35"/>
        <v>2.0920138888888888</v>
      </c>
      <c r="Y1080" s="5">
        <f t="shared" si="33"/>
        <v>2</v>
      </c>
      <c r="Z1080" s="8">
        <f>ROUNDUP(Table1[[#This Row],[Actual Heacount]],0)</f>
        <v>3</v>
      </c>
      <c r="AA1080" s="8">
        <f>CONVERT(Table1[[#This Row],[RevisedForecast 30% Recution2]]*Table1[[#This Row],[Talk Duration (AVG)]],"day","hr")</f>
        <v>11.146992539331645</v>
      </c>
      <c r="AB1080" s="10">
        <f>(Table1[[#This Row],[Forecast Workload Hours]]*60)*1.2</f>
        <v>802.58346283187836</v>
      </c>
      <c r="AC1080" s="10">
        <f>IF(Table1[[#This Row],[Forecast WOrkload Minutes]]&lt;384,1,Table1[[#This Row],[Forecast WOrkload Minutes]]/384)</f>
        <v>2.0900611011246832</v>
      </c>
      <c r="AD1080" s="10">
        <f>ROUNDUP(Table1[[#This Row],[Forecast Headcount]],0)</f>
        <v>3</v>
      </c>
      <c r="AE1080" s="11">
        <v>143.01939892120711</v>
      </c>
      <c r="AF1080" s="11">
        <v>358.48360762994548</v>
      </c>
      <c r="AG1080" t="s">
        <v>7</v>
      </c>
    </row>
    <row r="1081" spans="1:33">
      <c r="A1081" s="2">
        <v>44962</v>
      </c>
      <c r="B1081" s="5" t="s">
        <v>35</v>
      </c>
      <c r="C1081" s="5">
        <f>WEEKDAY(Table1[[#This Row],[Date]])</f>
        <v>1</v>
      </c>
      <c r="D1081" s="5">
        <f>MONTH(Table1[[#This Row],[Date]])</f>
        <v>2</v>
      </c>
      <c r="E1081" s="5">
        <f>WEEKNUM(Table1[[#This Row],[Date]])</f>
        <v>6</v>
      </c>
      <c r="F1081" s="5">
        <f>YEAR(Table1[[#This Row],[Date]])</f>
        <v>2023</v>
      </c>
      <c r="G1081" s="17">
        <v>34</v>
      </c>
      <c r="H1081">
        <v>164.0972471848473</v>
      </c>
      <c r="I1081">
        <f>Table1[[#This Row],[Forecast]]*0.9</f>
        <v>147.68752246636257</v>
      </c>
      <c r="J1081">
        <f>Table1[[#This Row],[Forecast]]*0.8</f>
        <v>131.27779774787786</v>
      </c>
      <c r="K1081">
        <f>Table1[[#This Row],[Forecast]]*0.8</f>
        <v>131.27779774787786</v>
      </c>
      <c r="L1081" s="5">
        <v>287</v>
      </c>
      <c r="M1081" s="6">
        <v>0.97619999999999996</v>
      </c>
      <c r="N1081" s="5">
        <v>7</v>
      </c>
      <c r="O1081" s="7">
        <v>1.6203703703703703E-4</v>
      </c>
      <c r="P1081" s="7">
        <v>2.4074074074074076E-3</v>
      </c>
      <c r="Q1081" s="7">
        <v>2.3032407407407407E-3</v>
      </c>
      <c r="R1081" s="6">
        <v>0.82250000000000001</v>
      </c>
      <c r="S1081" s="8">
        <f>CONVERT(Table1[[#This Row],[Talk Duration (AVG)]]*Table1[[#This Row],[Answered Calls]],"day","hr")</f>
        <v>16.582222222222221</v>
      </c>
      <c r="T1081" s="9">
        <f>Table1[[#This Row],[Actual Workload hours]]*60</f>
        <v>994.93333333333328</v>
      </c>
      <c r="U1081" s="9">
        <f>CONVERT(Table1[[#This Row],[Actual]]*Table1[[#This Row],[Talk Duration (AVG)]],"day","hr")</f>
        <v>1.9644444444444444</v>
      </c>
      <c r="V1081" s="10">
        <f>Table1[[#This Row],[Required Workload Hours]]*60</f>
        <v>117.86666666666666</v>
      </c>
      <c r="W1081" s="9">
        <f t="shared" si="34"/>
        <v>2.5909722222222222</v>
      </c>
      <c r="X1081" s="9">
        <f t="shared" si="35"/>
        <v>1</v>
      </c>
      <c r="Y1081" s="5">
        <f t="shared" si="33"/>
        <v>2</v>
      </c>
      <c r="Z1081" s="8">
        <f>ROUNDUP(Table1[[#This Row],[Actual Heacount]],0)</f>
        <v>3</v>
      </c>
      <c r="AA1081" s="8">
        <f>CONVERT(Table1[[#This Row],[RevisedForecast 30% Recution2]]*Table1[[#This Row],[Talk Duration (AVG)]],"day","hr")</f>
        <v>7.5849394254329434</v>
      </c>
      <c r="AB1081" s="10">
        <f>(Table1[[#This Row],[Forecast Workload Hours]]*60)*1.2</f>
        <v>546.11563863117192</v>
      </c>
      <c r="AC1081" s="10">
        <f>IF(Table1[[#This Row],[Forecast WOrkload Minutes]]&lt;384,1,Table1[[#This Row],[Forecast WOrkload Minutes]]/384)</f>
        <v>1.4221761422686769</v>
      </c>
      <c r="AD1081" s="10">
        <f>ROUNDUP(Table1[[#This Row],[Forecast Headcount]],0)</f>
        <v>2</v>
      </c>
      <c r="AE1081" s="11">
        <v>55.60529879411051</v>
      </c>
      <c r="AF1081" s="11">
        <v>266.97203778300047</v>
      </c>
      <c r="AG1081" t="s">
        <v>7</v>
      </c>
    </row>
    <row r="1082" spans="1:33">
      <c r="A1082" s="2">
        <v>44963</v>
      </c>
      <c r="B1082" s="5" t="s">
        <v>36</v>
      </c>
      <c r="C1082" s="5">
        <f>WEEKDAY(Table1[[#This Row],[Date]])</f>
        <v>2</v>
      </c>
      <c r="D1082" s="5">
        <f>MONTH(Table1[[#This Row],[Date]])</f>
        <v>2</v>
      </c>
      <c r="E1082" s="5">
        <f>WEEKNUM(Table1[[#This Row],[Date]])</f>
        <v>6</v>
      </c>
      <c r="F1082" s="5">
        <f>YEAR(Table1[[#This Row],[Date]])</f>
        <v>2023</v>
      </c>
      <c r="G1082" s="17">
        <v>248</v>
      </c>
      <c r="H1082">
        <v>266.19365142918139</v>
      </c>
      <c r="I1082">
        <f>Table1[[#This Row],[Forecast]]*0.9</f>
        <v>239.57428628626326</v>
      </c>
      <c r="J1082">
        <f>Table1[[#This Row],[Forecast]]*0.8</f>
        <v>212.95492114334513</v>
      </c>
      <c r="K1082">
        <f>Table1[[#This Row],[Forecast]]*0.8</f>
        <v>212.95492114334513</v>
      </c>
      <c r="L1082" s="5">
        <v>253</v>
      </c>
      <c r="M1082" s="6">
        <v>0.96930000000000005</v>
      </c>
      <c r="N1082" s="5">
        <v>8</v>
      </c>
      <c r="O1082" s="7">
        <v>1.1574074074074075E-4</v>
      </c>
      <c r="P1082" s="7">
        <v>2.1180555555555558E-3</v>
      </c>
      <c r="Q1082" s="7">
        <v>4.0277777777777777E-3</v>
      </c>
      <c r="R1082" s="6">
        <v>0.89959999999999996</v>
      </c>
      <c r="S1082" s="8">
        <f>CONVERT(Table1[[#This Row],[Talk Duration (AVG)]]*Table1[[#This Row],[Answered Calls]],"day","hr")</f>
        <v>12.860833333333336</v>
      </c>
      <c r="T1082" s="9">
        <f>Table1[[#This Row],[Actual Workload hours]]*60</f>
        <v>771.65000000000009</v>
      </c>
      <c r="U1082" s="9">
        <f>CONVERT(Table1[[#This Row],[Actual]]*Table1[[#This Row],[Talk Duration (AVG)]],"day","hr")</f>
        <v>12.606666666666669</v>
      </c>
      <c r="V1082" s="10">
        <f>Table1[[#This Row],[Required Workload Hours]]*60</f>
        <v>756.40000000000009</v>
      </c>
      <c r="W1082" s="9">
        <f t="shared" si="34"/>
        <v>2.0095052083333336</v>
      </c>
      <c r="X1082" s="9">
        <f t="shared" si="35"/>
        <v>1.9697916666666668</v>
      </c>
      <c r="Y1082" s="5">
        <f t="shared" si="33"/>
        <v>2</v>
      </c>
      <c r="Z1082" s="8">
        <f>ROUNDUP(Table1[[#This Row],[Actual Heacount]],0)</f>
        <v>3</v>
      </c>
      <c r="AA1082" s="8">
        <f>CONVERT(Table1[[#This Row],[RevisedForecast 30% Recution2]]*Table1[[#This Row],[Talk Duration (AVG)]],"day","hr")</f>
        <v>10.825208491453377</v>
      </c>
      <c r="AB1082" s="10">
        <f>(Table1[[#This Row],[Forecast Workload Hours]]*60)*1.2</f>
        <v>779.41501138464321</v>
      </c>
      <c r="AC1082" s="10">
        <f>IF(Table1[[#This Row],[Forecast WOrkload Minutes]]&lt;384,1,Table1[[#This Row],[Forecast WOrkload Minutes]]/384)</f>
        <v>2.0297265921475085</v>
      </c>
      <c r="AD1082" s="10">
        <f>ROUNDUP(Table1[[#This Row],[Forecast Headcount]],0)</f>
        <v>3</v>
      </c>
      <c r="AE1082" s="11">
        <v>157.884158347972</v>
      </c>
      <c r="AF1082" s="11">
        <v>375.17200378745042</v>
      </c>
      <c r="AG1082" t="s">
        <v>7</v>
      </c>
    </row>
    <row r="1083" spans="1:33">
      <c r="A1083" s="2">
        <v>44964</v>
      </c>
      <c r="B1083" s="5" t="s">
        <v>37</v>
      </c>
      <c r="C1083" s="5">
        <f>WEEKDAY(Table1[[#This Row],[Date]])</f>
        <v>3</v>
      </c>
      <c r="D1083" s="5">
        <f>MONTH(Table1[[#This Row],[Date]])</f>
        <v>2</v>
      </c>
      <c r="E1083" s="5">
        <f>WEEKNUM(Table1[[#This Row],[Date]])</f>
        <v>6</v>
      </c>
      <c r="F1083" s="5">
        <f>YEAR(Table1[[#This Row],[Date]])</f>
        <v>2023</v>
      </c>
      <c r="G1083" s="17">
        <v>323</v>
      </c>
      <c r="H1083">
        <v>252.6399430103433</v>
      </c>
      <c r="I1083">
        <f>Table1[[#This Row],[Forecast]]*0.9</f>
        <v>227.37594870930897</v>
      </c>
      <c r="J1083">
        <f>Table1[[#This Row],[Forecast]]*0.8</f>
        <v>202.11195440827464</v>
      </c>
      <c r="K1083">
        <f>Table1[[#This Row],[Forecast]]*0.8</f>
        <v>202.11195440827464</v>
      </c>
      <c r="L1083" s="5">
        <v>210</v>
      </c>
      <c r="M1083" s="6">
        <v>0.94169999999999998</v>
      </c>
      <c r="N1083" s="5">
        <v>13</v>
      </c>
      <c r="O1083" s="7">
        <v>1.8518518518518518E-4</v>
      </c>
      <c r="P1083" s="7">
        <v>2.1643518518518518E-3</v>
      </c>
      <c r="Q1083" s="7">
        <v>3.7384259259259259E-3</v>
      </c>
      <c r="R1083" s="6">
        <v>0.80089999999999995</v>
      </c>
      <c r="S1083" s="8">
        <f>CONVERT(Table1[[#This Row],[Talk Duration (AVG)]]*Table1[[#This Row],[Answered Calls]],"day","hr")</f>
        <v>10.908333333333333</v>
      </c>
      <c r="T1083" s="9">
        <f>Table1[[#This Row],[Actual Workload hours]]*60</f>
        <v>654.5</v>
      </c>
      <c r="U1083" s="9">
        <f>CONVERT(Table1[[#This Row],[Actual]]*Table1[[#This Row],[Talk Duration (AVG)]],"day","hr")</f>
        <v>16.778055555555557</v>
      </c>
      <c r="V1083" s="10">
        <f>Table1[[#This Row],[Required Workload Hours]]*60</f>
        <v>1006.6833333333334</v>
      </c>
      <c r="W1083" s="9">
        <f t="shared" si="34"/>
        <v>1.7044270833333333</v>
      </c>
      <c r="X1083" s="9">
        <f t="shared" si="35"/>
        <v>2.6215711805555557</v>
      </c>
      <c r="Y1083" s="5">
        <f t="shared" si="33"/>
        <v>2</v>
      </c>
      <c r="Z1083" s="8">
        <f>ROUNDUP(Table1[[#This Row],[Actual Heacount]],0)</f>
        <v>2</v>
      </c>
      <c r="AA1083" s="8">
        <f>CONVERT(Table1[[#This Row],[RevisedForecast 30% Recution2]]*Table1[[#This Row],[Talk Duration (AVG)]],"day","hr")</f>
        <v>10.498593187318711</v>
      </c>
      <c r="AB1083" s="10">
        <f>(Table1[[#This Row],[Forecast Workload Hours]]*60)*1.2</f>
        <v>755.89870948694727</v>
      </c>
      <c r="AC1083" s="10">
        <f>IF(Table1[[#This Row],[Forecast WOrkload Minutes]]&lt;384,1,Table1[[#This Row],[Forecast WOrkload Minutes]]/384)</f>
        <v>1.9684862226222586</v>
      </c>
      <c r="AD1083" s="10">
        <f>ROUNDUP(Table1[[#This Row],[Forecast Headcount]],0)</f>
        <v>2</v>
      </c>
      <c r="AE1083" s="11">
        <v>140.2640302722686</v>
      </c>
      <c r="AF1083" s="11">
        <v>358.34413265541798</v>
      </c>
      <c r="AG1083" t="s">
        <v>7</v>
      </c>
    </row>
    <row r="1084" spans="1:33">
      <c r="A1084" s="2">
        <v>44965</v>
      </c>
      <c r="B1084" s="5" t="s">
        <v>38</v>
      </c>
      <c r="C1084" s="5">
        <f>WEEKDAY(Table1[[#This Row],[Date]])</f>
        <v>4</v>
      </c>
      <c r="D1084" s="5">
        <f>MONTH(Table1[[#This Row],[Date]])</f>
        <v>2</v>
      </c>
      <c r="E1084" s="5">
        <f>WEEKNUM(Table1[[#This Row],[Date]])</f>
        <v>6</v>
      </c>
      <c r="F1084" s="5">
        <f>YEAR(Table1[[#This Row],[Date]])</f>
        <v>2023</v>
      </c>
      <c r="G1084" s="17">
        <v>260</v>
      </c>
      <c r="H1084">
        <v>267.61914220984761</v>
      </c>
      <c r="I1084">
        <f>Table1[[#This Row],[Forecast]]*0.9</f>
        <v>240.85722798886286</v>
      </c>
      <c r="J1084">
        <f>Table1[[#This Row],[Forecast]]*0.8</f>
        <v>214.09531376787811</v>
      </c>
      <c r="K1084">
        <f>Table1[[#This Row],[Forecast]]*0.8</f>
        <v>214.09531376787811</v>
      </c>
      <c r="L1084" s="5">
        <v>58</v>
      </c>
      <c r="M1084" s="6">
        <v>0.98309999999999997</v>
      </c>
      <c r="N1084" s="5">
        <v>1</v>
      </c>
      <c r="O1084" s="7">
        <v>2.4305555555555555E-4</v>
      </c>
      <c r="P1084" s="7">
        <v>2.5578703703703705E-3</v>
      </c>
      <c r="Q1084" s="7">
        <v>2.2222222222222222E-3</v>
      </c>
      <c r="R1084" s="6">
        <v>0.74580000000000002</v>
      </c>
      <c r="S1084" s="8">
        <f>CONVERT(Table1[[#This Row],[Talk Duration (AVG)]]*Table1[[#This Row],[Answered Calls]],"day","hr")</f>
        <v>3.5605555555555557</v>
      </c>
      <c r="T1084" s="9">
        <f>Table1[[#This Row],[Actual Workload hours]]*60</f>
        <v>213.63333333333335</v>
      </c>
      <c r="U1084" s="9">
        <f>CONVERT(Table1[[#This Row],[Actual]]*Table1[[#This Row],[Talk Duration (AVG)]],"day","hr")</f>
        <v>15.96111111111111</v>
      </c>
      <c r="V1084" s="10">
        <f>Table1[[#This Row],[Required Workload Hours]]*60</f>
        <v>957.66666666666663</v>
      </c>
      <c r="W1084" s="9">
        <f t="shared" si="34"/>
        <v>1</v>
      </c>
      <c r="X1084" s="9">
        <f t="shared" si="35"/>
        <v>2.4939236111111112</v>
      </c>
      <c r="Y1084" s="5">
        <f t="shared" si="33"/>
        <v>1</v>
      </c>
      <c r="Z1084" s="8">
        <f>ROUNDUP(Table1[[#This Row],[Actual Heacount]],0)</f>
        <v>1</v>
      </c>
      <c r="AA1084" s="8">
        <f>CONVERT(Table1[[#This Row],[RevisedForecast 30% Recution2]]*Table1[[#This Row],[Talk Duration (AVG)]],"day","hr")</f>
        <v>13.143073428528075</v>
      </c>
      <c r="AB1084" s="10">
        <f>(Table1[[#This Row],[Forecast Workload Hours]]*60)*1.2</f>
        <v>946.30128685402133</v>
      </c>
      <c r="AC1084" s="10">
        <f>IF(Table1[[#This Row],[Forecast WOrkload Minutes]]&lt;384,1,Table1[[#This Row],[Forecast WOrkload Minutes]]/384)</f>
        <v>2.4643262678490139</v>
      </c>
      <c r="AD1084" s="10">
        <f>ROUNDUP(Table1[[#This Row],[Forecast Headcount]],0)</f>
        <v>3</v>
      </c>
      <c r="AE1084" s="11">
        <v>156.89176240808911</v>
      </c>
      <c r="AF1084" s="11">
        <v>368.90265401899262</v>
      </c>
      <c r="AG1084" t="s">
        <v>7</v>
      </c>
    </row>
    <row r="1085" spans="1:33">
      <c r="A1085" s="2">
        <v>44966</v>
      </c>
      <c r="B1085" s="5" t="s">
        <v>39</v>
      </c>
      <c r="C1085" s="5">
        <f>WEEKDAY(Table1[[#This Row],[Date]])</f>
        <v>5</v>
      </c>
      <c r="D1085" s="5">
        <f>MONTH(Table1[[#This Row],[Date]])</f>
        <v>2</v>
      </c>
      <c r="E1085" s="5">
        <f>WEEKNUM(Table1[[#This Row],[Date]])</f>
        <v>6</v>
      </c>
      <c r="F1085" s="5">
        <f>YEAR(Table1[[#This Row],[Date]])</f>
        <v>2023</v>
      </c>
      <c r="G1085" s="17">
        <v>316</v>
      </c>
      <c r="H1085">
        <v>265.82230423834193</v>
      </c>
      <c r="I1085">
        <f>Table1[[#This Row],[Forecast]]*0.9</f>
        <v>239.24007381450775</v>
      </c>
      <c r="J1085">
        <f>Table1[[#This Row],[Forecast]]*0.8</f>
        <v>212.65784339067355</v>
      </c>
      <c r="K1085">
        <f>Table1[[#This Row],[Forecast]]*0.8</f>
        <v>212.65784339067355</v>
      </c>
      <c r="L1085" s="5">
        <v>327</v>
      </c>
      <c r="M1085" s="6">
        <v>0.96179999999999999</v>
      </c>
      <c r="N1085" s="5">
        <v>13</v>
      </c>
      <c r="O1085" s="7">
        <v>2.4305555555555555E-4</v>
      </c>
      <c r="P1085" s="7">
        <v>1.3310185185185185E-3</v>
      </c>
      <c r="Q1085" s="7">
        <v>2.6157407407407405E-3</v>
      </c>
      <c r="R1085" s="6">
        <v>0.77610000000000001</v>
      </c>
      <c r="S1085" s="8">
        <f>CONVERT(Table1[[#This Row],[Talk Duration (AVG)]]*Table1[[#This Row],[Answered Calls]],"day","hr")</f>
        <v>10.445833333333333</v>
      </c>
      <c r="T1085" s="9">
        <f>Table1[[#This Row],[Actual Workload hours]]*60</f>
        <v>626.75</v>
      </c>
      <c r="U1085" s="9">
        <f>CONVERT(Table1[[#This Row],[Actual]]*Table1[[#This Row],[Talk Duration (AVG)]],"day","hr")</f>
        <v>10.094444444444445</v>
      </c>
      <c r="V1085" s="10">
        <f>Table1[[#This Row],[Required Workload Hours]]*60</f>
        <v>605.66666666666674</v>
      </c>
      <c r="W1085" s="9">
        <f t="shared" si="34"/>
        <v>1.6321614583333333</v>
      </c>
      <c r="X1085" s="9">
        <f t="shared" si="35"/>
        <v>1.5772569444444446</v>
      </c>
      <c r="Y1085" s="5">
        <f t="shared" si="33"/>
        <v>2</v>
      </c>
      <c r="Z1085" s="8">
        <f>ROUNDUP(Table1[[#This Row],[Actual Heacount]],0)</f>
        <v>2</v>
      </c>
      <c r="AA1085" s="8">
        <f>CONVERT(Table1[[#This Row],[RevisedForecast 30% Recution2]]*Table1[[#This Row],[Talk Duration (AVG)]],"day","hr")</f>
        <v>6.7932366638687371</v>
      </c>
      <c r="AB1085" s="10">
        <f>(Table1[[#This Row],[Forecast Workload Hours]]*60)*1.2</f>
        <v>489.11303979854904</v>
      </c>
      <c r="AC1085" s="10">
        <f>IF(Table1[[#This Row],[Forecast WOrkload Minutes]]&lt;384,1,Table1[[#This Row],[Forecast WOrkload Minutes]]/384)</f>
        <v>1.273731874475388</v>
      </c>
      <c r="AD1085" s="10">
        <f>ROUNDUP(Table1[[#This Row],[Forecast Headcount]],0)</f>
        <v>2</v>
      </c>
      <c r="AE1085" s="11">
        <v>155.0727540269971</v>
      </c>
      <c r="AF1085" s="11">
        <v>368.17683263104391</v>
      </c>
      <c r="AG1085" t="s">
        <v>7</v>
      </c>
    </row>
    <row r="1086" spans="1:33">
      <c r="A1086" s="2">
        <v>44967</v>
      </c>
      <c r="B1086" s="5" t="s">
        <v>40</v>
      </c>
      <c r="C1086" s="5">
        <f>WEEKDAY(Table1[[#This Row],[Date]])</f>
        <v>6</v>
      </c>
      <c r="D1086" s="5">
        <f>MONTH(Table1[[#This Row],[Date]])</f>
        <v>2</v>
      </c>
      <c r="E1086" s="5">
        <f>WEEKNUM(Table1[[#This Row],[Date]])</f>
        <v>6</v>
      </c>
      <c r="F1086" s="5">
        <f>YEAR(Table1[[#This Row],[Date]])</f>
        <v>2023</v>
      </c>
      <c r="G1086" s="17">
        <v>60</v>
      </c>
      <c r="H1086">
        <v>260.09914475436779</v>
      </c>
      <c r="I1086">
        <f>Table1[[#This Row],[Forecast]]*0.9</f>
        <v>234.08923027893101</v>
      </c>
      <c r="J1086">
        <f>Table1[[#This Row],[Forecast]]*0.8</f>
        <v>208.07931580349424</v>
      </c>
      <c r="K1086">
        <f>Table1[[#This Row],[Forecast]]*0.8</f>
        <v>208.07931580349424</v>
      </c>
      <c r="L1086" s="5">
        <v>280</v>
      </c>
      <c r="M1086" s="6">
        <v>0.97560000000000002</v>
      </c>
      <c r="N1086" s="5">
        <v>7</v>
      </c>
      <c r="O1086" s="7">
        <v>1.5046296296296297E-4</v>
      </c>
      <c r="P1086" s="7">
        <v>2.1412037037037038E-3</v>
      </c>
      <c r="Q1086" s="7">
        <v>1.3425925925925925E-3</v>
      </c>
      <c r="R1086" s="6">
        <v>0.84319999999999995</v>
      </c>
      <c r="S1086" s="8">
        <f>CONVERT(Table1[[#This Row],[Talk Duration (AVG)]]*Table1[[#This Row],[Answered Calls]],"day","hr")</f>
        <v>14.388888888888891</v>
      </c>
      <c r="T1086" s="9">
        <f>Table1[[#This Row],[Actual Workload hours]]*60</f>
        <v>863.33333333333348</v>
      </c>
      <c r="U1086" s="9">
        <f>CONVERT(Table1[[#This Row],[Actual]]*Table1[[#This Row],[Talk Duration (AVG)]],"day","hr")</f>
        <v>3.0833333333333339</v>
      </c>
      <c r="V1086" s="10">
        <f>Table1[[#This Row],[Required Workload Hours]]*60</f>
        <v>185.00000000000003</v>
      </c>
      <c r="W1086" s="9">
        <f t="shared" si="34"/>
        <v>2.2482638888888893</v>
      </c>
      <c r="X1086" s="9">
        <f t="shared" si="35"/>
        <v>1</v>
      </c>
      <c r="Y1086" s="5">
        <f t="shared" si="33"/>
        <v>2</v>
      </c>
      <c r="Z1086" s="8">
        <f>ROUNDUP(Table1[[#This Row],[Actual Heacount]],0)</f>
        <v>3</v>
      </c>
      <c r="AA1086" s="8">
        <f>CONVERT(Table1[[#This Row],[RevisedForecast 30% Recution2]]*Table1[[#This Row],[Talk Duration (AVG)]],"day","hr")</f>
        <v>10.692964839901787</v>
      </c>
      <c r="AB1086" s="10">
        <f>(Table1[[#This Row],[Forecast Workload Hours]]*60)*1.2</f>
        <v>769.8934684729287</v>
      </c>
      <c r="AC1086" s="10">
        <f>IF(Table1[[#This Row],[Forecast WOrkload Minutes]]&lt;384,1,Table1[[#This Row],[Forecast WOrkload Minutes]]/384)</f>
        <v>2.0049309074815853</v>
      </c>
      <c r="AD1086" s="10">
        <f>ROUNDUP(Table1[[#This Row],[Forecast Headcount]],0)</f>
        <v>3</v>
      </c>
      <c r="AE1086" s="11">
        <v>151.49886595514539</v>
      </c>
      <c r="AF1086" s="11">
        <v>375.52132007443879</v>
      </c>
      <c r="AG1086" t="s">
        <v>7</v>
      </c>
    </row>
    <row r="1087" spans="1:33">
      <c r="A1087" s="2">
        <v>44968</v>
      </c>
      <c r="B1087" s="5" t="s">
        <v>33</v>
      </c>
      <c r="C1087" s="5">
        <f>WEEKDAY(Table1[[#This Row],[Date]])</f>
        <v>7</v>
      </c>
      <c r="D1087" s="5">
        <f>MONTH(Table1[[#This Row],[Date]])</f>
        <v>2</v>
      </c>
      <c r="E1087" s="5">
        <f>WEEKNUM(Table1[[#This Row],[Date]])</f>
        <v>6</v>
      </c>
      <c r="F1087" s="5">
        <f>YEAR(Table1[[#This Row],[Date]])</f>
        <v>2023</v>
      </c>
      <c r="G1087" s="17">
        <v>267</v>
      </c>
      <c r="H1087">
        <v>270.5181454442195</v>
      </c>
      <c r="I1087">
        <f>Table1[[#This Row],[Forecast]]*0.9</f>
        <v>243.46633089979755</v>
      </c>
      <c r="J1087">
        <f>Table1[[#This Row],[Forecast]]*0.8</f>
        <v>216.41451635537561</v>
      </c>
      <c r="K1087">
        <f>Table1[[#This Row],[Forecast]]*0.8</f>
        <v>216.41451635537561</v>
      </c>
      <c r="L1087" s="5">
        <v>257</v>
      </c>
      <c r="M1087" s="6">
        <v>0.95540000000000003</v>
      </c>
      <c r="N1087" s="5">
        <v>12</v>
      </c>
      <c r="O1087" s="7">
        <v>1.8518518518518518E-4</v>
      </c>
      <c r="P1087" s="7">
        <v>2.1296296296296298E-3</v>
      </c>
      <c r="Q1087" s="7">
        <v>2.650462962962963E-3</v>
      </c>
      <c r="R1087" s="6">
        <v>0.82020000000000004</v>
      </c>
      <c r="S1087" s="8">
        <f>CONVERT(Table1[[#This Row],[Talk Duration (AVG)]]*Table1[[#This Row],[Answered Calls]],"day","hr")</f>
        <v>13.135555555555555</v>
      </c>
      <c r="T1087" s="9">
        <f>Table1[[#This Row],[Actual Workload hours]]*60</f>
        <v>788.13333333333333</v>
      </c>
      <c r="U1087" s="9">
        <f>CONVERT(Table1[[#This Row],[Actual]]*Table1[[#This Row],[Talk Duration (AVG)]],"day","hr")</f>
        <v>13.646666666666668</v>
      </c>
      <c r="V1087" s="10">
        <f>Table1[[#This Row],[Required Workload Hours]]*60</f>
        <v>818.80000000000007</v>
      </c>
      <c r="W1087" s="9">
        <f t="shared" si="34"/>
        <v>2.0524305555555555</v>
      </c>
      <c r="X1087" s="9">
        <f t="shared" si="35"/>
        <v>2.1322916666666667</v>
      </c>
      <c r="Y1087" s="5">
        <f t="shared" si="33"/>
        <v>2</v>
      </c>
      <c r="Z1087" s="8">
        <f>ROUNDUP(Table1[[#This Row],[Actual Heacount]],0)</f>
        <v>3</v>
      </c>
      <c r="AA1087" s="8">
        <f>CONVERT(Table1[[#This Row],[RevisedForecast 30% Recution2]]*Table1[[#This Row],[Talk Duration (AVG)]],"day","hr")</f>
        <v>11.061186391496976</v>
      </c>
      <c r="AB1087" s="10">
        <f>(Table1[[#This Row],[Forecast Workload Hours]]*60)*1.2</f>
        <v>796.40542018778217</v>
      </c>
      <c r="AC1087" s="10">
        <f>IF(Table1[[#This Row],[Forecast WOrkload Minutes]]&lt;384,1,Table1[[#This Row],[Forecast WOrkload Minutes]]/384)</f>
        <v>2.0739724484056827</v>
      </c>
      <c r="AD1087" s="10">
        <f>ROUNDUP(Table1[[#This Row],[Forecast Headcount]],0)</f>
        <v>3</v>
      </c>
      <c r="AE1087" s="11">
        <v>158.10534047801039</v>
      </c>
      <c r="AF1087" s="11">
        <v>381.56602463676143</v>
      </c>
      <c r="AG1087" t="s">
        <v>7</v>
      </c>
    </row>
    <row r="1088" spans="1:33">
      <c r="A1088" s="2">
        <v>44969</v>
      </c>
      <c r="B1088" s="5" t="s">
        <v>35</v>
      </c>
      <c r="C1088" s="5">
        <f>WEEKDAY(Table1[[#This Row],[Date]])</f>
        <v>1</v>
      </c>
      <c r="D1088" s="5">
        <f>MONTH(Table1[[#This Row],[Date]])</f>
        <v>2</v>
      </c>
      <c r="E1088" s="5">
        <f>WEEKNUM(Table1[[#This Row],[Date]])</f>
        <v>7</v>
      </c>
      <c r="F1088" s="5">
        <f>YEAR(Table1[[#This Row],[Date]])</f>
        <v>2023</v>
      </c>
      <c r="G1088" s="17">
        <v>30</v>
      </c>
      <c r="H1088">
        <v>185.18530650397159</v>
      </c>
      <c r="I1088">
        <f>Table1[[#This Row],[Forecast]]*0.9</f>
        <v>166.66677585357442</v>
      </c>
      <c r="J1088">
        <f>Table1[[#This Row],[Forecast]]*0.8</f>
        <v>148.14824520317728</v>
      </c>
      <c r="K1088">
        <f>Table1[[#This Row],[Forecast]]*0.8</f>
        <v>148.14824520317728</v>
      </c>
      <c r="L1088" s="5">
        <v>261</v>
      </c>
      <c r="M1088" s="6">
        <v>0.9667</v>
      </c>
      <c r="N1088" s="5">
        <v>9</v>
      </c>
      <c r="O1088" s="7">
        <v>1.3888888888888889E-4</v>
      </c>
      <c r="P1088" s="7">
        <v>2.1527777777777778E-3</v>
      </c>
      <c r="Q1088" s="7">
        <v>3.1134259259259257E-3</v>
      </c>
      <c r="R1088" s="6">
        <v>0.85870000000000002</v>
      </c>
      <c r="S1088" s="8">
        <f>CONVERT(Table1[[#This Row],[Talk Duration (AVG)]]*Table1[[#This Row],[Answered Calls]],"day","hr")</f>
        <v>13.484999999999999</v>
      </c>
      <c r="T1088" s="9">
        <f>Table1[[#This Row],[Actual Workload hours]]*60</f>
        <v>809.09999999999991</v>
      </c>
      <c r="U1088" s="9">
        <f>CONVERT(Table1[[#This Row],[Actual]]*Table1[[#This Row],[Talk Duration (AVG)]],"day","hr")</f>
        <v>1.5499999999999998</v>
      </c>
      <c r="V1088" s="10">
        <f>Table1[[#This Row],[Required Workload Hours]]*60</f>
        <v>92.999999999999986</v>
      </c>
      <c r="W1088" s="9">
        <f t="shared" si="34"/>
        <v>2.1070312499999999</v>
      </c>
      <c r="X1088" s="9">
        <f t="shared" si="35"/>
        <v>1</v>
      </c>
      <c r="Y1088" s="5">
        <f t="shared" si="33"/>
        <v>2</v>
      </c>
      <c r="Z1088" s="8">
        <f>ROUNDUP(Table1[[#This Row],[Actual Heacount]],0)</f>
        <v>3</v>
      </c>
      <c r="AA1088" s="8">
        <f>CONVERT(Table1[[#This Row],[RevisedForecast 30% Recution2]]*Table1[[#This Row],[Talk Duration (AVG)]],"day","hr")</f>
        <v>7.6543260021641597</v>
      </c>
      <c r="AB1088" s="10">
        <f>(Table1[[#This Row],[Forecast Workload Hours]]*60)*1.2</f>
        <v>551.11147215581946</v>
      </c>
      <c r="AC1088" s="10">
        <f>IF(Table1[[#This Row],[Forecast WOrkload Minutes]]&lt;384,1,Table1[[#This Row],[Forecast WOrkload Minutes]]/384)</f>
        <v>1.4351861254057798</v>
      </c>
      <c r="AD1088" s="10">
        <f>ROUNDUP(Table1[[#This Row],[Forecast Headcount]],0)</f>
        <v>2</v>
      </c>
      <c r="AE1088" s="11">
        <v>69.834942012604373</v>
      </c>
      <c r="AF1088" s="11">
        <v>292.68668320267471</v>
      </c>
      <c r="AG1088" t="s">
        <v>7</v>
      </c>
    </row>
    <row r="1089" spans="1:33">
      <c r="A1089" s="2">
        <v>44970</v>
      </c>
      <c r="B1089" s="5" t="s">
        <v>36</v>
      </c>
      <c r="C1089" s="5">
        <f>WEEKDAY(Table1[[#This Row],[Date]])</f>
        <v>2</v>
      </c>
      <c r="D1089" s="5">
        <f>MONTH(Table1[[#This Row],[Date]])</f>
        <v>2</v>
      </c>
      <c r="E1089" s="5">
        <f>WEEKNUM(Table1[[#This Row],[Date]])</f>
        <v>7</v>
      </c>
      <c r="F1089" s="5">
        <f>YEAR(Table1[[#This Row],[Date]])</f>
        <v>2023</v>
      </c>
      <c r="G1089" s="17">
        <v>247</v>
      </c>
      <c r="H1089">
        <v>288.40383039260621</v>
      </c>
      <c r="I1089">
        <f>Table1[[#This Row],[Forecast]]*0.9</f>
        <v>259.56344735334562</v>
      </c>
      <c r="J1089">
        <f>Table1[[#This Row],[Forecast]]*0.8</f>
        <v>230.72306431408498</v>
      </c>
      <c r="K1089">
        <f>Table1[[#This Row],[Forecast]]*0.8</f>
        <v>230.72306431408498</v>
      </c>
      <c r="L1089" s="5">
        <v>273</v>
      </c>
      <c r="M1089" s="6">
        <v>0.95789999999999997</v>
      </c>
      <c r="N1089" s="5">
        <v>12</v>
      </c>
      <c r="O1089" s="7">
        <v>1.3888888888888889E-4</v>
      </c>
      <c r="P1089" s="7">
        <v>2.2453703703703702E-3</v>
      </c>
      <c r="Q1089" s="7">
        <v>2.0023148148148148E-3</v>
      </c>
      <c r="R1089" s="6">
        <v>0.85360000000000003</v>
      </c>
      <c r="S1089" s="8">
        <f>CONVERT(Table1[[#This Row],[Talk Duration (AVG)]]*Table1[[#This Row],[Answered Calls]],"day","hr")</f>
        <v>14.711666666666666</v>
      </c>
      <c r="T1089" s="9">
        <f>Table1[[#This Row],[Actual Workload hours]]*60</f>
        <v>882.69999999999993</v>
      </c>
      <c r="U1089" s="9">
        <f>CONVERT(Table1[[#This Row],[Actual]]*Table1[[#This Row],[Talk Duration (AVG)]],"day","hr")</f>
        <v>13.310555555555554</v>
      </c>
      <c r="V1089" s="10">
        <f>Table1[[#This Row],[Required Workload Hours]]*60</f>
        <v>798.63333333333321</v>
      </c>
      <c r="W1089" s="9">
        <f t="shared" si="34"/>
        <v>2.2986979166666663</v>
      </c>
      <c r="X1089" s="9">
        <f t="shared" si="35"/>
        <v>2.0797743055555551</v>
      </c>
      <c r="Y1089" s="5">
        <f t="shared" si="33"/>
        <v>2</v>
      </c>
      <c r="Z1089" s="8">
        <f>ROUNDUP(Table1[[#This Row],[Actual Heacount]],0)</f>
        <v>3</v>
      </c>
      <c r="AA1089" s="8">
        <f>CONVERT(Table1[[#This Row],[RevisedForecast 30% Recution2]]*Table1[[#This Row],[Talk Duration (AVG)]],"day","hr")</f>
        <v>12.433409576925689</v>
      </c>
      <c r="AB1089" s="10">
        <f>(Table1[[#This Row],[Forecast Workload Hours]]*60)*1.2</f>
        <v>895.20548953864954</v>
      </c>
      <c r="AC1089" s="10">
        <f>IF(Table1[[#This Row],[Forecast WOrkload Minutes]]&lt;384,1,Table1[[#This Row],[Forecast WOrkload Minutes]]/384)</f>
        <v>2.3312642956735665</v>
      </c>
      <c r="AD1089" s="10">
        <f>ROUNDUP(Table1[[#This Row],[Forecast Headcount]],0)</f>
        <v>3</v>
      </c>
      <c r="AE1089" s="11">
        <v>179.49738084220991</v>
      </c>
      <c r="AF1089" s="11">
        <v>397.57928116144251</v>
      </c>
      <c r="AG1089" t="s">
        <v>7</v>
      </c>
    </row>
    <row r="1090" spans="1:33">
      <c r="A1090" s="2">
        <v>44971</v>
      </c>
      <c r="B1090" s="5" t="s">
        <v>37</v>
      </c>
      <c r="C1090" s="5">
        <f>WEEKDAY(Table1[[#This Row],[Date]])</f>
        <v>3</v>
      </c>
      <c r="D1090" s="5">
        <f>MONTH(Table1[[#This Row],[Date]])</f>
        <v>2</v>
      </c>
      <c r="E1090" s="5">
        <f>WEEKNUM(Table1[[#This Row],[Date]])</f>
        <v>7</v>
      </c>
      <c r="F1090" s="5">
        <f>YEAR(Table1[[#This Row],[Date]])</f>
        <v>2023</v>
      </c>
      <c r="G1090" s="17">
        <v>376</v>
      </c>
      <c r="H1090">
        <v>275.68032087685771</v>
      </c>
      <c r="I1090">
        <f>Table1[[#This Row],[Forecast]]*0.9</f>
        <v>248.11228878917194</v>
      </c>
      <c r="J1090">
        <f>Table1[[#This Row],[Forecast]]*0.8</f>
        <v>220.54425670148618</v>
      </c>
      <c r="K1090">
        <f>Table1[[#This Row],[Forecast]]*0.8</f>
        <v>220.54425670148618</v>
      </c>
      <c r="L1090" s="5">
        <v>229</v>
      </c>
      <c r="M1090" s="6">
        <v>0.91239999999999999</v>
      </c>
      <c r="N1090" s="5">
        <v>22</v>
      </c>
      <c r="O1090" s="7">
        <v>2.5462962962962961E-4</v>
      </c>
      <c r="P1090" s="7">
        <v>2.0717592592592593E-3</v>
      </c>
      <c r="Q1090" s="7">
        <v>2.1527777777777778E-3</v>
      </c>
      <c r="R1090" s="6">
        <v>0.73060000000000003</v>
      </c>
      <c r="S1090" s="8">
        <f>CONVERT(Table1[[#This Row],[Talk Duration (AVG)]]*Table1[[#This Row],[Answered Calls]],"day","hr")</f>
        <v>11.386388888888888</v>
      </c>
      <c r="T1090" s="9">
        <f>Table1[[#This Row],[Actual Workload hours]]*60</f>
        <v>683.18333333333328</v>
      </c>
      <c r="U1090" s="9">
        <f>CONVERT(Table1[[#This Row],[Actual]]*Table1[[#This Row],[Talk Duration (AVG)]],"day","hr")</f>
        <v>18.695555555555554</v>
      </c>
      <c r="V1090" s="10">
        <f>Table1[[#This Row],[Required Workload Hours]]*60</f>
        <v>1121.7333333333333</v>
      </c>
      <c r="W1090" s="9">
        <f t="shared" si="34"/>
        <v>1.7791232638888888</v>
      </c>
      <c r="X1090" s="9">
        <f t="shared" si="35"/>
        <v>2.9211805555555554</v>
      </c>
      <c r="Y1090" s="5">
        <f t="shared" si="33"/>
        <v>2</v>
      </c>
      <c r="Z1090" s="8">
        <f>ROUNDUP(Table1[[#This Row],[Actual Heacount]],0)</f>
        <v>2</v>
      </c>
      <c r="AA1090" s="8">
        <f>CONVERT(Table1[[#This Row],[RevisedForecast 30% Recution2]]*Table1[[#This Row],[Talk Duration (AVG)]],"day","hr")</f>
        <v>10.965950541546119</v>
      </c>
      <c r="AB1090" s="10">
        <f>(Table1[[#This Row],[Forecast Workload Hours]]*60)*1.2</f>
        <v>789.54843899132061</v>
      </c>
      <c r="AC1090" s="10">
        <f>IF(Table1[[#This Row],[Forecast WOrkload Minutes]]&lt;384,1,Table1[[#This Row],[Forecast WOrkload Minutes]]/384)</f>
        <v>2.0561157265398973</v>
      </c>
      <c r="AD1090" s="10">
        <f>ROUNDUP(Table1[[#This Row],[Forecast Headcount]],0)</f>
        <v>3</v>
      </c>
      <c r="AE1090" s="11">
        <v>160.02255740552181</v>
      </c>
      <c r="AF1090" s="11">
        <v>381.75477845786509</v>
      </c>
      <c r="AG1090" t="s">
        <v>7</v>
      </c>
    </row>
    <row r="1091" spans="1:33">
      <c r="A1091" s="2">
        <v>44972</v>
      </c>
      <c r="B1091" s="5" t="s">
        <v>38</v>
      </c>
      <c r="C1091" s="5">
        <f>WEEKDAY(Table1[[#This Row],[Date]])</f>
        <v>4</v>
      </c>
      <c r="D1091" s="5">
        <f>MONTH(Table1[[#This Row],[Date]])</f>
        <v>2</v>
      </c>
      <c r="E1091" s="5">
        <f>WEEKNUM(Table1[[#This Row],[Date]])</f>
        <v>7</v>
      </c>
      <c r="F1091" s="5">
        <f>YEAR(Table1[[#This Row],[Date]])</f>
        <v>2023</v>
      </c>
      <c r="G1091" s="17">
        <v>316</v>
      </c>
      <c r="H1091">
        <v>291.16548311407718</v>
      </c>
      <c r="I1091">
        <f>Table1[[#This Row],[Forecast]]*0.9</f>
        <v>262.04893480266946</v>
      </c>
      <c r="J1091">
        <f>Table1[[#This Row],[Forecast]]*0.8</f>
        <v>232.93238649126175</v>
      </c>
      <c r="K1091">
        <f>Table1[[#This Row],[Forecast]]*0.8</f>
        <v>232.93238649126175</v>
      </c>
      <c r="L1091" s="5">
        <v>47</v>
      </c>
      <c r="M1091" s="6">
        <v>1</v>
      </c>
      <c r="N1091" s="5">
        <v>0</v>
      </c>
      <c r="O1091" s="7">
        <v>1.5046296296296297E-4</v>
      </c>
      <c r="P1091" s="7">
        <v>2.1180555555555558E-3</v>
      </c>
      <c r="Q1091" s="7">
        <v>1.0300925925925926E-3</v>
      </c>
      <c r="R1091" s="6">
        <v>0.87229999999999996</v>
      </c>
      <c r="S1091" s="8">
        <f>CONVERT(Table1[[#This Row],[Talk Duration (AVG)]]*Table1[[#This Row],[Answered Calls]],"day","hr")</f>
        <v>2.3891666666666667</v>
      </c>
      <c r="T1091" s="9">
        <f>Table1[[#This Row],[Actual Workload hours]]*60</f>
        <v>143.35</v>
      </c>
      <c r="U1091" s="9">
        <f>CONVERT(Table1[[#This Row],[Actual]]*Table1[[#This Row],[Talk Duration (AVG)]],"day","hr")</f>
        <v>16.063333333333336</v>
      </c>
      <c r="V1091" s="10">
        <f>Table1[[#This Row],[Required Workload Hours]]*60</f>
        <v>963.80000000000018</v>
      </c>
      <c r="W1091" s="9">
        <f t="shared" si="34"/>
        <v>1</v>
      </c>
      <c r="X1091" s="9">
        <f t="shared" si="35"/>
        <v>2.5098958333333337</v>
      </c>
      <c r="Y1091" s="5">
        <f t="shared" ref="Y1091:Y1154" si="36">IF(B1091="Sunday",1,2)</f>
        <v>1</v>
      </c>
      <c r="Z1091" s="8">
        <f>ROUNDUP(Table1[[#This Row],[Actual Heacount]],0)</f>
        <v>1</v>
      </c>
      <c r="AA1091" s="8">
        <f>CONVERT(Table1[[#This Row],[RevisedForecast 30% Recution2]]*Table1[[#This Row],[Talk Duration (AVG)]],"day","hr")</f>
        <v>11.84072964663914</v>
      </c>
      <c r="AB1091" s="10">
        <f>(Table1[[#This Row],[Forecast Workload Hours]]*60)*1.2</f>
        <v>852.53253455801803</v>
      </c>
      <c r="AC1091" s="10">
        <f>IF(Table1[[#This Row],[Forecast WOrkload Minutes]]&lt;384,1,Table1[[#This Row],[Forecast WOrkload Minutes]]/384)</f>
        <v>2.2201368087448388</v>
      </c>
      <c r="AD1091" s="10">
        <f>ROUNDUP(Table1[[#This Row],[Forecast Headcount]],0)</f>
        <v>3</v>
      </c>
      <c r="AE1091" s="11">
        <v>179.2947303243017</v>
      </c>
      <c r="AF1091" s="11">
        <v>408.47110536860743</v>
      </c>
      <c r="AG1091" t="s">
        <v>7</v>
      </c>
    </row>
    <row r="1092" spans="1:33">
      <c r="A1092" s="2">
        <v>44973</v>
      </c>
      <c r="B1092" s="5" t="s">
        <v>39</v>
      </c>
      <c r="C1092" s="5">
        <f>WEEKDAY(Table1[[#This Row],[Date]])</f>
        <v>5</v>
      </c>
      <c r="D1092" s="5">
        <f>MONTH(Table1[[#This Row],[Date]])</f>
        <v>2</v>
      </c>
      <c r="E1092" s="5">
        <f>WEEKNUM(Table1[[#This Row],[Date]])</f>
        <v>7</v>
      </c>
      <c r="F1092" s="5">
        <f>YEAR(Table1[[#This Row],[Date]])</f>
        <v>2023</v>
      </c>
      <c r="G1092" s="17">
        <v>310</v>
      </c>
      <c r="H1092">
        <v>289.52341302980801</v>
      </c>
      <c r="I1092">
        <f>Table1[[#This Row],[Forecast]]*0.9</f>
        <v>260.5710717268272</v>
      </c>
      <c r="J1092">
        <f>Table1[[#This Row],[Forecast]]*0.8</f>
        <v>231.61873042384642</v>
      </c>
      <c r="K1092">
        <f>Table1[[#This Row],[Forecast]]*0.8</f>
        <v>231.61873042384642</v>
      </c>
      <c r="L1092" s="5">
        <v>225</v>
      </c>
      <c r="M1092" s="6">
        <v>0.9657</v>
      </c>
      <c r="N1092" s="5">
        <v>8</v>
      </c>
      <c r="O1092" s="7">
        <v>1.5046296296296297E-4</v>
      </c>
      <c r="P1092" s="7">
        <v>2.1064814814814813E-3</v>
      </c>
      <c r="Q1092" s="7">
        <v>1.3541666666666667E-3</v>
      </c>
      <c r="R1092" s="6">
        <v>0.84719999999999995</v>
      </c>
      <c r="S1092" s="8">
        <f>CONVERT(Table1[[#This Row],[Talk Duration (AVG)]]*Table1[[#This Row],[Answered Calls]],"day","hr")</f>
        <v>11.375</v>
      </c>
      <c r="T1092" s="9">
        <f>Table1[[#This Row],[Actual Workload hours]]*60</f>
        <v>682.5</v>
      </c>
      <c r="U1092" s="9">
        <f>CONVERT(Table1[[#This Row],[Actual]]*Table1[[#This Row],[Talk Duration (AVG)]],"day","hr")</f>
        <v>15.672222222222222</v>
      </c>
      <c r="V1092" s="10">
        <f>Table1[[#This Row],[Required Workload Hours]]*60</f>
        <v>940.33333333333337</v>
      </c>
      <c r="W1092" s="9">
        <f t="shared" si="34"/>
        <v>1.77734375</v>
      </c>
      <c r="X1092" s="9">
        <f t="shared" si="35"/>
        <v>2.4487847222222223</v>
      </c>
      <c r="Y1092" s="5">
        <f t="shared" si="36"/>
        <v>2</v>
      </c>
      <c r="Z1092" s="8">
        <f>ROUNDUP(Table1[[#This Row],[Actual Heacount]],0)</f>
        <v>2</v>
      </c>
      <c r="AA1092" s="8">
        <f>CONVERT(Table1[[#This Row],[RevisedForecast 30% Recution2]]*Table1[[#This Row],[Talk Duration (AVG)]],"day","hr")</f>
        <v>11.709613593650012</v>
      </c>
      <c r="AB1092" s="10">
        <f>(Table1[[#This Row],[Forecast Workload Hours]]*60)*1.2</f>
        <v>843.09217874280091</v>
      </c>
      <c r="AC1092" s="10">
        <f>IF(Table1[[#This Row],[Forecast WOrkload Minutes]]&lt;384,1,Table1[[#This Row],[Forecast WOrkload Minutes]]/384)</f>
        <v>2.1955525488093772</v>
      </c>
      <c r="AD1092" s="10">
        <f>ROUNDUP(Table1[[#This Row],[Forecast Headcount]],0)</f>
        <v>3</v>
      </c>
      <c r="AE1092" s="11">
        <v>178.7528576114328</v>
      </c>
      <c r="AF1092" s="11">
        <v>399.72134990374587</v>
      </c>
      <c r="AG1092" t="s">
        <v>7</v>
      </c>
    </row>
    <row r="1093" spans="1:33">
      <c r="A1093" s="2">
        <v>44974</v>
      </c>
      <c r="B1093" s="5" t="s">
        <v>40</v>
      </c>
      <c r="C1093" s="5">
        <f>WEEKDAY(Table1[[#This Row],[Date]])</f>
        <v>6</v>
      </c>
      <c r="D1093" s="5">
        <f>MONTH(Table1[[#This Row],[Date]])</f>
        <v>2</v>
      </c>
      <c r="E1093" s="5">
        <f>WEEKNUM(Table1[[#This Row],[Date]])</f>
        <v>7</v>
      </c>
      <c r="F1093" s="5">
        <f>YEAR(Table1[[#This Row],[Date]])</f>
        <v>2023</v>
      </c>
      <c r="G1093" s="17">
        <v>340</v>
      </c>
      <c r="H1093">
        <v>283.58299928808361</v>
      </c>
      <c r="I1093">
        <f>Table1[[#This Row],[Forecast]]*0.9</f>
        <v>255.22469935927526</v>
      </c>
      <c r="J1093">
        <f>Table1[[#This Row],[Forecast]]*0.8</f>
        <v>226.86639943046691</v>
      </c>
      <c r="K1093">
        <f>Table1[[#This Row],[Forecast]]*0.8</f>
        <v>226.86639943046691</v>
      </c>
      <c r="L1093" s="5">
        <v>248</v>
      </c>
      <c r="M1093" s="6">
        <v>0.96499999999999997</v>
      </c>
      <c r="N1093" s="5">
        <v>9</v>
      </c>
      <c r="O1093" s="7">
        <v>1.6203703703703703E-4</v>
      </c>
      <c r="P1093" s="7">
        <v>2.2453703703703702E-3</v>
      </c>
      <c r="Q1093" s="7">
        <v>2.5694444444444445E-3</v>
      </c>
      <c r="R1093" s="6">
        <v>0.83399999999999996</v>
      </c>
      <c r="S1093" s="8">
        <f>CONVERT(Table1[[#This Row],[Talk Duration (AVG)]]*Table1[[#This Row],[Answered Calls]],"day","hr")</f>
        <v>13.364444444444445</v>
      </c>
      <c r="T1093" s="9">
        <f>Table1[[#This Row],[Actual Workload hours]]*60</f>
        <v>801.86666666666667</v>
      </c>
      <c r="U1093" s="9">
        <f>CONVERT(Table1[[#This Row],[Actual]]*Table1[[#This Row],[Talk Duration (AVG)]],"day","hr")</f>
        <v>18.322222222222219</v>
      </c>
      <c r="V1093" s="10">
        <f>Table1[[#This Row],[Required Workload Hours]]*60</f>
        <v>1099.3333333333333</v>
      </c>
      <c r="W1093" s="9">
        <f t="shared" si="34"/>
        <v>2.0881944444444445</v>
      </c>
      <c r="X1093" s="9">
        <f t="shared" si="35"/>
        <v>2.8628472222222219</v>
      </c>
      <c r="Y1093" s="5">
        <f t="shared" si="36"/>
        <v>2</v>
      </c>
      <c r="Z1093" s="8">
        <f>ROUNDUP(Table1[[#This Row],[Actual Heacount]],0)</f>
        <v>3</v>
      </c>
      <c r="AA1093" s="8">
        <f>CONVERT(Table1[[#This Row],[RevisedForecast 30% Recution2]]*Table1[[#This Row],[Talk Duration (AVG)]],"day","hr")</f>
        <v>12.225578191530715</v>
      </c>
      <c r="AB1093" s="10">
        <f>(Table1[[#This Row],[Forecast Workload Hours]]*60)*1.2</f>
        <v>880.2416297902115</v>
      </c>
      <c r="AC1093" s="10">
        <f>IF(Table1[[#This Row],[Forecast WOrkload Minutes]]&lt;384,1,Table1[[#This Row],[Forecast WOrkload Minutes]]/384)</f>
        <v>2.2922959109120091</v>
      </c>
      <c r="AD1093" s="10">
        <f>ROUNDUP(Table1[[#This Row],[Forecast Headcount]],0)</f>
        <v>3</v>
      </c>
      <c r="AE1093" s="11">
        <v>166.9444581394217</v>
      </c>
      <c r="AF1093" s="11">
        <v>398.01991585795298</v>
      </c>
      <c r="AG1093" t="s">
        <v>7</v>
      </c>
    </row>
    <row r="1094" spans="1:33">
      <c r="A1094" s="2">
        <v>44975</v>
      </c>
      <c r="B1094" s="5" t="s">
        <v>33</v>
      </c>
      <c r="C1094" s="5">
        <f>WEEKDAY(Table1[[#This Row],[Date]])</f>
        <v>7</v>
      </c>
      <c r="D1094" s="5">
        <f>MONTH(Table1[[#This Row],[Date]])</f>
        <v>2</v>
      </c>
      <c r="E1094" s="5">
        <f>WEEKNUM(Table1[[#This Row],[Date]])</f>
        <v>7</v>
      </c>
      <c r="F1094" s="5">
        <f>YEAR(Table1[[#This Row],[Date]])</f>
        <v>2023</v>
      </c>
      <c r="G1094" s="17">
        <v>306</v>
      </c>
      <c r="H1094">
        <v>293.39868444986422</v>
      </c>
      <c r="I1094">
        <f>Table1[[#This Row],[Forecast]]*0.9</f>
        <v>264.05881600487783</v>
      </c>
      <c r="J1094">
        <f>Table1[[#This Row],[Forecast]]*0.8</f>
        <v>234.71894755989138</v>
      </c>
      <c r="K1094">
        <f>Table1[[#This Row],[Forecast]]*0.8</f>
        <v>234.71894755989138</v>
      </c>
      <c r="L1094" s="5">
        <v>234</v>
      </c>
      <c r="M1094" s="6">
        <v>0.95509999999999995</v>
      </c>
      <c r="N1094" s="5">
        <v>11</v>
      </c>
      <c r="O1094" s="7">
        <v>1.273148148148148E-4</v>
      </c>
      <c r="P1094" s="7">
        <v>2.0949074074074073E-3</v>
      </c>
      <c r="Q1094" s="7">
        <v>1.3425925925925925E-3</v>
      </c>
      <c r="R1094" s="6">
        <v>0.85950000000000004</v>
      </c>
      <c r="S1094" s="8">
        <f>CONVERT(Table1[[#This Row],[Talk Duration (AVG)]]*Table1[[#This Row],[Answered Calls]],"day","hr")</f>
        <v>11.765000000000001</v>
      </c>
      <c r="T1094" s="9">
        <f>Table1[[#This Row],[Actual Workload hours]]*60</f>
        <v>705.90000000000009</v>
      </c>
      <c r="U1094" s="9">
        <f>CONVERT(Table1[[#This Row],[Actual]]*Table1[[#This Row],[Talk Duration (AVG)]],"day","hr")</f>
        <v>15.384999999999998</v>
      </c>
      <c r="V1094" s="10">
        <f>Table1[[#This Row],[Required Workload Hours]]*60</f>
        <v>923.09999999999991</v>
      </c>
      <c r="W1094" s="9">
        <f t="shared" si="34"/>
        <v>1.8382812500000003</v>
      </c>
      <c r="X1094" s="9">
        <f t="shared" si="35"/>
        <v>2.4039062499999999</v>
      </c>
      <c r="Y1094" s="5">
        <f t="shared" si="36"/>
        <v>2</v>
      </c>
      <c r="Z1094" s="8">
        <f>ROUNDUP(Table1[[#This Row],[Actual Heacount]],0)</f>
        <v>2</v>
      </c>
      <c r="AA1094" s="8">
        <f>CONVERT(Table1[[#This Row],[RevisedForecast 30% Recution2]]*Table1[[#This Row],[Talk Duration (AVG)]],"day","hr")</f>
        <v>11.801147085650094</v>
      </c>
      <c r="AB1094" s="10">
        <f>(Table1[[#This Row],[Forecast Workload Hours]]*60)*1.2</f>
        <v>849.68259016680679</v>
      </c>
      <c r="AC1094" s="10">
        <f>IF(Table1[[#This Row],[Forecast WOrkload Minutes]]&lt;384,1,Table1[[#This Row],[Forecast WOrkload Minutes]]/384)</f>
        <v>2.2127150785593925</v>
      </c>
      <c r="AD1094" s="10">
        <f>ROUNDUP(Table1[[#This Row],[Forecast Headcount]],0)</f>
        <v>3</v>
      </c>
      <c r="AE1094" s="11">
        <v>192.36921375054959</v>
      </c>
      <c r="AF1094" s="11">
        <v>404.52619385801398</v>
      </c>
      <c r="AG1094" t="s">
        <v>7</v>
      </c>
    </row>
    <row r="1095" spans="1:33">
      <c r="A1095" s="2">
        <v>44976</v>
      </c>
      <c r="B1095" s="5" t="s">
        <v>35</v>
      </c>
      <c r="C1095" s="5">
        <f>WEEKDAY(Table1[[#This Row],[Date]])</f>
        <v>1</v>
      </c>
      <c r="D1095" s="5">
        <f>MONTH(Table1[[#This Row],[Date]])</f>
        <v>2</v>
      </c>
      <c r="E1095" s="5">
        <f>WEEKNUM(Table1[[#This Row],[Date]])</f>
        <v>8</v>
      </c>
      <c r="F1095" s="5">
        <f>YEAR(Table1[[#This Row],[Date]])</f>
        <v>2023</v>
      </c>
      <c r="G1095" s="17">
        <v>40</v>
      </c>
      <c r="H1095">
        <v>207.06973398896201</v>
      </c>
      <c r="I1095">
        <f>Table1[[#This Row],[Forecast]]*0.9</f>
        <v>186.36276059006582</v>
      </c>
      <c r="J1095">
        <f>Table1[[#This Row],[Forecast]]*0.8</f>
        <v>165.65578719116962</v>
      </c>
      <c r="K1095">
        <f>Table1[[#This Row],[Forecast]]*0.8</f>
        <v>165.65578719116962</v>
      </c>
      <c r="L1095" s="5">
        <v>265</v>
      </c>
      <c r="M1095" s="6">
        <v>0.99250000000000005</v>
      </c>
      <c r="N1095" s="5">
        <v>2</v>
      </c>
      <c r="O1095" s="7">
        <v>5.7870370370370373E-5</v>
      </c>
      <c r="P1095" s="7">
        <v>2.0717592592592593E-3</v>
      </c>
      <c r="Q1095" s="7">
        <v>8.4490740740740739E-4</v>
      </c>
      <c r="R1095" s="6">
        <v>0.97360000000000002</v>
      </c>
      <c r="S1095" s="8">
        <f>CONVERT(Table1[[#This Row],[Talk Duration (AVG)]]*Table1[[#This Row],[Answered Calls]],"day","hr")</f>
        <v>13.176388888888889</v>
      </c>
      <c r="T1095" s="9">
        <f>Table1[[#This Row],[Actual Workload hours]]*60</f>
        <v>790.58333333333337</v>
      </c>
      <c r="U1095" s="9">
        <f>CONVERT(Table1[[#This Row],[Actual]]*Table1[[#This Row],[Talk Duration (AVG)]],"day","hr")</f>
        <v>1.9888888888888889</v>
      </c>
      <c r="V1095" s="10">
        <f>Table1[[#This Row],[Required Workload Hours]]*60</f>
        <v>119.33333333333334</v>
      </c>
      <c r="W1095" s="9">
        <f t="shared" si="34"/>
        <v>2.0588107638888888</v>
      </c>
      <c r="X1095" s="9">
        <f t="shared" si="35"/>
        <v>1</v>
      </c>
      <c r="Y1095" s="5">
        <f t="shared" si="36"/>
        <v>2</v>
      </c>
      <c r="Z1095" s="8">
        <f>ROUNDUP(Table1[[#This Row],[Actual Heacount]],0)</f>
        <v>3</v>
      </c>
      <c r="AA1095" s="8">
        <f>CONVERT(Table1[[#This Row],[RevisedForecast 30% Recution2]]*Table1[[#This Row],[Talk Duration (AVG)]],"day","hr")</f>
        <v>8.2367738631164897</v>
      </c>
      <c r="AB1095" s="10">
        <f>(Table1[[#This Row],[Forecast Workload Hours]]*60)*1.2</f>
        <v>593.0477181443872</v>
      </c>
      <c r="AC1095" s="10">
        <f>IF(Table1[[#This Row],[Forecast WOrkload Minutes]]&lt;384,1,Table1[[#This Row],[Forecast WOrkload Minutes]]/384)</f>
        <v>1.5443950993343416</v>
      </c>
      <c r="AD1095" s="10">
        <f>ROUNDUP(Table1[[#This Row],[Forecast Headcount]],0)</f>
        <v>2</v>
      </c>
      <c r="AE1095" s="11">
        <v>95.494475209633805</v>
      </c>
      <c r="AF1095" s="11">
        <v>320.53285397296389</v>
      </c>
      <c r="AG1095" t="s">
        <v>7</v>
      </c>
    </row>
    <row r="1096" spans="1:33">
      <c r="A1096" s="2">
        <v>44977</v>
      </c>
      <c r="B1096" s="5" t="s">
        <v>36</v>
      </c>
      <c r="C1096" s="5">
        <f>WEEKDAY(Table1[[#This Row],[Date]])</f>
        <v>2</v>
      </c>
      <c r="D1096" s="5">
        <f>MONTH(Table1[[#This Row],[Date]])</f>
        <v>2</v>
      </c>
      <c r="E1096" s="5">
        <f>WEEKNUM(Table1[[#This Row],[Date]])</f>
        <v>8</v>
      </c>
      <c r="F1096" s="5">
        <f>YEAR(Table1[[#This Row],[Date]])</f>
        <v>2023</v>
      </c>
      <c r="G1096" s="17">
        <v>378</v>
      </c>
      <c r="H1096">
        <v>308.90028246515789</v>
      </c>
      <c r="I1096">
        <f>Table1[[#This Row],[Forecast]]*0.9</f>
        <v>278.0102542186421</v>
      </c>
      <c r="J1096">
        <f>Table1[[#This Row],[Forecast]]*0.8</f>
        <v>247.12022597212632</v>
      </c>
      <c r="K1096">
        <f>Table1[[#This Row],[Forecast]]*0.8</f>
        <v>247.12022597212632</v>
      </c>
      <c r="L1096" s="5">
        <v>224</v>
      </c>
      <c r="M1096" s="6">
        <v>0.96970000000000001</v>
      </c>
      <c r="N1096" s="5">
        <v>7</v>
      </c>
      <c r="O1096" s="7">
        <v>1.273148148148148E-4</v>
      </c>
      <c r="P1096" s="7">
        <v>2.0370370370370369E-3</v>
      </c>
      <c r="Q1096" s="7">
        <v>2.0138888888888888E-3</v>
      </c>
      <c r="R1096" s="6">
        <v>0.86580000000000001</v>
      </c>
      <c r="S1096" s="8">
        <f>CONVERT(Table1[[#This Row],[Talk Duration (AVG)]]*Table1[[#This Row],[Answered Calls]],"day","hr")</f>
        <v>10.951111111111111</v>
      </c>
      <c r="T1096" s="9">
        <f>Table1[[#This Row],[Actual Workload hours]]*60</f>
        <v>657.06666666666661</v>
      </c>
      <c r="U1096" s="9">
        <f>CONVERT(Table1[[#This Row],[Actual]]*Table1[[#This Row],[Talk Duration (AVG)]],"day","hr")</f>
        <v>18.479999999999997</v>
      </c>
      <c r="V1096" s="10">
        <f>Table1[[#This Row],[Required Workload Hours]]*60</f>
        <v>1108.7999999999997</v>
      </c>
      <c r="W1096" s="9">
        <f t="shared" si="34"/>
        <v>1.711111111111111</v>
      </c>
      <c r="X1096" s="9">
        <f t="shared" si="35"/>
        <v>2.8874999999999993</v>
      </c>
      <c r="Y1096" s="5">
        <f t="shared" si="36"/>
        <v>2</v>
      </c>
      <c r="Z1096" s="8">
        <f>ROUNDUP(Table1[[#This Row],[Actual Heacount]],0)</f>
        <v>2</v>
      </c>
      <c r="AA1096" s="8">
        <f>CONVERT(Table1[[#This Row],[RevisedForecast 30% Recution2]]*Table1[[#This Row],[Talk Duration (AVG)]],"day","hr")</f>
        <v>12.081433269748397</v>
      </c>
      <c r="AB1096" s="10">
        <f>(Table1[[#This Row],[Forecast Workload Hours]]*60)*1.2</f>
        <v>869.86319542188448</v>
      </c>
      <c r="AC1096" s="10">
        <f>IF(Table1[[#This Row],[Forecast WOrkload Minutes]]&lt;384,1,Table1[[#This Row],[Forecast WOrkload Minutes]]/384)</f>
        <v>2.265268738077824</v>
      </c>
      <c r="AD1096" s="10">
        <f>ROUNDUP(Table1[[#This Row],[Forecast Headcount]],0)</f>
        <v>3</v>
      </c>
      <c r="AE1096" s="11">
        <v>195.4354909631241</v>
      </c>
      <c r="AF1096" s="11">
        <v>422.80255014188248</v>
      </c>
      <c r="AG1096" t="s">
        <v>7</v>
      </c>
    </row>
    <row r="1097" spans="1:33">
      <c r="A1097" s="2">
        <v>44978</v>
      </c>
      <c r="B1097" s="5" t="s">
        <v>37</v>
      </c>
      <c r="C1097" s="5">
        <f>WEEKDAY(Table1[[#This Row],[Date]])</f>
        <v>3</v>
      </c>
      <c r="D1097" s="5">
        <f>MONTH(Table1[[#This Row],[Date]])</f>
        <v>2</v>
      </c>
      <c r="E1097" s="5">
        <f>WEEKNUM(Table1[[#This Row],[Date]])</f>
        <v>8</v>
      </c>
      <c r="F1097" s="5">
        <f>YEAR(Table1[[#This Row],[Date]])</f>
        <v>2023</v>
      </c>
      <c r="G1097" s="17">
        <v>424</v>
      </c>
      <c r="H1097">
        <v>294.40572931721232</v>
      </c>
      <c r="I1097">
        <f>Table1[[#This Row],[Forecast]]*0.9</f>
        <v>264.96515638549107</v>
      </c>
      <c r="J1097">
        <f>Table1[[#This Row],[Forecast]]*0.8</f>
        <v>235.52458345376988</v>
      </c>
      <c r="K1097">
        <f>Table1[[#This Row],[Forecast]]*0.8</f>
        <v>235.52458345376988</v>
      </c>
      <c r="L1097" s="5">
        <v>226</v>
      </c>
      <c r="M1097" s="6">
        <v>0.95760000000000001</v>
      </c>
      <c r="N1097" s="5">
        <v>10</v>
      </c>
      <c r="O1097" s="7">
        <v>2.199074074074074E-4</v>
      </c>
      <c r="P1097" s="7">
        <v>2.1296296296296298E-3</v>
      </c>
      <c r="Q1097" s="7">
        <v>2.1527777777777778E-3</v>
      </c>
      <c r="R1097" s="6">
        <v>0.75</v>
      </c>
      <c r="S1097" s="8">
        <f>CONVERT(Table1[[#This Row],[Talk Duration (AVG)]]*Table1[[#This Row],[Answered Calls]],"day","hr")</f>
        <v>11.551111111111112</v>
      </c>
      <c r="T1097" s="9">
        <f>Table1[[#This Row],[Actual Workload hours]]*60</f>
        <v>693.06666666666672</v>
      </c>
      <c r="U1097" s="9">
        <f>CONVERT(Table1[[#This Row],[Actual]]*Table1[[#This Row],[Talk Duration (AVG)]],"day","hr")</f>
        <v>21.671111111111109</v>
      </c>
      <c r="V1097" s="10">
        <f>Table1[[#This Row],[Required Workload Hours]]*60</f>
        <v>1300.2666666666667</v>
      </c>
      <c r="W1097" s="9">
        <f t="shared" si="34"/>
        <v>1.8048611111111112</v>
      </c>
      <c r="X1097" s="9">
        <f t="shared" si="35"/>
        <v>3.3861111111111111</v>
      </c>
      <c r="Y1097" s="5">
        <f t="shared" si="36"/>
        <v>2</v>
      </c>
      <c r="Z1097" s="8">
        <f>ROUNDUP(Table1[[#This Row],[Actual Heacount]],0)</f>
        <v>2</v>
      </c>
      <c r="AA1097" s="8">
        <f>CONVERT(Table1[[#This Row],[RevisedForecast 30% Recution2]]*Table1[[#This Row],[Talk Duration (AVG)]],"day","hr")</f>
        <v>12.037923154303796</v>
      </c>
      <c r="AB1097" s="10">
        <f>(Table1[[#This Row],[Forecast Workload Hours]]*60)*1.2</f>
        <v>866.7304671098733</v>
      </c>
      <c r="AC1097" s="10">
        <f>IF(Table1[[#This Row],[Forecast WOrkload Minutes]]&lt;384,1,Table1[[#This Row],[Forecast WOrkload Minutes]]/384)</f>
        <v>2.2571105914319616</v>
      </c>
      <c r="AD1097" s="10">
        <f>ROUNDUP(Table1[[#This Row],[Forecast Headcount]],0)</f>
        <v>3</v>
      </c>
      <c r="AE1097" s="11">
        <v>184.19832194230301</v>
      </c>
      <c r="AF1097" s="11">
        <v>414.81272237307593</v>
      </c>
      <c r="AG1097" t="s">
        <v>7</v>
      </c>
    </row>
    <row r="1098" spans="1:33">
      <c r="A1098" s="2">
        <v>44979</v>
      </c>
      <c r="B1098" s="5" t="s">
        <v>38</v>
      </c>
      <c r="C1098" s="5">
        <f>WEEKDAY(Table1[[#This Row],[Date]])</f>
        <v>4</v>
      </c>
      <c r="D1098" s="5">
        <f>MONTH(Table1[[#This Row],[Date]])</f>
        <v>2</v>
      </c>
      <c r="E1098" s="5">
        <f>WEEKNUM(Table1[[#This Row],[Date]])</f>
        <v>8</v>
      </c>
      <c r="F1098" s="5">
        <f>YEAR(Table1[[#This Row],[Date]])</f>
        <v>2023</v>
      </c>
      <c r="G1098" s="17">
        <v>356</v>
      </c>
      <c r="H1098">
        <v>307.75346230291672</v>
      </c>
      <c r="I1098">
        <f>Table1[[#This Row],[Forecast]]*0.9</f>
        <v>276.97811607262503</v>
      </c>
      <c r="J1098">
        <f>Table1[[#This Row],[Forecast]]*0.8</f>
        <v>246.2027698423334</v>
      </c>
      <c r="K1098">
        <f>Table1[[#This Row],[Forecast]]*0.8</f>
        <v>246.2027698423334</v>
      </c>
      <c r="L1098" s="5">
        <v>78</v>
      </c>
      <c r="M1098" s="6">
        <v>0.96299999999999997</v>
      </c>
      <c r="N1098" s="5">
        <v>3</v>
      </c>
      <c r="O1098" s="7">
        <v>1.273148148148148E-4</v>
      </c>
      <c r="P1098" s="7">
        <v>2.0486111111111113E-3</v>
      </c>
      <c r="Q1098" s="7">
        <v>6.7129629629629625E-4</v>
      </c>
      <c r="R1098" s="6">
        <v>0.8125</v>
      </c>
      <c r="S1098" s="8">
        <f>CONVERT(Table1[[#This Row],[Talk Duration (AVG)]]*Table1[[#This Row],[Answered Calls]],"day","hr")</f>
        <v>3.8350000000000004</v>
      </c>
      <c r="T1098" s="9">
        <f>Table1[[#This Row],[Actual Workload hours]]*60</f>
        <v>230.10000000000002</v>
      </c>
      <c r="U1098" s="9">
        <f>CONVERT(Table1[[#This Row],[Actual]]*Table1[[#This Row],[Talk Duration (AVG)]],"day","hr")</f>
        <v>17.503333333333334</v>
      </c>
      <c r="V1098" s="10">
        <f>Table1[[#This Row],[Required Workload Hours]]*60</f>
        <v>1050.2</v>
      </c>
      <c r="W1098" s="9">
        <f t="shared" si="34"/>
        <v>1</v>
      </c>
      <c r="X1098" s="9">
        <f t="shared" si="35"/>
        <v>2.7348958333333333</v>
      </c>
      <c r="Y1098" s="5">
        <f t="shared" si="36"/>
        <v>1</v>
      </c>
      <c r="Z1098" s="8">
        <f>ROUNDUP(Table1[[#This Row],[Actual Heacount]],0)</f>
        <v>1</v>
      </c>
      <c r="AA1098" s="8">
        <f>CONVERT(Table1[[#This Row],[RevisedForecast 30% Recution2]]*Table1[[#This Row],[Talk Duration (AVG)]],"day","hr")</f>
        <v>12.104969517248058</v>
      </c>
      <c r="AB1098" s="10">
        <f>(Table1[[#This Row],[Forecast Workload Hours]]*60)*1.2</f>
        <v>871.55780524186014</v>
      </c>
      <c r="AC1098" s="10">
        <f>IF(Table1[[#This Row],[Forecast WOrkload Minutes]]&lt;384,1,Table1[[#This Row],[Forecast WOrkload Minutes]]/384)</f>
        <v>2.2696817844840109</v>
      </c>
      <c r="AD1098" s="10">
        <f>ROUNDUP(Table1[[#This Row],[Forecast Headcount]],0)</f>
        <v>3</v>
      </c>
      <c r="AE1098" s="11">
        <v>204.4354893351782</v>
      </c>
      <c r="AF1098" s="11">
        <v>417.62942705674789</v>
      </c>
      <c r="AG1098" t="s">
        <v>7</v>
      </c>
    </row>
    <row r="1099" spans="1:33">
      <c r="A1099" s="2">
        <v>44980</v>
      </c>
      <c r="B1099" s="5" t="s">
        <v>39</v>
      </c>
      <c r="C1099" s="5">
        <f>WEEKDAY(Table1[[#This Row],[Date]])</f>
        <v>5</v>
      </c>
      <c r="D1099" s="5">
        <f>MONTH(Table1[[#This Row],[Date]])</f>
        <v>2</v>
      </c>
      <c r="E1099" s="5">
        <f>WEEKNUM(Table1[[#This Row],[Date]])</f>
        <v>8</v>
      </c>
      <c r="F1099" s="5">
        <f>YEAR(Table1[[#This Row],[Date]])</f>
        <v>2023</v>
      </c>
      <c r="G1099" s="17">
        <v>320</v>
      </c>
      <c r="H1099">
        <v>303.63199321410451</v>
      </c>
      <c r="I1099">
        <f>Table1[[#This Row],[Forecast]]*0.9</f>
        <v>273.26879389269408</v>
      </c>
      <c r="J1099">
        <f>Table1[[#This Row],[Forecast]]*0.8</f>
        <v>242.90559457128361</v>
      </c>
      <c r="K1099">
        <f>Table1[[#This Row],[Forecast]]*0.8</f>
        <v>242.90559457128361</v>
      </c>
      <c r="L1099" s="5">
        <v>273</v>
      </c>
      <c r="M1099" s="6">
        <v>0.97150000000000003</v>
      </c>
      <c r="N1099" s="5">
        <v>8</v>
      </c>
      <c r="O1099" s="7">
        <v>1.273148148148148E-4</v>
      </c>
      <c r="P1099" s="7">
        <v>2.1064814814814813E-3</v>
      </c>
      <c r="Q1099" s="7">
        <v>2.3263888888888887E-3</v>
      </c>
      <c r="R1099" s="6">
        <v>0.88490000000000002</v>
      </c>
      <c r="S1099" s="8">
        <f>CONVERT(Table1[[#This Row],[Talk Duration (AVG)]]*Table1[[#This Row],[Answered Calls]],"day","hr")</f>
        <v>13.801666666666666</v>
      </c>
      <c r="T1099" s="9">
        <f>Table1[[#This Row],[Actual Workload hours]]*60</f>
        <v>828.09999999999991</v>
      </c>
      <c r="U1099" s="9">
        <f>CONVERT(Table1[[#This Row],[Actual]]*Table1[[#This Row],[Talk Duration (AVG)]],"day","hr")</f>
        <v>16.177777777777777</v>
      </c>
      <c r="V1099" s="10">
        <f>Table1[[#This Row],[Required Workload Hours]]*60</f>
        <v>970.66666666666663</v>
      </c>
      <c r="W1099" s="9">
        <f t="shared" si="34"/>
        <v>2.1565104166666664</v>
      </c>
      <c r="X1099" s="9">
        <f t="shared" si="35"/>
        <v>2.5277777777777777</v>
      </c>
      <c r="Y1099" s="5">
        <f t="shared" si="36"/>
        <v>2</v>
      </c>
      <c r="Z1099" s="8">
        <f>ROUNDUP(Table1[[#This Row],[Actual Heacount]],0)</f>
        <v>3</v>
      </c>
      <c r="AA1099" s="8">
        <f>CONVERT(Table1[[#This Row],[RevisedForecast 30% Recution2]]*Table1[[#This Row],[Talk Duration (AVG)]],"day","hr")</f>
        <v>12.280227281103782</v>
      </c>
      <c r="AB1099" s="10">
        <f>(Table1[[#This Row],[Forecast Workload Hours]]*60)*1.2</f>
        <v>884.17636423947226</v>
      </c>
      <c r="AC1099" s="10">
        <f>IF(Table1[[#This Row],[Forecast WOrkload Minutes]]&lt;384,1,Table1[[#This Row],[Forecast WOrkload Minutes]]/384)</f>
        <v>2.302542615206959</v>
      </c>
      <c r="AD1099" s="10">
        <f>ROUNDUP(Table1[[#This Row],[Forecast Headcount]],0)</f>
        <v>3</v>
      </c>
      <c r="AE1099" s="11">
        <v>188.17839255522179</v>
      </c>
      <c r="AF1099" s="11">
        <v>419.54506533422119</v>
      </c>
      <c r="AG1099" t="s">
        <v>7</v>
      </c>
    </row>
    <row r="1100" spans="1:33">
      <c r="A1100" s="2">
        <v>44981</v>
      </c>
      <c r="B1100" s="5" t="s">
        <v>40</v>
      </c>
      <c r="C1100" s="5">
        <f>WEEKDAY(Table1[[#This Row],[Date]])</f>
        <v>6</v>
      </c>
      <c r="D1100" s="5">
        <f>MONTH(Table1[[#This Row],[Date]])</f>
        <v>2</v>
      </c>
      <c r="E1100" s="5">
        <f>WEEKNUM(Table1[[#This Row],[Date]])</f>
        <v>8</v>
      </c>
      <c r="F1100" s="5">
        <f>YEAR(Table1[[#This Row],[Date]])</f>
        <v>2023</v>
      </c>
      <c r="G1100" s="17">
        <v>351</v>
      </c>
      <c r="H1100">
        <v>294.90202977511888</v>
      </c>
      <c r="I1100">
        <f>Table1[[#This Row],[Forecast]]*0.9</f>
        <v>265.41182679760698</v>
      </c>
      <c r="J1100">
        <f>Table1[[#This Row],[Forecast]]*0.8</f>
        <v>235.92162382009511</v>
      </c>
      <c r="K1100">
        <f>Table1[[#This Row],[Forecast]]*0.8</f>
        <v>235.92162382009511</v>
      </c>
      <c r="L1100" s="5">
        <v>387</v>
      </c>
      <c r="M1100" s="6">
        <v>0.96989999999999998</v>
      </c>
      <c r="N1100" s="5">
        <v>12</v>
      </c>
      <c r="O1100" s="7">
        <v>1.273148148148148E-4</v>
      </c>
      <c r="P1100" s="7">
        <v>1.9791666666666668E-3</v>
      </c>
      <c r="Q1100" s="7">
        <v>1.6782407407407408E-3</v>
      </c>
      <c r="R1100" s="6">
        <v>0.86360000000000003</v>
      </c>
      <c r="S1100" s="8">
        <f>CONVERT(Table1[[#This Row],[Talk Duration (AVG)]]*Table1[[#This Row],[Answered Calls]],"day","hr")</f>
        <v>18.3825</v>
      </c>
      <c r="T1100" s="9">
        <f>Table1[[#This Row],[Actual Workload hours]]*60</f>
        <v>1102.95</v>
      </c>
      <c r="U1100" s="9">
        <f>CONVERT(Table1[[#This Row],[Actual]]*Table1[[#This Row],[Talk Duration (AVG)]],"day","hr")</f>
        <v>16.672499999999999</v>
      </c>
      <c r="V1100" s="10">
        <f>Table1[[#This Row],[Required Workload Hours]]*60</f>
        <v>1000.3499999999999</v>
      </c>
      <c r="W1100" s="9">
        <f t="shared" si="34"/>
        <v>2.8722656250000003</v>
      </c>
      <c r="X1100" s="9">
        <f t="shared" si="35"/>
        <v>2.6050781249999999</v>
      </c>
      <c r="Y1100" s="5">
        <f t="shared" si="36"/>
        <v>2</v>
      </c>
      <c r="Z1100" s="8">
        <f>ROUNDUP(Table1[[#This Row],[Actual Heacount]],0)</f>
        <v>3</v>
      </c>
      <c r="AA1100" s="8">
        <f>CONVERT(Table1[[#This Row],[RevisedForecast 30% Recution2]]*Table1[[#This Row],[Talk Duration (AVG)]],"day","hr")</f>
        <v>11.206277131454518</v>
      </c>
      <c r="AB1100" s="10">
        <f>(Table1[[#This Row],[Forecast Workload Hours]]*60)*1.2</f>
        <v>806.85195346472528</v>
      </c>
      <c r="AC1100" s="10">
        <f>IF(Table1[[#This Row],[Forecast WOrkload Minutes]]&lt;384,1,Table1[[#This Row],[Forecast WOrkload Minutes]]/384)</f>
        <v>2.1011769621477221</v>
      </c>
      <c r="AD1100" s="10">
        <f>ROUNDUP(Table1[[#This Row],[Forecast Headcount]],0)</f>
        <v>3</v>
      </c>
      <c r="AE1100" s="11">
        <v>181.36359474697699</v>
      </c>
      <c r="AF1100" s="11">
        <v>406.1400817074894</v>
      </c>
      <c r="AG1100" t="s">
        <v>7</v>
      </c>
    </row>
    <row r="1101" spans="1:33">
      <c r="A1101" s="2">
        <v>44982</v>
      </c>
      <c r="B1101" s="5" t="s">
        <v>33</v>
      </c>
      <c r="C1101" s="5">
        <f>WEEKDAY(Table1[[#This Row],[Date]])</f>
        <v>7</v>
      </c>
      <c r="D1101" s="5">
        <f>MONTH(Table1[[#This Row],[Date]])</f>
        <v>2</v>
      </c>
      <c r="E1101" s="5">
        <f>WEEKNUM(Table1[[#This Row],[Date]])</f>
        <v>8</v>
      </c>
      <c r="F1101" s="5">
        <f>YEAR(Table1[[#This Row],[Date]])</f>
        <v>2023</v>
      </c>
      <c r="G1101" s="17">
        <v>85</v>
      </c>
      <c r="H1101">
        <v>301.65673518017218</v>
      </c>
      <c r="I1101">
        <f>Table1[[#This Row],[Forecast]]*0.9</f>
        <v>271.49106166215495</v>
      </c>
      <c r="J1101">
        <f>Table1[[#This Row],[Forecast]]*0.8</f>
        <v>241.32538814413775</v>
      </c>
      <c r="K1101">
        <f>Table1[[#This Row],[Forecast]]*0.8</f>
        <v>241.32538814413775</v>
      </c>
      <c r="L1101" s="5">
        <v>287</v>
      </c>
      <c r="M1101" s="6">
        <v>0.98629999999999995</v>
      </c>
      <c r="N1101" s="5">
        <v>4</v>
      </c>
      <c r="O1101" s="7">
        <v>1.273148148148148E-4</v>
      </c>
      <c r="P1101" s="7">
        <v>1.8055555555555555E-3</v>
      </c>
      <c r="Q1101" s="7">
        <v>2.5231481481481481E-3</v>
      </c>
      <c r="R1101" s="6">
        <v>0.87970000000000004</v>
      </c>
      <c r="S1101" s="8">
        <f>CONVERT(Table1[[#This Row],[Talk Duration (AVG)]]*Table1[[#This Row],[Answered Calls]],"day","hr")</f>
        <v>12.436666666666664</v>
      </c>
      <c r="T1101" s="9">
        <f>Table1[[#This Row],[Actual Workload hours]]*60</f>
        <v>746.19999999999982</v>
      </c>
      <c r="U1101" s="9">
        <f>CONVERT(Table1[[#This Row],[Actual]]*Table1[[#This Row],[Talk Duration (AVG)]],"day","hr")</f>
        <v>3.6833333333333327</v>
      </c>
      <c r="V1101" s="10">
        <f>Table1[[#This Row],[Required Workload Hours]]*60</f>
        <v>220.99999999999997</v>
      </c>
      <c r="W1101" s="9">
        <f t="shared" si="34"/>
        <v>1.9432291666666661</v>
      </c>
      <c r="X1101" s="9">
        <f t="shared" si="35"/>
        <v>1</v>
      </c>
      <c r="Y1101" s="5">
        <f t="shared" si="36"/>
        <v>2</v>
      </c>
      <c r="Z1101" s="8">
        <f>ROUNDUP(Table1[[#This Row],[Actual Heacount]],0)</f>
        <v>2</v>
      </c>
      <c r="AA1101" s="8">
        <f>CONVERT(Table1[[#This Row],[RevisedForecast 30% Recution2]]*Table1[[#This Row],[Talk Duration (AVG)]],"day","hr")</f>
        <v>10.457433486245968</v>
      </c>
      <c r="AB1101" s="10">
        <f>(Table1[[#This Row],[Forecast Workload Hours]]*60)*1.2</f>
        <v>752.93521100970963</v>
      </c>
      <c r="AC1101" s="10">
        <f>IF(Table1[[#This Row],[Forecast WOrkload Minutes]]&lt;384,1,Table1[[#This Row],[Forecast WOrkload Minutes]]/384)</f>
        <v>1.9607687786711188</v>
      </c>
      <c r="AD1101" s="10">
        <f>ROUNDUP(Table1[[#This Row],[Forecast Headcount]],0)</f>
        <v>2</v>
      </c>
      <c r="AE1101" s="11">
        <v>201.67709627548169</v>
      </c>
      <c r="AF1101" s="11">
        <v>410.71076249851501</v>
      </c>
      <c r="AG1101" t="s">
        <v>7</v>
      </c>
    </row>
    <row r="1102" spans="1:33">
      <c r="A1102" s="2">
        <v>44983</v>
      </c>
      <c r="B1102" s="5" t="s">
        <v>35</v>
      </c>
      <c r="C1102" s="5">
        <f>WEEKDAY(Table1[[#This Row],[Date]])</f>
        <v>1</v>
      </c>
      <c r="D1102" s="5">
        <f>MONTH(Table1[[#This Row],[Date]])</f>
        <v>2</v>
      </c>
      <c r="E1102" s="5">
        <f>WEEKNUM(Table1[[#This Row],[Date]])</f>
        <v>9</v>
      </c>
      <c r="F1102" s="5">
        <f>YEAR(Table1[[#This Row],[Date]])</f>
        <v>2023</v>
      </c>
      <c r="G1102" s="17">
        <v>44</v>
      </c>
      <c r="H1102">
        <v>212.0403330121988</v>
      </c>
      <c r="I1102">
        <f>Table1[[#This Row],[Forecast]]*0.9</f>
        <v>190.83629971097892</v>
      </c>
      <c r="J1102">
        <f>Table1[[#This Row],[Forecast]]*0.8</f>
        <v>169.63226640975904</v>
      </c>
      <c r="K1102">
        <f>Table1[[#This Row],[Forecast]]*0.8</f>
        <v>169.63226640975904</v>
      </c>
      <c r="L1102" s="5">
        <v>281</v>
      </c>
      <c r="M1102" s="6">
        <v>0.96899999999999997</v>
      </c>
      <c r="N1102" s="5">
        <v>9</v>
      </c>
      <c r="O1102" s="7">
        <v>8.1018518518518516E-5</v>
      </c>
      <c r="P1102" s="7">
        <v>2.1180555555555558E-3</v>
      </c>
      <c r="Q1102" s="7">
        <v>6.9444444444444447E-4</v>
      </c>
      <c r="R1102" s="6">
        <v>0.91639999999999999</v>
      </c>
      <c r="S1102" s="8">
        <f>CONVERT(Table1[[#This Row],[Talk Duration (AVG)]]*Table1[[#This Row],[Answered Calls]],"day","hr")</f>
        <v>14.284166666666666</v>
      </c>
      <c r="T1102" s="9">
        <f>Table1[[#This Row],[Actual Workload hours]]*60</f>
        <v>857.05</v>
      </c>
      <c r="U1102" s="9">
        <f>CONVERT(Table1[[#This Row],[Actual]]*Table1[[#This Row],[Talk Duration (AVG)]],"day","hr")</f>
        <v>2.2366666666666668</v>
      </c>
      <c r="V1102" s="10">
        <f>Table1[[#This Row],[Required Workload Hours]]*60</f>
        <v>134.20000000000002</v>
      </c>
      <c r="W1102" s="9">
        <f t="shared" si="34"/>
        <v>2.2319010416666667</v>
      </c>
      <c r="X1102" s="9">
        <f t="shared" si="35"/>
        <v>1</v>
      </c>
      <c r="Y1102" s="5">
        <f t="shared" si="36"/>
        <v>2</v>
      </c>
      <c r="Z1102" s="8">
        <f>ROUNDUP(Table1[[#This Row],[Actual Heacount]],0)</f>
        <v>3</v>
      </c>
      <c r="AA1102" s="8">
        <f>CONVERT(Table1[[#This Row],[RevisedForecast 30% Recution2]]*Table1[[#This Row],[Talk Duration (AVG)]],"day","hr")</f>
        <v>8.6229735424960854</v>
      </c>
      <c r="AB1102" s="10">
        <f>(Table1[[#This Row],[Forecast Workload Hours]]*60)*1.2</f>
        <v>620.85409505971813</v>
      </c>
      <c r="AC1102" s="10">
        <f>IF(Table1[[#This Row],[Forecast WOrkload Minutes]]&lt;384,1,Table1[[#This Row],[Forecast WOrkload Minutes]]/384)</f>
        <v>1.6168075392180159</v>
      </c>
      <c r="AD1102" s="10">
        <f>ROUNDUP(Table1[[#This Row],[Forecast Headcount]],0)</f>
        <v>2</v>
      </c>
      <c r="AE1102" s="11">
        <v>102.1192461708425</v>
      </c>
      <c r="AF1102" s="11">
        <v>330.30880143490748</v>
      </c>
      <c r="AG1102" t="s">
        <v>7</v>
      </c>
    </row>
    <row r="1103" spans="1:33">
      <c r="A1103" s="2">
        <v>44984</v>
      </c>
      <c r="B1103" s="5" t="s">
        <v>36</v>
      </c>
      <c r="C1103" s="5">
        <f>WEEKDAY(Table1[[#This Row],[Date]])</f>
        <v>2</v>
      </c>
      <c r="D1103" s="5">
        <f>MONTH(Table1[[#This Row],[Date]])</f>
        <v>2</v>
      </c>
      <c r="E1103" s="5">
        <f>WEEKNUM(Table1[[#This Row],[Date]])</f>
        <v>9</v>
      </c>
      <c r="F1103" s="5">
        <f>YEAR(Table1[[#This Row],[Date]])</f>
        <v>2023</v>
      </c>
      <c r="G1103" s="17">
        <v>388</v>
      </c>
      <c r="H1103">
        <v>310.40733992471678</v>
      </c>
      <c r="I1103">
        <f>Table1[[#This Row],[Forecast]]*0.9</f>
        <v>279.36660593224514</v>
      </c>
      <c r="J1103">
        <f>Table1[[#This Row],[Forecast]]*0.8</f>
        <v>248.32587193977344</v>
      </c>
      <c r="K1103">
        <f>Table1[[#This Row],[Forecast]]*0.8</f>
        <v>248.32587193977344</v>
      </c>
      <c r="L1103" s="5">
        <v>227</v>
      </c>
      <c r="M1103" s="6">
        <v>0.98699999999999999</v>
      </c>
      <c r="N1103" s="5">
        <v>3</v>
      </c>
      <c r="O1103" s="7">
        <v>9.2592592592592588E-5</v>
      </c>
      <c r="P1103" s="7">
        <v>2.1527777777777778E-3</v>
      </c>
      <c r="Q1103" s="7">
        <v>8.3333333333333339E-4</v>
      </c>
      <c r="R1103" s="6">
        <v>0.91669999999999996</v>
      </c>
      <c r="S1103" s="8">
        <f>CONVERT(Table1[[#This Row],[Talk Duration (AVG)]]*Table1[[#This Row],[Answered Calls]],"day","hr")</f>
        <v>11.728333333333333</v>
      </c>
      <c r="T1103" s="9">
        <f>Table1[[#This Row],[Actual Workload hours]]*60</f>
        <v>703.7</v>
      </c>
      <c r="U1103" s="9">
        <f>CONVERT(Table1[[#This Row],[Actual]]*Table1[[#This Row],[Talk Duration (AVG)]],"day","hr")</f>
        <v>20.046666666666667</v>
      </c>
      <c r="V1103" s="10">
        <f>Table1[[#This Row],[Required Workload Hours]]*60</f>
        <v>1202.8</v>
      </c>
      <c r="W1103" s="9">
        <f t="shared" si="34"/>
        <v>1.8325520833333335</v>
      </c>
      <c r="X1103" s="9">
        <f t="shared" si="35"/>
        <v>3.1322916666666667</v>
      </c>
      <c r="Y1103" s="5">
        <f t="shared" si="36"/>
        <v>2</v>
      </c>
      <c r="Z1103" s="8">
        <f>ROUNDUP(Table1[[#This Row],[Actual Heacount]],0)</f>
        <v>2</v>
      </c>
      <c r="AA1103" s="8">
        <f>CONVERT(Table1[[#This Row],[RevisedForecast 30% Recution2]]*Table1[[#This Row],[Talk Duration (AVG)]],"day","hr")</f>
        <v>12.830170050221628</v>
      </c>
      <c r="AB1103" s="10">
        <f>(Table1[[#This Row],[Forecast Workload Hours]]*60)*1.2</f>
        <v>923.77224361595722</v>
      </c>
      <c r="AC1103" s="10">
        <f>IF(Table1[[#This Row],[Forecast WOrkload Minutes]]&lt;384,1,Table1[[#This Row],[Forecast WOrkload Minutes]]/384)</f>
        <v>2.4056568844165551</v>
      </c>
      <c r="AD1103" s="10">
        <f>ROUNDUP(Table1[[#This Row],[Forecast Headcount]],0)</f>
        <v>3</v>
      </c>
      <c r="AE1103" s="11">
        <v>200.40385404700189</v>
      </c>
      <c r="AF1103" s="11">
        <v>413.84010828692698</v>
      </c>
      <c r="AG1103" t="s">
        <v>7</v>
      </c>
    </row>
    <row r="1104" spans="1:33">
      <c r="A1104" s="2">
        <v>44985</v>
      </c>
      <c r="B1104" s="5" t="s">
        <v>37</v>
      </c>
      <c r="C1104" s="5">
        <f>WEEKDAY(Table1[[#This Row],[Date]])</f>
        <v>3</v>
      </c>
      <c r="D1104" s="5">
        <f>MONTH(Table1[[#This Row],[Date]])</f>
        <v>2</v>
      </c>
      <c r="E1104" s="5">
        <f>WEEKNUM(Table1[[#This Row],[Date]])</f>
        <v>9</v>
      </c>
      <c r="F1104" s="5">
        <f>YEAR(Table1[[#This Row],[Date]])</f>
        <v>2023</v>
      </c>
      <c r="G1104" s="17">
        <v>283</v>
      </c>
      <c r="H1104">
        <v>292.32801536596759</v>
      </c>
      <c r="I1104">
        <f>Table1[[#This Row],[Forecast]]*0.9</f>
        <v>263.09521382937083</v>
      </c>
      <c r="J1104">
        <f>Table1[[#This Row],[Forecast]]*0.8</f>
        <v>233.86241229277408</v>
      </c>
      <c r="K1104">
        <f>Table1[[#This Row],[Forecast]]*0.8</f>
        <v>233.86241229277408</v>
      </c>
      <c r="L1104" s="5">
        <v>216</v>
      </c>
      <c r="M1104" s="6">
        <v>0.9153</v>
      </c>
      <c r="N1104" s="5">
        <v>20</v>
      </c>
      <c r="O1104" s="7">
        <v>1.9675925925925926E-4</v>
      </c>
      <c r="P1104" s="7">
        <v>2.1875000000000002E-3</v>
      </c>
      <c r="Q1104" s="7">
        <v>2.0138888888888888E-3</v>
      </c>
      <c r="R1104" s="6">
        <v>0.70689999999999997</v>
      </c>
      <c r="S1104" s="8">
        <f>CONVERT(Table1[[#This Row],[Talk Duration (AVG)]]*Table1[[#This Row],[Answered Calls]],"day","hr")</f>
        <v>11.34</v>
      </c>
      <c r="T1104" s="9">
        <f>Table1[[#This Row],[Actual Workload hours]]*60</f>
        <v>680.4</v>
      </c>
      <c r="U1104" s="9">
        <f>CONVERT(Table1[[#This Row],[Actual]]*Table1[[#This Row],[Talk Duration (AVG)]],"day","hr")</f>
        <v>14.857500000000002</v>
      </c>
      <c r="V1104" s="10">
        <f>Table1[[#This Row],[Required Workload Hours]]*60</f>
        <v>891.45</v>
      </c>
      <c r="W1104" s="9">
        <f t="shared" si="34"/>
        <v>1.7718749999999999</v>
      </c>
      <c r="X1104" s="9">
        <f t="shared" si="35"/>
        <v>2.3214843750000003</v>
      </c>
      <c r="Y1104" s="5">
        <f t="shared" si="36"/>
        <v>2</v>
      </c>
      <c r="Z1104" s="8">
        <f>ROUNDUP(Table1[[#This Row],[Actual Heacount]],0)</f>
        <v>2</v>
      </c>
      <c r="AA1104" s="8">
        <f>CONVERT(Table1[[#This Row],[RevisedForecast 30% Recution2]]*Table1[[#This Row],[Talk Duration (AVG)]],"day","hr")</f>
        <v>12.277776645370642</v>
      </c>
      <c r="AB1104" s="10">
        <f>(Table1[[#This Row],[Forecast Workload Hours]]*60)*1.2</f>
        <v>883.99991846668615</v>
      </c>
      <c r="AC1104" s="10">
        <f>IF(Table1[[#This Row],[Forecast WOrkload Minutes]]&lt;384,1,Table1[[#This Row],[Forecast WOrkload Minutes]]/384)</f>
        <v>2.3020831210069952</v>
      </c>
      <c r="AD1104" s="10">
        <f>ROUNDUP(Table1[[#This Row],[Forecast Headcount]],0)</f>
        <v>3</v>
      </c>
      <c r="AE1104" s="11">
        <v>186.4155747634961</v>
      </c>
      <c r="AF1104" s="11">
        <v>395.09288015560122</v>
      </c>
      <c r="AG1104" t="s">
        <v>7</v>
      </c>
    </row>
    <row r="1105" spans="1:33">
      <c r="A1105" s="2">
        <v>44986</v>
      </c>
      <c r="B1105" s="5" t="s">
        <v>38</v>
      </c>
      <c r="C1105" s="5">
        <f>WEEKDAY(Table1[[#This Row],[Date]])</f>
        <v>4</v>
      </c>
      <c r="D1105" s="5">
        <f>MONTH(Table1[[#This Row],[Date]])</f>
        <v>3</v>
      </c>
      <c r="E1105" s="5">
        <f>WEEKNUM(Table1[[#This Row],[Date]])</f>
        <v>9</v>
      </c>
      <c r="F1105" s="5">
        <f>YEAR(Table1[[#This Row],[Date]])</f>
        <v>2023</v>
      </c>
      <c r="G1105" s="17">
        <v>241</v>
      </c>
      <c r="H1105">
        <v>302.0280265581905</v>
      </c>
      <c r="I1105">
        <f>Table1[[#This Row],[Forecast]]*0.9</f>
        <v>271.82522390237148</v>
      </c>
      <c r="J1105">
        <f>Table1[[#This Row],[Forecast]]*0.8</f>
        <v>241.62242124655242</v>
      </c>
      <c r="K1105">
        <f>Table1[[#This Row],[Forecast]]*0.8</f>
        <v>241.62242124655242</v>
      </c>
      <c r="L1105" s="5">
        <v>44</v>
      </c>
      <c r="M1105" s="6">
        <v>0.9778</v>
      </c>
      <c r="N1105" s="5">
        <v>1</v>
      </c>
      <c r="O1105" s="7">
        <v>5.7870370370370373E-5</v>
      </c>
      <c r="P1105" s="7">
        <v>1.9097222222222222E-3</v>
      </c>
      <c r="Q1105" s="7">
        <v>1.3425925925925925E-3</v>
      </c>
      <c r="R1105" s="6">
        <v>0.93330000000000002</v>
      </c>
      <c r="S1105" s="8">
        <f>CONVERT(Table1[[#This Row],[Talk Duration (AVG)]]*Table1[[#This Row],[Answered Calls]],"day","hr")</f>
        <v>2.0166666666666666</v>
      </c>
      <c r="T1105" s="9">
        <f>Table1[[#This Row],[Actual Workload hours]]*60</f>
        <v>121</v>
      </c>
      <c r="U1105" s="9">
        <f>CONVERT(Table1[[#This Row],[Actual]]*Table1[[#This Row],[Talk Duration (AVG)]],"day","hr")</f>
        <v>11.045833333333333</v>
      </c>
      <c r="V1105" s="10">
        <f>Table1[[#This Row],[Required Workload Hours]]*60</f>
        <v>662.75</v>
      </c>
      <c r="W1105" s="9">
        <f t="shared" si="34"/>
        <v>1</v>
      </c>
      <c r="X1105" s="9">
        <f t="shared" si="35"/>
        <v>1.7259114583333333</v>
      </c>
      <c r="Y1105" s="5">
        <f t="shared" si="36"/>
        <v>1</v>
      </c>
      <c r="Z1105" s="8">
        <f>ROUNDUP(Table1[[#This Row],[Actual Heacount]],0)</f>
        <v>1</v>
      </c>
      <c r="AA1105" s="8">
        <f>CONVERT(Table1[[#This Row],[RevisedForecast 30% Recution2]]*Table1[[#This Row],[Talk Duration (AVG)]],"day","hr")</f>
        <v>11.074360973800319</v>
      </c>
      <c r="AB1105" s="10">
        <f>(Table1[[#This Row],[Forecast Workload Hours]]*60)*1.2</f>
        <v>797.35399011362301</v>
      </c>
      <c r="AC1105" s="10">
        <f>IF(Table1[[#This Row],[Forecast WOrkload Minutes]]&lt;384,1,Table1[[#This Row],[Forecast WOrkload Minutes]]/384)</f>
        <v>2.0764426825875599</v>
      </c>
      <c r="AD1105" s="10">
        <f>ROUNDUP(Table1[[#This Row],[Forecast Headcount]],0)</f>
        <v>3</v>
      </c>
      <c r="AE1105" s="11">
        <v>190.66330449296859</v>
      </c>
      <c r="AF1105" s="11">
        <v>414.45534505713829</v>
      </c>
      <c r="AG1105" t="s">
        <v>7</v>
      </c>
    </row>
    <row r="1106" spans="1:33">
      <c r="A1106" s="2">
        <v>44987</v>
      </c>
      <c r="B1106" s="5" t="s">
        <v>39</v>
      </c>
      <c r="C1106" s="5">
        <f>WEEKDAY(Table1[[#This Row],[Date]])</f>
        <v>5</v>
      </c>
      <c r="D1106" s="5">
        <f>MONTH(Table1[[#This Row],[Date]])</f>
        <v>3</v>
      </c>
      <c r="E1106" s="5">
        <f>WEEKNUM(Table1[[#This Row],[Date]])</f>
        <v>9</v>
      </c>
      <c r="F1106" s="5">
        <f>YEAR(Table1[[#This Row],[Date]])</f>
        <v>2023</v>
      </c>
      <c r="G1106" s="17">
        <v>280</v>
      </c>
      <c r="H1106">
        <v>294.25643642613181</v>
      </c>
      <c r="I1106">
        <f>Table1[[#This Row],[Forecast]]*0.9</f>
        <v>264.83079278351863</v>
      </c>
      <c r="J1106">
        <f>Table1[[#This Row],[Forecast]]*0.8</f>
        <v>235.40514914090545</v>
      </c>
      <c r="K1106">
        <f>Table1[[#This Row],[Forecast]]*0.8</f>
        <v>235.40514914090545</v>
      </c>
      <c r="L1106" s="5">
        <v>238</v>
      </c>
      <c r="M1106" s="6">
        <v>0.95579999999999998</v>
      </c>
      <c r="N1106" s="5">
        <v>11</v>
      </c>
      <c r="O1106" s="7">
        <v>1.273148148148148E-4</v>
      </c>
      <c r="P1106" s="7">
        <v>1.8749999999999999E-3</v>
      </c>
      <c r="Q1106" s="7">
        <v>1.3657407407407407E-3</v>
      </c>
      <c r="R1106" s="6">
        <v>0.86529999999999996</v>
      </c>
      <c r="S1106" s="8">
        <f>CONVERT(Table1[[#This Row],[Talk Duration (AVG)]]*Table1[[#This Row],[Answered Calls]],"day","hr")</f>
        <v>10.71</v>
      </c>
      <c r="T1106" s="9">
        <f>Table1[[#This Row],[Actual Workload hours]]*60</f>
        <v>642.6</v>
      </c>
      <c r="U1106" s="9">
        <f>CONVERT(Table1[[#This Row],[Actual]]*Table1[[#This Row],[Talk Duration (AVG)]],"day","hr")</f>
        <v>12.6</v>
      </c>
      <c r="V1106" s="10">
        <f>Table1[[#This Row],[Required Workload Hours]]*60</f>
        <v>756</v>
      </c>
      <c r="W1106" s="9">
        <f t="shared" si="34"/>
        <v>1.6734375000000001</v>
      </c>
      <c r="X1106" s="9">
        <f t="shared" si="35"/>
        <v>1.96875</v>
      </c>
      <c r="Y1106" s="5">
        <f t="shared" si="36"/>
        <v>2</v>
      </c>
      <c r="Z1106" s="8">
        <f>ROUNDUP(Table1[[#This Row],[Actual Heacount]],0)</f>
        <v>2</v>
      </c>
      <c r="AA1106" s="8">
        <f>CONVERT(Table1[[#This Row],[RevisedForecast 30% Recution2]]*Table1[[#This Row],[Talk Duration (AVG)]],"day","hr")</f>
        <v>10.593231711340744</v>
      </c>
      <c r="AB1106" s="10">
        <f>(Table1[[#This Row],[Forecast Workload Hours]]*60)*1.2</f>
        <v>762.71268321653361</v>
      </c>
      <c r="AC1106" s="10">
        <f>IF(Table1[[#This Row],[Forecast WOrkload Minutes]]&lt;384,1,Table1[[#This Row],[Forecast WOrkload Minutes]]/384)</f>
        <v>1.9862309458763896</v>
      </c>
      <c r="AD1106" s="10">
        <f>ROUNDUP(Table1[[#This Row],[Forecast Headcount]],0)</f>
        <v>2</v>
      </c>
      <c r="AE1106" s="11">
        <v>185.10139565947051</v>
      </c>
      <c r="AF1106" s="11">
        <v>412.42745248971869</v>
      </c>
      <c r="AG1106" t="s">
        <v>7</v>
      </c>
    </row>
    <row r="1107" spans="1:33">
      <c r="A1107" s="2">
        <v>44988</v>
      </c>
      <c r="B1107" s="5" t="s">
        <v>40</v>
      </c>
      <c r="C1107" s="5">
        <f>WEEKDAY(Table1[[#This Row],[Date]])</f>
        <v>6</v>
      </c>
      <c r="D1107" s="5">
        <f>MONTH(Table1[[#This Row],[Date]])</f>
        <v>3</v>
      </c>
      <c r="E1107" s="5">
        <f>WEEKNUM(Table1[[#This Row],[Date]])</f>
        <v>9</v>
      </c>
      <c r="F1107" s="5">
        <f>YEAR(Table1[[#This Row],[Date]])</f>
        <v>2023</v>
      </c>
      <c r="G1107" s="17">
        <v>294</v>
      </c>
      <c r="H1107">
        <v>281.93556381572779</v>
      </c>
      <c r="I1107">
        <f>Table1[[#This Row],[Forecast]]*0.9</f>
        <v>253.74200743415503</v>
      </c>
      <c r="J1107">
        <f>Table1[[#This Row],[Forecast]]*0.8</f>
        <v>225.54845105258224</v>
      </c>
      <c r="K1107">
        <f>Table1[[#This Row],[Forecast]]*0.8</f>
        <v>225.54845105258224</v>
      </c>
      <c r="L1107" s="5">
        <v>328</v>
      </c>
      <c r="M1107" s="6">
        <v>0.93710000000000004</v>
      </c>
      <c r="N1107" s="5">
        <v>22</v>
      </c>
      <c r="O1107" s="7">
        <v>3.2407407407407406E-4</v>
      </c>
      <c r="P1107" s="7">
        <v>1.7476851851851852E-3</v>
      </c>
      <c r="Q1107" s="7">
        <v>1.712962962962963E-3</v>
      </c>
      <c r="R1107" s="6">
        <v>0.58260000000000001</v>
      </c>
      <c r="S1107" s="8">
        <f>CONVERT(Table1[[#This Row],[Talk Duration (AVG)]]*Table1[[#This Row],[Answered Calls]],"day","hr")</f>
        <v>13.757777777777777</v>
      </c>
      <c r="T1107" s="9">
        <f>Table1[[#This Row],[Actual Workload hours]]*60</f>
        <v>825.46666666666658</v>
      </c>
      <c r="U1107" s="9">
        <f>CONVERT(Table1[[#This Row],[Actual]]*Table1[[#This Row],[Talk Duration (AVG)]],"day","hr")</f>
        <v>12.331666666666669</v>
      </c>
      <c r="V1107" s="10">
        <f>Table1[[#This Row],[Required Workload Hours]]*60</f>
        <v>739.90000000000009</v>
      </c>
      <c r="W1107" s="9">
        <f t="shared" si="34"/>
        <v>2.1496527777777774</v>
      </c>
      <c r="X1107" s="9">
        <f t="shared" si="35"/>
        <v>1.9268229166666668</v>
      </c>
      <c r="Y1107" s="5">
        <f t="shared" si="36"/>
        <v>2</v>
      </c>
      <c r="Z1107" s="8">
        <f>ROUNDUP(Table1[[#This Row],[Actual Heacount]],0)</f>
        <v>3</v>
      </c>
      <c r="AA1107" s="8">
        <f>CONVERT(Table1[[#This Row],[RevisedForecast 30% Recution2]]*Table1[[#This Row],[Talk Duration (AVG)]],"day","hr")</f>
        <v>9.4605044747055338</v>
      </c>
      <c r="AB1107" s="10">
        <f>(Table1[[#This Row],[Forecast Workload Hours]]*60)*1.2</f>
        <v>681.1563221787984</v>
      </c>
      <c r="AC1107" s="10">
        <f>IF(Table1[[#This Row],[Forecast WOrkload Minutes]]&lt;384,1,Table1[[#This Row],[Forecast WOrkload Minutes]]/384)</f>
        <v>1.7738445890072876</v>
      </c>
      <c r="AD1107" s="10">
        <f>ROUNDUP(Table1[[#This Row],[Forecast Headcount]],0)</f>
        <v>2</v>
      </c>
      <c r="AE1107" s="11">
        <v>172.3686179945131</v>
      </c>
      <c r="AF1107" s="11">
        <v>392.26715857202157</v>
      </c>
      <c r="AG1107" t="s">
        <v>7</v>
      </c>
    </row>
    <row r="1108" spans="1:33">
      <c r="A1108" s="2">
        <v>44989</v>
      </c>
      <c r="B1108" s="5" t="s">
        <v>33</v>
      </c>
      <c r="C1108" s="5">
        <f>WEEKDAY(Table1[[#This Row],[Date]])</f>
        <v>7</v>
      </c>
      <c r="D1108" s="5">
        <f>MONTH(Table1[[#This Row],[Date]])</f>
        <v>3</v>
      </c>
      <c r="E1108" s="5">
        <f>WEEKNUM(Table1[[#This Row],[Date]])</f>
        <v>9</v>
      </c>
      <c r="F1108" s="5">
        <f>YEAR(Table1[[#This Row],[Date]])</f>
        <v>2023</v>
      </c>
      <c r="G1108" s="17">
        <v>290</v>
      </c>
      <c r="H1108">
        <v>285.21999462011757</v>
      </c>
      <c r="I1108">
        <f>Table1[[#This Row],[Forecast]]*0.9</f>
        <v>256.69799515810581</v>
      </c>
      <c r="J1108">
        <f>Table1[[#This Row],[Forecast]]*0.8</f>
        <v>228.17599569609408</v>
      </c>
      <c r="K1108">
        <f>Table1[[#This Row],[Forecast]]*0.8</f>
        <v>228.17599569609408</v>
      </c>
      <c r="L1108" s="5">
        <v>306</v>
      </c>
      <c r="M1108" s="6">
        <v>0.84760000000000002</v>
      </c>
      <c r="N1108" s="5">
        <v>55</v>
      </c>
      <c r="O1108" s="7">
        <v>3.1250000000000001E-4</v>
      </c>
      <c r="P1108" s="7">
        <v>1.6898148148148148E-3</v>
      </c>
      <c r="Q1108" s="7">
        <v>4.6412037037037038E-3</v>
      </c>
      <c r="R1108" s="6">
        <v>0.60170000000000001</v>
      </c>
      <c r="S1108" s="8">
        <f>CONVERT(Table1[[#This Row],[Talk Duration (AVG)]]*Table1[[#This Row],[Answered Calls]],"day","hr")</f>
        <v>12.41</v>
      </c>
      <c r="T1108" s="9">
        <f>Table1[[#This Row],[Actual Workload hours]]*60</f>
        <v>744.6</v>
      </c>
      <c r="U1108" s="9">
        <f>CONVERT(Table1[[#This Row],[Actual]]*Table1[[#This Row],[Talk Duration (AVG)]],"day","hr")</f>
        <v>11.761111111111111</v>
      </c>
      <c r="V1108" s="10">
        <f>Table1[[#This Row],[Required Workload Hours]]*60</f>
        <v>705.66666666666663</v>
      </c>
      <c r="W1108" s="9">
        <f t="shared" si="34"/>
        <v>1.9390625000000001</v>
      </c>
      <c r="X1108" s="9">
        <f t="shared" si="35"/>
        <v>1.8376736111111109</v>
      </c>
      <c r="Y1108" s="5">
        <f t="shared" si="36"/>
        <v>2</v>
      </c>
      <c r="Z1108" s="8">
        <f>ROUNDUP(Table1[[#This Row],[Actual Heacount]],0)</f>
        <v>2</v>
      </c>
      <c r="AA1108" s="8">
        <f>CONVERT(Table1[[#This Row],[RevisedForecast 30% Recution2]]*Table1[[#This Row],[Talk Duration (AVG)]],"day","hr")</f>
        <v>9.2538042698971488</v>
      </c>
      <c r="AB1108" s="10">
        <f>(Table1[[#This Row],[Forecast Workload Hours]]*60)*1.2</f>
        <v>666.27390743259468</v>
      </c>
      <c r="AC1108" s="10">
        <f>IF(Table1[[#This Row],[Forecast WOrkload Minutes]]&lt;384,1,Table1[[#This Row],[Forecast WOrkload Minutes]]/384)</f>
        <v>1.7350883006057154</v>
      </c>
      <c r="AD1108" s="10">
        <f>ROUNDUP(Table1[[#This Row],[Forecast Headcount]],0)</f>
        <v>2</v>
      </c>
      <c r="AE1108" s="11">
        <v>174.91173757406159</v>
      </c>
      <c r="AF1108" s="11">
        <v>392.57981353711102</v>
      </c>
      <c r="AG1108" t="s">
        <v>7</v>
      </c>
    </row>
    <row r="1109" spans="1:33">
      <c r="A1109" s="2">
        <v>44990</v>
      </c>
      <c r="B1109" s="5" t="s">
        <v>35</v>
      </c>
      <c r="C1109" s="5">
        <f>WEEKDAY(Table1[[#This Row],[Date]])</f>
        <v>1</v>
      </c>
      <c r="D1109" s="5">
        <f>MONTH(Table1[[#This Row],[Date]])</f>
        <v>3</v>
      </c>
      <c r="E1109" s="5">
        <f>WEEKNUM(Table1[[#This Row],[Date]])</f>
        <v>10</v>
      </c>
      <c r="F1109" s="5">
        <f>YEAR(Table1[[#This Row],[Date]])</f>
        <v>2023</v>
      </c>
      <c r="G1109" s="17">
        <v>32</v>
      </c>
      <c r="H1109">
        <v>192.3139298309774</v>
      </c>
      <c r="I1109">
        <f>Table1[[#This Row],[Forecast]]*0.9</f>
        <v>173.08253684787965</v>
      </c>
      <c r="J1109">
        <f>Table1[[#This Row],[Forecast]]*0.8</f>
        <v>153.85114386478193</v>
      </c>
      <c r="K1109">
        <f>Table1[[#This Row],[Forecast]]*0.8</f>
        <v>153.85114386478193</v>
      </c>
      <c r="L1109" s="5">
        <v>256</v>
      </c>
      <c r="M1109" s="6">
        <v>0.97709999999999997</v>
      </c>
      <c r="N1109" s="5">
        <v>6</v>
      </c>
      <c r="O1109" s="7">
        <v>1.5046296296296297E-4</v>
      </c>
      <c r="P1109" s="7">
        <v>1.9675925925925924E-3</v>
      </c>
      <c r="Q1109" s="7">
        <v>2.0138888888888888E-3</v>
      </c>
      <c r="R1109" s="6">
        <v>0.86150000000000004</v>
      </c>
      <c r="S1109" s="8">
        <f>CONVERT(Table1[[#This Row],[Talk Duration (AVG)]]*Table1[[#This Row],[Answered Calls]],"day","hr")</f>
        <v>12.088888888888887</v>
      </c>
      <c r="T1109" s="9">
        <f>Table1[[#This Row],[Actual Workload hours]]*60</f>
        <v>725.33333333333326</v>
      </c>
      <c r="U1109" s="9">
        <f>CONVERT(Table1[[#This Row],[Actual]]*Table1[[#This Row],[Talk Duration (AVG)]],"day","hr")</f>
        <v>1.5111111111111108</v>
      </c>
      <c r="V1109" s="10">
        <f>Table1[[#This Row],[Required Workload Hours]]*60</f>
        <v>90.666666666666657</v>
      </c>
      <c r="W1109" s="9">
        <f t="shared" si="34"/>
        <v>1.8888888888888886</v>
      </c>
      <c r="X1109" s="9">
        <f t="shared" si="35"/>
        <v>1</v>
      </c>
      <c r="Y1109" s="5">
        <f t="shared" si="36"/>
        <v>2</v>
      </c>
      <c r="Z1109" s="8">
        <f>ROUNDUP(Table1[[#This Row],[Actual Heacount]],0)</f>
        <v>2</v>
      </c>
      <c r="AA1109" s="8">
        <f>CONVERT(Table1[[#This Row],[RevisedForecast 30% Recution2]]*Table1[[#This Row],[Talk Duration (AVG)]],"day","hr")</f>
        <v>7.2651929047258124</v>
      </c>
      <c r="AB1109" s="10">
        <f>(Table1[[#This Row],[Forecast Workload Hours]]*60)*1.2</f>
        <v>523.09388914025851</v>
      </c>
      <c r="AC1109" s="10">
        <f>IF(Table1[[#This Row],[Forecast WOrkload Minutes]]&lt;384,1,Table1[[#This Row],[Forecast WOrkload Minutes]]/384)</f>
        <v>1.3622236696360899</v>
      </c>
      <c r="AD1109" s="10">
        <f>ROUNDUP(Table1[[#This Row],[Forecast Headcount]],0)</f>
        <v>2</v>
      </c>
      <c r="AE1109" s="11">
        <v>79.573359019085714</v>
      </c>
      <c r="AF1109" s="11">
        <v>302.28025537221902</v>
      </c>
      <c r="AG1109" t="s">
        <v>7</v>
      </c>
    </row>
    <row r="1110" spans="1:33">
      <c r="A1110" s="2">
        <v>44991</v>
      </c>
      <c r="B1110" s="5" t="s">
        <v>36</v>
      </c>
      <c r="C1110" s="5">
        <f>WEEKDAY(Table1[[#This Row],[Date]])</f>
        <v>2</v>
      </c>
      <c r="D1110" s="5">
        <f>MONTH(Table1[[#This Row],[Date]])</f>
        <v>3</v>
      </c>
      <c r="E1110" s="5">
        <f>WEEKNUM(Table1[[#This Row],[Date]])</f>
        <v>10</v>
      </c>
      <c r="F1110" s="5">
        <f>YEAR(Table1[[#This Row],[Date]])</f>
        <v>2023</v>
      </c>
      <c r="G1110" s="17">
        <v>270</v>
      </c>
      <c r="H1110">
        <v>287.629181559534</v>
      </c>
      <c r="I1110">
        <f>Table1[[#This Row],[Forecast]]*0.9</f>
        <v>258.8662634035806</v>
      </c>
      <c r="J1110">
        <f>Table1[[#This Row],[Forecast]]*0.8</f>
        <v>230.1033452476272</v>
      </c>
      <c r="K1110">
        <f>Table1[[#This Row],[Forecast]]*0.8</f>
        <v>230.1033452476272</v>
      </c>
      <c r="L1110" s="5">
        <v>288</v>
      </c>
      <c r="M1110" s="6">
        <v>0.9536</v>
      </c>
      <c r="N1110" s="5">
        <v>14</v>
      </c>
      <c r="O1110" s="7">
        <v>2.4305555555555555E-4</v>
      </c>
      <c r="P1110" s="7">
        <v>2.0370370370370369E-3</v>
      </c>
      <c r="Q1110" s="7">
        <v>2.0717592592592593E-3</v>
      </c>
      <c r="R1110" s="6">
        <v>0.71099999999999997</v>
      </c>
      <c r="S1110" s="8">
        <f>CONVERT(Table1[[#This Row],[Talk Duration (AVG)]]*Table1[[#This Row],[Answered Calls]],"day","hr")</f>
        <v>14.08</v>
      </c>
      <c r="T1110" s="9">
        <f>Table1[[#This Row],[Actual Workload hours]]*60</f>
        <v>844.8</v>
      </c>
      <c r="U1110" s="9">
        <f>CONVERT(Table1[[#This Row],[Actual]]*Table1[[#This Row],[Talk Duration (AVG)]],"day","hr")</f>
        <v>13.199999999999998</v>
      </c>
      <c r="V1110" s="10">
        <f>Table1[[#This Row],[Required Workload Hours]]*60</f>
        <v>791.99999999999989</v>
      </c>
      <c r="W1110" s="9">
        <f t="shared" si="34"/>
        <v>2.1999999999999997</v>
      </c>
      <c r="X1110" s="9">
        <f t="shared" ref="X1110:X1173" si="37">IF(V1110&lt;384,1,(V1110/384))</f>
        <v>2.0624999999999996</v>
      </c>
      <c r="Y1110" s="5">
        <f t="shared" si="36"/>
        <v>2</v>
      </c>
      <c r="Z1110" s="8">
        <f>ROUNDUP(Table1[[#This Row],[Actual Heacount]],0)</f>
        <v>3</v>
      </c>
      <c r="AA1110" s="8">
        <f>CONVERT(Table1[[#This Row],[RevisedForecast 30% Recution2]]*Table1[[#This Row],[Talk Duration (AVG)]],"day","hr")</f>
        <v>11.249496878772883</v>
      </c>
      <c r="AB1110" s="10">
        <f>(Table1[[#This Row],[Forecast Workload Hours]]*60)*1.2</f>
        <v>809.96377527164759</v>
      </c>
      <c r="AC1110" s="10">
        <f>IF(Table1[[#This Row],[Forecast WOrkload Minutes]]&lt;384,1,Table1[[#This Row],[Forecast WOrkload Minutes]]/384)</f>
        <v>2.1092806647699156</v>
      </c>
      <c r="AD1110" s="10">
        <f>ROUNDUP(Table1[[#This Row],[Forecast Headcount]],0)</f>
        <v>3</v>
      </c>
      <c r="AE1110" s="11">
        <v>179.2399366438612</v>
      </c>
      <c r="AF1110" s="11">
        <v>397.09253295466613</v>
      </c>
      <c r="AG1110" t="s">
        <v>7</v>
      </c>
    </row>
    <row r="1111" spans="1:33">
      <c r="A1111" s="2">
        <v>44992</v>
      </c>
      <c r="B1111" s="5" t="s">
        <v>37</v>
      </c>
      <c r="C1111" s="5">
        <f>WEEKDAY(Table1[[#This Row],[Date]])</f>
        <v>3</v>
      </c>
      <c r="D1111" s="5">
        <f>MONTH(Table1[[#This Row],[Date]])</f>
        <v>3</v>
      </c>
      <c r="E1111" s="5">
        <f>WEEKNUM(Table1[[#This Row],[Date]])</f>
        <v>10</v>
      </c>
      <c r="F1111" s="5">
        <f>YEAR(Table1[[#This Row],[Date]])</f>
        <v>2023</v>
      </c>
      <c r="G1111" s="17">
        <v>212</v>
      </c>
      <c r="H1111">
        <v>266.78943469750487</v>
      </c>
      <c r="I1111">
        <f>Table1[[#This Row],[Forecast]]*0.9</f>
        <v>240.11049122775438</v>
      </c>
      <c r="J1111">
        <f>Table1[[#This Row],[Forecast]]*0.8</f>
        <v>213.43154775800392</v>
      </c>
      <c r="K1111">
        <f>Table1[[#This Row],[Forecast]]*0.8</f>
        <v>213.43154775800392</v>
      </c>
      <c r="L1111" s="5">
        <v>268</v>
      </c>
      <c r="M1111" s="6">
        <v>0.89629999999999999</v>
      </c>
      <c r="N1111" s="5">
        <v>31</v>
      </c>
      <c r="O1111" s="7">
        <v>3.2407407407407406E-4</v>
      </c>
      <c r="P1111" s="7">
        <v>1.9560185185185184E-3</v>
      </c>
      <c r="Q1111" s="7">
        <v>2.0601851851851853E-3</v>
      </c>
      <c r="R1111" s="6">
        <v>0.55410000000000004</v>
      </c>
      <c r="S1111" s="8">
        <f>CONVERT(Table1[[#This Row],[Talk Duration (AVG)]]*Table1[[#This Row],[Answered Calls]],"day","hr")</f>
        <v>12.581111111111111</v>
      </c>
      <c r="T1111" s="9">
        <f>Table1[[#This Row],[Actual Workload hours]]*60</f>
        <v>754.86666666666667</v>
      </c>
      <c r="U1111" s="9">
        <f>CONVERT(Table1[[#This Row],[Actual]]*Table1[[#This Row],[Talk Duration (AVG)]],"day","hr")</f>
        <v>9.9522222222222219</v>
      </c>
      <c r="V1111" s="10">
        <f>Table1[[#This Row],[Required Workload Hours]]*60</f>
        <v>597.13333333333333</v>
      </c>
      <c r="W1111" s="9">
        <f t="shared" ref="W1111:W1174" si="38">IF(T1111&lt;384,1,(T1111/384))</f>
        <v>1.9657986111111112</v>
      </c>
      <c r="X1111" s="9">
        <f t="shared" si="37"/>
        <v>1.5550347222222223</v>
      </c>
      <c r="Y1111" s="5">
        <f t="shared" si="36"/>
        <v>2</v>
      </c>
      <c r="Z1111" s="8">
        <f>ROUNDUP(Table1[[#This Row],[Actual Heacount]],0)</f>
        <v>2</v>
      </c>
      <c r="AA1111" s="8">
        <f>CONVERT(Table1[[#This Row],[RevisedForecast 30% Recution2]]*Table1[[#This Row],[Talk Duration (AVG)]],"day","hr")</f>
        <v>10.019425436417405</v>
      </c>
      <c r="AB1111" s="10">
        <f>(Table1[[#This Row],[Forecast Workload Hours]]*60)*1.2</f>
        <v>721.3986314220532</v>
      </c>
      <c r="AC1111" s="10">
        <f>IF(Table1[[#This Row],[Forecast WOrkload Minutes]]&lt;384,1,Table1[[#This Row],[Forecast WOrkload Minutes]]/384)</f>
        <v>1.8786422693282636</v>
      </c>
      <c r="AD1111" s="10">
        <f>ROUNDUP(Table1[[#This Row],[Forecast Headcount]],0)</f>
        <v>2</v>
      </c>
      <c r="AE1111" s="11">
        <v>164.77248858970449</v>
      </c>
      <c r="AF1111" s="11">
        <v>374.25363347891192</v>
      </c>
      <c r="AG1111" t="s">
        <v>7</v>
      </c>
    </row>
    <row r="1112" spans="1:33">
      <c r="A1112" s="2">
        <v>44993</v>
      </c>
      <c r="B1112" s="5" t="s">
        <v>38</v>
      </c>
      <c r="C1112" s="5">
        <f>WEEKDAY(Table1[[#This Row],[Date]])</f>
        <v>4</v>
      </c>
      <c r="D1112" s="5">
        <f>MONTH(Table1[[#This Row],[Date]])</f>
        <v>3</v>
      </c>
      <c r="E1112" s="5">
        <f>WEEKNUM(Table1[[#This Row],[Date]])</f>
        <v>10</v>
      </c>
      <c r="F1112" s="5">
        <f>YEAR(Table1[[#This Row],[Date]])</f>
        <v>2023</v>
      </c>
      <c r="G1112" s="17">
        <v>246</v>
      </c>
      <c r="H1112">
        <v>274.06879981691532</v>
      </c>
      <c r="I1112">
        <f>Table1[[#This Row],[Forecast]]*0.9</f>
        <v>246.66191983522378</v>
      </c>
      <c r="J1112">
        <f>Table1[[#This Row],[Forecast]]*0.8</f>
        <v>219.25503985353225</v>
      </c>
      <c r="K1112">
        <f>Table1[[#This Row],[Forecast]]*0.8</f>
        <v>219.25503985353225</v>
      </c>
      <c r="L1112" s="5">
        <v>49</v>
      </c>
      <c r="M1112" s="6">
        <v>0.98</v>
      </c>
      <c r="N1112" s="5">
        <v>1</v>
      </c>
      <c r="O1112" s="7">
        <v>2.7777777777777778E-4</v>
      </c>
      <c r="P1112" s="7">
        <v>2.0254629629629629E-3</v>
      </c>
      <c r="Q1112" s="7">
        <v>1.4814814814814814E-3</v>
      </c>
      <c r="R1112" s="6">
        <v>0.76</v>
      </c>
      <c r="S1112" s="8">
        <f>CONVERT(Table1[[#This Row],[Talk Duration (AVG)]]*Table1[[#This Row],[Answered Calls]],"day","hr")</f>
        <v>2.3819444444444446</v>
      </c>
      <c r="T1112" s="9">
        <f>Table1[[#This Row],[Actual Workload hours]]*60</f>
        <v>142.91666666666669</v>
      </c>
      <c r="U1112" s="9">
        <f>CONVERT(Table1[[#This Row],[Actual]]*Table1[[#This Row],[Talk Duration (AVG)]],"day","hr")</f>
        <v>11.958333333333332</v>
      </c>
      <c r="V1112" s="10">
        <f>Table1[[#This Row],[Required Workload Hours]]*60</f>
        <v>717.49999999999989</v>
      </c>
      <c r="W1112" s="9">
        <f t="shared" si="38"/>
        <v>1</v>
      </c>
      <c r="X1112" s="9">
        <f t="shared" si="37"/>
        <v>1.868489583333333</v>
      </c>
      <c r="Y1112" s="5">
        <f t="shared" si="36"/>
        <v>1</v>
      </c>
      <c r="Z1112" s="8">
        <f>ROUNDUP(Table1[[#This Row],[Actual Heacount]],0)</f>
        <v>1</v>
      </c>
      <c r="AA1112" s="8">
        <f>CONVERT(Table1[[#This Row],[RevisedForecast 30% Recution2]]*Table1[[#This Row],[Talk Duration (AVG)]],"day","hr")</f>
        <v>10.658231103991151</v>
      </c>
      <c r="AB1112" s="10">
        <f>(Table1[[#This Row],[Forecast Workload Hours]]*60)*1.2</f>
        <v>767.39263948736289</v>
      </c>
      <c r="AC1112" s="10">
        <f>IF(Table1[[#This Row],[Forecast WOrkload Minutes]]&lt;384,1,Table1[[#This Row],[Forecast WOrkload Minutes]]/384)</f>
        <v>1.9984183319983408</v>
      </c>
      <c r="AD1112" s="10">
        <f>ROUNDUP(Table1[[#This Row],[Forecast Headcount]],0)</f>
        <v>2</v>
      </c>
      <c r="AE1112" s="11">
        <v>160.75540043853789</v>
      </c>
      <c r="AF1112" s="11">
        <v>381.92960029521402</v>
      </c>
      <c r="AG1112" t="s">
        <v>7</v>
      </c>
    </row>
    <row r="1113" spans="1:33">
      <c r="A1113" s="2">
        <v>44994</v>
      </c>
      <c r="B1113" s="5" t="s">
        <v>39</v>
      </c>
      <c r="C1113" s="5">
        <f>WEEKDAY(Table1[[#This Row],[Date]])</f>
        <v>5</v>
      </c>
      <c r="D1113" s="5">
        <f>MONTH(Table1[[#This Row],[Date]])</f>
        <v>3</v>
      </c>
      <c r="E1113" s="5">
        <f>WEEKNUM(Table1[[#This Row],[Date]])</f>
        <v>10</v>
      </c>
      <c r="F1113" s="5">
        <f>YEAR(Table1[[#This Row],[Date]])</f>
        <v>2023</v>
      </c>
      <c r="G1113" s="17">
        <v>194</v>
      </c>
      <c r="H1113">
        <v>264.25879074683922</v>
      </c>
      <c r="I1113">
        <f>Table1[[#This Row],[Forecast]]*0.9</f>
        <v>237.83291167215532</v>
      </c>
      <c r="J1113">
        <f>Table1[[#This Row],[Forecast]]*0.8</f>
        <v>211.40703259747139</v>
      </c>
      <c r="K1113">
        <f>Table1[[#This Row],[Forecast]]*0.8</f>
        <v>211.40703259747139</v>
      </c>
      <c r="L1113" s="5">
        <v>273</v>
      </c>
      <c r="M1113" s="6">
        <v>0.95789999999999997</v>
      </c>
      <c r="N1113" s="5">
        <v>12</v>
      </c>
      <c r="O1113" s="7">
        <v>2.4305555555555555E-4</v>
      </c>
      <c r="P1113" s="7">
        <v>1.9560185185185184E-3</v>
      </c>
      <c r="Q1113" s="7">
        <v>2.4305555555555556E-3</v>
      </c>
      <c r="R1113" s="6">
        <v>0.76160000000000005</v>
      </c>
      <c r="S1113" s="8">
        <f>CONVERT(Table1[[#This Row],[Talk Duration (AVG)]]*Table1[[#This Row],[Answered Calls]],"day","hr")</f>
        <v>12.815833333333334</v>
      </c>
      <c r="T1113" s="9">
        <f>Table1[[#This Row],[Actual Workload hours]]*60</f>
        <v>768.95</v>
      </c>
      <c r="U1113" s="9">
        <f>CONVERT(Table1[[#This Row],[Actual]]*Table1[[#This Row],[Talk Duration (AVG)]],"day","hr")</f>
        <v>9.107222222222223</v>
      </c>
      <c r="V1113" s="10">
        <f>Table1[[#This Row],[Required Workload Hours]]*60</f>
        <v>546.43333333333339</v>
      </c>
      <c r="W1113" s="9">
        <f t="shared" si="38"/>
        <v>2.0024739583333333</v>
      </c>
      <c r="X1113" s="9">
        <f t="shared" si="37"/>
        <v>1.4230034722222225</v>
      </c>
      <c r="Y1113" s="5">
        <f t="shared" si="36"/>
        <v>2</v>
      </c>
      <c r="Z1113" s="8">
        <f>ROUNDUP(Table1[[#This Row],[Actual Heacount]],0)</f>
        <v>3</v>
      </c>
      <c r="AA1113" s="8">
        <f>CONVERT(Table1[[#This Row],[RevisedForecast 30% Recution2]]*Table1[[#This Row],[Talk Duration (AVG)]],"day","hr")</f>
        <v>9.9243856969368505</v>
      </c>
      <c r="AB1113" s="10">
        <f>(Table1[[#This Row],[Forecast Workload Hours]]*60)*1.2</f>
        <v>714.55577017945325</v>
      </c>
      <c r="AC1113" s="10">
        <f>IF(Table1[[#This Row],[Forecast WOrkload Minutes]]&lt;384,1,Table1[[#This Row],[Forecast WOrkload Minutes]]/384)</f>
        <v>1.8608223181756596</v>
      </c>
      <c r="AD1113" s="10">
        <f>ROUNDUP(Table1[[#This Row],[Forecast Headcount]],0)</f>
        <v>2</v>
      </c>
      <c r="AE1113" s="11">
        <v>152.32808897402899</v>
      </c>
      <c r="AF1113" s="11">
        <v>376.65970467964291</v>
      </c>
      <c r="AG1113" t="s">
        <v>7</v>
      </c>
    </row>
    <row r="1114" spans="1:33">
      <c r="A1114" s="2">
        <v>44995</v>
      </c>
      <c r="B1114" s="5" t="s">
        <v>40</v>
      </c>
      <c r="C1114" s="5">
        <f>WEEKDAY(Table1[[#This Row],[Date]])</f>
        <v>6</v>
      </c>
      <c r="D1114" s="5">
        <f>MONTH(Table1[[#This Row],[Date]])</f>
        <v>3</v>
      </c>
      <c r="E1114" s="5">
        <f>WEEKNUM(Table1[[#This Row],[Date]])</f>
        <v>10</v>
      </c>
      <c r="F1114" s="5">
        <f>YEAR(Table1[[#This Row],[Date]])</f>
        <v>2023</v>
      </c>
      <c r="G1114" s="17">
        <v>179</v>
      </c>
      <c r="H1114">
        <v>250.3172995929107</v>
      </c>
      <c r="I1114">
        <f>Table1[[#This Row],[Forecast]]*0.9</f>
        <v>225.28556963361964</v>
      </c>
      <c r="J1114">
        <f>Table1[[#This Row],[Forecast]]*0.8</f>
        <v>200.25383967432856</v>
      </c>
      <c r="K1114">
        <f>Table1[[#This Row],[Forecast]]*0.8</f>
        <v>200.25383967432856</v>
      </c>
      <c r="L1114" s="5">
        <v>75</v>
      </c>
      <c r="M1114" s="6">
        <v>0.97399999999999998</v>
      </c>
      <c r="N1114" s="5">
        <v>2</v>
      </c>
      <c r="O1114" s="7">
        <v>1.0416666666666667E-4</v>
      </c>
      <c r="P1114" s="7">
        <v>1.8865740740740742E-3</v>
      </c>
      <c r="Q1114" s="7">
        <v>1.5046296296296296E-3</v>
      </c>
      <c r="R1114" s="6">
        <v>0.92110000000000003</v>
      </c>
      <c r="S1114" s="8">
        <f>CONVERT(Table1[[#This Row],[Talk Duration (AVG)]]*Table1[[#This Row],[Answered Calls]],"day","hr")</f>
        <v>3.3958333333333335</v>
      </c>
      <c r="T1114" s="9">
        <f>Table1[[#This Row],[Actual Workload hours]]*60</f>
        <v>203.75</v>
      </c>
      <c r="U1114" s="9">
        <f>CONVERT(Table1[[#This Row],[Actual]]*Table1[[#This Row],[Talk Duration (AVG)]],"day","hr")</f>
        <v>8.1047222222222235</v>
      </c>
      <c r="V1114" s="10">
        <f>Table1[[#This Row],[Required Workload Hours]]*60</f>
        <v>486.28333333333342</v>
      </c>
      <c r="W1114" s="9">
        <f t="shared" si="38"/>
        <v>1</v>
      </c>
      <c r="X1114" s="9">
        <f t="shared" si="37"/>
        <v>1.2663628472222224</v>
      </c>
      <c r="Y1114" s="5">
        <f t="shared" si="36"/>
        <v>2</v>
      </c>
      <c r="Z1114" s="8">
        <f>ROUNDUP(Table1[[#This Row],[Actual Heacount]],0)</f>
        <v>1</v>
      </c>
      <c r="AA1114" s="8">
        <f>CONVERT(Table1[[#This Row],[RevisedForecast 30% Recution2]]*Table1[[#This Row],[Talk Duration (AVG)]],"day","hr")</f>
        <v>9.0670488519209886</v>
      </c>
      <c r="AB1114" s="10">
        <f>(Table1[[#This Row],[Forecast Workload Hours]]*60)*1.2</f>
        <v>652.82751733831117</v>
      </c>
      <c r="AC1114" s="10">
        <f>IF(Table1[[#This Row],[Forecast WOrkload Minutes]]&lt;384,1,Table1[[#This Row],[Forecast WOrkload Minutes]]/384)</f>
        <v>1.7000716597351853</v>
      </c>
      <c r="AD1114" s="10">
        <f>ROUNDUP(Table1[[#This Row],[Forecast Headcount]],0)</f>
        <v>2</v>
      </c>
      <c r="AE1114" s="11">
        <v>141.4449356162514</v>
      </c>
      <c r="AF1114" s="11">
        <v>360.95432545173799</v>
      </c>
      <c r="AG1114" t="s">
        <v>7</v>
      </c>
    </row>
    <row r="1115" spans="1:33">
      <c r="A1115" s="2">
        <v>44996</v>
      </c>
      <c r="B1115" s="5" t="s">
        <v>33</v>
      </c>
      <c r="C1115" s="5">
        <f>WEEKDAY(Table1[[#This Row],[Date]])</f>
        <v>7</v>
      </c>
      <c r="D1115" s="5">
        <f>MONTH(Table1[[#This Row],[Date]])</f>
        <v>3</v>
      </c>
      <c r="E1115" s="5">
        <f>WEEKNUM(Table1[[#This Row],[Date]])</f>
        <v>10</v>
      </c>
      <c r="F1115" s="5">
        <f>YEAR(Table1[[#This Row],[Date]])</f>
        <v>2023</v>
      </c>
      <c r="G1115" s="17">
        <v>67</v>
      </c>
      <c r="H1115">
        <v>252.4268683919577</v>
      </c>
      <c r="I1115">
        <f>Table1[[#This Row],[Forecast]]*0.9</f>
        <v>227.18418155276194</v>
      </c>
      <c r="J1115">
        <f>Table1[[#This Row],[Forecast]]*0.8</f>
        <v>201.94149471356616</v>
      </c>
      <c r="K1115">
        <f>Table1[[#This Row],[Forecast]]*0.8</f>
        <v>201.94149471356616</v>
      </c>
      <c r="L1115" s="5">
        <v>321</v>
      </c>
      <c r="M1115" s="6">
        <v>0.96689999999999998</v>
      </c>
      <c r="N1115" s="5">
        <v>11</v>
      </c>
      <c r="O1115" s="7">
        <v>1.9675925925925926E-4</v>
      </c>
      <c r="P1115" s="7">
        <v>2.0601851851851853E-3</v>
      </c>
      <c r="Q1115" s="7">
        <v>2.476851851851852E-3</v>
      </c>
      <c r="R1115" s="6">
        <v>0.80659999999999998</v>
      </c>
      <c r="S1115" s="8">
        <f>CONVERT(Table1[[#This Row],[Talk Duration (AVG)]]*Table1[[#This Row],[Answered Calls]],"day","hr")</f>
        <v>15.871666666666666</v>
      </c>
      <c r="T1115" s="9">
        <f>Table1[[#This Row],[Actual Workload hours]]*60</f>
        <v>952.3</v>
      </c>
      <c r="U1115" s="9">
        <f>CONVERT(Table1[[#This Row],[Actual]]*Table1[[#This Row],[Talk Duration (AVG)]],"day","hr")</f>
        <v>3.3127777777777778</v>
      </c>
      <c r="V1115" s="10">
        <f>Table1[[#This Row],[Required Workload Hours]]*60</f>
        <v>198.76666666666668</v>
      </c>
      <c r="W1115" s="9">
        <f t="shared" si="38"/>
        <v>2.4799479166666667</v>
      </c>
      <c r="X1115" s="9">
        <f t="shared" si="37"/>
        <v>1</v>
      </c>
      <c r="Y1115" s="5">
        <f t="shared" si="36"/>
        <v>2</v>
      </c>
      <c r="Z1115" s="8">
        <f>ROUNDUP(Table1[[#This Row],[Actual Heacount]],0)</f>
        <v>3</v>
      </c>
      <c r="AA1115" s="8">
        <f>CONVERT(Table1[[#This Row],[RevisedForecast 30% Recution2]]*Table1[[#This Row],[Talk Duration (AVG)]],"day","hr")</f>
        <v>9.9848850163929939</v>
      </c>
      <c r="AB1115" s="10">
        <f>(Table1[[#This Row],[Forecast Workload Hours]]*60)*1.2</f>
        <v>718.91172118029556</v>
      </c>
      <c r="AC1115" s="10">
        <f>IF(Table1[[#This Row],[Forecast WOrkload Minutes]]&lt;384,1,Table1[[#This Row],[Forecast WOrkload Minutes]]/384)</f>
        <v>1.8721659405736863</v>
      </c>
      <c r="AD1115" s="10">
        <f>ROUNDUP(Table1[[#This Row],[Forecast Headcount]],0)</f>
        <v>2</v>
      </c>
      <c r="AE1115" s="11">
        <v>147.3058057472324</v>
      </c>
      <c r="AF1115" s="11">
        <v>361.93351622181871</v>
      </c>
      <c r="AG1115" t="s">
        <v>7</v>
      </c>
    </row>
    <row r="1116" spans="1:33">
      <c r="A1116" s="2">
        <v>44997</v>
      </c>
      <c r="B1116" s="5" t="s">
        <v>35</v>
      </c>
      <c r="C1116" s="5">
        <f>WEEKDAY(Table1[[#This Row],[Date]])</f>
        <v>1</v>
      </c>
      <c r="D1116" s="5">
        <f>MONTH(Table1[[#This Row],[Date]])</f>
        <v>3</v>
      </c>
      <c r="E1116" s="5">
        <f>WEEKNUM(Table1[[#This Row],[Date]])</f>
        <v>11</v>
      </c>
      <c r="F1116" s="5">
        <f>YEAR(Table1[[#This Row],[Date]])</f>
        <v>2023</v>
      </c>
      <c r="G1116" s="17">
        <v>27</v>
      </c>
      <c r="H1116">
        <v>158.81146056850329</v>
      </c>
      <c r="I1116">
        <f>Table1[[#This Row],[Forecast]]*0.9</f>
        <v>142.93031451165297</v>
      </c>
      <c r="J1116">
        <f>Table1[[#This Row],[Forecast]]*0.8</f>
        <v>127.04916845480264</v>
      </c>
      <c r="K1116">
        <f>Table1[[#This Row],[Forecast]]*0.8</f>
        <v>127.04916845480264</v>
      </c>
      <c r="L1116" s="5">
        <v>266</v>
      </c>
      <c r="M1116" s="6">
        <v>0.94330000000000003</v>
      </c>
      <c r="N1116" s="5">
        <v>16</v>
      </c>
      <c r="O1116" s="7">
        <v>2.5462962962962961E-4</v>
      </c>
      <c r="P1116" s="7">
        <v>2.1990740740740742E-3</v>
      </c>
      <c r="Q1116" s="7">
        <v>5.6944444444444447E-3</v>
      </c>
      <c r="R1116" s="6">
        <v>0.7429</v>
      </c>
      <c r="S1116" s="8">
        <f>CONVERT(Table1[[#This Row],[Talk Duration (AVG)]]*Table1[[#This Row],[Answered Calls]],"day","hr")</f>
        <v>14.03888888888889</v>
      </c>
      <c r="T1116" s="9">
        <f>Table1[[#This Row],[Actual Workload hours]]*60</f>
        <v>842.33333333333337</v>
      </c>
      <c r="U1116" s="9">
        <f>CONVERT(Table1[[#This Row],[Actual]]*Table1[[#This Row],[Talk Duration (AVG)]],"day","hr")</f>
        <v>1.425</v>
      </c>
      <c r="V1116" s="10">
        <f>Table1[[#This Row],[Required Workload Hours]]*60</f>
        <v>85.5</v>
      </c>
      <c r="W1116" s="9">
        <f t="shared" si="38"/>
        <v>2.1935763888888888</v>
      </c>
      <c r="X1116" s="9">
        <f t="shared" si="37"/>
        <v>1</v>
      </c>
      <c r="Y1116" s="5">
        <f t="shared" si="36"/>
        <v>2</v>
      </c>
      <c r="Z1116" s="8">
        <f>ROUNDUP(Table1[[#This Row],[Actual Heacount]],0)</f>
        <v>3</v>
      </c>
      <c r="AA1116" s="8">
        <f>CONVERT(Table1[[#This Row],[RevisedForecast 30% Recution2]]*Table1[[#This Row],[Talk Duration (AVG)]],"day","hr")</f>
        <v>6.7053727795590294</v>
      </c>
      <c r="AB1116" s="10">
        <f>(Table1[[#This Row],[Forecast Workload Hours]]*60)*1.2</f>
        <v>482.78684012825011</v>
      </c>
      <c r="AC1116" s="10">
        <f>IF(Table1[[#This Row],[Forecast WOrkload Minutes]]&lt;384,1,Table1[[#This Row],[Forecast WOrkload Minutes]]/384)</f>
        <v>1.2572573961673179</v>
      </c>
      <c r="AD1116" s="10">
        <f>ROUNDUP(Table1[[#This Row],[Forecast Headcount]],0)</f>
        <v>2</v>
      </c>
      <c r="AE1116" s="11">
        <v>44.092148889541377</v>
      </c>
      <c r="AF1116" s="11">
        <v>264.03439025307381</v>
      </c>
      <c r="AG1116" t="s">
        <v>7</v>
      </c>
    </row>
    <row r="1117" spans="1:33">
      <c r="A1117" s="2">
        <v>44998</v>
      </c>
      <c r="B1117" s="5" t="s">
        <v>36</v>
      </c>
      <c r="C1117" s="5">
        <f>WEEKDAY(Table1[[#This Row],[Date]])</f>
        <v>2</v>
      </c>
      <c r="D1117" s="5">
        <f>MONTH(Table1[[#This Row],[Date]])</f>
        <v>3</v>
      </c>
      <c r="E1117" s="5">
        <f>WEEKNUM(Table1[[#This Row],[Date]])</f>
        <v>11</v>
      </c>
      <c r="F1117" s="5">
        <f>YEAR(Table1[[#This Row],[Date]])</f>
        <v>2023</v>
      </c>
      <c r="G1117" s="17">
        <v>190</v>
      </c>
      <c r="H1117">
        <v>253.89405661193459</v>
      </c>
      <c r="I1117">
        <f>Table1[[#This Row],[Forecast]]*0.9</f>
        <v>228.50465095074114</v>
      </c>
      <c r="J1117">
        <f>Table1[[#This Row],[Forecast]]*0.8</f>
        <v>203.11524528954769</v>
      </c>
      <c r="K1117">
        <f>Table1[[#This Row],[Forecast]]*0.8</f>
        <v>203.11524528954769</v>
      </c>
      <c r="L1117" s="5">
        <v>248</v>
      </c>
      <c r="M1117" s="6">
        <v>0.96879999999999999</v>
      </c>
      <c r="N1117" s="5">
        <v>8</v>
      </c>
      <c r="O1117" s="7">
        <v>1.6203703703703703E-4</v>
      </c>
      <c r="P1117" s="7">
        <v>2.0833333333333333E-3</v>
      </c>
      <c r="Q1117" s="7">
        <v>2.685185185185185E-3</v>
      </c>
      <c r="R1117" s="6">
        <v>0.82350000000000001</v>
      </c>
      <c r="S1117" s="8">
        <f>CONVERT(Table1[[#This Row],[Talk Duration (AVG)]]*Table1[[#This Row],[Answered Calls]],"day","hr")</f>
        <v>12.399999999999999</v>
      </c>
      <c r="T1117" s="9">
        <f>Table1[[#This Row],[Actual Workload hours]]*60</f>
        <v>743.99999999999989</v>
      </c>
      <c r="U1117" s="9">
        <f>CONVERT(Table1[[#This Row],[Actual]]*Table1[[#This Row],[Talk Duration (AVG)]],"day","hr")</f>
        <v>9.5</v>
      </c>
      <c r="V1117" s="10">
        <f>Table1[[#This Row],[Required Workload Hours]]*60</f>
        <v>570</v>
      </c>
      <c r="W1117" s="9">
        <f t="shared" si="38"/>
        <v>1.9374999999999998</v>
      </c>
      <c r="X1117" s="9">
        <f t="shared" si="37"/>
        <v>1.484375</v>
      </c>
      <c r="Y1117" s="5">
        <f t="shared" si="36"/>
        <v>2</v>
      </c>
      <c r="Z1117" s="8">
        <f>ROUNDUP(Table1[[#This Row],[Actual Heacount]],0)</f>
        <v>2</v>
      </c>
      <c r="AA1117" s="8">
        <f>CONVERT(Table1[[#This Row],[RevisedForecast 30% Recution2]]*Table1[[#This Row],[Talk Duration (AVG)]],"day","hr")</f>
        <v>10.155762264477383</v>
      </c>
      <c r="AB1117" s="10">
        <f>(Table1[[#This Row],[Forecast Workload Hours]]*60)*1.2</f>
        <v>731.21488304237164</v>
      </c>
      <c r="AC1117" s="10">
        <f>IF(Table1[[#This Row],[Forecast WOrkload Minutes]]&lt;384,1,Table1[[#This Row],[Forecast WOrkload Minutes]]/384)</f>
        <v>1.9042054245895095</v>
      </c>
      <c r="AD1117" s="10">
        <f>ROUNDUP(Table1[[#This Row],[Forecast Headcount]],0)</f>
        <v>2</v>
      </c>
      <c r="AE1117" s="11">
        <v>149.95072204492601</v>
      </c>
      <c r="AF1117" s="11">
        <v>352.9945124094578</v>
      </c>
      <c r="AG1117" t="s">
        <v>7</v>
      </c>
    </row>
    <row r="1118" spans="1:33">
      <c r="A1118" s="2">
        <v>44999</v>
      </c>
      <c r="B1118" s="5" t="s">
        <v>37</v>
      </c>
      <c r="C1118" s="5">
        <f>WEEKDAY(Table1[[#This Row],[Date]])</f>
        <v>3</v>
      </c>
      <c r="D1118" s="5">
        <f>MONTH(Table1[[#This Row],[Date]])</f>
        <v>3</v>
      </c>
      <c r="E1118" s="5">
        <f>WEEKNUM(Table1[[#This Row],[Date]])</f>
        <v>11</v>
      </c>
      <c r="F1118" s="5">
        <f>YEAR(Table1[[#This Row],[Date]])</f>
        <v>2023</v>
      </c>
      <c r="G1118" s="17">
        <v>213</v>
      </c>
      <c r="H1118">
        <v>233.30070083158259</v>
      </c>
      <c r="I1118">
        <f>Table1[[#This Row],[Forecast]]*0.9</f>
        <v>209.97063074842433</v>
      </c>
      <c r="J1118">
        <f>Table1[[#This Row],[Forecast]]*0.8</f>
        <v>186.64056066526609</v>
      </c>
      <c r="K1118">
        <f>Table1[[#This Row],[Forecast]]*0.8</f>
        <v>186.64056066526609</v>
      </c>
      <c r="L1118" s="5">
        <v>176</v>
      </c>
      <c r="M1118" s="6">
        <v>0.99439999999999995</v>
      </c>
      <c r="N1118" s="5">
        <v>1</v>
      </c>
      <c r="O1118" s="7">
        <v>1.3888888888888889E-4</v>
      </c>
      <c r="P1118" s="7">
        <v>1.8171296296296297E-3</v>
      </c>
      <c r="Q1118" s="7">
        <v>1.2152777777777778E-3</v>
      </c>
      <c r="R1118" s="6">
        <v>0.83520000000000005</v>
      </c>
      <c r="S1118" s="8">
        <f>CONVERT(Table1[[#This Row],[Talk Duration (AVG)]]*Table1[[#This Row],[Answered Calls]],"day","hr")</f>
        <v>7.6755555555555555</v>
      </c>
      <c r="T1118" s="9">
        <f>Table1[[#This Row],[Actual Workload hours]]*60</f>
        <v>460.5333333333333</v>
      </c>
      <c r="U1118" s="9">
        <f>CONVERT(Table1[[#This Row],[Actual]]*Table1[[#This Row],[Talk Duration (AVG)]],"day","hr")</f>
        <v>9.2891666666666666</v>
      </c>
      <c r="V1118" s="10">
        <f>Table1[[#This Row],[Required Workload Hours]]*60</f>
        <v>557.35</v>
      </c>
      <c r="W1118" s="9">
        <f t="shared" si="38"/>
        <v>1.1993055555555554</v>
      </c>
      <c r="X1118" s="9">
        <f t="shared" si="37"/>
        <v>1.4514322916666667</v>
      </c>
      <c r="Y1118" s="5">
        <f t="shared" si="36"/>
        <v>2</v>
      </c>
      <c r="Z1118" s="8">
        <f>ROUNDUP(Table1[[#This Row],[Actual Heacount]],0)</f>
        <v>2</v>
      </c>
      <c r="AA1118" s="8">
        <f>CONVERT(Table1[[#This Row],[RevisedForecast 30% Recution2]]*Table1[[#This Row],[Talk Duration (AVG)]],"day","hr")</f>
        <v>8.1396022290129952</v>
      </c>
      <c r="AB1118" s="10">
        <f>(Table1[[#This Row],[Forecast Workload Hours]]*60)*1.2</f>
        <v>586.05136048893564</v>
      </c>
      <c r="AC1118" s="10">
        <f>IF(Table1[[#This Row],[Forecast WOrkload Minutes]]&lt;384,1,Table1[[#This Row],[Forecast WOrkload Minutes]]/384)</f>
        <v>1.5261754179399365</v>
      </c>
      <c r="AD1118" s="10">
        <f>ROUNDUP(Table1[[#This Row],[Forecast Headcount]],0)</f>
        <v>2</v>
      </c>
      <c r="AE1118" s="11">
        <v>120.4685797385783</v>
      </c>
      <c r="AF1118" s="11">
        <v>347.31512110099249</v>
      </c>
      <c r="AG1118" t="s">
        <v>7</v>
      </c>
    </row>
    <row r="1119" spans="1:33">
      <c r="A1119" s="2">
        <v>45000</v>
      </c>
      <c r="B1119" s="5" t="s">
        <v>38</v>
      </c>
      <c r="C1119" s="5">
        <f>WEEKDAY(Table1[[#This Row],[Date]])</f>
        <v>4</v>
      </c>
      <c r="D1119" s="5">
        <f>MONTH(Table1[[#This Row],[Date]])</f>
        <v>3</v>
      </c>
      <c r="E1119" s="5">
        <f>WEEKNUM(Table1[[#This Row],[Date]])</f>
        <v>11</v>
      </c>
      <c r="F1119" s="5">
        <f>YEAR(Table1[[#This Row],[Date]])</f>
        <v>2023</v>
      </c>
      <c r="G1119" s="17">
        <v>208</v>
      </c>
      <c r="H1119">
        <v>241.29902962359279</v>
      </c>
      <c r="I1119">
        <f>Table1[[#This Row],[Forecast]]*0.9</f>
        <v>217.16912666123352</v>
      </c>
      <c r="J1119">
        <f>Table1[[#This Row],[Forecast]]*0.8</f>
        <v>193.03922369887425</v>
      </c>
      <c r="K1119">
        <f>Table1[[#This Row],[Forecast]]*0.8</f>
        <v>193.03922369887425</v>
      </c>
      <c r="L1119" s="5">
        <v>24</v>
      </c>
      <c r="M1119" s="6">
        <v>0.88890000000000002</v>
      </c>
      <c r="N1119" s="5">
        <v>3</v>
      </c>
      <c r="O1119" s="7">
        <v>1.5046296296296297E-4</v>
      </c>
      <c r="P1119" s="7">
        <v>1.5625000000000001E-3</v>
      </c>
      <c r="Q1119" s="7">
        <v>7.8703703703703705E-4</v>
      </c>
      <c r="R1119" s="6">
        <v>0.74070000000000003</v>
      </c>
      <c r="S1119" s="8">
        <f>CONVERT(Table1[[#This Row],[Talk Duration (AVG)]]*Table1[[#This Row],[Answered Calls]],"day","hr")</f>
        <v>0.90000000000000013</v>
      </c>
      <c r="T1119" s="9">
        <f>Table1[[#This Row],[Actual Workload hours]]*60</f>
        <v>54.000000000000007</v>
      </c>
      <c r="U1119" s="9">
        <f>CONVERT(Table1[[#This Row],[Actual]]*Table1[[#This Row],[Talk Duration (AVG)]],"day","hr")</f>
        <v>7.8</v>
      </c>
      <c r="V1119" s="10">
        <f>Table1[[#This Row],[Required Workload Hours]]*60</f>
        <v>468</v>
      </c>
      <c r="W1119" s="9">
        <f t="shared" si="38"/>
        <v>1</v>
      </c>
      <c r="X1119" s="9">
        <f t="shared" si="37"/>
        <v>1.21875</v>
      </c>
      <c r="Y1119" s="5">
        <f t="shared" si="36"/>
        <v>1</v>
      </c>
      <c r="Z1119" s="8">
        <f>ROUNDUP(Table1[[#This Row],[Actual Heacount]],0)</f>
        <v>1</v>
      </c>
      <c r="AA1119" s="8">
        <f>CONVERT(Table1[[#This Row],[RevisedForecast 30% Recution2]]*Table1[[#This Row],[Talk Duration (AVG)]],"day","hr")</f>
        <v>7.2389708887077857</v>
      </c>
      <c r="AB1119" s="10">
        <f>(Table1[[#This Row],[Forecast Workload Hours]]*60)*1.2</f>
        <v>521.20590398696061</v>
      </c>
      <c r="AC1119" s="10">
        <f>IF(Table1[[#This Row],[Forecast WOrkload Minutes]]&lt;384,1,Table1[[#This Row],[Forecast WOrkload Minutes]]/384)</f>
        <v>1.35730704163271</v>
      </c>
      <c r="AD1119" s="10">
        <f>ROUNDUP(Table1[[#This Row],[Forecast Headcount]],0)</f>
        <v>2</v>
      </c>
      <c r="AE1119" s="11">
        <v>118.6036655566582</v>
      </c>
      <c r="AF1119" s="11">
        <v>359.27555425582159</v>
      </c>
      <c r="AG1119" t="s">
        <v>7</v>
      </c>
    </row>
    <row r="1120" spans="1:33">
      <c r="A1120" s="2">
        <v>45001</v>
      </c>
      <c r="B1120" s="5" t="s">
        <v>39</v>
      </c>
      <c r="C1120" s="5">
        <f>WEEKDAY(Table1[[#This Row],[Date]])</f>
        <v>5</v>
      </c>
      <c r="D1120" s="5">
        <f>MONTH(Table1[[#This Row],[Date]])</f>
        <v>3</v>
      </c>
      <c r="E1120" s="5">
        <f>WEEKNUM(Table1[[#This Row],[Date]])</f>
        <v>11</v>
      </c>
      <c r="F1120" s="5">
        <f>YEAR(Table1[[#This Row],[Date]])</f>
        <v>2023</v>
      </c>
      <c r="G1120" s="17">
        <v>166</v>
      </c>
      <c r="H1120">
        <v>232.66541500575369</v>
      </c>
      <c r="I1120">
        <f>Table1[[#This Row],[Forecast]]*0.9</f>
        <v>209.39887350517833</v>
      </c>
      <c r="J1120">
        <f>Table1[[#This Row],[Forecast]]*0.8</f>
        <v>186.13233200460297</v>
      </c>
      <c r="K1120">
        <f>Table1[[#This Row],[Forecast]]*0.8</f>
        <v>186.13233200460297</v>
      </c>
      <c r="L1120" s="5">
        <v>305</v>
      </c>
      <c r="M1120" s="6">
        <v>0.99350000000000005</v>
      </c>
      <c r="N1120" s="5">
        <v>2</v>
      </c>
      <c r="O1120" s="7">
        <v>1.0416666666666667E-4</v>
      </c>
      <c r="P1120" s="7">
        <v>2.0949074074074073E-3</v>
      </c>
      <c r="Q1120" s="7">
        <v>1.1805555555555556E-3</v>
      </c>
      <c r="R1120" s="6">
        <v>0.91800000000000004</v>
      </c>
      <c r="S1120" s="8">
        <f>CONVERT(Table1[[#This Row],[Talk Duration (AVG)]]*Table1[[#This Row],[Answered Calls]],"day","hr")</f>
        <v>15.334722222222222</v>
      </c>
      <c r="T1120" s="9">
        <f>Table1[[#This Row],[Actual Workload hours]]*60</f>
        <v>920.08333333333337</v>
      </c>
      <c r="U1120" s="9">
        <f>CONVERT(Table1[[#This Row],[Actual]]*Table1[[#This Row],[Talk Duration (AVG)]],"day","hr")</f>
        <v>8.3461111111111101</v>
      </c>
      <c r="V1120" s="10">
        <f>Table1[[#This Row],[Required Workload Hours]]*60</f>
        <v>500.76666666666659</v>
      </c>
      <c r="W1120" s="9">
        <f t="shared" si="38"/>
        <v>2.3960503472222223</v>
      </c>
      <c r="X1120" s="9">
        <f t="shared" si="37"/>
        <v>1.3040798611111108</v>
      </c>
      <c r="Y1120" s="5">
        <f t="shared" si="36"/>
        <v>2</v>
      </c>
      <c r="Z1120" s="8">
        <f>ROUNDUP(Table1[[#This Row],[Actual Heacount]],0)</f>
        <v>3</v>
      </c>
      <c r="AA1120" s="8">
        <f>CONVERT(Table1[[#This Row],[RevisedForecast 30% Recution2]]*Table1[[#This Row],[Talk Duration (AVG)]],"day","hr")</f>
        <v>9.3583200257869805</v>
      </c>
      <c r="AB1120" s="10">
        <f>(Table1[[#This Row],[Forecast Workload Hours]]*60)*1.2</f>
        <v>673.7990418566626</v>
      </c>
      <c r="AC1120" s="10">
        <f>IF(Table1[[#This Row],[Forecast WOrkload Minutes]]&lt;384,1,Table1[[#This Row],[Forecast WOrkload Minutes]]/384)</f>
        <v>1.7546850048350588</v>
      </c>
      <c r="AD1120" s="10">
        <f>ROUNDUP(Table1[[#This Row],[Forecast Headcount]],0)</f>
        <v>2</v>
      </c>
      <c r="AE1120" s="11">
        <v>122.6902119595798</v>
      </c>
      <c r="AF1120" s="11">
        <v>353.59754955233097</v>
      </c>
      <c r="AG1120" t="s">
        <v>7</v>
      </c>
    </row>
    <row r="1121" spans="1:33">
      <c r="A1121" s="2">
        <v>45002</v>
      </c>
      <c r="B1121" s="5" t="s">
        <v>40</v>
      </c>
      <c r="C1121" s="5">
        <f>WEEKDAY(Table1[[#This Row],[Date]])</f>
        <v>6</v>
      </c>
      <c r="D1121" s="5">
        <f>MONTH(Table1[[#This Row],[Date]])</f>
        <v>3</v>
      </c>
      <c r="E1121" s="5">
        <f>WEEKNUM(Table1[[#This Row],[Date]])</f>
        <v>11</v>
      </c>
      <c r="F1121" s="5">
        <f>YEAR(Table1[[#This Row],[Date]])</f>
        <v>2023</v>
      </c>
      <c r="G1121" s="17">
        <v>169</v>
      </c>
      <c r="H1121">
        <v>220.3342920072659</v>
      </c>
      <c r="I1121">
        <f>Table1[[#This Row],[Forecast]]*0.9</f>
        <v>198.30086280653933</v>
      </c>
      <c r="J1121">
        <f>Table1[[#This Row],[Forecast]]*0.8</f>
        <v>176.26743360581273</v>
      </c>
      <c r="K1121">
        <f>Table1[[#This Row],[Forecast]]*0.8</f>
        <v>176.26743360581273</v>
      </c>
      <c r="L1121" s="5">
        <v>577</v>
      </c>
      <c r="M1121" s="6">
        <v>0.98299999999999998</v>
      </c>
      <c r="N1121" s="5">
        <v>10</v>
      </c>
      <c r="O1121" s="7">
        <v>1.1574074074074075E-4</v>
      </c>
      <c r="P1121" s="7">
        <v>1.4814814814814814E-3</v>
      </c>
      <c r="Q1121" s="7">
        <v>1.3425925925925925E-3</v>
      </c>
      <c r="R1121" s="6">
        <v>0.9194</v>
      </c>
      <c r="S1121" s="8">
        <f>CONVERT(Table1[[#This Row],[Talk Duration (AVG)]]*Table1[[#This Row],[Answered Calls]],"day","hr")</f>
        <v>20.515555555555554</v>
      </c>
      <c r="T1121" s="9">
        <f>Table1[[#This Row],[Actual Workload hours]]*60</f>
        <v>1230.9333333333332</v>
      </c>
      <c r="U1121" s="9">
        <f>CONVERT(Table1[[#This Row],[Actual]]*Table1[[#This Row],[Talk Duration (AVG)]],"day","hr")</f>
        <v>6.0088888888888885</v>
      </c>
      <c r="V1121" s="10">
        <f>Table1[[#This Row],[Required Workload Hours]]*60</f>
        <v>360.5333333333333</v>
      </c>
      <c r="W1121" s="9">
        <f t="shared" si="38"/>
        <v>3.2055555555555553</v>
      </c>
      <c r="X1121" s="9">
        <f t="shared" si="37"/>
        <v>1</v>
      </c>
      <c r="Y1121" s="5">
        <f t="shared" si="36"/>
        <v>2</v>
      </c>
      <c r="Z1121" s="8">
        <f>ROUNDUP(Table1[[#This Row],[Actual Heacount]],0)</f>
        <v>4</v>
      </c>
      <c r="AA1121" s="8">
        <f>CONVERT(Table1[[#This Row],[RevisedForecast 30% Recution2]]*Table1[[#This Row],[Talk Duration (AVG)]],"day","hr")</f>
        <v>6.2672865282066743</v>
      </c>
      <c r="AB1121" s="10">
        <f>(Table1[[#This Row],[Forecast Workload Hours]]*60)*1.2</f>
        <v>451.24463003088056</v>
      </c>
      <c r="AC1121" s="10">
        <f>IF(Table1[[#This Row],[Forecast WOrkload Minutes]]&lt;384,1,Table1[[#This Row],[Forecast WOrkload Minutes]]/384)</f>
        <v>1.1751162240387514</v>
      </c>
      <c r="AD1121" s="10">
        <f>ROUNDUP(Table1[[#This Row],[Forecast Headcount]],0)</f>
        <v>2</v>
      </c>
      <c r="AE1121" s="11">
        <v>112.1660843331484</v>
      </c>
      <c r="AF1121" s="11">
        <v>333.7844511406131</v>
      </c>
      <c r="AG1121" t="s">
        <v>7</v>
      </c>
    </row>
    <row r="1122" spans="1:33">
      <c r="A1122" s="2">
        <v>45003</v>
      </c>
      <c r="B1122" s="5" t="s">
        <v>33</v>
      </c>
      <c r="C1122" s="5">
        <f>WEEKDAY(Table1[[#This Row],[Date]])</f>
        <v>7</v>
      </c>
      <c r="D1122" s="5">
        <f>MONTH(Table1[[#This Row],[Date]])</f>
        <v>3</v>
      </c>
      <c r="E1122" s="5">
        <f>WEEKNUM(Table1[[#This Row],[Date]])</f>
        <v>11</v>
      </c>
      <c r="F1122" s="5">
        <f>YEAR(Table1[[#This Row],[Date]])</f>
        <v>2023</v>
      </c>
      <c r="G1122" s="17">
        <v>175</v>
      </c>
      <c r="H1122">
        <v>224.45696051045229</v>
      </c>
      <c r="I1122">
        <f>Table1[[#This Row],[Forecast]]*0.9</f>
        <v>202.01126445940707</v>
      </c>
      <c r="J1122">
        <f>Table1[[#This Row],[Forecast]]*0.8</f>
        <v>179.56556840836186</v>
      </c>
      <c r="K1122">
        <f>Table1[[#This Row],[Forecast]]*0.8</f>
        <v>179.56556840836186</v>
      </c>
      <c r="L1122" s="5">
        <v>265</v>
      </c>
      <c r="M1122" s="6">
        <v>0.98150000000000004</v>
      </c>
      <c r="N1122" s="5">
        <v>5</v>
      </c>
      <c r="O1122" s="7">
        <v>8.1018518518518516E-5</v>
      </c>
      <c r="P1122" s="7">
        <v>1.8981481481481482E-3</v>
      </c>
      <c r="Q1122" s="7">
        <v>1.3425925925925925E-3</v>
      </c>
      <c r="R1122" s="6">
        <v>0.91790000000000005</v>
      </c>
      <c r="S1122" s="8">
        <f>CONVERT(Table1[[#This Row],[Talk Duration (AVG)]]*Table1[[#This Row],[Answered Calls]],"day","hr")</f>
        <v>12.072222222222221</v>
      </c>
      <c r="T1122" s="9">
        <f>Table1[[#This Row],[Actual Workload hours]]*60</f>
        <v>724.33333333333326</v>
      </c>
      <c r="U1122" s="9">
        <f>CONVERT(Table1[[#This Row],[Actual]]*Table1[[#This Row],[Talk Duration (AVG)]],"day","hr")</f>
        <v>7.9722222222222223</v>
      </c>
      <c r="V1122" s="10">
        <f>Table1[[#This Row],[Required Workload Hours]]*60</f>
        <v>478.33333333333331</v>
      </c>
      <c r="W1122" s="9">
        <f t="shared" si="38"/>
        <v>1.8862847222222221</v>
      </c>
      <c r="X1122" s="9">
        <f t="shared" si="37"/>
        <v>1.2456597222222221</v>
      </c>
      <c r="Y1122" s="5">
        <f t="shared" si="36"/>
        <v>2</v>
      </c>
      <c r="Z1122" s="8">
        <f>ROUNDUP(Table1[[#This Row],[Actual Heacount]],0)</f>
        <v>2</v>
      </c>
      <c r="AA1122" s="8">
        <f>CONVERT(Table1[[#This Row],[RevisedForecast 30% Recution2]]*Table1[[#This Row],[Talk Duration (AVG)]],"day","hr")</f>
        <v>8.180209227492039</v>
      </c>
      <c r="AB1122" s="10">
        <f>(Table1[[#This Row],[Forecast Workload Hours]]*60)*1.2</f>
        <v>588.97506437942673</v>
      </c>
      <c r="AC1122" s="10">
        <f>IF(Table1[[#This Row],[Forecast WOrkload Minutes]]&lt;384,1,Table1[[#This Row],[Forecast WOrkload Minutes]]/384)</f>
        <v>1.5337892301547571</v>
      </c>
      <c r="AD1122" s="10">
        <f>ROUNDUP(Table1[[#This Row],[Forecast Headcount]],0)</f>
        <v>2</v>
      </c>
      <c r="AE1122" s="11">
        <v>117.55318496848381</v>
      </c>
      <c r="AF1122" s="11">
        <v>331.71511008960988</v>
      </c>
      <c r="AG1122" t="s">
        <v>7</v>
      </c>
    </row>
    <row r="1123" spans="1:33">
      <c r="A1123" s="2">
        <v>45004</v>
      </c>
      <c r="B1123" s="5" t="s">
        <v>35</v>
      </c>
      <c r="C1123" s="5">
        <f>WEEKDAY(Table1[[#This Row],[Date]])</f>
        <v>1</v>
      </c>
      <c r="D1123" s="5">
        <f>MONTH(Table1[[#This Row],[Date]])</f>
        <v>3</v>
      </c>
      <c r="E1123" s="5">
        <f>WEEKNUM(Table1[[#This Row],[Date]])</f>
        <v>12</v>
      </c>
      <c r="F1123" s="5">
        <f>YEAR(Table1[[#This Row],[Date]])</f>
        <v>2023</v>
      </c>
      <c r="G1123" s="17">
        <v>43</v>
      </c>
      <c r="H1123">
        <v>133.21905194502531</v>
      </c>
      <c r="I1123">
        <f>Table1[[#This Row],[Forecast]]*0.9</f>
        <v>119.89714675052278</v>
      </c>
      <c r="J1123">
        <f>Table1[[#This Row],[Forecast]]*0.8</f>
        <v>106.57524155602026</v>
      </c>
      <c r="K1123">
        <f>Table1[[#This Row],[Forecast]]*0.8</f>
        <v>106.57524155602026</v>
      </c>
      <c r="L1123" s="5">
        <v>297</v>
      </c>
      <c r="M1123" s="6">
        <v>0.96740000000000004</v>
      </c>
      <c r="N1123" s="5">
        <v>10</v>
      </c>
      <c r="O1123" s="7">
        <v>1.6203703703703703E-4</v>
      </c>
      <c r="P1123" s="7">
        <v>2.0717592592592593E-3</v>
      </c>
      <c r="Q1123" s="7">
        <v>2.0254629629629629E-3</v>
      </c>
      <c r="R1123" s="6">
        <v>0.82240000000000002</v>
      </c>
      <c r="S1123" s="8">
        <f>CONVERT(Table1[[#This Row],[Talk Duration (AVG)]]*Table1[[#This Row],[Answered Calls]],"day","hr")</f>
        <v>14.7675</v>
      </c>
      <c r="T1123" s="9">
        <f>Table1[[#This Row],[Actual Workload hours]]*60</f>
        <v>886.05</v>
      </c>
      <c r="U1123" s="9">
        <f>CONVERT(Table1[[#This Row],[Actual]]*Table1[[#This Row],[Talk Duration (AVG)]],"day","hr")</f>
        <v>2.1380555555555554</v>
      </c>
      <c r="V1123" s="10">
        <f>Table1[[#This Row],[Required Workload Hours]]*60</f>
        <v>128.28333333333333</v>
      </c>
      <c r="W1123" s="9">
        <f t="shared" si="38"/>
        <v>2.3074218749999997</v>
      </c>
      <c r="X1123" s="9">
        <f t="shared" si="37"/>
        <v>1</v>
      </c>
      <c r="Y1123" s="5">
        <f t="shared" si="36"/>
        <v>2</v>
      </c>
      <c r="Z1123" s="8">
        <f>ROUNDUP(Table1[[#This Row],[Actual Heacount]],0)</f>
        <v>3</v>
      </c>
      <c r="AA1123" s="8">
        <f>CONVERT(Table1[[#This Row],[RevisedForecast 30% Recution2]]*Table1[[#This Row],[Talk Duration (AVG)]],"day","hr")</f>
        <v>5.2991578440354523</v>
      </c>
      <c r="AB1123" s="10">
        <f>(Table1[[#This Row],[Forecast Workload Hours]]*60)*1.2</f>
        <v>381.5393647705526</v>
      </c>
      <c r="AC1123" s="10">
        <f>IF(Table1[[#This Row],[Forecast WOrkload Minutes]]&lt;384,1,Table1[[#This Row],[Forecast WOrkload Minutes]]/384)</f>
        <v>1</v>
      </c>
      <c r="AD1123" s="10">
        <f>ROUNDUP(Table1[[#This Row],[Forecast Headcount]],0)</f>
        <v>1</v>
      </c>
      <c r="AE1123" s="11">
        <v>22.450307282114611</v>
      </c>
      <c r="AF1123" s="11">
        <v>245.95937055686011</v>
      </c>
      <c r="AG1123" t="s">
        <v>7</v>
      </c>
    </row>
    <row r="1124" spans="1:33">
      <c r="A1124" s="2">
        <v>45005</v>
      </c>
      <c r="B1124" s="5" t="s">
        <v>36</v>
      </c>
      <c r="C1124" s="5">
        <f>WEEKDAY(Table1[[#This Row],[Date]])</f>
        <v>2</v>
      </c>
      <c r="D1124" s="5">
        <f>MONTH(Table1[[#This Row],[Date]])</f>
        <v>3</v>
      </c>
      <c r="E1124" s="5">
        <f>WEEKNUM(Table1[[#This Row],[Date]])</f>
        <v>12</v>
      </c>
      <c r="F1124" s="5">
        <f>YEAR(Table1[[#This Row],[Date]])</f>
        <v>2023</v>
      </c>
      <c r="G1124" s="17">
        <v>24</v>
      </c>
      <c r="H1124">
        <v>230.99896859925369</v>
      </c>
      <c r="I1124">
        <f>Table1[[#This Row],[Forecast]]*0.9</f>
        <v>207.89907173932832</v>
      </c>
      <c r="J1124">
        <f>Table1[[#This Row],[Forecast]]*0.8</f>
        <v>184.79917487940295</v>
      </c>
      <c r="K1124">
        <f>Table1[[#This Row],[Forecast]]*0.8</f>
        <v>184.79917487940295</v>
      </c>
      <c r="L1124" s="5">
        <v>238</v>
      </c>
      <c r="M1124" s="6">
        <v>0.98350000000000004</v>
      </c>
      <c r="N1124" s="5">
        <v>4</v>
      </c>
      <c r="O1124" s="7">
        <v>6.9444444444444444E-5</v>
      </c>
      <c r="P1124" s="7">
        <v>1.8749999999999999E-3</v>
      </c>
      <c r="Q1124" s="7">
        <v>1.3310185185185185E-3</v>
      </c>
      <c r="R1124" s="6">
        <v>0.94630000000000003</v>
      </c>
      <c r="S1124" s="8">
        <f>CONVERT(Table1[[#This Row],[Talk Duration (AVG)]]*Table1[[#This Row],[Answered Calls]],"day","hr")</f>
        <v>10.71</v>
      </c>
      <c r="T1124" s="9">
        <f>Table1[[#This Row],[Actual Workload hours]]*60</f>
        <v>642.6</v>
      </c>
      <c r="U1124" s="9">
        <f>CONVERT(Table1[[#This Row],[Actual]]*Table1[[#This Row],[Talk Duration (AVG)]],"day","hr")</f>
        <v>1.08</v>
      </c>
      <c r="V1124" s="10">
        <f>Table1[[#This Row],[Required Workload Hours]]*60</f>
        <v>64.800000000000011</v>
      </c>
      <c r="W1124" s="9">
        <f t="shared" si="38"/>
        <v>1.6734375000000001</v>
      </c>
      <c r="X1124" s="9">
        <f t="shared" si="37"/>
        <v>1</v>
      </c>
      <c r="Y1124" s="5">
        <f t="shared" si="36"/>
        <v>2</v>
      </c>
      <c r="Z1124" s="8">
        <f>ROUNDUP(Table1[[#This Row],[Actual Heacount]],0)</f>
        <v>2</v>
      </c>
      <c r="AA1124" s="8">
        <f>CONVERT(Table1[[#This Row],[RevisedForecast 30% Recution2]]*Table1[[#This Row],[Talk Duration (AVG)]],"day","hr")</f>
        <v>8.3159628695731325</v>
      </c>
      <c r="AB1124" s="10">
        <f>(Table1[[#This Row],[Forecast Workload Hours]]*60)*1.2</f>
        <v>598.74932660926549</v>
      </c>
      <c r="AC1124" s="10">
        <f>IF(Table1[[#This Row],[Forecast WOrkload Minutes]]&lt;384,1,Table1[[#This Row],[Forecast WOrkload Minutes]]/384)</f>
        <v>1.5592430380449622</v>
      </c>
      <c r="AD1124" s="10">
        <f>ROUNDUP(Table1[[#This Row],[Forecast Headcount]],0)</f>
        <v>2</v>
      </c>
      <c r="AE1124" s="11">
        <v>119.3252172568247</v>
      </c>
      <c r="AF1124" s="11">
        <v>338.9164034536654</v>
      </c>
      <c r="AG1124" t="s">
        <v>7</v>
      </c>
    </row>
    <row r="1125" spans="1:33">
      <c r="A1125" s="2">
        <v>45006</v>
      </c>
      <c r="B1125" s="5" t="s">
        <v>37</v>
      </c>
      <c r="C1125" s="5">
        <f>WEEKDAY(Table1[[#This Row],[Date]])</f>
        <v>3</v>
      </c>
      <c r="D1125" s="5">
        <f>MONTH(Table1[[#This Row],[Date]])</f>
        <v>3</v>
      </c>
      <c r="E1125" s="5">
        <f>WEEKNUM(Table1[[#This Row],[Date]])</f>
        <v>12</v>
      </c>
      <c r="F1125" s="5">
        <f>YEAR(Table1[[#This Row],[Date]])</f>
        <v>2023</v>
      </c>
      <c r="G1125" s="17">
        <v>26</v>
      </c>
      <c r="H1125">
        <v>213.3729023147489</v>
      </c>
      <c r="I1125">
        <f>Table1[[#This Row],[Forecast]]*0.9</f>
        <v>192.035612083274</v>
      </c>
      <c r="J1125">
        <f>Table1[[#This Row],[Forecast]]*0.8</f>
        <v>170.69832185179914</v>
      </c>
      <c r="K1125">
        <f>Table1[[#This Row],[Forecast]]*0.8</f>
        <v>170.69832185179914</v>
      </c>
      <c r="L1125" s="5">
        <v>182</v>
      </c>
      <c r="M1125" s="6">
        <v>0.93810000000000004</v>
      </c>
      <c r="N1125" s="5">
        <v>12</v>
      </c>
      <c r="O1125" s="7">
        <v>1.3888888888888889E-4</v>
      </c>
      <c r="P1125" s="7">
        <v>2.0486111111111113E-3</v>
      </c>
      <c r="Q1125" s="7">
        <v>1.1111111111111111E-3</v>
      </c>
      <c r="R1125" s="6">
        <v>0.8115</v>
      </c>
      <c r="S1125" s="8">
        <f>CONVERT(Table1[[#This Row],[Talk Duration (AVG)]]*Table1[[#This Row],[Answered Calls]],"day","hr")</f>
        <v>8.9483333333333341</v>
      </c>
      <c r="T1125" s="9">
        <f>Table1[[#This Row],[Actual Workload hours]]*60</f>
        <v>536.90000000000009</v>
      </c>
      <c r="U1125" s="9">
        <f>CONVERT(Table1[[#This Row],[Actual]]*Table1[[#This Row],[Talk Duration (AVG)]],"day","hr")</f>
        <v>1.2783333333333335</v>
      </c>
      <c r="V1125" s="10">
        <f>Table1[[#This Row],[Required Workload Hours]]*60</f>
        <v>76.700000000000017</v>
      </c>
      <c r="W1125" s="9">
        <f t="shared" si="38"/>
        <v>1.3981770833333336</v>
      </c>
      <c r="X1125" s="9">
        <f t="shared" si="37"/>
        <v>1</v>
      </c>
      <c r="Y1125" s="5">
        <f t="shared" si="36"/>
        <v>2</v>
      </c>
      <c r="Z1125" s="8">
        <f>ROUNDUP(Table1[[#This Row],[Actual Heacount]],0)</f>
        <v>2</v>
      </c>
      <c r="AA1125" s="8">
        <f>CONVERT(Table1[[#This Row],[RevisedForecast 30% Recution2]]*Table1[[#This Row],[Talk Duration (AVG)]],"day","hr")</f>
        <v>8.392667491046792</v>
      </c>
      <c r="AB1125" s="10">
        <f>(Table1[[#This Row],[Forecast Workload Hours]]*60)*1.2</f>
        <v>604.27205935536904</v>
      </c>
      <c r="AC1125" s="10">
        <f>IF(Table1[[#This Row],[Forecast WOrkload Minutes]]&lt;384,1,Table1[[#This Row],[Forecast WOrkload Minutes]]/384)</f>
        <v>1.5736251545712736</v>
      </c>
      <c r="AD1125" s="10">
        <f>ROUNDUP(Table1[[#This Row],[Forecast Headcount]],0)</f>
        <v>2</v>
      </c>
      <c r="AE1125" s="11">
        <v>95.850946369800837</v>
      </c>
      <c r="AF1125" s="11">
        <v>318.83294655300659</v>
      </c>
      <c r="AG1125" t="s">
        <v>7</v>
      </c>
    </row>
    <row r="1126" spans="1:33">
      <c r="A1126" s="2">
        <v>45007</v>
      </c>
      <c r="B1126" s="5" t="s">
        <v>38</v>
      </c>
      <c r="C1126" s="5">
        <f>WEEKDAY(Table1[[#This Row],[Date]])</f>
        <v>4</v>
      </c>
      <c r="D1126" s="5">
        <f>MONTH(Table1[[#This Row],[Date]])</f>
        <v>3</v>
      </c>
      <c r="E1126" s="5">
        <f>WEEKNUM(Table1[[#This Row],[Date]])</f>
        <v>12</v>
      </c>
      <c r="F1126" s="5">
        <f>YEAR(Table1[[#This Row],[Date]])</f>
        <v>2023</v>
      </c>
      <c r="G1126" s="17">
        <v>42</v>
      </c>
      <c r="H1126">
        <v>224.5544399443254</v>
      </c>
      <c r="I1126">
        <f>Table1[[#This Row],[Forecast]]*0.9</f>
        <v>202.09899594989287</v>
      </c>
      <c r="J1126">
        <f>Table1[[#This Row],[Forecast]]*0.8</f>
        <v>179.64355195546034</v>
      </c>
      <c r="K1126">
        <f>Table1[[#This Row],[Forecast]]*0.8</f>
        <v>179.64355195546034</v>
      </c>
      <c r="L1126" s="5">
        <v>21</v>
      </c>
      <c r="M1126" s="6">
        <v>1</v>
      </c>
      <c r="N1126" s="5">
        <v>0</v>
      </c>
      <c r="O1126" s="7">
        <v>1.3888888888888889E-4</v>
      </c>
      <c r="P1126" s="7">
        <v>2.1643518518518518E-3</v>
      </c>
      <c r="Q1126" s="7">
        <v>1.0879629629629629E-3</v>
      </c>
      <c r="R1126" s="6">
        <v>0.90480000000000005</v>
      </c>
      <c r="S1126" s="8">
        <f>CONVERT(Table1[[#This Row],[Talk Duration (AVG)]]*Table1[[#This Row],[Answered Calls]],"day","hr")</f>
        <v>1.0908333333333333</v>
      </c>
      <c r="T1126" s="9">
        <f>Table1[[#This Row],[Actual Workload hours]]*60</f>
        <v>65.45</v>
      </c>
      <c r="U1126" s="9">
        <f>CONVERT(Table1[[#This Row],[Actual]]*Table1[[#This Row],[Talk Duration (AVG)]],"day","hr")</f>
        <v>2.1816666666666666</v>
      </c>
      <c r="V1126" s="10">
        <f>Table1[[#This Row],[Required Workload Hours]]*60</f>
        <v>130.9</v>
      </c>
      <c r="W1126" s="9">
        <f t="shared" si="38"/>
        <v>1</v>
      </c>
      <c r="X1126" s="9">
        <f t="shared" si="37"/>
        <v>1</v>
      </c>
      <c r="Y1126" s="5">
        <f t="shared" si="36"/>
        <v>1</v>
      </c>
      <c r="Z1126" s="8">
        <f>ROUNDUP(Table1[[#This Row],[Actual Heacount]],0)</f>
        <v>1</v>
      </c>
      <c r="AA1126" s="8">
        <f>CONVERT(Table1[[#This Row],[RevisedForecast 30% Recution2]]*Table1[[#This Row],[Talk Duration (AVG)]],"day","hr")</f>
        <v>9.3314845043530781</v>
      </c>
      <c r="AB1126" s="10">
        <f>(Table1[[#This Row],[Forecast Workload Hours]]*60)*1.2</f>
        <v>671.86688431342156</v>
      </c>
      <c r="AC1126" s="10">
        <f>IF(Table1[[#This Row],[Forecast WOrkload Minutes]]&lt;384,1,Table1[[#This Row],[Forecast WOrkload Minutes]]/384)</f>
        <v>1.7496533445662019</v>
      </c>
      <c r="AD1126" s="10">
        <f>ROUNDUP(Table1[[#This Row],[Forecast Headcount]],0)</f>
        <v>2</v>
      </c>
      <c r="AE1126" s="11">
        <v>107.7696100028801</v>
      </c>
      <c r="AF1126" s="11">
        <v>336.4906411772223</v>
      </c>
      <c r="AG1126" t="s">
        <v>7</v>
      </c>
    </row>
    <row r="1127" spans="1:33">
      <c r="A1127" s="2">
        <v>45008</v>
      </c>
      <c r="B1127" s="5" t="s">
        <v>39</v>
      </c>
      <c r="C1127" s="5">
        <f>WEEKDAY(Table1[[#This Row],[Date]])</f>
        <v>5</v>
      </c>
      <c r="D1127" s="5">
        <f>MONTH(Table1[[#This Row],[Date]])</f>
        <v>3</v>
      </c>
      <c r="E1127" s="5">
        <f>WEEKNUM(Table1[[#This Row],[Date]])</f>
        <v>12</v>
      </c>
      <c r="F1127" s="5">
        <f>YEAR(Table1[[#This Row],[Date]])</f>
        <v>2023</v>
      </c>
      <c r="G1127" s="17">
        <v>37</v>
      </c>
      <c r="H1127">
        <v>219.26286390964191</v>
      </c>
      <c r="I1127">
        <f>Table1[[#This Row],[Forecast]]*0.9</f>
        <v>197.33657751867773</v>
      </c>
      <c r="J1127">
        <f>Table1[[#This Row],[Forecast]]*0.8</f>
        <v>175.41029112771355</v>
      </c>
      <c r="K1127">
        <f>Table1[[#This Row],[Forecast]]*0.8</f>
        <v>175.41029112771355</v>
      </c>
      <c r="L1127" s="5">
        <v>288</v>
      </c>
      <c r="M1127" s="6">
        <v>0.98970000000000002</v>
      </c>
      <c r="N1127" s="5">
        <v>3</v>
      </c>
      <c r="O1127" s="7">
        <v>8.1018518518518516E-5</v>
      </c>
      <c r="P1127" s="7">
        <v>1.9212962962962964E-3</v>
      </c>
      <c r="Q1127" s="7">
        <v>9.7222222222222219E-4</v>
      </c>
      <c r="R1127" s="6">
        <v>0.93789999999999996</v>
      </c>
      <c r="S1127" s="8">
        <f>CONVERT(Table1[[#This Row],[Talk Duration (AVG)]]*Table1[[#This Row],[Answered Calls]],"day","hr")</f>
        <v>13.28</v>
      </c>
      <c r="T1127" s="9">
        <f>Table1[[#This Row],[Actual Workload hours]]*60</f>
        <v>796.8</v>
      </c>
      <c r="U1127" s="9">
        <f>CONVERT(Table1[[#This Row],[Actual]]*Table1[[#This Row],[Talk Duration (AVG)]],"day","hr")</f>
        <v>1.7061111111111111</v>
      </c>
      <c r="V1127" s="10">
        <f>Table1[[#This Row],[Required Workload Hours]]*60</f>
        <v>102.36666666666667</v>
      </c>
      <c r="W1127" s="9">
        <f t="shared" si="38"/>
        <v>2.0749999999999997</v>
      </c>
      <c r="X1127" s="9">
        <f t="shared" si="37"/>
        <v>1</v>
      </c>
      <c r="Y1127" s="5">
        <f t="shared" si="36"/>
        <v>2</v>
      </c>
      <c r="Z1127" s="8">
        <f>ROUNDUP(Table1[[#This Row],[Actual Heacount]],0)</f>
        <v>3</v>
      </c>
      <c r="AA1127" s="8">
        <f>CONVERT(Table1[[#This Row],[RevisedForecast 30% Recution2]]*Table1[[#This Row],[Talk Duration (AVG)]],"day","hr")</f>
        <v>8.0883634242223472</v>
      </c>
      <c r="AB1127" s="10">
        <f>(Table1[[#This Row],[Forecast Workload Hours]]*60)*1.2</f>
        <v>582.36216654400891</v>
      </c>
      <c r="AC1127" s="10">
        <f>IF(Table1[[#This Row],[Forecast WOrkload Minutes]]&lt;384,1,Table1[[#This Row],[Forecast WOrkload Minutes]]/384)</f>
        <v>1.5165681420416899</v>
      </c>
      <c r="AD1127" s="10">
        <f>ROUNDUP(Table1[[#This Row],[Forecast Headcount]],0)</f>
        <v>2</v>
      </c>
      <c r="AE1127" s="11">
        <v>101.5090578823031</v>
      </c>
      <c r="AF1127" s="11">
        <v>330.62547300158349</v>
      </c>
      <c r="AG1127" t="s">
        <v>7</v>
      </c>
    </row>
    <row r="1128" spans="1:33">
      <c r="A1128" s="2">
        <v>45009</v>
      </c>
      <c r="B1128" s="5" t="s">
        <v>40</v>
      </c>
      <c r="C1128" s="5">
        <f>WEEKDAY(Table1[[#This Row],[Date]])</f>
        <v>6</v>
      </c>
      <c r="D1128" s="5">
        <f>MONTH(Table1[[#This Row],[Date]])</f>
        <v>3</v>
      </c>
      <c r="E1128" s="5">
        <f>WEEKNUM(Table1[[#This Row],[Date]])</f>
        <v>12</v>
      </c>
      <c r="F1128" s="5">
        <f>YEAR(Table1[[#This Row],[Date]])</f>
        <v>2023</v>
      </c>
      <c r="G1128" s="17">
        <v>60</v>
      </c>
      <c r="H1128">
        <v>210.37368927617209</v>
      </c>
      <c r="I1128">
        <f>Table1[[#This Row],[Forecast]]*0.9</f>
        <v>189.33632034855489</v>
      </c>
      <c r="J1128">
        <f>Table1[[#This Row],[Forecast]]*0.8</f>
        <v>168.29895142093767</v>
      </c>
      <c r="K1128">
        <f>Table1[[#This Row],[Forecast]]*0.8</f>
        <v>168.29895142093767</v>
      </c>
      <c r="L1128" s="5">
        <v>479</v>
      </c>
      <c r="M1128" s="6">
        <v>0.92830000000000001</v>
      </c>
      <c r="N1128" s="5">
        <v>37</v>
      </c>
      <c r="O1128" s="7">
        <v>3.0092592592592595E-4</v>
      </c>
      <c r="P1128" s="7">
        <v>1.8518518518518519E-3</v>
      </c>
      <c r="Q1128" s="7">
        <v>2.4421296296296296E-3</v>
      </c>
      <c r="R1128" s="6">
        <v>0.63800000000000001</v>
      </c>
      <c r="S1128" s="8">
        <f>CONVERT(Table1[[#This Row],[Talk Duration (AVG)]]*Table1[[#This Row],[Answered Calls]],"day","hr")</f>
        <v>21.288888888888888</v>
      </c>
      <c r="T1128" s="9">
        <f>Table1[[#This Row],[Actual Workload hours]]*60</f>
        <v>1277.3333333333333</v>
      </c>
      <c r="U1128" s="9">
        <f>CONVERT(Table1[[#This Row],[Actual]]*Table1[[#This Row],[Talk Duration (AVG)]],"day","hr")</f>
        <v>2.6666666666666665</v>
      </c>
      <c r="V1128" s="10">
        <f>Table1[[#This Row],[Required Workload Hours]]*60</f>
        <v>160</v>
      </c>
      <c r="W1128" s="9">
        <f t="shared" si="38"/>
        <v>3.3263888888888888</v>
      </c>
      <c r="X1128" s="9">
        <f t="shared" si="37"/>
        <v>1</v>
      </c>
      <c r="Y1128" s="5">
        <f t="shared" si="36"/>
        <v>2</v>
      </c>
      <c r="Z1128" s="8">
        <f>ROUNDUP(Table1[[#This Row],[Actual Heacount]],0)</f>
        <v>4</v>
      </c>
      <c r="AA1128" s="8">
        <f>CONVERT(Table1[[#This Row],[RevisedForecast 30% Recution2]]*Table1[[#This Row],[Talk Duration (AVG)]],"day","hr")</f>
        <v>7.4799533964861196</v>
      </c>
      <c r="AB1128" s="10">
        <f>(Table1[[#This Row],[Forecast Workload Hours]]*60)*1.2</f>
        <v>538.55664454700059</v>
      </c>
      <c r="AC1128" s="10">
        <f>IF(Table1[[#This Row],[Forecast WOrkload Minutes]]&lt;384,1,Table1[[#This Row],[Forecast WOrkload Minutes]]/384)</f>
        <v>1.4024912618411474</v>
      </c>
      <c r="AD1128" s="10">
        <f>ROUNDUP(Table1[[#This Row],[Forecast Headcount]],0)</f>
        <v>2</v>
      </c>
      <c r="AE1128" s="11">
        <v>104.25421534355409</v>
      </c>
      <c r="AF1128" s="11">
        <v>324.76579786622892</v>
      </c>
      <c r="AG1128" t="s">
        <v>7</v>
      </c>
    </row>
    <row r="1129" spans="1:33">
      <c r="A1129" s="2">
        <v>45010</v>
      </c>
      <c r="B1129" s="5" t="s">
        <v>33</v>
      </c>
      <c r="C1129" s="5">
        <f>WEEKDAY(Table1[[#This Row],[Date]])</f>
        <v>7</v>
      </c>
      <c r="D1129" s="5">
        <f>MONTH(Table1[[#This Row],[Date]])</f>
        <v>3</v>
      </c>
      <c r="E1129" s="5">
        <f>WEEKNUM(Table1[[#This Row],[Date]])</f>
        <v>12</v>
      </c>
      <c r="F1129" s="5">
        <f>YEAR(Table1[[#This Row],[Date]])</f>
        <v>2023</v>
      </c>
      <c r="G1129" s="17">
        <v>82</v>
      </c>
      <c r="H1129">
        <v>217.97869970534819</v>
      </c>
      <c r="I1129">
        <f>Table1[[#This Row],[Forecast]]*0.9</f>
        <v>196.18082973481339</v>
      </c>
      <c r="J1129">
        <f>Table1[[#This Row],[Forecast]]*0.8</f>
        <v>174.38295976427855</v>
      </c>
      <c r="K1129">
        <f>Table1[[#This Row],[Forecast]]*0.8</f>
        <v>174.38295976427855</v>
      </c>
      <c r="L1129" s="5">
        <v>447</v>
      </c>
      <c r="M1129" s="6">
        <v>0.9889</v>
      </c>
      <c r="N1129" s="5">
        <v>5</v>
      </c>
      <c r="O1129" s="7">
        <v>6.9444444444444444E-5</v>
      </c>
      <c r="P1129" s="7">
        <v>1.4351851851851852E-3</v>
      </c>
      <c r="Q1129" s="7">
        <v>2.685185185185185E-3</v>
      </c>
      <c r="R1129" s="6">
        <v>0.94440000000000002</v>
      </c>
      <c r="S1129" s="8">
        <f>CONVERT(Table1[[#This Row],[Talk Duration (AVG)]]*Table1[[#This Row],[Answered Calls]],"day","hr")</f>
        <v>15.396666666666667</v>
      </c>
      <c r="T1129" s="9">
        <f>Table1[[#This Row],[Actual Workload hours]]*60</f>
        <v>923.8</v>
      </c>
      <c r="U1129" s="9">
        <f>CONVERT(Table1[[#This Row],[Actual]]*Table1[[#This Row],[Talk Duration (AVG)]],"day","hr")</f>
        <v>2.8244444444444445</v>
      </c>
      <c r="V1129" s="10">
        <f>Table1[[#This Row],[Required Workload Hours]]*60</f>
        <v>169.46666666666667</v>
      </c>
      <c r="W1129" s="9">
        <f t="shared" si="38"/>
        <v>2.4057291666666667</v>
      </c>
      <c r="X1129" s="9">
        <f t="shared" si="37"/>
        <v>1</v>
      </c>
      <c r="Y1129" s="5">
        <f t="shared" si="36"/>
        <v>2</v>
      </c>
      <c r="Z1129" s="8">
        <f>ROUNDUP(Table1[[#This Row],[Actual Heacount]],0)</f>
        <v>3</v>
      </c>
      <c r="AA1129" s="8">
        <f>CONVERT(Table1[[#This Row],[RevisedForecast 30% Recution2]]*Table1[[#This Row],[Talk Duration (AVG)]],"day","hr")</f>
        <v>6.0065241696584843</v>
      </c>
      <c r="AB1129" s="10">
        <f>(Table1[[#This Row],[Forecast Workload Hours]]*60)*1.2</f>
        <v>432.46974021541081</v>
      </c>
      <c r="AC1129" s="10">
        <f>IF(Table1[[#This Row],[Forecast WOrkload Minutes]]&lt;384,1,Table1[[#This Row],[Forecast WOrkload Minutes]]/384)</f>
        <v>1.1262232818109656</v>
      </c>
      <c r="AD1129" s="10">
        <f>ROUNDUP(Table1[[#This Row],[Forecast Headcount]],0)</f>
        <v>2</v>
      </c>
      <c r="AE1129" s="11">
        <v>104.41886032166769</v>
      </c>
      <c r="AF1129" s="11">
        <v>334.63445325712689</v>
      </c>
      <c r="AG1129" t="s">
        <v>7</v>
      </c>
    </row>
    <row r="1130" spans="1:33">
      <c r="A1130" s="2">
        <v>45011</v>
      </c>
      <c r="B1130" s="5" t="s">
        <v>35</v>
      </c>
      <c r="C1130" s="5">
        <f>WEEKDAY(Table1[[#This Row],[Date]])</f>
        <v>1</v>
      </c>
      <c r="D1130" s="5">
        <f>MONTH(Table1[[#This Row],[Date]])</f>
        <v>3</v>
      </c>
      <c r="E1130" s="5">
        <f>WEEKNUM(Table1[[#This Row],[Date]])</f>
        <v>13</v>
      </c>
      <c r="F1130" s="5">
        <f>YEAR(Table1[[#This Row],[Date]])</f>
        <v>2023</v>
      </c>
      <c r="G1130" s="17">
        <v>31</v>
      </c>
      <c r="H1130">
        <v>130.20464408868079</v>
      </c>
      <c r="I1130">
        <f>Table1[[#This Row],[Forecast]]*0.9</f>
        <v>117.18417967981271</v>
      </c>
      <c r="J1130">
        <f>Table1[[#This Row],[Forecast]]*0.8</f>
        <v>104.16371527094464</v>
      </c>
      <c r="K1130">
        <f>Table1[[#This Row],[Forecast]]*0.8</f>
        <v>104.16371527094464</v>
      </c>
      <c r="L1130" s="5">
        <v>375</v>
      </c>
      <c r="M1130" s="6">
        <v>1</v>
      </c>
      <c r="N1130" s="5">
        <v>0</v>
      </c>
      <c r="O1130" s="7">
        <v>5.7870370370370373E-5</v>
      </c>
      <c r="P1130" s="7">
        <v>1.5393518518518519E-3</v>
      </c>
      <c r="Q1130" s="7">
        <v>7.5231481481481482E-4</v>
      </c>
      <c r="R1130" s="6">
        <v>0.96530000000000005</v>
      </c>
      <c r="S1130" s="8">
        <f>CONVERT(Table1[[#This Row],[Talk Duration (AVG)]]*Table1[[#This Row],[Answered Calls]],"day","hr")</f>
        <v>13.854166666666666</v>
      </c>
      <c r="T1130" s="9">
        <f>Table1[[#This Row],[Actual Workload hours]]*60</f>
        <v>831.25</v>
      </c>
      <c r="U1130" s="9">
        <f>CONVERT(Table1[[#This Row],[Actual]]*Table1[[#This Row],[Talk Duration (AVG)]],"day","hr")</f>
        <v>1.1452777777777778</v>
      </c>
      <c r="V1130" s="10">
        <f>Table1[[#This Row],[Required Workload Hours]]*60</f>
        <v>68.716666666666669</v>
      </c>
      <c r="W1130" s="9">
        <f t="shared" si="38"/>
        <v>2.1647135416666665</v>
      </c>
      <c r="X1130" s="9">
        <f t="shared" si="37"/>
        <v>1</v>
      </c>
      <c r="Y1130" s="5">
        <f t="shared" si="36"/>
        <v>2</v>
      </c>
      <c r="Z1130" s="8">
        <f>ROUNDUP(Table1[[#This Row],[Actual Heacount]],0)</f>
        <v>3</v>
      </c>
      <c r="AA1130" s="8">
        <f>CONVERT(Table1[[#This Row],[RevisedForecast 30% Recution2]]*Table1[[#This Row],[Talk Duration (AVG)]],"day","hr")</f>
        <v>3.8482705919543432</v>
      </c>
      <c r="AB1130" s="10">
        <f>(Table1[[#This Row],[Forecast Workload Hours]]*60)*1.2</f>
        <v>277.07548262071271</v>
      </c>
      <c r="AC1130" s="10">
        <f>IF(Table1[[#This Row],[Forecast WOrkload Minutes]]&lt;384,1,Table1[[#This Row],[Forecast WOrkload Minutes]]/384)</f>
        <v>1</v>
      </c>
      <c r="AD1130" s="10">
        <f>ROUNDUP(Table1[[#This Row],[Forecast Headcount]],0)</f>
        <v>1</v>
      </c>
      <c r="AE1130" s="11">
        <v>18.290706460339159</v>
      </c>
      <c r="AF1130" s="11">
        <v>235.12212652143731</v>
      </c>
      <c r="AG1130" t="s">
        <v>7</v>
      </c>
    </row>
    <row r="1131" spans="1:33">
      <c r="A1131" s="2">
        <v>45012</v>
      </c>
      <c r="B1131" s="5" t="s">
        <v>36</v>
      </c>
      <c r="C1131" s="5">
        <f>WEEKDAY(Table1[[#This Row],[Date]])</f>
        <v>2</v>
      </c>
      <c r="D1131" s="5">
        <f>MONTH(Table1[[#This Row],[Date]])</f>
        <v>3</v>
      </c>
      <c r="E1131" s="5">
        <f>WEEKNUM(Table1[[#This Row],[Date]])</f>
        <v>13</v>
      </c>
      <c r="F1131" s="5">
        <f>YEAR(Table1[[#This Row],[Date]])</f>
        <v>2023</v>
      </c>
      <c r="G1131" s="17">
        <v>178</v>
      </c>
      <c r="H1131">
        <v>231.372873350449</v>
      </c>
      <c r="I1131">
        <f>Table1[[#This Row],[Forecast]]*0.9</f>
        <v>208.2355860154041</v>
      </c>
      <c r="J1131">
        <f>Table1[[#This Row],[Forecast]]*0.8</f>
        <v>185.09829868035922</v>
      </c>
      <c r="K1131">
        <f>Table1[[#This Row],[Forecast]]*0.8</f>
        <v>185.09829868035922</v>
      </c>
      <c r="L1131" s="5">
        <v>287</v>
      </c>
      <c r="M1131" s="6">
        <v>0.93789999999999996</v>
      </c>
      <c r="N1131" s="5">
        <v>19</v>
      </c>
      <c r="O1131" s="7">
        <v>2.199074074074074E-4</v>
      </c>
      <c r="P1131" s="7">
        <v>1.5625000000000001E-3</v>
      </c>
      <c r="Q1131" s="7">
        <v>3.3564814814814816E-3</v>
      </c>
      <c r="R1131" s="6">
        <v>0.76319999999999999</v>
      </c>
      <c r="S1131" s="8">
        <f>CONVERT(Table1[[#This Row],[Talk Duration (AVG)]]*Table1[[#This Row],[Answered Calls]],"day","hr")</f>
        <v>10.762500000000003</v>
      </c>
      <c r="T1131" s="9">
        <f>Table1[[#This Row],[Actual Workload hours]]*60</f>
        <v>645.75000000000023</v>
      </c>
      <c r="U1131" s="9">
        <f>CONVERT(Table1[[#This Row],[Actual]]*Table1[[#This Row],[Talk Duration (AVG)]],"day","hr")</f>
        <v>6.6749999999999998</v>
      </c>
      <c r="V1131" s="10">
        <f>Table1[[#This Row],[Required Workload Hours]]*60</f>
        <v>400.5</v>
      </c>
      <c r="W1131" s="9">
        <f t="shared" si="38"/>
        <v>1.6816406250000007</v>
      </c>
      <c r="X1131" s="9">
        <f t="shared" si="37"/>
        <v>1.04296875</v>
      </c>
      <c r="Y1131" s="5">
        <f t="shared" si="36"/>
        <v>2</v>
      </c>
      <c r="Z1131" s="8">
        <f>ROUNDUP(Table1[[#This Row],[Actual Heacount]],0)</f>
        <v>2</v>
      </c>
      <c r="AA1131" s="8">
        <f>CONVERT(Table1[[#This Row],[RevisedForecast 30% Recution2]]*Table1[[#This Row],[Talk Duration (AVG)]],"day","hr")</f>
        <v>6.9411862005134717</v>
      </c>
      <c r="AB1131" s="10">
        <f>(Table1[[#This Row],[Forecast Workload Hours]]*60)*1.2</f>
        <v>499.76540643696995</v>
      </c>
      <c r="AC1131" s="10">
        <f>IF(Table1[[#This Row],[Forecast WOrkload Minutes]]&lt;384,1,Table1[[#This Row],[Forecast WOrkload Minutes]]/384)</f>
        <v>1.301472412596276</v>
      </c>
      <c r="AD1131" s="10">
        <f>ROUNDUP(Table1[[#This Row],[Forecast Headcount]],0)</f>
        <v>2</v>
      </c>
      <c r="AE1131" s="11">
        <v>120.52169366789551</v>
      </c>
      <c r="AF1131" s="11">
        <v>341.38094654293502</v>
      </c>
      <c r="AG1131" t="s">
        <v>7</v>
      </c>
    </row>
    <row r="1132" spans="1:33">
      <c r="A1132" s="2">
        <v>45013</v>
      </c>
      <c r="B1132" s="5" t="s">
        <v>37</v>
      </c>
      <c r="C1132" s="5">
        <f>WEEKDAY(Table1[[#This Row],[Date]])</f>
        <v>3</v>
      </c>
      <c r="D1132" s="5">
        <f>MONTH(Table1[[#This Row],[Date]])</f>
        <v>3</v>
      </c>
      <c r="E1132" s="5">
        <f>WEEKNUM(Table1[[#This Row],[Date]])</f>
        <v>13</v>
      </c>
      <c r="F1132" s="5">
        <f>YEAR(Table1[[#This Row],[Date]])</f>
        <v>2023</v>
      </c>
      <c r="G1132" s="17">
        <v>183</v>
      </c>
      <c r="H1132">
        <v>217.00549695922231</v>
      </c>
      <c r="I1132">
        <f>Table1[[#This Row],[Forecast]]*0.9</f>
        <v>195.30494726330008</v>
      </c>
      <c r="J1132">
        <f>Table1[[#This Row],[Forecast]]*0.8</f>
        <v>173.60439756737787</v>
      </c>
      <c r="K1132">
        <f>Table1[[#This Row],[Forecast]]*0.8</f>
        <v>173.60439756737787</v>
      </c>
      <c r="L1132" s="5">
        <v>235</v>
      </c>
      <c r="M1132" s="6">
        <v>0.97509999999999997</v>
      </c>
      <c r="N1132" s="5">
        <v>6</v>
      </c>
      <c r="O1132" s="7">
        <v>1.7361111111111112E-4</v>
      </c>
      <c r="P1132" s="7">
        <v>1.8518518518518519E-3</v>
      </c>
      <c r="Q1132" s="7">
        <v>1.3541666666666667E-3</v>
      </c>
      <c r="R1132" s="6">
        <v>0.80330000000000001</v>
      </c>
      <c r="S1132" s="8">
        <f>CONVERT(Table1[[#This Row],[Talk Duration (AVG)]]*Table1[[#This Row],[Answered Calls]],"day","hr")</f>
        <v>10.444444444444445</v>
      </c>
      <c r="T1132" s="9">
        <f>Table1[[#This Row],[Actual Workload hours]]*60</f>
        <v>626.66666666666663</v>
      </c>
      <c r="U1132" s="9">
        <f>CONVERT(Table1[[#This Row],[Actual]]*Table1[[#This Row],[Talk Duration (AVG)]],"day","hr")</f>
        <v>8.1333333333333329</v>
      </c>
      <c r="V1132" s="10">
        <f>Table1[[#This Row],[Required Workload Hours]]*60</f>
        <v>488</v>
      </c>
      <c r="W1132" s="9">
        <f t="shared" si="38"/>
        <v>1.6319444444444444</v>
      </c>
      <c r="X1132" s="9">
        <f t="shared" si="37"/>
        <v>1.2708333333333333</v>
      </c>
      <c r="Y1132" s="5">
        <f t="shared" si="36"/>
        <v>2</v>
      </c>
      <c r="Z1132" s="8">
        <f>ROUNDUP(Table1[[#This Row],[Actual Heacount]],0)</f>
        <v>2</v>
      </c>
      <c r="AA1132" s="8">
        <f>CONVERT(Table1[[#This Row],[RevisedForecast 30% Recution2]]*Table1[[#This Row],[Talk Duration (AVG)]],"day","hr")</f>
        <v>7.7157510029945717</v>
      </c>
      <c r="AB1132" s="10">
        <f>(Table1[[#This Row],[Forecast Workload Hours]]*60)*1.2</f>
        <v>555.53407221560917</v>
      </c>
      <c r="AC1132" s="10">
        <f>IF(Table1[[#This Row],[Forecast WOrkload Minutes]]&lt;384,1,Table1[[#This Row],[Forecast WOrkload Minutes]]/384)</f>
        <v>1.4467033130614821</v>
      </c>
      <c r="AD1132" s="10">
        <f>ROUNDUP(Table1[[#This Row],[Forecast Headcount]],0)</f>
        <v>2</v>
      </c>
      <c r="AE1132" s="11">
        <v>109.3505249176869</v>
      </c>
      <c r="AF1132" s="11">
        <v>321.65865847926432</v>
      </c>
      <c r="AG1132" t="s">
        <v>7</v>
      </c>
    </row>
    <row r="1133" spans="1:33">
      <c r="A1133" s="2">
        <v>45014</v>
      </c>
      <c r="B1133" s="5" t="s">
        <v>38</v>
      </c>
      <c r="C1133" s="5">
        <f>WEEKDAY(Table1[[#This Row],[Date]])</f>
        <v>4</v>
      </c>
      <c r="D1133" s="5">
        <f>MONTH(Table1[[#This Row],[Date]])</f>
        <v>3</v>
      </c>
      <c r="E1133" s="5">
        <f>WEEKNUM(Table1[[#This Row],[Date]])</f>
        <v>13</v>
      </c>
      <c r="F1133" s="5">
        <f>YEAR(Table1[[#This Row],[Date]])</f>
        <v>2023</v>
      </c>
      <c r="G1133" s="17">
        <v>39</v>
      </c>
      <c r="H1133">
        <v>231.2660409781281</v>
      </c>
      <c r="I1133">
        <f>Table1[[#This Row],[Forecast]]*0.9</f>
        <v>208.13943688031529</v>
      </c>
      <c r="J1133">
        <f>Table1[[#This Row],[Forecast]]*0.8</f>
        <v>185.0128327825025</v>
      </c>
      <c r="K1133">
        <f>Table1[[#This Row],[Forecast]]*0.8</f>
        <v>185.0128327825025</v>
      </c>
      <c r="L1133" s="5">
        <v>34</v>
      </c>
      <c r="M1133" s="6">
        <v>1</v>
      </c>
      <c r="N1133" s="5">
        <v>0</v>
      </c>
      <c r="O1133" s="7">
        <v>2.0833333333333335E-4</v>
      </c>
      <c r="P1133" s="7">
        <v>2.0949074074074073E-3</v>
      </c>
      <c r="Q1133" s="7">
        <v>1.4814814814814814E-3</v>
      </c>
      <c r="R1133" s="6">
        <v>0.85289999999999999</v>
      </c>
      <c r="S1133" s="8">
        <f>CONVERT(Table1[[#This Row],[Talk Duration (AVG)]]*Table1[[#This Row],[Answered Calls]],"day","hr")</f>
        <v>1.7094444444444445</v>
      </c>
      <c r="T1133" s="9">
        <f>Table1[[#This Row],[Actual Workload hours]]*60</f>
        <v>102.56666666666668</v>
      </c>
      <c r="U1133" s="9">
        <f>CONVERT(Table1[[#This Row],[Actual]]*Table1[[#This Row],[Talk Duration (AVG)]],"day","hr")</f>
        <v>1.960833333333333</v>
      </c>
      <c r="V1133" s="10">
        <f>Table1[[#This Row],[Required Workload Hours]]*60</f>
        <v>117.64999999999998</v>
      </c>
      <c r="W1133" s="9">
        <f t="shared" si="38"/>
        <v>1</v>
      </c>
      <c r="X1133" s="9">
        <f t="shared" si="37"/>
        <v>1</v>
      </c>
      <c r="Y1133" s="5">
        <f t="shared" si="36"/>
        <v>1</v>
      </c>
      <c r="Z1133" s="8">
        <f>ROUNDUP(Table1[[#This Row],[Actual Heacount]],0)</f>
        <v>1</v>
      </c>
      <c r="AA1133" s="8">
        <f>CONVERT(Table1[[#This Row],[RevisedForecast 30% Recution2]]*Table1[[#This Row],[Talk Duration (AVG)]],"day","hr")</f>
        <v>9.3020340926758198</v>
      </c>
      <c r="AB1133" s="10">
        <f>(Table1[[#This Row],[Forecast Workload Hours]]*60)*1.2</f>
        <v>669.74645467265896</v>
      </c>
      <c r="AC1133" s="10">
        <f>IF(Table1[[#This Row],[Forecast WOrkload Minutes]]&lt;384,1,Table1[[#This Row],[Forecast WOrkload Minutes]]/384)</f>
        <v>1.7441313923767161</v>
      </c>
      <c r="AD1133" s="10">
        <f>ROUNDUP(Table1[[#This Row],[Forecast Headcount]],0)</f>
        <v>2</v>
      </c>
      <c r="AE1133" s="11">
        <v>126.02835544910251</v>
      </c>
      <c r="AF1133" s="11">
        <v>346.09037574454652</v>
      </c>
      <c r="AG1133" t="s">
        <v>7</v>
      </c>
    </row>
    <row r="1134" spans="1:33">
      <c r="A1134" s="2">
        <v>45015</v>
      </c>
      <c r="B1134" s="5" t="s">
        <v>39</v>
      </c>
      <c r="C1134" s="5">
        <f>WEEKDAY(Table1[[#This Row],[Date]])</f>
        <v>5</v>
      </c>
      <c r="D1134" s="5">
        <f>MONTH(Table1[[#This Row],[Date]])</f>
        <v>3</v>
      </c>
      <c r="E1134" s="5">
        <f>WEEKNUM(Table1[[#This Row],[Date]])</f>
        <v>13</v>
      </c>
      <c r="F1134" s="5">
        <f>YEAR(Table1[[#This Row],[Date]])</f>
        <v>2023</v>
      </c>
      <c r="G1134" s="17">
        <v>170</v>
      </c>
      <c r="H1134">
        <v>228.8286927679855</v>
      </c>
      <c r="I1134">
        <f>Table1[[#This Row],[Forecast]]*0.9</f>
        <v>205.94582349118696</v>
      </c>
      <c r="J1134">
        <f>Table1[[#This Row],[Forecast]]*0.8</f>
        <v>183.06295421438841</v>
      </c>
      <c r="K1134">
        <f>Table1[[#This Row],[Forecast]]*0.8</f>
        <v>183.06295421438841</v>
      </c>
      <c r="L1134" s="5">
        <v>238</v>
      </c>
      <c r="M1134" s="6">
        <v>0.9597</v>
      </c>
      <c r="N1134" s="5">
        <v>10</v>
      </c>
      <c r="O1134" s="7">
        <v>2.199074074074074E-4</v>
      </c>
      <c r="P1134" s="7">
        <v>1.8865740740740742E-3</v>
      </c>
      <c r="Q1134" s="7">
        <v>3.1597222222222222E-3</v>
      </c>
      <c r="R1134" s="6">
        <v>0.7409</v>
      </c>
      <c r="S1134" s="8">
        <f>CONVERT(Table1[[#This Row],[Talk Duration (AVG)]]*Table1[[#This Row],[Answered Calls]],"day","hr")</f>
        <v>10.776111111111112</v>
      </c>
      <c r="T1134" s="9">
        <f>Table1[[#This Row],[Actual Workload hours]]*60</f>
        <v>646.56666666666672</v>
      </c>
      <c r="U1134" s="9">
        <f>CONVERT(Table1[[#This Row],[Actual]]*Table1[[#This Row],[Talk Duration (AVG)]],"day","hr")</f>
        <v>7.697222222222222</v>
      </c>
      <c r="V1134" s="10">
        <f>Table1[[#This Row],[Required Workload Hours]]*60</f>
        <v>461.83333333333331</v>
      </c>
      <c r="W1134" s="9">
        <f t="shared" si="38"/>
        <v>1.6837673611111112</v>
      </c>
      <c r="X1134" s="9">
        <f t="shared" si="37"/>
        <v>1.2026909722222221</v>
      </c>
      <c r="Y1134" s="5">
        <f t="shared" si="36"/>
        <v>2</v>
      </c>
      <c r="Z1134" s="8">
        <f>ROUNDUP(Table1[[#This Row],[Actual Heacount]],0)</f>
        <v>2</v>
      </c>
      <c r="AA1134" s="8">
        <f>CONVERT(Table1[[#This Row],[RevisedForecast 30% Recution2]]*Table1[[#This Row],[Talk Duration (AVG)]],"day","hr")</f>
        <v>8.288683760262586</v>
      </c>
      <c r="AB1134" s="10">
        <f>(Table1[[#This Row],[Forecast Workload Hours]]*60)*1.2</f>
        <v>596.78523073890619</v>
      </c>
      <c r="AC1134" s="10">
        <f>IF(Table1[[#This Row],[Forecast WOrkload Minutes]]&lt;384,1,Table1[[#This Row],[Forecast WOrkload Minutes]]/384)</f>
        <v>1.5541282050492349</v>
      </c>
      <c r="AD1134" s="10">
        <f>ROUNDUP(Table1[[#This Row],[Forecast Headcount]],0)</f>
        <v>2</v>
      </c>
      <c r="AE1134" s="11">
        <v>123.8133714809407</v>
      </c>
      <c r="AF1134" s="11">
        <v>332.96660918612582</v>
      </c>
      <c r="AG1134" t="s">
        <v>7</v>
      </c>
    </row>
    <row r="1135" spans="1:33">
      <c r="A1135" s="2">
        <v>45016</v>
      </c>
      <c r="B1135" s="5" t="s">
        <v>40</v>
      </c>
      <c r="C1135" s="5">
        <f>WEEKDAY(Table1[[#This Row],[Date]])</f>
        <v>6</v>
      </c>
      <c r="D1135" s="5">
        <f>MONTH(Table1[[#This Row],[Date]])</f>
        <v>3</v>
      </c>
      <c r="E1135" s="5">
        <f>WEEKNUM(Table1[[#This Row],[Date]])</f>
        <v>13</v>
      </c>
      <c r="F1135" s="5">
        <f>YEAR(Table1[[#This Row],[Date]])</f>
        <v>2023</v>
      </c>
      <c r="G1135" s="17">
        <v>180</v>
      </c>
      <c r="H1135">
        <v>222.5296533949741</v>
      </c>
      <c r="I1135">
        <f>Table1[[#This Row],[Forecast]]*0.9</f>
        <v>200.27668805547671</v>
      </c>
      <c r="J1135">
        <f>Table1[[#This Row],[Forecast]]*0.8</f>
        <v>178.02372271597929</v>
      </c>
      <c r="K1135">
        <f>Table1[[#This Row],[Forecast]]*0.8</f>
        <v>178.02372271597929</v>
      </c>
      <c r="L1135" s="5">
        <v>307</v>
      </c>
      <c r="M1135" s="6">
        <v>0.95050000000000001</v>
      </c>
      <c r="N1135" s="5">
        <v>16</v>
      </c>
      <c r="O1135" s="7">
        <v>1.5046296296296297E-4</v>
      </c>
      <c r="P1135" s="7">
        <v>1.8749999999999999E-3</v>
      </c>
      <c r="Q1135" s="7">
        <v>2.4074074074074076E-3</v>
      </c>
      <c r="R1135" s="6">
        <v>0.82699999999999996</v>
      </c>
      <c r="S1135" s="8">
        <f>CONVERT(Table1[[#This Row],[Talk Duration (AVG)]]*Table1[[#This Row],[Answered Calls]],"day","hr")</f>
        <v>13.814999999999998</v>
      </c>
      <c r="T1135" s="9">
        <f>Table1[[#This Row],[Actual Workload hours]]*60</f>
        <v>828.89999999999986</v>
      </c>
      <c r="U1135" s="9">
        <f>CONVERT(Table1[[#This Row],[Actual]]*Table1[[#This Row],[Talk Duration (AVG)]],"day","hr")</f>
        <v>8.1</v>
      </c>
      <c r="V1135" s="10">
        <f>Table1[[#This Row],[Required Workload Hours]]*60</f>
        <v>486</v>
      </c>
      <c r="W1135" s="9">
        <f t="shared" si="38"/>
        <v>2.1585937499999996</v>
      </c>
      <c r="X1135" s="9">
        <f t="shared" si="37"/>
        <v>1.265625</v>
      </c>
      <c r="Y1135" s="5">
        <f t="shared" si="36"/>
        <v>2</v>
      </c>
      <c r="Z1135" s="8">
        <f>ROUNDUP(Table1[[#This Row],[Actual Heacount]],0)</f>
        <v>3</v>
      </c>
      <c r="AA1135" s="8">
        <f>CONVERT(Table1[[#This Row],[RevisedForecast 30% Recution2]]*Table1[[#This Row],[Talk Duration (AVG)]],"day","hr")</f>
        <v>8.0110675222190686</v>
      </c>
      <c r="AB1135" s="10">
        <f>(Table1[[#This Row],[Forecast Workload Hours]]*60)*1.2</f>
        <v>576.79686159977291</v>
      </c>
      <c r="AC1135" s="10">
        <f>IF(Table1[[#This Row],[Forecast WOrkload Minutes]]&lt;384,1,Table1[[#This Row],[Forecast WOrkload Minutes]]/384)</f>
        <v>1.5020751604160754</v>
      </c>
      <c r="AD1135" s="10">
        <f>ROUNDUP(Table1[[#This Row],[Forecast Headcount]],0)</f>
        <v>2</v>
      </c>
      <c r="AE1135" s="11">
        <v>116.61424167427499</v>
      </c>
      <c r="AF1135" s="11">
        <v>328.06107996876477</v>
      </c>
      <c r="AG1135" t="s">
        <v>7</v>
      </c>
    </row>
    <row r="1136" spans="1:33">
      <c r="A1136" s="2">
        <v>45017</v>
      </c>
      <c r="B1136" s="5" t="s">
        <v>33</v>
      </c>
      <c r="C1136" s="5">
        <f>WEEKDAY(Table1[[#This Row],[Date]])</f>
        <v>7</v>
      </c>
      <c r="D1136" s="5">
        <f>MONTH(Table1[[#This Row],[Date]])</f>
        <v>4</v>
      </c>
      <c r="E1136" s="5">
        <f>WEEKNUM(Table1[[#This Row],[Date]])</f>
        <v>13</v>
      </c>
      <c r="F1136" s="5">
        <f>YEAR(Table1[[#This Row],[Date]])</f>
        <v>2023</v>
      </c>
      <c r="G1136" s="17">
        <v>24</v>
      </c>
      <c r="H1136">
        <v>232.42784309419861</v>
      </c>
      <c r="I1136">
        <f>Table1[[#This Row],[Forecast]]*0.9</f>
        <v>209.18505878477876</v>
      </c>
      <c r="J1136">
        <f>Table1[[#This Row],[Forecast]]*0.8</f>
        <v>185.94227447535889</v>
      </c>
      <c r="K1136">
        <f>Table1[[#This Row],[Forecast]]*0.8</f>
        <v>185.94227447535889</v>
      </c>
      <c r="L1136" s="5">
        <v>257</v>
      </c>
      <c r="M1136" s="6">
        <v>0.98850000000000005</v>
      </c>
      <c r="N1136" s="5">
        <v>3</v>
      </c>
      <c r="O1136" s="7">
        <v>1.1574074074074075E-4</v>
      </c>
      <c r="P1136" s="7">
        <v>1.724537037037037E-3</v>
      </c>
      <c r="Q1136" s="7">
        <v>1.1805555555555556E-3</v>
      </c>
      <c r="R1136" s="6">
        <v>0.91120000000000001</v>
      </c>
      <c r="S1136" s="8">
        <f>CONVERT(Table1[[#This Row],[Talk Duration (AVG)]]*Table1[[#This Row],[Answered Calls]],"day","hr")</f>
        <v>10.636944444444444</v>
      </c>
      <c r="T1136" s="9">
        <f>Table1[[#This Row],[Actual Workload hours]]*60</f>
        <v>638.21666666666658</v>
      </c>
      <c r="U1136" s="9">
        <f>CONVERT(Table1[[#This Row],[Actual]]*Table1[[#This Row],[Talk Duration (AVG)]],"day","hr")</f>
        <v>0.99333333333333351</v>
      </c>
      <c r="V1136" s="10">
        <f>Table1[[#This Row],[Required Workload Hours]]*60</f>
        <v>59.600000000000009</v>
      </c>
      <c r="W1136" s="9">
        <f t="shared" si="38"/>
        <v>1.6620225694444442</v>
      </c>
      <c r="X1136" s="9">
        <f t="shared" si="37"/>
        <v>1</v>
      </c>
      <c r="Y1136" s="5">
        <f t="shared" si="36"/>
        <v>2</v>
      </c>
      <c r="Z1136" s="8">
        <f>ROUNDUP(Table1[[#This Row],[Actual Heacount]],0)</f>
        <v>2</v>
      </c>
      <c r="AA1136" s="8">
        <f>CONVERT(Table1[[#This Row],[RevisedForecast 30% Recution2]]*Table1[[#This Row],[Talk Duration (AVG)]],"day","hr")</f>
        <v>7.695944138007909</v>
      </c>
      <c r="AB1136" s="10">
        <f>(Table1[[#This Row],[Forecast Workload Hours]]*60)*1.2</f>
        <v>554.10797793656945</v>
      </c>
      <c r="AC1136" s="10">
        <f>IF(Table1[[#This Row],[Forecast WOrkload Minutes]]&lt;384,1,Table1[[#This Row],[Forecast WOrkload Minutes]]/384)</f>
        <v>1.4429895258764829</v>
      </c>
      <c r="AD1136" s="10">
        <f>ROUNDUP(Table1[[#This Row],[Forecast Headcount]],0)</f>
        <v>2</v>
      </c>
      <c r="AE1136" s="11">
        <v>126.1133395147463</v>
      </c>
      <c r="AF1136" s="11">
        <v>344.31675919790791</v>
      </c>
      <c r="AG1136" t="s">
        <v>7</v>
      </c>
    </row>
    <row r="1137" spans="1:33">
      <c r="A1137" s="2">
        <v>45018</v>
      </c>
      <c r="B1137" s="5" t="s">
        <v>35</v>
      </c>
      <c r="C1137" s="5">
        <f>WEEKDAY(Table1[[#This Row],[Date]])</f>
        <v>1</v>
      </c>
      <c r="D1137" s="5">
        <f>MONTH(Table1[[#This Row],[Date]])</f>
        <v>4</v>
      </c>
      <c r="E1137" s="5">
        <f>WEEKNUM(Table1[[#This Row],[Date]])</f>
        <v>14</v>
      </c>
      <c r="F1137" s="5">
        <f>YEAR(Table1[[#This Row],[Date]])</f>
        <v>2023</v>
      </c>
      <c r="G1137" s="17">
        <v>7</v>
      </c>
      <c r="H1137">
        <v>146.62410831075101</v>
      </c>
      <c r="I1137">
        <f>Table1[[#This Row],[Forecast]]*0.9</f>
        <v>131.96169747967591</v>
      </c>
      <c r="J1137">
        <f>Table1[[#This Row],[Forecast]]*0.8</f>
        <v>117.29928664860081</v>
      </c>
      <c r="K1137">
        <f>Table1[[#This Row],[Forecast]]*0.8</f>
        <v>117.29928664860081</v>
      </c>
      <c r="L1137" s="5">
        <v>311</v>
      </c>
      <c r="M1137" s="6">
        <v>0.98419999999999996</v>
      </c>
      <c r="N1137" s="5">
        <v>5</v>
      </c>
      <c r="O1137" s="7">
        <v>1.1574074074074075E-4</v>
      </c>
      <c r="P1137" s="7">
        <v>1.8634259259259259E-3</v>
      </c>
      <c r="Q1137" s="7">
        <v>2.0138888888888888E-3</v>
      </c>
      <c r="R1137" s="6">
        <v>0.87539999999999996</v>
      </c>
      <c r="S1137" s="8">
        <f>CONVERT(Table1[[#This Row],[Talk Duration (AVG)]]*Table1[[#This Row],[Answered Calls]],"day","hr")</f>
        <v>13.908611111111112</v>
      </c>
      <c r="T1137" s="9">
        <f>Table1[[#This Row],[Actual Workload hours]]*60</f>
        <v>834.51666666666677</v>
      </c>
      <c r="U1137" s="9">
        <f>CONVERT(Table1[[#This Row],[Actual]]*Table1[[#This Row],[Talk Duration (AVG)]],"day","hr")</f>
        <v>0.31305555555555553</v>
      </c>
      <c r="V1137" s="10">
        <f>Table1[[#This Row],[Required Workload Hours]]*60</f>
        <v>18.783333333333331</v>
      </c>
      <c r="W1137" s="9">
        <f t="shared" si="38"/>
        <v>2.1732204861111115</v>
      </c>
      <c r="X1137" s="9">
        <f t="shared" si="37"/>
        <v>1</v>
      </c>
      <c r="Y1137" s="5">
        <f t="shared" si="36"/>
        <v>2</v>
      </c>
      <c r="Z1137" s="8">
        <f>ROUNDUP(Table1[[#This Row],[Actual Heacount]],0)</f>
        <v>3</v>
      </c>
      <c r="AA1137" s="8">
        <f>CONVERT(Table1[[#This Row],[RevisedForecast 30% Recution2]]*Table1[[#This Row],[Talk Duration (AVG)]],"day","hr")</f>
        <v>5.2458847640068695</v>
      </c>
      <c r="AB1137" s="10">
        <f>(Table1[[#This Row],[Forecast Workload Hours]]*60)*1.2</f>
        <v>377.70370300849459</v>
      </c>
      <c r="AC1137" s="10">
        <f>IF(Table1[[#This Row],[Forecast WOrkload Minutes]]&lt;384,1,Table1[[#This Row],[Forecast WOrkload Minutes]]/384)</f>
        <v>1</v>
      </c>
      <c r="AD1137" s="10">
        <f>ROUNDUP(Table1[[#This Row],[Forecast Headcount]],0)</f>
        <v>1</v>
      </c>
      <c r="AE1137" s="11">
        <v>36.176261517102162</v>
      </c>
      <c r="AF1137" s="11">
        <v>260.58002267539428</v>
      </c>
      <c r="AG1137" t="s">
        <v>7</v>
      </c>
    </row>
    <row r="1138" spans="1:33">
      <c r="A1138" s="2">
        <v>45019</v>
      </c>
      <c r="B1138" s="5" t="s">
        <v>36</v>
      </c>
      <c r="C1138" s="5">
        <f>WEEKDAY(Table1[[#This Row],[Date]])</f>
        <v>2</v>
      </c>
      <c r="D1138" s="5">
        <f>MONTH(Table1[[#This Row],[Date]])</f>
        <v>4</v>
      </c>
      <c r="E1138" s="5">
        <f>WEEKNUM(Table1[[#This Row],[Date]])</f>
        <v>14</v>
      </c>
      <c r="F1138" s="5">
        <f>YEAR(Table1[[#This Row],[Date]])</f>
        <v>2023</v>
      </c>
      <c r="G1138" s="17">
        <v>181</v>
      </c>
      <c r="H1138">
        <v>249.42120057531301</v>
      </c>
      <c r="I1138">
        <f>Table1[[#This Row],[Forecast]]*0.9</f>
        <v>224.47908051778171</v>
      </c>
      <c r="J1138">
        <f>Table1[[#This Row],[Forecast]]*0.8</f>
        <v>199.53696046025041</v>
      </c>
      <c r="K1138">
        <f>Table1[[#This Row],[Forecast]]*0.8</f>
        <v>199.53696046025041</v>
      </c>
      <c r="L1138" s="5">
        <v>59</v>
      </c>
      <c r="M1138" s="6">
        <v>0.98329999999999995</v>
      </c>
      <c r="N1138" s="5">
        <v>1</v>
      </c>
      <c r="O1138" s="7">
        <v>3.4722222222222222E-5</v>
      </c>
      <c r="P1138" s="7">
        <v>1.8634259259259259E-3</v>
      </c>
      <c r="Q1138" s="7">
        <v>1.3310185185185185E-3</v>
      </c>
      <c r="R1138" s="6">
        <v>0.98329999999999995</v>
      </c>
      <c r="S1138" s="8">
        <f>CONVERT(Table1[[#This Row],[Talk Duration (AVG)]]*Table1[[#This Row],[Answered Calls]],"day","hr")</f>
        <v>2.638611111111111</v>
      </c>
      <c r="T1138" s="9">
        <f>Table1[[#This Row],[Actual Workload hours]]*60</f>
        <v>158.31666666666666</v>
      </c>
      <c r="U1138" s="9">
        <f>CONVERT(Table1[[#This Row],[Actual]]*Table1[[#This Row],[Talk Duration (AVG)]],"day","hr")</f>
        <v>8.0947222222222237</v>
      </c>
      <c r="V1138" s="10">
        <f>Table1[[#This Row],[Required Workload Hours]]*60</f>
        <v>485.68333333333339</v>
      </c>
      <c r="W1138" s="9">
        <f t="shared" si="38"/>
        <v>1</v>
      </c>
      <c r="X1138" s="9">
        <f t="shared" si="37"/>
        <v>1.2648003472222225</v>
      </c>
      <c r="Y1138" s="5">
        <f t="shared" si="36"/>
        <v>2</v>
      </c>
      <c r="Z1138" s="8">
        <f>ROUNDUP(Table1[[#This Row],[Actual Heacount]],0)</f>
        <v>1</v>
      </c>
      <c r="AA1138" s="8">
        <f>CONVERT(Table1[[#This Row],[RevisedForecast 30% Recution2]]*Table1[[#This Row],[Talk Duration (AVG)]],"day","hr")</f>
        <v>8.9237362872500885</v>
      </c>
      <c r="AB1138" s="10">
        <f>(Table1[[#This Row],[Forecast Workload Hours]]*60)*1.2</f>
        <v>642.50901268200641</v>
      </c>
      <c r="AC1138" s="10">
        <f>IF(Table1[[#This Row],[Forecast WOrkload Minutes]]&lt;384,1,Table1[[#This Row],[Forecast WOrkload Minutes]]/384)</f>
        <v>1.6732005538593917</v>
      </c>
      <c r="AD1138" s="10">
        <f>ROUNDUP(Table1[[#This Row],[Forecast Headcount]],0)</f>
        <v>2</v>
      </c>
      <c r="AE1138" s="11">
        <v>136.23197171459111</v>
      </c>
      <c r="AF1138" s="11">
        <v>365.99088082013321</v>
      </c>
      <c r="AG1138" t="s">
        <v>7</v>
      </c>
    </row>
    <row r="1139" spans="1:33">
      <c r="A1139" s="2">
        <v>45020</v>
      </c>
      <c r="B1139" s="5" t="s">
        <v>37</v>
      </c>
      <c r="C1139" s="5">
        <f>WEEKDAY(Table1[[#This Row],[Date]])</f>
        <v>3</v>
      </c>
      <c r="D1139" s="5">
        <f>MONTH(Table1[[#This Row],[Date]])</f>
        <v>4</v>
      </c>
      <c r="E1139" s="5">
        <f>WEEKNUM(Table1[[#This Row],[Date]])</f>
        <v>14</v>
      </c>
      <c r="F1139" s="5">
        <f>YEAR(Table1[[#This Row],[Date]])</f>
        <v>2023</v>
      </c>
      <c r="G1139" s="17">
        <v>209</v>
      </c>
      <c r="H1139">
        <v>236.330101721251</v>
      </c>
      <c r="I1139">
        <f>Table1[[#This Row],[Forecast]]*0.9</f>
        <v>212.6970915491259</v>
      </c>
      <c r="J1139">
        <f>Table1[[#This Row],[Forecast]]*0.8</f>
        <v>189.0640813770008</v>
      </c>
      <c r="K1139">
        <f>Table1[[#This Row],[Forecast]]*0.8</f>
        <v>189.0640813770008</v>
      </c>
      <c r="L1139" s="5">
        <v>251</v>
      </c>
      <c r="M1139" s="6">
        <v>0.94010000000000005</v>
      </c>
      <c r="N1139" s="5">
        <v>16</v>
      </c>
      <c r="O1139" s="7">
        <v>2.199074074074074E-4</v>
      </c>
      <c r="P1139" s="7">
        <v>1.7013888888888888E-3</v>
      </c>
      <c r="Q1139" s="7">
        <v>5.37037037037037E-3</v>
      </c>
      <c r="R1139" s="6">
        <v>0.75560000000000005</v>
      </c>
      <c r="S1139" s="8">
        <f>CONVERT(Table1[[#This Row],[Talk Duration (AVG)]]*Table1[[#This Row],[Answered Calls]],"day","hr")</f>
        <v>10.249166666666667</v>
      </c>
      <c r="T1139" s="9">
        <f>Table1[[#This Row],[Actual Workload hours]]*60</f>
        <v>614.95000000000005</v>
      </c>
      <c r="U1139" s="9">
        <f>CONVERT(Table1[[#This Row],[Actual]]*Table1[[#This Row],[Talk Duration (AVG)]],"day","hr")</f>
        <v>8.5341666666666658</v>
      </c>
      <c r="V1139" s="10">
        <f>Table1[[#This Row],[Required Workload Hours]]*60</f>
        <v>512.04999999999995</v>
      </c>
      <c r="W1139" s="9">
        <f t="shared" si="38"/>
        <v>1.6014322916666668</v>
      </c>
      <c r="X1139" s="9">
        <f t="shared" si="37"/>
        <v>1.3334635416666665</v>
      </c>
      <c r="Y1139" s="5">
        <f t="shared" si="36"/>
        <v>2</v>
      </c>
      <c r="Z1139" s="8">
        <f>ROUNDUP(Table1[[#This Row],[Actual Heacount]],0)</f>
        <v>2</v>
      </c>
      <c r="AA1139" s="8">
        <f>CONVERT(Table1[[#This Row],[RevisedForecast 30% Recution2]]*Table1[[#This Row],[Talk Duration (AVG)]],"day","hr")</f>
        <v>7.7201166562275327</v>
      </c>
      <c r="AB1139" s="10">
        <f>(Table1[[#This Row],[Forecast Workload Hours]]*60)*1.2</f>
        <v>555.84839924838229</v>
      </c>
      <c r="AC1139" s="10">
        <f>IF(Table1[[#This Row],[Forecast WOrkload Minutes]]&lt;384,1,Table1[[#This Row],[Forecast WOrkload Minutes]]/384)</f>
        <v>1.4475218730426622</v>
      </c>
      <c r="AD1139" s="10">
        <f>ROUNDUP(Table1[[#This Row],[Forecast Headcount]],0)</f>
        <v>2</v>
      </c>
      <c r="AE1139" s="11">
        <v>133.06601022559661</v>
      </c>
      <c r="AF1139" s="11">
        <v>346.17407379055982</v>
      </c>
      <c r="AG1139" t="s">
        <v>7</v>
      </c>
    </row>
    <row r="1140" spans="1:33">
      <c r="A1140" s="2">
        <v>45021</v>
      </c>
      <c r="B1140" s="5" t="s">
        <v>38</v>
      </c>
      <c r="C1140" s="5">
        <f>WEEKDAY(Table1[[#This Row],[Date]])</f>
        <v>4</v>
      </c>
      <c r="D1140" s="5">
        <f>MONTH(Table1[[#This Row],[Date]])</f>
        <v>4</v>
      </c>
      <c r="E1140" s="5">
        <f>WEEKNUM(Table1[[#This Row],[Date]])</f>
        <v>14</v>
      </c>
      <c r="F1140" s="5">
        <f>YEAR(Table1[[#This Row],[Date]])</f>
        <v>2023</v>
      </c>
      <c r="G1140" s="17">
        <v>180</v>
      </c>
      <c r="H1140">
        <v>251.51067656045109</v>
      </c>
      <c r="I1140">
        <f>Table1[[#This Row],[Forecast]]*0.9</f>
        <v>226.35960890440597</v>
      </c>
      <c r="J1140">
        <f>Table1[[#This Row],[Forecast]]*0.8</f>
        <v>201.20854124836089</v>
      </c>
      <c r="K1140">
        <f>Table1[[#This Row],[Forecast]]*0.8</f>
        <v>201.20854124836089</v>
      </c>
      <c r="L1140" s="5">
        <v>29</v>
      </c>
      <c r="M1140" s="6">
        <v>0.9667</v>
      </c>
      <c r="N1140" s="5">
        <v>1</v>
      </c>
      <c r="O1140" s="7">
        <v>9.2592592592592588E-5</v>
      </c>
      <c r="P1140" s="7">
        <v>1.3888888888888889E-3</v>
      </c>
      <c r="Q1140" s="7">
        <v>5.3240740740740744E-4</v>
      </c>
      <c r="R1140" s="6">
        <v>0.93100000000000005</v>
      </c>
      <c r="S1140" s="8">
        <f>CONVERT(Table1[[#This Row],[Talk Duration (AVG)]]*Table1[[#This Row],[Answered Calls]],"day","hr")</f>
        <v>0.96666666666666667</v>
      </c>
      <c r="T1140" s="9">
        <f>Table1[[#This Row],[Actual Workload hours]]*60</f>
        <v>58</v>
      </c>
      <c r="U1140" s="9">
        <f>CONVERT(Table1[[#This Row],[Actual]]*Table1[[#This Row],[Talk Duration (AVG)]],"day","hr")</f>
        <v>6</v>
      </c>
      <c r="V1140" s="10">
        <f>Table1[[#This Row],[Required Workload Hours]]*60</f>
        <v>360</v>
      </c>
      <c r="W1140" s="9">
        <f t="shared" si="38"/>
        <v>1</v>
      </c>
      <c r="X1140" s="9">
        <f t="shared" si="37"/>
        <v>1</v>
      </c>
      <c r="Y1140" s="5">
        <f t="shared" si="36"/>
        <v>1</v>
      </c>
      <c r="Z1140" s="8">
        <f>ROUNDUP(Table1[[#This Row],[Actual Heacount]],0)</f>
        <v>1</v>
      </c>
      <c r="AA1140" s="8">
        <f>CONVERT(Table1[[#This Row],[RevisedForecast 30% Recution2]]*Table1[[#This Row],[Talk Duration (AVG)]],"day","hr")</f>
        <v>6.7069513749453638</v>
      </c>
      <c r="AB1140" s="10">
        <f>(Table1[[#This Row],[Forecast Workload Hours]]*60)*1.2</f>
        <v>482.90049899606618</v>
      </c>
      <c r="AC1140" s="10">
        <f>IF(Table1[[#This Row],[Forecast WOrkload Minutes]]&lt;384,1,Table1[[#This Row],[Forecast WOrkload Minutes]]/384)</f>
        <v>1.2575533828022556</v>
      </c>
      <c r="AD1140" s="10">
        <f>ROUNDUP(Table1[[#This Row],[Forecast Headcount]],0)</f>
        <v>2</v>
      </c>
      <c r="AE1140" s="11">
        <v>141.41088651189651</v>
      </c>
      <c r="AF1140" s="11">
        <v>355.83134511402761</v>
      </c>
      <c r="AG1140" t="s">
        <v>7</v>
      </c>
    </row>
    <row r="1141" spans="1:33">
      <c r="A1141" s="2">
        <v>45022</v>
      </c>
      <c r="B1141" s="5" t="s">
        <v>39</v>
      </c>
      <c r="C1141" s="5">
        <f>WEEKDAY(Table1[[#This Row],[Date]])</f>
        <v>5</v>
      </c>
      <c r="D1141" s="5">
        <f>MONTH(Table1[[#This Row],[Date]])</f>
        <v>4</v>
      </c>
      <c r="E1141" s="5">
        <f>WEEKNUM(Table1[[#This Row],[Date]])</f>
        <v>14</v>
      </c>
      <c r="F1141" s="5">
        <f>YEAR(Table1[[#This Row],[Date]])</f>
        <v>2023</v>
      </c>
      <c r="G1141" s="17">
        <v>221</v>
      </c>
      <c r="H1141">
        <v>249.64074167580901</v>
      </c>
      <c r="I1141">
        <f>Table1[[#This Row],[Forecast]]*0.9</f>
        <v>224.67666750822812</v>
      </c>
      <c r="J1141">
        <f>Table1[[#This Row],[Forecast]]*0.8</f>
        <v>199.71259334064723</v>
      </c>
      <c r="K1141">
        <f>Table1[[#This Row],[Forecast]]*0.8</f>
        <v>199.71259334064723</v>
      </c>
      <c r="L1141" s="5">
        <v>238</v>
      </c>
      <c r="M1141" s="6">
        <v>0.96360000000000001</v>
      </c>
      <c r="N1141" s="5">
        <v>9</v>
      </c>
      <c r="O1141" s="7">
        <v>1.5046296296296297E-4</v>
      </c>
      <c r="P1141" s="7">
        <v>1.7939814814814815E-3</v>
      </c>
      <c r="Q1141" s="7">
        <v>2.0138888888888888E-3</v>
      </c>
      <c r="R1141" s="6">
        <v>0.83330000000000004</v>
      </c>
      <c r="S1141" s="8">
        <f>CONVERT(Table1[[#This Row],[Talk Duration (AVG)]]*Table1[[#This Row],[Answered Calls]],"day","hr")</f>
        <v>10.247222222222222</v>
      </c>
      <c r="T1141" s="9">
        <f>Table1[[#This Row],[Actual Workload hours]]*60</f>
        <v>614.83333333333326</v>
      </c>
      <c r="U1141" s="9">
        <f>CONVERT(Table1[[#This Row],[Actual]]*Table1[[#This Row],[Talk Duration (AVG)]],"day","hr")</f>
        <v>9.5152777777777775</v>
      </c>
      <c r="V1141" s="10">
        <f>Table1[[#This Row],[Required Workload Hours]]*60</f>
        <v>570.91666666666663</v>
      </c>
      <c r="W1141" s="9">
        <f t="shared" si="38"/>
        <v>1.6011284722222221</v>
      </c>
      <c r="X1141" s="9">
        <f t="shared" si="37"/>
        <v>1.4867621527777777</v>
      </c>
      <c r="Y1141" s="5">
        <f t="shared" si="36"/>
        <v>2</v>
      </c>
      <c r="Z1141" s="8">
        <f>ROUNDUP(Table1[[#This Row],[Actual Heacount]],0)</f>
        <v>2</v>
      </c>
      <c r="AA1141" s="8">
        <f>CONVERT(Table1[[#This Row],[RevisedForecast 30% Recution2]]*Table1[[#This Row],[Talk Duration (AVG)]],"day","hr")</f>
        <v>8.5987366577223128</v>
      </c>
      <c r="AB1141" s="10">
        <f>(Table1[[#This Row],[Forecast Workload Hours]]*60)*1.2</f>
        <v>619.10903935600641</v>
      </c>
      <c r="AC1141" s="10">
        <f>IF(Table1[[#This Row],[Forecast WOrkload Minutes]]&lt;384,1,Table1[[#This Row],[Forecast WOrkload Minutes]]/384)</f>
        <v>1.6122631233229334</v>
      </c>
      <c r="AD1141" s="10">
        <f>ROUNDUP(Table1[[#This Row],[Forecast Headcount]],0)</f>
        <v>2</v>
      </c>
      <c r="AE1141" s="11">
        <v>133.0443754880487</v>
      </c>
      <c r="AF1141" s="11">
        <v>359.25507750477419</v>
      </c>
      <c r="AG1141" t="s">
        <v>7</v>
      </c>
    </row>
    <row r="1142" spans="1:33">
      <c r="A1142" s="2">
        <v>45023</v>
      </c>
      <c r="B1142" s="5" t="s">
        <v>40</v>
      </c>
      <c r="C1142" s="5">
        <f>WEEKDAY(Table1[[#This Row],[Date]])</f>
        <v>6</v>
      </c>
      <c r="D1142" s="5">
        <f>MONTH(Table1[[#This Row],[Date]])</f>
        <v>4</v>
      </c>
      <c r="E1142" s="5">
        <f>WEEKNUM(Table1[[#This Row],[Date]])</f>
        <v>14</v>
      </c>
      <c r="F1142" s="5">
        <f>YEAR(Table1[[#This Row],[Date]])</f>
        <v>2023</v>
      </c>
      <c r="G1142" s="17">
        <v>254</v>
      </c>
      <c r="H1142">
        <v>243.56707906766249</v>
      </c>
      <c r="I1142">
        <f>Table1[[#This Row],[Forecast]]*0.9</f>
        <v>219.21037116089624</v>
      </c>
      <c r="J1142">
        <f>Table1[[#This Row],[Forecast]]*0.8</f>
        <v>194.85366325413</v>
      </c>
      <c r="K1142">
        <f>Table1[[#This Row],[Forecast]]*0.8</f>
        <v>194.85366325413</v>
      </c>
      <c r="L1142" s="5">
        <v>365</v>
      </c>
      <c r="M1142" s="6">
        <v>0.97070000000000001</v>
      </c>
      <c r="N1142" s="5">
        <v>11</v>
      </c>
      <c r="O1142" s="7">
        <v>1.7361111111111112E-4</v>
      </c>
      <c r="P1142" s="7">
        <v>2.0833333333333333E-3</v>
      </c>
      <c r="Q1142" s="7">
        <v>2.4305555555555556E-3</v>
      </c>
      <c r="R1142" s="6">
        <v>0.81769999999999998</v>
      </c>
      <c r="S1142" s="8">
        <f>CONVERT(Table1[[#This Row],[Talk Duration (AVG)]]*Table1[[#This Row],[Answered Calls]],"day","hr")</f>
        <v>18.25</v>
      </c>
      <c r="T1142" s="9">
        <f>Table1[[#This Row],[Actual Workload hours]]*60</f>
        <v>1095</v>
      </c>
      <c r="U1142" s="9">
        <f>CONVERT(Table1[[#This Row],[Actual]]*Table1[[#This Row],[Talk Duration (AVG)]],"day","hr")</f>
        <v>12.7</v>
      </c>
      <c r="V1142" s="10">
        <f>Table1[[#This Row],[Required Workload Hours]]*60</f>
        <v>762</v>
      </c>
      <c r="W1142" s="9">
        <f t="shared" si="38"/>
        <v>2.8515625</v>
      </c>
      <c r="X1142" s="9">
        <f t="shared" si="37"/>
        <v>1.984375</v>
      </c>
      <c r="Y1142" s="5">
        <f t="shared" si="36"/>
        <v>2</v>
      </c>
      <c r="Z1142" s="8">
        <f>ROUNDUP(Table1[[#This Row],[Actual Heacount]],0)</f>
        <v>3</v>
      </c>
      <c r="AA1142" s="8">
        <f>CONVERT(Table1[[#This Row],[RevisedForecast 30% Recution2]]*Table1[[#This Row],[Talk Duration (AVG)]],"day","hr")</f>
        <v>9.7426831627065003</v>
      </c>
      <c r="AB1142" s="10">
        <f>(Table1[[#This Row],[Forecast Workload Hours]]*60)*1.2</f>
        <v>701.473187714868</v>
      </c>
      <c r="AC1142" s="10">
        <f>IF(Table1[[#This Row],[Forecast WOrkload Minutes]]&lt;384,1,Table1[[#This Row],[Forecast WOrkload Minutes]]/384)</f>
        <v>1.8267530930074687</v>
      </c>
      <c r="AD1142" s="10">
        <f>ROUNDUP(Table1[[#This Row],[Forecast Headcount]],0)</f>
        <v>2</v>
      </c>
      <c r="AE1142" s="11">
        <v>137.9498671313255</v>
      </c>
      <c r="AF1142" s="11">
        <v>354.28296008095401</v>
      </c>
      <c r="AG1142" t="s">
        <v>7</v>
      </c>
    </row>
    <row r="1143" spans="1:33">
      <c r="A1143" s="2">
        <v>45024</v>
      </c>
      <c r="B1143" s="5" t="s">
        <v>33</v>
      </c>
      <c r="C1143" s="5">
        <f>WEEKDAY(Table1[[#This Row],[Date]])</f>
        <v>7</v>
      </c>
      <c r="D1143" s="5">
        <f>MONTH(Table1[[#This Row],[Date]])</f>
        <v>4</v>
      </c>
      <c r="E1143" s="5">
        <f>WEEKNUM(Table1[[#This Row],[Date]])</f>
        <v>14</v>
      </c>
      <c r="F1143" s="5">
        <f>YEAR(Table1[[#This Row],[Date]])</f>
        <v>2023</v>
      </c>
      <c r="G1143" s="17">
        <v>627</v>
      </c>
      <c r="H1143">
        <v>253.36565156467771</v>
      </c>
      <c r="I1143">
        <f>Table1[[#This Row],[Forecast]]*0.9</f>
        <v>228.02908640820993</v>
      </c>
      <c r="J1143">
        <f>Table1[[#This Row],[Forecast]]*0.8</f>
        <v>202.69252125174216</v>
      </c>
      <c r="K1143">
        <f>Table1[[#This Row],[Forecast]]*0.8</f>
        <v>202.69252125174216</v>
      </c>
      <c r="L1143" s="5">
        <v>306</v>
      </c>
      <c r="M1143" s="6">
        <v>0.96840000000000004</v>
      </c>
      <c r="N1143" s="5">
        <v>10</v>
      </c>
      <c r="O1143" s="7">
        <v>1.5046296296296297E-4</v>
      </c>
      <c r="P1143" s="7">
        <v>2.0254629629629629E-3</v>
      </c>
      <c r="Q1143" s="7">
        <v>1.3657407407407407E-3</v>
      </c>
      <c r="R1143" s="6">
        <v>0.82799999999999996</v>
      </c>
      <c r="S1143" s="8">
        <f>CONVERT(Table1[[#This Row],[Talk Duration (AVG)]]*Table1[[#This Row],[Answered Calls]],"day","hr")</f>
        <v>14.875</v>
      </c>
      <c r="T1143" s="9">
        <f>Table1[[#This Row],[Actual Workload hours]]*60</f>
        <v>892.5</v>
      </c>
      <c r="U1143" s="9">
        <f>CONVERT(Table1[[#This Row],[Actual]]*Table1[[#This Row],[Talk Duration (AVG)]],"day","hr")</f>
        <v>30.479166666666664</v>
      </c>
      <c r="V1143" s="10">
        <f>Table1[[#This Row],[Required Workload Hours]]*60</f>
        <v>1828.7499999999998</v>
      </c>
      <c r="W1143" s="9">
        <f t="shared" si="38"/>
        <v>2.32421875</v>
      </c>
      <c r="X1143" s="9">
        <f t="shared" si="37"/>
        <v>4.7623697916666661</v>
      </c>
      <c r="Y1143" s="5">
        <f t="shared" si="36"/>
        <v>2</v>
      </c>
      <c r="Z1143" s="8">
        <f>ROUNDUP(Table1[[#This Row],[Actual Heacount]],0)</f>
        <v>3</v>
      </c>
      <c r="AA1143" s="8">
        <f>CONVERT(Table1[[#This Row],[RevisedForecast 30% Recution2]]*Table1[[#This Row],[Talk Duration (AVG)]],"day","hr")</f>
        <v>9.8531086719596885</v>
      </c>
      <c r="AB1143" s="10">
        <f>(Table1[[#This Row],[Forecast Workload Hours]]*60)*1.2</f>
        <v>709.42382438109757</v>
      </c>
      <c r="AC1143" s="10">
        <f>IF(Table1[[#This Row],[Forecast WOrkload Minutes]]&lt;384,1,Table1[[#This Row],[Forecast WOrkload Minutes]]/384)</f>
        <v>1.8474578759924416</v>
      </c>
      <c r="AD1143" s="10">
        <f>ROUNDUP(Table1[[#This Row],[Forecast Headcount]],0)</f>
        <v>2</v>
      </c>
      <c r="AE1143" s="11">
        <v>140.8231287557937</v>
      </c>
      <c r="AF1143" s="11">
        <v>369.32649850513008</v>
      </c>
      <c r="AG1143" t="s">
        <v>7</v>
      </c>
    </row>
    <row r="1144" spans="1:33">
      <c r="A1144" s="2">
        <v>45025</v>
      </c>
      <c r="B1144" s="5" t="s">
        <v>35</v>
      </c>
      <c r="C1144" s="5">
        <f>WEEKDAY(Table1[[#This Row],[Date]])</f>
        <v>1</v>
      </c>
      <c r="D1144" s="5">
        <f>MONTH(Table1[[#This Row],[Date]])</f>
        <v>4</v>
      </c>
      <c r="E1144" s="5">
        <f>WEEKNUM(Table1[[#This Row],[Date]])</f>
        <v>15</v>
      </c>
      <c r="F1144" s="5">
        <f>YEAR(Table1[[#This Row],[Date]])</f>
        <v>2023</v>
      </c>
      <c r="G1144" s="17">
        <v>167</v>
      </c>
      <c r="H1144">
        <v>167.16018364268379</v>
      </c>
      <c r="I1144">
        <f>Table1[[#This Row],[Forecast]]*0.9</f>
        <v>150.44416527841543</v>
      </c>
      <c r="J1144">
        <f>Table1[[#This Row],[Forecast]]*0.8</f>
        <v>133.72814691414703</v>
      </c>
      <c r="K1144">
        <f>Table1[[#This Row],[Forecast]]*0.8</f>
        <v>133.72814691414703</v>
      </c>
      <c r="L1144" s="5">
        <v>304</v>
      </c>
      <c r="M1144" s="6">
        <v>0.98060000000000003</v>
      </c>
      <c r="N1144" s="5">
        <v>6</v>
      </c>
      <c r="O1144" s="7">
        <v>8.1018518518518516E-5</v>
      </c>
      <c r="P1144" s="7">
        <v>1.9791666666666668E-3</v>
      </c>
      <c r="Q1144" s="7">
        <v>1.1574074074074073E-3</v>
      </c>
      <c r="R1144" s="6">
        <v>0.92159999999999997</v>
      </c>
      <c r="S1144" s="8">
        <f>CONVERT(Table1[[#This Row],[Talk Duration (AVG)]]*Table1[[#This Row],[Answered Calls]],"day","hr")</f>
        <v>14.44</v>
      </c>
      <c r="T1144" s="9">
        <f>Table1[[#This Row],[Actual Workload hours]]*60</f>
        <v>866.4</v>
      </c>
      <c r="U1144" s="9">
        <f>CONVERT(Table1[[#This Row],[Actual]]*Table1[[#This Row],[Talk Duration (AVG)]],"day","hr")</f>
        <v>7.932500000000001</v>
      </c>
      <c r="V1144" s="10">
        <f>Table1[[#This Row],[Required Workload Hours]]*60</f>
        <v>475.95000000000005</v>
      </c>
      <c r="W1144" s="9">
        <f t="shared" si="38"/>
        <v>2.2562500000000001</v>
      </c>
      <c r="X1144" s="9">
        <f t="shared" si="37"/>
        <v>1.239453125</v>
      </c>
      <c r="Y1144" s="5">
        <f t="shared" si="36"/>
        <v>2</v>
      </c>
      <c r="Z1144" s="8">
        <f>ROUNDUP(Table1[[#This Row],[Actual Heacount]],0)</f>
        <v>3</v>
      </c>
      <c r="AA1144" s="8">
        <f>CONVERT(Table1[[#This Row],[RevisedForecast 30% Recution2]]*Table1[[#This Row],[Talk Duration (AVG)]],"day","hr")</f>
        <v>6.3520869784219851</v>
      </c>
      <c r="AB1144" s="10">
        <f>(Table1[[#This Row],[Forecast Workload Hours]]*60)*1.2</f>
        <v>457.35026244638294</v>
      </c>
      <c r="AC1144" s="10">
        <f>IF(Table1[[#This Row],[Forecast WOrkload Minutes]]&lt;384,1,Table1[[#This Row],[Forecast WOrkload Minutes]]/384)</f>
        <v>1.1910163084541223</v>
      </c>
      <c r="AD1144" s="10">
        <f>ROUNDUP(Table1[[#This Row],[Forecast Headcount]],0)</f>
        <v>2</v>
      </c>
      <c r="AE1144" s="11">
        <v>53.614834513022338</v>
      </c>
      <c r="AF1144" s="11">
        <v>277.78346922169271</v>
      </c>
      <c r="AG1144" t="s">
        <v>7</v>
      </c>
    </row>
    <row r="1145" spans="1:33">
      <c r="A1145" s="2">
        <v>45026</v>
      </c>
      <c r="B1145" s="5" t="s">
        <v>36</v>
      </c>
      <c r="C1145" s="5">
        <f>WEEKDAY(Table1[[#This Row],[Date]])</f>
        <v>2</v>
      </c>
      <c r="D1145" s="5">
        <f>MONTH(Table1[[#This Row],[Date]])</f>
        <v>4</v>
      </c>
      <c r="E1145" s="5">
        <f>WEEKNUM(Table1[[#This Row],[Date]])</f>
        <v>15</v>
      </c>
      <c r="F1145" s="5">
        <f>YEAR(Table1[[#This Row],[Date]])</f>
        <v>2023</v>
      </c>
      <c r="G1145" s="17">
        <v>599</v>
      </c>
      <c r="H1145">
        <v>269.28139612593998</v>
      </c>
      <c r="I1145">
        <f>Table1[[#This Row],[Forecast]]*0.9</f>
        <v>242.353256513346</v>
      </c>
      <c r="J1145">
        <f>Table1[[#This Row],[Forecast]]*0.8</f>
        <v>215.42511690075199</v>
      </c>
      <c r="K1145">
        <f>Table1[[#This Row],[Forecast]]*0.8</f>
        <v>215.42511690075199</v>
      </c>
      <c r="L1145" s="5">
        <v>327</v>
      </c>
      <c r="M1145" s="6">
        <v>0.96179999999999999</v>
      </c>
      <c r="N1145" s="5">
        <v>13</v>
      </c>
      <c r="O1145" s="7">
        <v>2.6620370370370372E-4</v>
      </c>
      <c r="P1145" s="7">
        <v>2.0254629629629629E-3</v>
      </c>
      <c r="Q1145" s="7">
        <v>1.7824074074074075E-3</v>
      </c>
      <c r="R1145" s="6">
        <v>0.71340000000000003</v>
      </c>
      <c r="S1145" s="8">
        <f>CONVERT(Table1[[#This Row],[Talk Duration (AVG)]]*Table1[[#This Row],[Answered Calls]],"day","hr")</f>
        <v>15.895833333333332</v>
      </c>
      <c r="T1145" s="9">
        <f>Table1[[#This Row],[Actual Workload hours]]*60</f>
        <v>953.74999999999989</v>
      </c>
      <c r="U1145" s="9">
        <f>CONVERT(Table1[[#This Row],[Actual]]*Table1[[#This Row],[Talk Duration (AVG)]],"day","hr")</f>
        <v>29.11805555555555</v>
      </c>
      <c r="V1145" s="10">
        <f>Table1[[#This Row],[Required Workload Hours]]*60</f>
        <v>1747.083333333333</v>
      </c>
      <c r="W1145" s="9">
        <f t="shared" si="38"/>
        <v>2.483723958333333</v>
      </c>
      <c r="X1145" s="9">
        <f t="shared" si="37"/>
        <v>4.5496961805555545</v>
      </c>
      <c r="Y1145" s="5">
        <f t="shared" si="36"/>
        <v>2</v>
      </c>
      <c r="Z1145" s="8">
        <f>ROUNDUP(Table1[[#This Row],[Actual Heacount]],0)</f>
        <v>3</v>
      </c>
      <c r="AA1145" s="8">
        <f>CONVERT(Table1[[#This Row],[RevisedForecast 30% Recution2]]*Table1[[#This Row],[Talk Duration (AVG)]],"day","hr")</f>
        <v>10.472054293786554</v>
      </c>
      <c r="AB1145" s="10">
        <f>(Table1[[#This Row],[Forecast Workload Hours]]*60)*1.2</f>
        <v>753.98790915263191</v>
      </c>
      <c r="AC1145" s="10">
        <f>IF(Table1[[#This Row],[Forecast WOrkload Minutes]]&lt;384,1,Table1[[#This Row],[Forecast WOrkload Minutes]]/384)</f>
        <v>1.963510180084979</v>
      </c>
      <c r="AD1145" s="10">
        <f>ROUNDUP(Table1[[#This Row],[Forecast Headcount]],0)</f>
        <v>2</v>
      </c>
      <c r="AE1145" s="11">
        <v>165.01229506574771</v>
      </c>
      <c r="AF1145" s="11">
        <v>380.96498888380438</v>
      </c>
      <c r="AG1145" t="s">
        <v>7</v>
      </c>
    </row>
    <row r="1146" spans="1:33">
      <c r="A1146" s="2">
        <v>45027</v>
      </c>
      <c r="B1146" s="5" t="s">
        <v>37</v>
      </c>
      <c r="C1146" s="5">
        <f>WEEKDAY(Table1[[#This Row],[Date]])</f>
        <v>3</v>
      </c>
      <c r="D1146" s="5">
        <f>MONTH(Table1[[#This Row],[Date]])</f>
        <v>4</v>
      </c>
      <c r="E1146" s="5">
        <f>WEEKNUM(Table1[[#This Row],[Date]])</f>
        <v>15</v>
      </c>
      <c r="F1146" s="5">
        <f>YEAR(Table1[[#This Row],[Date]])</f>
        <v>2023</v>
      </c>
      <c r="G1146" s="17">
        <v>304</v>
      </c>
      <c r="H1146">
        <v>255.272490127813</v>
      </c>
      <c r="I1146">
        <f>Table1[[#This Row],[Forecast]]*0.9</f>
        <v>229.74524111503172</v>
      </c>
      <c r="J1146">
        <f>Table1[[#This Row],[Forecast]]*0.8</f>
        <v>204.21799210225041</v>
      </c>
      <c r="K1146">
        <f>Table1[[#This Row],[Forecast]]*0.8</f>
        <v>204.21799210225041</v>
      </c>
      <c r="L1146" s="5">
        <v>289</v>
      </c>
      <c r="M1146" s="6">
        <v>0.94440000000000002</v>
      </c>
      <c r="N1146" s="5">
        <v>17</v>
      </c>
      <c r="O1146" s="7">
        <v>2.7777777777777778E-4</v>
      </c>
      <c r="P1146" s="7">
        <v>1.8865740740740742E-3</v>
      </c>
      <c r="Q1146" s="7">
        <v>3.5185185185185185E-3</v>
      </c>
      <c r="R1146" s="6">
        <v>0.69740000000000002</v>
      </c>
      <c r="S1146" s="8">
        <f>CONVERT(Table1[[#This Row],[Talk Duration (AVG)]]*Table1[[#This Row],[Answered Calls]],"day","hr")</f>
        <v>13.085277777777778</v>
      </c>
      <c r="T1146" s="9">
        <f>Table1[[#This Row],[Actual Workload hours]]*60</f>
        <v>785.11666666666667</v>
      </c>
      <c r="U1146" s="9">
        <f>CONVERT(Table1[[#This Row],[Actual]]*Table1[[#This Row],[Talk Duration (AVG)]],"day","hr")</f>
        <v>13.764444444444445</v>
      </c>
      <c r="V1146" s="10">
        <f>Table1[[#This Row],[Required Workload Hours]]*60</f>
        <v>825.86666666666667</v>
      </c>
      <c r="W1146" s="9">
        <f t="shared" si="38"/>
        <v>2.0445746527777779</v>
      </c>
      <c r="X1146" s="9">
        <f t="shared" si="37"/>
        <v>2.1506944444444445</v>
      </c>
      <c r="Y1146" s="5">
        <f t="shared" si="36"/>
        <v>2</v>
      </c>
      <c r="Z1146" s="8">
        <f>ROUNDUP(Table1[[#This Row],[Actual Heacount]],0)</f>
        <v>3</v>
      </c>
      <c r="AA1146" s="8">
        <f>CONVERT(Table1[[#This Row],[RevisedForecast 30% Recution2]]*Table1[[#This Row],[Talk Duration (AVG)]],"day","hr")</f>
        <v>9.2465368646296717</v>
      </c>
      <c r="AB1146" s="10">
        <f>(Table1[[#This Row],[Forecast Workload Hours]]*60)*1.2</f>
        <v>665.75065425333639</v>
      </c>
      <c r="AC1146" s="10">
        <f>IF(Table1[[#This Row],[Forecast WOrkload Minutes]]&lt;384,1,Table1[[#This Row],[Forecast WOrkload Minutes]]/384)</f>
        <v>1.7337256621180634</v>
      </c>
      <c r="AD1146" s="10">
        <f>ROUNDUP(Table1[[#This Row],[Forecast Headcount]],0)</f>
        <v>2</v>
      </c>
      <c r="AE1146" s="11">
        <v>141.0310259942737</v>
      </c>
      <c r="AF1146" s="11">
        <v>366.22804394622</v>
      </c>
      <c r="AG1146" t="s">
        <v>7</v>
      </c>
    </row>
    <row r="1147" spans="1:33">
      <c r="A1147" s="2">
        <v>45028</v>
      </c>
      <c r="B1147" s="5" t="s">
        <v>38</v>
      </c>
      <c r="C1147" s="5">
        <f>WEEKDAY(Table1[[#This Row],[Date]])</f>
        <v>4</v>
      </c>
      <c r="D1147" s="5">
        <f>MONTH(Table1[[#This Row],[Date]])</f>
        <v>4</v>
      </c>
      <c r="E1147" s="5">
        <f>WEEKNUM(Table1[[#This Row],[Date]])</f>
        <v>15</v>
      </c>
      <c r="F1147" s="5">
        <f>YEAR(Table1[[#This Row],[Date]])</f>
        <v>2023</v>
      </c>
      <c r="G1147" s="17">
        <v>267</v>
      </c>
      <c r="H1147">
        <v>269.32888423095778</v>
      </c>
      <c r="I1147">
        <f>Table1[[#This Row],[Forecast]]*0.9</f>
        <v>242.39599580786202</v>
      </c>
      <c r="J1147">
        <f>Table1[[#This Row],[Forecast]]*0.8</f>
        <v>215.46310738476623</v>
      </c>
      <c r="K1147">
        <f>Table1[[#This Row],[Forecast]]*0.8</f>
        <v>215.46310738476623</v>
      </c>
      <c r="L1147" s="5">
        <v>40</v>
      </c>
      <c r="M1147" s="6">
        <v>1</v>
      </c>
      <c r="N1147" s="5">
        <v>0</v>
      </c>
      <c r="O1147" s="7">
        <v>5.7870370370370373E-5</v>
      </c>
      <c r="P1147" s="7">
        <v>1.9212962962962964E-3</v>
      </c>
      <c r="Q1147" s="7">
        <v>5.9027777777777778E-4</v>
      </c>
      <c r="R1147" s="6">
        <v>0.97499999999999998</v>
      </c>
      <c r="S1147" s="8">
        <f>CONVERT(Table1[[#This Row],[Talk Duration (AVG)]]*Table1[[#This Row],[Answered Calls]],"day","hr")</f>
        <v>1.8444444444444446</v>
      </c>
      <c r="T1147" s="9">
        <f>Table1[[#This Row],[Actual Workload hours]]*60</f>
        <v>110.66666666666667</v>
      </c>
      <c r="U1147" s="9">
        <f>CONVERT(Table1[[#This Row],[Actual]]*Table1[[#This Row],[Talk Duration (AVG)]],"day","hr")</f>
        <v>12.311666666666667</v>
      </c>
      <c r="V1147" s="10">
        <f>Table1[[#This Row],[Required Workload Hours]]*60</f>
        <v>738.7</v>
      </c>
      <c r="W1147" s="9">
        <f t="shared" si="38"/>
        <v>1</v>
      </c>
      <c r="X1147" s="9">
        <f t="shared" si="37"/>
        <v>1.9236979166666668</v>
      </c>
      <c r="Y1147" s="5">
        <f t="shared" si="36"/>
        <v>1</v>
      </c>
      <c r="Z1147" s="8">
        <f>ROUNDUP(Table1[[#This Row],[Actual Heacount]],0)</f>
        <v>1</v>
      </c>
      <c r="AA1147" s="8">
        <f>CONVERT(Table1[[#This Row],[RevisedForecast 30% Recution2]]*Table1[[#This Row],[Talk Duration (AVG)]],"day","hr")</f>
        <v>9.9352432849642209</v>
      </c>
      <c r="AB1147" s="10">
        <f>(Table1[[#This Row],[Forecast Workload Hours]]*60)*1.2</f>
        <v>715.33751651742386</v>
      </c>
      <c r="AC1147" s="10">
        <f>IF(Table1[[#This Row],[Forecast WOrkload Minutes]]&lt;384,1,Table1[[#This Row],[Forecast WOrkload Minutes]]/384)</f>
        <v>1.8628581159307913</v>
      </c>
      <c r="AD1147" s="10">
        <f>ROUNDUP(Table1[[#This Row],[Forecast Headcount]],0)</f>
        <v>2</v>
      </c>
      <c r="AE1147" s="11">
        <v>154.44999104299961</v>
      </c>
      <c r="AF1147" s="11">
        <v>384.47204133337681</v>
      </c>
      <c r="AG1147" t="s">
        <v>7</v>
      </c>
    </row>
    <row r="1148" spans="1:33">
      <c r="A1148" s="2">
        <v>45029</v>
      </c>
      <c r="B1148" s="5" t="s">
        <v>39</v>
      </c>
      <c r="C1148" s="5">
        <f>WEEKDAY(Table1[[#This Row],[Date]])</f>
        <v>5</v>
      </c>
      <c r="D1148" s="5">
        <f>MONTH(Table1[[#This Row],[Date]])</f>
        <v>4</v>
      </c>
      <c r="E1148" s="5">
        <f>WEEKNUM(Table1[[#This Row],[Date]])</f>
        <v>15</v>
      </c>
      <c r="F1148" s="5">
        <f>YEAR(Table1[[#This Row],[Date]])</f>
        <v>2023</v>
      </c>
      <c r="G1148" s="17">
        <v>286</v>
      </c>
      <c r="H1148">
        <v>266.16631788798679</v>
      </c>
      <c r="I1148">
        <f>Table1[[#This Row],[Forecast]]*0.9</f>
        <v>239.54968609918811</v>
      </c>
      <c r="J1148">
        <f>Table1[[#This Row],[Forecast]]*0.8</f>
        <v>212.93305431038945</v>
      </c>
      <c r="K1148">
        <f>Table1[[#This Row],[Forecast]]*0.8</f>
        <v>212.93305431038945</v>
      </c>
      <c r="L1148" s="5">
        <v>370</v>
      </c>
      <c r="M1148" s="6">
        <v>0.9788</v>
      </c>
      <c r="N1148" s="5">
        <v>8</v>
      </c>
      <c r="O1148" s="7">
        <v>1.273148148148148E-4</v>
      </c>
      <c r="P1148" s="7">
        <v>1.9907407407407408E-3</v>
      </c>
      <c r="Q1148" s="7">
        <v>1.8055555555555555E-3</v>
      </c>
      <c r="R1148" s="6">
        <v>0.86699999999999999</v>
      </c>
      <c r="S1148" s="8">
        <f>CONVERT(Table1[[#This Row],[Talk Duration (AVG)]]*Table1[[#This Row],[Answered Calls]],"day","hr")</f>
        <v>17.677777777777781</v>
      </c>
      <c r="T1148" s="9">
        <f>Table1[[#This Row],[Actual Workload hours]]*60</f>
        <v>1060.6666666666667</v>
      </c>
      <c r="U1148" s="9">
        <f>CONVERT(Table1[[#This Row],[Actual]]*Table1[[#This Row],[Talk Duration (AVG)]],"day","hr")</f>
        <v>13.664444444444445</v>
      </c>
      <c r="V1148" s="10">
        <f>Table1[[#This Row],[Required Workload Hours]]*60</f>
        <v>819.86666666666667</v>
      </c>
      <c r="W1148" s="9">
        <f t="shared" si="38"/>
        <v>2.7621527777777781</v>
      </c>
      <c r="X1148" s="9">
        <f t="shared" si="37"/>
        <v>2.1350694444444445</v>
      </c>
      <c r="Y1148" s="5">
        <f t="shared" si="36"/>
        <v>2</v>
      </c>
      <c r="Z1148" s="8">
        <f>ROUNDUP(Table1[[#This Row],[Actual Heacount]],0)</f>
        <v>3</v>
      </c>
      <c r="AA1148" s="8">
        <f>CONVERT(Table1[[#This Row],[RevisedForecast 30% Recution2]]*Table1[[#This Row],[Talk Duration (AVG)]],"day","hr")</f>
        <v>10.173468150385274</v>
      </c>
      <c r="AB1148" s="10">
        <f>(Table1[[#This Row],[Forecast Workload Hours]]*60)*1.2</f>
        <v>732.48970682773972</v>
      </c>
      <c r="AC1148" s="10">
        <f>IF(Table1[[#This Row],[Forecast WOrkload Minutes]]&lt;384,1,Table1[[#This Row],[Forecast WOrkload Minutes]]/384)</f>
        <v>1.9075252781972389</v>
      </c>
      <c r="AD1148" s="10">
        <f>ROUNDUP(Table1[[#This Row],[Forecast Headcount]],0)</f>
        <v>2</v>
      </c>
      <c r="AE1148" s="11">
        <v>147.4676337540227</v>
      </c>
      <c r="AF1148" s="11">
        <v>379.87946367098459</v>
      </c>
      <c r="AG1148" t="s">
        <v>7</v>
      </c>
    </row>
    <row r="1149" spans="1:33">
      <c r="A1149" s="2">
        <v>45030</v>
      </c>
      <c r="B1149" s="5" t="s">
        <v>40</v>
      </c>
      <c r="C1149" s="5">
        <f>WEEKDAY(Table1[[#This Row],[Date]])</f>
        <v>6</v>
      </c>
      <c r="D1149" s="5">
        <f>MONTH(Table1[[#This Row],[Date]])</f>
        <v>4</v>
      </c>
      <c r="E1149" s="5">
        <f>WEEKNUM(Table1[[#This Row],[Date]])</f>
        <v>15</v>
      </c>
      <c r="F1149" s="5">
        <f>YEAR(Table1[[#This Row],[Date]])</f>
        <v>2023</v>
      </c>
      <c r="G1149" s="17">
        <v>196</v>
      </c>
      <c r="H1149">
        <v>258.67087488355628</v>
      </c>
      <c r="I1149">
        <f>Table1[[#This Row],[Forecast]]*0.9</f>
        <v>232.80378739520066</v>
      </c>
      <c r="J1149">
        <f>Table1[[#This Row],[Forecast]]*0.8</f>
        <v>206.93669990684504</v>
      </c>
      <c r="K1149">
        <f>Table1[[#This Row],[Forecast]]*0.8</f>
        <v>206.93669990684504</v>
      </c>
      <c r="L1149" s="5">
        <v>416</v>
      </c>
      <c r="M1149" s="6">
        <v>0.98109999999999997</v>
      </c>
      <c r="N1149" s="5">
        <v>8</v>
      </c>
      <c r="O1149" s="7">
        <v>1.6203703703703703E-4</v>
      </c>
      <c r="P1149" s="7">
        <v>2.0138888888888888E-3</v>
      </c>
      <c r="Q1149" s="7">
        <v>2.5578703703703705E-3</v>
      </c>
      <c r="R1149" s="6">
        <v>0.83889999999999998</v>
      </c>
      <c r="S1149" s="8">
        <f>CONVERT(Table1[[#This Row],[Talk Duration (AVG)]]*Table1[[#This Row],[Answered Calls]],"day","hr")</f>
        <v>20.106666666666666</v>
      </c>
      <c r="T1149" s="9">
        <f>Table1[[#This Row],[Actual Workload hours]]*60</f>
        <v>1206.3999999999999</v>
      </c>
      <c r="U1149" s="9">
        <f>CONVERT(Table1[[#This Row],[Actual]]*Table1[[#This Row],[Talk Duration (AVG)]],"day","hr")</f>
        <v>9.4733333333333327</v>
      </c>
      <c r="V1149" s="10">
        <f>Table1[[#This Row],[Required Workload Hours]]*60</f>
        <v>568.4</v>
      </c>
      <c r="W1149" s="9">
        <f t="shared" si="38"/>
        <v>3.1416666666666662</v>
      </c>
      <c r="X1149" s="9">
        <f t="shared" si="37"/>
        <v>1.4802083333333333</v>
      </c>
      <c r="Y1149" s="5">
        <f t="shared" si="36"/>
        <v>2</v>
      </c>
      <c r="Z1149" s="8">
        <f>ROUNDUP(Table1[[#This Row],[Actual Heacount]],0)</f>
        <v>4</v>
      </c>
      <c r="AA1149" s="8">
        <f>CONVERT(Table1[[#This Row],[RevisedForecast 30% Recution2]]*Table1[[#This Row],[Talk Duration (AVG)]],"day","hr")</f>
        <v>10.001940495497509</v>
      </c>
      <c r="AB1149" s="10">
        <f>(Table1[[#This Row],[Forecast Workload Hours]]*60)*1.2</f>
        <v>720.13971567582064</v>
      </c>
      <c r="AC1149" s="10">
        <f>IF(Table1[[#This Row],[Forecast WOrkload Minutes]]&lt;384,1,Table1[[#This Row],[Forecast WOrkload Minutes]]/384)</f>
        <v>1.8753638429057828</v>
      </c>
      <c r="AD1149" s="10">
        <f>ROUNDUP(Table1[[#This Row],[Forecast Headcount]],0)</f>
        <v>2</v>
      </c>
      <c r="AE1149" s="11">
        <v>152.21200773921021</v>
      </c>
      <c r="AF1149" s="11">
        <v>372.81015589994348</v>
      </c>
      <c r="AG1149" t="s">
        <v>7</v>
      </c>
    </row>
    <row r="1150" spans="1:33">
      <c r="A1150" s="2">
        <v>45031</v>
      </c>
      <c r="B1150" s="5" t="s">
        <v>33</v>
      </c>
      <c r="C1150" s="5">
        <f>WEEKDAY(Table1[[#This Row],[Date]])</f>
        <v>7</v>
      </c>
      <c r="D1150" s="5">
        <f>MONTH(Table1[[#This Row],[Date]])</f>
        <v>4</v>
      </c>
      <c r="E1150" s="5">
        <f>WEEKNUM(Table1[[#This Row],[Date]])</f>
        <v>15</v>
      </c>
      <c r="F1150" s="5">
        <f>YEAR(Table1[[#This Row],[Date]])</f>
        <v>2023</v>
      </c>
      <c r="G1150" s="17">
        <v>191</v>
      </c>
      <c r="H1150">
        <v>266.95820902697432</v>
      </c>
      <c r="I1150">
        <f>Table1[[#This Row],[Forecast]]*0.9</f>
        <v>240.2623881242769</v>
      </c>
      <c r="J1150">
        <f>Table1[[#This Row],[Forecast]]*0.8</f>
        <v>213.56656722157948</v>
      </c>
      <c r="K1150">
        <f>Table1[[#This Row],[Forecast]]*0.8</f>
        <v>213.56656722157948</v>
      </c>
      <c r="L1150" s="5">
        <v>353</v>
      </c>
      <c r="M1150" s="6">
        <v>0.99160000000000004</v>
      </c>
      <c r="N1150" s="5">
        <v>3</v>
      </c>
      <c r="O1150" s="7">
        <v>5.7870370370370373E-5</v>
      </c>
      <c r="P1150" s="7">
        <v>1.9444444444444444E-3</v>
      </c>
      <c r="Q1150" s="7">
        <v>7.407407407407407E-4</v>
      </c>
      <c r="R1150" s="6">
        <v>0.97170000000000001</v>
      </c>
      <c r="S1150" s="8">
        <f>CONVERT(Table1[[#This Row],[Talk Duration (AVG)]]*Table1[[#This Row],[Answered Calls]],"day","hr")</f>
        <v>16.473333333333333</v>
      </c>
      <c r="T1150" s="9">
        <f>Table1[[#This Row],[Actual Workload hours]]*60</f>
        <v>988.4</v>
      </c>
      <c r="U1150" s="9">
        <f>CONVERT(Table1[[#This Row],[Actual]]*Table1[[#This Row],[Talk Duration (AVG)]],"day","hr")</f>
        <v>8.913333333333334</v>
      </c>
      <c r="V1150" s="10">
        <f>Table1[[#This Row],[Required Workload Hours]]*60</f>
        <v>534.80000000000007</v>
      </c>
      <c r="W1150" s="9">
        <f t="shared" si="38"/>
        <v>2.5739583333333331</v>
      </c>
      <c r="X1150" s="9">
        <f t="shared" si="37"/>
        <v>1.3927083333333334</v>
      </c>
      <c r="Y1150" s="5">
        <f t="shared" si="36"/>
        <v>2</v>
      </c>
      <c r="Z1150" s="8">
        <f>ROUNDUP(Table1[[#This Row],[Actual Heacount]],0)</f>
        <v>3</v>
      </c>
      <c r="AA1150" s="8">
        <f>CONVERT(Table1[[#This Row],[RevisedForecast 30% Recution2]]*Table1[[#This Row],[Talk Duration (AVG)]],"day","hr")</f>
        <v>9.9664398036737083</v>
      </c>
      <c r="AB1150" s="10">
        <f>(Table1[[#This Row],[Forecast Workload Hours]]*60)*1.2</f>
        <v>717.58366586450688</v>
      </c>
      <c r="AC1150" s="10">
        <f>IF(Table1[[#This Row],[Forecast WOrkload Minutes]]&lt;384,1,Table1[[#This Row],[Forecast WOrkload Minutes]]/384)</f>
        <v>1.8687074631888201</v>
      </c>
      <c r="AD1150" s="10">
        <f>ROUNDUP(Table1[[#This Row],[Forecast Headcount]],0)</f>
        <v>2</v>
      </c>
      <c r="AE1150" s="11">
        <v>153.4158253156765</v>
      </c>
      <c r="AF1150" s="11">
        <v>379.11819035163398</v>
      </c>
      <c r="AG1150" t="s">
        <v>7</v>
      </c>
    </row>
    <row r="1151" spans="1:33">
      <c r="A1151" s="2">
        <v>45032</v>
      </c>
      <c r="B1151" s="5" t="s">
        <v>35</v>
      </c>
      <c r="C1151" s="5">
        <f>WEEKDAY(Table1[[#This Row],[Date]])</f>
        <v>1</v>
      </c>
      <c r="D1151" s="5">
        <f>MONTH(Table1[[#This Row],[Date]])</f>
        <v>4</v>
      </c>
      <c r="E1151" s="5">
        <f>WEEKNUM(Table1[[#This Row],[Date]])</f>
        <v>16</v>
      </c>
      <c r="F1151" s="5">
        <f>YEAR(Table1[[#This Row],[Date]])</f>
        <v>2023</v>
      </c>
      <c r="G1151" s="17">
        <v>60</v>
      </c>
      <c r="H1151">
        <v>179.19116043132809</v>
      </c>
      <c r="I1151">
        <f>Table1[[#This Row],[Forecast]]*0.9</f>
        <v>161.27204438819527</v>
      </c>
      <c r="J1151">
        <f>Table1[[#This Row],[Forecast]]*0.8</f>
        <v>143.35292834506248</v>
      </c>
      <c r="K1151">
        <f>Table1[[#This Row],[Forecast]]*0.8</f>
        <v>143.35292834506248</v>
      </c>
      <c r="L1151" s="5">
        <v>308</v>
      </c>
      <c r="M1151" s="6">
        <v>0.96250000000000002</v>
      </c>
      <c r="N1151" s="5">
        <v>12</v>
      </c>
      <c r="O1151" s="7">
        <v>1.1574074074074075E-4</v>
      </c>
      <c r="P1151" s="7">
        <v>1.7708333333333332E-3</v>
      </c>
      <c r="Q1151" s="7">
        <v>2.3611111111111111E-3</v>
      </c>
      <c r="R1151" s="6">
        <v>0.88990000000000002</v>
      </c>
      <c r="S1151" s="8">
        <f>CONVERT(Table1[[#This Row],[Talk Duration (AVG)]]*Table1[[#This Row],[Answered Calls]],"day","hr")</f>
        <v>13.09</v>
      </c>
      <c r="T1151" s="9">
        <f>Table1[[#This Row],[Actual Workload hours]]*60</f>
        <v>785.4</v>
      </c>
      <c r="U1151" s="9">
        <f>CONVERT(Table1[[#This Row],[Actual]]*Table1[[#This Row],[Talk Duration (AVG)]],"day","hr")</f>
        <v>2.5499999999999998</v>
      </c>
      <c r="V1151" s="10">
        <f>Table1[[#This Row],[Required Workload Hours]]*60</f>
        <v>153</v>
      </c>
      <c r="W1151" s="9">
        <f t="shared" si="38"/>
        <v>2.0453125000000001</v>
      </c>
      <c r="X1151" s="9">
        <f t="shared" si="37"/>
        <v>1</v>
      </c>
      <c r="Y1151" s="5">
        <f t="shared" si="36"/>
        <v>2</v>
      </c>
      <c r="Z1151" s="8">
        <f>ROUNDUP(Table1[[#This Row],[Actual Heacount]],0)</f>
        <v>3</v>
      </c>
      <c r="AA1151" s="8">
        <f>CONVERT(Table1[[#This Row],[RevisedForecast 30% Recution2]]*Table1[[#This Row],[Talk Duration (AVG)]],"day","hr")</f>
        <v>6.0924994546651545</v>
      </c>
      <c r="AB1151" s="10">
        <f>(Table1[[#This Row],[Forecast Workload Hours]]*60)*1.2</f>
        <v>438.6599607358911</v>
      </c>
      <c r="AC1151" s="10">
        <f>IF(Table1[[#This Row],[Forecast WOrkload Minutes]]&lt;384,1,Table1[[#This Row],[Forecast WOrkload Minutes]]/384)</f>
        <v>1.1423436477497164</v>
      </c>
      <c r="AD1151" s="10">
        <f>ROUNDUP(Table1[[#This Row],[Forecast Headcount]],0)</f>
        <v>2</v>
      </c>
      <c r="AE1151" s="11">
        <v>72.829685015265184</v>
      </c>
      <c r="AF1151" s="11">
        <v>287.01754860722627</v>
      </c>
      <c r="AG1151" t="s">
        <v>7</v>
      </c>
    </row>
    <row r="1152" spans="1:33">
      <c r="A1152" s="2">
        <v>45033</v>
      </c>
      <c r="B1152" s="5" t="s">
        <v>36</v>
      </c>
      <c r="C1152" s="5">
        <f>WEEKDAY(Table1[[#This Row],[Date]])</f>
        <v>2</v>
      </c>
      <c r="D1152" s="5">
        <f>MONTH(Table1[[#This Row],[Date]])</f>
        <v>4</v>
      </c>
      <c r="E1152" s="5">
        <f>WEEKNUM(Table1[[#This Row],[Date]])</f>
        <v>16</v>
      </c>
      <c r="F1152" s="5">
        <f>YEAR(Table1[[#This Row],[Date]])</f>
        <v>2023</v>
      </c>
      <c r="G1152" s="17">
        <v>215</v>
      </c>
      <c r="H1152">
        <v>279.73807444777941</v>
      </c>
      <c r="I1152">
        <f>Table1[[#This Row],[Forecast]]*0.9</f>
        <v>251.76426700300146</v>
      </c>
      <c r="J1152">
        <f>Table1[[#This Row],[Forecast]]*0.8</f>
        <v>223.79045955822355</v>
      </c>
      <c r="K1152">
        <f>Table1[[#This Row],[Forecast]]*0.8</f>
        <v>223.79045955822355</v>
      </c>
      <c r="L1152" s="5">
        <v>341</v>
      </c>
      <c r="M1152" s="6">
        <v>0.97150000000000003</v>
      </c>
      <c r="N1152" s="5">
        <v>10</v>
      </c>
      <c r="O1152" s="7">
        <v>1.273148148148148E-4</v>
      </c>
      <c r="P1152" s="7">
        <v>1.9675925925925924E-3</v>
      </c>
      <c r="Q1152" s="7">
        <v>1.261574074074074E-3</v>
      </c>
      <c r="R1152" s="6">
        <v>0.86250000000000004</v>
      </c>
      <c r="S1152" s="8">
        <f>CONVERT(Table1[[#This Row],[Talk Duration (AVG)]]*Table1[[#This Row],[Answered Calls]],"day","hr")</f>
        <v>16.102777777777774</v>
      </c>
      <c r="T1152" s="9">
        <f>Table1[[#This Row],[Actual Workload hours]]*60</f>
        <v>966.16666666666652</v>
      </c>
      <c r="U1152" s="9">
        <f>CONVERT(Table1[[#This Row],[Actual]]*Table1[[#This Row],[Talk Duration (AVG)]],"day","hr")</f>
        <v>10.152777777777779</v>
      </c>
      <c r="V1152" s="10">
        <f>Table1[[#This Row],[Required Workload Hours]]*60</f>
        <v>609.16666666666674</v>
      </c>
      <c r="W1152" s="9">
        <f t="shared" si="38"/>
        <v>2.5160590277777772</v>
      </c>
      <c r="X1152" s="9">
        <f t="shared" si="37"/>
        <v>1.5863715277777779</v>
      </c>
      <c r="Y1152" s="5">
        <f t="shared" si="36"/>
        <v>2</v>
      </c>
      <c r="Z1152" s="8">
        <f>ROUNDUP(Table1[[#This Row],[Actual Heacount]],0)</f>
        <v>3</v>
      </c>
      <c r="AA1152" s="8">
        <f>CONVERT(Table1[[#This Row],[RevisedForecast 30% Recution2]]*Table1[[#This Row],[Talk Duration (AVG)]],"day","hr")</f>
        <v>10.567882812471664</v>
      </c>
      <c r="AB1152" s="10">
        <f>(Table1[[#This Row],[Forecast Workload Hours]]*60)*1.2</f>
        <v>760.88756249795983</v>
      </c>
      <c r="AC1152" s="10">
        <f>IF(Table1[[#This Row],[Forecast WOrkload Minutes]]&lt;384,1,Table1[[#This Row],[Forecast WOrkload Minutes]]/384)</f>
        <v>1.9814780273384371</v>
      </c>
      <c r="AD1152" s="10">
        <f>ROUNDUP(Table1[[#This Row],[Forecast Headcount]],0)</f>
        <v>2</v>
      </c>
      <c r="AE1152" s="11">
        <v>165.17301294826009</v>
      </c>
      <c r="AF1152" s="11">
        <v>387.51803031306758</v>
      </c>
      <c r="AG1152" t="s">
        <v>7</v>
      </c>
    </row>
    <row r="1153" spans="1:33">
      <c r="A1153" s="2">
        <v>45034</v>
      </c>
      <c r="B1153" s="5" t="s">
        <v>37</v>
      </c>
      <c r="C1153" s="5">
        <f>WEEKDAY(Table1[[#This Row],[Date]])</f>
        <v>3</v>
      </c>
      <c r="D1153" s="5">
        <f>MONTH(Table1[[#This Row],[Date]])</f>
        <v>4</v>
      </c>
      <c r="E1153" s="5">
        <f>WEEKNUM(Table1[[#This Row],[Date]])</f>
        <v>16</v>
      </c>
      <c r="F1153" s="5">
        <f>YEAR(Table1[[#This Row],[Date]])</f>
        <v>2023</v>
      </c>
      <c r="G1153" s="17">
        <v>221</v>
      </c>
      <c r="H1153">
        <v>264.17744045160413</v>
      </c>
      <c r="I1153">
        <f>Table1[[#This Row],[Forecast]]*0.9</f>
        <v>237.75969640644371</v>
      </c>
      <c r="J1153">
        <f>Table1[[#This Row],[Forecast]]*0.8</f>
        <v>211.34195236128332</v>
      </c>
      <c r="K1153">
        <f>Table1[[#This Row],[Forecast]]*0.8</f>
        <v>211.34195236128332</v>
      </c>
      <c r="L1153" s="5">
        <v>83</v>
      </c>
      <c r="M1153" s="6">
        <v>0.97650000000000003</v>
      </c>
      <c r="N1153" s="5">
        <v>2</v>
      </c>
      <c r="O1153" s="7">
        <v>1.5046296296296297E-4</v>
      </c>
      <c r="P1153" s="7">
        <v>1.9328703703703704E-3</v>
      </c>
      <c r="Q1153" s="7">
        <v>2.5925925925925925E-3</v>
      </c>
      <c r="R1153" s="6">
        <v>0.85880000000000001</v>
      </c>
      <c r="S1153" s="8">
        <f>CONVERT(Table1[[#This Row],[Talk Duration (AVG)]]*Table1[[#This Row],[Answered Calls]],"day","hr")</f>
        <v>3.8502777777777779</v>
      </c>
      <c r="T1153" s="9">
        <f>Table1[[#This Row],[Actual Workload hours]]*60</f>
        <v>231.01666666666668</v>
      </c>
      <c r="U1153" s="9">
        <f>CONVERT(Table1[[#This Row],[Actual]]*Table1[[#This Row],[Talk Duration (AVG)]],"day","hr")</f>
        <v>10.251944444444444</v>
      </c>
      <c r="V1153" s="10">
        <f>Table1[[#This Row],[Required Workload Hours]]*60</f>
        <v>615.11666666666667</v>
      </c>
      <c r="W1153" s="9">
        <f t="shared" si="38"/>
        <v>1</v>
      </c>
      <c r="X1153" s="9">
        <f t="shared" si="37"/>
        <v>1.6018663194444445</v>
      </c>
      <c r="Y1153" s="5">
        <f t="shared" si="36"/>
        <v>2</v>
      </c>
      <c r="Z1153" s="8">
        <f>ROUNDUP(Table1[[#This Row],[Actual Heacount]],0)</f>
        <v>1</v>
      </c>
      <c r="AA1153" s="8">
        <f>CONVERT(Table1[[#This Row],[RevisedForecast 30% Recution2]]*Table1[[#This Row],[Talk Duration (AVG)]],"day","hr")</f>
        <v>9.8039183456484214</v>
      </c>
      <c r="AB1153" s="10">
        <f>(Table1[[#This Row],[Forecast Workload Hours]]*60)*1.2</f>
        <v>705.88212088668638</v>
      </c>
      <c r="AC1153" s="10">
        <f>IF(Table1[[#This Row],[Forecast WOrkload Minutes]]&lt;384,1,Table1[[#This Row],[Forecast WOrkload Minutes]]/384)</f>
        <v>1.8382346898090791</v>
      </c>
      <c r="AD1153" s="10">
        <f>ROUNDUP(Table1[[#This Row],[Forecast Headcount]],0)</f>
        <v>2</v>
      </c>
      <c r="AE1153" s="11">
        <v>158.13571340453481</v>
      </c>
      <c r="AF1153" s="11">
        <v>378.3537596321745</v>
      </c>
      <c r="AG1153" t="s">
        <v>7</v>
      </c>
    </row>
    <row r="1154" spans="1:33">
      <c r="A1154" s="2">
        <v>45035</v>
      </c>
      <c r="B1154" s="5" t="s">
        <v>38</v>
      </c>
      <c r="C1154" s="5">
        <f>WEEKDAY(Table1[[#This Row],[Date]])</f>
        <v>4</v>
      </c>
      <c r="D1154" s="5">
        <f>MONTH(Table1[[#This Row],[Date]])</f>
        <v>4</v>
      </c>
      <c r="E1154" s="5">
        <f>WEEKNUM(Table1[[#This Row],[Date]])</f>
        <v>16</v>
      </c>
      <c r="F1154" s="5">
        <f>YEAR(Table1[[#This Row],[Date]])</f>
        <v>2023</v>
      </c>
      <c r="G1154" s="17">
        <v>201</v>
      </c>
      <c r="H1154">
        <v>276.73687404977989</v>
      </c>
      <c r="I1154">
        <f>Table1[[#This Row],[Forecast]]*0.9</f>
        <v>249.0631866448019</v>
      </c>
      <c r="J1154">
        <f>Table1[[#This Row],[Forecast]]*0.8</f>
        <v>221.38949923982392</v>
      </c>
      <c r="K1154">
        <f>Table1[[#This Row],[Forecast]]*0.8</f>
        <v>221.38949923982392</v>
      </c>
      <c r="L1154" s="5">
        <v>43</v>
      </c>
      <c r="M1154" s="6">
        <v>0.97729999999999995</v>
      </c>
      <c r="N1154" s="5">
        <v>1</v>
      </c>
      <c r="O1154" s="7">
        <v>1.0416666666666667E-4</v>
      </c>
      <c r="P1154" s="7">
        <v>1.7708333333333332E-3</v>
      </c>
      <c r="Q1154" s="7">
        <v>2.685185185185185E-3</v>
      </c>
      <c r="R1154" s="6">
        <v>0.84089999999999998</v>
      </c>
      <c r="S1154" s="8">
        <f>CONVERT(Table1[[#This Row],[Talk Duration (AVG)]]*Table1[[#This Row],[Answered Calls]],"day","hr")</f>
        <v>1.8274999999999999</v>
      </c>
      <c r="T1154" s="9">
        <f>Table1[[#This Row],[Actual Workload hours]]*60</f>
        <v>109.64999999999999</v>
      </c>
      <c r="U1154" s="9">
        <f>CONVERT(Table1[[#This Row],[Actual]]*Table1[[#This Row],[Talk Duration (AVG)]],"day","hr")</f>
        <v>8.5424999999999986</v>
      </c>
      <c r="V1154" s="10">
        <f>Table1[[#This Row],[Required Workload Hours]]*60</f>
        <v>512.54999999999995</v>
      </c>
      <c r="W1154" s="9">
        <f t="shared" si="38"/>
        <v>1</v>
      </c>
      <c r="X1154" s="9">
        <f t="shared" si="37"/>
        <v>1.334765625</v>
      </c>
      <c r="Y1154" s="5">
        <f t="shared" si="36"/>
        <v>1</v>
      </c>
      <c r="Z1154" s="8">
        <f>ROUNDUP(Table1[[#This Row],[Actual Heacount]],0)</f>
        <v>1</v>
      </c>
      <c r="AA1154" s="8">
        <f>CONVERT(Table1[[#This Row],[RevisedForecast 30% Recution2]]*Table1[[#This Row],[Talk Duration (AVG)]],"day","hr")</f>
        <v>9.4090537176925153</v>
      </c>
      <c r="AB1154" s="10">
        <f>(Table1[[#This Row],[Forecast Workload Hours]]*60)*1.2</f>
        <v>677.45186767386099</v>
      </c>
      <c r="AC1154" s="10">
        <f>IF(Table1[[#This Row],[Forecast WOrkload Minutes]]&lt;384,1,Table1[[#This Row],[Forecast WOrkload Minutes]]/384)</f>
        <v>1.7641975720673464</v>
      </c>
      <c r="AD1154" s="10">
        <f>ROUNDUP(Table1[[#This Row],[Forecast Headcount]],0)</f>
        <v>2</v>
      </c>
      <c r="AE1154" s="11">
        <v>171.13090920501909</v>
      </c>
      <c r="AF1154" s="11">
        <v>398.57367302876497</v>
      </c>
      <c r="AG1154" t="s">
        <v>7</v>
      </c>
    </row>
    <row r="1155" spans="1:33">
      <c r="A1155" s="2">
        <v>45036</v>
      </c>
      <c r="B1155" s="5" t="s">
        <v>39</v>
      </c>
      <c r="C1155" s="5">
        <f>WEEKDAY(Table1[[#This Row],[Date]])</f>
        <v>5</v>
      </c>
      <c r="D1155" s="5">
        <f>MONTH(Table1[[#This Row],[Date]])</f>
        <v>4</v>
      </c>
      <c r="E1155" s="5">
        <f>WEEKNUM(Table1[[#This Row],[Date]])</f>
        <v>16</v>
      </c>
      <c r="F1155" s="5">
        <f>YEAR(Table1[[#This Row],[Date]])</f>
        <v>2023</v>
      </c>
      <c r="G1155" s="17">
        <v>205</v>
      </c>
      <c r="H1155">
        <v>272.16057250741011</v>
      </c>
      <c r="I1155">
        <f>Table1[[#This Row],[Forecast]]*0.9</f>
        <v>244.94451525666909</v>
      </c>
      <c r="J1155">
        <f>Table1[[#This Row],[Forecast]]*0.8</f>
        <v>217.7284580059281</v>
      </c>
      <c r="K1155">
        <f>Table1[[#This Row],[Forecast]]*0.8</f>
        <v>217.7284580059281</v>
      </c>
      <c r="L1155" s="5">
        <v>363</v>
      </c>
      <c r="M1155" s="6">
        <v>0.93559999999999999</v>
      </c>
      <c r="N1155" s="5">
        <v>25</v>
      </c>
      <c r="O1155" s="7">
        <v>2.199074074074074E-4</v>
      </c>
      <c r="P1155" s="7">
        <v>2.1527777777777778E-3</v>
      </c>
      <c r="Q1155" s="7">
        <v>2.0138888888888888E-3</v>
      </c>
      <c r="R1155" s="6">
        <v>0.752</v>
      </c>
      <c r="S1155" s="8">
        <f>CONVERT(Table1[[#This Row],[Talk Duration (AVG)]]*Table1[[#This Row],[Answered Calls]],"day","hr")</f>
        <v>18.754999999999999</v>
      </c>
      <c r="T1155" s="9">
        <f>Table1[[#This Row],[Actual Workload hours]]*60</f>
        <v>1125.3</v>
      </c>
      <c r="U1155" s="9">
        <f>CONVERT(Table1[[#This Row],[Actual]]*Table1[[#This Row],[Talk Duration (AVG)]],"day","hr")</f>
        <v>10.591666666666667</v>
      </c>
      <c r="V1155" s="10">
        <f>Table1[[#This Row],[Required Workload Hours]]*60</f>
        <v>635.5</v>
      </c>
      <c r="W1155" s="9">
        <f t="shared" si="38"/>
        <v>2.9304687499999997</v>
      </c>
      <c r="X1155" s="9">
        <f t="shared" si="37"/>
        <v>1.6549479166666667</v>
      </c>
      <c r="Y1155" s="5">
        <f t="shared" ref="Y1155:Y1218" si="39">IF(B1155="Sunday",1,2)</f>
        <v>2</v>
      </c>
      <c r="Z1155" s="8">
        <f>ROUNDUP(Table1[[#This Row],[Actual Heacount]],0)</f>
        <v>3</v>
      </c>
      <c r="AA1155" s="8">
        <f>CONVERT(Table1[[#This Row],[RevisedForecast 30% Recution2]]*Table1[[#This Row],[Talk Duration (AVG)]],"day","hr")</f>
        <v>11.249303663639619</v>
      </c>
      <c r="AB1155" s="10">
        <f>(Table1[[#This Row],[Forecast Workload Hours]]*60)*1.2</f>
        <v>809.9498637820526</v>
      </c>
      <c r="AC1155" s="10">
        <f>IF(Table1[[#This Row],[Forecast WOrkload Minutes]]&lt;384,1,Table1[[#This Row],[Forecast WOrkload Minutes]]/384)</f>
        <v>2.1092444369324288</v>
      </c>
      <c r="AD1155" s="10">
        <f>ROUNDUP(Table1[[#This Row],[Forecast Headcount]],0)</f>
        <v>3</v>
      </c>
      <c r="AE1155" s="11">
        <v>160.55662761234609</v>
      </c>
      <c r="AF1155" s="11">
        <v>384.15315409166288</v>
      </c>
      <c r="AG1155" t="s">
        <v>7</v>
      </c>
    </row>
    <row r="1156" spans="1:33">
      <c r="A1156" s="2">
        <v>45037</v>
      </c>
      <c r="B1156" s="5" t="s">
        <v>40</v>
      </c>
      <c r="C1156" s="5">
        <f>WEEKDAY(Table1[[#This Row],[Date]])</f>
        <v>6</v>
      </c>
      <c r="D1156" s="5">
        <f>MONTH(Table1[[#This Row],[Date]])</f>
        <v>4</v>
      </c>
      <c r="E1156" s="5">
        <f>WEEKNUM(Table1[[#This Row],[Date]])</f>
        <v>16</v>
      </c>
      <c r="F1156" s="5">
        <f>YEAR(Table1[[#This Row],[Date]])</f>
        <v>2023</v>
      </c>
      <c r="G1156" s="17">
        <v>201</v>
      </c>
      <c r="H1156">
        <v>263.35881092110992</v>
      </c>
      <c r="I1156">
        <f>Table1[[#This Row],[Forecast]]*0.9</f>
        <v>237.02292982899894</v>
      </c>
      <c r="J1156">
        <f>Table1[[#This Row],[Forecast]]*0.8</f>
        <v>210.68704873688796</v>
      </c>
      <c r="K1156">
        <f>Table1[[#This Row],[Forecast]]*0.8</f>
        <v>210.68704873688796</v>
      </c>
      <c r="L1156" s="5">
        <v>280</v>
      </c>
      <c r="M1156" s="6">
        <v>0.98939999999999995</v>
      </c>
      <c r="N1156" s="5">
        <v>3</v>
      </c>
      <c r="O1156" s="7">
        <v>6.9444444444444444E-5</v>
      </c>
      <c r="P1156" s="7">
        <v>2.1412037037037038E-3</v>
      </c>
      <c r="Q1156" s="7">
        <v>1.261574074074074E-3</v>
      </c>
      <c r="R1156" s="6">
        <v>0.95730000000000004</v>
      </c>
      <c r="S1156" s="8">
        <f>CONVERT(Table1[[#This Row],[Talk Duration (AVG)]]*Table1[[#This Row],[Answered Calls]],"day","hr")</f>
        <v>14.388888888888891</v>
      </c>
      <c r="T1156" s="9">
        <f>Table1[[#This Row],[Actual Workload hours]]*60</f>
        <v>863.33333333333348</v>
      </c>
      <c r="U1156" s="9">
        <f>CONVERT(Table1[[#This Row],[Actual]]*Table1[[#This Row],[Talk Duration (AVG)]],"day","hr")</f>
        <v>10.329166666666667</v>
      </c>
      <c r="V1156" s="10">
        <f>Table1[[#This Row],[Required Workload Hours]]*60</f>
        <v>619.75</v>
      </c>
      <c r="W1156" s="9">
        <f t="shared" si="38"/>
        <v>2.2482638888888893</v>
      </c>
      <c r="X1156" s="9">
        <f t="shared" si="37"/>
        <v>1.6139322916666667</v>
      </c>
      <c r="Y1156" s="5">
        <f t="shared" si="39"/>
        <v>2</v>
      </c>
      <c r="Z1156" s="8">
        <f>ROUNDUP(Table1[[#This Row],[Actual Heacount]],0)</f>
        <v>3</v>
      </c>
      <c r="AA1156" s="8">
        <f>CONVERT(Table1[[#This Row],[RevisedForecast 30% Recution2]]*Table1[[#This Row],[Talk Duration (AVG)]],"day","hr")</f>
        <v>10.826973337867853</v>
      </c>
      <c r="AB1156" s="10">
        <f>(Table1[[#This Row],[Forecast Workload Hours]]*60)*1.2</f>
        <v>779.54208032648546</v>
      </c>
      <c r="AC1156" s="10">
        <f>IF(Table1[[#This Row],[Forecast WOrkload Minutes]]&lt;384,1,Table1[[#This Row],[Forecast WOrkload Minutes]]/384)</f>
        <v>2.0300575008502224</v>
      </c>
      <c r="AD1156" s="10">
        <f>ROUNDUP(Table1[[#This Row],[Forecast Headcount]],0)</f>
        <v>3</v>
      </c>
      <c r="AE1156" s="11">
        <v>153.57599602497189</v>
      </c>
      <c r="AF1156" s="11">
        <v>374.04109352434142</v>
      </c>
      <c r="AG1156" t="s">
        <v>7</v>
      </c>
    </row>
    <row r="1157" spans="1:33">
      <c r="A1157" s="2">
        <v>45038</v>
      </c>
      <c r="B1157" s="5" t="s">
        <v>33</v>
      </c>
      <c r="C1157" s="5">
        <f>WEEKDAY(Table1[[#This Row],[Date]])</f>
        <v>7</v>
      </c>
      <c r="D1157" s="5">
        <f>MONTH(Table1[[#This Row],[Date]])</f>
        <v>4</v>
      </c>
      <c r="E1157" s="5">
        <f>WEEKNUM(Table1[[#This Row],[Date]])</f>
        <v>16</v>
      </c>
      <c r="F1157" s="5">
        <f>YEAR(Table1[[#This Row],[Date]])</f>
        <v>2023</v>
      </c>
      <c r="G1157" s="17">
        <v>140</v>
      </c>
      <c r="H1157">
        <v>270.46677153486218</v>
      </c>
      <c r="I1157">
        <f>Table1[[#This Row],[Forecast]]*0.9</f>
        <v>243.42009438137597</v>
      </c>
      <c r="J1157">
        <f>Table1[[#This Row],[Forecast]]*0.8</f>
        <v>216.37341722788975</v>
      </c>
      <c r="K1157">
        <f>Table1[[#This Row],[Forecast]]*0.8</f>
        <v>216.37341722788975</v>
      </c>
      <c r="L1157" s="5">
        <v>238</v>
      </c>
      <c r="M1157" s="6">
        <v>0.98760000000000003</v>
      </c>
      <c r="N1157" s="5">
        <v>3</v>
      </c>
      <c r="O1157" s="7">
        <v>5.7870370370370373E-5</v>
      </c>
      <c r="P1157" s="7">
        <v>2.0254629629629629E-3</v>
      </c>
      <c r="Q1157" s="7">
        <v>2.2685185185185187E-3</v>
      </c>
      <c r="R1157" s="6">
        <v>0.9667</v>
      </c>
      <c r="S1157" s="8">
        <f>CONVERT(Table1[[#This Row],[Talk Duration (AVG)]]*Table1[[#This Row],[Answered Calls]],"day","hr")</f>
        <v>11.569444444444445</v>
      </c>
      <c r="T1157" s="9">
        <f>Table1[[#This Row],[Actual Workload hours]]*60</f>
        <v>694.16666666666663</v>
      </c>
      <c r="U1157" s="9">
        <f>CONVERT(Table1[[#This Row],[Actual]]*Table1[[#This Row],[Talk Duration (AVG)]],"day","hr")</f>
        <v>6.8055555555555554</v>
      </c>
      <c r="V1157" s="10">
        <f>Table1[[#This Row],[Required Workload Hours]]*60</f>
        <v>408.33333333333331</v>
      </c>
      <c r="W1157" s="9">
        <f t="shared" si="38"/>
        <v>1.8077256944444444</v>
      </c>
      <c r="X1157" s="9">
        <f t="shared" si="37"/>
        <v>1.0633680555555556</v>
      </c>
      <c r="Y1157" s="5">
        <f t="shared" si="39"/>
        <v>2</v>
      </c>
      <c r="Z1157" s="8">
        <f>ROUNDUP(Table1[[#This Row],[Actual Heacount]],0)</f>
        <v>2</v>
      </c>
      <c r="AA1157" s="8">
        <f>CONVERT(Table1[[#This Row],[RevisedForecast 30% Recution2]]*Table1[[#This Row],[Talk Duration (AVG)]],"day","hr")</f>
        <v>10.518152226355749</v>
      </c>
      <c r="AB1157" s="10">
        <f>(Table1[[#This Row],[Forecast Workload Hours]]*60)*1.2</f>
        <v>757.30696029761395</v>
      </c>
      <c r="AC1157" s="10">
        <f>IF(Table1[[#This Row],[Forecast WOrkload Minutes]]&lt;384,1,Table1[[#This Row],[Forecast WOrkload Minutes]]/384)</f>
        <v>1.9721535424417029</v>
      </c>
      <c r="AD1157" s="10">
        <f>ROUNDUP(Table1[[#This Row],[Forecast Headcount]],0)</f>
        <v>2</v>
      </c>
      <c r="AE1157" s="11">
        <v>158.0838244600439</v>
      </c>
      <c r="AF1157" s="11">
        <v>383.27023461623583</v>
      </c>
      <c r="AG1157" t="s">
        <v>7</v>
      </c>
    </row>
    <row r="1158" spans="1:33">
      <c r="A1158" s="2">
        <v>45039</v>
      </c>
      <c r="B1158" s="5" t="s">
        <v>35</v>
      </c>
      <c r="C1158" s="5">
        <f>WEEKDAY(Table1[[#This Row],[Date]])</f>
        <v>1</v>
      </c>
      <c r="D1158" s="5">
        <f>MONTH(Table1[[#This Row],[Date]])</f>
        <v>4</v>
      </c>
      <c r="E1158" s="5">
        <f>WEEKNUM(Table1[[#This Row],[Date]])</f>
        <v>17</v>
      </c>
      <c r="F1158" s="5">
        <f>YEAR(Table1[[#This Row],[Date]])</f>
        <v>2023</v>
      </c>
      <c r="G1158" s="17">
        <v>29</v>
      </c>
      <c r="H1158">
        <v>181.66190114423989</v>
      </c>
      <c r="I1158">
        <f>Table1[[#This Row],[Forecast]]*0.9</f>
        <v>163.49571102981591</v>
      </c>
      <c r="J1158">
        <f>Table1[[#This Row],[Forecast]]*0.8</f>
        <v>145.32952091539192</v>
      </c>
      <c r="K1158">
        <f>Table1[[#This Row],[Forecast]]*0.8</f>
        <v>145.32952091539192</v>
      </c>
      <c r="L1158" s="5">
        <v>273</v>
      </c>
      <c r="M1158" s="6">
        <v>0.97499999999999998</v>
      </c>
      <c r="N1158" s="5">
        <v>7</v>
      </c>
      <c r="O1158" s="7">
        <v>1.0416666666666667E-4</v>
      </c>
      <c r="P1158" s="7">
        <v>1.9212962962962964E-3</v>
      </c>
      <c r="Q1158" s="7">
        <v>2.5231481481481481E-3</v>
      </c>
      <c r="R1158" s="6">
        <v>0.8821</v>
      </c>
      <c r="S1158" s="8">
        <f>CONVERT(Table1[[#This Row],[Talk Duration (AVG)]]*Table1[[#This Row],[Answered Calls]],"day","hr")</f>
        <v>12.588333333333335</v>
      </c>
      <c r="T1158" s="9">
        <f>Table1[[#This Row],[Actual Workload hours]]*60</f>
        <v>755.30000000000007</v>
      </c>
      <c r="U1158" s="9">
        <f>CONVERT(Table1[[#This Row],[Actual]]*Table1[[#This Row],[Talk Duration (AVG)]],"day","hr")</f>
        <v>1.3372222222222223</v>
      </c>
      <c r="V1158" s="10">
        <f>Table1[[#This Row],[Required Workload Hours]]*60</f>
        <v>80.233333333333334</v>
      </c>
      <c r="W1158" s="9">
        <f t="shared" si="38"/>
        <v>1.9669270833333334</v>
      </c>
      <c r="X1158" s="9">
        <f t="shared" si="37"/>
        <v>1</v>
      </c>
      <c r="Y1158" s="5">
        <f t="shared" si="39"/>
        <v>2</v>
      </c>
      <c r="Z1158" s="8">
        <f>ROUNDUP(Table1[[#This Row],[Actual Heacount]],0)</f>
        <v>2</v>
      </c>
      <c r="AA1158" s="8">
        <f>CONVERT(Table1[[#This Row],[RevisedForecast 30% Recution2]]*Table1[[#This Row],[Talk Duration (AVG)]],"day","hr")</f>
        <v>6.701305686654182</v>
      </c>
      <c r="AB1158" s="10">
        <f>(Table1[[#This Row],[Forecast Workload Hours]]*60)*1.2</f>
        <v>482.49400943910109</v>
      </c>
      <c r="AC1158" s="10">
        <f>IF(Table1[[#This Row],[Forecast WOrkload Minutes]]&lt;384,1,Table1[[#This Row],[Forecast WOrkload Minutes]]/384)</f>
        <v>1.256494816247659</v>
      </c>
      <c r="AD1158" s="10">
        <f>ROUNDUP(Table1[[#This Row],[Forecast Headcount]],0)</f>
        <v>2</v>
      </c>
      <c r="AE1158" s="11">
        <v>72.893917397994443</v>
      </c>
      <c r="AF1158" s="11">
        <v>291.17069907302402</v>
      </c>
      <c r="AG1158" t="s">
        <v>7</v>
      </c>
    </row>
    <row r="1159" spans="1:33">
      <c r="A1159" s="2">
        <v>45040</v>
      </c>
      <c r="B1159" s="5" t="s">
        <v>36</v>
      </c>
      <c r="C1159" s="5">
        <f>WEEKDAY(Table1[[#This Row],[Date]])</f>
        <v>2</v>
      </c>
      <c r="D1159" s="5">
        <f>MONTH(Table1[[#This Row],[Date]])</f>
        <v>4</v>
      </c>
      <c r="E1159" s="5">
        <f>WEEKNUM(Table1[[#This Row],[Date]])</f>
        <v>17</v>
      </c>
      <c r="F1159" s="5">
        <f>YEAR(Table1[[#This Row],[Date]])</f>
        <v>2023</v>
      </c>
      <c r="G1159" s="17">
        <v>398</v>
      </c>
      <c r="H1159">
        <v>281.32211146767662</v>
      </c>
      <c r="I1159">
        <f>Table1[[#This Row],[Forecast]]*0.9</f>
        <v>253.18990032090898</v>
      </c>
      <c r="J1159">
        <f>Table1[[#This Row],[Forecast]]*0.8</f>
        <v>225.0576891741413</v>
      </c>
      <c r="K1159">
        <f>Table1[[#This Row],[Forecast]]*0.8</f>
        <v>225.0576891741413</v>
      </c>
      <c r="L1159" s="5">
        <v>273</v>
      </c>
      <c r="M1159" s="6">
        <v>0.92859999999999998</v>
      </c>
      <c r="N1159" s="5">
        <v>21</v>
      </c>
      <c r="O1159" s="7">
        <v>3.0092592592592595E-4</v>
      </c>
      <c r="P1159" s="7">
        <v>2.2685185185185187E-3</v>
      </c>
      <c r="Q1159" s="7">
        <v>1.8981481481481482E-3</v>
      </c>
      <c r="R1159" s="6">
        <v>0.61770000000000003</v>
      </c>
      <c r="S1159" s="8">
        <f>CONVERT(Table1[[#This Row],[Talk Duration (AVG)]]*Table1[[#This Row],[Answered Calls]],"day","hr")</f>
        <v>14.863333333333333</v>
      </c>
      <c r="T1159" s="9">
        <f>Table1[[#This Row],[Actual Workload hours]]*60</f>
        <v>891.8</v>
      </c>
      <c r="U1159" s="9">
        <f>CONVERT(Table1[[#This Row],[Actual]]*Table1[[#This Row],[Talk Duration (AVG)]],"day","hr")</f>
        <v>21.66888888888889</v>
      </c>
      <c r="V1159" s="10">
        <f>Table1[[#This Row],[Required Workload Hours]]*60</f>
        <v>1300.1333333333334</v>
      </c>
      <c r="W1159" s="9">
        <f t="shared" si="38"/>
        <v>2.3223958333333332</v>
      </c>
      <c r="X1159" s="9">
        <f t="shared" si="37"/>
        <v>3.385763888888889</v>
      </c>
      <c r="Y1159" s="5">
        <f t="shared" si="39"/>
        <v>2</v>
      </c>
      <c r="Z1159" s="8">
        <f>ROUNDUP(Table1[[#This Row],[Actual Heacount]],0)</f>
        <v>3</v>
      </c>
      <c r="AA1159" s="8">
        <f>CONVERT(Table1[[#This Row],[RevisedForecast 30% Recution2]]*Table1[[#This Row],[Talk Duration (AVG)]],"day","hr")</f>
        <v>12.253140855036584</v>
      </c>
      <c r="AB1159" s="10">
        <f>(Table1[[#This Row],[Forecast Workload Hours]]*60)*1.2</f>
        <v>882.2261415626341</v>
      </c>
      <c r="AC1159" s="10">
        <f>IF(Table1[[#This Row],[Forecast WOrkload Minutes]]&lt;384,1,Table1[[#This Row],[Forecast WOrkload Minutes]]/384)</f>
        <v>2.2974639103193595</v>
      </c>
      <c r="AD1159" s="10">
        <f>ROUNDUP(Table1[[#This Row],[Forecast Headcount]],0)</f>
        <v>3</v>
      </c>
      <c r="AE1159" s="11">
        <v>167.66733181326131</v>
      </c>
      <c r="AF1159" s="11">
        <v>397.71364836319322</v>
      </c>
      <c r="AG1159" t="s">
        <v>7</v>
      </c>
    </row>
    <row r="1160" spans="1:33">
      <c r="A1160" s="2">
        <v>45041</v>
      </c>
      <c r="B1160" s="5" t="s">
        <v>37</v>
      </c>
      <c r="C1160" s="5">
        <f>WEEKDAY(Table1[[#This Row],[Date]])</f>
        <v>3</v>
      </c>
      <c r="D1160" s="5">
        <f>MONTH(Table1[[#This Row],[Date]])</f>
        <v>4</v>
      </c>
      <c r="E1160" s="5">
        <f>WEEKNUM(Table1[[#This Row],[Date]])</f>
        <v>17</v>
      </c>
      <c r="F1160" s="5">
        <f>YEAR(Table1[[#This Row],[Date]])</f>
        <v>2023</v>
      </c>
      <c r="G1160" s="17">
        <v>255</v>
      </c>
      <c r="H1160">
        <v>265.03043873278801</v>
      </c>
      <c r="I1160">
        <f>Table1[[#This Row],[Forecast]]*0.9</f>
        <v>238.52739485950923</v>
      </c>
      <c r="J1160">
        <f>Table1[[#This Row],[Forecast]]*0.8</f>
        <v>212.02435098623042</v>
      </c>
      <c r="K1160">
        <f>Table1[[#This Row],[Forecast]]*0.8</f>
        <v>212.02435098623042</v>
      </c>
      <c r="L1160" s="5">
        <v>246</v>
      </c>
      <c r="M1160" s="6">
        <v>0.84830000000000005</v>
      </c>
      <c r="N1160" s="5">
        <v>44</v>
      </c>
      <c r="O1160" s="7">
        <v>3.1250000000000001E-4</v>
      </c>
      <c r="P1160" s="7">
        <v>2.1296296296296298E-3</v>
      </c>
      <c r="Q1160" s="7">
        <v>3.2870370370370371E-3</v>
      </c>
      <c r="R1160" s="6">
        <v>0.63859999999999995</v>
      </c>
      <c r="S1160" s="8">
        <f>CONVERT(Table1[[#This Row],[Talk Duration (AVG)]]*Table1[[#This Row],[Answered Calls]],"day","hr")</f>
        <v>12.573333333333336</v>
      </c>
      <c r="T1160" s="9">
        <f>Table1[[#This Row],[Actual Workload hours]]*60</f>
        <v>754.4000000000002</v>
      </c>
      <c r="U1160" s="9">
        <f>CONVERT(Table1[[#This Row],[Actual]]*Table1[[#This Row],[Talk Duration (AVG)]],"day","hr")</f>
        <v>13.033333333333335</v>
      </c>
      <c r="V1160" s="10">
        <f>Table1[[#This Row],[Required Workload Hours]]*60</f>
        <v>782.00000000000011</v>
      </c>
      <c r="W1160" s="9">
        <f t="shared" si="38"/>
        <v>1.9645833333333338</v>
      </c>
      <c r="X1160" s="9">
        <f t="shared" si="37"/>
        <v>2.0364583333333335</v>
      </c>
      <c r="Y1160" s="5">
        <f t="shared" si="39"/>
        <v>2</v>
      </c>
      <c r="Z1160" s="8">
        <f>ROUNDUP(Table1[[#This Row],[Actual Heacount]],0)</f>
        <v>2</v>
      </c>
      <c r="AA1160" s="8">
        <f>CONVERT(Table1[[#This Row],[RevisedForecast 30% Recution2]]*Table1[[#This Row],[Talk Duration (AVG)]],"day","hr")</f>
        <v>10.836800161518445</v>
      </c>
      <c r="AB1160" s="10">
        <f>(Table1[[#This Row],[Forecast Workload Hours]]*60)*1.2</f>
        <v>780.249611629328</v>
      </c>
      <c r="AC1160" s="10">
        <f>IF(Table1[[#This Row],[Forecast WOrkload Minutes]]&lt;384,1,Table1[[#This Row],[Forecast WOrkload Minutes]]/384)</f>
        <v>2.0319000302847083</v>
      </c>
      <c r="AD1160" s="10">
        <f>ROUNDUP(Table1[[#This Row],[Forecast Headcount]],0)</f>
        <v>3</v>
      </c>
      <c r="AE1160" s="11">
        <v>146.838502512887</v>
      </c>
      <c r="AF1160" s="11">
        <v>381.07134844203802</v>
      </c>
      <c r="AG1160" t="s">
        <v>7</v>
      </c>
    </row>
    <row r="1161" spans="1:33">
      <c r="A1161" s="2">
        <v>45042</v>
      </c>
      <c r="B1161" s="5" t="s">
        <v>38</v>
      </c>
      <c r="C1161" s="5">
        <f>WEEKDAY(Table1[[#This Row],[Date]])</f>
        <v>4</v>
      </c>
      <c r="D1161" s="5">
        <f>MONTH(Table1[[#This Row],[Date]])</f>
        <v>4</v>
      </c>
      <c r="E1161" s="5">
        <f>WEEKNUM(Table1[[#This Row],[Date]])</f>
        <v>17</v>
      </c>
      <c r="F1161" s="5">
        <f>YEAR(Table1[[#This Row],[Date]])</f>
        <v>2023</v>
      </c>
      <c r="G1161" s="17">
        <v>283</v>
      </c>
      <c r="H1161">
        <v>277.01418141567018</v>
      </c>
      <c r="I1161">
        <f>Table1[[#This Row],[Forecast]]*0.9</f>
        <v>249.31276327410316</v>
      </c>
      <c r="J1161">
        <f>Table1[[#This Row],[Forecast]]*0.8</f>
        <v>221.61134513253614</v>
      </c>
      <c r="K1161">
        <f>Table1[[#This Row],[Forecast]]*0.8</f>
        <v>221.61134513253614</v>
      </c>
      <c r="L1161" s="5">
        <v>32</v>
      </c>
      <c r="M1161" s="6">
        <v>1</v>
      </c>
      <c r="N1161" s="5">
        <v>0</v>
      </c>
      <c r="O1161" s="7">
        <v>6.9444444444444444E-5</v>
      </c>
      <c r="P1161" s="7">
        <v>1.8865740740740742E-3</v>
      </c>
      <c r="Q1161" s="7">
        <v>8.1018518518518516E-4</v>
      </c>
      <c r="R1161" s="6">
        <v>0.96879999999999999</v>
      </c>
      <c r="S1161" s="8">
        <f>CONVERT(Table1[[#This Row],[Talk Duration (AVG)]]*Table1[[#This Row],[Answered Calls]],"day","hr")</f>
        <v>1.4488888888888889</v>
      </c>
      <c r="T1161" s="9">
        <f>Table1[[#This Row],[Actual Workload hours]]*60</f>
        <v>86.933333333333337</v>
      </c>
      <c r="U1161" s="9">
        <f>CONVERT(Table1[[#This Row],[Actual]]*Table1[[#This Row],[Talk Duration (AVG)]],"day","hr")</f>
        <v>12.813611111111113</v>
      </c>
      <c r="V1161" s="10">
        <f>Table1[[#This Row],[Required Workload Hours]]*60</f>
        <v>768.81666666666683</v>
      </c>
      <c r="W1161" s="9">
        <f t="shared" si="38"/>
        <v>1</v>
      </c>
      <c r="X1161" s="9">
        <f t="shared" si="37"/>
        <v>2.0021267361111117</v>
      </c>
      <c r="Y1161" s="5">
        <f t="shared" si="39"/>
        <v>1</v>
      </c>
      <c r="Z1161" s="8">
        <f>ROUNDUP(Table1[[#This Row],[Actual Heacount]],0)</f>
        <v>1</v>
      </c>
      <c r="AA1161" s="8">
        <f>CONVERT(Table1[[#This Row],[RevisedForecast 30% Recution2]]*Table1[[#This Row],[Talk Duration (AVG)]],"day","hr")</f>
        <v>10.034069237945387</v>
      </c>
      <c r="AB1161" s="10">
        <f>(Table1[[#This Row],[Forecast Workload Hours]]*60)*1.2</f>
        <v>722.45298513206785</v>
      </c>
      <c r="AC1161" s="10">
        <f>IF(Table1[[#This Row],[Forecast WOrkload Minutes]]&lt;384,1,Table1[[#This Row],[Forecast WOrkload Minutes]]/384)</f>
        <v>1.8813879821147601</v>
      </c>
      <c r="AD1161" s="10">
        <f>ROUNDUP(Table1[[#This Row],[Forecast Headcount]],0)</f>
        <v>2</v>
      </c>
      <c r="AE1161" s="11">
        <v>164.83990665886679</v>
      </c>
      <c r="AF1161" s="11">
        <v>392.27661775993852</v>
      </c>
      <c r="AG1161" t="s">
        <v>7</v>
      </c>
    </row>
    <row r="1162" spans="1:33">
      <c r="A1162" s="2">
        <v>45043</v>
      </c>
      <c r="B1162" s="5" t="s">
        <v>39</v>
      </c>
      <c r="C1162" s="5">
        <f>WEEKDAY(Table1[[#This Row],[Date]])</f>
        <v>5</v>
      </c>
      <c r="D1162" s="5">
        <f>MONTH(Table1[[#This Row],[Date]])</f>
        <v>4</v>
      </c>
      <c r="E1162" s="5">
        <f>WEEKNUM(Table1[[#This Row],[Date]])</f>
        <v>17</v>
      </c>
      <c r="F1162" s="5">
        <f>YEAR(Table1[[#This Row],[Date]])</f>
        <v>2023</v>
      </c>
      <c r="G1162" s="17">
        <v>230</v>
      </c>
      <c r="H1162">
        <v>272.01263781321438</v>
      </c>
      <c r="I1162">
        <f>Table1[[#This Row],[Forecast]]*0.9</f>
        <v>244.81137403189294</v>
      </c>
      <c r="J1162">
        <f>Table1[[#This Row],[Forecast]]*0.8</f>
        <v>217.61011025057152</v>
      </c>
      <c r="K1162">
        <f>Table1[[#This Row],[Forecast]]*0.8</f>
        <v>217.61011025057152</v>
      </c>
      <c r="L1162" s="5">
        <v>263</v>
      </c>
      <c r="M1162" s="6">
        <v>0.97409999999999997</v>
      </c>
      <c r="N1162" s="5">
        <v>7</v>
      </c>
      <c r="O1162" s="7">
        <v>1.3888888888888889E-4</v>
      </c>
      <c r="P1162" s="7">
        <v>1.9907407407407408E-3</v>
      </c>
      <c r="Q1162" s="7">
        <v>1.3888888888888889E-3</v>
      </c>
      <c r="R1162" s="6">
        <v>0.85450000000000004</v>
      </c>
      <c r="S1162" s="8">
        <f>CONVERT(Table1[[#This Row],[Talk Duration (AVG)]]*Table1[[#This Row],[Answered Calls]],"day","hr")</f>
        <v>12.565555555555557</v>
      </c>
      <c r="T1162" s="9">
        <f>Table1[[#This Row],[Actual Workload hours]]*60</f>
        <v>753.93333333333339</v>
      </c>
      <c r="U1162" s="9">
        <f>CONVERT(Table1[[#This Row],[Actual]]*Table1[[#This Row],[Talk Duration (AVG)]],"day","hr")</f>
        <v>10.988888888888889</v>
      </c>
      <c r="V1162" s="10">
        <f>Table1[[#This Row],[Required Workload Hours]]*60</f>
        <v>659.33333333333337</v>
      </c>
      <c r="W1162" s="9">
        <f t="shared" si="38"/>
        <v>1.9633680555555557</v>
      </c>
      <c r="X1162" s="9">
        <f t="shared" si="37"/>
        <v>1.7170138888888891</v>
      </c>
      <c r="Y1162" s="5">
        <f t="shared" si="39"/>
        <v>2</v>
      </c>
      <c r="Z1162" s="8">
        <f>ROUNDUP(Table1[[#This Row],[Actual Heacount]],0)</f>
        <v>2</v>
      </c>
      <c r="AA1162" s="8">
        <f>CONVERT(Table1[[#This Row],[RevisedForecast 30% Recution2]]*Table1[[#This Row],[Talk Duration (AVG)]],"day","hr")</f>
        <v>10.39692748974953</v>
      </c>
      <c r="AB1162" s="10">
        <f>(Table1[[#This Row],[Forecast Workload Hours]]*60)*1.2</f>
        <v>748.57877926196602</v>
      </c>
      <c r="AC1162" s="10">
        <f>IF(Table1[[#This Row],[Forecast WOrkload Minutes]]&lt;384,1,Table1[[#This Row],[Forecast WOrkload Minutes]]/384)</f>
        <v>1.9494239043280366</v>
      </c>
      <c r="AD1162" s="10">
        <f>ROUNDUP(Table1[[#This Row],[Forecast Headcount]],0)</f>
        <v>2</v>
      </c>
      <c r="AE1162" s="11">
        <v>161.83292893178549</v>
      </c>
      <c r="AF1162" s="11">
        <v>379.2816168905245</v>
      </c>
      <c r="AG1162" t="s">
        <v>7</v>
      </c>
    </row>
    <row r="1163" spans="1:33">
      <c r="A1163" s="2">
        <v>45044</v>
      </c>
      <c r="B1163" s="5" t="s">
        <v>40</v>
      </c>
      <c r="C1163" s="5">
        <f>WEEKDAY(Table1[[#This Row],[Date]])</f>
        <v>6</v>
      </c>
      <c r="D1163" s="5">
        <f>MONTH(Table1[[#This Row],[Date]])</f>
        <v>4</v>
      </c>
      <c r="E1163" s="5">
        <f>WEEKNUM(Table1[[#This Row],[Date]])</f>
        <v>17</v>
      </c>
      <c r="F1163" s="5">
        <f>YEAR(Table1[[#This Row],[Date]])</f>
        <v>2023</v>
      </c>
      <c r="G1163" s="17">
        <v>185</v>
      </c>
      <c r="H1163">
        <v>262.92699964857297</v>
      </c>
      <c r="I1163">
        <f>Table1[[#This Row],[Forecast]]*0.9</f>
        <v>236.63429968371568</v>
      </c>
      <c r="J1163">
        <f>Table1[[#This Row],[Forecast]]*0.8</f>
        <v>210.34159971885839</v>
      </c>
      <c r="K1163">
        <f>Table1[[#This Row],[Forecast]]*0.8</f>
        <v>210.34159971885839</v>
      </c>
      <c r="L1163" s="5">
        <v>208</v>
      </c>
      <c r="M1163" s="6">
        <v>0.98109999999999997</v>
      </c>
      <c r="N1163" s="5">
        <v>4</v>
      </c>
      <c r="O1163" s="7">
        <v>9.2592592592592588E-5</v>
      </c>
      <c r="P1163" s="7">
        <v>1.8865740740740742E-3</v>
      </c>
      <c r="Q1163" s="7">
        <v>1.7824074074074075E-3</v>
      </c>
      <c r="R1163" s="6">
        <v>0.91</v>
      </c>
      <c r="S1163" s="8">
        <f>CONVERT(Table1[[#This Row],[Talk Duration (AVG)]]*Table1[[#This Row],[Answered Calls]],"day","hr")</f>
        <v>9.4177777777777774</v>
      </c>
      <c r="T1163" s="9">
        <f>Table1[[#This Row],[Actual Workload hours]]*60</f>
        <v>565.06666666666661</v>
      </c>
      <c r="U1163" s="9">
        <f>CONVERT(Table1[[#This Row],[Actual]]*Table1[[#This Row],[Talk Duration (AVG)]],"day","hr")</f>
        <v>8.37638888888889</v>
      </c>
      <c r="V1163" s="10">
        <f>Table1[[#This Row],[Required Workload Hours]]*60</f>
        <v>502.58333333333337</v>
      </c>
      <c r="W1163" s="9">
        <f t="shared" si="38"/>
        <v>1.4715277777777775</v>
      </c>
      <c r="X1163" s="9">
        <f t="shared" si="37"/>
        <v>1.3088107638888891</v>
      </c>
      <c r="Y1163" s="5">
        <f t="shared" si="39"/>
        <v>2</v>
      </c>
      <c r="Z1163" s="8">
        <f>ROUNDUP(Table1[[#This Row],[Actual Heacount]],0)</f>
        <v>2</v>
      </c>
      <c r="AA1163" s="8">
        <f>CONVERT(Table1[[#This Row],[RevisedForecast 30% Recution2]]*Table1[[#This Row],[Talk Duration (AVG)]],"day","hr")</f>
        <v>9.5238002094927552</v>
      </c>
      <c r="AB1163" s="10">
        <f>(Table1[[#This Row],[Forecast Workload Hours]]*60)*1.2</f>
        <v>685.71361508347843</v>
      </c>
      <c r="AC1163" s="10">
        <f>IF(Table1[[#This Row],[Forecast WOrkload Minutes]]&lt;384,1,Table1[[#This Row],[Forecast WOrkload Minutes]]/384)</f>
        <v>1.7857125392798918</v>
      </c>
      <c r="AD1163" s="10">
        <f>ROUNDUP(Table1[[#This Row],[Forecast Headcount]],0)</f>
        <v>2</v>
      </c>
      <c r="AE1163" s="11">
        <v>154.15701656433191</v>
      </c>
      <c r="AF1163" s="11">
        <v>373.18761224052952</v>
      </c>
      <c r="AG1163" t="s">
        <v>7</v>
      </c>
    </row>
    <row r="1164" spans="1:33">
      <c r="A1164" s="2">
        <v>45045</v>
      </c>
      <c r="B1164" s="5" t="s">
        <v>33</v>
      </c>
      <c r="C1164" s="5">
        <f>WEEKDAY(Table1[[#This Row],[Date]])</f>
        <v>7</v>
      </c>
      <c r="D1164" s="5">
        <f>MONTH(Table1[[#This Row],[Date]])</f>
        <v>4</v>
      </c>
      <c r="E1164" s="5">
        <f>WEEKNUM(Table1[[#This Row],[Date]])</f>
        <v>17</v>
      </c>
      <c r="F1164" s="5">
        <f>YEAR(Table1[[#This Row],[Date]])</f>
        <v>2023</v>
      </c>
      <c r="G1164" s="17">
        <v>197</v>
      </c>
      <c r="H1164">
        <v>269.87967993713153</v>
      </c>
      <c r="I1164">
        <f>Table1[[#This Row],[Forecast]]*0.9</f>
        <v>242.89171194341839</v>
      </c>
      <c r="J1164">
        <f>Table1[[#This Row],[Forecast]]*0.8</f>
        <v>215.90374394970524</v>
      </c>
      <c r="K1164">
        <f>Table1[[#This Row],[Forecast]]*0.8</f>
        <v>215.90374394970524</v>
      </c>
      <c r="L1164" s="5">
        <v>238</v>
      </c>
      <c r="M1164" s="6">
        <v>0.96750000000000003</v>
      </c>
      <c r="N1164" s="5">
        <v>8</v>
      </c>
      <c r="O1164" s="7">
        <v>8.1018518518518516E-5</v>
      </c>
      <c r="P1164" s="7">
        <v>2.0023148148148148E-3</v>
      </c>
      <c r="Q1164" s="7">
        <v>2.638888888888889E-3</v>
      </c>
      <c r="R1164" s="6">
        <v>0.91839999999999999</v>
      </c>
      <c r="S1164" s="8">
        <f>CONVERT(Table1[[#This Row],[Talk Duration (AVG)]]*Table1[[#This Row],[Answered Calls]],"day","hr")</f>
        <v>11.437222222222223</v>
      </c>
      <c r="T1164" s="9">
        <f>Table1[[#This Row],[Actual Workload hours]]*60</f>
        <v>686.23333333333335</v>
      </c>
      <c r="U1164" s="9">
        <f>CONVERT(Table1[[#This Row],[Actual]]*Table1[[#This Row],[Talk Duration (AVG)]],"day","hr")</f>
        <v>9.4669444444444437</v>
      </c>
      <c r="V1164" s="10">
        <f>Table1[[#This Row],[Required Workload Hours]]*60</f>
        <v>568.01666666666665</v>
      </c>
      <c r="W1164" s="9">
        <f t="shared" si="38"/>
        <v>1.7870659722222222</v>
      </c>
      <c r="X1164" s="9">
        <f t="shared" si="37"/>
        <v>1.4792100694444443</v>
      </c>
      <c r="Y1164" s="5">
        <f t="shared" si="39"/>
        <v>2</v>
      </c>
      <c r="Z1164" s="8">
        <f>ROUNDUP(Table1[[#This Row],[Actual Heacount]],0)</f>
        <v>2</v>
      </c>
      <c r="AA1164" s="8">
        <f>CONVERT(Table1[[#This Row],[RevisedForecast 30% Recution2]]*Table1[[#This Row],[Talk Duration (AVG)]],"day","hr")</f>
        <v>10.375374362027502</v>
      </c>
      <c r="AB1164" s="10">
        <f>(Table1[[#This Row],[Forecast Workload Hours]]*60)*1.2</f>
        <v>747.02695406598002</v>
      </c>
      <c r="AC1164" s="10">
        <f>IF(Table1[[#This Row],[Forecast WOrkload Minutes]]&lt;384,1,Table1[[#This Row],[Forecast WOrkload Minutes]]/384)</f>
        <v>1.9453826928801563</v>
      </c>
      <c r="AD1164" s="10">
        <f>ROUNDUP(Table1[[#This Row],[Forecast Headcount]],0)</f>
        <v>2</v>
      </c>
      <c r="AE1164" s="11">
        <v>161.38127400965499</v>
      </c>
      <c r="AF1164" s="11">
        <v>380.33839232771811</v>
      </c>
      <c r="AG1164" t="s">
        <v>7</v>
      </c>
    </row>
    <row r="1165" spans="1:33">
      <c r="A1165" s="2">
        <v>45046</v>
      </c>
      <c r="B1165" s="5" t="s">
        <v>35</v>
      </c>
      <c r="C1165" s="5">
        <f>WEEKDAY(Table1[[#This Row],[Date]])</f>
        <v>1</v>
      </c>
      <c r="D1165" s="5">
        <f>MONTH(Table1[[#This Row],[Date]])</f>
        <v>4</v>
      </c>
      <c r="E1165" s="5">
        <f>WEEKNUM(Table1[[#This Row],[Date]])</f>
        <v>18</v>
      </c>
      <c r="F1165" s="5">
        <f>YEAR(Table1[[#This Row],[Date]])</f>
        <v>2023</v>
      </c>
      <c r="G1165" s="17">
        <v>15</v>
      </c>
      <c r="H1165">
        <v>181.03225347690301</v>
      </c>
      <c r="I1165">
        <f>Table1[[#This Row],[Forecast]]*0.9</f>
        <v>162.92902812921272</v>
      </c>
      <c r="J1165">
        <f>Table1[[#This Row],[Forecast]]*0.8</f>
        <v>144.82580278152241</v>
      </c>
      <c r="K1165">
        <f>Table1[[#This Row],[Forecast]]*0.8</f>
        <v>144.82580278152241</v>
      </c>
      <c r="L1165" s="5">
        <v>190</v>
      </c>
      <c r="M1165" s="6">
        <v>0.97940000000000005</v>
      </c>
      <c r="N1165" s="5">
        <v>4</v>
      </c>
      <c r="O1165" s="7">
        <v>9.2592592592592588E-5</v>
      </c>
      <c r="P1165" s="7">
        <v>1.8865740740740742E-3</v>
      </c>
      <c r="Q1165" s="7">
        <v>2.476851851851852E-3</v>
      </c>
      <c r="R1165" s="6">
        <v>0.92779999999999996</v>
      </c>
      <c r="S1165" s="8">
        <f>CONVERT(Table1[[#This Row],[Talk Duration (AVG)]]*Table1[[#This Row],[Answered Calls]],"day","hr")</f>
        <v>8.6027777777777796</v>
      </c>
      <c r="T1165" s="9">
        <f>Table1[[#This Row],[Actual Workload hours]]*60</f>
        <v>516.16666666666674</v>
      </c>
      <c r="U1165" s="9">
        <f>CONVERT(Table1[[#This Row],[Actual]]*Table1[[#This Row],[Talk Duration (AVG)]],"day","hr")</f>
        <v>0.6791666666666667</v>
      </c>
      <c r="V1165" s="10">
        <f>Table1[[#This Row],[Required Workload Hours]]*60</f>
        <v>40.75</v>
      </c>
      <c r="W1165" s="9">
        <f t="shared" si="38"/>
        <v>1.3441840277777779</v>
      </c>
      <c r="X1165" s="9">
        <f t="shared" si="37"/>
        <v>1</v>
      </c>
      <c r="Y1165" s="5">
        <f t="shared" si="39"/>
        <v>2</v>
      </c>
      <c r="Z1165" s="8">
        <f>ROUNDUP(Table1[[#This Row],[Actual Heacount]],0)</f>
        <v>2</v>
      </c>
      <c r="AA1165" s="8">
        <f>CONVERT(Table1[[#This Row],[RevisedForecast 30% Recution2]]*Table1[[#This Row],[Talk Duration (AVG)]],"day","hr")</f>
        <v>6.5573905148300424</v>
      </c>
      <c r="AB1165" s="10">
        <f>(Table1[[#This Row],[Forecast Workload Hours]]*60)*1.2</f>
        <v>472.13211706776303</v>
      </c>
      <c r="AC1165" s="10">
        <f>IF(Table1[[#This Row],[Forecast WOrkload Minutes]]&lt;384,1,Table1[[#This Row],[Forecast WOrkload Minutes]]/384)</f>
        <v>1.2295107215306329</v>
      </c>
      <c r="AD1165" s="10">
        <f>ROUNDUP(Table1[[#This Row],[Forecast Headcount]],0)</f>
        <v>2</v>
      </c>
      <c r="AE1165" s="11">
        <v>72.174983919488213</v>
      </c>
      <c r="AF1165" s="11">
        <v>287.48478109033209</v>
      </c>
      <c r="AG1165" t="s">
        <v>7</v>
      </c>
    </row>
    <row r="1166" spans="1:33">
      <c r="A1166" s="2">
        <v>45047</v>
      </c>
      <c r="B1166" s="5" t="s">
        <v>36</v>
      </c>
      <c r="C1166" s="5">
        <f>WEEKDAY(Table1[[#This Row],[Date]])</f>
        <v>2</v>
      </c>
      <c r="D1166" s="5">
        <f>MONTH(Table1[[#This Row],[Date]])</f>
        <v>5</v>
      </c>
      <c r="E1166" s="5">
        <f>WEEKNUM(Table1[[#This Row],[Date]])</f>
        <v>18</v>
      </c>
      <c r="F1166" s="5">
        <f>YEAR(Table1[[#This Row],[Date]])</f>
        <v>2023</v>
      </c>
      <c r="G1166" s="17">
        <v>230</v>
      </c>
      <c r="H1166">
        <v>280.7443063411244</v>
      </c>
      <c r="I1166">
        <f>Table1[[#This Row],[Forecast]]*0.9</f>
        <v>252.66987570701195</v>
      </c>
      <c r="J1166">
        <f>Table1[[#This Row],[Forecast]]*0.8</f>
        <v>224.59544507289954</v>
      </c>
      <c r="K1166">
        <f>Table1[[#This Row],[Forecast]]*0.8</f>
        <v>224.59544507289954</v>
      </c>
      <c r="L1166" s="5">
        <v>176</v>
      </c>
      <c r="M1166" s="6">
        <v>0.98319999999999996</v>
      </c>
      <c r="N1166" s="5">
        <v>3</v>
      </c>
      <c r="O1166" s="7">
        <v>6.9444444444444444E-5</v>
      </c>
      <c r="P1166" s="7">
        <v>1.8981481481481482E-3</v>
      </c>
      <c r="Q1166" s="7">
        <v>1.1921296296296296E-3</v>
      </c>
      <c r="R1166" s="6">
        <v>0.96050000000000002</v>
      </c>
      <c r="S1166" s="8">
        <f>CONVERT(Table1[[#This Row],[Talk Duration (AVG)]]*Table1[[#This Row],[Answered Calls]],"day","hr")</f>
        <v>8.017777777777777</v>
      </c>
      <c r="T1166" s="9">
        <f>Table1[[#This Row],[Actual Workload hours]]*60</f>
        <v>481.06666666666661</v>
      </c>
      <c r="U1166" s="9">
        <f>CONVERT(Table1[[#This Row],[Actual]]*Table1[[#This Row],[Talk Duration (AVG)]],"day","hr")</f>
        <v>10.477777777777778</v>
      </c>
      <c r="V1166" s="10">
        <f>Table1[[#This Row],[Required Workload Hours]]*60</f>
        <v>628.66666666666663</v>
      </c>
      <c r="W1166" s="9">
        <f t="shared" si="38"/>
        <v>1.2527777777777775</v>
      </c>
      <c r="X1166" s="9">
        <f t="shared" si="37"/>
        <v>1.6371527777777777</v>
      </c>
      <c r="Y1166" s="5">
        <f t="shared" si="39"/>
        <v>2</v>
      </c>
      <c r="Z1166" s="8">
        <f>ROUNDUP(Table1[[#This Row],[Actual Heacount]],0)</f>
        <v>2</v>
      </c>
      <c r="AA1166" s="8">
        <f>CONVERT(Table1[[#This Row],[RevisedForecast 30% Recution2]]*Table1[[#This Row],[Talk Duration (AVG)]],"day","hr")</f>
        <v>10.231570275543202</v>
      </c>
      <c r="AB1166" s="10">
        <f>(Table1[[#This Row],[Forecast Workload Hours]]*60)*1.2</f>
        <v>736.67305983911058</v>
      </c>
      <c r="AC1166" s="10">
        <f>IF(Table1[[#This Row],[Forecast WOrkload Minutes]]&lt;384,1,Table1[[#This Row],[Forecast WOrkload Minutes]]/384)</f>
        <v>1.9184194266643504</v>
      </c>
      <c r="AD1166" s="10">
        <f>ROUNDUP(Table1[[#This Row],[Forecast Headcount]],0)</f>
        <v>2</v>
      </c>
      <c r="AE1166" s="11">
        <v>167.94944065522861</v>
      </c>
      <c r="AF1166" s="11">
        <v>387.53440547189359</v>
      </c>
      <c r="AG1166" t="s">
        <v>7</v>
      </c>
    </row>
    <row r="1167" spans="1:33">
      <c r="A1167" s="2">
        <v>45048</v>
      </c>
      <c r="B1167" s="5" t="s">
        <v>37</v>
      </c>
      <c r="C1167" s="5">
        <f>WEEKDAY(Table1[[#This Row],[Date]])</f>
        <v>3</v>
      </c>
      <c r="D1167" s="5">
        <f>MONTH(Table1[[#This Row],[Date]])</f>
        <v>5</v>
      </c>
      <c r="E1167" s="5">
        <f>WEEKNUM(Table1[[#This Row],[Date]])</f>
        <v>18</v>
      </c>
      <c r="F1167" s="5">
        <f>YEAR(Table1[[#This Row],[Date]])</f>
        <v>2023</v>
      </c>
      <c r="G1167" s="17">
        <v>232</v>
      </c>
      <c r="H1167">
        <v>264.57879073773961</v>
      </c>
      <c r="I1167">
        <f>Table1[[#This Row],[Forecast]]*0.9</f>
        <v>238.12091166396564</v>
      </c>
      <c r="J1167">
        <f>Table1[[#This Row],[Forecast]]*0.8</f>
        <v>211.6630325901917</v>
      </c>
      <c r="K1167">
        <f>Table1[[#This Row],[Forecast]]*0.8</f>
        <v>211.6630325901917</v>
      </c>
      <c r="L1167" s="5">
        <v>65</v>
      </c>
      <c r="M1167" s="6">
        <v>0.97009999999999996</v>
      </c>
      <c r="N1167" s="5">
        <v>2</v>
      </c>
      <c r="O1167" s="7">
        <v>1.0416666666666667E-4</v>
      </c>
      <c r="P1167" s="7">
        <v>1.8055555555555555E-3</v>
      </c>
      <c r="Q1167" s="7">
        <v>1.3773148148148147E-3</v>
      </c>
      <c r="R1167" s="6">
        <v>0.89549999999999996</v>
      </c>
      <c r="S1167" s="8">
        <f>CONVERT(Table1[[#This Row],[Talk Duration (AVG)]]*Table1[[#This Row],[Answered Calls]],"day","hr")</f>
        <v>2.8166666666666669</v>
      </c>
      <c r="T1167" s="9">
        <f>Table1[[#This Row],[Actual Workload hours]]*60</f>
        <v>169</v>
      </c>
      <c r="U1167" s="9">
        <f>CONVERT(Table1[[#This Row],[Actual]]*Table1[[#This Row],[Talk Duration (AVG)]],"day","hr")</f>
        <v>10.053333333333333</v>
      </c>
      <c r="V1167" s="10">
        <f>Table1[[#This Row],[Required Workload Hours]]*60</f>
        <v>603.19999999999993</v>
      </c>
      <c r="W1167" s="9">
        <f t="shared" si="38"/>
        <v>1</v>
      </c>
      <c r="X1167" s="9">
        <f t="shared" si="37"/>
        <v>1.5708333333333331</v>
      </c>
      <c r="Y1167" s="5">
        <f t="shared" si="39"/>
        <v>2</v>
      </c>
      <c r="Z1167" s="8">
        <f>ROUNDUP(Table1[[#This Row],[Actual Heacount]],0)</f>
        <v>1</v>
      </c>
      <c r="AA1167" s="8">
        <f>CONVERT(Table1[[#This Row],[RevisedForecast 30% Recution2]]*Table1[[#This Row],[Talk Duration (AVG)]],"day","hr")</f>
        <v>9.1720647455749731</v>
      </c>
      <c r="AB1167" s="10">
        <f>(Table1[[#This Row],[Forecast Workload Hours]]*60)*1.2</f>
        <v>660.38866168139805</v>
      </c>
      <c r="AC1167" s="10">
        <f>IF(Table1[[#This Row],[Forecast WOrkload Minutes]]&lt;384,1,Table1[[#This Row],[Forecast WOrkload Minutes]]/384)</f>
        <v>1.7197621397953073</v>
      </c>
      <c r="AD1167" s="10">
        <f>ROUNDUP(Table1[[#This Row],[Forecast Headcount]],0)</f>
        <v>2</v>
      </c>
      <c r="AE1167" s="11">
        <v>145.76871009094759</v>
      </c>
      <c r="AF1167" s="11">
        <v>374.48877547001308</v>
      </c>
      <c r="AG1167" t="s">
        <v>7</v>
      </c>
    </row>
    <row r="1168" spans="1:33">
      <c r="A1168" s="2">
        <v>45049</v>
      </c>
      <c r="B1168" s="5" t="s">
        <v>38</v>
      </c>
      <c r="C1168" s="5">
        <f>WEEKDAY(Table1[[#This Row],[Date]])</f>
        <v>4</v>
      </c>
      <c r="D1168" s="5">
        <f>MONTH(Table1[[#This Row],[Date]])</f>
        <v>5</v>
      </c>
      <c r="E1168" s="5">
        <f>WEEKNUM(Table1[[#This Row],[Date]])</f>
        <v>18</v>
      </c>
      <c r="F1168" s="5">
        <f>YEAR(Table1[[#This Row],[Date]])</f>
        <v>2023</v>
      </c>
      <c r="G1168" s="17">
        <v>237</v>
      </c>
      <c r="H1168">
        <v>276.74188347839532</v>
      </c>
      <c r="I1168">
        <f>Table1[[#This Row],[Forecast]]*0.9</f>
        <v>249.06769513055579</v>
      </c>
      <c r="J1168">
        <f>Table1[[#This Row],[Forecast]]*0.8</f>
        <v>221.39350678271626</v>
      </c>
      <c r="K1168">
        <f>Table1[[#This Row],[Forecast]]*0.8</f>
        <v>221.39350678271626</v>
      </c>
      <c r="L1168" s="5">
        <v>27</v>
      </c>
      <c r="M1168" s="6">
        <v>1</v>
      </c>
      <c r="N1168" s="5">
        <v>0</v>
      </c>
      <c r="O1168" s="7">
        <v>1.0416666666666667E-4</v>
      </c>
      <c r="P1168" s="7">
        <v>1.7013888888888888E-3</v>
      </c>
      <c r="Q1168" s="7">
        <v>1.0763888888888889E-3</v>
      </c>
      <c r="R1168" s="6">
        <v>0.88890000000000002</v>
      </c>
      <c r="S1168" s="8">
        <f>CONVERT(Table1[[#This Row],[Talk Duration (AVG)]]*Table1[[#This Row],[Answered Calls]],"day","hr")</f>
        <v>1.1025</v>
      </c>
      <c r="T1168" s="9">
        <f>Table1[[#This Row],[Actual Workload hours]]*60</f>
        <v>66.150000000000006</v>
      </c>
      <c r="U1168" s="9">
        <f>CONVERT(Table1[[#This Row],[Actual]]*Table1[[#This Row],[Talk Duration (AVG)]],"day","hr")</f>
        <v>9.6775000000000002</v>
      </c>
      <c r="V1168" s="10">
        <f>Table1[[#This Row],[Required Workload Hours]]*60</f>
        <v>580.65</v>
      </c>
      <c r="W1168" s="9">
        <f t="shared" si="38"/>
        <v>1</v>
      </c>
      <c r="X1168" s="9">
        <f t="shared" si="37"/>
        <v>1.5121093749999999</v>
      </c>
      <c r="Y1168" s="5">
        <f t="shared" si="39"/>
        <v>1</v>
      </c>
      <c r="Z1168" s="8">
        <f>ROUNDUP(Table1[[#This Row],[Actual Heacount]],0)</f>
        <v>1</v>
      </c>
      <c r="AA1168" s="8">
        <f>CONVERT(Table1[[#This Row],[RevisedForecast 30% Recution2]]*Table1[[#This Row],[Talk Duration (AVG)]],"day","hr")</f>
        <v>9.0402348602942482</v>
      </c>
      <c r="AB1168" s="10">
        <f>(Table1[[#This Row],[Forecast Workload Hours]]*60)*1.2</f>
        <v>650.89690994118587</v>
      </c>
      <c r="AC1168" s="10">
        <f>IF(Table1[[#This Row],[Forecast WOrkload Minutes]]&lt;384,1,Table1[[#This Row],[Forecast WOrkload Minutes]]/384)</f>
        <v>1.6950440363051715</v>
      </c>
      <c r="AD1168" s="10">
        <f>ROUNDUP(Table1[[#This Row],[Forecast Headcount]],0)</f>
        <v>2</v>
      </c>
      <c r="AE1168" s="11">
        <v>172.25269454117691</v>
      </c>
      <c r="AF1168" s="11">
        <v>386.01019555948233</v>
      </c>
      <c r="AG1168" t="s">
        <v>7</v>
      </c>
    </row>
    <row r="1169" spans="1:33">
      <c r="A1169" s="2">
        <v>45050</v>
      </c>
      <c r="B1169" s="5" t="s">
        <v>39</v>
      </c>
      <c r="C1169" s="5">
        <f>WEEKDAY(Table1[[#This Row],[Date]])</f>
        <v>5</v>
      </c>
      <c r="D1169" s="5">
        <f>MONTH(Table1[[#This Row],[Date]])</f>
        <v>5</v>
      </c>
      <c r="E1169" s="5">
        <f>WEEKNUM(Table1[[#This Row],[Date]])</f>
        <v>18</v>
      </c>
      <c r="F1169" s="5">
        <f>YEAR(Table1[[#This Row],[Date]])</f>
        <v>2023</v>
      </c>
      <c r="G1169" s="17">
        <v>42</v>
      </c>
      <c r="H1169">
        <v>271.95144879350352</v>
      </c>
      <c r="I1169">
        <f>Table1[[#This Row],[Forecast]]*0.9</f>
        <v>244.75630391415316</v>
      </c>
      <c r="J1169">
        <f>Table1[[#This Row],[Forecast]]*0.8</f>
        <v>217.56115903480281</v>
      </c>
      <c r="K1169">
        <f>Table1[[#This Row],[Forecast]]*0.8</f>
        <v>217.56115903480281</v>
      </c>
      <c r="L1169" s="5">
        <v>183</v>
      </c>
      <c r="M1169" s="6">
        <v>0.96319999999999995</v>
      </c>
      <c r="N1169" s="5">
        <v>7</v>
      </c>
      <c r="O1169" s="7">
        <v>1.0416666666666667E-4</v>
      </c>
      <c r="P1169" s="7">
        <v>1.8287037037037037E-3</v>
      </c>
      <c r="Q1169" s="7">
        <v>2.0138888888888888E-3</v>
      </c>
      <c r="R1169" s="6">
        <v>0.87829999999999997</v>
      </c>
      <c r="S1169" s="8">
        <f>CONVERT(Table1[[#This Row],[Talk Duration (AVG)]]*Table1[[#This Row],[Answered Calls]],"day","hr")</f>
        <v>8.0316666666666681</v>
      </c>
      <c r="T1169" s="9">
        <f>Table1[[#This Row],[Actual Workload hours]]*60</f>
        <v>481.90000000000009</v>
      </c>
      <c r="U1169" s="9">
        <f>CONVERT(Table1[[#This Row],[Actual]]*Table1[[#This Row],[Talk Duration (AVG)]],"day","hr")</f>
        <v>1.8433333333333333</v>
      </c>
      <c r="V1169" s="10">
        <f>Table1[[#This Row],[Required Workload Hours]]*60</f>
        <v>110.6</v>
      </c>
      <c r="W1169" s="9">
        <f t="shared" si="38"/>
        <v>1.2549479166666668</v>
      </c>
      <c r="X1169" s="9">
        <f t="shared" si="37"/>
        <v>1</v>
      </c>
      <c r="Y1169" s="5">
        <f t="shared" si="39"/>
        <v>2</v>
      </c>
      <c r="Z1169" s="8">
        <f>ROUNDUP(Table1[[#This Row],[Actual Heacount]],0)</f>
        <v>2</v>
      </c>
      <c r="AA1169" s="8">
        <f>CONVERT(Table1[[#This Row],[RevisedForecast 30% Recution2]]*Table1[[#This Row],[Talk Duration (AVG)]],"day","hr")</f>
        <v>9.5485175354163463</v>
      </c>
      <c r="AB1169" s="10">
        <f>(Table1[[#This Row],[Forecast Workload Hours]]*60)*1.2</f>
        <v>687.49326254997686</v>
      </c>
      <c r="AC1169" s="10">
        <f>IF(Table1[[#This Row],[Forecast WOrkload Minutes]]&lt;384,1,Table1[[#This Row],[Forecast WOrkload Minutes]]/384)</f>
        <v>1.7903470378905648</v>
      </c>
      <c r="AD1169" s="10">
        <f>ROUNDUP(Table1[[#This Row],[Forecast Headcount]],0)</f>
        <v>2</v>
      </c>
      <c r="AE1169" s="11">
        <v>165.02530889539051</v>
      </c>
      <c r="AF1169" s="11">
        <v>380.82559388778333</v>
      </c>
      <c r="AG1169" t="s">
        <v>7</v>
      </c>
    </row>
    <row r="1170" spans="1:33">
      <c r="A1170" s="2">
        <v>45051</v>
      </c>
      <c r="B1170" s="5" t="s">
        <v>40</v>
      </c>
      <c r="C1170" s="5">
        <f>WEEKDAY(Table1[[#This Row],[Date]])</f>
        <v>6</v>
      </c>
      <c r="D1170" s="5">
        <f>MONTH(Table1[[#This Row],[Date]])</f>
        <v>5</v>
      </c>
      <c r="E1170" s="5">
        <f>WEEKNUM(Table1[[#This Row],[Date]])</f>
        <v>18</v>
      </c>
      <c r="F1170" s="5">
        <f>YEAR(Table1[[#This Row],[Date]])</f>
        <v>2023</v>
      </c>
      <c r="G1170" s="17">
        <v>215</v>
      </c>
      <c r="H1170">
        <v>263.08764110422487</v>
      </c>
      <c r="I1170">
        <f>Table1[[#This Row],[Forecast]]*0.9</f>
        <v>236.77887699380238</v>
      </c>
      <c r="J1170">
        <f>Table1[[#This Row],[Forecast]]*0.8</f>
        <v>210.4701128833799</v>
      </c>
      <c r="K1170">
        <f>Table1[[#This Row],[Forecast]]*0.8</f>
        <v>210.4701128833799</v>
      </c>
      <c r="L1170" s="5">
        <v>205</v>
      </c>
      <c r="M1170" s="6">
        <v>0.96240000000000003</v>
      </c>
      <c r="N1170" s="5">
        <v>8</v>
      </c>
      <c r="O1170" s="7">
        <v>1.1574074074074075E-4</v>
      </c>
      <c r="P1170" s="7">
        <v>1.8287037037037037E-3</v>
      </c>
      <c r="Q1170" s="7">
        <v>3.4953703703703705E-3</v>
      </c>
      <c r="R1170" s="6">
        <v>0.88149999999999995</v>
      </c>
      <c r="S1170" s="8">
        <f>CONVERT(Table1[[#This Row],[Talk Duration (AVG)]]*Table1[[#This Row],[Answered Calls]],"day","hr")</f>
        <v>8.9972222222222218</v>
      </c>
      <c r="T1170" s="9">
        <f>Table1[[#This Row],[Actual Workload hours]]*60</f>
        <v>539.83333333333326</v>
      </c>
      <c r="U1170" s="9">
        <f>CONVERT(Table1[[#This Row],[Actual]]*Table1[[#This Row],[Talk Duration (AVG)]],"day","hr")</f>
        <v>9.4361111111111118</v>
      </c>
      <c r="V1170" s="10">
        <f>Table1[[#This Row],[Required Workload Hours]]*60</f>
        <v>566.16666666666674</v>
      </c>
      <c r="W1170" s="9">
        <f t="shared" si="38"/>
        <v>1.4058159722222221</v>
      </c>
      <c r="X1170" s="9">
        <f t="shared" si="37"/>
        <v>1.4743923611111114</v>
      </c>
      <c r="Y1170" s="5">
        <f t="shared" si="39"/>
        <v>2</v>
      </c>
      <c r="Z1170" s="8">
        <f>ROUNDUP(Table1[[#This Row],[Actual Heacount]],0)</f>
        <v>2</v>
      </c>
      <c r="AA1170" s="8">
        <f>CONVERT(Table1[[#This Row],[RevisedForecast 30% Recution2]]*Table1[[#This Row],[Talk Duration (AVG)]],"day","hr")</f>
        <v>9.2372993987705616</v>
      </c>
      <c r="AB1170" s="10">
        <f>(Table1[[#This Row],[Forecast Workload Hours]]*60)*1.2</f>
        <v>665.08555671148031</v>
      </c>
      <c r="AC1170" s="10">
        <f>IF(Table1[[#This Row],[Forecast WOrkload Minutes]]&lt;384,1,Table1[[#This Row],[Forecast WOrkload Minutes]]/384)</f>
        <v>1.73199363726948</v>
      </c>
      <c r="AD1170" s="10">
        <f>ROUNDUP(Table1[[#This Row],[Forecast Headcount]],0)</f>
        <v>2</v>
      </c>
      <c r="AE1170" s="11">
        <v>150.15259844744651</v>
      </c>
      <c r="AF1170" s="11">
        <v>375.1325052386963</v>
      </c>
      <c r="AG1170" t="s">
        <v>7</v>
      </c>
    </row>
    <row r="1171" spans="1:33">
      <c r="A1171" s="2">
        <v>45052</v>
      </c>
      <c r="B1171" s="5" t="s">
        <v>33</v>
      </c>
      <c r="C1171" s="5">
        <f>WEEKDAY(Table1[[#This Row],[Date]])</f>
        <v>7</v>
      </c>
      <c r="D1171" s="5">
        <f>MONTH(Table1[[#This Row],[Date]])</f>
        <v>5</v>
      </c>
      <c r="E1171" s="5">
        <f>WEEKNUM(Table1[[#This Row],[Date]])</f>
        <v>18</v>
      </c>
      <c r="F1171" s="5">
        <f>YEAR(Table1[[#This Row],[Date]])</f>
        <v>2023</v>
      </c>
      <c r="G1171" s="17">
        <v>153</v>
      </c>
      <c r="H1171">
        <v>270.25290627750189</v>
      </c>
      <c r="I1171">
        <f>Table1[[#This Row],[Forecast]]*0.9</f>
        <v>243.2276156497517</v>
      </c>
      <c r="J1171">
        <f>Table1[[#This Row],[Forecast]]*0.8</f>
        <v>216.20232502200153</v>
      </c>
      <c r="K1171">
        <f>Table1[[#This Row],[Forecast]]*0.8</f>
        <v>216.20232502200153</v>
      </c>
      <c r="L1171" s="5">
        <v>205</v>
      </c>
      <c r="M1171" s="6">
        <v>0.98560000000000003</v>
      </c>
      <c r="N1171" s="5">
        <v>3</v>
      </c>
      <c r="O1171" s="7">
        <v>4.6296296296296294E-5</v>
      </c>
      <c r="P1171" s="7">
        <v>1.8055555555555555E-3</v>
      </c>
      <c r="Q1171" s="7">
        <v>2.0023148148148148E-3</v>
      </c>
      <c r="R1171" s="6">
        <v>0.97089999999999999</v>
      </c>
      <c r="S1171" s="8">
        <f>CONVERT(Table1[[#This Row],[Talk Duration (AVG)]]*Table1[[#This Row],[Answered Calls]],"day","hr")</f>
        <v>8.8833333333333329</v>
      </c>
      <c r="T1171" s="9">
        <f>Table1[[#This Row],[Actual Workload hours]]*60</f>
        <v>533</v>
      </c>
      <c r="U1171" s="9">
        <f>CONVERT(Table1[[#This Row],[Actual]]*Table1[[#This Row],[Talk Duration (AVG)]],"day","hr")</f>
        <v>6.63</v>
      </c>
      <c r="V1171" s="10">
        <f>Table1[[#This Row],[Required Workload Hours]]*60</f>
        <v>397.8</v>
      </c>
      <c r="W1171" s="9">
        <f t="shared" si="38"/>
        <v>1.3880208333333333</v>
      </c>
      <c r="X1171" s="9">
        <f t="shared" si="37"/>
        <v>1.0359375</v>
      </c>
      <c r="Y1171" s="5">
        <f t="shared" si="39"/>
        <v>2</v>
      </c>
      <c r="Z1171" s="8">
        <f>ROUNDUP(Table1[[#This Row],[Actual Heacount]],0)</f>
        <v>2</v>
      </c>
      <c r="AA1171" s="8">
        <f>CONVERT(Table1[[#This Row],[RevisedForecast 30% Recution2]]*Table1[[#This Row],[Talk Duration (AVG)]],"day","hr")</f>
        <v>9.3687674176200648</v>
      </c>
      <c r="AB1171" s="10">
        <f>(Table1[[#This Row],[Forecast Workload Hours]]*60)*1.2</f>
        <v>674.55125406864465</v>
      </c>
      <c r="AC1171" s="10">
        <f>IF(Table1[[#This Row],[Forecast WOrkload Minutes]]&lt;384,1,Table1[[#This Row],[Forecast WOrkload Minutes]]/384)</f>
        <v>1.756643890803762</v>
      </c>
      <c r="AD1171" s="10">
        <f>ROUNDUP(Table1[[#This Row],[Forecast Headcount]],0)</f>
        <v>2</v>
      </c>
      <c r="AE1171" s="11">
        <v>159.16876717690951</v>
      </c>
      <c r="AF1171" s="11">
        <v>382.61902992229528</v>
      </c>
      <c r="AG1171" t="s">
        <v>7</v>
      </c>
    </row>
    <row r="1172" spans="1:33">
      <c r="A1172" s="2">
        <v>45053</v>
      </c>
      <c r="B1172" s="5" t="s">
        <v>35</v>
      </c>
      <c r="C1172" s="5">
        <f>WEEKDAY(Table1[[#This Row],[Date]])</f>
        <v>1</v>
      </c>
      <c r="D1172" s="5">
        <f>MONTH(Table1[[#This Row],[Date]])</f>
        <v>5</v>
      </c>
      <c r="E1172" s="5">
        <f>WEEKNUM(Table1[[#This Row],[Date]])</f>
        <v>19</v>
      </c>
      <c r="F1172" s="5">
        <f>YEAR(Table1[[#This Row],[Date]])</f>
        <v>2023</v>
      </c>
      <c r="G1172" s="17">
        <v>39</v>
      </c>
      <c r="H1172">
        <v>181.59054145085119</v>
      </c>
      <c r="I1172">
        <f>Table1[[#This Row],[Forecast]]*0.9</f>
        <v>163.43148730576607</v>
      </c>
      <c r="J1172">
        <f>Table1[[#This Row],[Forecast]]*0.8</f>
        <v>145.27243316068095</v>
      </c>
      <c r="K1172">
        <f>Table1[[#This Row],[Forecast]]*0.8</f>
        <v>145.27243316068095</v>
      </c>
      <c r="L1172" s="5">
        <v>165</v>
      </c>
      <c r="M1172" s="6">
        <v>0.99399999999999999</v>
      </c>
      <c r="N1172" s="5">
        <v>1</v>
      </c>
      <c r="O1172" s="7">
        <v>9.2592592592592588E-5</v>
      </c>
      <c r="P1172" s="7">
        <v>1.8634259259259259E-3</v>
      </c>
      <c r="Q1172" s="7">
        <v>2.4421296296296296E-3</v>
      </c>
      <c r="R1172" s="6">
        <v>0.92769999999999997</v>
      </c>
      <c r="S1172" s="8">
        <f>CONVERT(Table1[[#This Row],[Talk Duration (AVG)]]*Table1[[#This Row],[Answered Calls]],"day","hr")</f>
        <v>7.3791666666666664</v>
      </c>
      <c r="T1172" s="9">
        <f>Table1[[#This Row],[Actual Workload hours]]*60</f>
        <v>442.75</v>
      </c>
      <c r="U1172" s="9">
        <f>CONVERT(Table1[[#This Row],[Actual]]*Table1[[#This Row],[Talk Duration (AVG)]],"day","hr")</f>
        <v>1.7441666666666664</v>
      </c>
      <c r="V1172" s="10">
        <f>Table1[[#This Row],[Required Workload Hours]]*60</f>
        <v>104.64999999999999</v>
      </c>
      <c r="W1172" s="9">
        <f t="shared" si="38"/>
        <v>1.1529947916666667</v>
      </c>
      <c r="X1172" s="9">
        <f t="shared" si="37"/>
        <v>1</v>
      </c>
      <c r="Y1172" s="5">
        <f t="shared" si="39"/>
        <v>2</v>
      </c>
      <c r="Z1172" s="8">
        <f>ROUNDUP(Table1[[#This Row],[Actual Heacount]],0)</f>
        <v>2</v>
      </c>
      <c r="AA1172" s="8">
        <f>CONVERT(Table1[[#This Row],[RevisedForecast 30% Recution2]]*Table1[[#This Row],[Talk Duration (AVG)]],"day","hr")</f>
        <v>6.496906038574898</v>
      </c>
      <c r="AB1172" s="10">
        <f>(Table1[[#This Row],[Forecast Workload Hours]]*60)*1.2</f>
        <v>467.77723477739266</v>
      </c>
      <c r="AC1172" s="10">
        <f>IF(Table1[[#This Row],[Forecast WOrkload Minutes]]&lt;384,1,Table1[[#This Row],[Forecast WOrkload Minutes]]/384)</f>
        <v>1.2181698822327933</v>
      </c>
      <c r="AD1172" s="10">
        <f>ROUNDUP(Table1[[#This Row],[Forecast Headcount]],0)</f>
        <v>2</v>
      </c>
      <c r="AE1172" s="11">
        <v>68.716380575223994</v>
      </c>
      <c r="AF1172" s="11">
        <v>298.79352651754999</v>
      </c>
      <c r="AG1172" t="s">
        <v>7</v>
      </c>
    </row>
    <row r="1173" spans="1:33">
      <c r="A1173" s="2">
        <v>45054</v>
      </c>
      <c r="B1173" s="5" t="s">
        <v>36</v>
      </c>
      <c r="C1173" s="5">
        <f>WEEKDAY(Table1[[#This Row],[Date]])</f>
        <v>2</v>
      </c>
      <c r="D1173" s="5">
        <f>MONTH(Table1[[#This Row],[Date]])</f>
        <v>5</v>
      </c>
      <c r="E1173" s="5">
        <f>WEEKNUM(Table1[[#This Row],[Date]])</f>
        <v>19</v>
      </c>
      <c r="F1173" s="5">
        <f>YEAR(Table1[[#This Row],[Date]])</f>
        <v>2023</v>
      </c>
      <c r="G1173" s="17">
        <v>334</v>
      </c>
      <c r="H1173">
        <v>281.4440934409289</v>
      </c>
      <c r="I1173">
        <f>Table1[[#This Row],[Forecast]]*0.9</f>
        <v>253.29968409683602</v>
      </c>
      <c r="J1173">
        <f>Table1[[#This Row],[Forecast]]*0.8</f>
        <v>225.15527475274314</v>
      </c>
      <c r="K1173">
        <f>Table1[[#This Row],[Forecast]]*0.8</f>
        <v>225.15527475274314</v>
      </c>
      <c r="L1173" s="5">
        <v>161</v>
      </c>
      <c r="M1173" s="6">
        <v>0.95269999999999999</v>
      </c>
      <c r="N1173" s="5">
        <v>8</v>
      </c>
      <c r="O1173" s="7">
        <v>2.0833333333333335E-4</v>
      </c>
      <c r="P1173" s="7">
        <v>1.9907407407407408E-3</v>
      </c>
      <c r="Q1173" s="7">
        <v>2.5115740740740741E-3</v>
      </c>
      <c r="R1173" s="6">
        <v>0.73960000000000004</v>
      </c>
      <c r="S1173" s="8">
        <f>CONVERT(Table1[[#This Row],[Talk Duration (AVG)]]*Table1[[#This Row],[Answered Calls]],"day","hr")</f>
        <v>7.6922222222222221</v>
      </c>
      <c r="T1173" s="9">
        <f>Table1[[#This Row],[Actual Workload hours]]*60</f>
        <v>461.5333333333333</v>
      </c>
      <c r="U1173" s="9">
        <f>CONVERT(Table1[[#This Row],[Actual]]*Table1[[#This Row],[Talk Duration (AVG)]],"day","hr")</f>
        <v>15.957777777777778</v>
      </c>
      <c r="V1173" s="10">
        <f>Table1[[#This Row],[Required Workload Hours]]*60</f>
        <v>957.4666666666667</v>
      </c>
      <c r="W1173" s="9">
        <f t="shared" si="38"/>
        <v>1.2019097222222221</v>
      </c>
      <c r="X1173" s="9">
        <f t="shared" si="37"/>
        <v>2.4934027777777779</v>
      </c>
      <c r="Y1173" s="5">
        <f t="shared" si="39"/>
        <v>2</v>
      </c>
      <c r="Z1173" s="8">
        <f>ROUNDUP(Table1[[#This Row],[Actual Heacount]],0)</f>
        <v>2</v>
      </c>
      <c r="AA1173" s="8">
        <f>CONVERT(Table1[[#This Row],[RevisedForecast 30% Recution2]]*Table1[[#This Row],[Talk Duration (AVG)]],"day","hr")</f>
        <v>10.757418682631062</v>
      </c>
      <c r="AB1173" s="10">
        <f>(Table1[[#This Row],[Forecast Workload Hours]]*60)*1.2</f>
        <v>774.53414514943654</v>
      </c>
      <c r="AC1173" s="10">
        <f>IF(Table1[[#This Row],[Forecast WOrkload Minutes]]&lt;384,1,Table1[[#This Row],[Forecast WOrkload Minutes]]/384)</f>
        <v>2.0170160029933242</v>
      </c>
      <c r="AD1173" s="10">
        <f>ROUNDUP(Table1[[#This Row],[Forecast Headcount]],0)</f>
        <v>3</v>
      </c>
      <c r="AE1173" s="11">
        <v>173.8316310027856</v>
      </c>
      <c r="AF1173" s="11">
        <v>392.64935739485412</v>
      </c>
      <c r="AG1173" t="s">
        <v>7</v>
      </c>
    </row>
    <row r="1174" spans="1:33">
      <c r="A1174" s="2">
        <v>45055</v>
      </c>
      <c r="B1174" s="5" t="s">
        <v>37</v>
      </c>
      <c r="C1174" s="5">
        <f>WEEKDAY(Table1[[#This Row],[Date]])</f>
        <v>3</v>
      </c>
      <c r="D1174" s="5">
        <f>MONTH(Table1[[#This Row],[Date]])</f>
        <v>5</v>
      </c>
      <c r="E1174" s="5">
        <f>WEEKNUM(Table1[[#This Row],[Date]])</f>
        <v>19</v>
      </c>
      <c r="F1174" s="5">
        <f>YEAR(Table1[[#This Row],[Date]])</f>
        <v>2023</v>
      </c>
      <c r="G1174" s="17">
        <v>236</v>
      </c>
      <c r="H1174">
        <v>265.36317804224268</v>
      </c>
      <c r="I1174">
        <f>Table1[[#This Row],[Forecast]]*0.9</f>
        <v>238.82686023801841</v>
      </c>
      <c r="J1174">
        <f>Table1[[#This Row],[Forecast]]*0.8</f>
        <v>212.29054243379414</v>
      </c>
      <c r="K1174">
        <f>Table1[[#This Row],[Forecast]]*0.8</f>
        <v>212.29054243379414</v>
      </c>
      <c r="L1174" s="5">
        <v>167</v>
      </c>
      <c r="M1174" s="6">
        <v>0.95430000000000004</v>
      </c>
      <c r="N1174" s="5">
        <v>8</v>
      </c>
      <c r="O1174" s="7">
        <v>1.1574074074074075E-4</v>
      </c>
      <c r="P1174" s="7">
        <v>1.724537037037037E-3</v>
      </c>
      <c r="Q1174" s="7">
        <v>2.685185185185185E-3</v>
      </c>
      <c r="R1174" s="6">
        <v>0.8629</v>
      </c>
      <c r="S1174" s="8">
        <f>CONVERT(Table1[[#This Row],[Talk Duration (AVG)]]*Table1[[#This Row],[Answered Calls]],"day","hr")</f>
        <v>6.911944444444444</v>
      </c>
      <c r="T1174" s="9">
        <f>Table1[[#This Row],[Actual Workload hours]]*60</f>
        <v>414.71666666666664</v>
      </c>
      <c r="U1174" s="9">
        <f>CONVERT(Table1[[#This Row],[Actual]]*Table1[[#This Row],[Talk Duration (AVG)]],"day","hr")</f>
        <v>9.767777777777777</v>
      </c>
      <c r="V1174" s="10">
        <f>Table1[[#This Row],[Required Workload Hours]]*60</f>
        <v>586.06666666666661</v>
      </c>
      <c r="W1174" s="9">
        <f t="shared" si="38"/>
        <v>1.0799913194444444</v>
      </c>
      <c r="X1174" s="9">
        <f t="shared" ref="X1174:X1200" si="40">IF(V1174&lt;384,1,(V1174/384))</f>
        <v>1.5262152777777775</v>
      </c>
      <c r="Y1174" s="5">
        <f t="shared" si="39"/>
        <v>2</v>
      </c>
      <c r="Z1174" s="8">
        <f>ROUNDUP(Table1[[#This Row],[Actual Heacount]],0)</f>
        <v>2</v>
      </c>
      <c r="AA1174" s="8">
        <f>CONVERT(Table1[[#This Row],[RevisedForecast 30% Recution2]]*Table1[[#This Row],[Talk Duration (AVG)]],"day","hr")</f>
        <v>8.786469672954258</v>
      </c>
      <c r="AB1174" s="10">
        <f>(Table1[[#This Row],[Forecast Workload Hours]]*60)*1.2</f>
        <v>632.62581645270654</v>
      </c>
      <c r="AC1174" s="10">
        <f>IF(Table1[[#This Row],[Forecast WOrkload Minutes]]&lt;384,1,Table1[[#This Row],[Forecast WOrkload Minutes]]/384)</f>
        <v>1.6474630636789234</v>
      </c>
      <c r="AD1174" s="10">
        <f>ROUNDUP(Table1[[#This Row],[Forecast Headcount]],0)</f>
        <v>2</v>
      </c>
      <c r="AE1174" s="11">
        <v>157.85377728314009</v>
      </c>
      <c r="AF1174" s="11">
        <v>381.37414041551318</v>
      </c>
      <c r="AG1174" t="s">
        <v>7</v>
      </c>
    </row>
    <row r="1175" spans="1:33">
      <c r="A1175" s="2">
        <v>45056</v>
      </c>
      <c r="B1175" s="5" t="s">
        <v>38</v>
      </c>
      <c r="C1175" s="5">
        <f>WEEKDAY(Table1[[#This Row],[Date]])</f>
        <v>4</v>
      </c>
      <c r="D1175" s="5">
        <f>MONTH(Table1[[#This Row],[Date]])</f>
        <v>5</v>
      </c>
      <c r="E1175" s="5">
        <f>WEEKNUM(Table1[[#This Row],[Date]])</f>
        <v>19</v>
      </c>
      <c r="F1175" s="5">
        <f>YEAR(Table1[[#This Row],[Date]])</f>
        <v>2023</v>
      </c>
      <c r="G1175" s="17">
        <v>186</v>
      </c>
      <c r="H1175">
        <v>277.54370708260052</v>
      </c>
      <c r="I1175">
        <f>Table1[[#This Row],[Forecast]]*0.9</f>
        <v>249.78933637434048</v>
      </c>
      <c r="J1175">
        <f>Table1[[#This Row],[Forecast]]*0.8</f>
        <v>222.03496566608044</v>
      </c>
      <c r="K1175">
        <f>Table1[[#This Row],[Forecast]]*0.8</f>
        <v>222.03496566608044</v>
      </c>
      <c r="L1175" s="5">
        <v>43</v>
      </c>
      <c r="M1175" s="6">
        <v>1</v>
      </c>
      <c r="N1175" s="5">
        <v>0</v>
      </c>
      <c r="O1175" s="7">
        <v>4.6296296296296294E-5</v>
      </c>
      <c r="P1175" s="7">
        <v>1.8749999999999999E-3</v>
      </c>
      <c r="Q1175" s="7">
        <v>3.3564814814814812E-4</v>
      </c>
      <c r="R1175" s="6">
        <v>1</v>
      </c>
      <c r="S1175" s="8">
        <f>CONVERT(Table1[[#This Row],[Talk Duration (AVG)]]*Table1[[#This Row],[Answered Calls]],"day","hr")</f>
        <v>1.9350000000000001</v>
      </c>
      <c r="T1175" s="9">
        <f>Table1[[#This Row],[Actual Workload hours]]*60</f>
        <v>116.10000000000001</v>
      </c>
      <c r="U1175" s="9">
        <f>CONVERT(Table1[[#This Row],[Actual]]*Table1[[#This Row],[Talk Duration (AVG)]],"day","hr")</f>
        <v>8.3699999999999992</v>
      </c>
      <c r="V1175" s="10">
        <f>Table1[[#This Row],[Required Workload Hours]]*60</f>
        <v>502.19999999999993</v>
      </c>
      <c r="W1175" s="9">
        <f t="shared" ref="W1175:W1200" si="41">IF(T1175&lt;384,1,(T1175/384))</f>
        <v>1</v>
      </c>
      <c r="X1175" s="9">
        <f t="shared" si="40"/>
        <v>1.3078124999999998</v>
      </c>
      <c r="Y1175" s="5">
        <f t="shared" si="39"/>
        <v>1</v>
      </c>
      <c r="Z1175" s="8">
        <f>ROUNDUP(Table1[[#This Row],[Actual Heacount]],0)</f>
        <v>1</v>
      </c>
      <c r="AA1175" s="8">
        <f>CONVERT(Table1[[#This Row],[RevisedForecast 30% Recution2]]*Table1[[#This Row],[Talk Duration (AVG)]],"day","hr")</f>
        <v>9.9915734549736186</v>
      </c>
      <c r="AB1175" s="10">
        <f>(Table1[[#This Row],[Forecast Workload Hours]]*60)*1.2</f>
        <v>719.39328875810054</v>
      </c>
      <c r="AC1175" s="10">
        <f>IF(Table1[[#This Row],[Forecast WOrkload Minutes]]&lt;384,1,Table1[[#This Row],[Forecast WOrkload Minutes]]/384)</f>
        <v>1.8734200228075535</v>
      </c>
      <c r="AD1175" s="10">
        <f>ROUNDUP(Table1[[#This Row],[Forecast Headcount]],0)</f>
        <v>2</v>
      </c>
      <c r="AE1175" s="11">
        <v>162.5196587482167</v>
      </c>
      <c r="AF1175" s="11">
        <v>382.2099179606443</v>
      </c>
      <c r="AG1175" t="s">
        <v>7</v>
      </c>
    </row>
    <row r="1176" spans="1:33">
      <c r="A1176" s="2">
        <v>45057</v>
      </c>
      <c r="B1176" s="5" t="s">
        <v>39</v>
      </c>
      <c r="C1176" s="5">
        <f>WEEKDAY(Table1[[#This Row],[Date]])</f>
        <v>5</v>
      </c>
      <c r="D1176" s="5">
        <f>MONTH(Table1[[#This Row],[Date]])</f>
        <v>5</v>
      </c>
      <c r="E1176" s="5">
        <f>WEEKNUM(Table1[[#This Row],[Date]])</f>
        <v>19</v>
      </c>
      <c r="F1176" s="5">
        <f>YEAR(Table1[[#This Row],[Date]])</f>
        <v>2023</v>
      </c>
      <c r="G1176" s="17">
        <v>202</v>
      </c>
      <c r="H1176">
        <v>272.69661552371667</v>
      </c>
      <c r="I1176">
        <f>Table1[[#This Row],[Forecast]]*0.9</f>
        <v>245.426953971345</v>
      </c>
      <c r="J1176">
        <f>Table1[[#This Row],[Forecast]]*0.8</f>
        <v>218.15729241897336</v>
      </c>
      <c r="K1176">
        <f>Table1[[#This Row],[Forecast]]*0.8</f>
        <v>218.15729241897336</v>
      </c>
      <c r="L1176" s="5">
        <v>24</v>
      </c>
      <c r="M1176" s="6">
        <v>1</v>
      </c>
      <c r="N1176" s="5">
        <v>0</v>
      </c>
      <c r="O1176" s="7">
        <v>3.4722222222222222E-5</v>
      </c>
      <c r="P1176" s="7">
        <v>1.9212962962962964E-3</v>
      </c>
      <c r="Q1176" s="7">
        <v>3.4722222222222222E-5</v>
      </c>
      <c r="R1176" s="6">
        <v>1</v>
      </c>
      <c r="S1176" s="8">
        <f>CONVERT(Table1[[#This Row],[Talk Duration (AVG)]]*Table1[[#This Row],[Answered Calls]],"day","hr")</f>
        <v>1.1066666666666667</v>
      </c>
      <c r="T1176" s="9">
        <f>Table1[[#This Row],[Actual Workload hours]]*60</f>
        <v>66.400000000000006</v>
      </c>
      <c r="U1176" s="9">
        <f>CONVERT(Table1[[#This Row],[Actual]]*Table1[[#This Row],[Talk Duration (AVG)]],"day","hr")</f>
        <v>9.3144444444444439</v>
      </c>
      <c r="V1176" s="10">
        <f>Table1[[#This Row],[Required Workload Hours]]*60</f>
        <v>558.86666666666667</v>
      </c>
      <c r="W1176" s="9">
        <f t="shared" si="41"/>
        <v>1</v>
      </c>
      <c r="X1176" s="9">
        <f t="shared" si="40"/>
        <v>1.4553819444444445</v>
      </c>
      <c r="Y1176" s="5">
        <f t="shared" si="39"/>
        <v>2</v>
      </c>
      <c r="Z1176" s="8">
        <f>ROUNDUP(Table1[[#This Row],[Actual Heacount]],0)</f>
        <v>1</v>
      </c>
      <c r="AA1176" s="8">
        <f>CONVERT(Table1[[#This Row],[RevisedForecast 30% Recution2]]*Table1[[#This Row],[Talk Duration (AVG)]],"day","hr")</f>
        <v>10.05947515043044</v>
      </c>
      <c r="AB1176" s="10">
        <f>(Table1[[#This Row],[Forecast Workload Hours]]*60)*1.2</f>
        <v>724.28221083099163</v>
      </c>
      <c r="AC1176" s="10">
        <f>IF(Table1[[#This Row],[Forecast WOrkload Minutes]]&lt;384,1,Table1[[#This Row],[Forecast WOrkload Minutes]]/384)</f>
        <v>1.8861515907057074</v>
      </c>
      <c r="AD1176" s="10">
        <f>ROUNDUP(Table1[[#This Row],[Forecast Headcount]],0)</f>
        <v>2</v>
      </c>
      <c r="AE1176" s="11">
        <v>161.44920530368219</v>
      </c>
      <c r="AF1176" s="11">
        <v>380.43091530797841</v>
      </c>
      <c r="AG1176" t="s">
        <v>7</v>
      </c>
    </row>
    <row r="1177" spans="1:33">
      <c r="A1177" s="2">
        <v>45058</v>
      </c>
      <c r="B1177" s="5" t="s">
        <v>40</v>
      </c>
      <c r="C1177" s="5">
        <f>WEEKDAY(Table1[[#This Row],[Date]])</f>
        <v>6</v>
      </c>
      <c r="D1177" s="5">
        <f>MONTH(Table1[[#This Row],[Date]])</f>
        <v>5</v>
      </c>
      <c r="E1177" s="5">
        <f>WEEKNUM(Table1[[#This Row],[Date]])</f>
        <v>19</v>
      </c>
      <c r="F1177" s="5">
        <f>YEAR(Table1[[#This Row],[Date]])</f>
        <v>2023</v>
      </c>
      <c r="G1177" s="17">
        <v>185</v>
      </c>
      <c r="H1177">
        <v>263.69861890445662</v>
      </c>
      <c r="I1177">
        <f>Table1[[#This Row],[Forecast]]*0.9</f>
        <v>237.32875701401096</v>
      </c>
      <c r="J1177">
        <f>Table1[[#This Row],[Forecast]]*0.8</f>
        <v>210.9588951235653</v>
      </c>
      <c r="K1177">
        <f>Table1[[#This Row],[Forecast]]*0.8</f>
        <v>210.9588951235653</v>
      </c>
      <c r="L1177" s="5">
        <v>26</v>
      </c>
      <c r="M1177" s="6">
        <v>1</v>
      </c>
      <c r="N1177" s="5">
        <v>0</v>
      </c>
      <c r="O1177" s="7">
        <v>5.7870370370370373E-5</v>
      </c>
      <c r="P1177" s="7">
        <v>1.9907407407407408E-3</v>
      </c>
      <c r="Q1177" s="7">
        <v>6.7129629629629625E-4</v>
      </c>
      <c r="R1177" s="6">
        <v>0.92310000000000003</v>
      </c>
      <c r="S1177" s="8">
        <f>CONVERT(Table1[[#This Row],[Talk Duration (AVG)]]*Table1[[#This Row],[Answered Calls]],"day","hr")</f>
        <v>1.2422222222222221</v>
      </c>
      <c r="T1177" s="9">
        <f>Table1[[#This Row],[Actual Workload hours]]*60</f>
        <v>74.533333333333331</v>
      </c>
      <c r="U1177" s="9">
        <f>CONVERT(Table1[[#This Row],[Actual]]*Table1[[#This Row],[Talk Duration (AVG)]],"day","hr")</f>
        <v>8.8388888888888903</v>
      </c>
      <c r="V1177" s="10">
        <f>Table1[[#This Row],[Required Workload Hours]]*60</f>
        <v>530.33333333333337</v>
      </c>
      <c r="W1177" s="9">
        <f t="shared" si="41"/>
        <v>1</v>
      </c>
      <c r="X1177" s="9">
        <f t="shared" si="40"/>
        <v>1.3810763888888891</v>
      </c>
      <c r="Y1177" s="5">
        <f t="shared" si="39"/>
        <v>2</v>
      </c>
      <c r="Z1177" s="8">
        <f>ROUNDUP(Table1[[#This Row],[Actual Heacount]],0)</f>
        <v>1</v>
      </c>
      <c r="AA1177" s="8">
        <f>CONVERT(Table1[[#This Row],[RevisedForecast 30% Recution2]]*Table1[[#This Row],[Talk Duration (AVG)]],"day","hr")</f>
        <v>10.079147211459231</v>
      </c>
      <c r="AB1177" s="10">
        <f>(Table1[[#This Row],[Forecast Workload Hours]]*60)*1.2</f>
        <v>725.69859922506464</v>
      </c>
      <c r="AC1177" s="10">
        <f>IF(Table1[[#This Row],[Forecast WOrkload Minutes]]&lt;384,1,Table1[[#This Row],[Forecast WOrkload Minutes]]/384)</f>
        <v>1.8898401021486058</v>
      </c>
      <c r="AD1177" s="10">
        <f>ROUNDUP(Table1[[#This Row],[Forecast Headcount]],0)</f>
        <v>2</v>
      </c>
      <c r="AE1177" s="11">
        <v>154.76389665029731</v>
      </c>
      <c r="AF1177" s="11">
        <v>368.9555253881303</v>
      </c>
      <c r="AG1177" t="s">
        <v>7</v>
      </c>
    </row>
    <row r="1178" spans="1:33">
      <c r="A1178" s="2">
        <v>45059</v>
      </c>
      <c r="B1178" s="5" t="s">
        <v>33</v>
      </c>
      <c r="C1178" s="5">
        <f>WEEKDAY(Table1[[#This Row],[Date]])</f>
        <v>7</v>
      </c>
      <c r="D1178" s="5">
        <f>MONTH(Table1[[#This Row],[Date]])</f>
        <v>5</v>
      </c>
      <c r="E1178" s="5">
        <f>WEEKNUM(Table1[[#This Row],[Date]])</f>
        <v>19</v>
      </c>
      <c r="F1178" s="5">
        <f>YEAR(Table1[[#This Row],[Date]])</f>
        <v>2023</v>
      </c>
      <c r="G1178" s="17">
        <v>38</v>
      </c>
      <c r="H1178">
        <v>270.65225753825843</v>
      </c>
      <c r="I1178">
        <f>Table1[[#This Row],[Forecast]]*0.9</f>
        <v>243.58703178443258</v>
      </c>
      <c r="J1178">
        <f>Table1[[#This Row],[Forecast]]*0.8</f>
        <v>216.52180603060674</v>
      </c>
      <c r="K1178">
        <f>Table1[[#This Row],[Forecast]]*0.8</f>
        <v>216.52180603060674</v>
      </c>
      <c r="L1178" s="5">
        <v>41</v>
      </c>
      <c r="M1178" s="6">
        <v>0.97619999999999996</v>
      </c>
      <c r="N1178" s="5">
        <v>1</v>
      </c>
      <c r="O1178" s="7">
        <v>3.4722222222222222E-5</v>
      </c>
      <c r="P1178" s="7">
        <v>1.8634259259259259E-3</v>
      </c>
      <c r="Q1178" s="7">
        <v>3.4722222222222222E-5</v>
      </c>
      <c r="R1178" s="6">
        <v>1</v>
      </c>
      <c r="S1178" s="8">
        <f>CONVERT(Table1[[#This Row],[Talk Duration (AVG)]]*Table1[[#This Row],[Answered Calls]],"day","hr")</f>
        <v>1.8336111111111111</v>
      </c>
      <c r="T1178" s="9">
        <f>Table1[[#This Row],[Actual Workload hours]]*60</f>
        <v>110.01666666666667</v>
      </c>
      <c r="U1178" s="9">
        <f>CONVERT(Table1[[#This Row],[Actual]]*Table1[[#This Row],[Talk Duration (AVG)]],"day","hr")</f>
        <v>1.6994444444444445</v>
      </c>
      <c r="V1178" s="10">
        <f>Table1[[#This Row],[Required Workload Hours]]*60</f>
        <v>101.96666666666667</v>
      </c>
      <c r="W1178" s="9">
        <f t="shared" si="41"/>
        <v>1</v>
      </c>
      <c r="X1178" s="9">
        <f t="shared" si="40"/>
        <v>1</v>
      </c>
      <c r="Y1178" s="5">
        <f t="shared" si="39"/>
        <v>2</v>
      </c>
      <c r="Z1178" s="8">
        <f>ROUNDUP(Table1[[#This Row],[Actual Heacount]],0)</f>
        <v>1</v>
      </c>
      <c r="AA1178" s="8">
        <f>CONVERT(Table1[[#This Row],[RevisedForecast 30% Recution2]]*Table1[[#This Row],[Talk Duration (AVG)]],"day","hr")</f>
        <v>9.6833363252576898</v>
      </c>
      <c r="AB1178" s="10">
        <f>(Table1[[#This Row],[Forecast Workload Hours]]*60)*1.2</f>
        <v>697.20021541855363</v>
      </c>
      <c r="AC1178" s="10">
        <f>IF(Table1[[#This Row],[Forecast WOrkload Minutes]]&lt;384,1,Table1[[#This Row],[Forecast WOrkload Minutes]]/384)</f>
        <v>1.8156255609858167</v>
      </c>
      <c r="AD1178" s="10">
        <f>ROUNDUP(Table1[[#This Row],[Forecast Headcount]],0)</f>
        <v>2</v>
      </c>
      <c r="AE1178" s="11">
        <v>166.3033338260216</v>
      </c>
      <c r="AF1178" s="11">
        <v>387.04753027986391</v>
      </c>
      <c r="AG1178" t="s">
        <v>7</v>
      </c>
    </row>
    <row r="1179" spans="1:33">
      <c r="A1179" s="2">
        <v>45060</v>
      </c>
      <c r="B1179" s="5" t="s">
        <v>35</v>
      </c>
      <c r="C1179" s="5">
        <f>WEEKDAY(Table1[[#This Row],[Date]])</f>
        <v>1</v>
      </c>
      <c r="D1179" s="5">
        <f>MONTH(Table1[[#This Row],[Date]])</f>
        <v>5</v>
      </c>
      <c r="E1179" s="5">
        <f>WEEKNUM(Table1[[#This Row],[Date]])</f>
        <v>20</v>
      </c>
      <c r="F1179" s="5">
        <f>YEAR(Table1[[#This Row],[Date]])</f>
        <v>2023</v>
      </c>
      <c r="G1179" s="17">
        <v>25</v>
      </c>
      <c r="H1179">
        <v>181.70438867469861</v>
      </c>
      <c r="I1179">
        <f>Table1[[#This Row],[Forecast]]*0.9</f>
        <v>163.53394980722874</v>
      </c>
      <c r="J1179">
        <f>Table1[[#This Row],[Forecast]]*0.8</f>
        <v>145.3635109397589</v>
      </c>
      <c r="K1179">
        <f>Table1[[#This Row],[Forecast]]*0.8</f>
        <v>145.3635109397589</v>
      </c>
      <c r="L1179" s="5">
        <v>36</v>
      </c>
      <c r="M1179" s="6">
        <v>0.97299999999999998</v>
      </c>
      <c r="N1179" s="5">
        <v>1</v>
      </c>
      <c r="O1179" s="7">
        <v>5.7870370370370373E-5</v>
      </c>
      <c r="P1179" s="7">
        <v>1.6666666666666668E-3</v>
      </c>
      <c r="Q1179" s="7">
        <v>3.3564814814814816E-3</v>
      </c>
      <c r="R1179" s="6">
        <v>0.94589999999999996</v>
      </c>
      <c r="S1179" s="8">
        <f>CONVERT(Table1[[#This Row],[Talk Duration (AVG)]]*Table1[[#This Row],[Answered Calls]],"day","hr")</f>
        <v>1.44</v>
      </c>
      <c r="T1179" s="9">
        <f>Table1[[#This Row],[Actual Workload hours]]*60</f>
        <v>86.399999999999991</v>
      </c>
      <c r="U1179" s="9">
        <f>CONVERT(Table1[[#This Row],[Actual]]*Table1[[#This Row],[Talk Duration (AVG)]],"day","hr")</f>
        <v>1.0000000000000002</v>
      </c>
      <c r="V1179" s="10">
        <f>Table1[[#This Row],[Required Workload Hours]]*60</f>
        <v>60.000000000000014</v>
      </c>
      <c r="W1179" s="9">
        <f t="shared" si="41"/>
        <v>1</v>
      </c>
      <c r="X1179" s="9">
        <f t="shared" si="40"/>
        <v>1</v>
      </c>
      <c r="Y1179" s="5">
        <f t="shared" si="39"/>
        <v>2</v>
      </c>
      <c r="Z1179" s="8">
        <f>ROUNDUP(Table1[[#This Row],[Actual Heacount]],0)</f>
        <v>1</v>
      </c>
      <c r="AA1179" s="8">
        <f>CONVERT(Table1[[#This Row],[RevisedForecast 30% Recution2]]*Table1[[#This Row],[Talk Duration (AVG)]],"day","hr")</f>
        <v>5.814540437590356</v>
      </c>
      <c r="AB1179" s="10">
        <f>(Table1[[#This Row],[Forecast Workload Hours]]*60)*1.2</f>
        <v>418.64691150650566</v>
      </c>
      <c r="AC1179" s="10">
        <f>IF(Table1[[#This Row],[Forecast WOrkload Minutes]]&lt;384,1,Table1[[#This Row],[Forecast WOrkload Minutes]]/384)</f>
        <v>1.0902263320481917</v>
      </c>
      <c r="AD1179" s="10">
        <f>ROUNDUP(Table1[[#This Row],[Forecast Headcount]],0)</f>
        <v>2</v>
      </c>
      <c r="AE1179" s="11">
        <v>76.989919404832563</v>
      </c>
      <c r="AF1179" s="11">
        <v>296.14148292268078</v>
      </c>
      <c r="AG1179" t="s">
        <v>7</v>
      </c>
    </row>
    <row r="1180" spans="1:33">
      <c r="A1180" s="2">
        <v>45061</v>
      </c>
      <c r="B1180" s="5" t="s">
        <v>36</v>
      </c>
      <c r="C1180" s="5">
        <f>WEEKDAY(Table1[[#This Row],[Date]])</f>
        <v>2</v>
      </c>
      <c r="D1180" s="5">
        <f>MONTH(Table1[[#This Row],[Date]])</f>
        <v>5</v>
      </c>
      <c r="E1180" s="5">
        <f>WEEKNUM(Table1[[#This Row],[Date]])</f>
        <v>20</v>
      </c>
      <c r="F1180" s="5">
        <f>YEAR(Table1[[#This Row],[Date]])</f>
        <v>2023</v>
      </c>
      <c r="G1180" s="17">
        <v>203</v>
      </c>
      <c r="H1180">
        <v>281.205410879694</v>
      </c>
      <c r="I1180">
        <f>Table1[[#This Row],[Forecast]]*0.9</f>
        <v>253.0848697917246</v>
      </c>
      <c r="J1180">
        <f>Table1[[#This Row],[Forecast]]*0.8</f>
        <v>224.9643287037552</v>
      </c>
      <c r="K1180">
        <f>Table1[[#This Row],[Forecast]]*0.8</f>
        <v>224.9643287037552</v>
      </c>
      <c r="L1180" s="5">
        <v>60</v>
      </c>
      <c r="M1180" s="6">
        <v>1</v>
      </c>
      <c r="N1180" s="5">
        <v>0</v>
      </c>
      <c r="O1180" s="7">
        <v>5.7870370370370373E-5</v>
      </c>
      <c r="P1180" s="7">
        <v>2.1643518518518518E-3</v>
      </c>
      <c r="Q1180" s="7">
        <v>7.0601851851851847E-4</v>
      </c>
      <c r="R1180" s="6">
        <v>0.9667</v>
      </c>
      <c r="S1180" s="8">
        <f>CONVERT(Table1[[#This Row],[Talk Duration (AVG)]]*Table1[[#This Row],[Answered Calls]],"day","hr")</f>
        <v>3.1166666666666663</v>
      </c>
      <c r="T1180" s="9">
        <f>Table1[[#This Row],[Actual Workload hours]]*60</f>
        <v>186.99999999999997</v>
      </c>
      <c r="U1180" s="9">
        <f>CONVERT(Table1[[#This Row],[Actual]]*Table1[[#This Row],[Talk Duration (AVG)]],"day","hr")</f>
        <v>10.544722222222223</v>
      </c>
      <c r="V1180" s="10">
        <f>Table1[[#This Row],[Required Workload Hours]]*60</f>
        <v>632.68333333333339</v>
      </c>
      <c r="W1180" s="9">
        <f t="shared" si="41"/>
        <v>1</v>
      </c>
      <c r="X1180" s="9">
        <f t="shared" si="40"/>
        <v>1.6476128472222225</v>
      </c>
      <c r="Y1180" s="5">
        <f t="shared" si="39"/>
        <v>2</v>
      </c>
      <c r="Z1180" s="8">
        <f>ROUNDUP(Table1[[#This Row],[Actual Heacount]],0)</f>
        <v>1</v>
      </c>
      <c r="AA1180" s="8">
        <f>CONVERT(Table1[[#This Row],[RevisedForecast 30% Recution2]]*Table1[[#This Row],[Talk Duration (AVG)]],"day","hr")</f>
        <v>11.68564707433395</v>
      </c>
      <c r="AB1180" s="10">
        <f>(Table1[[#This Row],[Forecast Workload Hours]]*60)*1.2</f>
        <v>841.36658935204434</v>
      </c>
      <c r="AC1180" s="10">
        <f>IF(Table1[[#This Row],[Forecast WOrkload Minutes]]&lt;384,1,Table1[[#This Row],[Forecast WOrkload Minutes]]/384)</f>
        <v>2.1910588264376156</v>
      </c>
      <c r="AD1180" s="10">
        <f>ROUNDUP(Table1[[#This Row],[Forecast Headcount]],0)</f>
        <v>3</v>
      </c>
      <c r="AE1180" s="11">
        <v>172.58807411145199</v>
      </c>
      <c r="AF1180" s="11">
        <v>394.32351695318653</v>
      </c>
      <c r="AG1180" t="s">
        <v>7</v>
      </c>
    </row>
    <row r="1181" spans="1:33">
      <c r="A1181" s="2">
        <v>45062</v>
      </c>
      <c r="B1181" s="5" t="s">
        <v>37</v>
      </c>
      <c r="C1181" s="5">
        <f>WEEKDAY(Table1[[#This Row],[Date]])</f>
        <v>3</v>
      </c>
      <c r="D1181" s="5">
        <f>MONTH(Table1[[#This Row],[Date]])</f>
        <v>5</v>
      </c>
      <c r="E1181" s="5">
        <f>WEEKNUM(Table1[[#This Row],[Date]])</f>
        <v>20</v>
      </c>
      <c r="F1181" s="5">
        <f>YEAR(Table1[[#This Row],[Date]])</f>
        <v>2023</v>
      </c>
      <c r="G1181" s="17">
        <v>296</v>
      </c>
      <c r="H1181">
        <v>264.71481015575739</v>
      </c>
      <c r="I1181">
        <f>Table1[[#This Row],[Forecast]]*0.9</f>
        <v>238.24332914018166</v>
      </c>
      <c r="J1181">
        <f>Table1[[#This Row],[Forecast]]*0.8</f>
        <v>211.77184812460592</v>
      </c>
      <c r="K1181">
        <f>Table1[[#This Row],[Forecast]]*0.8</f>
        <v>211.77184812460592</v>
      </c>
      <c r="L1181" s="5">
        <v>81</v>
      </c>
      <c r="M1181" s="6">
        <v>0.98780000000000001</v>
      </c>
      <c r="N1181" s="5">
        <v>1</v>
      </c>
      <c r="O1181" s="7">
        <v>3.4722222222222222E-5</v>
      </c>
      <c r="P1181" s="7">
        <v>1.6666666666666668E-3</v>
      </c>
      <c r="Q1181" s="7">
        <v>6.7129629629629625E-4</v>
      </c>
      <c r="R1181" s="6">
        <v>0.97560000000000002</v>
      </c>
      <c r="S1181" s="8">
        <f>CONVERT(Table1[[#This Row],[Talk Duration (AVG)]]*Table1[[#This Row],[Answered Calls]],"day","hr")</f>
        <v>3.24</v>
      </c>
      <c r="T1181" s="9">
        <f>Table1[[#This Row],[Actual Workload hours]]*60</f>
        <v>194.4</v>
      </c>
      <c r="U1181" s="9">
        <f>CONVERT(Table1[[#This Row],[Actual]]*Table1[[#This Row],[Talk Duration (AVG)]],"day","hr")</f>
        <v>11.84</v>
      </c>
      <c r="V1181" s="10">
        <f>Table1[[#This Row],[Required Workload Hours]]*60</f>
        <v>710.4</v>
      </c>
      <c r="W1181" s="9">
        <f t="shared" si="41"/>
        <v>1</v>
      </c>
      <c r="X1181" s="9">
        <f t="shared" si="40"/>
        <v>1.8499999999999999</v>
      </c>
      <c r="Y1181" s="5">
        <f t="shared" si="39"/>
        <v>2</v>
      </c>
      <c r="Z1181" s="8">
        <f>ROUNDUP(Table1[[#This Row],[Actual Heacount]],0)</f>
        <v>1</v>
      </c>
      <c r="AA1181" s="8">
        <f>CONVERT(Table1[[#This Row],[RevisedForecast 30% Recution2]]*Table1[[#This Row],[Talk Duration (AVG)]],"day","hr")</f>
        <v>8.4708739249842377</v>
      </c>
      <c r="AB1181" s="10">
        <f>(Table1[[#This Row],[Forecast Workload Hours]]*60)*1.2</f>
        <v>609.90292259886508</v>
      </c>
      <c r="AC1181" s="10">
        <f>IF(Table1[[#This Row],[Forecast WOrkload Minutes]]&lt;384,1,Table1[[#This Row],[Forecast WOrkload Minutes]]/384)</f>
        <v>1.5882888609345445</v>
      </c>
      <c r="AD1181" s="10">
        <f>ROUNDUP(Table1[[#This Row],[Forecast Headcount]],0)</f>
        <v>2</v>
      </c>
      <c r="AE1181" s="11">
        <v>165.26696712998239</v>
      </c>
      <c r="AF1181" s="11">
        <v>375.89569785971719</v>
      </c>
      <c r="AG1181" t="s">
        <v>7</v>
      </c>
    </row>
    <row r="1182" spans="1:33">
      <c r="A1182" s="2">
        <v>45063</v>
      </c>
      <c r="B1182" s="5" t="s">
        <v>38</v>
      </c>
      <c r="C1182" s="5">
        <f>WEEKDAY(Table1[[#This Row],[Date]])</f>
        <v>4</v>
      </c>
      <c r="D1182" s="5">
        <f>MONTH(Table1[[#This Row],[Date]])</f>
        <v>5</v>
      </c>
      <c r="E1182" s="5">
        <f>WEEKNUM(Table1[[#This Row],[Date]])</f>
        <v>20</v>
      </c>
      <c r="F1182" s="5">
        <f>YEAR(Table1[[#This Row],[Date]])</f>
        <v>2023</v>
      </c>
      <c r="G1182" s="17">
        <v>233</v>
      </c>
      <c r="H1182">
        <v>276.44102457597171</v>
      </c>
      <c r="I1182">
        <f>Table1[[#This Row],[Forecast]]*0.9</f>
        <v>248.79692211837454</v>
      </c>
      <c r="J1182">
        <f>Table1[[#This Row],[Forecast]]*0.8</f>
        <v>221.15281966077737</v>
      </c>
      <c r="K1182">
        <f>Table1[[#This Row],[Forecast]]*0.8</f>
        <v>221.15281966077737</v>
      </c>
      <c r="L1182" s="5">
        <v>31</v>
      </c>
      <c r="M1182" s="6">
        <v>1</v>
      </c>
      <c r="N1182" s="5">
        <v>0</v>
      </c>
      <c r="O1182" s="7">
        <v>6.9444444444444444E-5</v>
      </c>
      <c r="P1182" s="7">
        <v>1.6203703703703703E-3</v>
      </c>
      <c r="Q1182" s="7">
        <v>7.0601851851851847E-4</v>
      </c>
      <c r="R1182" s="6">
        <v>0.9355</v>
      </c>
      <c r="S1182" s="8">
        <f>CONVERT(Table1[[#This Row],[Talk Duration (AVG)]]*Table1[[#This Row],[Answered Calls]],"day","hr")</f>
        <v>1.2055555555555555</v>
      </c>
      <c r="T1182" s="9">
        <f>Table1[[#This Row],[Actual Workload hours]]*60</f>
        <v>72.333333333333329</v>
      </c>
      <c r="U1182" s="9">
        <f>CONVERT(Table1[[#This Row],[Actual]]*Table1[[#This Row],[Talk Duration (AVG)]],"day","hr")</f>
        <v>9.06111111111111</v>
      </c>
      <c r="V1182" s="10">
        <f>Table1[[#This Row],[Required Workload Hours]]*60</f>
        <v>543.66666666666663</v>
      </c>
      <c r="W1182" s="9">
        <f t="shared" si="41"/>
        <v>1</v>
      </c>
      <c r="X1182" s="9">
        <f t="shared" si="40"/>
        <v>1.4157986111111109</v>
      </c>
      <c r="Y1182" s="5">
        <f t="shared" si="39"/>
        <v>1</v>
      </c>
      <c r="Z1182" s="8">
        <f>ROUNDUP(Table1[[#This Row],[Actual Heacount]],0)</f>
        <v>1</v>
      </c>
      <c r="AA1182" s="8">
        <f>CONVERT(Table1[[#This Row],[RevisedForecast 30% Recution2]]*Table1[[#This Row],[Talk Duration (AVG)]],"day","hr")</f>
        <v>8.6003874312524538</v>
      </c>
      <c r="AB1182" s="10">
        <f>(Table1[[#This Row],[Forecast Workload Hours]]*60)*1.2</f>
        <v>619.2278950501767</v>
      </c>
      <c r="AC1182" s="10">
        <f>IF(Table1[[#This Row],[Forecast WOrkload Minutes]]&lt;384,1,Table1[[#This Row],[Forecast WOrkload Minutes]]/384)</f>
        <v>1.6125726433598351</v>
      </c>
      <c r="AD1182" s="10">
        <f>ROUNDUP(Table1[[#This Row],[Forecast Headcount]],0)</f>
        <v>2</v>
      </c>
      <c r="AE1182" s="11">
        <v>167.8179929072661</v>
      </c>
      <c r="AF1182" s="11">
        <v>386.74733833107661</v>
      </c>
      <c r="AG1182" t="s">
        <v>7</v>
      </c>
    </row>
    <row r="1183" spans="1:33">
      <c r="A1183" s="2">
        <v>45064</v>
      </c>
      <c r="B1183" s="5" t="s">
        <v>39</v>
      </c>
      <c r="C1183" s="5">
        <f>WEEKDAY(Table1[[#This Row],[Date]])</f>
        <v>5</v>
      </c>
      <c r="D1183" s="5">
        <f>MONTH(Table1[[#This Row],[Date]])</f>
        <v>5</v>
      </c>
      <c r="E1183" s="5">
        <f>WEEKNUM(Table1[[#This Row],[Date]])</f>
        <v>20</v>
      </c>
      <c r="F1183" s="5">
        <f>YEAR(Table1[[#This Row],[Date]])</f>
        <v>2023</v>
      </c>
      <c r="G1183" s="17">
        <v>198</v>
      </c>
      <c r="H1183">
        <v>271.10973203416802</v>
      </c>
      <c r="I1183">
        <f>Table1[[#This Row],[Forecast]]*0.9</f>
        <v>243.99875883075123</v>
      </c>
      <c r="J1183">
        <f>Table1[[#This Row],[Forecast]]*0.8</f>
        <v>216.88778562733444</v>
      </c>
      <c r="K1183">
        <f>Table1[[#This Row],[Forecast]]*0.8</f>
        <v>216.88778562733444</v>
      </c>
      <c r="L1183" s="5">
        <v>171</v>
      </c>
      <c r="M1183" s="6">
        <v>0.9607</v>
      </c>
      <c r="N1183" s="5">
        <v>7</v>
      </c>
      <c r="O1183" s="7">
        <v>1.8518518518518518E-4</v>
      </c>
      <c r="P1183" s="7">
        <v>1.8865740740740742E-3</v>
      </c>
      <c r="Q1183" s="7">
        <v>1.4583333333333334E-3</v>
      </c>
      <c r="R1183" s="6">
        <v>0.76139999999999997</v>
      </c>
      <c r="S1183" s="8">
        <f>CONVERT(Table1[[#This Row],[Talk Duration (AVG)]]*Table1[[#This Row],[Answered Calls]],"day","hr")</f>
        <v>7.7425000000000006</v>
      </c>
      <c r="T1183" s="9">
        <f>Table1[[#This Row],[Actual Workload hours]]*60</f>
        <v>464.55</v>
      </c>
      <c r="U1183" s="9">
        <f>CONVERT(Table1[[#This Row],[Actual]]*Table1[[#This Row],[Talk Duration (AVG)]],"day","hr")</f>
        <v>8.9649999999999999</v>
      </c>
      <c r="V1183" s="10">
        <f>Table1[[#This Row],[Required Workload Hours]]*60</f>
        <v>537.9</v>
      </c>
      <c r="W1183" s="9">
        <f t="shared" si="41"/>
        <v>1.209765625</v>
      </c>
      <c r="X1183" s="9">
        <f t="shared" si="40"/>
        <v>1.4007812499999999</v>
      </c>
      <c r="Y1183" s="5">
        <f t="shared" si="39"/>
        <v>2</v>
      </c>
      <c r="Z1183" s="8">
        <f>ROUNDUP(Table1[[#This Row],[Actual Heacount]],0)</f>
        <v>2</v>
      </c>
      <c r="AA1183" s="8">
        <f>CONVERT(Table1[[#This Row],[RevisedForecast 30% Recution2]]*Table1[[#This Row],[Talk Duration (AVG)]],"day","hr")</f>
        <v>9.8201969603487527</v>
      </c>
      <c r="AB1183" s="10">
        <f>(Table1[[#This Row],[Forecast Workload Hours]]*60)*1.2</f>
        <v>707.05418114511008</v>
      </c>
      <c r="AC1183" s="10">
        <f>IF(Table1[[#This Row],[Forecast WOrkload Minutes]]&lt;384,1,Table1[[#This Row],[Forecast WOrkload Minutes]]/384)</f>
        <v>1.8412869300653909</v>
      </c>
      <c r="AD1183" s="10">
        <f>ROUNDUP(Table1[[#This Row],[Forecast Headcount]],0)</f>
        <v>2</v>
      </c>
      <c r="AE1183" s="11">
        <v>159.30656912463019</v>
      </c>
      <c r="AF1183" s="11">
        <v>380.03789030235248</v>
      </c>
      <c r="AG1183" t="s">
        <v>7</v>
      </c>
    </row>
    <row r="1184" spans="1:33">
      <c r="A1184" s="2">
        <v>45065</v>
      </c>
      <c r="B1184" s="5" t="s">
        <v>40</v>
      </c>
      <c r="C1184" s="5">
        <f>WEEKDAY(Table1[[#This Row],[Date]])</f>
        <v>6</v>
      </c>
      <c r="D1184" s="5">
        <f>MONTH(Table1[[#This Row],[Date]])</f>
        <v>5</v>
      </c>
      <c r="E1184" s="5">
        <f>WEEKNUM(Table1[[#This Row],[Date]])</f>
        <v>20</v>
      </c>
      <c r="F1184" s="5">
        <f>YEAR(Table1[[#This Row],[Date]])</f>
        <v>2023</v>
      </c>
      <c r="G1184" s="17">
        <v>181</v>
      </c>
      <c r="H1184">
        <v>261.61410568508649</v>
      </c>
      <c r="I1184">
        <f>Table1[[#This Row],[Forecast]]*0.9</f>
        <v>235.45269511657784</v>
      </c>
      <c r="J1184">
        <f>Table1[[#This Row],[Forecast]]*0.8</f>
        <v>209.2912845480692</v>
      </c>
      <c r="K1184">
        <f>Table1[[#This Row],[Forecast]]*0.8</f>
        <v>209.2912845480692</v>
      </c>
      <c r="L1184" s="5">
        <v>175</v>
      </c>
      <c r="M1184" s="6">
        <v>0.95630000000000004</v>
      </c>
      <c r="N1184" s="5">
        <v>8</v>
      </c>
      <c r="O1184" s="7">
        <v>1.5046296296296297E-4</v>
      </c>
      <c r="P1184" s="7">
        <v>1.7013888888888888E-3</v>
      </c>
      <c r="Q1184" s="7">
        <v>3.2175925925925926E-3</v>
      </c>
      <c r="R1184" s="6">
        <v>0.85560000000000003</v>
      </c>
      <c r="S1184" s="8">
        <f>CONVERT(Table1[[#This Row],[Talk Duration (AVG)]]*Table1[[#This Row],[Answered Calls]],"day","hr")</f>
        <v>7.1458333333333321</v>
      </c>
      <c r="T1184" s="9">
        <f>Table1[[#This Row],[Actual Workload hours]]*60</f>
        <v>428.74999999999994</v>
      </c>
      <c r="U1184" s="9">
        <f>CONVERT(Table1[[#This Row],[Actual]]*Table1[[#This Row],[Talk Duration (AVG)]],"day","hr")</f>
        <v>7.3908333333333323</v>
      </c>
      <c r="V1184" s="10">
        <f>Table1[[#This Row],[Required Workload Hours]]*60</f>
        <v>443.44999999999993</v>
      </c>
      <c r="W1184" s="9">
        <f t="shared" si="41"/>
        <v>1.1165364583333333</v>
      </c>
      <c r="X1184" s="9">
        <f t="shared" si="40"/>
        <v>1.1548177083333331</v>
      </c>
      <c r="Y1184" s="5">
        <f t="shared" si="39"/>
        <v>2</v>
      </c>
      <c r="Z1184" s="8">
        <f>ROUNDUP(Table1[[#This Row],[Actual Heacount]],0)</f>
        <v>2</v>
      </c>
      <c r="AA1184" s="8">
        <f>CONVERT(Table1[[#This Row],[RevisedForecast 30% Recution2]]*Table1[[#This Row],[Talk Duration (AVG)]],"day","hr")</f>
        <v>8.5460607857128252</v>
      </c>
      <c r="AB1184" s="10">
        <f>(Table1[[#This Row],[Forecast Workload Hours]]*60)*1.2</f>
        <v>615.31637657132342</v>
      </c>
      <c r="AC1184" s="10">
        <f>IF(Table1[[#This Row],[Forecast WOrkload Minutes]]&lt;384,1,Table1[[#This Row],[Forecast WOrkload Minutes]]/384)</f>
        <v>1.6023863973211547</v>
      </c>
      <c r="AD1184" s="10">
        <f>ROUNDUP(Table1[[#This Row],[Forecast Headcount]],0)</f>
        <v>2</v>
      </c>
      <c r="AE1184" s="11">
        <v>152.86999675615419</v>
      </c>
      <c r="AF1184" s="11">
        <v>382.54475534646588</v>
      </c>
      <c r="AG1184" t="s">
        <v>7</v>
      </c>
    </row>
    <row r="1185" spans="1:33">
      <c r="A1185" s="2">
        <v>45066</v>
      </c>
      <c r="B1185" s="5" t="s">
        <v>33</v>
      </c>
      <c r="C1185" s="5">
        <f>WEEKDAY(Table1[[#This Row],[Date]])</f>
        <v>7</v>
      </c>
      <c r="D1185" s="5">
        <f>MONTH(Table1[[#This Row],[Date]])</f>
        <v>5</v>
      </c>
      <c r="E1185" s="5">
        <f>WEEKNUM(Table1[[#This Row],[Date]])</f>
        <v>20</v>
      </c>
      <c r="F1185" s="5">
        <f>YEAR(Table1[[#This Row],[Date]])</f>
        <v>2023</v>
      </c>
      <c r="G1185" s="17">
        <v>166</v>
      </c>
      <c r="H1185">
        <v>268.07430935976078</v>
      </c>
      <c r="I1185">
        <f>Table1[[#This Row],[Forecast]]*0.9</f>
        <v>241.2668784237847</v>
      </c>
      <c r="J1185">
        <f>Table1[[#This Row],[Forecast]]*0.8</f>
        <v>214.45944748780863</v>
      </c>
      <c r="K1185">
        <f>Table1[[#This Row],[Forecast]]*0.8</f>
        <v>214.45944748780863</v>
      </c>
      <c r="L1185" s="5">
        <v>37</v>
      </c>
      <c r="M1185" s="6">
        <v>0.94869999999999999</v>
      </c>
      <c r="N1185" s="5">
        <v>2</v>
      </c>
      <c r="O1185" s="7">
        <v>3.4722222222222222E-5</v>
      </c>
      <c r="P1185" s="7">
        <v>2.0023148148148148E-3</v>
      </c>
      <c r="Q1185" s="7">
        <v>6.7129629629629625E-4</v>
      </c>
      <c r="R1185" s="6">
        <v>0.97370000000000001</v>
      </c>
      <c r="S1185" s="8">
        <f>CONVERT(Table1[[#This Row],[Talk Duration (AVG)]]*Table1[[#This Row],[Answered Calls]],"day","hr")</f>
        <v>1.7780555555555555</v>
      </c>
      <c r="T1185" s="9">
        <f>Table1[[#This Row],[Actual Workload hours]]*60</f>
        <v>106.68333333333334</v>
      </c>
      <c r="U1185" s="9">
        <f>CONVERT(Table1[[#This Row],[Actual]]*Table1[[#This Row],[Talk Duration (AVG)]],"day","hr")</f>
        <v>7.9772222222222222</v>
      </c>
      <c r="V1185" s="10">
        <f>Table1[[#This Row],[Required Workload Hours]]*60</f>
        <v>478.63333333333333</v>
      </c>
      <c r="W1185" s="9">
        <f t="shared" si="41"/>
        <v>1</v>
      </c>
      <c r="X1185" s="9">
        <f t="shared" si="40"/>
        <v>1.2464409722222223</v>
      </c>
      <c r="Y1185" s="5">
        <f t="shared" si="39"/>
        <v>2</v>
      </c>
      <c r="Z1185" s="8">
        <f>ROUNDUP(Table1[[#This Row],[Actual Heacount]],0)</f>
        <v>1</v>
      </c>
      <c r="AA1185" s="8">
        <f>CONVERT(Table1[[#This Row],[RevisedForecast 30% Recution2]]*Table1[[#This Row],[Talk Duration (AVG)]],"day","hr")</f>
        <v>10.305967893164137</v>
      </c>
      <c r="AB1185" s="10">
        <f>(Table1[[#This Row],[Forecast Workload Hours]]*60)*1.2</f>
        <v>742.02968830781788</v>
      </c>
      <c r="AC1185" s="10">
        <f>IF(Table1[[#This Row],[Forecast WOrkload Minutes]]&lt;384,1,Table1[[#This Row],[Forecast WOrkload Minutes]]/384)</f>
        <v>1.9323689799682757</v>
      </c>
      <c r="AD1185" s="10">
        <f>ROUNDUP(Table1[[#This Row],[Forecast Headcount]],0)</f>
        <v>2</v>
      </c>
      <c r="AE1185" s="11">
        <v>157.5156332230905</v>
      </c>
      <c r="AF1185" s="11">
        <v>378.28853990709013</v>
      </c>
      <c r="AG1185" t="s">
        <v>7</v>
      </c>
    </row>
    <row r="1186" spans="1:33">
      <c r="A1186" s="2">
        <v>45067</v>
      </c>
      <c r="B1186" s="5" t="s">
        <v>35</v>
      </c>
      <c r="C1186" s="5">
        <f>WEEKDAY(Table1[[#This Row],[Date]])</f>
        <v>1</v>
      </c>
      <c r="D1186" s="5">
        <f>MONTH(Table1[[#This Row],[Date]])</f>
        <v>5</v>
      </c>
      <c r="E1186" s="5">
        <f>WEEKNUM(Table1[[#This Row],[Date]])</f>
        <v>21</v>
      </c>
      <c r="F1186" s="5">
        <f>YEAR(Table1[[#This Row],[Date]])</f>
        <v>2023</v>
      </c>
      <c r="G1186" s="17">
        <v>19</v>
      </c>
      <c r="H1186">
        <v>178.6554110933325</v>
      </c>
      <c r="I1186">
        <f>Table1[[#This Row],[Forecast]]*0.9</f>
        <v>160.78986998399927</v>
      </c>
      <c r="J1186">
        <f>Table1[[#This Row],[Forecast]]*0.8</f>
        <v>142.924328874666</v>
      </c>
      <c r="K1186">
        <f>Table1[[#This Row],[Forecast]]*0.8</f>
        <v>142.924328874666</v>
      </c>
      <c r="L1186" s="5">
        <v>167</v>
      </c>
      <c r="M1186" s="6">
        <v>0.98240000000000005</v>
      </c>
      <c r="N1186" s="5">
        <v>3</v>
      </c>
      <c r="O1186" s="7">
        <v>1.3888888888888889E-4</v>
      </c>
      <c r="P1186" s="7">
        <v>1.6666666666666668E-3</v>
      </c>
      <c r="Q1186" s="7">
        <v>1.9675925925925924E-3</v>
      </c>
      <c r="R1186" s="6">
        <v>0.85289999999999999</v>
      </c>
      <c r="S1186" s="8">
        <f>CONVERT(Table1[[#This Row],[Talk Duration (AVG)]]*Table1[[#This Row],[Answered Calls]],"day","hr")</f>
        <v>6.6800000000000006</v>
      </c>
      <c r="T1186" s="9">
        <f>Table1[[#This Row],[Actual Workload hours]]*60</f>
        <v>400.8</v>
      </c>
      <c r="U1186" s="9">
        <f>CONVERT(Table1[[#This Row],[Actual]]*Table1[[#This Row],[Talk Duration (AVG)]],"day","hr")</f>
        <v>0.76000000000000012</v>
      </c>
      <c r="V1186" s="10">
        <f>Table1[[#This Row],[Required Workload Hours]]*60</f>
        <v>45.600000000000009</v>
      </c>
      <c r="W1186" s="9">
        <f t="shared" si="41"/>
        <v>1.04375</v>
      </c>
      <c r="X1186" s="9">
        <f t="shared" si="40"/>
        <v>1</v>
      </c>
      <c r="Y1186" s="5">
        <f t="shared" si="39"/>
        <v>2</v>
      </c>
      <c r="Z1186" s="8">
        <f>ROUNDUP(Table1[[#This Row],[Actual Heacount]],0)</f>
        <v>2</v>
      </c>
      <c r="AA1186" s="8">
        <f>CONVERT(Table1[[#This Row],[RevisedForecast 30% Recution2]]*Table1[[#This Row],[Talk Duration (AVG)]],"day","hr")</f>
        <v>5.7169731549866407</v>
      </c>
      <c r="AB1186" s="10">
        <f>(Table1[[#This Row],[Forecast Workload Hours]]*60)*1.2</f>
        <v>411.62206715903807</v>
      </c>
      <c r="AC1186" s="10">
        <f>IF(Table1[[#This Row],[Forecast WOrkload Minutes]]&lt;384,1,Table1[[#This Row],[Forecast WOrkload Minutes]]/384)</f>
        <v>1.071932466559995</v>
      </c>
      <c r="AD1186" s="10">
        <f>ROUNDUP(Table1[[#This Row],[Forecast Headcount]],0)</f>
        <v>2</v>
      </c>
      <c r="AE1186" s="11">
        <v>74.148738870957004</v>
      </c>
      <c r="AF1186" s="11">
        <v>291.42109598371297</v>
      </c>
      <c r="AG1186" t="s">
        <v>7</v>
      </c>
    </row>
    <row r="1187" spans="1:33">
      <c r="A1187" s="2">
        <v>45068</v>
      </c>
      <c r="B1187" s="5" t="s">
        <v>36</v>
      </c>
      <c r="C1187" s="5">
        <f>WEEKDAY(Table1[[#This Row],[Date]])</f>
        <v>2</v>
      </c>
      <c r="D1187" s="5">
        <f>MONTH(Table1[[#This Row],[Date]])</f>
        <v>5</v>
      </c>
      <c r="E1187" s="5">
        <f>WEEKNUM(Table1[[#This Row],[Date]])</f>
        <v>21</v>
      </c>
      <c r="F1187" s="5">
        <f>YEAR(Table1[[#This Row],[Date]])</f>
        <v>2023</v>
      </c>
      <c r="G1187" s="17">
        <v>196</v>
      </c>
      <c r="H1187">
        <v>277.72601655325212</v>
      </c>
      <c r="I1187">
        <f>Table1[[#This Row],[Forecast]]*0.9</f>
        <v>249.9534148979269</v>
      </c>
      <c r="J1187">
        <f>Table1[[#This Row],[Forecast]]*0.8</f>
        <v>222.18081324260172</v>
      </c>
      <c r="K1187">
        <f>Table1[[#This Row],[Forecast]]*0.8</f>
        <v>222.18081324260172</v>
      </c>
      <c r="L1187" s="5">
        <v>168</v>
      </c>
      <c r="M1187" s="6">
        <v>0.93330000000000002</v>
      </c>
      <c r="N1187" s="5">
        <v>12</v>
      </c>
      <c r="O1187" s="7">
        <v>1.3888888888888889E-4</v>
      </c>
      <c r="P1187" s="7">
        <v>1.9212962962962964E-3</v>
      </c>
      <c r="Q1187" s="7">
        <v>3.1134259259259257E-3</v>
      </c>
      <c r="R1187" s="6">
        <v>0.83150000000000002</v>
      </c>
      <c r="S1187" s="8">
        <f>CONVERT(Table1[[#This Row],[Talk Duration (AVG)]]*Table1[[#This Row],[Answered Calls]],"day","hr")</f>
        <v>7.746666666666667</v>
      </c>
      <c r="T1187" s="9">
        <f>Table1[[#This Row],[Actual Workload hours]]*60</f>
        <v>464.8</v>
      </c>
      <c r="U1187" s="9">
        <f>CONVERT(Table1[[#This Row],[Actual]]*Table1[[#This Row],[Talk Duration (AVG)]],"day","hr")</f>
        <v>9.0377777777777784</v>
      </c>
      <c r="V1187" s="10">
        <f>Table1[[#This Row],[Required Workload Hours]]*60</f>
        <v>542.26666666666665</v>
      </c>
      <c r="W1187" s="9">
        <f t="shared" si="41"/>
        <v>1.2104166666666667</v>
      </c>
      <c r="X1187" s="9">
        <f t="shared" si="40"/>
        <v>1.4121527777777778</v>
      </c>
      <c r="Y1187" s="5">
        <f t="shared" si="39"/>
        <v>2</v>
      </c>
      <c r="Z1187" s="8">
        <f>ROUNDUP(Table1[[#This Row],[Actual Heacount]],0)</f>
        <v>2</v>
      </c>
      <c r="AA1187" s="8">
        <f>CONVERT(Table1[[#This Row],[RevisedForecast 30% Recution2]]*Table1[[#This Row],[Talk Duration (AVG)]],"day","hr")</f>
        <v>10.245004166186636</v>
      </c>
      <c r="AB1187" s="10">
        <f>(Table1[[#This Row],[Forecast Workload Hours]]*60)*1.2</f>
        <v>737.64029996543775</v>
      </c>
      <c r="AC1187" s="10">
        <f>IF(Table1[[#This Row],[Forecast WOrkload Minutes]]&lt;384,1,Table1[[#This Row],[Forecast WOrkload Minutes]]/384)</f>
        <v>1.9209382811599942</v>
      </c>
      <c r="AD1187" s="10">
        <f>ROUNDUP(Table1[[#This Row],[Forecast Headcount]],0)</f>
        <v>2</v>
      </c>
      <c r="AE1187" s="11">
        <v>165.38802815753411</v>
      </c>
      <c r="AF1187" s="11">
        <v>389.5492624836142</v>
      </c>
      <c r="AG1187" t="s">
        <v>7</v>
      </c>
    </row>
    <row r="1188" spans="1:33">
      <c r="A1188" s="2">
        <v>45069</v>
      </c>
      <c r="B1188" s="5" t="s">
        <v>37</v>
      </c>
      <c r="C1188" s="5">
        <f>WEEKDAY(Table1[[#This Row],[Date]])</f>
        <v>3</v>
      </c>
      <c r="D1188" s="5">
        <f>MONTH(Table1[[#This Row],[Date]])</f>
        <v>5</v>
      </c>
      <c r="E1188" s="5">
        <f>WEEKNUM(Table1[[#This Row],[Date]])</f>
        <v>21</v>
      </c>
      <c r="F1188" s="5">
        <f>YEAR(Table1[[#This Row],[Date]])</f>
        <v>2023</v>
      </c>
      <c r="G1188" s="17">
        <v>176</v>
      </c>
      <c r="H1188">
        <v>260.86322948585291</v>
      </c>
      <c r="I1188">
        <f>Table1[[#This Row],[Forecast]]*0.9</f>
        <v>234.77690653726762</v>
      </c>
      <c r="J1188">
        <f>Table1[[#This Row],[Forecast]]*0.8</f>
        <v>208.69058358868233</v>
      </c>
      <c r="K1188">
        <f>Table1[[#This Row],[Forecast]]*0.8</f>
        <v>208.69058358868233</v>
      </c>
      <c r="L1188" s="5">
        <v>24</v>
      </c>
      <c r="M1188" s="6">
        <v>1</v>
      </c>
      <c r="N1188" s="5">
        <v>0</v>
      </c>
      <c r="O1188" s="7">
        <v>4.6296296296296294E-5</v>
      </c>
      <c r="P1188" s="7">
        <v>1.8055555555555555E-3</v>
      </c>
      <c r="Q1188" s="7">
        <v>2.4305555555555555E-4</v>
      </c>
      <c r="R1188" s="6">
        <v>1</v>
      </c>
      <c r="S1188" s="8">
        <f>CONVERT(Table1[[#This Row],[Talk Duration (AVG)]]*Table1[[#This Row],[Answered Calls]],"day","hr")</f>
        <v>1.04</v>
      </c>
      <c r="T1188" s="9">
        <f>Table1[[#This Row],[Actual Workload hours]]*60</f>
        <v>62.400000000000006</v>
      </c>
      <c r="U1188" s="9">
        <f>CONVERT(Table1[[#This Row],[Actual]]*Table1[[#This Row],[Talk Duration (AVG)]],"day","hr")</f>
        <v>7.6266666666666669</v>
      </c>
      <c r="V1188" s="10">
        <f>Table1[[#This Row],[Required Workload Hours]]*60</f>
        <v>457.6</v>
      </c>
      <c r="W1188" s="9">
        <f t="shared" si="41"/>
        <v>1</v>
      </c>
      <c r="X1188" s="9">
        <f t="shared" si="40"/>
        <v>1.1916666666666667</v>
      </c>
      <c r="Y1188" s="5">
        <f t="shared" si="39"/>
        <v>2</v>
      </c>
      <c r="Z1188" s="8">
        <f>ROUNDUP(Table1[[#This Row],[Actual Heacount]],0)</f>
        <v>1</v>
      </c>
      <c r="AA1188" s="8">
        <f>CONVERT(Table1[[#This Row],[RevisedForecast 30% Recution2]]*Table1[[#This Row],[Talk Duration (AVG)]],"day","hr")</f>
        <v>9.0432586221762339</v>
      </c>
      <c r="AB1188" s="10">
        <f>(Table1[[#This Row],[Forecast Workload Hours]]*60)*1.2</f>
        <v>651.11462079668877</v>
      </c>
      <c r="AC1188" s="10">
        <f>IF(Table1[[#This Row],[Forecast WOrkload Minutes]]&lt;384,1,Table1[[#This Row],[Forecast WOrkload Minutes]]/384)</f>
        <v>1.6956109916580437</v>
      </c>
      <c r="AD1188" s="10">
        <f>ROUNDUP(Table1[[#This Row],[Forecast Headcount]],0)</f>
        <v>2</v>
      </c>
      <c r="AE1188" s="11">
        <v>149.57977573971741</v>
      </c>
      <c r="AF1188" s="11">
        <v>365.94209107244001</v>
      </c>
      <c r="AG1188" t="s">
        <v>7</v>
      </c>
    </row>
    <row r="1189" spans="1:33">
      <c r="A1189" s="2">
        <v>45070</v>
      </c>
      <c r="B1189" s="5" t="s">
        <v>38</v>
      </c>
      <c r="C1189" s="5">
        <f>WEEKDAY(Table1[[#This Row],[Date]])</f>
        <v>4</v>
      </c>
      <c r="D1189" s="5">
        <f>MONTH(Table1[[#This Row],[Date]])</f>
        <v>5</v>
      </c>
      <c r="E1189" s="5">
        <f>WEEKNUM(Table1[[#This Row],[Date]])</f>
        <v>21</v>
      </c>
      <c r="F1189" s="5">
        <f>YEAR(Table1[[#This Row],[Date]])</f>
        <v>2023</v>
      </c>
      <c r="G1189" s="17">
        <v>221</v>
      </c>
      <c r="H1189">
        <v>272.2919531427587</v>
      </c>
      <c r="I1189">
        <f>Table1[[#This Row],[Forecast]]*0.9</f>
        <v>245.06275782848283</v>
      </c>
      <c r="J1189">
        <f>Table1[[#This Row],[Forecast]]*0.8</f>
        <v>217.83356251420696</v>
      </c>
      <c r="K1189">
        <f>Table1[[#This Row],[Forecast]]*0.8</f>
        <v>217.83356251420696</v>
      </c>
      <c r="L1189" s="5">
        <v>7</v>
      </c>
      <c r="M1189" s="6">
        <v>1</v>
      </c>
      <c r="N1189" s="5">
        <v>0</v>
      </c>
      <c r="O1189" s="7">
        <v>3.8194444444444446E-4</v>
      </c>
      <c r="P1189" s="7">
        <v>1.8402777777777777E-3</v>
      </c>
      <c r="Q1189" s="7">
        <v>1.0763888888888889E-3</v>
      </c>
      <c r="R1189" s="6">
        <v>0.42859999999999998</v>
      </c>
      <c r="S1189" s="8">
        <f>CONVERT(Table1[[#This Row],[Talk Duration (AVG)]]*Table1[[#This Row],[Answered Calls]],"day","hr")</f>
        <v>0.30916666666666665</v>
      </c>
      <c r="T1189" s="9">
        <f>Table1[[#This Row],[Actual Workload hours]]*60</f>
        <v>18.549999999999997</v>
      </c>
      <c r="U1189" s="9">
        <f>CONVERT(Table1[[#This Row],[Actual]]*Table1[[#This Row],[Talk Duration (AVG)]],"day","hr")</f>
        <v>9.7608333333333341</v>
      </c>
      <c r="V1189" s="10">
        <f>Table1[[#This Row],[Required Workload Hours]]*60</f>
        <v>585.65000000000009</v>
      </c>
      <c r="W1189" s="9">
        <f t="shared" si="41"/>
        <v>1</v>
      </c>
      <c r="X1189" s="9">
        <f t="shared" si="40"/>
        <v>1.5251302083333336</v>
      </c>
      <c r="Y1189" s="5">
        <f t="shared" si="39"/>
        <v>1</v>
      </c>
      <c r="Z1189" s="8">
        <f>ROUNDUP(Table1[[#This Row],[Actual Heacount]],0)</f>
        <v>1</v>
      </c>
      <c r="AA1189" s="8">
        <f>CONVERT(Table1[[#This Row],[RevisedForecast 30% Recution2]]*Table1[[#This Row],[Talk Duration (AVG)]],"day","hr")</f>
        <v>9.6209823443774738</v>
      </c>
      <c r="AB1189" s="10">
        <f>(Table1[[#This Row],[Forecast Workload Hours]]*60)*1.2</f>
        <v>692.71072879517817</v>
      </c>
      <c r="AC1189" s="10">
        <f>IF(Table1[[#This Row],[Forecast WOrkload Minutes]]&lt;384,1,Table1[[#This Row],[Forecast WOrkload Minutes]]/384)</f>
        <v>1.8039341895707766</v>
      </c>
      <c r="AD1189" s="10">
        <f>ROUNDUP(Table1[[#This Row],[Forecast Headcount]],0)</f>
        <v>2</v>
      </c>
      <c r="AE1189" s="11">
        <v>172.66135325068009</v>
      </c>
      <c r="AF1189" s="11">
        <v>382.19816415176041</v>
      </c>
      <c r="AG1189" t="s">
        <v>7</v>
      </c>
    </row>
    <row r="1190" spans="1:33">
      <c r="A1190" s="2">
        <v>45071</v>
      </c>
      <c r="B1190" s="5" t="s">
        <v>39</v>
      </c>
      <c r="C1190" s="5">
        <f>WEEKDAY(Table1[[#This Row],[Date]])</f>
        <v>5</v>
      </c>
      <c r="D1190" s="5">
        <f>MONTH(Table1[[#This Row],[Date]])</f>
        <v>5</v>
      </c>
      <c r="E1190" s="5">
        <f>WEEKNUM(Table1[[#This Row],[Date]])</f>
        <v>21</v>
      </c>
      <c r="F1190" s="5">
        <f>YEAR(Table1[[#This Row],[Date]])</f>
        <v>2023</v>
      </c>
      <c r="G1190" s="17">
        <v>196</v>
      </c>
      <c r="H1190">
        <v>266.75265355273632</v>
      </c>
      <c r="I1190">
        <f>Table1[[#This Row],[Forecast]]*0.9</f>
        <v>240.07738819746268</v>
      </c>
      <c r="J1190">
        <f>Table1[[#This Row],[Forecast]]*0.8</f>
        <v>213.40212284218907</v>
      </c>
      <c r="K1190">
        <f>Table1[[#This Row],[Forecast]]*0.8</f>
        <v>213.40212284218907</v>
      </c>
      <c r="L1190" s="5">
        <v>181</v>
      </c>
      <c r="M1190" s="6">
        <v>1</v>
      </c>
      <c r="N1190" s="5">
        <v>0</v>
      </c>
      <c r="O1190" s="7">
        <v>1.3888888888888889E-4</v>
      </c>
      <c r="P1190" s="7">
        <v>1.9328703703703704E-3</v>
      </c>
      <c r="Q1190" s="7">
        <v>1.0300925925925926E-3</v>
      </c>
      <c r="R1190" s="6">
        <v>0.87849999999999995</v>
      </c>
      <c r="S1190" s="8">
        <f>CONVERT(Table1[[#This Row],[Talk Duration (AVG)]]*Table1[[#This Row],[Answered Calls]],"day","hr")</f>
        <v>8.3963888888888896</v>
      </c>
      <c r="T1190" s="9">
        <f>Table1[[#This Row],[Actual Workload hours]]*60</f>
        <v>503.78333333333336</v>
      </c>
      <c r="U1190" s="9">
        <f>CONVERT(Table1[[#This Row],[Actual]]*Table1[[#This Row],[Talk Duration (AVG)]],"day","hr")</f>
        <v>9.0922222222222224</v>
      </c>
      <c r="V1190" s="10">
        <f>Table1[[#This Row],[Required Workload Hours]]*60</f>
        <v>545.5333333333333</v>
      </c>
      <c r="W1190" s="9">
        <f t="shared" si="41"/>
        <v>1.3119357638888889</v>
      </c>
      <c r="X1190" s="9">
        <f t="shared" si="40"/>
        <v>1.4206597222222221</v>
      </c>
      <c r="Y1190" s="5">
        <f t="shared" si="39"/>
        <v>2</v>
      </c>
      <c r="Z1190" s="8">
        <f>ROUNDUP(Table1[[#This Row],[Actual Heacount]],0)</f>
        <v>2</v>
      </c>
      <c r="AA1190" s="8">
        <f>CONVERT(Table1[[#This Row],[RevisedForecast 30% Recution2]]*Table1[[#This Row],[Talk Duration (AVG)]],"day","hr")</f>
        <v>9.8994873651793274</v>
      </c>
      <c r="AB1190" s="10">
        <f>(Table1[[#This Row],[Forecast Workload Hours]]*60)*1.2</f>
        <v>712.76309029291144</v>
      </c>
      <c r="AC1190" s="10">
        <f>IF(Table1[[#This Row],[Forecast WOrkload Minutes]]&lt;384,1,Table1[[#This Row],[Forecast WOrkload Minutes]]/384)</f>
        <v>1.8561538809711235</v>
      </c>
      <c r="AD1190" s="10">
        <f>ROUNDUP(Table1[[#This Row],[Forecast Headcount]],0)</f>
        <v>2</v>
      </c>
      <c r="AE1190" s="11">
        <v>155.14258308717271</v>
      </c>
      <c r="AF1190" s="11">
        <v>377.65662874394462</v>
      </c>
      <c r="AG1190" t="s">
        <v>7</v>
      </c>
    </row>
    <row r="1191" spans="1:33">
      <c r="A1191" s="2">
        <v>45072</v>
      </c>
      <c r="B1191" s="5" t="s">
        <v>40</v>
      </c>
      <c r="C1191" s="5">
        <f>WEEKDAY(Table1[[#This Row],[Date]])</f>
        <v>6</v>
      </c>
      <c r="D1191" s="5">
        <f>MONTH(Table1[[#This Row],[Date]])</f>
        <v>5</v>
      </c>
      <c r="E1191" s="5">
        <f>WEEKNUM(Table1[[#This Row],[Date]])</f>
        <v>21</v>
      </c>
      <c r="F1191" s="5">
        <f>YEAR(Table1[[#This Row],[Date]])</f>
        <v>2023</v>
      </c>
      <c r="G1191" s="17">
        <v>211</v>
      </c>
      <c r="H1191">
        <v>257.15114413424578</v>
      </c>
      <c r="I1191">
        <f>Table1[[#This Row],[Forecast]]*0.9</f>
        <v>231.43602972082121</v>
      </c>
      <c r="J1191">
        <f>Table1[[#This Row],[Forecast]]*0.8</f>
        <v>205.72091530739664</v>
      </c>
      <c r="K1191">
        <f>Table1[[#This Row],[Forecast]]*0.8</f>
        <v>205.72091530739664</v>
      </c>
      <c r="L1191" s="5">
        <v>206</v>
      </c>
      <c r="M1191" s="6">
        <v>0.98560000000000003</v>
      </c>
      <c r="N1191" s="5">
        <v>3</v>
      </c>
      <c r="O1191" s="7">
        <v>5.7870370370370373E-5</v>
      </c>
      <c r="P1191" s="7">
        <v>1.8749999999999999E-3</v>
      </c>
      <c r="Q1191" s="7">
        <v>6.7129629629629625E-4</v>
      </c>
      <c r="R1191" s="6">
        <v>0.95169999999999999</v>
      </c>
      <c r="S1191" s="8">
        <f>CONVERT(Table1[[#This Row],[Talk Duration (AVG)]]*Table1[[#This Row],[Answered Calls]],"day","hr")</f>
        <v>9.27</v>
      </c>
      <c r="T1191" s="9">
        <f>Table1[[#This Row],[Actual Workload hours]]*60</f>
        <v>556.19999999999993</v>
      </c>
      <c r="U1191" s="9">
        <f>CONVERT(Table1[[#This Row],[Actual]]*Table1[[#This Row],[Talk Duration (AVG)]],"day","hr")</f>
        <v>9.4949999999999992</v>
      </c>
      <c r="V1191" s="10">
        <f>Table1[[#This Row],[Required Workload Hours]]*60</f>
        <v>569.69999999999993</v>
      </c>
      <c r="W1191" s="9">
        <f t="shared" si="41"/>
        <v>1.4484374999999998</v>
      </c>
      <c r="X1191" s="9">
        <f t="shared" si="40"/>
        <v>1.4835937499999998</v>
      </c>
      <c r="Y1191" s="5">
        <f t="shared" si="39"/>
        <v>2</v>
      </c>
      <c r="Z1191" s="8">
        <f>ROUNDUP(Table1[[#This Row],[Actual Heacount]],0)</f>
        <v>2</v>
      </c>
      <c r="AA1191" s="8">
        <f>CONVERT(Table1[[#This Row],[RevisedForecast 30% Recution2]]*Table1[[#This Row],[Talk Duration (AVG)]],"day","hr")</f>
        <v>9.2574411888328481</v>
      </c>
      <c r="AB1191" s="10">
        <f>(Table1[[#This Row],[Forecast Workload Hours]]*60)*1.2</f>
        <v>666.53576559596502</v>
      </c>
      <c r="AC1191" s="10">
        <f>IF(Table1[[#This Row],[Forecast WOrkload Minutes]]&lt;384,1,Table1[[#This Row],[Forecast WOrkload Minutes]]/384)</f>
        <v>1.7357702229061589</v>
      </c>
      <c r="AD1191" s="10">
        <f>ROUNDUP(Table1[[#This Row],[Forecast Headcount]],0)</f>
        <v>2</v>
      </c>
      <c r="AE1191" s="11">
        <v>142.78767549012781</v>
      </c>
      <c r="AF1191" s="11">
        <v>361.52663836804737</v>
      </c>
      <c r="AG1191" t="s">
        <v>7</v>
      </c>
    </row>
    <row r="1192" spans="1:33">
      <c r="A1192" s="2">
        <v>45073</v>
      </c>
      <c r="B1192" s="5" t="s">
        <v>33</v>
      </c>
      <c r="C1192" s="5">
        <f>WEEKDAY(Table1[[#This Row],[Date]])</f>
        <v>7</v>
      </c>
      <c r="D1192" s="5">
        <f>MONTH(Table1[[#This Row],[Date]])</f>
        <v>5</v>
      </c>
      <c r="E1192" s="5">
        <f>WEEKNUM(Table1[[#This Row],[Date]])</f>
        <v>21</v>
      </c>
      <c r="F1192" s="5">
        <f>YEAR(Table1[[#This Row],[Date]])</f>
        <v>2023</v>
      </c>
      <c r="G1192" s="17">
        <v>201</v>
      </c>
      <c r="H1192">
        <v>263.61767707187698</v>
      </c>
      <c r="I1192">
        <f>Table1[[#This Row],[Forecast]]*0.9</f>
        <v>237.2559093646893</v>
      </c>
      <c r="J1192">
        <f>Table1[[#This Row],[Forecast]]*0.8</f>
        <v>210.89414165750159</v>
      </c>
      <c r="K1192">
        <f>Table1[[#This Row],[Forecast]]*0.8</f>
        <v>210.89414165750159</v>
      </c>
      <c r="L1192" s="5">
        <v>179</v>
      </c>
      <c r="M1192" s="6">
        <v>0.99439999999999995</v>
      </c>
      <c r="N1192" s="5">
        <v>1</v>
      </c>
      <c r="O1192" s="7">
        <v>4.6296296296296294E-5</v>
      </c>
      <c r="P1192" s="7">
        <v>1.712962962962963E-3</v>
      </c>
      <c r="Q1192" s="7">
        <v>7.1759259259259259E-4</v>
      </c>
      <c r="R1192" s="6">
        <v>0.97209999999999996</v>
      </c>
      <c r="S1192" s="8">
        <f>CONVERT(Table1[[#This Row],[Talk Duration (AVG)]]*Table1[[#This Row],[Answered Calls]],"day","hr")</f>
        <v>7.358888888888889</v>
      </c>
      <c r="T1192" s="9">
        <f>Table1[[#This Row],[Actual Workload hours]]*60</f>
        <v>441.53333333333336</v>
      </c>
      <c r="U1192" s="9">
        <f>CONVERT(Table1[[#This Row],[Actual]]*Table1[[#This Row],[Talk Duration (AVG)]],"day","hr")</f>
        <v>8.2633333333333336</v>
      </c>
      <c r="V1192" s="10">
        <f>Table1[[#This Row],[Required Workload Hours]]*60</f>
        <v>495.8</v>
      </c>
      <c r="W1192" s="9">
        <f t="shared" si="41"/>
        <v>1.1498263888888889</v>
      </c>
      <c r="X1192" s="9">
        <f t="shared" si="40"/>
        <v>1.2911458333333334</v>
      </c>
      <c r="Y1192" s="5">
        <f t="shared" si="39"/>
        <v>2</v>
      </c>
      <c r="Z1192" s="8">
        <f>ROUNDUP(Table1[[#This Row],[Actual Heacount]],0)</f>
        <v>2</v>
      </c>
      <c r="AA1192" s="8">
        <f>CONVERT(Table1[[#This Row],[RevisedForecast 30% Recution2]]*Table1[[#This Row],[Talk Duration (AVG)]],"day","hr")</f>
        <v>8.6700924903639542</v>
      </c>
      <c r="AB1192" s="10">
        <f>(Table1[[#This Row],[Forecast Workload Hours]]*60)*1.2</f>
        <v>624.24665930620472</v>
      </c>
      <c r="AC1192" s="10">
        <f>IF(Table1[[#This Row],[Forecast WOrkload Minutes]]&lt;384,1,Table1[[#This Row],[Forecast WOrkload Minutes]]/384)</f>
        <v>1.6256423419432415</v>
      </c>
      <c r="AD1192" s="10">
        <f>ROUNDUP(Table1[[#This Row],[Forecast Headcount]],0)</f>
        <v>2</v>
      </c>
      <c r="AE1192" s="11">
        <v>156.2417308857633</v>
      </c>
      <c r="AF1192" s="11">
        <v>380.12834597873069</v>
      </c>
      <c r="AG1192" t="s">
        <v>7</v>
      </c>
    </row>
    <row r="1193" spans="1:33">
      <c r="A1193" s="2">
        <v>45074</v>
      </c>
      <c r="B1193" s="5" t="s">
        <v>35</v>
      </c>
      <c r="C1193" s="5">
        <f>WEEKDAY(Table1[[#This Row],[Date]])</f>
        <v>1</v>
      </c>
      <c r="D1193" s="5">
        <f>MONTH(Table1[[#This Row],[Date]])</f>
        <v>5</v>
      </c>
      <c r="E1193" s="5">
        <f>WEEKNUM(Table1[[#This Row],[Date]])</f>
        <v>22</v>
      </c>
      <c r="F1193" s="5">
        <f>YEAR(Table1[[#This Row],[Date]])</f>
        <v>2023</v>
      </c>
      <c r="G1193" s="17">
        <v>23</v>
      </c>
      <c r="H1193">
        <v>174.32453063002299</v>
      </c>
      <c r="I1193">
        <f>Table1[[#This Row],[Forecast]]*0.9</f>
        <v>156.89207756702069</v>
      </c>
      <c r="J1193">
        <f>Table1[[#This Row],[Forecast]]*0.8</f>
        <v>139.45962450401839</v>
      </c>
      <c r="K1193">
        <f>Table1[[#This Row],[Forecast]]*0.8</f>
        <v>139.45962450401839</v>
      </c>
      <c r="L1193" s="5">
        <v>203</v>
      </c>
      <c r="M1193" s="6">
        <v>0.91859999999999997</v>
      </c>
      <c r="N1193" s="5">
        <v>18</v>
      </c>
      <c r="O1193" s="7">
        <v>1.3888888888888889E-4</v>
      </c>
      <c r="P1193" s="7">
        <v>1.8865740740740742E-3</v>
      </c>
      <c r="Q1193" s="7">
        <v>2.0254629629629629E-3</v>
      </c>
      <c r="R1193" s="6">
        <v>0.87319999999999998</v>
      </c>
      <c r="S1193" s="8">
        <f>CONVERT(Table1[[#This Row],[Talk Duration (AVG)]]*Table1[[#This Row],[Answered Calls]],"day","hr")</f>
        <v>9.1913888888888895</v>
      </c>
      <c r="T1193" s="9">
        <f>Table1[[#This Row],[Actual Workload hours]]*60</f>
        <v>551.48333333333335</v>
      </c>
      <c r="U1193" s="9">
        <f>CONVERT(Table1[[#This Row],[Actual]]*Table1[[#This Row],[Talk Duration (AVG)]],"day","hr")</f>
        <v>1.0413888888888889</v>
      </c>
      <c r="V1193" s="10">
        <f>Table1[[#This Row],[Required Workload Hours]]*60</f>
        <v>62.483333333333334</v>
      </c>
      <c r="W1193" s="9">
        <f t="shared" si="41"/>
        <v>1.4361545138888889</v>
      </c>
      <c r="X1193" s="9">
        <f t="shared" si="40"/>
        <v>1</v>
      </c>
      <c r="Y1193" s="5">
        <f t="shared" si="39"/>
        <v>2</v>
      </c>
      <c r="Z1193" s="8">
        <f>ROUNDUP(Table1[[#This Row],[Actual Heacount]],0)</f>
        <v>2</v>
      </c>
      <c r="AA1193" s="8">
        <f>CONVERT(Table1[[#This Row],[RevisedForecast 30% Recution2]]*Table1[[#This Row],[Talk Duration (AVG)]],"day","hr")</f>
        <v>6.3144218872652784</v>
      </c>
      <c r="AB1193" s="10">
        <f>(Table1[[#This Row],[Forecast Workload Hours]]*60)*1.2</f>
        <v>454.63837588310003</v>
      </c>
      <c r="AC1193" s="10">
        <f>IF(Table1[[#This Row],[Forecast WOrkload Minutes]]&lt;384,1,Table1[[#This Row],[Forecast WOrkload Minutes]]/384)</f>
        <v>1.1839541038622396</v>
      </c>
      <c r="AD1193" s="10">
        <f>ROUNDUP(Table1[[#This Row],[Forecast Headcount]],0)</f>
        <v>2</v>
      </c>
      <c r="AE1193" s="11">
        <v>58.569758202634979</v>
      </c>
      <c r="AF1193" s="11">
        <v>283.39244634681597</v>
      </c>
      <c r="AG1193" t="s">
        <v>7</v>
      </c>
    </row>
    <row r="1194" spans="1:33">
      <c r="A1194" s="2">
        <v>45075</v>
      </c>
      <c r="B1194" s="5" t="s">
        <v>36</v>
      </c>
      <c r="C1194" s="5">
        <f>WEEKDAY(Table1[[#This Row],[Date]])</f>
        <v>2</v>
      </c>
      <c r="D1194" s="5">
        <f>MONTH(Table1[[#This Row],[Date]])</f>
        <v>5</v>
      </c>
      <c r="E1194" s="5">
        <f>WEEKNUM(Table1[[#This Row],[Date]])</f>
        <v>22</v>
      </c>
      <c r="F1194" s="5">
        <f>YEAR(Table1[[#This Row],[Date]])</f>
        <v>2023</v>
      </c>
      <c r="G1194" s="17">
        <v>225</v>
      </c>
      <c r="H1194">
        <v>273.64440281955711</v>
      </c>
      <c r="I1194">
        <f>Table1[[#This Row],[Forecast]]*0.9</f>
        <v>246.27996253760142</v>
      </c>
      <c r="J1194">
        <f>Table1[[#This Row],[Forecast]]*0.8</f>
        <v>218.9155222556457</v>
      </c>
      <c r="K1194">
        <f>Table1[[#This Row],[Forecast]]*0.8</f>
        <v>218.9155222556457</v>
      </c>
      <c r="L1194" s="5">
        <v>248</v>
      </c>
      <c r="M1194" s="6">
        <v>0.97640000000000005</v>
      </c>
      <c r="N1194" s="5">
        <v>6</v>
      </c>
      <c r="O1194" s="7">
        <v>1.1574074074074075E-4</v>
      </c>
      <c r="P1194" s="7">
        <v>1.9444444444444444E-3</v>
      </c>
      <c r="Q1194" s="7">
        <v>2.1643518518518518E-3</v>
      </c>
      <c r="R1194" s="6">
        <v>0.90869999999999995</v>
      </c>
      <c r="S1194" s="8">
        <f>CONVERT(Table1[[#This Row],[Talk Duration (AVG)]]*Table1[[#This Row],[Answered Calls]],"day","hr")</f>
        <v>11.573333333333334</v>
      </c>
      <c r="T1194" s="9">
        <f>Table1[[#This Row],[Actual Workload hours]]*60</f>
        <v>694.40000000000009</v>
      </c>
      <c r="U1194" s="9">
        <f>CONVERT(Table1[[#This Row],[Actual]]*Table1[[#This Row],[Talk Duration (AVG)]],"day","hr")</f>
        <v>10.5</v>
      </c>
      <c r="V1194" s="10">
        <f>Table1[[#This Row],[Required Workload Hours]]*60</f>
        <v>630</v>
      </c>
      <c r="W1194" s="9">
        <f t="shared" si="41"/>
        <v>1.8083333333333336</v>
      </c>
      <c r="X1194" s="9">
        <f t="shared" si="40"/>
        <v>1.640625</v>
      </c>
      <c r="Y1194" s="5">
        <f t="shared" si="39"/>
        <v>2</v>
      </c>
      <c r="Z1194" s="8">
        <f>ROUNDUP(Table1[[#This Row],[Actual Heacount]],0)</f>
        <v>2</v>
      </c>
      <c r="AA1194" s="8">
        <f>CONVERT(Table1[[#This Row],[RevisedForecast 30% Recution2]]*Table1[[#This Row],[Talk Duration (AVG)]],"day","hr")</f>
        <v>10.216057705263465</v>
      </c>
      <c r="AB1194" s="10">
        <f>(Table1[[#This Row],[Forecast Workload Hours]]*60)*1.2</f>
        <v>735.55615477896947</v>
      </c>
      <c r="AC1194" s="10">
        <f>IF(Table1[[#This Row],[Forecast WOrkload Minutes]]&lt;384,1,Table1[[#This Row],[Forecast WOrkload Minutes]]/384)</f>
        <v>1.9155108197368997</v>
      </c>
      <c r="AD1194" s="10">
        <f>ROUNDUP(Table1[[#This Row],[Forecast Headcount]],0)</f>
        <v>2</v>
      </c>
      <c r="AE1194" s="11">
        <v>169.16463829535721</v>
      </c>
      <c r="AF1194" s="11">
        <v>389.60461793156571</v>
      </c>
      <c r="AG1194" t="s">
        <v>7</v>
      </c>
    </row>
    <row r="1195" spans="1:33">
      <c r="A1195" s="2">
        <v>45076</v>
      </c>
      <c r="B1195" s="5" t="s">
        <v>37</v>
      </c>
      <c r="C1195" s="5">
        <f>WEEKDAY(Table1[[#This Row],[Date]])</f>
        <v>3</v>
      </c>
      <c r="D1195" s="5">
        <f>MONTH(Table1[[#This Row],[Date]])</f>
        <v>5</v>
      </c>
      <c r="E1195" s="5">
        <f>WEEKNUM(Table1[[#This Row],[Date]])</f>
        <v>22</v>
      </c>
      <c r="F1195" s="5">
        <f>YEAR(Table1[[#This Row],[Date]])</f>
        <v>2023</v>
      </c>
      <c r="G1195" s="17">
        <v>202</v>
      </c>
      <c r="H1195">
        <v>257.15522454844148</v>
      </c>
      <c r="I1195">
        <f>Table1[[#This Row],[Forecast]]*0.9</f>
        <v>231.43970209359733</v>
      </c>
      <c r="J1195">
        <f>Table1[[#This Row],[Forecast]]*0.8</f>
        <v>205.72417963875318</v>
      </c>
      <c r="K1195">
        <f>Table1[[#This Row],[Forecast]]*0.8</f>
        <v>205.72417963875318</v>
      </c>
      <c r="L1195" s="5">
        <v>577</v>
      </c>
      <c r="M1195" s="6">
        <v>0.92030000000000001</v>
      </c>
      <c r="N1195" s="5">
        <v>50</v>
      </c>
      <c r="O1195" s="7">
        <v>4.7453703703703704E-4</v>
      </c>
      <c r="P1195" s="7">
        <v>1.8402777777777777E-3</v>
      </c>
      <c r="Q1195" s="7">
        <v>3.7037037037037038E-3</v>
      </c>
      <c r="R1195" s="6">
        <v>0.47810000000000002</v>
      </c>
      <c r="S1195" s="8">
        <f>CONVERT(Table1[[#This Row],[Talk Duration (AVG)]]*Table1[[#This Row],[Answered Calls]],"day","hr")</f>
        <v>25.484166666666667</v>
      </c>
      <c r="T1195" s="9">
        <f>Table1[[#This Row],[Actual Workload hours]]*60</f>
        <v>1529.05</v>
      </c>
      <c r="U1195" s="9">
        <f>CONVERT(Table1[[#This Row],[Actual]]*Table1[[#This Row],[Talk Duration (AVG)]],"day","hr")</f>
        <v>8.9216666666666669</v>
      </c>
      <c r="V1195" s="10">
        <f>Table1[[#This Row],[Required Workload Hours]]*60</f>
        <v>535.29999999999995</v>
      </c>
      <c r="W1195" s="9">
        <f t="shared" si="41"/>
        <v>3.9819010416666667</v>
      </c>
      <c r="X1195" s="9">
        <f t="shared" si="40"/>
        <v>1.3940104166666665</v>
      </c>
      <c r="Y1195" s="5">
        <f t="shared" si="39"/>
        <v>2</v>
      </c>
      <c r="Z1195" s="8">
        <f>ROUNDUP(Table1[[#This Row],[Actual Heacount]],0)</f>
        <v>4</v>
      </c>
      <c r="AA1195" s="8">
        <f>CONVERT(Table1[[#This Row],[RevisedForecast 30% Recution2]]*Table1[[#This Row],[Talk Duration (AVG)]],"day","hr")</f>
        <v>9.0861512673782663</v>
      </c>
      <c r="AB1195" s="10">
        <f>(Table1[[#This Row],[Forecast Workload Hours]]*60)*1.2</f>
        <v>654.2028912512352</v>
      </c>
      <c r="AC1195" s="10">
        <f>IF(Table1[[#This Row],[Forecast WOrkload Minutes]]&lt;384,1,Table1[[#This Row],[Forecast WOrkload Minutes]]/384)</f>
        <v>1.7036533626334249</v>
      </c>
      <c r="AD1195" s="10">
        <f>ROUNDUP(Table1[[#This Row],[Forecast Headcount]],0)</f>
        <v>2</v>
      </c>
      <c r="AE1195" s="11">
        <v>153.90210198287301</v>
      </c>
      <c r="AF1195" s="11">
        <v>373.10561902748839</v>
      </c>
      <c r="AG1195" t="s">
        <v>7</v>
      </c>
    </row>
    <row r="1196" spans="1:33">
      <c r="A1196" s="2">
        <v>45077</v>
      </c>
      <c r="B1196" s="5" t="s">
        <v>38</v>
      </c>
      <c r="C1196" s="5">
        <f>WEEKDAY(Table1[[#This Row],[Date]])</f>
        <v>4</v>
      </c>
      <c r="D1196" s="5">
        <f>MONTH(Table1[[#This Row],[Date]])</f>
        <v>5</v>
      </c>
      <c r="E1196" s="5">
        <f>WEEKNUM(Table1[[#This Row],[Date]])</f>
        <v>22</v>
      </c>
      <c r="F1196" s="5">
        <f>YEAR(Table1[[#This Row],[Date]])</f>
        <v>2023</v>
      </c>
      <c r="G1196" s="17">
        <v>191</v>
      </c>
      <c r="H1196">
        <v>269.07940948216498</v>
      </c>
      <c r="I1196">
        <f>Table1[[#This Row],[Forecast]]*0.9</f>
        <v>242.17146853394848</v>
      </c>
      <c r="J1196">
        <f>Table1[[#This Row],[Forecast]]*0.8</f>
        <v>215.26352758573199</v>
      </c>
      <c r="K1196">
        <f>Table1[[#This Row],[Forecast]]*0.8</f>
        <v>215.26352758573199</v>
      </c>
      <c r="L1196" s="5">
        <v>159</v>
      </c>
      <c r="M1196" s="6">
        <v>0.95209999999999995</v>
      </c>
      <c r="N1196" s="5">
        <v>8</v>
      </c>
      <c r="O1196" s="7">
        <v>2.0833333333333335E-4</v>
      </c>
      <c r="P1196" s="7">
        <v>2.1990740740740742E-3</v>
      </c>
      <c r="Q1196" s="7">
        <v>2.7199074074074074E-3</v>
      </c>
      <c r="R1196" s="6">
        <v>0.76049999999999995</v>
      </c>
      <c r="S1196" s="8">
        <f>CONVERT(Table1[[#This Row],[Talk Duration (AVG)]]*Table1[[#This Row],[Answered Calls]],"day","hr")</f>
        <v>8.3916666666666675</v>
      </c>
      <c r="T1196" s="9">
        <f>Table1[[#This Row],[Actual Workload hours]]*60</f>
        <v>503.50000000000006</v>
      </c>
      <c r="U1196" s="9">
        <f>CONVERT(Table1[[#This Row],[Actual]]*Table1[[#This Row],[Talk Duration (AVG)]],"day","hr")</f>
        <v>10.080555555555556</v>
      </c>
      <c r="V1196" s="10">
        <f>Table1[[#This Row],[Required Workload Hours]]*60</f>
        <v>604.83333333333337</v>
      </c>
      <c r="W1196" s="9">
        <f t="shared" si="41"/>
        <v>1.3111979166666667</v>
      </c>
      <c r="X1196" s="9">
        <f t="shared" si="40"/>
        <v>1.5750868055555556</v>
      </c>
      <c r="Y1196" s="5">
        <f t="shared" si="39"/>
        <v>1</v>
      </c>
      <c r="Z1196" s="8">
        <f>ROUNDUP(Table1[[#This Row],[Actual Heacount]],0)</f>
        <v>2</v>
      </c>
      <c r="AA1196" s="8">
        <f>CONVERT(Table1[[#This Row],[RevisedForecast 30% Recution2]]*Table1[[#This Row],[Talk Duration (AVG)]],"day","hr")</f>
        <v>11.361130622580301</v>
      </c>
      <c r="AB1196" s="10">
        <f>(Table1[[#This Row],[Forecast Workload Hours]]*60)*1.2</f>
        <v>818.00140482578161</v>
      </c>
      <c r="AC1196" s="10">
        <f>IF(Table1[[#This Row],[Forecast WOrkload Minutes]]&lt;384,1,Table1[[#This Row],[Forecast WOrkload Minutes]]/384)</f>
        <v>2.1302119917338063</v>
      </c>
      <c r="AD1196" s="10">
        <f>ROUNDUP(Table1[[#This Row],[Forecast Headcount]],0)</f>
        <v>3</v>
      </c>
      <c r="AE1196" s="11">
        <v>150.56711617857491</v>
      </c>
      <c r="AF1196" s="11">
        <v>376.89448081395523</v>
      </c>
      <c r="AG1196" t="s">
        <v>7</v>
      </c>
    </row>
    <row r="1197" spans="1:33">
      <c r="A1197" s="2">
        <v>45078</v>
      </c>
      <c r="B1197" s="5" t="s">
        <v>39</v>
      </c>
      <c r="C1197" s="5">
        <f>WEEKDAY(Table1[[#This Row],[Date]])</f>
        <v>5</v>
      </c>
      <c r="D1197" s="5">
        <f>MONTH(Table1[[#This Row],[Date]])</f>
        <v>6</v>
      </c>
      <c r="E1197" s="5">
        <f>WEEKNUM(Table1[[#This Row],[Date]])</f>
        <v>22</v>
      </c>
      <c r="F1197" s="5">
        <f>YEAR(Table1[[#This Row],[Date]])</f>
        <v>2023</v>
      </c>
      <c r="G1197" s="17">
        <v>212</v>
      </c>
      <c r="H1197">
        <v>264.15166193581609</v>
      </c>
      <c r="I1197">
        <f>Table1[[#This Row],[Forecast]]*0.9</f>
        <v>237.7364957422345</v>
      </c>
      <c r="J1197">
        <f>Table1[[#This Row],[Forecast]]*0.8</f>
        <v>211.3213295486529</v>
      </c>
      <c r="K1197">
        <f>Table1[[#This Row],[Forecast]]*0.8</f>
        <v>211.3213295486529</v>
      </c>
      <c r="L1197" s="5">
        <v>554</v>
      </c>
      <c r="M1197" s="6">
        <v>0.92490000000000006</v>
      </c>
      <c r="N1197" s="5">
        <v>45</v>
      </c>
      <c r="O1197" s="7">
        <v>2.8935185185185184E-4</v>
      </c>
      <c r="P1197" s="7">
        <v>1.7939814814814815E-3</v>
      </c>
      <c r="Q1197" s="7">
        <v>3.3564814814814816E-3</v>
      </c>
      <c r="R1197" s="6">
        <v>0.63560000000000005</v>
      </c>
      <c r="S1197" s="8">
        <f>CONVERT(Table1[[#This Row],[Talk Duration (AVG)]]*Table1[[#This Row],[Answered Calls]],"day","hr")</f>
        <v>23.852777777777778</v>
      </c>
      <c r="T1197" s="9">
        <f>Table1[[#This Row],[Actual Workload hours]]*60</f>
        <v>1431.1666666666667</v>
      </c>
      <c r="U1197" s="9">
        <f>CONVERT(Table1[[#This Row],[Actual]]*Table1[[#This Row],[Talk Duration (AVG)]],"day","hr")</f>
        <v>9.1277777777777782</v>
      </c>
      <c r="V1197" s="10">
        <f>Table1[[#This Row],[Required Workload Hours]]*60</f>
        <v>547.66666666666674</v>
      </c>
      <c r="W1197" s="9">
        <f t="shared" si="41"/>
        <v>3.7269965277777781</v>
      </c>
      <c r="X1197" s="9">
        <f t="shared" si="40"/>
        <v>1.4262152777777779</v>
      </c>
      <c r="Y1197" s="5">
        <f t="shared" si="39"/>
        <v>2</v>
      </c>
      <c r="Z1197" s="8">
        <f>ROUNDUP(Table1[[#This Row],[Actual Heacount]],0)</f>
        <v>4</v>
      </c>
      <c r="AA1197" s="8">
        <f>CONVERT(Table1[[#This Row],[RevisedForecast 30% Recution2]]*Table1[[#This Row],[Talk Duration (AVG)]],"day","hr")</f>
        <v>9.098557244455888</v>
      </c>
      <c r="AB1197" s="10">
        <f>(Table1[[#This Row],[Forecast Workload Hours]]*60)*1.2</f>
        <v>655.09612160082395</v>
      </c>
      <c r="AC1197" s="10">
        <f>IF(Table1[[#This Row],[Forecast WOrkload Minutes]]&lt;384,1,Table1[[#This Row],[Forecast WOrkload Minutes]]/384)</f>
        <v>1.7059794833354791</v>
      </c>
      <c r="AD1197" s="10">
        <f>ROUNDUP(Table1[[#This Row],[Forecast Headcount]],0)</f>
        <v>2</v>
      </c>
      <c r="AE1197" s="11">
        <v>152.24953548094791</v>
      </c>
      <c r="AF1197" s="11">
        <v>377.16206119544148</v>
      </c>
      <c r="AG1197" t="s">
        <v>7</v>
      </c>
    </row>
    <row r="1198" spans="1:33">
      <c r="A1198" s="2">
        <v>45079</v>
      </c>
      <c r="B1198" s="5" t="s">
        <v>40</v>
      </c>
      <c r="C1198" s="5">
        <f>WEEKDAY(Table1[[#This Row],[Date]])</f>
        <v>6</v>
      </c>
      <c r="D1198" s="5">
        <f>MONTH(Table1[[#This Row],[Date]])</f>
        <v>6</v>
      </c>
      <c r="E1198" s="5">
        <f>WEEKNUM(Table1[[#This Row],[Date]])</f>
        <v>22</v>
      </c>
      <c r="F1198" s="5">
        <f>YEAR(Table1[[#This Row],[Date]])</f>
        <v>2023</v>
      </c>
      <c r="G1198" s="17">
        <v>210</v>
      </c>
      <c r="H1198">
        <v>255.26889996612391</v>
      </c>
      <c r="I1198">
        <f>Table1[[#This Row],[Forecast]]*0.9</f>
        <v>229.74200996951151</v>
      </c>
      <c r="J1198">
        <f>Table1[[#This Row],[Forecast]]*0.8</f>
        <v>204.21511997289915</v>
      </c>
      <c r="K1198">
        <f>Table1[[#This Row],[Forecast]]*0.8</f>
        <v>204.21511997289915</v>
      </c>
      <c r="L1198" s="5">
        <v>300</v>
      </c>
      <c r="M1198" s="6">
        <v>0.98680000000000001</v>
      </c>
      <c r="N1198" s="5">
        <v>4</v>
      </c>
      <c r="O1198" s="7">
        <v>8.1018518518518516E-5</v>
      </c>
      <c r="P1198" s="7">
        <v>1.7939814814814815E-3</v>
      </c>
      <c r="Q1198" s="7">
        <v>2.0254629629629629E-3</v>
      </c>
      <c r="R1198" s="6">
        <v>0.92410000000000003</v>
      </c>
      <c r="S1198" s="8">
        <f>CONVERT(Table1[[#This Row],[Talk Duration (AVG)]]*Table1[[#This Row],[Answered Calls]],"day","hr")</f>
        <v>12.916666666666666</v>
      </c>
      <c r="T1198" s="9">
        <f>Table1[[#This Row],[Actual Workload hours]]*60</f>
        <v>775</v>
      </c>
      <c r="U1198" s="9">
        <f>CONVERT(Table1[[#This Row],[Actual]]*Table1[[#This Row],[Talk Duration (AVG)]],"day","hr")</f>
        <v>9.0416666666666661</v>
      </c>
      <c r="V1198" s="10">
        <f>Table1[[#This Row],[Required Workload Hours]]*60</f>
        <v>542.5</v>
      </c>
      <c r="W1198" s="9">
        <f t="shared" si="41"/>
        <v>2.0182291666666665</v>
      </c>
      <c r="X1198" s="9">
        <f t="shared" si="40"/>
        <v>1.4127604166666667</v>
      </c>
      <c r="Y1198" s="5">
        <f t="shared" si="39"/>
        <v>2</v>
      </c>
      <c r="Z1198" s="8">
        <f>ROUNDUP(Table1[[#This Row],[Actual Heacount]],0)</f>
        <v>3</v>
      </c>
      <c r="AA1198" s="8">
        <f>CONVERT(Table1[[#This Row],[RevisedForecast 30% Recution2]]*Table1[[#This Row],[Talk Duration (AVG)]],"day","hr")</f>
        <v>8.7925954432776017</v>
      </c>
      <c r="AB1198" s="10">
        <f>(Table1[[#This Row],[Forecast Workload Hours]]*60)*1.2</f>
        <v>633.06687191598724</v>
      </c>
      <c r="AC1198" s="10">
        <f>IF(Table1[[#This Row],[Forecast WOrkload Minutes]]&lt;384,1,Table1[[#This Row],[Forecast WOrkload Minutes]]/384)</f>
        <v>1.6486116456145501</v>
      </c>
      <c r="AD1198" s="10">
        <f>ROUNDUP(Table1[[#This Row],[Forecast Headcount]],0)</f>
        <v>2</v>
      </c>
      <c r="AE1198" s="11">
        <v>141.47850054701121</v>
      </c>
      <c r="AF1198" s="11">
        <v>356.3621773111048</v>
      </c>
      <c r="AG1198" t="s">
        <v>7</v>
      </c>
    </row>
    <row r="1199" spans="1:33">
      <c r="A1199" s="2">
        <v>45080</v>
      </c>
      <c r="B1199" s="5" t="s">
        <v>33</v>
      </c>
      <c r="C1199" s="5">
        <f>WEEKDAY(Table1[[#This Row],[Date]])</f>
        <v>7</v>
      </c>
      <c r="D1199" s="5">
        <f>MONTH(Table1[[#This Row],[Date]])</f>
        <v>6</v>
      </c>
      <c r="E1199" s="5">
        <f>WEEKNUM(Table1[[#This Row],[Date]])</f>
        <v>22</v>
      </c>
      <c r="F1199" s="5">
        <f>YEAR(Table1[[#This Row],[Date]])</f>
        <v>2023</v>
      </c>
      <c r="G1199" s="17">
        <v>167</v>
      </c>
      <c r="H1199">
        <v>262.54957408509819</v>
      </c>
      <c r="I1199">
        <f>Table1[[#This Row],[Forecast]]*0.9</f>
        <v>236.29461667658836</v>
      </c>
      <c r="J1199">
        <f>Table1[[#This Row],[Forecast]]*0.8</f>
        <v>210.03965926807857</v>
      </c>
      <c r="K1199">
        <f>Table1[[#This Row],[Forecast]]*0.8</f>
        <v>210.03965926807857</v>
      </c>
      <c r="L1199" s="5">
        <v>260</v>
      </c>
      <c r="M1199" s="6">
        <v>0.9738</v>
      </c>
      <c r="N1199" s="5">
        <v>7</v>
      </c>
      <c r="O1199" s="7">
        <v>9.2592592592592588E-5</v>
      </c>
      <c r="P1199" s="7">
        <v>2.0370370370370369E-3</v>
      </c>
      <c r="Q1199" s="7">
        <v>1.3194444444444445E-3</v>
      </c>
      <c r="R1199" s="6">
        <v>0.90910000000000002</v>
      </c>
      <c r="S1199" s="8">
        <f>CONVERT(Table1[[#This Row],[Talk Duration (AVG)]]*Table1[[#This Row],[Answered Calls]],"day","hr")</f>
        <v>12.711111111111109</v>
      </c>
      <c r="T1199" s="9">
        <f>Table1[[#This Row],[Actual Workload hours]]*60</f>
        <v>762.66666666666652</v>
      </c>
      <c r="U1199" s="9">
        <f>CONVERT(Table1[[#This Row],[Actual]]*Table1[[#This Row],[Talk Duration (AVG)]],"day","hr")</f>
        <v>8.1644444444444435</v>
      </c>
      <c r="V1199" s="10">
        <f>Table1[[#This Row],[Required Workload Hours]]*60</f>
        <v>489.86666666666662</v>
      </c>
      <c r="W1199" s="9">
        <f t="shared" si="41"/>
        <v>1.9861111111111107</v>
      </c>
      <c r="X1199" s="9">
        <f t="shared" si="40"/>
        <v>1.2756944444444442</v>
      </c>
      <c r="Y1199" s="5">
        <f t="shared" si="39"/>
        <v>2</v>
      </c>
      <c r="Z1199" s="8">
        <f>ROUNDUP(Table1[[#This Row],[Actual Heacount]],0)</f>
        <v>2</v>
      </c>
      <c r="AA1199" s="8">
        <f>CONVERT(Table1[[#This Row],[RevisedForecast 30% Recution2]]*Table1[[#This Row],[Talk Duration (AVG)]],"day","hr")</f>
        <v>10.268605564217173</v>
      </c>
      <c r="AB1199" s="10">
        <f>(Table1[[#This Row],[Forecast Workload Hours]]*60)*1.2</f>
        <v>739.33960062363644</v>
      </c>
      <c r="AC1199" s="10">
        <f>IF(Table1[[#This Row],[Forecast WOrkload Minutes]]&lt;384,1,Table1[[#This Row],[Forecast WOrkload Minutes]]/384)</f>
        <v>1.9253635432907199</v>
      </c>
      <c r="AD1199" s="10">
        <f>ROUNDUP(Table1[[#This Row],[Forecast Headcount]],0)</f>
        <v>2</v>
      </c>
      <c r="AE1199" s="11">
        <v>148.56552041980351</v>
      </c>
      <c r="AF1199" s="11">
        <v>380.24900041847297</v>
      </c>
      <c r="AG1199" t="s">
        <v>7</v>
      </c>
    </row>
    <row r="1200" spans="1:33">
      <c r="A1200" s="2">
        <v>45081</v>
      </c>
      <c r="B1200" s="5" t="s">
        <v>35</v>
      </c>
      <c r="C1200" s="5">
        <f>WEEKDAY(Table1[[#This Row],[Date]])</f>
        <v>1</v>
      </c>
      <c r="D1200" s="5">
        <f>MONTH(Table1[[#This Row],[Date]])</f>
        <v>6</v>
      </c>
      <c r="E1200" s="5">
        <f>WEEKNUM(Table1[[#This Row],[Date]])</f>
        <v>23</v>
      </c>
      <c r="F1200" s="5">
        <f>YEAR(Table1[[#This Row],[Date]])</f>
        <v>2023</v>
      </c>
      <c r="G1200" s="17">
        <v>12</v>
      </c>
      <c r="H1200">
        <v>174.15156327013031</v>
      </c>
      <c r="I1200">
        <f>Table1[[#This Row],[Forecast]]*0.9</f>
        <v>156.73640694311729</v>
      </c>
      <c r="J1200">
        <f>Table1[[#This Row],[Forecast]]*0.8</f>
        <v>139.32125061610427</v>
      </c>
      <c r="K1200">
        <f>Table1[[#This Row],[Forecast]]*0.8</f>
        <v>139.32125061610427</v>
      </c>
      <c r="L1200" s="5">
        <v>281</v>
      </c>
      <c r="M1200" s="6">
        <v>0.98250000000000004</v>
      </c>
      <c r="N1200" s="5">
        <v>5</v>
      </c>
      <c r="O1200" s="7">
        <v>1.273148148148148E-4</v>
      </c>
      <c r="P1200" s="7">
        <v>1.8518518518518519E-3</v>
      </c>
      <c r="Q1200" s="7">
        <v>2.0138888888888888E-3</v>
      </c>
      <c r="R1200" s="6">
        <v>0.86970000000000003</v>
      </c>
      <c r="S1200" s="8">
        <f>CONVERT(Table1[[#This Row],[Talk Duration (AVG)]]*Table1[[#This Row],[Answered Calls]],"day","hr")</f>
        <v>12.488888888888889</v>
      </c>
      <c r="T1200" s="9">
        <f>Table1[[#This Row],[Actual Workload hours]]*60</f>
        <v>749.33333333333337</v>
      </c>
      <c r="U1200" s="9">
        <f>CONVERT(Table1[[#This Row],[Actual]]*Table1[[#This Row],[Talk Duration (AVG)]],"day","hr")</f>
        <v>0.53333333333333333</v>
      </c>
      <c r="V1200" s="10">
        <f>Table1[[#This Row],[Required Workload Hours]]*60</f>
        <v>32</v>
      </c>
      <c r="W1200" s="9">
        <f t="shared" si="41"/>
        <v>1.9513888888888891</v>
      </c>
      <c r="X1200" s="9">
        <f t="shared" si="40"/>
        <v>1</v>
      </c>
      <c r="Y1200" s="5">
        <f t="shared" si="39"/>
        <v>2</v>
      </c>
      <c r="Z1200" s="8">
        <f>ROUNDUP(Table1[[#This Row],[Actual Heacount]],0)</f>
        <v>2</v>
      </c>
      <c r="AA1200" s="8">
        <f>CONVERT(Table1[[#This Row],[RevisedForecast 30% Recution2]]*Table1[[#This Row],[Talk Duration (AVG)]],"day","hr")</f>
        <v>6.1920555829379662</v>
      </c>
      <c r="AB1200" s="10">
        <f>(Table1[[#This Row],[Forecast Workload Hours]]*60)*1.2</f>
        <v>445.82800197153352</v>
      </c>
      <c r="AC1200" s="10">
        <f>IF(Table1[[#This Row],[Forecast WOrkload Minutes]]&lt;384,1,Table1[[#This Row],[Forecast WOrkload Minutes]]/384)</f>
        <v>1.1610104218008686</v>
      </c>
      <c r="AD1200" s="10">
        <f>ROUNDUP(Table1[[#This Row],[Forecast Headcount]],0)</f>
        <v>2</v>
      </c>
      <c r="AE1200" s="11">
        <v>59.085246277783973</v>
      </c>
      <c r="AF1200" s="11">
        <v>285.10358001873988</v>
      </c>
      <c r="AG1200" t="s">
        <v>7</v>
      </c>
    </row>
    <row r="1201" spans="1:33">
      <c r="A1201" s="2">
        <v>45082</v>
      </c>
      <c r="B1201" s="5" t="s">
        <v>36</v>
      </c>
      <c r="C1201" s="5">
        <f>WEEKDAY(Table1[[#This Row],[Date]])</f>
        <v>2</v>
      </c>
      <c r="D1201" s="5">
        <f>MONTH(Table1[[#This Row],[Date]])</f>
        <v>6</v>
      </c>
      <c r="E1201" s="5">
        <f>WEEKNUM(Table1[[#This Row],[Date]])</f>
        <v>23</v>
      </c>
      <c r="F1201" s="5">
        <f>YEAR(Table1[[#This Row],[Date]])</f>
        <v>2023</v>
      </c>
      <c r="H1201">
        <v>274.43094893349678</v>
      </c>
      <c r="I1201">
        <f>Table1[[#This Row],[Forecast]]*0.9</f>
        <v>246.98785404014711</v>
      </c>
      <c r="J1201">
        <f>Table1[[#This Row],[Forecast]]*0.8</f>
        <v>219.54475914679745</v>
      </c>
      <c r="K1201">
        <f>Table1[[#This Row],[Forecast]]*0.8</f>
        <v>219.54475914679745</v>
      </c>
      <c r="L1201" s="5">
        <v>192</v>
      </c>
      <c r="M1201" s="6">
        <v>0.97960000000000003</v>
      </c>
      <c r="N1201" s="5">
        <v>4</v>
      </c>
      <c r="O1201" s="7">
        <v>1.5046296296296297E-4</v>
      </c>
      <c r="P1201" s="7">
        <v>1.8865740740740742E-3</v>
      </c>
      <c r="Q1201" s="7">
        <v>1.4583333333333334E-3</v>
      </c>
      <c r="R1201" s="6">
        <v>0.85640000000000005</v>
      </c>
      <c r="S1201" s="8">
        <f>CONVERT(Table1[[#This Row],[Talk Duration (AVG)]]*Table1[[#This Row],[Answered Calls]],"day","hr")</f>
        <v>8.6933333333333334</v>
      </c>
      <c r="T1201" s="9">
        <f>Table1[[#This Row],[Actual Workload hours]]*60</f>
        <v>521.6</v>
      </c>
      <c r="U1201" s="9"/>
      <c r="V1201" s="10"/>
      <c r="W1201" s="9"/>
      <c r="X1201" s="9"/>
      <c r="Y1201" s="5">
        <f t="shared" si="39"/>
        <v>2</v>
      </c>
      <c r="Z1201" s="8"/>
      <c r="AA1201" s="8">
        <f>CONVERT(Table1[[#This Row],[RevisedForecast 30% Recution2]]*Table1[[#This Row],[Talk Duration (AVG)]],"day","hr")</f>
        <v>9.9404988169244408</v>
      </c>
      <c r="AB1201" s="10">
        <f>(Table1[[#This Row],[Forecast Workload Hours]]*60)*1.2</f>
        <v>715.71591481855967</v>
      </c>
      <c r="AC1201" s="10">
        <f>IF(Table1[[#This Row],[Forecast WOrkload Minutes]]&lt;384,1,Table1[[#This Row],[Forecast WOrkload Minutes]]/384)</f>
        <v>1.8638435281733325</v>
      </c>
      <c r="AD1201" s="10">
        <f>ROUNDUP(Table1[[#This Row],[Forecast Headcount]],0)</f>
        <v>2</v>
      </c>
      <c r="AE1201" s="11">
        <v>170.51488122793251</v>
      </c>
      <c r="AF1201" s="11">
        <v>379.49161405038188</v>
      </c>
      <c r="AG1201" t="s">
        <v>7</v>
      </c>
    </row>
    <row r="1202" spans="1:33">
      <c r="A1202" s="2">
        <v>45083</v>
      </c>
      <c r="B1202" s="5" t="s">
        <v>37</v>
      </c>
      <c r="C1202" s="5">
        <f>WEEKDAY(Table1[[#This Row],[Date]])</f>
        <v>3</v>
      </c>
      <c r="D1202" s="5">
        <f>MONTH(Table1[[#This Row],[Date]])</f>
        <v>6</v>
      </c>
      <c r="E1202" s="5">
        <f>WEEKNUM(Table1[[#This Row],[Date]])</f>
        <v>23</v>
      </c>
      <c r="F1202" s="5">
        <f>YEAR(Table1[[#This Row],[Date]])</f>
        <v>2023</v>
      </c>
      <c r="H1202">
        <v>258.9472682954314</v>
      </c>
      <c r="I1202">
        <f>Table1[[#This Row],[Forecast]]*0.9</f>
        <v>233.05254146588825</v>
      </c>
      <c r="J1202">
        <f>Table1[[#This Row],[Forecast]]*0.8</f>
        <v>207.15781463634514</v>
      </c>
      <c r="K1202">
        <f>Table1[[#This Row],[Forecast]]*0.8</f>
        <v>207.15781463634514</v>
      </c>
      <c r="L1202" s="5">
        <v>189</v>
      </c>
      <c r="M1202" s="6">
        <v>0.98950000000000005</v>
      </c>
      <c r="N1202" s="5">
        <v>2</v>
      </c>
      <c r="O1202" s="7">
        <v>1.273148148148148E-4</v>
      </c>
      <c r="P1202" s="7">
        <v>2.0833333333333333E-3</v>
      </c>
      <c r="Q1202" s="7">
        <v>1.7824074074074075E-3</v>
      </c>
      <c r="R1202" s="6">
        <v>0.88419999999999999</v>
      </c>
      <c r="S1202" s="8">
        <f>CONVERT(Table1[[#This Row],[Talk Duration (AVG)]]*Table1[[#This Row],[Answered Calls]],"day","hr")</f>
        <v>9.4499999999999993</v>
      </c>
      <c r="T1202" s="9">
        <f>Table1[[#This Row],[Actual Workload hours]]*60</f>
        <v>567</v>
      </c>
      <c r="U1202" s="9"/>
      <c r="V1202" s="10"/>
      <c r="W1202" s="9"/>
      <c r="X1202" s="9"/>
      <c r="Y1202" s="5">
        <f t="shared" si="39"/>
        <v>2</v>
      </c>
      <c r="Z1202" s="8"/>
      <c r="AA1202" s="8">
        <f>CONVERT(Table1[[#This Row],[RevisedForecast 30% Recution2]]*Table1[[#This Row],[Talk Duration (AVG)]],"day","hr")</f>
        <v>10.357890731817257</v>
      </c>
      <c r="AB1202" s="10">
        <f>(Table1[[#This Row],[Forecast Workload Hours]]*60)*1.2</f>
        <v>745.76813269084244</v>
      </c>
      <c r="AC1202" s="10">
        <f>IF(Table1[[#This Row],[Forecast WOrkload Minutes]]&lt;384,1,Table1[[#This Row],[Forecast WOrkload Minutes]]/384)</f>
        <v>1.9421045122157354</v>
      </c>
      <c r="AD1202" s="10">
        <f>ROUNDUP(Table1[[#This Row],[Forecast Headcount]],0)</f>
        <v>2</v>
      </c>
      <c r="AE1202" s="11">
        <v>151.49732929721901</v>
      </c>
      <c r="AF1202" s="11">
        <v>370.00849802810382</v>
      </c>
      <c r="AG1202" t="s">
        <v>7</v>
      </c>
    </row>
    <row r="1203" spans="1:33">
      <c r="A1203" s="2">
        <v>45084</v>
      </c>
      <c r="B1203" s="5" t="s">
        <v>38</v>
      </c>
      <c r="C1203" s="5">
        <f>WEEKDAY(Table1[[#This Row],[Date]])</f>
        <v>4</v>
      </c>
      <c r="D1203" s="5">
        <f>MONTH(Table1[[#This Row],[Date]])</f>
        <v>6</v>
      </c>
      <c r="E1203" s="5">
        <f>WEEKNUM(Table1[[#This Row],[Date]])</f>
        <v>23</v>
      </c>
      <c r="F1203" s="5">
        <f>YEAR(Table1[[#This Row],[Date]])</f>
        <v>2023</v>
      </c>
      <c r="H1203">
        <v>271.90325112028597</v>
      </c>
      <c r="I1203">
        <f>Table1[[#This Row],[Forecast]]*0.9</f>
        <v>244.71292600825737</v>
      </c>
      <c r="J1203">
        <f>Table1[[#This Row],[Forecast]]*0.8</f>
        <v>217.52260089622879</v>
      </c>
      <c r="K1203">
        <f>Table1[[#This Row],[Forecast]]*0.8</f>
        <v>217.52260089622879</v>
      </c>
      <c r="L1203" s="5">
        <v>60</v>
      </c>
      <c r="M1203" s="6">
        <v>1</v>
      </c>
      <c r="N1203" s="5">
        <v>0</v>
      </c>
      <c r="O1203" s="7">
        <v>6.9444444444444444E-5</v>
      </c>
      <c r="P1203" s="7">
        <v>1.3657407407407407E-3</v>
      </c>
      <c r="Q1203" s="7">
        <v>6.8287037037037036E-4</v>
      </c>
      <c r="R1203" s="6">
        <v>0.9667</v>
      </c>
      <c r="S1203" s="8">
        <f>CONVERT(Table1[[#This Row],[Talk Duration (AVG)]]*Table1[[#This Row],[Answered Calls]],"day","hr")</f>
        <v>1.9666666666666666</v>
      </c>
      <c r="T1203" s="9">
        <f>Table1[[#This Row],[Actual Workload hours]]*60</f>
        <v>118</v>
      </c>
      <c r="U1203" s="9"/>
      <c r="V1203" s="10"/>
      <c r="W1203" s="9"/>
      <c r="X1203" s="9"/>
      <c r="Y1203" s="5">
        <f t="shared" si="39"/>
        <v>1</v>
      </c>
      <c r="Z1203" s="8"/>
      <c r="AA1203" s="8">
        <f>CONVERT(Table1[[#This Row],[RevisedForecast 30% Recution2]]*Table1[[#This Row],[Talk Duration (AVG)]],"day","hr")</f>
        <v>7.1299074738208335</v>
      </c>
      <c r="AB1203" s="10">
        <f>(Table1[[#This Row],[Forecast Workload Hours]]*60)*1.2</f>
        <v>513.35333811509997</v>
      </c>
      <c r="AC1203" s="10">
        <f>IF(Table1[[#This Row],[Forecast WOrkload Minutes]]&lt;384,1,Table1[[#This Row],[Forecast WOrkload Minutes]]/384)</f>
        <v>1.3368576513414061</v>
      </c>
      <c r="AD1203" s="10">
        <f>ROUNDUP(Table1[[#This Row],[Forecast Headcount]],0)</f>
        <v>2</v>
      </c>
      <c r="AE1203" s="11">
        <v>160.25014707467699</v>
      </c>
      <c r="AF1203" s="11">
        <v>378.44295107694182</v>
      </c>
      <c r="AG1203" t="s">
        <v>7</v>
      </c>
    </row>
    <row r="1204" spans="1:33">
      <c r="A1204" s="2">
        <v>45085</v>
      </c>
      <c r="B1204" s="5" t="s">
        <v>39</v>
      </c>
      <c r="C1204" s="5">
        <f>WEEKDAY(Table1[[#This Row],[Date]])</f>
        <v>5</v>
      </c>
      <c r="D1204" s="5">
        <f>MONTH(Table1[[#This Row],[Date]])</f>
        <v>6</v>
      </c>
      <c r="E1204" s="5">
        <f>WEEKNUM(Table1[[#This Row],[Date]])</f>
        <v>23</v>
      </c>
      <c r="F1204" s="5">
        <f>YEAR(Table1[[#This Row],[Date]])</f>
        <v>2023</v>
      </c>
      <c r="H1204">
        <v>268.01314669341411</v>
      </c>
      <c r="I1204">
        <f>Table1[[#This Row],[Forecast]]*0.9</f>
        <v>241.21183202407272</v>
      </c>
      <c r="J1204">
        <f>Table1[[#This Row],[Forecast]]*0.8</f>
        <v>214.4105173547313</v>
      </c>
      <c r="K1204">
        <f>Table1[[#This Row],[Forecast]]*0.8</f>
        <v>214.4105173547313</v>
      </c>
      <c r="L1204" s="5">
        <v>207</v>
      </c>
      <c r="M1204" s="6">
        <v>0.96279999999999999</v>
      </c>
      <c r="N1204" s="5">
        <v>8</v>
      </c>
      <c r="O1204" s="7">
        <v>1.1574074074074075E-4</v>
      </c>
      <c r="P1204" s="7">
        <v>1.8518518518518519E-3</v>
      </c>
      <c r="Q1204" s="7">
        <v>1.2037037037037038E-3</v>
      </c>
      <c r="R1204" s="6">
        <v>0.90429999999999999</v>
      </c>
      <c r="S1204" s="8">
        <f>CONVERT(Table1[[#This Row],[Talk Duration (AVG)]]*Table1[[#This Row],[Answered Calls]],"day","hr")</f>
        <v>9.1999999999999993</v>
      </c>
      <c r="T1204" s="9">
        <f>Table1[[#This Row],[Actual Workload hours]]*60</f>
        <v>552</v>
      </c>
      <c r="U1204" s="9"/>
      <c r="V1204" s="10"/>
      <c r="W1204" s="9"/>
      <c r="X1204" s="9"/>
      <c r="Y1204" s="5">
        <f t="shared" si="39"/>
        <v>2</v>
      </c>
      <c r="Z1204" s="8"/>
      <c r="AA1204" s="8">
        <f>CONVERT(Table1[[#This Row],[RevisedForecast 30% Recution2]]*Table1[[#This Row],[Talk Duration (AVG)]],"day","hr")</f>
        <v>9.5293563268769468</v>
      </c>
      <c r="AB1204" s="10">
        <f>(Table1[[#This Row],[Forecast Workload Hours]]*60)*1.2</f>
        <v>686.11365553514008</v>
      </c>
      <c r="AC1204" s="10">
        <f>IF(Table1[[#This Row],[Forecast WOrkload Minutes]]&lt;384,1,Table1[[#This Row],[Forecast WOrkload Minutes]]/384)</f>
        <v>1.7867543112894273</v>
      </c>
      <c r="AD1204" s="10">
        <f>ROUNDUP(Table1[[#This Row],[Forecast Headcount]],0)</f>
        <v>2</v>
      </c>
      <c r="AE1204" s="11">
        <v>150.42997789898411</v>
      </c>
      <c r="AF1204" s="11">
        <v>378.29820760657651</v>
      </c>
      <c r="AG1204" t="s">
        <v>7</v>
      </c>
    </row>
    <row r="1205" spans="1:33">
      <c r="A1205" s="2">
        <v>45086</v>
      </c>
      <c r="B1205" s="5" t="s">
        <v>40</v>
      </c>
      <c r="C1205" s="5">
        <f>WEEKDAY(Table1[[#This Row],[Date]])</f>
        <v>6</v>
      </c>
      <c r="D1205" s="5">
        <f>MONTH(Table1[[#This Row],[Date]])</f>
        <v>6</v>
      </c>
      <c r="E1205" s="5">
        <f>WEEKNUM(Table1[[#This Row],[Date]])</f>
        <v>23</v>
      </c>
      <c r="F1205" s="5">
        <f>YEAR(Table1[[#This Row],[Date]])</f>
        <v>2023</v>
      </c>
      <c r="H1205">
        <v>260.15318302181362</v>
      </c>
      <c r="I1205">
        <f>Table1[[#This Row],[Forecast]]*0.9</f>
        <v>234.13786471963226</v>
      </c>
      <c r="J1205">
        <f>Table1[[#This Row],[Forecast]]*0.8</f>
        <v>208.12254641745091</v>
      </c>
      <c r="K1205">
        <f>Table1[[#This Row],[Forecast]]*0.8</f>
        <v>208.12254641745091</v>
      </c>
      <c r="L1205" s="5">
        <v>213</v>
      </c>
      <c r="M1205" s="6">
        <v>0.96379999999999999</v>
      </c>
      <c r="N1205" s="5">
        <v>8</v>
      </c>
      <c r="O1205" s="7">
        <v>9.2592592592592588E-5</v>
      </c>
      <c r="P1205" s="7">
        <v>1.7939814814814815E-3</v>
      </c>
      <c r="Q1205" s="7">
        <v>1.238425925925926E-3</v>
      </c>
      <c r="R1205" s="6">
        <v>0.90449999999999997</v>
      </c>
      <c r="S1205" s="8">
        <f>CONVERT(Table1[[#This Row],[Talk Duration (AVG)]]*Table1[[#This Row],[Answered Calls]],"day","hr")</f>
        <v>9.1708333333333325</v>
      </c>
      <c r="T1205" s="9">
        <f>Table1[[#This Row],[Actual Workload hours]]*60</f>
        <v>550.25</v>
      </c>
      <c r="U1205" s="9"/>
      <c r="V1205" s="10"/>
      <c r="W1205" s="9"/>
      <c r="X1205" s="9"/>
      <c r="Y1205" s="5">
        <f t="shared" si="39"/>
        <v>2</v>
      </c>
      <c r="Z1205" s="8"/>
      <c r="AA1205" s="8">
        <f>CONVERT(Table1[[#This Row],[RevisedForecast 30% Recution2]]*Table1[[#This Row],[Talk Duration (AVG)]],"day","hr")</f>
        <v>8.9608318596402476</v>
      </c>
      <c r="AB1205" s="10">
        <f>(Table1[[#This Row],[Forecast Workload Hours]]*60)*1.2</f>
        <v>645.17989389409775</v>
      </c>
      <c r="AC1205" s="10">
        <f>IF(Table1[[#This Row],[Forecast WOrkload Minutes]]&lt;384,1,Table1[[#This Row],[Forecast WOrkload Minutes]]/384)</f>
        <v>1.6801559736825462</v>
      </c>
      <c r="AD1205" s="10">
        <f>ROUNDUP(Table1[[#This Row],[Forecast Headcount]],0)</f>
        <v>2</v>
      </c>
      <c r="AE1205" s="11">
        <v>147.38530310061199</v>
      </c>
      <c r="AF1205" s="11">
        <v>375.08577578174828</v>
      </c>
      <c r="AG1205" t="s">
        <v>7</v>
      </c>
    </row>
    <row r="1206" spans="1:33">
      <c r="A1206" s="2">
        <v>45087</v>
      </c>
      <c r="B1206" s="5" t="s">
        <v>33</v>
      </c>
      <c r="C1206" s="5">
        <f>WEEKDAY(Table1[[#This Row],[Date]])</f>
        <v>7</v>
      </c>
      <c r="D1206" s="5">
        <f>MONTH(Table1[[#This Row],[Date]])</f>
        <v>6</v>
      </c>
      <c r="E1206" s="5">
        <f>WEEKNUM(Table1[[#This Row],[Date]])</f>
        <v>23</v>
      </c>
      <c r="F1206" s="5">
        <f>YEAR(Table1[[#This Row],[Date]])</f>
        <v>2023</v>
      </c>
      <c r="H1206">
        <v>268.42142319940041</v>
      </c>
      <c r="I1206">
        <f>Table1[[#This Row],[Forecast]]*0.9</f>
        <v>241.57928087946038</v>
      </c>
      <c r="J1206">
        <f>Table1[[#This Row],[Forecast]]*0.8</f>
        <v>214.73713855952033</v>
      </c>
      <c r="K1206">
        <f>Table1[[#This Row],[Forecast]]*0.8</f>
        <v>214.73713855952033</v>
      </c>
      <c r="L1206" s="5">
        <v>193</v>
      </c>
      <c r="M1206" s="6">
        <v>0.96020000000000005</v>
      </c>
      <c r="N1206" s="5">
        <v>8</v>
      </c>
      <c r="O1206" s="7">
        <v>3.4722222222222222E-5</v>
      </c>
      <c r="P1206" s="7">
        <v>1.9212962962962964E-3</v>
      </c>
      <c r="Q1206" s="7">
        <v>6.7129629629629625E-4</v>
      </c>
      <c r="R1206" s="6">
        <v>0.98450000000000004</v>
      </c>
      <c r="S1206" s="8">
        <f>CONVERT(Table1[[#This Row],[Talk Duration (AVG)]]*Table1[[#This Row],[Answered Calls]],"day","hr")</f>
        <v>8.8994444444444447</v>
      </c>
      <c r="T1206" s="9">
        <f>Table1[[#This Row],[Actual Workload hours]]*60</f>
        <v>533.9666666666667</v>
      </c>
      <c r="U1206" s="9"/>
      <c r="V1206" s="10"/>
      <c r="W1206" s="9"/>
      <c r="X1206" s="9"/>
      <c r="Y1206" s="5">
        <f t="shared" si="39"/>
        <v>2</v>
      </c>
      <c r="Z1206" s="8"/>
      <c r="AA1206" s="8">
        <f>CONVERT(Table1[[#This Row],[RevisedForecast 30% Recution2]]*Table1[[#This Row],[Talk Duration (AVG)]],"day","hr")</f>
        <v>9.9017680558001047</v>
      </c>
      <c r="AB1206" s="10">
        <f>(Table1[[#This Row],[Forecast Workload Hours]]*60)*1.2</f>
        <v>712.92730001760742</v>
      </c>
      <c r="AC1206" s="10">
        <f>IF(Table1[[#This Row],[Forecast WOrkload Minutes]]&lt;384,1,Table1[[#This Row],[Forecast WOrkload Minutes]]/384)</f>
        <v>1.8565815104625194</v>
      </c>
      <c r="AD1206" s="10">
        <f>ROUNDUP(Table1[[#This Row],[Forecast Headcount]],0)</f>
        <v>2</v>
      </c>
      <c r="AE1206" s="11">
        <v>152.25948794652729</v>
      </c>
      <c r="AF1206" s="11">
        <v>379.90211466328873</v>
      </c>
      <c r="AG1206" t="s">
        <v>7</v>
      </c>
    </row>
    <row r="1207" spans="1:33">
      <c r="A1207" s="2">
        <v>45088</v>
      </c>
      <c r="B1207" s="5" t="s">
        <v>35</v>
      </c>
      <c r="C1207" s="5">
        <f>WEEKDAY(Table1[[#This Row],[Date]])</f>
        <v>1</v>
      </c>
      <c r="D1207" s="5">
        <f>MONTH(Table1[[#This Row],[Date]])</f>
        <v>6</v>
      </c>
      <c r="E1207" s="5">
        <f>WEEKNUM(Table1[[#This Row],[Date]])</f>
        <v>24</v>
      </c>
      <c r="F1207" s="5">
        <f>YEAR(Table1[[#This Row],[Date]])</f>
        <v>2023</v>
      </c>
      <c r="H1207">
        <v>180.9561852700289</v>
      </c>
      <c r="I1207">
        <f>Table1[[#This Row],[Forecast]]*0.9</f>
        <v>162.860566743026</v>
      </c>
      <c r="J1207">
        <f>Table1[[#This Row],[Forecast]]*0.8</f>
        <v>144.76494821602313</v>
      </c>
      <c r="K1207">
        <f>Table1[[#This Row],[Forecast]]*0.8</f>
        <v>144.76494821602313</v>
      </c>
      <c r="L1207" s="5">
        <v>202</v>
      </c>
      <c r="M1207" s="6">
        <v>0.98540000000000005</v>
      </c>
      <c r="N1207" s="5">
        <v>3</v>
      </c>
      <c r="O1207" s="7">
        <v>5.7870370370370373E-5</v>
      </c>
      <c r="P1207" s="7">
        <v>1.9444444444444444E-3</v>
      </c>
      <c r="Q1207" s="7">
        <v>7.9861111111111116E-4</v>
      </c>
      <c r="R1207" s="6">
        <v>0.96060000000000001</v>
      </c>
      <c r="S1207" s="8">
        <f>CONVERT(Table1[[#This Row],[Talk Duration (AVG)]]*Table1[[#This Row],[Answered Calls]],"day","hr")</f>
        <v>9.4266666666666659</v>
      </c>
      <c r="T1207" s="9">
        <f>Table1[[#This Row],[Actual Workload hours]]*60</f>
        <v>565.59999999999991</v>
      </c>
      <c r="U1207" s="9"/>
      <c r="V1207" s="10"/>
      <c r="W1207" s="9"/>
      <c r="X1207" s="9"/>
      <c r="Y1207" s="5">
        <f t="shared" si="39"/>
        <v>2</v>
      </c>
      <c r="Z1207" s="8"/>
      <c r="AA1207" s="8">
        <f>CONVERT(Table1[[#This Row],[RevisedForecast 30% Recution2]]*Table1[[#This Row],[Talk Duration (AVG)]],"day","hr")</f>
        <v>6.7556975834144124</v>
      </c>
      <c r="AB1207" s="10">
        <f>(Table1[[#This Row],[Forecast Workload Hours]]*60)*1.2</f>
        <v>486.41022600583767</v>
      </c>
      <c r="AC1207" s="10">
        <f>IF(Table1[[#This Row],[Forecast WOrkload Minutes]]&lt;384,1,Table1[[#This Row],[Forecast WOrkload Minutes]]/384)</f>
        <v>1.2666932968902023</v>
      </c>
      <c r="AD1207" s="10">
        <f>ROUNDUP(Table1[[#This Row],[Forecast Headcount]],0)</f>
        <v>2</v>
      </c>
      <c r="AE1207" s="11">
        <v>69.197990794752869</v>
      </c>
      <c r="AF1207" s="11">
        <v>289.59795410085093</v>
      </c>
      <c r="AG1207" t="s">
        <v>7</v>
      </c>
    </row>
    <row r="1208" spans="1:33">
      <c r="A1208" s="2">
        <v>45089</v>
      </c>
      <c r="B1208" s="5" t="s">
        <v>36</v>
      </c>
      <c r="C1208" s="5">
        <f>WEEKDAY(Table1[[#This Row],[Date]])</f>
        <v>2</v>
      </c>
      <c r="D1208" s="5">
        <f>MONTH(Table1[[#This Row],[Date]])</f>
        <v>6</v>
      </c>
      <c r="E1208" s="5">
        <f>WEEKNUM(Table1[[#This Row],[Date]])</f>
        <v>24</v>
      </c>
      <c r="F1208" s="5">
        <f>YEAR(Table1[[#This Row],[Date]])</f>
        <v>2023</v>
      </c>
      <c r="H1208">
        <v>282.09531152118382</v>
      </c>
      <c r="I1208">
        <f>Table1[[#This Row],[Forecast]]*0.9</f>
        <v>253.88578036906543</v>
      </c>
      <c r="J1208">
        <f>Table1[[#This Row],[Forecast]]*0.8</f>
        <v>225.67624921694707</v>
      </c>
      <c r="K1208">
        <f>Table1[[#This Row],[Forecast]]*0.8</f>
        <v>225.67624921694707</v>
      </c>
      <c r="L1208" s="5">
        <v>194</v>
      </c>
      <c r="M1208" s="6">
        <v>0.96519999999999995</v>
      </c>
      <c r="N1208" s="5">
        <v>7</v>
      </c>
      <c r="O1208" s="7">
        <v>1.6203703703703703E-4</v>
      </c>
      <c r="P1208" s="7">
        <v>1.8981481481481482E-3</v>
      </c>
      <c r="Q1208" s="7">
        <v>1.724537037037037E-3</v>
      </c>
      <c r="R1208" s="6">
        <v>0.84260000000000002</v>
      </c>
      <c r="S1208" s="8">
        <f>CONVERT(Table1[[#This Row],[Talk Duration (AVG)]]*Table1[[#This Row],[Answered Calls]],"day","hr")</f>
        <v>8.8377777777777773</v>
      </c>
      <c r="T1208" s="9">
        <f>Table1[[#This Row],[Actual Workload hours]]*60</f>
        <v>530.26666666666665</v>
      </c>
      <c r="U1208" s="9"/>
      <c r="V1208" s="10"/>
      <c r="W1208" s="9"/>
      <c r="X1208" s="9"/>
      <c r="Y1208" s="5">
        <f t="shared" si="39"/>
        <v>2</v>
      </c>
      <c r="Z1208" s="8"/>
      <c r="AA1208" s="8">
        <f>CONVERT(Table1[[#This Row],[RevisedForecast 30% Recution2]]*Table1[[#This Row],[Talk Duration (AVG)]],"day","hr")</f>
        <v>10.280806908772032</v>
      </c>
      <c r="AB1208" s="10">
        <f>(Table1[[#This Row],[Forecast Workload Hours]]*60)*1.2</f>
        <v>740.21809743158622</v>
      </c>
      <c r="AC1208" s="10">
        <f>IF(Table1[[#This Row],[Forecast WOrkload Minutes]]&lt;384,1,Table1[[#This Row],[Forecast WOrkload Minutes]]/384)</f>
        <v>1.9276512953947558</v>
      </c>
      <c r="AD1208" s="10">
        <f>ROUNDUP(Table1[[#This Row],[Forecast Headcount]],0)</f>
        <v>2</v>
      </c>
      <c r="AE1208" s="11">
        <v>166.644924526739</v>
      </c>
      <c r="AF1208" s="11">
        <v>390.55375181042808</v>
      </c>
      <c r="AG1208" t="s">
        <v>7</v>
      </c>
    </row>
    <row r="1209" spans="1:33">
      <c r="A1209" s="2">
        <v>45090</v>
      </c>
      <c r="B1209" s="5" t="s">
        <v>37</v>
      </c>
      <c r="C1209" s="5">
        <f>WEEKDAY(Table1[[#This Row],[Date]])</f>
        <v>3</v>
      </c>
      <c r="D1209" s="5">
        <f>MONTH(Table1[[#This Row],[Date]])</f>
        <v>6</v>
      </c>
      <c r="E1209" s="5">
        <f>WEEKNUM(Table1[[#This Row],[Date]])</f>
        <v>24</v>
      </c>
      <c r="F1209" s="5">
        <f>YEAR(Table1[[#This Row],[Date]])</f>
        <v>2023</v>
      </c>
      <c r="H1209">
        <v>267.38187491779252</v>
      </c>
      <c r="I1209">
        <f>Table1[[#This Row],[Forecast]]*0.9</f>
        <v>240.64368742601326</v>
      </c>
      <c r="J1209">
        <f>Table1[[#This Row],[Forecast]]*0.8</f>
        <v>213.90549993423403</v>
      </c>
      <c r="K1209">
        <f>Table1[[#This Row],[Forecast]]*0.8</f>
        <v>213.90549993423403</v>
      </c>
      <c r="L1209" s="5">
        <v>132</v>
      </c>
      <c r="M1209" s="6">
        <v>0.94289999999999996</v>
      </c>
      <c r="N1209" s="5">
        <v>8</v>
      </c>
      <c r="O1209" s="7">
        <v>8.1018518518518516E-5</v>
      </c>
      <c r="P1209" s="7">
        <v>1.2847222222222223E-3</v>
      </c>
      <c r="Q1209" s="7">
        <v>1.3425925925925925E-3</v>
      </c>
      <c r="R1209" s="6">
        <v>0.92479999999999996</v>
      </c>
      <c r="S1209" s="8">
        <f>CONVERT(Table1[[#This Row],[Talk Duration (AVG)]]*Table1[[#This Row],[Answered Calls]],"day","hr")</f>
        <v>4.07</v>
      </c>
      <c r="T1209" s="9">
        <f>Table1[[#This Row],[Actual Workload hours]]*60</f>
        <v>244.20000000000002</v>
      </c>
      <c r="U1209" s="9"/>
      <c r="V1209" s="10"/>
      <c r="W1209" s="9"/>
      <c r="X1209" s="9"/>
      <c r="Y1209" s="5">
        <f t="shared" si="39"/>
        <v>2</v>
      </c>
      <c r="Z1209" s="8"/>
      <c r="AA1209" s="8">
        <f>CONVERT(Table1[[#This Row],[RevisedForecast 30% Recution2]]*Table1[[#This Row],[Talk Duration (AVG)]],"day","hr")</f>
        <v>6.5954195813055501</v>
      </c>
      <c r="AB1209" s="10">
        <f>(Table1[[#This Row],[Forecast Workload Hours]]*60)*1.2</f>
        <v>474.8702098539996</v>
      </c>
      <c r="AC1209" s="10">
        <f>IF(Table1[[#This Row],[Forecast WOrkload Minutes]]&lt;384,1,Table1[[#This Row],[Forecast WOrkload Minutes]]/384)</f>
        <v>1.2366411714947907</v>
      </c>
      <c r="AD1209" s="10">
        <f>ROUNDUP(Table1[[#This Row],[Forecast Headcount]],0)</f>
        <v>2</v>
      </c>
      <c r="AE1209" s="11">
        <v>158.88525499656481</v>
      </c>
      <c r="AF1209" s="11">
        <v>381.81521587951732</v>
      </c>
      <c r="AG1209" t="s">
        <v>7</v>
      </c>
    </row>
    <row r="1210" spans="1:33">
      <c r="A1210" s="2">
        <v>45091</v>
      </c>
      <c r="B1210" s="5" t="s">
        <v>38</v>
      </c>
      <c r="C1210" s="5">
        <f>WEEKDAY(Table1[[#This Row],[Date]])</f>
        <v>4</v>
      </c>
      <c r="D1210" s="5">
        <f>MONTH(Table1[[#This Row],[Date]])</f>
        <v>6</v>
      </c>
      <c r="E1210" s="5">
        <f>WEEKNUM(Table1[[#This Row],[Date]])</f>
        <v>24</v>
      </c>
      <c r="F1210" s="5">
        <f>YEAR(Table1[[#This Row],[Date]])</f>
        <v>2023</v>
      </c>
      <c r="H1210">
        <v>281.00431430090367</v>
      </c>
      <c r="I1210">
        <f>Table1[[#This Row],[Forecast]]*0.9</f>
        <v>252.90388287081331</v>
      </c>
      <c r="J1210">
        <f>Table1[[#This Row],[Forecast]]*0.8</f>
        <v>224.80345144072294</v>
      </c>
      <c r="K1210">
        <f>Table1[[#This Row],[Forecast]]*0.8</f>
        <v>224.80345144072294</v>
      </c>
      <c r="L1210" s="5">
        <v>28</v>
      </c>
      <c r="M1210" s="6">
        <v>0.96550000000000002</v>
      </c>
      <c r="N1210" s="5">
        <v>1</v>
      </c>
      <c r="O1210" s="7">
        <v>1.5046296296296297E-4</v>
      </c>
      <c r="P1210" s="7">
        <v>2.1875000000000002E-3</v>
      </c>
      <c r="Q1210" s="7">
        <v>1.238425925925926E-3</v>
      </c>
      <c r="R1210" s="6">
        <v>0.8276</v>
      </c>
      <c r="S1210" s="8">
        <f>CONVERT(Table1[[#This Row],[Talk Duration (AVG)]]*Table1[[#This Row],[Answered Calls]],"day","hr")</f>
        <v>1.4700000000000002</v>
      </c>
      <c r="T1210" s="9">
        <f>Table1[[#This Row],[Actual Workload hours]]*60</f>
        <v>88.200000000000017</v>
      </c>
      <c r="U1210" s="9"/>
      <c r="V1210" s="10"/>
      <c r="W1210" s="9"/>
      <c r="X1210" s="9"/>
      <c r="Y1210" s="5">
        <f t="shared" si="39"/>
        <v>1</v>
      </c>
      <c r="Z1210" s="8"/>
      <c r="AA1210" s="8">
        <f>CONVERT(Table1[[#This Row],[RevisedForecast 30% Recution2]]*Table1[[#This Row],[Talk Duration (AVG)]],"day","hr")</f>
        <v>11.802181200637955</v>
      </c>
      <c r="AB1210" s="10">
        <f>(Table1[[#This Row],[Forecast Workload Hours]]*60)*1.2</f>
        <v>849.7570464459327</v>
      </c>
      <c r="AC1210" s="10">
        <f>IF(Table1[[#This Row],[Forecast WOrkload Minutes]]&lt;384,1,Table1[[#This Row],[Forecast WOrkload Minutes]]/384)</f>
        <v>2.2129089751196163</v>
      </c>
      <c r="AD1210" s="10">
        <f>ROUNDUP(Table1[[#This Row],[Forecast Headcount]],0)</f>
        <v>3</v>
      </c>
      <c r="AE1210" s="11">
        <v>167.20673633127251</v>
      </c>
      <c r="AF1210" s="11">
        <v>387.70183156177558</v>
      </c>
      <c r="AG1210" t="s">
        <v>7</v>
      </c>
    </row>
    <row r="1211" spans="1:33">
      <c r="A1211" s="2">
        <v>45092</v>
      </c>
      <c r="B1211" s="5" t="s">
        <v>39</v>
      </c>
      <c r="C1211" s="5">
        <f>WEEKDAY(Table1[[#This Row],[Date]])</f>
        <v>5</v>
      </c>
      <c r="D1211" s="5">
        <f>MONTH(Table1[[#This Row],[Date]])</f>
        <v>6</v>
      </c>
      <c r="E1211" s="5">
        <f>WEEKNUM(Table1[[#This Row],[Date]])</f>
        <v>24</v>
      </c>
      <c r="F1211" s="5">
        <f>YEAR(Table1[[#This Row],[Date]])</f>
        <v>2023</v>
      </c>
      <c r="H1211">
        <v>277.66509462334841</v>
      </c>
      <c r="I1211">
        <f>Table1[[#This Row],[Forecast]]*0.9</f>
        <v>249.89858516101359</v>
      </c>
      <c r="J1211">
        <f>Table1[[#This Row],[Forecast]]*0.8</f>
        <v>222.13207569867873</v>
      </c>
      <c r="K1211">
        <f>Table1[[#This Row],[Forecast]]*0.8</f>
        <v>222.13207569867873</v>
      </c>
      <c r="L1211" s="5">
        <v>372</v>
      </c>
      <c r="M1211" s="6">
        <v>0.93469999999999998</v>
      </c>
      <c r="N1211" s="5">
        <v>26</v>
      </c>
      <c r="O1211" s="7">
        <v>2.4305555555555555E-4</v>
      </c>
      <c r="P1211" s="7">
        <v>1.9791666666666668E-3</v>
      </c>
      <c r="Q1211" s="7">
        <v>2.9282407407407408E-3</v>
      </c>
      <c r="R1211" s="6">
        <v>0.72519999999999996</v>
      </c>
      <c r="S1211" s="8">
        <f>CONVERT(Table1[[#This Row],[Talk Duration (AVG)]]*Table1[[#This Row],[Answered Calls]],"day","hr")</f>
        <v>17.670000000000002</v>
      </c>
      <c r="T1211" s="9">
        <f>Table1[[#This Row],[Actual Workload hours]]*60</f>
        <v>1060.2</v>
      </c>
      <c r="U1211" s="9"/>
      <c r="V1211" s="10"/>
      <c r="W1211" s="9"/>
      <c r="X1211" s="9"/>
      <c r="Y1211" s="5">
        <f t="shared" si="39"/>
        <v>2</v>
      </c>
      <c r="Z1211" s="8"/>
      <c r="AA1211" s="8">
        <f>CONVERT(Table1[[#This Row],[RevisedForecast 30% Recution2]]*Table1[[#This Row],[Talk Duration (AVG)]],"day","hr")</f>
        <v>10.55127359568724</v>
      </c>
      <c r="AB1211" s="10">
        <f>(Table1[[#This Row],[Forecast Workload Hours]]*60)*1.2</f>
        <v>759.69169888948124</v>
      </c>
      <c r="AC1211" s="10">
        <f>IF(Table1[[#This Row],[Forecast WOrkload Minutes]]&lt;384,1,Table1[[#This Row],[Forecast WOrkload Minutes]]/384)</f>
        <v>1.9783637991913574</v>
      </c>
      <c r="AD1211" s="10">
        <f>ROUNDUP(Table1[[#This Row],[Forecast Headcount]],0)</f>
        <v>2</v>
      </c>
      <c r="AE1211" s="11">
        <v>173.13855227937981</v>
      </c>
      <c r="AF1211" s="11">
        <v>383.08830717252192</v>
      </c>
      <c r="AG1211" t="s">
        <v>7</v>
      </c>
    </row>
    <row r="1212" spans="1:33">
      <c r="A1212" s="2">
        <v>45093</v>
      </c>
      <c r="B1212" s="5" t="s">
        <v>40</v>
      </c>
      <c r="C1212" s="5">
        <f>WEEKDAY(Table1[[#This Row],[Date]])</f>
        <v>6</v>
      </c>
      <c r="D1212" s="5">
        <f>MONTH(Table1[[#This Row],[Date]])</f>
        <v>6</v>
      </c>
      <c r="E1212" s="5">
        <f>WEEKNUM(Table1[[#This Row],[Date]])</f>
        <v>24</v>
      </c>
      <c r="F1212" s="5">
        <f>YEAR(Table1[[#This Row],[Date]])</f>
        <v>2023</v>
      </c>
      <c r="H1212">
        <v>270.2314256201085</v>
      </c>
      <c r="I1212">
        <f>Table1[[#This Row],[Forecast]]*0.9</f>
        <v>243.20828305809766</v>
      </c>
      <c r="J1212">
        <f>Table1[[#This Row],[Forecast]]*0.8</f>
        <v>216.1851404960868</v>
      </c>
      <c r="K1212">
        <f>Table1[[#This Row],[Forecast]]*0.8</f>
        <v>216.1851404960868</v>
      </c>
      <c r="L1212" s="5">
        <v>249</v>
      </c>
      <c r="M1212" s="6">
        <v>0.97650000000000003</v>
      </c>
      <c r="N1212" s="5">
        <v>6</v>
      </c>
      <c r="O1212" s="7">
        <v>1.7361111111111112E-4</v>
      </c>
      <c r="P1212" s="7">
        <v>2.0949074074074073E-3</v>
      </c>
      <c r="Q1212" s="7">
        <v>1.4930555555555556E-3</v>
      </c>
      <c r="R1212" s="6">
        <v>0.83330000000000004</v>
      </c>
      <c r="S1212" s="8">
        <f>CONVERT(Table1[[#This Row],[Talk Duration (AVG)]]*Table1[[#This Row],[Answered Calls]],"day","hr")</f>
        <v>12.519166666666665</v>
      </c>
      <c r="T1212" s="9">
        <f>Table1[[#This Row],[Actual Workload hours]]*60</f>
        <v>751.14999999999986</v>
      </c>
      <c r="U1212" s="9"/>
      <c r="V1212" s="10"/>
      <c r="W1212" s="9"/>
      <c r="X1212" s="9"/>
      <c r="Y1212" s="5">
        <f t="shared" si="39"/>
        <v>2</v>
      </c>
      <c r="Z1212" s="8"/>
      <c r="AA1212" s="8">
        <f>CONVERT(Table1[[#This Row],[RevisedForecast 30% Recution2]]*Table1[[#This Row],[Talk Duration (AVG)]],"day","hr")</f>
        <v>10.869308452719919</v>
      </c>
      <c r="AB1212" s="10">
        <f>(Table1[[#This Row],[Forecast Workload Hours]]*60)*1.2</f>
        <v>782.59020859583416</v>
      </c>
      <c r="AC1212" s="10">
        <f>IF(Table1[[#This Row],[Forecast WOrkload Minutes]]&lt;384,1,Table1[[#This Row],[Forecast WOrkload Minutes]]/384)</f>
        <v>2.0379953348849846</v>
      </c>
      <c r="AD1212" s="10">
        <f>ROUNDUP(Table1[[#This Row],[Forecast Headcount]],0)</f>
        <v>3</v>
      </c>
      <c r="AE1212" s="11">
        <v>165.67324735164061</v>
      </c>
      <c r="AF1212" s="11">
        <v>383.60878678727681</v>
      </c>
      <c r="AG1212" t="s">
        <v>7</v>
      </c>
    </row>
    <row r="1213" spans="1:33">
      <c r="A1213" s="2">
        <v>45094</v>
      </c>
      <c r="B1213" s="5" t="s">
        <v>33</v>
      </c>
      <c r="C1213" s="5">
        <f>WEEKDAY(Table1[[#This Row],[Date]])</f>
        <v>7</v>
      </c>
      <c r="D1213" s="5">
        <f>MONTH(Table1[[#This Row],[Date]])</f>
        <v>6</v>
      </c>
      <c r="E1213" s="5">
        <f>WEEKNUM(Table1[[#This Row],[Date]])</f>
        <v>24</v>
      </c>
      <c r="F1213" s="5">
        <f>YEAR(Table1[[#This Row],[Date]])</f>
        <v>2023</v>
      </c>
      <c r="H1213">
        <v>278.79529750541332</v>
      </c>
      <c r="I1213">
        <f>Table1[[#This Row],[Forecast]]*0.9</f>
        <v>250.91576775487198</v>
      </c>
      <c r="J1213">
        <f>Table1[[#This Row],[Forecast]]*0.8</f>
        <v>223.03623800433067</v>
      </c>
      <c r="K1213">
        <f>Table1[[#This Row],[Forecast]]*0.8</f>
        <v>223.03623800433067</v>
      </c>
      <c r="L1213" s="5">
        <v>278</v>
      </c>
      <c r="M1213" s="6">
        <v>0.98229999999999995</v>
      </c>
      <c r="N1213" s="5">
        <v>5</v>
      </c>
      <c r="O1213" s="7">
        <v>1.9675925925925926E-4</v>
      </c>
      <c r="P1213" s="7">
        <v>1.8287037037037037E-3</v>
      </c>
      <c r="Q1213" s="7">
        <v>1.3773148148148147E-3</v>
      </c>
      <c r="R1213" s="6">
        <v>0.79569999999999996</v>
      </c>
      <c r="S1213" s="8">
        <f>CONVERT(Table1[[#This Row],[Talk Duration (AVG)]]*Table1[[#This Row],[Answered Calls]],"day","hr")</f>
        <v>12.201111111111112</v>
      </c>
      <c r="T1213" s="9">
        <f>Table1[[#This Row],[Actual Workload hours]]*60</f>
        <v>732.06666666666672</v>
      </c>
      <c r="U1213" s="9"/>
      <c r="V1213" s="10"/>
      <c r="W1213" s="9"/>
      <c r="X1213" s="9"/>
      <c r="Y1213" s="5">
        <f t="shared" si="39"/>
        <v>2</v>
      </c>
      <c r="Z1213" s="8"/>
      <c r="AA1213" s="8">
        <f>CONVERT(Table1[[#This Row],[RevisedForecast 30% Recution2]]*Table1[[#This Row],[Talk Duration (AVG)]],"day","hr")</f>
        <v>9.7888126679678464</v>
      </c>
      <c r="AB1213" s="10">
        <f>(Table1[[#This Row],[Forecast Workload Hours]]*60)*1.2</f>
        <v>704.79451209368494</v>
      </c>
      <c r="AC1213" s="10">
        <f>IF(Table1[[#This Row],[Forecast WOrkload Minutes]]&lt;384,1,Table1[[#This Row],[Forecast WOrkload Minutes]]/384)</f>
        <v>1.8354023752439712</v>
      </c>
      <c r="AD1213" s="10">
        <f>ROUNDUP(Table1[[#This Row],[Forecast Headcount]],0)</f>
        <v>2</v>
      </c>
      <c r="AE1213" s="11">
        <v>170.29572816526891</v>
      </c>
      <c r="AF1213" s="11">
        <v>386.76238959124038</v>
      </c>
      <c r="AG1213" t="s">
        <v>7</v>
      </c>
    </row>
    <row r="1214" spans="1:33">
      <c r="A1214" s="2">
        <v>45095</v>
      </c>
      <c r="B1214" s="5" t="s">
        <v>35</v>
      </c>
      <c r="C1214" s="5">
        <f>WEEKDAY(Table1[[#This Row],[Date]])</f>
        <v>1</v>
      </c>
      <c r="D1214" s="5">
        <f>MONTH(Table1[[#This Row],[Date]])</f>
        <v>6</v>
      </c>
      <c r="E1214" s="5">
        <f>WEEKNUM(Table1[[#This Row],[Date]])</f>
        <v>25</v>
      </c>
      <c r="F1214" s="5">
        <f>YEAR(Table1[[#This Row],[Date]])</f>
        <v>2023</v>
      </c>
      <c r="H1214">
        <v>191.4919960825207</v>
      </c>
      <c r="I1214">
        <f>Table1[[#This Row],[Forecast]]*0.9</f>
        <v>172.34279647426862</v>
      </c>
      <c r="J1214">
        <f>Table1[[#This Row],[Forecast]]*0.8</f>
        <v>153.19359686601658</v>
      </c>
      <c r="K1214">
        <f>Table1[[#This Row],[Forecast]]*0.8</f>
        <v>153.19359686601658</v>
      </c>
      <c r="L1214" s="5">
        <v>222</v>
      </c>
      <c r="M1214" s="6">
        <v>0.96519999999999995</v>
      </c>
      <c r="N1214" s="5">
        <v>8</v>
      </c>
      <c r="O1214" s="7">
        <v>2.4305555555555555E-4</v>
      </c>
      <c r="P1214" s="7">
        <v>1.9212962962962964E-3</v>
      </c>
      <c r="Q1214" s="7">
        <v>1.9097222222222222E-3</v>
      </c>
      <c r="R1214" s="6">
        <v>0.72250000000000003</v>
      </c>
      <c r="S1214" s="8">
        <f>CONVERT(Table1[[#This Row],[Talk Duration (AVG)]]*Table1[[#This Row],[Answered Calls]],"day","hr")</f>
        <v>10.236666666666666</v>
      </c>
      <c r="T1214" s="9">
        <f>Table1[[#This Row],[Actual Workload hours]]*60</f>
        <v>614.19999999999993</v>
      </c>
      <c r="U1214" s="9"/>
      <c r="V1214" s="10"/>
      <c r="W1214" s="9"/>
      <c r="X1214" s="9"/>
      <c r="Y1214" s="5">
        <f t="shared" si="39"/>
        <v>2</v>
      </c>
      <c r="Z1214" s="8"/>
      <c r="AA1214" s="8">
        <f>CONVERT(Table1[[#This Row],[RevisedForecast 30% Recution2]]*Table1[[#This Row],[Talk Duration (AVG)]],"day","hr")</f>
        <v>7.063926966599654</v>
      </c>
      <c r="AB1214" s="10">
        <f>(Table1[[#This Row],[Forecast Workload Hours]]*60)*1.2</f>
        <v>508.60274159517508</v>
      </c>
      <c r="AC1214" s="10">
        <f>IF(Table1[[#This Row],[Forecast WOrkload Minutes]]&lt;384,1,Table1[[#This Row],[Forecast WOrkload Minutes]]/384)</f>
        <v>1.324486306237435</v>
      </c>
      <c r="AD1214" s="10">
        <f>ROUNDUP(Table1[[#This Row],[Forecast Headcount]],0)</f>
        <v>2</v>
      </c>
      <c r="AE1214" s="11">
        <v>88.447537940543356</v>
      </c>
      <c r="AF1214" s="11">
        <v>301.95715761538628</v>
      </c>
      <c r="AG1214" t="s">
        <v>7</v>
      </c>
    </row>
    <row r="1215" spans="1:33">
      <c r="A1215" s="2">
        <v>45096</v>
      </c>
      <c r="B1215" s="5" t="s">
        <v>36</v>
      </c>
      <c r="C1215" s="5">
        <f>WEEKDAY(Table1[[#This Row],[Date]])</f>
        <v>2</v>
      </c>
      <c r="D1215" s="5">
        <f>MONTH(Table1[[#This Row],[Date]])</f>
        <v>6</v>
      </c>
      <c r="E1215" s="5">
        <f>WEEKNUM(Table1[[#This Row],[Date]])</f>
        <v>25</v>
      </c>
      <c r="F1215" s="5">
        <f>YEAR(Table1[[#This Row],[Date]])</f>
        <v>2023</v>
      </c>
      <c r="H1215">
        <v>292.6593817226161</v>
      </c>
      <c r="I1215">
        <f>Table1[[#This Row],[Forecast]]*0.9</f>
        <v>263.3934435503545</v>
      </c>
      <c r="J1215">
        <f>Table1[[#This Row],[Forecast]]*0.8</f>
        <v>234.12750537809291</v>
      </c>
      <c r="K1215">
        <f>Table1[[#This Row],[Forecast]]*0.8</f>
        <v>234.12750537809291</v>
      </c>
      <c r="L1215" s="5">
        <v>183</v>
      </c>
      <c r="M1215" s="6">
        <v>0.98919999999999997</v>
      </c>
      <c r="N1215" s="5">
        <v>2</v>
      </c>
      <c r="O1215" s="7">
        <v>1.1574074074074075E-4</v>
      </c>
      <c r="P1215" s="7">
        <v>2.2569444444444442E-3</v>
      </c>
      <c r="Q1215" s="7">
        <v>9.2592592592592596E-4</v>
      </c>
      <c r="R1215" s="6">
        <v>0.89729999999999999</v>
      </c>
      <c r="S1215" s="8">
        <f>CONVERT(Table1[[#This Row],[Talk Duration (AVG)]]*Table1[[#This Row],[Answered Calls]],"day","hr")</f>
        <v>9.9124999999999979</v>
      </c>
      <c r="T1215" s="9">
        <f>Table1[[#This Row],[Actual Workload hours]]*60</f>
        <v>594.74999999999989</v>
      </c>
      <c r="U1215" s="9"/>
      <c r="V1215" s="10"/>
      <c r="W1215" s="9"/>
      <c r="X1215" s="9"/>
      <c r="Y1215" s="5">
        <f t="shared" si="39"/>
        <v>2</v>
      </c>
      <c r="Z1215" s="8"/>
      <c r="AA1215" s="8">
        <f>CONVERT(Table1[[#This Row],[RevisedForecast 30% Recution2]]*Table1[[#This Row],[Talk Duration (AVG)]],"day","hr")</f>
        <v>12.681906541313365</v>
      </c>
      <c r="AB1215" s="10">
        <f>(Table1[[#This Row],[Forecast Workload Hours]]*60)*1.2</f>
        <v>913.09727097456232</v>
      </c>
      <c r="AC1215" s="10">
        <f>IF(Table1[[#This Row],[Forecast WOrkload Minutes]]&lt;384,1,Table1[[#This Row],[Forecast WOrkload Minutes]]/384)</f>
        <v>2.3778574764962559</v>
      </c>
      <c r="AD1215" s="10">
        <f>ROUNDUP(Table1[[#This Row],[Forecast Headcount]],0)</f>
        <v>3</v>
      </c>
      <c r="AE1215" s="11">
        <v>184.47762050202519</v>
      </c>
      <c r="AF1215" s="11">
        <v>402.89258891919491</v>
      </c>
      <c r="AG1215" t="s">
        <v>7</v>
      </c>
    </row>
    <row r="1216" spans="1:33">
      <c r="A1216" s="2">
        <v>45097</v>
      </c>
      <c r="B1216" s="5" t="s">
        <v>37</v>
      </c>
      <c r="C1216" s="5">
        <f>WEEKDAY(Table1[[#This Row],[Date]])</f>
        <v>3</v>
      </c>
      <c r="D1216" s="5">
        <f>MONTH(Table1[[#This Row],[Date]])</f>
        <v>6</v>
      </c>
      <c r="E1216" s="5">
        <f>WEEKNUM(Table1[[#This Row],[Date]])</f>
        <v>25</v>
      </c>
      <c r="F1216" s="5">
        <f>YEAR(Table1[[#This Row],[Date]])</f>
        <v>2023</v>
      </c>
      <c r="H1216">
        <v>277.84352095242781</v>
      </c>
      <c r="I1216">
        <f>Table1[[#This Row],[Forecast]]*0.9</f>
        <v>250.05916885718503</v>
      </c>
      <c r="J1216">
        <f>Table1[[#This Row],[Forecast]]*0.8</f>
        <v>222.27481676194225</v>
      </c>
      <c r="K1216">
        <f>Table1[[#This Row],[Forecast]]*0.8</f>
        <v>222.27481676194225</v>
      </c>
      <c r="L1216" s="5">
        <v>194</v>
      </c>
      <c r="M1216" s="6">
        <v>0.98480000000000001</v>
      </c>
      <c r="N1216" s="5">
        <v>3</v>
      </c>
      <c r="O1216" s="7">
        <v>1.5046296296296297E-4</v>
      </c>
      <c r="P1216" s="7">
        <v>1.9560185185185184E-3</v>
      </c>
      <c r="Q1216" s="7">
        <v>1.4004629629629629E-3</v>
      </c>
      <c r="R1216" s="6">
        <v>0.82650000000000001</v>
      </c>
      <c r="S1216" s="8">
        <f>CONVERT(Table1[[#This Row],[Talk Duration (AVG)]]*Table1[[#This Row],[Answered Calls]],"day","hr")</f>
        <v>9.107222222222223</v>
      </c>
      <c r="T1216" s="9">
        <f>Table1[[#This Row],[Actual Workload hours]]*60</f>
        <v>546.43333333333339</v>
      </c>
      <c r="U1216" s="9"/>
      <c r="V1216" s="10"/>
      <c r="W1216" s="9"/>
      <c r="X1216" s="9"/>
      <c r="Y1216" s="5">
        <f t="shared" si="39"/>
        <v>2</v>
      </c>
      <c r="Z1216" s="8"/>
      <c r="AA1216" s="8">
        <f>CONVERT(Table1[[#This Row],[RevisedForecast 30% Recution2]]*Table1[[#This Row],[Talk Duration (AVG)]],"day","hr")</f>
        <v>10.434567786880066</v>
      </c>
      <c r="AB1216" s="10">
        <f>(Table1[[#This Row],[Forecast Workload Hours]]*60)*1.2</f>
        <v>751.28888065536478</v>
      </c>
      <c r="AC1216" s="10">
        <f>IF(Table1[[#This Row],[Forecast WOrkload Minutes]]&lt;384,1,Table1[[#This Row],[Forecast WOrkload Minutes]]/384)</f>
        <v>1.9564814600400124</v>
      </c>
      <c r="AD1216" s="10">
        <f>ROUNDUP(Table1[[#This Row],[Forecast Headcount]],0)</f>
        <v>2</v>
      </c>
      <c r="AE1216" s="11">
        <v>165.51036582152321</v>
      </c>
      <c r="AF1216" s="11">
        <v>394.51244143609858</v>
      </c>
      <c r="AG1216" t="s">
        <v>7</v>
      </c>
    </row>
    <row r="1217" spans="1:33">
      <c r="A1217" s="2">
        <v>45098</v>
      </c>
      <c r="B1217" s="5" t="s">
        <v>38</v>
      </c>
      <c r="C1217" s="5">
        <f>WEEKDAY(Table1[[#This Row],[Date]])</f>
        <v>4</v>
      </c>
      <c r="D1217" s="5">
        <f>MONTH(Table1[[#This Row],[Date]])</f>
        <v>6</v>
      </c>
      <c r="E1217" s="5">
        <f>WEEKNUM(Table1[[#This Row],[Date]])</f>
        <v>25</v>
      </c>
      <c r="F1217" s="5">
        <f>YEAR(Table1[[#This Row],[Date]])</f>
        <v>2023</v>
      </c>
      <c r="H1217">
        <v>291.23866572383912</v>
      </c>
      <c r="I1217">
        <f>Table1[[#This Row],[Forecast]]*0.9</f>
        <v>262.1147991514552</v>
      </c>
      <c r="J1217">
        <f>Table1[[#This Row],[Forecast]]*0.8</f>
        <v>232.99093257907131</v>
      </c>
      <c r="K1217">
        <f>Table1[[#This Row],[Forecast]]*0.8</f>
        <v>232.99093257907131</v>
      </c>
      <c r="L1217" s="5">
        <v>14</v>
      </c>
      <c r="M1217" s="6">
        <v>0.93330000000000002</v>
      </c>
      <c r="N1217" s="5">
        <v>1</v>
      </c>
      <c r="O1217" s="7">
        <v>1.3888888888888889E-4</v>
      </c>
      <c r="P1217" s="7">
        <v>2.2453703703703702E-3</v>
      </c>
      <c r="Q1217" s="7">
        <v>1.25E-3</v>
      </c>
      <c r="R1217" s="6">
        <v>0.86670000000000003</v>
      </c>
      <c r="S1217" s="8">
        <f>CONVERT(Table1[[#This Row],[Talk Duration (AVG)]]*Table1[[#This Row],[Answered Calls]],"day","hr")</f>
        <v>0.75444444444444447</v>
      </c>
      <c r="T1217" s="9">
        <f>Table1[[#This Row],[Actual Workload hours]]*60</f>
        <v>45.266666666666666</v>
      </c>
      <c r="U1217" s="9"/>
      <c r="V1217" s="10"/>
      <c r="W1217" s="9"/>
      <c r="X1217" s="9"/>
      <c r="Y1217" s="5">
        <f t="shared" si="39"/>
        <v>1</v>
      </c>
      <c r="Z1217" s="8"/>
      <c r="AA1217" s="8">
        <f>CONVERT(Table1[[#This Row],[RevisedForecast 30% Recution2]]*Table1[[#This Row],[Talk Duration (AVG)]],"day","hr")</f>
        <v>12.555622477872173</v>
      </c>
      <c r="AB1217" s="10">
        <f>(Table1[[#This Row],[Forecast Workload Hours]]*60)*1.2</f>
        <v>904.00481840679652</v>
      </c>
      <c r="AC1217" s="10">
        <f>IF(Table1[[#This Row],[Forecast WOrkload Minutes]]&lt;384,1,Table1[[#This Row],[Forecast WOrkload Minutes]]/384)</f>
        <v>2.3541792146010327</v>
      </c>
      <c r="AD1217" s="10">
        <f>ROUNDUP(Table1[[#This Row],[Forecast Headcount]],0)</f>
        <v>3</v>
      </c>
      <c r="AE1217" s="11">
        <v>175.30792336559409</v>
      </c>
      <c r="AF1217" s="11">
        <v>402.38575495821942</v>
      </c>
      <c r="AG1217" t="s">
        <v>7</v>
      </c>
    </row>
    <row r="1218" spans="1:33">
      <c r="A1218" s="2">
        <v>45099</v>
      </c>
      <c r="B1218" s="5" t="s">
        <v>39</v>
      </c>
      <c r="C1218" s="5">
        <f>WEEKDAY(Table1[[#This Row],[Date]])</f>
        <v>5</v>
      </c>
      <c r="D1218" s="5">
        <f>MONTH(Table1[[#This Row],[Date]])</f>
        <v>6</v>
      </c>
      <c r="E1218" s="5">
        <f>WEEKNUM(Table1[[#This Row],[Date]])</f>
        <v>25</v>
      </c>
      <c r="F1218" s="5">
        <f>YEAR(Table1[[#This Row],[Date]])</f>
        <v>2023</v>
      </c>
      <c r="H1218">
        <v>287.55568240053071</v>
      </c>
      <c r="I1218">
        <f>Table1[[#This Row],[Forecast]]*0.9</f>
        <v>258.80011416047768</v>
      </c>
      <c r="J1218">
        <f>Table1[[#This Row],[Forecast]]*0.8</f>
        <v>230.04454592042458</v>
      </c>
      <c r="K1218">
        <f>Table1[[#This Row],[Forecast]]*0.8</f>
        <v>230.04454592042458</v>
      </c>
      <c r="L1218" s="5">
        <v>228</v>
      </c>
      <c r="M1218" s="6">
        <v>0.99129999999999996</v>
      </c>
      <c r="N1218" s="5">
        <v>2</v>
      </c>
      <c r="O1218" s="7">
        <v>8.1018518518518516E-5</v>
      </c>
      <c r="P1218" s="7">
        <v>1.9328703703703704E-3</v>
      </c>
      <c r="Q1218" s="7">
        <v>7.0601851851851847E-4</v>
      </c>
      <c r="R1218" s="6">
        <v>0.93889999999999996</v>
      </c>
      <c r="S1218" s="8">
        <f>CONVERT(Table1[[#This Row],[Talk Duration (AVG)]]*Table1[[#This Row],[Answered Calls]],"day","hr")</f>
        <v>10.576666666666666</v>
      </c>
      <c r="T1218" s="9">
        <f>Table1[[#This Row],[Actual Workload hours]]*60</f>
        <v>634.6</v>
      </c>
      <c r="U1218" s="9"/>
      <c r="V1218" s="10"/>
      <c r="W1218" s="9"/>
      <c r="X1218" s="9"/>
      <c r="Y1218" s="5">
        <f t="shared" si="39"/>
        <v>2</v>
      </c>
      <c r="Z1218" s="8"/>
      <c r="AA1218" s="8">
        <f>CONVERT(Table1[[#This Row],[RevisedForecast 30% Recution2]]*Table1[[#This Row],[Talk Duration (AVG)]],"day","hr")</f>
        <v>10.671510880197475</v>
      </c>
      <c r="AB1218" s="10">
        <f>(Table1[[#This Row],[Forecast Workload Hours]]*60)*1.2</f>
        <v>768.34878337421821</v>
      </c>
      <c r="AC1218" s="10">
        <f>IF(Table1[[#This Row],[Forecast WOrkload Minutes]]&lt;384,1,Table1[[#This Row],[Forecast WOrkload Minutes]]/384)</f>
        <v>2.0009082900370267</v>
      </c>
      <c r="AD1218" s="10">
        <f>ROUNDUP(Table1[[#This Row],[Forecast Headcount]],0)</f>
        <v>3</v>
      </c>
      <c r="AE1218" s="11">
        <v>180.88271493479331</v>
      </c>
      <c r="AF1218" s="11">
        <v>405.75158901027959</v>
      </c>
      <c r="AG1218" t="s">
        <v>7</v>
      </c>
    </row>
    <row r="1219" spans="1:33">
      <c r="A1219" s="2">
        <v>45100</v>
      </c>
      <c r="B1219" s="5" t="s">
        <v>40</v>
      </c>
      <c r="C1219" s="5">
        <f>WEEKDAY(Table1[[#This Row],[Date]])</f>
        <v>6</v>
      </c>
      <c r="D1219" s="5">
        <f>MONTH(Table1[[#This Row],[Date]])</f>
        <v>6</v>
      </c>
      <c r="E1219" s="5">
        <f>WEEKNUM(Table1[[#This Row],[Date]])</f>
        <v>25</v>
      </c>
      <c r="F1219" s="5">
        <f>YEAR(Table1[[#This Row],[Date]])</f>
        <v>2023</v>
      </c>
      <c r="H1219">
        <v>279.67247172425061</v>
      </c>
      <c r="I1219">
        <f>Table1[[#This Row],[Forecast]]*0.9</f>
        <v>251.70522455182555</v>
      </c>
      <c r="J1219">
        <f>Table1[[#This Row],[Forecast]]*0.8</f>
        <v>223.73797737940049</v>
      </c>
      <c r="K1219">
        <f>Table1[[#This Row],[Forecast]]*0.8</f>
        <v>223.73797737940049</v>
      </c>
      <c r="L1219" s="5">
        <v>224</v>
      </c>
      <c r="M1219" s="6">
        <v>0.96550000000000002</v>
      </c>
      <c r="N1219" s="5">
        <v>8</v>
      </c>
      <c r="O1219" s="7">
        <v>1.3888888888888889E-4</v>
      </c>
      <c r="P1219" s="7">
        <v>1.9791666666666668E-3</v>
      </c>
      <c r="Q1219" s="7">
        <v>1.0879629629629629E-3</v>
      </c>
      <c r="R1219" s="6">
        <v>0.86460000000000004</v>
      </c>
      <c r="S1219" s="8">
        <f>CONVERT(Table1[[#This Row],[Talk Duration (AVG)]]*Table1[[#This Row],[Answered Calls]],"day","hr")</f>
        <v>10.64</v>
      </c>
      <c r="T1219" s="9">
        <f>Table1[[#This Row],[Actual Workload hours]]*60</f>
        <v>638.40000000000009</v>
      </c>
      <c r="U1219" s="9"/>
      <c r="V1219" s="10"/>
      <c r="W1219" s="9"/>
      <c r="X1219" s="9"/>
      <c r="Y1219" s="5">
        <f t="shared" ref="Y1219:Y1252" si="42">IF(B1219="Sunday",1,2)</f>
        <v>2</v>
      </c>
      <c r="Z1219" s="8"/>
      <c r="AA1219" s="8">
        <f>CONVERT(Table1[[#This Row],[RevisedForecast 30% Recution2]]*Table1[[#This Row],[Talk Duration (AVG)]],"day","hr")</f>
        <v>10.627553925521523</v>
      </c>
      <c r="AB1219" s="10">
        <f>(Table1[[#This Row],[Forecast Workload Hours]]*60)*1.2</f>
        <v>765.18388263754969</v>
      </c>
      <c r="AC1219" s="10">
        <f>IF(Table1[[#This Row],[Forecast WOrkload Minutes]]&lt;384,1,Table1[[#This Row],[Forecast WOrkload Minutes]]/384)</f>
        <v>1.9926663610352857</v>
      </c>
      <c r="AD1219" s="10">
        <f>ROUNDUP(Table1[[#This Row],[Forecast Headcount]],0)</f>
        <v>2</v>
      </c>
      <c r="AE1219" s="11">
        <v>161.87335907300539</v>
      </c>
      <c r="AF1219" s="11">
        <v>395.02926652045852</v>
      </c>
      <c r="AG1219" t="s">
        <v>7</v>
      </c>
    </row>
    <row r="1220" spans="1:33">
      <c r="A1220" s="2">
        <v>45101</v>
      </c>
      <c r="B1220" s="5" t="s">
        <v>33</v>
      </c>
      <c r="C1220" s="5">
        <f>WEEKDAY(Table1[[#This Row],[Date]])</f>
        <v>7</v>
      </c>
      <c r="D1220" s="5">
        <f>MONTH(Table1[[#This Row],[Date]])</f>
        <v>6</v>
      </c>
      <c r="E1220" s="5">
        <f>WEEKNUM(Table1[[#This Row],[Date]])</f>
        <v>25</v>
      </c>
      <c r="F1220" s="5">
        <f>YEAR(Table1[[#This Row],[Date]])</f>
        <v>2023</v>
      </c>
      <c r="H1220">
        <v>287.69364806835512</v>
      </c>
      <c r="I1220">
        <f>Table1[[#This Row],[Forecast]]*0.9</f>
        <v>258.92428326151963</v>
      </c>
      <c r="J1220">
        <f>Table1[[#This Row],[Forecast]]*0.8</f>
        <v>230.15491845468409</v>
      </c>
      <c r="K1220">
        <f>Table1[[#This Row],[Forecast]]*0.8</f>
        <v>230.15491845468409</v>
      </c>
      <c r="L1220" s="5">
        <v>231</v>
      </c>
      <c r="M1220" s="6">
        <v>0.97470000000000001</v>
      </c>
      <c r="N1220" s="5">
        <v>6</v>
      </c>
      <c r="O1220" s="7">
        <v>1.273148148148148E-4</v>
      </c>
      <c r="P1220" s="7">
        <v>2.0949074074074073E-3</v>
      </c>
      <c r="Q1220" s="7">
        <v>1.3773148148148147E-3</v>
      </c>
      <c r="R1220" s="6">
        <v>0.87709999999999999</v>
      </c>
      <c r="S1220" s="8">
        <f>CONVERT(Table1[[#This Row],[Talk Duration (AVG)]]*Table1[[#This Row],[Answered Calls]],"day","hr")</f>
        <v>11.614166666666666</v>
      </c>
      <c r="T1220" s="9">
        <f>Table1[[#This Row],[Actual Workload hours]]*60</f>
        <v>696.84999999999991</v>
      </c>
      <c r="U1220" s="9"/>
      <c r="V1220" s="10"/>
      <c r="W1220" s="9"/>
      <c r="X1220" s="9"/>
      <c r="Y1220" s="5">
        <f t="shared" si="42"/>
        <v>2</v>
      </c>
      <c r="Z1220" s="8"/>
      <c r="AA1220" s="8">
        <f>CONVERT(Table1[[#This Row],[RevisedForecast 30% Recution2]]*Table1[[#This Row],[Talk Duration (AVG)]],"day","hr")</f>
        <v>11.571677844527171</v>
      </c>
      <c r="AB1220" s="10">
        <f>(Table1[[#This Row],[Forecast Workload Hours]]*60)*1.2</f>
        <v>833.16080480595633</v>
      </c>
      <c r="AC1220" s="10">
        <f>IF(Table1[[#This Row],[Forecast WOrkload Minutes]]&lt;384,1,Table1[[#This Row],[Forecast WOrkload Minutes]]/384)</f>
        <v>2.1696895958488445</v>
      </c>
      <c r="AD1220" s="10">
        <f>ROUNDUP(Table1[[#This Row],[Forecast Headcount]],0)</f>
        <v>3</v>
      </c>
      <c r="AE1220" s="11">
        <v>177.23338213254311</v>
      </c>
      <c r="AF1220" s="11">
        <v>399.56655297714008</v>
      </c>
      <c r="AG1220" t="s">
        <v>7</v>
      </c>
    </row>
    <row r="1221" spans="1:33">
      <c r="A1221" s="2">
        <v>45102</v>
      </c>
      <c r="B1221" s="5" t="s">
        <v>35</v>
      </c>
      <c r="C1221" s="5">
        <f>WEEKDAY(Table1[[#This Row],[Date]])</f>
        <v>1</v>
      </c>
      <c r="D1221" s="5">
        <f>MONTH(Table1[[#This Row],[Date]])</f>
        <v>6</v>
      </c>
      <c r="E1221" s="5">
        <f>WEEKNUM(Table1[[#This Row],[Date]])</f>
        <v>26</v>
      </c>
      <c r="F1221" s="5">
        <f>YEAR(Table1[[#This Row],[Date]])</f>
        <v>2023</v>
      </c>
      <c r="H1221">
        <v>199.76865164041411</v>
      </c>
      <c r="I1221">
        <f>Table1[[#This Row],[Forecast]]*0.9</f>
        <v>179.79178647637269</v>
      </c>
      <c r="J1221">
        <f>Table1[[#This Row],[Forecast]]*0.8</f>
        <v>159.81492131233131</v>
      </c>
      <c r="K1221">
        <f>Table1[[#This Row],[Forecast]]*0.8</f>
        <v>159.81492131233131</v>
      </c>
      <c r="L1221" s="5">
        <v>39</v>
      </c>
      <c r="M1221" s="6">
        <v>0.92859999999999998</v>
      </c>
      <c r="N1221" s="5">
        <v>3</v>
      </c>
      <c r="O1221" s="7">
        <v>1.9675925925925926E-4</v>
      </c>
      <c r="P1221" s="7">
        <v>1.9791666666666668E-3</v>
      </c>
      <c r="Q1221" s="7">
        <v>1.1574074074074073E-3</v>
      </c>
      <c r="R1221" s="6">
        <v>0.78569999999999995</v>
      </c>
      <c r="S1221" s="8">
        <f>CONVERT(Table1[[#This Row],[Talk Duration (AVG)]]*Table1[[#This Row],[Answered Calls]],"day","hr")</f>
        <v>1.8525000000000003</v>
      </c>
      <c r="T1221" s="9">
        <f>Table1[[#This Row],[Actual Workload hours]]*60</f>
        <v>111.15000000000002</v>
      </c>
      <c r="U1221" s="9"/>
      <c r="V1221" s="10"/>
      <c r="W1221" s="9"/>
      <c r="X1221" s="9"/>
      <c r="Y1221" s="5">
        <f t="shared" si="42"/>
        <v>2</v>
      </c>
      <c r="Z1221" s="8"/>
      <c r="AA1221" s="8">
        <f>CONVERT(Table1[[#This Row],[RevisedForecast 30% Recution2]]*Table1[[#This Row],[Talk Duration (AVG)]],"day","hr")</f>
        <v>7.5912087623357376</v>
      </c>
      <c r="AB1221" s="10">
        <f>(Table1[[#This Row],[Forecast Workload Hours]]*60)*1.2</f>
        <v>546.56703088817312</v>
      </c>
      <c r="AC1221" s="10">
        <f>IF(Table1[[#This Row],[Forecast WOrkload Minutes]]&lt;384,1,Table1[[#This Row],[Forecast WOrkload Minutes]]/384)</f>
        <v>1.4233516429379509</v>
      </c>
      <c r="AD1221" s="10">
        <f>ROUNDUP(Table1[[#This Row],[Forecast Headcount]],0)</f>
        <v>2</v>
      </c>
      <c r="AE1221" s="11">
        <v>89.909322140027029</v>
      </c>
      <c r="AF1221" s="11">
        <v>310.11263184815698</v>
      </c>
      <c r="AG1221" t="s">
        <v>7</v>
      </c>
    </row>
    <row r="1222" spans="1:33">
      <c r="A1222" s="2">
        <v>45103</v>
      </c>
      <c r="B1222" s="5" t="s">
        <v>36</v>
      </c>
      <c r="C1222" s="5">
        <f>WEEKDAY(Table1[[#This Row],[Date]])</f>
        <v>2</v>
      </c>
      <c r="D1222" s="5">
        <f>MONTH(Table1[[#This Row],[Date]])</f>
        <v>6</v>
      </c>
      <c r="E1222" s="5">
        <f>WEEKNUM(Table1[[#This Row],[Date]])</f>
        <v>26</v>
      </c>
      <c r="F1222" s="5">
        <f>YEAR(Table1[[#This Row],[Date]])</f>
        <v>2023</v>
      </c>
      <c r="H1222">
        <v>300.25059055218662</v>
      </c>
      <c r="I1222">
        <f>Table1[[#This Row],[Forecast]]*0.9</f>
        <v>270.22553149696796</v>
      </c>
      <c r="J1222">
        <f>Table1[[#This Row],[Forecast]]*0.8</f>
        <v>240.2004724417493</v>
      </c>
      <c r="K1222">
        <f>Table1[[#This Row],[Forecast]]*0.8</f>
        <v>240.2004724417493</v>
      </c>
      <c r="L1222" s="5">
        <v>211</v>
      </c>
      <c r="M1222" s="6">
        <v>0.98140000000000005</v>
      </c>
      <c r="N1222" s="5">
        <v>4</v>
      </c>
      <c r="O1222" s="7">
        <v>6.9444444444444444E-5</v>
      </c>
      <c r="P1222" s="7">
        <v>2.1527777777777778E-3</v>
      </c>
      <c r="Q1222" s="7">
        <v>2.0138888888888888E-3</v>
      </c>
      <c r="R1222" s="6">
        <v>0.94810000000000005</v>
      </c>
      <c r="S1222" s="8">
        <f>CONVERT(Table1[[#This Row],[Talk Duration (AVG)]]*Table1[[#This Row],[Answered Calls]],"day","hr")</f>
        <v>10.901666666666667</v>
      </c>
      <c r="T1222" s="9">
        <f>Table1[[#This Row],[Actual Workload hours]]*60</f>
        <v>654.1</v>
      </c>
      <c r="U1222" s="9"/>
      <c r="V1222" s="10"/>
      <c r="W1222" s="9"/>
      <c r="X1222" s="9"/>
      <c r="Y1222" s="5">
        <f t="shared" si="42"/>
        <v>2</v>
      </c>
      <c r="Z1222" s="8"/>
      <c r="AA1222" s="8">
        <f>CONVERT(Table1[[#This Row],[RevisedForecast 30% Recution2]]*Table1[[#This Row],[Talk Duration (AVG)]],"day","hr")</f>
        <v>12.410357742823713</v>
      </c>
      <c r="AB1222" s="10">
        <f>(Table1[[#This Row],[Forecast Workload Hours]]*60)*1.2</f>
        <v>893.54575748330728</v>
      </c>
      <c r="AC1222" s="10">
        <f>IF(Table1[[#This Row],[Forecast WOrkload Minutes]]&lt;384,1,Table1[[#This Row],[Forecast WOrkload Minutes]]/384)</f>
        <v>2.3269420767794462</v>
      </c>
      <c r="AD1222" s="10">
        <f>ROUNDUP(Table1[[#This Row],[Forecast Headcount]],0)</f>
        <v>3</v>
      </c>
      <c r="AE1222" s="11">
        <v>191.84067015749019</v>
      </c>
      <c r="AF1222" s="11">
        <v>407.71771125167959</v>
      </c>
      <c r="AG1222" t="s">
        <v>7</v>
      </c>
    </row>
    <row r="1223" spans="1:33">
      <c r="A1223" s="2">
        <v>45104</v>
      </c>
      <c r="B1223" s="5" t="s">
        <v>37</v>
      </c>
      <c r="C1223" s="5">
        <f>WEEKDAY(Table1[[#This Row],[Date]])</f>
        <v>3</v>
      </c>
      <c r="D1223" s="5">
        <f>MONTH(Table1[[#This Row],[Date]])</f>
        <v>6</v>
      </c>
      <c r="E1223" s="5">
        <f>WEEKNUM(Table1[[#This Row],[Date]])</f>
        <v>26</v>
      </c>
      <c r="F1223" s="5">
        <f>YEAR(Table1[[#This Row],[Date]])</f>
        <v>2023</v>
      </c>
      <c r="H1223">
        <v>284.70141479985858</v>
      </c>
      <c r="I1223">
        <f>Table1[[#This Row],[Forecast]]*0.9</f>
        <v>256.23127331987274</v>
      </c>
      <c r="J1223">
        <f>Table1[[#This Row],[Forecast]]*0.8</f>
        <v>227.76113183988687</v>
      </c>
      <c r="K1223">
        <f>Table1[[#This Row],[Forecast]]*0.8</f>
        <v>227.76113183988687</v>
      </c>
      <c r="L1223" s="5">
        <v>152</v>
      </c>
      <c r="M1223" s="6">
        <v>0.99350000000000005</v>
      </c>
      <c r="N1223" s="5">
        <v>1</v>
      </c>
      <c r="O1223" s="7">
        <v>4.6296296296296294E-5</v>
      </c>
      <c r="P1223" s="7">
        <v>1.7939814814814815E-3</v>
      </c>
      <c r="Q1223" s="7">
        <v>6.3657407407407413E-4</v>
      </c>
      <c r="R1223" s="6">
        <v>0.9869</v>
      </c>
      <c r="S1223" s="8">
        <f>CONVERT(Table1[[#This Row],[Talk Duration (AVG)]]*Table1[[#This Row],[Answered Calls]],"day","hr")</f>
        <v>6.5444444444444443</v>
      </c>
      <c r="T1223" s="9">
        <f>Table1[[#This Row],[Actual Workload hours]]*60</f>
        <v>392.66666666666663</v>
      </c>
      <c r="U1223" s="9"/>
      <c r="V1223" s="10"/>
      <c r="W1223" s="9"/>
      <c r="X1223" s="9"/>
      <c r="Y1223" s="5">
        <f t="shared" si="42"/>
        <v>2</v>
      </c>
      <c r="Z1223" s="8"/>
      <c r="AA1223" s="8">
        <f>CONVERT(Table1[[#This Row],[RevisedForecast 30% Recution2]]*Table1[[#This Row],[Talk Duration (AVG)]],"day","hr")</f>
        <v>9.8063820653284601</v>
      </c>
      <c r="AB1223" s="10">
        <f>(Table1[[#This Row],[Forecast Workload Hours]]*60)*1.2</f>
        <v>706.05950870364916</v>
      </c>
      <c r="AC1223" s="10">
        <f>IF(Table1[[#This Row],[Forecast WOrkload Minutes]]&lt;384,1,Table1[[#This Row],[Forecast WOrkload Minutes]]/384)</f>
        <v>1.8386966372490863</v>
      </c>
      <c r="AD1223" s="10">
        <f>ROUNDUP(Table1[[#This Row],[Forecast Headcount]],0)</f>
        <v>2</v>
      </c>
      <c r="AE1223" s="11">
        <v>181.64897474281881</v>
      </c>
      <c r="AF1223" s="11">
        <v>393.18689784627929</v>
      </c>
      <c r="AG1223" t="s">
        <v>7</v>
      </c>
    </row>
    <row r="1224" spans="1:33">
      <c r="A1224" s="2">
        <v>45105</v>
      </c>
      <c r="B1224" s="5" t="s">
        <v>38</v>
      </c>
      <c r="C1224" s="5">
        <f>WEEKDAY(Table1[[#This Row],[Date]])</f>
        <v>4</v>
      </c>
      <c r="D1224" s="5">
        <f>MONTH(Table1[[#This Row],[Date]])</f>
        <v>6</v>
      </c>
      <c r="E1224" s="5">
        <f>WEEKNUM(Table1[[#This Row],[Date]])</f>
        <v>26</v>
      </c>
      <c r="F1224" s="5">
        <f>YEAR(Table1[[#This Row],[Date]])</f>
        <v>2023</v>
      </c>
      <c r="H1224">
        <v>297.33143094231258</v>
      </c>
      <c r="I1224">
        <f>Table1[[#This Row],[Forecast]]*0.9</f>
        <v>267.59828784808133</v>
      </c>
      <c r="J1224">
        <f>Table1[[#This Row],[Forecast]]*0.8</f>
        <v>237.86514475385007</v>
      </c>
      <c r="K1224">
        <f>Table1[[#This Row],[Forecast]]*0.8</f>
        <v>237.86514475385007</v>
      </c>
      <c r="L1224" s="5">
        <v>39</v>
      </c>
      <c r="M1224" s="6">
        <v>1</v>
      </c>
      <c r="N1224" s="5">
        <v>0</v>
      </c>
      <c r="O1224" s="7">
        <v>1.6203703703703703E-4</v>
      </c>
      <c r="P1224" s="7">
        <v>2.5694444444444445E-3</v>
      </c>
      <c r="Q1224" s="7">
        <v>1.1226851851851851E-3</v>
      </c>
      <c r="R1224" s="6">
        <v>0.84619999999999995</v>
      </c>
      <c r="S1224" s="8">
        <f>CONVERT(Table1[[#This Row],[Talk Duration (AVG)]]*Table1[[#This Row],[Answered Calls]],"day","hr")</f>
        <v>2.4049999999999998</v>
      </c>
      <c r="T1224" s="9">
        <f>Table1[[#This Row],[Actual Workload hours]]*60</f>
        <v>144.29999999999998</v>
      </c>
      <c r="U1224" s="9"/>
      <c r="V1224" s="10"/>
      <c r="W1224" s="9"/>
      <c r="X1224" s="9"/>
      <c r="Y1224" s="5">
        <f t="shared" si="42"/>
        <v>1</v>
      </c>
      <c r="Z1224" s="8"/>
      <c r="AA1224" s="8">
        <f>CONVERT(Table1[[#This Row],[RevisedForecast 30% Recution2]]*Table1[[#This Row],[Talk Duration (AVG)]],"day","hr")</f>
        <v>14.668350593154088</v>
      </c>
      <c r="AB1224" s="10">
        <f>(Table1[[#This Row],[Forecast Workload Hours]]*60)*1.2</f>
        <v>1056.1212427070943</v>
      </c>
      <c r="AC1224" s="10">
        <f>IF(Table1[[#This Row],[Forecast WOrkload Minutes]]&lt;384,1,Table1[[#This Row],[Forecast WOrkload Minutes]]/384)</f>
        <v>2.7503157362163915</v>
      </c>
      <c r="AD1224" s="10">
        <f>ROUNDUP(Table1[[#This Row],[Forecast Headcount]],0)</f>
        <v>3</v>
      </c>
      <c r="AE1224" s="11">
        <v>191.49217126388851</v>
      </c>
      <c r="AF1224" s="11">
        <v>410.96984776796057</v>
      </c>
      <c r="AG1224" t="s">
        <v>7</v>
      </c>
    </row>
    <row r="1225" spans="1:33">
      <c r="A1225" s="2">
        <v>45106</v>
      </c>
      <c r="B1225" s="5" t="s">
        <v>39</v>
      </c>
      <c r="C1225" s="5">
        <f>WEEKDAY(Table1[[#This Row],[Date]])</f>
        <v>5</v>
      </c>
      <c r="D1225" s="5">
        <f>MONTH(Table1[[#This Row],[Date]])</f>
        <v>6</v>
      </c>
      <c r="E1225" s="5">
        <f>WEEKNUM(Table1[[#This Row],[Date]])</f>
        <v>26</v>
      </c>
      <c r="F1225" s="5">
        <f>YEAR(Table1[[#This Row],[Date]])</f>
        <v>2023</v>
      </c>
      <c r="H1225">
        <v>292.86727326482179</v>
      </c>
      <c r="I1225">
        <f>Table1[[#This Row],[Forecast]]*0.9</f>
        <v>263.58054593833964</v>
      </c>
      <c r="J1225">
        <f>Table1[[#This Row],[Forecast]]*0.8</f>
        <v>234.29381861185743</v>
      </c>
      <c r="K1225">
        <f>Table1[[#This Row],[Forecast]]*0.8</f>
        <v>234.29381861185743</v>
      </c>
      <c r="L1225" s="5">
        <v>322</v>
      </c>
      <c r="M1225" s="6">
        <v>0.96409999999999996</v>
      </c>
      <c r="N1225" s="5">
        <v>12</v>
      </c>
      <c r="O1225" s="7">
        <v>1.9675925925925926E-4</v>
      </c>
      <c r="P1225" s="7">
        <v>2.0370370370370369E-3</v>
      </c>
      <c r="Q1225" s="7">
        <v>1.5972222222222223E-3</v>
      </c>
      <c r="R1225" s="6">
        <v>0.77129999999999999</v>
      </c>
      <c r="S1225" s="8">
        <f>CONVERT(Table1[[#This Row],[Talk Duration (AVG)]]*Table1[[#This Row],[Answered Calls]],"day","hr")</f>
        <v>15.742222222222223</v>
      </c>
      <c r="T1225" s="9">
        <f>Table1[[#This Row],[Actual Workload hours]]*60</f>
        <v>944.53333333333342</v>
      </c>
      <c r="U1225" s="9"/>
      <c r="V1225" s="10"/>
      <c r="W1225" s="9"/>
      <c r="X1225" s="9"/>
      <c r="Y1225" s="5">
        <f t="shared" si="42"/>
        <v>2</v>
      </c>
      <c r="Z1225" s="8"/>
      <c r="AA1225" s="8">
        <f>CONVERT(Table1[[#This Row],[RevisedForecast 30% Recution2]]*Table1[[#This Row],[Talk Duration (AVG)]],"day","hr")</f>
        <v>11.454364465468585</v>
      </c>
      <c r="AB1225" s="10">
        <f>(Table1[[#This Row],[Forecast Workload Hours]]*60)*1.2</f>
        <v>824.7142415137381</v>
      </c>
      <c r="AC1225" s="10">
        <f>IF(Table1[[#This Row],[Forecast WOrkload Minutes]]&lt;384,1,Table1[[#This Row],[Forecast WOrkload Minutes]]/384)</f>
        <v>2.1476933372753595</v>
      </c>
      <c r="AD1225" s="10">
        <f>ROUNDUP(Table1[[#This Row],[Forecast Headcount]],0)</f>
        <v>3</v>
      </c>
      <c r="AE1225" s="11">
        <v>181.42503329870291</v>
      </c>
      <c r="AF1225" s="11">
        <v>395.59055837974859</v>
      </c>
      <c r="AG1225" t="s">
        <v>7</v>
      </c>
    </row>
    <row r="1226" spans="1:33">
      <c r="A1226" s="2">
        <v>45107</v>
      </c>
      <c r="B1226" s="5" t="s">
        <v>40</v>
      </c>
      <c r="C1226" s="5">
        <f>WEEKDAY(Table1[[#This Row],[Date]])</f>
        <v>6</v>
      </c>
      <c r="D1226" s="5">
        <f>MONTH(Table1[[#This Row],[Date]])</f>
        <v>6</v>
      </c>
      <c r="E1226" s="5">
        <f>WEEKNUM(Table1[[#This Row],[Date]])</f>
        <v>26</v>
      </c>
      <c r="F1226" s="5">
        <f>YEAR(Table1[[#This Row],[Date]])</f>
        <v>2023</v>
      </c>
      <c r="H1226">
        <v>284.2018860487363</v>
      </c>
      <c r="I1226">
        <f>Table1[[#This Row],[Forecast]]*0.9</f>
        <v>255.78169744386267</v>
      </c>
      <c r="J1226">
        <f>Table1[[#This Row],[Forecast]]*0.8</f>
        <v>227.36150883898904</v>
      </c>
      <c r="K1226">
        <f>Table1[[#This Row],[Forecast]]*0.8</f>
        <v>227.36150883898904</v>
      </c>
      <c r="L1226" s="5">
        <v>225</v>
      </c>
      <c r="M1226" s="6">
        <v>0.95340000000000003</v>
      </c>
      <c r="N1226" s="5">
        <v>11</v>
      </c>
      <c r="O1226" s="7">
        <v>1.5046296296296297E-4</v>
      </c>
      <c r="P1226" s="7">
        <v>2.0023148148148148E-3</v>
      </c>
      <c r="Q1226" s="7">
        <v>1.3425925925925925E-3</v>
      </c>
      <c r="R1226" s="6">
        <v>0.85089999999999999</v>
      </c>
      <c r="S1226" s="8">
        <f>CONVERT(Table1[[#This Row],[Talk Duration (AVG)]]*Table1[[#This Row],[Answered Calls]],"day","hr")</f>
        <v>10.8125</v>
      </c>
      <c r="T1226" s="9">
        <f>Table1[[#This Row],[Actual Workload hours]]*60</f>
        <v>648.75</v>
      </c>
      <c r="U1226" s="9"/>
      <c r="V1226" s="10"/>
      <c r="W1226" s="9"/>
      <c r="X1226" s="9"/>
      <c r="Y1226" s="5">
        <f t="shared" si="42"/>
        <v>2</v>
      </c>
      <c r="Z1226" s="8"/>
      <c r="AA1226" s="8">
        <f>CONVERT(Table1[[#This Row],[RevisedForecast 30% Recution2]]*Table1[[#This Row],[Talk Duration (AVG)]],"day","hr")</f>
        <v>10.925983619206974</v>
      </c>
      <c r="AB1226" s="10">
        <f>(Table1[[#This Row],[Forecast Workload Hours]]*60)*1.2</f>
        <v>786.67082058290202</v>
      </c>
      <c r="AC1226" s="10">
        <f>IF(Table1[[#This Row],[Forecast WOrkload Minutes]]&lt;384,1,Table1[[#This Row],[Forecast WOrkload Minutes]]/384)</f>
        <v>2.0486219286013072</v>
      </c>
      <c r="AD1226" s="10">
        <f>ROUNDUP(Table1[[#This Row],[Forecast Headcount]],0)</f>
        <v>3</v>
      </c>
      <c r="AE1226" s="11">
        <v>175.87445746103191</v>
      </c>
      <c r="AF1226" s="11">
        <v>396.29900992791789</v>
      </c>
      <c r="AG1226" t="s">
        <v>7</v>
      </c>
    </row>
    <row r="1227" spans="1:33">
      <c r="A1227" s="2">
        <v>45108</v>
      </c>
      <c r="B1227" s="5" t="s">
        <v>33</v>
      </c>
      <c r="C1227" s="5">
        <f>WEEKDAY(Table1[[#This Row],[Date]])</f>
        <v>7</v>
      </c>
      <c r="D1227" s="5">
        <f>MONTH(Table1[[#This Row],[Date]])</f>
        <v>7</v>
      </c>
      <c r="E1227" s="5">
        <f>WEEKNUM(Table1[[#This Row],[Date]])</f>
        <v>26</v>
      </c>
      <c r="F1227" s="5">
        <f>YEAR(Table1[[#This Row],[Date]])</f>
        <v>2023</v>
      </c>
      <c r="H1227">
        <v>291.45379785524898</v>
      </c>
      <c r="I1227">
        <f>Table1[[#This Row],[Forecast]]*0.9</f>
        <v>262.3084180697241</v>
      </c>
      <c r="J1227">
        <f>Table1[[#This Row],[Forecast]]*0.8</f>
        <v>233.16303828419919</v>
      </c>
      <c r="K1227">
        <f>Table1[[#This Row],[Forecast]]*0.8</f>
        <v>233.16303828419919</v>
      </c>
      <c r="L1227" s="5">
        <v>182</v>
      </c>
      <c r="M1227" s="6">
        <v>0.97850000000000004</v>
      </c>
      <c r="N1227" s="5">
        <v>4</v>
      </c>
      <c r="O1227" s="7">
        <v>9.2592592592592588E-5</v>
      </c>
      <c r="P1227" s="7">
        <v>1.8287037037037037E-3</v>
      </c>
      <c r="Q1227" s="7">
        <v>1.5046296296296296E-3</v>
      </c>
      <c r="R1227" s="6">
        <v>0.95109999999999995</v>
      </c>
      <c r="S1227" s="8">
        <f>CONVERT(Table1[[#This Row],[Talk Duration (AVG)]]*Table1[[#This Row],[Answered Calls]],"day","hr")</f>
        <v>7.9877777777777768</v>
      </c>
      <c r="T1227" s="9">
        <f>Table1[[#This Row],[Actual Workload hours]]*60</f>
        <v>479.26666666666659</v>
      </c>
      <c r="U1227" s="9"/>
      <c r="V1227" s="10"/>
      <c r="W1227" s="9"/>
      <c r="X1227" s="9"/>
      <c r="Y1227" s="5">
        <f t="shared" si="42"/>
        <v>2</v>
      </c>
      <c r="Z1227" s="8"/>
      <c r="AA1227" s="8">
        <f>CONVERT(Table1[[#This Row],[RevisedForecast 30% Recution2]]*Table1[[#This Row],[Talk Duration (AVG)]],"day","hr")</f>
        <v>10.233266680250965</v>
      </c>
      <c r="AB1227" s="10">
        <f>(Table1[[#This Row],[Forecast Workload Hours]]*60)*1.2</f>
        <v>736.79520097806937</v>
      </c>
      <c r="AC1227" s="10">
        <f>IF(Table1[[#This Row],[Forecast WOrkload Minutes]]&lt;384,1,Table1[[#This Row],[Forecast WOrkload Minutes]]/384)</f>
        <v>1.9187375025470557</v>
      </c>
      <c r="AD1227" s="10">
        <f>ROUNDUP(Table1[[#This Row],[Forecast Headcount]],0)</f>
        <v>2</v>
      </c>
      <c r="AE1227" s="11">
        <v>178.4020965466008</v>
      </c>
      <c r="AF1227" s="11">
        <v>398.08486443951728</v>
      </c>
      <c r="AG1227" t="s">
        <v>7</v>
      </c>
    </row>
    <row r="1228" spans="1:33">
      <c r="A1228" s="2">
        <v>45109</v>
      </c>
      <c r="B1228" s="5" t="s">
        <v>35</v>
      </c>
      <c r="C1228" s="5">
        <f>WEEKDAY(Table1[[#This Row],[Date]])</f>
        <v>1</v>
      </c>
      <c r="D1228" s="5">
        <f>MONTH(Table1[[#This Row],[Date]])</f>
        <v>7</v>
      </c>
      <c r="E1228" s="5">
        <f>WEEKNUM(Table1[[#This Row],[Date]])</f>
        <v>27</v>
      </c>
      <c r="F1228" s="5">
        <f>YEAR(Table1[[#This Row],[Date]])</f>
        <v>2023</v>
      </c>
      <c r="H1228">
        <v>202.7848729514821</v>
      </c>
      <c r="I1228">
        <f>Table1[[#This Row],[Forecast]]*0.9</f>
        <v>182.50638565633389</v>
      </c>
      <c r="J1228">
        <f>Table1[[#This Row],[Forecast]]*0.8</f>
        <v>162.22789836118568</v>
      </c>
      <c r="K1228">
        <f>Table1[[#This Row],[Forecast]]*0.8</f>
        <v>162.22789836118568</v>
      </c>
      <c r="L1228" s="5">
        <v>197</v>
      </c>
      <c r="M1228" s="6">
        <v>0.97519999999999996</v>
      </c>
      <c r="N1228" s="5">
        <v>5</v>
      </c>
      <c r="O1228" s="7">
        <v>1.5046296296296297E-4</v>
      </c>
      <c r="P1228" s="7">
        <v>1.7708333333333332E-3</v>
      </c>
      <c r="Q1228" s="7">
        <v>1.3425925925925925E-3</v>
      </c>
      <c r="R1228" s="6">
        <v>0.87</v>
      </c>
      <c r="S1228" s="8">
        <f>CONVERT(Table1[[#This Row],[Talk Duration (AVG)]]*Table1[[#This Row],[Answered Calls]],"day","hr")</f>
        <v>8.3724999999999987</v>
      </c>
      <c r="T1228" s="9">
        <f>Table1[[#This Row],[Actual Workload hours]]*60</f>
        <v>502.34999999999991</v>
      </c>
      <c r="U1228" s="9"/>
      <c r="V1228" s="10"/>
      <c r="W1228" s="9"/>
      <c r="X1228" s="9"/>
      <c r="Y1228" s="5">
        <f t="shared" si="42"/>
        <v>2</v>
      </c>
      <c r="Z1228" s="8"/>
      <c r="AA1228" s="8">
        <f>CONVERT(Table1[[#This Row],[RevisedForecast 30% Recution2]]*Table1[[#This Row],[Talk Duration (AVG)]],"day","hr")</f>
        <v>6.8946856803503902</v>
      </c>
      <c r="AB1228" s="10">
        <f>(Table1[[#This Row],[Forecast Workload Hours]]*60)*1.2</f>
        <v>496.41736898522805</v>
      </c>
      <c r="AC1228" s="10">
        <f>IF(Table1[[#This Row],[Forecast WOrkload Minutes]]&lt;384,1,Table1[[#This Row],[Forecast WOrkload Minutes]]/384)</f>
        <v>1.2927535650656981</v>
      </c>
      <c r="AD1228" s="10">
        <f>ROUNDUP(Table1[[#This Row],[Forecast Headcount]],0)</f>
        <v>2</v>
      </c>
      <c r="AE1228" s="11">
        <v>93.781342440414832</v>
      </c>
      <c r="AF1228" s="11">
        <v>308.47277821409051</v>
      </c>
      <c r="AG1228" t="s">
        <v>7</v>
      </c>
    </row>
    <row r="1229" spans="1:33">
      <c r="A1229" s="2">
        <v>45110</v>
      </c>
      <c r="B1229" s="5" t="s">
        <v>36</v>
      </c>
      <c r="C1229" s="5">
        <f>WEEKDAY(Table1[[#This Row],[Date]])</f>
        <v>2</v>
      </c>
      <c r="D1229" s="5">
        <f>MONTH(Table1[[#This Row],[Date]])</f>
        <v>7</v>
      </c>
      <c r="E1229" s="5">
        <f>WEEKNUM(Table1[[#This Row],[Date]])</f>
        <v>27</v>
      </c>
      <c r="F1229" s="5">
        <f>YEAR(Table1[[#This Row],[Date]])</f>
        <v>2023</v>
      </c>
      <c r="H1229">
        <v>302.55884682414438</v>
      </c>
      <c r="I1229">
        <f>Table1[[#This Row],[Forecast]]*0.9</f>
        <v>272.30296214172995</v>
      </c>
      <c r="J1229">
        <f>Table1[[#This Row],[Forecast]]*0.8</f>
        <v>242.04707745931552</v>
      </c>
      <c r="K1229">
        <f>Table1[[#This Row],[Forecast]]*0.8</f>
        <v>242.04707745931552</v>
      </c>
      <c r="L1229" s="5">
        <v>182</v>
      </c>
      <c r="M1229" s="6">
        <v>0.98380000000000001</v>
      </c>
      <c r="N1229" s="5">
        <v>3</v>
      </c>
      <c r="O1229" s="7">
        <v>9.2592592592592588E-5</v>
      </c>
      <c r="P1229" s="7">
        <v>1.9560185185185184E-3</v>
      </c>
      <c r="Q1229" s="7">
        <v>1.7708333333333332E-3</v>
      </c>
      <c r="R1229" s="6">
        <v>0.90269999999999995</v>
      </c>
      <c r="S1229" s="8">
        <f>CONVERT(Table1[[#This Row],[Talk Duration (AVG)]]*Table1[[#This Row],[Answered Calls]],"day","hr")</f>
        <v>8.5438888888888886</v>
      </c>
      <c r="T1229" s="9">
        <f>Table1[[#This Row],[Actual Workload hours]]*60</f>
        <v>512.63333333333333</v>
      </c>
      <c r="U1229" s="9"/>
      <c r="V1229" s="10"/>
      <c r="W1229" s="9"/>
      <c r="X1229" s="9"/>
      <c r="Y1229" s="5">
        <f t="shared" si="42"/>
        <v>2</v>
      </c>
      <c r="Z1229" s="8"/>
      <c r="AA1229" s="8">
        <f>CONVERT(Table1[[#This Row],[RevisedForecast 30% Recution2]]*Table1[[#This Row],[Talk Duration (AVG)]],"day","hr")</f>
        <v>11.362765580728977</v>
      </c>
      <c r="AB1229" s="10">
        <f>(Table1[[#This Row],[Forecast Workload Hours]]*60)*1.2</f>
        <v>818.11912181248624</v>
      </c>
      <c r="AC1229" s="10">
        <f>IF(Table1[[#This Row],[Forecast WOrkload Minutes]]&lt;384,1,Table1[[#This Row],[Forecast WOrkload Minutes]]/384)</f>
        <v>2.1305185463866829</v>
      </c>
      <c r="AD1229" s="10">
        <f>ROUNDUP(Table1[[#This Row],[Forecast Headcount]],0)</f>
        <v>3</v>
      </c>
      <c r="AE1229" s="11">
        <v>191.9632597274551</v>
      </c>
      <c r="AF1229" s="11">
        <v>409.62273018538099</v>
      </c>
      <c r="AG1229" t="s">
        <v>7</v>
      </c>
    </row>
    <row r="1230" spans="1:33">
      <c r="A1230" s="2">
        <v>45111</v>
      </c>
      <c r="B1230" s="5" t="s">
        <v>37</v>
      </c>
      <c r="C1230" s="5">
        <f>WEEKDAY(Table1[[#This Row],[Date]])</f>
        <v>3</v>
      </c>
      <c r="D1230" s="5">
        <f>MONTH(Table1[[#This Row],[Date]])</f>
        <v>7</v>
      </c>
      <c r="E1230" s="5">
        <f>WEEKNUM(Table1[[#This Row],[Date]])</f>
        <v>27</v>
      </c>
      <c r="F1230" s="5">
        <f>YEAR(Table1[[#This Row],[Date]])</f>
        <v>2023</v>
      </c>
      <c r="H1230">
        <v>286.3462561064805</v>
      </c>
      <c r="I1230">
        <f>Table1[[#This Row],[Forecast]]*0.9</f>
        <v>257.71163049583248</v>
      </c>
      <c r="J1230">
        <f>Table1[[#This Row],[Forecast]]*0.8</f>
        <v>229.07700488518441</v>
      </c>
      <c r="K1230">
        <f>Table1[[#This Row],[Forecast]]*0.8</f>
        <v>229.07700488518441</v>
      </c>
      <c r="L1230" s="5">
        <v>38</v>
      </c>
      <c r="M1230" s="6">
        <v>1</v>
      </c>
      <c r="N1230" s="5">
        <v>0</v>
      </c>
      <c r="O1230" s="7">
        <v>4.6296296296296294E-5</v>
      </c>
      <c r="P1230" s="7">
        <v>2.3842592592592591E-3</v>
      </c>
      <c r="Q1230" s="7">
        <v>6.5972222222222224E-4</v>
      </c>
      <c r="R1230" s="6">
        <v>0.97370000000000001</v>
      </c>
      <c r="S1230" s="8">
        <f>CONVERT(Table1[[#This Row],[Talk Duration (AVG)]]*Table1[[#This Row],[Answered Calls]],"day","hr")</f>
        <v>2.1744444444444446</v>
      </c>
      <c r="T1230" s="9">
        <f>Table1[[#This Row],[Actual Workload hours]]*60</f>
        <v>130.46666666666667</v>
      </c>
      <c r="U1230" s="9"/>
      <c r="V1230" s="10"/>
      <c r="W1230" s="9"/>
      <c r="X1230" s="9"/>
      <c r="Y1230" s="5">
        <f t="shared" si="42"/>
        <v>2</v>
      </c>
      <c r="Z1230" s="8"/>
      <c r="AA1230" s="8">
        <f>CONVERT(Table1[[#This Row],[RevisedForecast 30% Recution2]]*Table1[[#This Row],[Talk Duration (AVG)]],"day","hr")</f>
        <v>13.108295279541107</v>
      </c>
      <c r="AB1230" s="10">
        <f>(Table1[[#This Row],[Forecast Workload Hours]]*60)*1.2</f>
        <v>943.79726012695971</v>
      </c>
      <c r="AC1230" s="10">
        <f>IF(Table1[[#This Row],[Forecast WOrkload Minutes]]&lt;384,1,Table1[[#This Row],[Forecast WOrkload Minutes]]/384)</f>
        <v>2.4578053649139577</v>
      </c>
      <c r="AD1230" s="10">
        <f>ROUNDUP(Table1[[#This Row],[Forecast Headcount]],0)</f>
        <v>3</v>
      </c>
      <c r="AE1230" s="11">
        <v>178.28326961233401</v>
      </c>
      <c r="AF1230" s="11">
        <v>394.11515782832538</v>
      </c>
      <c r="AG1230" t="s">
        <v>7</v>
      </c>
    </row>
    <row r="1231" spans="1:33">
      <c r="A1231" s="2">
        <v>45112</v>
      </c>
      <c r="B1231" s="5" t="s">
        <v>38</v>
      </c>
      <c r="C1231" s="5">
        <f>WEEKDAY(Table1[[#This Row],[Date]])</f>
        <v>4</v>
      </c>
      <c r="D1231" s="5">
        <f>MONTH(Table1[[#This Row],[Date]])</f>
        <v>7</v>
      </c>
      <c r="E1231" s="5">
        <f>WEEKNUM(Table1[[#This Row],[Date]])</f>
        <v>27</v>
      </c>
      <c r="F1231" s="5">
        <f>YEAR(Table1[[#This Row],[Date]])</f>
        <v>2023</v>
      </c>
      <c r="H1231">
        <v>298.3637780486053</v>
      </c>
      <c r="I1231">
        <f>Table1[[#This Row],[Forecast]]*0.9</f>
        <v>268.52740024374475</v>
      </c>
      <c r="J1231">
        <f>Table1[[#This Row],[Forecast]]*0.8</f>
        <v>238.69102243888426</v>
      </c>
      <c r="K1231">
        <f>Table1[[#This Row],[Forecast]]*0.8</f>
        <v>238.69102243888426</v>
      </c>
      <c r="L1231" s="5">
        <v>24</v>
      </c>
      <c r="M1231" s="6">
        <v>0.96</v>
      </c>
      <c r="N1231" s="5">
        <v>1</v>
      </c>
      <c r="O1231" s="7">
        <v>3.4722222222222222E-5</v>
      </c>
      <c r="P1231" s="7">
        <v>1.8981481481481482E-3</v>
      </c>
      <c r="Q1231" s="7">
        <v>5.3240740740740744E-4</v>
      </c>
      <c r="R1231" s="6">
        <v>0.96</v>
      </c>
      <c r="S1231" s="8">
        <f>CONVERT(Table1[[#This Row],[Talk Duration (AVG)]]*Table1[[#This Row],[Answered Calls]],"day","hr")</f>
        <v>1.0933333333333333</v>
      </c>
      <c r="T1231" s="9">
        <f>Table1[[#This Row],[Actual Workload hours]]*60</f>
        <v>65.599999999999994</v>
      </c>
      <c r="U1231" s="9"/>
      <c r="V1231" s="10"/>
      <c r="W1231" s="9"/>
      <c r="X1231" s="9"/>
      <c r="Y1231" s="5">
        <f t="shared" si="42"/>
        <v>1</v>
      </c>
      <c r="Z1231" s="8"/>
      <c r="AA1231" s="8">
        <f>CONVERT(Table1[[#This Row],[RevisedForecast 30% Recution2]]*Table1[[#This Row],[Talk Duration (AVG)]],"day","hr")</f>
        <v>10.873702133326949</v>
      </c>
      <c r="AB1231" s="10">
        <f>(Table1[[#This Row],[Forecast Workload Hours]]*60)*1.2</f>
        <v>782.9065535995403</v>
      </c>
      <c r="AC1231" s="10">
        <f>IF(Table1[[#This Row],[Forecast WOrkload Minutes]]&lt;384,1,Table1[[#This Row],[Forecast WOrkload Minutes]]/384)</f>
        <v>2.0388191499988029</v>
      </c>
      <c r="AD1231" s="10">
        <f>ROUNDUP(Table1[[#This Row],[Forecast Headcount]],0)</f>
        <v>3</v>
      </c>
      <c r="AE1231" s="11">
        <v>180.037889052466</v>
      </c>
      <c r="AF1231" s="11">
        <v>412.583865037377</v>
      </c>
      <c r="AG1231" t="s">
        <v>7</v>
      </c>
    </row>
    <row r="1232" spans="1:33">
      <c r="A1232" s="2">
        <v>45113</v>
      </c>
      <c r="B1232" s="5" t="s">
        <v>39</v>
      </c>
      <c r="C1232" s="5">
        <f>WEEKDAY(Table1[[#This Row],[Date]])</f>
        <v>5</v>
      </c>
      <c r="D1232" s="5">
        <f>MONTH(Table1[[#This Row],[Date]])</f>
        <v>7</v>
      </c>
      <c r="E1232" s="5">
        <f>WEEKNUM(Table1[[#This Row],[Date]])</f>
        <v>27</v>
      </c>
      <c r="F1232" s="5">
        <f>YEAR(Table1[[#This Row],[Date]])</f>
        <v>2023</v>
      </c>
      <c r="H1232">
        <v>293.34209953225718</v>
      </c>
      <c r="I1232">
        <f>Table1[[#This Row],[Forecast]]*0.9</f>
        <v>264.00788957903148</v>
      </c>
      <c r="J1232">
        <f>Table1[[#This Row],[Forecast]]*0.8</f>
        <v>234.67367962580576</v>
      </c>
      <c r="K1232">
        <f>Table1[[#This Row],[Forecast]]*0.8</f>
        <v>234.67367962580576</v>
      </c>
      <c r="L1232" s="5">
        <v>195</v>
      </c>
      <c r="M1232" s="6">
        <v>0.96060000000000001</v>
      </c>
      <c r="N1232" s="5">
        <v>8</v>
      </c>
      <c r="O1232" s="7">
        <v>9.2592592592592588E-5</v>
      </c>
      <c r="P1232" s="7">
        <v>1.8287037037037037E-3</v>
      </c>
      <c r="Q1232" s="7">
        <v>5.9490740740740745E-3</v>
      </c>
      <c r="R1232" s="6">
        <v>0.88560000000000005</v>
      </c>
      <c r="S1232" s="8">
        <f>CONVERT(Table1[[#This Row],[Talk Duration (AVG)]]*Table1[[#This Row],[Answered Calls]],"day","hr")</f>
        <v>8.5583333333333336</v>
      </c>
      <c r="T1232" s="9">
        <f>Table1[[#This Row],[Actual Workload hours]]*60</f>
        <v>513.5</v>
      </c>
      <c r="U1232" s="9"/>
      <c r="V1232" s="10"/>
      <c r="W1232" s="9"/>
      <c r="X1232" s="9"/>
      <c r="Y1232" s="5">
        <f t="shared" si="42"/>
        <v>2</v>
      </c>
      <c r="Z1232" s="8"/>
      <c r="AA1232" s="8">
        <f>CONVERT(Table1[[#This Row],[RevisedForecast 30% Recution2]]*Table1[[#This Row],[Talk Duration (AVG)]],"day","hr")</f>
        <v>10.299567050243697</v>
      </c>
      <c r="AB1232" s="10">
        <f>(Table1[[#This Row],[Forecast Workload Hours]]*60)*1.2</f>
        <v>741.56882761754616</v>
      </c>
      <c r="AC1232" s="10">
        <f>IF(Table1[[#This Row],[Forecast WOrkload Minutes]]&lt;384,1,Table1[[#This Row],[Forecast WOrkload Minutes]]/384)</f>
        <v>1.9311688219206931</v>
      </c>
      <c r="AD1232" s="10">
        <f>ROUNDUP(Table1[[#This Row],[Forecast Headcount]],0)</f>
        <v>2</v>
      </c>
      <c r="AE1232" s="11">
        <v>188.9067447922792</v>
      </c>
      <c r="AF1232" s="11">
        <v>401.70806150130659</v>
      </c>
      <c r="AG1232" t="s">
        <v>7</v>
      </c>
    </row>
    <row r="1233" spans="1:33">
      <c r="A1233" s="2">
        <v>45114</v>
      </c>
      <c r="B1233" s="5" t="s">
        <v>40</v>
      </c>
      <c r="C1233" s="5">
        <f>WEEKDAY(Table1[[#This Row],[Date]])</f>
        <v>6</v>
      </c>
      <c r="D1233" s="5">
        <f>MONTH(Table1[[#This Row],[Date]])</f>
        <v>7</v>
      </c>
      <c r="E1233" s="5">
        <f>WEEKNUM(Table1[[#This Row],[Date]])</f>
        <v>27</v>
      </c>
      <c r="F1233" s="5">
        <f>YEAR(Table1[[#This Row],[Date]])</f>
        <v>2023</v>
      </c>
      <c r="H1233">
        <v>284.17587224899421</v>
      </c>
      <c r="I1233">
        <f>Table1[[#This Row],[Forecast]]*0.9</f>
        <v>255.75828502409479</v>
      </c>
      <c r="J1233">
        <f>Table1[[#This Row],[Forecast]]*0.8</f>
        <v>227.34069779919537</v>
      </c>
      <c r="K1233">
        <f>Table1[[#This Row],[Forecast]]*0.8</f>
        <v>227.34069779919537</v>
      </c>
      <c r="L1233" s="5">
        <v>292</v>
      </c>
      <c r="M1233" s="6">
        <v>0.98650000000000004</v>
      </c>
      <c r="N1233" s="5">
        <v>4</v>
      </c>
      <c r="O1233" s="7">
        <v>4.6296296296296294E-5</v>
      </c>
      <c r="P1233" s="7">
        <v>1.8518518518518519E-3</v>
      </c>
      <c r="Q1233" s="7">
        <v>6.7129629629629625E-4</v>
      </c>
      <c r="R1233" s="6">
        <v>0.98629999999999995</v>
      </c>
      <c r="S1233" s="8">
        <f>CONVERT(Table1[[#This Row],[Talk Duration (AVG)]]*Table1[[#This Row],[Answered Calls]],"day","hr")</f>
        <v>12.977777777777778</v>
      </c>
      <c r="T1233" s="9">
        <f>Table1[[#This Row],[Actual Workload hours]]*60</f>
        <v>778.66666666666663</v>
      </c>
      <c r="U1233" s="9"/>
      <c r="V1233" s="10"/>
      <c r="W1233" s="9"/>
      <c r="X1233" s="9"/>
      <c r="Y1233" s="5">
        <f t="shared" si="42"/>
        <v>2</v>
      </c>
      <c r="Z1233" s="8"/>
      <c r="AA1233" s="8">
        <f>CONVERT(Table1[[#This Row],[RevisedForecast 30% Recution2]]*Table1[[#This Row],[Talk Duration (AVG)]],"day","hr")</f>
        <v>10.104031013297572</v>
      </c>
      <c r="AB1233" s="10">
        <f>(Table1[[#This Row],[Forecast Workload Hours]]*60)*1.2</f>
        <v>727.49023295742518</v>
      </c>
      <c r="AC1233" s="10">
        <f>IF(Table1[[#This Row],[Forecast WOrkload Minutes]]&lt;384,1,Table1[[#This Row],[Forecast WOrkload Minutes]]/384)</f>
        <v>1.8945058149932947</v>
      </c>
      <c r="AD1233" s="10">
        <f>ROUNDUP(Table1[[#This Row],[Forecast Headcount]],0)</f>
        <v>2</v>
      </c>
      <c r="AE1233" s="11">
        <v>173.73219592437829</v>
      </c>
      <c r="AF1233" s="11">
        <v>390.54472123919129</v>
      </c>
      <c r="AG1233" t="s">
        <v>7</v>
      </c>
    </row>
    <row r="1234" spans="1:33">
      <c r="A1234" s="2">
        <v>45115</v>
      </c>
      <c r="B1234" s="5" t="s">
        <v>33</v>
      </c>
      <c r="C1234" s="5">
        <f>WEEKDAY(Table1[[#This Row],[Date]])</f>
        <v>7</v>
      </c>
      <c r="D1234" s="5">
        <f>MONTH(Table1[[#This Row],[Date]])</f>
        <v>7</v>
      </c>
      <c r="E1234" s="5">
        <f>WEEKNUM(Table1[[#This Row],[Date]])</f>
        <v>27</v>
      </c>
      <c r="F1234" s="5">
        <f>YEAR(Table1[[#This Row],[Date]])</f>
        <v>2023</v>
      </c>
      <c r="H1234">
        <v>290.9830346848351</v>
      </c>
      <c r="I1234">
        <f>Table1[[#This Row],[Forecast]]*0.9</f>
        <v>261.88473121635161</v>
      </c>
      <c r="J1234">
        <f>Table1[[#This Row],[Forecast]]*0.8</f>
        <v>232.78642774786809</v>
      </c>
      <c r="K1234">
        <f>Table1[[#This Row],[Forecast]]*0.8</f>
        <v>232.78642774786809</v>
      </c>
      <c r="L1234" s="5">
        <v>223</v>
      </c>
      <c r="M1234" s="6">
        <v>0.95709999999999995</v>
      </c>
      <c r="N1234" s="5">
        <v>10</v>
      </c>
      <c r="O1234" s="7">
        <v>1.0416666666666667E-4</v>
      </c>
      <c r="P1234" s="7">
        <v>1.9328703703703704E-3</v>
      </c>
      <c r="Q1234" s="7">
        <v>1.2268518518518518E-3</v>
      </c>
      <c r="R1234" s="6">
        <v>0.87829999999999997</v>
      </c>
      <c r="S1234" s="8">
        <f>CONVERT(Table1[[#This Row],[Talk Duration (AVG)]]*Table1[[#This Row],[Answered Calls]],"day","hr")</f>
        <v>10.344722222222222</v>
      </c>
      <c r="T1234" s="9">
        <f>Table1[[#This Row],[Actual Workload hours]]*60</f>
        <v>620.68333333333328</v>
      </c>
      <c r="U1234" s="9"/>
      <c r="V1234" s="10"/>
      <c r="W1234" s="9"/>
      <c r="X1234" s="9"/>
      <c r="Y1234" s="5">
        <f t="shared" si="42"/>
        <v>2</v>
      </c>
      <c r="Z1234" s="8"/>
      <c r="AA1234" s="8">
        <f>CONVERT(Table1[[#This Row],[RevisedForecast 30% Recution2]]*Table1[[#This Row],[Talk Duration (AVG)]],"day","hr")</f>
        <v>10.798703731637213</v>
      </c>
      <c r="AB1234" s="10">
        <f>(Table1[[#This Row],[Forecast Workload Hours]]*60)*1.2</f>
        <v>777.50666867787936</v>
      </c>
      <c r="AC1234" s="10">
        <f>IF(Table1[[#This Row],[Forecast WOrkload Minutes]]&lt;384,1,Table1[[#This Row],[Forecast WOrkload Minutes]]/384)</f>
        <v>2.0247569496819775</v>
      </c>
      <c r="AD1234" s="10">
        <f>ROUNDUP(Table1[[#This Row],[Forecast Headcount]],0)</f>
        <v>3</v>
      </c>
      <c r="AE1234" s="11">
        <v>170.02538453911731</v>
      </c>
      <c r="AF1234" s="11">
        <v>394.48084683603088</v>
      </c>
      <c r="AG1234" t="s">
        <v>7</v>
      </c>
    </row>
    <row r="1235" spans="1:33">
      <c r="A1235" s="2">
        <v>45116</v>
      </c>
      <c r="B1235" s="5" t="s">
        <v>35</v>
      </c>
      <c r="C1235" s="5">
        <f>WEEKDAY(Table1[[#This Row],[Date]])</f>
        <v>1</v>
      </c>
      <c r="D1235" s="5">
        <f>MONTH(Table1[[#This Row],[Date]])</f>
        <v>7</v>
      </c>
      <c r="E1235" s="5">
        <f>WEEKNUM(Table1[[#This Row],[Date]])</f>
        <v>28</v>
      </c>
      <c r="F1235" s="5">
        <f>YEAR(Table1[[#This Row],[Date]])</f>
        <v>2023</v>
      </c>
      <c r="H1235">
        <v>201.9226835469737</v>
      </c>
      <c r="I1235">
        <f>Table1[[#This Row],[Forecast]]*0.9</f>
        <v>181.73041519227633</v>
      </c>
      <c r="J1235">
        <f>Table1[[#This Row],[Forecast]]*0.8</f>
        <v>161.53814683757898</v>
      </c>
      <c r="K1235">
        <f>Table1[[#This Row],[Forecast]]*0.8</f>
        <v>161.53814683757898</v>
      </c>
      <c r="L1235" s="5">
        <v>194</v>
      </c>
      <c r="M1235" s="6">
        <v>0.9798</v>
      </c>
      <c r="N1235" s="5">
        <v>4</v>
      </c>
      <c r="O1235" s="7">
        <v>9.2592592592592588E-5</v>
      </c>
      <c r="P1235" s="7">
        <v>1.8749999999999999E-3</v>
      </c>
      <c r="Q1235" s="7">
        <v>1.1921296296296296E-3</v>
      </c>
      <c r="R1235" s="6">
        <v>0.91790000000000005</v>
      </c>
      <c r="S1235" s="8">
        <f>CONVERT(Table1[[#This Row],[Talk Duration (AVG)]]*Table1[[#This Row],[Answered Calls]],"day","hr")</f>
        <v>8.7299999999999986</v>
      </c>
      <c r="T1235" s="9">
        <f>Table1[[#This Row],[Actual Workload hours]]*60</f>
        <v>523.79999999999995</v>
      </c>
      <c r="U1235" s="9"/>
      <c r="V1235" s="10"/>
      <c r="W1235" s="9"/>
      <c r="X1235" s="9"/>
      <c r="Y1235" s="5">
        <f t="shared" si="42"/>
        <v>2</v>
      </c>
      <c r="Z1235" s="8"/>
      <c r="AA1235" s="8">
        <f>CONVERT(Table1[[#This Row],[RevisedForecast 30% Recution2]]*Table1[[#This Row],[Talk Duration (AVG)]],"day","hr")</f>
        <v>7.2692166076910532</v>
      </c>
      <c r="AB1235" s="10">
        <f>(Table1[[#This Row],[Forecast Workload Hours]]*60)*1.2</f>
        <v>523.3835957537558</v>
      </c>
      <c r="AC1235" s="10">
        <f>IF(Table1[[#This Row],[Forecast WOrkload Minutes]]&lt;384,1,Table1[[#This Row],[Forecast WOrkload Minutes]]/384)</f>
        <v>1.3629781139420725</v>
      </c>
      <c r="AD1235" s="10">
        <f>ROUNDUP(Table1[[#This Row],[Forecast Headcount]],0)</f>
        <v>2</v>
      </c>
      <c r="AE1235" s="11">
        <v>96.70038090044973</v>
      </c>
      <c r="AF1235" s="11">
        <v>309.88131109135031</v>
      </c>
      <c r="AG1235" t="s">
        <v>7</v>
      </c>
    </row>
    <row r="1236" spans="1:33">
      <c r="A1236" s="2">
        <v>45117</v>
      </c>
      <c r="B1236" s="5" t="s">
        <v>36</v>
      </c>
      <c r="C1236" s="5">
        <f>WEEKDAY(Table1[[#This Row],[Date]])</f>
        <v>2</v>
      </c>
      <c r="D1236" s="5">
        <f>MONTH(Table1[[#This Row],[Date]])</f>
        <v>7</v>
      </c>
      <c r="E1236" s="5">
        <f>WEEKNUM(Table1[[#This Row],[Date]])</f>
        <v>28</v>
      </c>
      <c r="F1236" s="5">
        <f>YEAR(Table1[[#This Row],[Date]])</f>
        <v>2023</v>
      </c>
      <c r="H1236">
        <v>301.35379695323252</v>
      </c>
      <c r="I1236">
        <f>Table1[[#This Row],[Forecast]]*0.9</f>
        <v>271.21841725790927</v>
      </c>
      <c r="J1236">
        <f>Table1[[#This Row],[Forecast]]*0.8</f>
        <v>241.08303756258601</v>
      </c>
      <c r="K1236">
        <f>Table1[[#This Row],[Forecast]]*0.8</f>
        <v>241.08303756258601</v>
      </c>
      <c r="L1236" s="5">
        <v>179</v>
      </c>
      <c r="M1236" s="6">
        <v>0.98899999999999999</v>
      </c>
      <c r="N1236" s="5">
        <v>2</v>
      </c>
      <c r="O1236" s="7">
        <v>4.6296296296296294E-5</v>
      </c>
      <c r="P1236" s="7">
        <v>1.8402777777777777E-3</v>
      </c>
      <c r="Q1236" s="7">
        <v>5.5555555555555556E-4</v>
      </c>
      <c r="R1236" s="6">
        <v>0.99439999999999995</v>
      </c>
      <c r="S1236" s="8">
        <f>CONVERT(Table1[[#This Row],[Talk Duration (AVG)]]*Table1[[#This Row],[Answered Calls]],"day","hr")</f>
        <v>7.9058333333333319</v>
      </c>
      <c r="T1236" s="9">
        <f>Table1[[#This Row],[Actual Workload hours]]*60</f>
        <v>474.34999999999991</v>
      </c>
      <c r="U1236" s="9"/>
      <c r="V1236" s="10"/>
      <c r="W1236" s="9"/>
      <c r="X1236" s="9"/>
      <c r="Y1236" s="5">
        <f t="shared" si="42"/>
        <v>2</v>
      </c>
      <c r="Z1236" s="8"/>
      <c r="AA1236" s="8">
        <f>CONVERT(Table1[[#This Row],[RevisedForecast 30% Recution2]]*Table1[[#This Row],[Talk Duration (AVG)]],"day","hr")</f>
        <v>10.647834159014215</v>
      </c>
      <c r="AB1236" s="10">
        <f>(Table1[[#This Row],[Forecast Workload Hours]]*60)*1.2</f>
        <v>766.64405944902342</v>
      </c>
      <c r="AC1236" s="10">
        <f>IF(Table1[[#This Row],[Forecast WOrkload Minutes]]&lt;384,1,Table1[[#This Row],[Forecast WOrkload Minutes]]/384)</f>
        <v>1.9964689048151651</v>
      </c>
      <c r="AD1236" s="10">
        <f>ROUNDUP(Table1[[#This Row],[Forecast Headcount]],0)</f>
        <v>2</v>
      </c>
      <c r="AE1236" s="11">
        <v>192.8946000192804</v>
      </c>
      <c r="AF1236" s="11">
        <v>409.24134344767691</v>
      </c>
      <c r="AG1236" t="s">
        <v>7</v>
      </c>
    </row>
    <row r="1237" spans="1:33">
      <c r="A1237" s="2">
        <v>45118</v>
      </c>
      <c r="B1237" s="5" t="s">
        <v>37</v>
      </c>
      <c r="C1237" s="5">
        <f>WEEKDAY(Table1[[#This Row],[Date]])</f>
        <v>3</v>
      </c>
      <c r="D1237" s="5">
        <f>MONTH(Table1[[#This Row],[Date]])</f>
        <v>7</v>
      </c>
      <c r="E1237" s="5">
        <f>WEEKNUM(Table1[[#This Row],[Date]])</f>
        <v>28</v>
      </c>
      <c r="F1237" s="5">
        <f>YEAR(Table1[[#This Row],[Date]])</f>
        <v>2023</v>
      </c>
      <c r="H1237">
        <v>284.84041310041232</v>
      </c>
      <c r="I1237">
        <f>Table1[[#This Row],[Forecast]]*0.9</f>
        <v>256.3563717903711</v>
      </c>
      <c r="J1237">
        <f>Table1[[#This Row],[Forecast]]*0.8</f>
        <v>227.87233048032988</v>
      </c>
      <c r="K1237">
        <f>Table1[[#This Row],[Forecast]]*0.8</f>
        <v>227.87233048032988</v>
      </c>
      <c r="L1237" s="5">
        <v>162</v>
      </c>
      <c r="M1237" s="6">
        <v>0.97589999999999999</v>
      </c>
      <c r="N1237" s="5">
        <v>4</v>
      </c>
      <c r="O1237" s="7">
        <v>6.9444444444444444E-5</v>
      </c>
      <c r="P1237" s="7">
        <v>1.8402777777777777E-3</v>
      </c>
      <c r="Q1237" s="7">
        <v>7.0601851851851847E-4</v>
      </c>
      <c r="R1237" s="6">
        <v>0.93869999999999998</v>
      </c>
      <c r="S1237" s="8">
        <f>CONVERT(Table1[[#This Row],[Talk Duration (AVG)]]*Table1[[#This Row],[Answered Calls]],"day","hr")</f>
        <v>7.1549999999999994</v>
      </c>
      <c r="T1237" s="9">
        <f>Table1[[#This Row],[Actual Workload hours]]*60</f>
        <v>429.29999999999995</v>
      </c>
      <c r="U1237" s="9"/>
      <c r="V1237" s="10"/>
      <c r="W1237" s="9"/>
      <c r="X1237" s="9"/>
      <c r="Y1237" s="5">
        <f t="shared" si="42"/>
        <v>2</v>
      </c>
      <c r="Z1237" s="8"/>
      <c r="AA1237" s="8">
        <f>CONVERT(Table1[[#This Row],[RevisedForecast 30% Recution2]]*Table1[[#This Row],[Talk Duration (AVG)]],"day","hr")</f>
        <v>10.064361262881237</v>
      </c>
      <c r="AB1237" s="10">
        <f>(Table1[[#This Row],[Forecast Workload Hours]]*60)*1.2</f>
        <v>724.63401092744891</v>
      </c>
      <c r="AC1237" s="10">
        <f>IF(Table1[[#This Row],[Forecast WOrkload Minutes]]&lt;384,1,Table1[[#This Row],[Forecast WOrkload Minutes]]/384)</f>
        <v>1.8870677367902315</v>
      </c>
      <c r="AD1237" s="10">
        <f>ROUNDUP(Table1[[#This Row],[Forecast Headcount]],0)</f>
        <v>2</v>
      </c>
      <c r="AE1237" s="11">
        <v>183.7191583440385</v>
      </c>
      <c r="AF1237" s="11">
        <v>395.22013074973302</v>
      </c>
      <c r="AG1237" t="s">
        <v>7</v>
      </c>
    </row>
    <row r="1238" spans="1:33">
      <c r="A1238" s="2">
        <v>45119</v>
      </c>
      <c r="B1238" s="5" t="s">
        <v>38</v>
      </c>
      <c r="C1238" s="5">
        <f>WEEKDAY(Table1[[#This Row],[Date]])</f>
        <v>4</v>
      </c>
      <c r="D1238" s="5">
        <f>MONTH(Table1[[#This Row],[Date]])</f>
        <v>7</v>
      </c>
      <c r="E1238" s="5">
        <f>WEEKNUM(Table1[[#This Row],[Date]])</f>
        <v>28</v>
      </c>
      <c r="F1238" s="5">
        <f>YEAR(Table1[[#This Row],[Date]])</f>
        <v>2023</v>
      </c>
      <c r="H1238">
        <v>296.59127117473878</v>
      </c>
      <c r="I1238">
        <f>Table1[[#This Row],[Forecast]]*0.9</f>
        <v>266.93214405726491</v>
      </c>
      <c r="J1238">
        <f>Table1[[#This Row],[Forecast]]*0.8</f>
        <v>237.27301693979103</v>
      </c>
      <c r="K1238">
        <f>Table1[[#This Row],[Forecast]]*0.8</f>
        <v>237.27301693979103</v>
      </c>
      <c r="L1238" s="5">
        <v>19</v>
      </c>
      <c r="M1238" s="6">
        <v>1</v>
      </c>
      <c r="N1238" s="5">
        <v>0</v>
      </c>
      <c r="O1238" s="7">
        <v>3.4722222222222222E-5</v>
      </c>
      <c r="P1238" s="7">
        <v>1.7013888888888888E-3</v>
      </c>
      <c r="Q1238" s="7">
        <v>3.4722222222222222E-5</v>
      </c>
      <c r="R1238" s="6">
        <v>1</v>
      </c>
      <c r="S1238" s="8">
        <f>CONVERT(Table1[[#This Row],[Talk Duration (AVG)]]*Table1[[#This Row],[Answered Calls]],"day","hr")</f>
        <v>0.77583333333333315</v>
      </c>
      <c r="T1238" s="9">
        <f>Table1[[#This Row],[Actual Workload hours]]*60</f>
        <v>46.54999999999999</v>
      </c>
      <c r="U1238" s="9"/>
      <c r="V1238" s="10"/>
      <c r="W1238" s="9"/>
      <c r="X1238" s="9"/>
      <c r="Y1238" s="5">
        <f t="shared" si="42"/>
        <v>1</v>
      </c>
      <c r="Z1238" s="8"/>
      <c r="AA1238" s="8">
        <f>CONVERT(Table1[[#This Row],[RevisedForecast 30% Recution2]]*Table1[[#This Row],[Talk Duration (AVG)]],"day","hr")</f>
        <v>9.6886481917081344</v>
      </c>
      <c r="AB1238" s="10">
        <f>(Table1[[#This Row],[Forecast Workload Hours]]*60)*1.2</f>
        <v>697.58266980298572</v>
      </c>
      <c r="AC1238" s="10">
        <f>IF(Table1[[#This Row],[Forecast WOrkload Minutes]]&lt;384,1,Table1[[#This Row],[Forecast WOrkload Minutes]]/384)</f>
        <v>1.8166215359452753</v>
      </c>
      <c r="AD1238" s="10">
        <f>ROUNDUP(Table1[[#This Row],[Forecast Headcount]],0)</f>
        <v>2</v>
      </c>
      <c r="AE1238" s="11">
        <v>181.25907174032929</v>
      </c>
      <c r="AF1238" s="11">
        <v>400.6906627607375</v>
      </c>
      <c r="AG1238" t="s">
        <v>7</v>
      </c>
    </row>
    <row r="1239" spans="1:33">
      <c r="A1239" s="2">
        <v>45120</v>
      </c>
      <c r="B1239" s="5" t="s">
        <v>39</v>
      </c>
      <c r="C1239" s="5">
        <f>WEEKDAY(Table1[[#This Row],[Date]])</f>
        <v>5</v>
      </c>
      <c r="D1239" s="5">
        <f>MONTH(Table1[[#This Row],[Date]])</f>
        <v>7</v>
      </c>
      <c r="E1239" s="5">
        <f>WEEKNUM(Table1[[#This Row],[Date]])</f>
        <v>28</v>
      </c>
      <c r="F1239" s="5">
        <f>YEAR(Table1[[#This Row],[Date]])</f>
        <v>2023</v>
      </c>
      <c r="H1239">
        <v>291.32802462733378</v>
      </c>
      <c r="I1239">
        <f>Table1[[#This Row],[Forecast]]*0.9</f>
        <v>262.19522216460041</v>
      </c>
      <c r="J1239">
        <f>Table1[[#This Row],[Forecast]]*0.8</f>
        <v>233.06241970186704</v>
      </c>
      <c r="K1239">
        <f>Table1[[#This Row],[Forecast]]*0.8</f>
        <v>233.06241970186704</v>
      </c>
      <c r="L1239" s="5">
        <v>181</v>
      </c>
      <c r="M1239" s="6">
        <v>0.92349999999999999</v>
      </c>
      <c r="N1239" s="5">
        <v>15</v>
      </c>
      <c r="O1239" s="7">
        <v>1.6203703703703703E-4</v>
      </c>
      <c r="P1239" s="7">
        <v>1.8171296296296297E-3</v>
      </c>
      <c r="Q1239" s="7">
        <v>1.8055555555555555E-3</v>
      </c>
      <c r="R1239" s="6">
        <v>0.78129999999999999</v>
      </c>
      <c r="S1239" s="8">
        <f>CONVERT(Table1[[#This Row],[Talk Duration (AVG)]]*Table1[[#This Row],[Answered Calls]],"day","hr")</f>
        <v>7.8936111111111122</v>
      </c>
      <c r="T1239" s="9">
        <f>Table1[[#This Row],[Actual Workload hours]]*60</f>
        <v>473.61666666666673</v>
      </c>
      <c r="U1239" s="9"/>
      <c r="V1239" s="10"/>
      <c r="W1239" s="9"/>
      <c r="X1239" s="9"/>
      <c r="Y1239" s="5">
        <f t="shared" si="42"/>
        <v>2</v>
      </c>
      <c r="Z1239" s="8"/>
      <c r="AA1239" s="8">
        <f>CONVERT(Table1[[#This Row],[RevisedForecast 30% Recution2]]*Table1[[#This Row],[Talk Duration (AVG)]],"day","hr")</f>
        <v>10.164111081442536</v>
      </c>
      <c r="AB1239" s="10">
        <f>(Table1[[#This Row],[Forecast Workload Hours]]*60)*1.2</f>
        <v>731.81599786386255</v>
      </c>
      <c r="AC1239" s="10">
        <f>IF(Table1[[#This Row],[Forecast WOrkload Minutes]]&lt;384,1,Table1[[#This Row],[Forecast WOrkload Minutes]]/384)</f>
        <v>1.9057708277704755</v>
      </c>
      <c r="AD1239" s="10">
        <f>ROUNDUP(Table1[[#This Row],[Forecast Headcount]],0)</f>
        <v>2</v>
      </c>
      <c r="AE1239" s="11">
        <v>177.16765512818469</v>
      </c>
      <c r="AF1239" s="11">
        <v>400.77339839999189</v>
      </c>
      <c r="AG1239" t="s">
        <v>7</v>
      </c>
    </row>
    <row r="1240" spans="1:33">
      <c r="A1240" s="2">
        <v>45121</v>
      </c>
      <c r="B1240" s="5" t="s">
        <v>40</v>
      </c>
      <c r="C1240" s="5">
        <f>WEEKDAY(Table1[[#This Row],[Date]])</f>
        <v>6</v>
      </c>
      <c r="D1240" s="5">
        <f>MONTH(Table1[[#This Row],[Date]])</f>
        <v>7</v>
      </c>
      <c r="E1240" s="5">
        <f>WEEKNUM(Table1[[#This Row],[Date]])</f>
        <v>28</v>
      </c>
      <c r="F1240" s="5">
        <f>YEAR(Table1[[#This Row],[Date]])</f>
        <v>2023</v>
      </c>
      <c r="H1240">
        <v>281.93557235270168</v>
      </c>
      <c r="I1240">
        <f>Table1[[#This Row],[Forecast]]*0.9</f>
        <v>253.74201511743152</v>
      </c>
      <c r="J1240">
        <f>Table1[[#This Row],[Forecast]]*0.8</f>
        <v>225.54845788216136</v>
      </c>
      <c r="K1240">
        <f>Table1[[#This Row],[Forecast]]*0.8</f>
        <v>225.54845788216136</v>
      </c>
      <c r="L1240" s="5">
        <v>172</v>
      </c>
      <c r="M1240" s="6">
        <v>0.97729999999999995</v>
      </c>
      <c r="N1240" s="5">
        <v>4</v>
      </c>
      <c r="O1240" s="7">
        <v>1.8518518518518518E-4</v>
      </c>
      <c r="P1240" s="7">
        <v>1.736111111111111E-3</v>
      </c>
      <c r="Q1240" s="7">
        <v>2.0370370370370369E-3</v>
      </c>
      <c r="R1240" s="6">
        <v>0.79430000000000001</v>
      </c>
      <c r="S1240" s="8">
        <f>CONVERT(Table1[[#This Row],[Talk Duration (AVG)]]*Table1[[#This Row],[Answered Calls]],"day","hr")</f>
        <v>7.166666666666667</v>
      </c>
      <c r="T1240" s="9">
        <f>Table1[[#This Row],[Actual Workload hours]]*60</f>
        <v>430</v>
      </c>
      <c r="U1240" s="9"/>
      <c r="V1240" s="10"/>
      <c r="W1240" s="9"/>
      <c r="X1240" s="9"/>
      <c r="Y1240" s="5">
        <f t="shared" si="42"/>
        <v>2</v>
      </c>
      <c r="Z1240" s="8"/>
      <c r="AA1240" s="8">
        <f>CONVERT(Table1[[#This Row],[RevisedForecast 30% Recution2]]*Table1[[#This Row],[Talk Duration (AVG)]],"day","hr")</f>
        <v>9.3978524117567233</v>
      </c>
      <c r="AB1240" s="10">
        <f>(Table1[[#This Row],[Forecast Workload Hours]]*60)*1.2</f>
        <v>676.64537364648402</v>
      </c>
      <c r="AC1240" s="10">
        <f>IF(Table1[[#This Row],[Forecast WOrkload Minutes]]&lt;384,1,Table1[[#This Row],[Forecast WOrkload Minutes]]/384)</f>
        <v>1.7620973272043854</v>
      </c>
      <c r="AD1240" s="10">
        <f>ROUNDUP(Table1[[#This Row],[Forecast Headcount]],0)</f>
        <v>2</v>
      </c>
      <c r="AE1240" s="11">
        <v>175.537625973308</v>
      </c>
      <c r="AF1240" s="11">
        <v>386.52417227060272</v>
      </c>
      <c r="AG1240" t="s">
        <v>7</v>
      </c>
    </row>
    <row r="1241" spans="1:33">
      <c r="A1241" s="2">
        <v>45122</v>
      </c>
      <c r="B1241" s="5" t="s">
        <v>33</v>
      </c>
      <c r="C1241" s="5">
        <f>WEEKDAY(Table1[[#This Row],[Date]])</f>
        <v>7</v>
      </c>
      <c r="D1241" s="5">
        <f>MONTH(Table1[[#This Row],[Date]])</f>
        <v>7</v>
      </c>
      <c r="E1241" s="5">
        <f>WEEKNUM(Table1[[#This Row],[Date]])</f>
        <v>28</v>
      </c>
      <c r="F1241" s="5">
        <f>YEAR(Table1[[#This Row],[Date]])</f>
        <v>2023</v>
      </c>
      <c r="H1241">
        <v>288.52177647814477</v>
      </c>
      <c r="I1241">
        <f>Table1[[#This Row],[Forecast]]*0.9</f>
        <v>259.6695988303303</v>
      </c>
      <c r="J1241">
        <f>Table1[[#This Row],[Forecast]]*0.8</f>
        <v>230.81742118251583</v>
      </c>
      <c r="K1241">
        <f>Table1[[#This Row],[Forecast]]*0.8</f>
        <v>230.81742118251583</v>
      </c>
      <c r="L1241" s="5">
        <v>209</v>
      </c>
      <c r="M1241" s="6">
        <v>0.94569999999999999</v>
      </c>
      <c r="N1241" s="5">
        <v>12</v>
      </c>
      <c r="O1241" s="7">
        <v>1.3888888888888889E-4</v>
      </c>
      <c r="P1241" s="7">
        <v>1.8749999999999999E-3</v>
      </c>
      <c r="Q1241" s="7">
        <v>1.9675925925925924E-3</v>
      </c>
      <c r="R1241" s="6">
        <v>0.8387</v>
      </c>
      <c r="S1241" s="8">
        <f>CONVERT(Table1[[#This Row],[Talk Duration (AVG)]]*Table1[[#This Row],[Answered Calls]],"day","hr")</f>
        <v>9.4049999999999994</v>
      </c>
      <c r="T1241" s="9">
        <f>Table1[[#This Row],[Actual Workload hours]]*60</f>
        <v>564.29999999999995</v>
      </c>
      <c r="U1241" s="9"/>
      <c r="V1241" s="10"/>
      <c r="W1241" s="9"/>
      <c r="X1241" s="9"/>
      <c r="Y1241" s="5">
        <f t="shared" si="42"/>
        <v>2</v>
      </c>
      <c r="Z1241" s="8"/>
      <c r="AA1241" s="8">
        <f>CONVERT(Table1[[#This Row],[RevisedForecast 30% Recution2]]*Table1[[#This Row],[Talk Duration (AVG)]],"day","hr")</f>
        <v>10.386783953213213</v>
      </c>
      <c r="AB1241" s="10">
        <f>(Table1[[#This Row],[Forecast Workload Hours]]*60)*1.2</f>
        <v>747.8484446313513</v>
      </c>
      <c r="AC1241" s="10">
        <f>IF(Table1[[#This Row],[Forecast WOrkload Minutes]]&lt;384,1,Table1[[#This Row],[Forecast WOrkload Minutes]]/384)</f>
        <v>1.9475219912274773</v>
      </c>
      <c r="AD1241" s="10">
        <f>ROUNDUP(Table1[[#This Row],[Forecast Headcount]],0)</f>
        <v>2</v>
      </c>
      <c r="AE1241" s="11">
        <v>179.51883992163039</v>
      </c>
      <c r="AF1241" s="11">
        <v>403.85145560477878</v>
      </c>
      <c r="AG1241" t="s">
        <v>7</v>
      </c>
    </row>
    <row r="1242" spans="1:33">
      <c r="A1242" s="2">
        <v>45123</v>
      </c>
      <c r="B1242" s="5" t="s">
        <v>35</v>
      </c>
      <c r="C1242" s="5">
        <f>WEEKDAY(Table1[[#This Row],[Date]])</f>
        <v>1</v>
      </c>
      <c r="D1242" s="5">
        <f>MONTH(Table1[[#This Row],[Date]])</f>
        <v>7</v>
      </c>
      <c r="E1242" s="5">
        <f>WEEKNUM(Table1[[#This Row],[Date]])</f>
        <v>29</v>
      </c>
      <c r="F1242" s="5">
        <f>YEAR(Table1[[#This Row],[Date]])</f>
        <v>2023</v>
      </c>
      <c r="H1242">
        <v>199.2357369458353</v>
      </c>
      <c r="I1242">
        <f>Table1[[#This Row],[Forecast]]*0.9</f>
        <v>179.31216325125177</v>
      </c>
      <c r="J1242">
        <f>Table1[[#This Row],[Forecast]]*0.8</f>
        <v>159.38858955666825</v>
      </c>
      <c r="K1242">
        <f>Table1[[#This Row],[Forecast]]*0.8</f>
        <v>159.38858955666825</v>
      </c>
      <c r="L1242" s="5">
        <v>191</v>
      </c>
      <c r="M1242" s="6">
        <v>0.97450000000000003</v>
      </c>
      <c r="N1242" s="5">
        <v>5</v>
      </c>
      <c r="O1242" s="7">
        <v>1.6203703703703703E-4</v>
      </c>
      <c r="P1242" s="7">
        <v>1.9791666666666668E-3</v>
      </c>
      <c r="Q1242" s="7">
        <v>4.0972222222222226E-3</v>
      </c>
      <c r="R1242" s="6">
        <v>0.86009999999999998</v>
      </c>
      <c r="S1242" s="8">
        <f>CONVERT(Table1[[#This Row],[Talk Duration (AVG)]]*Table1[[#This Row],[Answered Calls]],"day","hr")</f>
        <v>9.0725000000000016</v>
      </c>
      <c r="T1242" s="9">
        <f>Table1[[#This Row],[Actual Workload hours]]*60</f>
        <v>544.35000000000014</v>
      </c>
      <c r="U1242" s="9"/>
      <c r="V1242" s="10"/>
      <c r="W1242" s="9"/>
      <c r="X1242" s="9"/>
      <c r="Y1242" s="5">
        <f t="shared" si="42"/>
        <v>2</v>
      </c>
      <c r="Z1242" s="8"/>
      <c r="AA1242" s="8">
        <f>CONVERT(Table1[[#This Row],[RevisedForecast 30% Recution2]]*Table1[[#This Row],[Talk Duration (AVG)]],"day","hr")</f>
        <v>7.5709580039417421</v>
      </c>
      <c r="AB1242" s="10">
        <f>(Table1[[#This Row],[Forecast Workload Hours]]*60)*1.2</f>
        <v>545.10897628380542</v>
      </c>
      <c r="AC1242" s="10">
        <f>IF(Table1[[#This Row],[Forecast WOrkload Minutes]]&lt;384,1,Table1[[#This Row],[Forecast WOrkload Minutes]]/384)</f>
        <v>1.4195546257390765</v>
      </c>
      <c r="AD1242" s="10">
        <f>ROUNDUP(Table1[[#This Row],[Forecast Headcount]],0)</f>
        <v>2</v>
      </c>
      <c r="AE1242" s="11">
        <v>86.908719913792083</v>
      </c>
      <c r="AF1242" s="11">
        <v>307.71558853382618</v>
      </c>
      <c r="AG1242" t="s">
        <v>7</v>
      </c>
    </row>
    <row r="1243" spans="1:33">
      <c r="A1243" s="2">
        <v>45124</v>
      </c>
      <c r="B1243" s="5" t="s">
        <v>36</v>
      </c>
      <c r="C1243" s="5">
        <f>WEEKDAY(Table1[[#This Row],[Date]])</f>
        <v>2</v>
      </c>
      <c r="D1243" s="5">
        <f>MONTH(Table1[[#This Row],[Date]])</f>
        <v>7</v>
      </c>
      <c r="E1243" s="5">
        <f>WEEKNUM(Table1[[#This Row],[Date]])</f>
        <v>29</v>
      </c>
      <c r="F1243" s="5">
        <f>YEAR(Table1[[#This Row],[Date]])</f>
        <v>2023</v>
      </c>
      <c r="H1243">
        <v>298.42691262505519</v>
      </c>
      <c r="I1243">
        <f>Table1[[#This Row],[Forecast]]*0.9</f>
        <v>268.58422136254967</v>
      </c>
      <c r="J1243">
        <f>Table1[[#This Row],[Forecast]]*0.8</f>
        <v>238.74153010004417</v>
      </c>
      <c r="K1243">
        <f>Table1[[#This Row],[Forecast]]*0.8</f>
        <v>238.74153010004417</v>
      </c>
      <c r="L1243" s="5">
        <v>202</v>
      </c>
      <c r="M1243" s="6">
        <v>0.95730000000000004</v>
      </c>
      <c r="N1243" s="5">
        <v>9</v>
      </c>
      <c r="O1243" s="7">
        <v>1.7361111111111112E-4</v>
      </c>
      <c r="P1243" s="7">
        <v>1.9212962962962964E-3</v>
      </c>
      <c r="Q1243" s="7">
        <v>2.0138888888888888E-3</v>
      </c>
      <c r="R1243" s="6">
        <v>0.79330000000000001</v>
      </c>
      <c r="S1243" s="8">
        <f>CONVERT(Table1[[#This Row],[Talk Duration (AVG)]]*Table1[[#This Row],[Answered Calls]],"day","hr")</f>
        <v>9.3144444444444439</v>
      </c>
      <c r="T1243" s="9">
        <f>Table1[[#This Row],[Actual Workload hours]]*60</f>
        <v>558.86666666666667</v>
      </c>
      <c r="U1243" s="9"/>
      <c r="V1243" s="10"/>
      <c r="W1243" s="9"/>
      <c r="X1243" s="9"/>
      <c r="Y1243" s="5">
        <f t="shared" si="42"/>
        <v>2</v>
      </c>
      <c r="Z1243" s="8"/>
      <c r="AA1243" s="8">
        <f>CONVERT(Table1[[#This Row],[RevisedForecast 30% Recution2]]*Table1[[#This Row],[Talk Duration (AVG)]],"day","hr")</f>
        <v>11.008637221279816</v>
      </c>
      <c r="AB1243" s="10">
        <f>(Table1[[#This Row],[Forecast Workload Hours]]*60)*1.2</f>
        <v>792.62187993214673</v>
      </c>
      <c r="AC1243" s="10">
        <f>IF(Table1[[#This Row],[Forecast WOrkload Minutes]]&lt;384,1,Table1[[#This Row],[Forecast WOrkload Minutes]]/384)</f>
        <v>2.0641194789899653</v>
      </c>
      <c r="AD1243" s="10">
        <f>ROUNDUP(Table1[[#This Row],[Forecast Headcount]],0)</f>
        <v>3</v>
      </c>
      <c r="AE1243" s="11">
        <v>186.17162656685039</v>
      </c>
      <c r="AF1243" s="11">
        <v>406.69429571634072</v>
      </c>
      <c r="AG1243" t="s">
        <v>7</v>
      </c>
    </row>
    <row r="1244" spans="1:33">
      <c r="A1244" s="2">
        <v>45125</v>
      </c>
      <c r="B1244" s="5" t="s">
        <v>37</v>
      </c>
      <c r="C1244" s="5">
        <f>WEEKDAY(Table1[[#This Row],[Date]])</f>
        <v>3</v>
      </c>
      <c r="D1244" s="5">
        <f>MONTH(Table1[[#This Row],[Date]])</f>
        <v>7</v>
      </c>
      <c r="E1244" s="5">
        <f>WEEKNUM(Table1[[#This Row],[Date]])</f>
        <v>29</v>
      </c>
      <c r="F1244" s="5">
        <f>YEAR(Table1[[#This Row],[Date]])</f>
        <v>2023</v>
      </c>
      <c r="H1244">
        <v>281.65068032386728</v>
      </c>
      <c r="I1244">
        <f>Table1[[#This Row],[Forecast]]*0.9</f>
        <v>253.48561229148055</v>
      </c>
      <c r="J1244">
        <f>Table1[[#This Row],[Forecast]]*0.8</f>
        <v>225.32054425909382</v>
      </c>
      <c r="K1244">
        <f>Table1[[#This Row],[Forecast]]*0.8</f>
        <v>225.32054425909382</v>
      </c>
      <c r="L1244" s="5">
        <v>194</v>
      </c>
      <c r="M1244" s="6">
        <v>0.96519999999999995</v>
      </c>
      <c r="N1244" s="5">
        <v>7</v>
      </c>
      <c r="O1244" s="7">
        <v>1.8518518518518518E-4</v>
      </c>
      <c r="P1244" s="7">
        <v>1.9560185185185184E-3</v>
      </c>
      <c r="Q1244" s="7">
        <v>2.4074074074074076E-3</v>
      </c>
      <c r="R1244" s="6">
        <v>0.81410000000000005</v>
      </c>
      <c r="S1244" s="8">
        <f>CONVERT(Table1[[#This Row],[Talk Duration (AVG)]]*Table1[[#This Row],[Answered Calls]],"day","hr")</f>
        <v>9.107222222222223</v>
      </c>
      <c r="T1244" s="9">
        <f>Table1[[#This Row],[Actual Workload hours]]*60</f>
        <v>546.43333333333339</v>
      </c>
      <c r="U1244" s="9"/>
      <c r="V1244" s="10"/>
      <c r="W1244" s="9"/>
      <c r="X1244" s="9"/>
      <c r="Y1244" s="5">
        <f t="shared" si="42"/>
        <v>2</v>
      </c>
      <c r="Z1244" s="8"/>
      <c r="AA1244" s="8">
        <f>CONVERT(Table1[[#This Row],[RevisedForecast 30% Recution2]]*Table1[[#This Row],[Talk Duration (AVG)]],"day","hr")</f>
        <v>10.577547772163014</v>
      </c>
      <c r="AB1244" s="10">
        <f>(Table1[[#This Row],[Forecast Workload Hours]]*60)*1.2</f>
        <v>761.58343959573699</v>
      </c>
      <c r="AC1244" s="10">
        <f>IF(Table1[[#This Row],[Forecast WOrkload Minutes]]&lt;384,1,Table1[[#This Row],[Forecast WOrkload Minutes]]/384)</f>
        <v>1.9832902072805652</v>
      </c>
      <c r="AD1244" s="10">
        <f>ROUNDUP(Table1[[#This Row],[Forecast Headcount]],0)</f>
        <v>2</v>
      </c>
      <c r="AE1244" s="11">
        <v>176.45476649170249</v>
      </c>
      <c r="AF1244" s="11">
        <v>388.09218240416459</v>
      </c>
      <c r="AG1244" t="s">
        <v>7</v>
      </c>
    </row>
    <row r="1245" spans="1:33">
      <c r="A1245" s="2">
        <v>45126</v>
      </c>
      <c r="B1245" s="5" t="s">
        <v>38</v>
      </c>
      <c r="C1245" s="5">
        <f>WEEKDAY(Table1[[#This Row],[Date]])</f>
        <v>4</v>
      </c>
      <c r="D1245" s="5">
        <f>MONTH(Table1[[#This Row],[Date]])</f>
        <v>7</v>
      </c>
      <c r="E1245" s="5">
        <f>WEEKNUM(Table1[[#This Row],[Date]])</f>
        <v>29</v>
      </c>
      <c r="F1245" s="5">
        <f>YEAR(Table1[[#This Row],[Date]])</f>
        <v>2023</v>
      </c>
      <c r="H1245">
        <v>293.10832670963009</v>
      </c>
      <c r="I1245">
        <f>Table1[[#This Row],[Forecast]]*0.9</f>
        <v>263.79749403866708</v>
      </c>
      <c r="J1245">
        <f>Table1[[#This Row],[Forecast]]*0.8</f>
        <v>234.48666136770407</v>
      </c>
      <c r="K1245">
        <f>Table1[[#This Row],[Forecast]]*0.8</f>
        <v>234.48666136770407</v>
      </c>
      <c r="L1245" s="5">
        <v>22</v>
      </c>
      <c r="M1245" s="6">
        <v>0.95650000000000002</v>
      </c>
      <c r="N1245" s="5">
        <v>1</v>
      </c>
      <c r="O1245" s="7">
        <v>1.1574074074074075E-4</v>
      </c>
      <c r="P1245" s="7">
        <v>2.1064814814814813E-3</v>
      </c>
      <c r="Q1245" s="7">
        <v>7.1759259259259259E-4</v>
      </c>
      <c r="R1245" s="6">
        <v>0.82609999999999995</v>
      </c>
      <c r="S1245" s="8">
        <f>CONVERT(Table1[[#This Row],[Talk Duration (AVG)]]*Table1[[#This Row],[Answered Calls]],"day","hr")</f>
        <v>1.112222222222222</v>
      </c>
      <c r="T1245" s="9">
        <f>Table1[[#This Row],[Actual Workload hours]]*60</f>
        <v>66.73333333333332</v>
      </c>
      <c r="U1245" s="9"/>
      <c r="V1245" s="10"/>
      <c r="W1245" s="9"/>
      <c r="X1245" s="9"/>
      <c r="Y1245" s="5">
        <f t="shared" si="42"/>
        <v>1</v>
      </c>
      <c r="Z1245" s="8"/>
      <c r="AA1245" s="8">
        <f>CONVERT(Table1[[#This Row],[RevisedForecast 30% Recution2]]*Table1[[#This Row],[Talk Duration (AVG)]],"day","hr")</f>
        <v>11.854603435811704</v>
      </c>
      <c r="AB1245" s="10">
        <f>(Table1[[#This Row],[Forecast Workload Hours]]*60)*1.2</f>
        <v>853.53144737844275</v>
      </c>
      <c r="AC1245" s="10">
        <f>IF(Table1[[#This Row],[Forecast WOrkload Minutes]]&lt;384,1,Table1[[#This Row],[Forecast WOrkload Minutes]]/384)</f>
        <v>2.2227381442146945</v>
      </c>
      <c r="AD1245" s="10">
        <f>ROUNDUP(Table1[[#This Row],[Forecast Headcount]],0)</f>
        <v>3</v>
      </c>
      <c r="AE1245" s="11">
        <v>177.79524517414961</v>
      </c>
      <c r="AF1245" s="11">
        <v>393.91187536070282</v>
      </c>
      <c r="AG1245" t="s">
        <v>7</v>
      </c>
    </row>
    <row r="1246" spans="1:33">
      <c r="A1246" s="2">
        <v>45127</v>
      </c>
      <c r="B1246" s="5" t="s">
        <v>39</v>
      </c>
      <c r="C1246" s="5">
        <f>WEEKDAY(Table1[[#This Row],[Date]])</f>
        <v>5</v>
      </c>
      <c r="D1246" s="5">
        <f>MONTH(Table1[[#This Row],[Date]])</f>
        <v>7</v>
      </c>
      <c r="E1246" s="5">
        <f>WEEKNUM(Table1[[#This Row],[Date]])</f>
        <v>29</v>
      </c>
      <c r="F1246" s="5">
        <f>YEAR(Table1[[#This Row],[Date]])</f>
        <v>2023</v>
      </c>
      <c r="H1246">
        <v>287.51557244716821</v>
      </c>
      <c r="I1246">
        <f>Table1[[#This Row],[Forecast]]*0.9</f>
        <v>258.76401520245139</v>
      </c>
      <c r="J1246">
        <f>Table1[[#This Row],[Forecast]]*0.8</f>
        <v>230.01245795773457</v>
      </c>
      <c r="K1246">
        <f>Table1[[#This Row],[Forecast]]*0.8</f>
        <v>230.01245795773457</v>
      </c>
      <c r="L1246" s="5">
        <v>210</v>
      </c>
      <c r="M1246" s="6">
        <v>0.93330000000000002</v>
      </c>
      <c r="N1246" s="5">
        <v>15</v>
      </c>
      <c r="O1246" s="7">
        <v>1.1574074074074075E-4</v>
      </c>
      <c r="P1246" s="7">
        <v>1.8171296296296297E-3</v>
      </c>
      <c r="Q1246" s="7">
        <v>2.5115740740740741E-3</v>
      </c>
      <c r="R1246" s="6">
        <v>0.85909999999999997</v>
      </c>
      <c r="S1246" s="8">
        <f>CONVERT(Table1[[#This Row],[Talk Duration (AVG)]]*Table1[[#This Row],[Answered Calls]],"day","hr")</f>
        <v>9.1583333333333332</v>
      </c>
      <c r="T1246" s="9">
        <f>Table1[[#This Row],[Actual Workload hours]]*60</f>
        <v>549.5</v>
      </c>
      <c r="U1246" s="9"/>
      <c r="V1246" s="10"/>
      <c r="W1246" s="9"/>
      <c r="X1246" s="9"/>
      <c r="Y1246" s="5">
        <f t="shared" si="42"/>
        <v>2</v>
      </c>
      <c r="Z1246" s="8"/>
      <c r="AA1246" s="8">
        <f>CONVERT(Table1[[#This Row],[RevisedForecast 30% Recution2]]*Table1[[#This Row],[Talk Duration (AVG)]],"day","hr")</f>
        <v>10.031098860934536</v>
      </c>
      <c r="AB1246" s="10">
        <f>(Table1[[#This Row],[Forecast Workload Hours]]*60)*1.2</f>
        <v>722.23911798728648</v>
      </c>
      <c r="AC1246" s="10">
        <f>IF(Table1[[#This Row],[Forecast WOrkload Minutes]]&lt;384,1,Table1[[#This Row],[Forecast WOrkload Minutes]]/384)</f>
        <v>1.8808310364252252</v>
      </c>
      <c r="AD1246" s="10">
        <f>ROUNDUP(Table1[[#This Row],[Forecast Headcount]],0)</f>
        <v>2</v>
      </c>
      <c r="AE1246" s="11">
        <v>177.62157463915679</v>
      </c>
      <c r="AF1246" s="11">
        <v>400.18859674742117</v>
      </c>
      <c r="AG1246" t="s">
        <v>7</v>
      </c>
    </row>
    <row r="1247" spans="1:33">
      <c r="A1247" s="2">
        <v>45128</v>
      </c>
      <c r="B1247" s="5" t="s">
        <v>40</v>
      </c>
      <c r="C1247" s="5">
        <f>WEEKDAY(Table1[[#This Row],[Date]])</f>
        <v>6</v>
      </c>
      <c r="D1247" s="5">
        <f>MONTH(Table1[[#This Row],[Date]])</f>
        <v>7</v>
      </c>
      <c r="E1247" s="5">
        <f>WEEKNUM(Table1[[#This Row],[Date]])</f>
        <v>29</v>
      </c>
      <c r="F1247" s="5">
        <f>YEAR(Table1[[#This Row],[Date]])</f>
        <v>2023</v>
      </c>
      <c r="H1247">
        <v>277.75316453472249</v>
      </c>
      <c r="I1247">
        <f>Table1[[#This Row],[Forecast]]*0.9</f>
        <v>249.97784808125024</v>
      </c>
      <c r="J1247">
        <f>Table1[[#This Row],[Forecast]]*0.8</f>
        <v>222.202531627778</v>
      </c>
      <c r="K1247">
        <f>Table1[[#This Row],[Forecast]]*0.8</f>
        <v>222.202531627778</v>
      </c>
      <c r="L1247" s="5">
        <v>195</v>
      </c>
      <c r="M1247" s="6">
        <v>0.96530000000000005</v>
      </c>
      <c r="N1247" s="5">
        <v>7</v>
      </c>
      <c r="O1247" s="7">
        <v>1.273148148148148E-4</v>
      </c>
      <c r="P1247" s="7">
        <v>1.9328703703703704E-3</v>
      </c>
      <c r="Q1247" s="7">
        <v>1.2962962962962963E-3</v>
      </c>
      <c r="R1247" s="6">
        <v>0.86799999999999999</v>
      </c>
      <c r="S1247" s="8">
        <f>CONVERT(Table1[[#This Row],[Talk Duration (AVG)]]*Table1[[#This Row],[Answered Calls]],"day","hr")</f>
        <v>9.0458333333333325</v>
      </c>
      <c r="T1247" s="9">
        <f>Table1[[#This Row],[Actual Workload hours]]*60</f>
        <v>542.75</v>
      </c>
      <c r="U1247" s="9"/>
      <c r="V1247" s="10"/>
      <c r="W1247" s="9"/>
      <c r="X1247" s="9"/>
      <c r="Y1247" s="5">
        <f t="shared" si="42"/>
        <v>2</v>
      </c>
      <c r="Z1247" s="8"/>
      <c r="AA1247" s="8">
        <f>CONVERT(Table1[[#This Row],[RevisedForecast 30% Recution2]]*Table1[[#This Row],[Talk Duration (AVG)]],"day","hr")</f>
        <v>10.307728550510813</v>
      </c>
      <c r="AB1247" s="10">
        <f>(Table1[[#This Row],[Forecast Workload Hours]]*60)*1.2</f>
        <v>742.15645563677856</v>
      </c>
      <c r="AC1247" s="10">
        <f>IF(Table1[[#This Row],[Forecast WOrkload Minutes]]&lt;384,1,Table1[[#This Row],[Forecast WOrkload Minutes]]/384)</f>
        <v>1.9326991032207774</v>
      </c>
      <c r="AD1247" s="10">
        <f>ROUNDUP(Table1[[#This Row],[Forecast Headcount]],0)</f>
        <v>2</v>
      </c>
      <c r="AE1247" s="11">
        <v>164.1294488353598</v>
      </c>
      <c r="AF1247" s="11">
        <v>383.64871750910811</v>
      </c>
      <c r="AG1247" t="s">
        <v>7</v>
      </c>
    </row>
    <row r="1248" spans="1:33">
      <c r="A1248" s="2">
        <v>45129</v>
      </c>
      <c r="B1248" s="5" t="s">
        <v>33</v>
      </c>
      <c r="C1248" s="5">
        <f>WEEKDAY(Table1[[#This Row],[Date]])</f>
        <v>7</v>
      </c>
      <c r="D1248" s="5">
        <f>MONTH(Table1[[#This Row],[Date]])</f>
        <v>7</v>
      </c>
      <c r="E1248" s="5">
        <f>WEEKNUM(Table1[[#This Row],[Date]])</f>
        <v>29</v>
      </c>
      <c r="F1248" s="5">
        <f>YEAR(Table1[[#This Row],[Date]])</f>
        <v>2023</v>
      </c>
      <c r="H1248">
        <v>283.92679750208498</v>
      </c>
      <c r="I1248">
        <f>Table1[[#This Row],[Forecast]]*0.9</f>
        <v>255.53411775187649</v>
      </c>
      <c r="J1248">
        <f>Table1[[#This Row],[Forecast]]*0.8</f>
        <v>227.14143800166801</v>
      </c>
      <c r="K1248">
        <f>Table1[[#This Row],[Forecast]]*0.8</f>
        <v>227.14143800166801</v>
      </c>
      <c r="L1248" s="5">
        <v>184</v>
      </c>
      <c r="M1248" s="6">
        <v>0.96340000000000003</v>
      </c>
      <c r="N1248" s="5">
        <v>7</v>
      </c>
      <c r="O1248" s="7">
        <v>8.1018518518518516E-5</v>
      </c>
      <c r="P1248" s="7">
        <v>1.9675925925925924E-3</v>
      </c>
      <c r="Q1248" s="7">
        <v>1.3425925925925925E-3</v>
      </c>
      <c r="R1248" s="6">
        <v>0.92549999999999999</v>
      </c>
      <c r="S1248" s="8">
        <f>CONVERT(Table1[[#This Row],[Talk Duration (AVG)]]*Table1[[#This Row],[Answered Calls]],"day","hr")</f>
        <v>8.6888888888888882</v>
      </c>
      <c r="T1248" s="9">
        <f>Table1[[#This Row],[Actual Workload hours]]*60</f>
        <v>521.33333333333326</v>
      </c>
      <c r="U1248" s="9"/>
      <c r="V1248" s="10"/>
      <c r="W1248" s="9"/>
      <c r="X1248" s="9"/>
      <c r="Y1248" s="5">
        <f t="shared" si="42"/>
        <v>2</v>
      </c>
      <c r="Z1248" s="8"/>
      <c r="AA1248" s="8">
        <f>CONVERT(Table1[[#This Row],[RevisedForecast 30% Recution2]]*Table1[[#This Row],[Talk Duration (AVG)]],"day","hr")</f>
        <v>10.726123461189877</v>
      </c>
      <c r="AB1248" s="10">
        <f>(Table1[[#This Row],[Forecast Workload Hours]]*60)*1.2</f>
        <v>772.28088920567109</v>
      </c>
      <c r="AC1248" s="10">
        <f>IF(Table1[[#This Row],[Forecast WOrkload Minutes]]&lt;384,1,Table1[[#This Row],[Forecast WOrkload Minutes]]/384)</f>
        <v>2.0111481489731018</v>
      </c>
      <c r="AD1248" s="10">
        <f>ROUNDUP(Table1[[#This Row],[Forecast Headcount]],0)</f>
        <v>3</v>
      </c>
      <c r="AE1248" s="11">
        <v>167.47923452173691</v>
      </c>
      <c r="AF1248" s="11">
        <v>391.24423509170498</v>
      </c>
      <c r="AG1248" t="s">
        <v>7</v>
      </c>
    </row>
    <row r="1249" spans="1:33">
      <c r="A1249" s="2">
        <v>45130</v>
      </c>
      <c r="B1249" s="5" t="s">
        <v>35</v>
      </c>
      <c r="C1249" s="5">
        <f>WEEKDAY(Table1[[#This Row],[Date]])</f>
        <v>1</v>
      </c>
      <c r="D1249" s="5">
        <f>MONTH(Table1[[#This Row],[Date]])</f>
        <v>7</v>
      </c>
      <c r="E1249" s="5">
        <f>WEEKNUM(Table1[[#This Row],[Date]])</f>
        <v>30</v>
      </c>
      <c r="F1249" s="5">
        <f>YEAR(Table1[[#This Row],[Date]])</f>
        <v>2023</v>
      </c>
      <c r="H1249">
        <v>194.18552736823449</v>
      </c>
      <c r="I1249">
        <f>Table1[[#This Row],[Forecast]]*0.9</f>
        <v>174.76697463141105</v>
      </c>
      <c r="J1249">
        <f>Table1[[#This Row],[Forecast]]*0.8</f>
        <v>155.3484218945876</v>
      </c>
      <c r="K1249">
        <f>Table1[[#This Row],[Forecast]]*0.8</f>
        <v>155.3484218945876</v>
      </c>
      <c r="L1249" s="5">
        <v>209</v>
      </c>
      <c r="M1249" s="6">
        <v>0.98580000000000001</v>
      </c>
      <c r="N1249" s="5">
        <v>3</v>
      </c>
      <c r="O1249" s="7">
        <v>1.1574074074074075E-4</v>
      </c>
      <c r="P1249" s="7">
        <v>1.9791666666666668E-3</v>
      </c>
      <c r="Q1249" s="7">
        <v>1.2152777777777778E-3</v>
      </c>
      <c r="R1249" s="6">
        <v>0.89100000000000001</v>
      </c>
      <c r="S1249" s="8">
        <f>CONVERT(Table1[[#This Row],[Talk Duration (AVG)]]*Table1[[#This Row],[Answered Calls]],"day","hr")</f>
        <v>9.927500000000002</v>
      </c>
      <c r="T1249" s="9">
        <f>Table1[[#This Row],[Actual Workload hours]]*60</f>
        <v>595.65000000000009</v>
      </c>
      <c r="U1249" s="9"/>
      <c r="V1249" s="10"/>
      <c r="W1249" s="9"/>
      <c r="X1249" s="9"/>
      <c r="Y1249" s="5">
        <f t="shared" si="42"/>
        <v>2</v>
      </c>
      <c r="Z1249" s="8"/>
      <c r="AA1249" s="8">
        <f>CONVERT(Table1[[#This Row],[RevisedForecast 30% Recution2]]*Table1[[#This Row],[Talk Duration (AVG)]],"day","hr")</f>
        <v>7.3790500399929115</v>
      </c>
      <c r="AB1249" s="10">
        <f>(Table1[[#This Row],[Forecast Workload Hours]]*60)*1.2</f>
        <v>531.29160287948969</v>
      </c>
      <c r="AC1249" s="10">
        <f>IF(Table1[[#This Row],[Forecast WOrkload Minutes]]&lt;384,1,Table1[[#This Row],[Forecast WOrkload Minutes]]/384)</f>
        <v>1.3835718824986711</v>
      </c>
      <c r="AD1249" s="10">
        <f>ROUNDUP(Table1[[#This Row],[Forecast Headcount]],0)</f>
        <v>2</v>
      </c>
      <c r="AE1249" s="11">
        <v>82.613728838886914</v>
      </c>
      <c r="AF1249" s="11">
        <v>302.2267860877331</v>
      </c>
      <c r="AG1249" t="s">
        <v>7</v>
      </c>
    </row>
    <row r="1250" spans="1:33">
      <c r="A1250" s="2">
        <v>45131</v>
      </c>
      <c r="B1250" s="5" t="s">
        <v>36</v>
      </c>
      <c r="C1250" s="5">
        <f>WEEKDAY(Table1[[#This Row],[Date]])</f>
        <v>2</v>
      </c>
      <c r="D1250" s="5">
        <f>MONTH(Table1[[#This Row],[Date]])</f>
        <v>7</v>
      </c>
      <c r="E1250" s="5">
        <f>WEEKNUM(Table1[[#This Row],[Date]])</f>
        <v>30</v>
      </c>
      <c r="F1250" s="5">
        <f>YEAR(Table1[[#This Row],[Date]])</f>
        <v>2023</v>
      </c>
      <c r="H1250">
        <v>292.8809637322899</v>
      </c>
      <c r="I1250">
        <f>Table1[[#This Row],[Forecast]]*0.9</f>
        <v>263.5928673590609</v>
      </c>
      <c r="J1250">
        <f>Table1[[#This Row],[Forecast]]*0.8</f>
        <v>234.30477098583194</v>
      </c>
      <c r="K1250">
        <f>Table1[[#This Row],[Forecast]]*0.8</f>
        <v>234.30477098583194</v>
      </c>
      <c r="L1250" s="5">
        <v>203</v>
      </c>
      <c r="M1250" s="6">
        <v>0.9667</v>
      </c>
      <c r="N1250" s="5">
        <v>7</v>
      </c>
      <c r="O1250" s="7">
        <v>1.3888888888888889E-4</v>
      </c>
      <c r="P1250" s="7">
        <v>2.3379629629629631E-3</v>
      </c>
      <c r="Q1250" s="7">
        <v>2.685185185185185E-3</v>
      </c>
      <c r="R1250" s="6">
        <v>0.85240000000000005</v>
      </c>
      <c r="S1250" s="8">
        <f>CONVERT(Table1[[#This Row],[Talk Duration (AVG)]]*Table1[[#This Row],[Answered Calls]],"day","hr")</f>
        <v>11.390555555555556</v>
      </c>
      <c r="T1250" s="9">
        <f>Table1[[#This Row],[Actual Workload hours]]*60</f>
        <v>683.43333333333339</v>
      </c>
      <c r="U1250" s="9"/>
      <c r="V1250" s="10"/>
      <c r="W1250" s="9"/>
      <c r="X1250" s="9"/>
      <c r="Y1250" s="5">
        <f t="shared" si="42"/>
        <v>2</v>
      </c>
      <c r="Z1250" s="8"/>
      <c r="AA1250" s="8">
        <f>CONVERT(Table1[[#This Row],[RevisedForecast 30% Recution2]]*Table1[[#This Row],[Talk Duration (AVG)]],"day","hr")</f>
        <v>13.147101038649462</v>
      </c>
      <c r="AB1250" s="10">
        <f>(Table1[[#This Row],[Forecast Workload Hours]]*60)*1.2</f>
        <v>946.59127478276127</v>
      </c>
      <c r="AC1250" s="10">
        <f>IF(Table1[[#This Row],[Forecast WOrkload Minutes]]&lt;384,1,Table1[[#This Row],[Forecast WOrkload Minutes]]/384)</f>
        <v>2.4650814447467742</v>
      </c>
      <c r="AD1250" s="10">
        <f>ROUNDUP(Table1[[#This Row],[Forecast Headcount]],0)</f>
        <v>3</v>
      </c>
      <c r="AE1250" s="11">
        <v>183.78421702481731</v>
      </c>
      <c r="AF1250" s="11">
        <v>416.15789717244081</v>
      </c>
      <c r="AG1250" t="s">
        <v>7</v>
      </c>
    </row>
    <row r="1251" spans="1:33">
      <c r="A1251" s="2">
        <v>45132</v>
      </c>
      <c r="B1251" s="5" t="s">
        <v>37</v>
      </c>
      <c r="C1251" s="5">
        <f>WEEKDAY(Table1[[#This Row],[Date]])</f>
        <v>3</v>
      </c>
      <c r="D1251" s="5">
        <f>MONTH(Table1[[#This Row],[Date]])</f>
        <v>7</v>
      </c>
      <c r="E1251" s="5">
        <f>WEEKNUM(Table1[[#This Row],[Date]])</f>
        <v>30</v>
      </c>
      <c r="F1251" s="5">
        <f>YEAR(Table1[[#This Row],[Date]])</f>
        <v>2023</v>
      </c>
      <c r="H1251">
        <v>275.57282904839502</v>
      </c>
      <c r="I1251">
        <f>Table1[[#This Row],[Forecast]]*0.9</f>
        <v>248.01554614355553</v>
      </c>
      <c r="J1251">
        <f>Table1[[#This Row],[Forecast]]*0.8</f>
        <v>220.45826323871603</v>
      </c>
      <c r="K1251">
        <f>Table1[[#This Row],[Forecast]]*0.8</f>
        <v>220.45826323871603</v>
      </c>
      <c r="L1251" s="5">
        <v>159</v>
      </c>
      <c r="M1251" s="6">
        <v>0.95209999999999995</v>
      </c>
      <c r="N1251" s="5">
        <v>8</v>
      </c>
      <c r="O1251" s="7">
        <v>1.8518518518518518E-4</v>
      </c>
      <c r="P1251" s="7">
        <v>2.2685185185185187E-3</v>
      </c>
      <c r="Q1251" s="7">
        <v>1.8749999999999999E-3</v>
      </c>
      <c r="R1251" s="6">
        <v>0.83030000000000004</v>
      </c>
      <c r="S1251" s="8">
        <f>CONVERT(Table1[[#This Row],[Talk Duration (AVG)]]*Table1[[#This Row],[Answered Calls]],"day","hr")</f>
        <v>8.6566666666666681</v>
      </c>
      <c r="T1251" s="9">
        <f>Table1[[#This Row],[Actual Workload hours]]*60</f>
        <v>519.40000000000009</v>
      </c>
      <c r="U1251" s="9"/>
      <c r="V1251" s="10"/>
      <c r="W1251" s="9"/>
      <c r="X1251" s="9"/>
      <c r="Y1251" s="5">
        <f t="shared" si="42"/>
        <v>2</v>
      </c>
      <c r="Z1251" s="8"/>
      <c r="AA1251" s="8">
        <f>CONVERT(Table1[[#This Row],[RevisedForecast 30% Recution2]]*Table1[[#This Row],[Talk Duration (AVG)]],"day","hr")</f>
        <v>12.002727665218984</v>
      </c>
      <c r="AB1251" s="10">
        <f>(Table1[[#This Row],[Forecast Workload Hours]]*60)*1.2</f>
        <v>864.19639189576685</v>
      </c>
      <c r="AC1251" s="10">
        <f>IF(Table1[[#This Row],[Forecast WOrkload Minutes]]&lt;384,1,Table1[[#This Row],[Forecast WOrkload Minutes]]/384)</f>
        <v>2.2505114372285595</v>
      </c>
      <c r="AD1251" s="10">
        <f>ROUNDUP(Table1[[#This Row],[Forecast Headcount]],0)</f>
        <v>3</v>
      </c>
      <c r="AE1251" s="11">
        <v>161.5342340694946</v>
      </c>
      <c r="AF1251" s="11">
        <v>388.43875261860791</v>
      </c>
      <c r="AG1251" t="s">
        <v>7</v>
      </c>
    </row>
    <row r="1252" spans="1:33">
      <c r="A1252" s="2">
        <v>45133</v>
      </c>
      <c r="B1252" s="5" t="s">
        <v>38</v>
      </c>
      <c r="C1252" s="5">
        <f>WEEKDAY(Table1[[#This Row],[Date]])</f>
        <v>4</v>
      </c>
      <c r="D1252" s="5">
        <f>MONTH(Table1[[#This Row],[Date]])</f>
        <v>7</v>
      </c>
      <c r="E1252" s="5">
        <f>WEEKNUM(Table1[[#This Row],[Date]])</f>
        <v>30</v>
      </c>
      <c r="F1252" s="5">
        <f>YEAR(Table1[[#This Row],[Date]])</f>
        <v>2023</v>
      </c>
      <c r="H1252">
        <v>286.46887987469648</v>
      </c>
      <c r="I1252">
        <f>Table1[[#This Row],[Forecast]]*0.9</f>
        <v>257.82199188722683</v>
      </c>
      <c r="J1252">
        <f>Table1[[#This Row],[Forecast]]*0.8</f>
        <v>229.1751038997572</v>
      </c>
      <c r="K1252">
        <f>Table1[[#This Row],[Forecast]]*0.8</f>
        <v>229.1751038997572</v>
      </c>
      <c r="L1252" s="5">
        <v>11</v>
      </c>
      <c r="M1252" s="6">
        <v>0.91669999999999996</v>
      </c>
      <c r="N1252" s="5">
        <v>1</v>
      </c>
      <c r="O1252" s="7">
        <v>3.4722222222222222E-5</v>
      </c>
      <c r="P1252" s="7">
        <v>1.5277777777777779E-3</v>
      </c>
      <c r="Q1252" s="7">
        <v>6.7129629629629625E-4</v>
      </c>
      <c r="R1252" s="6">
        <v>0.91669999999999996</v>
      </c>
      <c r="S1252" s="8">
        <f>CONVERT(Table1[[#This Row],[Talk Duration (AVG)]]*Table1[[#This Row],[Answered Calls]],"day","hr")</f>
        <v>0.40333333333333332</v>
      </c>
      <c r="T1252" s="9">
        <f>Table1[[#This Row],[Actual Workload hours]]*60</f>
        <v>24.2</v>
      </c>
      <c r="U1252" s="9"/>
      <c r="V1252" s="10"/>
      <c r="W1252" s="9"/>
      <c r="X1252" s="9"/>
      <c r="Y1252" s="5">
        <f t="shared" si="42"/>
        <v>1</v>
      </c>
      <c r="Z1252" s="8"/>
      <c r="AA1252" s="8">
        <f>CONVERT(Table1[[#This Row],[RevisedForecast 30% Recution2]]*Table1[[#This Row],[Talk Duration (AVG)]],"day","hr")</f>
        <v>8.4030871429910992</v>
      </c>
      <c r="AB1252" s="10">
        <f>(Table1[[#This Row],[Forecast Workload Hours]]*60)*1.2</f>
        <v>605.02227429535913</v>
      </c>
      <c r="AC1252" s="10">
        <f>IF(Table1[[#This Row],[Forecast WOrkload Minutes]]&lt;384,1,Table1[[#This Row],[Forecast WOrkload Minutes]]/384)</f>
        <v>1.575578839310831</v>
      </c>
      <c r="AD1252" s="10">
        <f>ROUNDUP(Table1[[#This Row],[Forecast Headcount]],0)</f>
        <v>2</v>
      </c>
      <c r="AE1252" s="11">
        <v>183.93924372800129</v>
      </c>
      <c r="AF1252" s="11">
        <v>397.96937198706428</v>
      </c>
      <c r="AG1252" t="s">
        <v>7</v>
      </c>
    </row>
    <row r="1253" spans="1:33">
      <c r="A1253" s="2">
        <v>45134</v>
      </c>
      <c r="B1253" s="2"/>
      <c r="C1253" s="5">
        <f>WEEKDAY(Table1[[#This Row],[Date]])</f>
        <v>5</v>
      </c>
      <c r="D1253" s="5">
        <f>MONTH(Table1[[#This Row],[Date]])</f>
        <v>7</v>
      </c>
      <c r="E1253" s="5">
        <f>WEEKNUM(Table1[[#This Row],[Date]])</f>
        <v>30</v>
      </c>
      <c r="F1253" s="5">
        <f>YEAR(Table1[[#This Row],[Date]])</f>
        <v>2023</v>
      </c>
      <c r="H1253">
        <v>280.29329128838378</v>
      </c>
      <c r="I1253">
        <f>Table1[[#This Row],[Forecast]]*0.9</f>
        <v>252.2639621595454</v>
      </c>
      <c r="J1253">
        <f>Table1[[#This Row],[Forecast]]*0.8</f>
        <v>224.23463303070704</v>
      </c>
      <c r="K1253">
        <f>Table1[[#This Row],[Forecast]]*0.8</f>
        <v>224.23463303070704</v>
      </c>
      <c r="P1253" s="13">
        <f>AVERAGE(P1146:P1252)</f>
        <v>1.9193492557978537E-3</v>
      </c>
      <c r="Z1253" s="8"/>
      <c r="AA1253" s="8">
        <f>CONVERT(Table1[[#This Row],[RevisedForecast 30% Recution2]]*Table1[[#This Row],[Talk Duration (AVG)]],"day","hr")</f>
        <v>10.329229824758219</v>
      </c>
      <c r="AB1253" s="10">
        <f>(Table1[[#This Row],[Forecast Workload Hours]]*60)*1.2</f>
        <v>743.70454738259173</v>
      </c>
      <c r="AC1253" s="10">
        <f>IF(Table1[[#This Row],[Forecast WOrkload Minutes]]&lt;384,1,Table1[[#This Row],[Forecast WOrkload Minutes]]/384)</f>
        <v>1.936730592142166</v>
      </c>
      <c r="AD1253" s="10">
        <f>ROUNDUP(Table1[[#This Row],[Forecast Headcount]],0)</f>
        <v>2</v>
      </c>
      <c r="AE1253" s="11">
        <v>169.15443961185099</v>
      </c>
      <c r="AF1253" s="11">
        <v>391.21107136745451</v>
      </c>
      <c r="AG1253" t="s">
        <v>7</v>
      </c>
    </row>
    <row r="1254" spans="1:33">
      <c r="A1254" s="2">
        <v>45135</v>
      </c>
      <c r="B1254" s="2"/>
      <c r="C1254" s="5">
        <f>WEEKDAY(Table1[[#This Row],[Date]])</f>
        <v>6</v>
      </c>
      <c r="D1254" s="5">
        <f>MONTH(Table1[[#This Row],[Date]])</f>
        <v>7</v>
      </c>
      <c r="E1254" s="5">
        <f>WEEKNUM(Table1[[#This Row],[Date]])</f>
        <v>30</v>
      </c>
      <c r="F1254" s="5">
        <f>YEAR(Table1[[#This Row],[Date]])</f>
        <v>2023</v>
      </c>
      <c r="H1254">
        <v>269.93704435825492</v>
      </c>
      <c r="I1254">
        <f>Table1[[#This Row],[Forecast]]*0.9</f>
        <v>242.94333992242943</v>
      </c>
      <c r="J1254">
        <f>Table1[[#This Row],[Forecast]]*0.8</f>
        <v>215.94963548660394</v>
      </c>
      <c r="K1254">
        <f>Table1[[#This Row],[Forecast]]*0.8</f>
        <v>215.94963548660394</v>
      </c>
      <c r="P1254" s="13">
        <f t="shared" ref="P1254:P1317" si="43">AVERAGE(P1147:P1253)</f>
        <v>1.9196555659074218E-3</v>
      </c>
      <c r="Z1254" s="8"/>
      <c r="AA1254" s="8">
        <f>CONVERT(Table1[[#This Row],[RevisedForecast 30% Recution2]]*Table1[[#This Row],[Talk Duration (AVG)]],"day","hr")</f>
        <v>9.9491740732209148</v>
      </c>
      <c r="AB1254" s="10">
        <f>(Table1[[#This Row],[Forecast Workload Hours]]*60)*1.2</f>
        <v>716.34053327190588</v>
      </c>
      <c r="AC1254" s="10">
        <f>IF(Table1[[#This Row],[Forecast WOrkload Minutes]]&lt;384,1,Table1[[#This Row],[Forecast WOrkload Minutes]]/384)</f>
        <v>1.8654701387289216</v>
      </c>
      <c r="AD1254" s="10">
        <f>ROUNDUP(Table1[[#This Row],[Forecast Headcount]],0)</f>
        <v>2</v>
      </c>
      <c r="AE1254" s="11">
        <v>161.8534228662202</v>
      </c>
      <c r="AF1254" s="11">
        <v>390.4023424913396</v>
      </c>
      <c r="AG1254" t="s">
        <v>7</v>
      </c>
    </row>
    <row r="1255" spans="1:33">
      <c r="A1255" s="2">
        <v>45136</v>
      </c>
      <c r="B1255" s="2"/>
      <c r="C1255" s="5">
        <f>WEEKDAY(Table1[[#This Row],[Date]])</f>
        <v>7</v>
      </c>
      <c r="D1255" s="5">
        <f>MONTH(Table1[[#This Row],[Date]])</f>
        <v>7</v>
      </c>
      <c r="E1255" s="5">
        <f>WEEKNUM(Table1[[#This Row],[Date]])</f>
        <v>30</v>
      </c>
      <c r="F1255" s="5">
        <f>YEAR(Table1[[#This Row],[Date]])</f>
        <v>2023</v>
      </c>
      <c r="H1255">
        <v>275.51758316145742</v>
      </c>
      <c r="I1255">
        <f>Table1[[#This Row],[Forecast]]*0.9</f>
        <v>247.96582484531169</v>
      </c>
      <c r="J1255">
        <f>Table1[[#This Row],[Forecast]]*0.8</f>
        <v>220.41406652916595</v>
      </c>
      <c r="K1255">
        <f>Table1[[#This Row],[Forecast]]*0.8</f>
        <v>220.41406652916595</v>
      </c>
      <c r="P1255" s="13">
        <f t="shared" si="43"/>
        <v>1.919640231978554E-3</v>
      </c>
      <c r="Z1255" s="8"/>
      <c r="AA1255" s="8">
        <f>CONVERT(Table1[[#This Row],[RevisedForecast 30% Recution2]]*Table1[[#This Row],[Talk Duration (AVG)]],"day","hr")</f>
        <v>10.15477703528123</v>
      </c>
      <c r="AB1255" s="10">
        <f>(Table1[[#This Row],[Forecast Workload Hours]]*60)*1.2</f>
        <v>731.14394654024852</v>
      </c>
      <c r="AC1255" s="10">
        <f>IF(Table1[[#This Row],[Forecast WOrkload Minutes]]&lt;384,1,Table1[[#This Row],[Forecast WOrkload Minutes]]/384)</f>
        <v>1.9040206941152304</v>
      </c>
      <c r="AD1255" s="10">
        <f>ROUNDUP(Table1[[#This Row],[Forecast Headcount]],0)</f>
        <v>2</v>
      </c>
      <c r="AE1255" s="11">
        <v>160.80400399932751</v>
      </c>
      <c r="AF1255" s="11">
        <v>386.62990140370363</v>
      </c>
      <c r="AG1255" t="s">
        <v>7</v>
      </c>
    </row>
    <row r="1256" spans="1:33">
      <c r="A1256" s="2">
        <v>45137</v>
      </c>
      <c r="B1256" s="2"/>
      <c r="C1256" s="5">
        <f>WEEKDAY(Table1[[#This Row],[Date]])</f>
        <v>1</v>
      </c>
      <c r="D1256" s="5">
        <f>MONTH(Table1[[#This Row],[Date]])</f>
        <v>7</v>
      </c>
      <c r="E1256" s="5">
        <f>WEEKNUM(Table1[[#This Row],[Date]])</f>
        <v>31</v>
      </c>
      <c r="F1256" s="5">
        <f>YEAR(Table1[[#This Row],[Date]])</f>
        <v>2023</v>
      </c>
      <c r="H1256">
        <v>185.1969128118094</v>
      </c>
      <c r="I1256">
        <f>Table1[[#This Row],[Forecast]]*0.9</f>
        <v>166.67722153062846</v>
      </c>
      <c r="J1256">
        <f>Table1[[#This Row],[Forecast]]*0.8</f>
        <v>148.15753024944752</v>
      </c>
      <c r="K1256">
        <f>Table1[[#This Row],[Forecast]]*0.8</f>
        <v>148.15753024944752</v>
      </c>
      <c r="P1256" s="13">
        <f t="shared" si="43"/>
        <v>1.9189757412424585E-3</v>
      </c>
      <c r="Z1256" s="8"/>
      <c r="AA1256" s="8">
        <f>CONVERT(Table1[[#This Row],[RevisedForecast 30% Recution2]]*Table1[[#This Row],[Talk Duration (AVG)]],"day","hr")</f>
        <v>6.8234569543460522</v>
      </c>
      <c r="AB1256" s="10">
        <f>(Table1[[#This Row],[Forecast Workload Hours]]*60)*1.2</f>
        <v>491.28890071291573</v>
      </c>
      <c r="AC1256" s="10">
        <f>IF(Table1[[#This Row],[Forecast WOrkload Minutes]]&lt;384,1,Table1[[#This Row],[Forecast WOrkload Minutes]]/384)</f>
        <v>1.2793981789398847</v>
      </c>
      <c r="AD1256" s="10">
        <f>ROUNDUP(Table1[[#This Row],[Forecast Headcount]],0)</f>
        <v>2</v>
      </c>
      <c r="AE1256" s="11">
        <v>73.037064698386018</v>
      </c>
      <c r="AF1256" s="11">
        <v>291.8949095839161</v>
      </c>
      <c r="AG1256" t="s">
        <v>7</v>
      </c>
    </row>
    <row r="1257" spans="1:33">
      <c r="A1257" s="2">
        <v>45138</v>
      </c>
      <c r="B1257" s="2"/>
      <c r="C1257" s="5">
        <f>WEEKDAY(Table1[[#This Row],[Date]])</f>
        <v>2</v>
      </c>
      <c r="D1257" s="5">
        <f>MONTH(Table1[[#This Row],[Date]])</f>
        <v>7</v>
      </c>
      <c r="E1257" s="5">
        <f>WEEKNUM(Table1[[#This Row],[Date]])</f>
        <v>31</v>
      </c>
      <c r="F1257" s="5">
        <f>YEAR(Table1[[#This Row],[Date]])</f>
        <v>2023</v>
      </c>
      <c r="H1257">
        <v>283.34043293627337</v>
      </c>
      <c r="I1257">
        <f>Table1[[#This Row],[Forecast]]*0.9</f>
        <v>255.00638964264604</v>
      </c>
      <c r="J1257">
        <f>Table1[[#This Row],[Forecast]]*0.8</f>
        <v>226.67234634901871</v>
      </c>
      <c r="K1257">
        <f>Table1[[#This Row],[Forecast]]*0.8</f>
        <v>226.67234634901871</v>
      </c>
      <c r="P1257" s="13">
        <f t="shared" si="43"/>
        <v>1.9180887024794078E-3</v>
      </c>
      <c r="Z1257" s="8"/>
      <c r="AA1257" s="8">
        <f>CONVERT(Table1[[#This Row],[RevisedForecast 30% Recution2]]*Table1[[#This Row],[Talk Duration (AVG)]],"day","hr")</f>
        <v>10.434664000717254</v>
      </c>
      <c r="AB1257" s="10">
        <f>(Table1[[#This Row],[Forecast Workload Hours]]*60)*1.2</f>
        <v>751.29580805164221</v>
      </c>
      <c r="AC1257" s="10">
        <f>IF(Table1[[#This Row],[Forecast WOrkload Minutes]]&lt;384,1,Table1[[#This Row],[Forecast WOrkload Minutes]]/384)</f>
        <v>1.9564995001344849</v>
      </c>
      <c r="AD1257" s="10">
        <f>ROUNDUP(Table1[[#This Row],[Forecast Headcount]],0)</f>
        <v>2</v>
      </c>
      <c r="AE1257" s="11">
        <v>175.44669015487469</v>
      </c>
      <c r="AF1257" s="11">
        <v>392.29879330600522</v>
      </c>
      <c r="AG1257" t="s">
        <v>7</v>
      </c>
    </row>
    <row r="1258" spans="1:33">
      <c r="A1258" s="2">
        <v>45139</v>
      </c>
      <c r="B1258" s="2"/>
      <c r="C1258" s="5">
        <f>WEEKDAY(Table1[[#This Row],[Date]])</f>
        <v>3</v>
      </c>
      <c r="D1258" s="5">
        <f>MONTH(Table1[[#This Row],[Date]])</f>
        <v>8</v>
      </c>
      <c r="E1258" s="5">
        <f>WEEKNUM(Table1[[#This Row],[Date]])</f>
        <v>31</v>
      </c>
      <c r="F1258" s="5">
        <f>YEAR(Table1[[#This Row],[Date]])</f>
        <v>2023</v>
      </c>
      <c r="H1258">
        <v>265.52210597369458</v>
      </c>
      <c r="I1258">
        <f>Table1[[#This Row],[Forecast]]*0.9</f>
        <v>238.96989537632513</v>
      </c>
      <c r="J1258">
        <f>Table1[[#This Row],[Forecast]]*0.8</f>
        <v>212.41768477895567</v>
      </c>
      <c r="K1258">
        <f>Table1[[#This Row],[Forecast]]*0.8</f>
        <v>212.41768477895567</v>
      </c>
      <c r="P1258" s="13">
        <f t="shared" si="43"/>
        <v>1.9178423871339405E-3</v>
      </c>
      <c r="Z1258" s="8"/>
      <c r="AA1258" s="8">
        <f>CONVERT(Table1[[#This Row],[RevisedForecast 30% Recution2]]*Table1[[#This Row],[Talk Duration (AVG)]],"day","hr")</f>
        <v>9.7772073515024953</v>
      </c>
      <c r="AB1258" s="10">
        <f>(Table1[[#This Row],[Forecast Workload Hours]]*60)*1.2</f>
        <v>703.95892930817968</v>
      </c>
      <c r="AC1258" s="10">
        <f>IF(Table1[[#This Row],[Forecast WOrkload Minutes]]&lt;384,1,Table1[[#This Row],[Forecast WOrkload Minutes]]/384)</f>
        <v>1.833226378406718</v>
      </c>
      <c r="AD1258" s="10">
        <f>ROUNDUP(Table1[[#This Row],[Forecast Headcount]],0)</f>
        <v>2</v>
      </c>
      <c r="AE1258" s="11">
        <v>158.4385390082212</v>
      </c>
      <c r="AF1258" s="11">
        <v>378.36916307775903</v>
      </c>
      <c r="AG1258" t="s">
        <v>7</v>
      </c>
    </row>
    <row r="1259" spans="1:33">
      <c r="A1259" s="2">
        <v>45140</v>
      </c>
      <c r="B1259" s="2"/>
      <c r="C1259" s="5">
        <f>WEEKDAY(Table1[[#This Row],[Date]])</f>
        <v>4</v>
      </c>
      <c r="D1259" s="5">
        <f>MONTH(Table1[[#This Row],[Date]])</f>
        <v>8</v>
      </c>
      <c r="E1259" s="5">
        <f>WEEKNUM(Table1[[#This Row],[Date]])</f>
        <v>31</v>
      </c>
      <c r="F1259" s="5">
        <f>YEAR(Table1[[#This Row],[Date]])</f>
        <v>2023</v>
      </c>
      <c r="H1259">
        <v>275.9639663408754</v>
      </c>
      <c r="I1259">
        <f>Table1[[#This Row],[Forecast]]*0.9</f>
        <v>248.36756970678786</v>
      </c>
      <c r="J1259">
        <f>Table1[[#This Row],[Forecast]]*0.8</f>
        <v>220.77117307270032</v>
      </c>
      <c r="K1259">
        <f>Table1[[#This Row],[Forecast]]*0.8</f>
        <v>220.77117307270032</v>
      </c>
      <c r="P1259" s="13">
        <f t="shared" si="43"/>
        <v>1.9192163035246005E-3</v>
      </c>
      <c r="Z1259" s="8"/>
      <c r="AA1259" s="8">
        <f>CONVERT(Table1[[#This Row],[RevisedForecast 30% Recution2]]*Table1[[#This Row],[Talk Duration (AVG)]],"day","hr")</f>
        <v>10.168983233025065</v>
      </c>
      <c r="AB1259" s="10">
        <f>(Table1[[#This Row],[Forecast Workload Hours]]*60)*1.2</f>
        <v>732.16679277780463</v>
      </c>
      <c r="AC1259" s="10">
        <f>IF(Table1[[#This Row],[Forecast WOrkload Minutes]]&lt;384,1,Table1[[#This Row],[Forecast WOrkload Minutes]]/384)</f>
        <v>1.9066843561921996</v>
      </c>
      <c r="AD1259" s="10">
        <f>ROUNDUP(Table1[[#This Row],[Forecast Headcount]],0)</f>
        <v>2</v>
      </c>
      <c r="AE1259" s="11">
        <v>165.31333847808509</v>
      </c>
      <c r="AF1259" s="11">
        <v>384.19895589639123</v>
      </c>
      <c r="AG1259" t="s">
        <v>7</v>
      </c>
    </row>
    <row r="1260" spans="1:33">
      <c r="A1260" s="2">
        <v>45141</v>
      </c>
      <c r="B1260" s="2"/>
      <c r="C1260" s="5">
        <f>WEEKDAY(Table1[[#This Row],[Date]])</f>
        <v>5</v>
      </c>
      <c r="D1260" s="5">
        <f>MONTH(Table1[[#This Row],[Date]])</f>
        <v>8</v>
      </c>
      <c r="E1260" s="5">
        <f>WEEKNUM(Table1[[#This Row],[Date]])</f>
        <v>31</v>
      </c>
      <c r="F1260" s="5">
        <f>YEAR(Table1[[#This Row],[Date]])</f>
        <v>2023</v>
      </c>
      <c r="H1260">
        <v>269.40408353656238</v>
      </c>
      <c r="I1260">
        <f>Table1[[#This Row],[Forecast]]*0.9</f>
        <v>242.46367518290614</v>
      </c>
      <c r="J1260">
        <f>Table1[[#This Row],[Forecast]]*0.8</f>
        <v>215.52326682924991</v>
      </c>
      <c r="K1260">
        <f>Table1[[#This Row],[Forecast]]*0.8</f>
        <v>215.52326682924991</v>
      </c>
      <c r="P1260" s="13">
        <f t="shared" si="43"/>
        <v>1.9187641886734975E-3</v>
      </c>
      <c r="Z1260" s="8"/>
      <c r="AA1260" s="8">
        <f>CONVERT(Table1[[#This Row],[RevisedForecast 30% Recution2]]*Table1[[#This Row],[Talk Duration (AVG)]],"day","hr")</f>
        <v>9.9249198292292977</v>
      </c>
      <c r="AB1260" s="10">
        <f>(Table1[[#This Row],[Forecast Workload Hours]]*60)*1.2</f>
        <v>714.59422770450931</v>
      </c>
      <c r="AC1260" s="10">
        <f>IF(Table1[[#This Row],[Forecast WOrkload Minutes]]&lt;384,1,Table1[[#This Row],[Forecast WOrkload Minutes]]/384)</f>
        <v>1.860922467980493</v>
      </c>
      <c r="AD1260" s="10">
        <f>ROUNDUP(Table1[[#This Row],[Forecast Headcount]],0)</f>
        <v>2</v>
      </c>
      <c r="AE1260" s="11">
        <v>157.43276107919991</v>
      </c>
      <c r="AF1260" s="11">
        <v>379.06074660682663</v>
      </c>
      <c r="AG1260" t="s">
        <v>7</v>
      </c>
    </row>
    <row r="1261" spans="1:33">
      <c r="A1261" s="2">
        <v>45142</v>
      </c>
      <c r="B1261" s="2"/>
      <c r="C1261" s="5">
        <f>WEEKDAY(Table1[[#This Row],[Date]])</f>
        <v>6</v>
      </c>
      <c r="D1261" s="5">
        <f>MONTH(Table1[[#This Row],[Date]])</f>
        <v>8</v>
      </c>
      <c r="E1261" s="5">
        <f>WEEKNUM(Table1[[#This Row],[Date]])</f>
        <v>31</v>
      </c>
      <c r="F1261" s="5">
        <f>YEAR(Table1[[#This Row],[Date]])</f>
        <v>2023</v>
      </c>
      <c r="H1261">
        <v>258.74653122316857</v>
      </c>
      <c r="I1261">
        <f>Table1[[#This Row],[Forecast]]*0.9</f>
        <v>232.87187810085172</v>
      </c>
      <c r="J1261">
        <f>Table1[[#This Row],[Forecast]]*0.8</f>
        <v>206.99722497853486</v>
      </c>
      <c r="K1261">
        <f>Table1[[#This Row],[Forecast]]*0.8</f>
        <v>206.99722497853486</v>
      </c>
      <c r="P1261" s="13">
        <f t="shared" si="43"/>
        <v>1.9186323551996949E-3</v>
      </c>
      <c r="Z1261" s="8"/>
      <c r="AA1261" s="8">
        <f>CONVERT(Table1[[#This Row],[RevisedForecast 30% Recution2]]*Table1[[#This Row],[Talk Duration (AVG)]],"day","hr")</f>
        <v>9.5316377587288201</v>
      </c>
      <c r="AB1261" s="10">
        <f>(Table1[[#This Row],[Forecast Workload Hours]]*60)*1.2</f>
        <v>686.27791862847494</v>
      </c>
      <c r="AC1261" s="10">
        <f>IF(Table1[[#This Row],[Forecast WOrkload Minutes]]&lt;384,1,Table1[[#This Row],[Forecast WOrkload Minutes]]/384)</f>
        <v>1.7871820797616536</v>
      </c>
      <c r="AD1261" s="10">
        <f>ROUNDUP(Table1[[#This Row],[Forecast Headcount]],0)</f>
        <v>2</v>
      </c>
      <c r="AE1261" s="11">
        <v>139.18605882854209</v>
      </c>
      <c r="AF1261" s="11">
        <v>366.95976561443752</v>
      </c>
      <c r="AG1261" t="s">
        <v>7</v>
      </c>
    </row>
    <row r="1262" spans="1:33">
      <c r="A1262" s="2">
        <v>45143</v>
      </c>
      <c r="B1262" s="2"/>
      <c r="C1262" s="5">
        <f>WEEKDAY(Table1[[#This Row],[Date]])</f>
        <v>7</v>
      </c>
      <c r="D1262" s="5">
        <f>MONTH(Table1[[#This Row],[Date]])</f>
        <v>8</v>
      </c>
      <c r="E1262" s="5">
        <f>WEEKNUM(Table1[[#This Row],[Date]])</f>
        <v>31</v>
      </c>
      <c r="F1262" s="5">
        <f>YEAR(Table1[[#This Row],[Date]])</f>
        <v>2023</v>
      </c>
      <c r="H1262">
        <v>264.1206408653203</v>
      </c>
      <c r="I1262">
        <f>Table1[[#This Row],[Forecast]]*0.9</f>
        <v>237.70857677878828</v>
      </c>
      <c r="J1262">
        <f>Table1[[#This Row],[Forecast]]*0.8</f>
        <v>211.29651269225624</v>
      </c>
      <c r="K1262">
        <f>Table1[[#This Row],[Forecast]]*0.8</f>
        <v>211.29651269225624</v>
      </c>
      <c r="P1262" s="13">
        <f t="shared" si="43"/>
        <v>1.9200136544694742E-3</v>
      </c>
      <c r="Z1262" s="8"/>
      <c r="AA1262" s="8">
        <f>CONVERT(Table1[[#This Row],[RevisedForecast 30% Recution2]]*Table1[[#This Row],[Talk Duration (AVG)]],"day","hr")</f>
        <v>9.7366125482619506</v>
      </c>
      <c r="AB1262" s="10">
        <f>(Table1[[#This Row],[Forecast Workload Hours]]*60)*1.2</f>
        <v>701.0361034748604</v>
      </c>
      <c r="AC1262" s="10">
        <f>IF(Table1[[#This Row],[Forecast WOrkload Minutes]]&lt;384,1,Table1[[#This Row],[Forecast WOrkload Minutes]]/384)</f>
        <v>1.8256148527991156</v>
      </c>
      <c r="AD1262" s="10">
        <f>ROUNDUP(Table1[[#This Row],[Forecast Headcount]],0)</f>
        <v>2</v>
      </c>
      <c r="AE1262" s="11">
        <v>154.00902318982031</v>
      </c>
      <c r="AF1262" s="11">
        <v>369.58863506305988</v>
      </c>
      <c r="AG1262" t="s">
        <v>7</v>
      </c>
    </row>
    <row r="1263" spans="1:33">
      <c r="A1263" s="2">
        <v>45144</v>
      </c>
      <c r="B1263" s="2"/>
      <c r="C1263" s="5">
        <f>WEEKDAY(Table1[[#This Row],[Date]])</f>
        <v>1</v>
      </c>
      <c r="D1263" s="5">
        <f>MONTH(Table1[[#This Row],[Date]])</f>
        <v>8</v>
      </c>
      <c r="E1263" s="5">
        <f>WEEKNUM(Table1[[#This Row],[Date]])</f>
        <v>32</v>
      </c>
      <c r="F1263" s="5">
        <f>YEAR(Table1[[#This Row],[Date]])</f>
        <v>2023</v>
      </c>
      <c r="H1263">
        <v>173.69872304220021</v>
      </c>
      <c r="I1263">
        <f>Table1[[#This Row],[Forecast]]*0.9</f>
        <v>156.32885073798019</v>
      </c>
      <c r="J1263">
        <f>Table1[[#This Row],[Forecast]]*0.8</f>
        <v>138.95897843376017</v>
      </c>
      <c r="K1263">
        <f>Table1[[#This Row],[Forecast]]*0.8</f>
        <v>138.95897843376017</v>
      </c>
      <c r="P1263" s="13">
        <f t="shared" si="43"/>
        <v>1.9178382888310789E-3</v>
      </c>
      <c r="Z1263" s="8"/>
      <c r="AA1263" s="8">
        <f>CONVERT(Table1[[#This Row],[RevisedForecast 30% Recution2]]*Table1[[#This Row],[Talk Duration (AVG)]],"day","hr")</f>
        <v>6.3960203860108171</v>
      </c>
      <c r="AB1263" s="10">
        <f>(Table1[[#This Row],[Forecast Workload Hours]]*60)*1.2</f>
        <v>460.51346779277878</v>
      </c>
      <c r="AC1263" s="10">
        <f>IF(Table1[[#This Row],[Forecast WOrkload Minutes]]&lt;384,1,Table1[[#This Row],[Forecast WOrkload Minutes]]/384)</f>
        <v>1.1992538223770282</v>
      </c>
      <c r="AD1263" s="10">
        <f>ROUNDUP(Table1[[#This Row],[Forecast Headcount]],0)</f>
        <v>2</v>
      </c>
      <c r="AE1263" s="11">
        <v>62.797189882855903</v>
      </c>
      <c r="AF1263" s="11">
        <v>276.61755214763821</v>
      </c>
      <c r="AG1263" t="s">
        <v>7</v>
      </c>
    </row>
    <row r="1264" spans="1:33">
      <c r="A1264" s="2">
        <v>45145</v>
      </c>
      <c r="B1264" s="2"/>
      <c r="C1264" s="5">
        <f>WEEKDAY(Table1[[#This Row],[Date]])</f>
        <v>2</v>
      </c>
      <c r="D1264" s="5">
        <f>MONTH(Table1[[#This Row],[Date]])</f>
        <v>8</v>
      </c>
      <c r="E1264" s="5">
        <f>WEEKNUM(Table1[[#This Row],[Date]])</f>
        <v>32</v>
      </c>
      <c r="F1264" s="5">
        <f>YEAR(Table1[[#This Row],[Date]])</f>
        <v>2023</v>
      </c>
      <c r="H1264">
        <v>271.8545618090368</v>
      </c>
      <c r="I1264">
        <f>Table1[[#This Row],[Forecast]]*0.9</f>
        <v>244.66910562813311</v>
      </c>
      <c r="J1264">
        <f>Table1[[#This Row],[Forecast]]*0.8</f>
        <v>217.48364944722945</v>
      </c>
      <c r="K1264">
        <f>Table1[[#This Row],[Forecast]]*0.8</f>
        <v>217.48364944722945</v>
      </c>
      <c r="P1264" s="13">
        <f t="shared" si="43"/>
        <v>1.9157507615892785E-3</v>
      </c>
      <c r="Z1264" s="8"/>
      <c r="AA1264" s="8">
        <f>CONVERT(Table1[[#This Row],[RevisedForecast 30% Recution2]]*Table1[[#This Row],[Talk Duration (AVG)]],"day","hr")</f>
        <v>9.9994672094818924</v>
      </c>
      <c r="AB1264" s="10">
        <f>(Table1[[#This Row],[Forecast Workload Hours]]*60)*1.2</f>
        <v>719.96163908269614</v>
      </c>
      <c r="AC1264" s="10">
        <f>IF(Table1[[#This Row],[Forecast WOrkload Minutes]]&lt;384,1,Table1[[#This Row],[Forecast WOrkload Minutes]]/384)</f>
        <v>1.8749001017778546</v>
      </c>
      <c r="AD1264" s="10">
        <f>ROUNDUP(Table1[[#This Row],[Forecast Headcount]],0)</f>
        <v>2</v>
      </c>
      <c r="AE1264" s="11">
        <v>164.4222409461361</v>
      </c>
      <c r="AF1264" s="11">
        <v>378.41647564948681</v>
      </c>
      <c r="AG1264" t="s">
        <v>7</v>
      </c>
    </row>
    <row r="1265" spans="1:33">
      <c r="A1265" s="2">
        <v>45146</v>
      </c>
      <c r="B1265" s="2"/>
      <c r="C1265" s="5">
        <f>WEEKDAY(Table1[[#This Row],[Date]])</f>
        <v>3</v>
      </c>
      <c r="D1265" s="5">
        <f>MONTH(Table1[[#This Row],[Date]])</f>
        <v>8</v>
      </c>
      <c r="E1265" s="5">
        <f>WEEKNUM(Table1[[#This Row],[Date]])</f>
        <v>32</v>
      </c>
      <c r="F1265" s="5">
        <f>YEAR(Table1[[#This Row],[Date]])</f>
        <v>2023</v>
      </c>
      <c r="H1265">
        <v>254.1682913483277</v>
      </c>
      <c r="I1265">
        <f>Table1[[#This Row],[Forecast]]*0.9</f>
        <v>228.75146221349493</v>
      </c>
      <c r="J1265">
        <f>Table1[[#This Row],[Forecast]]*0.8</f>
        <v>203.33463307866216</v>
      </c>
      <c r="K1265">
        <f>Table1[[#This Row],[Forecast]]*0.8</f>
        <v>203.33463307866216</v>
      </c>
      <c r="P1265" s="13">
        <f t="shared" si="43"/>
        <v>1.9147254139128889E-3</v>
      </c>
      <c r="Z1265" s="8"/>
      <c r="AA1265" s="8">
        <f>CONVERT(Table1[[#This Row],[RevisedForecast 30% Recution2]]*Table1[[#This Row],[Talk Duration (AVG)]],"day","hr")</f>
        <v>9.3439197476248026</v>
      </c>
      <c r="AB1265" s="10">
        <f>(Table1[[#This Row],[Forecast Workload Hours]]*60)*1.2</f>
        <v>672.76222182898584</v>
      </c>
      <c r="AC1265" s="10">
        <f>IF(Table1[[#This Row],[Forecast WOrkload Minutes]]&lt;384,1,Table1[[#This Row],[Forecast WOrkload Minutes]]/384)</f>
        <v>1.7519849526796507</v>
      </c>
      <c r="AD1265" s="10">
        <f>ROUNDUP(Table1[[#This Row],[Forecast Headcount]],0)</f>
        <v>2</v>
      </c>
      <c r="AE1265" s="11">
        <v>138.91044633725971</v>
      </c>
      <c r="AF1265" s="11">
        <v>359.52349266641789</v>
      </c>
      <c r="AG1265" t="s">
        <v>7</v>
      </c>
    </row>
    <row r="1266" spans="1:33">
      <c r="A1266" s="2">
        <v>45147</v>
      </c>
      <c r="B1266" s="2"/>
      <c r="C1266" s="5">
        <f>WEEKDAY(Table1[[#This Row],[Date]])</f>
        <v>4</v>
      </c>
      <c r="D1266" s="5">
        <f>MONTH(Table1[[#This Row],[Date]])</f>
        <v>8</v>
      </c>
      <c r="E1266" s="5">
        <f>WEEKNUM(Table1[[#This Row],[Date]])</f>
        <v>32</v>
      </c>
      <c r="F1266" s="5">
        <f>YEAR(Table1[[#This Row],[Date]])</f>
        <v>2023</v>
      </c>
      <c r="H1266">
        <v>264.8656695106115</v>
      </c>
      <c r="I1266">
        <f>Table1[[#This Row],[Forecast]]*0.9</f>
        <v>238.37910255955035</v>
      </c>
      <c r="J1266">
        <f>Table1[[#This Row],[Forecast]]*0.8</f>
        <v>211.8925356084892</v>
      </c>
      <c r="K1266">
        <f>Table1[[#This Row],[Forecast]]*0.8</f>
        <v>211.8925356084892</v>
      </c>
      <c r="P1266" s="13">
        <f t="shared" si="43"/>
        <v>1.9146640037971559E-3</v>
      </c>
      <c r="Z1266" s="8"/>
      <c r="AA1266" s="8">
        <f>CONVERT(Table1[[#This Row],[RevisedForecast 30% Recution2]]*Table1[[#This Row],[Talk Duration (AVG)]],"day","hr")</f>
        <v>9.7368722544691533</v>
      </c>
      <c r="AB1266" s="10">
        <f>(Table1[[#This Row],[Forecast Workload Hours]]*60)*1.2</f>
        <v>701.05480232177899</v>
      </c>
      <c r="AC1266" s="10">
        <f>IF(Table1[[#This Row],[Forecast WOrkload Minutes]]&lt;384,1,Table1[[#This Row],[Forecast WOrkload Minutes]]/384)</f>
        <v>1.8256635477129661</v>
      </c>
      <c r="AD1266" s="10">
        <f>ROUNDUP(Table1[[#This Row],[Forecast Headcount]],0)</f>
        <v>2</v>
      </c>
      <c r="AE1266" s="11">
        <v>159.70026142323391</v>
      </c>
      <c r="AF1266" s="11">
        <v>382.20476246256891</v>
      </c>
      <c r="AG1266" t="s">
        <v>7</v>
      </c>
    </row>
    <row r="1267" spans="1:33">
      <c r="A1267" s="2">
        <v>45148</v>
      </c>
      <c r="B1267" s="2"/>
      <c r="C1267" s="5">
        <f>WEEKDAY(Table1[[#This Row],[Date]])</f>
        <v>5</v>
      </c>
      <c r="D1267" s="5">
        <f>MONTH(Table1[[#This Row],[Date]])</f>
        <v>8</v>
      </c>
      <c r="E1267" s="5">
        <f>WEEKNUM(Table1[[#This Row],[Date]])</f>
        <v>32</v>
      </c>
      <c r="F1267" s="5">
        <f>YEAR(Table1[[#This Row],[Date]])</f>
        <v>2023</v>
      </c>
      <c r="H1267">
        <v>258.68586830422782</v>
      </c>
      <c r="I1267">
        <f>Table1[[#This Row],[Forecast]]*0.9</f>
        <v>232.81728147380505</v>
      </c>
      <c r="J1267">
        <f>Table1[[#This Row],[Forecast]]*0.8</f>
        <v>206.94869464338228</v>
      </c>
      <c r="K1267">
        <f>Table1[[#This Row],[Forecast]]*0.8</f>
        <v>206.94869464338228</v>
      </c>
      <c r="P1267" s="13">
        <f t="shared" si="43"/>
        <v>1.9113569522577042E-3</v>
      </c>
      <c r="Z1267" s="8"/>
      <c r="AA1267" s="8">
        <f>CONVERT(Table1[[#This Row],[RevisedForecast 30% Recution2]]*Table1[[#This Row],[Talk Duration (AVG)]],"day","hr")</f>
        <v>9.493267830414851</v>
      </c>
      <c r="AB1267" s="10">
        <f>(Table1[[#This Row],[Forecast Workload Hours]]*60)*1.2</f>
        <v>683.51528378986927</v>
      </c>
      <c r="AC1267" s="10">
        <f>IF(Table1[[#This Row],[Forecast WOrkload Minutes]]&lt;384,1,Table1[[#This Row],[Forecast WOrkload Minutes]]/384)</f>
        <v>1.7799877182027846</v>
      </c>
      <c r="AD1267" s="10">
        <f>ROUNDUP(Table1[[#This Row],[Forecast Headcount]],0)</f>
        <v>2</v>
      </c>
      <c r="AE1267" s="11">
        <v>147.60529406365319</v>
      </c>
      <c r="AF1267" s="11">
        <v>372.44352309526522</v>
      </c>
      <c r="AG1267" t="s">
        <v>7</v>
      </c>
    </row>
    <row r="1268" spans="1:33">
      <c r="A1268" s="2">
        <v>45149</v>
      </c>
      <c r="B1268" s="2"/>
      <c r="C1268" s="5">
        <f>WEEKDAY(Table1[[#This Row],[Date]])</f>
        <v>6</v>
      </c>
      <c r="D1268" s="5">
        <f>MONTH(Table1[[#This Row],[Date]])</f>
        <v>8</v>
      </c>
      <c r="E1268" s="5">
        <f>WEEKNUM(Table1[[#This Row],[Date]])</f>
        <v>32</v>
      </c>
      <c r="F1268" s="5">
        <f>YEAR(Table1[[#This Row],[Date]])</f>
        <v>2023</v>
      </c>
      <c r="H1268">
        <v>248.53133862644961</v>
      </c>
      <c r="I1268">
        <f>Table1[[#This Row],[Forecast]]*0.9</f>
        <v>223.67820476380464</v>
      </c>
      <c r="J1268">
        <f>Table1[[#This Row],[Forecast]]*0.8</f>
        <v>198.82507090115971</v>
      </c>
      <c r="K1268">
        <f>Table1[[#This Row],[Forecast]]*0.8</f>
        <v>198.82507090115971</v>
      </c>
      <c r="P1268" s="13">
        <f t="shared" si="43"/>
        <v>1.9093170206934806E-3</v>
      </c>
      <c r="Z1268" s="8"/>
      <c r="AA1268" s="8">
        <f>CONVERT(Table1[[#This Row],[RevisedForecast 30% Recution2]]*Table1[[#This Row],[Talk Duration (AVG)]],"day","hr")</f>
        <v>9.1108822082921339</v>
      </c>
      <c r="AB1268" s="10">
        <f>(Table1[[#This Row],[Forecast Workload Hours]]*60)*1.2</f>
        <v>655.98351899703357</v>
      </c>
      <c r="AC1268" s="10">
        <f>IF(Table1[[#This Row],[Forecast WOrkload Minutes]]&lt;384,1,Table1[[#This Row],[Forecast WOrkload Minutes]]/384)</f>
        <v>1.708290414054775</v>
      </c>
      <c r="AD1268" s="10">
        <f>ROUNDUP(Table1[[#This Row],[Forecast Headcount]],0)</f>
        <v>2</v>
      </c>
      <c r="AE1268" s="11">
        <v>141.92031394534149</v>
      </c>
      <c r="AF1268" s="11">
        <v>356.5446393329413</v>
      </c>
      <c r="AG1268" t="s">
        <v>7</v>
      </c>
    </row>
    <row r="1269" spans="1:33">
      <c r="A1269" s="2">
        <v>45150</v>
      </c>
      <c r="B1269" s="2"/>
      <c r="C1269" s="5">
        <f>WEEKDAY(Table1[[#This Row],[Date]])</f>
        <v>7</v>
      </c>
      <c r="D1269" s="5">
        <f>MONTH(Table1[[#This Row],[Date]])</f>
        <v>8</v>
      </c>
      <c r="E1269" s="5">
        <f>WEEKNUM(Table1[[#This Row],[Date]])</f>
        <v>32</v>
      </c>
      <c r="F1269" s="5">
        <f>YEAR(Table1[[#This Row],[Date]])</f>
        <v>2023</v>
      </c>
      <c r="H1269">
        <v>254.52703116005549</v>
      </c>
      <c r="I1269">
        <f>Table1[[#This Row],[Forecast]]*0.9</f>
        <v>229.07432804404993</v>
      </c>
      <c r="J1269">
        <f>Table1[[#This Row],[Forecast]]*0.8</f>
        <v>203.62162492804441</v>
      </c>
      <c r="K1269">
        <f>Table1[[#This Row],[Forecast]]*0.8</f>
        <v>203.62162492804441</v>
      </c>
      <c r="P1269" s="13">
        <f t="shared" si="43"/>
        <v>1.9095295715964656E-3</v>
      </c>
      <c r="Z1269" s="8"/>
      <c r="AA1269" s="8">
        <f>CONVERT(Table1[[#This Row],[RevisedForecast 30% Recution2]]*Table1[[#This Row],[Talk Duration (AVG)]],"day","hr")</f>
        <v>9.3317163411989981</v>
      </c>
      <c r="AB1269" s="10">
        <f>(Table1[[#This Row],[Forecast Workload Hours]]*60)*1.2</f>
        <v>671.88357656632775</v>
      </c>
      <c r="AC1269" s="10">
        <f>IF(Table1[[#This Row],[Forecast WOrkload Minutes]]&lt;384,1,Table1[[#This Row],[Forecast WOrkload Minutes]]/384)</f>
        <v>1.7496968139748119</v>
      </c>
      <c r="AD1269" s="10">
        <f>ROUNDUP(Table1[[#This Row],[Forecast Headcount]],0)</f>
        <v>2</v>
      </c>
      <c r="AE1269" s="11">
        <v>144.61029979376681</v>
      </c>
      <c r="AF1269" s="11">
        <v>360.80787750088501</v>
      </c>
      <c r="AG1269" t="s">
        <v>7</v>
      </c>
    </row>
    <row r="1270" spans="1:33">
      <c r="A1270" s="2">
        <v>45151</v>
      </c>
      <c r="B1270" s="2"/>
      <c r="C1270" s="5">
        <f>WEEKDAY(Table1[[#This Row],[Date]])</f>
        <v>1</v>
      </c>
      <c r="D1270" s="5">
        <f>MONTH(Table1[[#This Row],[Date]])</f>
        <v>8</v>
      </c>
      <c r="E1270" s="5">
        <f>WEEKNUM(Table1[[#This Row],[Date]])</f>
        <v>33</v>
      </c>
      <c r="F1270" s="5">
        <f>YEAR(Table1[[#This Row],[Date]])</f>
        <v>2023</v>
      </c>
      <c r="H1270">
        <v>164.83815795002559</v>
      </c>
      <c r="I1270">
        <f>Table1[[#This Row],[Forecast]]*0.9</f>
        <v>148.35434215502303</v>
      </c>
      <c r="J1270">
        <f>Table1[[#This Row],[Forecast]]*0.8</f>
        <v>131.87052636002048</v>
      </c>
      <c r="K1270">
        <f>Table1[[#This Row],[Forecast]]*0.8</f>
        <v>131.87052636002048</v>
      </c>
      <c r="P1270" s="13">
        <f t="shared" si="43"/>
        <v>1.9087705887072669E-3</v>
      </c>
      <c r="Z1270" s="8"/>
      <c r="AA1270" s="8">
        <f>CONVERT(Table1[[#This Row],[RevisedForecast 30% Recution2]]*Table1[[#This Row],[Talk Duration (AVG)]],"day","hr")</f>
        <v>6.0410539736004827</v>
      </c>
      <c r="AB1270" s="10">
        <f>(Table1[[#This Row],[Forecast Workload Hours]]*60)*1.2</f>
        <v>434.95588609923476</v>
      </c>
      <c r="AC1270" s="10">
        <f>IF(Table1[[#This Row],[Forecast WOrkload Minutes]]&lt;384,1,Table1[[#This Row],[Forecast WOrkload Minutes]]/384)</f>
        <v>1.1326976200500904</v>
      </c>
      <c r="AD1270" s="10">
        <f>ROUNDUP(Table1[[#This Row],[Forecast Headcount]],0)</f>
        <v>2</v>
      </c>
      <c r="AE1270" s="11">
        <v>54.555421759932443</v>
      </c>
      <c r="AF1270" s="11">
        <v>275.98810757469391</v>
      </c>
      <c r="AG1270" t="s">
        <v>7</v>
      </c>
    </row>
    <row r="1271" spans="1:33">
      <c r="A1271" s="2">
        <v>45152</v>
      </c>
      <c r="B1271" s="2"/>
      <c r="C1271" s="5">
        <f>WEEKDAY(Table1[[#This Row],[Date]])</f>
        <v>2</v>
      </c>
      <c r="D1271" s="5">
        <f>MONTH(Table1[[#This Row],[Date]])</f>
        <v>8</v>
      </c>
      <c r="E1271" s="5">
        <f>WEEKNUM(Table1[[#This Row],[Date]])</f>
        <v>33</v>
      </c>
      <c r="F1271" s="5">
        <f>YEAR(Table1[[#This Row],[Date]])</f>
        <v>2023</v>
      </c>
      <c r="H1271">
        <v>263.82879940535031</v>
      </c>
      <c r="I1271">
        <f>Table1[[#This Row],[Forecast]]*0.9</f>
        <v>237.44591946481529</v>
      </c>
      <c r="J1271">
        <f>Table1[[#This Row],[Forecast]]*0.8</f>
        <v>211.06303952428027</v>
      </c>
      <c r="K1271">
        <f>Table1[[#This Row],[Forecast]]*0.8</f>
        <v>211.06303952428027</v>
      </c>
      <c r="P1271" s="13">
        <f t="shared" si="43"/>
        <v>1.9089780327692591E-3</v>
      </c>
      <c r="Z1271" s="8"/>
      <c r="AA1271" s="8">
        <f>CONVERT(Table1[[#This Row],[RevisedForecast 30% Recution2]]*Table1[[#This Row],[Talk Duration (AVG)]],"day","hr")</f>
        <v>9.6699529435526621</v>
      </c>
      <c r="AB1271" s="10">
        <f>(Table1[[#This Row],[Forecast Workload Hours]]*60)*1.2</f>
        <v>696.23661193579164</v>
      </c>
      <c r="AC1271" s="10">
        <f>IF(Table1[[#This Row],[Forecast WOrkload Minutes]]&lt;384,1,Table1[[#This Row],[Forecast WOrkload Minutes]]/384)</f>
        <v>1.8131161769161241</v>
      </c>
      <c r="AD1271" s="10">
        <f>ROUNDUP(Table1[[#This Row],[Forecast Headcount]],0)</f>
        <v>2</v>
      </c>
      <c r="AE1271" s="11">
        <v>154.19804653889909</v>
      </c>
      <c r="AF1271" s="11">
        <v>378.0894948522045</v>
      </c>
      <c r="AG1271" t="s">
        <v>7</v>
      </c>
    </row>
    <row r="1272" spans="1:33">
      <c r="A1272" s="2">
        <v>45153</v>
      </c>
      <c r="B1272" s="2"/>
      <c r="C1272" s="5">
        <f>WEEKDAY(Table1[[#This Row],[Date]])</f>
        <v>3</v>
      </c>
      <c r="D1272" s="5">
        <f>MONTH(Table1[[#This Row],[Date]])</f>
        <v>8</v>
      </c>
      <c r="E1272" s="5">
        <f>WEEKNUM(Table1[[#This Row],[Date]])</f>
        <v>33</v>
      </c>
      <c r="F1272" s="5">
        <f>YEAR(Table1[[#This Row],[Date]])</f>
        <v>2023</v>
      </c>
      <c r="H1272">
        <v>247.0669633783676</v>
      </c>
      <c r="I1272">
        <f>Table1[[#This Row],[Forecast]]*0.9</f>
        <v>222.36026704053086</v>
      </c>
      <c r="J1272">
        <f>Table1[[#This Row],[Forecast]]*0.8</f>
        <v>197.65357070269408</v>
      </c>
      <c r="K1272">
        <f>Table1[[#This Row],[Forecast]]*0.8</f>
        <v>197.65357070269408</v>
      </c>
      <c r="P1272" s="13">
        <f t="shared" si="43"/>
        <v>1.9081057263950019E-3</v>
      </c>
      <c r="Z1272" s="8"/>
      <c r="AA1272" s="8">
        <f>CONVERT(Table1[[#This Row],[RevisedForecast 30% Recution2]]*Table1[[#This Row],[Talk Duration (AVG)]],"day","hr")</f>
        <v>9.05145384240552</v>
      </c>
      <c r="AB1272" s="10">
        <f>(Table1[[#This Row],[Forecast Workload Hours]]*60)*1.2</f>
        <v>651.70467665319745</v>
      </c>
      <c r="AC1272" s="10">
        <f>IF(Table1[[#This Row],[Forecast WOrkload Minutes]]&lt;384,1,Table1[[#This Row],[Forecast WOrkload Minutes]]/384)</f>
        <v>1.6971475954510351</v>
      </c>
      <c r="AD1272" s="10">
        <f>ROUNDUP(Table1[[#This Row],[Forecast Headcount]],0)</f>
        <v>2</v>
      </c>
      <c r="AE1272" s="11">
        <v>136.7013960442163</v>
      </c>
      <c r="AF1272" s="11">
        <v>362.4842632504654</v>
      </c>
      <c r="AG1272" t="s">
        <v>7</v>
      </c>
    </row>
    <row r="1273" spans="1:33">
      <c r="A1273" s="2">
        <v>45154</v>
      </c>
      <c r="B1273" s="2"/>
      <c r="C1273" s="5">
        <f>WEEKDAY(Table1[[#This Row],[Date]])</f>
        <v>4</v>
      </c>
      <c r="D1273" s="5">
        <f>MONTH(Table1[[#This Row],[Date]])</f>
        <v>8</v>
      </c>
      <c r="E1273" s="5">
        <f>WEEKNUM(Table1[[#This Row],[Date]])</f>
        <v>33</v>
      </c>
      <c r="F1273" s="5">
        <f>YEAR(Table1[[#This Row],[Date]])</f>
        <v>2023</v>
      </c>
      <c r="H1273">
        <v>258.7641064227538</v>
      </c>
      <c r="I1273">
        <f>Table1[[#This Row],[Forecast]]*0.9</f>
        <v>232.88769578047842</v>
      </c>
      <c r="J1273">
        <f>Table1[[#This Row],[Forecast]]*0.8</f>
        <v>207.01128513820305</v>
      </c>
      <c r="K1273">
        <f>Table1[[#This Row],[Forecast]]*0.8</f>
        <v>207.01128513820305</v>
      </c>
      <c r="P1273" s="13">
        <f t="shared" si="43"/>
        <v>1.9083069567905244E-3</v>
      </c>
      <c r="Z1273" s="8"/>
      <c r="AA1273" s="8">
        <f>CONVERT(Table1[[#This Row],[RevisedForecast 30% Recution2]]*Table1[[#This Row],[Talk Duration (AVG)]],"day","hr")</f>
        <v>9.480985813521114</v>
      </c>
      <c r="AB1273" s="10">
        <f>(Table1[[#This Row],[Forecast Workload Hours]]*60)*1.2</f>
        <v>682.63097857352022</v>
      </c>
      <c r="AC1273" s="10">
        <f>IF(Table1[[#This Row],[Forecast WOrkload Minutes]]&lt;384,1,Table1[[#This Row],[Forecast WOrkload Minutes]]/384)</f>
        <v>1.777684840035209</v>
      </c>
      <c r="AD1273" s="10">
        <f>ROUNDUP(Table1[[#This Row],[Forecast Headcount]],0)</f>
        <v>2</v>
      </c>
      <c r="AE1273" s="11">
        <v>146.23418837037551</v>
      </c>
      <c r="AF1273" s="11">
        <v>362.95539109898181</v>
      </c>
      <c r="AG1273" t="s">
        <v>7</v>
      </c>
    </row>
    <row r="1274" spans="1:33">
      <c r="A1274" s="2">
        <v>45155</v>
      </c>
      <c r="B1274" s="2"/>
      <c r="C1274" s="5">
        <f>WEEKDAY(Table1[[#This Row],[Date]])</f>
        <v>5</v>
      </c>
      <c r="D1274" s="5">
        <f>MONTH(Table1[[#This Row],[Date]])</f>
        <v>8</v>
      </c>
      <c r="E1274" s="5">
        <f>WEEKNUM(Table1[[#This Row],[Date]])</f>
        <v>33</v>
      </c>
      <c r="F1274" s="5">
        <f>YEAR(Table1[[#This Row],[Date]])</f>
        <v>2023</v>
      </c>
      <c r="H1274">
        <v>253.64323104034969</v>
      </c>
      <c r="I1274">
        <f>Table1[[#This Row],[Forecast]]*0.9</f>
        <v>228.27890793631474</v>
      </c>
      <c r="J1274">
        <f>Table1[[#This Row],[Forecast]]*0.8</f>
        <v>202.91458483227976</v>
      </c>
      <c r="K1274">
        <f>Table1[[#This Row],[Forecast]]*0.8</f>
        <v>202.91458483227976</v>
      </c>
      <c r="P1274" s="13">
        <f t="shared" si="43"/>
        <v>1.9084018989273693E-3</v>
      </c>
      <c r="Z1274" s="8"/>
      <c r="AA1274" s="8">
        <f>CONVERT(Table1[[#This Row],[RevisedForecast 30% Recution2]]*Table1[[#This Row],[Talk Duration (AVG)]],"day","hr")</f>
        <v>9.2938218963355563</v>
      </c>
      <c r="AB1274" s="10">
        <f>(Table1[[#This Row],[Forecast Workload Hours]]*60)*1.2</f>
        <v>669.15517653616007</v>
      </c>
      <c r="AC1274" s="10">
        <f>IF(Table1[[#This Row],[Forecast WOrkload Minutes]]&lt;384,1,Table1[[#This Row],[Forecast WOrkload Minutes]]/384)</f>
        <v>1.7425916055629169</v>
      </c>
      <c r="AD1274" s="10">
        <f>ROUNDUP(Table1[[#This Row],[Forecast Headcount]],0)</f>
        <v>2</v>
      </c>
      <c r="AE1274" s="11">
        <v>133.3724371224416</v>
      </c>
      <c r="AF1274" s="11">
        <v>362.9919827651039</v>
      </c>
      <c r="AG1274" t="s">
        <v>7</v>
      </c>
    </row>
    <row r="1275" spans="1:33">
      <c r="A1275" s="2">
        <v>45156</v>
      </c>
      <c r="B1275" s="2"/>
      <c r="C1275" s="5">
        <f>WEEKDAY(Table1[[#This Row],[Date]])</f>
        <v>6</v>
      </c>
      <c r="D1275" s="5">
        <f>MONTH(Table1[[#This Row],[Date]])</f>
        <v>8</v>
      </c>
      <c r="E1275" s="5">
        <f>WEEKNUM(Table1[[#This Row],[Date]])</f>
        <v>33</v>
      </c>
      <c r="F1275" s="5">
        <f>YEAR(Table1[[#This Row],[Date]])</f>
        <v>2023</v>
      </c>
      <c r="H1275">
        <v>244.58910836102839</v>
      </c>
      <c r="I1275">
        <f>Table1[[#This Row],[Forecast]]*0.9</f>
        <v>220.13019752492556</v>
      </c>
      <c r="J1275">
        <f>Table1[[#This Row],[Forecast]]*0.8</f>
        <v>195.67128668882273</v>
      </c>
      <c r="K1275">
        <f>Table1[[#This Row],[Forecast]]*0.8</f>
        <v>195.67128668882273</v>
      </c>
      <c r="P1275" s="13">
        <f t="shared" si="43"/>
        <v>1.9093630797065453E-3</v>
      </c>
      <c r="Z1275" s="8"/>
      <c r="AA1275" s="8">
        <f>CONVERT(Table1[[#This Row],[RevisedForecast 30% Recution2]]*Table1[[#This Row],[Talk Duration (AVG)]],"day","hr")</f>
        <v>8.9665807334955101</v>
      </c>
      <c r="AB1275" s="10">
        <f>(Table1[[#This Row],[Forecast Workload Hours]]*60)*1.2</f>
        <v>645.59381281167668</v>
      </c>
      <c r="AC1275" s="10">
        <f>IF(Table1[[#This Row],[Forecast WOrkload Minutes]]&lt;384,1,Table1[[#This Row],[Forecast WOrkload Minutes]]/384)</f>
        <v>1.681233887530408</v>
      </c>
      <c r="AD1275" s="10">
        <f>ROUNDUP(Table1[[#This Row],[Forecast Headcount]],0)</f>
        <v>2</v>
      </c>
      <c r="AE1275" s="11">
        <v>137.78591135129261</v>
      </c>
      <c r="AF1275" s="11">
        <v>360.36259640145158</v>
      </c>
      <c r="AG1275" t="s">
        <v>7</v>
      </c>
    </row>
    <row r="1276" spans="1:33">
      <c r="A1276" s="2">
        <v>45157</v>
      </c>
      <c r="B1276" s="2"/>
      <c r="C1276" s="5">
        <f>WEEKDAY(Table1[[#This Row],[Date]])</f>
        <v>7</v>
      </c>
      <c r="D1276" s="5">
        <f>MONTH(Table1[[#This Row],[Date]])</f>
        <v>8</v>
      </c>
      <c r="E1276" s="5">
        <f>WEEKNUM(Table1[[#This Row],[Date]])</f>
        <v>33</v>
      </c>
      <c r="F1276" s="5">
        <f>YEAR(Table1[[#This Row],[Date]])</f>
        <v>2023</v>
      </c>
      <c r="H1276">
        <v>251.70789898687909</v>
      </c>
      <c r="I1276">
        <f>Table1[[#This Row],[Forecast]]*0.9</f>
        <v>226.53710908819119</v>
      </c>
      <c r="J1276">
        <f>Table1[[#This Row],[Forecast]]*0.8</f>
        <v>201.36631918950329</v>
      </c>
      <c r="K1276">
        <f>Table1[[#This Row],[Forecast]]*0.8</f>
        <v>201.36631918950329</v>
      </c>
      <c r="P1276" s="13">
        <f t="shared" si="43"/>
        <v>1.9113067637328786E-3</v>
      </c>
      <c r="Z1276" s="8"/>
      <c r="AA1276" s="8">
        <f>CONVERT(Table1[[#This Row],[RevisedForecast 30% Recution2]]*Table1[[#This Row],[Talk Duration (AVG)]],"day","hr")</f>
        <v>9.2369473885173932</v>
      </c>
      <c r="AB1276" s="10">
        <f>(Table1[[#This Row],[Forecast Workload Hours]]*60)*1.2</f>
        <v>665.06021197325231</v>
      </c>
      <c r="AC1276" s="10">
        <f>IF(Table1[[#This Row],[Forecast WOrkload Minutes]]&lt;384,1,Table1[[#This Row],[Forecast WOrkload Minutes]]/384)</f>
        <v>1.7319276353470112</v>
      </c>
      <c r="AD1276" s="10">
        <f>ROUNDUP(Table1[[#This Row],[Forecast Headcount]],0)</f>
        <v>2</v>
      </c>
      <c r="AE1276" s="11">
        <v>135.50841565150219</v>
      </c>
      <c r="AF1276" s="11">
        <v>354.09599152996827</v>
      </c>
      <c r="AG1276" t="s">
        <v>7</v>
      </c>
    </row>
    <row r="1277" spans="1:33">
      <c r="A1277" s="2">
        <v>45158</v>
      </c>
      <c r="B1277" s="2"/>
      <c r="C1277" s="5">
        <f>WEEKDAY(Table1[[#This Row],[Date]])</f>
        <v>1</v>
      </c>
      <c r="D1277" s="5">
        <f>MONTH(Table1[[#This Row],[Date]])</f>
        <v>8</v>
      </c>
      <c r="E1277" s="5">
        <f>WEEKNUM(Table1[[#This Row],[Date]])</f>
        <v>34</v>
      </c>
      <c r="F1277" s="5">
        <f>YEAR(Table1[[#This Row],[Date]])</f>
        <v>2023</v>
      </c>
      <c r="H1277">
        <v>163.14534620848059</v>
      </c>
      <c r="I1277">
        <f>Table1[[#This Row],[Forecast]]*0.9</f>
        <v>146.83081158763252</v>
      </c>
      <c r="J1277">
        <f>Table1[[#This Row],[Forecast]]*0.8</f>
        <v>130.51627696678449</v>
      </c>
      <c r="K1277">
        <f>Table1[[#This Row],[Forecast]]*0.8</f>
        <v>130.51627696678449</v>
      </c>
      <c r="P1277" s="13">
        <f t="shared" si="43"/>
        <v>1.9120787549481047E-3</v>
      </c>
      <c r="Z1277" s="8"/>
      <c r="AA1277" s="8">
        <f>CONVERT(Table1[[#This Row],[RevisedForecast 30% Recution2]]*Table1[[#This Row],[Talk Duration (AVG)]],"day","hr")</f>
        <v>5.9893776087146708</v>
      </c>
      <c r="AB1277" s="10">
        <f>(Table1[[#This Row],[Forecast Workload Hours]]*60)*1.2</f>
        <v>431.23518782745629</v>
      </c>
      <c r="AC1277" s="10">
        <f>IF(Table1[[#This Row],[Forecast WOrkload Minutes]]&lt;384,1,Table1[[#This Row],[Forecast WOrkload Minutes]]/384)</f>
        <v>1.1230083016340007</v>
      </c>
      <c r="AD1277" s="10">
        <f>ROUNDUP(Table1[[#This Row],[Forecast Headcount]],0)</f>
        <v>2</v>
      </c>
      <c r="AE1277" s="11">
        <v>50.672595045511542</v>
      </c>
      <c r="AF1277" s="11">
        <v>275.53978282505108</v>
      </c>
      <c r="AG1277" t="s">
        <v>7</v>
      </c>
    </row>
    <row r="1278" spans="1:33">
      <c r="A1278" s="2">
        <v>45159</v>
      </c>
      <c r="B1278" s="2"/>
      <c r="C1278" s="5">
        <f>WEEKDAY(Table1[[#This Row],[Date]])</f>
        <v>2</v>
      </c>
      <c r="D1278" s="5">
        <f>MONTH(Table1[[#This Row],[Date]])</f>
        <v>8</v>
      </c>
      <c r="E1278" s="5">
        <f>WEEKNUM(Table1[[#This Row],[Date]])</f>
        <v>34</v>
      </c>
      <c r="F1278" s="5">
        <f>YEAR(Table1[[#This Row],[Date]])</f>
        <v>2023</v>
      </c>
      <c r="H1278">
        <v>263.24583521161151</v>
      </c>
      <c r="I1278">
        <f>Table1[[#This Row],[Forecast]]*0.9</f>
        <v>236.92125169045036</v>
      </c>
      <c r="J1278">
        <f>Table1[[#This Row],[Forecast]]*0.8</f>
        <v>210.59666816928922</v>
      </c>
      <c r="K1278">
        <f>Table1[[#This Row],[Forecast]]*0.8</f>
        <v>210.59666816928922</v>
      </c>
      <c r="P1278" s="13">
        <f t="shared" si="43"/>
        <v>1.9128579610345009E-3</v>
      </c>
      <c r="Z1278" s="8"/>
      <c r="AA1278" s="8">
        <f>CONVERT(Table1[[#This Row],[RevisedForecast 30% Recution2]]*Table1[[#This Row],[Talk Duration (AVG)]],"day","hr")</f>
        <v>9.6681963185991826</v>
      </c>
      <c r="AB1278" s="10">
        <f>(Table1[[#This Row],[Forecast Workload Hours]]*60)*1.2</f>
        <v>696.11013493914118</v>
      </c>
      <c r="AC1278" s="10">
        <f>IF(Table1[[#This Row],[Forecast WOrkload Minutes]]&lt;384,1,Table1[[#This Row],[Forecast WOrkload Minutes]]/384)</f>
        <v>1.8127868097373467</v>
      </c>
      <c r="AD1278" s="10">
        <f>ROUNDUP(Table1[[#This Row],[Forecast Headcount]],0)</f>
        <v>2</v>
      </c>
      <c r="AE1278" s="11">
        <v>149.37023103700491</v>
      </c>
      <c r="AF1278" s="11">
        <v>375.98173566864392</v>
      </c>
      <c r="AG1278" t="s">
        <v>7</v>
      </c>
    </row>
    <row r="1279" spans="1:33">
      <c r="A1279" s="2">
        <v>45160</v>
      </c>
      <c r="B1279" s="2"/>
      <c r="C1279" s="5">
        <f>WEEKDAY(Table1[[#This Row],[Date]])</f>
        <v>3</v>
      </c>
      <c r="D1279" s="5">
        <f>MONTH(Table1[[#This Row],[Date]])</f>
        <v>8</v>
      </c>
      <c r="E1279" s="5">
        <f>WEEKNUM(Table1[[#This Row],[Date]])</f>
        <v>34</v>
      </c>
      <c r="F1279" s="5">
        <f>YEAR(Table1[[#This Row],[Date]])</f>
        <v>2023</v>
      </c>
      <c r="H1279">
        <v>247.55791329710931</v>
      </c>
      <c r="I1279">
        <f>Table1[[#This Row],[Forecast]]*0.9</f>
        <v>222.80212196739839</v>
      </c>
      <c r="J1279">
        <f>Table1[[#This Row],[Forecast]]*0.8</f>
        <v>198.04633063768745</v>
      </c>
      <c r="K1279">
        <f>Table1[[#This Row],[Forecast]]*0.8</f>
        <v>198.04633063768745</v>
      </c>
      <c r="P1279" s="13">
        <f t="shared" si="43"/>
        <v>1.9138607872539301E-3</v>
      </c>
      <c r="Z1279" s="8"/>
      <c r="AA1279" s="8">
        <f>CONVERT(Table1[[#This Row],[RevisedForecast 30% Recution2]]*Table1[[#This Row],[Talk Duration (AVG)]],"day","hr")</f>
        <v>9.0967945504079193</v>
      </c>
      <c r="AB1279" s="10">
        <f>(Table1[[#This Row],[Forecast Workload Hours]]*60)*1.2</f>
        <v>654.9692076293702</v>
      </c>
      <c r="AC1279" s="10">
        <f>IF(Table1[[#This Row],[Forecast WOrkload Minutes]]&lt;384,1,Table1[[#This Row],[Forecast WOrkload Minutes]]/384)</f>
        <v>1.705648978201485</v>
      </c>
      <c r="AD1279" s="10">
        <f>ROUNDUP(Table1[[#This Row],[Forecast Headcount]],0)</f>
        <v>2</v>
      </c>
      <c r="AE1279" s="11">
        <v>142.4579879371604</v>
      </c>
      <c r="AF1279" s="11">
        <v>355.18105653259789</v>
      </c>
      <c r="AG1279" t="s">
        <v>7</v>
      </c>
    </row>
    <row r="1280" spans="1:33">
      <c r="A1280" s="2">
        <v>45161</v>
      </c>
      <c r="B1280" s="2"/>
      <c r="C1280" s="5">
        <f>WEEKDAY(Table1[[#This Row],[Date]])</f>
        <v>4</v>
      </c>
      <c r="D1280" s="5">
        <f>MONTH(Table1[[#This Row],[Date]])</f>
        <v>8</v>
      </c>
      <c r="E1280" s="5">
        <f>WEEKNUM(Table1[[#This Row],[Date]])</f>
        <v>34</v>
      </c>
      <c r="F1280" s="5">
        <f>YEAR(Table1[[#This Row],[Date]])</f>
        <v>2023</v>
      </c>
      <c r="H1280">
        <v>260.27426938069902</v>
      </c>
      <c r="I1280">
        <f>Table1[[#This Row],[Forecast]]*0.9</f>
        <v>234.24684244262912</v>
      </c>
      <c r="J1280">
        <f>Table1[[#This Row],[Forecast]]*0.8</f>
        <v>208.21941550455924</v>
      </c>
      <c r="K1280">
        <f>Table1[[#This Row],[Forecast]]*0.8</f>
        <v>208.21941550455924</v>
      </c>
      <c r="P1280" s="13">
        <f t="shared" si="43"/>
        <v>1.9143321410981171E-3</v>
      </c>
      <c r="Z1280" s="8"/>
      <c r="AA1280" s="8">
        <f>CONVERT(Table1[[#This Row],[RevisedForecast 30% Recution2]]*Table1[[#This Row],[Talk Duration (AVG)]],"day","hr")</f>
        <v>9.566426868024994</v>
      </c>
      <c r="AB1280" s="10">
        <f>(Table1[[#This Row],[Forecast Workload Hours]]*60)*1.2</f>
        <v>688.78273449779954</v>
      </c>
      <c r="AC1280" s="10">
        <f>IF(Table1[[#This Row],[Forecast WOrkload Minutes]]&lt;384,1,Table1[[#This Row],[Forecast WOrkload Minutes]]/384)</f>
        <v>1.7937050377546864</v>
      </c>
      <c r="AD1280" s="10">
        <f>ROUNDUP(Table1[[#This Row],[Forecast Headcount]],0)</f>
        <v>2</v>
      </c>
      <c r="AE1280" s="11">
        <v>150.8560501637844</v>
      </c>
      <c r="AF1280" s="11">
        <v>375.46819812386099</v>
      </c>
      <c r="AG1280" t="s">
        <v>7</v>
      </c>
    </row>
    <row r="1281" spans="1:33">
      <c r="A1281" s="2">
        <v>45162</v>
      </c>
      <c r="B1281" s="2"/>
      <c r="C1281" s="5">
        <f>WEEKDAY(Table1[[#This Row],[Date]])</f>
        <v>5</v>
      </c>
      <c r="D1281" s="5">
        <f>MONTH(Table1[[#This Row],[Date]])</f>
        <v>8</v>
      </c>
      <c r="E1281" s="5">
        <f>WEEKNUM(Table1[[#This Row],[Date]])</f>
        <v>34</v>
      </c>
      <c r="F1281" s="5">
        <f>YEAR(Table1[[#This Row],[Date]])</f>
        <v>2023</v>
      </c>
      <c r="H1281">
        <v>256.10027486867398</v>
      </c>
      <c r="I1281">
        <f>Table1[[#This Row],[Forecast]]*0.9</f>
        <v>230.4902473818066</v>
      </c>
      <c r="J1281">
        <f>Table1[[#This Row],[Forecast]]*0.8</f>
        <v>204.88021989493919</v>
      </c>
      <c r="K1281">
        <f>Table1[[#This Row],[Forecast]]*0.8</f>
        <v>204.88021989493919</v>
      </c>
      <c r="P1281" s="13">
        <f t="shared" si="43"/>
        <v>1.9136180420360367E-3</v>
      </c>
      <c r="Z1281" s="8"/>
      <c r="AA1281" s="8">
        <f>CONVERT(Table1[[#This Row],[RevisedForecast 30% Recution2]]*Table1[[#This Row],[Talk Duration (AVG)]],"day","hr")</f>
        <v>9.4094996459343889</v>
      </c>
      <c r="AB1281" s="10">
        <f>(Table1[[#This Row],[Forecast Workload Hours]]*60)*1.2</f>
        <v>677.483974507276</v>
      </c>
      <c r="AC1281" s="10">
        <f>IF(Table1[[#This Row],[Forecast WOrkload Minutes]]&lt;384,1,Table1[[#This Row],[Forecast WOrkload Minutes]]/384)</f>
        <v>1.7642811836126979</v>
      </c>
      <c r="AD1281" s="10">
        <f>ROUNDUP(Table1[[#This Row],[Forecast Headcount]],0)</f>
        <v>2</v>
      </c>
      <c r="AE1281" s="11">
        <v>144.86294394155519</v>
      </c>
      <c r="AF1281" s="11">
        <v>366.76302682318311</v>
      </c>
      <c r="AG1281" t="s">
        <v>7</v>
      </c>
    </row>
    <row r="1282" spans="1:33">
      <c r="A1282" s="2">
        <v>45163</v>
      </c>
      <c r="B1282" s="2"/>
      <c r="C1282" s="5">
        <f>WEEKDAY(Table1[[#This Row],[Date]])</f>
        <v>6</v>
      </c>
      <c r="D1282" s="5">
        <f>MONTH(Table1[[#This Row],[Date]])</f>
        <v>8</v>
      </c>
      <c r="E1282" s="5">
        <f>WEEKNUM(Table1[[#This Row],[Date]])</f>
        <v>34</v>
      </c>
      <c r="F1282" s="5">
        <f>YEAR(Table1[[#This Row],[Date]])</f>
        <v>2023</v>
      </c>
      <c r="H1282">
        <v>247.90462407867619</v>
      </c>
      <c r="I1282">
        <f>Table1[[#This Row],[Forecast]]*0.9</f>
        <v>223.11416167080858</v>
      </c>
      <c r="J1282">
        <f>Table1[[#This Row],[Forecast]]*0.8</f>
        <v>198.32369926294098</v>
      </c>
      <c r="K1282">
        <f>Table1[[#This Row],[Forecast]]*0.8</f>
        <v>198.32369926294098</v>
      </c>
      <c r="P1282" s="13">
        <f t="shared" si="43"/>
        <v>1.915385154232289E-3</v>
      </c>
      <c r="Z1282" s="8"/>
      <c r="AA1282" s="8">
        <f>CONVERT(Table1[[#This Row],[RevisedForecast 30% Recution2]]*Table1[[#This Row],[Talk Duration (AVG)]],"day","hr")</f>
        <v>9.11679046321599</v>
      </c>
      <c r="AB1282" s="10">
        <f>(Table1[[#This Row],[Forecast Workload Hours]]*60)*1.2</f>
        <v>656.40891335155129</v>
      </c>
      <c r="AC1282" s="10">
        <f>IF(Table1[[#This Row],[Forecast WOrkload Minutes]]&lt;384,1,Table1[[#This Row],[Forecast WOrkload Minutes]]/384)</f>
        <v>1.7093982118529982</v>
      </c>
      <c r="AD1282" s="10">
        <f>ROUNDUP(Table1[[#This Row],[Forecast Headcount]],0)</f>
        <v>2</v>
      </c>
      <c r="AE1282" s="11">
        <v>140.08424121197959</v>
      </c>
      <c r="AF1282" s="11">
        <v>354.47508101868408</v>
      </c>
      <c r="AG1282" t="s">
        <v>7</v>
      </c>
    </row>
    <row r="1283" spans="1:33">
      <c r="A1283" s="2">
        <v>45164</v>
      </c>
      <c r="B1283" s="2"/>
      <c r="C1283" s="5">
        <f>WEEKDAY(Table1[[#This Row],[Date]])</f>
        <v>7</v>
      </c>
      <c r="D1283" s="5">
        <f>MONTH(Table1[[#This Row],[Date]])</f>
        <v>8</v>
      </c>
      <c r="E1283" s="5">
        <f>WEEKNUM(Table1[[#This Row],[Date]])</f>
        <v>34</v>
      </c>
      <c r="F1283" s="5">
        <f>YEAR(Table1[[#This Row],[Date]])</f>
        <v>2023</v>
      </c>
      <c r="H1283">
        <v>255.77933638218639</v>
      </c>
      <c r="I1283">
        <f>Table1[[#This Row],[Forecast]]*0.9</f>
        <v>230.20140274396775</v>
      </c>
      <c r="J1283">
        <f>Table1[[#This Row],[Forecast]]*0.8</f>
        <v>204.62346910574911</v>
      </c>
      <c r="K1283">
        <f>Table1[[#This Row],[Forecast]]*0.8</f>
        <v>204.62346910574911</v>
      </c>
      <c r="P1283" s="13">
        <f t="shared" si="43"/>
        <v>1.9157625855802543E-3</v>
      </c>
      <c r="Z1283" s="8"/>
      <c r="AA1283" s="8">
        <f>CONVERT(Table1[[#This Row],[RevisedForecast 30% Recution2]]*Table1[[#This Row],[Talk Duration (AVG)]],"day","hr")</f>
        <v>9.4082396698663491</v>
      </c>
      <c r="AB1283" s="10">
        <f>(Table1[[#This Row],[Forecast Workload Hours]]*60)*1.2</f>
        <v>677.39325623037701</v>
      </c>
      <c r="AC1283" s="10">
        <f>IF(Table1[[#This Row],[Forecast WOrkload Minutes]]&lt;384,1,Table1[[#This Row],[Forecast WOrkload Minutes]]/384)</f>
        <v>1.7640449380999401</v>
      </c>
      <c r="AD1283" s="10">
        <f>ROUNDUP(Table1[[#This Row],[Forecast Headcount]],0)</f>
        <v>2</v>
      </c>
      <c r="AE1283" s="11">
        <v>143.8713518702148</v>
      </c>
      <c r="AF1283" s="11">
        <v>366.99909097503007</v>
      </c>
      <c r="AG1283" t="s">
        <v>7</v>
      </c>
    </row>
    <row r="1284" spans="1:33">
      <c r="A1284" s="2">
        <v>45165</v>
      </c>
      <c r="B1284" s="2"/>
      <c r="C1284" s="5">
        <f>WEEKDAY(Table1[[#This Row],[Date]])</f>
        <v>1</v>
      </c>
      <c r="D1284" s="5">
        <f>MONTH(Table1[[#This Row],[Date]])</f>
        <v>8</v>
      </c>
      <c r="E1284" s="5">
        <f>WEEKNUM(Table1[[#This Row],[Date]])</f>
        <v>35</v>
      </c>
      <c r="F1284" s="5">
        <f>YEAR(Table1[[#This Row],[Date]])</f>
        <v>2023</v>
      </c>
      <c r="H1284">
        <v>167.85828472062201</v>
      </c>
      <c r="I1284">
        <f>Table1[[#This Row],[Forecast]]*0.9</f>
        <v>151.0724562485598</v>
      </c>
      <c r="J1284">
        <f>Table1[[#This Row],[Forecast]]*0.8</f>
        <v>134.28662777649762</v>
      </c>
      <c r="K1284">
        <f>Table1[[#This Row],[Forecast]]*0.8</f>
        <v>134.28662777649762</v>
      </c>
      <c r="P1284" s="13">
        <f t="shared" si="43"/>
        <v>1.9157108686576744E-3</v>
      </c>
      <c r="Z1284" s="8"/>
      <c r="AA1284" s="8">
        <f>CONVERT(Table1[[#This Row],[RevisedForecast 30% Recution2]]*Table1[[#This Row],[Talk Duration (AVG)]],"day","hr")</f>
        <v>6.1741044563237768</v>
      </c>
      <c r="AB1284" s="10">
        <f>(Table1[[#This Row],[Forecast Workload Hours]]*60)*1.2</f>
        <v>444.53552085531192</v>
      </c>
      <c r="AC1284" s="10">
        <f>IF(Table1[[#This Row],[Forecast WOrkload Minutes]]&lt;384,1,Table1[[#This Row],[Forecast WOrkload Minutes]]/384)</f>
        <v>1.157644585560708</v>
      </c>
      <c r="AD1284" s="10">
        <f>ROUNDUP(Table1[[#This Row],[Forecast Headcount]],0)</f>
        <v>2</v>
      </c>
      <c r="AE1284" s="11">
        <v>53.648337328732971</v>
      </c>
      <c r="AF1284" s="11">
        <v>278.21793681154548</v>
      </c>
      <c r="AG1284" t="s">
        <v>7</v>
      </c>
    </row>
    <row r="1285" spans="1:33">
      <c r="A1285" s="2">
        <v>45166</v>
      </c>
      <c r="B1285" s="2"/>
      <c r="C1285" s="5">
        <f>WEEKDAY(Table1[[#This Row],[Date]])</f>
        <v>2</v>
      </c>
      <c r="D1285" s="5">
        <f>MONTH(Table1[[#This Row],[Date]])</f>
        <v>8</v>
      </c>
      <c r="E1285" s="5">
        <f>WEEKNUM(Table1[[#This Row],[Date]])</f>
        <v>35</v>
      </c>
      <c r="F1285" s="5">
        <f>YEAR(Table1[[#This Row],[Date]])</f>
        <v>2023</v>
      </c>
      <c r="H1285">
        <v>268.47653581848959</v>
      </c>
      <c r="I1285">
        <f>Table1[[#This Row],[Forecast]]*0.9</f>
        <v>241.62888223664064</v>
      </c>
      <c r="J1285">
        <f>Table1[[#This Row],[Forecast]]*0.8</f>
        <v>214.78122865479168</v>
      </c>
      <c r="K1285">
        <f>Table1[[#This Row],[Forecast]]*0.8</f>
        <v>214.78122865479168</v>
      </c>
      <c r="P1285" s="13">
        <f t="shared" si="43"/>
        <v>1.9150096548998887E-3</v>
      </c>
      <c r="Z1285" s="8"/>
      <c r="AA1285" s="8">
        <f>CONVERT(Table1[[#This Row],[RevisedForecast 30% Recution2]]*Table1[[#This Row],[Talk Duration (AVG)]],"day","hr")</f>
        <v>9.871395037564481</v>
      </c>
      <c r="AB1285" s="10">
        <f>(Table1[[#This Row],[Forecast Workload Hours]]*60)*1.2</f>
        <v>710.74044270464265</v>
      </c>
      <c r="AC1285" s="10">
        <f>IF(Table1[[#This Row],[Forecast WOrkload Minutes]]&lt;384,1,Table1[[#This Row],[Forecast WOrkload Minutes]]/384)</f>
        <v>1.8508865695433403</v>
      </c>
      <c r="AD1285" s="10">
        <f>ROUNDUP(Table1[[#This Row],[Forecast Headcount]],0)</f>
        <v>2</v>
      </c>
      <c r="AE1285" s="11">
        <v>152.09769697886429</v>
      </c>
      <c r="AF1285" s="11">
        <v>370.16070607304891</v>
      </c>
      <c r="AG1285" t="s">
        <v>7</v>
      </c>
    </row>
    <row r="1286" spans="1:33">
      <c r="A1286" s="2">
        <v>45167</v>
      </c>
      <c r="B1286" s="2"/>
      <c r="C1286" s="5">
        <f>WEEKDAY(Table1[[#This Row],[Date]])</f>
        <v>3</v>
      </c>
      <c r="D1286" s="5">
        <f>MONTH(Table1[[#This Row],[Date]])</f>
        <v>8</v>
      </c>
      <c r="E1286" s="5">
        <f>WEEKNUM(Table1[[#This Row],[Date]])</f>
        <v>35</v>
      </c>
      <c r="F1286" s="5">
        <f>YEAR(Table1[[#This Row],[Date]])</f>
        <v>2023</v>
      </c>
      <c r="H1286">
        <v>253.17609023400689</v>
      </c>
      <c r="I1286">
        <f>Table1[[#This Row],[Forecast]]*0.9</f>
        <v>227.85848121060621</v>
      </c>
      <c r="J1286">
        <f>Table1[[#This Row],[Forecast]]*0.8</f>
        <v>202.54087218720554</v>
      </c>
      <c r="K1286">
        <f>Table1[[#This Row],[Forecast]]*0.8</f>
        <v>202.54087218720554</v>
      </c>
      <c r="P1286" s="13">
        <f t="shared" si="43"/>
        <v>1.9154917458248789E-3</v>
      </c>
      <c r="Z1286" s="8"/>
      <c r="AA1286" s="8">
        <f>CONVERT(Table1[[#This Row],[RevisedForecast 30% Recution2]]*Table1[[#This Row],[Talk Duration (AVG)]],"day","hr")</f>
        <v>9.3111688528023357</v>
      </c>
      <c r="AB1286" s="10">
        <f>(Table1[[#This Row],[Forecast Workload Hours]]*60)*1.2</f>
        <v>670.4041574017682</v>
      </c>
      <c r="AC1286" s="10">
        <f>IF(Table1[[#This Row],[Forecast WOrkload Minutes]]&lt;384,1,Table1[[#This Row],[Forecast WOrkload Minutes]]/384)</f>
        <v>1.745844159900438</v>
      </c>
      <c r="AD1286" s="10">
        <f>ROUNDUP(Table1[[#This Row],[Forecast Headcount]],0)</f>
        <v>2</v>
      </c>
      <c r="AE1286" s="11">
        <v>150.748630616425</v>
      </c>
      <c r="AF1286" s="11">
        <v>365.29755516358341</v>
      </c>
      <c r="AG1286" t="s">
        <v>7</v>
      </c>
    </row>
    <row r="1287" spans="1:33">
      <c r="A1287" s="2">
        <v>45168</v>
      </c>
      <c r="B1287" s="2"/>
      <c r="C1287" s="5">
        <f>WEEKDAY(Table1[[#This Row],[Date]])</f>
        <v>4</v>
      </c>
      <c r="D1287" s="5">
        <f>MONTH(Table1[[#This Row],[Date]])</f>
        <v>8</v>
      </c>
      <c r="E1287" s="5">
        <f>WEEKNUM(Table1[[#This Row],[Date]])</f>
        <v>35</v>
      </c>
      <c r="F1287" s="5">
        <f>YEAR(Table1[[#This Row],[Date]])</f>
        <v>2023</v>
      </c>
      <c r="H1287">
        <v>266.14601528409378</v>
      </c>
      <c r="I1287">
        <f>Table1[[#This Row],[Forecast]]*0.9</f>
        <v>239.53141375568441</v>
      </c>
      <c r="J1287">
        <f>Table1[[#This Row],[Forecast]]*0.8</f>
        <v>212.91681222727505</v>
      </c>
      <c r="K1287">
        <f>Table1[[#This Row],[Forecast]]*0.8</f>
        <v>212.91681222727505</v>
      </c>
      <c r="P1287" s="13">
        <f t="shared" si="43"/>
        <v>1.9178172138543947E-3</v>
      </c>
      <c r="Z1287" s="8"/>
      <c r="AA1287" s="8">
        <f>CONVERT(Table1[[#This Row],[RevisedForecast 30% Recution2]]*Table1[[#This Row],[Talk Duration (AVG)]],"day","hr")</f>
        <v>9.800052662603326</v>
      </c>
      <c r="AB1287" s="10">
        <f>(Table1[[#This Row],[Forecast Workload Hours]]*60)*1.2</f>
        <v>705.60379170743943</v>
      </c>
      <c r="AC1287" s="10">
        <f>IF(Table1[[#This Row],[Forecast WOrkload Minutes]]&lt;384,1,Table1[[#This Row],[Forecast WOrkload Minutes]]/384)</f>
        <v>1.8375098742381235</v>
      </c>
      <c r="AD1287" s="10">
        <f>ROUNDUP(Table1[[#This Row],[Forecast Headcount]],0)</f>
        <v>2</v>
      </c>
      <c r="AE1287" s="11">
        <v>160.77582852070199</v>
      </c>
      <c r="AF1287" s="11">
        <v>382.05457231815342</v>
      </c>
      <c r="AG1287" t="s">
        <v>7</v>
      </c>
    </row>
    <row r="1288" spans="1:33">
      <c r="A1288" s="2">
        <v>45169</v>
      </c>
      <c r="B1288" s="2"/>
      <c r="C1288" s="5">
        <f>WEEKDAY(Table1[[#This Row],[Date]])</f>
        <v>5</v>
      </c>
      <c r="D1288" s="5">
        <f>MONTH(Table1[[#This Row],[Date]])</f>
        <v>8</v>
      </c>
      <c r="E1288" s="5">
        <f>WEEKNUM(Table1[[#This Row],[Date]])</f>
        <v>35</v>
      </c>
      <c r="F1288" s="5">
        <f>YEAR(Table1[[#This Row],[Date]])</f>
        <v>2023</v>
      </c>
      <c r="H1288">
        <v>262.09106940468149</v>
      </c>
      <c r="I1288">
        <f>Table1[[#This Row],[Forecast]]*0.9</f>
        <v>235.88196246421336</v>
      </c>
      <c r="J1288">
        <f>Table1[[#This Row],[Forecast]]*0.8</f>
        <v>209.6728555237452</v>
      </c>
      <c r="K1288">
        <f>Table1[[#This Row],[Forecast]]*0.8</f>
        <v>209.6728555237452</v>
      </c>
      <c r="P1288" s="13">
        <f t="shared" si="43"/>
        <v>1.9155131518170357E-3</v>
      </c>
      <c r="Z1288" s="8"/>
      <c r="AA1288" s="8">
        <f>CONVERT(Table1[[#This Row],[RevisedForecast 30% Recution2]]*Table1[[#This Row],[Talk Duration (AVG)]],"day","hr")</f>
        <v>9.6391466960344108</v>
      </c>
      <c r="AB1288" s="10">
        <f>(Table1[[#This Row],[Forecast Workload Hours]]*60)*1.2</f>
        <v>694.01856211447762</v>
      </c>
      <c r="AC1288" s="10">
        <f>IF(Table1[[#This Row],[Forecast WOrkload Minutes]]&lt;384,1,Table1[[#This Row],[Forecast WOrkload Minutes]]/384)</f>
        <v>1.8073400055064521</v>
      </c>
      <c r="AD1288" s="10">
        <f>ROUNDUP(Table1[[#This Row],[Forecast Headcount]],0)</f>
        <v>2</v>
      </c>
      <c r="AE1288" s="11">
        <v>155.84291170380021</v>
      </c>
      <c r="AF1288" s="11">
        <v>377.65610192643618</v>
      </c>
      <c r="AG1288" t="s">
        <v>7</v>
      </c>
    </row>
    <row r="1289" spans="1:33">
      <c r="A1289" s="2">
        <v>45170</v>
      </c>
      <c r="B1289" s="2"/>
      <c r="C1289" s="5">
        <f>WEEKDAY(Table1[[#This Row],[Date]])</f>
        <v>6</v>
      </c>
      <c r="D1289" s="5">
        <f>MONTH(Table1[[#This Row],[Date]])</f>
        <v>9</v>
      </c>
      <c r="E1289" s="5">
        <f>WEEKNUM(Table1[[#This Row],[Date]])</f>
        <v>35</v>
      </c>
      <c r="F1289" s="5">
        <f>YEAR(Table1[[#This Row],[Date]])</f>
        <v>2023</v>
      </c>
      <c r="H1289">
        <v>253.88235440706549</v>
      </c>
      <c r="I1289">
        <f>Table1[[#This Row],[Forecast]]*0.9</f>
        <v>228.49411896635894</v>
      </c>
      <c r="J1289">
        <f>Table1[[#This Row],[Forecast]]*0.8</f>
        <v>203.10588352565242</v>
      </c>
      <c r="K1289">
        <f>Table1[[#This Row],[Forecast]]*0.8</f>
        <v>203.10588352565242</v>
      </c>
      <c r="P1289" s="13">
        <f t="shared" si="43"/>
        <v>1.9178388199025528E-3</v>
      </c>
      <c r="Z1289" s="8"/>
      <c r="AA1289" s="8">
        <f>CONVERT(Table1[[#This Row],[RevisedForecast 30% Recution2]]*Table1[[#This Row],[Talk Duration (AVG)]],"day","hr")</f>
        <v>9.3485843514264619</v>
      </c>
      <c r="AB1289" s="10">
        <f>(Table1[[#This Row],[Forecast Workload Hours]]*60)*1.2</f>
        <v>673.09807330270519</v>
      </c>
      <c r="AC1289" s="10">
        <f>IF(Table1[[#This Row],[Forecast WOrkload Minutes]]&lt;384,1,Table1[[#This Row],[Forecast WOrkload Minutes]]/384)</f>
        <v>1.7528595658924615</v>
      </c>
      <c r="AD1289" s="10">
        <f>ROUNDUP(Table1[[#This Row],[Forecast Headcount]],0)</f>
        <v>2</v>
      </c>
      <c r="AE1289" s="11">
        <v>150.67142489181171</v>
      </c>
      <c r="AF1289" s="11">
        <v>359.9881427785927</v>
      </c>
      <c r="AG1289" t="s">
        <v>7</v>
      </c>
    </row>
    <row r="1290" spans="1:33">
      <c r="A1290" s="2">
        <v>45171</v>
      </c>
      <c r="B1290" s="2"/>
      <c r="C1290" s="5">
        <f>WEEKDAY(Table1[[#This Row],[Date]])</f>
        <v>7</v>
      </c>
      <c r="D1290" s="5">
        <f>MONTH(Table1[[#This Row],[Date]])</f>
        <v>9</v>
      </c>
      <c r="E1290" s="5">
        <f>WEEKNUM(Table1[[#This Row],[Date]])</f>
        <v>35</v>
      </c>
      <c r="F1290" s="5">
        <f>YEAR(Table1[[#This Row],[Date]])</f>
        <v>2023</v>
      </c>
      <c r="H1290">
        <v>261.61725789777972</v>
      </c>
      <c r="I1290">
        <f>Table1[[#This Row],[Forecast]]*0.9</f>
        <v>235.45553210800176</v>
      </c>
      <c r="J1290">
        <f>Table1[[#This Row],[Forecast]]*0.8</f>
        <v>209.2938063182238</v>
      </c>
      <c r="K1290">
        <f>Table1[[#This Row],[Forecast]]*0.8</f>
        <v>209.2938063182238</v>
      </c>
      <c r="P1290" s="13">
        <f t="shared" si="43"/>
        <v>1.9206188988701431E-3</v>
      </c>
      <c r="Z1290" s="8"/>
      <c r="AA1290" s="8">
        <f>CONVERT(Table1[[#This Row],[RevisedForecast 30% Recution2]]*Table1[[#This Row],[Talk Duration (AVG)]],"day","hr")</f>
        <v>9.6473673559499531</v>
      </c>
      <c r="AB1290" s="10">
        <f>(Table1[[#This Row],[Forecast Workload Hours]]*60)*1.2</f>
        <v>694.61044962839662</v>
      </c>
      <c r="AC1290" s="10">
        <f>IF(Table1[[#This Row],[Forecast WOrkload Minutes]]&lt;384,1,Table1[[#This Row],[Forecast WOrkload Minutes]]/384)</f>
        <v>1.8088813792406162</v>
      </c>
      <c r="AD1290" s="10">
        <f>ROUNDUP(Table1[[#This Row],[Forecast Headcount]],0)</f>
        <v>2</v>
      </c>
      <c r="AE1290" s="11">
        <v>153.23728578493089</v>
      </c>
      <c r="AF1290" s="11">
        <v>377.13522192194642</v>
      </c>
      <c r="AG1290" t="s">
        <v>7</v>
      </c>
    </row>
    <row r="1291" spans="1:33">
      <c r="A1291" s="2">
        <v>45172</v>
      </c>
      <c r="B1291" s="2"/>
      <c r="C1291" s="5">
        <f>WEEKDAY(Table1[[#This Row],[Date]])</f>
        <v>1</v>
      </c>
      <c r="D1291" s="5">
        <f>MONTH(Table1[[#This Row],[Date]])</f>
        <v>9</v>
      </c>
      <c r="E1291" s="5">
        <f>WEEKNUM(Table1[[#This Row],[Date]])</f>
        <v>36</v>
      </c>
      <c r="F1291" s="5">
        <f>YEAR(Table1[[#This Row],[Date]])</f>
        <v>2023</v>
      </c>
      <c r="H1291">
        <v>173.43785242166871</v>
      </c>
      <c r="I1291">
        <f>Table1[[#This Row],[Forecast]]*0.9</f>
        <v>156.09406717950185</v>
      </c>
      <c r="J1291">
        <f>Table1[[#This Row],[Forecast]]*0.8</f>
        <v>138.75028193733496</v>
      </c>
      <c r="K1291">
        <f>Table1[[#This Row],[Forecast]]*0.8</f>
        <v>138.75028193733496</v>
      </c>
      <c r="P1291" s="13">
        <f t="shared" si="43"/>
        <v>1.9209370748028165E-3</v>
      </c>
      <c r="Z1291" s="8"/>
      <c r="AA1291" s="8">
        <f>CONVERT(Table1[[#This Row],[RevisedForecast 30% Recution2]]*Table1[[#This Row],[Talk Duration (AVG)]],"day","hr")</f>
        <v>6.3967334571064862</v>
      </c>
      <c r="AB1291" s="10">
        <f>(Table1[[#This Row],[Forecast Workload Hours]]*60)*1.2</f>
        <v>460.56480891166694</v>
      </c>
      <c r="AC1291" s="10">
        <f>IF(Table1[[#This Row],[Forecast WOrkload Minutes]]&lt;384,1,Table1[[#This Row],[Forecast WOrkload Minutes]]/384)</f>
        <v>1.199387523207466</v>
      </c>
      <c r="AD1291" s="10">
        <f>ROUNDUP(Table1[[#This Row],[Forecast Headcount]],0)</f>
        <v>2</v>
      </c>
      <c r="AE1291" s="11">
        <v>67.460094835911306</v>
      </c>
      <c r="AF1291" s="11">
        <v>288.31017244114662</v>
      </c>
      <c r="AG1291" t="s">
        <v>7</v>
      </c>
    </row>
    <row r="1292" spans="1:33">
      <c r="A1292" s="2">
        <v>45173</v>
      </c>
      <c r="B1292" s="2"/>
      <c r="C1292" s="5">
        <f>WEEKDAY(Table1[[#This Row],[Date]])</f>
        <v>2</v>
      </c>
      <c r="D1292" s="5">
        <f>MONTH(Table1[[#This Row],[Date]])</f>
        <v>9</v>
      </c>
      <c r="E1292" s="5">
        <f>WEEKNUM(Table1[[#This Row],[Date]])</f>
        <v>36</v>
      </c>
      <c r="F1292" s="5">
        <f>YEAR(Table1[[#This Row],[Date]])</f>
        <v>2023</v>
      </c>
      <c r="H1292">
        <v>273.69004025276541</v>
      </c>
      <c r="I1292">
        <f>Table1[[#This Row],[Forecast]]*0.9</f>
        <v>246.32103622748889</v>
      </c>
      <c r="J1292">
        <f>Table1[[#This Row],[Forecast]]*0.8</f>
        <v>218.95203220221234</v>
      </c>
      <c r="K1292">
        <f>Table1[[#This Row],[Forecast]]*0.8</f>
        <v>218.95203220221234</v>
      </c>
      <c r="P1292" s="13">
        <f t="shared" si="43"/>
        <v>1.9229889270076196E-3</v>
      </c>
      <c r="Z1292" s="8"/>
      <c r="AA1292" s="8">
        <f>CONVERT(Table1[[#This Row],[RevisedForecast 30% Recution2]]*Table1[[#This Row],[Talk Duration (AVG)]],"day","hr")</f>
        <v>10.105016003296081</v>
      </c>
      <c r="AB1292" s="10">
        <f>(Table1[[#This Row],[Forecast Workload Hours]]*60)*1.2</f>
        <v>727.56115223731786</v>
      </c>
      <c r="AC1292" s="10">
        <f>IF(Table1[[#This Row],[Forecast WOrkload Minutes]]&lt;384,1,Table1[[#This Row],[Forecast WOrkload Minutes]]/384)</f>
        <v>1.8946905006180152</v>
      </c>
      <c r="AD1292" s="10">
        <f>ROUNDUP(Table1[[#This Row],[Forecast Headcount]],0)</f>
        <v>2</v>
      </c>
      <c r="AE1292" s="11">
        <v>167.6865974593033</v>
      </c>
      <c r="AF1292" s="11">
        <v>388.51286790116768</v>
      </c>
      <c r="AG1292" t="s">
        <v>7</v>
      </c>
    </row>
    <row r="1293" spans="1:33">
      <c r="A1293" s="2">
        <v>45174</v>
      </c>
      <c r="B1293" s="2"/>
      <c r="C1293" s="5">
        <f>WEEKDAY(Table1[[#This Row],[Date]])</f>
        <v>3</v>
      </c>
      <c r="D1293" s="5">
        <f>MONTH(Table1[[#This Row],[Date]])</f>
        <v>9</v>
      </c>
      <c r="E1293" s="5">
        <f>WEEKNUM(Table1[[#This Row],[Date]])</f>
        <v>36</v>
      </c>
      <c r="F1293" s="5">
        <f>YEAR(Table1[[#This Row],[Date]])</f>
        <v>2023</v>
      </c>
      <c r="H1293">
        <v>257.92903719814421</v>
      </c>
      <c r="I1293">
        <f>Table1[[#This Row],[Forecast]]*0.9</f>
        <v>232.13613347832981</v>
      </c>
      <c r="J1293">
        <f>Table1[[#This Row],[Forecast]]*0.8</f>
        <v>206.34322975851538</v>
      </c>
      <c r="K1293">
        <f>Table1[[#This Row],[Forecast]]*0.8</f>
        <v>206.34322975851538</v>
      </c>
      <c r="P1293" s="13">
        <f t="shared" si="43"/>
        <v>1.9222475635701692E-3</v>
      </c>
      <c r="Z1293" s="8"/>
      <c r="AA1293" s="8">
        <f>CONVERT(Table1[[#This Row],[RevisedForecast 30% Recution2]]*Table1[[#This Row],[Talk Duration (AVG)]],"day","hr")</f>
        <v>9.5194264959001398</v>
      </c>
      <c r="AB1293" s="10">
        <f>(Table1[[#This Row],[Forecast Workload Hours]]*60)*1.2</f>
        <v>685.39870770481002</v>
      </c>
      <c r="AC1293" s="10">
        <f>IF(Table1[[#This Row],[Forecast WOrkload Minutes]]&lt;384,1,Table1[[#This Row],[Forecast WOrkload Minutes]]/384)</f>
        <v>1.7848924679812761</v>
      </c>
      <c r="AD1293" s="10">
        <f>ROUNDUP(Table1[[#This Row],[Forecast Headcount]],0)</f>
        <v>2</v>
      </c>
      <c r="AE1293" s="11">
        <v>149.06571607623249</v>
      </c>
      <c r="AF1293" s="11">
        <v>370.73974327947741</v>
      </c>
      <c r="AG1293" t="s">
        <v>7</v>
      </c>
    </row>
    <row r="1294" spans="1:33">
      <c r="A1294" s="2">
        <v>45175</v>
      </c>
      <c r="B1294" s="2"/>
      <c r="C1294" s="5">
        <f>WEEKDAY(Table1[[#This Row],[Date]])</f>
        <v>4</v>
      </c>
      <c r="D1294" s="5">
        <f>MONTH(Table1[[#This Row],[Date]])</f>
        <v>9</v>
      </c>
      <c r="E1294" s="5">
        <f>WEEKNUM(Table1[[#This Row],[Date]])</f>
        <v>36</v>
      </c>
      <c r="F1294" s="5">
        <f>YEAR(Table1[[#This Row],[Date]])</f>
        <v>2023</v>
      </c>
      <c r="H1294">
        <v>270.35919510056777</v>
      </c>
      <c r="I1294">
        <f>Table1[[#This Row],[Forecast]]*0.9</f>
        <v>243.323275590511</v>
      </c>
      <c r="J1294">
        <f>Table1[[#This Row],[Forecast]]*0.8</f>
        <v>216.28735608045423</v>
      </c>
      <c r="K1294">
        <f>Table1[[#This Row],[Forecast]]*0.8</f>
        <v>216.28735608045423</v>
      </c>
      <c r="P1294" s="13">
        <f t="shared" si="43"/>
        <v>1.9246361700832857E-3</v>
      </c>
      <c r="Z1294" s="8"/>
      <c r="AA1294" s="8">
        <f>CONVERT(Table1[[#This Row],[RevisedForecast 30% Recution2]]*Table1[[#This Row],[Talk Duration (AVG)]],"day","hr")</f>
        <v>9.9905872474590076</v>
      </c>
      <c r="AB1294" s="10">
        <f>(Table1[[#This Row],[Forecast Workload Hours]]*60)*1.2</f>
        <v>719.32228181704852</v>
      </c>
      <c r="AC1294" s="10">
        <f>IF(Table1[[#This Row],[Forecast WOrkload Minutes]]&lt;384,1,Table1[[#This Row],[Forecast WOrkload Minutes]]/384)</f>
        <v>1.8732351088985639</v>
      </c>
      <c r="AD1294" s="10">
        <f>ROUNDUP(Table1[[#This Row],[Forecast Headcount]],0)</f>
        <v>2</v>
      </c>
      <c r="AE1294" s="11">
        <v>162.8765985992915</v>
      </c>
      <c r="AF1294" s="11">
        <v>384.11917288949269</v>
      </c>
      <c r="AG1294" t="s">
        <v>7</v>
      </c>
    </row>
    <row r="1295" spans="1:33">
      <c r="A1295" s="2">
        <v>45176</v>
      </c>
      <c r="B1295" s="2"/>
      <c r="C1295" s="5">
        <f>WEEKDAY(Table1[[#This Row],[Date]])</f>
        <v>5</v>
      </c>
      <c r="D1295" s="5">
        <f>MONTH(Table1[[#This Row],[Date]])</f>
        <v>9</v>
      </c>
      <c r="E1295" s="5">
        <f>WEEKNUM(Table1[[#This Row],[Date]])</f>
        <v>36</v>
      </c>
      <c r="F1295" s="5">
        <f>YEAR(Table1[[#This Row],[Date]])</f>
        <v>2023</v>
      </c>
      <c r="H1295">
        <v>265.70226950946238</v>
      </c>
      <c r="I1295">
        <f>Table1[[#This Row],[Forecast]]*0.9</f>
        <v>239.13204255851616</v>
      </c>
      <c r="J1295">
        <f>Table1[[#This Row],[Forecast]]*0.8</f>
        <v>212.56181560756991</v>
      </c>
      <c r="K1295">
        <f>Table1[[#This Row],[Forecast]]*0.8</f>
        <v>212.56181560756991</v>
      </c>
      <c r="P1295" s="13">
        <f t="shared" si="43"/>
        <v>1.9246673838569958E-3</v>
      </c>
      <c r="Z1295" s="8"/>
      <c r="AA1295" s="8">
        <f>CONVERT(Table1[[#This Row],[RevisedForecast 30% Recution2]]*Table1[[#This Row],[Talk Duration (AVG)]],"day","hr")</f>
        <v>9.8186590452795528</v>
      </c>
      <c r="AB1295" s="10">
        <f>(Table1[[#This Row],[Forecast Workload Hours]]*60)*1.2</f>
        <v>706.94345126012774</v>
      </c>
      <c r="AC1295" s="10">
        <f>IF(Table1[[#This Row],[Forecast WOrkload Minutes]]&lt;384,1,Table1[[#This Row],[Forecast WOrkload Minutes]]/384)</f>
        <v>1.8409985709899159</v>
      </c>
      <c r="AD1295" s="10">
        <f>ROUNDUP(Table1[[#This Row],[Forecast Headcount]],0)</f>
        <v>2</v>
      </c>
      <c r="AE1295" s="11">
        <v>153.682484327758</v>
      </c>
      <c r="AF1295" s="11">
        <v>380.76195743128892</v>
      </c>
      <c r="AG1295" t="s">
        <v>7</v>
      </c>
    </row>
    <row r="1296" spans="1:33">
      <c r="A1296" s="2">
        <v>45177</v>
      </c>
      <c r="B1296" s="2"/>
      <c r="C1296" s="5">
        <f>WEEKDAY(Table1[[#This Row],[Date]])</f>
        <v>6</v>
      </c>
      <c r="D1296" s="5">
        <f>MONTH(Table1[[#This Row],[Date]])</f>
        <v>9</v>
      </c>
      <c r="E1296" s="5">
        <f>WEEKNUM(Table1[[#This Row],[Date]])</f>
        <v>36</v>
      </c>
      <c r="F1296" s="5">
        <f>YEAR(Table1[[#This Row],[Date]])</f>
        <v>2023</v>
      </c>
      <c r="H1296">
        <v>256.84767789771882</v>
      </c>
      <c r="I1296">
        <f>Table1[[#This Row],[Forecast]]*0.9</f>
        <v>231.16291010794694</v>
      </c>
      <c r="J1296">
        <f>Table1[[#This Row],[Forecast]]*0.8</f>
        <v>205.47814231817506</v>
      </c>
      <c r="K1296">
        <f>Table1[[#This Row],[Forecast]]*0.8</f>
        <v>205.47814231817506</v>
      </c>
      <c r="P1296" s="13">
        <f t="shared" si="43"/>
        <v>1.9257805785140188E-3</v>
      </c>
      <c r="Z1296" s="8"/>
      <c r="AA1296" s="8">
        <f>CONVERT(Table1[[#This Row],[RevisedForecast 30% Recution2]]*Table1[[#This Row],[Talk Duration (AVG)]],"day","hr")</f>
        <v>9.4969395788515456</v>
      </c>
      <c r="AB1296" s="10">
        <f>(Table1[[#This Row],[Forecast Workload Hours]]*60)*1.2</f>
        <v>683.77964967731134</v>
      </c>
      <c r="AC1296" s="10">
        <f>IF(Table1[[#This Row],[Forecast WOrkload Minutes]]&lt;384,1,Table1[[#This Row],[Forecast WOrkload Minutes]]/384)</f>
        <v>1.780676171034665</v>
      </c>
      <c r="AD1296" s="10">
        <f>ROUNDUP(Table1[[#This Row],[Forecast Headcount]],0)</f>
        <v>2</v>
      </c>
      <c r="AE1296" s="11">
        <v>144.8251548877767</v>
      </c>
      <c r="AF1296" s="11">
        <v>368.92148490503769</v>
      </c>
      <c r="AG1296" t="s">
        <v>7</v>
      </c>
    </row>
    <row r="1297" spans="1:33">
      <c r="A1297" s="2">
        <v>45178</v>
      </c>
      <c r="B1297" s="2"/>
      <c r="C1297" s="5">
        <f>WEEKDAY(Table1[[#This Row],[Date]])</f>
        <v>7</v>
      </c>
      <c r="D1297" s="5">
        <f>MONTH(Table1[[#This Row],[Date]])</f>
        <v>9</v>
      </c>
      <c r="E1297" s="5">
        <f>WEEKNUM(Table1[[#This Row],[Date]])</f>
        <v>36</v>
      </c>
      <c r="F1297" s="5">
        <f>YEAR(Table1[[#This Row],[Date]])</f>
        <v>2023</v>
      </c>
      <c r="H1297">
        <v>263.9120204111062</v>
      </c>
      <c r="I1297">
        <f>Table1[[#This Row],[Forecast]]*0.9</f>
        <v>237.5208183699956</v>
      </c>
      <c r="J1297">
        <f>Table1[[#This Row],[Forecast]]*0.8</f>
        <v>211.12961632888496</v>
      </c>
      <c r="K1297">
        <f>Table1[[#This Row],[Forecast]]*0.8</f>
        <v>211.12961632888496</v>
      </c>
      <c r="P1297" s="13">
        <f t="shared" si="43"/>
        <v>1.9265796701096846E-3</v>
      </c>
      <c r="Z1297" s="8"/>
      <c r="AA1297" s="8">
        <f>CONVERT(Table1[[#This Row],[RevisedForecast 30% Recution2]]*Table1[[#This Row],[Talk Duration (AVG)]],"day","hr")</f>
        <v>9.7621926378549002</v>
      </c>
      <c r="AB1297" s="10">
        <f>(Table1[[#This Row],[Forecast Workload Hours]]*60)*1.2</f>
        <v>702.87786992555277</v>
      </c>
      <c r="AC1297" s="10">
        <f>IF(Table1[[#This Row],[Forecast WOrkload Minutes]]&lt;384,1,Table1[[#This Row],[Forecast WOrkload Minutes]]/384)</f>
        <v>1.8304111195977937</v>
      </c>
      <c r="AD1297" s="10">
        <f>ROUNDUP(Table1[[#This Row],[Forecast Headcount]],0)</f>
        <v>2</v>
      </c>
      <c r="AE1297" s="11">
        <v>155.05024141386801</v>
      </c>
      <c r="AF1297" s="11">
        <v>376.40310837669921</v>
      </c>
      <c r="AG1297" t="s">
        <v>7</v>
      </c>
    </row>
    <row r="1298" spans="1:33">
      <c r="A1298" s="2">
        <v>45179</v>
      </c>
      <c r="B1298" s="2"/>
      <c r="C1298" s="5">
        <f>WEEKDAY(Table1[[#This Row],[Date]])</f>
        <v>1</v>
      </c>
      <c r="D1298" s="5">
        <f>MONTH(Table1[[#This Row],[Date]])</f>
        <v>9</v>
      </c>
      <c r="E1298" s="5">
        <f>WEEKNUM(Table1[[#This Row],[Date]])</f>
        <v>37</v>
      </c>
      <c r="F1298" s="5">
        <f>YEAR(Table1[[#This Row],[Date]])</f>
        <v>2023</v>
      </c>
      <c r="H1298">
        <v>175.05703992197419</v>
      </c>
      <c r="I1298">
        <f>Table1[[#This Row],[Forecast]]*0.9</f>
        <v>157.55133592977677</v>
      </c>
      <c r="J1298">
        <f>Table1[[#This Row],[Forecast]]*0.8</f>
        <v>140.04563193757937</v>
      </c>
      <c r="K1298">
        <f>Table1[[#This Row],[Forecast]]*0.8</f>
        <v>140.04563193757937</v>
      </c>
      <c r="P1298" s="13">
        <f t="shared" si="43"/>
        <v>1.9265208785184634E-3</v>
      </c>
      <c r="Z1298" s="8"/>
      <c r="AA1298" s="8">
        <f>CONVERT(Table1[[#This Row],[RevisedForecast 30% Recution2]]*Table1[[#This Row],[Talk Duration (AVG)]],"day","hr")</f>
        <v>6.475220012953411</v>
      </c>
      <c r="AB1298" s="10">
        <f>(Table1[[#This Row],[Forecast Workload Hours]]*60)*1.2</f>
        <v>466.21584093264556</v>
      </c>
      <c r="AC1298" s="10">
        <f>IF(Table1[[#This Row],[Forecast WOrkload Minutes]]&lt;384,1,Table1[[#This Row],[Forecast WOrkload Minutes]]/384)</f>
        <v>1.2141037524287646</v>
      </c>
      <c r="AD1298" s="10">
        <f>ROUNDUP(Table1[[#This Row],[Forecast Headcount]],0)</f>
        <v>2</v>
      </c>
      <c r="AE1298" s="11">
        <v>64.066114232128442</v>
      </c>
      <c r="AF1298" s="11">
        <v>283.40316194061859</v>
      </c>
      <c r="AG1298" t="s">
        <v>7</v>
      </c>
    </row>
    <row r="1299" spans="1:33">
      <c r="A1299" s="2">
        <v>45180</v>
      </c>
      <c r="B1299" s="2"/>
      <c r="C1299" s="5">
        <f>WEEKDAY(Table1[[#This Row],[Date]])</f>
        <v>2</v>
      </c>
      <c r="D1299" s="5">
        <f>MONTH(Table1[[#This Row],[Date]])</f>
        <v>9</v>
      </c>
      <c r="E1299" s="5">
        <f>WEEKNUM(Table1[[#This Row],[Date]])</f>
        <v>37</v>
      </c>
      <c r="F1299" s="5">
        <f>YEAR(Table1[[#This Row],[Date]])</f>
        <v>2023</v>
      </c>
      <c r="H1299">
        <v>274.64832079213232</v>
      </c>
      <c r="I1299">
        <f>Table1[[#This Row],[Forecast]]*0.9</f>
        <v>247.18348871291909</v>
      </c>
      <c r="J1299">
        <f>Table1[[#This Row],[Forecast]]*0.8</f>
        <v>219.71865663370588</v>
      </c>
      <c r="K1299">
        <f>Table1[[#This Row],[Forecast]]*0.8</f>
        <v>219.71865663370588</v>
      </c>
      <c r="P1299" s="13">
        <f t="shared" si="43"/>
        <v>1.9270023820560191E-3</v>
      </c>
      <c r="Z1299" s="8"/>
      <c r="AA1299" s="8">
        <f>CONVERT(Table1[[#This Row],[RevisedForecast 30% Recution2]]*Table1[[#This Row],[Talk Duration (AVG)]],"day","hr")</f>
        <v>10.161560993167194</v>
      </c>
      <c r="AB1299" s="10">
        <f>(Table1[[#This Row],[Forecast Workload Hours]]*60)*1.2</f>
        <v>731.63239150803793</v>
      </c>
      <c r="AC1299" s="10">
        <f>IF(Table1[[#This Row],[Forecast WOrkload Minutes]]&lt;384,1,Table1[[#This Row],[Forecast WOrkload Minutes]]/384)</f>
        <v>1.9052926862188488</v>
      </c>
      <c r="AD1299" s="10">
        <f>ROUNDUP(Table1[[#This Row],[Forecast Headcount]],0)</f>
        <v>2</v>
      </c>
      <c r="AE1299" s="11">
        <v>169.5004796225551</v>
      </c>
      <c r="AF1299" s="11">
        <v>381.50446226628992</v>
      </c>
      <c r="AG1299" t="s">
        <v>7</v>
      </c>
    </row>
    <row r="1300" spans="1:33">
      <c r="A1300" s="2">
        <v>45181</v>
      </c>
      <c r="B1300" s="2"/>
      <c r="C1300" s="5">
        <f>WEEKDAY(Table1[[#This Row],[Date]])</f>
        <v>3</v>
      </c>
      <c r="D1300" s="5">
        <f>MONTH(Table1[[#This Row],[Date]])</f>
        <v>9</v>
      </c>
      <c r="E1300" s="5">
        <f>WEEKNUM(Table1[[#This Row],[Date]])</f>
        <v>37</v>
      </c>
      <c r="F1300" s="5">
        <f>YEAR(Table1[[#This Row],[Date]])</f>
        <v>2023</v>
      </c>
      <c r="H1300">
        <v>258.26033017179913</v>
      </c>
      <c r="I1300">
        <f>Table1[[#This Row],[Forecast]]*0.9</f>
        <v>232.43429715461923</v>
      </c>
      <c r="J1300">
        <f>Table1[[#This Row],[Forecast]]*0.8</f>
        <v>206.60826413743931</v>
      </c>
      <c r="K1300">
        <f>Table1[[#This Row],[Forecast]]*0.8</f>
        <v>206.60826413743931</v>
      </c>
      <c r="P1300" s="13">
        <f t="shared" si="43"/>
        <v>1.9290027504587576E-3</v>
      </c>
      <c r="Z1300" s="8"/>
      <c r="AA1300" s="8">
        <f>CONVERT(Table1[[#This Row],[RevisedForecast 30% Recution2]]*Table1[[#This Row],[Talk Duration (AVG)]],"day","hr")</f>
        <v>9.5651498349271176</v>
      </c>
      <c r="AB1300" s="10">
        <f>(Table1[[#This Row],[Forecast Workload Hours]]*60)*1.2</f>
        <v>688.69078811475242</v>
      </c>
      <c r="AC1300" s="10">
        <f>IF(Table1[[#This Row],[Forecast WOrkload Minutes]]&lt;384,1,Table1[[#This Row],[Forecast WOrkload Minutes]]/384)</f>
        <v>1.7934655940488344</v>
      </c>
      <c r="AD1300" s="10">
        <f>ROUNDUP(Table1[[#This Row],[Forecast Headcount]],0)</f>
        <v>2</v>
      </c>
      <c r="AE1300" s="11">
        <v>141.4614183333658</v>
      </c>
      <c r="AF1300" s="11">
        <v>369.33243483723243</v>
      </c>
      <c r="AG1300" t="s">
        <v>7</v>
      </c>
    </row>
    <row r="1301" spans="1:33">
      <c r="A1301" s="2">
        <v>45182</v>
      </c>
      <c r="B1301" s="2"/>
      <c r="C1301" s="5">
        <f>WEEKDAY(Table1[[#This Row],[Date]])</f>
        <v>4</v>
      </c>
      <c r="D1301" s="5">
        <f>MONTH(Table1[[#This Row],[Date]])</f>
        <v>9</v>
      </c>
      <c r="E1301" s="5">
        <f>WEEKNUM(Table1[[#This Row],[Date]])</f>
        <v>37</v>
      </c>
      <c r="F1301" s="5">
        <f>YEAR(Table1[[#This Row],[Date]])</f>
        <v>2023</v>
      </c>
      <c r="H1301">
        <v>270.1158116929613</v>
      </c>
      <c r="I1301">
        <f>Table1[[#This Row],[Forecast]]*0.9</f>
        <v>243.10423052366517</v>
      </c>
      <c r="J1301">
        <f>Table1[[#This Row],[Forecast]]*0.8</f>
        <v>216.09264935436906</v>
      </c>
      <c r="K1301">
        <f>Table1[[#This Row],[Forecast]]*0.8</f>
        <v>216.09264935436906</v>
      </c>
      <c r="P1301" s="13">
        <f t="shared" si="43"/>
        <v>1.9293992801445962E-3</v>
      </c>
      <c r="Z1301" s="8"/>
      <c r="AA1301" s="8">
        <f>CONVERT(Table1[[#This Row],[RevisedForecast 30% Recution2]]*Table1[[#This Row],[Talk Duration (AVG)]],"day","hr")</f>
        <v>10.006296050612599</v>
      </c>
      <c r="AB1301" s="10">
        <f>(Table1[[#This Row],[Forecast Workload Hours]]*60)*1.2</f>
        <v>720.45331564410708</v>
      </c>
      <c r="AC1301" s="10">
        <f>IF(Table1[[#This Row],[Forecast WOrkload Minutes]]&lt;384,1,Table1[[#This Row],[Forecast WOrkload Minutes]]/384)</f>
        <v>1.8761805094898623</v>
      </c>
      <c r="AD1301" s="10">
        <f>ROUNDUP(Table1[[#This Row],[Forecast Headcount]],0)</f>
        <v>2</v>
      </c>
      <c r="AE1301" s="11">
        <v>155.73827386616739</v>
      </c>
      <c r="AF1301" s="11">
        <v>380.53121630731027</v>
      </c>
      <c r="AG1301" t="s">
        <v>7</v>
      </c>
    </row>
    <row r="1302" spans="1:33">
      <c r="A1302" s="2">
        <v>45183</v>
      </c>
      <c r="B1302" s="2"/>
      <c r="C1302" s="5">
        <f>WEEKDAY(Table1[[#This Row],[Date]])</f>
        <v>5</v>
      </c>
      <c r="D1302" s="5">
        <f>MONTH(Table1[[#This Row],[Date]])</f>
        <v>9</v>
      </c>
      <c r="E1302" s="5">
        <f>WEEKNUM(Table1[[#This Row],[Date]])</f>
        <v>37</v>
      </c>
      <c r="F1302" s="5">
        <f>YEAR(Table1[[#This Row],[Date]])</f>
        <v>2023</v>
      </c>
      <c r="H1302">
        <v>264.95364768664899</v>
      </c>
      <c r="I1302">
        <f>Table1[[#This Row],[Forecast]]*0.9</f>
        <v>238.45828291798409</v>
      </c>
      <c r="J1302">
        <f>Table1[[#This Row],[Forecast]]*0.8</f>
        <v>211.96291814931919</v>
      </c>
      <c r="K1302">
        <f>Table1[[#This Row],[Forecast]]*0.8</f>
        <v>211.96291814931919</v>
      </c>
      <c r="P1302" s="13">
        <f t="shared" si="43"/>
        <v>1.9292586711324481E-3</v>
      </c>
      <c r="Z1302" s="8"/>
      <c r="AA1302" s="8">
        <f>CONVERT(Table1[[#This Row],[RevisedForecast 30% Recution2]]*Table1[[#This Row],[Talk Duration (AVG)]],"day","hr")</f>
        <v>9.8143511471546745</v>
      </c>
      <c r="AB1302" s="10">
        <f>(Table1[[#This Row],[Forecast Workload Hours]]*60)*1.2</f>
        <v>706.63328259513662</v>
      </c>
      <c r="AC1302" s="10">
        <f>IF(Table1[[#This Row],[Forecast WOrkload Minutes]]&lt;384,1,Table1[[#This Row],[Forecast WOrkload Minutes]]/384)</f>
        <v>1.8401908400915017</v>
      </c>
      <c r="AD1302" s="10">
        <f>ROUNDUP(Table1[[#This Row],[Forecast Headcount]],0)</f>
        <v>2</v>
      </c>
      <c r="AE1302" s="11">
        <v>155.86287315886241</v>
      </c>
      <c r="AF1302" s="11">
        <v>371.77675309105911</v>
      </c>
      <c r="AG1302" t="s">
        <v>7</v>
      </c>
    </row>
    <row r="1303" spans="1:33">
      <c r="A1303" s="2">
        <v>45184</v>
      </c>
      <c r="B1303" s="2"/>
      <c r="C1303" s="5">
        <f>WEEKDAY(Table1[[#This Row],[Date]])</f>
        <v>6</v>
      </c>
      <c r="D1303" s="5">
        <f>MONTH(Table1[[#This Row],[Date]])</f>
        <v>9</v>
      </c>
      <c r="E1303" s="5">
        <f>WEEKNUM(Table1[[#This Row],[Date]])</f>
        <v>37</v>
      </c>
      <c r="F1303" s="5">
        <f>YEAR(Table1[[#This Row],[Date]])</f>
        <v>2023</v>
      </c>
      <c r="H1303">
        <v>255.67874420249191</v>
      </c>
      <c r="I1303">
        <f>Table1[[#This Row],[Forecast]]*0.9</f>
        <v>230.11086978224273</v>
      </c>
      <c r="J1303">
        <f>Table1[[#This Row],[Forecast]]*0.8</f>
        <v>204.54299536199355</v>
      </c>
      <c r="K1303">
        <f>Table1[[#This Row],[Forecast]]*0.8</f>
        <v>204.54299536199355</v>
      </c>
      <c r="P1303" s="13">
        <f t="shared" si="43"/>
        <v>1.9300902682666038E-3</v>
      </c>
      <c r="Z1303" s="8"/>
      <c r="AA1303" s="8">
        <f>CONVERT(Table1[[#This Row],[RevisedForecast 30% Recution2]]*Table1[[#This Row],[Talk Duration (AVG)]],"day","hr")</f>
        <v>9.474874674966836</v>
      </c>
      <c r="AB1303" s="10">
        <f>(Table1[[#This Row],[Forecast Workload Hours]]*60)*1.2</f>
        <v>682.19097659761223</v>
      </c>
      <c r="AC1303" s="10">
        <f>IF(Table1[[#This Row],[Forecast WOrkload Minutes]]&lt;384,1,Table1[[#This Row],[Forecast WOrkload Minutes]]/384)</f>
        <v>1.7765390015562819</v>
      </c>
      <c r="AD1303" s="10">
        <f>ROUNDUP(Table1[[#This Row],[Forecast Headcount]],0)</f>
        <v>2</v>
      </c>
      <c r="AE1303" s="11">
        <v>147.97996739876029</v>
      </c>
      <c r="AF1303" s="11">
        <v>368.30285854639789</v>
      </c>
      <c r="AG1303" t="s">
        <v>7</v>
      </c>
    </row>
    <row r="1304" spans="1:33">
      <c r="A1304" s="2">
        <v>45185</v>
      </c>
      <c r="B1304" s="2"/>
      <c r="C1304" s="5">
        <f>WEEKDAY(Table1[[#This Row],[Date]])</f>
        <v>7</v>
      </c>
      <c r="D1304" s="5">
        <f>MONTH(Table1[[#This Row],[Date]])</f>
        <v>9</v>
      </c>
      <c r="E1304" s="5">
        <f>WEEKNUM(Table1[[#This Row],[Date]])</f>
        <v>37</v>
      </c>
      <c r="F1304" s="5">
        <f>YEAR(Table1[[#This Row],[Date]])</f>
        <v>2023</v>
      </c>
      <c r="H1304">
        <v>262.42121876412148</v>
      </c>
      <c r="I1304">
        <f>Table1[[#This Row],[Forecast]]*0.9</f>
        <v>236.17909688770933</v>
      </c>
      <c r="J1304">
        <f>Table1[[#This Row],[Forecast]]*0.8</f>
        <v>209.93697501129719</v>
      </c>
      <c r="K1304">
        <f>Table1[[#This Row],[Forecast]]*0.8</f>
        <v>209.93697501129719</v>
      </c>
      <c r="P1304" s="13">
        <f t="shared" si="43"/>
        <v>1.9275764009226083E-3</v>
      </c>
      <c r="Z1304" s="8"/>
      <c r="AA1304" s="8">
        <f>CONVERT(Table1[[#This Row],[RevisedForecast 30% Recution2]]*Table1[[#This Row],[Talk Duration (AVG)]],"day","hr")</f>
        <v>9.7120694091085387</v>
      </c>
      <c r="AB1304" s="10">
        <f>(Table1[[#This Row],[Forecast Workload Hours]]*60)*1.2</f>
        <v>699.26899745581466</v>
      </c>
      <c r="AC1304" s="10">
        <f>IF(Table1[[#This Row],[Forecast WOrkload Minutes]]&lt;384,1,Table1[[#This Row],[Forecast WOrkload Minutes]]/384)</f>
        <v>1.8210130142078507</v>
      </c>
      <c r="AD1304" s="10">
        <f>ROUNDUP(Table1[[#This Row],[Forecast Headcount]],0)</f>
        <v>2</v>
      </c>
      <c r="AE1304" s="11">
        <v>157.92756844384721</v>
      </c>
      <c r="AF1304" s="11">
        <v>371.67651896235918</v>
      </c>
      <c r="AG1304" t="s">
        <v>7</v>
      </c>
    </row>
    <row r="1305" spans="1:33">
      <c r="A1305" s="2">
        <v>45186</v>
      </c>
      <c r="B1305" s="2"/>
      <c r="C1305" s="5">
        <f>WEEKDAY(Table1[[#This Row],[Date]])</f>
        <v>1</v>
      </c>
      <c r="D1305" s="5">
        <f>MONTH(Table1[[#This Row],[Date]])</f>
        <v>9</v>
      </c>
      <c r="E1305" s="5">
        <f>WEEKNUM(Table1[[#This Row],[Date]])</f>
        <v>38</v>
      </c>
      <c r="F1305" s="5">
        <f>YEAR(Table1[[#This Row],[Date]])</f>
        <v>2023</v>
      </c>
      <c r="H1305">
        <v>173.35407445948039</v>
      </c>
      <c r="I1305">
        <f>Table1[[#This Row],[Forecast]]*0.9</f>
        <v>156.01866701353237</v>
      </c>
      <c r="J1305">
        <f>Table1[[#This Row],[Forecast]]*0.8</f>
        <v>138.68325956758432</v>
      </c>
      <c r="K1305">
        <f>Table1[[#This Row],[Forecast]]*0.8</f>
        <v>138.68325956758432</v>
      </c>
      <c r="P1305" s="13">
        <f t="shared" si="43"/>
        <v>1.9288249515715908E-3</v>
      </c>
      <c r="Z1305" s="8"/>
      <c r="AA1305" s="8">
        <f>CONVERT(Table1[[#This Row],[RevisedForecast 30% Recution2]]*Table1[[#This Row],[Talk Duration (AVG)]],"day","hr")</f>
        <v>6.4198975540616683</v>
      </c>
      <c r="AB1305" s="10">
        <f>(Table1[[#This Row],[Forecast Workload Hours]]*60)*1.2</f>
        <v>462.23262389244013</v>
      </c>
      <c r="AC1305" s="10">
        <f>IF(Table1[[#This Row],[Forecast WOrkload Minutes]]&lt;384,1,Table1[[#This Row],[Forecast WOrkload Minutes]]/384)</f>
        <v>1.2037307913865629</v>
      </c>
      <c r="AD1305" s="10">
        <f>ROUNDUP(Table1[[#This Row],[Forecast Headcount]],0)</f>
        <v>2</v>
      </c>
      <c r="AE1305" s="11">
        <v>68.371403485339826</v>
      </c>
      <c r="AF1305" s="11">
        <v>274.44226205763869</v>
      </c>
      <c r="AG1305" t="s">
        <v>7</v>
      </c>
    </row>
    <row r="1306" spans="1:33">
      <c r="A1306" s="2">
        <v>45187</v>
      </c>
      <c r="B1306" s="2"/>
      <c r="C1306" s="5">
        <f>WEEKDAY(Table1[[#This Row],[Date]])</f>
        <v>2</v>
      </c>
      <c r="D1306" s="5">
        <f>MONTH(Table1[[#This Row],[Date]])</f>
        <v>9</v>
      </c>
      <c r="E1306" s="5">
        <f>WEEKNUM(Table1[[#This Row],[Date]])</f>
        <v>38</v>
      </c>
      <c r="F1306" s="5">
        <f>YEAR(Table1[[#This Row],[Date]])</f>
        <v>2023</v>
      </c>
      <c r="H1306">
        <v>272.85166533690722</v>
      </c>
      <c r="I1306">
        <f>Table1[[#This Row],[Forecast]]*0.9</f>
        <v>245.56649880321649</v>
      </c>
      <c r="J1306">
        <f>Table1[[#This Row],[Forecast]]*0.8</f>
        <v>218.28133226952579</v>
      </c>
      <c r="K1306">
        <f>Table1[[#This Row],[Forecast]]*0.8</f>
        <v>218.28133226952579</v>
      </c>
      <c r="P1306" s="13">
        <f t="shared" si="43"/>
        <v>1.9300851709182275E-3</v>
      </c>
      <c r="Z1306" s="8"/>
      <c r="AA1306" s="8">
        <f>CONVERT(Table1[[#This Row],[RevisedForecast 30% Recution2]]*Table1[[#This Row],[Talk Duration (AVG)]],"day","hr")</f>
        <v>10.111237500040467</v>
      </c>
      <c r="AB1306" s="10">
        <f>(Table1[[#This Row],[Forecast Workload Hours]]*60)*1.2</f>
        <v>728.00910000291367</v>
      </c>
      <c r="AC1306" s="10">
        <f>IF(Table1[[#This Row],[Forecast WOrkload Minutes]]&lt;384,1,Table1[[#This Row],[Forecast WOrkload Minutes]]/384)</f>
        <v>1.8958570312575878</v>
      </c>
      <c r="AD1306" s="10">
        <f>ROUNDUP(Table1[[#This Row],[Forecast Headcount]],0)</f>
        <v>2</v>
      </c>
      <c r="AE1306" s="11">
        <v>158.69574396410931</v>
      </c>
      <c r="AF1306" s="11">
        <v>383.38110724946188</v>
      </c>
      <c r="AG1306" t="s">
        <v>7</v>
      </c>
    </row>
    <row r="1307" spans="1:33">
      <c r="A1307" s="2">
        <v>45188</v>
      </c>
      <c r="B1307" s="2"/>
      <c r="C1307" s="5">
        <f>WEEKDAY(Table1[[#This Row],[Date]])</f>
        <v>3</v>
      </c>
      <c r="D1307" s="5">
        <f>MONTH(Table1[[#This Row],[Date]])</f>
        <v>9</v>
      </c>
      <c r="E1307" s="5">
        <f>WEEKNUM(Table1[[#This Row],[Date]])</f>
        <v>38</v>
      </c>
      <c r="F1307" s="5">
        <f>YEAR(Table1[[#This Row],[Date]])</f>
        <v>2023</v>
      </c>
      <c r="H1307">
        <v>256.49456113328392</v>
      </c>
      <c r="I1307">
        <f>Table1[[#This Row],[Forecast]]*0.9</f>
        <v>230.84510501995553</v>
      </c>
      <c r="J1307">
        <f>Table1[[#This Row],[Forecast]]*0.8</f>
        <v>205.19564890662716</v>
      </c>
      <c r="K1307">
        <f>Table1[[#This Row],[Forecast]]*0.8</f>
        <v>205.19564890662716</v>
      </c>
      <c r="P1307" s="13">
        <f t="shared" si="43"/>
        <v>1.9290856207675843E-3</v>
      </c>
      <c r="Z1307" s="8"/>
      <c r="AA1307" s="8">
        <f>CONVERT(Table1[[#This Row],[RevisedForecast 30% Recution2]]*Table1[[#This Row],[Talk Duration (AVG)]],"day","hr")</f>
        <v>9.500159417996354</v>
      </c>
      <c r="AB1307" s="10">
        <f>(Table1[[#This Row],[Forecast Workload Hours]]*60)*1.2</f>
        <v>684.01147809573752</v>
      </c>
      <c r="AC1307" s="10">
        <f>IF(Table1[[#This Row],[Forecast WOrkload Minutes]]&lt;384,1,Table1[[#This Row],[Forecast WOrkload Minutes]]/384)</f>
        <v>1.7812798908743164</v>
      </c>
      <c r="AD1307" s="10">
        <f>ROUNDUP(Table1[[#This Row],[Forecast Headcount]],0)</f>
        <v>2</v>
      </c>
      <c r="AE1307" s="11">
        <v>141.96729244576809</v>
      </c>
      <c r="AF1307" s="11">
        <v>364.57184476518557</v>
      </c>
      <c r="AG1307" t="s">
        <v>7</v>
      </c>
    </row>
    <row r="1308" spans="1:33">
      <c r="A1308" s="2">
        <v>45189</v>
      </c>
      <c r="B1308" s="2"/>
      <c r="C1308" s="5">
        <f>WEEKDAY(Table1[[#This Row],[Date]])</f>
        <v>4</v>
      </c>
      <c r="D1308" s="5">
        <f>MONTH(Table1[[#This Row],[Date]])</f>
        <v>9</v>
      </c>
      <c r="E1308" s="5">
        <f>WEEKNUM(Table1[[#This Row],[Date]])</f>
        <v>38</v>
      </c>
      <c r="F1308" s="5">
        <f>YEAR(Table1[[#This Row],[Date]])</f>
        <v>2023</v>
      </c>
      <c r="H1308">
        <v>268.50882398105102</v>
      </c>
      <c r="I1308">
        <f>Table1[[#This Row],[Forecast]]*0.9</f>
        <v>241.65794158294594</v>
      </c>
      <c r="J1308">
        <f>Table1[[#This Row],[Forecast]]*0.8</f>
        <v>214.80705918484082</v>
      </c>
      <c r="K1308">
        <f>Table1[[#This Row],[Forecast]]*0.8</f>
        <v>214.80705918484082</v>
      </c>
      <c r="P1308" s="13">
        <f t="shared" si="43"/>
        <v>1.9298074316920304E-3</v>
      </c>
      <c r="Z1308" s="8"/>
      <c r="AA1308" s="8">
        <f>CONVERT(Table1[[#This Row],[RevisedForecast 30% Recution2]]*Table1[[#This Row],[Talk Duration (AVG)]],"day","hr")</f>
        <v>9.948870220675575</v>
      </c>
      <c r="AB1308" s="10">
        <f>(Table1[[#This Row],[Forecast Workload Hours]]*60)*1.2</f>
        <v>716.31865588864127</v>
      </c>
      <c r="AC1308" s="10">
        <f>IF(Table1[[#This Row],[Forecast WOrkload Minutes]]&lt;384,1,Table1[[#This Row],[Forecast WOrkload Minutes]]/384)</f>
        <v>1.86541316637667</v>
      </c>
      <c r="AD1308" s="10">
        <f>ROUNDUP(Table1[[#This Row],[Forecast Headcount]],0)</f>
        <v>2</v>
      </c>
      <c r="AE1308" s="11">
        <v>157.37188737725191</v>
      </c>
      <c r="AF1308" s="11">
        <v>383.98512750818168</v>
      </c>
      <c r="AG1308" t="s">
        <v>7</v>
      </c>
    </row>
    <row r="1309" spans="1:33">
      <c r="A1309" s="2">
        <v>45190</v>
      </c>
      <c r="B1309" s="2"/>
      <c r="C1309" s="5">
        <f>WEEKDAY(Table1[[#This Row],[Date]])</f>
        <v>5</v>
      </c>
      <c r="D1309" s="5">
        <f>MONTH(Table1[[#This Row],[Date]])</f>
        <v>9</v>
      </c>
      <c r="E1309" s="5">
        <f>WEEKNUM(Table1[[#This Row],[Date]])</f>
        <v>38</v>
      </c>
      <c r="F1309" s="5">
        <f>YEAR(Table1[[#This Row],[Date]])</f>
        <v>2023</v>
      </c>
      <c r="H1309">
        <v>263.63381456448042</v>
      </c>
      <c r="I1309">
        <f>Table1[[#This Row],[Forecast]]*0.9</f>
        <v>237.27043310803239</v>
      </c>
      <c r="J1309">
        <f>Table1[[#This Row],[Forecast]]*0.8</f>
        <v>210.90705165158434</v>
      </c>
      <c r="K1309">
        <f>Table1[[#This Row],[Forecast]]*0.8</f>
        <v>210.90705165158434</v>
      </c>
      <c r="P1309" s="13">
        <f t="shared" si="43"/>
        <v>1.9302114817632261E-3</v>
      </c>
      <c r="Z1309" s="8"/>
      <c r="AA1309" s="8">
        <f>CONVERT(Table1[[#This Row],[RevisedForecast 30% Recution2]]*Table1[[#This Row],[Talk Duration (AVG)]],"day","hr")</f>
        <v>9.7702851043852288</v>
      </c>
      <c r="AB1309" s="10">
        <f>(Table1[[#This Row],[Forecast Workload Hours]]*60)*1.2</f>
        <v>703.46052751573643</v>
      </c>
      <c r="AC1309" s="10">
        <f>IF(Table1[[#This Row],[Forecast WOrkload Minutes]]&lt;384,1,Table1[[#This Row],[Forecast WOrkload Minutes]]/384)</f>
        <v>1.8319284570722303</v>
      </c>
      <c r="AD1309" s="10">
        <f>ROUNDUP(Table1[[#This Row],[Forecast Headcount]],0)</f>
        <v>2</v>
      </c>
      <c r="AE1309" s="11">
        <v>157.65550563942179</v>
      </c>
      <c r="AF1309" s="11">
        <v>371.9830357608958</v>
      </c>
      <c r="AG1309" t="s">
        <v>7</v>
      </c>
    </row>
    <row r="1310" spans="1:33">
      <c r="A1310" s="2">
        <v>45191</v>
      </c>
      <c r="B1310" s="2"/>
      <c r="C1310" s="5">
        <f>WEEKDAY(Table1[[#This Row],[Date]])</f>
        <v>6</v>
      </c>
      <c r="D1310" s="5">
        <f>MONTH(Table1[[#This Row],[Date]])</f>
        <v>9</v>
      </c>
      <c r="E1310" s="5">
        <f>WEEKNUM(Table1[[#This Row],[Date]])</f>
        <v>38</v>
      </c>
      <c r="F1310" s="5">
        <f>YEAR(Table1[[#This Row],[Date]])</f>
        <v>2023</v>
      </c>
      <c r="H1310">
        <v>254.77208191003911</v>
      </c>
      <c r="I1310">
        <f>Table1[[#This Row],[Forecast]]*0.9</f>
        <v>229.29487371903519</v>
      </c>
      <c r="J1310">
        <f>Table1[[#This Row],[Forecast]]*0.8</f>
        <v>203.81766552803128</v>
      </c>
      <c r="K1310">
        <f>Table1[[#This Row],[Forecast]]*0.8</f>
        <v>203.81766552803128</v>
      </c>
      <c r="P1310" s="13">
        <f t="shared" si="43"/>
        <v>1.9287804364214493E-3</v>
      </c>
      <c r="Z1310" s="8"/>
      <c r="AA1310" s="8">
        <f>CONVERT(Table1[[#This Row],[RevisedForecast 30% Recution2]]*Table1[[#This Row],[Talk Duration (AVG)]],"day","hr")</f>
        <v>9.4348686208213728</v>
      </c>
      <c r="AB1310" s="10">
        <f>(Table1[[#This Row],[Forecast Workload Hours]]*60)*1.2</f>
        <v>679.31054069913887</v>
      </c>
      <c r="AC1310" s="10">
        <f>IF(Table1[[#This Row],[Forecast WOrkload Minutes]]&lt;384,1,Table1[[#This Row],[Forecast WOrkload Minutes]]/384)</f>
        <v>1.7690378664040074</v>
      </c>
      <c r="AD1310" s="10">
        <f>ROUNDUP(Table1[[#This Row],[Forecast Headcount]],0)</f>
        <v>2</v>
      </c>
      <c r="AE1310" s="11">
        <v>144.40902301229141</v>
      </c>
      <c r="AF1310" s="11">
        <v>368.10363943866128</v>
      </c>
      <c r="AG1310" t="s">
        <v>7</v>
      </c>
    </row>
    <row r="1311" spans="1:33">
      <c r="A1311" s="2">
        <v>45192</v>
      </c>
      <c r="B1311" s="2"/>
      <c r="C1311" s="5">
        <f>WEEKDAY(Table1[[#This Row],[Date]])</f>
        <v>7</v>
      </c>
      <c r="D1311" s="5">
        <f>MONTH(Table1[[#This Row],[Date]])</f>
        <v>9</v>
      </c>
      <c r="E1311" s="5">
        <f>WEEKNUM(Table1[[#This Row],[Date]])</f>
        <v>38</v>
      </c>
      <c r="F1311" s="5">
        <f>YEAR(Table1[[#This Row],[Date]])</f>
        <v>2023</v>
      </c>
      <c r="H1311">
        <v>262.04861528308157</v>
      </c>
      <c r="I1311">
        <f>Table1[[#This Row],[Forecast]]*0.9</f>
        <v>235.84375375477342</v>
      </c>
      <c r="J1311">
        <f>Table1[[#This Row],[Forecast]]*0.8</f>
        <v>209.63889222646526</v>
      </c>
      <c r="K1311">
        <f>Table1[[#This Row],[Forecast]]*0.8</f>
        <v>209.63889222646526</v>
      </c>
      <c r="P1311" s="13">
        <f t="shared" si="43"/>
        <v>1.9340424896521103E-3</v>
      </c>
      <c r="Z1311" s="8"/>
      <c r="AA1311" s="8">
        <f>CONVERT(Table1[[#This Row],[RevisedForecast 30% Recution2]]*Table1[[#This Row],[Talk Duration (AVG)]],"day","hr")</f>
        <v>9.7308126011899994</v>
      </c>
      <c r="AB1311" s="10">
        <f>(Table1[[#This Row],[Forecast Workload Hours]]*60)*1.2</f>
        <v>700.61850728567993</v>
      </c>
      <c r="AC1311" s="10">
        <f>IF(Table1[[#This Row],[Forecast WOrkload Minutes]]&lt;384,1,Table1[[#This Row],[Forecast WOrkload Minutes]]/384)</f>
        <v>1.8245273627231249</v>
      </c>
      <c r="AD1311" s="10">
        <f>ROUNDUP(Table1[[#This Row],[Forecast Headcount]],0)</f>
        <v>2</v>
      </c>
      <c r="AE1311" s="11">
        <v>153.2211413534263</v>
      </c>
      <c r="AF1311" s="11">
        <v>375.99430870204208</v>
      </c>
      <c r="AG1311" t="s">
        <v>7</v>
      </c>
    </row>
    <row r="1312" spans="1:33">
      <c r="A1312" s="2">
        <v>45193</v>
      </c>
      <c r="B1312" s="2"/>
      <c r="C1312" s="5">
        <f>WEEKDAY(Table1[[#This Row],[Date]])</f>
        <v>1</v>
      </c>
      <c r="D1312" s="5">
        <f>MONTH(Table1[[#This Row],[Date]])</f>
        <v>9</v>
      </c>
      <c r="E1312" s="5">
        <f>WEEKNUM(Table1[[#This Row],[Date]])</f>
        <v>39</v>
      </c>
      <c r="F1312" s="5">
        <f>YEAR(Table1[[#This Row],[Date]])</f>
        <v>2023</v>
      </c>
      <c r="H1312">
        <v>173.62863903093319</v>
      </c>
      <c r="I1312">
        <f>Table1[[#This Row],[Forecast]]*0.9</f>
        <v>156.26577512783987</v>
      </c>
      <c r="J1312">
        <f>Table1[[#This Row],[Forecast]]*0.8</f>
        <v>138.90291122474656</v>
      </c>
      <c r="K1312">
        <f>Table1[[#This Row],[Forecast]]*0.8</f>
        <v>138.90291122474656</v>
      </c>
      <c r="P1312" s="13">
        <f t="shared" si="43"/>
        <v>1.9348106264539821E-3</v>
      </c>
      <c r="Z1312" s="8"/>
      <c r="AA1312" s="8">
        <f>CONVERT(Table1[[#This Row],[RevisedForecast 30% Recution2]]*Table1[[#This Row],[Talk Duration (AVG)]],"day","hr")</f>
        <v>6.4500198883928102</v>
      </c>
      <c r="AB1312" s="10">
        <f>(Table1[[#This Row],[Forecast Workload Hours]]*60)*1.2</f>
        <v>464.40143196428227</v>
      </c>
      <c r="AC1312" s="10">
        <f>IF(Table1[[#This Row],[Forecast WOrkload Minutes]]&lt;384,1,Table1[[#This Row],[Forecast WOrkload Minutes]]/384)</f>
        <v>1.2093787290736517</v>
      </c>
      <c r="AD1312" s="10">
        <f>ROUNDUP(Table1[[#This Row],[Forecast Headcount]],0)</f>
        <v>2</v>
      </c>
      <c r="AE1312" s="11">
        <v>51.377045275258261</v>
      </c>
      <c r="AF1312" s="11">
        <v>277.23303145216511</v>
      </c>
      <c r="AG1312" t="s">
        <v>7</v>
      </c>
    </row>
    <row r="1313" spans="1:33">
      <c r="A1313" s="2">
        <v>45194</v>
      </c>
      <c r="B1313" s="2"/>
      <c r="C1313" s="5">
        <f>WEEKDAY(Table1[[#This Row],[Date]])</f>
        <v>2</v>
      </c>
      <c r="D1313" s="5">
        <f>MONTH(Table1[[#This Row],[Date]])</f>
        <v>9</v>
      </c>
      <c r="E1313" s="5">
        <f>WEEKNUM(Table1[[#This Row],[Date]])</f>
        <v>39</v>
      </c>
      <c r="F1313" s="5">
        <f>YEAR(Table1[[#This Row],[Date]])</f>
        <v>2023</v>
      </c>
      <c r="H1313">
        <v>273.87625140580491</v>
      </c>
      <c r="I1313">
        <f>Table1[[#This Row],[Forecast]]*0.9</f>
        <v>246.48862626522441</v>
      </c>
      <c r="J1313">
        <f>Table1[[#This Row],[Forecast]]*0.8</f>
        <v>219.10100112464394</v>
      </c>
      <c r="K1313">
        <f>Table1[[#This Row],[Forecast]]*0.8</f>
        <v>219.10100112464394</v>
      </c>
      <c r="P1313" s="13">
        <f t="shared" si="43"/>
        <v>1.93612678668737E-3</v>
      </c>
      <c r="Z1313" s="8"/>
      <c r="AA1313" s="8">
        <f>CONVERT(Table1[[#This Row],[RevisedForecast 30% Recution2]]*Table1[[#This Row],[Talk Duration (AVG)]],"day","hr")</f>
        <v>10.180975614418625</v>
      </c>
      <c r="AB1313" s="10">
        <f>(Table1[[#This Row],[Forecast Workload Hours]]*60)*1.2</f>
        <v>733.03024423814088</v>
      </c>
      <c r="AC1313" s="10">
        <f>IF(Table1[[#This Row],[Forecast WOrkload Minutes]]&lt;384,1,Table1[[#This Row],[Forecast WOrkload Minutes]]/384)</f>
        <v>1.9089329277034919</v>
      </c>
      <c r="AD1313" s="10">
        <f>ROUNDUP(Table1[[#This Row],[Forecast Headcount]],0)</f>
        <v>2</v>
      </c>
      <c r="AE1313" s="11">
        <v>165.34947006731531</v>
      </c>
      <c r="AF1313" s="11">
        <v>381.71362261520471</v>
      </c>
      <c r="AG1313" t="s">
        <v>7</v>
      </c>
    </row>
    <row r="1314" spans="1:33">
      <c r="A1314" s="2">
        <v>45195</v>
      </c>
      <c r="B1314" s="2"/>
      <c r="C1314" s="5">
        <f>WEEKDAY(Table1[[#This Row],[Date]])</f>
        <v>3</v>
      </c>
      <c r="D1314" s="5">
        <f>MONTH(Table1[[#This Row],[Date]])</f>
        <v>9</v>
      </c>
      <c r="E1314" s="5">
        <f>WEEKNUM(Table1[[#This Row],[Date]])</f>
        <v>39</v>
      </c>
      <c r="F1314" s="5">
        <f>YEAR(Table1[[#This Row],[Date]])</f>
        <v>2023</v>
      </c>
      <c r="H1314">
        <v>258.3595104222635</v>
      </c>
      <c r="I1314">
        <f>Table1[[#This Row],[Forecast]]*0.9</f>
        <v>232.52355938003714</v>
      </c>
      <c r="J1314">
        <f>Table1[[#This Row],[Forecast]]*0.8</f>
        <v>206.68760833781081</v>
      </c>
      <c r="K1314">
        <f>Table1[[#This Row],[Forecast]]*0.8</f>
        <v>206.68760833781081</v>
      </c>
      <c r="P1314" s="13">
        <f t="shared" si="43"/>
        <v>1.9362653894013052E-3</v>
      </c>
      <c r="Z1314" s="8"/>
      <c r="AA1314" s="8">
        <f>CONVERT(Table1[[#This Row],[RevisedForecast 30% Recution2]]*Table1[[#This Row],[Talk Duration (AVG)]],"day","hr")</f>
        <v>9.604849498623258</v>
      </c>
      <c r="AB1314" s="10">
        <f>(Table1[[#This Row],[Forecast Workload Hours]]*60)*1.2</f>
        <v>691.54916390087453</v>
      </c>
      <c r="AC1314" s="10">
        <f>IF(Table1[[#This Row],[Forecast WOrkload Minutes]]&lt;384,1,Table1[[#This Row],[Forecast WOrkload Minutes]]/384)</f>
        <v>1.8009092809918608</v>
      </c>
      <c r="AD1314" s="10">
        <f>ROUNDUP(Table1[[#This Row],[Forecast Headcount]],0)</f>
        <v>2</v>
      </c>
      <c r="AE1314" s="11">
        <v>149.7849224841209</v>
      </c>
      <c r="AF1314" s="11">
        <v>372.93466813394872</v>
      </c>
      <c r="AG1314" t="s">
        <v>7</v>
      </c>
    </row>
    <row r="1315" spans="1:33">
      <c r="A1315" s="2">
        <v>45196</v>
      </c>
      <c r="B1315" s="2"/>
      <c r="C1315" s="5">
        <f>WEEKDAY(Table1[[#This Row],[Date]])</f>
        <v>4</v>
      </c>
      <c r="D1315" s="5">
        <f>MONTH(Table1[[#This Row],[Date]])</f>
        <v>9</v>
      </c>
      <c r="E1315" s="5">
        <f>WEEKNUM(Table1[[#This Row],[Date]])</f>
        <v>39</v>
      </c>
      <c r="F1315" s="5">
        <f>YEAR(Table1[[#This Row],[Date]])</f>
        <v>2023</v>
      </c>
      <c r="H1315">
        <v>271.28997354326441</v>
      </c>
      <c r="I1315">
        <f>Table1[[#This Row],[Forecast]]*0.9</f>
        <v>244.16097618893798</v>
      </c>
      <c r="J1315">
        <f>Table1[[#This Row],[Forecast]]*0.8</f>
        <v>217.03197883461155</v>
      </c>
      <c r="K1315">
        <f>Table1[[#This Row],[Forecast]]*0.8</f>
        <v>217.03197883461155</v>
      </c>
      <c r="P1315" s="13">
        <f t="shared" si="43"/>
        <v>1.9361889496345474E-3</v>
      </c>
      <c r="Z1315" s="8"/>
      <c r="AA1315" s="8">
        <f>CONVERT(Table1[[#This Row],[RevisedForecast 30% Recution2]]*Table1[[#This Row],[Talk Duration (AVG)]],"day","hr")</f>
        <v>10.085158059285453</v>
      </c>
      <c r="AB1315" s="10">
        <f>(Table1[[#This Row],[Forecast Workload Hours]]*60)*1.2</f>
        <v>726.13138026855256</v>
      </c>
      <c r="AC1315" s="10">
        <f>IF(Table1[[#This Row],[Forecast WOrkload Minutes]]&lt;384,1,Table1[[#This Row],[Forecast WOrkload Minutes]]/384)</f>
        <v>1.8909671361160223</v>
      </c>
      <c r="AD1315" s="10">
        <f>ROUNDUP(Table1[[#This Row],[Forecast Headcount]],0)</f>
        <v>2</v>
      </c>
      <c r="AE1315" s="11">
        <v>154.16650887069639</v>
      </c>
      <c r="AF1315" s="11">
        <v>378.24401626130782</v>
      </c>
      <c r="AG1315" t="s">
        <v>7</v>
      </c>
    </row>
    <row r="1316" spans="1:33">
      <c r="A1316" s="2">
        <v>45197</v>
      </c>
      <c r="B1316" s="2"/>
      <c r="C1316" s="5">
        <f>WEEKDAY(Table1[[#This Row],[Date]])</f>
        <v>5</v>
      </c>
      <c r="D1316" s="5">
        <f>MONTH(Table1[[#This Row],[Date]])</f>
        <v>9</v>
      </c>
      <c r="E1316" s="5">
        <f>WEEKNUM(Table1[[#This Row],[Date]])</f>
        <v>39</v>
      </c>
      <c r="F1316" s="5">
        <f>YEAR(Table1[[#This Row],[Date]])</f>
        <v>2023</v>
      </c>
      <c r="H1316">
        <v>267.39080210632687</v>
      </c>
      <c r="I1316">
        <f>Table1[[#This Row],[Forecast]]*0.9</f>
        <v>240.65172189569418</v>
      </c>
      <c r="J1316">
        <f>Table1[[#This Row],[Forecast]]*0.8</f>
        <v>213.91264168506152</v>
      </c>
      <c r="K1316">
        <f>Table1[[#This Row],[Forecast]]*0.8</f>
        <v>213.91264168506152</v>
      </c>
      <c r="P1316" s="13">
        <f t="shared" si="43"/>
        <v>1.936544471143766E-3</v>
      </c>
      <c r="Z1316" s="8"/>
      <c r="AA1316" s="8">
        <f>CONVERT(Table1[[#This Row],[RevisedForecast 30% Recution2]]*Table1[[#This Row],[Talk Duration (AVG)]],"day","hr")</f>
        <v>9.9420322455111219</v>
      </c>
      <c r="AB1316" s="10">
        <f>(Table1[[#This Row],[Forecast Workload Hours]]*60)*1.2</f>
        <v>715.82632167680083</v>
      </c>
      <c r="AC1316" s="10">
        <f>IF(Table1[[#This Row],[Forecast WOrkload Minutes]]&lt;384,1,Table1[[#This Row],[Forecast WOrkload Minutes]]/384)</f>
        <v>1.8641310460333356</v>
      </c>
      <c r="AD1316" s="10">
        <f>ROUNDUP(Table1[[#This Row],[Forecast Headcount]],0)</f>
        <v>2</v>
      </c>
      <c r="AE1316" s="11">
        <v>149.0174590918844</v>
      </c>
      <c r="AF1316" s="11">
        <v>376.55464860644759</v>
      </c>
      <c r="AG1316" t="s">
        <v>7</v>
      </c>
    </row>
    <row r="1317" spans="1:33">
      <c r="A1317" s="2">
        <v>45198</v>
      </c>
      <c r="B1317" s="2"/>
      <c r="C1317" s="5">
        <f>WEEKDAY(Table1[[#This Row],[Date]])</f>
        <v>6</v>
      </c>
      <c r="D1317" s="5">
        <f>MONTH(Table1[[#This Row],[Date]])</f>
        <v>9</v>
      </c>
      <c r="E1317" s="5">
        <f>WEEKNUM(Table1[[#This Row],[Date]])</f>
        <v>39</v>
      </c>
      <c r="F1317" s="5">
        <f>YEAR(Table1[[#This Row],[Date]])</f>
        <v>2023</v>
      </c>
      <c r="H1317">
        <v>259.54697760926649</v>
      </c>
      <c r="I1317">
        <f>Table1[[#This Row],[Forecast]]*0.9</f>
        <v>233.59227984833984</v>
      </c>
      <c r="J1317">
        <f>Table1[[#This Row],[Forecast]]*0.8</f>
        <v>207.63758208741319</v>
      </c>
      <c r="K1317">
        <f>Table1[[#This Row],[Forecast]]*0.8</f>
        <v>207.63758208741319</v>
      </c>
      <c r="P1317" s="13">
        <f t="shared" si="43"/>
        <v>1.9426362678626591E-3</v>
      </c>
      <c r="Z1317" s="8"/>
      <c r="AA1317" s="8">
        <f>CONVERT(Table1[[#This Row],[RevisedForecast 30% Recution2]]*Table1[[#This Row],[Talk Duration (AVG)]],"day","hr")</f>
        <v>9.6807431408236528</v>
      </c>
      <c r="AB1317" s="10">
        <f>(Table1[[#This Row],[Forecast Workload Hours]]*60)*1.2</f>
        <v>697.01350613930288</v>
      </c>
      <c r="AC1317" s="10">
        <f>IF(Table1[[#This Row],[Forecast WOrkload Minutes]]&lt;384,1,Table1[[#This Row],[Forecast WOrkload Minutes]]/384)</f>
        <v>1.8151393389044346</v>
      </c>
      <c r="AD1317" s="10">
        <f>ROUNDUP(Table1[[#This Row],[Forecast Headcount]],0)</f>
        <v>2</v>
      </c>
      <c r="AE1317" s="11">
        <v>155.0173496247543</v>
      </c>
      <c r="AF1317" s="11">
        <v>369.67881681148651</v>
      </c>
      <c r="AG1317" t="s">
        <v>7</v>
      </c>
    </row>
    <row r="1318" spans="1:33">
      <c r="A1318" s="2">
        <v>45199</v>
      </c>
      <c r="B1318" s="2"/>
      <c r="C1318" s="5">
        <f>WEEKDAY(Table1[[#This Row],[Date]])</f>
        <v>7</v>
      </c>
      <c r="D1318" s="5">
        <f>MONTH(Table1[[#This Row],[Date]])</f>
        <v>9</v>
      </c>
      <c r="E1318" s="5">
        <f>WEEKNUM(Table1[[#This Row],[Date]])</f>
        <v>39</v>
      </c>
      <c r="F1318" s="5">
        <f>YEAR(Table1[[#This Row],[Date]])</f>
        <v>2023</v>
      </c>
      <c r="H1318">
        <v>267.86490092230707</v>
      </c>
      <c r="I1318">
        <f>Table1[[#This Row],[Forecast]]*0.9</f>
        <v>241.07841083007636</v>
      </c>
      <c r="J1318">
        <f>Table1[[#This Row],[Forecast]]*0.8</f>
        <v>214.29192073784566</v>
      </c>
      <c r="K1318">
        <f>Table1[[#This Row],[Forecast]]*0.8</f>
        <v>214.29192073784566</v>
      </c>
      <c r="P1318" s="13">
        <f t="shared" ref="P1318:P1381" si="44">AVERAGE(P1211:P1317)</f>
        <v>1.940347821767917E-3</v>
      </c>
      <c r="Z1318" s="8"/>
      <c r="AA1318" s="8">
        <f>CONVERT(Table1[[#This Row],[RevisedForecast 30% Recution2]]*Table1[[#This Row],[Talk Duration (AVG)]],"day","hr")</f>
        <v>9.9792206790274065</v>
      </c>
      <c r="AB1318" s="10">
        <f>(Table1[[#This Row],[Forecast Workload Hours]]*60)*1.2</f>
        <v>718.50388888997327</v>
      </c>
      <c r="AC1318" s="10">
        <f>IF(Table1[[#This Row],[Forecast WOrkload Minutes]]&lt;384,1,Table1[[#This Row],[Forecast WOrkload Minutes]]/384)</f>
        <v>1.8711038773176387</v>
      </c>
      <c r="AD1318" s="10">
        <f>ROUNDUP(Table1[[#This Row],[Forecast Headcount]],0)</f>
        <v>2</v>
      </c>
      <c r="AE1318" s="11">
        <v>157.38423773688379</v>
      </c>
      <c r="AF1318" s="11">
        <v>378.81022853329318</v>
      </c>
      <c r="AG1318" t="s">
        <v>7</v>
      </c>
    </row>
    <row r="1319" spans="1:33">
      <c r="A1319" s="2">
        <v>45200</v>
      </c>
      <c r="B1319" s="2"/>
      <c r="C1319" s="5">
        <f>WEEKDAY(Table1[[#This Row],[Date]])</f>
        <v>1</v>
      </c>
      <c r="D1319" s="5">
        <f>MONTH(Table1[[#This Row],[Date]])</f>
        <v>10</v>
      </c>
      <c r="E1319" s="5">
        <f>WEEKNUM(Table1[[#This Row],[Date]])</f>
        <v>40</v>
      </c>
      <c r="F1319" s="5">
        <f>YEAR(Table1[[#This Row],[Date]])</f>
        <v>2023</v>
      </c>
      <c r="H1319">
        <v>180.49054772052739</v>
      </c>
      <c r="I1319">
        <f>Table1[[#This Row],[Forecast]]*0.9</f>
        <v>162.44149294847466</v>
      </c>
      <c r="J1319">
        <f>Table1[[#This Row],[Forecast]]*0.8</f>
        <v>144.3924381764219</v>
      </c>
      <c r="K1319">
        <f>Table1[[#This Row],[Forecast]]*0.8</f>
        <v>144.3924381764219</v>
      </c>
      <c r="P1319" s="13">
        <f t="shared" si="44"/>
        <v>1.9399850288249381E-3</v>
      </c>
      <c r="Z1319" s="8"/>
      <c r="AA1319" s="8">
        <f>CONVERT(Table1[[#This Row],[RevisedForecast 30% Recution2]]*Table1[[#This Row],[Talk Duration (AVG)]],"day","hr")</f>
        <v>6.7228600401069345</v>
      </c>
      <c r="AB1319" s="10">
        <f>(Table1[[#This Row],[Forecast Workload Hours]]*60)*1.2</f>
        <v>484.04592288769925</v>
      </c>
      <c r="AC1319" s="10">
        <f>IF(Table1[[#This Row],[Forecast WOrkload Minutes]]&lt;384,1,Table1[[#This Row],[Forecast WOrkload Minutes]]/384)</f>
        <v>1.2605362575200501</v>
      </c>
      <c r="AD1319" s="10">
        <f>ROUNDUP(Table1[[#This Row],[Forecast Headcount]],0)</f>
        <v>2</v>
      </c>
      <c r="AE1319" s="11">
        <v>69.983377474054677</v>
      </c>
      <c r="AF1319" s="11">
        <v>289.25432833356672</v>
      </c>
      <c r="AG1319" t="s">
        <v>7</v>
      </c>
    </row>
    <row r="1320" spans="1:33">
      <c r="A1320" s="2">
        <v>45201</v>
      </c>
      <c r="B1320" s="2"/>
      <c r="C1320" s="5">
        <f>WEEKDAY(Table1[[#This Row],[Date]])</f>
        <v>2</v>
      </c>
      <c r="D1320" s="5">
        <f>MONTH(Table1[[#This Row],[Date]])</f>
        <v>10</v>
      </c>
      <c r="E1320" s="5">
        <f>WEEKNUM(Table1[[#This Row],[Date]])</f>
        <v>40</v>
      </c>
      <c r="F1320" s="5">
        <f>YEAR(Table1[[#This Row],[Date]])</f>
        <v>2023</v>
      </c>
      <c r="H1320">
        <v>281.76847367871801</v>
      </c>
      <c r="I1320">
        <f>Table1[[#This Row],[Forecast]]*0.9</f>
        <v>253.59162631084621</v>
      </c>
      <c r="J1320">
        <f>Table1[[#This Row],[Forecast]]*0.8</f>
        <v>225.41477894297441</v>
      </c>
      <c r="K1320">
        <f>Table1[[#This Row],[Forecast]]*0.8</f>
        <v>225.41477894297441</v>
      </c>
      <c r="P1320" s="13">
        <f t="shared" si="44"/>
        <v>1.9385371561279059E-3</v>
      </c>
      <c r="Z1320" s="8"/>
      <c r="AA1320" s="8">
        <f>CONVERT(Table1[[#This Row],[RevisedForecast 30% Recution2]]*Table1[[#This Row],[Talk Duration (AVG)]],"day","hr")</f>
        <v>10.487398188511541</v>
      </c>
      <c r="AB1320" s="10">
        <f>(Table1[[#This Row],[Forecast Workload Hours]]*60)*1.2</f>
        <v>755.09266957283091</v>
      </c>
      <c r="AC1320" s="10">
        <f>IF(Table1[[#This Row],[Forecast WOrkload Minutes]]&lt;384,1,Table1[[#This Row],[Forecast WOrkload Minutes]]/384)</f>
        <v>1.9663871603459138</v>
      </c>
      <c r="AD1320" s="10">
        <f>ROUNDUP(Table1[[#This Row],[Forecast Headcount]],0)</f>
        <v>2</v>
      </c>
      <c r="AE1320" s="11">
        <v>165.72814486092051</v>
      </c>
      <c r="AF1320" s="11">
        <v>384.56629161530969</v>
      </c>
      <c r="AG1320" t="s">
        <v>7</v>
      </c>
    </row>
    <row r="1321" spans="1:33">
      <c r="A1321" s="2">
        <v>45202</v>
      </c>
      <c r="B1321" s="2"/>
      <c r="C1321" s="5">
        <f>WEEKDAY(Table1[[#This Row],[Date]])</f>
        <v>3</v>
      </c>
      <c r="D1321" s="5">
        <f>MONTH(Table1[[#This Row],[Date]])</f>
        <v>10</v>
      </c>
      <c r="E1321" s="5">
        <f>WEEKNUM(Table1[[#This Row],[Date]])</f>
        <v>40</v>
      </c>
      <c r="F1321" s="5">
        <f>YEAR(Table1[[#This Row],[Date]])</f>
        <v>2023</v>
      </c>
      <c r="H1321">
        <v>267.2472651777241</v>
      </c>
      <c r="I1321">
        <f>Table1[[#This Row],[Forecast]]*0.9</f>
        <v>240.52253865995169</v>
      </c>
      <c r="J1321">
        <f>Table1[[#This Row],[Forecast]]*0.8</f>
        <v>213.79781214217928</v>
      </c>
      <c r="K1321">
        <f>Table1[[#This Row],[Forecast]]*0.8</f>
        <v>213.79781214217928</v>
      </c>
      <c r="P1321" s="13">
        <f t="shared" si="44"/>
        <v>1.9395636369916832E-3</v>
      </c>
      <c r="Z1321" s="8"/>
      <c r="AA1321" s="8">
        <f>CONVERT(Table1[[#This Row],[RevisedForecast 30% Recution2]]*Table1[[#This Row],[Talk Duration (AVG)]],"day","hr")</f>
        <v>9.9521870903843972</v>
      </c>
      <c r="AB1321" s="10">
        <f>(Table1[[#This Row],[Forecast Workload Hours]]*60)*1.2</f>
        <v>716.55747050767661</v>
      </c>
      <c r="AC1321" s="10">
        <f>IF(Table1[[#This Row],[Forecast WOrkload Minutes]]&lt;384,1,Table1[[#This Row],[Forecast WOrkload Minutes]]/384)</f>
        <v>1.8660350794470746</v>
      </c>
      <c r="AD1321" s="10">
        <f>ROUNDUP(Table1[[#This Row],[Forecast Headcount]],0)</f>
        <v>2</v>
      </c>
      <c r="AE1321" s="11">
        <v>161.87968145045841</v>
      </c>
      <c r="AF1321" s="11">
        <v>376.48387906506503</v>
      </c>
      <c r="AG1321" t="s">
        <v>7</v>
      </c>
    </row>
    <row r="1322" spans="1:33">
      <c r="A1322" s="2">
        <v>45203</v>
      </c>
      <c r="B1322" s="2"/>
      <c r="C1322" s="5">
        <f>WEEKDAY(Table1[[#This Row],[Date]])</f>
        <v>4</v>
      </c>
      <c r="D1322" s="5">
        <f>MONTH(Table1[[#This Row],[Date]])</f>
        <v>10</v>
      </c>
      <c r="E1322" s="5">
        <f>WEEKNUM(Table1[[#This Row],[Date]])</f>
        <v>40</v>
      </c>
      <c r="F1322" s="5">
        <f>YEAR(Table1[[#This Row],[Date]])</f>
        <v>2023</v>
      </c>
      <c r="H1322">
        <v>281.11943539714048</v>
      </c>
      <c r="I1322">
        <f>Table1[[#This Row],[Forecast]]*0.9</f>
        <v>253.00749185742643</v>
      </c>
      <c r="J1322">
        <f>Table1[[#This Row],[Forecast]]*0.8</f>
        <v>224.89554831771238</v>
      </c>
      <c r="K1322">
        <f>Table1[[#This Row],[Forecast]]*0.8</f>
        <v>224.89554831771238</v>
      </c>
      <c r="P1322" s="13">
        <f t="shared" si="44"/>
        <v>1.9397343598019205E-3</v>
      </c>
      <c r="Z1322" s="8"/>
      <c r="AA1322" s="8">
        <f>CONVERT(Table1[[#This Row],[RevisedForecast 30% Recution2]]*Table1[[#This Row],[Talk Duration (AVG)]],"day","hr")</f>
        <v>10.469702938520632</v>
      </c>
      <c r="AB1322" s="10">
        <f>(Table1[[#This Row],[Forecast Workload Hours]]*60)*1.2</f>
        <v>753.81861157348544</v>
      </c>
      <c r="AC1322" s="10">
        <f>IF(Table1[[#This Row],[Forecast WOrkload Minutes]]&lt;384,1,Table1[[#This Row],[Forecast WOrkload Minutes]]/384)</f>
        <v>1.9630693009726183</v>
      </c>
      <c r="AD1322" s="10">
        <f>ROUNDUP(Table1[[#This Row],[Forecast Headcount]],0)</f>
        <v>2</v>
      </c>
      <c r="AE1322" s="11">
        <v>173.5155951390723</v>
      </c>
      <c r="AF1322" s="11">
        <v>385.97140484044058</v>
      </c>
      <c r="AG1322" t="s">
        <v>7</v>
      </c>
    </row>
    <row r="1323" spans="1:33">
      <c r="A1323" s="2">
        <v>45204</v>
      </c>
      <c r="B1323" s="2"/>
      <c r="C1323" s="5">
        <f>WEEKDAY(Table1[[#This Row],[Date]])</f>
        <v>5</v>
      </c>
      <c r="D1323" s="5">
        <f>MONTH(Table1[[#This Row],[Date]])</f>
        <v>10</v>
      </c>
      <c r="E1323" s="5">
        <f>WEEKNUM(Table1[[#This Row],[Date]])</f>
        <v>40</v>
      </c>
      <c r="F1323" s="5">
        <f>YEAR(Table1[[#This Row],[Date]])</f>
        <v>2023</v>
      </c>
      <c r="H1323">
        <v>278.08987026850332</v>
      </c>
      <c r="I1323">
        <f>Table1[[#This Row],[Forecast]]*0.9</f>
        <v>250.28088324165299</v>
      </c>
      <c r="J1323">
        <f>Table1[[#This Row],[Forecast]]*0.8</f>
        <v>222.47189621480265</v>
      </c>
      <c r="K1323">
        <f>Table1[[#This Row],[Forecast]]*0.8</f>
        <v>222.47189621480265</v>
      </c>
      <c r="P1323" s="13">
        <f t="shared" si="44"/>
        <v>1.9367697795716163E-3</v>
      </c>
      <c r="Z1323" s="8"/>
      <c r="AA1323" s="8">
        <f>CONVERT(Table1[[#This Row],[RevisedForecast 30% Recution2]]*Table1[[#This Row],[Talk Duration (AVG)]],"day","hr")</f>
        <v>10.341044289427749</v>
      </c>
      <c r="AB1323" s="10">
        <f>(Table1[[#This Row],[Forecast Workload Hours]]*60)*1.2</f>
        <v>744.55518883879802</v>
      </c>
      <c r="AC1323" s="10">
        <f>IF(Table1[[#This Row],[Forecast WOrkload Minutes]]&lt;384,1,Table1[[#This Row],[Forecast WOrkload Minutes]]/384)</f>
        <v>1.9389458042677032</v>
      </c>
      <c r="AD1323" s="10">
        <f>ROUNDUP(Table1[[#This Row],[Forecast Headcount]],0)</f>
        <v>2</v>
      </c>
      <c r="AE1323" s="11">
        <v>166.03191512017571</v>
      </c>
      <c r="AF1323" s="11">
        <v>380.23803923887152</v>
      </c>
      <c r="AG1323" t="s">
        <v>7</v>
      </c>
    </row>
    <row r="1324" spans="1:33">
      <c r="A1324" s="2">
        <v>45205</v>
      </c>
      <c r="B1324" s="2"/>
      <c r="C1324" s="5">
        <f>WEEKDAY(Table1[[#This Row],[Date]])</f>
        <v>6</v>
      </c>
      <c r="D1324" s="5">
        <f>MONTH(Table1[[#This Row],[Date]])</f>
        <v>10</v>
      </c>
      <c r="E1324" s="5">
        <f>WEEKNUM(Table1[[#This Row],[Date]])</f>
        <v>40</v>
      </c>
      <c r="F1324" s="5">
        <f>YEAR(Table1[[#This Row],[Date]])</f>
        <v>2023</v>
      </c>
      <c r="H1324">
        <v>271.02636560049768</v>
      </c>
      <c r="I1324">
        <f>Table1[[#This Row],[Forecast]]*0.9</f>
        <v>243.92372904044791</v>
      </c>
      <c r="J1324">
        <f>Table1[[#This Row],[Forecast]]*0.8</f>
        <v>216.82109248039816</v>
      </c>
      <c r="K1324">
        <f>Table1[[#This Row],[Forecast]]*0.8</f>
        <v>216.82109248039816</v>
      </c>
      <c r="P1324" s="13">
        <f t="shared" si="44"/>
        <v>1.9365898848151034E-3</v>
      </c>
      <c r="Z1324" s="8"/>
      <c r="AA1324" s="8">
        <f>CONVERT(Table1[[#This Row],[RevisedForecast 30% Recution2]]*Table1[[#This Row],[Talk Duration (AVG)]],"day","hr")</f>
        <v>10.07744482829038</v>
      </c>
      <c r="AB1324" s="10">
        <f>(Table1[[#This Row],[Forecast Workload Hours]]*60)*1.2</f>
        <v>725.57602763690738</v>
      </c>
      <c r="AC1324" s="10">
        <f>IF(Table1[[#This Row],[Forecast WOrkload Minutes]]&lt;384,1,Table1[[#This Row],[Forecast WOrkload Minutes]]/384)</f>
        <v>1.8895209053044464</v>
      </c>
      <c r="AD1324" s="10">
        <f>ROUNDUP(Table1[[#This Row],[Forecast Headcount]],0)</f>
        <v>2</v>
      </c>
      <c r="AE1324" s="11">
        <v>160.09832908699951</v>
      </c>
      <c r="AF1324" s="11">
        <v>388.52004126110609</v>
      </c>
      <c r="AG1324" t="s">
        <v>7</v>
      </c>
    </row>
    <row r="1325" spans="1:33">
      <c r="A1325" s="2">
        <v>45206</v>
      </c>
      <c r="B1325" s="2"/>
      <c r="C1325" s="5">
        <f>WEEKDAY(Table1[[#This Row],[Date]])</f>
        <v>7</v>
      </c>
      <c r="D1325" s="5">
        <f>MONTH(Table1[[#This Row],[Date]])</f>
        <v>10</v>
      </c>
      <c r="E1325" s="5">
        <f>WEEKNUM(Table1[[#This Row],[Date]])</f>
        <v>40</v>
      </c>
      <c r="F1325" s="5">
        <f>YEAR(Table1[[#This Row],[Date]])</f>
        <v>2023</v>
      </c>
      <c r="H1325">
        <v>280.0195213196248</v>
      </c>
      <c r="I1325">
        <f>Table1[[#This Row],[Forecast]]*0.9</f>
        <v>252.01756918766233</v>
      </c>
      <c r="J1325">
        <f>Table1[[#This Row],[Forecast]]*0.8</f>
        <v>224.01561705569986</v>
      </c>
      <c r="K1325">
        <f>Table1[[#This Row],[Forecast]]*0.8</f>
        <v>224.01561705569986</v>
      </c>
      <c r="P1325" s="13">
        <f t="shared" si="44"/>
        <v>1.9337040858846799E-3</v>
      </c>
      <c r="Z1325" s="8"/>
      <c r="AA1325" s="8">
        <f>CONVERT(Table1[[#This Row],[RevisedForecast 30% Recution2]]*Table1[[#This Row],[Talk Duration (AVG)]],"day","hr")</f>
        <v>10.396317936062029</v>
      </c>
      <c r="AB1325" s="10">
        <f>(Table1[[#This Row],[Forecast Workload Hours]]*60)*1.2</f>
        <v>748.53489139646615</v>
      </c>
      <c r="AC1325" s="10">
        <f>IF(Table1[[#This Row],[Forecast WOrkload Minutes]]&lt;384,1,Table1[[#This Row],[Forecast WOrkload Minutes]]/384)</f>
        <v>1.9493096130116305</v>
      </c>
      <c r="AD1325" s="10">
        <f>ROUNDUP(Table1[[#This Row],[Forecast Headcount]],0)</f>
        <v>2</v>
      </c>
      <c r="AE1325" s="11">
        <v>171.00713303531981</v>
      </c>
      <c r="AF1325" s="11">
        <v>389.87487483482619</v>
      </c>
      <c r="AG1325" t="s">
        <v>7</v>
      </c>
    </row>
    <row r="1326" spans="1:33">
      <c r="A1326" s="2">
        <v>45207</v>
      </c>
      <c r="B1326" s="2"/>
      <c r="C1326" s="5">
        <f>WEEKDAY(Table1[[#This Row],[Date]])</f>
        <v>1</v>
      </c>
      <c r="D1326" s="5">
        <f>MONTH(Table1[[#This Row],[Date]])</f>
        <v>10</v>
      </c>
      <c r="E1326" s="5">
        <f>WEEKNUM(Table1[[#This Row],[Date]])</f>
        <v>41</v>
      </c>
      <c r="F1326" s="5">
        <f>YEAR(Table1[[#This Row],[Date]])</f>
        <v>2023</v>
      </c>
      <c r="H1326">
        <v>193.20116178548241</v>
      </c>
      <c r="I1326">
        <f>Table1[[#This Row],[Forecast]]*0.9</f>
        <v>173.88104560693418</v>
      </c>
      <c r="J1326">
        <f>Table1[[#This Row],[Forecast]]*0.8</f>
        <v>154.56092942838595</v>
      </c>
      <c r="K1326">
        <f>Table1[[#This Row],[Forecast]]*0.8</f>
        <v>154.56092942838595</v>
      </c>
      <c r="P1326" s="13">
        <f t="shared" si="44"/>
        <v>1.9337118776184584E-3</v>
      </c>
      <c r="Z1326" s="8"/>
      <c r="AA1326" s="8">
        <f>CONVERT(Table1[[#This Row],[RevisedForecast 30% Recution2]]*Table1[[#This Row],[Talk Duration (AVG)]],"day","hr")</f>
        <v>7.1730313212340366</v>
      </c>
      <c r="AB1326" s="10">
        <f>(Table1[[#This Row],[Forecast Workload Hours]]*60)*1.2</f>
        <v>516.45825512885062</v>
      </c>
      <c r="AC1326" s="10">
        <f>IF(Table1[[#This Row],[Forecast WOrkload Minutes]]&lt;384,1,Table1[[#This Row],[Forecast WOrkload Minutes]]/384)</f>
        <v>1.3449433727313818</v>
      </c>
      <c r="AD1326" s="10">
        <f>ROUNDUP(Table1[[#This Row],[Forecast Headcount]],0)</f>
        <v>2</v>
      </c>
      <c r="AE1326" s="11">
        <v>78.121323831650471</v>
      </c>
      <c r="AF1326" s="11">
        <v>303.79127132804609</v>
      </c>
      <c r="AG1326" t="s">
        <v>7</v>
      </c>
    </row>
    <row r="1327" spans="1:33">
      <c r="A1327" s="2">
        <v>45208</v>
      </c>
      <c r="B1327" s="2"/>
      <c r="C1327" s="5">
        <f>WEEKDAY(Table1[[#This Row],[Date]])</f>
        <v>2</v>
      </c>
      <c r="D1327" s="5">
        <f>MONTH(Table1[[#This Row],[Date]])</f>
        <v>10</v>
      </c>
      <c r="E1327" s="5">
        <f>WEEKNUM(Table1[[#This Row],[Date]])</f>
        <v>41</v>
      </c>
      <c r="F1327" s="5">
        <f>YEAR(Table1[[#This Row],[Date]])</f>
        <v>2023</v>
      </c>
      <c r="H1327">
        <v>294.90357217885429</v>
      </c>
      <c r="I1327">
        <f>Table1[[#This Row],[Forecast]]*0.9</f>
        <v>265.41321496096884</v>
      </c>
      <c r="J1327">
        <f>Table1[[#This Row],[Forecast]]*0.8</f>
        <v>235.92285774308345</v>
      </c>
      <c r="K1327">
        <f>Table1[[#This Row],[Forecast]]*0.8</f>
        <v>235.92285774308345</v>
      </c>
      <c r="P1327" s="13">
        <f t="shared" si="44"/>
        <v>1.9332870665058582E-3</v>
      </c>
      <c r="Z1327" s="8"/>
      <c r="AA1327" s="8">
        <f>CONVERT(Table1[[#This Row],[RevisedForecast 30% Recution2]]*Table1[[#This Row],[Talk Duration (AVG)]],"day","hr")</f>
        <v>10.946558629627313</v>
      </c>
      <c r="AB1327" s="10">
        <f>(Table1[[#This Row],[Forecast Workload Hours]]*60)*1.2</f>
        <v>788.15222133316661</v>
      </c>
      <c r="AC1327" s="10">
        <f>IF(Table1[[#This Row],[Forecast WOrkload Minutes]]&lt;384,1,Table1[[#This Row],[Forecast WOrkload Minutes]]/384)</f>
        <v>2.0524797430551214</v>
      </c>
      <c r="AD1327" s="10">
        <f>ROUNDUP(Table1[[#This Row],[Forecast Headcount]],0)</f>
        <v>3</v>
      </c>
      <c r="AE1327" s="11">
        <v>179.43684479276189</v>
      </c>
      <c r="AF1327" s="11">
        <v>402.59282753310652</v>
      </c>
      <c r="AG1327" t="s">
        <v>7</v>
      </c>
    </row>
    <row r="1328" spans="1:33">
      <c r="A1328" s="2">
        <v>45209</v>
      </c>
      <c r="B1328" s="2"/>
      <c r="C1328" s="5">
        <f>WEEKDAY(Table1[[#This Row],[Date]])</f>
        <v>3</v>
      </c>
      <c r="D1328" s="5">
        <f>MONTH(Table1[[#This Row],[Date]])</f>
        <v>10</v>
      </c>
      <c r="E1328" s="5">
        <f>WEEKNUM(Table1[[#This Row],[Date]])</f>
        <v>41</v>
      </c>
      <c r="F1328" s="5">
        <f>YEAR(Table1[[#This Row],[Date]])</f>
        <v>2023</v>
      </c>
      <c r="H1328">
        <v>280.66514401387121</v>
      </c>
      <c r="I1328">
        <f>Table1[[#This Row],[Forecast]]*0.9</f>
        <v>252.5986296124841</v>
      </c>
      <c r="J1328">
        <f>Table1[[#This Row],[Forecast]]*0.8</f>
        <v>224.53211521109699</v>
      </c>
      <c r="K1328">
        <f>Table1[[#This Row],[Forecast]]*0.8</f>
        <v>224.53211521109699</v>
      </c>
      <c r="P1328" s="13">
        <f t="shared" si="44"/>
        <v>1.9317765960301431E-3</v>
      </c>
      <c r="Z1328" s="8"/>
      <c r="AA1328" s="8">
        <f>CONVERT(Table1[[#This Row],[RevisedForecast 30% Recution2]]*Table1[[#This Row],[Talk Duration (AVG)]],"day","hr")</f>
        <v>10.40990124532658</v>
      </c>
      <c r="AB1328" s="10">
        <f>(Table1[[#This Row],[Forecast Workload Hours]]*60)*1.2</f>
        <v>749.51288966351376</v>
      </c>
      <c r="AC1328" s="10">
        <f>IF(Table1[[#This Row],[Forecast WOrkload Minutes]]&lt;384,1,Table1[[#This Row],[Forecast WOrkload Minutes]]/384)</f>
        <v>1.9518564834987338</v>
      </c>
      <c r="AD1328" s="10">
        <f>ROUNDUP(Table1[[#This Row],[Forecast Headcount]],0)</f>
        <v>2</v>
      </c>
      <c r="AE1328" s="11">
        <v>172.28046763307211</v>
      </c>
      <c r="AF1328" s="11">
        <v>396.18652092052662</v>
      </c>
      <c r="AG1328" t="s">
        <v>7</v>
      </c>
    </row>
    <row r="1329" spans="1:33">
      <c r="A1329" s="2">
        <v>45210</v>
      </c>
      <c r="B1329" s="2"/>
      <c r="C1329" s="5">
        <f>WEEKDAY(Table1[[#This Row],[Date]])</f>
        <v>4</v>
      </c>
      <c r="D1329" s="5">
        <f>MONTH(Table1[[#This Row],[Date]])</f>
        <v>10</v>
      </c>
      <c r="E1329" s="5">
        <f>WEEKNUM(Table1[[#This Row],[Date]])</f>
        <v>41</v>
      </c>
      <c r="F1329" s="5">
        <f>YEAR(Table1[[#This Row],[Date]])</f>
        <v>2023</v>
      </c>
      <c r="H1329">
        <v>294.67042774927199</v>
      </c>
      <c r="I1329">
        <f>Table1[[#This Row],[Forecast]]*0.9</f>
        <v>265.20338497434483</v>
      </c>
      <c r="J1329">
        <f>Table1[[#This Row],[Forecast]]*0.8</f>
        <v>235.73634219941761</v>
      </c>
      <c r="K1329">
        <f>Table1[[#This Row],[Forecast]]*0.8</f>
        <v>235.73634219941761</v>
      </c>
      <c r="P1329" s="13">
        <f t="shared" si="44"/>
        <v>1.9313336981737269E-3</v>
      </c>
      <c r="Z1329" s="8"/>
      <c r="AA1329" s="8">
        <f>CONVERT(Table1[[#This Row],[RevisedForecast 30% Recution2]]*Table1[[#This Row],[Talk Duration (AVG)]],"day","hr")</f>
        <v>10.926852997774761</v>
      </c>
      <c r="AB1329" s="10">
        <f>(Table1[[#This Row],[Forecast Workload Hours]]*60)*1.2</f>
        <v>786.73341583978265</v>
      </c>
      <c r="AC1329" s="10">
        <f>IF(Table1[[#This Row],[Forecast WOrkload Minutes]]&lt;384,1,Table1[[#This Row],[Forecast WOrkload Minutes]]/384)</f>
        <v>2.0487849370827673</v>
      </c>
      <c r="AD1329" s="10">
        <f>ROUNDUP(Table1[[#This Row],[Forecast Headcount]],0)</f>
        <v>3</v>
      </c>
      <c r="AE1329" s="11">
        <v>178.7149477848547</v>
      </c>
      <c r="AF1329" s="11">
        <v>411.29379428949619</v>
      </c>
      <c r="AG1329" t="s">
        <v>7</v>
      </c>
    </row>
    <row r="1330" spans="1:33">
      <c r="A1330" s="2">
        <v>45211</v>
      </c>
      <c r="B1330" s="2"/>
      <c r="C1330" s="5">
        <f>WEEKDAY(Table1[[#This Row],[Date]])</f>
        <v>5</v>
      </c>
      <c r="D1330" s="5">
        <f>MONTH(Table1[[#This Row],[Date]])</f>
        <v>10</v>
      </c>
      <c r="E1330" s="5">
        <f>WEEKNUM(Table1[[#This Row],[Date]])</f>
        <v>41</v>
      </c>
      <c r="F1330" s="5">
        <f>YEAR(Table1[[#This Row],[Date]])</f>
        <v>2023</v>
      </c>
      <c r="H1330">
        <v>291.61869589490612</v>
      </c>
      <c r="I1330">
        <f>Table1[[#This Row],[Forecast]]*0.9</f>
        <v>262.45682630541552</v>
      </c>
      <c r="J1330">
        <f>Table1[[#This Row],[Forecast]]*0.8</f>
        <v>233.29495671592491</v>
      </c>
      <c r="K1330">
        <f>Table1[[#This Row],[Forecast]]*0.8</f>
        <v>233.29495671592491</v>
      </c>
      <c r="P1330" s="13">
        <f t="shared" si="44"/>
        <v>1.929264127336306E-3</v>
      </c>
      <c r="Z1330" s="8"/>
      <c r="AA1330" s="8">
        <f>CONVERT(Table1[[#This Row],[RevisedForecast 30% Recution2]]*Table1[[#This Row],[Talk Duration (AVG)]],"day","hr")</f>
        <v>10.802102185932243</v>
      </c>
      <c r="AB1330" s="10">
        <f>(Table1[[#This Row],[Forecast Workload Hours]]*60)*1.2</f>
        <v>777.7513573871214</v>
      </c>
      <c r="AC1330" s="10">
        <f>IF(Table1[[#This Row],[Forecast WOrkload Minutes]]&lt;384,1,Table1[[#This Row],[Forecast WOrkload Minutes]]/384)</f>
        <v>2.0253941598622953</v>
      </c>
      <c r="AD1330" s="10">
        <f>ROUNDUP(Table1[[#This Row],[Forecast Headcount]],0)</f>
        <v>3</v>
      </c>
      <c r="AE1330" s="11">
        <v>180.67491032468351</v>
      </c>
      <c r="AF1330" s="11">
        <v>397.95868437189091</v>
      </c>
      <c r="AG1330" t="s">
        <v>7</v>
      </c>
    </row>
    <row r="1331" spans="1:33">
      <c r="A1331" s="2">
        <v>45212</v>
      </c>
      <c r="B1331" s="2"/>
      <c r="C1331" s="5">
        <f>WEEKDAY(Table1[[#This Row],[Date]])</f>
        <v>6</v>
      </c>
      <c r="D1331" s="5">
        <f>MONTH(Table1[[#This Row],[Date]])</f>
        <v>10</v>
      </c>
      <c r="E1331" s="5">
        <f>WEEKNUM(Table1[[#This Row],[Date]])</f>
        <v>41</v>
      </c>
      <c r="F1331" s="5">
        <f>YEAR(Table1[[#This Row],[Date]])</f>
        <v>2023</v>
      </c>
      <c r="H1331">
        <v>284.3745575594682</v>
      </c>
      <c r="I1331">
        <f>Table1[[#This Row],[Forecast]]*0.9</f>
        <v>255.93710180352139</v>
      </c>
      <c r="J1331">
        <f>Table1[[#This Row],[Forecast]]*0.8</f>
        <v>227.49964604757457</v>
      </c>
      <c r="K1331">
        <f>Table1[[#This Row],[Forecast]]*0.8</f>
        <v>227.49964604757457</v>
      </c>
      <c r="P1331" s="13">
        <f t="shared" si="44"/>
        <v>1.9305284511293415E-3</v>
      </c>
      <c r="Z1331" s="8"/>
      <c r="AA1331" s="8">
        <f>CONVERT(Table1[[#This Row],[RevisedForecast 30% Recution2]]*Table1[[#This Row],[Talk Duration (AVG)]],"day","hr")</f>
        <v>10.540668943600743</v>
      </c>
      <c r="AB1331" s="10">
        <f>(Table1[[#This Row],[Forecast Workload Hours]]*60)*1.2</f>
        <v>758.92816393925352</v>
      </c>
      <c r="AC1331" s="10">
        <f>IF(Table1[[#This Row],[Forecast WOrkload Minutes]]&lt;384,1,Table1[[#This Row],[Forecast WOrkload Minutes]]/384)</f>
        <v>1.9763754269251395</v>
      </c>
      <c r="AD1331" s="10">
        <f>ROUNDUP(Table1[[#This Row],[Forecast Headcount]],0)</f>
        <v>2</v>
      </c>
      <c r="AE1331" s="11">
        <v>170.25121646686</v>
      </c>
      <c r="AF1331" s="11">
        <v>389.30988027987883</v>
      </c>
      <c r="AG1331" t="s">
        <v>7</v>
      </c>
    </row>
    <row r="1332" spans="1:33">
      <c r="A1332" s="2">
        <v>45213</v>
      </c>
      <c r="B1332" s="2"/>
      <c r="C1332" s="5">
        <f>WEEKDAY(Table1[[#This Row],[Date]])</f>
        <v>7</v>
      </c>
      <c r="D1332" s="5">
        <f>MONTH(Table1[[#This Row],[Date]])</f>
        <v>10</v>
      </c>
      <c r="E1332" s="5">
        <f>WEEKNUM(Table1[[#This Row],[Date]])</f>
        <v>41</v>
      </c>
      <c r="F1332" s="5">
        <f>YEAR(Table1[[#This Row],[Date]])</f>
        <v>2023</v>
      </c>
      <c r="H1332">
        <v>293.02789074303809</v>
      </c>
      <c r="I1332">
        <f>Table1[[#This Row],[Forecast]]*0.9</f>
        <v>263.72510166873428</v>
      </c>
      <c r="J1332">
        <f>Table1[[#This Row],[Forecast]]*0.8</f>
        <v>234.42231259443048</v>
      </c>
      <c r="K1332">
        <f>Table1[[#This Row],[Forecast]]*0.8</f>
        <v>234.42231259443048</v>
      </c>
      <c r="P1332" s="13">
        <f t="shared" si="44"/>
        <v>1.9245572736217242E-3</v>
      </c>
      <c r="Z1332" s="8"/>
      <c r="AA1332" s="8">
        <f>CONVERT(Table1[[#This Row],[RevisedForecast 30% Recution2]]*Table1[[#This Row],[Talk Duration (AVG)]],"day","hr")</f>
        <v>10.82782000326808</v>
      </c>
      <c r="AB1332" s="10">
        <f>(Table1[[#This Row],[Forecast Workload Hours]]*60)*1.2</f>
        <v>779.60304023530182</v>
      </c>
      <c r="AC1332" s="10">
        <f>IF(Table1[[#This Row],[Forecast WOrkload Minutes]]&lt;384,1,Table1[[#This Row],[Forecast WOrkload Minutes]]/384)</f>
        <v>2.030216250612765</v>
      </c>
      <c r="AD1332" s="10">
        <f>ROUNDUP(Table1[[#This Row],[Forecast Headcount]],0)</f>
        <v>3</v>
      </c>
      <c r="AE1332" s="11">
        <v>178.5735836401619</v>
      </c>
      <c r="AF1332" s="11">
        <v>401.62675698179311</v>
      </c>
      <c r="AG1332" t="s">
        <v>7</v>
      </c>
    </row>
    <row r="1333" spans="1:33">
      <c r="A1333" s="2">
        <v>45214</v>
      </c>
      <c r="B1333" s="2"/>
      <c r="C1333" s="5">
        <f>WEEKDAY(Table1[[#This Row],[Date]])</f>
        <v>1</v>
      </c>
      <c r="D1333" s="5">
        <f>MONTH(Table1[[#This Row],[Date]])</f>
        <v>10</v>
      </c>
      <c r="E1333" s="5">
        <f>WEEKNUM(Table1[[#This Row],[Date]])</f>
        <v>42</v>
      </c>
      <c r="F1333" s="5">
        <f>YEAR(Table1[[#This Row],[Date]])</f>
        <v>2023</v>
      </c>
      <c r="H1333">
        <v>205.71226228224219</v>
      </c>
      <c r="I1333">
        <f>Table1[[#This Row],[Forecast]]*0.9</f>
        <v>185.14103605401797</v>
      </c>
      <c r="J1333">
        <f>Table1[[#This Row],[Forecast]]*0.8</f>
        <v>164.56980982579375</v>
      </c>
      <c r="K1333">
        <f>Table1[[#This Row],[Forecast]]*0.8</f>
        <v>164.56980982579375</v>
      </c>
      <c r="P1333" s="13">
        <f t="shared" si="44"/>
        <v>1.9235060608795249E-3</v>
      </c>
      <c r="Z1333" s="8"/>
      <c r="AA1333" s="8">
        <f>CONVERT(Table1[[#This Row],[RevisedForecast 30% Recution2]]*Table1[[#This Row],[Talk Duration (AVG)]],"day","hr")</f>
        <v>7.5972246393049216</v>
      </c>
      <c r="AB1333" s="10">
        <f>(Table1[[#This Row],[Forecast Workload Hours]]*60)*1.2</f>
        <v>547.00017402995434</v>
      </c>
      <c r="AC1333" s="10">
        <f>IF(Table1[[#This Row],[Forecast WOrkload Minutes]]&lt;384,1,Table1[[#This Row],[Forecast WOrkload Minutes]]/384)</f>
        <v>1.4244796198696728</v>
      </c>
      <c r="AD1333" s="10">
        <f>ROUNDUP(Table1[[#This Row],[Forecast Headcount]],0)</f>
        <v>2</v>
      </c>
      <c r="AE1333" s="11">
        <v>106.355598239016</v>
      </c>
      <c r="AF1333" s="11">
        <v>309.82696682627181</v>
      </c>
      <c r="AG1333" t="s">
        <v>7</v>
      </c>
    </row>
    <row r="1334" spans="1:33">
      <c r="A1334" s="2">
        <v>45215</v>
      </c>
      <c r="B1334" s="2"/>
      <c r="C1334" s="5">
        <f>WEEKDAY(Table1[[#This Row],[Date]])</f>
        <v>2</v>
      </c>
      <c r="D1334" s="5">
        <f>MONTH(Table1[[#This Row],[Date]])</f>
        <v>10</v>
      </c>
      <c r="E1334" s="5">
        <f>WEEKNUM(Table1[[#This Row],[Date]])</f>
        <v>42</v>
      </c>
      <c r="F1334" s="5">
        <f>YEAR(Table1[[#This Row],[Date]])</f>
        <v>2023</v>
      </c>
      <c r="H1334">
        <v>306.76412693960202</v>
      </c>
      <c r="I1334">
        <f>Table1[[#This Row],[Forecast]]*0.9</f>
        <v>276.08771424564185</v>
      </c>
      <c r="J1334">
        <f>Table1[[#This Row],[Forecast]]*0.8</f>
        <v>245.41130155168162</v>
      </c>
      <c r="K1334">
        <f>Table1[[#This Row],[Forecast]]*0.8</f>
        <v>245.41130155168162</v>
      </c>
      <c r="P1334" s="13">
        <f t="shared" si="44"/>
        <v>1.9227695304689146E-3</v>
      </c>
      <c r="Z1334" s="8"/>
      <c r="AA1334" s="8">
        <f>CONVERT(Table1[[#This Row],[RevisedForecast 30% Recution2]]*Table1[[#This Row],[Talk Duration (AVG)]],"day","hr")</f>
        <v>11.324864953351009</v>
      </c>
      <c r="AB1334" s="10">
        <f>(Table1[[#This Row],[Forecast Workload Hours]]*60)*1.2</f>
        <v>815.39027664127264</v>
      </c>
      <c r="AC1334" s="10">
        <f>IF(Table1[[#This Row],[Forecast WOrkload Minutes]]&lt;384,1,Table1[[#This Row],[Forecast WOrkload Minutes]]/384)</f>
        <v>2.123412178753314</v>
      </c>
      <c r="AD1334" s="10">
        <f>ROUNDUP(Table1[[#This Row],[Forecast Headcount]],0)</f>
        <v>3</v>
      </c>
      <c r="AE1334" s="11">
        <v>190.83251500996371</v>
      </c>
      <c r="AF1334" s="11">
        <v>424.7967734894695</v>
      </c>
      <c r="AG1334" t="s">
        <v>7</v>
      </c>
    </row>
    <row r="1335" spans="1:33">
      <c r="A1335" s="2">
        <v>45216</v>
      </c>
      <c r="B1335" s="2"/>
      <c r="C1335" s="5">
        <f>WEEKDAY(Table1[[#This Row],[Date]])</f>
        <v>3</v>
      </c>
      <c r="D1335" s="5">
        <f>MONTH(Table1[[#This Row],[Date]])</f>
        <v>10</v>
      </c>
      <c r="E1335" s="5">
        <f>WEEKNUM(Table1[[#This Row],[Date]])</f>
        <v>42</v>
      </c>
      <c r="F1335" s="5">
        <f>YEAR(Table1[[#This Row],[Date]])</f>
        <v>2023</v>
      </c>
      <c r="H1335">
        <v>291.72840063775863</v>
      </c>
      <c r="I1335">
        <f>Table1[[#This Row],[Forecast]]*0.9</f>
        <v>262.55556057398275</v>
      </c>
      <c r="J1335">
        <f>Table1[[#This Row],[Forecast]]*0.8</f>
        <v>233.38272051020692</v>
      </c>
      <c r="K1335">
        <f>Table1[[#This Row],[Forecast]]*0.8</f>
        <v>233.38272051020692</v>
      </c>
      <c r="P1335" s="13">
        <f t="shared" si="44"/>
        <v>1.923648650345225E-3</v>
      </c>
      <c r="Z1335" s="8"/>
      <c r="AA1335" s="8">
        <f>CONVERT(Table1[[#This Row],[RevisedForecast 30% Recution2]]*Table1[[#This Row],[Talk Duration (AVG)]],"day","hr")</f>
        <v>10.774712527760554</v>
      </c>
      <c r="AB1335" s="10">
        <f>(Table1[[#This Row],[Forecast Workload Hours]]*60)*1.2</f>
        <v>775.77930199875993</v>
      </c>
      <c r="AC1335" s="10">
        <f>IF(Table1[[#This Row],[Forecast WOrkload Minutes]]&lt;384,1,Table1[[#This Row],[Forecast WOrkload Minutes]]/384)</f>
        <v>2.0202585989551038</v>
      </c>
      <c r="AD1335" s="10">
        <f>ROUNDUP(Table1[[#This Row],[Forecast Headcount]],0)</f>
        <v>3</v>
      </c>
      <c r="AE1335" s="11">
        <v>184.86508504642561</v>
      </c>
      <c r="AF1335" s="11">
        <v>406.29774868998561</v>
      </c>
      <c r="AG1335" t="s">
        <v>7</v>
      </c>
    </row>
    <row r="1336" spans="1:33">
      <c r="A1336" s="2">
        <v>45217</v>
      </c>
      <c r="B1336" s="2"/>
      <c r="C1336" s="5">
        <f>WEEKDAY(Table1[[#This Row],[Date]])</f>
        <v>4</v>
      </c>
      <c r="D1336" s="5">
        <f>MONTH(Table1[[#This Row],[Date]])</f>
        <v>10</v>
      </c>
      <c r="E1336" s="5">
        <f>WEEKNUM(Table1[[#This Row],[Date]])</f>
        <v>42</v>
      </c>
      <c r="F1336" s="5">
        <f>YEAR(Table1[[#This Row],[Date]])</f>
        <v>2023</v>
      </c>
      <c r="H1336">
        <v>304.7984081185121</v>
      </c>
      <c r="I1336">
        <f>Table1[[#This Row],[Forecast]]*0.9</f>
        <v>274.3185673066609</v>
      </c>
      <c r="J1336">
        <f>Table1[[#This Row],[Forecast]]*0.8</f>
        <v>243.83872649480969</v>
      </c>
      <c r="K1336">
        <f>Table1[[#This Row],[Forecast]]*0.8</f>
        <v>243.83872649480969</v>
      </c>
      <c r="P1336" s="13">
        <f t="shared" si="44"/>
        <v>1.9250768308780464E-3</v>
      </c>
      <c r="Z1336" s="8"/>
      <c r="AA1336" s="8">
        <f>CONVERT(Table1[[#This Row],[RevisedForecast 30% Recution2]]*Table1[[#This Row],[Talk Duration (AVG)]],"day","hr")</f>
        <v>11.265798788303208</v>
      </c>
      <c r="AB1336" s="10">
        <f>(Table1[[#This Row],[Forecast Workload Hours]]*60)*1.2</f>
        <v>811.1375127578309</v>
      </c>
      <c r="AC1336" s="10">
        <f>IF(Table1[[#This Row],[Forecast WOrkload Minutes]]&lt;384,1,Table1[[#This Row],[Forecast WOrkload Minutes]]/384)</f>
        <v>2.1123372728068515</v>
      </c>
      <c r="AD1336" s="10">
        <f>ROUNDUP(Table1[[#This Row],[Forecast Headcount]],0)</f>
        <v>3</v>
      </c>
      <c r="AE1336" s="11">
        <v>185.55285493043471</v>
      </c>
      <c r="AF1336" s="11">
        <v>410.75482689998557</v>
      </c>
      <c r="AG1336" t="s">
        <v>7</v>
      </c>
    </row>
    <row r="1337" spans="1:33">
      <c r="A1337" s="2">
        <v>45218</v>
      </c>
      <c r="B1337" s="2"/>
      <c r="C1337" s="5">
        <f>WEEKDAY(Table1[[#This Row],[Date]])</f>
        <v>5</v>
      </c>
      <c r="D1337" s="5">
        <f>MONTH(Table1[[#This Row],[Date]])</f>
        <v>10</v>
      </c>
      <c r="E1337" s="5">
        <f>WEEKNUM(Table1[[#This Row],[Date]])</f>
        <v>42</v>
      </c>
      <c r="F1337" s="5">
        <f>YEAR(Table1[[#This Row],[Date]])</f>
        <v>2023</v>
      </c>
      <c r="H1337">
        <v>300.68431101166499</v>
      </c>
      <c r="I1337">
        <f>Table1[[#This Row],[Forecast]]*0.9</f>
        <v>270.61587991049851</v>
      </c>
      <c r="J1337">
        <f>Table1[[#This Row],[Forecast]]*0.8</f>
        <v>240.547448809332</v>
      </c>
      <c r="K1337">
        <f>Table1[[#This Row],[Forecast]]*0.8</f>
        <v>240.547448809332</v>
      </c>
      <c r="P1337" s="13">
        <f t="shared" si="44"/>
        <v>1.9247876562272011E-3</v>
      </c>
      <c r="Z1337" s="8"/>
      <c r="AA1337" s="8">
        <f>CONVERT(Table1[[#This Row],[RevisedForecast 30% Recution2]]*Table1[[#This Row],[Talk Duration (AVG)]],"day","hr")</f>
        <v>11.11206624492352</v>
      </c>
      <c r="AB1337" s="10">
        <f>(Table1[[#This Row],[Forecast Workload Hours]]*60)*1.2</f>
        <v>800.06876963449349</v>
      </c>
      <c r="AC1337" s="10">
        <f>IF(Table1[[#This Row],[Forecast WOrkload Minutes]]&lt;384,1,Table1[[#This Row],[Forecast WOrkload Minutes]]/384)</f>
        <v>2.0835124209231601</v>
      </c>
      <c r="AD1337" s="10">
        <f>ROUNDUP(Table1[[#This Row],[Forecast Headcount]],0)</f>
        <v>3</v>
      </c>
      <c r="AE1337" s="11">
        <v>185.54371187506069</v>
      </c>
      <c r="AF1337" s="11">
        <v>398.10099998327581</v>
      </c>
      <c r="AG1337" t="s">
        <v>7</v>
      </c>
    </row>
    <row r="1338" spans="1:33">
      <c r="A1338" s="2">
        <v>45219</v>
      </c>
      <c r="B1338" s="2"/>
      <c r="C1338" s="5">
        <f>WEEKDAY(Table1[[#This Row],[Date]])</f>
        <v>6</v>
      </c>
      <c r="D1338" s="5">
        <f>MONTH(Table1[[#This Row],[Date]])</f>
        <v>10</v>
      </c>
      <c r="E1338" s="5">
        <f>WEEKNUM(Table1[[#This Row],[Date]])</f>
        <v>42</v>
      </c>
      <c r="F1338" s="5">
        <f>YEAR(Table1[[#This Row],[Date]])</f>
        <v>2023</v>
      </c>
      <c r="H1338">
        <v>292.26356005795071</v>
      </c>
      <c r="I1338">
        <f>Table1[[#This Row],[Forecast]]*0.9</f>
        <v>263.03720405215563</v>
      </c>
      <c r="J1338">
        <f>Table1[[#This Row],[Forecast]]*0.8</f>
        <v>233.81084804636058</v>
      </c>
      <c r="K1338">
        <f>Table1[[#This Row],[Forecast]]*0.8</f>
        <v>233.81084804636058</v>
      </c>
      <c r="P1338" s="13">
        <f t="shared" si="44"/>
        <v>1.9204935290960603E-3</v>
      </c>
      <c r="Z1338" s="8"/>
      <c r="AA1338" s="8">
        <f>CONVERT(Table1[[#This Row],[RevisedForecast 30% Recution2]]*Table1[[#This Row],[Talk Duration (AVG)]],"day","hr")</f>
        <v>10.776773296931946</v>
      </c>
      <c r="AB1338" s="10">
        <f>(Table1[[#This Row],[Forecast Workload Hours]]*60)*1.2</f>
        <v>775.92767737910015</v>
      </c>
      <c r="AC1338" s="10">
        <f>IF(Table1[[#This Row],[Forecast WOrkload Minutes]]&lt;384,1,Table1[[#This Row],[Forecast WOrkload Minutes]]/384)</f>
        <v>2.0206449931747401</v>
      </c>
      <c r="AD1338" s="10">
        <f>ROUNDUP(Table1[[#This Row],[Forecast Headcount]],0)</f>
        <v>3</v>
      </c>
      <c r="AE1338" s="11">
        <v>176.78319788893279</v>
      </c>
      <c r="AF1338" s="11">
        <v>401.35981119117997</v>
      </c>
      <c r="AG1338" t="s">
        <v>7</v>
      </c>
    </row>
    <row r="1339" spans="1:33">
      <c r="A1339" s="2">
        <v>45220</v>
      </c>
      <c r="B1339" s="2"/>
      <c r="C1339" s="5">
        <f>WEEKDAY(Table1[[#This Row],[Date]])</f>
        <v>7</v>
      </c>
      <c r="D1339" s="5">
        <f>MONTH(Table1[[#This Row],[Date]])</f>
        <v>10</v>
      </c>
      <c r="E1339" s="5">
        <f>WEEKNUM(Table1[[#This Row],[Date]])</f>
        <v>42</v>
      </c>
      <c r="F1339" s="5">
        <f>YEAR(Table1[[#This Row],[Date]])</f>
        <v>2023</v>
      </c>
      <c r="H1339">
        <v>299.64064070730092</v>
      </c>
      <c r="I1339">
        <f>Table1[[#This Row],[Forecast]]*0.9</f>
        <v>269.67657663657081</v>
      </c>
      <c r="J1339">
        <f>Table1[[#This Row],[Forecast]]*0.8</f>
        <v>239.71251256584074</v>
      </c>
      <c r="K1339">
        <f>Table1[[#This Row],[Forecast]]*0.8</f>
        <v>239.71251256584074</v>
      </c>
      <c r="P1339" s="13">
        <f t="shared" si="44"/>
        <v>1.9207023644320221E-3</v>
      </c>
      <c r="Z1339" s="8"/>
      <c r="AA1339" s="8">
        <f>CONVERT(Table1[[#This Row],[RevisedForecast 30% Recution2]]*Table1[[#This Row],[Talk Duration (AVG)]],"day","hr")</f>
        <v>11.049993352059627</v>
      </c>
      <c r="AB1339" s="10">
        <f>(Table1[[#This Row],[Forecast Workload Hours]]*60)*1.2</f>
        <v>795.59952134829302</v>
      </c>
      <c r="AC1339" s="10">
        <f>IF(Table1[[#This Row],[Forecast WOrkload Minutes]]&lt;384,1,Table1[[#This Row],[Forecast WOrkload Minutes]]/384)</f>
        <v>2.0718737535111797</v>
      </c>
      <c r="AD1339" s="10">
        <f>ROUNDUP(Table1[[#This Row],[Forecast Headcount]],0)</f>
        <v>3</v>
      </c>
      <c r="AE1339" s="11">
        <v>190.5001990598978</v>
      </c>
      <c r="AF1339" s="11">
        <v>414.69166657545207</v>
      </c>
      <c r="AG1339" t="s">
        <v>7</v>
      </c>
    </row>
    <row r="1340" spans="1:33">
      <c r="A1340" s="2">
        <v>45221</v>
      </c>
      <c r="B1340" s="2"/>
      <c r="C1340" s="5">
        <f>WEEKDAY(Table1[[#This Row],[Date]])</f>
        <v>1</v>
      </c>
      <c r="D1340" s="5">
        <f>MONTH(Table1[[#This Row],[Date]])</f>
        <v>10</v>
      </c>
      <c r="E1340" s="5">
        <f>WEEKNUM(Table1[[#This Row],[Date]])</f>
        <v>43</v>
      </c>
      <c r="F1340" s="5">
        <f>YEAR(Table1[[#This Row],[Date]])</f>
        <v>2023</v>
      </c>
      <c r="H1340">
        <v>210.96528499843421</v>
      </c>
      <c r="I1340">
        <f>Table1[[#This Row],[Forecast]]*0.9</f>
        <v>189.86875649859078</v>
      </c>
      <c r="J1340">
        <f>Table1[[#This Row],[Forecast]]*0.8</f>
        <v>168.77222799874738</v>
      </c>
      <c r="K1340">
        <f>Table1[[#This Row],[Forecast]]*0.8</f>
        <v>168.77222799874738</v>
      </c>
      <c r="P1340" s="13">
        <f t="shared" si="44"/>
        <v>1.9215621649995766E-3</v>
      </c>
      <c r="Z1340" s="8"/>
      <c r="AA1340" s="8">
        <f>CONVERT(Table1[[#This Row],[RevisedForecast 30% Recution2]]*Table1[[#This Row],[Talk Duration (AVG)]],"day","hr")</f>
        <v>7.7833518678018043</v>
      </c>
      <c r="AB1340" s="10">
        <f>(Table1[[#This Row],[Forecast Workload Hours]]*60)*1.2</f>
        <v>560.40133448172992</v>
      </c>
      <c r="AC1340" s="10">
        <f>IF(Table1[[#This Row],[Forecast WOrkload Minutes]]&lt;384,1,Table1[[#This Row],[Forecast WOrkload Minutes]]/384)</f>
        <v>1.4593784752128383</v>
      </c>
      <c r="AD1340" s="10">
        <f>ROUNDUP(Table1[[#This Row],[Forecast Headcount]],0)</f>
        <v>2</v>
      </c>
      <c r="AE1340" s="11">
        <v>102.4350430868066</v>
      </c>
      <c r="AF1340" s="11">
        <v>318.15926889904819</v>
      </c>
      <c r="AG1340" t="s">
        <v>7</v>
      </c>
    </row>
    <row r="1341" spans="1:33">
      <c r="A1341" s="2">
        <v>45222</v>
      </c>
      <c r="B1341" s="2"/>
      <c r="C1341" s="5">
        <f>WEEKDAY(Table1[[#This Row],[Date]])</f>
        <v>2</v>
      </c>
      <c r="D1341" s="5">
        <f>MONTH(Table1[[#This Row],[Date]])</f>
        <v>10</v>
      </c>
      <c r="E1341" s="5">
        <f>WEEKNUM(Table1[[#This Row],[Date]])</f>
        <v>43</v>
      </c>
      <c r="F1341" s="5">
        <f>YEAR(Table1[[#This Row],[Date]])</f>
        <v>2023</v>
      </c>
      <c r="H1341">
        <v>310.5914442283073</v>
      </c>
      <c r="I1341">
        <f>Table1[[#This Row],[Forecast]]*0.9</f>
        <v>279.53229980547655</v>
      </c>
      <c r="J1341">
        <f>Table1[[#This Row],[Forecast]]*0.8</f>
        <v>248.47315538264584</v>
      </c>
      <c r="K1341">
        <f>Table1[[#This Row],[Forecast]]*0.8</f>
        <v>248.47315538264584</v>
      </c>
      <c r="P1341" s="13">
        <f t="shared" si="44"/>
        <v>1.9222136632532937E-3</v>
      </c>
      <c r="Z1341" s="8"/>
      <c r="AA1341" s="8">
        <f>CONVERT(Table1[[#This Row],[RevisedForecast 30% Recution2]]*Table1[[#This Row],[Talk Duration (AVG)]],"day","hr")</f>
        <v>11.462843861476331</v>
      </c>
      <c r="AB1341" s="10">
        <f>(Table1[[#This Row],[Forecast Workload Hours]]*60)*1.2</f>
        <v>825.32475802629585</v>
      </c>
      <c r="AC1341" s="10">
        <f>IF(Table1[[#This Row],[Forecast WOrkload Minutes]]&lt;384,1,Table1[[#This Row],[Forecast WOrkload Minutes]]/384)</f>
        <v>2.1492832240268123</v>
      </c>
      <c r="AD1341" s="10">
        <f>ROUNDUP(Table1[[#This Row],[Forecast Headcount]],0)</f>
        <v>3</v>
      </c>
      <c r="AE1341" s="11">
        <v>200.3317230349235</v>
      </c>
      <c r="AF1341" s="11">
        <v>421.83665612563902</v>
      </c>
      <c r="AG1341" t="s">
        <v>7</v>
      </c>
    </row>
    <row r="1342" spans="1:33">
      <c r="A1342" s="2">
        <v>45223</v>
      </c>
      <c r="B1342" s="2"/>
      <c r="C1342" s="5">
        <f>WEEKDAY(Table1[[#This Row],[Date]])</f>
        <v>3</v>
      </c>
      <c r="D1342" s="5">
        <f>MONTH(Table1[[#This Row],[Date]])</f>
        <v>10</v>
      </c>
      <c r="E1342" s="5">
        <f>WEEKNUM(Table1[[#This Row],[Date]])</f>
        <v>43</v>
      </c>
      <c r="F1342" s="5">
        <f>YEAR(Table1[[#This Row],[Date]])</f>
        <v>2023</v>
      </c>
      <c r="H1342">
        <v>294.08262041018787</v>
      </c>
      <c r="I1342">
        <f>Table1[[#This Row],[Forecast]]*0.9</f>
        <v>264.67435836916911</v>
      </c>
      <c r="J1342">
        <f>Table1[[#This Row],[Forecast]]*0.8</f>
        <v>235.2660963281503</v>
      </c>
      <c r="K1342">
        <f>Table1[[#This Row],[Forecast]]*0.8</f>
        <v>235.2660963281503</v>
      </c>
      <c r="P1342" s="13">
        <f t="shared" si="44"/>
        <v>1.9221140678596759E-3</v>
      </c>
      <c r="Z1342" s="8"/>
      <c r="AA1342" s="8">
        <f>CONVERT(Table1[[#This Row],[RevisedForecast 30% Recution2]]*Table1[[#This Row],[Talk Duration (AVG)]],"day","hr")</f>
        <v>10.852998562626414</v>
      </c>
      <c r="AB1342" s="10">
        <f>(Table1[[#This Row],[Forecast Workload Hours]]*60)*1.2</f>
        <v>781.4158965091018</v>
      </c>
      <c r="AC1342" s="10">
        <f>IF(Table1[[#This Row],[Forecast WOrkload Minutes]]&lt;384,1,Table1[[#This Row],[Forecast WOrkload Minutes]]/384)</f>
        <v>2.0349372304924525</v>
      </c>
      <c r="AD1342" s="10">
        <f>ROUNDUP(Table1[[#This Row],[Forecast Headcount]],0)</f>
        <v>3</v>
      </c>
      <c r="AE1342" s="11">
        <v>176.9350092168348</v>
      </c>
      <c r="AF1342" s="11">
        <v>410.87695472166041</v>
      </c>
      <c r="AG1342" t="s">
        <v>7</v>
      </c>
    </row>
    <row r="1343" spans="1:33">
      <c r="A1343" s="2">
        <v>45224</v>
      </c>
      <c r="B1343" s="2"/>
      <c r="C1343" s="5">
        <f>WEEKDAY(Table1[[#This Row],[Date]])</f>
        <v>4</v>
      </c>
      <c r="D1343" s="5">
        <f>MONTH(Table1[[#This Row],[Date]])</f>
        <v>10</v>
      </c>
      <c r="E1343" s="5">
        <f>WEEKNUM(Table1[[#This Row],[Date]])</f>
        <v>43</v>
      </c>
      <c r="F1343" s="5">
        <f>YEAR(Table1[[#This Row],[Date]])</f>
        <v>2023</v>
      </c>
      <c r="H1343">
        <v>305.65155976174577</v>
      </c>
      <c r="I1343">
        <f>Table1[[#This Row],[Forecast]]*0.9</f>
        <v>275.08640378557118</v>
      </c>
      <c r="J1343">
        <f>Table1[[#This Row],[Forecast]]*0.8</f>
        <v>244.52124780939664</v>
      </c>
      <c r="K1343">
        <f>Table1[[#This Row],[Forecast]]*0.8</f>
        <v>244.52124780939664</v>
      </c>
      <c r="P1343" s="13">
        <f t="shared" si="44"/>
        <v>1.922554386250888E-3</v>
      </c>
      <c r="Z1343" s="8"/>
      <c r="AA1343" s="8">
        <f>CONVERT(Table1[[#This Row],[RevisedForecast 30% Recution2]]*Table1[[#This Row],[Talk Duration (AVG)]],"day","hr")</f>
        <v>11.282529540179899</v>
      </c>
      <c r="AB1343" s="10">
        <f>(Table1[[#This Row],[Forecast Workload Hours]]*60)*1.2</f>
        <v>812.34212689295271</v>
      </c>
      <c r="AC1343" s="10">
        <f>IF(Table1[[#This Row],[Forecast WOrkload Minutes]]&lt;384,1,Table1[[#This Row],[Forecast WOrkload Minutes]]/384)</f>
        <v>2.115474288783731</v>
      </c>
      <c r="AD1343" s="10">
        <f>ROUNDUP(Table1[[#This Row],[Forecast Headcount]],0)</f>
        <v>3</v>
      </c>
      <c r="AE1343" s="11">
        <v>194.82506873391529</v>
      </c>
      <c r="AF1343" s="11">
        <v>428.23310966892819</v>
      </c>
      <c r="AG1343" t="s">
        <v>7</v>
      </c>
    </row>
    <row r="1344" spans="1:33">
      <c r="A1344" s="2">
        <v>45225</v>
      </c>
      <c r="B1344" s="2"/>
      <c r="C1344" s="5">
        <f>WEEKDAY(Table1[[#This Row],[Date]])</f>
        <v>5</v>
      </c>
      <c r="D1344" s="5">
        <f>MONTH(Table1[[#This Row],[Date]])</f>
        <v>10</v>
      </c>
      <c r="E1344" s="5">
        <f>WEEKNUM(Table1[[#This Row],[Date]])</f>
        <v>43</v>
      </c>
      <c r="F1344" s="5">
        <f>YEAR(Table1[[#This Row],[Date]])</f>
        <v>2023</v>
      </c>
      <c r="H1344">
        <v>300.02841710887401</v>
      </c>
      <c r="I1344">
        <f>Table1[[#This Row],[Forecast]]*0.9</f>
        <v>270.02557539798664</v>
      </c>
      <c r="J1344">
        <f>Table1[[#This Row],[Forecast]]*0.8</f>
        <v>240.02273368709922</v>
      </c>
      <c r="K1344">
        <f>Table1[[#This Row],[Forecast]]*0.8</f>
        <v>240.02273368709922</v>
      </c>
      <c r="P1344" s="13">
        <f t="shared" si="44"/>
        <v>1.9233233265169918E-3</v>
      </c>
      <c r="Z1344" s="8"/>
      <c r="AA1344" s="8">
        <f>CONVERT(Table1[[#This Row],[RevisedForecast 30% Recution2]]*Table1[[#This Row],[Talk Duration (AVG)]],"day","hr")</f>
        <v>11.07939174227457</v>
      </c>
      <c r="AB1344" s="10">
        <f>(Table1[[#This Row],[Forecast Workload Hours]]*60)*1.2</f>
        <v>797.71620544376901</v>
      </c>
      <c r="AC1344" s="10">
        <f>IF(Table1[[#This Row],[Forecast WOrkload Minutes]]&lt;384,1,Table1[[#This Row],[Forecast WOrkload Minutes]]/384)</f>
        <v>2.0773859516764817</v>
      </c>
      <c r="AD1344" s="10">
        <f>ROUNDUP(Table1[[#This Row],[Forecast Headcount]],0)</f>
        <v>3</v>
      </c>
      <c r="AE1344" s="11">
        <v>194.21100387910209</v>
      </c>
      <c r="AF1344" s="11">
        <v>417.17086481436411</v>
      </c>
      <c r="AG1344" t="s">
        <v>7</v>
      </c>
    </row>
    <row r="1345" spans="1:33">
      <c r="A1345" s="2">
        <v>45226</v>
      </c>
      <c r="B1345" s="2"/>
      <c r="C1345" s="5">
        <f>WEEKDAY(Table1[[#This Row],[Date]])</f>
        <v>6</v>
      </c>
      <c r="D1345" s="5">
        <f>MONTH(Table1[[#This Row],[Date]])</f>
        <v>10</v>
      </c>
      <c r="E1345" s="5">
        <f>WEEKNUM(Table1[[#This Row],[Date]])</f>
        <v>43</v>
      </c>
      <c r="F1345" s="5">
        <f>YEAR(Table1[[#This Row],[Date]])</f>
        <v>2023</v>
      </c>
      <c r="H1345">
        <v>290.11093780034582</v>
      </c>
      <c r="I1345">
        <f>Table1[[#This Row],[Forecast]]*0.9</f>
        <v>261.09984402031125</v>
      </c>
      <c r="J1345">
        <f>Table1[[#This Row],[Forecast]]*0.8</f>
        <v>232.08875024027668</v>
      </c>
      <c r="K1345">
        <f>Table1[[#This Row],[Forecast]]*0.8</f>
        <v>232.08875024027668</v>
      </c>
      <c r="P1345" s="13">
        <f t="shared" si="44"/>
        <v>1.9240994531407227E-3</v>
      </c>
      <c r="Z1345" s="8"/>
      <c r="AA1345" s="8">
        <f>CONVERT(Table1[[#This Row],[RevisedForecast 30% Recution2]]*Table1[[#This Row],[Talk Duration (AVG)]],"day","hr")</f>
        <v>10.717484098018323</v>
      </c>
      <c r="AB1345" s="10">
        <f>(Table1[[#This Row],[Forecast Workload Hours]]*60)*1.2</f>
        <v>771.65885505731922</v>
      </c>
      <c r="AC1345" s="10">
        <f>IF(Table1[[#This Row],[Forecast WOrkload Minutes]]&lt;384,1,Table1[[#This Row],[Forecast WOrkload Minutes]]/384)</f>
        <v>2.0095282683784355</v>
      </c>
      <c r="AD1345" s="10">
        <f>ROUNDUP(Table1[[#This Row],[Forecast Headcount]],0)</f>
        <v>3</v>
      </c>
      <c r="AE1345" s="11">
        <v>182.11269214414429</v>
      </c>
      <c r="AF1345" s="11">
        <v>393.84234556215341</v>
      </c>
      <c r="AG1345" t="s">
        <v>7</v>
      </c>
    </row>
    <row r="1346" spans="1:33">
      <c r="A1346" s="2">
        <v>45227</v>
      </c>
      <c r="B1346" s="2"/>
      <c r="C1346" s="5">
        <f>WEEKDAY(Table1[[#This Row],[Date]])</f>
        <v>7</v>
      </c>
      <c r="D1346" s="5">
        <f>MONTH(Table1[[#This Row],[Date]])</f>
        <v>10</v>
      </c>
      <c r="E1346" s="5">
        <f>WEEKNUM(Table1[[#This Row],[Date]])</f>
        <v>43</v>
      </c>
      <c r="F1346" s="5">
        <f>YEAR(Table1[[#This Row],[Date]])</f>
        <v>2023</v>
      </c>
      <c r="H1346">
        <v>296.02392914192433</v>
      </c>
      <c r="I1346">
        <f>Table1[[#This Row],[Forecast]]*0.9</f>
        <v>266.42153622773191</v>
      </c>
      <c r="J1346">
        <f>Table1[[#This Row],[Forecast]]*0.8</f>
        <v>236.81914331353948</v>
      </c>
      <c r="K1346">
        <f>Table1[[#This Row],[Forecast]]*0.8</f>
        <v>236.81914331353948</v>
      </c>
      <c r="P1346" s="13">
        <f t="shared" si="44"/>
        <v>1.9261808602832632E-3</v>
      </c>
      <c r="Z1346" s="8"/>
      <c r="AA1346" s="8">
        <f>CONVERT(Table1[[#This Row],[RevisedForecast 30% Recution2]]*Table1[[#This Row],[Talk Duration (AVG)]],"day","hr")</f>
        <v>10.947756028781253</v>
      </c>
      <c r="AB1346" s="10">
        <f>(Table1[[#This Row],[Forecast Workload Hours]]*60)*1.2</f>
        <v>788.23843407225024</v>
      </c>
      <c r="AC1346" s="10">
        <f>IF(Table1[[#This Row],[Forecast WOrkload Minutes]]&lt;384,1,Table1[[#This Row],[Forecast WOrkload Minutes]]/384)</f>
        <v>2.0527042553964852</v>
      </c>
      <c r="AD1346" s="10">
        <f>ROUNDUP(Table1[[#This Row],[Forecast Headcount]],0)</f>
        <v>3</v>
      </c>
      <c r="AE1346" s="11">
        <v>185.4988587212649</v>
      </c>
      <c r="AF1346" s="11">
        <v>403.28583420422962</v>
      </c>
      <c r="AG1346" t="s">
        <v>7</v>
      </c>
    </row>
    <row r="1347" spans="1:33">
      <c r="A1347" s="2">
        <v>45228</v>
      </c>
      <c r="B1347" s="2"/>
      <c r="C1347" s="5">
        <f>WEEKDAY(Table1[[#This Row],[Date]])</f>
        <v>1</v>
      </c>
      <c r="D1347" s="5">
        <f>MONTH(Table1[[#This Row],[Date]])</f>
        <v>10</v>
      </c>
      <c r="E1347" s="5">
        <f>WEEKNUM(Table1[[#This Row],[Date]])</f>
        <v>44</v>
      </c>
      <c r="F1347" s="5">
        <f>YEAR(Table1[[#This Row],[Date]])</f>
        <v>2023</v>
      </c>
      <c r="H1347">
        <v>205.93719702395279</v>
      </c>
      <c r="I1347">
        <f>Table1[[#This Row],[Forecast]]*0.9</f>
        <v>185.34347732155751</v>
      </c>
      <c r="J1347">
        <f>Table1[[#This Row],[Forecast]]*0.8</f>
        <v>164.74975761916224</v>
      </c>
      <c r="K1347">
        <f>Table1[[#This Row],[Forecast]]*0.8</f>
        <v>164.74975761916224</v>
      </c>
      <c r="P1347" s="13">
        <f t="shared" si="44"/>
        <v>1.9272000306632035E-3</v>
      </c>
      <c r="Z1347" s="8"/>
      <c r="AA1347" s="8">
        <f>CONVERT(Table1[[#This Row],[RevisedForecast 30% Recution2]]*Table1[[#This Row],[Talk Duration (AVG)]],"day","hr")</f>
        <v>7.6201377104497157</v>
      </c>
      <c r="AB1347" s="10">
        <f>(Table1[[#This Row],[Forecast Workload Hours]]*60)*1.2</f>
        <v>548.64991515237955</v>
      </c>
      <c r="AC1347" s="10">
        <f>IF(Table1[[#This Row],[Forecast WOrkload Minutes]]&lt;384,1,Table1[[#This Row],[Forecast WOrkload Minutes]]/384)</f>
        <v>1.4287758207093217</v>
      </c>
      <c r="AD1347" s="10">
        <f>ROUNDUP(Table1[[#This Row],[Forecast Headcount]],0)</f>
        <v>2</v>
      </c>
      <c r="AE1347" s="11">
        <v>91.215537551457302</v>
      </c>
      <c r="AF1347" s="11">
        <v>322.05831738478543</v>
      </c>
      <c r="AG1347" t="s">
        <v>7</v>
      </c>
    </row>
    <row r="1348" spans="1:33">
      <c r="A1348" s="2">
        <v>45229</v>
      </c>
      <c r="B1348" s="2"/>
      <c r="C1348" s="5">
        <f>WEEKDAY(Table1[[#This Row],[Date]])</f>
        <v>2</v>
      </c>
      <c r="D1348" s="5">
        <f>MONTH(Table1[[#This Row],[Date]])</f>
        <v>10</v>
      </c>
      <c r="E1348" s="5">
        <f>WEEKNUM(Table1[[#This Row],[Date]])</f>
        <v>44</v>
      </c>
      <c r="F1348" s="5">
        <f>YEAR(Table1[[#This Row],[Date]])</f>
        <v>2023</v>
      </c>
      <c r="H1348">
        <v>304.22424498093199</v>
      </c>
      <c r="I1348">
        <f>Table1[[#This Row],[Forecast]]*0.9</f>
        <v>273.80182048283882</v>
      </c>
      <c r="J1348">
        <f>Table1[[#This Row],[Forecast]]*0.8</f>
        <v>243.3793959847456</v>
      </c>
      <c r="K1348">
        <f>Table1[[#This Row],[Forecast]]*0.8</f>
        <v>243.3793959847456</v>
      </c>
      <c r="P1348" s="13">
        <f t="shared" si="44"/>
        <v>1.9289859084160269E-3</v>
      </c>
      <c r="Z1348" s="8"/>
      <c r="AA1348" s="8">
        <f>CONVERT(Table1[[#This Row],[RevisedForecast 30% Recution2]]*Table1[[#This Row],[Talk Duration (AVG)]],"day","hr")</f>
        <v>11.267410206081083</v>
      </c>
      <c r="AB1348" s="10">
        <f>(Table1[[#This Row],[Forecast Workload Hours]]*60)*1.2</f>
        <v>811.25353483783795</v>
      </c>
      <c r="AC1348" s="10">
        <f>IF(Table1[[#This Row],[Forecast WOrkload Minutes]]&lt;384,1,Table1[[#This Row],[Forecast WOrkload Minutes]]/384)</f>
        <v>2.1126394136402031</v>
      </c>
      <c r="AD1348" s="10">
        <f>ROUNDUP(Table1[[#This Row],[Forecast Headcount]],0)</f>
        <v>3</v>
      </c>
      <c r="AE1348" s="11">
        <v>195.51333862435089</v>
      </c>
      <c r="AF1348" s="11">
        <v>416.47181455935879</v>
      </c>
      <c r="AG1348" t="s">
        <v>7</v>
      </c>
    </row>
    <row r="1349" spans="1:33">
      <c r="A1349" s="2">
        <v>45230</v>
      </c>
      <c r="B1349" s="2"/>
      <c r="C1349" s="5">
        <f>WEEKDAY(Table1[[#This Row],[Date]])</f>
        <v>3</v>
      </c>
      <c r="D1349" s="5">
        <f>MONTH(Table1[[#This Row],[Date]])</f>
        <v>10</v>
      </c>
      <c r="E1349" s="5">
        <f>WEEKNUM(Table1[[#This Row],[Date]])</f>
        <v>44</v>
      </c>
      <c r="F1349" s="5">
        <f>YEAR(Table1[[#This Row],[Date]])</f>
        <v>2023</v>
      </c>
      <c r="H1349">
        <v>286.46733643087668</v>
      </c>
      <c r="I1349">
        <f>Table1[[#This Row],[Forecast]]*0.9</f>
        <v>257.82060278778903</v>
      </c>
      <c r="J1349">
        <f>Table1[[#This Row],[Forecast]]*0.8</f>
        <v>229.17386914470137</v>
      </c>
      <c r="K1349">
        <f>Table1[[#This Row],[Forecast]]*0.8</f>
        <v>229.17386914470137</v>
      </c>
      <c r="P1349" s="13">
        <f t="shared" si="44"/>
        <v>1.929490449616177E-3</v>
      </c>
      <c r="Z1349" s="8"/>
      <c r="AA1349" s="8">
        <f>CONVERT(Table1[[#This Row],[RevisedForecast 30% Recution2]]*Table1[[#This Row],[Talk Duration (AVG)]],"day","hr")</f>
        <v>10.612531003590931</v>
      </c>
      <c r="AB1349" s="10">
        <f>(Table1[[#This Row],[Forecast Workload Hours]]*60)*1.2</f>
        <v>764.10223225854702</v>
      </c>
      <c r="AC1349" s="10">
        <f>IF(Table1[[#This Row],[Forecast WOrkload Minutes]]&lt;384,1,Table1[[#This Row],[Forecast WOrkload Minutes]]/384)</f>
        <v>1.9898495631732995</v>
      </c>
      <c r="AD1349" s="10">
        <f>ROUNDUP(Table1[[#This Row],[Forecast Headcount]],0)</f>
        <v>2</v>
      </c>
      <c r="AE1349" s="11">
        <v>183.28220997699549</v>
      </c>
      <c r="AF1349" s="11">
        <v>395.24619840223272</v>
      </c>
      <c r="AG1349" t="s">
        <v>7</v>
      </c>
    </row>
    <row r="1350" spans="1:33">
      <c r="A1350" s="2">
        <v>45231</v>
      </c>
      <c r="B1350" s="2"/>
      <c r="C1350" s="5">
        <f>WEEKDAY(Table1[[#This Row],[Date]])</f>
        <v>4</v>
      </c>
      <c r="D1350" s="5">
        <f>MONTH(Table1[[#This Row],[Date]])</f>
        <v>11</v>
      </c>
      <c r="E1350" s="5">
        <f>WEEKNUM(Table1[[#This Row],[Date]])</f>
        <v>44</v>
      </c>
      <c r="F1350" s="5">
        <f>YEAR(Table1[[#This Row],[Date]])</f>
        <v>2023</v>
      </c>
      <c r="H1350">
        <v>296.89692609690098</v>
      </c>
      <c r="I1350">
        <f>Table1[[#This Row],[Forecast]]*0.9</f>
        <v>267.20723348721089</v>
      </c>
      <c r="J1350">
        <f>Table1[[#This Row],[Forecast]]*0.8</f>
        <v>237.51754087752079</v>
      </c>
      <c r="K1350">
        <f>Table1[[#This Row],[Forecast]]*0.8</f>
        <v>237.51754087752079</v>
      </c>
      <c r="P1350" s="13">
        <f t="shared" si="44"/>
        <v>1.9290261859054249E-3</v>
      </c>
      <c r="Z1350" s="8"/>
      <c r="AA1350" s="8">
        <f>CONVERT(Table1[[#This Row],[RevisedForecast 30% Recution2]]*Table1[[#This Row],[Talk Duration (AVG)]],"day","hr")</f>
        <v>10.996261343150394</v>
      </c>
      <c r="AB1350" s="10">
        <f>(Table1[[#This Row],[Forecast Workload Hours]]*60)*1.2</f>
        <v>791.73081670682836</v>
      </c>
      <c r="AC1350" s="10">
        <f>IF(Table1[[#This Row],[Forecast WOrkload Minutes]]&lt;384,1,Table1[[#This Row],[Forecast WOrkload Minutes]]/384)</f>
        <v>2.0617990018406989</v>
      </c>
      <c r="AD1350" s="10">
        <f>ROUNDUP(Table1[[#This Row],[Forecast Headcount]],0)</f>
        <v>3</v>
      </c>
      <c r="AE1350" s="11">
        <v>182.64951197762349</v>
      </c>
      <c r="AF1350" s="11">
        <v>410.67123721731912</v>
      </c>
      <c r="AG1350" t="s">
        <v>7</v>
      </c>
    </row>
    <row r="1351" spans="1:33">
      <c r="A1351" s="2">
        <v>45232</v>
      </c>
      <c r="B1351" s="2"/>
      <c r="C1351" s="5">
        <f>WEEKDAY(Table1[[#This Row],[Date]])</f>
        <v>5</v>
      </c>
      <c r="D1351" s="5">
        <f>MONTH(Table1[[#This Row],[Date]])</f>
        <v>11</v>
      </c>
      <c r="E1351" s="5">
        <f>WEEKNUM(Table1[[#This Row],[Date]])</f>
        <v>44</v>
      </c>
      <c r="F1351" s="5">
        <f>YEAR(Table1[[#This Row],[Date]])</f>
        <v>2023</v>
      </c>
      <c r="H1351">
        <v>290.2595723042399</v>
      </c>
      <c r="I1351">
        <f>Table1[[#This Row],[Forecast]]*0.9</f>
        <v>261.23361507381594</v>
      </c>
      <c r="J1351">
        <f>Table1[[#This Row],[Forecast]]*0.8</f>
        <v>232.20765784339193</v>
      </c>
      <c r="K1351">
        <f>Table1[[#This Row],[Forecast]]*0.8</f>
        <v>232.20765784339193</v>
      </c>
      <c r="P1351" s="13">
        <f t="shared" si="44"/>
        <v>1.9290984278643886E-3</v>
      </c>
      <c r="Z1351" s="8"/>
      <c r="AA1351" s="8">
        <f>CONVERT(Table1[[#This Row],[RevisedForecast 30% Recution2]]*Table1[[#This Row],[Talk Duration (AVG)]],"day","hr")</f>
        <v>10.750834264410221</v>
      </c>
      <c r="AB1351" s="10">
        <f>(Table1[[#This Row],[Forecast Workload Hours]]*60)*1.2</f>
        <v>774.06006703753587</v>
      </c>
      <c r="AC1351" s="10">
        <f>IF(Table1[[#This Row],[Forecast WOrkload Minutes]]&lt;384,1,Table1[[#This Row],[Forecast WOrkload Minutes]]/384)</f>
        <v>2.0157814245769163</v>
      </c>
      <c r="AD1351" s="10">
        <f>ROUNDUP(Table1[[#This Row],[Forecast Headcount]],0)</f>
        <v>3</v>
      </c>
      <c r="AE1351" s="11">
        <v>175.00935620710399</v>
      </c>
      <c r="AF1351" s="11">
        <v>408.90349186610541</v>
      </c>
      <c r="AG1351" t="s">
        <v>7</v>
      </c>
    </row>
    <row r="1352" spans="1:33">
      <c r="A1352" s="2">
        <v>45233</v>
      </c>
      <c r="B1352" s="2"/>
      <c r="C1352" s="5">
        <f>WEEKDAY(Table1[[#This Row],[Date]])</f>
        <v>6</v>
      </c>
      <c r="D1352" s="5">
        <f>MONTH(Table1[[#This Row],[Date]])</f>
        <v>11</v>
      </c>
      <c r="E1352" s="5">
        <f>WEEKNUM(Table1[[#This Row],[Date]])</f>
        <v>44</v>
      </c>
      <c r="F1352" s="5">
        <f>YEAR(Table1[[#This Row],[Date]])</f>
        <v>2023</v>
      </c>
      <c r="H1352">
        <v>279.46787960197861</v>
      </c>
      <c r="I1352">
        <f>Table1[[#This Row],[Forecast]]*0.9</f>
        <v>251.52109164178074</v>
      </c>
      <c r="J1352">
        <f>Table1[[#This Row],[Forecast]]*0.8</f>
        <v>223.5743036815829</v>
      </c>
      <c r="K1352">
        <f>Table1[[#This Row],[Forecast]]*0.8</f>
        <v>223.5743036815829</v>
      </c>
      <c r="P1352" s="13">
        <f t="shared" si="44"/>
        <v>1.9288468382321071E-3</v>
      </c>
      <c r="Z1352" s="8"/>
      <c r="AA1352" s="8">
        <f>CONVERT(Table1[[#This Row],[RevisedForecast 30% Recution2]]*Table1[[#This Row],[Talk Duration (AVG)]],"day","hr")</f>
        <v>10.349774130387988</v>
      </c>
      <c r="AB1352" s="10">
        <f>(Table1[[#This Row],[Forecast Workload Hours]]*60)*1.2</f>
        <v>745.18373738793514</v>
      </c>
      <c r="AC1352" s="10">
        <f>IF(Table1[[#This Row],[Forecast WOrkload Minutes]]&lt;384,1,Table1[[#This Row],[Forecast WOrkload Minutes]]/384)</f>
        <v>1.9405826494477478</v>
      </c>
      <c r="AD1352" s="10">
        <f>ROUNDUP(Table1[[#This Row],[Forecast Headcount]],0)</f>
        <v>2</v>
      </c>
      <c r="AE1352" s="11">
        <v>167.82438346479421</v>
      </c>
      <c r="AF1352" s="11">
        <v>377.79357487186621</v>
      </c>
      <c r="AG1352" t="s">
        <v>7</v>
      </c>
    </row>
    <row r="1353" spans="1:33">
      <c r="A1353" s="2">
        <v>45234</v>
      </c>
      <c r="B1353" s="2"/>
      <c r="C1353" s="5">
        <f>WEEKDAY(Table1[[#This Row],[Date]])</f>
        <v>7</v>
      </c>
      <c r="D1353" s="5">
        <f>MONTH(Table1[[#This Row],[Date]])</f>
        <v>11</v>
      </c>
      <c r="E1353" s="5">
        <f>WEEKNUM(Table1[[#This Row],[Date]])</f>
        <v>44</v>
      </c>
      <c r="F1353" s="5">
        <f>YEAR(Table1[[#This Row],[Date]])</f>
        <v>2023</v>
      </c>
      <c r="H1353">
        <v>284.6597466441504</v>
      </c>
      <c r="I1353">
        <f>Table1[[#This Row],[Forecast]]*0.9</f>
        <v>256.19377197973535</v>
      </c>
      <c r="J1353">
        <f>Table1[[#This Row],[Forecast]]*0.8</f>
        <v>227.72779731532034</v>
      </c>
      <c r="K1353">
        <f>Table1[[#This Row],[Forecast]]*0.8</f>
        <v>227.72779731532034</v>
      </c>
      <c r="P1353" s="13">
        <f t="shared" si="44"/>
        <v>1.9271867013793095E-3</v>
      </c>
      <c r="Z1353" s="8"/>
      <c r="AA1353" s="8">
        <f>CONVERT(Table1[[#This Row],[RevisedForecast 30% Recution2]]*Table1[[#This Row],[Talk Duration (AVG)]],"day","hr")</f>
        <v>10.532975580491717</v>
      </c>
      <c r="AB1353" s="10">
        <f>(Table1[[#This Row],[Forecast Workload Hours]]*60)*1.2</f>
        <v>758.37424179540358</v>
      </c>
      <c r="AC1353" s="10">
        <f>IF(Table1[[#This Row],[Forecast WOrkload Minutes]]&lt;384,1,Table1[[#This Row],[Forecast WOrkload Minutes]]/384)</f>
        <v>1.9749329213421969</v>
      </c>
      <c r="AD1353" s="10">
        <f>ROUNDUP(Table1[[#This Row],[Forecast Headcount]],0)</f>
        <v>2</v>
      </c>
      <c r="AE1353" s="11">
        <v>170.6776932485898</v>
      </c>
      <c r="AF1353" s="11">
        <v>392.78361652494971</v>
      </c>
      <c r="AG1353" t="s">
        <v>7</v>
      </c>
    </row>
    <row r="1354" spans="1:33">
      <c r="A1354" s="2">
        <v>45235</v>
      </c>
      <c r="B1354" s="2"/>
      <c r="C1354" s="5">
        <f>WEEKDAY(Table1[[#This Row],[Date]])</f>
        <v>1</v>
      </c>
      <c r="D1354" s="5">
        <f>MONTH(Table1[[#This Row],[Date]])</f>
        <v>11</v>
      </c>
      <c r="E1354" s="5">
        <f>WEEKNUM(Table1[[#This Row],[Date]])</f>
        <v>45</v>
      </c>
      <c r="F1354" s="5">
        <f>YEAR(Table1[[#This Row],[Date]])</f>
        <v>2023</v>
      </c>
      <c r="H1354">
        <v>194.0160979487155</v>
      </c>
      <c r="I1354">
        <f>Table1[[#This Row],[Forecast]]*0.9</f>
        <v>174.61448815384395</v>
      </c>
      <c r="J1354">
        <f>Table1[[#This Row],[Forecast]]*0.8</f>
        <v>155.2128783589724</v>
      </c>
      <c r="K1354">
        <f>Table1[[#This Row],[Forecast]]*0.8</f>
        <v>155.2128783589724</v>
      </c>
      <c r="P1354" s="13">
        <f t="shared" si="44"/>
        <v>1.9282152721433249E-3</v>
      </c>
      <c r="Z1354" s="8"/>
      <c r="AA1354" s="8">
        <f>CONVERT(Table1[[#This Row],[RevisedForecast 30% Recution2]]*Table1[[#This Row],[Talk Duration (AVG)]],"day","hr")</f>
        <v>7.1828122196422743</v>
      </c>
      <c r="AB1354" s="10">
        <f>(Table1[[#This Row],[Forecast Workload Hours]]*60)*1.2</f>
        <v>517.16247981424374</v>
      </c>
      <c r="AC1354" s="10">
        <f>IF(Table1[[#This Row],[Forecast WOrkload Minutes]]&lt;384,1,Table1[[#This Row],[Forecast WOrkload Minutes]]/384)</f>
        <v>1.3467772911829263</v>
      </c>
      <c r="AD1354" s="10">
        <f>ROUNDUP(Table1[[#This Row],[Forecast Headcount]],0)</f>
        <v>2</v>
      </c>
      <c r="AE1354" s="11">
        <v>87.885863357461574</v>
      </c>
      <c r="AF1354" s="11">
        <v>312.98162306075278</v>
      </c>
      <c r="AG1354" t="s">
        <v>7</v>
      </c>
    </row>
    <row r="1355" spans="1:33">
      <c r="A1355" s="2">
        <v>45236</v>
      </c>
      <c r="B1355" s="2"/>
      <c r="C1355" s="5">
        <f>WEEKDAY(Table1[[#This Row],[Date]])</f>
        <v>2</v>
      </c>
      <c r="D1355" s="5">
        <f>MONTH(Table1[[#This Row],[Date]])</f>
        <v>11</v>
      </c>
      <c r="E1355" s="5">
        <f>WEEKNUM(Table1[[#This Row],[Date]])</f>
        <v>45</v>
      </c>
      <c r="F1355" s="5">
        <f>YEAR(Table1[[#This Row],[Date]])</f>
        <v>2023</v>
      </c>
      <c r="H1355">
        <v>291.91939979066728</v>
      </c>
      <c r="I1355">
        <f>Table1[[#This Row],[Forecast]]*0.9</f>
        <v>262.72745981160057</v>
      </c>
      <c r="J1355">
        <f>Table1[[#This Row],[Forecast]]*0.8</f>
        <v>233.53551983253385</v>
      </c>
      <c r="K1355">
        <f>Table1[[#This Row],[Forecast]]*0.8</f>
        <v>233.53551983253385</v>
      </c>
      <c r="P1355" s="13">
        <f t="shared" si="44"/>
        <v>1.9281717665524179E-3</v>
      </c>
      <c r="Z1355" s="8"/>
      <c r="AA1355" s="8">
        <f>CONVERT(Table1[[#This Row],[RevisedForecast 30% Recution2]]*Table1[[#This Row],[Talk Duration (AVG)]],"day","hr")</f>
        <v>10.807118299877617</v>
      </c>
      <c r="AB1355" s="10">
        <f>(Table1[[#This Row],[Forecast Workload Hours]]*60)*1.2</f>
        <v>778.11251759118829</v>
      </c>
      <c r="AC1355" s="10">
        <f>IF(Table1[[#This Row],[Forecast WOrkload Minutes]]&lt;384,1,Table1[[#This Row],[Forecast WOrkload Minutes]]/384)</f>
        <v>2.0263346812270528</v>
      </c>
      <c r="AD1355" s="10">
        <f>ROUNDUP(Table1[[#This Row],[Forecast Headcount]],0)</f>
        <v>3</v>
      </c>
      <c r="AE1355" s="11">
        <v>181.5336872412484</v>
      </c>
      <c r="AF1355" s="11">
        <v>402.32873436063687</v>
      </c>
      <c r="AG1355" t="s">
        <v>7</v>
      </c>
    </row>
    <row r="1356" spans="1:33">
      <c r="A1356" s="2">
        <v>45237</v>
      </c>
      <c r="B1356" s="2"/>
      <c r="C1356" s="5">
        <f>WEEKDAY(Table1[[#This Row],[Date]])</f>
        <v>3</v>
      </c>
      <c r="D1356" s="5">
        <f>MONTH(Table1[[#This Row],[Date]])</f>
        <v>11</v>
      </c>
      <c r="E1356" s="5">
        <f>WEEKNUM(Table1[[#This Row],[Date]])</f>
        <v>45</v>
      </c>
      <c r="F1356" s="5">
        <f>YEAR(Table1[[#This Row],[Date]])</f>
        <v>2023</v>
      </c>
      <c r="H1356">
        <v>273.95856395728123</v>
      </c>
      <c r="I1356">
        <f>Table1[[#This Row],[Forecast]]*0.9</f>
        <v>246.56270756155311</v>
      </c>
      <c r="J1356">
        <f>Table1[[#This Row],[Forecast]]*0.8</f>
        <v>219.16685116582499</v>
      </c>
      <c r="K1356">
        <f>Table1[[#This Row],[Forecast]]*0.8</f>
        <v>219.16685116582499</v>
      </c>
      <c r="P1356" s="13">
        <f t="shared" si="44"/>
        <v>1.9278033476174629E-3</v>
      </c>
      <c r="Z1356" s="8"/>
      <c r="AA1356" s="8">
        <f>CONVERT(Table1[[#This Row],[RevisedForecast 30% Recution2]]*Table1[[#This Row],[Talk Duration (AVG)]],"day","hr")</f>
        <v>10.140254144742137</v>
      </c>
      <c r="AB1356" s="10">
        <f>(Table1[[#This Row],[Forecast Workload Hours]]*60)*1.2</f>
        <v>730.09829842143392</v>
      </c>
      <c r="AC1356" s="10">
        <f>IF(Table1[[#This Row],[Forecast WOrkload Minutes]]&lt;384,1,Table1[[#This Row],[Forecast WOrkload Minutes]]/384)</f>
        <v>1.9012976521391509</v>
      </c>
      <c r="AD1356" s="10">
        <f>ROUNDUP(Table1[[#This Row],[Forecast Headcount]],0)</f>
        <v>2</v>
      </c>
      <c r="AE1356" s="11">
        <v>173.13871061584911</v>
      </c>
      <c r="AF1356" s="11">
        <v>392.46388557966799</v>
      </c>
      <c r="AG1356" t="s">
        <v>7</v>
      </c>
    </row>
    <row r="1357" spans="1:33">
      <c r="A1357" s="2">
        <v>45238</v>
      </c>
      <c r="B1357" s="2"/>
      <c r="C1357" s="5">
        <f>WEEKDAY(Table1[[#This Row],[Date]])</f>
        <v>4</v>
      </c>
      <c r="D1357" s="5">
        <f>MONTH(Table1[[#This Row],[Date]])</f>
        <v>11</v>
      </c>
      <c r="E1357" s="5">
        <f>WEEKNUM(Table1[[#This Row],[Date]])</f>
        <v>45</v>
      </c>
      <c r="F1357" s="5">
        <f>YEAR(Table1[[#This Row],[Date]])</f>
        <v>2023</v>
      </c>
      <c r="H1357">
        <v>284.36824833916762</v>
      </c>
      <c r="I1357">
        <f>Table1[[#This Row],[Forecast]]*0.9</f>
        <v>255.93142350525088</v>
      </c>
      <c r="J1357">
        <f>Table1[[#This Row],[Forecast]]*0.8</f>
        <v>227.4945986713341</v>
      </c>
      <c r="K1357">
        <f>Table1[[#This Row],[Forecast]]*0.8</f>
        <v>227.4945986713341</v>
      </c>
      <c r="P1357" s="13">
        <f t="shared" si="44"/>
        <v>1.9273233165983115E-3</v>
      </c>
      <c r="Z1357" s="8"/>
      <c r="AA1357" s="8">
        <f>CONVERT(Table1[[#This Row],[RevisedForecast 30% Recution2]]*Table1[[#This Row],[Talk Duration (AVG)]],"day","hr")</f>
        <v>10.5229354660665</v>
      </c>
      <c r="AB1357" s="10">
        <f>(Table1[[#This Row],[Forecast Workload Hours]]*60)*1.2</f>
        <v>757.65135355678797</v>
      </c>
      <c r="AC1357" s="10">
        <f>IF(Table1[[#This Row],[Forecast WOrkload Minutes]]&lt;384,1,Table1[[#This Row],[Forecast WOrkload Minutes]]/384)</f>
        <v>1.9730503998874687</v>
      </c>
      <c r="AD1357" s="10">
        <f>ROUNDUP(Table1[[#This Row],[Forecast Headcount]],0)</f>
        <v>2</v>
      </c>
      <c r="AE1357" s="11">
        <v>168.5526411571357</v>
      </c>
      <c r="AF1357" s="11">
        <v>397.88664405178241</v>
      </c>
      <c r="AG1357" t="s">
        <v>7</v>
      </c>
    </row>
    <row r="1358" spans="1:33">
      <c r="A1358" s="2">
        <v>45239</v>
      </c>
      <c r="B1358" s="2"/>
      <c r="C1358" s="5">
        <f>WEEKDAY(Table1[[#This Row],[Date]])</f>
        <v>5</v>
      </c>
      <c r="D1358" s="5">
        <f>MONTH(Table1[[#This Row],[Date]])</f>
        <v>11</v>
      </c>
      <c r="E1358" s="5">
        <f>WEEKNUM(Table1[[#This Row],[Date]])</f>
        <v>45</v>
      </c>
      <c r="F1358" s="5">
        <f>YEAR(Table1[[#This Row],[Date]])</f>
        <v>2023</v>
      </c>
      <c r="H1358">
        <v>277.89666890110658</v>
      </c>
      <c r="I1358">
        <f>Table1[[#This Row],[Forecast]]*0.9</f>
        <v>250.10700201099593</v>
      </c>
      <c r="J1358">
        <f>Table1[[#This Row],[Forecast]]*0.8</f>
        <v>222.31733512088528</v>
      </c>
      <c r="K1358">
        <f>Table1[[#This Row],[Forecast]]*0.8</f>
        <v>222.31733512088528</v>
      </c>
      <c r="P1358" s="13">
        <f t="shared" si="44"/>
        <v>1.9234855628939692E-3</v>
      </c>
      <c r="Z1358" s="8"/>
      <c r="AA1358" s="8">
        <f>CONVERT(Table1[[#This Row],[RevisedForecast 30% Recution2]]*Table1[[#This Row],[Talk Duration (AVG)]],"day","hr")</f>
        <v>10.262980427665997</v>
      </c>
      <c r="AB1358" s="10">
        <f>(Table1[[#This Row],[Forecast Workload Hours]]*60)*1.2</f>
        <v>738.93459079195179</v>
      </c>
      <c r="AC1358" s="10">
        <f>IF(Table1[[#This Row],[Forecast WOrkload Minutes]]&lt;384,1,Table1[[#This Row],[Forecast WOrkload Minutes]]/384)</f>
        <v>1.9243088301873745</v>
      </c>
      <c r="AD1358" s="10">
        <f>ROUNDUP(Table1[[#This Row],[Forecast Headcount]],0)</f>
        <v>2</v>
      </c>
      <c r="AE1358" s="11">
        <v>173.61093157627809</v>
      </c>
      <c r="AF1358" s="11">
        <v>392.40020397334922</v>
      </c>
      <c r="AG1358" t="s">
        <v>7</v>
      </c>
    </row>
    <row r="1359" spans="1:33">
      <c r="A1359" s="2">
        <v>45240</v>
      </c>
      <c r="B1359" s="2"/>
      <c r="C1359" s="5">
        <f>WEEKDAY(Table1[[#This Row],[Date]])</f>
        <v>6</v>
      </c>
      <c r="D1359" s="5">
        <f>MONTH(Table1[[#This Row],[Date]])</f>
        <v>11</v>
      </c>
      <c r="E1359" s="5">
        <f>WEEKNUM(Table1[[#This Row],[Date]])</f>
        <v>45</v>
      </c>
      <c r="F1359" s="5">
        <f>YEAR(Table1[[#This Row],[Date]])</f>
        <v>2023</v>
      </c>
      <c r="H1359">
        <v>267.45547518920102</v>
      </c>
      <c r="I1359">
        <f>Table1[[#This Row],[Forecast]]*0.9</f>
        <v>240.70992767028093</v>
      </c>
      <c r="J1359">
        <f>Table1[[#This Row],[Forecast]]*0.8</f>
        <v>213.96438015136084</v>
      </c>
      <c r="K1359">
        <f>Table1[[#This Row],[Forecast]]*0.8</f>
        <v>213.96438015136084</v>
      </c>
      <c r="P1359" s="13">
        <f t="shared" si="44"/>
        <v>1.920260955832057E-3</v>
      </c>
      <c r="Z1359" s="8"/>
      <c r="AA1359" s="8">
        <f>CONVERT(Table1[[#This Row],[RevisedForecast 30% Recution2]]*Table1[[#This Row],[Talk Duration (AVG)]],"day","hr")</f>
        <v>9.8608186834431777</v>
      </c>
      <c r="AB1359" s="10">
        <f>(Table1[[#This Row],[Forecast Workload Hours]]*60)*1.2</f>
        <v>709.97894520790885</v>
      </c>
      <c r="AC1359" s="10">
        <f>IF(Table1[[#This Row],[Forecast WOrkload Minutes]]&lt;384,1,Table1[[#This Row],[Forecast WOrkload Minutes]]/384)</f>
        <v>1.848903503145596</v>
      </c>
      <c r="AD1359" s="10">
        <f>ROUNDUP(Table1[[#This Row],[Forecast Headcount]],0)</f>
        <v>2</v>
      </c>
      <c r="AE1359" s="11">
        <v>155.43822898548959</v>
      </c>
      <c r="AF1359" s="11">
        <v>378.02960492148378</v>
      </c>
      <c r="AG1359" t="s">
        <v>7</v>
      </c>
    </row>
    <row r="1360" spans="1:33">
      <c r="A1360" s="2">
        <v>45241</v>
      </c>
      <c r="B1360" s="2"/>
      <c r="C1360" s="5">
        <f>WEEKDAY(Table1[[#This Row],[Date]])</f>
        <v>7</v>
      </c>
      <c r="D1360" s="5">
        <f>MONTH(Table1[[#This Row],[Date]])</f>
        <v>11</v>
      </c>
      <c r="E1360" s="5">
        <f>WEEKNUM(Table1[[#This Row],[Date]])</f>
        <v>45</v>
      </c>
      <c r="F1360" s="5">
        <f>YEAR(Table1[[#This Row],[Date]])</f>
        <v>2023</v>
      </c>
      <c r="H1360">
        <v>273.17896675528863</v>
      </c>
      <c r="I1360">
        <f>Table1[[#This Row],[Forecast]]*0.9</f>
        <v>245.86107007975977</v>
      </c>
      <c r="J1360">
        <f>Table1[[#This Row],[Forecast]]*0.8</f>
        <v>218.54317340423091</v>
      </c>
      <c r="K1360">
        <f>Table1[[#This Row],[Forecast]]*0.8</f>
        <v>218.54317340423091</v>
      </c>
      <c r="P1360" s="13">
        <f t="shared" si="44"/>
        <v>1.9239290229166766E-3</v>
      </c>
      <c r="Z1360" s="8"/>
      <c r="AA1360" s="8">
        <f>CONVERT(Table1[[#This Row],[RevisedForecast 30% Recution2]]*Table1[[#This Row],[Talk Duration (AVG)]],"day","hr")</f>
        <v>10.091077297745082</v>
      </c>
      <c r="AB1360" s="10">
        <f>(Table1[[#This Row],[Forecast Workload Hours]]*60)*1.2</f>
        <v>726.55756543764596</v>
      </c>
      <c r="AC1360" s="10">
        <f>IF(Table1[[#This Row],[Forecast WOrkload Minutes]]&lt;384,1,Table1[[#This Row],[Forecast WOrkload Minutes]]/384)</f>
        <v>1.892076993327203</v>
      </c>
      <c r="AD1360" s="10">
        <f>ROUNDUP(Table1[[#This Row],[Forecast Headcount]],0)</f>
        <v>2</v>
      </c>
      <c r="AE1360" s="11">
        <v>163.00663775757911</v>
      </c>
      <c r="AF1360" s="11">
        <v>376.86630575198649</v>
      </c>
      <c r="AG1360" t="s">
        <v>7</v>
      </c>
    </row>
    <row r="1361" spans="1:33">
      <c r="A1361" s="2">
        <v>45242</v>
      </c>
      <c r="B1361" s="2"/>
      <c r="C1361" s="5">
        <f>WEEKDAY(Table1[[#This Row],[Date]])</f>
        <v>1</v>
      </c>
      <c r="D1361" s="5">
        <f>MONTH(Table1[[#This Row],[Date]])</f>
        <v>11</v>
      </c>
      <c r="E1361" s="5">
        <f>WEEKNUM(Table1[[#This Row],[Date]])</f>
        <v>46</v>
      </c>
      <c r="F1361" s="5">
        <f>YEAR(Table1[[#This Row],[Date]])</f>
        <v>2023</v>
      </c>
      <c r="H1361">
        <v>183.24183126350869</v>
      </c>
      <c r="I1361">
        <f>Table1[[#This Row],[Forecast]]*0.9</f>
        <v>164.91764813715781</v>
      </c>
      <c r="J1361">
        <f>Table1[[#This Row],[Forecast]]*0.8</f>
        <v>146.59346501080697</v>
      </c>
      <c r="K1361">
        <f>Table1[[#This Row],[Forecast]]*0.8</f>
        <v>146.59346501080697</v>
      </c>
      <c r="P1361" s="13">
        <f t="shared" si="44"/>
        <v>1.9239718244785349E-3</v>
      </c>
      <c r="Z1361" s="8"/>
      <c r="AA1361" s="8">
        <f>CONVERT(Table1[[#This Row],[RevisedForecast 30% Recution2]]*Table1[[#This Row],[Talk Duration (AVG)]],"day","hr")</f>
        <v>6.7690007120033409</v>
      </c>
      <c r="AB1361" s="10">
        <f>(Table1[[#This Row],[Forecast Workload Hours]]*60)*1.2</f>
        <v>487.36805126424048</v>
      </c>
      <c r="AC1361" s="10">
        <f>IF(Table1[[#This Row],[Forecast WOrkload Minutes]]&lt;384,1,Table1[[#This Row],[Forecast WOrkload Minutes]]/384)</f>
        <v>1.2691876335006262</v>
      </c>
      <c r="AD1361" s="10">
        <f>ROUNDUP(Table1[[#This Row],[Forecast Headcount]],0)</f>
        <v>2</v>
      </c>
      <c r="AE1361" s="11">
        <v>69.951529778397258</v>
      </c>
      <c r="AF1361" s="11">
        <v>288.34807551682349</v>
      </c>
      <c r="AG1361" t="s">
        <v>7</v>
      </c>
    </row>
    <row r="1362" spans="1:33">
      <c r="A1362" s="2">
        <v>45243</v>
      </c>
      <c r="B1362" s="2"/>
      <c r="C1362" s="5">
        <f>WEEKDAY(Table1[[#This Row],[Date]])</f>
        <v>2</v>
      </c>
      <c r="D1362" s="5">
        <f>MONTH(Table1[[#This Row],[Date]])</f>
        <v>11</v>
      </c>
      <c r="E1362" s="5">
        <f>WEEKNUM(Table1[[#This Row],[Date]])</f>
        <v>46</v>
      </c>
      <c r="F1362" s="5">
        <f>YEAR(Table1[[#This Row],[Date]])</f>
        <v>2023</v>
      </c>
      <c r="H1362">
        <v>282.01770624162538</v>
      </c>
      <c r="I1362">
        <f>Table1[[#This Row],[Forecast]]*0.9</f>
        <v>253.81593561746286</v>
      </c>
      <c r="J1362">
        <f>Table1[[#This Row],[Forecast]]*0.8</f>
        <v>225.61416499330031</v>
      </c>
      <c r="K1362">
        <f>Table1[[#This Row],[Forecast]]*0.8</f>
        <v>225.61416499330031</v>
      </c>
      <c r="P1362" s="13">
        <f t="shared" si="44"/>
        <v>1.9240121633436853E-3</v>
      </c>
      <c r="Z1362" s="8"/>
      <c r="AA1362" s="8">
        <f>CONVERT(Table1[[#This Row],[RevisedForecast 30% Recution2]]*Table1[[#This Row],[Talk Duration (AVG)]],"day","hr")</f>
        <v>10.418025544073732</v>
      </c>
      <c r="AB1362" s="10">
        <f>(Table1[[#This Row],[Forecast Workload Hours]]*60)*1.2</f>
        <v>750.09783917330867</v>
      </c>
      <c r="AC1362" s="10">
        <f>IF(Table1[[#This Row],[Forecast WOrkload Minutes]]&lt;384,1,Table1[[#This Row],[Forecast WOrkload Minutes]]/384)</f>
        <v>1.9533797895138247</v>
      </c>
      <c r="AD1362" s="10">
        <f>ROUNDUP(Table1[[#This Row],[Forecast Headcount]],0)</f>
        <v>2</v>
      </c>
      <c r="AE1362" s="11">
        <v>175.38462710601479</v>
      </c>
      <c r="AF1362" s="11">
        <v>390.60692700868901</v>
      </c>
      <c r="AG1362" t="s">
        <v>7</v>
      </c>
    </row>
    <row r="1363" spans="1:33">
      <c r="A1363" s="2">
        <v>45244</v>
      </c>
      <c r="B1363" s="2"/>
      <c r="C1363" s="5">
        <f>WEEKDAY(Table1[[#This Row],[Date]])</f>
        <v>3</v>
      </c>
      <c r="D1363" s="5">
        <f>MONTH(Table1[[#This Row],[Date]])</f>
        <v>11</v>
      </c>
      <c r="E1363" s="5">
        <f>WEEKNUM(Table1[[#This Row],[Date]])</f>
        <v>46</v>
      </c>
      <c r="F1363" s="5">
        <f>YEAR(Table1[[#This Row],[Date]])</f>
        <v>2023</v>
      </c>
      <c r="H1363">
        <v>265.08416942769918</v>
      </c>
      <c r="I1363">
        <f>Table1[[#This Row],[Forecast]]*0.9</f>
        <v>238.57575248492927</v>
      </c>
      <c r="J1363">
        <f>Table1[[#This Row],[Forecast]]*0.8</f>
        <v>212.06733554215936</v>
      </c>
      <c r="K1363">
        <f>Table1[[#This Row],[Forecast]]*0.8</f>
        <v>212.06733554215936</v>
      </c>
      <c r="P1363" s="13">
        <f t="shared" si="44"/>
        <v>1.9240530225153221E-3</v>
      </c>
      <c r="Z1363" s="8"/>
      <c r="AA1363" s="8">
        <f>CONVERT(Table1[[#This Row],[RevisedForecast 30% Recution2]]*Table1[[#This Row],[Talk Duration (AVG)]],"day","hr")</f>
        <v>9.7926911502399037</v>
      </c>
      <c r="AB1363" s="10">
        <f>(Table1[[#This Row],[Forecast Workload Hours]]*60)*1.2</f>
        <v>705.07376281727306</v>
      </c>
      <c r="AC1363" s="10">
        <f>IF(Table1[[#This Row],[Forecast WOrkload Minutes]]&lt;384,1,Table1[[#This Row],[Forecast WOrkload Minutes]]/384)</f>
        <v>1.8361295906699819</v>
      </c>
      <c r="AD1363" s="10">
        <f>ROUNDUP(Table1[[#This Row],[Forecast Headcount]],0)</f>
        <v>2</v>
      </c>
      <c r="AE1363" s="11">
        <v>150.11750583617291</v>
      </c>
      <c r="AF1363" s="11">
        <v>375.5054874543485</v>
      </c>
      <c r="AG1363" t="s">
        <v>7</v>
      </c>
    </row>
    <row r="1364" spans="1:33">
      <c r="A1364" s="2">
        <v>45245</v>
      </c>
      <c r="B1364" s="2"/>
      <c r="C1364" s="5">
        <f>WEEKDAY(Table1[[#This Row],[Date]])</f>
        <v>4</v>
      </c>
      <c r="D1364" s="5">
        <f>MONTH(Table1[[#This Row],[Date]])</f>
        <v>11</v>
      </c>
      <c r="E1364" s="5">
        <f>WEEKNUM(Table1[[#This Row],[Date]])</f>
        <v>46</v>
      </c>
      <c r="F1364" s="5">
        <f>YEAR(Table1[[#This Row],[Date]])</f>
        <v>2023</v>
      </c>
      <c r="H1364">
        <v>276.66216729682401</v>
      </c>
      <c r="I1364">
        <f>Table1[[#This Row],[Forecast]]*0.9</f>
        <v>248.99595056714162</v>
      </c>
      <c r="J1364">
        <f>Table1[[#This Row],[Forecast]]*0.8</f>
        <v>221.32973383745923</v>
      </c>
      <c r="K1364">
        <f>Table1[[#This Row],[Forecast]]*0.8</f>
        <v>221.32973383745923</v>
      </c>
      <c r="P1364" s="13">
        <f t="shared" si="44"/>
        <v>1.9241004737421713E-3</v>
      </c>
      <c r="Z1364" s="8"/>
      <c r="AA1364" s="8">
        <f>CONVERT(Table1[[#This Row],[RevisedForecast 30% Recution2]]*Table1[[#This Row],[Talk Duration (AVG)]],"day","hr")</f>
        <v>10.220655497517214</v>
      </c>
      <c r="AB1364" s="10">
        <f>(Table1[[#This Row],[Forecast Workload Hours]]*60)*1.2</f>
        <v>735.8871958212394</v>
      </c>
      <c r="AC1364" s="10">
        <f>IF(Table1[[#This Row],[Forecast WOrkload Minutes]]&lt;384,1,Table1[[#This Row],[Forecast WOrkload Minutes]]/384)</f>
        <v>1.9163729057844776</v>
      </c>
      <c r="AD1364" s="10">
        <f>ROUNDUP(Table1[[#This Row],[Forecast Headcount]],0)</f>
        <v>2</v>
      </c>
      <c r="AE1364" s="11">
        <v>165.8832112210865</v>
      </c>
      <c r="AF1364" s="11">
        <v>384.59954929781549</v>
      </c>
      <c r="AG1364" t="s">
        <v>7</v>
      </c>
    </row>
    <row r="1365" spans="1:33">
      <c r="A1365" s="2">
        <v>45246</v>
      </c>
      <c r="B1365" s="2"/>
      <c r="C1365" s="5">
        <f>WEEKDAY(Table1[[#This Row],[Date]])</f>
        <v>5</v>
      </c>
      <c r="D1365" s="5">
        <f>MONTH(Table1[[#This Row],[Date]])</f>
        <v>11</v>
      </c>
      <c r="E1365" s="5">
        <f>WEEKNUM(Table1[[#This Row],[Date]])</f>
        <v>46</v>
      </c>
      <c r="F1365" s="5">
        <f>YEAR(Table1[[#This Row],[Date]])</f>
        <v>2023</v>
      </c>
      <c r="H1365">
        <v>271.48399625713267</v>
      </c>
      <c r="I1365">
        <f>Table1[[#This Row],[Forecast]]*0.9</f>
        <v>244.33559663141941</v>
      </c>
      <c r="J1365">
        <f>Table1[[#This Row],[Forecast]]*0.8</f>
        <v>217.18719700570614</v>
      </c>
      <c r="K1365">
        <f>Table1[[#This Row],[Forecast]]*0.8</f>
        <v>217.18719700570614</v>
      </c>
      <c r="P1365" s="13">
        <f t="shared" si="44"/>
        <v>1.9241566585203281E-3</v>
      </c>
      <c r="Z1365" s="8"/>
      <c r="AA1365" s="8">
        <f>CONVERT(Table1[[#This Row],[RevisedForecast 30% Recution2]]*Table1[[#This Row],[Talk Duration (AVG)]],"day","hr")</f>
        <v>10.029652590333496</v>
      </c>
      <c r="AB1365" s="10">
        <f>(Table1[[#This Row],[Forecast Workload Hours]]*60)*1.2</f>
        <v>722.13498650401175</v>
      </c>
      <c r="AC1365" s="10">
        <f>IF(Table1[[#This Row],[Forecast WOrkload Minutes]]&lt;384,1,Table1[[#This Row],[Forecast WOrkload Minutes]]/384)</f>
        <v>1.8805598606875307</v>
      </c>
      <c r="AD1365" s="10">
        <f>ROUNDUP(Table1[[#This Row],[Forecast Headcount]],0)</f>
        <v>2</v>
      </c>
      <c r="AE1365" s="11">
        <v>155.9011965593069</v>
      </c>
      <c r="AF1365" s="11">
        <v>381.34031471677872</v>
      </c>
      <c r="AG1365" t="s">
        <v>7</v>
      </c>
    </row>
    <row r="1366" spans="1:33">
      <c r="A1366" s="2">
        <v>45247</v>
      </c>
      <c r="B1366" s="2"/>
      <c r="C1366" s="5">
        <f>WEEKDAY(Table1[[#This Row],[Date]])</f>
        <v>6</v>
      </c>
      <c r="D1366" s="5">
        <f>MONTH(Table1[[#This Row],[Date]])</f>
        <v>11</v>
      </c>
      <c r="E1366" s="5">
        <f>WEEKNUM(Table1[[#This Row],[Date]])</f>
        <v>46</v>
      </c>
      <c r="F1366" s="5">
        <f>YEAR(Table1[[#This Row],[Date]])</f>
        <v>2023</v>
      </c>
      <c r="H1366">
        <v>262.44338785352522</v>
      </c>
      <c r="I1366">
        <f>Table1[[#This Row],[Forecast]]*0.9</f>
        <v>236.19904906817271</v>
      </c>
      <c r="J1366">
        <f>Table1[[#This Row],[Forecast]]*0.8</f>
        <v>209.9547102828202</v>
      </c>
      <c r="K1366">
        <f>Table1[[#This Row],[Forecast]]*0.8</f>
        <v>209.9547102828202</v>
      </c>
      <c r="P1366" s="13">
        <f t="shared" si="44"/>
        <v>1.9242156704024442E-3</v>
      </c>
      <c r="Z1366" s="8"/>
      <c r="AA1366" s="8">
        <f>CONVERT(Table1[[#This Row],[RevisedForecast 30% Recution2]]*Table1[[#This Row],[Talk Duration (AVG)]],"day","hr")</f>
        <v>9.6959554464241879</v>
      </c>
      <c r="AB1366" s="10">
        <f>(Table1[[#This Row],[Forecast Workload Hours]]*60)*1.2</f>
        <v>698.10879214254146</v>
      </c>
      <c r="AC1366" s="10">
        <f>IF(Table1[[#This Row],[Forecast WOrkload Minutes]]&lt;384,1,Table1[[#This Row],[Forecast WOrkload Minutes]]/384)</f>
        <v>1.8179916462045351</v>
      </c>
      <c r="AD1366" s="10">
        <f>ROUNDUP(Table1[[#This Row],[Forecast Headcount]],0)</f>
        <v>2</v>
      </c>
      <c r="AE1366" s="11">
        <v>145.07629522824851</v>
      </c>
      <c r="AF1366" s="11">
        <v>378.40730561734608</v>
      </c>
      <c r="AG1366" t="s">
        <v>7</v>
      </c>
    </row>
    <row r="1367" spans="1:33">
      <c r="A1367" s="2">
        <v>45248</v>
      </c>
      <c r="B1367" s="2"/>
      <c r="C1367" s="5">
        <f>WEEKDAY(Table1[[#This Row],[Date]])</f>
        <v>7</v>
      </c>
      <c r="D1367" s="5">
        <f>MONTH(Table1[[#This Row],[Date]])</f>
        <v>11</v>
      </c>
      <c r="E1367" s="5">
        <f>WEEKNUM(Table1[[#This Row],[Date]])</f>
        <v>46</v>
      </c>
      <c r="F1367" s="5">
        <f>YEAR(Table1[[#This Row],[Date]])</f>
        <v>2023</v>
      </c>
      <c r="H1367">
        <v>269.65497373482498</v>
      </c>
      <c r="I1367">
        <f>Table1[[#This Row],[Forecast]]*0.9</f>
        <v>242.68947636134249</v>
      </c>
      <c r="J1367">
        <f>Table1[[#This Row],[Forecast]]*0.8</f>
        <v>215.72397898785999</v>
      </c>
      <c r="K1367">
        <f>Table1[[#This Row],[Forecast]]*0.8</f>
        <v>215.72397898785999</v>
      </c>
      <c r="P1367" s="13">
        <f t="shared" si="44"/>
        <v>1.9242623934573771E-3</v>
      </c>
      <c r="Z1367" s="8"/>
      <c r="AA1367" s="8">
        <f>CONVERT(Table1[[#This Row],[RevisedForecast 30% Recution2]]*Table1[[#This Row],[Talk Duration (AVG)]],"day","hr")</f>
        <v>9.9626289631998812</v>
      </c>
      <c r="AB1367" s="10">
        <f>(Table1[[#This Row],[Forecast Workload Hours]]*60)*1.2</f>
        <v>717.30928535039141</v>
      </c>
      <c r="AC1367" s="10">
        <f>IF(Table1[[#This Row],[Forecast WOrkload Minutes]]&lt;384,1,Table1[[#This Row],[Forecast WOrkload Minutes]]/384)</f>
        <v>1.8679929305999776</v>
      </c>
      <c r="AD1367" s="10">
        <f>ROUNDUP(Table1[[#This Row],[Forecast Headcount]],0)</f>
        <v>2</v>
      </c>
      <c r="AE1367" s="11">
        <v>157.33465491884289</v>
      </c>
      <c r="AF1367" s="11">
        <v>387.86385255716061</v>
      </c>
      <c r="AG1367" t="s">
        <v>7</v>
      </c>
    </row>
    <row r="1368" spans="1:33">
      <c r="A1368" s="2">
        <v>45249</v>
      </c>
      <c r="B1368" s="2"/>
      <c r="C1368" s="5">
        <f>WEEKDAY(Table1[[#This Row],[Date]])</f>
        <v>1</v>
      </c>
      <c r="D1368" s="5">
        <f>MONTH(Table1[[#This Row],[Date]])</f>
        <v>11</v>
      </c>
      <c r="E1368" s="5">
        <f>WEEKNUM(Table1[[#This Row],[Date]])</f>
        <v>47</v>
      </c>
      <c r="F1368" s="5">
        <f>YEAR(Table1[[#This Row],[Date]])</f>
        <v>2023</v>
      </c>
      <c r="H1368">
        <v>181.27230866391179</v>
      </c>
      <c r="I1368">
        <f>Table1[[#This Row],[Forecast]]*0.9</f>
        <v>163.1450777975206</v>
      </c>
      <c r="J1368">
        <f>Table1[[#This Row],[Forecast]]*0.8</f>
        <v>145.01784693112944</v>
      </c>
      <c r="K1368">
        <f>Table1[[#This Row],[Forecast]]*0.8</f>
        <v>145.01784693112944</v>
      </c>
      <c r="P1368" s="13">
        <f t="shared" si="44"/>
        <v>1.9243137785488155E-3</v>
      </c>
      <c r="Z1368" s="8"/>
      <c r="AA1368" s="8">
        <f>CONVERT(Table1[[#This Row],[RevisedForecast 30% Recution2]]*Table1[[#This Row],[Talk Duration (AVG)]],"day","hr")</f>
        <v>6.6974361836413303</v>
      </c>
      <c r="AB1368" s="10">
        <f>(Table1[[#This Row],[Forecast Workload Hours]]*60)*1.2</f>
        <v>482.21540522217578</v>
      </c>
      <c r="AC1368" s="10">
        <f>IF(Table1[[#This Row],[Forecast WOrkload Minutes]]&lt;384,1,Table1[[#This Row],[Forecast WOrkload Minutes]]/384)</f>
        <v>1.2557692844327495</v>
      </c>
      <c r="AD1368" s="10">
        <f>ROUNDUP(Table1[[#This Row],[Forecast Headcount]],0)</f>
        <v>2</v>
      </c>
      <c r="AE1368" s="11">
        <v>70.497453937208363</v>
      </c>
      <c r="AF1368" s="11">
        <v>297.24505319084989</v>
      </c>
      <c r="AG1368" t="s">
        <v>7</v>
      </c>
    </row>
    <row r="1369" spans="1:33">
      <c r="A1369" s="2">
        <v>45250</v>
      </c>
      <c r="B1369" s="2"/>
      <c r="C1369" s="5">
        <f>WEEKDAY(Table1[[#This Row],[Date]])</f>
        <v>2</v>
      </c>
      <c r="D1369" s="5">
        <f>MONTH(Table1[[#This Row],[Date]])</f>
        <v>11</v>
      </c>
      <c r="E1369" s="5">
        <f>WEEKNUM(Table1[[#This Row],[Date]])</f>
        <v>47</v>
      </c>
      <c r="F1369" s="5">
        <f>YEAR(Table1[[#This Row],[Date]])</f>
        <v>2023</v>
      </c>
      <c r="H1369">
        <v>281.64675016279858</v>
      </c>
      <c r="I1369">
        <f>Table1[[#This Row],[Forecast]]*0.9</f>
        <v>253.48207514651872</v>
      </c>
      <c r="J1369">
        <f>Table1[[#This Row],[Forecast]]*0.8</f>
        <v>225.31740013023887</v>
      </c>
      <c r="K1369">
        <f>Table1[[#This Row],[Forecast]]*0.8</f>
        <v>225.31740013023887</v>
      </c>
      <c r="P1369" s="13">
        <f t="shared" si="44"/>
        <v>1.9243668759632933E-3</v>
      </c>
      <c r="Z1369" s="8"/>
      <c r="AA1369" s="8">
        <f>CONVERT(Table1[[#This Row],[RevisedForecast 30% Recution2]]*Table1[[#This Row],[Talk Duration (AVG)]],"day","hr")</f>
        <v>10.406240193331177</v>
      </c>
      <c r="AB1369" s="10">
        <f>(Table1[[#This Row],[Forecast Workload Hours]]*60)*1.2</f>
        <v>749.24929391984472</v>
      </c>
      <c r="AC1369" s="10">
        <f>IF(Table1[[#This Row],[Forecast WOrkload Minutes]]&lt;384,1,Table1[[#This Row],[Forecast WOrkload Minutes]]/384)</f>
        <v>1.9511700362495956</v>
      </c>
      <c r="AD1369" s="10">
        <f>ROUNDUP(Table1[[#This Row],[Forecast Headcount]],0)</f>
        <v>2</v>
      </c>
      <c r="AE1369" s="11">
        <v>172.28642422285111</v>
      </c>
      <c r="AF1369" s="11">
        <v>391.15509116131301</v>
      </c>
      <c r="AG1369" t="s">
        <v>7</v>
      </c>
    </row>
    <row r="1370" spans="1:33">
      <c r="A1370" s="2">
        <v>45251</v>
      </c>
      <c r="B1370" s="2"/>
      <c r="C1370" s="5">
        <f>WEEKDAY(Table1[[#This Row],[Date]])</f>
        <v>3</v>
      </c>
      <c r="D1370" s="5">
        <f>MONTH(Table1[[#This Row],[Date]])</f>
        <v>11</v>
      </c>
      <c r="E1370" s="5">
        <f>WEEKNUM(Table1[[#This Row],[Date]])</f>
        <v>47</v>
      </c>
      <c r="F1370" s="5">
        <f>YEAR(Table1[[#This Row],[Date]])</f>
        <v>2023</v>
      </c>
      <c r="H1370">
        <v>266.33279549897043</v>
      </c>
      <c r="I1370">
        <f>Table1[[#This Row],[Forecast]]*0.9</f>
        <v>239.6995159490734</v>
      </c>
      <c r="J1370">
        <f>Table1[[#This Row],[Forecast]]*0.8</f>
        <v>213.06623639917635</v>
      </c>
      <c r="K1370">
        <f>Table1[[#This Row],[Forecast]]*0.8</f>
        <v>213.06623639917635</v>
      </c>
      <c r="P1370" s="13">
        <f t="shared" si="44"/>
        <v>1.9244075602763196E-3</v>
      </c>
      <c r="Z1370" s="8"/>
      <c r="AA1370" s="8">
        <f>CONVERT(Table1[[#This Row],[RevisedForecast 30% Recution2]]*Table1[[#This Row],[Talk Duration (AVG)]],"day","hr")</f>
        <v>9.8406306279887179</v>
      </c>
      <c r="AB1370" s="10">
        <f>(Table1[[#This Row],[Forecast Workload Hours]]*60)*1.2</f>
        <v>708.52540521518756</v>
      </c>
      <c r="AC1370" s="10">
        <f>IF(Table1[[#This Row],[Forecast WOrkload Minutes]]&lt;384,1,Table1[[#This Row],[Forecast WOrkload Minutes]]/384)</f>
        <v>1.8451182427478843</v>
      </c>
      <c r="AD1370" s="10">
        <f>ROUNDUP(Table1[[#This Row],[Forecast Headcount]],0)</f>
        <v>2</v>
      </c>
      <c r="AE1370" s="11">
        <v>154.0199946998128</v>
      </c>
      <c r="AF1370" s="11">
        <v>377.6397339720171</v>
      </c>
      <c r="AG1370" t="s">
        <v>7</v>
      </c>
    </row>
    <row r="1371" spans="1:33">
      <c r="A1371" s="2">
        <v>45252</v>
      </c>
      <c r="B1371" s="2"/>
      <c r="C1371" s="5">
        <f>WEEKDAY(Table1[[#This Row],[Date]])</f>
        <v>4</v>
      </c>
      <c r="D1371" s="5">
        <f>MONTH(Table1[[#This Row],[Date]])</f>
        <v>11</v>
      </c>
      <c r="E1371" s="5">
        <f>WEEKNUM(Table1[[#This Row],[Date]])</f>
        <v>47</v>
      </c>
      <c r="F1371" s="5">
        <f>YEAR(Table1[[#This Row],[Date]])</f>
        <v>2023</v>
      </c>
      <c r="H1371">
        <v>279.52788048367972</v>
      </c>
      <c r="I1371">
        <f>Table1[[#This Row],[Forecast]]*0.9</f>
        <v>251.57509243531175</v>
      </c>
      <c r="J1371">
        <f>Table1[[#This Row],[Forecast]]*0.8</f>
        <v>223.6223043869438</v>
      </c>
      <c r="K1371">
        <f>Table1[[#This Row],[Forecast]]*0.8</f>
        <v>223.6223043869438</v>
      </c>
      <c r="P1371" s="13">
        <f t="shared" si="44"/>
        <v>1.9244689553365554E-3</v>
      </c>
      <c r="Z1371" s="8"/>
      <c r="AA1371" s="8">
        <f>CONVERT(Table1[[#This Row],[RevisedForecast 30% Recution2]]*Table1[[#This Row],[Talk Duration (AVG)]],"day","hr")</f>
        <v>10.328500380323877</v>
      </c>
      <c r="AB1371" s="10">
        <f>(Table1[[#This Row],[Forecast Workload Hours]]*60)*1.2</f>
        <v>743.65202738331914</v>
      </c>
      <c r="AC1371" s="10">
        <f>IF(Table1[[#This Row],[Forecast WOrkload Minutes]]&lt;384,1,Table1[[#This Row],[Forecast WOrkload Minutes]]/384)</f>
        <v>1.936593821310727</v>
      </c>
      <c r="AD1371" s="10">
        <f>ROUNDUP(Table1[[#This Row],[Forecast Headcount]],0)</f>
        <v>2</v>
      </c>
      <c r="AE1371" s="11">
        <v>163.91882897563011</v>
      </c>
      <c r="AF1371" s="11">
        <v>381.9180308257703</v>
      </c>
      <c r="AG1371" t="s">
        <v>7</v>
      </c>
    </row>
    <row r="1372" spans="1:33">
      <c r="A1372" s="2">
        <v>45253</v>
      </c>
      <c r="B1372" s="2"/>
      <c r="C1372" s="5">
        <f>WEEKDAY(Table1[[#This Row],[Date]])</f>
        <v>5</v>
      </c>
      <c r="D1372" s="5">
        <f>MONTH(Table1[[#This Row],[Date]])</f>
        <v>11</v>
      </c>
      <c r="E1372" s="5">
        <f>WEEKNUM(Table1[[#This Row],[Date]])</f>
        <v>47</v>
      </c>
      <c r="F1372" s="5">
        <f>YEAR(Table1[[#This Row],[Date]])</f>
        <v>2023</v>
      </c>
      <c r="H1372">
        <v>275.94074866480929</v>
      </c>
      <c r="I1372">
        <f>Table1[[#This Row],[Forecast]]*0.9</f>
        <v>248.34667379832837</v>
      </c>
      <c r="J1372">
        <f>Table1[[#This Row],[Forecast]]*0.8</f>
        <v>220.75259893184744</v>
      </c>
      <c r="K1372">
        <f>Table1[[#This Row],[Forecast]]*0.8</f>
        <v>220.75259893184744</v>
      </c>
      <c r="P1372" s="13">
        <f t="shared" si="44"/>
        <v>1.9245504337827915E-3</v>
      </c>
      <c r="Z1372" s="8"/>
      <c r="AA1372" s="8">
        <f>CONVERT(Table1[[#This Row],[RevisedForecast 30% Recution2]]*Table1[[#This Row],[Talk Duration (AVG)]],"day","hr")</f>
        <v>10.196388240791174</v>
      </c>
      <c r="AB1372" s="10">
        <f>(Table1[[#This Row],[Forecast Workload Hours]]*60)*1.2</f>
        <v>734.13995333696448</v>
      </c>
      <c r="AC1372" s="10">
        <f>IF(Table1[[#This Row],[Forecast WOrkload Minutes]]&lt;384,1,Table1[[#This Row],[Forecast WOrkload Minutes]]/384)</f>
        <v>1.9118227951483451</v>
      </c>
      <c r="AD1372" s="10">
        <f>ROUNDUP(Table1[[#This Row],[Forecast Headcount]],0)</f>
        <v>2</v>
      </c>
      <c r="AE1372" s="11">
        <v>173.99172132034781</v>
      </c>
      <c r="AF1372" s="11">
        <v>387.30252123788028</v>
      </c>
      <c r="AG1372" t="s">
        <v>7</v>
      </c>
    </row>
    <row r="1373" spans="1:33">
      <c r="A1373" s="2">
        <v>45254</v>
      </c>
      <c r="B1373" s="2"/>
      <c r="C1373" s="5">
        <f>WEEKDAY(Table1[[#This Row],[Date]])</f>
        <v>6</v>
      </c>
      <c r="D1373" s="5">
        <f>MONTH(Table1[[#This Row],[Date]])</f>
        <v>11</v>
      </c>
      <c r="E1373" s="5">
        <f>WEEKNUM(Table1[[#This Row],[Date]])</f>
        <v>47</v>
      </c>
      <c r="F1373" s="5">
        <f>YEAR(Table1[[#This Row],[Date]])</f>
        <v>2023</v>
      </c>
      <c r="H1373">
        <v>268.44193560369769</v>
      </c>
      <c r="I1373">
        <f>Table1[[#This Row],[Forecast]]*0.9</f>
        <v>241.59774204332791</v>
      </c>
      <c r="J1373">
        <f>Table1[[#This Row],[Forecast]]*0.8</f>
        <v>214.75354848295817</v>
      </c>
      <c r="K1373">
        <f>Table1[[#This Row],[Forecast]]*0.8</f>
        <v>214.75354848295817</v>
      </c>
      <c r="P1373" s="13">
        <f t="shared" si="44"/>
        <v>1.9246422563983982E-3</v>
      </c>
      <c r="Z1373" s="8"/>
      <c r="AA1373" s="8">
        <f>CONVERT(Table1[[#This Row],[RevisedForecast 30% Recution2]]*Table1[[#This Row],[Talk Duration (AVG)]],"day","hr")</f>
        <v>9.9197700989232835</v>
      </c>
      <c r="AB1373" s="10">
        <f>(Table1[[#This Row],[Forecast Workload Hours]]*60)*1.2</f>
        <v>714.22344712247639</v>
      </c>
      <c r="AC1373" s="10">
        <f>IF(Table1[[#This Row],[Forecast WOrkload Minutes]]&lt;384,1,Table1[[#This Row],[Forecast WOrkload Minutes]]/384)</f>
        <v>1.8599568935481157</v>
      </c>
      <c r="AD1373" s="10">
        <f>ROUNDUP(Table1[[#This Row],[Forecast Headcount]],0)</f>
        <v>2</v>
      </c>
      <c r="AE1373" s="11">
        <v>157.007384434009</v>
      </c>
      <c r="AF1373" s="11">
        <v>379.09885667438772</v>
      </c>
      <c r="AG1373" t="s">
        <v>7</v>
      </c>
    </row>
    <row r="1374" spans="1:33">
      <c r="A1374" s="2">
        <v>45255</v>
      </c>
      <c r="B1374" s="2"/>
      <c r="C1374" s="5">
        <f>WEEKDAY(Table1[[#This Row],[Date]])</f>
        <v>7</v>
      </c>
      <c r="D1374" s="5">
        <f>MONTH(Table1[[#This Row],[Date]])</f>
        <v>11</v>
      </c>
      <c r="E1374" s="5">
        <f>WEEKNUM(Table1[[#This Row],[Date]])</f>
        <v>47</v>
      </c>
      <c r="F1374" s="5">
        <f>YEAR(Table1[[#This Row],[Date]])</f>
        <v>2023</v>
      </c>
      <c r="H1374">
        <v>277.12363673166112</v>
      </c>
      <c r="I1374">
        <f>Table1[[#This Row],[Forecast]]*0.9</f>
        <v>249.41127305849503</v>
      </c>
      <c r="J1374">
        <f>Table1[[#This Row],[Forecast]]*0.8</f>
        <v>221.6989093853289</v>
      </c>
      <c r="K1374">
        <f>Table1[[#This Row],[Forecast]]*0.8</f>
        <v>221.6989093853289</v>
      </c>
      <c r="P1374" s="13">
        <f t="shared" si="44"/>
        <v>1.9247355110956061E-3</v>
      </c>
      <c r="Z1374" s="8"/>
      <c r="AA1374" s="8">
        <f>CONVERT(Table1[[#This Row],[RevisedForecast 30% Recution2]]*Table1[[#This Row],[Talk Duration (AVG)]],"day","hr")</f>
        <v>10.241082327962626</v>
      </c>
      <c r="AB1374" s="10">
        <f>(Table1[[#This Row],[Forecast Workload Hours]]*60)*1.2</f>
        <v>737.35792761330902</v>
      </c>
      <c r="AC1374" s="10">
        <f>IF(Table1[[#This Row],[Forecast WOrkload Minutes]]&lt;384,1,Table1[[#This Row],[Forecast WOrkload Minutes]]/384)</f>
        <v>1.9202029364929922</v>
      </c>
      <c r="AD1374" s="10">
        <f>ROUNDUP(Table1[[#This Row],[Forecast Headcount]],0)</f>
        <v>2</v>
      </c>
      <c r="AE1374" s="11">
        <v>170.116163348014</v>
      </c>
      <c r="AF1374" s="11">
        <v>386.65253209837073</v>
      </c>
      <c r="AG1374" t="s">
        <v>7</v>
      </c>
    </row>
    <row r="1375" spans="1:33">
      <c r="A1375" s="2">
        <v>45256</v>
      </c>
      <c r="B1375" s="2"/>
      <c r="C1375" s="5">
        <f>WEEKDAY(Table1[[#This Row],[Date]])</f>
        <v>1</v>
      </c>
      <c r="D1375" s="5">
        <f>MONTH(Table1[[#This Row],[Date]])</f>
        <v>11</v>
      </c>
      <c r="E1375" s="5">
        <f>WEEKNUM(Table1[[#This Row],[Date]])</f>
        <v>48</v>
      </c>
      <c r="F1375" s="5">
        <f>YEAR(Table1[[#This Row],[Date]])</f>
        <v>2023</v>
      </c>
      <c r="H1375">
        <v>190.1181293063955</v>
      </c>
      <c r="I1375">
        <f>Table1[[#This Row],[Forecast]]*0.9</f>
        <v>171.10631637575597</v>
      </c>
      <c r="J1375">
        <f>Table1[[#This Row],[Forecast]]*0.8</f>
        <v>152.0945034451164</v>
      </c>
      <c r="K1375">
        <f>Table1[[#This Row],[Forecast]]*0.8</f>
        <v>152.0945034451164</v>
      </c>
      <c r="P1375" s="13">
        <f t="shared" si="44"/>
        <v>1.9248605443557729E-3</v>
      </c>
      <c r="Z1375" s="8"/>
      <c r="AA1375" s="8">
        <f>CONVERT(Table1[[#This Row],[RevisedForecast 30% Recution2]]*Table1[[#This Row],[Talk Duration (AVG)]],"day","hr")</f>
        <v>7.0262570086773062</v>
      </c>
      <c r="AB1375" s="10">
        <f>(Table1[[#This Row],[Forecast Workload Hours]]*60)*1.2</f>
        <v>505.89050462476604</v>
      </c>
      <c r="AC1375" s="10">
        <f>IF(Table1[[#This Row],[Forecast WOrkload Minutes]]&lt;384,1,Table1[[#This Row],[Forecast WOrkload Minutes]]/384)</f>
        <v>1.317423189126995</v>
      </c>
      <c r="AD1375" s="10">
        <f>ROUNDUP(Table1[[#This Row],[Forecast Headcount]],0)</f>
        <v>2</v>
      </c>
      <c r="AE1375" s="11">
        <v>79.260960365650547</v>
      </c>
      <c r="AF1375" s="11">
        <v>301.63455799572358</v>
      </c>
      <c r="AG1375" t="s">
        <v>7</v>
      </c>
    </row>
    <row r="1376" spans="1:33">
      <c r="A1376" s="2">
        <v>45257</v>
      </c>
      <c r="B1376" s="2"/>
      <c r="C1376" s="5">
        <f>WEEKDAY(Table1[[#This Row],[Date]])</f>
        <v>2</v>
      </c>
      <c r="D1376" s="5">
        <f>MONTH(Table1[[#This Row],[Date]])</f>
        <v>11</v>
      </c>
      <c r="E1376" s="5">
        <f>WEEKNUM(Table1[[#This Row],[Date]])</f>
        <v>48</v>
      </c>
      <c r="F1376" s="5">
        <f>YEAR(Table1[[#This Row],[Date]])</f>
        <v>2023</v>
      </c>
      <c r="H1376">
        <v>291.75703897186622</v>
      </c>
      <c r="I1376">
        <f>Table1[[#This Row],[Forecast]]*0.9</f>
        <v>262.5813350746796</v>
      </c>
      <c r="J1376">
        <f>Table1[[#This Row],[Forecast]]*0.8</f>
        <v>233.40563117749298</v>
      </c>
      <c r="K1376">
        <f>Table1[[#This Row],[Forecast]]*0.8</f>
        <v>233.40563117749298</v>
      </c>
      <c r="P1376" s="13">
        <f t="shared" si="44"/>
        <v>1.9250058109320563E-3</v>
      </c>
      <c r="Z1376" s="8"/>
      <c r="AA1376" s="8">
        <f>CONVERT(Table1[[#This Row],[RevisedForecast 30% Recution2]]*Table1[[#This Row],[Talk Duration (AVG)]],"day","hr")</f>
        <v>10.783372711702521</v>
      </c>
      <c r="AB1376" s="10">
        <f>(Table1[[#This Row],[Forecast Workload Hours]]*60)*1.2</f>
        <v>776.40283524258143</v>
      </c>
      <c r="AC1376" s="10">
        <f>IF(Table1[[#This Row],[Forecast WOrkload Minutes]]&lt;384,1,Table1[[#This Row],[Forecast WOrkload Minutes]]/384)</f>
        <v>2.0218823834442223</v>
      </c>
      <c r="AD1376" s="10">
        <f>ROUNDUP(Table1[[#This Row],[Forecast Headcount]],0)</f>
        <v>3</v>
      </c>
      <c r="AE1376" s="11">
        <v>185.69000673143131</v>
      </c>
      <c r="AF1376" s="11">
        <v>402.32177461010622</v>
      </c>
      <c r="AG1376" t="s">
        <v>7</v>
      </c>
    </row>
    <row r="1377" spans="1:33">
      <c r="A1377" s="2">
        <v>45258</v>
      </c>
      <c r="B1377" s="2"/>
      <c r="C1377" s="5">
        <f>WEEKDAY(Table1[[#This Row],[Date]])</f>
        <v>3</v>
      </c>
      <c r="D1377" s="5">
        <f>MONTH(Table1[[#This Row],[Date]])</f>
        <v>11</v>
      </c>
      <c r="E1377" s="5">
        <f>WEEKNUM(Table1[[#This Row],[Date]])</f>
        <v>48</v>
      </c>
      <c r="F1377" s="5">
        <f>YEAR(Table1[[#This Row],[Date]])</f>
        <v>2023</v>
      </c>
      <c r="H1377">
        <v>277.5770433687448</v>
      </c>
      <c r="I1377">
        <f>Table1[[#This Row],[Forecast]]*0.9</f>
        <v>249.81933903187033</v>
      </c>
      <c r="J1377">
        <f>Table1[[#This Row],[Forecast]]*0.8</f>
        <v>222.06163469499586</v>
      </c>
      <c r="K1377">
        <f>Table1[[#This Row],[Forecast]]*0.8</f>
        <v>222.06163469499586</v>
      </c>
      <c r="P1377" s="13">
        <f t="shared" si="44"/>
        <v>1.9251504486828563E-3</v>
      </c>
      <c r="Z1377" s="8"/>
      <c r="AA1377" s="8">
        <f>CONVERT(Table1[[#This Row],[RevisedForecast 30% Recution2]]*Table1[[#This Row],[Talk Duration (AVG)]],"day","hr")</f>
        <v>10.260049336039677</v>
      </c>
      <c r="AB1377" s="10">
        <f>(Table1[[#This Row],[Forecast Workload Hours]]*60)*1.2</f>
        <v>738.72355219485667</v>
      </c>
      <c r="AC1377" s="10">
        <f>IF(Table1[[#This Row],[Forecast WOrkload Minutes]]&lt;384,1,Table1[[#This Row],[Forecast WOrkload Minutes]]/384)</f>
        <v>1.9237592505074392</v>
      </c>
      <c r="AD1377" s="10">
        <f>ROUNDUP(Table1[[#This Row],[Forecast Headcount]],0)</f>
        <v>2</v>
      </c>
      <c r="AE1377" s="11">
        <v>167.5471037419741</v>
      </c>
      <c r="AF1377" s="11">
        <v>381.77869190164932</v>
      </c>
      <c r="AG1377" t="s">
        <v>7</v>
      </c>
    </row>
    <row r="1378" spans="1:33">
      <c r="A1378" s="2">
        <v>45259</v>
      </c>
      <c r="B1378" s="2"/>
      <c r="C1378" s="5">
        <f>WEEKDAY(Table1[[#This Row],[Date]])</f>
        <v>4</v>
      </c>
      <c r="D1378" s="5">
        <f>MONTH(Table1[[#This Row],[Date]])</f>
        <v>11</v>
      </c>
      <c r="E1378" s="5">
        <f>WEEKNUM(Table1[[#This Row],[Date]])</f>
        <v>48</v>
      </c>
      <c r="F1378" s="5">
        <f>YEAR(Table1[[#This Row],[Date]])</f>
        <v>2023</v>
      </c>
      <c r="H1378">
        <v>291.76000904909432</v>
      </c>
      <c r="I1378">
        <f>Table1[[#This Row],[Forecast]]*0.9</f>
        <v>262.58400814418491</v>
      </c>
      <c r="J1378">
        <f>Table1[[#This Row],[Forecast]]*0.8</f>
        <v>233.40800723927546</v>
      </c>
      <c r="K1378">
        <f>Table1[[#This Row],[Forecast]]*0.8</f>
        <v>233.40800723927546</v>
      </c>
      <c r="P1378" s="13">
        <f t="shared" si="44"/>
        <v>1.9253035314863666E-3</v>
      </c>
      <c r="Z1378" s="8"/>
      <c r="AA1378" s="8">
        <f>CONVERT(Table1[[#This Row],[RevisedForecast 30% Recution2]]*Table1[[#This Row],[Talk Duration (AVG)]],"day","hr")</f>
        <v>10.785150254759339</v>
      </c>
      <c r="AB1378" s="10">
        <f>(Table1[[#This Row],[Forecast Workload Hours]]*60)*1.2</f>
        <v>776.53081834267232</v>
      </c>
      <c r="AC1378" s="10">
        <f>IF(Table1[[#This Row],[Forecast WOrkload Minutes]]&lt;384,1,Table1[[#This Row],[Forecast WOrkload Minutes]]/384)</f>
        <v>2.0222156727673757</v>
      </c>
      <c r="AD1378" s="10">
        <f>ROUNDUP(Table1[[#This Row],[Forecast Headcount]],0)</f>
        <v>3</v>
      </c>
      <c r="AE1378" s="11">
        <v>175.9988611287495</v>
      </c>
      <c r="AF1378" s="11">
        <v>405.63801214750208</v>
      </c>
      <c r="AG1378" t="s">
        <v>7</v>
      </c>
    </row>
    <row r="1379" spans="1:33">
      <c r="A1379" s="2">
        <v>45260</v>
      </c>
      <c r="B1379" s="2"/>
      <c r="C1379" s="5">
        <f>WEEKDAY(Table1[[#This Row],[Date]])</f>
        <v>5</v>
      </c>
      <c r="D1379" s="5">
        <f>MONTH(Table1[[#This Row],[Date]])</f>
        <v>11</v>
      </c>
      <c r="E1379" s="5">
        <f>WEEKNUM(Table1[[#This Row],[Date]])</f>
        <v>48</v>
      </c>
      <c r="F1379" s="5">
        <f>YEAR(Table1[[#This Row],[Date]])</f>
        <v>2023</v>
      </c>
      <c r="H1379">
        <v>289.00166228581321</v>
      </c>
      <c r="I1379">
        <f>Table1[[#This Row],[Forecast]]*0.9</f>
        <v>260.10149605723188</v>
      </c>
      <c r="J1379">
        <f>Table1[[#This Row],[Forecast]]*0.8</f>
        <v>231.20132982865059</v>
      </c>
      <c r="K1379">
        <f>Table1[[#This Row],[Forecast]]*0.8</f>
        <v>231.20132982865059</v>
      </c>
      <c r="P1379" s="13">
        <f t="shared" si="44"/>
        <v>1.925456106240732E-3</v>
      </c>
      <c r="Z1379" s="8"/>
      <c r="AA1379" s="8">
        <f>CONVERT(Table1[[#This Row],[RevisedForecast 30% Recution2]]*Table1[[#This Row],[Talk Duration (AVG)]],"day","hr")</f>
        <v>10.684032294949265</v>
      </c>
      <c r="AB1379" s="10">
        <f>(Table1[[#This Row],[Forecast Workload Hours]]*60)*1.2</f>
        <v>769.25032523634707</v>
      </c>
      <c r="AC1379" s="10">
        <f>IF(Table1[[#This Row],[Forecast WOrkload Minutes]]&lt;384,1,Table1[[#This Row],[Forecast WOrkload Minutes]]/384)</f>
        <v>2.003256055302987</v>
      </c>
      <c r="AD1379" s="10">
        <f>ROUNDUP(Table1[[#This Row],[Forecast Headcount]],0)</f>
        <v>3</v>
      </c>
      <c r="AE1379" s="11">
        <v>180.79994607713721</v>
      </c>
      <c r="AF1379" s="11">
        <v>402.27797788706158</v>
      </c>
      <c r="AG1379" t="s">
        <v>7</v>
      </c>
    </row>
    <row r="1380" spans="1:33">
      <c r="A1380" s="2">
        <v>45261</v>
      </c>
      <c r="B1380" s="2"/>
      <c r="C1380" s="5">
        <f>WEEKDAY(Table1[[#This Row],[Date]])</f>
        <v>6</v>
      </c>
      <c r="D1380" s="5">
        <f>MONTH(Table1[[#This Row],[Date]])</f>
        <v>12</v>
      </c>
      <c r="E1380" s="5">
        <f>WEEKNUM(Table1[[#This Row],[Date]])</f>
        <v>48</v>
      </c>
      <c r="F1380" s="5">
        <f>YEAR(Table1[[#This Row],[Date]])</f>
        <v>2023</v>
      </c>
      <c r="H1380">
        <v>282.16233093134122</v>
      </c>
      <c r="I1380">
        <f>Table1[[#This Row],[Forecast]]*0.9</f>
        <v>253.94609783820709</v>
      </c>
      <c r="J1380">
        <f>Table1[[#This Row],[Forecast]]*0.8</f>
        <v>225.72986474507297</v>
      </c>
      <c r="K1380">
        <f>Table1[[#This Row],[Forecast]]*0.8</f>
        <v>225.72986474507297</v>
      </c>
      <c r="P1380" s="13">
        <f t="shared" si="44"/>
        <v>1.9256182593234022E-3</v>
      </c>
      <c r="Z1380" s="8"/>
      <c r="AA1380" s="8">
        <f>CONVERT(Table1[[#This Row],[RevisedForecast 30% Recution2]]*Table1[[#This Row],[Talk Duration (AVG)]],"day","hr")</f>
        <v>10.432069181465145</v>
      </c>
      <c r="AB1380" s="10">
        <f>(Table1[[#This Row],[Forecast Workload Hours]]*60)*1.2</f>
        <v>751.10898106549041</v>
      </c>
      <c r="AC1380" s="10">
        <f>IF(Table1[[#This Row],[Forecast WOrkload Minutes]]&lt;384,1,Table1[[#This Row],[Forecast WOrkload Minutes]]/384)</f>
        <v>1.9560129715247145</v>
      </c>
      <c r="AD1380" s="10">
        <f>ROUNDUP(Table1[[#This Row],[Forecast Headcount]],0)</f>
        <v>2</v>
      </c>
      <c r="AE1380" s="11">
        <v>175.1511480810168</v>
      </c>
      <c r="AF1380" s="11">
        <v>396.42654446410552</v>
      </c>
      <c r="AG1380" t="s">
        <v>7</v>
      </c>
    </row>
    <row r="1381" spans="1:33">
      <c r="A1381" s="2">
        <v>45262</v>
      </c>
      <c r="B1381" s="2"/>
      <c r="C1381" s="5">
        <f>WEEKDAY(Table1[[#This Row],[Date]])</f>
        <v>7</v>
      </c>
      <c r="D1381" s="5">
        <f>MONTH(Table1[[#This Row],[Date]])</f>
        <v>12</v>
      </c>
      <c r="E1381" s="5">
        <f>WEEKNUM(Table1[[#This Row],[Date]])</f>
        <v>48</v>
      </c>
      <c r="F1381" s="5">
        <f>YEAR(Table1[[#This Row],[Date]])</f>
        <v>2023</v>
      </c>
      <c r="H1381">
        <v>291.32701893213351</v>
      </c>
      <c r="I1381">
        <f>Table1[[#This Row],[Forecast]]*0.9</f>
        <v>262.19431703892019</v>
      </c>
      <c r="J1381">
        <f>Table1[[#This Row],[Forecast]]*0.8</f>
        <v>233.06161514570681</v>
      </c>
      <c r="K1381">
        <f>Table1[[#This Row],[Forecast]]*0.8</f>
        <v>233.06161514570681</v>
      </c>
      <c r="P1381" s="13">
        <f t="shared" si="44"/>
        <v>1.9257800471975412E-3</v>
      </c>
      <c r="Z1381" s="8"/>
      <c r="AA1381" s="8">
        <f>CONVERT(Table1[[#This Row],[RevisedForecast 30% Recution2]]*Table1[[#This Row],[Talk Duration (AVG)]],"day","hr")</f>
        <v>10.771809797165627</v>
      </c>
      <c r="AB1381" s="10">
        <f>(Table1[[#This Row],[Forecast Workload Hours]]*60)*1.2</f>
        <v>775.57030539592517</v>
      </c>
      <c r="AC1381" s="10">
        <f>IF(Table1[[#This Row],[Forecast WOrkload Minutes]]&lt;384,1,Table1[[#This Row],[Forecast WOrkload Minutes]]/384)</f>
        <v>2.0197143369685553</v>
      </c>
      <c r="AD1381" s="10">
        <f>ROUNDUP(Table1[[#This Row],[Forecast Headcount]],0)</f>
        <v>3</v>
      </c>
      <c r="AE1381" s="11">
        <v>178.6739958743776</v>
      </c>
      <c r="AF1381" s="11">
        <v>401.10588745219673</v>
      </c>
      <c r="AG1381" t="s">
        <v>7</v>
      </c>
    </row>
    <row r="1382" spans="1:33">
      <c r="A1382" s="2">
        <v>45263</v>
      </c>
      <c r="B1382" s="2"/>
      <c r="C1382" s="5">
        <f>WEEKDAY(Table1[[#This Row],[Date]])</f>
        <v>1</v>
      </c>
      <c r="D1382" s="5">
        <f>MONTH(Table1[[#This Row],[Date]])</f>
        <v>12</v>
      </c>
      <c r="E1382" s="5">
        <f>WEEKNUM(Table1[[#This Row],[Date]])</f>
        <v>49</v>
      </c>
      <c r="F1382" s="5">
        <f>YEAR(Table1[[#This Row],[Date]])</f>
        <v>2023</v>
      </c>
      <c r="H1382">
        <v>204.6239780091453</v>
      </c>
      <c r="I1382">
        <f>Table1[[#This Row],[Forecast]]*0.9</f>
        <v>184.16158020823079</v>
      </c>
      <c r="J1382">
        <f>Table1[[#This Row],[Forecast]]*0.8</f>
        <v>163.69918240731624</v>
      </c>
      <c r="K1382">
        <f>Table1[[#This Row],[Forecast]]*0.8</f>
        <v>163.69918240731624</v>
      </c>
      <c r="P1382" s="13">
        <f t="shared" ref="P1382:P1445" si="45">AVERAGE(P1275:P1381)</f>
        <v>1.9259424597981971E-3</v>
      </c>
      <c r="Z1382" s="8"/>
      <c r="AA1382" s="8">
        <f>CONVERT(Table1[[#This Row],[RevisedForecast 30% Recution2]]*Table1[[#This Row],[Talk Duration (AVG)]],"day","hr")</f>
        <v>7.5666049447800088</v>
      </c>
      <c r="AB1382" s="10">
        <f>(Table1[[#This Row],[Forecast Workload Hours]]*60)*1.2</f>
        <v>544.79555602416065</v>
      </c>
      <c r="AC1382" s="10">
        <f>IF(Table1[[#This Row],[Forecast WOrkload Minutes]]&lt;384,1,Table1[[#This Row],[Forecast WOrkload Minutes]]/384)</f>
        <v>1.4187384271462518</v>
      </c>
      <c r="AD1382" s="10">
        <f>ROUNDUP(Table1[[#This Row],[Forecast Headcount]],0)</f>
        <v>2</v>
      </c>
      <c r="AE1382" s="11">
        <v>94.66562051005009</v>
      </c>
      <c r="AF1382" s="11">
        <v>316.14716480807232</v>
      </c>
      <c r="AG1382" t="s">
        <v>7</v>
      </c>
    </row>
    <row r="1383" spans="1:33">
      <c r="A1383" s="2">
        <v>45264</v>
      </c>
      <c r="B1383" s="2"/>
      <c r="C1383" s="5">
        <f>WEEKDAY(Table1[[#This Row],[Date]])</f>
        <v>2</v>
      </c>
      <c r="D1383" s="5">
        <f>MONTH(Table1[[#This Row],[Date]])</f>
        <v>12</v>
      </c>
      <c r="E1383" s="5">
        <f>WEEKNUM(Table1[[#This Row],[Date]])</f>
        <v>49</v>
      </c>
      <c r="F1383" s="5">
        <f>YEAR(Table1[[#This Row],[Date]])</f>
        <v>2023</v>
      </c>
      <c r="H1383">
        <v>306.38406204598289</v>
      </c>
      <c r="I1383">
        <f>Table1[[#This Row],[Forecast]]*0.9</f>
        <v>275.74565584138463</v>
      </c>
      <c r="J1383">
        <f>Table1[[#This Row],[Forecast]]*0.8</f>
        <v>245.10724963678632</v>
      </c>
      <c r="K1383">
        <f>Table1[[#This Row],[Forecast]]*0.8</f>
        <v>245.10724963678632</v>
      </c>
      <c r="P1383" s="13">
        <f t="shared" si="45"/>
        <v>1.926097407275689E-3</v>
      </c>
      <c r="Z1383" s="8"/>
      <c r="AA1383" s="8">
        <f>CONVERT(Table1[[#This Row],[RevisedForecast 30% Recution2]]*Table1[[#This Row],[Talk Duration (AVG)]],"day","hr")</f>
        <v>11.330410512717341</v>
      </c>
      <c r="AB1383" s="10">
        <f>(Table1[[#This Row],[Forecast Workload Hours]]*60)*1.2</f>
        <v>815.78955691564852</v>
      </c>
      <c r="AC1383" s="10">
        <f>IF(Table1[[#This Row],[Forecast WOrkload Minutes]]&lt;384,1,Table1[[#This Row],[Forecast WOrkload Minutes]]/384)</f>
        <v>2.1244519711345013</v>
      </c>
      <c r="AD1383" s="10">
        <f>ROUNDUP(Table1[[#This Row],[Forecast Headcount]],0)</f>
        <v>3</v>
      </c>
      <c r="AE1383" s="11">
        <v>194.7588040735443</v>
      </c>
      <c r="AF1383" s="11">
        <v>414.38391904603378</v>
      </c>
      <c r="AG1383" t="s">
        <v>7</v>
      </c>
    </row>
    <row r="1384" spans="1:33">
      <c r="A1384" s="2">
        <v>45265</v>
      </c>
      <c r="B1384" s="2"/>
      <c r="C1384" s="5">
        <f>WEEKDAY(Table1[[#This Row],[Date]])</f>
        <v>3</v>
      </c>
      <c r="D1384" s="5">
        <f>MONTH(Table1[[#This Row],[Date]])</f>
        <v>12</v>
      </c>
      <c r="E1384" s="5">
        <f>WEEKNUM(Table1[[#This Row],[Date]])</f>
        <v>49</v>
      </c>
      <c r="F1384" s="5">
        <f>YEAR(Table1[[#This Row],[Date]])</f>
        <v>2023</v>
      </c>
      <c r="H1384">
        <v>292.14645290917122</v>
      </c>
      <c r="I1384">
        <f>Table1[[#This Row],[Forecast]]*0.9</f>
        <v>262.93180761825408</v>
      </c>
      <c r="J1384">
        <f>Table1[[#This Row],[Forecast]]*0.8</f>
        <v>233.71716232733698</v>
      </c>
      <c r="K1384">
        <f>Table1[[#This Row],[Forecast]]*0.8</f>
        <v>233.71716232733698</v>
      </c>
      <c r="P1384" s="13">
        <f t="shared" si="45"/>
        <v>1.9262356375891732E-3</v>
      </c>
      <c r="Z1384" s="8"/>
      <c r="AA1384" s="8">
        <f>CONVERT(Table1[[#This Row],[RevisedForecast 30% Recution2]]*Table1[[#This Row],[Talk Duration (AVG)]],"day","hr")</f>
        <v>10.804663852587126</v>
      </c>
      <c r="AB1384" s="10">
        <f>(Table1[[#This Row],[Forecast Workload Hours]]*60)*1.2</f>
        <v>777.93579738627307</v>
      </c>
      <c r="AC1384" s="10">
        <f>IF(Table1[[#This Row],[Forecast WOrkload Minutes]]&lt;384,1,Table1[[#This Row],[Forecast WOrkload Minutes]]/384)</f>
        <v>2.0258744723600861</v>
      </c>
      <c r="AD1384" s="10">
        <f>ROUNDUP(Table1[[#This Row],[Forecast Headcount]],0)</f>
        <v>3</v>
      </c>
      <c r="AE1384" s="11">
        <v>186.86436561001449</v>
      </c>
      <c r="AF1384" s="11">
        <v>397.84028933875697</v>
      </c>
      <c r="AG1384" t="s">
        <v>7</v>
      </c>
    </row>
    <row r="1385" spans="1:33">
      <c r="A1385" s="2">
        <v>45266</v>
      </c>
      <c r="B1385" s="2"/>
      <c r="C1385" s="5">
        <f>WEEKDAY(Table1[[#This Row],[Date]])</f>
        <v>4</v>
      </c>
      <c r="D1385" s="5">
        <f>MONTH(Table1[[#This Row],[Date]])</f>
        <v>12</v>
      </c>
      <c r="E1385" s="5">
        <f>WEEKNUM(Table1[[#This Row],[Date]])</f>
        <v>49</v>
      </c>
      <c r="F1385" s="5">
        <f>YEAR(Table1[[#This Row],[Date]])</f>
        <v>2023</v>
      </c>
      <c r="H1385">
        <v>306.09875163036901</v>
      </c>
      <c r="I1385">
        <f>Table1[[#This Row],[Forecast]]*0.9</f>
        <v>275.48887646733209</v>
      </c>
      <c r="J1385">
        <f>Table1[[#This Row],[Forecast]]*0.8</f>
        <v>244.87900130429523</v>
      </c>
      <c r="K1385">
        <f>Table1[[#This Row],[Forecast]]*0.8</f>
        <v>244.87900130429523</v>
      </c>
      <c r="P1385" s="13">
        <f t="shared" si="45"/>
        <v>1.926367944903576E-3</v>
      </c>
      <c r="Z1385" s="8"/>
      <c r="AA1385" s="8">
        <f>CONVERT(Table1[[#This Row],[RevisedForecast 30% Recution2]]*Table1[[#This Row],[Talk Duration (AVG)]],"day","hr")</f>
        <v>11.321449403822287</v>
      </c>
      <c r="AB1385" s="10">
        <f>(Table1[[#This Row],[Forecast Workload Hours]]*60)*1.2</f>
        <v>815.14435707520454</v>
      </c>
      <c r="AC1385" s="10">
        <f>IF(Table1[[#This Row],[Forecast WOrkload Minutes]]&lt;384,1,Table1[[#This Row],[Forecast WOrkload Minutes]]/384)</f>
        <v>2.1227717632166785</v>
      </c>
      <c r="AD1385" s="10">
        <f>ROUNDUP(Table1[[#This Row],[Forecast Headcount]],0)</f>
        <v>3</v>
      </c>
      <c r="AE1385" s="11">
        <v>205.5621611140329</v>
      </c>
      <c r="AF1385" s="11">
        <v>409.79619163331489</v>
      </c>
      <c r="AG1385" t="s">
        <v>7</v>
      </c>
    </row>
    <row r="1386" spans="1:33">
      <c r="A1386" s="2">
        <v>45267</v>
      </c>
      <c r="B1386" s="2"/>
      <c r="C1386" s="5">
        <f>WEEKDAY(Table1[[#This Row],[Date]])</f>
        <v>5</v>
      </c>
      <c r="D1386" s="5">
        <f>MONTH(Table1[[#This Row],[Date]])</f>
        <v>12</v>
      </c>
      <c r="E1386" s="5">
        <f>WEEKNUM(Table1[[#This Row],[Date]])</f>
        <v>49</v>
      </c>
      <c r="F1386" s="5">
        <f>YEAR(Table1[[#This Row],[Date]])</f>
        <v>2023</v>
      </c>
      <c r="H1386">
        <v>302.94553472030373</v>
      </c>
      <c r="I1386">
        <f>Table1[[#This Row],[Forecast]]*0.9</f>
        <v>272.65098124827335</v>
      </c>
      <c r="J1386">
        <f>Table1[[#This Row],[Forecast]]*0.8</f>
        <v>242.35642777624298</v>
      </c>
      <c r="K1386">
        <f>Table1[[#This Row],[Forecast]]*0.8</f>
        <v>242.35642777624298</v>
      </c>
      <c r="P1386" s="13">
        <f t="shared" si="45"/>
        <v>1.9264942064350628E-3</v>
      </c>
      <c r="Z1386" s="8"/>
      <c r="AA1386" s="8">
        <f>CONVERT(Table1[[#This Row],[RevisedForecast 30% Recution2]]*Table1[[#This Row],[Talk Duration (AVG)]],"day","hr")</f>
        <v>11.205558096077516</v>
      </c>
      <c r="AB1386" s="10">
        <f>(Table1[[#This Row],[Forecast Workload Hours]]*60)*1.2</f>
        <v>806.80018291758108</v>
      </c>
      <c r="AC1386" s="10">
        <f>IF(Table1[[#This Row],[Forecast WOrkload Minutes]]&lt;384,1,Table1[[#This Row],[Forecast WOrkload Minutes]]/384)</f>
        <v>2.1010421430145341</v>
      </c>
      <c r="AD1386" s="10">
        <f>ROUNDUP(Table1[[#This Row],[Forecast Headcount]],0)</f>
        <v>3</v>
      </c>
      <c r="AE1386" s="11">
        <v>191.63068698198151</v>
      </c>
      <c r="AF1386" s="11">
        <v>416.5244651897429</v>
      </c>
      <c r="AG1386" t="s">
        <v>7</v>
      </c>
    </row>
    <row r="1387" spans="1:33">
      <c r="A1387" s="2">
        <v>45268</v>
      </c>
      <c r="B1387" s="2"/>
      <c r="C1387" s="5">
        <f>WEEKDAY(Table1[[#This Row],[Date]])</f>
        <v>6</v>
      </c>
      <c r="D1387" s="5">
        <f>MONTH(Table1[[#This Row],[Date]])</f>
        <v>12</v>
      </c>
      <c r="E1387" s="5">
        <f>WEEKNUM(Table1[[#This Row],[Date]])</f>
        <v>49</v>
      </c>
      <c r="F1387" s="5">
        <f>YEAR(Table1[[#This Row],[Date]])</f>
        <v>2023</v>
      </c>
      <c r="H1387">
        <v>295.55891355097509</v>
      </c>
      <c r="I1387">
        <f>Table1[[#This Row],[Forecast]]*0.9</f>
        <v>266.00302219587758</v>
      </c>
      <c r="J1387">
        <f>Table1[[#This Row],[Forecast]]*0.8</f>
        <v>236.44713084078009</v>
      </c>
      <c r="K1387">
        <f>Table1[[#This Row],[Forecast]]*0.8</f>
        <v>236.44713084078009</v>
      </c>
      <c r="P1387" s="13">
        <f t="shared" si="45"/>
        <v>1.9266122757732043E-3</v>
      </c>
      <c r="Z1387" s="8"/>
      <c r="AA1387" s="8">
        <f>CONVERT(Table1[[#This Row],[RevisedForecast 30% Recution2]]*Table1[[#This Row],[Talk Duration (AVG)]],"day","hr")</f>
        <v>10.933006676380797</v>
      </c>
      <c r="AB1387" s="10">
        <f>(Table1[[#This Row],[Forecast Workload Hours]]*60)*1.2</f>
        <v>787.17648069941743</v>
      </c>
      <c r="AC1387" s="10">
        <f>IF(Table1[[#This Row],[Forecast WOrkload Minutes]]&lt;384,1,Table1[[#This Row],[Forecast WOrkload Minutes]]/384)</f>
        <v>2.0499387518213994</v>
      </c>
      <c r="AD1387" s="10">
        <f>ROUNDUP(Table1[[#This Row],[Forecast Headcount]],0)</f>
        <v>3</v>
      </c>
      <c r="AE1387" s="11">
        <v>189.73258848538561</v>
      </c>
      <c r="AF1387" s="11">
        <v>410.02848364202612</v>
      </c>
      <c r="AG1387" t="s">
        <v>7</v>
      </c>
    </row>
    <row r="1388" spans="1:33">
      <c r="A1388" s="2">
        <v>45269</v>
      </c>
      <c r="B1388" s="2"/>
      <c r="C1388" s="5">
        <f>WEEKDAY(Table1[[#This Row],[Date]])</f>
        <v>7</v>
      </c>
      <c r="D1388" s="5">
        <f>MONTH(Table1[[#This Row],[Date]])</f>
        <v>12</v>
      </c>
      <c r="E1388" s="5">
        <f>WEEKNUM(Table1[[#This Row],[Date]])</f>
        <v>49</v>
      </c>
      <c r="F1388" s="5">
        <f>YEAR(Table1[[#This Row],[Date]])</f>
        <v>2023</v>
      </c>
      <c r="H1388">
        <v>304.03836086036517</v>
      </c>
      <c r="I1388">
        <f>Table1[[#This Row],[Forecast]]*0.9</f>
        <v>273.63452477432867</v>
      </c>
      <c r="J1388">
        <f>Table1[[#This Row],[Forecast]]*0.8</f>
        <v>243.23068868829216</v>
      </c>
      <c r="K1388">
        <f>Table1[[#This Row],[Forecast]]*0.8</f>
        <v>243.23068868829216</v>
      </c>
      <c r="P1388" s="13">
        <f t="shared" si="45"/>
        <v>1.92672704338699E-3</v>
      </c>
      <c r="Z1388" s="8"/>
      <c r="AA1388" s="8">
        <f>CONVERT(Table1[[#This Row],[RevisedForecast 30% Recution2]]*Table1[[#This Row],[Talk Duration (AVG)]],"day","hr")</f>
        <v>11.247339496256989</v>
      </c>
      <c r="AB1388" s="10">
        <f>(Table1[[#This Row],[Forecast Workload Hours]]*60)*1.2</f>
        <v>809.8084437305032</v>
      </c>
      <c r="AC1388" s="10">
        <f>IF(Table1[[#This Row],[Forecast WOrkload Minutes]]&lt;384,1,Table1[[#This Row],[Forecast WOrkload Minutes]]/384)</f>
        <v>2.1088761555481854</v>
      </c>
      <c r="AD1388" s="10">
        <f>ROUNDUP(Table1[[#This Row],[Forecast Headcount]],0)</f>
        <v>3</v>
      </c>
      <c r="AE1388" s="11">
        <v>197.82745108637789</v>
      </c>
      <c r="AF1388" s="11">
        <v>410.43935816475789</v>
      </c>
      <c r="AG1388" t="s">
        <v>7</v>
      </c>
    </row>
    <row r="1389" spans="1:33">
      <c r="A1389" s="2">
        <v>45270</v>
      </c>
      <c r="B1389" s="2"/>
      <c r="C1389" s="5">
        <f>WEEKDAY(Table1[[#This Row],[Date]])</f>
        <v>1</v>
      </c>
      <c r="D1389" s="5">
        <f>MONTH(Table1[[#This Row],[Date]])</f>
        <v>12</v>
      </c>
      <c r="E1389" s="5">
        <f>WEEKNUM(Table1[[#This Row],[Date]])</f>
        <v>50</v>
      </c>
      <c r="F1389" s="5">
        <f>YEAR(Table1[[#This Row],[Date]])</f>
        <v>2023</v>
      </c>
      <c r="H1389">
        <v>216.5289729740505</v>
      </c>
      <c r="I1389">
        <f>Table1[[#This Row],[Forecast]]*0.9</f>
        <v>194.87607567664546</v>
      </c>
      <c r="J1389">
        <f>Table1[[#This Row],[Forecast]]*0.8</f>
        <v>173.22317837924041</v>
      </c>
      <c r="K1389">
        <f>Table1[[#This Row],[Forecast]]*0.8</f>
        <v>173.22317837924041</v>
      </c>
      <c r="P1389" s="13">
        <f t="shared" si="45"/>
        <v>1.9268495574183075E-3</v>
      </c>
      <c r="Z1389" s="8"/>
      <c r="AA1389" s="8">
        <f>CONVERT(Table1[[#This Row],[RevisedForecast 30% Recution2]]*Table1[[#This Row],[Talk Duration (AVG)]],"day","hr")</f>
        <v>8.0106001102711648</v>
      </c>
      <c r="AB1389" s="10">
        <f>(Table1[[#This Row],[Forecast Workload Hours]]*60)*1.2</f>
        <v>576.7632079395238</v>
      </c>
      <c r="AC1389" s="10">
        <f>IF(Table1[[#This Row],[Forecast WOrkload Minutes]]&lt;384,1,Table1[[#This Row],[Forecast WOrkload Minutes]]/384)</f>
        <v>1.5019875206758433</v>
      </c>
      <c r="AD1389" s="10">
        <f>ROUNDUP(Table1[[#This Row],[Forecast Headcount]],0)</f>
        <v>2</v>
      </c>
      <c r="AE1389" s="11">
        <v>105.3773263036631</v>
      </c>
      <c r="AF1389" s="11">
        <v>329.96240897524291</v>
      </c>
      <c r="AG1389" t="s">
        <v>7</v>
      </c>
    </row>
    <row r="1390" spans="1:33">
      <c r="A1390" s="2">
        <v>45271</v>
      </c>
      <c r="B1390" s="2"/>
      <c r="C1390" s="5">
        <f>WEEKDAY(Table1[[#This Row],[Date]])</f>
        <v>2</v>
      </c>
      <c r="D1390" s="5">
        <f>MONTH(Table1[[#This Row],[Date]])</f>
        <v>12</v>
      </c>
      <c r="E1390" s="5">
        <f>WEEKNUM(Table1[[#This Row],[Date]])</f>
        <v>50</v>
      </c>
      <c r="F1390" s="5">
        <f>YEAR(Table1[[#This Row],[Date]])</f>
        <v>2023</v>
      </c>
      <c r="H1390">
        <v>317.38045901553261</v>
      </c>
      <c r="I1390">
        <f>Table1[[#This Row],[Forecast]]*0.9</f>
        <v>285.64241311397933</v>
      </c>
      <c r="J1390">
        <f>Table1[[#This Row],[Forecast]]*0.8</f>
        <v>253.90436721242611</v>
      </c>
      <c r="K1390">
        <f>Table1[[#This Row],[Forecast]]*0.8</f>
        <v>253.90436721242611</v>
      </c>
      <c r="P1390" s="13">
        <f t="shared" si="45"/>
        <v>1.9269567013733169E-3</v>
      </c>
      <c r="Z1390" s="8"/>
      <c r="AA1390" s="8">
        <f>CONVERT(Table1[[#This Row],[RevisedForecast 30% Recution2]]*Table1[[#This Row],[Talk Duration (AVG)]],"day","hr")</f>
        <v>11.742305325790463</v>
      </c>
      <c r="AB1390" s="10">
        <f>(Table1[[#This Row],[Forecast Workload Hours]]*60)*1.2</f>
        <v>845.44598345691338</v>
      </c>
      <c r="AC1390" s="10">
        <f>IF(Table1[[#This Row],[Forecast WOrkload Minutes]]&lt;384,1,Table1[[#This Row],[Forecast WOrkload Minutes]]/384)</f>
        <v>2.2016822485857119</v>
      </c>
      <c r="AD1390" s="10">
        <f>ROUNDUP(Table1[[#This Row],[Forecast Headcount]],0)</f>
        <v>3</v>
      </c>
      <c r="AE1390" s="11">
        <v>200.4777870928973</v>
      </c>
      <c r="AF1390" s="11">
        <v>423.98115818140138</v>
      </c>
      <c r="AG1390" t="s">
        <v>7</v>
      </c>
    </row>
    <row r="1391" spans="1:33">
      <c r="A1391" s="2">
        <v>45272</v>
      </c>
      <c r="B1391" s="2"/>
      <c r="C1391" s="5">
        <f>WEEKDAY(Table1[[#This Row],[Date]])</f>
        <v>3</v>
      </c>
      <c r="D1391" s="5">
        <f>MONTH(Table1[[#This Row],[Date]])</f>
        <v>12</v>
      </c>
      <c r="E1391" s="5">
        <f>WEEKNUM(Table1[[#This Row],[Date]])</f>
        <v>50</v>
      </c>
      <c r="F1391" s="5">
        <f>YEAR(Table1[[#This Row],[Date]])</f>
        <v>2023</v>
      </c>
      <c r="H1391">
        <v>302.15245308655238</v>
      </c>
      <c r="I1391">
        <f>Table1[[#This Row],[Forecast]]*0.9</f>
        <v>271.93720777789713</v>
      </c>
      <c r="J1391">
        <f>Table1[[#This Row],[Forecast]]*0.8</f>
        <v>241.72196246924193</v>
      </c>
      <c r="K1391">
        <f>Table1[[#This Row],[Forecast]]*0.8</f>
        <v>241.72196246924193</v>
      </c>
      <c r="P1391" s="13">
        <f t="shared" si="45"/>
        <v>1.9270613192779249E-3</v>
      </c>
      <c r="Z1391" s="8"/>
      <c r="AA1391" s="8">
        <f>CONVERT(Table1[[#This Row],[RevisedForecast 30% Recution2]]*Table1[[#This Row],[Talk Duration (AVG)]],"day","hr")</f>
        <v>11.179513053466232</v>
      </c>
      <c r="AB1391" s="10">
        <f>(Table1[[#This Row],[Forecast Workload Hours]]*60)*1.2</f>
        <v>804.92493984956877</v>
      </c>
      <c r="AC1391" s="10">
        <f>IF(Table1[[#This Row],[Forecast WOrkload Minutes]]&lt;384,1,Table1[[#This Row],[Forecast WOrkload Minutes]]/384)</f>
        <v>2.0961586975249187</v>
      </c>
      <c r="AD1391" s="10">
        <f>ROUNDUP(Table1[[#This Row],[Forecast Headcount]],0)</f>
        <v>3</v>
      </c>
      <c r="AE1391" s="11">
        <v>196.09254039021749</v>
      </c>
      <c r="AF1391" s="11">
        <v>417.85209621098483</v>
      </c>
      <c r="AG1391" t="s">
        <v>7</v>
      </c>
    </row>
    <row r="1392" spans="1:33">
      <c r="A1392" s="2">
        <v>45273</v>
      </c>
      <c r="B1392" s="2"/>
      <c r="C1392" s="5">
        <f>WEEKDAY(Table1[[#This Row],[Date]])</f>
        <v>4</v>
      </c>
      <c r="D1392" s="5">
        <f>MONTH(Table1[[#This Row],[Date]])</f>
        <v>12</v>
      </c>
      <c r="E1392" s="5">
        <f>WEEKNUM(Table1[[#This Row],[Date]])</f>
        <v>50</v>
      </c>
      <c r="F1392" s="5">
        <f>YEAR(Table1[[#This Row],[Date]])</f>
        <v>2023</v>
      </c>
      <c r="H1392">
        <v>315.0541520234255</v>
      </c>
      <c r="I1392">
        <f>Table1[[#This Row],[Forecast]]*0.9</f>
        <v>283.54873682108297</v>
      </c>
      <c r="J1392">
        <f>Table1[[#This Row],[Forecast]]*0.8</f>
        <v>252.04332161874041</v>
      </c>
      <c r="K1392">
        <f>Table1[[#This Row],[Forecast]]*0.8</f>
        <v>252.04332161874041</v>
      </c>
      <c r="P1392" s="13">
        <f t="shared" si="45"/>
        <v>1.9271673982556843E-3</v>
      </c>
      <c r="Z1392" s="8"/>
      <c r="AA1392" s="8">
        <f>CONVERT(Table1[[#This Row],[RevisedForecast 30% Recution2]]*Table1[[#This Row],[Talk Duration (AVG)]],"day","hr")</f>
        <v>11.657512136921005</v>
      </c>
      <c r="AB1392" s="10">
        <f>(Table1[[#This Row],[Forecast Workload Hours]]*60)*1.2</f>
        <v>839.34087385831231</v>
      </c>
      <c r="AC1392" s="10">
        <f>IF(Table1[[#This Row],[Forecast WOrkload Minutes]]&lt;384,1,Table1[[#This Row],[Forecast WOrkload Minutes]]/384)</f>
        <v>2.1857835256726883</v>
      </c>
      <c r="AD1392" s="10">
        <f>ROUNDUP(Table1[[#This Row],[Forecast Headcount]],0)</f>
        <v>3</v>
      </c>
      <c r="AE1392" s="11">
        <v>202.0356525324359</v>
      </c>
      <c r="AF1392" s="11">
        <v>424.48031329918001</v>
      </c>
      <c r="AG1392" t="s">
        <v>7</v>
      </c>
    </row>
    <row r="1393" spans="1:33">
      <c r="A1393" s="2">
        <v>45274</v>
      </c>
      <c r="B1393" s="2"/>
      <c r="C1393" s="5">
        <f>WEEKDAY(Table1[[#This Row],[Date]])</f>
        <v>5</v>
      </c>
      <c r="D1393" s="5">
        <f>MONTH(Table1[[#This Row],[Date]])</f>
        <v>12</v>
      </c>
      <c r="E1393" s="5">
        <f>WEEKNUM(Table1[[#This Row],[Date]])</f>
        <v>50</v>
      </c>
      <c r="F1393" s="5">
        <f>YEAR(Table1[[#This Row],[Date]])</f>
        <v>2023</v>
      </c>
      <c r="H1393">
        <v>310.81238841329127</v>
      </c>
      <c r="I1393">
        <f>Table1[[#This Row],[Forecast]]*0.9</f>
        <v>279.73114957196213</v>
      </c>
      <c r="J1393">
        <f>Table1[[#This Row],[Forecast]]*0.8</f>
        <v>248.64991073063302</v>
      </c>
      <c r="K1393">
        <f>Table1[[#This Row],[Forecast]]*0.8</f>
        <v>248.64991073063302</v>
      </c>
      <c r="P1393" s="13">
        <f t="shared" si="45"/>
        <v>1.9272810220253647E-3</v>
      </c>
      <c r="Z1393" s="8"/>
      <c r="AA1393" s="8">
        <f>CONVERT(Table1[[#This Row],[RevisedForecast 30% Recution2]]*Table1[[#This Row],[Talk Duration (AVG)]],"day","hr")</f>
        <v>11.501238097906803</v>
      </c>
      <c r="AB1393" s="10">
        <f>(Table1[[#This Row],[Forecast Workload Hours]]*60)*1.2</f>
        <v>828.08914304928987</v>
      </c>
      <c r="AC1393" s="10">
        <f>IF(Table1[[#This Row],[Forecast WOrkload Minutes]]&lt;384,1,Table1[[#This Row],[Forecast WOrkload Minutes]]/384)</f>
        <v>2.1564821433575259</v>
      </c>
      <c r="AD1393" s="10">
        <f>ROUNDUP(Table1[[#This Row],[Forecast Headcount]],0)</f>
        <v>3</v>
      </c>
      <c r="AE1393" s="11">
        <v>205.70604728468791</v>
      </c>
      <c r="AF1393" s="11">
        <v>424.1264715764006</v>
      </c>
      <c r="AG1393" t="s">
        <v>7</v>
      </c>
    </row>
    <row r="1394" spans="1:33">
      <c r="A1394" s="2">
        <v>45275</v>
      </c>
      <c r="B1394" s="2"/>
      <c r="C1394" s="5">
        <f>WEEKDAY(Table1[[#This Row],[Date]])</f>
        <v>6</v>
      </c>
      <c r="D1394" s="5">
        <f>MONTH(Table1[[#This Row],[Date]])</f>
        <v>12</v>
      </c>
      <c r="E1394" s="5">
        <f>WEEKNUM(Table1[[#This Row],[Date]])</f>
        <v>50</v>
      </c>
      <c r="F1394" s="5">
        <f>YEAR(Table1[[#This Row],[Date]])</f>
        <v>2023</v>
      </c>
      <c r="H1394">
        <v>302.32168776496388</v>
      </c>
      <c r="I1394">
        <f>Table1[[#This Row],[Forecast]]*0.9</f>
        <v>272.08951898846749</v>
      </c>
      <c r="J1394">
        <f>Table1[[#This Row],[Forecast]]*0.8</f>
        <v>241.85735021197112</v>
      </c>
      <c r="K1394">
        <f>Table1[[#This Row],[Forecast]]*0.8</f>
        <v>241.85735021197112</v>
      </c>
      <c r="P1394" s="13">
        <f t="shared" si="45"/>
        <v>1.9273912021767711E-3</v>
      </c>
      <c r="Z1394" s="8"/>
      <c r="AA1394" s="8">
        <f>CONVERT(Table1[[#This Row],[RevisedForecast 30% Recution2]]*Table1[[#This Row],[Talk Duration (AVG)]],"day","hr")</f>
        <v>11.187689495528145</v>
      </c>
      <c r="AB1394" s="10">
        <f>(Table1[[#This Row],[Forecast Workload Hours]]*60)*1.2</f>
        <v>805.51364367802648</v>
      </c>
      <c r="AC1394" s="10">
        <f>IF(Table1[[#This Row],[Forecast WOrkload Minutes]]&lt;384,1,Table1[[#This Row],[Forecast WOrkload Minutes]]/384)</f>
        <v>2.0976917804115272</v>
      </c>
      <c r="AD1394" s="10">
        <f>ROUNDUP(Table1[[#This Row],[Forecast Headcount]],0)</f>
        <v>3</v>
      </c>
      <c r="AE1394" s="11">
        <v>181.5606250474741</v>
      </c>
      <c r="AF1394" s="11">
        <v>409.90006965722972</v>
      </c>
      <c r="AG1394" t="s">
        <v>7</v>
      </c>
    </row>
    <row r="1395" spans="1:33">
      <c r="A1395" s="2">
        <v>45276</v>
      </c>
      <c r="B1395" s="2"/>
      <c r="C1395" s="5">
        <f>WEEKDAY(Table1[[#This Row],[Date]])</f>
        <v>7</v>
      </c>
      <c r="D1395" s="5">
        <f>MONTH(Table1[[#This Row],[Date]])</f>
        <v>12</v>
      </c>
      <c r="E1395" s="5">
        <f>WEEKNUM(Table1[[#This Row],[Date]])</f>
        <v>50</v>
      </c>
      <c r="F1395" s="5">
        <f>YEAR(Table1[[#This Row],[Date]])</f>
        <v>2023</v>
      </c>
      <c r="H1395">
        <v>309.70358561644889</v>
      </c>
      <c r="I1395">
        <f>Table1[[#This Row],[Forecast]]*0.9</f>
        <v>278.73322705480399</v>
      </c>
      <c r="J1395">
        <f>Table1[[#This Row],[Forecast]]*0.8</f>
        <v>247.76286849315912</v>
      </c>
      <c r="K1395">
        <f>Table1[[#This Row],[Forecast]]*0.8</f>
        <v>247.76286849315912</v>
      </c>
      <c r="P1395" s="13">
        <f t="shared" si="45"/>
        <v>1.9274806787031487E-3</v>
      </c>
      <c r="Z1395" s="8"/>
      <c r="AA1395" s="8">
        <f>CONVERT(Table1[[#This Row],[RevisedForecast 30% Recution2]]*Table1[[#This Row],[Talk Duration (AVG)]],"day","hr")</f>
        <v>11.461395406095198</v>
      </c>
      <c r="AB1395" s="10">
        <f>(Table1[[#This Row],[Forecast Workload Hours]]*60)*1.2</f>
        <v>825.22046923885421</v>
      </c>
      <c r="AC1395" s="10">
        <f>IF(Table1[[#This Row],[Forecast WOrkload Minutes]]&lt;384,1,Table1[[#This Row],[Forecast WOrkload Minutes]]/384)</f>
        <v>2.1490116386428495</v>
      </c>
      <c r="AD1395" s="10">
        <f>ROUNDUP(Table1[[#This Row],[Forecast Headcount]],0)</f>
        <v>3</v>
      </c>
      <c r="AE1395" s="11">
        <v>200.84311982569349</v>
      </c>
      <c r="AF1395" s="11">
        <v>420.88839600605542</v>
      </c>
      <c r="AG1395" t="s">
        <v>7</v>
      </c>
    </row>
    <row r="1396" spans="1:33">
      <c r="A1396" s="2">
        <v>45277</v>
      </c>
      <c r="B1396" s="2"/>
      <c r="C1396" s="5">
        <f>WEEKDAY(Table1[[#This Row],[Date]])</f>
        <v>1</v>
      </c>
      <c r="D1396" s="5">
        <f>MONTH(Table1[[#This Row],[Date]])</f>
        <v>12</v>
      </c>
      <c r="E1396" s="5">
        <f>WEEKNUM(Table1[[#This Row],[Date]])</f>
        <v>51</v>
      </c>
      <c r="F1396" s="5">
        <f>YEAR(Table1[[#This Row],[Date]])</f>
        <v>2023</v>
      </c>
      <c r="H1396">
        <v>221.12438542861</v>
      </c>
      <c r="I1396">
        <f>Table1[[#This Row],[Forecast]]*0.9</f>
        <v>199.01194688574901</v>
      </c>
      <c r="J1396">
        <f>Table1[[#This Row],[Forecast]]*0.8</f>
        <v>176.899508342888</v>
      </c>
      <c r="K1396">
        <f>Table1[[#This Row],[Forecast]]*0.8</f>
        <v>176.899508342888</v>
      </c>
      <c r="P1396" s="13">
        <f t="shared" si="45"/>
        <v>1.9275925247488129E-3</v>
      </c>
      <c r="Z1396" s="8"/>
      <c r="AA1396" s="8">
        <f>CONVERT(Table1[[#This Row],[RevisedForecast 30% Recution2]]*Table1[[#This Row],[Talk Duration (AVG)]],"day","hr")</f>
        <v>8.1837640779237883</v>
      </c>
      <c r="AB1396" s="10">
        <f>(Table1[[#This Row],[Forecast Workload Hours]]*60)*1.2</f>
        <v>589.23101361051272</v>
      </c>
      <c r="AC1396" s="10">
        <f>IF(Table1[[#This Row],[Forecast WOrkload Minutes]]&lt;384,1,Table1[[#This Row],[Forecast WOrkload Minutes]]/384)</f>
        <v>1.5344557646107102</v>
      </c>
      <c r="AD1396" s="10">
        <f>ROUNDUP(Table1[[#This Row],[Forecast Headcount]],0)</f>
        <v>2</v>
      </c>
      <c r="AE1396" s="11">
        <v>100.84397451199079</v>
      </c>
      <c r="AF1396" s="11">
        <v>333.43958280192851</v>
      </c>
      <c r="AG1396" t="s">
        <v>7</v>
      </c>
    </row>
    <row r="1397" spans="1:33">
      <c r="A1397" s="2">
        <v>45278</v>
      </c>
      <c r="B1397" s="2"/>
      <c r="C1397" s="5">
        <f>WEEKDAY(Table1[[#This Row],[Date]])</f>
        <v>2</v>
      </c>
      <c r="D1397" s="5">
        <f>MONTH(Table1[[#This Row],[Date]])</f>
        <v>12</v>
      </c>
      <c r="E1397" s="5">
        <f>WEEKNUM(Table1[[#This Row],[Date]])</f>
        <v>51</v>
      </c>
      <c r="F1397" s="5">
        <f>YEAR(Table1[[#This Row],[Date]])</f>
        <v>2023</v>
      </c>
      <c r="H1397">
        <v>320.95366097907072</v>
      </c>
      <c r="I1397">
        <f>Table1[[#This Row],[Forecast]]*0.9</f>
        <v>288.85829488116366</v>
      </c>
      <c r="J1397">
        <f>Table1[[#This Row],[Forecast]]*0.8</f>
        <v>256.7629287832566</v>
      </c>
      <c r="K1397">
        <f>Table1[[#This Row],[Forecast]]*0.8</f>
        <v>256.7629287832566</v>
      </c>
      <c r="P1397" s="13">
        <f t="shared" si="45"/>
        <v>1.9276836808688716E-3</v>
      </c>
      <c r="Z1397" s="8"/>
      <c r="AA1397" s="8">
        <f>CONVERT(Table1[[#This Row],[RevisedForecast 30% Recution2]]*Table1[[#This Row],[Talk Duration (AVG)]],"day","hr")</f>
        <v>11.878984984021919</v>
      </c>
      <c r="AB1397" s="10">
        <f>(Table1[[#This Row],[Forecast Workload Hours]]*60)*1.2</f>
        <v>855.28691884957823</v>
      </c>
      <c r="AC1397" s="10">
        <f>IF(Table1[[#This Row],[Forecast WOrkload Minutes]]&lt;384,1,Table1[[#This Row],[Forecast WOrkload Minutes]]/384)</f>
        <v>2.2273096845041098</v>
      </c>
      <c r="AD1397" s="10">
        <f>ROUNDUP(Table1[[#This Row],[Forecast Headcount]],0)</f>
        <v>3</v>
      </c>
      <c r="AE1397" s="11">
        <v>213.30924666830049</v>
      </c>
      <c r="AF1397" s="11">
        <v>433.02183050166099</v>
      </c>
      <c r="AG1397" t="s">
        <v>7</v>
      </c>
    </row>
    <row r="1398" spans="1:33">
      <c r="A1398" s="2">
        <v>45279</v>
      </c>
      <c r="B1398" s="2"/>
      <c r="C1398" s="5">
        <f>WEEKDAY(Table1[[#This Row],[Date]])</f>
        <v>3</v>
      </c>
      <c r="D1398" s="5">
        <f>MONTH(Table1[[#This Row],[Date]])</f>
        <v>12</v>
      </c>
      <c r="E1398" s="5">
        <f>WEEKNUM(Table1[[#This Row],[Date]])</f>
        <v>51</v>
      </c>
      <c r="F1398" s="5">
        <f>YEAR(Table1[[#This Row],[Date]])</f>
        <v>2023</v>
      </c>
      <c r="H1398">
        <v>304.76911158773788</v>
      </c>
      <c r="I1398">
        <f>Table1[[#This Row],[Forecast]]*0.9</f>
        <v>274.29220042896412</v>
      </c>
      <c r="J1398">
        <f>Table1[[#This Row],[Forecast]]*0.8</f>
        <v>243.81528927019031</v>
      </c>
      <c r="K1398">
        <f>Table1[[#This Row],[Forecast]]*0.8</f>
        <v>243.81528927019031</v>
      </c>
      <c r="P1398" s="13">
        <f t="shared" si="45"/>
        <v>1.9277497068688595E-3</v>
      </c>
      <c r="Z1398" s="8"/>
      <c r="AA1398" s="8">
        <f>CONVERT(Table1[[#This Row],[RevisedForecast 30% Recution2]]*Table1[[#This Row],[Talk Duration (AVG)]],"day","hr")</f>
        <v>11.280356458098135</v>
      </c>
      <c r="AB1398" s="10">
        <f>(Table1[[#This Row],[Forecast Workload Hours]]*60)*1.2</f>
        <v>812.18566498306564</v>
      </c>
      <c r="AC1398" s="10">
        <f>IF(Table1[[#This Row],[Forecast WOrkload Minutes]]&lt;384,1,Table1[[#This Row],[Forecast WOrkload Minutes]]/384)</f>
        <v>2.1150668358933999</v>
      </c>
      <c r="AD1398" s="10">
        <f>ROUNDUP(Table1[[#This Row],[Forecast Headcount]],0)</f>
        <v>3</v>
      </c>
      <c r="AE1398" s="11">
        <v>193.74730894992479</v>
      </c>
      <c r="AF1398" s="11">
        <v>417.40861335227828</v>
      </c>
      <c r="AG1398" t="s">
        <v>7</v>
      </c>
    </row>
    <row r="1399" spans="1:33">
      <c r="A1399" s="2">
        <v>45280</v>
      </c>
      <c r="B1399" s="2"/>
      <c r="C1399" s="5">
        <f>WEEKDAY(Table1[[#This Row],[Date]])</f>
        <v>4</v>
      </c>
      <c r="D1399" s="5">
        <f>MONTH(Table1[[#This Row],[Date]])</f>
        <v>12</v>
      </c>
      <c r="E1399" s="5">
        <f>WEEKNUM(Table1[[#This Row],[Date]])</f>
        <v>51</v>
      </c>
      <c r="F1399" s="5">
        <f>YEAR(Table1[[#This Row],[Date]])</f>
        <v>2023</v>
      </c>
      <c r="H1399">
        <v>316.79578467919191</v>
      </c>
      <c r="I1399">
        <f>Table1[[#This Row],[Forecast]]*0.9</f>
        <v>285.11620621127275</v>
      </c>
      <c r="J1399">
        <f>Table1[[#This Row],[Forecast]]*0.8</f>
        <v>253.43662774335354</v>
      </c>
      <c r="K1399">
        <f>Table1[[#This Row],[Forecast]]*0.8</f>
        <v>253.43662774335354</v>
      </c>
      <c r="P1399" s="13">
        <f t="shared" si="45"/>
        <v>1.9278133763274206E-3</v>
      </c>
      <c r="Z1399" s="8"/>
      <c r="AA1399" s="8">
        <f>CONVERT(Table1[[#This Row],[RevisedForecast 30% Recution2]]*Table1[[#This Row],[Talk Duration (AVG)]],"day","hr")</f>
        <v>11.725884504358801</v>
      </c>
      <c r="AB1399" s="10">
        <f>(Table1[[#This Row],[Forecast Workload Hours]]*60)*1.2</f>
        <v>844.26368431383366</v>
      </c>
      <c r="AC1399" s="10">
        <f>IF(Table1[[#This Row],[Forecast WOrkload Minutes]]&lt;384,1,Table1[[#This Row],[Forecast WOrkload Minutes]]/384)</f>
        <v>2.198603344567275</v>
      </c>
      <c r="AD1399" s="10">
        <f>ROUNDUP(Table1[[#This Row],[Forecast Headcount]],0)</f>
        <v>3</v>
      </c>
      <c r="AE1399" s="11">
        <v>198.45006145069399</v>
      </c>
      <c r="AF1399" s="11">
        <v>429.3608174010501</v>
      </c>
      <c r="AG1399" t="s">
        <v>7</v>
      </c>
    </row>
    <row r="1400" spans="1:33">
      <c r="A1400" s="2">
        <v>45281</v>
      </c>
      <c r="B1400" s="2"/>
      <c r="C1400" s="5">
        <f>WEEKDAY(Table1[[#This Row],[Date]])</f>
        <v>5</v>
      </c>
      <c r="D1400" s="5">
        <f>MONTH(Table1[[#This Row],[Date]])</f>
        <v>12</v>
      </c>
      <c r="E1400" s="5">
        <f>WEEKNUM(Table1[[#This Row],[Date]])</f>
        <v>51</v>
      </c>
      <c r="F1400" s="5">
        <f>YEAR(Table1[[#This Row],[Date]])</f>
        <v>2023</v>
      </c>
      <c r="H1400">
        <v>311.77378651452148</v>
      </c>
      <c r="I1400">
        <f>Table1[[#This Row],[Forecast]]*0.9</f>
        <v>280.59640786306932</v>
      </c>
      <c r="J1400">
        <f>Table1[[#This Row],[Forecast]]*0.8</f>
        <v>249.41902921161719</v>
      </c>
      <c r="K1400">
        <f>Table1[[#This Row],[Forecast]]*0.8</f>
        <v>249.41902921161719</v>
      </c>
      <c r="P1400" s="13">
        <f t="shared" si="45"/>
        <v>1.9278584646388204E-3</v>
      </c>
      <c r="Z1400" s="8"/>
      <c r="AA1400" s="8">
        <f>CONVERT(Table1[[#This Row],[RevisedForecast 30% Recution2]]*Table1[[#This Row],[Talk Duration (AVG)]],"day","hr")</f>
        <v>11.540270080982722</v>
      </c>
      <c r="AB1400" s="10">
        <f>(Table1[[#This Row],[Forecast Workload Hours]]*60)*1.2</f>
        <v>830.89944583075589</v>
      </c>
      <c r="AC1400" s="10">
        <f>IF(Table1[[#This Row],[Forecast WOrkload Minutes]]&lt;384,1,Table1[[#This Row],[Forecast WOrkload Minutes]]/384)</f>
        <v>2.16380064018426</v>
      </c>
      <c r="AD1400" s="10">
        <f>ROUNDUP(Table1[[#This Row],[Forecast Headcount]],0)</f>
        <v>3</v>
      </c>
      <c r="AE1400" s="11">
        <v>197.7691675242925</v>
      </c>
      <c r="AF1400" s="11">
        <v>424.02314977341979</v>
      </c>
      <c r="AG1400" t="s">
        <v>7</v>
      </c>
    </row>
    <row r="1401" spans="1:33">
      <c r="A1401" s="2">
        <v>45282</v>
      </c>
      <c r="B1401" s="2"/>
      <c r="C1401" s="5">
        <f>WEEKDAY(Table1[[#This Row],[Date]])</f>
        <v>6</v>
      </c>
      <c r="D1401" s="5">
        <f>MONTH(Table1[[#This Row],[Date]])</f>
        <v>12</v>
      </c>
      <c r="E1401" s="5">
        <f>WEEKNUM(Table1[[#This Row],[Date]])</f>
        <v>51</v>
      </c>
      <c r="F1401" s="5">
        <f>YEAR(Table1[[#This Row],[Date]])</f>
        <v>2023</v>
      </c>
      <c r="H1401">
        <v>302.60804004576897</v>
      </c>
      <c r="I1401">
        <f>Table1[[#This Row],[Forecast]]*0.9</f>
        <v>272.3472360411921</v>
      </c>
      <c r="J1401">
        <f>Table1[[#This Row],[Forecast]]*0.8</f>
        <v>242.08643203661518</v>
      </c>
      <c r="K1401">
        <f>Table1[[#This Row],[Forecast]]*0.8</f>
        <v>242.08643203661518</v>
      </c>
      <c r="P1401" s="13">
        <f t="shared" si="45"/>
        <v>1.9279109029665651E-3</v>
      </c>
      <c r="Z1401" s="8"/>
      <c r="AA1401" s="8">
        <f>CONVERT(Table1[[#This Row],[RevisedForecast 30% Recution2]]*Table1[[#This Row],[Talk Duration (AVG)]],"day","hr")</f>
        <v>11.201305722807954</v>
      </c>
      <c r="AB1401" s="10">
        <f>(Table1[[#This Row],[Forecast Workload Hours]]*60)*1.2</f>
        <v>806.4940120421727</v>
      </c>
      <c r="AC1401" s="10">
        <f>IF(Table1[[#This Row],[Forecast WOrkload Minutes]]&lt;384,1,Table1[[#This Row],[Forecast WOrkload Minutes]]/384)</f>
        <v>2.1002448230264914</v>
      </c>
      <c r="AD1401" s="10">
        <f>ROUNDUP(Table1[[#This Row],[Forecast Headcount]],0)</f>
        <v>3</v>
      </c>
      <c r="AE1401" s="11">
        <v>190.099401978895</v>
      </c>
      <c r="AF1401" s="11">
        <v>421.83444730295639</v>
      </c>
      <c r="AG1401" t="s">
        <v>7</v>
      </c>
    </row>
    <row r="1402" spans="1:33">
      <c r="A1402" s="2">
        <v>45283</v>
      </c>
      <c r="B1402" s="2"/>
      <c r="C1402" s="5">
        <f>WEEKDAY(Table1[[#This Row],[Date]])</f>
        <v>7</v>
      </c>
      <c r="D1402" s="5">
        <f>MONTH(Table1[[#This Row],[Date]])</f>
        <v>12</v>
      </c>
      <c r="E1402" s="5">
        <f>WEEKNUM(Table1[[#This Row],[Date]])</f>
        <v>51</v>
      </c>
      <c r="F1402" s="5">
        <f>YEAR(Table1[[#This Row],[Date]])</f>
        <v>2023</v>
      </c>
      <c r="H1402">
        <v>309.42737436741572</v>
      </c>
      <c r="I1402">
        <f>Table1[[#This Row],[Forecast]]*0.9</f>
        <v>278.48463693067418</v>
      </c>
      <c r="J1402">
        <f>Table1[[#This Row],[Forecast]]*0.8</f>
        <v>247.54189949393259</v>
      </c>
      <c r="K1402">
        <f>Table1[[#This Row],[Forecast]]*0.8</f>
        <v>247.54189949393259</v>
      </c>
      <c r="P1402" s="13">
        <f t="shared" si="45"/>
        <v>1.9279415079467828E-3</v>
      </c>
      <c r="Z1402" s="8"/>
      <c r="AA1402" s="8">
        <f>CONVERT(Table1[[#This Row],[RevisedForecast 30% Recution2]]*Table1[[#This Row],[Talk Duration (AVG)]],"day","hr")</f>
        <v>11.453911271768241</v>
      </c>
      <c r="AB1402" s="10">
        <f>(Table1[[#This Row],[Forecast Workload Hours]]*60)*1.2</f>
        <v>824.68161156731333</v>
      </c>
      <c r="AC1402" s="10">
        <f>IF(Table1[[#This Row],[Forecast WOrkload Minutes]]&lt;384,1,Table1[[#This Row],[Forecast WOrkload Minutes]]/384)</f>
        <v>2.1476083634565453</v>
      </c>
      <c r="AD1402" s="10">
        <f>ROUNDUP(Table1[[#This Row],[Forecast Headcount]],0)</f>
        <v>3</v>
      </c>
      <c r="AE1402" s="11">
        <v>203.74910600671771</v>
      </c>
      <c r="AF1402" s="11">
        <v>424.85911737446952</v>
      </c>
      <c r="AG1402" t="s">
        <v>7</v>
      </c>
    </row>
    <row r="1403" spans="1:33">
      <c r="A1403" s="2">
        <v>45284</v>
      </c>
      <c r="B1403" s="2"/>
      <c r="C1403" s="5">
        <f>WEEKDAY(Table1[[#This Row],[Date]])</f>
        <v>1</v>
      </c>
      <c r="D1403" s="5">
        <f>MONTH(Table1[[#This Row],[Date]])</f>
        <v>12</v>
      </c>
      <c r="E1403" s="5">
        <f>WEEKNUM(Table1[[#This Row],[Date]])</f>
        <v>52</v>
      </c>
      <c r="F1403" s="5">
        <f>YEAR(Table1[[#This Row],[Date]])</f>
        <v>2023</v>
      </c>
      <c r="H1403">
        <v>220.40213366008089</v>
      </c>
      <c r="I1403">
        <f>Table1[[#This Row],[Forecast]]*0.9</f>
        <v>198.3619202940728</v>
      </c>
      <c r="J1403">
        <f>Table1[[#This Row],[Forecast]]*0.8</f>
        <v>176.32170692806471</v>
      </c>
      <c r="K1403">
        <f>Table1[[#This Row],[Forecast]]*0.8</f>
        <v>176.32170692806471</v>
      </c>
      <c r="P1403" s="13">
        <f t="shared" si="45"/>
        <v>1.9279721072373416E-3</v>
      </c>
      <c r="Z1403" s="8"/>
      <c r="AA1403" s="8">
        <f>CONVERT(Table1[[#This Row],[RevisedForecast 30% Recution2]]*Table1[[#This Row],[Talk Duration (AVG)]],"day","hr")</f>
        <v>8.1586399885868612</v>
      </c>
      <c r="AB1403" s="10">
        <f>(Table1[[#This Row],[Forecast Workload Hours]]*60)*1.2</f>
        <v>587.42207917825397</v>
      </c>
      <c r="AC1403" s="10">
        <f>IF(Table1[[#This Row],[Forecast WOrkload Minutes]]&lt;384,1,Table1[[#This Row],[Forecast WOrkload Minutes]]/384)</f>
        <v>1.5297449978600364</v>
      </c>
      <c r="AD1403" s="10">
        <f>ROUNDUP(Table1[[#This Row],[Forecast Headcount]],0)</f>
        <v>2</v>
      </c>
      <c r="AE1403" s="11">
        <v>108.7036189843229</v>
      </c>
      <c r="AF1403" s="11">
        <v>322.84269974137402</v>
      </c>
      <c r="AG1403" t="s">
        <v>7</v>
      </c>
    </row>
    <row r="1404" spans="1:33">
      <c r="A1404" s="2">
        <v>45285</v>
      </c>
      <c r="B1404" s="2"/>
      <c r="C1404" s="5">
        <f>WEEKDAY(Table1[[#This Row],[Date]])</f>
        <v>2</v>
      </c>
      <c r="D1404" s="5">
        <f>MONTH(Table1[[#This Row],[Date]])</f>
        <v>12</v>
      </c>
      <c r="E1404" s="5">
        <f>WEEKNUM(Table1[[#This Row],[Date]])</f>
        <v>52</v>
      </c>
      <c r="F1404" s="5">
        <f>YEAR(Table1[[#This Row],[Date]])</f>
        <v>2023</v>
      </c>
      <c r="H1404">
        <v>319.90261449823498</v>
      </c>
      <c r="I1404">
        <f>Table1[[#This Row],[Forecast]]*0.9</f>
        <v>287.91235304841149</v>
      </c>
      <c r="J1404">
        <f>Table1[[#This Row],[Forecast]]*0.8</f>
        <v>255.922091598588</v>
      </c>
      <c r="K1404">
        <f>Table1[[#This Row],[Forecast]]*0.8</f>
        <v>255.922091598588</v>
      </c>
      <c r="P1404" s="13">
        <f t="shared" si="45"/>
        <v>1.9279925888141948E-3</v>
      </c>
      <c r="Z1404" s="8"/>
      <c r="AA1404" s="8">
        <f>CONVERT(Table1[[#This Row],[RevisedForecast 30% Recution2]]*Table1[[#This Row],[Talk Duration (AVG)]],"day","hr")</f>
        <v>11.841981501981724</v>
      </c>
      <c r="AB1404" s="10">
        <f>(Table1[[#This Row],[Forecast Workload Hours]]*60)*1.2</f>
        <v>852.62266814268412</v>
      </c>
      <c r="AC1404" s="10">
        <f>IF(Table1[[#This Row],[Forecast WOrkload Minutes]]&lt;384,1,Table1[[#This Row],[Forecast WOrkload Minutes]]/384)</f>
        <v>2.2203715316215731</v>
      </c>
      <c r="AD1404" s="10">
        <f>ROUNDUP(Table1[[#This Row],[Forecast Headcount]],0)</f>
        <v>3</v>
      </c>
      <c r="AE1404" s="11">
        <v>210.81137440404299</v>
      </c>
      <c r="AF1404" s="11">
        <v>434.21607923774093</v>
      </c>
      <c r="AG1404" t="s">
        <v>7</v>
      </c>
    </row>
    <row r="1405" spans="1:33">
      <c r="A1405" s="2">
        <v>45286</v>
      </c>
      <c r="B1405" s="2"/>
      <c r="C1405" s="5">
        <f>WEEKDAY(Table1[[#This Row],[Date]])</f>
        <v>3</v>
      </c>
      <c r="D1405" s="5">
        <f>MONTH(Table1[[#This Row],[Date]])</f>
        <v>12</v>
      </c>
      <c r="E1405" s="5">
        <f>WEEKNUM(Table1[[#This Row],[Date]])</f>
        <v>52</v>
      </c>
      <c r="F1405" s="5">
        <f>YEAR(Table1[[#This Row],[Date]])</f>
        <v>2023</v>
      </c>
      <c r="H1405">
        <v>303.5039429560702</v>
      </c>
      <c r="I1405">
        <f>Table1[[#This Row],[Forecast]]*0.9</f>
        <v>273.15354866046317</v>
      </c>
      <c r="J1405">
        <f>Table1[[#This Row],[Forecast]]*0.8</f>
        <v>242.80315436485617</v>
      </c>
      <c r="K1405">
        <f>Table1[[#This Row],[Forecast]]*0.8</f>
        <v>242.80315436485617</v>
      </c>
      <c r="P1405" s="13">
        <f t="shared" si="45"/>
        <v>1.9280057936619005E-3</v>
      </c>
      <c r="Z1405" s="8"/>
      <c r="AA1405" s="8">
        <f>CONVERT(Table1[[#This Row],[RevisedForecast 30% Recution2]]*Table1[[#This Row],[Talk Duration (AVG)]],"day","hr")</f>
        <v>11.235021320035861</v>
      </c>
      <c r="AB1405" s="10">
        <f>(Table1[[#This Row],[Forecast Workload Hours]]*60)*1.2</f>
        <v>808.92153504258192</v>
      </c>
      <c r="AC1405" s="10">
        <f>IF(Table1[[#This Row],[Forecast WOrkload Minutes]]&lt;384,1,Table1[[#This Row],[Forecast WOrkload Minutes]]/384)</f>
        <v>2.1065664975067238</v>
      </c>
      <c r="AD1405" s="10">
        <f>ROUNDUP(Table1[[#This Row],[Forecast Headcount]],0)</f>
        <v>3</v>
      </c>
      <c r="AE1405" s="11">
        <v>194.0159524597064</v>
      </c>
      <c r="AF1405" s="11">
        <v>413.93286357843982</v>
      </c>
      <c r="AG1405" t="s">
        <v>7</v>
      </c>
    </row>
    <row r="1406" spans="1:33">
      <c r="A1406" s="2">
        <v>45287</v>
      </c>
      <c r="B1406" s="2"/>
      <c r="C1406" s="5">
        <f>WEEKDAY(Table1[[#This Row],[Date]])</f>
        <v>4</v>
      </c>
      <c r="D1406" s="5">
        <f>MONTH(Table1[[#This Row],[Date]])</f>
        <v>12</v>
      </c>
      <c r="E1406" s="5">
        <f>WEEKNUM(Table1[[#This Row],[Date]])</f>
        <v>52</v>
      </c>
      <c r="F1406" s="5">
        <f>YEAR(Table1[[#This Row],[Date]])</f>
        <v>2023</v>
      </c>
      <c r="H1406">
        <v>315.42540689798813</v>
      </c>
      <c r="I1406">
        <f>Table1[[#This Row],[Forecast]]*0.9</f>
        <v>283.88286620818934</v>
      </c>
      <c r="J1406">
        <f>Table1[[#This Row],[Forecast]]*0.8</f>
        <v>252.3403255183905</v>
      </c>
      <c r="K1406">
        <f>Table1[[#This Row],[Forecast]]*0.8</f>
        <v>252.3403255183905</v>
      </c>
      <c r="P1406" s="13">
        <f t="shared" si="45"/>
        <v>1.9280196713735217E-3</v>
      </c>
      <c r="Z1406" s="8"/>
      <c r="AA1406" s="8">
        <f>CONVERT(Table1[[#This Row],[RevisedForecast 30% Recution2]]*Table1[[#This Row],[Talk Duration (AVG)]],"day","hr")</f>
        <v>11.676410675526112</v>
      </c>
      <c r="AB1406" s="10">
        <f>(Table1[[#This Row],[Forecast Workload Hours]]*60)*1.2</f>
        <v>840.70156863788009</v>
      </c>
      <c r="AC1406" s="10">
        <f>IF(Table1[[#This Row],[Forecast WOrkload Minutes]]&lt;384,1,Table1[[#This Row],[Forecast WOrkload Minutes]]/384)</f>
        <v>2.1893270016611459</v>
      </c>
      <c r="AD1406" s="10">
        <f>ROUNDUP(Table1[[#This Row],[Forecast Headcount]],0)</f>
        <v>3</v>
      </c>
      <c r="AE1406" s="11">
        <v>195.58687262374059</v>
      </c>
      <c r="AF1406" s="11">
        <v>429.92654740667592</v>
      </c>
      <c r="AG1406" t="s">
        <v>7</v>
      </c>
    </row>
    <row r="1407" spans="1:33">
      <c r="A1407" s="2">
        <v>45288</v>
      </c>
      <c r="B1407" s="2"/>
      <c r="C1407" s="5">
        <f>WEEKDAY(Table1[[#This Row],[Date]])</f>
        <v>5</v>
      </c>
      <c r="D1407" s="5">
        <f>MONTH(Table1[[#This Row],[Date]])</f>
        <v>12</v>
      </c>
      <c r="E1407" s="5">
        <f>WEEKNUM(Table1[[#This Row],[Date]])</f>
        <v>52</v>
      </c>
      <c r="F1407" s="5">
        <f>YEAR(Table1[[#This Row],[Date]])</f>
        <v>2023</v>
      </c>
      <c r="H1407">
        <v>310.39836287473452</v>
      </c>
      <c r="I1407">
        <f>Table1[[#This Row],[Forecast]]*0.9</f>
        <v>279.35852658726105</v>
      </c>
      <c r="J1407">
        <f>Table1[[#This Row],[Forecast]]*0.8</f>
        <v>248.31869029978762</v>
      </c>
      <c r="K1407">
        <f>Table1[[#This Row],[Forecast]]*0.8</f>
        <v>248.31869029978762</v>
      </c>
      <c r="P1407" s="13">
        <f t="shared" si="45"/>
        <v>1.9280291787503205E-3</v>
      </c>
      <c r="Z1407" s="8"/>
      <c r="AA1407" s="8">
        <f>CONVERT(Table1[[#This Row],[RevisedForecast 30% Recution2]]*Table1[[#This Row],[Talk Duration (AVG)]],"day","hr")</f>
        <v>11.490376332649312</v>
      </c>
      <c r="AB1407" s="10">
        <f>(Table1[[#This Row],[Forecast Workload Hours]]*60)*1.2</f>
        <v>827.30709595075052</v>
      </c>
      <c r="AC1407" s="10">
        <f>IF(Table1[[#This Row],[Forecast WOrkload Minutes]]&lt;384,1,Table1[[#This Row],[Forecast WOrkload Minutes]]/384)</f>
        <v>2.154445562371746</v>
      </c>
      <c r="AD1407" s="10">
        <f>ROUNDUP(Table1[[#This Row],[Forecast Headcount]],0)</f>
        <v>3</v>
      </c>
      <c r="AE1407" s="11">
        <v>202.3059901888127</v>
      </c>
      <c r="AF1407" s="11">
        <v>421.77828037394761</v>
      </c>
      <c r="AG1407" t="s">
        <v>7</v>
      </c>
    </row>
    <row r="1408" spans="1:33">
      <c r="A1408" s="2">
        <v>45289</v>
      </c>
      <c r="B1408" s="2"/>
      <c r="C1408" s="5">
        <f>WEEKDAY(Table1[[#This Row],[Date]])</f>
        <v>6</v>
      </c>
      <c r="D1408" s="5">
        <f>MONTH(Table1[[#This Row],[Date]])</f>
        <v>12</v>
      </c>
      <c r="E1408" s="5">
        <f>WEEKNUM(Table1[[#This Row],[Date]])</f>
        <v>52</v>
      </c>
      <c r="F1408" s="5">
        <f>YEAR(Table1[[#This Row],[Date]])</f>
        <v>2023</v>
      </c>
      <c r="H1408">
        <v>301.31627285553122</v>
      </c>
      <c r="I1408">
        <f>Table1[[#This Row],[Forecast]]*0.9</f>
        <v>271.1846455699781</v>
      </c>
      <c r="J1408">
        <f>Table1[[#This Row],[Forecast]]*0.8</f>
        <v>241.05301828442498</v>
      </c>
      <c r="K1408">
        <f>Table1[[#This Row],[Forecast]]*0.8</f>
        <v>241.05301828442498</v>
      </c>
      <c r="P1408" s="13">
        <f t="shared" si="45"/>
        <v>1.9280200799493066E-3</v>
      </c>
      <c r="Z1408" s="8"/>
      <c r="AA1408" s="8">
        <f>CONVERT(Table1[[#This Row],[RevisedForecast 30% Recution2]]*Table1[[#This Row],[Talk Duration (AVG)]],"day","hr")</f>
        <v>11.154121430034209</v>
      </c>
      <c r="AB1408" s="10">
        <f>(Table1[[#This Row],[Forecast Workload Hours]]*60)*1.2</f>
        <v>803.09674296246305</v>
      </c>
      <c r="AC1408" s="10">
        <f>IF(Table1[[#This Row],[Forecast WOrkload Minutes]]&lt;384,1,Table1[[#This Row],[Forecast WOrkload Minutes]]/384)</f>
        <v>2.0913977681314142</v>
      </c>
      <c r="AD1408" s="10">
        <f>ROUNDUP(Table1[[#This Row],[Forecast Headcount]],0)</f>
        <v>3</v>
      </c>
      <c r="AE1408" s="11">
        <v>193.30400682626501</v>
      </c>
      <c r="AF1408" s="11">
        <v>412.84388015634681</v>
      </c>
      <c r="AG1408" t="s">
        <v>7</v>
      </c>
    </row>
    <row r="1409" spans="1:33">
      <c r="A1409" s="2">
        <v>45290</v>
      </c>
      <c r="B1409" s="2"/>
      <c r="C1409" s="5">
        <f>WEEKDAY(Table1[[#This Row],[Date]])</f>
        <v>7</v>
      </c>
      <c r="D1409" s="5">
        <f>MONTH(Table1[[#This Row],[Date]])</f>
        <v>12</v>
      </c>
      <c r="E1409" s="5">
        <f>WEEKNUM(Table1[[#This Row],[Date]])</f>
        <v>52</v>
      </c>
      <c r="F1409" s="5">
        <f>YEAR(Table1[[#This Row],[Date]])</f>
        <v>2023</v>
      </c>
      <c r="H1409">
        <v>308.29414925711552</v>
      </c>
      <c r="I1409">
        <f>Table1[[#This Row],[Forecast]]*0.9</f>
        <v>277.46473433140397</v>
      </c>
      <c r="J1409">
        <f>Table1[[#This Row],[Forecast]]*0.8</f>
        <v>246.63531940569243</v>
      </c>
      <c r="K1409">
        <f>Table1[[#This Row],[Forecast]]*0.8</f>
        <v>246.63531940569243</v>
      </c>
      <c r="P1409" s="13">
        <f t="shared" si="45"/>
        <v>1.9280071902278556E-3</v>
      </c>
      <c r="Z1409" s="8"/>
      <c r="AA1409" s="8">
        <f>CONVERT(Table1[[#This Row],[RevisedForecast 30% Recution2]]*Table1[[#This Row],[Talk Duration (AVG)]],"day","hr")</f>
        <v>11.41235206027965</v>
      </c>
      <c r="AB1409" s="10">
        <f>(Table1[[#This Row],[Forecast Workload Hours]]*60)*1.2</f>
        <v>821.68934834013476</v>
      </c>
      <c r="AC1409" s="10">
        <f>IF(Table1[[#This Row],[Forecast WOrkload Minutes]]&lt;384,1,Table1[[#This Row],[Forecast WOrkload Minutes]]/384)</f>
        <v>2.1398160113024343</v>
      </c>
      <c r="AD1409" s="10">
        <f>ROUNDUP(Table1[[#This Row],[Forecast Headcount]],0)</f>
        <v>3</v>
      </c>
      <c r="AE1409" s="11">
        <v>202.72577132050881</v>
      </c>
      <c r="AF1409" s="11">
        <v>413.64444912160093</v>
      </c>
      <c r="AG1409" t="s">
        <v>7</v>
      </c>
    </row>
    <row r="1410" spans="1:33">
      <c r="A1410" s="2">
        <v>45291</v>
      </c>
      <c r="B1410" s="2"/>
      <c r="C1410" s="5">
        <f>WEEKDAY(Table1[[#This Row],[Date]])</f>
        <v>1</v>
      </c>
      <c r="D1410" s="5">
        <f>MONTH(Table1[[#This Row],[Date]])</f>
        <v>12</v>
      </c>
      <c r="E1410" s="5">
        <f>WEEKNUM(Table1[[#This Row],[Date]])</f>
        <v>53</v>
      </c>
      <c r="F1410" s="5">
        <f>YEAR(Table1[[#This Row],[Date]])</f>
        <v>2023</v>
      </c>
      <c r="H1410">
        <v>219.48658796790849</v>
      </c>
      <c r="I1410">
        <f>Table1[[#This Row],[Forecast]]*0.9</f>
        <v>197.53792917111764</v>
      </c>
      <c r="J1410">
        <f>Table1[[#This Row],[Forecast]]*0.8</f>
        <v>175.58927037432682</v>
      </c>
      <c r="K1410">
        <f>Table1[[#This Row],[Forecast]]*0.8</f>
        <v>175.58927037432682</v>
      </c>
      <c r="P1410" s="13">
        <f t="shared" si="45"/>
        <v>1.927995494144635E-3</v>
      </c>
      <c r="Z1410" s="8"/>
      <c r="AA1410" s="8">
        <f>CONVERT(Table1[[#This Row],[RevisedForecast 30% Recution2]]*Table1[[#This Row],[Talk Duration (AVG)]],"day","hr")</f>
        <v>8.1248477304443085</v>
      </c>
      <c r="AB1410" s="10">
        <f>(Table1[[#This Row],[Forecast Workload Hours]]*60)*1.2</f>
        <v>584.98903659199016</v>
      </c>
      <c r="AC1410" s="10">
        <f>IF(Table1[[#This Row],[Forecast WOrkload Minutes]]&lt;384,1,Table1[[#This Row],[Forecast WOrkload Minutes]]/384)</f>
        <v>1.5234089494583076</v>
      </c>
      <c r="AD1410" s="10">
        <f>ROUNDUP(Table1[[#This Row],[Forecast Headcount]],0)</f>
        <v>2</v>
      </c>
      <c r="AE1410" s="11">
        <v>110.7972861139184</v>
      </c>
      <c r="AF1410" s="11">
        <v>316.74214838815698</v>
      </c>
      <c r="AG1410" t="s">
        <v>7</v>
      </c>
    </row>
    <row r="1411" spans="1:33">
      <c r="A1411" s="2">
        <v>45292</v>
      </c>
      <c r="B1411" s="2"/>
      <c r="C1411" s="5">
        <f>WEEKDAY(Table1[[#This Row],[Date]])</f>
        <v>2</v>
      </c>
      <c r="D1411" s="5">
        <f>MONTH(Table1[[#This Row],[Date]])</f>
        <v>1</v>
      </c>
      <c r="E1411" s="5">
        <f>WEEKNUM(Table1[[#This Row],[Date]])</f>
        <v>1</v>
      </c>
      <c r="F1411" s="5">
        <f>YEAR(Table1[[#This Row],[Date]])</f>
        <v>2024</v>
      </c>
      <c r="H1411">
        <v>319.246688035972</v>
      </c>
      <c r="I1411">
        <f>Table1[[#This Row],[Forecast]]*0.9</f>
        <v>287.32201923237483</v>
      </c>
      <c r="J1411">
        <f>Table1[[#This Row],[Forecast]]*0.8</f>
        <v>255.3973504287776</v>
      </c>
      <c r="K1411">
        <f>Table1[[#This Row],[Forecast]]*0.8</f>
        <v>255.3973504287776</v>
      </c>
      <c r="P1411" s="13">
        <f t="shared" si="45"/>
        <v>1.9279759168163921E-3</v>
      </c>
      <c r="Z1411" s="8"/>
      <c r="AA1411" s="8">
        <f>CONVERT(Table1[[#This Row],[RevisedForecast 30% Recution2]]*Table1[[#This Row],[Talk Duration (AVG)]],"day","hr")</f>
        <v>11.817598580289596</v>
      </c>
      <c r="AB1411" s="10">
        <f>(Table1[[#This Row],[Forecast Workload Hours]]*60)*1.2</f>
        <v>850.86709778085094</v>
      </c>
      <c r="AC1411" s="10">
        <f>IF(Table1[[#This Row],[Forecast WOrkload Minutes]]&lt;384,1,Table1[[#This Row],[Forecast WOrkload Minutes]]/384)</f>
        <v>2.2157997338042992</v>
      </c>
      <c r="AD1411" s="10">
        <f>ROUNDUP(Table1[[#This Row],[Forecast Headcount]],0)</f>
        <v>3</v>
      </c>
      <c r="AE1411" s="11">
        <v>212.85909791242531</v>
      </c>
      <c r="AF1411" s="11">
        <v>435.58067281016372</v>
      </c>
      <c r="AG1411" t="s">
        <v>7</v>
      </c>
    </row>
    <row r="1412" spans="1:33">
      <c r="A1412" s="2">
        <v>45293</v>
      </c>
      <c r="B1412" s="2"/>
      <c r="C1412" s="5">
        <f>WEEKDAY(Table1[[#This Row],[Date]])</f>
        <v>3</v>
      </c>
      <c r="D1412" s="5">
        <f>MONTH(Table1[[#This Row],[Date]])</f>
        <v>1</v>
      </c>
      <c r="E1412" s="5">
        <f>WEEKNUM(Table1[[#This Row],[Date]])</f>
        <v>1</v>
      </c>
      <c r="F1412" s="5">
        <f>YEAR(Table1[[#This Row],[Date]])</f>
        <v>2024</v>
      </c>
      <c r="H1412">
        <v>303.13145743093651</v>
      </c>
      <c r="I1412">
        <f>Table1[[#This Row],[Forecast]]*0.9</f>
        <v>272.81831168784288</v>
      </c>
      <c r="J1412">
        <f>Table1[[#This Row],[Forecast]]*0.8</f>
        <v>242.50516594474922</v>
      </c>
      <c r="K1412">
        <f>Table1[[#This Row],[Forecast]]*0.8</f>
        <v>242.50516594474922</v>
      </c>
      <c r="P1412" s="13">
        <f t="shared" si="45"/>
        <v>1.9279796506097922E-3</v>
      </c>
      <c r="Z1412" s="8"/>
      <c r="AA1412" s="8">
        <f>CONVERT(Table1[[#This Row],[RevisedForecast 30% Recution2]]*Table1[[#This Row],[Talk Duration (AVG)]],"day","hr")</f>
        <v>11.221080602621456</v>
      </c>
      <c r="AB1412" s="10">
        <f>(Table1[[#This Row],[Forecast Workload Hours]]*60)*1.2</f>
        <v>807.9178033887448</v>
      </c>
      <c r="AC1412" s="10">
        <f>IF(Table1[[#This Row],[Forecast WOrkload Minutes]]&lt;384,1,Table1[[#This Row],[Forecast WOrkload Minutes]]/384)</f>
        <v>2.1039526129915229</v>
      </c>
      <c r="AD1412" s="10">
        <f>ROUNDUP(Table1[[#This Row],[Forecast Headcount]],0)</f>
        <v>3</v>
      </c>
      <c r="AE1412" s="11">
        <v>189.4241105029146</v>
      </c>
      <c r="AF1412" s="11">
        <v>412.51993107483042</v>
      </c>
      <c r="AG1412" t="s">
        <v>7</v>
      </c>
    </row>
    <row r="1413" spans="1:33">
      <c r="A1413" s="2">
        <v>45294</v>
      </c>
      <c r="B1413" s="2"/>
      <c r="C1413" s="5">
        <f>WEEKDAY(Table1[[#This Row],[Date]])</f>
        <v>4</v>
      </c>
      <c r="D1413" s="5">
        <f>MONTH(Table1[[#This Row],[Date]])</f>
        <v>1</v>
      </c>
      <c r="E1413" s="5">
        <f>WEEKNUM(Table1[[#This Row],[Date]])</f>
        <v>1</v>
      </c>
      <c r="F1413" s="5">
        <f>YEAR(Table1[[#This Row],[Date]])</f>
        <v>2024</v>
      </c>
      <c r="H1413">
        <v>315.34170673859199</v>
      </c>
      <c r="I1413">
        <f>Table1[[#This Row],[Forecast]]*0.9</f>
        <v>283.8075360647328</v>
      </c>
      <c r="J1413">
        <f>Table1[[#This Row],[Forecast]]*0.8</f>
        <v>252.27336539087361</v>
      </c>
      <c r="K1413">
        <f>Table1[[#This Row],[Forecast]]*0.8</f>
        <v>252.27336539087361</v>
      </c>
      <c r="P1413" s="13">
        <f t="shared" si="45"/>
        <v>1.9279717506008034E-3</v>
      </c>
      <c r="Z1413" s="8"/>
      <c r="AA1413" s="8">
        <f>CONVERT(Table1[[#This Row],[RevisedForecast 30% Recution2]]*Table1[[#This Row],[Talk Duration (AVG)]],"day","hr")</f>
        <v>11.673022125662369</v>
      </c>
      <c r="AB1413" s="10">
        <f>(Table1[[#This Row],[Forecast Workload Hours]]*60)*1.2</f>
        <v>840.45759304769058</v>
      </c>
      <c r="AC1413" s="10">
        <f>IF(Table1[[#This Row],[Forecast WOrkload Minutes]]&lt;384,1,Table1[[#This Row],[Forecast WOrkload Minutes]]/384)</f>
        <v>2.1886916485616941</v>
      </c>
      <c r="AD1413" s="10">
        <f>ROUNDUP(Table1[[#This Row],[Forecast Headcount]],0)</f>
        <v>3</v>
      </c>
      <c r="AE1413" s="11">
        <v>213.26228006337871</v>
      </c>
      <c r="AF1413" s="11">
        <v>422.94886394324283</v>
      </c>
      <c r="AG1413" t="s">
        <v>7</v>
      </c>
    </row>
    <row r="1414" spans="1:33">
      <c r="A1414" s="2">
        <v>45295</v>
      </c>
      <c r="B1414" s="2"/>
      <c r="C1414" s="5">
        <f>WEEKDAY(Table1[[#This Row],[Date]])</f>
        <v>5</v>
      </c>
      <c r="D1414" s="5">
        <f>MONTH(Table1[[#This Row],[Date]])</f>
        <v>1</v>
      </c>
      <c r="E1414" s="5">
        <f>WEEKNUM(Table1[[#This Row],[Date]])</f>
        <v>1</v>
      </c>
      <c r="F1414" s="5">
        <f>YEAR(Table1[[#This Row],[Date]])</f>
        <v>2024</v>
      </c>
      <c r="H1414">
        <v>310.59053547092168</v>
      </c>
      <c r="I1414">
        <f>Table1[[#This Row],[Forecast]]*0.9</f>
        <v>279.53148192382952</v>
      </c>
      <c r="J1414">
        <f>Table1[[#This Row],[Forecast]]*0.8</f>
        <v>248.47242837673735</v>
      </c>
      <c r="K1414">
        <f>Table1[[#This Row],[Forecast]]*0.8</f>
        <v>248.47242837673735</v>
      </c>
      <c r="P1414" s="13">
        <f t="shared" si="45"/>
        <v>1.9279519990090519E-3</v>
      </c>
      <c r="Z1414" s="8"/>
      <c r="AA1414" s="8">
        <f>CONVERT(Table1[[#This Row],[RevisedForecast 30% Recution2]]*Table1[[#This Row],[Talk Duration (AVG)]],"day","hr")</f>
        <v>11.497029959701543</v>
      </c>
      <c r="AB1414" s="10">
        <f>(Table1[[#This Row],[Forecast Workload Hours]]*60)*1.2</f>
        <v>827.78615709851113</v>
      </c>
      <c r="AC1414" s="10">
        <f>IF(Table1[[#This Row],[Forecast WOrkload Minutes]]&lt;384,1,Table1[[#This Row],[Forecast WOrkload Minutes]]/384)</f>
        <v>2.1556931174440392</v>
      </c>
      <c r="AD1414" s="10">
        <f>ROUNDUP(Table1[[#This Row],[Forecast Headcount]],0)</f>
        <v>3</v>
      </c>
      <c r="AE1414" s="11">
        <v>193.79687716386249</v>
      </c>
      <c r="AF1414" s="11">
        <v>419.40729924253247</v>
      </c>
      <c r="AG1414" t="s">
        <v>7</v>
      </c>
    </row>
    <row r="1415" spans="1:33">
      <c r="A1415" s="2">
        <v>45296</v>
      </c>
      <c r="B1415" s="2"/>
      <c r="C1415" s="5">
        <f>WEEKDAY(Table1[[#This Row],[Date]])</f>
        <v>6</v>
      </c>
      <c r="D1415" s="5">
        <f>MONTH(Table1[[#This Row],[Date]])</f>
        <v>1</v>
      </c>
      <c r="E1415" s="5">
        <f>WEEKNUM(Table1[[#This Row],[Date]])</f>
        <v>1</v>
      </c>
      <c r="F1415" s="5">
        <f>YEAR(Table1[[#This Row],[Date]])</f>
        <v>2024</v>
      </c>
      <c r="H1415">
        <v>301.75395065760108</v>
      </c>
      <c r="I1415">
        <f>Table1[[#This Row],[Forecast]]*0.9</f>
        <v>271.578555591841</v>
      </c>
      <c r="J1415">
        <f>Table1[[#This Row],[Forecast]]*0.8</f>
        <v>241.40316052608088</v>
      </c>
      <c r="K1415">
        <f>Table1[[#This Row],[Forecast]]*0.8</f>
        <v>241.40316052608088</v>
      </c>
      <c r="P1415" s="13">
        <f t="shared" si="45"/>
        <v>1.9279414044131779E-3</v>
      </c>
      <c r="Z1415" s="8"/>
      <c r="AA1415" s="8">
        <f>CONVERT(Table1[[#This Row],[RevisedForecast 30% Recution2]]*Table1[[#This Row],[Talk Duration (AVG)]],"day","hr")</f>
        <v>11.169867560026374</v>
      </c>
      <c r="AB1415" s="10">
        <f>(Table1[[#This Row],[Forecast Workload Hours]]*60)*1.2</f>
        <v>804.23046432189892</v>
      </c>
      <c r="AC1415" s="10">
        <f>IF(Table1[[#This Row],[Forecast WOrkload Minutes]]&lt;384,1,Table1[[#This Row],[Forecast WOrkload Minutes]]/384)</f>
        <v>2.094350167504945</v>
      </c>
      <c r="AD1415" s="10">
        <f>ROUNDUP(Table1[[#This Row],[Forecast Headcount]],0)</f>
        <v>3</v>
      </c>
      <c r="AE1415" s="11">
        <v>178.57066608692421</v>
      </c>
      <c r="AF1415" s="11">
        <v>408.51014300605772</v>
      </c>
      <c r="AG1415" t="s">
        <v>7</v>
      </c>
    </row>
    <row r="1416" spans="1:33">
      <c r="A1416" s="2">
        <v>45297</v>
      </c>
      <c r="B1416" s="2"/>
      <c r="C1416" s="5">
        <f>WEEKDAY(Table1[[#This Row],[Date]])</f>
        <v>7</v>
      </c>
      <c r="D1416" s="5">
        <f>MONTH(Table1[[#This Row],[Date]])</f>
        <v>1</v>
      </c>
      <c r="E1416" s="5">
        <f>WEEKNUM(Table1[[#This Row],[Date]])</f>
        <v>1</v>
      </c>
      <c r="F1416" s="5">
        <f>YEAR(Table1[[#This Row],[Date]])</f>
        <v>2024</v>
      </c>
      <c r="H1416">
        <v>308.93088017639161</v>
      </c>
      <c r="I1416">
        <f>Table1[[#This Row],[Forecast]]*0.9</f>
        <v>278.03779215875244</v>
      </c>
      <c r="J1416">
        <f>Table1[[#This Row],[Forecast]]*0.8</f>
        <v>247.14470414111329</v>
      </c>
      <c r="K1416">
        <f>Table1[[#This Row],[Forecast]]*0.8</f>
        <v>247.14470414111329</v>
      </c>
      <c r="P1416" s="13">
        <f t="shared" si="45"/>
        <v>1.9279239649058991E-3</v>
      </c>
      <c r="Z1416" s="8"/>
      <c r="AA1416" s="8">
        <f>CONVERT(Table1[[#This Row],[RevisedForecast 30% Recution2]]*Table1[[#This Row],[Talk Duration (AVG)]],"day","hr")</f>
        <v>11.435428749917532</v>
      </c>
      <c r="AB1416" s="10">
        <f>(Table1[[#This Row],[Forecast Workload Hours]]*60)*1.2</f>
        <v>823.35086999406235</v>
      </c>
      <c r="AC1416" s="10">
        <f>IF(Table1[[#This Row],[Forecast WOrkload Minutes]]&lt;384,1,Table1[[#This Row],[Forecast WOrkload Minutes]]/384)</f>
        <v>2.1441428906095372</v>
      </c>
      <c r="AD1416" s="10">
        <f>ROUNDUP(Table1[[#This Row],[Forecast Headcount]],0)</f>
        <v>3</v>
      </c>
      <c r="AE1416" s="11">
        <v>196.68334598187309</v>
      </c>
      <c r="AF1416" s="11">
        <v>424.81702905090958</v>
      </c>
      <c r="AG1416" t="s">
        <v>7</v>
      </c>
    </row>
    <row r="1417" spans="1:33">
      <c r="A1417" s="2">
        <v>45298</v>
      </c>
      <c r="B1417" s="2"/>
      <c r="C1417" s="5">
        <f>WEEKDAY(Table1[[#This Row],[Date]])</f>
        <v>1</v>
      </c>
      <c r="D1417" s="5">
        <f>MONTH(Table1[[#This Row],[Date]])</f>
        <v>1</v>
      </c>
      <c r="E1417" s="5">
        <f>WEEKNUM(Table1[[#This Row],[Date]])</f>
        <v>2</v>
      </c>
      <c r="F1417" s="5">
        <f>YEAR(Table1[[#This Row],[Date]])</f>
        <v>2024</v>
      </c>
      <c r="H1417">
        <v>220.26174450400379</v>
      </c>
      <c r="I1417">
        <f>Table1[[#This Row],[Forecast]]*0.9</f>
        <v>198.23557005360342</v>
      </c>
      <c r="J1417">
        <f>Table1[[#This Row],[Forecast]]*0.8</f>
        <v>176.20939560320303</v>
      </c>
      <c r="K1417">
        <f>Table1[[#This Row],[Forecast]]*0.8</f>
        <v>176.20939560320303</v>
      </c>
      <c r="P1417" s="13">
        <f t="shared" si="45"/>
        <v>1.927902586243681E-3</v>
      </c>
      <c r="Z1417" s="8"/>
      <c r="AA1417" s="8">
        <f>CONVERT(Table1[[#This Row],[RevisedForecast 30% Recution2]]*Table1[[#This Row],[Talk Duration (AVG)]],"day","hr")</f>
        <v>8.1531491880924261</v>
      </c>
      <c r="AB1417" s="10">
        <f>(Table1[[#This Row],[Forecast Workload Hours]]*60)*1.2</f>
        <v>587.02674154265469</v>
      </c>
      <c r="AC1417" s="10">
        <f>IF(Table1[[#This Row],[Forecast WOrkload Minutes]]&lt;384,1,Table1[[#This Row],[Forecast WOrkload Minutes]]/384)</f>
        <v>1.52871547276733</v>
      </c>
      <c r="AD1417" s="10">
        <f>ROUNDUP(Table1[[#This Row],[Forecast Headcount]],0)</f>
        <v>2</v>
      </c>
      <c r="AE1417" s="11">
        <v>112.7767704452762</v>
      </c>
      <c r="AF1417" s="11">
        <v>331.76186157080173</v>
      </c>
      <c r="AG1417" t="s">
        <v>7</v>
      </c>
    </row>
    <row r="1418" spans="1:33">
      <c r="A1418" s="2">
        <v>45299</v>
      </c>
      <c r="B1418" s="2"/>
      <c r="C1418" s="5">
        <f>WEEKDAY(Table1[[#This Row],[Date]])</f>
        <v>2</v>
      </c>
      <c r="D1418" s="5">
        <f>MONTH(Table1[[#This Row],[Date]])</f>
        <v>1</v>
      </c>
      <c r="E1418" s="5">
        <f>WEEKNUM(Table1[[#This Row],[Date]])</f>
        <v>2</v>
      </c>
      <c r="F1418" s="5">
        <f>YEAR(Table1[[#This Row],[Date]])</f>
        <v>2024</v>
      </c>
      <c r="H1418">
        <v>320.08786996095949</v>
      </c>
      <c r="I1418">
        <f>Table1[[#This Row],[Forecast]]*0.9</f>
        <v>288.07908296486357</v>
      </c>
      <c r="J1418">
        <f>Table1[[#This Row],[Forecast]]*0.8</f>
        <v>256.0702959687676</v>
      </c>
      <c r="K1418">
        <f>Table1[[#This Row],[Forecast]]*0.8</f>
        <v>256.0702959687676</v>
      </c>
      <c r="P1418" s="13">
        <f t="shared" si="45"/>
        <v>1.9278943820364121E-3</v>
      </c>
      <c r="Z1418" s="8"/>
      <c r="AA1418" s="8">
        <f>CONVERT(Table1[[#This Row],[RevisedForecast 30% Recution2]]*Table1[[#This Row],[Talk Duration (AVG)]],"day","hr")</f>
        <v>11.848235640110122</v>
      </c>
      <c r="AB1418" s="10">
        <f>(Table1[[#This Row],[Forecast Workload Hours]]*60)*1.2</f>
        <v>853.07296608792876</v>
      </c>
      <c r="AC1418" s="10">
        <f>IF(Table1[[#This Row],[Forecast WOrkload Minutes]]&lt;384,1,Table1[[#This Row],[Forecast WOrkload Minutes]]/384)</f>
        <v>2.2215441825206477</v>
      </c>
      <c r="AD1418" s="10">
        <f>ROUNDUP(Table1[[#This Row],[Forecast Headcount]],0)</f>
        <v>3</v>
      </c>
      <c r="AE1418" s="11">
        <v>213.4062542151336</v>
      </c>
      <c r="AF1418" s="11">
        <v>430.61767501270663</v>
      </c>
      <c r="AG1418" t="s">
        <v>7</v>
      </c>
    </row>
    <row r="1419" spans="1:33">
      <c r="A1419" s="2">
        <v>45300</v>
      </c>
      <c r="B1419" s="2"/>
      <c r="C1419" s="5">
        <f>WEEKDAY(Table1[[#This Row],[Date]])</f>
        <v>3</v>
      </c>
      <c r="D1419" s="5">
        <f>MONTH(Table1[[#This Row],[Date]])</f>
        <v>1</v>
      </c>
      <c r="E1419" s="5">
        <f>WEEKNUM(Table1[[#This Row],[Date]])</f>
        <v>2</v>
      </c>
      <c r="F1419" s="5">
        <f>YEAR(Table1[[#This Row],[Date]])</f>
        <v>2024</v>
      </c>
      <c r="H1419">
        <v>303.95732810905838</v>
      </c>
      <c r="I1419">
        <f>Table1[[#This Row],[Forecast]]*0.9</f>
        <v>273.56159529815255</v>
      </c>
      <c r="J1419">
        <f>Table1[[#This Row],[Forecast]]*0.8</f>
        <v>243.16586248724673</v>
      </c>
      <c r="K1419">
        <f>Table1[[#This Row],[Forecast]]*0.8</f>
        <v>243.16586248724673</v>
      </c>
      <c r="P1419" s="13">
        <f t="shared" si="45"/>
        <v>1.9278369230867327E-3</v>
      </c>
      <c r="Z1419" s="8"/>
      <c r="AA1419" s="8">
        <f>CONVERT(Table1[[#This Row],[RevisedForecast 30% Recution2]]*Table1[[#This Row],[Talk Duration (AVG)]],"day","hr")</f>
        <v>11.250819075291489</v>
      </c>
      <c r="AB1419" s="10">
        <f>(Table1[[#This Row],[Forecast Workload Hours]]*60)*1.2</f>
        <v>810.05897342098717</v>
      </c>
      <c r="AC1419" s="10">
        <f>IF(Table1[[#This Row],[Forecast WOrkload Minutes]]&lt;384,1,Table1[[#This Row],[Forecast WOrkload Minutes]]/384)</f>
        <v>2.1095285766171541</v>
      </c>
      <c r="AD1419" s="10">
        <f>ROUNDUP(Table1[[#This Row],[Forecast Headcount]],0)</f>
        <v>3</v>
      </c>
      <c r="AE1419" s="11">
        <v>183.5999617567513</v>
      </c>
      <c r="AF1419" s="11">
        <v>411.71189059512631</v>
      </c>
      <c r="AG1419" t="s">
        <v>7</v>
      </c>
    </row>
    <row r="1420" spans="1:33">
      <c r="A1420" s="2">
        <v>45301</v>
      </c>
      <c r="B1420" s="2"/>
      <c r="C1420" s="5">
        <f>WEEKDAY(Table1[[#This Row],[Date]])</f>
        <v>4</v>
      </c>
      <c r="D1420" s="5">
        <f>MONTH(Table1[[#This Row],[Date]])</f>
        <v>1</v>
      </c>
      <c r="E1420" s="5">
        <f>WEEKNUM(Table1[[#This Row],[Date]])</f>
        <v>2</v>
      </c>
      <c r="F1420" s="5">
        <f>YEAR(Table1[[#This Row],[Date]])</f>
        <v>2024</v>
      </c>
      <c r="H1420">
        <v>316.06518967288929</v>
      </c>
      <c r="I1420">
        <f>Table1[[#This Row],[Forecast]]*0.9</f>
        <v>284.45867070560035</v>
      </c>
      <c r="J1420">
        <f>Table1[[#This Row],[Forecast]]*0.8</f>
        <v>252.85215173831145</v>
      </c>
      <c r="K1420">
        <f>Table1[[#This Row],[Forecast]]*0.8</f>
        <v>252.85215173831145</v>
      </c>
      <c r="P1420" s="13">
        <f t="shared" si="45"/>
        <v>1.927771748288908E-3</v>
      </c>
      <c r="Z1420" s="8"/>
      <c r="AA1420" s="8">
        <f>CONVERT(Table1[[#This Row],[RevisedForecast 30% Recution2]]*Table1[[#This Row],[Talk Duration (AVG)]],"day","hr")</f>
        <v>11.698589630764246</v>
      </c>
      <c r="AB1420" s="10">
        <f>(Table1[[#This Row],[Forecast Workload Hours]]*60)*1.2</f>
        <v>842.29845341502573</v>
      </c>
      <c r="AC1420" s="10">
        <f>IF(Table1[[#This Row],[Forecast WOrkload Minutes]]&lt;384,1,Table1[[#This Row],[Forecast WOrkload Minutes]]/384)</f>
        <v>2.1934855557682962</v>
      </c>
      <c r="AD1420" s="10">
        <f>ROUNDUP(Table1[[#This Row],[Forecast Headcount]],0)</f>
        <v>3</v>
      </c>
      <c r="AE1420" s="11">
        <v>207.23763428000029</v>
      </c>
      <c r="AF1420" s="11">
        <v>430.67906311892091</v>
      </c>
      <c r="AG1420" t="s">
        <v>7</v>
      </c>
    </row>
    <row r="1421" spans="1:33">
      <c r="A1421" s="2">
        <v>45302</v>
      </c>
      <c r="B1421" s="2"/>
      <c r="C1421" s="5">
        <f>WEEKDAY(Table1[[#This Row],[Date]])</f>
        <v>5</v>
      </c>
      <c r="D1421" s="5">
        <f>MONTH(Table1[[#This Row],[Date]])</f>
        <v>1</v>
      </c>
      <c r="E1421" s="5">
        <f>WEEKNUM(Table1[[#This Row],[Date]])</f>
        <v>2</v>
      </c>
      <c r="F1421" s="5">
        <f>YEAR(Table1[[#This Row],[Date]])</f>
        <v>2024</v>
      </c>
      <c r="H1421">
        <v>311.12228585966278</v>
      </c>
      <c r="I1421">
        <f>Table1[[#This Row],[Forecast]]*0.9</f>
        <v>280.01005727369653</v>
      </c>
      <c r="J1421">
        <f>Table1[[#This Row],[Forecast]]*0.8</f>
        <v>248.89782868773023</v>
      </c>
      <c r="K1421">
        <f>Table1[[#This Row],[Forecast]]*0.8</f>
        <v>248.89782868773023</v>
      </c>
      <c r="P1421" s="13">
        <f t="shared" si="45"/>
        <v>1.927693663817894E-3</v>
      </c>
      <c r="Z1421" s="8"/>
      <c r="AA1421" s="8">
        <f>CONVERT(Table1[[#This Row],[RevisedForecast 30% Recution2]]*Table1[[#This Row],[Talk Duration (AVG)]],"day","hr")</f>
        <v>11.515170415184862</v>
      </c>
      <c r="AB1421" s="10">
        <f>(Table1[[#This Row],[Forecast Workload Hours]]*60)*1.2</f>
        <v>829.09226989331012</v>
      </c>
      <c r="AC1421" s="10">
        <f>IF(Table1[[#This Row],[Forecast WOrkload Minutes]]&lt;384,1,Table1[[#This Row],[Forecast WOrkload Minutes]]/384)</f>
        <v>2.1590944528471616</v>
      </c>
      <c r="AD1421" s="10">
        <f>ROUNDUP(Table1[[#This Row],[Forecast Headcount]],0)</f>
        <v>3</v>
      </c>
      <c r="AE1421" s="11">
        <v>201.34125817210349</v>
      </c>
      <c r="AF1421" s="11">
        <v>417.55355276986649</v>
      </c>
      <c r="AG1421" t="s">
        <v>7</v>
      </c>
    </row>
    <row r="1422" spans="1:33">
      <c r="A1422" s="2">
        <v>45303</v>
      </c>
      <c r="B1422" s="2"/>
      <c r="C1422" s="5">
        <f>WEEKDAY(Table1[[#This Row],[Date]])</f>
        <v>6</v>
      </c>
      <c r="D1422" s="5">
        <f>MONTH(Table1[[#This Row],[Date]])</f>
        <v>1</v>
      </c>
      <c r="E1422" s="5">
        <f>WEEKNUM(Table1[[#This Row],[Date]])</f>
        <v>2</v>
      </c>
      <c r="F1422" s="5">
        <f>YEAR(Table1[[#This Row],[Date]])</f>
        <v>2024</v>
      </c>
      <c r="H1422">
        <v>302.00600693326129</v>
      </c>
      <c r="I1422">
        <f>Table1[[#This Row],[Forecast]]*0.9</f>
        <v>271.80540623993517</v>
      </c>
      <c r="J1422">
        <f>Table1[[#This Row],[Forecast]]*0.8</f>
        <v>241.60480554660904</v>
      </c>
      <c r="K1422">
        <f>Table1[[#This Row],[Forecast]]*0.8</f>
        <v>241.60480554660904</v>
      </c>
      <c r="P1422" s="13">
        <f t="shared" si="45"/>
        <v>1.9276135542330025E-3</v>
      </c>
      <c r="Z1422" s="8"/>
      <c r="AA1422" s="8">
        <f>CONVERT(Table1[[#This Row],[RevisedForecast 30% Recution2]]*Table1[[#This Row],[Talk Duration (AVG)]],"day","hr")</f>
        <v>11.177296750547342</v>
      </c>
      <c r="AB1422" s="10">
        <f>(Table1[[#This Row],[Forecast Workload Hours]]*60)*1.2</f>
        <v>804.7653660394086</v>
      </c>
      <c r="AC1422" s="10">
        <f>IF(Table1[[#This Row],[Forecast WOrkload Minutes]]&lt;384,1,Table1[[#This Row],[Forecast WOrkload Minutes]]/384)</f>
        <v>2.0957431407276266</v>
      </c>
      <c r="AD1422" s="10">
        <f>ROUNDUP(Table1[[#This Row],[Forecast Headcount]],0)</f>
        <v>3</v>
      </c>
      <c r="AE1422" s="11">
        <v>188.6746693329643</v>
      </c>
      <c r="AF1422" s="11">
        <v>407.95964635598853</v>
      </c>
      <c r="AG1422" t="s">
        <v>7</v>
      </c>
    </row>
    <row r="1423" spans="1:33">
      <c r="A1423" s="2">
        <v>45304</v>
      </c>
      <c r="B1423" s="2"/>
      <c r="C1423" s="5">
        <f>WEEKDAY(Table1[[#This Row],[Date]])</f>
        <v>7</v>
      </c>
      <c r="D1423" s="5">
        <f>MONTH(Table1[[#This Row],[Date]])</f>
        <v>1</v>
      </c>
      <c r="E1423" s="5">
        <f>WEEKNUM(Table1[[#This Row],[Date]])</f>
        <v>2</v>
      </c>
      <c r="F1423" s="5">
        <f>YEAR(Table1[[#This Row],[Date]])</f>
        <v>2024</v>
      </c>
      <c r="H1423">
        <v>308.82039305302021</v>
      </c>
      <c r="I1423">
        <f>Table1[[#This Row],[Forecast]]*0.9</f>
        <v>277.93835374771822</v>
      </c>
      <c r="J1423">
        <f>Table1[[#This Row],[Forecast]]*0.8</f>
        <v>247.05631444241618</v>
      </c>
      <c r="K1423">
        <f>Table1[[#This Row],[Forecast]]*0.8</f>
        <v>247.05631444241618</v>
      </c>
      <c r="P1423" s="13">
        <f t="shared" si="45"/>
        <v>1.9275334103507451E-3</v>
      </c>
      <c r="Z1423" s="8"/>
      <c r="AA1423" s="8">
        <f>CONVERT(Table1[[#This Row],[RevisedForecast 30% Recution2]]*Table1[[#This Row],[Talk Duration (AVG)]],"day","hr")</f>
        <v>11.429023207821036</v>
      </c>
      <c r="AB1423" s="10">
        <f>(Table1[[#This Row],[Forecast Workload Hours]]*60)*1.2</f>
        <v>822.88967096311455</v>
      </c>
      <c r="AC1423" s="10">
        <f>IF(Table1[[#This Row],[Forecast WOrkload Minutes]]&lt;384,1,Table1[[#This Row],[Forecast WOrkload Minutes]]/384)</f>
        <v>2.142941851466444</v>
      </c>
      <c r="AD1423" s="10">
        <f>ROUNDUP(Table1[[#This Row],[Forecast Headcount]],0)</f>
        <v>3</v>
      </c>
      <c r="AE1423" s="11">
        <v>198.32468337225191</v>
      </c>
      <c r="AF1423" s="11">
        <v>426.96095347745512</v>
      </c>
      <c r="AG1423" t="s">
        <v>7</v>
      </c>
    </row>
    <row r="1424" spans="1:33">
      <c r="A1424" s="2">
        <v>45305</v>
      </c>
      <c r="B1424" s="2"/>
      <c r="C1424" s="5">
        <f>WEEKDAY(Table1[[#This Row],[Date]])</f>
        <v>1</v>
      </c>
      <c r="D1424" s="5">
        <f>MONTH(Table1[[#This Row],[Date]])</f>
        <v>1</v>
      </c>
      <c r="E1424" s="5">
        <f>WEEKNUM(Table1[[#This Row],[Date]])</f>
        <v>3</v>
      </c>
      <c r="F1424" s="5">
        <f>YEAR(Table1[[#This Row],[Date]])</f>
        <v>2024</v>
      </c>
      <c r="H1424">
        <v>219.71467619155129</v>
      </c>
      <c r="I1424">
        <f>Table1[[#This Row],[Forecast]]*0.9</f>
        <v>197.74320857239616</v>
      </c>
      <c r="J1424">
        <f>Table1[[#This Row],[Forecast]]*0.8</f>
        <v>175.77174095324105</v>
      </c>
      <c r="K1424">
        <f>Table1[[#This Row],[Forecast]]*0.8</f>
        <v>175.77174095324105</v>
      </c>
      <c r="P1424" s="13">
        <f t="shared" si="45"/>
        <v>1.9274491948293147E-3</v>
      </c>
      <c r="Z1424" s="8"/>
      <c r="AA1424" s="8">
        <f>CONVERT(Table1[[#This Row],[RevisedForecast 30% Recution2]]*Table1[[#This Row],[Talk Duration (AVG)]],"day","hr")</f>
        <v>8.1309864137777126</v>
      </c>
      <c r="AB1424" s="10">
        <f>(Table1[[#This Row],[Forecast Workload Hours]]*60)*1.2</f>
        <v>585.43102179199525</v>
      </c>
      <c r="AC1424" s="10">
        <f>IF(Table1[[#This Row],[Forecast WOrkload Minutes]]&lt;384,1,Table1[[#This Row],[Forecast WOrkload Minutes]]/384)</f>
        <v>1.5245599525833209</v>
      </c>
      <c r="AD1424" s="10">
        <f>ROUNDUP(Table1[[#This Row],[Forecast Headcount]],0)</f>
        <v>2</v>
      </c>
      <c r="AE1424" s="11">
        <v>111.7703204079278</v>
      </c>
      <c r="AF1424" s="11">
        <v>332.60189291848559</v>
      </c>
      <c r="AG1424" t="s">
        <v>7</v>
      </c>
    </row>
    <row r="1425" spans="1:33">
      <c r="A1425" s="2">
        <v>45306</v>
      </c>
      <c r="B1425" s="2"/>
      <c r="C1425" s="5">
        <f>WEEKDAY(Table1[[#This Row],[Date]])</f>
        <v>2</v>
      </c>
      <c r="D1425" s="5">
        <f>MONTH(Table1[[#This Row],[Date]])</f>
        <v>1</v>
      </c>
      <c r="E1425" s="5">
        <f>WEEKNUM(Table1[[#This Row],[Date]])</f>
        <v>3</v>
      </c>
      <c r="F1425" s="5">
        <f>YEAR(Table1[[#This Row],[Date]])</f>
        <v>2024</v>
      </c>
      <c r="H1425">
        <v>319.04255413494019</v>
      </c>
      <c r="I1425">
        <f>Table1[[#This Row],[Forecast]]*0.9</f>
        <v>287.13829872144618</v>
      </c>
      <c r="J1425">
        <f>Table1[[#This Row],[Forecast]]*0.8</f>
        <v>255.23404330795216</v>
      </c>
      <c r="K1425">
        <f>Table1[[#This Row],[Forecast]]*0.8</f>
        <v>255.23404330795216</v>
      </c>
      <c r="P1425" s="13">
        <f t="shared" si="45"/>
        <v>1.9273072595673208E-3</v>
      </c>
      <c r="Z1425" s="8"/>
      <c r="AA1425" s="8">
        <f>CONVERT(Table1[[#This Row],[RevisedForecast 30% Recution2]]*Table1[[#This Row],[Talk Duration (AVG)]],"day","hr")</f>
        <v>11.805946189347267</v>
      </c>
      <c r="AB1425" s="10">
        <f>(Table1[[#This Row],[Forecast Workload Hours]]*60)*1.2</f>
        <v>850.02812563300324</v>
      </c>
      <c r="AC1425" s="10">
        <f>IF(Table1[[#This Row],[Forecast WOrkload Minutes]]&lt;384,1,Table1[[#This Row],[Forecast WOrkload Minutes]]/384)</f>
        <v>2.2136149105026126</v>
      </c>
      <c r="AD1425" s="10">
        <f>ROUNDUP(Table1[[#This Row],[Forecast Headcount]],0)</f>
        <v>3</v>
      </c>
      <c r="AE1425" s="11">
        <v>210.32836088630029</v>
      </c>
      <c r="AF1425" s="11">
        <v>425.98489499236308</v>
      </c>
      <c r="AG1425" t="s">
        <v>7</v>
      </c>
    </row>
    <row r="1426" spans="1:33">
      <c r="A1426" s="2">
        <v>45307</v>
      </c>
      <c r="B1426" s="2"/>
      <c r="C1426" s="5">
        <f>WEEKDAY(Table1[[#This Row],[Date]])</f>
        <v>3</v>
      </c>
      <c r="D1426" s="5">
        <f>MONTH(Table1[[#This Row],[Date]])</f>
        <v>1</v>
      </c>
      <c r="E1426" s="5">
        <f>WEEKNUM(Table1[[#This Row],[Date]])</f>
        <v>3</v>
      </c>
      <c r="F1426" s="5">
        <f>YEAR(Table1[[#This Row],[Date]])</f>
        <v>2024</v>
      </c>
      <c r="H1426">
        <v>302.36778206857679</v>
      </c>
      <c r="I1426">
        <f>Table1[[#This Row],[Forecast]]*0.9</f>
        <v>272.13100386171914</v>
      </c>
      <c r="J1426">
        <f>Table1[[#This Row],[Forecast]]*0.8</f>
        <v>241.89422565486143</v>
      </c>
      <c r="K1426">
        <f>Table1[[#This Row],[Forecast]]*0.8</f>
        <v>241.89422565486143</v>
      </c>
      <c r="P1426" s="13">
        <f t="shared" si="45"/>
        <v>1.9271853851542313E-3</v>
      </c>
      <c r="Z1426" s="8"/>
      <c r="AA1426" s="8">
        <f>CONVERT(Table1[[#This Row],[RevisedForecast 30% Recution2]]*Table1[[#This Row],[Talk Duration (AVG)]],"day","hr")</f>
        <v>11.188200394445968</v>
      </c>
      <c r="AB1426" s="10">
        <f>(Table1[[#This Row],[Forecast Workload Hours]]*60)*1.2</f>
        <v>805.55042840010958</v>
      </c>
      <c r="AC1426" s="10">
        <f>IF(Table1[[#This Row],[Forecast WOrkload Minutes]]&lt;384,1,Table1[[#This Row],[Forecast WOrkload Minutes]]/384)</f>
        <v>2.0977875739586187</v>
      </c>
      <c r="AD1426" s="10">
        <f>ROUNDUP(Table1[[#This Row],[Forecast Headcount]],0)</f>
        <v>3</v>
      </c>
      <c r="AE1426" s="11">
        <v>192.1968132938635</v>
      </c>
      <c r="AF1426" s="11">
        <v>409.9737292476965</v>
      </c>
      <c r="AG1426" t="s">
        <v>7</v>
      </c>
    </row>
    <row r="1427" spans="1:33">
      <c r="A1427" s="2">
        <v>45308</v>
      </c>
      <c r="B1427" s="2"/>
      <c r="C1427" s="5">
        <f>WEEKDAY(Table1[[#This Row],[Date]])</f>
        <v>4</v>
      </c>
      <c r="D1427" s="5">
        <f>MONTH(Table1[[#This Row],[Date]])</f>
        <v>1</v>
      </c>
      <c r="E1427" s="5">
        <f>WEEKNUM(Table1[[#This Row],[Date]])</f>
        <v>3</v>
      </c>
      <c r="F1427" s="5">
        <f>YEAR(Table1[[#This Row],[Date]])</f>
        <v>2024</v>
      </c>
      <c r="H1427">
        <v>313.90407393363421</v>
      </c>
      <c r="I1427">
        <f>Table1[[#This Row],[Forecast]]*0.9</f>
        <v>282.51366654027078</v>
      </c>
      <c r="J1427">
        <f>Table1[[#This Row],[Forecast]]*0.8</f>
        <v>251.12325914690737</v>
      </c>
      <c r="K1427">
        <f>Table1[[#This Row],[Forecast]]*0.8</f>
        <v>251.12325914690737</v>
      </c>
      <c r="P1427" s="13">
        <f t="shared" si="45"/>
        <v>1.9270657623161871E-3</v>
      </c>
      <c r="Z1427" s="8"/>
      <c r="AA1427" s="8">
        <f>CONVERT(Table1[[#This Row],[RevisedForecast 30% Recution2]]*Table1[[#This Row],[Talk Duration (AVG)]],"day","hr")</f>
        <v>11.614344835758251</v>
      </c>
      <c r="AB1427" s="10">
        <f>(Table1[[#This Row],[Forecast Workload Hours]]*60)*1.2</f>
        <v>836.23282817459403</v>
      </c>
      <c r="AC1427" s="10">
        <f>IF(Table1[[#This Row],[Forecast WOrkload Minutes]]&lt;384,1,Table1[[#This Row],[Forecast WOrkload Minutes]]/384)</f>
        <v>2.177689656704672</v>
      </c>
      <c r="AD1427" s="10">
        <f>ROUNDUP(Table1[[#This Row],[Forecast Headcount]],0)</f>
        <v>3</v>
      </c>
      <c r="AE1427" s="11">
        <v>193.18787836138111</v>
      </c>
      <c r="AF1427" s="11">
        <v>416.94493968621612</v>
      </c>
      <c r="AG1427" t="s">
        <v>7</v>
      </c>
    </row>
    <row r="1428" spans="1:33">
      <c r="A1428" s="2">
        <v>45309</v>
      </c>
      <c r="B1428" s="2"/>
      <c r="C1428" s="5">
        <f>WEEKDAY(Table1[[#This Row],[Date]])</f>
        <v>5</v>
      </c>
      <c r="D1428" s="5">
        <f>MONTH(Table1[[#This Row],[Date]])</f>
        <v>1</v>
      </c>
      <c r="E1428" s="5">
        <f>WEEKNUM(Table1[[#This Row],[Date]])</f>
        <v>3</v>
      </c>
      <c r="F1428" s="5">
        <f>YEAR(Table1[[#This Row],[Date]])</f>
        <v>2024</v>
      </c>
      <c r="H1428">
        <v>308.38341317012112</v>
      </c>
      <c r="I1428">
        <f>Table1[[#This Row],[Forecast]]*0.9</f>
        <v>277.54507185310899</v>
      </c>
      <c r="J1428">
        <f>Table1[[#This Row],[Forecast]]*0.8</f>
        <v>246.7067305360969</v>
      </c>
      <c r="K1428">
        <f>Table1[[#This Row],[Forecast]]*0.8</f>
        <v>246.7067305360969</v>
      </c>
      <c r="P1428" s="13">
        <f t="shared" si="45"/>
        <v>1.9269585530282273E-3</v>
      </c>
      <c r="Z1428" s="8"/>
      <c r="AA1428" s="8">
        <f>CONVERT(Table1[[#This Row],[RevisedForecast 30% Recution2]]*Table1[[#This Row],[Talk Duration (AVG)]],"day","hr")</f>
        <v>11.409447467907889</v>
      </c>
      <c r="AB1428" s="10">
        <f>(Table1[[#This Row],[Forecast Workload Hours]]*60)*1.2</f>
        <v>821.48021768936803</v>
      </c>
      <c r="AC1428" s="10">
        <f>IF(Table1[[#This Row],[Forecast WOrkload Minutes]]&lt;384,1,Table1[[#This Row],[Forecast WOrkload Minutes]]/384)</f>
        <v>2.1392714002327291</v>
      </c>
      <c r="AD1428" s="10">
        <f>ROUNDUP(Table1[[#This Row],[Forecast Headcount]],0)</f>
        <v>3</v>
      </c>
      <c r="AE1428" s="11">
        <v>203.13157240435811</v>
      </c>
      <c r="AF1428" s="11">
        <v>416.34015282054048</v>
      </c>
      <c r="AG1428" t="s">
        <v>7</v>
      </c>
    </row>
    <row r="1429" spans="1:33">
      <c r="A1429" s="2">
        <v>45310</v>
      </c>
      <c r="B1429" s="2"/>
      <c r="C1429" s="5">
        <f>WEEKDAY(Table1[[#This Row],[Date]])</f>
        <v>6</v>
      </c>
      <c r="D1429" s="5">
        <f>MONTH(Table1[[#This Row],[Date]])</f>
        <v>1</v>
      </c>
      <c r="E1429" s="5">
        <f>WEEKNUM(Table1[[#This Row],[Date]])</f>
        <v>3</v>
      </c>
      <c r="F1429" s="5">
        <f>YEAR(Table1[[#This Row],[Date]])</f>
        <v>2024</v>
      </c>
      <c r="H1429">
        <v>298.70631227638319</v>
      </c>
      <c r="I1429">
        <f>Table1[[#This Row],[Forecast]]*0.9</f>
        <v>268.8356810487449</v>
      </c>
      <c r="J1429">
        <f>Table1[[#This Row],[Forecast]]*0.8</f>
        <v>238.96504982110656</v>
      </c>
      <c r="K1429">
        <f>Table1[[#This Row],[Forecast]]*0.8</f>
        <v>238.96504982110656</v>
      </c>
      <c r="P1429" s="13">
        <f t="shared" si="45"/>
        <v>1.9268407485052044E-3</v>
      </c>
      <c r="Z1429" s="8"/>
      <c r="AA1429" s="8">
        <f>CONVERT(Table1[[#This Row],[RevisedForecast 30% Recution2]]*Table1[[#This Row],[Talk Duration (AVG)]],"day","hr")</f>
        <v>11.050742291133227</v>
      </c>
      <c r="AB1429" s="10">
        <f>(Table1[[#This Row],[Forecast Workload Hours]]*60)*1.2</f>
        <v>795.65344496159241</v>
      </c>
      <c r="AC1429" s="10">
        <f>IF(Table1[[#This Row],[Forecast WOrkload Minutes]]&lt;384,1,Table1[[#This Row],[Forecast WOrkload Minutes]]/384)</f>
        <v>2.0720141795874802</v>
      </c>
      <c r="AD1429" s="10">
        <f>ROUNDUP(Table1[[#This Row],[Forecast Headcount]],0)</f>
        <v>3</v>
      </c>
      <c r="AE1429" s="11">
        <v>186.17109747915029</v>
      </c>
      <c r="AF1429" s="11">
        <v>414.60125964893808</v>
      </c>
      <c r="AG1429" t="s">
        <v>7</v>
      </c>
    </row>
    <row r="1430" spans="1:33">
      <c r="A1430" s="2">
        <v>45311</v>
      </c>
      <c r="B1430" s="2"/>
      <c r="C1430" s="5">
        <f>WEEKDAY(Table1[[#This Row],[Date]])</f>
        <v>7</v>
      </c>
      <c r="D1430" s="5">
        <f>MONTH(Table1[[#This Row],[Date]])</f>
        <v>1</v>
      </c>
      <c r="E1430" s="5">
        <f>WEEKNUM(Table1[[#This Row],[Date]])</f>
        <v>3</v>
      </c>
      <c r="F1430" s="5">
        <f>YEAR(Table1[[#This Row],[Date]])</f>
        <v>2024</v>
      </c>
      <c r="H1430">
        <v>305.00128839958012</v>
      </c>
      <c r="I1430">
        <f>Table1[[#This Row],[Forecast]]*0.9</f>
        <v>274.50115955962212</v>
      </c>
      <c r="J1430">
        <f>Table1[[#This Row],[Forecast]]*0.8</f>
        <v>244.0010307196641</v>
      </c>
      <c r="K1430">
        <f>Table1[[#This Row],[Forecast]]*0.8</f>
        <v>244.0010307196641</v>
      </c>
      <c r="P1430" s="13">
        <f t="shared" si="45"/>
        <v>1.9267202474650483E-3</v>
      </c>
      <c r="Z1430" s="8"/>
      <c r="AA1430" s="8">
        <f>CONVERT(Table1[[#This Row],[RevisedForecast 30% Recution2]]*Table1[[#This Row],[Talk Duration (AVG)]],"day","hr")</f>
        <v>11.282921430958034</v>
      </c>
      <c r="AB1430" s="10">
        <f>(Table1[[#This Row],[Forecast Workload Hours]]*60)*1.2</f>
        <v>812.37034302897848</v>
      </c>
      <c r="AC1430" s="10">
        <f>IF(Table1[[#This Row],[Forecast WOrkload Minutes]]&lt;384,1,Table1[[#This Row],[Forecast WOrkload Minutes]]/384)</f>
        <v>2.1155477683046313</v>
      </c>
      <c r="AD1430" s="10">
        <f>ROUNDUP(Table1[[#This Row],[Forecast Headcount]],0)</f>
        <v>3</v>
      </c>
      <c r="AE1430" s="11">
        <v>204.6009483941649</v>
      </c>
      <c r="AF1430" s="11">
        <v>417.31496634038348</v>
      </c>
      <c r="AG1430" t="s">
        <v>7</v>
      </c>
    </row>
    <row r="1431" spans="1:33">
      <c r="A1431" s="2">
        <v>45312</v>
      </c>
      <c r="B1431" s="2"/>
      <c r="C1431" s="5">
        <f>WEEKDAY(Table1[[#This Row],[Date]])</f>
        <v>1</v>
      </c>
      <c r="D1431" s="5">
        <f>MONTH(Table1[[#This Row],[Date]])</f>
        <v>1</v>
      </c>
      <c r="E1431" s="5">
        <f>WEEKNUM(Table1[[#This Row],[Date]])</f>
        <v>4</v>
      </c>
      <c r="F1431" s="5">
        <f>YEAR(Table1[[#This Row],[Date]])</f>
        <v>2024</v>
      </c>
      <c r="H1431">
        <v>215.44272835964611</v>
      </c>
      <c r="I1431">
        <f>Table1[[#This Row],[Forecast]]*0.9</f>
        <v>193.89845552368149</v>
      </c>
      <c r="J1431">
        <f>Table1[[#This Row],[Forecast]]*0.8</f>
        <v>172.3541826877169</v>
      </c>
      <c r="K1431">
        <f>Table1[[#This Row],[Forecast]]*0.8</f>
        <v>172.3541826877169</v>
      </c>
      <c r="P1431" s="13">
        <f t="shared" si="45"/>
        <v>1.9266263266042394E-3</v>
      </c>
      <c r="Z1431" s="8"/>
      <c r="AA1431" s="8">
        <f>CONVERT(Table1[[#This Row],[RevisedForecast 30% Recution2]]*Table1[[#This Row],[Talk Duration (AVG)]],"day","hr")</f>
        <v>7.969490540796289</v>
      </c>
      <c r="AB1431" s="10">
        <f>(Table1[[#This Row],[Forecast Workload Hours]]*60)*1.2</f>
        <v>573.80331893733285</v>
      </c>
      <c r="AC1431" s="10">
        <f>IF(Table1[[#This Row],[Forecast WOrkload Minutes]]&lt;384,1,Table1[[#This Row],[Forecast WOrkload Minutes]]/384)</f>
        <v>1.4942794763993044</v>
      </c>
      <c r="AD1431" s="10">
        <f>ROUNDUP(Table1[[#This Row],[Forecast Headcount]],0)</f>
        <v>2</v>
      </c>
      <c r="AE1431" s="11">
        <v>96.456185872252675</v>
      </c>
      <c r="AF1431" s="11">
        <v>321.59651300289499</v>
      </c>
      <c r="AG1431" t="s">
        <v>7</v>
      </c>
    </row>
    <row r="1432" spans="1:33">
      <c r="A1432" s="2">
        <v>45313</v>
      </c>
      <c r="B1432" s="2"/>
      <c r="C1432" s="5">
        <f>WEEKDAY(Table1[[#This Row],[Date]])</f>
        <v>2</v>
      </c>
      <c r="D1432" s="5">
        <f>MONTH(Table1[[#This Row],[Date]])</f>
        <v>1</v>
      </c>
      <c r="E1432" s="5">
        <f>WEEKNUM(Table1[[#This Row],[Date]])</f>
        <v>4</v>
      </c>
      <c r="F1432" s="5">
        <f>YEAR(Table1[[#This Row],[Date]])</f>
        <v>2024</v>
      </c>
      <c r="H1432">
        <v>314.40944072901931</v>
      </c>
      <c r="I1432">
        <f>Table1[[#This Row],[Forecast]]*0.9</f>
        <v>282.9684966561174</v>
      </c>
      <c r="J1432">
        <f>Table1[[#This Row],[Forecast]]*0.8</f>
        <v>251.52755258321545</v>
      </c>
      <c r="K1432">
        <f>Table1[[#This Row],[Forecast]]*0.8</f>
        <v>251.52755258321545</v>
      </c>
      <c r="P1432" s="13">
        <f t="shared" si="45"/>
        <v>1.9265332092377825E-3</v>
      </c>
      <c r="Z1432" s="8"/>
      <c r="AA1432" s="8">
        <f>CONVERT(Table1[[#This Row],[RevisedForecast 30% Recution2]]*Table1[[#This Row],[Talk Duration (AVG)]],"day","hr")</f>
        <v>11.629828394156812</v>
      </c>
      <c r="AB1432" s="10">
        <f>(Table1[[#This Row],[Forecast Workload Hours]]*60)*1.2</f>
        <v>837.34764437929039</v>
      </c>
      <c r="AC1432" s="10">
        <f>IF(Table1[[#This Row],[Forecast WOrkload Minutes]]&lt;384,1,Table1[[#This Row],[Forecast WOrkload Minutes]]/384)</f>
        <v>2.1805928239044019</v>
      </c>
      <c r="AD1432" s="10">
        <f>ROUNDUP(Table1[[#This Row],[Forecast Headcount]],0)</f>
        <v>3</v>
      </c>
      <c r="AE1432" s="11">
        <v>202.06814783318919</v>
      </c>
      <c r="AF1432" s="11">
        <v>417.98701232110022</v>
      </c>
      <c r="AG1432" t="s">
        <v>7</v>
      </c>
    </row>
    <row r="1433" spans="1:33">
      <c r="A1433" s="2">
        <v>45314</v>
      </c>
      <c r="B1433" s="2"/>
      <c r="C1433" s="5">
        <f>WEEKDAY(Table1[[#This Row],[Date]])</f>
        <v>3</v>
      </c>
      <c r="D1433" s="5">
        <f>MONTH(Table1[[#This Row],[Date]])</f>
        <v>1</v>
      </c>
      <c r="E1433" s="5">
        <f>WEEKNUM(Table1[[#This Row],[Date]])</f>
        <v>4</v>
      </c>
      <c r="F1433" s="5">
        <f>YEAR(Table1[[#This Row],[Date]])</f>
        <v>2024</v>
      </c>
      <c r="H1433">
        <v>297.48949874783182</v>
      </c>
      <c r="I1433">
        <f>Table1[[#This Row],[Forecast]]*0.9</f>
        <v>267.74054887304862</v>
      </c>
      <c r="J1433">
        <f>Table1[[#This Row],[Forecast]]*0.8</f>
        <v>237.99159899826546</v>
      </c>
      <c r="K1433">
        <f>Table1[[#This Row],[Forecast]]*0.8</f>
        <v>237.99159899826546</v>
      </c>
      <c r="P1433" s="13">
        <f t="shared" si="45"/>
        <v>1.9264661916990264E-3</v>
      </c>
      <c r="Z1433" s="8"/>
      <c r="AA1433" s="8">
        <f>CONVERT(Table1[[#This Row],[RevisedForecast 30% Recution2]]*Table1[[#This Row],[Talk Duration (AVG)]],"day","hr")</f>
        <v>11.003586465085206</v>
      </c>
      <c r="AB1433" s="10">
        <f>(Table1[[#This Row],[Forecast Workload Hours]]*60)*1.2</f>
        <v>792.25822548613473</v>
      </c>
      <c r="AC1433" s="10">
        <f>IF(Table1[[#This Row],[Forecast WOrkload Minutes]]&lt;384,1,Table1[[#This Row],[Forecast WOrkload Minutes]]/384)</f>
        <v>2.0631724622034757</v>
      </c>
      <c r="AD1433" s="10">
        <f>ROUNDUP(Table1[[#This Row],[Forecast Headcount]],0)</f>
        <v>3</v>
      </c>
      <c r="AE1433" s="11">
        <v>186.26416837925109</v>
      </c>
      <c r="AF1433" s="11">
        <v>410.29141849695952</v>
      </c>
      <c r="AG1433" t="s">
        <v>7</v>
      </c>
    </row>
    <row r="1434" spans="1:33">
      <c r="A1434" s="2">
        <v>45315</v>
      </c>
      <c r="B1434" s="2"/>
      <c r="C1434" s="5">
        <f>WEEKDAY(Table1[[#This Row],[Date]])</f>
        <v>4</v>
      </c>
      <c r="D1434" s="5">
        <f>MONTH(Table1[[#This Row],[Date]])</f>
        <v>1</v>
      </c>
      <c r="E1434" s="5">
        <f>WEEKNUM(Table1[[#This Row],[Date]])</f>
        <v>4</v>
      </c>
      <c r="F1434" s="5">
        <f>YEAR(Table1[[#This Row],[Date]])</f>
        <v>2024</v>
      </c>
      <c r="H1434">
        <v>308.91938573011163</v>
      </c>
      <c r="I1434">
        <f>Table1[[#This Row],[Forecast]]*0.9</f>
        <v>278.02744715710048</v>
      </c>
      <c r="J1434">
        <f>Table1[[#This Row],[Forecast]]*0.8</f>
        <v>247.13550858408931</v>
      </c>
      <c r="K1434">
        <f>Table1[[#This Row],[Forecast]]*0.8</f>
        <v>247.13550858408931</v>
      </c>
      <c r="P1434" s="13">
        <f t="shared" si="45"/>
        <v>1.9263984750081905E-3</v>
      </c>
      <c r="Z1434" s="8"/>
      <c r="AA1434" s="8">
        <f>CONVERT(Table1[[#This Row],[RevisedForecast 30% Recution2]]*Table1[[#This Row],[Talk Duration (AVG)]],"day","hr")</f>
        <v>11.425955204562317</v>
      </c>
      <c r="AB1434" s="10">
        <f>(Table1[[#This Row],[Forecast Workload Hours]]*60)*1.2</f>
        <v>822.66877472848682</v>
      </c>
      <c r="AC1434" s="10">
        <f>IF(Table1[[#This Row],[Forecast WOrkload Minutes]]&lt;384,1,Table1[[#This Row],[Forecast WOrkload Minutes]]/384)</f>
        <v>2.1423666008554343</v>
      </c>
      <c r="AD1434" s="10">
        <f>ROUNDUP(Table1[[#This Row],[Forecast Headcount]],0)</f>
        <v>3</v>
      </c>
      <c r="AE1434" s="11">
        <v>199.4584317472881</v>
      </c>
      <c r="AF1434" s="11">
        <v>419.35373477670049</v>
      </c>
      <c r="AG1434" t="s">
        <v>7</v>
      </c>
    </row>
    <row r="1435" spans="1:33">
      <c r="A1435" s="2">
        <v>45316</v>
      </c>
      <c r="B1435" s="2"/>
      <c r="C1435" s="5">
        <f>WEEKDAY(Table1[[#This Row],[Date]])</f>
        <v>5</v>
      </c>
      <c r="D1435" s="5">
        <f>MONTH(Table1[[#This Row],[Date]])</f>
        <v>1</v>
      </c>
      <c r="E1435" s="5">
        <f>WEEKNUM(Table1[[#This Row],[Date]])</f>
        <v>4</v>
      </c>
      <c r="F1435" s="5">
        <f>YEAR(Table1[[#This Row],[Date]])</f>
        <v>2024</v>
      </c>
      <c r="H1435">
        <v>303.45156275606502</v>
      </c>
      <c r="I1435">
        <f>Table1[[#This Row],[Forecast]]*0.9</f>
        <v>273.10640648045853</v>
      </c>
      <c r="J1435">
        <f>Table1[[#This Row],[Forecast]]*0.8</f>
        <v>242.76125020485202</v>
      </c>
      <c r="K1435">
        <f>Table1[[#This Row],[Forecast]]*0.8</f>
        <v>242.76125020485202</v>
      </c>
      <c r="P1435" s="13">
        <f t="shared" si="45"/>
        <v>1.9263340956483996E-3</v>
      </c>
      <c r="Z1435" s="8"/>
      <c r="AA1435" s="8">
        <f>CONVERT(Table1[[#This Row],[RevisedForecast 30% Recution2]]*Table1[[#This Row],[Talk Duration (AVG)]],"day","hr")</f>
        <v>11.223342560924122</v>
      </c>
      <c r="AB1435" s="10">
        <f>(Table1[[#This Row],[Forecast Workload Hours]]*60)*1.2</f>
        <v>808.0806643865368</v>
      </c>
      <c r="AC1435" s="10">
        <f>IF(Table1[[#This Row],[Forecast WOrkload Minutes]]&lt;384,1,Table1[[#This Row],[Forecast WOrkload Minutes]]/384)</f>
        <v>2.1043767301732728</v>
      </c>
      <c r="AD1435" s="10">
        <f>ROUNDUP(Table1[[#This Row],[Forecast Headcount]],0)</f>
        <v>3</v>
      </c>
      <c r="AE1435" s="11">
        <v>194.67601596689369</v>
      </c>
      <c r="AF1435" s="11">
        <v>410.98602597507102</v>
      </c>
      <c r="AG1435" t="s">
        <v>7</v>
      </c>
    </row>
    <row r="1436" spans="1:33">
      <c r="A1436" s="2">
        <v>45317</v>
      </c>
      <c r="B1436" s="2"/>
      <c r="C1436" s="5">
        <f>WEEKDAY(Table1[[#This Row],[Date]])</f>
        <v>6</v>
      </c>
      <c r="D1436" s="5">
        <f>MONTH(Table1[[#This Row],[Date]])</f>
        <v>1</v>
      </c>
      <c r="E1436" s="5">
        <f>WEEKNUM(Table1[[#This Row],[Date]])</f>
        <v>4</v>
      </c>
      <c r="F1436" s="5">
        <f>YEAR(Table1[[#This Row],[Date]])</f>
        <v>2024</v>
      </c>
      <c r="H1436">
        <v>294.0040184606965</v>
      </c>
      <c r="I1436">
        <f>Table1[[#This Row],[Forecast]]*0.9</f>
        <v>264.60361661462684</v>
      </c>
      <c r="J1436">
        <f>Table1[[#This Row],[Forecast]]*0.8</f>
        <v>235.20321476855722</v>
      </c>
      <c r="K1436">
        <f>Table1[[#This Row],[Forecast]]*0.8</f>
        <v>235.20321476855722</v>
      </c>
      <c r="P1436" s="13">
        <f t="shared" si="45"/>
        <v>1.9262832311588505E-3</v>
      </c>
      <c r="Z1436" s="8"/>
      <c r="AA1436" s="8">
        <f>CONVERT(Table1[[#This Row],[RevisedForecast 30% Recution2]]*Table1[[#This Row],[Talk Duration (AVG)]],"day","hr")</f>
        <v>10.873632204559811</v>
      </c>
      <c r="AB1436" s="10">
        <f>(Table1[[#This Row],[Forecast Workload Hours]]*60)*1.2</f>
        <v>782.90151872830643</v>
      </c>
      <c r="AC1436" s="10">
        <f>IF(Table1[[#This Row],[Forecast WOrkload Minutes]]&lt;384,1,Table1[[#This Row],[Forecast WOrkload Minutes]]/384)</f>
        <v>2.0388060383549647</v>
      </c>
      <c r="AD1436" s="10">
        <f>ROUNDUP(Table1[[#This Row],[Forecast Headcount]],0)</f>
        <v>3</v>
      </c>
      <c r="AE1436" s="11">
        <v>178.96039763954079</v>
      </c>
      <c r="AF1436" s="11">
        <v>400.32298174385818</v>
      </c>
      <c r="AG1436" t="s">
        <v>7</v>
      </c>
    </row>
    <row r="1437" spans="1:33">
      <c r="A1437" s="2">
        <v>45318</v>
      </c>
      <c r="B1437" s="2"/>
      <c r="C1437" s="5">
        <f>WEEKDAY(Table1[[#This Row],[Date]])</f>
        <v>7</v>
      </c>
      <c r="D1437" s="5">
        <f>MONTH(Table1[[#This Row],[Date]])</f>
        <v>1</v>
      </c>
      <c r="E1437" s="5">
        <f>WEEKNUM(Table1[[#This Row],[Date]])</f>
        <v>4</v>
      </c>
      <c r="F1437" s="5">
        <f>YEAR(Table1[[#This Row],[Date]])</f>
        <v>2024</v>
      </c>
      <c r="H1437">
        <v>300.71908815457289</v>
      </c>
      <c r="I1437">
        <f>Table1[[#This Row],[Forecast]]*0.9</f>
        <v>270.64717933911561</v>
      </c>
      <c r="J1437">
        <f>Table1[[#This Row],[Forecast]]*0.8</f>
        <v>240.57527052365833</v>
      </c>
      <c r="K1437">
        <f>Table1[[#This Row],[Forecast]]*0.8</f>
        <v>240.57527052365833</v>
      </c>
      <c r="P1437" s="13">
        <f t="shared" si="45"/>
        <v>1.9262360305325431E-3</v>
      </c>
      <c r="Z1437" s="8"/>
      <c r="AA1437" s="8">
        <f>CONVERT(Table1[[#This Row],[RevisedForecast 30% Recution2]]*Table1[[#This Row],[Talk Duration (AVG)]],"day","hr")</f>
        <v>11.121714099306827</v>
      </c>
      <c r="AB1437" s="10">
        <f>(Table1[[#This Row],[Forecast Workload Hours]]*60)*1.2</f>
        <v>800.76341515009153</v>
      </c>
      <c r="AC1437" s="10">
        <f>IF(Table1[[#This Row],[Forecast WOrkload Minutes]]&lt;384,1,Table1[[#This Row],[Forecast WOrkload Minutes]]/384)</f>
        <v>2.0853213936200299</v>
      </c>
      <c r="AD1437" s="10">
        <f>ROUNDUP(Table1[[#This Row],[Forecast Headcount]],0)</f>
        <v>3</v>
      </c>
      <c r="AE1437" s="11">
        <v>187.51082354678849</v>
      </c>
      <c r="AF1437" s="11">
        <v>410.07749129852158</v>
      </c>
      <c r="AG1437" t="s">
        <v>7</v>
      </c>
    </row>
    <row r="1438" spans="1:33">
      <c r="A1438" s="2">
        <v>45319</v>
      </c>
      <c r="B1438" s="2"/>
      <c r="C1438" s="5">
        <f>WEEKDAY(Table1[[#This Row],[Date]])</f>
        <v>1</v>
      </c>
      <c r="D1438" s="5">
        <f>MONTH(Table1[[#This Row],[Date]])</f>
        <v>1</v>
      </c>
      <c r="E1438" s="5">
        <f>WEEKNUM(Table1[[#This Row],[Date]])</f>
        <v>5</v>
      </c>
      <c r="F1438" s="5">
        <f>YEAR(Table1[[#This Row],[Date]])</f>
        <v>2024</v>
      </c>
      <c r="H1438">
        <v>211.78073483606221</v>
      </c>
      <c r="I1438">
        <f>Table1[[#This Row],[Forecast]]*0.9</f>
        <v>190.60266135245598</v>
      </c>
      <c r="J1438">
        <f>Table1[[#This Row],[Forecast]]*0.8</f>
        <v>169.42458786884978</v>
      </c>
      <c r="K1438">
        <f>Table1[[#This Row],[Forecast]]*0.8</f>
        <v>169.42458786884978</v>
      </c>
      <c r="P1438" s="13">
        <f t="shared" si="45"/>
        <v>1.9262077305624147E-3</v>
      </c>
      <c r="Z1438" s="8"/>
      <c r="AA1438" s="8">
        <f>CONVERT(Table1[[#This Row],[RevisedForecast 30% Recution2]]*Table1[[#This Row],[Talk Duration (AVG)]],"day","hr")</f>
        <v>7.8323268216079089</v>
      </c>
      <c r="AB1438" s="10">
        <f>(Table1[[#This Row],[Forecast Workload Hours]]*60)*1.2</f>
        <v>563.92753115576943</v>
      </c>
      <c r="AC1438" s="10">
        <f>IF(Table1[[#This Row],[Forecast WOrkload Minutes]]&lt;384,1,Table1[[#This Row],[Forecast WOrkload Minutes]]/384)</f>
        <v>1.4685612790514828</v>
      </c>
      <c r="AD1438" s="10">
        <f>ROUNDUP(Table1[[#This Row],[Forecast Headcount]],0)</f>
        <v>2</v>
      </c>
      <c r="AE1438" s="11">
        <v>108.3029379673667</v>
      </c>
      <c r="AF1438" s="11">
        <v>318.13039132850241</v>
      </c>
      <c r="AG1438" t="s">
        <v>7</v>
      </c>
    </row>
    <row r="1439" spans="1:33">
      <c r="A1439" s="2">
        <v>45320</v>
      </c>
      <c r="B1439" s="2"/>
      <c r="C1439" s="5">
        <f>WEEKDAY(Table1[[#This Row],[Date]])</f>
        <v>2</v>
      </c>
      <c r="D1439" s="5">
        <f>MONTH(Table1[[#This Row],[Date]])</f>
        <v>1</v>
      </c>
      <c r="E1439" s="5">
        <f>WEEKNUM(Table1[[#This Row],[Date]])</f>
        <v>5</v>
      </c>
      <c r="F1439" s="5">
        <f>YEAR(Table1[[#This Row],[Date]])</f>
        <v>2024</v>
      </c>
      <c r="H1439">
        <v>311.57260745367552</v>
      </c>
      <c r="I1439">
        <f>Table1[[#This Row],[Forecast]]*0.9</f>
        <v>280.41534670830799</v>
      </c>
      <c r="J1439">
        <f>Table1[[#This Row],[Forecast]]*0.8</f>
        <v>249.25808596294041</v>
      </c>
      <c r="K1439">
        <f>Table1[[#This Row],[Forecast]]*0.8</f>
        <v>249.25808596294041</v>
      </c>
      <c r="P1439" s="13">
        <f t="shared" si="45"/>
        <v>1.9261673499963686E-3</v>
      </c>
      <c r="Z1439" s="8"/>
      <c r="AA1439" s="8">
        <f>CONVERT(Table1[[#This Row],[RevisedForecast 30% Recution2]]*Table1[[#This Row],[Talk Duration (AVG)]],"day","hr")</f>
        <v>11.522706885705693</v>
      </c>
      <c r="AB1439" s="10">
        <f>(Table1[[#This Row],[Forecast Workload Hours]]*60)*1.2</f>
        <v>829.63489577080986</v>
      </c>
      <c r="AC1439" s="10">
        <f>IF(Table1[[#This Row],[Forecast WOrkload Minutes]]&lt;384,1,Table1[[#This Row],[Forecast WOrkload Minutes]]/384)</f>
        <v>2.1605075410698173</v>
      </c>
      <c r="AD1439" s="10">
        <f>ROUNDUP(Table1[[#This Row],[Forecast Headcount]],0)</f>
        <v>3</v>
      </c>
      <c r="AE1439" s="11">
        <v>208.80773730673479</v>
      </c>
      <c r="AF1439" s="11">
        <v>425.46684432398092</v>
      </c>
      <c r="AG1439" t="s">
        <v>7</v>
      </c>
    </row>
    <row r="1440" spans="1:33">
      <c r="A1440" s="2">
        <v>45321</v>
      </c>
      <c r="B1440" s="2"/>
      <c r="C1440" s="5">
        <f>WEEKDAY(Table1[[#This Row],[Date]])</f>
        <v>3</v>
      </c>
      <c r="D1440" s="5">
        <f>MONTH(Table1[[#This Row],[Date]])</f>
        <v>1</v>
      </c>
      <c r="E1440" s="5">
        <f>WEEKNUM(Table1[[#This Row],[Date]])</f>
        <v>5</v>
      </c>
      <c r="F1440" s="5">
        <f>YEAR(Table1[[#This Row],[Date]])</f>
        <v>2024</v>
      </c>
      <c r="H1440">
        <v>295.68249603848022</v>
      </c>
      <c r="I1440">
        <f>Table1[[#This Row],[Forecast]]*0.9</f>
        <v>266.11424643463221</v>
      </c>
      <c r="J1440">
        <f>Table1[[#This Row],[Forecast]]*0.8</f>
        <v>236.54599683078419</v>
      </c>
      <c r="K1440">
        <f>Table1[[#This Row],[Forecast]]*0.8</f>
        <v>236.54599683078419</v>
      </c>
      <c r="P1440" s="13">
        <f t="shared" si="45"/>
        <v>1.9261823974391222E-3</v>
      </c>
      <c r="Z1440" s="8"/>
      <c r="AA1440" s="8">
        <f>CONVERT(Table1[[#This Row],[RevisedForecast 30% Recution2]]*Table1[[#This Row],[Talk Duration (AVG)]],"day","hr")</f>
        <v>10.935137646723526</v>
      </c>
      <c r="AB1440" s="10">
        <f>(Table1[[#This Row],[Forecast Workload Hours]]*60)*1.2</f>
        <v>787.32991056409389</v>
      </c>
      <c r="AC1440" s="10">
        <f>IF(Table1[[#This Row],[Forecast WOrkload Minutes]]&lt;384,1,Table1[[#This Row],[Forecast WOrkload Minutes]]/384)</f>
        <v>2.050338308760661</v>
      </c>
      <c r="AD1440" s="10">
        <f>ROUNDUP(Table1[[#This Row],[Forecast Headcount]],0)</f>
        <v>3</v>
      </c>
      <c r="AE1440" s="11">
        <v>181.3427824305052</v>
      </c>
      <c r="AF1440" s="11">
        <v>410.87839082314167</v>
      </c>
      <c r="AG1440" t="s">
        <v>7</v>
      </c>
    </row>
    <row r="1441" spans="1:33">
      <c r="A1441" s="2">
        <v>45322</v>
      </c>
      <c r="B1441" s="2"/>
      <c r="C1441" s="5">
        <f>WEEKDAY(Table1[[#This Row],[Date]])</f>
        <v>4</v>
      </c>
      <c r="D1441" s="5">
        <f>MONTH(Table1[[#This Row],[Date]])</f>
        <v>1</v>
      </c>
      <c r="E1441" s="5">
        <f>WEEKNUM(Table1[[#This Row],[Date]])</f>
        <v>5</v>
      </c>
      <c r="F1441" s="5">
        <f>YEAR(Table1[[#This Row],[Date]])</f>
        <v>2024</v>
      </c>
      <c r="H1441">
        <v>308.3412088291073</v>
      </c>
      <c r="I1441">
        <f>Table1[[#This Row],[Forecast]]*0.9</f>
        <v>277.50708794619658</v>
      </c>
      <c r="J1441">
        <f>Table1[[#This Row],[Forecast]]*0.8</f>
        <v>246.67296706328585</v>
      </c>
      <c r="K1441">
        <f>Table1[[#This Row],[Forecast]]*0.8</f>
        <v>246.67296706328585</v>
      </c>
      <c r="P1441" s="13">
        <f t="shared" si="45"/>
        <v>1.9262074099303335E-3</v>
      </c>
      <c r="Z1441" s="8"/>
      <c r="AA1441" s="8">
        <f>CONVERT(Table1[[#This Row],[RevisedForecast 30% Recution2]]*Table1[[#This Row],[Talk Duration (AVG)]],"day","hr")</f>
        <v>11.403439127683255</v>
      </c>
      <c r="AB1441" s="10">
        <f>(Table1[[#This Row],[Forecast Workload Hours]]*60)*1.2</f>
        <v>821.04761719319436</v>
      </c>
      <c r="AC1441" s="10">
        <f>IF(Table1[[#This Row],[Forecast WOrkload Minutes]]&lt;384,1,Table1[[#This Row],[Forecast WOrkload Minutes]]/384)</f>
        <v>2.1381448364406102</v>
      </c>
      <c r="AD1441" s="10">
        <f>ROUNDUP(Table1[[#This Row],[Forecast Headcount]],0)</f>
        <v>3</v>
      </c>
      <c r="AE1441" s="11">
        <v>193.222474352679</v>
      </c>
      <c r="AF1441" s="11">
        <v>418.84838094583313</v>
      </c>
      <c r="AG1441" t="s">
        <v>7</v>
      </c>
    </row>
    <row r="1442" spans="1:33">
      <c r="A1442" s="2">
        <v>45323</v>
      </c>
      <c r="B1442" s="2"/>
      <c r="C1442" s="5">
        <f>WEEKDAY(Table1[[#This Row],[Date]])</f>
        <v>5</v>
      </c>
      <c r="D1442" s="5">
        <f>MONTH(Table1[[#This Row],[Date]])</f>
        <v>2</v>
      </c>
      <c r="E1442" s="5">
        <f>WEEKNUM(Table1[[#This Row],[Date]])</f>
        <v>5</v>
      </c>
      <c r="F1442" s="5">
        <f>YEAR(Table1[[#This Row],[Date]])</f>
        <v>2024</v>
      </c>
      <c r="H1442">
        <v>304.29000189134291</v>
      </c>
      <c r="I1442">
        <f>Table1[[#This Row],[Forecast]]*0.9</f>
        <v>273.86100170220863</v>
      </c>
      <c r="J1442">
        <f>Table1[[#This Row],[Forecast]]*0.8</f>
        <v>243.43200151307434</v>
      </c>
      <c r="K1442">
        <f>Table1[[#This Row],[Forecast]]*0.8</f>
        <v>243.43200151307434</v>
      </c>
      <c r="P1442" s="13">
        <f t="shared" si="45"/>
        <v>1.9262395396449263E-3</v>
      </c>
      <c r="Z1442" s="8"/>
      <c r="AA1442" s="8">
        <f>CONVERT(Table1[[#This Row],[RevisedForecast 30% Recution2]]*Table1[[#This Row],[Talk Duration (AVG)]],"day","hr")</f>
        <v>11.253800316705297</v>
      </c>
      <c r="AB1442" s="10">
        <f>(Table1[[#This Row],[Forecast Workload Hours]]*60)*1.2</f>
        <v>810.27362280278123</v>
      </c>
      <c r="AC1442" s="10">
        <f>IF(Table1[[#This Row],[Forecast WOrkload Minutes]]&lt;384,1,Table1[[#This Row],[Forecast WOrkload Minutes]]/384)</f>
        <v>2.1100875593822428</v>
      </c>
      <c r="AD1442" s="10">
        <f>ROUNDUP(Table1[[#This Row],[Forecast Headcount]],0)</f>
        <v>3</v>
      </c>
      <c r="AE1442" s="11">
        <v>193.68554320846371</v>
      </c>
      <c r="AF1442" s="11">
        <v>419.64788081902827</v>
      </c>
      <c r="AG1442" t="s">
        <v>7</v>
      </c>
    </row>
    <row r="1443" spans="1:33">
      <c r="A1443" s="2">
        <v>45324</v>
      </c>
      <c r="B1443" s="2"/>
      <c r="C1443" s="5">
        <f>WEEKDAY(Table1[[#This Row],[Date]])</f>
        <v>6</v>
      </c>
      <c r="D1443" s="5">
        <f>MONTH(Table1[[#This Row],[Date]])</f>
        <v>2</v>
      </c>
      <c r="E1443" s="5">
        <f>WEEKNUM(Table1[[#This Row],[Date]])</f>
        <v>5</v>
      </c>
      <c r="F1443" s="5">
        <f>YEAR(Table1[[#This Row],[Date]])</f>
        <v>2024</v>
      </c>
      <c r="H1443">
        <v>296.43012862435239</v>
      </c>
      <c r="I1443">
        <f>Table1[[#This Row],[Forecast]]*0.9</f>
        <v>266.78711576191716</v>
      </c>
      <c r="J1443">
        <f>Table1[[#This Row],[Forecast]]*0.8</f>
        <v>237.14410289948194</v>
      </c>
      <c r="K1443">
        <f>Table1[[#This Row],[Forecast]]*0.8</f>
        <v>237.14410289948194</v>
      </c>
      <c r="P1443" s="13">
        <f t="shared" si="45"/>
        <v>1.9262637535636153E-3</v>
      </c>
      <c r="Z1443" s="8"/>
      <c r="AA1443" s="8">
        <f>CONVERT(Table1[[#This Row],[RevisedForecast 30% Recution2]]*Table1[[#This Row],[Talk Duration (AVG)]],"day","hr")</f>
        <v>10.963250154879173</v>
      </c>
      <c r="AB1443" s="10">
        <f>(Table1[[#This Row],[Forecast Workload Hours]]*60)*1.2</f>
        <v>789.35401115130037</v>
      </c>
      <c r="AC1443" s="10">
        <f>IF(Table1[[#This Row],[Forecast WOrkload Minutes]]&lt;384,1,Table1[[#This Row],[Forecast WOrkload Minutes]]/384)</f>
        <v>2.0556094040398447</v>
      </c>
      <c r="AD1443" s="10">
        <f>ROUNDUP(Table1[[#This Row],[Forecast Headcount]],0)</f>
        <v>3</v>
      </c>
      <c r="AE1443" s="11">
        <v>179.51726333266959</v>
      </c>
      <c r="AF1443" s="11">
        <v>404.70615739226008</v>
      </c>
      <c r="AG1443" t="s">
        <v>7</v>
      </c>
    </row>
    <row r="1444" spans="1:33">
      <c r="A1444" s="2">
        <v>45325</v>
      </c>
      <c r="B1444" s="2"/>
      <c r="C1444" s="5">
        <f>WEEKDAY(Table1[[#This Row],[Date]])</f>
        <v>7</v>
      </c>
      <c r="D1444" s="5">
        <f>MONTH(Table1[[#This Row],[Date]])</f>
        <v>2</v>
      </c>
      <c r="E1444" s="5">
        <f>WEEKNUM(Table1[[#This Row],[Date]])</f>
        <v>5</v>
      </c>
      <c r="F1444" s="5">
        <f>YEAR(Table1[[#This Row],[Date]])</f>
        <v>2024</v>
      </c>
      <c r="H1444">
        <v>304.88180061251228</v>
      </c>
      <c r="I1444">
        <f>Table1[[#This Row],[Forecast]]*0.9</f>
        <v>274.39362055126105</v>
      </c>
      <c r="J1444">
        <f>Table1[[#This Row],[Forecast]]*0.8</f>
        <v>243.90544049000982</v>
      </c>
      <c r="K1444">
        <f>Table1[[#This Row],[Forecast]]*0.8</f>
        <v>243.90544049000982</v>
      </c>
      <c r="P1444" s="13">
        <f t="shared" si="45"/>
        <v>1.9262748462989939E-3</v>
      </c>
      <c r="Z1444" s="8"/>
      <c r="AA1444" s="8">
        <f>CONVERT(Table1[[#This Row],[RevisedForecast 30% Recution2]]*Table1[[#This Row],[Talk Duration (AVG)]],"day","hr")</f>
        <v>11.275893957393169</v>
      </c>
      <c r="AB1444" s="10">
        <f>(Table1[[#This Row],[Forecast Workload Hours]]*60)*1.2</f>
        <v>811.86436493230815</v>
      </c>
      <c r="AC1444" s="10">
        <f>IF(Table1[[#This Row],[Forecast WOrkload Minutes]]&lt;384,1,Table1[[#This Row],[Forecast WOrkload Minutes]]/384)</f>
        <v>2.114230117011219</v>
      </c>
      <c r="AD1444" s="10">
        <f>ROUNDUP(Table1[[#This Row],[Forecast Headcount]],0)</f>
        <v>3</v>
      </c>
      <c r="AE1444" s="11">
        <v>203.55949882390701</v>
      </c>
      <c r="AF1444" s="11">
        <v>410.77360248015242</v>
      </c>
      <c r="AG1444" t="s">
        <v>7</v>
      </c>
    </row>
    <row r="1445" spans="1:33">
      <c r="A1445" s="2">
        <v>45326</v>
      </c>
      <c r="B1445" s="2"/>
      <c r="C1445" s="5">
        <f>WEEKDAY(Table1[[#This Row],[Date]])</f>
        <v>1</v>
      </c>
      <c r="D1445" s="5">
        <f>MONTH(Table1[[#This Row],[Date]])</f>
        <v>2</v>
      </c>
      <c r="E1445" s="5">
        <f>WEEKNUM(Table1[[#This Row],[Date]])</f>
        <v>6</v>
      </c>
      <c r="F1445" s="5">
        <f>YEAR(Table1[[#This Row],[Date]])</f>
        <v>2024</v>
      </c>
      <c r="H1445">
        <v>217.8017530173168</v>
      </c>
      <c r="I1445">
        <f>Table1[[#This Row],[Forecast]]*0.9</f>
        <v>196.02157771558512</v>
      </c>
      <c r="J1445">
        <f>Table1[[#This Row],[Forecast]]*0.8</f>
        <v>174.24140241385345</v>
      </c>
      <c r="K1445">
        <f>Table1[[#This Row],[Forecast]]*0.8</f>
        <v>174.24140241385345</v>
      </c>
      <c r="P1445" s="13">
        <f t="shared" si="45"/>
        <v>1.9262887452716274E-3</v>
      </c>
      <c r="Z1445" s="8"/>
      <c r="AA1445" s="8">
        <f>CONVERT(Table1[[#This Row],[RevisedForecast 30% Recution2]]*Table1[[#This Row],[Talk Duration (AVG)]],"day","hr")</f>
        <v>8.0553420583236104</v>
      </c>
      <c r="AB1445" s="10">
        <f>(Table1[[#This Row],[Forecast Workload Hours]]*60)*1.2</f>
        <v>579.98462819929989</v>
      </c>
      <c r="AC1445" s="10">
        <f>IF(Table1[[#This Row],[Forecast WOrkload Minutes]]&lt;384,1,Table1[[#This Row],[Forecast WOrkload Minutes]]/384)</f>
        <v>1.5103766359356767</v>
      </c>
      <c r="AD1445" s="10">
        <f>ROUNDUP(Table1[[#This Row],[Forecast Headcount]],0)</f>
        <v>2</v>
      </c>
      <c r="AE1445" s="11">
        <v>106.0311372437823</v>
      </c>
      <c r="AF1445" s="11">
        <v>327.55551158321708</v>
      </c>
      <c r="AG1445" t="s">
        <v>7</v>
      </c>
    </row>
    <row r="1446" spans="1:33">
      <c r="A1446" s="2">
        <v>45327</v>
      </c>
      <c r="B1446" s="2"/>
      <c r="C1446" s="5">
        <f>WEEKDAY(Table1[[#This Row],[Date]])</f>
        <v>2</v>
      </c>
      <c r="D1446" s="5">
        <f>MONTH(Table1[[#This Row],[Date]])</f>
        <v>2</v>
      </c>
      <c r="E1446" s="5">
        <f>WEEKNUM(Table1[[#This Row],[Date]])</f>
        <v>6</v>
      </c>
      <c r="F1446" s="5">
        <f>YEAR(Table1[[#This Row],[Date]])</f>
        <v>2024</v>
      </c>
      <c r="H1446">
        <v>319.54172688206438</v>
      </c>
      <c r="I1446">
        <f>Table1[[#This Row],[Forecast]]*0.9</f>
        <v>287.58755419385795</v>
      </c>
      <c r="J1446">
        <f>Table1[[#This Row],[Forecast]]*0.8</f>
        <v>255.63338150565153</v>
      </c>
      <c r="K1446">
        <f>Table1[[#This Row],[Forecast]]*0.8</f>
        <v>255.63338150565153</v>
      </c>
      <c r="P1446" s="13">
        <f t="shared" ref="P1446:P1509" si="46">AVERAGE(P1339:P1445)</f>
        <v>1.9263429061704646E-3</v>
      </c>
      <c r="Z1446" s="8"/>
      <c r="AA1446" s="8">
        <f>CONVERT(Table1[[#This Row],[RevisedForecast 30% Recution2]]*Table1[[#This Row],[Talk Duration (AVG)]],"day","hr")</f>
        <v>11.818501225050715</v>
      </c>
      <c r="AB1446" s="10">
        <f>(Table1[[#This Row],[Forecast Workload Hours]]*60)*1.2</f>
        <v>850.93208820365146</v>
      </c>
      <c r="AC1446" s="10">
        <f>IF(Table1[[#This Row],[Forecast WOrkload Minutes]]&lt;384,1,Table1[[#This Row],[Forecast WOrkload Minutes]]/384)</f>
        <v>2.215968979697009</v>
      </c>
      <c r="AD1446" s="10">
        <f>ROUNDUP(Table1[[#This Row],[Forecast Headcount]],0)</f>
        <v>3</v>
      </c>
      <c r="AE1446" s="11">
        <v>209.58340426556001</v>
      </c>
      <c r="AF1446" s="11">
        <v>427.74718118419878</v>
      </c>
      <c r="AG1446" t="s">
        <v>7</v>
      </c>
    </row>
    <row r="1447" spans="1:33">
      <c r="A1447" s="2">
        <v>45328</v>
      </c>
      <c r="B1447" s="2"/>
      <c r="C1447" s="5">
        <f>WEEKDAY(Table1[[#This Row],[Date]])</f>
        <v>3</v>
      </c>
      <c r="D1447" s="5">
        <f>MONTH(Table1[[#This Row],[Date]])</f>
        <v>2</v>
      </c>
      <c r="E1447" s="5">
        <f>WEEKNUM(Table1[[#This Row],[Date]])</f>
        <v>6</v>
      </c>
      <c r="F1447" s="5">
        <f>YEAR(Table1[[#This Row],[Date]])</f>
        <v>2024</v>
      </c>
      <c r="H1447">
        <v>305.65348130837452</v>
      </c>
      <c r="I1447">
        <f>Table1[[#This Row],[Forecast]]*0.9</f>
        <v>275.08813317753709</v>
      </c>
      <c r="J1447">
        <f>Table1[[#This Row],[Forecast]]*0.8</f>
        <v>244.52278504669962</v>
      </c>
      <c r="K1447">
        <f>Table1[[#This Row],[Forecast]]*0.8</f>
        <v>244.52278504669962</v>
      </c>
      <c r="P1447" s="13">
        <f t="shared" si="46"/>
        <v>1.9263956215138148E-3</v>
      </c>
      <c r="Z1447" s="8"/>
      <c r="AA1447" s="8">
        <f>CONVERT(Table1[[#This Row],[RevisedForecast 30% Recution2]]*Table1[[#This Row],[Talk Duration (AVG)]],"day","hr")</f>
        <v>11.305142939383821</v>
      </c>
      <c r="AB1447" s="10">
        <f>(Table1[[#This Row],[Forecast Workload Hours]]*60)*1.2</f>
        <v>813.97029163563514</v>
      </c>
      <c r="AC1447" s="10">
        <f>IF(Table1[[#This Row],[Forecast WOrkload Minutes]]&lt;384,1,Table1[[#This Row],[Forecast WOrkload Minutes]]/384)</f>
        <v>2.1197143011344663</v>
      </c>
      <c r="AD1447" s="10">
        <f>ROUNDUP(Table1[[#This Row],[Forecast Headcount]],0)</f>
        <v>3</v>
      </c>
      <c r="AE1447" s="11">
        <v>188.20655716017001</v>
      </c>
      <c r="AF1447" s="11">
        <v>407.35635006593469</v>
      </c>
      <c r="AG1447" t="s">
        <v>7</v>
      </c>
    </row>
    <row r="1448" spans="1:33">
      <c r="A1448" s="2">
        <v>45329</v>
      </c>
      <c r="B1448" s="2"/>
      <c r="C1448" s="5">
        <f>WEEKDAY(Table1[[#This Row],[Date]])</f>
        <v>4</v>
      </c>
      <c r="D1448" s="5">
        <f>MONTH(Table1[[#This Row],[Date]])</f>
        <v>2</v>
      </c>
      <c r="E1448" s="5">
        <f>WEEKNUM(Table1[[#This Row],[Date]])</f>
        <v>6</v>
      </c>
      <c r="F1448" s="5">
        <f>YEAR(Table1[[#This Row],[Date]])</f>
        <v>2024</v>
      </c>
      <c r="H1448">
        <v>320.32835042119501</v>
      </c>
      <c r="I1448">
        <f>Table1[[#This Row],[Forecast]]*0.9</f>
        <v>288.29551537907554</v>
      </c>
      <c r="J1448">
        <f>Table1[[#This Row],[Forecast]]*0.8</f>
        <v>256.26268033695601</v>
      </c>
      <c r="K1448">
        <f>Table1[[#This Row],[Forecast]]*0.8</f>
        <v>256.26268033695601</v>
      </c>
      <c r="P1448" s="13">
        <f t="shared" si="46"/>
        <v>1.9264407940046021E-3</v>
      </c>
      <c r="Z1448" s="8"/>
      <c r="AA1448" s="8">
        <f>CONVERT(Table1[[#This Row],[RevisedForecast 30% Recution2]]*Table1[[#This Row],[Talk Duration (AVG)]],"day","hr")</f>
        <v>11.848197153169753</v>
      </c>
      <c r="AB1448" s="10">
        <f>(Table1[[#This Row],[Forecast Workload Hours]]*60)*1.2</f>
        <v>853.0701950282222</v>
      </c>
      <c r="AC1448" s="10">
        <f>IF(Table1[[#This Row],[Forecast WOrkload Minutes]]&lt;384,1,Table1[[#This Row],[Forecast WOrkload Minutes]]/384)</f>
        <v>2.2215369662193285</v>
      </c>
      <c r="AD1448" s="10">
        <f>ROUNDUP(Table1[[#This Row],[Forecast Headcount]],0)</f>
        <v>3</v>
      </c>
      <c r="AE1448" s="11">
        <v>204.57640109367031</v>
      </c>
      <c r="AF1448" s="11">
        <v>433.20520961736702</v>
      </c>
      <c r="AG1448" t="s">
        <v>7</v>
      </c>
    </row>
    <row r="1449" spans="1:33">
      <c r="A1449" s="2">
        <v>45330</v>
      </c>
      <c r="B1449" s="2"/>
      <c r="C1449" s="5">
        <f>WEEKDAY(Table1[[#This Row],[Date]])</f>
        <v>5</v>
      </c>
      <c r="D1449" s="5">
        <f>MONTH(Table1[[#This Row],[Date]])</f>
        <v>2</v>
      </c>
      <c r="E1449" s="5">
        <f>WEEKNUM(Table1[[#This Row],[Date]])</f>
        <v>6</v>
      </c>
      <c r="F1449" s="5">
        <f>YEAR(Table1[[#This Row],[Date]])</f>
        <v>2024</v>
      </c>
      <c r="H1449">
        <v>318.2654620500283</v>
      </c>
      <c r="I1449">
        <f>Table1[[#This Row],[Forecast]]*0.9</f>
        <v>286.43891584502546</v>
      </c>
      <c r="J1449">
        <f>Table1[[#This Row],[Forecast]]*0.8</f>
        <v>254.61236964002265</v>
      </c>
      <c r="K1449">
        <f>Table1[[#This Row],[Forecast]]*0.8</f>
        <v>254.61236964002265</v>
      </c>
      <c r="P1449" s="13">
        <f t="shared" si="46"/>
        <v>1.9264802998994743E-3</v>
      </c>
      <c r="Z1449" s="8"/>
      <c r="AA1449" s="8">
        <f>CONVERT(Table1[[#This Row],[RevisedForecast 30% Recution2]]*Table1[[#This Row],[Talk Duration (AVG)]],"day","hr")</f>
        <v>11.77213714133344</v>
      </c>
      <c r="AB1449" s="10">
        <f>(Table1[[#This Row],[Forecast Workload Hours]]*60)*1.2</f>
        <v>847.5938741760076</v>
      </c>
      <c r="AC1449" s="10">
        <f>IF(Table1[[#This Row],[Forecast WOrkload Minutes]]&lt;384,1,Table1[[#This Row],[Forecast WOrkload Minutes]]/384)</f>
        <v>2.2072757140000197</v>
      </c>
      <c r="AD1449" s="10">
        <f>ROUNDUP(Table1[[#This Row],[Forecast Headcount]],0)</f>
        <v>3</v>
      </c>
      <c r="AE1449" s="11">
        <v>209.99762938483161</v>
      </c>
      <c r="AF1449" s="11">
        <v>438.51856353302588</v>
      </c>
      <c r="AG1449" t="s">
        <v>7</v>
      </c>
    </row>
    <row r="1450" spans="1:33">
      <c r="A1450" s="2">
        <v>45331</v>
      </c>
      <c r="B1450" s="2"/>
      <c r="C1450" s="5">
        <f>WEEKDAY(Table1[[#This Row],[Date]])</f>
        <v>6</v>
      </c>
      <c r="D1450" s="5">
        <f>MONTH(Table1[[#This Row],[Date]])</f>
        <v>2</v>
      </c>
      <c r="E1450" s="5">
        <f>WEEKNUM(Table1[[#This Row],[Date]])</f>
        <v>6</v>
      </c>
      <c r="F1450" s="5">
        <f>YEAR(Table1[[#This Row],[Date]])</f>
        <v>2024</v>
      </c>
      <c r="H1450">
        <v>312.32216886420417</v>
      </c>
      <c r="I1450">
        <f>Table1[[#This Row],[Forecast]]*0.9</f>
        <v>281.08995197778376</v>
      </c>
      <c r="J1450">
        <f>Table1[[#This Row],[Forecast]]*0.8</f>
        <v>249.85773509136334</v>
      </c>
      <c r="K1450">
        <f>Table1[[#This Row],[Forecast]]*0.8</f>
        <v>249.85773509136334</v>
      </c>
      <c r="P1450" s="13">
        <f t="shared" si="46"/>
        <v>1.9265211058063884E-3</v>
      </c>
      <c r="Z1450" s="8"/>
      <c r="AA1450" s="8">
        <f>CONVERT(Table1[[#This Row],[RevisedForecast 30% Recution2]]*Table1[[#This Row],[Talk Duration (AVG)]],"day","hr")</f>
        <v>11.552548802459832</v>
      </c>
      <c r="AB1450" s="10">
        <f>(Table1[[#This Row],[Forecast Workload Hours]]*60)*1.2</f>
        <v>831.78351377710794</v>
      </c>
      <c r="AC1450" s="10">
        <f>IF(Table1[[#This Row],[Forecast WOrkload Minutes]]&lt;384,1,Table1[[#This Row],[Forecast WOrkload Minutes]]/384)</f>
        <v>2.1661029004612185</v>
      </c>
      <c r="AD1450" s="10">
        <f>ROUNDUP(Table1[[#This Row],[Forecast Headcount]],0)</f>
        <v>3</v>
      </c>
      <c r="AE1450" s="11">
        <v>195.6576791620472</v>
      </c>
      <c r="AF1450" s="11">
        <v>417.51523805157512</v>
      </c>
      <c r="AG1450" t="s">
        <v>7</v>
      </c>
    </row>
    <row r="1451" spans="1:33">
      <c r="A1451" s="2">
        <v>45332</v>
      </c>
      <c r="B1451" s="2"/>
      <c r="C1451" s="5">
        <f>WEEKDAY(Table1[[#This Row],[Date]])</f>
        <v>7</v>
      </c>
      <c r="D1451" s="5">
        <f>MONTH(Table1[[#This Row],[Date]])</f>
        <v>2</v>
      </c>
      <c r="E1451" s="5">
        <f>WEEKNUM(Table1[[#This Row],[Date]])</f>
        <v>6</v>
      </c>
      <c r="F1451" s="5">
        <f>YEAR(Table1[[#This Row],[Date]])</f>
        <v>2024</v>
      </c>
      <c r="H1451">
        <v>322.57396404677212</v>
      </c>
      <c r="I1451">
        <f>Table1[[#This Row],[Forecast]]*0.9</f>
        <v>290.31656764209492</v>
      </c>
      <c r="J1451">
        <f>Table1[[#This Row],[Forecast]]*0.8</f>
        <v>258.05917123741773</v>
      </c>
      <c r="K1451">
        <f>Table1[[#This Row],[Forecast]]*0.8</f>
        <v>258.05917123741773</v>
      </c>
      <c r="P1451" s="13">
        <f t="shared" si="46"/>
        <v>1.9265581779517669E-3</v>
      </c>
      <c r="Z1451" s="8"/>
      <c r="AA1451" s="8">
        <f>CONVERT(Table1[[#This Row],[RevisedForecast 30% Recution2]]*Table1[[#This Row],[Talk Duration (AVG)]],"day","hr")</f>
        <v>11.931984161829659</v>
      </c>
      <c r="AB1451" s="10">
        <f>(Table1[[#This Row],[Forecast Workload Hours]]*60)*1.2</f>
        <v>859.10285965173546</v>
      </c>
      <c r="AC1451" s="10">
        <f>IF(Table1[[#This Row],[Forecast WOrkload Minutes]]&lt;384,1,Table1[[#This Row],[Forecast WOrkload Minutes]]/384)</f>
        <v>2.2372470303430609</v>
      </c>
      <c r="AD1451" s="10">
        <f>ROUNDUP(Table1[[#This Row],[Forecast Headcount]],0)</f>
        <v>3</v>
      </c>
      <c r="AE1451" s="11">
        <v>214.32769460150001</v>
      </c>
      <c r="AF1451" s="11">
        <v>433.05708490560949</v>
      </c>
      <c r="AG1451" t="s">
        <v>7</v>
      </c>
    </row>
    <row r="1452" spans="1:33">
      <c r="A1452" s="2">
        <v>45333</v>
      </c>
      <c r="B1452" s="2"/>
      <c r="C1452" s="5">
        <f>WEEKDAY(Table1[[#This Row],[Date]])</f>
        <v>1</v>
      </c>
      <c r="D1452" s="5">
        <f>MONTH(Table1[[#This Row],[Date]])</f>
        <v>2</v>
      </c>
      <c r="E1452" s="5">
        <f>WEEKNUM(Table1[[#This Row],[Date]])</f>
        <v>7</v>
      </c>
      <c r="F1452" s="5">
        <f>YEAR(Table1[[#This Row],[Date]])</f>
        <v>2024</v>
      </c>
      <c r="H1452">
        <v>237.13305305963121</v>
      </c>
      <c r="I1452">
        <f>Table1[[#This Row],[Forecast]]*0.9</f>
        <v>213.4197477536681</v>
      </c>
      <c r="J1452">
        <f>Table1[[#This Row],[Forecast]]*0.8</f>
        <v>189.70644244770497</v>
      </c>
      <c r="K1452">
        <f>Table1[[#This Row],[Forecast]]*0.8</f>
        <v>189.70644244770497</v>
      </c>
      <c r="P1452" s="13">
        <f t="shared" si="46"/>
        <v>1.9265884102081666E-3</v>
      </c>
      <c r="Z1452" s="8"/>
      <c r="AA1452" s="8">
        <f>CONVERT(Table1[[#This Row],[RevisedForecast 30% Recution2]]*Table1[[#This Row],[Talk Duration (AVG)]],"day","hr")</f>
        <v>8.7716696006777042</v>
      </c>
      <c r="AB1452" s="10">
        <f>(Table1[[#This Row],[Forecast Workload Hours]]*60)*1.2</f>
        <v>631.56021124879464</v>
      </c>
      <c r="AC1452" s="10">
        <f>IF(Table1[[#This Row],[Forecast WOrkload Minutes]]&lt;384,1,Table1[[#This Row],[Forecast WOrkload Minutes]]/384)</f>
        <v>1.6446880501270693</v>
      </c>
      <c r="AD1452" s="10">
        <f>ROUNDUP(Table1[[#This Row],[Forecast Headcount]],0)</f>
        <v>2</v>
      </c>
      <c r="AE1452" s="11">
        <v>132.321302638558</v>
      </c>
      <c r="AF1452" s="11">
        <v>343.41463337194068</v>
      </c>
      <c r="AG1452" t="s">
        <v>7</v>
      </c>
    </row>
    <row r="1453" spans="1:33">
      <c r="A1453" s="2">
        <v>45334</v>
      </c>
      <c r="B1453" s="2"/>
      <c r="C1453" s="5">
        <f>WEEKDAY(Table1[[#This Row],[Date]])</f>
        <v>2</v>
      </c>
      <c r="D1453" s="5">
        <f>MONTH(Table1[[#This Row],[Date]])</f>
        <v>2</v>
      </c>
      <c r="E1453" s="5">
        <f>WEEKNUM(Table1[[#This Row],[Date]])</f>
        <v>7</v>
      </c>
      <c r="F1453" s="5">
        <f>YEAR(Table1[[#This Row],[Date]])</f>
        <v>2024</v>
      </c>
      <c r="H1453">
        <v>340.30787045628102</v>
      </c>
      <c r="I1453">
        <f>Table1[[#This Row],[Forecast]]*0.9</f>
        <v>306.27708341065295</v>
      </c>
      <c r="J1453">
        <f>Table1[[#This Row],[Forecast]]*0.8</f>
        <v>272.24629636502482</v>
      </c>
      <c r="K1453">
        <f>Table1[[#This Row],[Forecast]]*0.8</f>
        <v>272.24629636502482</v>
      </c>
      <c r="P1453" s="13">
        <f t="shared" si="46"/>
        <v>1.9266116714891711E-3</v>
      </c>
      <c r="Z1453" s="8"/>
      <c r="AA1453" s="8">
        <f>CONVERT(Table1[[#This Row],[RevisedForecast 30% Recution2]]*Table1[[#This Row],[Talk Duration (AVG)]],"day","hr")</f>
        <v>12.588309410317361</v>
      </c>
      <c r="AB1453" s="10">
        <f>(Table1[[#This Row],[Forecast Workload Hours]]*60)*1.2</f>
        <v>906.35827754285003</v>
      </c>
      <c r="AC1453" s="10">
        <f>IF(Table1[[#This Row],[Forecast WOrkload Minutes]]&lt;384,1,Table1[[#This Row],[Forecast WOrkload Minutes]]/384)</f>
        <v>2.3603080144345054</v>
      </c>
      <c r="AD1453" s="10">
        <f>ROUNDUP(Table1[[#This Row],[Forecast Headcount]],0)</f>
        <v>3</v>
      </c>
      <c r="AE1453" s="11">
        <v>235.87840619004291</v>
      </c>
      <c r="AF1453" s="11">
        <v>453.43088912337709</v>
      </c>
      <c r="AG1453" t="s">
        <v>7</v>
      </c>
    </row>
    <row r="1454" spans="1:33">
      <c r="A1454" s="2">
        <v>45335</v>
      </c>
      <c r="B1454" s="2"/>
      <c r="C1454" s="5">
        <f>WEEKDAY(Table1[[#This Row],[Date]])</f>
        <v>3</v>
      </c>
      <c r="D1454" s="5">
        <f>MONTH(Table1[[#This Row],[Date]])</f>
        <v>2</v>
      </c>
      <c r="E1454" s="5">
        <f>WEEKNUM(Table1[[#This Row],[Date]])</f>
        <v>7</v>
      </c>
      <c r="F1454" s="5">
        <f>YEAR(Table1[[#This Row],[Date]])</f>
        <v>2024</v>
      </c>
      <c r="H1454">
        <v>327.60913009748259</v>
      </c>
      <c r="I1454">
        <f>Table1[[#This Row],[Forecast]]*0.9</f>
        <v>294.84821708773433</v>
      </c>
      <c r="J1454">
        <f>Table1[[#This Row],[Forecast]]*0.8</f>
        <v>262.08730407798606</v>
      </c>
      <c r="K1454">
        <f>Table1[[#This Row],[Forecast]]*0.8</f>
        <v>262.08730407798606</v>
      </c>
      <c r="P1454" s="13">
        <f t="shared" si="46"/>
        <v>1.9266156977621233E-3</v>
      </c>
      <c r="Z1454" s="8"/>
      <c r="AA1454" s="8">
        <f>CONVERT(Table1[[#This Row],[RevisedForecast 30% Recution2]]*Table1[[#This Row],[Talk Duration (AVG)]],"day","hr")</f>
        <v>12.11859634129927</v>
      </c>
      <c r="AB1454" s="10">
        <f>(Table1[[#This Row],[Forecast Workload Hours]]*60)*1.2</f>
        <v>872.5389365735474</v>
      </c>
      <c r="AC1454" s="10">
        <f>IF(Table1[[#This Row],[Forecast WOrkload Minutes]]&lt;384,1,Table1[[#This Row],[Forecast WOrkload Minutes]]/384)</f>
        <v>2.2722368139936129</v>
      </c>
      <c r="AD1454" s="10">
        <f>ROUNDUP(Table1[[#This Row],[Forecast Headcount]],0)</f>
        <v>3</v>
      </c>
      <c r="AE1454" s="11">
        <v>211.836044464548</v>
      </c>
      <c r="AF1454" s="11">
        <v>438.91523626158079</v>
      </c>
      <c r="AG1454" t="s">
        <v>7</v>
      </c>
    </row>
    <row r="1455" spans="1:33">
      <c r="A1455" s="2">
        <v>45336</v>
      </c>
      <c r="B1455" s="2"/>
      <c r="C1455" s="5">
        <f>WEEKDAY(Table1[[#This Row],[Date]])</f>
        <v>4</v>
      </c>
      <c r="D1455" s="5">
        <f>MONTH(Table1[[#This Row],[Date]])</f>
        <v>2</v>
      </c>
      <c r="E1455" s="5">
        <f>WEEKNUM(Table1[[#This Row],[Date]])</f>
        <v>7</v>
      </c>
      <c r="F1455" s="5">
        <f>YEAR(Table1[[#This Row],[Date]])</f>
        <v>2024</v>
      </c>
      <c r="H1455">
        <v>343.19039847068473</v>
      </c>
      <c r="I1455">
        <f>Table1[[#This Row],[Forecast]]*0.9</f>
        <v>308.87135862361629</v>
      </c>
      <c r="J1455">
        <f>Table1[[#This Row],[Forecast]]*0.8</f>
        <v>274.55231877654779</v>
      </c>
      <c r="K1455">
        <f>Table1[[#This Row],[Forecast]]*0.8</f>
        <v>274.55231877654779</v>
      </c>
      <c r="P1455" s="13">
        <f t="shared" si="46"/>
        <v>1.9266102367069729E-3</v>
      </c>
      <c r="Z1455" s="8"/>
      <c r="AA1455" s="8">
        <f>CONVERT(Table1[[#This Row],[RevisedForecast 30% Recution2]]*Table1[[#This Row],[Talk Duration (AVG)]],"day","hr")</f>
        <v>12.694927388796792</v>
      </c>
      <c r="AB1455" s="10">
        <f>(Table1[[#This Row],[Forecast Workload Hours]]*60)*1.2</f>
        <v>914.03477199336896</v>
      </c>
      <c r="AC1455" s="10">
        <f>IF(Table1[[#This Row],[Forecast WOrkload Minutes]]&lt;384,1,Table1[[#This Row],[Forecast WOrkload Minutes]]/384)</f>
        <v>2.3802988853993985</v>
      </c>
      <c r="AD1455" s="10">
        <f>ROUNDUP(Table1[[#This Row],[Forecast Headcount]],0)</f>
        <v>3</v>
      </c>
      <c r="AE1455" s="11">
        <v>236.60726113043779</v>
      </c>
      <c r="AF1455" s="11">
        <v>446.58409557042262</v>
      </c>
      <c r="AG1455" t="s">
        <v>7</v>
      </c>
    </row>
    <row r="1456" spans="1:33">
      <c r="A1456" s="2">
        <v>45337</v>
      </c>
      <c r="B1456" s="2"/>
      <c r="C1456" s="5">
        <f>WEEKDAY(Table1[[#This Row],[Date]])</f>
        <v>5</v>
      </c>
      <c r="D1456" s="5">
        <f>MONTH(Table1[[#This Row],[Date]])</f>
        <v>2</v>
      </c>
      <c r="E1456" s="5">
        <f>WEEKNUM(Table1[[#This Row],[Date]])</f>
        <v>7</v>
      </c>
      <c r="F1456" s="5">
        <f>YEAR(Table1[[#This Row],[Date]])</f>
        <v>2024</v>
      </c>
      <c r="H1456">
        <v>341.7172828658629</v>
      </c>
      <c r="I1456">
        <f>Table1[[#This Row],[Forecast]]*0.9</f>
        <v>307.5455545792766</v>
      </c>
      <c r="J1456">
        <f>Table1[[#This Row],[Forecast]]*0.8</f>
        <v>273.37382629269035</v>
      </c>
      <c r="K1456">
        <f>Table1[[#This Row],[Forecast]]*0.8</f>
        <v>273.37382629269035</v>
      </c>
      <c r="P1456" s="13">
        <f t="shared" si="46"/>
        <v>1.9265880341676359E-3</v>
      </c>
      <c r="Z1456" s="8"/>
      <c r="AA1456" s="8">
        <f>CONVERT(Table1[[#This Row],[RevisedForecast 30% Recution2]]*Table1[[#This Row],[Talk Duration (AVG)]],"day","hr")</f>
        <v>12.640289822162858</v>
      </c>
      <c r="AB1456" s="10">
        <f>(Table1[[#This Row],[Forecast Workload Hours]]*60)*1.2</f>
        <v>910.10086719572575</v>
      </c>
      <c r="AC1456" s="10">
        <f>IF(Table1[[#This Row],[Forecast WOrkload Minutes]]&lt;384,1,Table1[[#This Row],[Forecast WOrkload Minutes]]/384)</f>
        <v>2.370054341655536</v>
      </c>
      <c r="AD1456" s="10">
        <f>ROUNDUP(Table1[[#This Row],[Forecast Headcount]],0)</f>
        <v>3</v>
      </c>
      <c r="AE1456" s="11">
        <v>226.25547454608301</v>
      </c>
      <c r="AF1456" s="11">
        <v>447.35134511940117</v>
      </c>
      <c r="AG1456" t="s">
        <v>7</v>
      </c>
    </row>
    <row r="1457" spans="1:33">
      <c r="A1457" s="2">
        <v>45338</v>
      </c>
      <c r="B1457" s="2"/>
      <c r="C1457" s="5">
        <f>WEEKDAY(Table1[[#This Row],[Date]])</f>
        <v>6</v>
      </c>
      <c r="D1457" s="5">
        <f>MONTH(Table1[[#This Row],[Date]])</f>
        <v>2</v>
      </c>
      <c r="E1457" s="5">
        <f>WEEKNUM(Table1[[#This Row],[Date]])</f>
        <v>7</v>
      </c>
      <c r="F1457" s="5">
        <f>YEAR(Table1[[#This Row],[Date]])</f>
        <v>2024</v>
      </c>
      <c r="H1457">
        <v>336.01876063037668</v>
      </c>
      <c r="I1457">
        <f>Table1[[#This Row],[Forecast]]*0.9</f>
        <v>302.41688456733903</v>
      </c>
      <c r="J1457">
        <f>Table1[[#This Row],[Forecast]]*0.8</f>
        <v>268.81500850430137</v>
      </c>
      <c r="K1457">
        <f>Table1[[#This Row],[Forecast]]*0.8</f>
        <v>268.81500850430137</v>
      </c>
      <c r="P1457" s="13">
        <f t="shared" si="46"/>
        <v>1.9265609087896123E-3</v>
      </c>
      <c r="Z1457" s="8"/>
      <c r="AA1457" s="8">
        <f>CONVERT(Table1[[#This Row],[RevisedForecast 30% Recution2]]*Table1[[#This Row],[Talk Duration (AVG)]],"day","hr")</f>
        <v>12.429323689928019</v>
      </c>
      <c r="AB1457" s="10">
        <f>(Table1[[#This Row],[Forecast Workload Hours]]*60)*1.2</f>
        <v>894.9113056748173</v>
      </c>
      <c r="AC1457" s="10">
        <f>IF(Table1[[#This Row],[Forecast WOrkload Minutes]]&lt;384,1,Table1[[#This Row],[Forecast WOrkload Minutes]]/384)</f>
        <v>2.3304981918615035</v>
      </c>
      <c r="AD1457" s="10">
        <f>ROUNDUP(Table1[[#This Row],[Forecast Headcount]],0)</f>
        <v>3</v>
      </c>
      <c r="AE1457" s="11">
        <v>214.05020357963281</v>
      </c>
      <c r="AF1457" s="11">
        <v>447.76046646620699</v>
      </c>
      <c r="AG1457" t="s">
        <v>7</v>
      </c>
    </row>
    <row r="1458" spans="1:33">
      <c r="A1458" s="2">
        <v>45339</v>
      </c>
      <c r="B1458" s="2"/>
      <c r="C1458" s="5">
        <f>WEEKDAY(Table1[[#This Row],[Date]])</f>
        <v>7</v>
      </c>
      <c r="D1458" s="5">
        <f>MONTH(Table1[[#This Row],[Date]])</f>
        <v>2</v>
      </c>
      <c r="E1458" s="5">
        <f>WEEKNUM(Table1[[#This Row],[Date]])</f>
        <v>7</v>
      </c>
      <c r="F1458" s="5">
        <f>YEAR(Table1[[#This Row],[Date]])</f>
        <v>2024</v>
      </c>
      <c r="H1458">
        <v>346.14789836556628</v>
      </c>
      <c r="I1458">
        <f>Table1[[#This Row],[Forecast]]*0.9</f>
        <v>311.53310852900967</v>
      </c>
      <c r="J1458">
        <f>Table1[[#This Row],[Forecast]]*0.8</f>
        <v>276.91831869245306</v>
      </c>
      <c r="K1458">
        <f>Table1[[#This Row],[Forecast]]*0.8</f>
        <v>276.91831869245306</v>
      </c>
      <c r="P1458" s="13">
        <f t="shared" si="46"/>
        <v>1.9265378688165674E-3</v>
      </c>
      <c r="Z1458" s="8"/>
      <c r="AA1458" s="8">
        <f>CONVERT(Table1[[#This Row],[RevisedForecast 30% Recution2]]*Table1[[#This Row],[Talk Duration (AVG)]],"day","hr")</f>
        <v>12.803847060720612</v>
      </c>
      <c r="AB1458" s="10">
        <f>(Table1[[#This Row],[Forecast Workload Hours]]*60)*1.2</f>
        <v>921.87698837188395</v>
      </c>
      <c r="AC1458" s="10">
        <f>IF(Table1[[#This Row],[Forecast WOrkload Minutes]]&lt;384,1,Table1[[#This Row],[Forecast WOrkload Minutes]]/384)</f>
        <v>2.4007213238851146</v>
      </c>
      <c r="AD1458" s="10">
        <f>ROUNDUP(Table1[[#This Row],[Forecast Headcount]],0)</f>
        <v>3</v>
      </c>
      <c r="AE1458" s="11">
        <v>228.6112245784004</v>
      </c>
      <c r="AF1458" s="11">
        <v>456.39552854213588</v>
      </c>
      <c r="AG1458" t="s">
        <v>7</v>
      </c>
    </row>
    <row r="1459" spans="1:33">
      <c r="A1459" s="2">
        <v>45340</v>
      </c>
      <c r="B1459" s="2"/>
      <c r="C1459" s="5">
        <f>WEEKDAY(Table1[[#This Row],[Date]])</f>
        <v>1</v>
      </c>
      <c r="D1459" s="5">
        <f>MONTH(Table1[[#This Row],[Date]])</f>
        <v>2</v>
      </c>
      <c r="E1459" s="5">
        <f>WEEKNUM(Table1[[#This Row],[Date]])</f>
        <v>8</v>
      </c>
      <c r="F1459" s="5">
        <f>YEAR(Table1[[#This Row],[Date]])</f>
        <v>2024</v>
      </c>
      <c r="H1459">
        <v>260.20111130214821</v>
      </c>
      <c r="I1459">
        <f>Table1[[#This Row],[Forecast]]*0.9</f>
        <v>234.18100017193339</v>
      </c>
      <c r="J1459">
        <f>Table1[[#This Row],[Forecast]]*0.8</f>
        <v>208.16088904171858</v>
      </c>
      <c r="K1459">
        <f>Table1[[#This Row],[Forecast]]*0.8</f>
        <v>208.16088904171858</v>
      </c>
      <c r="P1459" s="13">
        <f t="shared" si="46"/>
        <v>1.9265139383581767E-3</v>
      </c>
      <c r="Z1459" s="8"/>
      <c r="AA1459" s="8">
        <f>CONVERT(Table1[[#This Row],[RevisedForecast 30% Recution2]]*Table1[[#This Row],[Talk Duration (AVG)]],"day","hr")</f>
        <v>9.6245964998376152</v>
      </c>
      <c r="AB1459" s="10">
        <f>(Table1[[#This Row],[Forecast Workload Hours]]*60)*1.2</f>
        <v>692.97094798830824</v>
      </c>
      <c r="AC1459" s="10">
        <f>IF(Table1[[#This Row],[Forecast WOrkload Minutes]]&lt;384,1,Table1[[#This Row],[Forecast WOrkload Minutes]]/384)</f>
        <v>1.8046118437195526</v>
      </c>
      <c r="AD1459" s="10">
        <f>ROUNDUP(Table1[[#This Row],[Forecast Headcount]],0)</f>
        <v>2</v>
      </c>
      <c r="AE1459" s="11">
        <v>146.29642085442831</v>
      </c>
      <c r="AF1459" s="11">
        <v>367.64555577607911</v>
      </c>
      <c r="AG1459" t="s">
        <v>7</v>
      </c>
    </row>
    <row r="1460" spans="1:33">
      <c r="A1460" s="2">
        <v>45341</v>
      </c>
      <c r="B1460" s="2"/>
      <c r="C1460" s="5">
        <f>WEEKDAY(Table1[[#This Row],[Date]])</f>
        <v>2</v>
      </c>
      <c r="D1460" s="5">
        <f>MONTH(Table1[[#This Row],[Date]])</f>
        <v>2</v>
      </c>
      <c r="E1460" s="5">
        <f>WEEKNUM(Table1[[#This Row],[Date]])</f>
        <v>8</v>
      </c>
      <c r="F1460" s="5">
        <f>YEAR(Table1[[#This Row],[Date]])</f>
        <v>2024</v>
      </c>
      <c r="H1460">
        <v>362.47823294733149</v>
      </c>
      <c r="I1460">
        <f>Table1[[#This Row],[Forecast]]*0.9</f>
        <v>326.23040965259833</v>
      </c>
      <c r="J1460">
        <f>Table1[[#This Row],[Forecast]]*0.8</f>
        <v>289.98258635786522</v>
      </c>
      <c r="K1460">
        <f>Table1[[#This Row],[Forecast]]*0.8</f>
        <v>289.98258635786522</v>
      </c>
      <c r="P1460" s="13">
        <f t="shared" si="46"/>
        <v>1.926492135555617E-3</v>
      </c>
      <c r="Z1460" s="8"/>
      <c r="AA1460" s="8">
        <f>CONVERT(Table1[[#This Row],[RevisedForecast 30% Recution2]]*Table1[[#This Row],[Talk Duration (AVG)]],"day","hr")</f>
        <v>13.407580129596118</v>
      </c>
      <c r="AB1460" s="10">
        <f>(Table1[[#This Row],[Forecast Workload Hours]]*60)*1.2</f>
        <v>965.34576933092046</v>
      </c>
      <c r="AC1460" s="10">
        <f>IF(Table1[[#This Row],[Forecast WOrkload Minutes]]&lt;384,1,Table1[[#This Row],[Forecast WOrkload Minutes]]/384)</f>
        <v>2.513921274299272</v>
      </c>
      <c r="AD1460" s="10">
        <f>ROUNDUP(Table1[[#This Row],[Forecast Headcount]],0)</f>
        <v>3</v>
      </c>
      <c r="AE1460" s="11">
        <v>249.35337124233251</v>
      </c>
      <c r="AF1460" s="11">
        <v>473.28151450550519</v>
      </c>
      <c r="AG1460" t="s">
        <v>7</v>
      </c>
    </row>
    <row r="1461" spans="1:33">
      <c r="A1461" s="2">
        <v>45342</v>
      </c>
      <c r="B1461" s="2"/>
      <c r="C1461" s="5">
        <f>WEEKDAY(Table1[[#This Row],[Date]])</f>
        <v>3</v>
      </c>
      <c r="D1461" s="5">
        <f>MONTH(Table1[[#This Row],[Date]])</f>
        <v>2</v>
      </c>
      <c r="E1461" s="5">
        <f>WEEKNUM(Table1[[#This Row],[Date]])</f>
        <v>8</v>
      </c>
      <c r="F1461" s="5">
        <f>YEAR(Table1[[#This Row],[Date]])</f>
        <v>2024</v>
      </c>
      <c r="H1461">
        <v>348.48896747765002</v>
      </c>
      <c r="I1461">
        <f>Table1[[#This Row],[Forecast]]*0.9</f>
        <v>313.64007072988505</v>
      </c>
      <c r="J1461">
        <f>Table1[[#This Row],[Forecast]]*0.8</f>
        <v>278.79117398212003</v>
      </c>
      <c r="K1461">
        <f>Table1[[#This Row],[Forecast]]*0.8</f>
        <v>278.79117398212003</v>
      </c>
      <c r="P1461" s="13">
        <f t="shared" si="46"/>
        <v>1.9264856442862367E-3</v>
      </c>
      <c r="Z1461" s="8"/>
      <c r="AA1461" s="8">
        <f>CONVERT(Table1[[#This Row],[RevisedForecast 30% Recution2]]*Table1[[#This Row],[Talk Duration (AVG)]],"day","hr")</f>
        <v>12.890092666326259</v>
      </c>
      <c r="AB1461" s="10">
        <f>(Table1[[#This Row],[Forecast Workload Hours]]*60)*1.2</f>
        <v>928.08667197549062</v>
      </c>
      <c r="AC1461" s="10">
        <f>IF(Table1[[#This Row],[Forecast WOrkload Minutes]]&lt;384,1,Table1[[#This Row],[Forecast WOrkload Minutes]]/384)</f>
        <v>2.4168923749361735</v>
      </c>
      <c r="AD1461" s="10">
        <f>ROUNDUP(Table1[[#This Row],[Forecast Headcount]],0)</f>
        <v>3</v>
      </c>
      <c r="AE1461" s="11">
        <v>239.39441208480841</v>
      </c>
      <c r="AF1461" s="11">
        <v>456.3328120726278</v>
      </c>
      <c r="AG1461" t="s">
        <v>7</v>
      </c>
    </row>
    <row r="1462" spans="1:33">
      <c r="A1462" s="2">
        <v>45343</v>
      </c>
      <c r="B1462" s="2"/>
      <c r="C1462" s="5">
        <f>WEEKDAY(Table1[[#This Row],[Date]])</f>
        <v>4</v>
      </c>
      <c r="D1462" s="5">
        <f>MONTH(Table1[[#This Row],[Date]])</f>
        <v>2</v>
      </c>
      <c r="E1462" s="5">
        <f>WEEKNUM(Table1[[#This Row],[Date]])</f>
        <v>8</v>
      </c>
      <c r="F1462" s="5">
        <f>YEAR(Table1[[#This Row],[Date]])</f>
        <v>2024</v>
      </c>
      <c r="H1462">
        <v>362.39370210336119</v>
      </c>
      <c r="I1462">
        <f>Table1[[#This Row],[Forecast]]*0.9</f>
        <v>326.15433189302507</v>
      </c>
      <c r="J1462">
        <f>Table1[[#This Row],[Forecast]]*0.8</f>
        <v>289.91496168268895</v>
      </c>
      <c r="K1462">
        <f>Table1[[#This Row],[Forecast]]*0.8</f>
        <v>289.91496168268895</v>
      </c>
      <c r="P1462" s="13">
        <f t="shared" si="46"/>
        <v>1.9264694795399087E-3</v>
      </c>
      <c r="Z1462" s="8"/>
      <c r="AA1462" s="8">
        <f>CONVERT(Table1[[#This Row],[RevisedForecast 30% Recution2]]*Table1[[#This Row],[Talk Duration (AVG)]],"day","hr")</f>
        <v>13.404295808248374</v>
      </c>
      <c r="AB1462" s="10">
        <f>(Table1[[#This Row],[Forecast Workload Hours]]*60)*1.2</f>
        <v>965.10929819388286</v>
      </c>
      <c r="AC1462" s="10">
        <f>IF(Table1[[#This Row],[Forecast WOrkload Minutes]]&lt;384,1,Table1[[#This Row],[Forecast WOrkload Minutes]]/384)</f>
        <v>2.51330546404657</v>
      </c>
      <c r="AD1462" s="10">
        <f>ROUNDUP(Table1[[#This Row],[Forecast Headcount]],0)</f>
        <v>3</v>
      </c>
      <c r="AE1462" s="11">
        <v>255.93180612100761</v>
      </c>
      <c r="AF1462" s="11">
        <v>480.57877337657442</v>
      </c>
      <c r="AG1462" t="s">
        <v>7</v>
      </c>
    </row>
    <row r="1463" spans="1:33">
      <c r="A1463" s="2">
        <v>45344</v>
      </c>
      <c r="B1463" s="2"/>
      <c r="C1463" s="5">
        <f>WEEKDAY(Table1[[#This Row],[Date]])</f>
        <v>5</v>
      </c>
      <c r="D1463" s="5">
        <f>MONTH(Table1[[#This Row],[Date]])</f>
        <v>2</v>
      </c>
      <c r="E1463" s="5">
        <f>WEEKNUM(Table1[[#This Row],[Date]])</f>
        <v>8</v>
      </c>
      <c r="F1463" s="5">
        <f>YEAR(Table1[[#This Row],[Date]])</f>
        <v>2024</v>
      </c>
      <c r="H1463">
        <v>358.87276245016238</v>
      </c>
      <c r="I1463">
        <f>Table1[[#This Row],[Forecast]]*0.9</f>
        <v>322.98548620514617</v>
      </c>
      <c r="J1463">
        <f>Table1[[#This Row],[Forecast]]*0.8</f>
        <v>287.09820996012991</v>
      </c>
      <c r="K1463">
        <f>Table1[[#This Row],[Forecast]]*0.8</f>
        <v>287.09820996012991</v>
      </c>
      <c r="P1463" s="13">
        <f t="shared" si="46"/>
        <v>1.926453570315493E-3</v>
      </c>
      <c r="Z1463" s="8"/>
      <c r="AA1463" s="8">
        <f>CONVERT(Table1[[#This Row],[RevisedForecast 30% Recution2]]*Table1[[#This Row],[Talk Duration (AVG)]],"day","hr")</f>
        <v>13.273952918613102</v>
      </c>
      <c r="AB1463" s="10">
        <f>(Table1[[#This Row],[Forecast Workload Hours]]*60)*1.2</f>
        <v>955.72461014014323</v>
      </c>
      <c r="AC1463" s="10">
        <f>IF(Table1[[#This Row],[Forecast WOrkload Minutes]]&lt;384,1,Table1[[#This Row],[Forecast WOrkload Minutes]]/384)</f>
        <v>2.4888661722399563</v>
      </c>
      <c r="AD1463" s="10">
        <f>ROUNDUP(Table1[[#This Row],[Forecast Headcount]],0)</f>
        <v>3</v>
      </c>
      <c r="AE1463" s="11">
        <v>249.00396846837631</v>
      </c>
      <c r="AF1463" s="11">
        <v>460.75060813674872</v>
      </c>
      <c r="AG1463" t="s">
        <v>7</v>
      </c>
    </row>
    <row r="1464" spans="1:33">
      <c r="A1464" s="2">
        <v>45345</v>
      </c>
      <c r="B1464" s="2"/>
      <c r="C1464" s="5">
        <f>WEEKDAY(Table1[[#This Row],[Date]])</f>
        <v>6</v>
      </c>
      <c r="D1464" s="5">
        <f>MONTH(Table1[[#This Row],[Date]])</f>
        <v>2</v>
      </c>
      <c r="E1464" s="5">
        <f>WEEKNUM(Table1[[#This Row],[Date]])</f>
        <v>8</v>
      </c>
      <c r="F1464" s="5">
        <f>YEAR(Table1[[#This Row],[Date]])</f>
        <v>2024</v>
      </c>
      <c r="H1464">
        <v>350.77763252020071</v>
      </c>
      <c r="I1464">
        <f>Table1[[#This Row],[Forecast]]*0.9</f>
        <v>315.69986926818063</v>
      </c>
      <c r="J1464">
        <f>Table1[[#This Row],[Forecast]]*0.8</f>
        <v>280.62210601616056</v>
      </c>
      <c r="K1464">
        <f>Table1[[#This Row],[Forecast]]*0.8</f>
        <v>280.62210601616056</v>
      </c>
      <c r="P1464" s="13">
        <f t="shared" si="46"/>
        <v>1.9264409555743529E-3</v>
      </c>
      <c r="Z1464" s="8"/>
      <c r="AA1464" s="8">
        <f>CONVERT(Table1[[#This Row],[RevisedForecast 30% Recution2]]*Table1[[#This Row],[Talk Duration (AVG)]],"day","hr")</f>
        <v>12.974446033657431</v>
      </c>
      <c r="AB1464" s="10">
        <f>(Table1[[#This Row],[Forecast Workload Hours]]*60)*1.2</f>
        <v>934.1601144233349</v>
      </c>
      <c r="AC1464" s="10">
        <f>IF(Table1[[#This Row],[Forecast WOrkload Minutes]]&lt;384,1,Table1[[#This Row],[Forecast WOrkload Minutes]]/384)</f>
        <v>2.432708631310768</v>
      </c>
      <c r="AD1464" s="10">
        <f>ROUNDUP(Table1[[#This Row],[Forecast Headcount]],0)</f>
        <v>3</v>
      </c>
      <c r="AE1464" s="11">
        <v>234.75417300290701</v>
      </c>
      <c r="AF1464" s="11">
        <v>454.45907324362582</v>
      </c>
      <c r="AG1464" t="s">
        <v>7</v>
      </c>
    </row>
    <row r="1465" spans="1:33">
      <c r="A1465" s="2">
        <v>45346</v>
      </c>
      <c r="B1465" s="2"/>
      <c r="C1465" s="5">
        <f>WEEKDAY(Table1[[#This Row],[Date]])</f>
        <v>7</v>
      </c>
      <c r="D1465" s="5">
        <f>MONTH(Table1[[#This Row],[Date]])</f>
        <v>2</v>
      </c>
      <c r="E1465" s="5">
        <f>WEEKNUM(Table1[[#This Row],[Date]])</f>
        <v>8</v>
      </c>
      <c r="F1465" s="5">
        <f>YEAR(Table1[[#This Row],[Date]])</f>
        <v>2024</v>
      </c>
      <c r="H1465">
        <v>358.19138762541098</v>
      </c>
      <c r="I1465">
        <f>Table1[[#This Row],[Forecast]]*0.9</f>
        <v>322.37224886286987</v>
      </c>
      <c r="J1465">
        <f>Table1[[#This Row],[Forecast]]*0.8</f>
        <v>286.55311010032881</v>
      </c>
      <c r="K1465">
        <f>Table1[[#This Row],[Forecast]]*0.8</f>
        <v>286.55311010032881</v>
      </c>
      <c r="P1465" s="13">
        <f t="shared" si="46"/>
        <v>1.9264327092096429E-3</v>
      </c>
      <c r="Z1465" s="8"/>
      <c r="AA1465" s="8">
        <f>CONVERT(Table1[[#This Row],[RevisedForecast 30% Recution2]]*Table1[[#This Row],[Talk Duration (AVG)]],"day","hr")</f>
        <v>13.248606821352613</v>
      </c>
      <c r="AB1465" s="10">
        <f>(Table1[[#This Row],[Forecast Workload Hours]]*60)*1.2</f>
        <v>953.89969113738812</v>
      </c>
      <c r="AC1465" s="10">
        <f>IF(Table1[[#This Row],[Forecast WOrkload Minutes]]&lt;384,1,Table1[[#This Row],[Forecast WOrkload Minutes]]/384)</f>
        <v>2.4841137790036147</v>
      </c>
      <c r="AD1465" s="10">
        <f>ROUNDUP(Table1[[#This Row],[Forecast Headcount]],0)</f>
        <v>3</v>
      </c>
      <c r="AE1465" s="11">
        <v>244.85079196823389</v>
      </c>
      <c r="AF1465" s="11">
        <v>472.63193197819538</v>
      </c>
      <c r="AG1465" t="s">
        <v>7</v>
      </c>
    </row>
    <row r="1466" spans="1:33">
      <c r="A1466" s="2">
        <v>45347</v>
      </c>
      <c r="B1466" s="2"/>
      <c r="C1466" s="5">
        <f>WEEKDAY(Table1[[#This Row],[Date]])</f>
        <v>1</v>
      </c>
      <c r="D1466" s="5">
        <f>MONTH(Table1[[#This Row],[Date]])</f>
        <v>2</v>
      </c>
      <c r="E1466" s="5">
        <f>WEEKNUM(Table1[[#This Row],[Date]])</f>
        <v>9</v>
      </c>
      <c r="F1466" s="5">
        <f>YEAR(Table1[[#This Row],[Date]])</f>
        <v>2024</v>
      </c>
      <c r="H1466">
        <v>269.24749434171378</v>
      </c>
      <c r="I1466">
        <f>Table1[[#This Row],[Forecast]]*0.9</f>
        <v>242.32274490754241</v>
      </c>
      <c r="J1466">
        <f>Table1[[#This Row],[Forecast]]*0.8</f>
        <v>215.39799547337103</v>
      </c>
      <c r="K1466">
        <f>Table1[[#This Row],[Forecast]]*0.8</f>
        <v>215.39799547337103</v>
      </c>
      <c r="P1466" s="13">
        <f t="shared" si="46"/>
        <v>1.9264602526331538E-3</v>
      </c>
      <c r="Z1466" s="8"/>
      <c r="AA1466" s="8">
        <f>CONVERT(Table1[[#This Row],[RevisedForecast 30% Recution2]]*Table1[[#This Row],[Talk Duration (AVG)]],"day","hr")</f>
        <v>9.9589362426313262</v>
      </c>
      <c r="AB1466" s="10">
        <f>(Table1[[#This Row],[Forecast Workload Hours]]*60)*1.2</f>
        <v>717.04340946945547</v>
      </c>
      <c r="AC1466" s="10">
        <f>IF(Table1[[#This Row],[Forecast WOrkload Minutes]]&lt;384,1,Table1[[#This Row],[Forecast WOrkload Minutes]]/384)</f>
        <v>1.8673005454933735</v>
      </c>
      <c r="AD1466" s="10">
        <f>ROUNDUP(Table1[[#This Row],[Forecast Headcount]],0)</f>
        <v>2</v>
      </c>
      <c r="AE1466" s="11">
        <v>158.21399136080609</v>
      </c>
      <c r="AF1466" s="11">
        <v>385.21114547085182</v>
      </c>
      <c r="AG1466" t="s">
        <v>7</v>
      </c>
    </row>
    <row r="1467" spans="1:33">
      <c r="A1467" s="2">
        <v>45348</v>
      </c>
      <c r="B1467" s="2"/>
      <c r="C1467" s="5">
        <f>WEEKDAY(Table1[[#This Row],[Date]])</f>
        <v>2</v>
      </c>
      <c r="D1467" s="5">
        <f>MONTH(Table1[[#This Row],[Date]])</f>
        <v>2</v>
      </c>
      <c r="E1467" s="5">
        <f>WEEKNUM(Table1[[#This Row],[Date]])</f>
        <v>9</v>
      </c>
      <c r="F1467" s="5">
        <f>YEAR(Table1[[#This Row],[Date]])</f>
        <v>2024</v>
      </c>
      <c r="H1467">
        <v>368.28925560609969</v>
      </c>
      <c r="I1467">
        <f>Table1[[#This Row],[Forecast]]*0.9</f>
        <v>331.46033004548974</v>
      </c>
      <c r="J1467">
        <f>Table1[[#This Row],[Forecast]]*0.8</f>
        <v>294.63140448487974</v>
      </c>
      <c r="K1467">
        <f>Table1[[#This Row],[Forecast]]*0.8</f>
        <v>294.63140448487974</v>
      </c>
      <c r="P1467" s="13">
        <f t="shared" si="46"/>
        <v>1.9265181899864351E-3</v>
      </c>
      <c r="Z1467" s="8"/>
      <c r="AA1467" s="8">
        <f>CONVERT(Table1[[#This Row],[RevisedForecast 30% Recution2]]*Table1[[#This Row],[Talk Duration (AVG)]],"day","hr")</f>
        <v>13.622706241952923</v>
      </c>
      <c r="AB1467" s="10">
        <f>(Table1[[#This Row],[Forecast Workload Hours]]*60)*1.2</f>
        <v>980.83484942061034</v>
      </c>
      <c r="AC1467" s="10">
        <f>IF(Table1[[#This Row],[Forecast WOrkload Minutes]]&lt;384,1,Table1[[#This Row],[Forecast WOrkload Minutes]]/384)</f>
        <v>2.5542574203661728</v>
      </c>
      <c r="AD1467" s="10">
        <f>ROUNDUP(Table1[[#This Row],[Forecast Headcount]],0)</f>
        <v>3</v>
      </c>
      <c r="AE1467" s="11">
        <v>262.5607658863297</v>
      </c>
      <c r="AF1467" s="11">
        <v>484.57775188545628</v>
      </c>
      <c r="AG1467" t="s">
        <v>7</v>
      </c>
    </row>
    <row r="1468" spans="1:33">
      <c r="A1468" s="2">
        <v>45349</v>
      </c>
      <c r="B1468" s="2"/>
      <c r="C1468" s="5">
        <f>WEEKDAY(Table1[[#This Row],[Date]])</f>
        <v>3</v>
      </c>
      <c r="D1468" s="5">
        <f>MONTH(Table1[[#This Row],[Date]])</f>
        <v>2</v>
      </c>
      <c r="E1468" s="5">
        <f>WEEKNUM(Table1[[#This Row],[Date]])</f>
        <v>9</v>
      </c>
      <c r="F1468" s="5">
        <f>YEAR(Table1[[#This Row],[Date]])</f>
        <v>2024</v>
      </c>
      <c r="H1468">
        <v>350.87548552779418</v>
      </c>
      <c r="I1468">
        <f>Table1[[#This Row],[Forecast]]*0.9</f>
        <v>315.78793697501476</v>
      </c>
      <c r="J1468">
        <f>Table1[[#This Row],[Forecast]]*0.8</f>
        <v>280.70038842223533</v>
      </c>
      <c r="K1468">
        <f>Table1[[#This Row],[Forecast]]*0.8</f>
        <v>280.70038842223533</v>
      </c>
      <c r="P1468" s="13">
        <f t="shared" si="46"/>
        <v>1.926542387809517E-3</v>
      </c>
      <c r="Z1468" s="8"/>
      <c r="AA1468" s="8">
        <f>CONVERT(Table1[[#This Row],[RevisedForecast 30% Recution2]]*Table1[[#This Row],[Talk Duration (AVG)]],"day","hr")</f>
        <v>12.978748717680773</v>
      </c>
      <c r="AB1468" s="10">
        <f>(Table1[[#This Row],[Forecast Workload Hours]]*60)*1.2</f>
        <v>934.46990767301554</v>
      </c>
      <c r="AC1468" s="10">
        <f>IF(Table1[[#This Row],[Forecast WOrkload Minutes]]&lt;384,1,Table1[[#This Row],[Forecast WOrkload Minutes]]/384)</f>
        <v>2.4335153845651445</v>
      </c>
      <c r="AD1468" s="10">
        <f>ROUNDUP(Table1[[#This Row],[Forecast Headcount]],0)</f>
        <v>3</v>
      </c>
      <c r="AE1468" s="11">
        <v>244.29323474871231</v>
      </c>
      <c r="AF1468" s="11">
        <v>461.19168666644299</v>
      </c>
      <c r="AG1468" t="s">
        <v>7</v>
      </c>
    </row>
    <row r="1469" spans="1:33">
      <c r="A1469" s="2">
        <v>45350</v>
      </c>
      <c r="B1469" s="2"/>
      <c r="C1469" s="5">
        <f>WEEKDAY(Table1[[#This Row],[Date]])</f>
        <v>4</v>
      </c>
      <c r="D1469" s="5">
        <f>MONTH(Table1[[#This Row],[Date]])</f>
        <v>2</v>
      </c>
      <c r="E1469" s="5">
        <f>WEEKNUM(Table1[[#This Row],[Date]])</f>
        <v>9</v>
      </c>
      <c r="F1469" s="5">
        <f>YEAR(Table1[[#This Row],[Date]])</f>
        <v>2024</v>
      </c>
      <c r="H1469">
        <v>361.22040706236521</v>
      </c>
      <c r="I1469">
        <f>Table1[[#This Row],[Forecast]]*0.9</f>
        <v>325.09836635612868</v>
      </c>
      <c r="J1469">
        <f>Table1[[#This Row],[Forecast]]*0.8</f>
        <v>288.9763256498922</v>
      </c>
      <c r="K1469">
        <f>Table1[[#This Row],[Forecast]]*0.8</f>
        <v>288.9763256498922</v>
      </c>
      <c r="P1469" s="13">
        <f t="shared" si="46"/>
        <v>1.9265664117658807E-3</v>
      </c>
      <c r="Z1469" s="8"/>
      <c r="AA1469" s="8">
        <f>CONVERT(Table1[[#This Row],[RevisedForecast 30% Recution2]]*Table1[[#This Row],[Talk Duration (AVG)]],"day","hr")</f>
        <v>13.361569987022435</v>
      </c>
      <c r="AB1469" s="10">
        <f>(Table1[[#This Row],[Forecast Workload Hours]]*60)*1.2</f>
        <v>962.03303906561518</v>
      </c>
      <c r="AC1469" s="10">
        <f>IF(Table1[[#This Row],[Forecast WOrkload Minutes]]&lt;384,1,Table1[[#This Row],[Forecast WOrkload Minutes]]/384)</f>
        <v>2.5052943725667061</v>
      </c>
      <c r="AD1469" s="10">
        <f>ROUNDUP(Table1[[#This Row],[Forecast Headcount]],0)</f>
        <v>3</v>
      </c>
      <c r="AE1469" s="11">
        <v>243.1063748684422</v>
      </c>
      <c r="AF1469" s="11">
        <v>467.05280811388462</v>
      </c>
      <c r="AG1469" t="s">
        <v>7</v>
      </c>
    </row>
    <row r="1470" spans="1:33">
      <c r="A1470" s="2">
        <v>45351</v>
      </c>
      <c r="B1470" s="2"/>
      <c r="C1470" s="5">
        <f>WEEKDAY(Table1[[#This Row],[Date]])</f>
        <v>5</v>
      </c>
      <c r="D1470" s="5">
        <f>MONTH(Table1[[#This Row],[Date]])</f>
        <v>2</v>
      </c>
      <c r="E1470" s="5">
        <f>WEEKNUM(Table1[[#This Row],[Date]])</f>
        <v>9</v>
      </c>
      <c r="F1470" s="5">
        <f>YEAR(Table1[[#This Row],[Date]])</f>
        <v>2024</v>
      </c>
      <c r="H1470">
        <v>354.06187497040469</v>
      </c>
      <c r="I1470">
        <f>Table1[[#This Row],[Forecast]]*0.9</f>
        <v>318.65568747336425</v>
      </c>
      <c r="J1470">
        <f>Table1[[#This Row],[Forecast]]*0.8</f>
        <v>283.24949997632376</v>
      </c>
      <c r="K1470">
        <f>Table1[[#This Row],[Forecast]]*0.8</f>
        <v>283.24949997632376</v>
      </c>
      <c r="P1470" s="13">
        <f t="shared" si="46"/>
        <v>1.9265902832464623E-3</v>
      </c>
      <c r="Z1470" s="8"/>
      <c r="AA1470" s="8">
        <f>CONVERT(Table1[[#This Row],[RevisedForecast 30% Recution2]]*Table1[[#This Row],[Talk Duration (AVG)]],"day","hr")</f>
        <v>13.096937625331305</v>
      </c>
      <c r="AB1470" s="10">
        <f>(Table1[[#This Row],[Forecast Workload Hours]]*60)*1.2</f>
        <v>942.97950902385401</v>
      </c>
      <c r="AC1470" s="10">
        <f>IF(Table1[[#This Row],[Forecast WOrkload Minutes]]&lt;384,1,Table1[[#This Row],[Forecast WOrkload Minutes]]/384)</f>
        <v>2.4556758047496197</v>
      </c>
      <c r="AD1470" s="10">
        <f>ROUNDUP(Table1[[#This Row],[Forecast Headcount]],0)</f>
        <v>3</v>
      </c>
      <c r="AE1470" s="11">
        <v>244.99568947093721</v>
      </c>
      <c r="AF1470" s="11">
        <v>462.78341927656282</v>
      </c>
      <c r="AG1470" t="s">
        <v>7</v>
      </c>
    </row>
    <row r="1471" spans="1:33">
      <c r="A1471" s="2">
        <v>45352</v>
      </c>
      <c r="B1471" s="2"/>
      <c r="C1471" s="5">
        <f>WEEKDAY(Table1[[#This Row],[Date]])</f>
        <v>6</v>
      </c>
      <c r="D1471" s="5">
        <f>MONTH(Table1[[#This Row],[Date]])</f>
        <v>3</v>
      </c>
      <c r="E1471" s="5">
        <f>WEEKNUM(Table1[[#This Row],[Date]])</f>
        <v>9</v>
      </c>
      <c r="F1471" s="5">
        <f>YEAR(Table1[[#This Row],[Date]])</f>
        <v>2024</v>
      </c>
      <c r="H1471">
        <v>342.31146802207297</v>
      </c>
      <c r="I1471">
        <f>Table1[[#This Row],[Forecast]]*0.9</f>
        <v>308.08032121986571</v>
      </c>
      <c r="J1471">
        <f>Table1[[#This Row],[Forecast]]*0.8</f>
        <v>273.84917441765839</v>
      </c>
      <c r="K1471">
        <f>Table1[[#This Row],[Forecast]]*0.8</f>
        <v>273.84917441765839</v>
      </c>
      <c r="P1471" s="13">
        <f t="shared" si="46"/>
        <v>1.9266139959635755E-3</v>
      </c>
      <c r="Z1471" s="8"/>
      <c r="AA1471" s="8">
        <f>CONVERT(Table1[[#This Row],[RevisedForecast 30% Recution2]]*Table1[[#This Row],[Talk Duration (AVG)]],"day","hr")</f>
        <v>12.662439653187143</v>
      </c>
      <c r="AB1471" s="10">
        <f>(Table1[[#This Row],[Forecast Workload Hours]]*60)*1.2</f>
        <v>911.69565502947432</v>
      </c>
      <c r="AC1471" s="10">
        <f>IF(Table1[[#This Row],[Forecast WOrkload Minutes]]&lt;384,1,Table1[[#This Row],[Forecast WOrkload Minutes]]/384)</f>
        <v>2.3742074349725892</v>
      </c>
      <c r="AD1471" s="10">
        <f>ROUNDUP(Table1[[#This Row],[Forecast Headcount]],0)</f>
        <v>3</v>
      </c>
      <c r="AE1471" s="11">
        <v>235.54033020414849</v>
      </c>
      <c r="AF1471" s="11">
        <v>450.66007071819882</v>
      </c>
      <c r="AG1471" t="s">
        <v>7</v>
      </c>
    </row>
    <row r="1472" spans="1:33">
      <c r="A1472" s="2">
        <v>45353</v>
      </c>
      <c r="B1472" s="2"/>
      <c r="C1472" s="5">
        <f>WEEKDAY(Table1[[#This Row],[Date]])</f>
        <v>7</v>
      </c>
      <c r="D1472" s="5">
        <f>MONTH(Table1[[#This Row],[Date]])</f>
        <v>3</v>
      </c>
      <c r="E1472" s="5">
        <f>WEEKNUM(Table1[[#This Row],[Date]])</f>
        <v>9</v>
      </c>
      <c r="F1472" s="5">
        <f>YEAR(Table1[[#This Row],[Date]])</f>
        <v>2024</v>
      </c>
      <c r="H1472">
        <v>346.11372373410597</v>
      </c>
      <c r="I1472">
        <f>Table1[[#This Row],[Forecast]]*0.9</f>
        <v>311.5023513606954</v>
      </c>
      <c r="J1472">
        <f>Table1[[#This Row],[Forecast]]*0.8</f>
        <v>276.89097898728477</v>
      </c>
      <c r="K1472">
        <f>Table1[[#This Row],[Forecast]]*0.8</f>
        <v>276.89097898728477</v>
      </c>
      <c r="P1472" s="13">
        <f t="shared" si="46"/>
        <v>1.9266374868254577E-3</v>
      </c>
      <c r="Z1472" s="8"/>
      <c r="AA1472" s="8">
        <f>CONVERT(Table1[[#This Row],[RevisedForecast 30% Recution2]]*Table1[[#This Row],[Talk Duration (AVG)]],"day","hr")</f>
        <v>12.80324495713687</v>
      </c>
      <c r="AB1472" s="10">
        <f>(Table1[[#This Row],[Forecast Workload Hours]]*60)*1.2</f>
        <v>921.83363691385455</v>
      </c>
      <c r="AC1472" s="10">
        <f>IF(Table1[[#This Row],[Forecast WOrkload Minutes]]&lt;384,1,Table1[[#This Row],[Forecast WOrkload Minutes]]/384)</f>
        <v>2.4006084294631629</v>
      </c>
      <c r="AD1472" s="10">
        <f>ROUNDUP(Table1[[#This Row],[Forecast Headcount]],0)</f>
        <v>3</v>
      </c>
      <c r="AE1472" s="11">
        <v>230.37990552847339</v>
      </c>
      <c r="AF1472" s="11">
        <v>459.33403687920429</v>
      </c>
      <c r="AG1472" t="s">
        <v>7</v>
      </c>
    </row>
    <row r="1473" spans="1:33">
      <c r="A1473" s="2">
        <v>45354</v>
      </c>
      <c r="B1473" s="2"/>
      <c r="C1473" s="5">
        <f>WEEKDAY(Table1[[#This Row],[Date]])</f>
        <v>1</v>
      </c>
      <c r="D1473" s="5">
        <f>MONTH(Table1[[#This Row],[Date]])</f>
        <v>3</v>
      </c>
      <c r="E1473" s="5">
        <f>WEEKNUM(Table1[[#This Row],[Date]])</f>
        <v>10</v>
      </c>
      <c r="F1473" s="5">
        <f>YEAR(Table1[[#This Row],[Date]])</f>
        <v>2024</v>
      </c>
      <c r="H1473">
        <v>253.6636964773854</v>
      </c>
      <c r="I1473">
        <f>Table1[[#This Row],[Forecast]]*0.9</f>
        <v>228.29732682964686</v>
      </c>
      <c r="J1473">
        <f>Table1[[#This Row],[Forecast]]*0.8</f>
        <v>202.93095718190833</v>
      </c>
      <c r="K1473">
        <f>Table1[[#This Row],[Forecast]]*0.8</f>
        <v>202.93095718190833</v>
      </c>
      <c r="P1473" s="13">
        <f t="shared" si="46"/>
        <v>1.9266606721367204E-3</v>
      </c>
      <c r="Z1473" s="8"/>
      <c r="AA1473" s="8">
        <f>CONVERT(Table1[[#This Row],[RevisedForecast 30% Recution2]]*Table1[[#This Row],[Talk Duration (AVG)]],"day","hr")</f>
        <v>9.3834982646746443</v>
      </c>
      <c r="AB1473" s="10">
        <f>(Table1[[#This Row],[Forecast Workload Hours]]*60)*1.2</f>
        <v>675.61187505657438</v>
      </c>
      <c r="AC1473" s="10">
        <f>IF(Table1[[#This Row],[Forecast WOrkload Minutes]]&lt;384,1,Table1[[#This Row],[Forecast WOrkload Minutes]]/384)</f>
        <v>1.7594059246264957</v>
      </c>
      <c r="AD1473" s="10">
        <f>ROUNDUP(Table1[[#This Row],[Forecast Headcount]],0)</f>
        <v>2</v>
      </c>
      <c r="AE1473" s="11">
        <v>140.7462601495474</v>
      </c>
      <c r="AF1473" s="11">
        <v>360.98182395387983</v>
      </c>
      <c r="AG1473" t="s">
        <v>7</v>
      </c>
    </row>
    <row r="1474" spans="1:33">
      <c r="A1474" s="2">
        <v>45355</v>
      </c>
      <c r="B1474" s="2"/>
      <c r="C1474" s="5">
        <f>WEEKDAY(Table1[[#This Row],[Date]])</f>
        <v>2</v>
      </c>
      <c r="D1474" s="5">
        <f>MONTH(Table1[[#This Row],[Date]])</f>
        <v>3</v>
      </c>
      <c r="E1474" s="5">
        <f>WEEKNUM(Table1[[#This Row],[Date]])</f>
        <v>10</v>
      </c>
      <c r="F1474" s="5">
        <f>YEAR(Table1[[#This Row],[Date]])</f>
        <v>2024</v>
      </c>
      <c r="H1474">
        <v>349.36514513658688</v>
      </c>
      <c r="I1474">
        <f>Table1[[#This Row],[Forecast]]*0.9</f>
        <v>314.42863062292821</v>
      </c>
      <c r="J1474">
        <f>Table1[[#This Row],[Forecast]]*0.8</f>
        <v>279.49211610926949</v>
      </c>
      <c r="K1474">
        <f>Table1[[#This Row],[Forecast]]*0.8</f>
        <v>279.49211610926949</v>
      </c>
      <c r="P1474" s="13">
        <f t="shared" si="46"/>
        <v>1.9266835226202186E-3</v>
      </c>
      <c r="Z1474" s="8"/>
      <c r="AA1474" s="8">
        <f>CONVERT(Table1[[#This Row],[RevisedForecast 30% Recution2]]*Table1[[#This Row],[Talk Duration (AVG)]],"day","hr")</f>
        <v>12.923828515439675</v>
      </c>
      <c r="AB1474" s="10">
        <f>(Table1[[#This Row],[Forecast Workload Hours]]*60)*1.2</f>
        <v>930.51565311165655</v>
      </c>
      <c r="AC1474" s="10">
        <f>IF(Table1[[#This Row],[Forecast WOrkload Minutes]]&lt;384,1,Table1[[#This Row],[Forecast WOrkload Minutes]]/384)</f>
        <v>2.4232178466449388</v>
      </c>
      <c r="AD1474" s="10">
        <f>ROUNDUP(Table1[[#This Row],[Forecast Headcount]],0)</f>
        <v>3</v>
      </c>
      <c r="AE1474" s="11">
        <v>232.51918928146071</v>
      </c>
      <c r="AF1474" s="11">
        <v>455.41090359418553</v>
      </c>
      <c r="AG1474" t="s">
        <v>7</v>
      </c>
    </row>
    <row r="1475" spans="1:33">
      <c r="A1475" s="2">
        <v>45356</v>
      </c>
      <c r="B1475" s="2"/>
      <c r="C1475" s="5">
        <f>WEEKDAY(Table1[[#This Row],[Date]])</f>
        <v>3</v>
      </c>
      <c r="D1475" s="5">
        <f>MONTH(Table1[[#This Row],[Date]])</f>
        <v>3</v>
      </c>
      <c r="E1475" s="5">
        <f>WEEKNUM(Table1[[#This Row],[Date]])</f>
        <v>10</v>
      </c>
      <c r="F1475" s="5">
        <f>YEAR(Table1[[#This Row],[Date]])</f>
        <v>2024</v>
      </c>
      <c r="H1475">
        <v>328.83496352397191</v>
      </c>
      <c r="I1475">
        <f>Table1[[#This Row],[Forecast]]*0.9</f>
        <v>295.95146717157473</v>
      </c>
      <c r="J1475">
        <f>Table1[[#This Row],[Forecast]]*0.8</f>
        <v>263.06797081917756</v>
      </c>
      <c r="K1475">
        <f>Table1[[#This Row],[Forecast]]*0.8</f>
        <v>263.06797081917756</v>
      </c>
      <c r="P1475" s="13">
        <f t="shared" si="46"/>
        <v>1.9267061499955726E-3</v>
      </c>
      <c r="Z1475" s="8"/>
      <c r="AA1475" s="8">
        <f>CONVERT(Table1[[#This Row],[RevisedForecast 30% Recution2]]*Table1[[#This Row],[Talk Duration (AVG)]],"day","hr")</f>
        <v>12.164512253859964</v>
      </c>
      <c r="AB1475" s="10">
        <f>(Table1[[#This Row],[Forecast Workload Hours]]*60)*1.2</f>
        <v>875.84488227791746</v>
      </c>
      <c r="AC1475" s="10">
        <f>IF(Table1[[#This Row],[Forecast WOrkload Minutes]]&lt;384,1,Table1[[#This Row],[Forecast WOrkload Minutes]]/384)</f>
        <v>2.2808460475987435</v>
      </c>
      <c r="AD1475" s="10">
        <f>ROUNDUP(Table1[[#This Row],[Forecast Headcount]],0)</f>
        <v>3</v>
      </c>
      <c r="AE1475" s="11">
        <v>202.90570295584001</v>
      </c>
      <c r="AF1475" s="11">
        <v>434.36125794394837</v>
      </c>
      <c r="AG1475" t="s">
        <v>7</v>
      </c>
    </row>
    <row r="1476" spans="1:33">
      <c r="A1476" s="2">
        <v>45357</v>
      </c>
      <c r="B1476" s="2"/>
      <c r="C1476" s="5">
        <f>WEEKDAY(Table1[[#This Row],[Date]])</f>
        <v>4</v>
      </c>
      <c r="D1476" s="5">
        <f>MONTH(Table1[[#This Row],[Date]])</f>
        <v>3</v>
      </c>
      <c r="E1476" s="5">
        <f>WEEKNUM(Table1[[#This Row],[Date]])</f>
        <v>10</v>
      </c>
      <c r="F1476" s="5">
        <f>YEAR(Table1[[#This Row],[Date]])</f>
        <v>2024</v>
      </c>
      <c r="H1476">
        <v>336.3418752216042</v>
      </c>
      <c r="I1476">
        <f>Table1[[#This Row],[Forecast]]*0.9</f>
        <v>302.7076876994438</v>
      </c>
      <c r="J1476">
        <f>Table1[[#This Row],[Forecast]]*0.8</f>
        <v>269.07350017728339</v>
      </c>
      <c r="K1476">
        <f>Table1[[#This Row],[Forecast]]*0.8</f>
        <v>269.07350017728339</v>
      </c>
      <c r="P1476" s="13">
        <f t="shared" si="46"/>
        <v>1.9267285086072244E-3</v>
      </c>
      <c r="Z1476" s="8"/>
      <c r="AA1476" s="8">
        <f>CONVERT(Table1[[#This Row],[RevisedForecast 30% Recution2]]*Table1[[#This Row],[Talk Duration (AVG)]],"day","hr")</f>
        <v>12.442358008855273</v>
      </c>
      <c r="AB1476" s="10">
        <f>(Table1[[#This Row],[Forecast Workload Hours]]*60)*1.2</f>
        <v>895.84977663757957</v>
      </c>
      <c r="AC1476" s="10">
        <f>IF(Table1[[#This Row],[Forecast WOrkload Minutes]]&lt;384,1,Table1[[#This Row],[Forecast WOrkload Minutes]]/384)</f>
        <v>2.3329421266603636</v>
      </c>
      <c r="AD1476" s="10">
        <f>ROUNDUP(Table1[[#This Row],[Forecast Headcount]],0)</f>
        <v>3</v>
      </c>
      <c r="AE1476" s="11">
        <v>225.11041029815709</v>
      </c>
      <c r="AF1476" s="11">
        <v>437.15274381867181</v>
      </c>
      <c r="AG1476" t="s">
        <v>7</v>
      </c>
    </row>
    <row r="1477" spans="1:33">
      <c r="A1477" s="2">
        <v>45358</v>
      </c>
      <c r="B1477" s="2"/>
      <c r="C1477" s="5">
        <f>WEEKDAY(Table1[[#This Row],[Date]])</f>
        <v>5</v>
      </c>
      <c r="D1477" s="5">
        <f>MONTH(Table1[[#This Row],[Date]])</f>
        <v>3</v>
      </c>
      <c r="E1477" s="5">
        <f>WEEKNUM(Table1[[#This Row],[Date]])</f>
        <v>10</v>
      </c>
      <c r="F1477" s="5">
        <f>YEAR(Table1[[#This Row],[Date]])</f>
        <v>2024</v>
      </c>
      <c r="H1477">
        <v>326.67352297945092</v>
      </c>
      <c r="I1477">
        <f>Table1[[#This Row],[Forecast]]*0.9</f>
        <v>294.00617068150586</v>
      </c>
      <c r="J1477">
        <f>Table1[[#This Row],[Forecast]]*0.8</f>
        <v>261.33881838356075</v>
      </c>
      <c r="K1477">
        <f>Table1[[#This Row],[Forecast]]*0.8</f>
        <v>261.33881838356075</v>
      </c>
      <c r="P1477" s="13">
        <f t="shared" si="46"/>
        <v>1.9267505799403452E-3</v>
      </c>
      <c r="Z1477" s="8"/>
      <c r="AA1477" s="8">
        <f>CONVERT(Table1[[#This Row],[RevisedForecast 30% Recution2]]*Table1[[#This Row],[Talk Duration (AVG)]],"day","hr")</f>
        <v>12.084833277154805</v>
      </c>
      <c r="AB1477" s="10">
        <f>(Table1[[#This Row],[Forecast Workload Hours]]*60)*1.2</f>
        <v>870.10799595514595</v>
      </c>
      <c r="AC1477" s="10">
        <f>IF(Table1[[#This Row],[Forecast WOrkload Minutes]]&lt;384,1,Table1[[#This Row],[Forecast WOrkload Minutes]]/384)</f>
        <v>2.2659062394665259</v>
      </c>
      <c r="AD1477" s="10">
        <f>ROUNDUP(Table1[[#This Row],[Forecast Headcount]],0)</f>
        <v>3</v>
      </c>
      <c r="AE1477" s="11">
        <v>217.78300451797529</v>
      </c>
      <c r="AF1477" s="11">
        <v>442.14064536592008</v>
      </c>
      <c r="AG1477" t="s">
        <v>7</v>
      </c>
    </row>
    <row r="1478" spans="1:33">
      <c r="A1478" s="2">
        <v>45359</v>
      </c>
      <c r="B1478" s="2"/>
      <c r="C1478" s="5">
        <f>WEEKDAY(Table1[[#This Row],[Date]])</f>
        <v>6</v>
      </c>
      <c r="D1478" s="5">
        <f>MONTH(Table1[[#This Row],[Date]])</f>
        <v>3</v>
      </c>
      <c r="E1478" s="5">
        <f>WEEKNUM(Table1[[#This Row],[Date]])</f>
        <v>10</v>
      </c>
      <c r="F1478" s="5">
        <f>YEAR(Table1[[#This Row],[Date]])</f>
        <v>2024</v>
      </c>
      <c r="H1478">
        <v>312.785522833225</v>
      </c>
      <c r="I1478">
        <f>Table1[[#This Row],[Forecast]]*0.9</f>
        <v>281.50697054990252</v>
      </c>
      <c r="J1478">
        <f>Table1[[#This Row],[Forecast]]*0.8</f>
        <v>250.22841826658001</v>
      </c>
      <c r="K1478">
        <f>Table1[[#This Row],[Forecast]]*0.8</f>
        <v>250.22841826658001</v>
      </c>
      <c r="P1478" s="13">
        <f t="shared" si="46"/>
        <v>1.9267724773203829E-3</v>
      </c>
      <c r="Z1478" s="8"/>
      <c r="AA1478" s="8">
        <f>CONVERT(Table1[[#This Row],[RevisedForecast 30% Recution2]]*Table1[[#This Row],[Talk Duration (AVG)]],"day","hr")</f>
        <v>11.571197504627023</v>
      </c>
      <c r="AB1478" s="10">
        <f>(Table1[[#This Row],[Forecast Workload Hours]]*60)*1.2</f>
        <v>833.12622033314551</v>
      </c>
      <c r="AC1478" s="10">
        <f>IF(Table1[[#This Row],[Forecast WOrkload Minutes]]&lt;384,1,Table1[[#This Row],[Forecast WOrkload Minutes]]/384)</f>
        <v>2.1695995321175663</v>
      </c>
      <c r="AD1478" s="10">
        <f>ROUNDUP(Table1[[#This Row],[Forecast Headcount]],0)</f>
        <v>3</v>
      </c>
      <c r="AE1478" s="11">
        <v>210.1954412139622</v>
      </c>
      <c r="AF1478" s="11">
        <v>432.3728414803075</v>
      </c>
      <c r="AG1478" t="s">
        <v>7</v>
      </c>
    </row>
    <row r="1479" spans="1:33">
      <c r="A1479" s="2">
        <v>45360</v>
      </c>
      <c r="B1479" s="2"/>
      <c r="C1479" s="5">
        <f>WEEKDAY(Table1[[#This Row],[Date]])</f>
        <v>7</v>
      </c>
      <c r="D1479" s="5">
        <f>MONTH(Table1[[#This Row],[Date]])</f>
        <v>3</v>
      </c>
      <c r="E1479" s="5">
        <f>WEEKNUM(Table1[[#This Row],[Date]])</f>
        <v>10</v>
      </c>
      <c r="F1479" s="5">
        <f>YEAR(Table1[[#This Row],[Date]])</f>
        <v>2024</v>
      </c>
      <c r="H1479">
        <v>314.85978031099052</v>
      </c>
      <c r="I1479">
        <f>Table1[[#This Row],[Forecast]]*0.9</f>
        <v>283.37380227989149</v>
      </c>
      <c r="J1479">
        <f>Table1[[#This Row],[Forecast]]*0.8</f>
        <v>251.88782424879241</v>
      </c>
      <c r="K1479">
        <f>Table1[[#This Row],[Forecast]]*0.8</f>
        <v>251.88782424879241</v>
      </c>
      <c r="P1479" s="13">
        <f t="shared" si="46"/>
        <v>1.9267940055632223E-3</v>
      </c>
      <c r="Z1479" s="8"/>
      <c r="AA1479" s="8">
        <f>CONVERT(Table1[[#This Row],[RevisedForecast 30% Recution2]]*Table1[[#This Row],[Talk Duration (AVG)]],"day","hr")</f>
        <v>11.648062796086455</v>
      </c>
      <c r="AB1479" s="10">
        <f>(Table1[[#This Row],[Forecast Workload Hours]]*60)*1.2</f>
        <v>838.66052131822471</v>
      </c>
      <c r="AC1479" s="10">
        <f>IF(Table1[[#This Row],[Forecast WOrkload Minutes]]&lt;384,1,Table1[[#This Row],[Forecast WOrkload Minutes]]/384)</f>
        <v>2.1840117742662102</v>
      </c>
      <c r="AD1479" s="10">
        <f>ROUNDUP(Table1[[#This Row],[Forecast Headcount]],0)</f>
        <v>3</v>
      </c>
      <c r="AE1479" s="11">
        <v>194.9550170394958</v>
      </c>
      <c r="AF1479" s="11">
        <v>424.25564400528208</v>
      </c>
      <c r="AG1479" t="s">
        <v>7</v>
      </c>
    </row>
    <row r="1480" spans="1:33">
      <c r="A1480" s="2">
        <v>45361</v>
      </c>
      <c r="B1480" s="2"/>
      <c r="C1480" s="5">
        <f>WEEKDAY(Table1[[#This Row],[Date]])</f>
        <v>1</v>
      </c>
      <c r="D1480" s="5">
        <f>MONTH(Table1[[#This Row],[Date]])</f>
        <v>3</v>
      </c>
      <c r="E1480" s="5">
        <f>WEEKNUM(Table1[[#This Row],[Date]])</f>
        <v>11</v>
      </c>
      <c r="F1480" s="5">
        <f>YEAR(Table1[[#This Row],[Date]])</f>
        <v>2024</v>
      </c>
      <c r="H1480">
        <v>221.12127088280579</v>
      </c>
      <c r="I1480">
        <f>Table1[[#This Row],[Forecast]]*0.9</f>
        <v>199.00914379452522</v>
      </c>
      <c r="J1480">
        <f>Table1[[#This Row],[Forecast]]*0.8</f>
        <v>176.89701670624464</v>
      </c>
      <c r="K1480">
        <f>Table1[[#This Row],[Forecast]]*0.8</f>
        <v>176.89701670624464</v>
      </c>
      <c r="P1480" s="13">
        <f t="shared" si="46"/>
        <v>1.9268149735237872E-3</v>
      </c>
      <c r="Z1480" s="8"/>
      <c r="AA1480" s="8">
        <f>CONVERT(Table1[[#This Row],[RevisedForecast 30% Recution2]]*Table1[[#This Row],[Talk Duration (AVG)]],"day","hr")</f>
        <v>8.1803476934707131</v>
      </c>
      <c r="AB1480" s="10">
        <f>(Table1[[#This Row],[Forecast Workload Hours]]*60)*1.2</f>
        <v>588.9850339298913</v>
      </c>
      <c r="AC1480" s="10">
        <f>IF(Table1[[#This Row],[Forecast WOrkload Minutes]]&lt;384,1,Table1[[#This Row],[Forecast WOrkload Minutes]]/384)</f>
        <v>1.5338151925257586</v>
      </c>
      <c r="AD1480" s="10">
        <f>ROUNDUP(Table1[[#This Row],[Forecast Headcount]],0)</f>
        <v>2</v>
      </c>
      <c r="AE1480" s="11">
        <v>105.98744454390889</v>
      </c>
      <c r="AF1480" s="11">
        <v>336.26118958946972</v>
      </c>
      <c r="AG1480" t="s">
        <v>7</v>
      </c>
    </row>
    <row r="1481" spans="1:33">
      <c r="A1481" s="2">
        <v>45362</v>
      </c>
      <c r="B1481" s="2"/>
      <c r="C1481" s="5">
        <f>WEEKDAY(Table1[[#This Row],[Date]])</f>
        <v>2</v>
      </c>
      <c r="D1481" s="5">
        <f>MONTH(Table1[[#This Row],[Date]])</f>
        <v>3</v>
      </c>
      <c r="E1481" s="5">
        <f>WEEKNUM(Table1[[#This Row],[Date]])</f>
        <v>11</v>
      </c>
      <c r="F1481" s="5">
        <f>YEAR(Table1[[#This Row],[Date]])</f>
        <v>2024</v>
      </c>
      <c r="H1481">
        <v>315.99560890119818</v>
      </c>
      <c r="I1481">
        <f>Table1[[#This Row],[Forecast]]*0.9</f>
        <v>284.39604801107839</v>
      </c>
      <c r="J1481">
        <f>Table1[[#This Row],[Forecast]]*0.8</f>
        <v>252.79648712095855</v>
      </c>
      <c r="K1481">
        <f>Table1[[#This Row],[Forecast]]*0.8</f>
        <v>252.79648712095855</v>
      </c>
      <c r="P1481" s="13">
        <f t="shared" si="46"/>
        <v>1.9268352792913145E-3</v>
      </c>
      <c r="Z1481" s="8"/>
      <c r="AA1481" s="8">
        <f>CONVERT(Table1[[#This Row],[RevisedForecast 30% Recution2]]*Table1[[#This Row],[Talk Duration (AVG)]],"day","hr")</f>
        <v>11.690332556773809</v>
      </c>
      <c r="AB1481" s="10">
        <f>(Table1[[#This Row],[Forecast Workload Hours]]*60)*1.2</f>
        <v>841.70394408771426</v>
      </c>
      <c r="AC1481" s="10">
        <f>IF(Table1[[#This Row],[Forecast WOrkload Minutes]]&lt;384,1,Table1[[#This Row],[Forecast WOrkload Minutes]]/384)</f>
        <v>2.1919373543950891</v>
      </c>
      <c r="AD1481" s="10">
        <f>ROUNDUP(Table1[[#This Row],[Forecast Headcount]],0)</f>
        <v>3</v>
      </c>
      <c r="AE1481" s="11">
        <v>203.15506777199269</v>
      </c>
      <c r="AF1481" s="11">
        <v>427.87395596614328</v>
      </c>
      <c r="AG1481" t="s">
        <v>7</v>
      </c>
    </row>
    <row r="1482" spans="1:33">
      <c r="A1482" s="2">
        <v>45363</v>
      </c>
      <c r="B1482" s="2"/>
      <c r="C1482" s="5">
        <f>WEEKDAY(Table1[[#This Row],[Date]])</f>
        <v>3</v>
      </c>
      <c r="D1482" s="5">
        <f>MONTH(Table1[[#This Row],[Date]])</f>
        <v>3</v>
      </c>
      <c r="E1482" s="5">
        <f>WEEKNUM(Table1[[#This Row],[Date]])</f>
        <v>11</v>
      </c>
      <c r="F1482" s="5">
        <f>YEAR(Table1[[#This Row],[Date]])</f>
        <v>2024</v>
      </c>
      <c r="H1482">
        <v>295.11303257783669</v>
      </c>
      <c r="I1482">
        <f>Table1[[#This Row],[Forecast]]*0.9</f>
        <v>265.60172932005304</v>
      </c>
      <c r="J1482">
        <f>Table1[[#This Row],[Forecast]]*0.8</f>
        <v>236.09042606226936</v>
      </c>
      <c r="K1482">
        <f>Table1[[#This Row],[Forecast]]*0.8</f>
        <v>236.09042606226936</v>
      </c>
      <c r="P1482" s="13">
        <f t="shared" si="46"/>
        <v>1.9268549032931434E-3</v>
      </c>
      <c r="Z1482" s="8"/>
      <c r="AA1482" s="8">
        <f>CONVERT(Table1[[#This Row],[RevisedForecast 30% Recution2]]*Table1[[#This Row],[Talk Duration (AVG)]],"day","hr")</f>
        <v>10.917887881887625</v>
      </c>
      <c r="AB1482" s="10">
        <f>(Table1[[#This Row],[Forecast Workload Hours]]*60)*1.2</f>
        <v>786.08792749590896</v>
      </c>
      <c r="AC1482" s="10">
        <f>IF(Table1[[#This Row],[Forecast WOrkload Minutes]]&lt;384,1,Table1[[#This Row],[Forecast WOrkload Minutes]]/384)</f>
        <v>2.0471039778539297</v>
      </c>
      <c r="AD1482" s="10">
        <f>ROUNDUP(Table1[[#This Row],[Forecast Headcount]],0)</f>
        <v>3</v>
      </c>
      <c r="AE1482" s="11">
        <v>184.58447777260201</v>
      </c>
      <c r="AF1482" s="11">
        <v>403.26964893289698</v>
      </c>
      <c r="AG1482" t="s">
        <v>7</v>
      </c>
    </row>
    <row r="1483" spans="1:33">
      <c r="A1483" s="2">
        <v>45364</v>
      </c>
      <c r="B1483" s="2"/>
      <c r="C1483" s="5">
        <f>WEEKDAY(Table1[[#This Row],[Date]])</f>
        <v>4</v>
      </c>
      <c r="D1483" s="5">
        <f>MONTH(Table1[[#This Row],[Date]])</f>
        <v>3</v>
      </c>
      <c r="E1483" s="5">
        <f>WEEKNUM(Table1[[#This Row],[Date]])</f>
        <v>11</v>
      </c>
      <c r="F1483" s="5">
        <f>YEAR(Table1[[#This Row],[Date]])</f>
        <v>2024</v>
      </c>
      <c r="H1483">
        <v>302.74683693532961</v>
      </c>
      <c r="I1483">
        <f>Table1[[#This Row],[Forecast]]*0.9</f>
        <v>272.47215324179666</v>
      </c>
      <c r="J1483">
        <f>Table1[[#This Row],[Forecast]]*0.8</f>
        <v>242.19746954826371</v>
      </c>
      <c r="K1483">
        <f>Table1[[#This Row],[Forecast]]*0.8</f>
        <v>242.19746954826371</v>
      </c>
      <c r="P1483" s="13">
        <f t="shared" si="46"/>
        <v>1.9268735421617172E-3</v>
      </c>
      <c r="Z1483" s="8"/>
      <c r="AA1483" s="8">
        <f>CONVERT(Table1[[#This Row],[RevisedForecast 30% Recution2]]*Table1[[#This Row],[Talk Duration (AVG)]],"day","hr")</f>
        <v>11.200413505225621</v>
      </c>
      <c r="AB1483" s="10">
        <f>(Table1[[#This Row],[Forecast Workload Hours]]*60)*1.2</f>
        <v>806.42977237624473</v>
      </c>
      <c r="AC1483" s="10">
        <f>IF(Table1[[#This Row],[Forecast WOrkload Minutes]]&lt;384,1,Table1[[#This Row],[Forecast WOrkload Minutes]]/384)</f>
        <v>2.100077532229804</v>
      </c>
      <c r="AD1483" s="10">
        <f>ROUNDUP(Table1[[#This Row],[Forecast Headcount]],0)</f>
        <v>3</v>
      </c>
      <c r="AE1483" s="11">
        <v>190.18866456421739</v>
      </c>
      <c r="AF1483" s="11">
        <v>404.74449154107577</v>
      </c>
      <c r="AG1483" t="s">
        <v>7</v>
      </c>
    </row>
    <row r="1484" spans="1:33">
      <c r="A1484" s="2">
        <v>45365</v>
      </c>
      <c r="B1484" s="2"/>
      <c r="C1484" s="5">
        <f>WEEKDAY(Table1[[#This Row],[Date]])</f>
        <v>5</v>
      </c>
      <c r="D1484" s="5">
        <f>MONTH(Table1[[#This Row],[Date]])</f>
        <v>3</v>
      </c>
      <c r="E1484" s="5">
        <f>WEEKNUM(Table1[[#This Row],[Date]])</f>
        <v>11</v>
      </c>
      <c r="F1484" s="5">
        <f>YEAR(Table1[[#This Row],[Date]])</f>
        <v>2024</v>
      </c>
      <c r="H1484">
        <v>293.68039079468599</v>
      </c>
      <c r="I1484">
        <f>Table1[[#This Row],[Forecast]]*0.9</f>
        <v>264.3123517152174</v>
      </c>
      <c r="J1484">
        <f>Table1[[#This Row],[Forecast]]*0.8</f>
        <v>234.94431263574882</v>
      </c>
      <c r="K1484">
        <f>Table1[[#This Row],[Forecast]]*0.8</f>
        <v>234.94431263574882</v>
      </c>
      <c r="P1484" s="13">
        <f t="shared" si="46"/>
        <v>1.9268909975937703E-3</v>
      </c>
      <c r="Z1484" s="8"/>
      <c r="AA1484" s="8">
        <f>CONVERT(Table1[[#This Row],[RevisedForecast 30% Recution2]]*Table1[[#This Row],[Talk Duration (AVG)]],"day","hr")</f>
        <v>10.865089942888337</v>
      </c>
      <c r="AB1484" s="10">
        <f>(Table1[[#This Row],[Forecast Workload Hours]]*60)*1.2</f>
        <v>782.28647588796025</v>
      </c>
      <c r="AC1484" s="10">
        <f>IF(Table1[[#This Row],[Forecast WOrkload Minutes]]&lt;384,1,Table1[[#This Row],[Forecast WOrkload Minutes]]/384)</f>
        <v>2.0372043642915632</v>
      </c>
      <c r="AD1484" s="10">
        <f>ROUNDUP(Table1[[#This Row],[Forecast Headcount]],0)</f>
        <v>3</v>
      </c>
      <c r="AE1484" s="11">
        <v>189.6617494366908</v>
      </c>
      <c r="AF1484" s="11">
        <v>405.58747623896619</v>
      </c>
      <c r="AG1484" t="s">
        <v>7</v>
      </c>
    </row>
    <row r="1485" spans="1:33">
      <c r="A1485" s="2">
        <v>45366</v>
      </c>
      <c r="B1485" s="2"/>
      <c r="C1485" s="5">
        <f>WEEKDAY(Table1[[#This Row],[Date]])</f>
        <v>6</v>
      </c>
      <c r="D1485" s="5">
        <f>MONTH(Table1[[#This Row],[Date]])</f>
        <v>3</v>
      </c>
      <c r="E1485" s="5">
        <f>WEEKNUM(Table1[[#This Row],[Date]])</f>
        <v>11</v>
      </c>
      <c r="F1485" s="5">
        <f>YEAR(Table1[[#This Row],[Date]])</f>
        <v>2024</v>
      </c>
      <c r="H1485">
        <v>280.85630942369801</v>
      </c>
      <c r="I1485">
        <f>Table1[[#This Row],[Forecast]]*0.9</f>
        <v>252.77067848132822</v>
      </c>
      <c r="J1485">
        <f>Table1[[#This Row],[Forecast]]*0.8</f>
        <v>224.68504753895843</v>
      </c>
      <c r="K1485">
        <f>Table1[[#This Row],[Forecast]]*0.8</f>
        <v>224.68504753895843</v>
      </c>
      <c r="P1485" s="13">
        <f t="shared" si="46"/>
        <v>1.9269072644060219E-3</v>
      </c>
      <c r="Z1485" s="8"/>
      <c r="AA1485" s="8">
        <f>CONVERT(Table1[[#This Row],[RevisedForecast 30% Recution2]]*Table1[[#This Row],[Talk Duration (AVG)]],"day","hr")</f>
        <v>10.390734007349552</v>
      </c>
      <c r="AB1485" s="10">
        <f>(Table1[[#This Row],[Forecast Workload Hours]]*60)*1.2</f>
        <v>748.13284852916775</v>
      </c>
      <c r="AC1485" s="10">
        <f>IF(Table1[[#This Row],[Forecast WOrkload Minutes]]&lt;384,1,Table1[[#This Row],[Forecast WOrkload Minutes]]/384)</f>
        <v>1.9482626263780409</v>
      </c>
      <c r="AD1485" s="10">
        <f>ROUNDUP(Table1[[#This Row],[Forecast Headcount]],0)</f>
        <v>2</v>
      </c>
      <c r="AE1485" s="11">
        <v>175.25164116137719</v>
      </c>
      <c r="AF1485" s="11">
        <v>383.30230319514618</v>
      </c>
      <c r="AG1485" t="s">
        <v>7</v>
      </c>
    </row>
    <row r="1486" spans="1:33">
      <c r="A1486" s="2">
        <v>45367</v>
      </c>
      <c r="B1486" s="2"/>
      <c r="C1486" s="5">
        <f>WEEKDAY(Table1[[#This Row],[Date]])</f>
        <v>7</v>
      </c>
      <c r="D1486" s="5">
        <f>MONTH(Table1[[#This Row],[Date]])</f>
        <v>3</v>
      </c>
      <c r="E1486" s="5">
        <f>WEEKNUM(Table1[[#This Row],[Date]])</f>
        <v>11</v>
      </c>
      <c r="F1486" s="5">
        <f>YEAR(Table1[[#This Row],[Date]])</f>
        <v>2024</v>
      </c>
      <c r="H1486">
        <v>284.43507714326398</v>
      </c>
      <c r="I1486">
        <f>Table1[[#This Row],[Forecast]]*0.9</f>
        <v>255.99156942893759</v>
      </c>
      <c r="J1486">
        <f>Table1[[#This Row],[Forecast]]*0.8</f>
        <v>227.54806171461121</v>
      </c>
      <c r="K1486">
        <f>Table1[[#This Row],[Forecast]]*0.8</f>
        <v>227.54806171461121</v>
      </c>
      <c r="P1486" s="13">
        <f t="shared" si="46"/>
        <v>1.9269222525641495E-3</v>
      </c>
      <c r="Z1486" s="8"/>
      <c r="AA1486" s="8">
        <f>CONVERT(Table1[[#This Row],[RevisedForecast 30% Recution2]]*Table1[[#This Row],[Talk Duration (AVG)]],"day","hr")</f>
        <v>10.523218167497394</v>
      </c>
      <c r="AB1486" s="10">
        <f>(Table1[[#This Row],[Forecast Workload Hours]]*60)*1.2</f>
        <v>757.67170805981232</v>
      </c>
      <c r="AC1486" s="10">
        <f>IF(Table1[[#This Row],[Forecast WOrkload Minutes]]&lt;384,1,Table1[[#This Row],[Forecast WOrkload Minutes]]/384)</f>
        <v>1.9731034064057613</v>
      </c>
      <c r="AD1486" s="10">
        <f>ROUNDUP(Table1[[#This Row],[Forecast Headcount]],0)</f>
        <v>2</v>
      </c>
      <c r="AE1486" s="11">
        <v>170.88487981033811</v>
      </c>
      <c r="AF1486" s="11">
        <v>391.3555427720749</v>
      </c>
      <c r="AG1486" t="s">
        <v>7</v>
      </c>
    </row>
    <row r="1487" spans="1:33">
      <c r="A1487" s="2">
        <v>45368</v>
      </c>
      <c r="B1487" s="2"/>
      <c r="C1487" s="5">
        <f>WEEKDAY(Table1[[#This Row],[Date]])</f>
        <v>1</v>
      </c>
      <c r="D1487" s="5">
        <f>MONTH(Table1[[#This Row],[Date]])</f>
        <v>3</v>
      </c>
      <c r="E1487" s="5">
        <f>WEEKNUM(Table1[[#This Row],[Date]])</f>
        <v>12</v>
      </c>
      <c r="F1487" s="5">
        <f>YEAR(Table1[[#This Row],[Date]])</f>
        <v>2024</v>
      </c>
      <c r="H1487">
        <v>192.6123145514587</v>
      </c>
      <c r="I1487">
        <f>Table1[[#This Row],[Forecast]]*0.9</f>
        <v>173.35108309631283</v>
      </c>
      <c r="J1487">
        <f>Table1[[#This Row],[Forecast]]*0.8</f>
        <v>154.08985164116697</v>
      </c>
      <c r="K1487">
        <f>Table1[[#This Row],[Forecast]]*0.8</f>
        <v>154.08985164116697</v>
      </c>
      <c r="P1487" s="13">
        <f t="shared" si="46"/>
        <v>1.9269359548662376E-3</v>
      </c>
      <c r="Z1487" s="8"/>
      <c r="AA1487" s="8">
        <f>CONVERT(Table1[[#This Row],[RevisedForecast 30% Recution2]]*Table1[[#This Row],[Talk Duration (AVG)]],"day","hr")</f>
        <v>7.1261106097768545</v>
      </c>
      <c r="AB1487" s="10">
        <f>(Table1[[#This Row],[Forecast Workload Hours]]*60)*1.2</f>
        <v>513.0799639039335</v>
      </c>
      <c r="AC1487" s="10">
        <f>IF(Table1[[#This Row],[Forecast WOrkload Minutes]]&lt;384,1,Table1[[#This Row],[Forecast WOrkload Minutes]]/384)</f>
        <v>1.3361457393331602</v>
      </c>
      <c r="AD1487" s="10">
        <f>ROUNDUP(Table1[[#This Row],[Forecast Headcount]],0)</f>
        <v>2</v>
      </c>
      <c r="AE1487" s="11">
        <v>78.645504615158984</v>
      </c>
      <c r="AF1487" s="11">
        <v>306.42360239487232</v>
      </c>
      <c r="AG1487" t="s">
        <v>7</v>
      </c>
    </row>
    <row r="1488" spans="1:33">
      <c r="A1488" s="2">
        <v>45369</v>
      </c>
      <c r="B1488" s="2"/>
      <c r="C1488" s="5">
        <f>WEEKDAY(Table1[[#This Row],[Date]])</f>
        <v>2</v>
      </c>
      <c r="D1488" s="5">
        <f>MONTH(Table1[[#This Row],[Date]])</f>
        <v>3</v>
      </c>
      <c r="E1488" s="5">
        <f>WEEKNUM(Table1[[#This Row],[Date]])</f>
        <v>12</v>
      </c>
      <c r="F1488" s="5">
        <f>YEAR(Table1[[#This Row],[Date]])</f>
        <v>2024</v>
      </c>
      <c r="H1488">
        <v>289.77700285346128</v>
      </c>
      <c r="I1488">
        <f>Table1[[#This Row],[Forecast]]*0.9</f>
        <v>260.79930256811514</v>
      </c>
      <c r="J1488">
        <f>Table1[[#This Row],[Forecast]]*0.8</f>
        <v>231.82160228276905</v>
      </c>
      <c r="K1488">
        <f>Table1[[#This Row],[Forecast]]*0.8</f>
        <v>231.82160228276905</v>
      </c>
      <c r="P1488" s="13">
        <f t="shared" si="46"/>
        <v>1.926948269777853E-3</v>
      </c>
      <c r="Z1488" s="8"/>
      <c r="AA1488" s="8">
        <f>CONVERT(Table1[[#This Row],[RevisedForecast 30% Recution2]]*Table1[[#This Row],[Talk Duration (AVG)]],"day","hr")</f>
        <v>10.720997649981873</v>
      </c>
      <c r="AB1488" s="10">
        <f>(Table1[[#This Row],[Forecast Workload Hours]]*60)*1.2</f>
        <v>771.91183079869484</v>
      </c>
      <c r="AC1488" s="10">
        <f>IF(Table1[[#This Row],[Forecast WOrkload Minutes]]&lt;384,1,Table1[[#This Row],[Forecast WOrkload Minutes]]/384)</f>
        <v>2.0101870593716011</v>
      </c>
      <c r="AD1488" s="10">
        <f>ROUNDUP(Table1[[#This Row],[Forecast Headcount]],0)</f>
        <v>3</v>
      </c>
      <c r="AE1488" s="11">
        <v>179.46756838536061</v>
      </c>
      <c r="AF1488" s="11">
        <v>407.17355742312299</v>
      </c>
      <c r="AG1488" t="s">
        <v>7</v>
      </c>
    </row>
    <row r="1489" spans="1:33">
      <c r="A1489" s="2">
        <v>45370</v>
      </c>
      <c r="B1489" s="2"/>
      <c r="C1489" s="5">
        <f>WEEKDAY(Table1[[#This Row],[Date]])</f>
        <v>3</v>
      </c>
      <c r="D1489" s="5">
        <f>MONTH(Table1[[#This Row],[Date]])</f>
        <v>3</v>
      </c>
      <c r="E1489" s="5">
        <f>WEEKNUM(Table1[[#This Row],[Date]])</f>
        <v>12</v>
      </c>
      <c r="F1489" s="5">
        <f>YEAR(Table1[[#This Row],[Date]])</f>
        <v>2024</v>
      </c>
      <c r="H1489">
        <v>271.51627713156103</v>
      </c>
      <c r="I1489">
        <f>Table1[[#This Row],[Forecast]]*0.9</f>
        <v>244.36464941840492</v>
      </c>
      <c r="J1489">
        <f>Table1[[#This Row],[Forecast]]*0.8</f>
        <v>217.21302170524882</v>
      </c>
      <c r="K1489">
        <f>Table1[[#This Row],[Forecast]]*0.8</f>
        <v>217.21302170524882</v>
      </c>
      <c r="P1489" s="13">
        <f t="shared" si="46"/>
        <v>1.9269591877458933E-3</v>
      </c>
      <c r="Z1489" s="8"/>
      <c r="AA1489" s="8">
        <f>CONVERT(Table1[[#This Row],[RevisedForecast 30% Recution2]]*Table1[[#This Row],[Talk Duration (AVG)]],"day","hr")</f>
        <v>10.045455068951457</v>
      </c>
      <c r="AB1489" s="10">
        <f>(Table1[[#This Row],[Forecast Workload Hours]]*60)*1.2</f>
        <v>723.27276496450474</v>
      </c>
      <c r="AC1489" s="10">
        <f>IF(Table1[[#This Row],[Forecast WOrkload Minutes]]&lt;384,1,Table1[[#This Row],[Forecast WOrkload Minutes]]/384)</f>
        <v>1.8835228254283978</v>
      </c>
      <c r="AD1489" s="10">
        <f>ROUNDUP(Table1[[#This Row],[Forecast Headcount]],0)</f>
        <v>2</v>
      </c>
      <c r="AE1489" s="11">
        <v>153.63152038138341</v>
      </c>
      <c r="AF1489" s="11">
        <v>382.84776345730182</v>
      </c>
      <c r="AG1489" t="s">
        <v>7</v>
      </c>
    </row>
    <row r="1490" spans="1:33">
      <c r="A1490" s="2">
        <v>45371</v>
      </c>
      <c r="B1490" s="2"/>
      <c r="C1490" s="5">
        <f>WEEKDAY(Table1[[#This Row],[Date]])</f>
        <v>4</v>
      </c>
      <c r="D1490" s="5">
        <f>MONTH(Table1[[#This Row],[Date]])</f>
        <v>3</v>
      </c>
      <c r="E1490" s="5">
        <f>WEEKNUM(Table1[[#This Row],[Date]])</f>
        <v>12</v>
      </c>
      <c r="F1490" s="5">
        <f>YEAR(Table1[[#This Row],[Date]])</f>
        <v>2024</v>
      </c>
      <c r="H1490">
        <v>282.0548012129139</v>
      </c>
      <c r="I1490">
        <f>Table1[[#This Row],[Forecast]]*0.9</f>
        <v>253.84932109162253</v>
      </c>
      <c r="J1490">
        <f>Table1[[#This Row],[Forecast]]*0.8</f>
        <v>225.64384097033113</v>
      </c>
      <c r="K1490">
        <f>Table1[[#This Row],[Forecast]]*0.8</f>
        <v>225.64384097033113</v>
      </c>
      <c r="P1490" s="13">
        <f t="shared" si="46"/>
        <v>1.9269686898762456E-3</v>
      </c>
      <c r="Z1490" s="8"/>
      <c r="AA1490" s="8">
        <f>CONVERT(Table1[[#This Row],[RevisedForecast 30% Recution2]]*Table1[[#This Row],[Talk Duration (AVG)]],"day","hr")</f>
        <v>10.43540679871783</v>
      </c>
      <c r="AB1490" s="10">
        <f>(Table1[[#This Row],[Forecast Workload Hours]]*60)*1.2</f>
        <v>751.34928950768381</v>
      </c>
      <c r="AC1490" s="10">
        <f>IF(Table1[[#This Row],[Forecast WOrkload Minutes]]&lt;384,1,Table1[[#This Row],[Forecast WOrkload Minutes]]/384)</f>
        <v>1.9566387747595932</v>
      </c>
      <c r="AD1490" s="10">
        <f>ROUNDUP(Table1[[#This Row],[Forecast Headcount]],0)</f>
        <v>2</v>
      </c>
      <c r="AE1490" s="11">
        <v>174.66384038104741</v>
      </c>
      <c r="AF1490" s="11">
        <v>390.71192125490057</v>
      </c>
      <c r="AG1490" t="s">
        <v>7</v>
      </c>
    </row>
    <row r="1491" spans="1:33">
      <c r="A1491" s="2">
        <v>45372</v>
      </c>
      <c r="B1491" s="2"/>
      <c r="C1491" s="5">
        <f>WEEKDAY(Table1[[#This Row],[Date]])</f>
        <v>5</v>
      </c>
      <c r="D1491" s="5">
        <f>MONTH(Table1[[#This Row],[Date]])</f>
        <v>3</v>
      </c>
      <c r="E1491" s="5">
        <f>WEEKNUM(Table1[[#This Row],[Date]])</f>
        <v>12</v>
      </c>
      <c r="F1491" s="5">
        <f>YEAR(Table1[[#This Row],[Date]])</f>
        <v>2024</v>
      </c>
      <c r="H1491">
        <v>276.12283783828468</v>
      </c>
      <c r="I1491">
        <f>Table1[[#This Row],[Forecast]]*0.9</f>
        <v>248.51055405445621</v>
      </c>
      <c r="J1491">
        <f>Table1[[#This Row],[Forecast]]*0.8</f>
        <v>220.89827027062776</v>
      </c>
      <c r="K1491">
        <f>Table1[[#This Row],[Forecast]]*0.8</f>
        <v>220.89827027062776</v>
      </c>
      <c r="P1491" s="13">
        <f t="shared" si="46"/>
        <v>1.9269768327042879E-3</v>
      </c>
      <c r="Z1491" s="8"/>
      <c r="AA1491" s="8">
        <f>CONVERT(Table1[[#This Row],[RevisedForecast 30% Recution2]]*Table1[[#This Row],[Talk Duration (AVG)]],"day","hr")</f>
        <v>10.215980380702799</v>
      </c>
      <c r="AB1491" s="10">
        <f>(Table1[[#This Row],[Forecast Workload Hours]]*60)*1.2</f>
        <v>735.55058741060145</v>
      </c>
      <c r="AC1491" s="10">
        <f>IF(Table1[[#This Row],[Forecast WOrkload Minutes]]&lt;384,1,Table1[[#This Row],[Forecast WOrkload Minutes]]/384)</f>
        <v>1.9154963213817746</v>
      </c>
      <c r="AD1491" s="10">
        <f>ROUNDUP(Table1[[#This Row],[Forecast Headcount]],0)</f>
        <v>2</v>
      </c>
      <c r="AE1491" s="11">
        <v>160.82325881365111</v>
      </c>
      <c r="AF1491" s="11">
        <v>384.29402233404352</v>
      </c>
      <c r="AG1491" t="s">
        <v>7</v>
      </c>
    </row>
    <row r="1492" spans="1:33">
      <c r="A1492" s="2">
        <v>45373</v>
      </c>
      <c r="B1492" s="2"/>
      <c r="C1492" s="5">
        <f>WEEKDAY(Table1[[#This Row],[Date]])</f>
        <v>6</v>
      </c>
      <c r="D1492" s="5">
        <f>MONTH(Table1[[#This Row],[Date]])</f>
        <v>3</v>
      </c>
      <c r="E1492" s="5">
        <f>WEEKNUM(Table1[[#This Row],[Date]])</f>
        <v>12</v>
      </c>
      <c r="F1492" s="5">
        <f>YEAR(Table1[[#This Row],[Date]])</f>
        <v>2024</v>
      </c>
      <c r="H1492">
        <v>266.60656086588682</v>
      </c>
      <c r="I1492">
        <f>Table1[[#This Row],[Forecast]]*0.9</f>
        <v>239.94590477929813</v>
      </c>
      <c r="J1492">
        <f>Table1[[#This Row],[Forecast]]*0.8</f>
        <v>213.28524869270947</v>
      </c>
      <c r="K1492">
        <f>Table1[[#This Row],[Forecast]]*0.8</f>
        <v>213.28524869270947</v>
      </c>
      <c r="P1492" s="13">
        <f t="shared" si="46"/>
        <v>1.9269837597614384E-3</v>
      </c>
      <c r="Z1492" s="8"/>
      <c r="AA1492" s="8">
        <f>CONVERT(Table1[[#This Row],[RevisedForecast 30% Recution2]]*Table1[[#This Row],[Talk Duration (AVG)]],"day","hr")</f>
        <v>9.8639330502607372</v>
      </c>
      <c r="AB1492" s="10">
        <f>(Table1[[#This Row],[Forecast Workload Hours]]*60)*1.2</f>
        <v>710.20317961877311</v>
      </c>
      <c r="AC1492" s="10">
        <f>IF(Table1[[#This Row],[Forecast WOrkload Minutes]]&lt;384,1,Table1[[#This Row],[Forecast WOrkload Minutes]]/384)</f>
        <v>1.8494874469238882</v>
      </c>
      <c r="AD1492" s="10">
        <f>ROUNDUP(Table1[[#This Row],[Forecast Headcount]],0)</f>
        <v>2</v>
      </c>
      <c r="AE1492" s="11">
        <v>155.12000291764289</v>
      </c>
      <c r="AF1492" s="11">
        <v>372.91274987757163</v>
      </c>
      <c r="AG1492" t="s">
        <v>7</v>
      </c>
    </row>
    <row r="1493" spans="1:33">
      <c r="A1493" s="2">
        <v>45374</v>
      </c>
      <c r="B1493" s="2"/>
      <c r="C1493" s="5">
        <f>WEEKDAY(Table1[[#This Row],[Date]])</f>
        <v>7</v>
      </c>
      <c r="D1493" s="5">
        <f>MONTH(Table1[[#This Row],[Date]])</f>
        <v>3</v>
      </c>
      <c r="E1493" s="5">
        <f>WEEKNUM(Table1[[#This Row],[Date]])</f>
        <v>12</v>
      </c>
      <c r="F1493" s="5">
        <f>YEAR(Table1[[#This Row],[Date]])</f>
        <v>2024</v>
      </c>
      <c r="H1493">
        <v>273.60787701161951</v>
      </c>
      <c r="I1493">
        <f>Table1[[#This Row],[Forecast]]*0.9</f>
        <v>246.24708931045757</v>
      </c>
      <c r="J1493">
        <f>Table1[[#This Row],[Forecast]]*0.8</f>
        <v>218.88630160929563</v>
      </c>
      <c r="K1493">
        <f>Table1[[#This Row],[Forecast]]*0.8</f>
        <v>218.88630160929563</v>
      </c>
      <c r="P1493" s="13">
        <f t="shared" si="46"/>
        <v>1.926989515040484E-3</v>
      </c>
      <c r="Z1493" s="8"/>
      <c r="AA1493" s="8">
        <f>CONVERT(Table1[[#This Row],[RevisedForecast 30% Recution2]]*Table1[[#This Row],[Talk Duration (AVG)]],"day","hr")</f>
        <v>10.122998596490442</v>
      </c>
      <c r="AB1493" s="10">
        <f>(Table1[[#This Row],[Forecast Workload Hours]]*60)*1.2</f>
        <v>728.85589894731174</v>
      </c>
      <c r="AC1493" s="10">
        <f>IF(Table1[[#This Row],[Forecast WOrkload Minutes]]&lt;384,1,Table1[[#This Row],[Forecast WOrkload Minutes]]/384)</f>
        <v>1.8980622368419577</v>
      </c>
      <c r="AD1493" s="10">
        <f>ROUNDUP(Table1[[#This Row],[Forecast Headcount]],0)</f>
        <v>2</v>
      </c>
      <c r="AE1493" s="11">
        <v>156.01613676462719</v>
      </c>
      <c r="AF1493" s="11">
        <v>374.87187460136352</v>
      </c>
      <c r="AG1493" t="s">
        <v>7</v>
      </c>
    </row>
    <row r="1494" spans="1:33">
      <c r="A1494" s="2">
        <v>45375</v>
      </c>
      <c r="B1494" s="2"/>
      <c r="C1494" s="5">
        <f>WEEKDAY(Table1[[#This Row],[Date]])</f>
        <v>1</v>
      </c>
      <c r="D1494" s="5">
        <f>MONTH(Table1[[#This Row],[Date]])</f>
        <v>3</v>
      </c>
      <c r="E1494" s="5">
        <f>WEEKNUM(Table1[[#This Row],[Date]])</f>
        <v>13</v>
      </c>
      <c r="F1494" s="5">
        <f>YEAR(Table1[[#This Row],[Date]])</f>
        <v>2024</v>
      </c>
      <c r="H1494">
        <v>185.26292375941489</v>
      </c>
      <c r="I1494">
        <f>Table1[[#This Row],[Forecast]]*0.9</f>
        <v>166.73663138347339</v>
      </c>
      <c r="J1494">
        <f>Table1[[#This Row],[Forecast]]*0.8</f>
        <v>148.21033900753193</v>
      </c>
      <c r="K1494">
        <f>Table1[[#This Row],[Forecast]]*0.8</f>
        <v>148.21033900753193</v>
      </c>
      <c r="P1494" s="13">
        <f t="shared" si="46"/>
        <v>1.9269941440928709E-3</v>
      </c>
      <c r="Z1494" s="8"/>
      <c r="AA1494" s="8">
        <f>CONVERT(Table1[[#This Row],[RevisedForecast 30% Recution2]]*Table1[[#This Row],[Talk Duration (AVG)]],"day","hr")</f>
        <v>6.8544109286767974</v>
      </c>
      <c r="AB1494" s="10">
        <f>(Table1[[#This Row],[Forecast Workload Hours]]*60)*1.2</f>
        <v>493.51758686472937</v>
      </c>
      <c r="AC1494" s="10">
        <f>IF(Table1[[#This Row],[Forecast WOrkload Minutes]]&lt;384,1,Table1[[#This Row],[Forecast WOrkload Minutes]]/384)</f>
        <v>1.2852020491268994</v>
      </c>
      <c r="AD1494" s="10">
        <f>ROUNDUP(Table1[[#This Row],[Forecast Headcount]],0)</f>
        <v>2</v>
      </c>
      <c r="AE1494" s="11">
        <v>69.446330700386042</v>
      </c>
      <c r="AF1494" s="11">
        <v>298.14407733552588</v>
      </c>
      <c r="AG1494" t="s">
        <v>7</v>
      </c>
    </row>
    <row r="1495" spans="1:33">
      <c r="A1495" s="2">
        <v>45376</v>
      </c>
      <c r="B1495" s="2"/>
      <c r="C1495" s="5">
        <f>WEEKDAY(Table1[[#This Row],[Date]])</f>
        <v>2</v>
      </c>
      <c r="D1495" s="5">
        <f>MONTH(Table1[[#This Row],[Date]])</f>
        <v>3</v>
      </c>
      <c r="E1495" s="5">
        <f>WEEKNUM(Table1[[#This Row],[Date]])</f>
        <v>13</v>
      </c>
      <c r="F1495" s="5">
        <f>YEAR(Table1[[#This Row],[Date]])</f>
        <v>2024</v>
      </c>
      <c r="H1495">
        <v>285.90152734745328</v>
      </c>
      <c r="I1495">
        <f>Table1[[#This Row],[Forecast]]*0.9</f>
        <v>257.31137461270794</v>
      </c>
      <c r="J1495">
        <f>Table1[[#This Row],[Forecast]]*0.8</f>
        <v>228.72122187796265</v>
      </c>
      <c r="K1495">
        <f>Table1[[#This Row],[Forecast]]*0.8</f>
        <v>228.72122187796265</v>
      </c>
      <c r="P1495" s="13">
        <f t="shared" si="46"/>
        <v>1.9269977129556715E-3</v>
      </c>
      <c r="Z1495" s="8"/>
      <c r="AA1495" s="8">
        <f>CONVERT(Table1[[#This Row],[RevisedForecast 30% Recution2]]*Table1[[#This Row],[Talk Duration (AVG)]],"day","hr")</f>
        <v>10.577886515118257</v>
      </c>
      <c r="AB1495" s="10">
        <f>(Table1[[#This Row],[Forecast Workload Hours]]*60)*1.2</f>
        <v>761.60782908851445</v>
      </c>
      <c r="AC1495" s="10">
        <f>IF(Table1[[#This Row],[Forecast WOrkload Minutes]]&lt;384,1,Table1[[#This Row],[Forecast WOrkload Minutes]]/384)</f>
        <v>1.983353721584673</v>
      </c>
      <c r="AD1495" s="10">
        <f>ROUNDUP(Table1[[#This Row],[Forecast Headcount]],0)</f>
        <v>2</v>
      </c>
      <c r="AE1495" s="11">
        <v>182.52286993089859</v>
      </c>
      <c r="AF1495" s="11">
        <v>402.79246667406233</v>
      </c>
      <c r="AG1495" t="s">
        <v>7</v>
      </c>
    </row>
    <row r="1496" spans="1:33">
      <c r="A1496" s="2">
        <v>45377</v>
      </c>
      <c r="B1496" s="2"/>
      <c r="C1496" s="5">
        <f>WEEKDAY(Table1[[#This Row],[Date]])</f>
        <v>3</v>
      </c>
      <c r="D1496" s="5">
        <f>MONTH(Table1[[#This Row],[Date]])</f>
        <v>3</v>
      </c>
      <c r="E1496" s="5">
        <f>WEEKNUM(Table1[[#This Row],[Date]])</f>
        <v>13</v>
      </c>
      <c r="F1496" s="5">
        <f>YEAR(Table1[[#This Row],[Date]])</f>
        <v>2024</v>
      </c>
      <c r="H1496">
        <v>271.05320424721401</v>
      </c>
      <c r="I1496">
        <f>Table1[[#This Row],[Forecast]]*0.9</f>
        <v>243.94788382249263</v>
      </c>
      <c r="J1496">
        <f>Table1[[#This Row],[Forecast]]*0.8</f>
        <v>216.84256339777122</v>
      </c>
      <c r="K1496">
        <f>Table1[[#This Row],[Forecast]]*0.8</f>
        <v>216.84256339777122</v>
      </c>
      <c r="P1496" s="13">
        <f t="shared" si="46"/>
        <v>1.9270002425778086E-3</v>
      </c>
      <c r="Z1496" s="8"/>
      <c r="AA1496" s="8">
        <f>CONVERT(Table1[[#This Row],[RevisedForecast 30% Recution2]]*Table1[[#This Row],[Talk Duration (AVG)]],"day","hr")</f>
        <v>10.028536134448775</v>
      </c>
      <c r="AB1496" s="10">
        <f>(Table1[[#This Row],[Forecast Workload Hours]]*60)*1.2</f>
        <v>722.05460168031175</v>
      </c>
      <c r="AC1496" s="10">
        <f>IF(Table1[[#This Row],[Forecast WOrkload Minutes]]&lt;384,1,Table1[[#This Row],[Forecast WOrkload Minutes]]/384)</f>
        <v>1.8803505252091453</v>
      </c>
      <c r="AD1496" s="10">
        <f>ROUNDUP(Table1[[#This Row],[Forecast Headcount]],0)</f>
        <v>2</v>
      </c>
      <c r="AE1496" s="11">
        <v>165.2002974705384</v>
      </c>
      <c r="AF1496" s="11">
        <v>377.12125345370453</v>
      </c>
      <c r="AG1496" t="s">
        <v>7</v>
      </c>
    </row>
    <row r="1497" spans="1:33">
      <c r="A1497" s="2">
        <v>45378</v>
      </c>
      <c r="B1497" s="2"/>
      <c r="C1497" s="5">
        <f>WEEKDAY(Table1[[#This Row],[Date]])</f>
        <v>4</v>
      </c>
      <c r="D1497" s="5">
        <f>MONTH(Table1[[#This Row],[Date]])</f>
        <v>3</v>
      </c>
      <c r="E1497" s="5">
        <f>WEEKNUM(Table1[[#This Row],[Date]])</f>
        <v>13</v>
      </c>
      <c r="F1497" s="5">
        <f>YEAR(Table1[[#This Row],[Date]])</f>
        <v>2024</v>
      </c>
      <c r="H1497">
        <v>284.88769123868099</v>
      </c>
      <c r="I1497">
        <f>Table1[[#This Row],[Forecast]]*0.9</f>
        <v>256.39892211481288</v>
      </c>
      <c r="J1497">
        <f>Table1[[#This Row],[Forecast]]*0.8</f>
        <v>227.91015299094479</v>
      </c>
      <c r="K1497">
        <f>Table1[[#This Row],[Forecast]]*0.8</f>
        <v>227.91015299094479</v>
      </c>
      <c r="P1497" s="13">
        <f t="shared" si="46"/>
        <v>1.9270016508503272E-3</v>
      </c>
      <c r="Z1497" s="8"/>
      <c r="AA1497" s="8">
        <f>CONVERT(Table1[[#This Row],[RevisedForecast 30% Recution2]]*Table1[[#This Row],[Talk Duration (AVG)]],"day","hr")</f>
        <v>10.540397785418431</v>
      </c>
      <c r="AB1497" s="10">
        <f>(Table1[[#This Row],[Forecast Workload Hours]]*60)*1.2</f>
        <v>758.90864055012696</v>
      </c>
      <c r="AC1497" s="10">
        <f>IF(Table1[[#This Row],[Forecast WOrkload Minutes]]&lt;384,1,Table1[[#This Row],[Forecast WOrkload Minutes]]/384)</f>
        <v>1.9763245847659556</v>
      </c>
      <c r="AD1497" s="10">
        <f>ROUNDUP(Table1[[#This Row],[Forecast Headcount]],0)</f>
        <v>2</v>
      </c>
      <c r="AE1497" s="11">
        <v>166.81464531431041</v>
      </c>
      <c r="AF1497" s="11">
        <v>389.4557166899429</v>
      </c>
      <c r="AG1497" t="s">
        <v>7</v>
      </c>
    </row>
    <row r="1498" spans="1:33">
      <c r="A1498" s="2">
        <v>45379</v>
      </c>
      <c r="B1498" s="2"/>
      <c r="C1498" s="5">
        <f>WEEKDAY(Table1[[#This Row],[Date]])</f>
        <v>5</v>
      </c>
      <c r="D1498" s="5">
        <f>MONTH(Table1[[#This Row],[Date]])</f>
        <v>3</v>
      </c>
      <c r="E1498" s="5">
        <f>WEEKNUM(Table1[[#This Row],[Date]])</f>
        <v>13</v>
      </c>
      <c r="F1498" s="5">
        <f>YEAR(Table1[[#This Row],[Date]])</f>
        <v>2024</v>
      </c>
      <c r="H1498">
        <v>282.08409175563128</v>
      </c>
      <c r="I1498">
        <f>Table1[[#This Row],[Forecast]]*0.9</f>
        <v>253.87568258006814</v>
      </c>
      <c r="J1498">
        <f>Table1[[#This Row],[Forecast]]*0.8</f>
        <v>225.66727340450504</v>
      </c>
      <c r="K1498">
        <f>Table1[[#This Row],[Forecast]]*0.8</f>
        <v>225.66727340450504</v>
      </c>
      <c r="P1498" s="13">
        <f t="shared" si="46"/>
        <v>1.9270020709388975E-3</v>
      </c>
      <c r="Z1498" s="8"/>
      <c r="AA1498" s="8">
        <f>CONVERT(Table1[[#This Row],[RevisedForecast 30% Recution2]]*Table1[[#This Row],[Talk Duration (AVG)]],"day","hr")</f>
        <v>10.436671276646775</v>
      </c>
      <c r="AB1498" s="10">
        <f>(Table1[[#This Row],[Forecast Workload Hours]]*60)*1.2</f>
        <v>751.44033191856784</v>
      </c>
      <c r="AC1498" s="10">
        <f>IF(Table1[[#This Row],[Forecast WOrkload Minutes]]&lt;384,1,Table1[[#This Row],[Forecast WOrkload Minutes]]/384)</f>
        <v>1.9568758643712705</v>
      </c>
      <c r="AD1498" s="10">
        <f>ROUNDUP(Table1[[#This Row],[Forecast Headcount]],0)</f>
        <v>2</v>
      </c>
      <c r="AE1498" s="11">
        <v>172.63161172118879</v>
      </c>
      <c r="AF1498" s="11">
        <v>394.19639689949622</v>
      </c>
      <c r="AG1498" t="s">
        <v>7</v>
      </c>
    </row>
    <row r="1499" spans="1:33">
      <c r="A1499" s="2">
        <v>45380</v>
      </c>
      <c r="B1499" s="2"/>
      <c r="C1499" s="5">
        <f>WEEKDAY(Table1[[#This Row],[Date]])</f>
        <v>6</v>
      </c>
      <c r="D1499" s="5">
        <f>MONTH(Table1[[#This Row],[Date]])</f>
        <v>3</v>
      </c>
      <c r="E1499" s="5">
        <f>WEEKNUM(Table1[[#This Row],[Date]])</f>
        <v>13</v>
      </c>
      <c r="F1499" s="5">
        <f>YEAR(Table1[[#This Row],[Date]])</f>
        <v>2024</v>
      </c>
      <c r="H1499">
        <v>275.48216137515698</v>
      </c>
      <c r="I1499">
        <f>Table1[[#This Row],[Forecast]]*0.9</f>
        <v>247.9339452376413</v>
      </c>
      <c r="J1499">
        <f>Table1[[#This Row],[Forecast]]*0.8</f>
        <v>220.38572910012559</v>
      </c>
      <c r="K1499">
        <f>Table1[[#This Row],[Forecast]]*0.8</f>
        <v>220.38572910012559</v>
      </c>
      <c r="P1499" s="13">
        <f t="shared" si="46"/>
        <v>1.9270015172161026E-3</v>
      </c>
      <c r="Z1499" s="8"/>
      <c r="AA1499" s="8">
        <f>CONVERT(Table1[[#This Row],[RevisedForecast 30% Recution2]]*Table1[[#This Row],[Talk Duration (AVG)]],"day","hr")</f>
        <v>10.192407224369255</v>
      </c>
      <c r="AB1499" s="10">
        <f>(Table1[[#This Row],[Forecast Workload Hours]]*60)*1.2</f>
        <v>733.85332015458641</v>
      </c>
      <c r="AC1499" s="10">
        <f>IF(Table1[[#This Row],[Forecast WOrkload Minutes]]&lt;384,1,Table1[[#This Row],[Forecast WOrkload Minutes]]/384)</f>
        <v>1.9110763545692355</v>
      </c>
      <c r="AD1499" s="10">
        <f>ROUNDUP(Table1[[#This Row],[Forecast Headcount]],0)</f>
        <v>2</v>
      </c>
      <c r="AE1499" s="11">
        <v>163.50742042442729</v>
      </c>
      <c r="AF1499" s="11">
        <v>386.96579525699161</v>
      </c>
      <c r="AG1499" t="s">
        <v>7</v>
      </c>
    </row>
    <row r="1500" spans="1:33">
      <c r="A1500" s="2">
        <v>45381</v>
      </c>
      <c r="B1500" s="2"/>
      <c r="C1500" s="5">
        <f>WEEKDAY(Table1[[#This Row],[Date]])</f>
        <v>7</v>
      </c>
      <c r="D1500" s="5">
        <f>MONTH(Table1[[#This Row],[Date]])</f>
        <v>3</v>
      </c>
      <c r="E1500" s="5">
        <f>WEEKNUM(Table1[[#This Row],[Date]])</f>
        <v>13</v>
      </c>
      <c r="F1500" s="5">
        <f>YEAR(Table1[[#This Row],[Date]])</f>
        <v>2024</v>
      </c>
      <c r="H1500">
        <v>285.1429788303011</v>
      </c>
      <c r="I1500">
        <f>Table1[[#This Row],[Forecast]]*0.9</f>
        <v>256.62868094727099</v>
      </c>
      <c r="J1500">
        <f>Table1[[#This Row],[Forecast]]*0.8</f>
        <v>228.11438306424088</v>
      </c>
      <c r="K1500">
        <f>Table1[[#This Row],[Forecast]]*0.8</f>
        <v>228.11438306424088</v>
      </c>
      <c r="P1500" s="13">
        <f t="shared" si="46"/>
        <v>1.9269999669260132E-3</v>
      </c>
      <c r="Z1500" s="8"/>
      <c r="AA1500" s="8">
        <f>CONVERT(Table1[[#This Row],[RevisedForecast 30% Recution2]]*Table1[[#This Row],[Talk Duration (AVG)]],"day","hr")</f>
        <v>10.549833806883361</v>
      </c>
      <c r="AB1500" s="10">
        <f>(Table1[[#This Row],[Forecast Workload Hours]]*60)*1.2</f>
        <v>759.58803409560198</v>
      </c>
      <c r="AC1500" s="10">
        <f>IF(Table1[[#This Row],[Forecast WOrkload Minutes]]&lt;384,1,Table1[[#This Row],[Forecast WOrkload Minutes]]/384)</f>
        <v>1.9780938387906302</v>
      </c>
      <c r="AD1500" s="10">
        <f>ROUNDUP(Table1[[#This Row],[Forecast Headcount]],0)</f>
        <v>2</v>
      </c>
      <c r="AE1500" s="11">
        <v>174.86576858764349</v>
      </c>
      <c r="AF1500" s="11">
        <v>404.62340622868697</v>
      </c>
      <c r="AG1500" t="s">
        <v>7</v>
      </c>
    </row>
    <row r="1501" spans="1:33">
      <c r="A1501" s="2">
        <v>45382</v>
      </c>
      <c r="B1501" s="2"/>
      <c r="C1501" s="5">
        <f>WEEKDAY(Table1[[#This Row],[Date]])</f>
        <v>1</v>
      </c>
      <c r="D1501" s="5">
        <f>MONTH(Table1[[#This Row],[Date]])</f>
        <v>3</v>
      </c>
      <c r="E1501" s="5">
        <f>WEEKNUM(Table1[[#This Row],[Date]])</f>
        <v>14</v>
      </c>
      <c r="F1501" s="5">
        <f>YEAR(Table1[[#This Row],[Date]])</f>
        <v>2024</v>
      </c>
      <c r="H1501">
        <v>199.16815127847579</v>
      </c>
      <c r="I1501">
        <f>Table1[[#This Row],[Forecast]]*0.9</f>
        <v>179.25133615062822</v>
      </c>
      <c r="J1501">
        <f>Table1[[#This Row],[Forecast]]*0.8</f>
        <v>159.33452102278065</v>
      </c>
      <c r="K1501">
        <f>Table1[[#This Row],[Forecast]]*0.8</f>
        <v>159.33452102278065</v>
      </c>
      <c r="P1501" s="13">
        <f t="shared" si="46"/>
        <v>1.9269973402428415E-3</v>
      </c>
      <c r="Z1501" s="8"/>
      <c r="AA1501" s="8">
        <f>CONVERT(Table1[[#This Row],[RevisedForecast 30% Recution2]]*Table1[[#This Row],[Talk Duration (AVG)]],"day","hr")</f>
        <v>7.3688927572743701</v>
      </c>
      <c r="AB1501" s="10">
        <f>(Table1[[#This Row],[Forecast Workload Hours]]*60)*1.2</f>
        <v>530.56027852375462</v>
      </c>
      <c r="AC1501" s="10">
        <f>IF(Table1[[#This Row],[Forecast WOrkload Minutes]]&lt;384,1,Table1[[#This Row],[Forecast WOrkload Minutes]]/384)</f>
        <v>1.3816673919889444</v>
      </c>
      <c r="AD1501" s="10">
        <f>ROUNDUP(Table1[[#This Row],[Forecast Headcount]],0)</f>
        <v>2</v>
      </c>
      <c r="AE1501" s="11">
        <v>86.226458031249848</v>
      </c>
      <c r="AF1501" s="11">
        <v>307.45120155095373</v>
      </c>
      <c r="AG1501" t="s">
        <v>7</v>
      </c>
    </row>
    <row r="1502" spans="1:33">
      <c r="A1502" s="2">
        <v>45383</v>
      </c>
      <c r="B1502" s="2"/>
      <c r="C1502" s="5">
        <f>WEEKDAY(Table1[[#This Row],[Date]])</f>
        <v>2</v>
      </c>
      <c r="D1502" s="5">
        <f>MONTH(Table1[[#This Row],[Date]])</f>
        <v>4</v>
      </c>
      <c r="E1502" s="5">
        <f>WEEKNUM(Table1[[#This Row],[Date]])</f>
        <v>14</v>
      </c>
      <c r="F1502" s="5">
        <f>YEAR(Table1[[#This Row],[Date]])</f>
        <v>2024</v>
      </c>
      <c r="H1502">
        <v>301.85982350362411</v>
      </c>
      <c r="I1502">
        <f>Table1[[#This Row],[Forecast]]*0.9</f>
        <v>271.67384115326172</v>
      </c>
      <c r="J1502">
        <f>Table1[[#This Row],[Forecast]]*0.8</f>
        <v>241.4878588028993</v>
      </c>
      <c r="K1502">
        <f>Table1[[#This Row],[Forecast]]*0.8</f>
        <v>241.4878588028993</v>
      </c>
      <c r="P1502" s="13">
        <f t="shared" si="46"/>
        <v>1.9269936592901881E-3</v>
      </c>
      <c r="Z1502" s="8"/>
      <c r="AA1502" s="8">
        <f>CONVERT(Table1[[#This Row],[RevisedForecast 30% Recution2]]*Table1[[#This Row],[Talk Duration (AVG)]],"day","hr")</f>
        <v>11.168293745010029</v>
      </c>
      <c r="AB1502" s="10">
        <f>(Table1[[#This Row],[Forecast Workload Hours]]*60)*1.2</f>
        <v>804.117149640722</v>
      </c>
      <c r="AC1502" s="10">
        <f>IF(Table1[[#This Row],[Forecast WOrkload Minutes]]&lt;384,1,Table1[[#This Row],[Forecast WOrkload Minutes]]/384)</f>
        <v>2.0940550771893802</v>
      </c>
      <c r="AD1502" s="10">
        <f>ROUNDUP(Table1[[#This Row],[Forecast Headcount]],0)</f>
        <v>3</v>
      </c>
      <c r="AE1502" s="11">
        <v>198.4237613148519</v>
      </c>
      <c r="AF1502" s="11">
        <v>422.72665239931848</v>
      </c>
      <c r="AG1502" t="s">
        <v>7</v>
      </c>
    </row>
    <row r="1503" spans="1:33">
      <c r="A1503" s="2">
        <v>45384</v>
      </c>
      <c r="B1503" s="2"/>
      <c r="C1503" s="5">
        <f>WEEKDAY(Table1[[#This Row],[Date]])</f>
        <v>3</v>
      </c>
      <c r="D1503" s="5">
        <f>MONTH(Table1[[#This Row],[Date]])</f>
        <v>4</v>
      </c>
      <c r="E1503" s="5">
        <f>WEEKNUM(Table1[[#This Row],[Date]])</f>
        <v>14</v>
      </c>
      <c r="F1503" s="5">
        <f>YEAR(Table1[[#This Row],[Date]])</f>
        <v>2024</v>
      </c>
      <c r="H1503">
        <v>288.72706418651711</v>
      </c>
      <c r="I1503">
        <f>Table1[[#This Row],[Forecast]]*0.9</f>
        <v>259.85435776786539</v>
      </c>
      <c r="J1503">
        <f>Table1[[#This Row],[Forecast]]*0.8</f>
        <v>230.98165134921371</v>
      </c>
      <c r="K1503">
        <f>Table1[[#This Row],[Forecast]]*0.8</f>
        <v>230.98165134921371</v>
      </c>
      <c r="P1503" s="13">
        <f t="shared" si="46"/>
        <v>1.9269891077068892E-3</v>
      </c>
      <c r="Z1503" s="8"/>
      <c r="AA1503" s="8">
        <f>CONVERT(Table1[[#This Row],[RevisedForecast 30% Recution2]]*Table1[[#This Row],[Talk Duration (AVG)]],"day","hr")</f>
        <v>10.682379029522043</v>
      </c>
      <c r="AB1503" s="10">
        <f>(Table1[[#This Row],[Forecast Workload Hours]]*60)*1.2</f>
        <v>769.13129012558704</v>
      </c>
      <c r="AC1503" s="10">
        <f>IF(Table1[[#This Row],[Forecast WOrkload Minutes]]&lt;384,1,Table1[[#This Row],[Forecast WOrkload Minutes]]/384)</f>
        <v>2.0029460680353828</v>
      </c>
      <c r="AD1503" s="10">
        <f>ROUNDUP(Table1[[#This Row],[Forecast Headcount]],0)</f>
        <v>3</v>
      </c>
      <c r="AE1503" s="11">
        <v>171.80513880243879</v>
      </c>
      <c r="AF1503" s="11">
        <v>397.97751131654252</v>
      </c>
      <c r="AG1503" t="s">
        <v>7</v>
      </c>
    </row>
    <row r="1504" spans="1:33">
      <c r="A1504" s="2">
        <v>45385</v>
      </c>
      <c r="B1504" s="2"/>
      <c r="C1504" s="5">
        <f>WEEKDAY(Table1[[#This Row],[Date]])</f>
        <v>4</v>
      </c>
      <c r="D1504" s="5">
        <f>MONTH(Table1[[#This Row],[Date]])</f>
        <v>4</v>
      </c>
      <c r="E1504" s="5">
        <f>WEEKNUM(Table1[[#This Row],[Date]])</f>
        <v>14</v>
      </c>
      <c r="F1504" s="5">
        <f>YEAR(Table1[[#This Row],[Date]])</f>
        <v>2024</v>
      </c>
      <c r="H1504">
        <v>303.92660826438691</v>
      </c>
      <c r="I1504">
        <f>Table1[[#This Row],[Forecast]]*0.9</f>
        <v>273.53394743794826</v>
      </c>
      <c r="J1504">
        <f>Table1[[#This Row],[Forecast]]*0.8</f>
        <v>243.14128661150954</v>
      </c>
      <c r="K1504">
        <f>Table1[[#This Row],[Forecast]]*0.8</f>
        <v>243.14128661150954</v>
      </c>
      <c r="P1504" s="13">
        <f t="shared" si="46"/>
        <v>1.9269834682952825E-3</v>
      </c>
      <c r="Z1504" s="8"/>
      <c r="AA1504" s="8">
        <f>CONVERT(Table1[[#This Row],[RevisedForecast 30% Recution2]]*Table1[[#This Row],[Talk Duration (AVG)]],"day","hr")</f>
        <v>11.244701754250176</v>
      </c>
      <c r="AB1504" s="10">
        <f>(Table1[[#This Row],[Forecast Workload Hours]]*60)*1.2</f>
        <v>809.61852630601265</v>
      </c>
      <c r="AC1504" s="10">
        <f>IF(Table1[[#This Row],[Forecast WOrkload Minutes]]&lt;384,1,Table1[[#This Row],[Forecast WOrkload Minutes]]/384)</f>
        <v>2.1083815789219078</v>
      </c>
      <c r="AD1504" s="10">
        <f>ROUNDUP(Table1[[#This Row],[Forecast Headcount]],0)</f>
        <v>3</v>
      </c>
      <c r="AE1504" s="11">
        <v>190.865142626867</v>
      </c>
      <c r="AF1504" s="11">
        <v>417.91618538881909</v>
      </c>
      <c r="AG1504" t="s">
        <v>7</v>
      </c>
    </row>
    <row r="1505" spans="1:33">
      <c r="A1505" s="2">
        <v>45386</v>
      </c>
      <c r="B1505" s="2"/>
      <c r="C1505" s="5">
        <f>WEEKDAY(Table1[[#This Row],[Date]])</f>
        <v>5</v>
      </c>
      <c r="D1505" s="5">
        <f>MONTH(Table1[[#This Row],[Date]])</f>
        <v>4</v>
      </c>
      <c r="E1505" s="5">
        <f>WEEKNUM(Table1[[#This Row],[Date]])</f>
        <v>14</v>
      </c>
      <c r="F1505" s="5">
        <f>YEAR(Table1[[#This Row],[Date]])</f>
        <v>2024</v>
      </c>
      <c r="H1505">
        <v>302.13204125335648</v>
      </c>
      <c r="I1505">
        <f>Table1[[#This Row],[Forecast]]*0.9</f>
        <v>271.91883712802081</v>
      </c>
      <c r="J1505">
        <f>Table1[[#This Row],[Forecast]]*0.8</f>
        <v>241.7056330026852</v>
      </c>
      <c r="K1505">
        <f>Table1[[#This Row],[Forecast]]*0.8</f>
        <v>241.7056330026852</v>
      </c>
      <c r="P1505" s="13">
        <f t="shared" si="46"/>
        <v>1.9269769242525388E-3</v>
      </c>
      <c r="Z1505" s="8"/>
      <c r="AA1505" s="8">
        <f>CONVERT(Table1[[#This Row],[RevisedForecast 30% Recution2]]*Table1[[#This Row],[Talk Duration (AVG)]],"day","hr")</f>
        <v>11.178268254192654</v>
      </c>
      <c r="AB1505" s="10">
        <f>(Table1[[#This Row],[Forecast Workload Hours]]*60)*1.2</f>
        <v>804.83531430187099</v>
      </c>
      <c r="AC1505" s="10">
        <f>IF(Table1[[#This Row],[Forecast WOrkload Minutes]]&lt;384,1,Table1[[#This Row],[Forecast WOrkload Minutes]]/384)</f>
        <v>2.0959252976611222</v>
      </c>
      <c r="AD1505" s="10">
        <f>ROUNDUP(Table1[[#This Row],[Forecast Headcount]],0)</f>
        <v>3</v>
      </c>
      <c r="AE1505" s="11">
        <v>186.59676032787249</v>
      </c>
      <c r="AF1505" s="11">
        <v>409.18248265640091</v>
      </c>
      <c r="AG1505" t="s">
        <v>7</v>
      </c>
    </row>
    <row r="1506" spans="1:33">
      <c r="A1506" s="2">
        <v>45387</v>
      </c>
      <c r="B1506" s="2"/>
      <c r="C1506" s="5">
        <f>WEEKDAY(Table1[[#This Row],[Date]])</f>
        <v>6</v>
      </c>
      <c r="D1506" s="5">
        <f>MONTH(Table1[[#This Row],[Date]])</f>
        <v>4</v>
      </c>
      <c r="E1506" s="5">
        <f>WEEKNUM(Table1[[#This Row],[Date]])</f>
        <v>14</v>
      </c>
      <c r="F1506" s="5">
        <f>YEAR(Table1[[#This Row],[Date]])</f>
        <v>2024</v>
      </c>
      <c r="H1506">
        <v>296.18495090175992</v>
      </c>
      <c r="I1506">
        <f>Table1[[#This Row],[Forecast]]*0.9</f>
        <v>266.56645581158392</v>
      </c>
      <c r="J1506">
        <f>Table1[[#This Row],[Forecast]]*0.8</f>
        <v>236.94796072140795</v>
      </c>
      <c r="K1506">
        <f>Table1[[#This Row],[Forecast]]*0.8</f>
        <v>236.94796072140795</v>
      </c>
      <c r="P1506" s="13">
        <f t="shared" si="46"/>
        <v>1.9269697019850963E-3</v>
      </c>
      <c r="Z1506" s="8"/>
      <c r="AA1506" s="8">
        <f>CONVERT(Table1[[#This Row],[RevisedForecast 30% Recution2]]*Table1[[#This Row],[Talk Duration (AVG)]],"day","hr")</f>
        <v>10.958196990175386</v>
      </c>
      <c r="AB1506" s="10">
        <f>(Table1[[#This Row],[Forecast Workload Hours]]*60)*1.2</f>
        <v>788.99018329262776</v>
      </c>
      <c r="AC1506" s="10">
        <f>IF(Table1[[#This Row],[Forecast WOrkload Minutes]]&lt;384,1,Table1[[#This Row],[Forecast WOrkload Minutes]]/384)</f>
        <v>2.0546619356578848</v>
      </c>
      <c r="AD1506" s="10">
        <f>ROUNDUP(Table1[[#This Row],[Forecast Headcount]],0)</f>
        <v>3</v>
      </c>
      <c r="AE1506" s="11">
        <v>192.69216218703031</v>
      </c>
      <c r="AF1506" s="11">
        <v>408.3291083289368</v>
      </c>
      <c r="AG1506" t="s">
        <v>7</v>
      </c>
    </row>
    <row r="1507" spans="1:33">
      <c r="A1507" s="2">
        <v>45388</v>
      </c>
      <c r="B1507" s="2"/>
      <c r="C1507" s="5">
        <f>WEEKDAY(Table1[[#This Row],[Date]])</f>
        <v>7</v>
      </c>
      <c r="D1507" s="5">
        <f>MONTH(Table1[[#This Row],[Date]])</f>
        <v>4</v>
      </c>
      <c r="E1507" s="5">
        <f>WEEKNUM(Table1[[#This Row],[Date]])</f>
        <v>14</v>
      </c>
      <c r="F1507" s="5">
        <f>YEAR(Table1[[#This Row],[Date]])</f>
        <v>2024</v>
      </c>
      <c r="H1507">
        <v>306.15529921266011</v>
      </c>
      <c r="I1507">
        <f>Table1[[#This Row],[Forecast]]*0.9</f>
        <v>275.53976929139412</v>
      </c>
      <c r="J1507">
        <f>Table1[[#This Row],[Forecast]]*0.8</f>
        <v>244.92423937012811</v>
      </c>
      <c r="K1507">
        <f>Table1[[#This Row],[Forecast]]*0.8</f>
        <v>244.92423937012811</v>
      </c>
      <c r="P1507" s="13">
        <f t="shared" si="46"/>
        <v>1.9269618171781585E-3</v>
      </c>
      <c r="Z1507" s="8"/>
      <c r="AA1507" s="8">
        <f>CONVERT(Table1[[#This Row],[RevisedForecast 30% Recution2]]*Table1[[#This Row],[Talk Duration (AVG)]],"day","hr")</f>
        <v>11.327031776823368</v>
      </c>
      <c r="AB1507" s="10">
        <f>(Table1[[#This Row],[Forecast Workload Hours]]*60)*1.2</f>
        <v>815.54628793128256</v>
      </c>
      <c r="AC1507" s="10">
        <f>IF(Table1[[#This Row],[Forecast WOrkload Minutes]]&lt;384,1,Table1[[#This Row],[Forecast WOrkload Minutes]]/384)</f>
        <v>2.1238184581543815</v>
      </c>
      <c r="AD1507" s="10">
        <f>ROUNDUP(Table1[[#This Row],[Forecast Headcount]],0)</f>
        <v>3</v>
      </c>
      <c r="AE1507" s="11">
        <v>188.2705302745361</v>
      </c>
      <c r="AF1507" s="11">
        <v>427.68846372519931</v>
      </c>
      <c r="AG1507" t="s">
        <v>7</v>
      </c>
    </row>
    <row r="1508" spans="1:33">
      <c r="A1508" s="2">
        <v>45389</v>
      </c>
      <c r="B1508" s="2"/>
      <c r="C1508" s="5">
        <f>WEEKDAY(Table1[[#This Row],[Date]])</f>
        <v>1</v>
      </c>
      <c r="D1508" s="5">
        <f>MONTH(Table1[[#This Row],[Date]])</f>
        <v>4</v>
      </c>
      <c r="E1508" s="5">
        <f>WEEKNUM(Table1[[#This Row],[Date]])</f>
        <v>15</v>
      </c>
      <c r="F1508" s="5">
        <f>YEAR(Table1[[#This Row],[Date]])</f>
        <v>2024</v>
      </c>
      <c r="H1508">
        <v>220.16017420163789</v>
      </c>
      <c r="I1508">
        <f>Table1[[#This Row],[Forecast]]*0.9</f>
        <v>198.14415678147409</v>
      </c>
      <c r="J1508">
        <f>Table1[[#This Row],[Forecast]]*0.8</f>
        <v>176.12813936131033</v>
      </c>
      <c r="K1508">
        <f>Table1[[#This Row],[Forecast]]*0.8</f>
        <v>176.12813936131033</v>
      </c>
      <c r="P1508" s="13">
        <f t="shared" si="46"/>
        <v>1.9269534372953491E-3</v>
      </c>
      <c r="Z1508" s="8"/>
      <c r="AA1508" s="8">
        <f>CONVERT(Table1[[#This Row],[RevisedForecast 30% Recution2]]*Table1[[#This Row],[Talk Duration (AVG)]],"day","hr")</f>
        <v>8.1453773651210692</v>
      </c>
      <c r="AB1508" s="10">
        <f>(Table1[[#This Row],[Forecast Workload Hours]]*60)*1.2</f>
        <v>586.46717028871694</v>
      </c>
      <c r="AC1508" s="10">
        <f>IF(Table1[[#This Row],[Forecast WOrkload Minutes]]&lt;384,1,Table1[[#This Row],[Forecast WOrkload Minutes]]/384)</f>
        <v>1.5272582559602004</v>
      </c>
      <c r="AD1508" s="10">
        <f>ROUNDUP(Table1[[#This Row],[Forecast Headcount]],0)</f>
        <v>2</v>
      </c>
      <c r="AE1508" s="11">
        <v>113.33144222513179</v>
      </c>
      <c r="AF1508" s="11">
        <v>333.66166529218998</v>
      </c>
      <c r="AG1508" t="s">
        <v>7</v>
      </c>
    </row>
    <row r="1509" spans="1:33">
      <c r="A1509" s="2">
        <v>45390</v>
      </c>
      <c r="B1509" s="2"/>
      <c r="C1509" s="5">
        <f>WEEKDAY(Table1[[#This Row],[Date]])</f>
        <v>2</v>
      </c>
      <c r="D1509" s="5">
        <f>MONTH(Table1[[#This Row],[Date]])</f>
        <v>4</v>
      </c>
      <c r="E1509" s="5">
        <f>WEEKNUM(Table1[[#This Row],[Date]])</f>
        <v>15</v>
      </c>
      <c r="F1509" s="5">
        <f>YEAR(Table1[[#This Row],[Date]])</f>
        <v>2024</v>
      </c>
      <c r="H1509">
        <v>322.52320532021048</v>
      </c>
      <c r="I1509">
        <f>Table1[[#This Row],[Forecast]]*0.9</f>
        <v>290.27088478818945</v>
      </c>
      <c r="J1509">
        <f>Table1[[#This Row],[Forecast]]*0.8</f>
        <v>258.01856425616842</v>
      </c>
      <c r="K1509">
        <f>Table1[[#This Row],[Forecast]]*0.8</f>
        <v>258.01856425616842</v>
      </c>
      <c r="P1509" s="13">
        <f t="shared" si="46"/>
        <v>1.9269444890180477E-3</v>
      </c>
      <c r="Z1509" s="8"/>
      <c r="AA1509" s="8">
        <f>CONVERT(Table1[[#This Row],[RevisedForecast 30% Recution2]]*Table1[[#This Row],[Talk Duration (AVG)]],"day","hr")</f>
        <v>11.932498810986546</v>
      </c>
      <c r="AB1509" s="10">
        <f>(Table1[[#This Row],[Forecast Workload Hours]]*60)*1.2</f>
        <v>859.13991439103131</v>
      </c>
      <c r="AC1509" s="10">
        <f>IF(Table1[[#This Row],[Forecast WOrkload Minutes]]&lt;384,1,Table1[[#This Row],[Forecast WOrkload Minutes]]/384)</f>
        <v>2.2373435270599775</v>
      </c>
      <c r="AD1509" s="10">
        <f>ROUNDUP(Table1[[#This Row],[Forecast Headcount]],0)</f>
        <v>3</v>
      </c>
      <c r="AE1509" s="11">
        <v>216.3426058677563</v>
      </c>
      <c r="AF1509" s="11">
        <v>432.05038876617078</v>
      </c>
      <c r="AG1509" t="s">
        <v>7</v>
      </c>
    </row>
    <row r="1510" spans="1:33">
      <c r="A1510" s="2">
        <v>45391</v>
      </c>
      <c r="B1510" s="2"/>
      <c r="C1510" s="5">
        <f>WEEKDAY(Table1[[#This Row],[Date]])</f>
        <v>3</v>
      </c>
      <c r="D1510" s="5">
        <f>MONTH(Table1[[#This Row],[Date]])</f>
        <v>4</v>
      </c>
      <c r="E1510" s="5">
        <f>WEEKNUM(Table1[[#This Row],[Date]])</f>
        <v>15</v>
      </c>
      <c r="F1510" s="5">
        <f>YEAR(Table1[[#This Row],[Date]])</f>
        <v>2024</v>
      </c>
      <c r="H1510">
        <v>308.78023318131818</v>
      </c>
      <c r="I1510">
        <f>Table1[[#This Row],[Forecast]]*0.9</f>
        <v>277.90220986318639</v>
      </c>
      <c r="J1510">
        <f>Table1[[#This Row],[Forecast]]*0.8</f>
        <v>247.02418654505456</v>
      </c>
      <c r="K1510">
        <f>Table1[[#This Row],[Forecast]]*0.8</f>
        <v>247.02418654505456</v>
      </c>
      <c r="P1510" s="13">
        <f t="shared" ref="P1510:P1573" si="47">AVERAGE(P1403:P1509)</f>
        <v>1.9269351710841346E-3</v>
      </c>
      <c r="Z1510" s="8"/>
      <c r="AA1510" s="8">
        <f>CONVERT(Table1[[#This Row],[RevisedForecast 30% Recution2]]*Table1[[#This Row],[Talk Duration (AVG)]],"day","hr")</f>
        <v>11.423990235890734</v>
      </c>
      <c r="AB1510" s="10">
        <f>(Table1[[#This Row],[Forecast Workload Hours]]*60)*1.2</f>
        <v>822.52729698413293</v>
      </c>
      <c r="AC1510" s="10">
        <f>IF(Table1[[#This Row],[Forecast WOrkload Minutes]]&lt;384,1,Table1[[#This Row],[Forecast WOrkload Minutes]]/384)</f>
        <v>2.1419981692295127</v>
      </c>
      <c r="AD1510" s="10">
        <f>ROUNDUP(Table1[[#This Row],[Forecast Headcount]],0)</f>
        <v>3</v>
      </c>
      <c r="AE1510" s="11">
        <v>188.96393903630729</v>
      </c>
      <c r="AF1510" s="11">
        <v>421.53925505209691</v>
      </c>
      <c r="AG1510" t="s">
        <v>7</v>
      </c>
    </row>
    <row r="1511" spans="1:33">
      <c r="A1511" s="2">
        <v>45392</v>
      </c>
      <c r="B1511" s="2"/>
      <c r="C1511" s="5">
        <f>WEEKDAY(Table1[[#This Row],[Date]])</f>
        <v>4</v>
      </c>
      <c r="D1511" s="5">
        <f>MONTH(Table1[[#This Row],[Date]])</f>
        <v>4</v>
      </c>
      <c r="E1511" s="5">
        <f>WEEKNUM(Table1[[#This Row],[Date]])</f>
        <v>15</v>
      </c>
      <c r="F1511" s="5">
        <f>YEAR(Table1[[#This Row],[Date]])</f>
        <v>2024</v>
      </c>
      <c r="H1511">
        <v>323.11923284050857</v>
      </c>
      <c r="I1511">
        <f>Table1[[#This Row],[Forecast]]*0.9</f>
        <v>290.80730955645771</v>
      </c>
      <c r="J1511">
        <f>Table1[[#This Row],[Forecast]]*0.8</f>
        <v>258.49538627240685</v>
      </c>
      <c r="K1511">
        <f>Table1[[#This Row],[Forecast]]*0.8</f>
        <v>258.49538627240685</v>
      </c>
      <c r="P1511" s="13">
        <f t="shared" si="47"/>
        <v>1.9269254800920483E-3</v>
      </c>
      <c r="Z1511" s="8"/>
      <c r="AA1511" s="8">
        <f>CONVERT(Table1[[#This Row],[RevisedForecast 30% Recution2]]*Table1[[#This Row],[Talk Duration (AVG)]],"day","hr")</f>
        <v>11.954432311068887</v>
      </c>
      <c r="AB1511" s="10">
        <f>(Table1[[#This Row],[Forecast Workload Hours]]*60)*1.2</f>
        <v>860.71912639695972</v>
      </c>
      <c r="AC1511" s="10">
        <f>IF(Table1[[#This Row],[Forecast WOrkload Minutes]]&lt;384,1,Table1[[#This Row],[Forecast WOrkload Minutes]]/384)</f>
        <v>2.2414560583254159</v>
      </c>
      <c r="AD1511" s="10">
        <f>ROUNDUP(Table1[[#This Row],[Forecast Headcount]],0)</f>
        <v>3</v>
      </c>
      <c r="AE1511" s="11">
        <v>211.21477161460089</v>
      </c>
      <c r="AF1511" s="11">
        <v>441.70031768709731</v>
      </c>
      <c r="AG1511" t="s">
        <v>7</v>
      </c>
    </row>
    <row r="1512" spans="1:33">
      <c r="A1512" s="2">
        <v>45393</v>
      </c>
      <c r="B1512" s="2"/>
      <c r="C1512" s="5">
        <f>WEEKDAY(Table1[[#This Row],[Date]])</f>
        <v>5</v>
      </c>
      <c r="D1512" s="5">
        <f>MONTH(Table1[[#This Row],[Date]])</f>
        <v>4</v>
      </c>
      <c r="E1512" s="5">
        <f>WEEKNUM(Table1[[#This Row],[Date]])</f>
        <v>15</v>
      </c>
      <c r="F1512" s="5">
        <f>YEAR(Table1[[#This Row],[Date]])</f>
        <v>2024</v>
      </c>
      <c r="H1512">
        <v>320.24859894497672</v>
      </c>
      <c r="I1512">
        <f>Table1[[#This Row],[Forecast]]*0.9</f>
        <v>288.22373905047908</v>
      </c>
      <c r="J1512">
        <f>Table1[[#This Row],[Forecast]]*0.8</f>
        <v>256.19887915598139</v>
      </c>
      <c r="K1512">
        <f>Table1[[#This Row],[Forecast]]*0.8</f>
        <v>256.19887915598139</v>
      </c>
      <c r="P1512" s="13">
        <f t="shared" si="47"/>
        <v>1.9269155071133365E-3</v>
      </c>
      <c r="Z1512" s="8"/>
      <c r="AA1512" s="8">
        <f>CONVERT(Table1[[#This Row],[RevisedForecast 30% Recution2]]*Table1[[#This Row],[Talk Duration (AVG)]],"day","hr")</f>
        <v>11.848166235617191</v>
      </c>
      <c r="AB1512" s="10">
        <f>(Table1[[#This Row],[Forecast Workload Hours]]*60)*1.2</f>
        <v>853.06796896443768</v>
      </c>
      <c r="AC1512" s="10">
        <f>IF(Table1[[#This Row],[Forecast WOrkload Minutes]]&lt;384,1,Table1[[#This Row],[Forecast WOrkload Minutes]]/384)</f>
        <v>2.2215311691782231</v>
      </c>
      <c r="AD1512" s="10">
        <f>ROUNDUP(Table1[[#This Row],[Forecast Headcount]],0)</f>
        <v>3</v>
      </c>
      <c r="AE1512" s="11">
        <v>203.72505872425299</v>
      </c>
      <c r="AF1512" s="11">
        <v>435.66462744598391</v>
      </c>
      <c r="AG1512" t="s">
        <v>7</v>
      </c>
    </row>
    <row r="1513" spans="1:33">
      <c r="A1513" s="2">
        <v>45394</v>
      </c>
      <c r="B1513" s="2"/>
      <c r="C1513" s="5">
        <f>WEEKDAY(Table1[[#This Row],[Date]])</f>
        <v>6</v>
      </c>
      <c r="D1513" s="5">
        <f>MONTH(Table1[[#This Row],[Date]])</f>
        <v>4</v>
      </c>
      <c r="E1513" s="5">
        <f>WEEKNUM(Table1[[#This Row],[Date]])</f>
        <v>15</v>
      </c>
      <c r="F1513" s="5">
        <f>YEAR(Table1[[#This Row],[Date]])</f>
        <v>2024</v>
      </c>
      <c r="H1513">
        <v>313.04734213082941</v>
      </c>
      <c r="I1513">
        <f>Table1[[#This Row],[Forecast]]*0.9</f>
        <v>281.74260791774645</v>
      </c>
      <c r="J1513">
        <f>Table1[[#This Row],[Forecast]]*0.8</f>
        <v>250.43787370466353</v>
      </c>
      <c r="K1513">
        <f>Table1[[#This Row],[Forecast]]*0.8</f>
        <v>250.43787370466353</v>
      </c>
      <c r="P1513" s="13">
        <f t="shared" si="47"/>
        <v>1.9269053175194246E-3</v>
      </c>
      <c r="Z1513" s="8"/>
      <c r="AA1513" s="8">
        <f>CONVERT(Table1[[#This Row],[RevisedForecast 30% Recution2]]*Table1[[#This Row],[Talk Duration (AVG)]],"day","hr")</f>
        <v>11.581681693194582</v>
      </c>
      <c r="AB1513" s="10">
        <f>(Table1[[#This Row],[Forecast Workload Hours]]*60)*1.2</f>
        <v>833.88108191000993</v>
      </c>
      <c r="AC1513" s="10">
        <f>IF(Table1[[#This Row],[Forecast WOrkload Minutes]]&lt;384,1,Table1[[#This Row],[Forecast WOrkload Minutes]]/384)</f>
        <v>2.1715653174739842</v>
      </c>
      <c r="AD1513" s="10">
        <f>ROUNDUP(Table1[[#This Row],[Forecast Headcount]],0)</f>
        <v>3</v>
      </c>
      <c r="AE1513" s="11">
        <v>199.18861509245781</v>
      </c>
      <c r="AF1513" s="11">
        <v>431.88814557130559</v>
      </c>
      <c r="AG1513" t="s">
        <v>7</v>
      </c>
    </row>
    <row r="1514" spans="1:33">
      <c r="A1514" s="2">
        <v>45395</v>
      </c>
      <c r="B1514" s="2"/>
      <c r="C1514" s="5">
        <f>WEEKDAY(Table1[[#This Row],[Date]])</f>
        <v>7</v>
      </c>
      <c r="D1514" s="5">
        <f>MONTH(Table1[[#This Row],[Date]])</f>
        <v>4</v>
      </c>
      <c r="E1514" s="5">
        <f>WEEKNUM(Table1[[#This Row],[Date]])</f>
        <v>15</v>
      </c>
      <c r="F1514" s="5">
        <f>YEAR(Table1[[#This Row],[Date]])</f>
        <v>2024</v>
      </c>
      <c r="H1514">
        <v>321.62447469074579</v>
      </c>
      <c r="I1514">
        <f>Table1[[#This Row],[Forecast]]*0.9</f>
        <v>289.46202722167124</v>
      </c>
      <c r="J1514">
        <f>Table1[[#This Row],[Forecast]]*0.8</f>
        <v>257.29957975259663</v>
      </c>
      <c r="K1514">
        <f>Table1[[#This Row],[Forecast]]*0.8</f>
        <v>257.29957975259663</v>
      </c>
      <c r="P1514" s="13">
        <f t="shared" si="47"/>
        <v>1.9268949029974235E-3</v>
      </c>
      <c r="Z1514" s="8"/>
      <c r="AA1514" s="8">
        <f>CONVERT(Table1[[#This Row],[RevisedForecast 30% Recution2]]*Table1[[#This Row],[Talk Duration (AVG)]],"day","hr")</f>
        <v>11.898941970447781</v>
      </c>
      <c r="AB1514" s="10">
        <f>(Table1[[#This Row],[Forecast Workload Hours]]*60)*1.2</f>
        <v>856.72382187224014</v>
      </c>
      <c r="AC1514" s="10">
        <f>IF(Table1[[#This Row],[Forecast WOrkload Minutes]]&lt;384,1,Table1[[#This Row],[Forecast WOrkload Minutes]]/384)</f>
        <v>2.2310516194589587</v>
      </c>
      <c r="AD1514" s="10">
        <f>ROUNDUP(Table1[[#This Row],[Forecast Headcount]],0)</f>
        <v>3</v>
      </c>
      <c r="AE1514" s="11">
        <v>206.892502229727</v>
      </c>
      <c r="AF1514" s="11">
        <v>431.50155493113408</v>
      </c>
      <c r="AG1514" t="s">
        <v>7</v>
      </c>
    </row>
    <row r="1515" spans="1:33">
      <c r="A1515" s="2">
        <v>45396</v>
      </c>
      <c r="B1515" s="2"/>
      <c r="C1515" s="5">
        <f>WEEKDAY(Table1[[#This Row],[Date]])</f>
        <v>1</v>
      </c>
      <c r="D1515" s="5">
        <f>MONTH(Table1[[#This Row],[Date]])</f>
        <v>4</v>
      </c>
      <c r="E1515" s="5">
        <f>WEEKNUM(Table1[[#This Row],[Date]])</f>
        <v>16</v>
      </c>
      <c r="F1515" s="5">
        <f>YEAR(Table1[[#This Row],[Date]])</f>
        <v>2024</v>
      </c>
      <c r="H1515">
        <v>234.13677014464079</v>
      </c>
      <c r="I1515">
        <f>Table1[[#This Row],[Forecast]]*0.9</f>
        <v>210.72309313017672</v>
      </c>
      <c r="J1515">
        <f>Table1[[#This Row],[Forecast]]*0.8</f>
        <v>187.30941611571265</v>
      </c>
      <c r="K1515">
        <f>Table1[[#This Row],[Forecast]]*0.8</f>
        <v>187.30941611571265</v>
      </c>
      <c r="P1515" s="13">
        <f t="shared" si="47"/>
        <v>1.9268843022894526E-3</v>
      </c>
      <c r="Z1515" s="8"/>
      <c r="AA1515" s="8">
        <f>CONVERT(Table1[[#This Row],[RevisedForecast 30% Recution2]]*Table1[[#This Row],[Talk Duration (AVG)]],"day","hr")</f>
        <v>8.6621657660248736</v>
      </c>
      <c r="AB1515" s="10">
        <f>(Table1[[#This Row],[Forecast Workload Hours]]*60)*1.2</f>
        <v>623.67593515379087</v>
      </c>
      <c r="AC1515" s="10">
        <f>IF(Table1[[#This Row],[Forecast WOrkload Minutes]]&lt;384,1,Table1[[#This Row],[Forecast WOrkload Minutes]]/384)</f>
        <v>1.6241560811296638</v>
      </c>
      <c r="AD1515" s="10">
        <f>ROUNDUP(Table1[[#This Row],[Forecast Headcount]],0)</f>
        <v>2</v>
      </c>
      <c r="AE1515" s="11">
        <v>124.1402123251769</v>
      </c>
      <c r="AF1515" s="11">
        <v>336.78342768229498</v>
      </c>
      <c r="AG1515" t="s">
        <v>7</v>
      </c>
    </row>
    <row r="1516" spans="1:33">
      <c r="A1516" s="2">
        <v>45397</v>
      </c>
      <c r="B1516" s="2"/>
      <c r="C1516" s="5">
        <f>WEEKDAY(Table1[[#This Row],[Date]])</f>
        <v>2</v>
      </c>
      <c r="D1516" s="5">
        <f>MONTH(Table1[[#This Row],[Date]])</f>
        <v>4</v>
      </c>
      <c r="E1516" s="5">
        <f>WEEKNUM(Table1[[#This Row],[Date]])</f>
        <v>16</v>
      </c>
      <c r="F1516" s="5">
        <f>YEAR(Table1[[#This Row],[Date]])</f>
        <v>2024</v>
      </c>
      <c r="H1516">
        <v>334.94720556400853</v>
      </c>
      <c r="I1516">
        <f>Table1[[#This Row],[Forecast]]*0.9</f>
        <v>301.45248500760766</v>
      </c>
      <c r="J1516">
        <f>Table1[[#This Row],[Forecast]]*0.8</f>
        <v>267.95776445120686</v>
      </c>
      <c r="K1516">
        <f>Table1[[#This Row],[Forecast]]*0.8</f>
        <v>267.95776445120686</v>
      </c>
      <c r="P1516" s="13">
        <f t="shared" si="47"/>
        <v>1.926873687544968E-3</v>
      </c>
      <c r="Z1516" s="8"/>
      <c r="AA1516" s="8">
        <f>CONVERT(Table1[[#This Row],[RevisedForecast 30% Recution2]]*Table1[[#This Row],[Talk Duration (AVG)]],"day","hr")</f>
        <v>12.391698376665669</v>
      </c>
      <c r="AB1516" s="10">
        <f>(Table1[[#This Row],[Forecast Workload Hours]]*60)*1.2</f>
        <v>892.20228311992821</v>
      </c>
      <c r="AC1516" s="10">
        <f>IF(Table1[[#This Row],[Forecast WOrkload Minutes]]&lt;384,1,Table1[[#This Row],[Forecast WOrkload Minutes]]/384)</f>
        <v>2.3234434456248132</v>
      </c>
      <c r="AD1516" s="10">
        <f>ROUNDUP(Table1[[#This Row],[Forecast Headcount]],0)</f>
        <v>3</v>
      </c>
      <c r="AE1516" s="11">
        <v>216.6784265395633</v>
      </c>
      <c r="AF1516" s="11">
        <v>455.94937098992148</v>
      </c>
      <c r="AG1516" t="s">
        <v>7</v>
      </c>
    </row>
    <row r="1517" spans="1:33">
      <c r="A1517" s="2">
        <v>45398</v>
      </c>
      <c r="B1517" s="2"/>
      <c r="C1517" s="5">
        <f>WEEKDAY(Table1[[#This Row],[Date]])</f>
        <v>3</v>
      </c>
      <c r="D1517" s="5">
        <f>MONTH(Table1[[#This Row],[Date]])</f>
        <v>4</v>
      </c>
      <c r="E1517" s="5">
        <f>WEEKNUM(Table1[[#This Row],[Date]])</f>
        <v>16</v>
      </c>
      <c r="F1517" s="5">
        <f>YEAR(Table1[[#This Row],[Date]])</f>
        <v>2024</v>
      </c>
      <c r="H1517">
        <v>319.62970121146219</v>
      </c>
      <c r="I1517">
        <f>Table1[[#This Row],[Forecast]]*0.9</f>
        <v>287.66673109031598</v>
      </c>
      <c r="J1517">
        <f>Table1[[#This Row],[Forecast]]*0.8</f>
        <v>255.70376096916976</v>
      </c>
      <c r="K1517">
        <f>Table1[[#This Row],[Forecast]]*0.8</f>
        <v>255.70376096916976</v>
      </c>
      <c r="P1517" s="13">
        <f t="shared" si="47"/>
        <v>1.9268630940619501E-3</v>
      </c>
      <c r="Z1517" s="8"/>
      <c r="AA1517" s="8">
        <f>CONVERT(Table1[[#This Row],[RevisedForecast 30% Recution2]]*Table1[[#This Row],[Talk Duration (AVG)]],"day","hr")</f>
        <v>11.824947360583963</v>
      </c>
      <c r="AB1517" s="10">
        <f>(Table1[[#This Row],[Forecast Workload Hours]]*60)*1.2</f>
        <v>851.3962099620453</v>
      </c>
      <c r="AC1517" s="10">
        <f>IF(Table1[[#This Row],[Forecast WOrkload Minutes]]&lt;384,1,Table1[[#This Row],[Forecast WOrkload Minutes]]/384)</f>
        <v>2.217177630109493</v>
      </c>
      <c r="AD1517" s="10">
        <f>ROUNDUP(Table1[[#This Row],[Forecast Headcount]],0)</f>
        <v>3</v>
      </c>
      <c r="AE1517" s="11">
        <v>202.64744059022149</v>
      </c>
      <c r="AF1517" s="11">
        <v>432.6780825464441</v>
      </c>
      <c r="AG1517" t="s">
        <v>7</v>
      </c>
    </row>
    <row r="1518" spans="1:33">
      <c r="A1518" s="2">
        <v>45399</v>
      </c>
      <c r="B1518" s="2"/>
      <c r="C1518" s="5">
        <f>WEEKDAY(Table1[[#This Row],[Date]])</f>
        <v>4</v>
      </c>
      <c r="D1518" s="5">
        <f>MONTH(Table1[[#This Row],[Date]])</f>
        <v>4</v>
      </c>
      <c r="E1518" s="5">
        <f>WEEKNUM(Table1[[#This Row],[Date]])</f>
        <v>16</v>
      </c>
      <c r="F1518" s="5">
        <f>YEAR(Table1[[#This Row],[Date]])</f>
        <v>2024</v>
      </c>
      <c r="H1518">
        <v>332.40817908294741</v>
      </c>
      <c r="I1518">
        <f>Table1[[#This Row],[Forecast]]*0.9</f>
        <v>299.16736117465268</v>
      </c>
      <c r="J1518">
        <f>Table1[[#This Row],[Forecast]]*0.8</f>
        <v>265.92654326635795</v>
      </c>
      <c r="K1518">
        <f>Table1[[#This Row],[Forecast]]*0.8</f>
        <v>265.92654326635795</v>
      </c>
      <c r="P1518" s="13">
        <f t="shared" si="47"/>
        <v>1.9268525108836077E-3</v>
      </c>
      <c r="Z1518" s="8"/>
      <c r="AA1518" s="8">
        <f>CONVERT(Table1[[#This Row],[RevisedForecast 30% Recution2]]*Table1[[#This Row],[Talk Duration (AVG)]],"day","hr")</f>
        <v>12.297629462481122</v>
      </c>
      <c r="AB1518" s="10">
        <f>(Table1[[#This Row],[Forecast Workload Hours]]*60)*1.2</f>
        <v>885.42932129864073</v>
      </c>
      <c r="AC1518" s="10">
        <f>IF(Table1[[#This Row],[Forecast WOrkload Minutes]]&lt;384,1,Table1[[#This Row],[Forecast WOrkload Minutes]]/384)</f>
        <v>2.3058055242152102</v>
      </c>
      <c r="AD1518" s="10">
        <f>ROUNDUP(Table1[[#This Row],[Forecast Headcount]],0)</f>
        <v>3</v>
      </c>
      <c r="AE1518" s="11">
        <v>221.05631612117651</v>
      </c>
      <c r="AF1518" s="11">
        <v>445.91713154574131</v>
      </c>
      <c r="AG1518" t="s">
        <v>7</v>
      </c>
    </row>
    <row r="1519" spans="1:33">
      <c r="A1519" s="2">
        <v>45400</v>
      </c>
      <c r="B1519" s="2"/>
      <c r="C1519" s="5">
        <f>WEEKDAY(Table1[[#This Row],[Date]])</f>
        <v>5</v>
      </c>
      <c r="D1519" s="5">
        <f>MONTH(Table1[[#This Row],[Date]])</f>
        <v>4</v>
      </c>
      <c r="E1519" s="5">
        <f>WEEKNUM(Table1[[#This Row],[Date]])</f>
        <v>16</v>
      </c>
      <c r="F1519" s="5">
        <f>YEAR(Table1[[#This Row],[Date]])</f>
        <v>2024</v>
      </c>
      <c r="H1519">
        <v>328.02406884489392</v>
      </c>
      <c r="I1519">
        <f>Table1[[#This Row],[Forecast]]*0.9</f>
        <v>295.22166196040456</v>
      </c>
      <c r="J1519">
        <f>Table1[[#This Row],[Forecast]]*0.8</f>
        <v>262.41925507591515</v>
      </c>
      <c r="K1519">
        <f>Table1[[#This Row],[Forecast]]*0.8</f>
        <v>262.41925507591515</v>
      </c>
      <c r="P1519" s="13">
        <f t="shared" si="47"/>
        <v>1.9268420117627403E-3</v>
      </c>
      <c r="Z1519" s="8"/>
      <c r="AA1519" s="8">
        <f>CONVERT(Table1[[#This Row],[RevisedForecast 30% Recution2]]*Table1[[#This Row],[Talk Duration (AVG)]],"day","hr")</f>
        <v>12.135370689018146</v>
      </c>
      <c r="AB1519" s="10">
        <f>(Table1[[#This Row],[Forecast Workload Hours]]*60)*1.2</f>
        <v>873.74668960930649</v>
      </c>
      <c r="AC1519" s="10">
        <f>IF(Table1[[#This Row],[Forecast WOrkload Minutes]]&lt;384,1,Table1[[#This Row],[Forecast WOrkload Minutes]]/384)</f>
        <v>2.2753820041909023</v>
      </c>
      <c r="AD1519" s="10">
        <f>ROUNDUP(Table1[[#This Row],[Forecast Headcount]],0)</f>
        <v>3</v>
      </c>
      <c r="AE1519" s="11">
        <v>212.25084855979549</v>
      </c>
      <c r="AF1519" s="11">
        <v>441.54928828887012</v>
      </c>
      <c r="AG1519" t="s">
        <v>7</v>
      </c>
    </row>
    <row r="1520" spans="1:33">
      <c r="A1520" s="2">
        <v>45401</v>
      </c>
      <c r="B1520" s="2"/>
      <c r="C1520" s="5">
        <f>WEEKDAY(Table1[[#This Row],[Date]])</f>
        <v>6</v>
      </c>
      <c r="D1520" s="5">
        <f>MONTH(Table1[[#This Row],[Date]])</f>
        <v>4</v>
      </c>
      <c r="E1520" s="5">
        <f>WEEKNUM(Table1[[#This Row],[Date]])</f>
        <v>16</v>
      </c>
      <c r="F1520" s="5">
        <f>YEAR(Table1[[#This Row],[Date]])</f>
        <v>2024</v>
      </c>
      <c r="H1520">
        <v>319.38582809919171</v>
      </c>
      <c r="I1520">
        <f>Table1[[#This Row],[Forecast]]*0.9</f>
        <v>287.44724528927253</v>
      </c>
      <c r="J1520">
        <f>Table1[[#This Row],[Forecast]]*0.8</f>
        <v>255.50866247935338</v>
      </c>
      <c r="K1520">
        <f>Table1[[#This Row],[Forecast]]*0.8</f>
        <v>255.50866247935338</v>
      </c>
      <c r="P1520" s="13">
        <f t="shared" si="47"/>
        <v>1.9268313796239828E-3</v>
      </c>
      <c r="Z1520" s="8"/>
      <c r="AA1520" s="8">
        <f>CONVERT(Table1[[#This Row],[RevisedForecast 30% Recution2]]*Table1[[#This Row],[Talk Duration (AVG)]],"day","hr")</f>
        <v>11.815730607143305</v>
      </c>
      <c r="AB1520" s="10">
        <f>(Table1[[#This Row],[Forecast Workload Hours]]*60)*1.2</f>
        <v>850.73260371431786</v>
      </c>
      <c r="AC1520" s="10">
        <f>IF(Table1[[#This Row],[Forecast WOrkload Minutes]]&lt;384,1,Table1[[#This Row],[Forecast WOrkload Minutes]]/384)</f>
        <v>2.2154494888393694</v>
      </c>
      <c r="AD1520" s="10">
        <f>ROUNDUP(Table1[[#This Row],[Forecast Headcount]],0)</f>
        <v>3</v>
      </c>
      <c r="AE1520" s="11">
        <v>205.439554703406</v>
      </c>
      <c r="AF1520" s="11">
        <v>427.55146473403107</v>
      </c>
      <c r="AG1520" t="s">
        <v>7</v>
      </c>
    </row>
    <row r="1521" spans="1:33">
      <c r="A1521" s="2">
        <v>45402</v>
      </c>
      <c r="B1521" s="2"/>
      <c r="C1521" s="5">
        <f>WEEKDAY(Table1[[#This Row],[Date]])</f>
        <v>7</v>
      </c>
      <c r="D1521" s="5">
        <f>MONTH(Table1[[#This Row],[Date]])</f>
        <v>4</v>
      </c>
      <c r="E1521" s="5">
        <f>WEEKNUM(Table1[[#This Row],[Date]])</f>
        <v>16</v>
      </c>
      <c r="F1521" s="5">
        <f>YEAR(Table1[[#This Row],[Date]])</f>
        <v>2024</v>
      </c>
      <c r="H1521">
        <v>326.6277694905296</v>
      </c>
      <c r="I1521">
        <f>Table1[[#This Row],[Forecast]]*0.9</f>
        <v>293.96499254147665</v>
      </c>
      <c r="J1521">
        <f>Table1[[#This Row],[Forecast]]*0.8</f>
        <v>261.30221559242369</v>
      </c>
      <c r="K1521">
        <f>Table1[[#This Row],[Forecast]]*0.8</f>
        <v>261.30221559242369</v>
      </c>
      <c r="P1521" s="13">
        <f t="shared" si="47"/>
        <v>1.9268207219513027E-3</v>
      </c>
      <c r="Z1521" s="8"/>
      <c r="AA1521" s="8">
        <f>CONVERT(Table1[[#This Row],[RevisedForecast 30% Recution2]]*Table1[[#This Row],[Talk Duration (AVG)]],"day","hr")</f>
        <v>12.083580568686452</v>
      </c>
      <c r="AB1521" s="10">
        <f>(Table1[[#This Row],[Forecast Workload Hours]]*60)*1.2</f>
        <v>870.0178009454246</v>
      </c>
      <c r="AC1521" s="10">
        <f>IF(Table1[[#This Row],[Forecast WOrkload Minutes]]&lt;384,1,Table1[[#This Row],[Forecast WOrkload Minutes]]/384)</f>
        <v>2.2656713566287099</v>
      </c>
      <c r="AD1521" s="10">
        <f>ROUNDUP(Table1[[#This Row],[Forecast Headcount]],0)</f>
        <v>3</v>
      </c>
      <c r="AE1521" s="11">
        <v>210.00957645051611</v>
      </c>
      <c r="AF1521" s="11">
        <v>440.15035094385911</v>
      </c>
      <c r="AG1521" t="s">
        <v>7</v>
      </c>
    </row>
    <row r="1522" spans="1:33">
      <c r="A1522" s="2">
        <v>45403</v>
      </c>
      <c r="B1522" s="2"/>
      <c r="C1522" s="5">
        <f>WEEKDAY(Table1[[#This Row],[Date]])</f>
        <v>1</v>
      </c>
      <c r="D1522" s="5">
        <f>MONTH(Table1[[#This Row],[Date]])</f>
        <v>4</v>
      </c>
      <c r="E1522" s="5">
        <f>WEEKNUM(Table1[[#This Row],[Date]])</f>
        <v>17</v>
      </c>
      <c r="F1522" s="5">
        <f>YEAR(Table1[[#This Row],[Date]])</f>
        <v>2024</v>
      </c>
      <c r="H1522">
        <v>237.9273904111547</v>
      </c>
      <c r="I1522">
        <f>Table1[[#This Row],[Forecast]]*0.9</f>
        <v>214.13465137003925</v>
      </c>
      <c r="J1522">
        <f>Table1[[#This Row],[Forecast]]*0.8</f>
        <v>190.34191232892377</v>
      </c>
      <c r="K1522">
        <f>Table1[[#This Row],[Forecast]]*0.8</f>
        <v>190.34191232892377</v>
      </c>
      <c r="P1522" s="13">
        <f t="shared" si="47"/>
        <v>1.92681014926852E-3</v>
      </c>
      <c r="Z1522" s="8"/>
      <c r="AA1522" s="8">
        <f>CONVERT(Table1[[#This Row],[RevisedForecast 30% Recution2]]*Table1[[#This Row],[Talk Duration (AVG)]],"day","hr")</f>
        <v>8.8020654841571808</v>
      </c>
      <c r="AB1522" s="10">
        <f>(Table1[[#This Row],[Forecast Workload Hours]]*60)*1.2</f>
        <v>633.74871485931703</v>
      </c>
      <c r="AC1522" s="10">
        <f>IF(Table1[[#This Row],[Forecast WOrkload Minutes]]&lt;384,1,Table1[[#This Row],[Forecast WOrkload Minutes]]/384)</f>
        <v>1.6503872782794715</v>
      </c>
      <c r="AD1522" s="10">
        <f>ROUNDUP(Table1[[#This Row],[Forecast Headcount]],0)</f>
        <v>2</v>
      </c>
      <c r="AE1522" s="11">
        <v>127.22214732619349</v>
      </c>
      <c r="AF1522" s="11">
        <v>353.06866487950668</v>
      </c>
      <c r="AG1522" t="s">
        <v>7</v>
      </c>
    </row>
    <row r="1523" spans="1:33">
      <c r="A1523" s="2">
        <v>45404</v>
      </c>
      <c r="B1523" s="2"/>
      <c r="C1523" s="5">
        <f>WEEKDAY(Table1[[#This Row],[Date]])</f>
        <v>2</v>
      </c>
      <c r="D1523" s="5">
        <f>MONTH(Table1[[#This Row],[Date]])</f>
        <v>4</v>
      </c>
      <c r="E1523" s="5">
        <f>WEEKNUM(Table1[[#This Row],[Date]])</f>
        <v>17</v>
      </c>
      <c r="F1523" s="5">
        <f>YEAR(Table1[[#This Row],[Date]])</f>
        <v>2024</v>
      </c>
      <c r="H1523">
        <v>337.66352166200329</v>
      </c>
      <c r="I1523">
        <f>Table1[[#This Row],[Forecast]]*0.9</f>
        <v>303.89716949580298</v>
      </c>
      <c r="J1523">
        <f>Table1[[#This Row],[Forecast]]*0.8</f>
        <v>270.13081732960262</v>
      </c>
      <c r="K1523">
        <f>Table1[[#This Row],[Forecast]]*0.8</f>
        <v>270.13081732960262</v>
      </c>
      <c r="P1523" s="13">
        <f t="shared" si="47"/>
        <v>1.9267995767905325E-3</v>
      </c>
      <c r="Z1523" s="8"/>
      <c r="AA1523" s="8">
        <f>CONVERT(Table1[[#This Row],[RevisedForecast 30% Recution2]]*Table1[[#This Row],[Talk Duration (AVG)]],"day","hr")</f>
        <v>12.491710668210217</v>
      </c>
      <c r="AB1523" s="10">
        <f>(Table1[[#This Row],[Forecast Workload Hours]]*60)*1.2</f>
        <v>899.40316811113564</v>
      </c>
      <c r="AC1523" s="10">
        <f>IF(Table1[[#This Row],[Forecast WOrkload Minutes]]&lt;384,1,Table1[[#This Row],[Forecast WOrkload Minutes]]/384)</f>
        <v>2.3421957502894157</v>
      </c>
      <c r="AD1523" s="10">
        <f>ROUNDUP(Table1[[#This Row],[Forecast Headcount]],0)</f>
        <v>3</v>
      </c>
      <c r="AE1523" s="11">
        <v>226.04998735919051</v>
      </c>
      <c r="AF1523" s="11">
        <v>454.99365510767183</v>
      </c>
      <c r="AG1523" t="s">
        <v>7</v>
      </c>
    </row>
    <row r="1524" spans="1:33">
      <c r="A1524" s="2">
        <v>45405</v>
      </c>
      <c r="B1524" s="2"/>
      <c r="C1524" s="5">
        <f>WEEKDAY(Table1[[#This Row],[Date]])</f>
        <v>3</v>
      </c>
      <c r="D1524" s="5">
        <f>MONTH(Table1[[#This Row],[Date]])</f>
        <v>4</v>
      </c>
      <c r="E1524" s="5">
        <f>WEEKNUM(Table1[[#This Row],[Date]])</f>
        <v>17</v>
      </c>
      <c r="F1524" s="5">
        <f>YEAR(Table1[[#This Row],[Date]])</f>
        <v>2024</v>
      </c>
      <c r="H1524">
        <v>321.42091339354249</v>
      </c>
      <c r="I1524">
        <f>Table1[[#This Row],[Forecast]]*0.9</f>
        <v>289.27882205418825</v>
      </c>
      <c r="J1524">
        <f>Table1[[#This Row],[Forecast]]*0.8</f>
        <v>257.13673071483402</v>
      </c>
      <c r="K1524">
        <f>Table1[[#This Row],[Forecast]]*0.8</f>
        <v>257.13673071483402</v>
      </c>
      <c r="P1524" s="13">
        <f t="shared" si="47"/>
        <v>1.9267890684903886E-3</v>
      </c>
      <c r="Z1524" s="8"/>
      <c r="AA1524" s="8">
        <f>CONVERT(Table1[[#This Row],[RevisedForecast 30% Recution2]]*Table1[[#This Row],[Talk Duration (AVG)]],"day","hr")</f>
        <v>11.890757804368775</v>
      </c>
      <c r="AB1524" s="10">
        <f>(Table1[[#This Row],[Forecast Workload Hours]]*60)*1.2</f>
        <v>856.1345619145518</v>
      </c>
      <c r="AC1524" s="10">
        <f>IF(Table1[[#This Row],[Forecast WOrkload Minutes]]&lt;384,1,Table1[[#This Row],[Forecast WOrkload Minutes]]/384)</f>
        <v>2.2295170883191453</v>
      </c>
      <c r="AD1524" s="10">
        <f>ROUNDUP(Table1[[#This Row],[Forecast Headcount]],0)</f>
        <v>3</v>
      </c>
      <c r="AE1524" s="11">
        <v>214.02095857333501</v>
      </c>
      <c r="AF1524" s="11">
        <v>433.89753033372602</v>
      </c>
      <c r="AG1524" t="s">
        <v>7</v>
      </c>
    </row>
    <row r="1525" spans="1:33">
      <c r="A1525" s="2">
        <v>45406</v>
      </c>
      <c r="B1525" s="2"/>
      <c r="C1525" s="5">
        <f>WEEKDAY(Table1[[#This Row],[Date]])</f>
        <v>4</v>
      </c>
      <c r="D1525" s="5">
        <f>MONTH(Table1[[#This Row],[Date]])</f>
        <v>4</v>
      </c>
      <c r="E1525" s="5">
        <f>WEEKNUM(Table1[[#This Row],[Date]])</f>
        <v>17</v>
      </c>
      <c r="F1525" s="5">
        <f>YEAR(Table1[[#This Row],[Date]])</f>
        <v>2024</v>
      </c>
      <c r="H1525">
        <v>333.4292799024247</v>
      </c>
      <c r="I1525">
        <f>Table1[[#This Row],[Forecast]]*0.9</f>
        <v>300.08635191218224</v>
      </c>
      <c r="J1525">
        <f>Table1[[#This Row],[Forecast]]*0.8</f>
        <v>266.74342392193978</v>
      </c>
      <c r="K1525">
        <f>Table1[[#This Row],[Forecast]]*0.8</f>
        <v>266.74342392193978</v>
      </c>
      <c r="P1525" s="13">
        <f t="shared" si="47"/>
        <v>1.9267786617824141E-3</v>
      </c>
      <c r="Z1525" s="8"/>
      <c r="AA1525" s="8">
        <f>CONVERT(Table1[[#This Row],[RevisedForecast 30% Recution2]]*Table1[[#This Row],[Talk Duration (AVG)]],"day","hr")</f>
        <v>12.334932897205785</v>
      </c>
      <c r="AB1525" s="10">
        <f>(Table1[[#This Row],[Forecast Workload Hours]]*60)*1.2</f>
        <v>888.11516859881647</v>
      </c>
      <c r="AC1525" s="10">
        <f>IF(Table1[[#This Row],[Forecast WOrkload Minutes]]&lt;384,1,Table1[[#This Row],[Forecast WOrkload Minutes]]/384)</f>
        <v>2.3127999182260846</v>
      </c>
      <c r="AD1525" s="10">
        <f>ROUNDUP(Table1[[#This Row],[Forecast Headcount]],0)</f>
        <v>3</v>
      </c>
      <c r="AE1525" s="11">
        <v>211.59862690744779</v>
      </c>
      <c r="AF1525" s="11">
        <v>441.51782664488081</v>
      </c>
      <c r="AG1525" t="s">
        <v>7</v>
      </c>
    </row>
    <row r="1526" spans="1:33">
      <c r="A1526" s="2">
        <v>45407</v>
      </c>
      <c r="B1526" s="2"/>
      <c r="C1526" s="5">
        <f>WEEKDAY(Table1[[#This Row],[Date]])</f>
        <v>5</v>
      </c>
      <c r="D1526" s="5">
        <f>MONTH(Table1[[#This Row],[Date]])</f>
        <v>4</v>
      </c>
      <c r="E1526" s="5">
        <f>WEEKNUM(Table1[[#This Row],[Date]])</f>
        <v>17</v>
      </c>
      <c r="F1526" s="5">
        <f>YEAR(Table1[[#This Row],[Date]])</f>
        <v>2024</v>
      </c>
      <c r="H1526">
        <v>328.43092804434127</v>
      </c>
      <c r="I1526">
        <f>Table1[[#This Row],[Forecast]]*0.9</f>
        <v>295.58783523990718</v>
      </c>
      <c r="J1526">
        <f>Table1[[#This Row],[Forecast]]*0.8</f>
        <v>262.74474243547303</v>
      </c>
      <c r="K1526">
        <f>Table1[[#This Row],[Forecast]]*0.8</f>
        <v>262.74474243547303</v>
      </c>
      <c r="P1526" s="13">
        <f t="shared" si="47"/>
        <v>1.9267682344903205E-3</v>
      </c>
      <c r="Z1526" s="8"/>
      <c r="AA1526" s="8">
        <f>CONVERT(Table1[[#This Row],[RevisedForecast 30% Recution2]]*Table1[[#This Row],[Talk Duration (AVG)]],"day","hr")</f>
        <v>12.149957364096249</v>
      </c>
      <c r="AB1526" s="10">
        <f>(Table1[[#This Row],[Forecast Workload Hours]]*60)*1.2</f>
        <v>874.79693021492983</v>
      </c>
      <c r="AC1526" s="10">
        <f>IF(Table1[[#This Row],[Forecast WOrkload Minutes]]&lt;384,1,Table1[[#This Row],[Forecast WOrkload Minutes]]/384)</f>
        <v>2.2781170057680464</v>
      </c>
      <c r="AD1526" s="10">
        <f>ROUNDUP(Table1[[#This Row],[Forecast Headcount]],0)</f>
        <v>3</v>
      </c>
      <c r="AE1526" s="11">
        <v>215.9053664942391</v>
      </c>
      <c r="AF1526" s="11">
        <v>433.24075708494598</v>
      </c>
      <c r="AG1526" t="s">
        <v>7</v>
      </c>
    </row>
    <row r="1527" spans="1:33">
      <c r="A1527" s="2">
        <v>45408</v>
      </c>
      <c r="B1527" s="2"/>
      <c r="C1527" s="5">
        <f>WEEKDAY(Table1[[#This Row],[Date]])</f>
        <v>6</v>
      </c>
      <c r="D1527" s="5">
        <f>MONTH(Table1[[#This Row],[Date]])</f>
        <v>4</v>
      </c>
      <c r="E1527" s="5">
        <f>WEEKNUM(Table1[[#This Row],[Date]])</f>
        <v>17</v>
      </c>
      <c r="F1527" s="5">
        <f>YEAR(Table1[[#This Row],[Date]])</f>
        <v>2024</v>
      </c>
      <c r="H1527">
        <v>319.33052893539889</v>
      </c>
      <c r="I1527">
        <f>Table1[[#This Row],[Forecast]]*0.9</f>
        <v>287.39747604185902</v>
      </c>
      <c r="J1527">
        <f>Table1[[#This Row],[Forecast]]*0.8</f>
        <v>255.46442314831913</v>
      </c>
      <c r="K1527">
        <f>Table1[[#This Row],[Forecast]]*0.8</f>
        <v>255.46442314831913</v>
      </c>
      <c r="P1527" s="13">
        <f t="shared" si="47"/>
        <v>1.9267582467464286E-3</v>
      </c>
      <c r="Z1527" s="8"/>
      <c r="AA1527" s="8">
        <f>CONVERT(Table1[[#This Row],[RevisedForecast 30% Recution2]]*Table1[[#This Row],[Talk Duration (AVG)]],"day","hr")</f>
        <v>11.813236417232234</v>
      </c>
      <c r="AB1527" s="10">
        <f>(Table1[[#This Row],[Forecast Workload Hours]]*60)*1.2</f>
        <v>850.55302204072075</v>
      </c>
      <c r="AC1527" s="10">
        <f>IF(Table1[[#This Row],[Forecast WOrkload Minutes]]&lt;384,1,Table1[[#This Row],[Forecast WOrkload Minutes]]/384)</f>
        <v>2.2149818282310436</v>
      </c>
      <c r="AD1527" s="10">
        <f>ROUNDUP(Table1[[#This Row],[Forecast Headcount]],0)</f>
        <v>3</v>
      </c>
      <c r="AE1527" s="11">
        <v>205.15685343359641</v>
      </c>
      <c r="AF1527" s="11">
        <v>424.8466381876537</v>
      </c>
      <c r="AG1527" t="s">
        <v>7</v>
      </c>
    </row>
    <row r="1528" spans="1:33">
      <c r="A1528" s="2">
        <v>45409</v>
      </c>
      <c r="B1528" s="2"/>
      <c r="C1528" s="5">
        <f>WEEKDAY(Table1[[#This Row],[Date]])</f>
        <v>7</v>
      </c>
      <c r="D1528" s="5">
        <f>MONTH(Table1[[#This Row],[Date]])</f>
        <v>4</v>
      </c>
      <c r="E1528" s="5">
        <f>WEEKNUM(Table1[[#This Row],[Date]])</f>
        <v>17</v>
      </c>
      <c r="F1528" s="5">
        <f>YEAR(Table1[[#This Row],[Date]])</f>
        <v>2024</v>
      </c>
      <c r="H1528">
        <v>326.25431489139538</v>
      </c>
      <c r="I1528">
        <f>Table1[[#This Row],[Forecast]]*0.9</f>
        <v>293.62888340225584</v>
      </c>
      <c r="J1528">
        <f>Table1[[#This Row],[Forecast]]*0.8</f>
        <v>261.00345191311629</v>
      </c>
      <c r="K1528">
        <f>Table1[[#This Row],[Forecast]]*0.8</f>
        <v>261.00345191311629</v>
      </c>
      <c r="P1528" s="13">
        <f t="shared" si="47"/>
        <v>1.9267487747693963E-3</v>
      </c>
      <c r="Z1528" s="8"/>
      <c r="AA1528" s="8">
        <f>CONVERT(Table1[[#This Row],[RevisedForecast 30% Recution2]]*Table1[[#This Row],[Talk Duration (AVG)]],"day","hr")</f>
        <v>12.069313948420316</v>
      </c>
      <c r="AB1528" s="10">
        <f>(Table1[[#This Row],[Forecast Workload Hours]]*60)*1.2</f>
        <v>868.99060428626274</v>
      </c>
      <c r="AC1528" s="10">
        <f>IF(Table1[[#This Row],[Forecast WOrkload Minutes]]&lt;384,1,Table1[[#This Row],[Forecast WOrkload Minutes]]/384)</f>
        <v>2.2629963653288092</v>
      </c>
      <c r="AD1528" s="10">
        <f>ROUNDUP(Table1[[#This Row],[Forecast Headcount]],0)</f>
        <v>3</v>
      </c>
      <c r="AE1528" s="11">
        <v>220.21622788454181</v>
      </c>
      <c r="AF1528" s="11">
        <v>428.90784223262278</v>
      </c>
      <c r="AG1528" t="s">
        <v>7</v>
      </c>
    </row>
    <row r="1529" spans="1:33">
      <c r="A1529" s="2">
        <v>45410</v>
      </c>
      <c r="B1529" s="2"/>
      <c r="C1529" s="5">
        <f>WEEKDAY(Table1[[#This Row],[Date]])</f>
        <v>1</v>
      </c>
      <c r="D1529" s="5">
        <f>MONTH(Table1[[#This Row],[Date]])</f>
        <v>4</v>
      </c>
      <c r="E1529" s="5">
        <f>WEEKNUM(Table1[[#This Row],[Date]])</f>
        <v>18</v>
      </c>
      <c r="F1529" s="5">
        <f>YEAR(Table1[[#This Row],[Date]])</f>
        <v>2024</v>
      </c>
      <c r="H1529">
        <v>237.3678838752345</v>
      </c>
      <c r="I1529">
        <f>Table1[[#This Row],[Forecast]]*0.9</f>
        <v>213.63109548771106</v>
      </c>
      <c r="J1529">
        <f>Table1[[#This Row],[Forecast]]*0.8</f>
        <v>189.8943071001876</v>
      </c>
      <c r="K1529">
        <f>Table1[[#This Row],[Forecast]]*0.8</f>
        <v>189.8943071001876</v>
      </c>
      <c r="P1529" s="13">
        <f t="shared" si="47"/>
        <v>1.926739944030625E-3</v>
      </c>
      <c r="Z1529" s="8"/>
      <c r="AA1529" s="8">
        <f>CONVERT(Table1[[#This Row],[RevisedForecast 30% Recution2]]*Table1[[#This Row],[Talk Duration (AVG)]],"day","hr")</f>
        <v>8.7810467192147943</v>
      </c>
      <c r="AB1529" s="10">
        <f>(Table1[[#This Row],[Forecast Workload Hours]]*60)*1.2</f>
        <v>632.23536378346512</v>
      </c>
      <c r="AC1529" s="10">
        <f>IF(Table1[[#This Row],[Forecast WOrkload Minutes]]&lt;384,1,Table1[[#This Row],[Forecast WOrkload Minutes]]/384)</f>
        <v>1.6464462598527738</v>
      </c>
      <c r="AD1529" s="10">
        <f>ROUNDUP(Table1[[#This Row],[Forecast Headcount]],0)</f>
        <v>2</v>
      </c>
      <c r="AE1529" s="11">
        <v>122.2073746994968</v>
      </c>
      <c r="AF1529" s="11">
        <v>350.13475285834272</v>
      </c>
      <c r="AG1529" t="s">
        <v>7</v>
      </c>
    </row>
    <row r="1530" spans="1:33">
      <c r="A1530" s="2">
        <v>45411</v>
      </c>
      <c r="B1530" s="2"/>
      <c r="C1530" s="5">
        <f>WEEKDAY(Table1[[#This Row],[Date]])</f>
        <v>2</v>
      </c>
      <c r="D1530" s="5">
        <f>MONTH(Table1[[#This Row],[Date]])</f>
        <v>4</v>
      </c>
      <c r="E1530" s="5">
        <f>WEEKNUM(Table1[[#This Row],[Date]])</f>
        <v>18</v>
      </c>
      <c r="F1530" s="5">
        <f>YEAR(Table1[[#This Row],[Date]])</f>
        <v>2024</v>
      </c>
      <c r="H1530">
        <v>337.03491177525518</v>
      </c>
      <c r="I1530">
        <f>Table1[[#This Row],[Forecast]]*0.9</f>
        <v>303.33142059772968</v>
      </c>
      <c r="J1530">
        <f>Table1[[#This Row],[Forecast]]*0.8</f>
        <v>269.62792942020417</v>
      </c>
      <c r="K1530">
        <f>Table1[[#This Row],[Forecast]]*0.8</f>
        <v>269.62792942020417</v>
      </c>
      <c r="P1530" s="13">
        <f t="shared" si="47"/>
        <v>1.9267317794492943E-3</v>
      </c>
      <c r="Z1530" s="8"/>
      <c r="AA1530" s="8">
        <f>CONVERT(Table1[[#This Row],[RevisedForecast 30% Recution2]]*Table1[[#This Row],[Talk Duration (AVG)]],"day","hr")</f>
        <v>12.468016805784448</v>
      </c>
      <c r="AB1530" s="10">
        <f>(Table1[[#This Row],[Forecast Workload Hours]]*60)*1.2</f>
        <v>897.6972100164802</v>
      </c>
      <c r="AC1530" s="10">
        <f>IF(Table1[[#This Row],[Forecast WOrkload Minutes]]&lt;384,1,Table1[[#This Row],[Forecast WOrkload Minutes]]/384)</f>
        <v>2.3377531510845837</v>
      </c>
      <c r="AD1530" s="10">
        <f>ROUNDUP(Table1[[#This Row],[Forecast Headcount]],0)</f>
        <v>3</v>
      </c>
      <c r="AE1530" s="11">
        <v>227.10384005111919</v>
      </c>
      <c r="AF1530" s="11">
        <v>451.1869953185552</v>
      </c>
      <c r="AG1530" t="s">
        <v>7</v>
      </c>
    </row>
    <row r="1531" spans="1:33">
      <c r="A1531" s="2">
        <v>45412</v>
      </c>
      <c r="B1531" s="2"/>
      <c r="C1531" s="5">
        <f>WEEKDAY(Table1[[#This Row],[Date]])</f>
        <v>3</v>
      </c>
      <c r="D1531" s="5">
        <f>MONTH(Table1[[#This Row],[Date]])</f>
        <v>4</v>
      </c>
      <c r="E1531" s="5">
        <f>WEEKNUM(Table1[[#This Row],[Date]])</f>
        <v>18</v>
      </c>
      <c r="F1531" s="5">
        <f>YEAR(Table1[[#This Row],[Date]])</f>
        <v>2024</v>
      </c>
      <c r="H1531">
        <v>320.82237278079288</v>
      </c>
      <c r="I1531">
        <f>Table1[[#This Row],[Forecast]]*0.9</f>
        <v>288.7401355027136</v>
      </c>
      <c r="J1531">
        <f>Table1[[#This Row],[Forecast]]*0.8</f>
        <v>256.65789822463432</v>
      </c>
      <c r="K1531">
        <f>Table1[[#This Row],[Forecast]]*0.8</f>
        <v>256.65789822463432</v>
      </c>
      <c r="P1531" s="13">
        <f t="shared" si="47"/>
        <v>1.9267242875717109E-3</v>
      </c>
      <c r="Z1531" s="8"/>
      <c r="AA1531" s="8">
        <f>CONVERT(Table1[[#This Row],[RevisedForecast 30% Recution2]]*Table1[[#This Row],[Talk Duration (AVG)]],"day","hr")</f>
        <v>11.86821614655627</v>
      </c>
      <c r="AB1531" s="10">
        <f>(Table1[[#This Row],[Forecast Workload Hours]]*60)*1.2</f>
        <v>854.51156255205137</v>
      </c>
      <c r="AC1531" s="10">
        <f>IF(Table1[[#This Row],[Forecast WOrkload Minutes]]&lt;384,1,Table1[[#This Row],[Forecast WOrkload Minutes]]/384)</f>
        <v>2.2252905274793005</v>
      </c>
      <c r="AD1531" s="10">
        <f>ROUNDUP(Table1[[#This Row],[Forecast Headcount]],0)</f>
        <v>3</v>
      </c>
      <c r="AE1531" s="11">
        <v>206.37770544022061</v>
      </c>
      <c r="AF1531" s="11">
        <v>432.67898672993817</v>
      </c>
      <c r="AG1531" t="s">
        <v>7</v>
      </c>
    </row>
    <row r="1532" spans="1:33">
      <c r="A1532" s="2">
        <v>45413</v>
      </c>
      <c r="B1532" s="2"/>
      <c r="C1532" s="5">
        <f>WEEKDAY(Table1[[#This Row],[Date]])</f>
        <v>4</v>
      </c>
      <c r="D1532" s="5">
        <f>MONTH(Table1[[#This Row],[Date]])</f>
        <v>5</v>
      </c>
      <c r="E1532" s="5">
        <f>WEEKNUM(Table1[[#This Row],[Date]])</f>
        <v>18</v>
      </c>
      <c r="F1532" s="5">
        <f>YEAR(Table1[[#This Row],[Date]])</f>
        <v>2024</v>
      </c>
      <c r="H1532">
        <v>332.94026982978511</v>
      </c>
      <c r="I1532">
        <f>Table1[[#This Row],[Forecast]]*0.9</f>
        <v>299.64624284680662</v>
      </c>
      <c r="J1532">
        <f>Table1[[#This Row],[Forecast]]*0.8</f>
        <v>266.35221586382812</v>
      </c>
      <c r="K1532">
        <f>Table1[[#This Row],[Forecast]]*0.8</f>
        <v>266.35221586382812</v>
      </c>
      <c r="P1532" s="13">
        <f t="shared" si="47"/>
        <v>1.9267175127375277E-3</v>
      </c>
      <c r="Z1532" s="8"/>
      <c r="AA1532" s="8">
        <f>CONVERT(Table1[[#This Row],[RevisedForecast 30% Recution2]]*Table1[[#This Row],[Talk Duration (AVG)]],"day","hr")</f>
        <v>12.316451492670815</v>
      </c>
      <c r="AB1532" s="10">
        <f>(Table1[[#This Row],[Forecast Workload Hours]]*60)*1.2</f>
        <v>886.78450747229874</v>
      </c>
      <c r="AC1532" s="10">
        <f>IF(Table1[[#This Row],[Forecast WOrkload Minutes]]&lt;384,1,Table1[[#This Row],[Forecast WOrkload Minutes]]/384)</f>
        <v>2.3093346548757778</v>
      </c>
      <c r="AD1532" s="10">
        <f>ROUNDUP(Table1[[#This Row],[Forecast Headcount]],0)</f>
        <v>3</v>
      </c>
      <c r="AE1532" s="11">
        <v>220.43017199574521</v>
      </c>
      <c r="AF1532" s="11">
        <v>444.43632986738032</v>
      </c>
      <c r="AG1532" t="s">
        <v>7</v>
      </c>
    </row>
    <row r="1533" spans="1:33">
      <c r="A1533" s="2">
        <v>45414</v>
      </c>
      <c r="B1533" s="2"/>
      <c r="C1533" s="5">
        <f>WEEKDAY(Table1[[#This Row],[Date]])</f>
        <v>5</v>
      </c>
      <c r="D1533" s="5">
        <f>MONTH(Table1[[#This Row],[Date]])</f>
        <v>5</v>
      </c>
      <c r="E1533" s="5">
        <f>WEEKNUM(Table1[[#This Row],[Date]])</f>
        <v>18</v>
      </c>
      <c r="F1533" s="5">
        <f>YEAR(Table1[[#This Row],[Date]])</f>
        <v>2024</v>
      </c>
      <c r="H1533">
        <v>328.10997935330943</v>
      </c>
      <c r="I1533">
        <f>Table1[[#This Row],[Forecast]]*0.9</f>
        <v>295.2989814179785</v>
      </c>
      <c r="J1533">
        <f>Table1[[#This Row],[Forecast]]*0.8</f>
        <v>262.48798348264756</v>
      </c>
      <c r="K1533">
        <f>Table1[[#This Row],[Forecast]]*0.8</f>
        <v>262.48798348264756</v>
      </c>
      <c r="P1533" s="13">
        <f t="shared" si="47"/>
        <v>1.9267120010849131E-3</v>
      </c>
      <c r="Z1533" s="8"/>
      <c r="AA1533" s="8">
        <f>CONVERT(Table1[[#This Row],[RevisedForecast 30% Recution2]]*Table1[[#This Row],[Talk Duration (AVG)]],"day","hr")</f>
        <v>12.137729949998292</v>
      </c>
      <c r="AB1533" s="10">
        <f>(Table1[[#This Row],[Forecast Workload Hours]]*60)*1.2</f>
        <v>873.91655639987698</v>
      </c>
      <c r="AC1533" s="10">
        <f>IF(Table1[[#This Row],[Forecast WOrkload Minutes]]&lt;384,1,Table1[[#This Row],[Forecast WOrkload Minutes]]/384)</f>
        <v>2.2758243656246795</v>
      </c>
      <c r="AD1533" s="10">
        <f>ROUNDUP(Table1[[#This Row],[Forecast Headcount]],0)</f>
        <v>3</v>
      </c>
      <c r="AE1533" s="11">
        <v>221.57707851121069</v>
      </c>
      <c r="AF1533" s="11">
        <v>432.1326947423629</v>
      </c>
      <c r="AG1533" t="s">
        <v>7</v>
      </c>
    </row>
    <row r="1534" spans="1:33">
      <c r="A1534" s="2">
        <v>45415</v>
      </c>
      <c r="B1534" s="2"/>
      <c r="C1534" s="5">
        <f>WEEKDAY(Table1[[#This Row],[Date]])</f>
        <v>6</v>
      </c>
      <c r="D1534" s="5">
        <f>MONTH(Table1[[#This Row],[Date]])</f>
        <v>5</v>
      </c>
      <c r="E1534" s="5">
        <f>WEEKNUM(Table1[[#This Row],[Date]])</f>
        <v>18</v>
      </c>
      <c r="F1534" s="5">
        <f>YEAR(Table1[[#This Row],[Date]])</f>
        <v>2024</v>
      </c>
      <c r="H1534">
        <v>319.21474904242382</v>
      </c>
      <c r="I1534">
        <f>Table1[[#This Row],[Forecast]]*0.9</f>
        <v>287.29327413818146</v>
      </c>
      <c r="J1534">
        <f>Table1[[#This Row],[Forecast]]*0.8</f>
        <v>255.37179923393907</v>
      </c>
      <c r="K1534">
        <f>Table1[[#This Row],[Forecast]]*0.8</f>
        <v>255.37179923393907</v>
      </c>
      <c r="P1534" s="13">
        <f t="shared" si="47"/>
        <v>1.9267075769347324E-3</v>
      </c>
      <c r="Z1534" s="8"/>
      <c r="AA1534" s="8">
        <f>CONVERT(Table1[[#This Row],[RevisedForecast 30% Recution2]]*Table1[[#This Row],[Talk Duration (AVG)]],"day","hr")</f>
        <v>11.808642732467655</v>
      </c>
      <c r="AB1534" s="10">
        <f>(Table1[[#This Row],[Forecast Workload Hours]]*60)*1.2</f>
        <v>850.22227673767111</v>
      </c>
      <c r="AC1534" s="10">
        <f>IF(Table1[[#This Row],[Forecast WOrkload Minutes]]&lt;384,1,Table1[[#This Row],[Forecast WOrkload Minutes]]/384)</f>
        <v>2.214120512337685</v>
      </c>
      <c r="AD1534" s="10">
        <f>ROUNDUP(Table1[[#This Row],[Forecast Headcount]],0)</f>
        <v>3</v>
      </c>
      <c r="AE1534" s="11">
        <v>217.44073745236139</v>
      </c>
      <c r="AF1534" s="11">
        <v>423.62651089292018</v>
      </c>
      <c r="AG1534" t="s">
        <v>7</v>
      </c>
    </row>
    <row r="1535" spans="1:33">
      <c r="A1535" s="2">
        <v>45416</v>
      </c>
      <c r="B1535" s="2"/>
      <c r="C1535" s="5">
        <f>WEEKDAY(Table1[[#This Row],[Date]])</f>
        <v>7</v>
      </c>
      <c r="D1535" s="5">
        <f>MONTH(Table1[[#This Row],[Date]])</f>
        <v>5</v>
      </c>
      <c r="E1535" s="5">
        <f>WEEKNUM(Table1[[#This Row],[Date]])</f>
        <v>18</v>
      </c>
      <c r="F1535" s="5">
        <f>YEAR(Table1[[#This Row],[Date]])</f>
        <v>2024</v>
      </c>
      <c r="H1535">
        <v>326.35960986887881</v>
      </c>
      <c r="I1535">
        <f>Table1[[#This Row],[Forecast]]*0.9</f>
        <v>293.72364888199093</v>
      </c>
      <c r="J1535">
        <f>Table1[[#This Row],[Forecast]]*0.8</f>
        <v>261.08768789510304</v>
      </c>
      <c r="K1535">
        <f>Table1[[#This Row],[Forecast]]*0.8</f>
        <v>261.08768789510304</v>
      </c>
      <c r="P1535" s="13">
        <f t="shared" si="47"/>
        <v>1.9267042294078027E-3</v>
      </c>
      <c r="Z1535" s="8"/>
      <c r="AA1535" s="8">
        <f>CONVERT(Table1[[#This Row],[RevisedForecast 30% Recution2]]*Table1[[#This Row],[Talk Duration (AVG)]],"day","hr")</f>
        <v>12.072930060331185</v>
      </c>
      <c r="AB1535" s="10">
        <f>(Table1[[#This Row],[Forecast Workload Hours]]*60)*1.2</f>
        <v>869.25096434384534</v>
      </c>
      <c r="AC1535" s="10">
        <f>IF(Table1[[#This Row],[Forecast WOrkload Minutes]]&lt;384,1,Table1[[#This Row],[Forecast WOrkload Minutes]]/384)</f>
        <v>2.2636743863120974</v>
      </c>
      <c r="AD1535" s="10">
        <f>ROUNDUP(Table1[[#This Row],[Forecast Headcount]],0)</f>
        <v>3</v>
      </c>
      <c r="AE1535" s="11">
        <v>212.66277486629471</v>
      </c>
      <c r="AF1535" s="11">
        <v>438.30916993113851</v>
      </c>
      <c r="AG1535" t="s">
        <v>7</v>
      </c>
    </row>
    <row r="1536" spans="1:33">
      <c r="A1536" s="2">
        <v>45417</v>
      </c>
      <c r="B1536" s="2"/>
      <c r="C1536" s="5">
        <f>WEEKDAY(Table1[[#This Row],[Date]])</f>
        <v>1</v>
      </c>
      <c r="D1536" s="5">
        <f>MONTH(Table1[[#This Row],[Date]])</f>
        <v>5</v>
      </c>
      <c r="E1536" s="5">
        <f>WEEKNUM(Table1[[#This Row],[Date]])</f>
        <v>19</v>
      </c>
      <c r="F1536" s="5">
        <f>YEAR(Table1[[#This Row],[Date]])</f>
        <v>2024</v>
      </c>
      <c r="H1536">
        <v>237.68986463744889</v>
      </c>
      <c r="I1536">
        <f>Table1[[#This Row],[Forecast]]*0.9</f>
        <v>213.92087817370401</v>
      </c>
      <c r="J1536">
        <f>Table1[[#This Row],[Forecast]]*0.8</f>
        <v>190.15189170995913</v>
      </c>
      <c r="K1536">
        <f>Table1[[#This Row],[Forecast]]*0.8</f>
        <v>190.15189170995913</v>
      </c>
      <c r="P1536" s="13">
        <f t="shared" si="47"/>
        <v>1.9267018525515372E-3</v>
      </c>
      <c r="Z1536" s="8"/>
      <c r="AA1536" s="8">
        <f>CONVERT(Table1[[#This Row],[RevisedForecast 30% Recution2]]*Table1[[#This Row],[Talk Duration (AVG)]],"day","hr")</f>
        <v>8.7927840485701818</v>
      </c>
      <c r="AB1536" s="10">
        <f>(Table1[[#This Row],[Forecast Workload Hours]]*60)*1.2</f>
        <v>633.0804514970531</v>
      </c>
      <c r="AC1536" s="10">
        <f>IF(Table1[[#This Row],[Forecast WOrkload Minutes]]&lt;384,1,Table1[[#This Row],[Forecast WOrkload Minutes]]/384)</f>
        <v>1.6486470091069092</v>
      </c>
      <c r="AD1536" s="10">
        <f>ROUNDUP(Table1[[#This Row],[Forecast Headcount]],0)</f>
        <v>2</v>
      </c>
      <c r="AE1536" s="11">
        <v>123.57094757018579</v>
      </c>
      <c r="AF1536" s="11">
        <v>349.1068948392288</v>
      </c>
      <c r="AG1536" t="s">
        <v>7</v>
      </c>
    </row>
    <row r="1537" spans="1:33">
      <c r="A1537" s="2">
        <v>45418</v>
      </c>
      <c r="B1537" s="2"/>
      <c r="C1537" s="5">
        <f>WEEKDAY(Table1[[#This Row],[Date]])</f>
        <v>2</v>
      </c>
      <c r="D1537" s="5">
        <f>MONTH(Table1[[#This Row],[Date]])</f>
        <v>5</v>
      </c>
      <c r="E1537" s="5">
        <f>WEEKNUM(Table1[[#This Row],[Date]])</f>
        <v>19</v>
      </c>
      <c r="F1537" s="5">
        <f>YEAR(Table1[[#This Row],[Date]])</f>
        <v>2024</v>
      </c>
      <c r="H1537">
        <v>337.55043473336991</v>
      </c>
      <c r="I1537">
        <f>Table1[[#This Row],[Forecast]]*0.9</f>
        <v>303.79539126003294</v>
      </c>
      <c r="J1537">
        <f>Table1[[#This Row],[Forecast]]*0.8</f>
        <v>270.04034778669592</v>
      </c>
      <c r="K1537">
        <f>Table1[[#This Row],[Forecast]]*0.8</f>
        <v>270.04034778669592</v>
      </c>
      <c r="P1537" s="13">
        <f t="shared" si="47"/>
        <v>1.9267005544585125E-3</v>
      </c>
      <c r="Z1537" s="8"/>
      <c r="AA1537" s="8">
        <f>CONVERT(Table1[[#This Row],[RevisedForecast 30% Recution2]]*Table1[[#This Row],[Talk Duration (AVG)]],"day","hr")</f>
        <v>12.486885307363117</v>
      </c>
      <c r="AB1537" s="10">
        <f>(Table1[[#This Row],[Forecast Workload Hours]]*60)*1.2</f>
        <v>899.05574213014449</v>
      </c>
      <c r="AC1537" s="10">
        <f>IF(Table1[[#This Row],[Forecast WOrkload Minutes]]&lt;384,1,Table1[[#This Row],[Forecast WOrkload Minutes]]/384)</f>
        <v>2.3412909951305845</v>
      </c>
      <c r="AD1537" s="10">
        <f>ROUNDUP(Table1[[#This Row],[Forecast Headcount]],0)</f>
        <v>3</v>
      </c>
      <c r="AE1537" s="11">
        <v>229.5402585585521</v>
      </c>
      <c r="AF1537" s="11">
        <v>451.10621243208982</v>
      </c>
      <c r="AG1537" t="s">
        <v>7</v>
      </c>
    </row>
    <row r="1538" spans="1:33">
      <c r="A1538" s="2">
        <v>45419</v>
      </c>
      <c r="B1538" s="2"/>
      <c r="C1538" s="5">
        <f>WEEKDAY(Table1[[#This Row],[Date]])</f>
        <v>3</v>
      </c>
      <c r="D1538" s="5">
        <f>MONTH(Table1[[#This Row],[Date]])</f>
        <v>5</v>
      </c>
      <c r="E1538" s="5">
        <f>WEEKNUM(Table1[[#This Row],[Date]])</f>
        <v>19</v>
      </c>
      <c r="F1538" s="5">
        <f>YEAR(Table1[[#This Row],[Date]])</f>
        <v>2024</v>
      </c>
      <c r="H1538">
        <v>321.4916484309955</v>
      </c>
      <c r="I1538">
        <f>Table1[[#This Row],[Forecast]]*0.9</f>
        <v>289.34248358789597</v>
      </c>
      <c r="J1538">
        <f>Table1[[#This Row],[Forecast]]*0.8</f>
        <v>257.19331874479639</v>
      </c>
      <c r="K1538">
        <f>Table1[[#This Row],[Forecast]]*0.8</f>
        <v>257.19331874479639</v>
      </c>
      <c r="P1538" s="13">
        <f t="shared" si="47"/>
        <v>1.9267003704117221E-3</v>
      </c>
      <c r="Z1538" s="8"/>
      <c r="AA1538" s="8">
        <f>CONVERT(Table1[[#This Row],[RevisedForecast 30% Recution2]]*Table1[[#This Row],[Talk Duration (AVG)]],"day","hr")</f>
        <v>11.892827099832465</v>
      </c>
      <c r="AB1538" s="10">
        <f>(Table1[[#This Row],[Forecast Workload Hours]]*60)*1.2</f>
        <v>856.28355118793741</v>
      </c>
      <c r="AC1538" s="10">
        <f>IF(Table1[[#This Row],[Forecast WOrkload Minutes]]&lt;384,1,Table1[[#This Row],[Forecast WOrkload Minutes]]/384)</f>
        <v>2.229905081218587</v>
      </c>
      <c r="AD1538" s="10">
        <f>ROUNDUP(Table1[[#This Row],[Forecast Headcount]],0)</f>
        <v>3</v>
      </c>
      <c r="AE1538" s="11">
        <v>213.92844798118369</v>
      </c>
      <c r="AF1538" s="11">
        <v>429.30811971298118</v>
      </c>
      <c r="AG1538" t="s">
        <v>7</v>
      </c>
    </row>
    <row r="1539" spans="1:33">
      <c r="A1539" s="2">
        <v>45420</v>
      </c>
      <c r="B1539" s="2"/>
      <c r="C1539" s="5">
        <f>WEEKDAY(Table1[[#This Row],[Date]])</f>
        <v>4</v>
      </c>
      <c r="D1539" s="5">
        <f>MONTH(Table1[[#This Row],[Date]])</f>
        <v>5</v>
      </c>
      <c r="E1539" s="5">
        <f>WEEKNUM(Table1[[#This Row],[Date]])</f>
        <v>19</v>
      </c>
      <c r="F1539" s="5">
        <f>YEAR(Table1[[#This Row],[Date]])</f>
        <v>2024</v>
      </c>
      <c r="H1539">
        <v>333.70945807783079</v>
      </c>
      <c r="I1539">
        <f>Table1[[#This Row],[Forecast]]*0.9</f>
        <v>300.33851227004772</v>
      </c>
      <c r="J1539">
        <f>Table1[[#This Row],[Forecast]]*0.8</f>
        <v>266.96756646226464</v>
      </c>
      <c r="K1539">
        <f>Table1[[#This Row],[Forecast]]*0.8</f>
        <v>266.96756646226464</v>
      </c>
      <c r="P1539" s="13">
        <f t="shared" si="47"/>
        <v>1.926701062409923E-3</v>
      </c>
      <c r="Z1539" s="8"/>
      <c r="AA1539" s="8">
        <f>CONVERT(Table1[[#This Row],[RevisedForecast 30% Recution2]]*Table1[[#This Row],[Talk Duration (AVG)]],"day","hr")</f>
        <v>12.344800654364089</v>
      </c>
      <c r="AB1539" s="10">
        <f>(Table1[[#This Row],[Forecast Workload Hours]]*60)*1.2</f>
        <v>888.82564711421435</v>
      </c>
      <c r="AC1539" s="10">
        <f>IF(Table1[[#This Row],[Forecast WOrkload Minutes]]&lt;384,1,Table1[[#This Row],[Forecast WOrkload Minutes]]/384)</f>
        <v>2.3146501226932665</v>
      </c>
      <c r="AD1539" s="10">
        <f>ROUNDUP(Table1[[#This Row],[Forecast Headcount]],0)</f>
        <v>3</v>
      </c>
      <c r="AE1539" s="11">
        <v>218.5155411691845</v>
      </c>
      <c r="AF1539" s="11">
        <v>440.77907295776032</v>
      </c>
      <c r="AG1539" t="s">
        <v>7</v>
      </c>
    </row>
    <row r="1540" spans="1:33">
      <c r="A1540" s="2">
        <v>45421</v>
      </c>
      <c r="B1540" s="2"/>
      <c r="C1540" s="5">
        <f>WEEKDAY(Table1[[#This Row],[Date]])</f>
        <v>5</v>
      </c>
      <c r="D1540" s="5">
        <f>MONTH(Table1[[#This Row],[Date]])</f>
        <v>5</v>
      </c>
      <c r="E1540" s="5">
        <f>WEEKNUM(Table1[[#This Row],[Date]])</f>
        <v>19</v>
      </c>
      <c r="F1540" s="5">
        <f>YEAR(Table1[[#This Row],[Date]])</f>
        <v>2024</v>
      </c>
      <c r="H1540">
        <v>328.91417829633662</v>
      </c>
      <c r="I1540">
        <f>Table1[[#This Row],[Forecast]]*0.9</f>
        <v>296.02276046670295</v>
      </c>
      <c r="J1540">
        <f>Table1[[#This Row],[Forecast]]*0.8</f>
        <v>263.13134263706928</v>
      </c>
      <c r="K1540">
        <f>Table1[[#This Row],[Forecast]]*0.8</f>
        <v>263.13134263706928</v>
      </c>
      <c r="P1540" s="13">
        <f t="shared" si="47"/>
        <v>1.9267026311311575E-3</v>
      </c>
      <c r="Z1540" s="8"/>
      <c r="AA1540" s="8">
        <f>CONVERT(Table1[[#This Row],[RevisedForecast 30% Recution2]]*Table1[[#This Row],[Talk Duration (AVG)]],"day","hr")</f>
        <v>12.167420404605972</v>
      </c>
      <c r="AB1540" s="10">
        <f>(Table1[[#This Row],[Forecast Workload Hours]]*60)*1.2</f>
        <v>876.05426913163001</v>
      </c>
      <c r="AC1540" s="10">
        <f>IF(Table1[[#This Row],[Forecast WOrkload Minutes]]&lt;384,1,Table1[[#This Row],[Forecast WOrkload Minutes]]/384)</f>
        <v>2.2813913258636198</v>
      </c>
      <c r="AD1540" s="10">
        <f>ROUNDUP(Table1[[#This Row],[Forecast Headcount]],0)</f>
        <v>3</v>
      </c>
      <c r="AE1540" s="11">
        <v>219.82616323013869</v>
      </c>
      <c r="AF1540" s="11">
        <v>447.54921796774789</v>
      </c>
      <c r="AG1540" t="s">
        <v>7</v>
      </c>
    </row>
    <row r="1541" spans="1:33">
      <c r="A1541" s="2">
        <v>45422</v>
      </c>
      <c r="B1541" s="2"/>
      <c r="C1541" s="5">
        <f>WEEKDAY(Table1[[#This Row],[Date]])</f>
        <v>6</v>
      </c>
      <c r="D1541" s="5">
        <f>MONTH(Table1[[#This Row],[Date]])</f>
        <v>5</v>
      </c>
      <c r="E1541" s="5">
        <f>WEEKNUM(Table1[[#This Row],[Date]])</f>
        <v>19</v>
      </c>
      <c r="F1541" s="5">
        <f>YEAR(Table1[[#This Row],[Date]])</f>
        <v>2024</v>
      </c>
      <c r="H1541">
        <v>319.98127473803089</v>
      </c>
      <c r="I1541">
        <f>Table1[[#This Row],[Forecast]]*0.9</f>
        <v>287.9831472642278</v>
      </c>
      <c r="J1541">
        <f>Table1[[#This Row],[Forecast]]*0.8</f>
        <v>255.98501979042473</v>
      </c>
      <c r="K1541">
        <f>Table1[[#This Row],[Forecast]]*0.8</f>
        <v>255.98501979042473</v>
      </c>
      <c r="P1541" s="13">
        <f t="shared" si="47"/>
        <v>1.9267048408454764E-3</v>
      </c>
      <c r="Z1541" s="8"/>
      <c r="AA1541" s="8">
        <f>CONVERT(Table1[[#This Row],[RevisedForecast 30% Recution2]]*Table1[[#This Row],[Talk Duration (AVG)]],"day","hr")</f>
        <v>11.836981843539274</v>
      </c>
      <c r="AB1541" s="10">
        <f>(Table1[[#This Row],[Forecast Workload Hours]]*60)*1.2</f>
        <v>852.26269273482774</v>
      </c>
      <c r="AC1541" s="10">
        <f>IF(Table1[[#This Row],[Forecast WOrkload Minutes]]&lt;384,1,Table1[[#This Row],[Forecast WOrkload Minutes]]/384)</f>
        <v>2.219434095663614</v>
      </c>
      <c r="AD1541" s="10">
        <f>ROUNDUP(Table1[[#This Row],[Forecast Headcount]],0)</f>
        <v>3</v>
      </c>
      <c r="AE1541" s="11">
        <v>212.96514760697031</v>
      </c>
      <c r="AF1541" s="11">
        <v>434.20419028364182</v>
      </c>
      <c r="AG1541" t="s">
        <v>7</v>
      </c>
    </row>
    <row r="1542" spans="1:33">
      <c r="A1542" s="2">
        <v>45423</v>
      </c>
      <c r="B1542" s="2"/>
      <c r="C1542" s="5">
        <f>WEEKDAY(Table1[[#This Row],[Date]])</f>
        <v>7</v>
      </c>
      <c r="D1542" s="5">
        <f>MONTH(Table1[[#This Row],[Date]])</f>
        <v>5</v>
      </c>
      <c r="E1542" s="5">
        <f>WEEKNUM(Table1[[#This Row],[Date]])</f>
        <v>19</v>
      </c>
      <c r="F1542" s="5">
        <f>YEAR(Table1[[#This Row],[Date]])</f>
        <v>2024</v>
      </c>
      <c r="H1542">
        <v>327.0114584991303</v>
      </c>
      <c r="I1542">
        <f>Table1[[#This Row],[Forecast]]*0.9</f>
        <v>294.31031264921728</v>
      </c>
      <c r="J1542">
        <f>Table1[[#This Row],[Forecast]]*0.8</f>
        <v>261.60916679930426</v>
      </c>
      <c r="K1542">
        <f>Table1[[#This Row],[Forecast]]*0.8</f>
        <v>261.60916679930426</v>
      </c>
      <c r="P1542" s="13">
        <f t="shared" si="47"/>
        <v>1.9267077040776006E-3</v>
      </c>
      <c r="Z1542" s="8"/>
      <c r="AA1542" s="8">
        <f>CONVERT(Table1[[#This Row],[RevisedForecast 30% Recution2]]*Table1[[#This Row],[Talk Duration (AVG)]],"day","hr")</f>
        <v>12.097065531108999</v>
      </c>
      <c r="AB1542" s="10">
        <f>(Table1[[#This Row],[Forecast Workload Hours]]*60)*1.2</f>
        <v>870.98871823984791</v>
      </c>
      <c r="AC1542" s="10">
        <f>IF(Table1[[#This Row],[Forecast WOrkload Minutes]]&lt;384,1,Table1[[#This Row],[Forecast WOrkload Minutes]]/384)</f>
        <v>2.2681997870829371</v>
      </c>
      <c r="AD1542" s="10">
        <f>ROUNDUP(Table1[[#This Row],[Forecast Headcount]],0)</f>
        <v>3</v>
      </c>
      <c r="AE1542" s="11">
        <v>224.03078443036199</v>
      </c>
      <c r="AF1542" s="11">
        <v>436.27900805174681</v>
      </c>
      <c r="AG1542" t="s">
        <v>7</v>
      </c>
    </row>
    <row r="1543" spans="1:33">
      <c r="A1543" s="2">
        <v>45424</v>
      </c>
      <c r="B1543" s="2"/>
      <c r="C1543" s="5">
        <f>WEEKDAY(Table1[[#This Row],[Date]])</f>
        <v>1</v>
      </c>
      <c r="D1543" s="5">
        <f>MONTH(Table1[[#This Row],[Date]])</f>
        <v>5</v>
      </c>
      <c r="E1543" s="5">
        <f>WEEKNUM(Table1[[#This Row],[Date]])</f>
        <v>20</v>
      </c>
      <c r="F1543" s="5">
        <f>YEAR(Table1[[#This Row],[Date]])</f>
        <v>2024</v>
      </c>
      <c r="H1543">
        <v>238.14924557070211</v>
      </c>
      <c r="I1543">
        <f>Table1[[#This Row],[Forecast]]*0.9</f>
        <v>214.33432101363189</v>
      </c>
      <c r="J1543">
        <f>Table1[[#This Row],[Forecast]]*0.8</f>
        <v>190.51939645656171</v>
      </c>
      <c r="K1543">
        <f>Table1[[#This Row],[Forecast]]*0.8</f>
        <v>190.51939645656171</v>
      </c>
      <c r="P1543" s="13">
        <f t="shared" si="47"/>
        <v>1.9267111957451629E-3</v>
      </c>
      <c r="Z1543" s="8"/>
      <c r="AA1543" s="8">
        <f>CONVERT(Table1[[#This Row],[RevisedForecast 30% Recution2]]*Table1[[#This Row],[Talk Duration (AVG)]],"day","hr")</f>
        <v>8.80982049982725</v>
      </c>
      <c r="AB1543" s="10">
        <f>(Table1[[#This Row],[Forecast Workload Hours]]*60)*1.2</f>
        <v>634.30707598756192</v>
      </c>
      <c r="AC1543" s="10">
        <f>IF(Table1[[#This Row],[Forecast WOrkload Minutes]]&lt;384,1,Table1[[#This Row],[Forecast WOrkload Minutes]]/384)</f>
        <v>1.6518413437176092</v>
      </c>
      <c r="AD1543" s="10">
        <f>ROUNDUP(Table1[[#This Row],[Forecast Headcount]],0)</f>
        <v>2</v>
      </c>
      <c r="AE1543" s="11">
        <v>117.62135407712211</v>
      </c>
      <c r="AF1543" s="11">
        <v>344.45095786764921</v>
      </c>
      <c r="AG1543" t="s">
        <v>7</v>
      </c>
    </row>
    <row r="1544" spans="1:33">
      <c r="A1544" s="2">
        <v>45425</v>
      </c>
      <c r="B1544" s="2"/>
      <c r="C1544" s="5">
        <f>WEEKDAY(Table1[[#This Row],[Date]])</f>
        <v>2</v>
      </c>
      <c r="D1544" s="5">
        <f>MONTH(Table1[[#This Row],[Date]])</f>
        <v>5</v>
      </c>
      <c r="E1544" s="5">
        <f>WEEKNUM(Table1[[#This Row],[Date]])</f>
        <v>20</v>
      </c>
      <c r="F1544" s="5">
        <f>YEAR(Table1[[#This Row],[Date]])</f>
        <v>2024</v>
      </c>
      <c r="H1544">
        <v>337.74226329529989</v>
      </c>
      <c r="I1544">
        <f>Table1[[#This Row],[Forecast]]*0.9</f>
        <v>303.9680369657699</v>
      </c>
      <c r="J1544">
        <f>Table1[[#This Row],[Forecast]]*0.8</f>
        <v>270.1938106362399</v>
      </c>
      <c r="K1544">
        <f>Table1[[#This Row],[Forecast]]*0.8</f>
        <v>270.1938106362399</v>
      </c>
      <c r="P1544" s="13">
        <f t="shared" si="47"/>
        <v>1.926715195414194E-3</v>
      </c>
      <c r="Z1544" s="8"/>
      <c r="AA1544" s="8">
        <f>CONVERT(Table1[[#This Row],[RevisedForecast 30% Recution2]]*Table1[[#This Row],[Talk Duration (AVG)]],"day","hr")</f>
        <v>12.494076495833008</v>
      </c>
      <c r="AB1544" s="10">
        <f>(Table1[[#This Row],[Forecast Workload Hours]]*60)*1.2</f>
        <v>899.57350769997652</v>
      </c>
      <c r="AC1544" s="10">
        <f>IF(Table1[[#This Row],[Forecast WOrkload Minutes]]&lt;384,1,Table1[[#This Row],[Forecast WOrkload Minutes]]/384)</f>
        <v>2.3426393429686887</v>
      </c>
      <c r="AD1544" s="10">
        <f>ROUNDUP(Table1[[#This Row],[Forecast Headcount]],0)</f>
        <v>3</v>
      </c>
      <c r="AE1544" s="11">
        <v>223.52131019737911</v>
      </c>
      <c r="AF1544" s="11">
        <v>443.19682367862998</v>
      </c>
      <c r="AG1544" t="s">
        <v>7</v>
      </c>
    </row>
    <row r="1545" spans="1:33">
      <c r="A1545" s="2">
        <v>45426</v>
      </c>
      <c r="B1545" s="2"/>
      <c r="C1545" s="5">
        <f>WEEKDAY(Table1[[#This Row],[Date]])</f>
        <v>3</v>
      </c>
      <c r="D1545" s="5">
        <f>MONTH(Table1[[#This Row],[Date]])</f>
        <v>5</v>
      </c>
      <c r="E1545" s="5">
        <f>WEEKNUM(Table1[[#This Row],[Date]])</f>
        <v>20</v>
      </c>
      <c r="F1545" s="5">
        <f>YEAR(Table1[[#This Row],[Date]])</f>
        <v>2024</v>
      </c>
      <c r="H1545">
        <v>321.34689067476393</v>
      </c>
      <c r="I1545">
        <f>Table1[[#This Row],[Forecast]]*0.9</f>
        <v>289.21220160728757</v>
      </c>
      <c r="J1545">
        <f>Table1[[#This Row],[Forecast]]*0.8</f>
        <v>257.07751253981115</v>
      </c>
      <c r="K1545">
        <f>Table1[[#This Row],[Forecast]]*0.8</f>
        <v>257.07751253981115</v>
      </c>
      <c r="P1545" s="13">
        <f t="shared" si="47"/>
        <v>1.926719673590658E-3</v>
      </c>
      <c r="Z1545" s="8"/>
      <c r="AA1545" s="8">
        <f>CONVERT(Table1[[#This Row],[RevisedForecast 30% Recution2]]*Table1[[#This Row],[Talk Duration (AVG)]],"day","hr")</f>
        <v>11.887591225156878</v>
      </c>
      <c r="AB1545" s="10">
        <f>(Table1[[#This Row],[Forecast Workload Hours]]*60)*1.2</f>
        <v>855.90656821129517</v>
      </c>
      <c r="AC1545" s="10">
        <f>IF(Table1[[#This Row],[Forecast WOrkload Minutes]]&lt;384,1,Table1[[#This Row],[Forecast WOrkload Minutes]]/384)</f>
        <v>2.2289233547169145</v>
      </c>
      <c r="AD1545" s="10">
        <f>ROUNDUP(Table1[[#This Row],[Forecast Headcount]],0)</f>
        <v>3</v>
      </c>
      <c r="AE1545" s="11">
        <v>219.97354477983851</v>
      </c>
      <c r="AF1545" s="11">
        <v>430.26924431114861</v>
      </c>
      <c r="AG1545" t="s">
        <v>7</v>
      </c>
    </row>
    <row r="1546" spans="1:33">
      <c r="A1546" s="2">
        <v>45427</v>
      </c>
      <c r="B1546" s="2"/>
      <c r="C1546" s="5">
        <f>WEEKDAY(Table1[[#This Row],[Date]])</f>
        <v>4</v>
      </c>
      <c r="D1546" s="5">
        <f>MONTH(Table1[[#This Row],[Date]])</f>
        <v>5</v>
      </c>
      <c r="E1546" s="5">
        <f>WEEKNUM(Table1[[#This Row],[Date]])</f>
        <v>20</v>
      </c>
      <c r="F1546" s="5">
        <f>YEAR(Table1[[#This Row],[Date]])</f>
        <v>2024</v>
      </c>
      <c r="H1546">
        <v>333.16822633269919</v>
      </c>
      <c r="I1546">
        <f>Table1[[#This Row],[Forecast]]*0.9</f>
        <v>299.85140369942928</v>
      </c>
      <c r="J1546">
        <f>Table1[[#This Row],[Forecast]]*0.8</f>
        <v>266.53458106615938</v>
      </c>
      <c r="K1546">
        <f>Table1[[#This Row],[Forecast]]*0.8</f>
        <v>266.53458106615938</v>
      </c>
      <c r="P1546" s="13">
        <f t="shared" si="47"/>
        <v>1.9267244581049406E-3</v>
      </c>
      <c r="Z1546" s="8"/>
      <c r="AA1546" s="8">
        <f>CONVERT(Table1[[#This Row],[RevisedForecast 30% Recution2]]*Table1[[#This Row],[Talk Duration (AVG)]],"day","hr")</f>
        <v>12.32492871050216</v>
      </c>
      <c r="AB1546" s="10">
        <f>(Table1[[#This Row],[Forecast Workload Hours]]*60)*1.2</f>
        <v>887.39486715615556</v>
      </c>
      <c r="AC1546" s="10">
        <f>IF(Table1[[#This Row],[Forecast WOrkload Minutes]]&lt;384,1,Table1[[#This Row],[Forecast WOrkload Minutes]]/384)</f>
        <v>2.3109241332191552</v>
      </c>
      <c r="AD1546" s="10">
        <f>ROUNDUP(Table1[[#This Row],[Forecast Headcount]],0)</f>
        <v>3</v>
      </c>
      <c r="AE1546" s="11">
        <v>224.78629283166251</v>
      </c>
      <c r="AF1546" s="11">
        <v>446.73827123466111</v>
      </c>
      <c r="AG1546" t="s">
        <v>7</v>
      </c>
    </row>
    <row r="1547" spans="1:33">
      <c r="A1547" s="2">
        <v>45428</v>
      </c>
      <c r="B1547" s="2"/>
      <c r="C1547" s="5">
        <f>WEEKDAY(Table1[[#This Row],[Date]])</f>
        <v>5</v>
      </c>
      <c r="D1547" s="5">
        <f>MONTH(Table1[[#This Row],[Date]])</f>
        <v>5</v>
      </c>
      <c r="E1547" s="5">
        <f>WEEKNUM(Table1[[#This Row],[Date]])</f>
        <v>20</v>
      </c>
      <c r="F1547" s="5">
        <f>YEAR(Table1[[#This Row],[Date]])</f>
        <v>2024</v>
      </c>
      <c r="H1547">
        <v>327.92848554356573</v>
      </c>
      <c r="I1547">
        <f>Table1[[#This Row],[Forecast]]*0.9</f>
        <v>295.13563698920916</v>
      </c>
      <c r="J1547">
        <f>Table1[[#This Row],[Forecast]]*0.8</f>
        <v>262.34278843485259</v>
      </c>
      <c r="K1547">
        <f>Table1[[#This Row],[Forecast]]*0.8</f>
        <v>262.34278843485259</v>
      </c>
      <c r="P1547" s="13">
        <f t="shared" si="47"/>
        <v>1.9267296647227778E-3</v>
      </c>
      <c r="Z1547" s="8"/>
      <c r="AA1547" s="8">
        <f>CONVERT(Table1[[#This Row],[RevisedForecast 30% Recution2]]*Table1[[#This Row],[Talk Duration (AVG)]],"day","hr")</f>
        <v>12.13112718728453</v>
      </c>
      <c r="AB1547" s="10">
        <f>(Table1[[#This Row],[Forecast Workload Hours]]*60)*1.2</f>
        <v>873.4411574844861</v>
      </c>
      <c r="AC1547" s="10">
        <f>IF(Table1[[#This Row],[Forecast WOrkload Minutes]]&lt;384,1,Table1[[#This Row],[Forecast WOrkload Minutes]]/384)</f>
        <v>2.2745863476158492</v>
      </c>
      <c r="AD1547" s="10">
        <f>ROUNDUP(Table1[[#This Row],[Forecast Headcount]],0)</f>
        <v>3</v>
      </c>
      <c r="AE1547" s="11">
        <v>226.8978726495105</v>
      </c>
      <c r="AF1547" s="11">
        <v>433.50653208106411</v>
      </c>
      <c r="AG1547" t="s">
        <v>7</v>
      </c>
    </row>
    <row r="1548" spans="1:33">
      <c r="A1548" s="2">
        <v>45429</v>
      </c>
      <c r="B1548" s="2"/>
      <c r="C1548" s="5">
        <f>WEEKDAY(Table1[[#This Row],[Date]])</f>
        <v>6</v>
      </c>
      <c r="D1548" s="5">
        <f>MONTH(Table1[[#This Row],[Date]])</f>
        <v>5</v>
      </c>
      <c r="E1548" s="5">
        <f>WEEKNUM(Table1[[#This Row],[Date]])</f>
        <v>20</v>
      </c>
      <c r="F1548" s="5">
        <f>YEAR(Table1[[#This Row],[Date]])</f>
        <v>2024</v>
      </c>
      <c r="H1548">
        <v>318.51736759421817</v>
      </c>
      <c r="I1548">
        <f>Table1[[#This Row],[Forecast]]*0.9</f>
        <v>286.66563083479639</v>
      </c>
      <c r="J1548">
        <f>Table1[[#This Row],[Forecast]]*0.8</f>
        <v>254.81389407537455</v>
      </c>
      <c r="K1548">
        <f>Table1[[#This Row],[Forecast]]*0.8</f>
        <v>254.81389407537455</v>
      </c>
      <c r="P1548" s="13">
        <f t="shared" si="47"/>
        <v>1.9267347793702882E-3</v>
      </c>
      <c r="Z1548" s="8"/>
      <c r="AA1548" s="8">
        <f>CONVERT(Table1[[#This Row],[RevisedForecast 30% Recution2]]*Table1[[#This Row],[Talk Duration (AVG)]],"day","hr")</f>
        <v>11.783011007563218</v>
      </c>
      <c r="AB1548" s="10">
        <f>(Table1[[#This Row],[Forecast Workload Hours]]*60)*1.2</f>
        <v>848.37679254455156</v>
      </c>
      <c r="AC1548" s="10">
        <f>IF(Table1[[#This Row],[Forecast WOrkload Minutes]]&lt;384,1,Table1[[#This Row],[Forecast WOrkload Minutes]]/384)</f>
        <v>2.2093145639181029</v>
      </c>
      <c r="AD1548" s="10">
        <f>ROUNDUP(Table1[[#This Row],[Forecast Headcount]],0)</f>
        <v>3</v>
      </c>
      <c r="AE1548" s="11">
        <v>209.2821451451872</v>
      </c>
      <c r="AF1548" s="11">
        <v>432.84795610507831</v>
      </c>
      <c r="AG1548" t="s">
        <v>7</v>
      </c>
    </row>
    <row r="1549" spans="1:33">
      <c r="A1549" s="2">
        <v>45430</v>
      </c>
      <c r="B1549" s="2"/>
      <c r="C1549" s="5">
        <f>WEEKDAY(Table1[[#This Row],[Date]])</f>
        <v>7</v>
      </c>
      <c r="D1549" s="5">
        <f>MONTH(Table1[[#This Row],[Date]])</f>
        <v>5</v>
      </c>
      <c r="E1549" s="5">
        <f>WEEKNUM(Table1[[#This Row],[Date]])</f>
        <v>20</v>
      </c>
      <c r="F1549" s="5">
        <f>YEAR(Table1[[#This Row],[Date]])</f>
        <v>2024</v>
      </c>
      <c r="H1549">
        <v>325.051662429695</v>
      </c>
      <c r="I1549">
        <f>Table1[[#This Row],[Forecast]]*0.9</f>
        <v>292.54649618672551</v>
      </c>
      <c r="J1549">
        <f>Table1[[#This Row],[Forecast]]*0.8</f>
        <v>260.04132994375601</v>
      </c>
      <c r="K1549">
        <f>Table1[[#This Row],[Forecast]]*0.8</f>
        <v>260.04132994375601</v>
      </c>
      <c r="P1549" s="13">
        <f t="shared" si="47"/>
        <v>1.9267397080566428E-3</v>
      </c>
      <c r="Z1549" s="8"/>
      <c r="AA1549" s="8">
        <f>CONVERT(Table1[[#This Row],[RevisedForecast 30% Recution2]]*Table1[[#This Row],[Talk Duration (AVG)]],"day","hr")</f>
        <v>12.024766947323846</v>
      </c>
      <c r="AB1549" s="10">
        <f>(Table1[[#This Row],[Forecast Workload Hours]]*60)*1.2</f>
        <v>865.78322020731684</v>
      </c>
      <c r="AC1549" s="10">
        <f>IF(Table1[[#This Row],[Forecast WOrkload Minutes]]&lt;384,1,Table1[[#This Row],[Forecast WOrkload Minutes]]/384)</f>
        <v>2.2546438026232209</v>
      </c>
      <c r="AD1549" s="10">
        <f>ROUNDUP(Table1[[#This Row],[Forecast Headcount]],0)</f>
        <v>3</v>
      </c>
      <c r="AE1549" s="11">
        <v>217.30954545846569</v>
      </c>
      <c r="AF1549" s="11">
        <v>437.57464293493717</v>
      </c>
      <c r="AG1549" t="s">
        <v>7</v>
      </c>
    </row>
    <row r="1550" spans="1:33">
      <c r="A1550" s="2">
        <v>45431</v>
      </c>
      <c r="B1550" s="2"/>
      <c r="C1550" s="5">
        <f>WEEKDAY(Table1[[#This Row],[Date]])</f>
        <v>1</v>
      </c>
      <c r="D1550" s="5">
        <f>MONTH(Table1[[#This Row],[Date]])</f>
        <v>5</v>
      </c>
      <c r="E1550" s="5">
        <f>WEEKNUM(Table1[[#This Row],[Date]])</f>
        <v>21</v>
      </c>
      <c r="F1550" s="5">
        <f>YEAR(Table1[[#This Row],[Date]])</f>
        <v>2024</v>
      </c>
      <c r="H1550">
        <v>235.6932714614959</v>
      </c>
      <c r="I1550">
        <f>Table1[[#This Row],[Forecast]]*0.9</f>
        <v>212.12394431534631</v>
      </c>
      <c r="J1550">
        <f>Table1[[#This Row],[Forecast]]*0.8</f>
        <v>188.55461716919672</v>
      </c>
      <c r="K1550">
        <f>Table1[[#This Row],[Forecast]]*0.8</f>
        <v>188.55461716919672</v>
      </c>
      <c r="P1550" s="13">
        <f t="shared" si="47"/>
        <v>1.9267443825277803E-3</v>
      </c>
      <c r="Z1550" s="8"/>
      <c r="AA1550" s="8">
        <f>CONVERT(Table1[[#This Row],[RevisedForecast 30% Recution2]]*Table1[[#This Row],[Talk Duration (AVG)]],"day","hr")</f>
        <v>8.719117186330223</v>
      </c>
      <c r="AB1550" s="10">
        <f>(Table1[[#This Row],[Forecast Workload Hours]]*60)*1.2</f>
        <v>627.77643741577606</v>
      </c>
      <c r="AC1550" s="10">
        <f>IF(Table1[[#This Row],[Forecast WOrkload Minutes]]&lt;384,1,Table1[[#This Row],[Forecast WOrkload Minutes]]/384)</f>
        <v>1.6348344724369168</v>
      </c>
      <c r="AD1550" s="10">
        <f>ROUNDUP(Table1[[#This Row],[Forecast Headcount]],0)</f>
        <v>2</v>
      </c>
      <c r="AE1550" s="11">
        <v>130.43081673607671</v>
      </c>
      <c r="AF1550" s="11">
        <v>350.24067721649578</v>
      </c>
      <c r="AG1550" t="s">
        <v>7</v>
      </c>
    </row>
    <row r="1551" spans="1:33">
      <c r="A1551" s="2">
        <v>45432</v>
      </c>
      <c r="B1551" s="2"/>
      <c r="C1551" s="5">
        <f>WEEKDAY(Table1[[#This Row],[Date]])</f>
        <v>2</v>
      </c>
      <c r="D1551" s="5">
        <f>MONTH(Table1[[#This Row],[Date]])</f>
        <v>5</v>
      </c>
      <c r="E1551" s="5">
        <f>WEEKNUM(Table1[[#This Row],[Date]])</f>
        <v>21</v>
      </c>
      <c r="F1551" s="5">
        <f>YEAR(Table1[[#This Row],[Date]])</f>
        <v>2024</v>
      </c>
      <c r="H1551">
        <v>334.80794122338762</v>
      </c>
      <c r="I1551">
        <f>Table1[[#This Row],[Forecast]]*0.9</f>
        <v>301.32714710104887</v>
      </c>
      <c r="J1551">
        <f>Table1[[#This Row],[Forecast]]*0.8</f>
        <v>267.84635297871012</v>
      </c>
      <c r="K1551">
        <f>Table1[[#This Row],[Forecast]]*0.8</f>
        <v>267.84635297871012</v>
      </c>
      <c r="P1551" s="13">
        <f t="shared" si="47"/>
        <v>1.9267488743872586E-3</v>
      </c>
      <c r="Z1551" s="8"/>
      <c r="AA1551" s="8">
        <f>CONVERT(Table1[[#This Row],[RevisedForecast 30% Recution2]]*Table1[[#This Row],[Talk Duration (AVG)]],"day","hr")</f>
        <v>12.38574381865109</v>
      </c>
      <c r="AB1551" s="10">
        <f>(Table1[[#This Row],[Forecast Workload Hours]]*60)*1.2</f>
        <v>891.77355494287838</v>
      </c>
      <c r="AC1551" s="10">
        <f>IF(Table1[[#This Row],[Forecast WOrkload Minutes]]&lt;384,1,Table1[[#This Row],[Forecast WOrkload Minutes]]/384)</f>
        <v>2.3223269659970791</v>
      </c>
      <c r="AD1551" s="10">
        <f>ROUNDUP(Table1[[#This Row],[Forecast Headcount]],0)</f>
        <v>3</v>
      </c>
      <c r="AE1551" s="11">
        <v>223.1177054733343</v>
      </c>
      <c r="AF1551" s="11">
        <v>437.94906323808613</v>
      </c>
      <c r="AG1551" t="s">
        <v>7</v>
      </c>
    </row>
    <row r="1552" spans="1:33">
      <c r="A1552" s="2">
        <v>45433</v>
      </c>
      <c r="B1552" s="2"/>
      <c r="C1552" s="5">
        <f>WEEKDAY(Table1[[#This Row],[Date]])</f>
        <v>3</v>
      </c>
      <c r="D1552" s="5">
        <f>MONTH(Table1[[#This Row],[Date]])</f>
        <v>5</v>
      </c>
      <c r="E1552" s="5">
        <f>WEEKNUM(Table1[[#This Row],[Date]])</f>
        <v>21</v>
      </c>
      <c r="F1552" s="5">
        <f>YEAR(Table1[[#This Row],[Date]])</f>
        <v>2024</v>
      </c>
      <c r="H1552">
        <v>317.97031415076509</v>
      </c>
      <c r="I1552">
        <f>Table1[[#This Row],[Forecast]]*0.9</f>
        <v>286.17328273568859</v>
      </c>
      <c r="J1552">
        <f>Table1[[#This Row],[Forecast]]*0.8</f>
        <v>254.37625132061208</v>
      </c>
      <c r="K1552">
        <f>Table1[[#This Row],[Forecast]]*0.8</f>
        <v>254.37625132061208</v>
      </c>
      <c r="P1552" s="13">
        <f t="shared" si="47"/>
        <v>1.9267533045563077E-3</v>
      </c>
      <c r="Z1552" s="8"/>
      <c r="AA1552" s="8">
        <f>CONVERT(Table1[[#This Row],[RevisedForecast 30% Recution2]]*Table1[[#This Row],[Talk Duration (AVG)]],"day","hr")</f>
        <v>11.762886787983243</v>
      </c>
      <c r="AB1552" s="10">
        <f>(Table1[[#This Row],[Forecast Workload Hours]]*60)*1.2</f>
        <v>846.92784873479354</v>
      </c>
      <c r="AC1552" s="10">
        <f>IF(Table1[[#This Row],[Forecast WOrkload Minutes]]&lt;384,1,Table1[[#This Row],[Forecast WOrkload Minutes]]/384)</f>
        <v>2.2055412727468582</v>
      </c>
      <c r="AD1552" s="10">
        <f>ROUNDUP(Table1[[#This Row],[Forecast Headcount]],0)</f>
        <v>3</v>
      </c>
      <c r="AE1552" s="11">
        <v>209.96649963702509</v>
      </c>
      <c r="AF1552" s="11">
        <v>432.32256239304883</v>
      </c>
      <c r="AG1552" t="s">
        <v>7</v>
      </c>
    </row>
    <row r="1553" spans="1:33">
      <c r="A1553" s="2">
        <v>45434</v>
      </c>
      <c r="B1553" s="2"/>
      <c r="C1553" s="5">
        <f>WEEKDAY(Table1[[#This Row],[Date]])</f>
        <v>4</v>
      </c>
      <c r="D1553" s="5">
        <f>MONTH(Table1[[#This Row],[Date]])</f>
        <v>5</v>
      </c>
      <c r="E1553" s="5">
        <f>WEEKNUM(Table1[[#This Row],[Date]])</f>
        <v>21</v>
      </c>
      <c r="F1553" s="5">
        <f>YEAR(Table1[[#This Row],[Date]])</f>
        <v>2024</v>
      </c>
      <c r="H1553">
        <v>329.40330791634909</v>
      </c>
      <c r="I1553">
        <f>Table1[[#This Row],[Forecast]]*0.9</f>
        <v>296.4629771247142</v>
      </c>
      <c r="J1553">
        <f>Table1[[#This Row],[Forecast]]*0.8</f>
        <v>263.52264633307931</v>
      </c>
      <c r="K1553">
        <f>Table1[[#This Row],[Forecast]]*0.8</f>
        <v>263.52264633307931</v>
      </c>
      <c r="P1553" s="13">
        <f t="shared" si="47"/>
        <v>1.9267576462318654E-3</v>
      </c>
      <c r="Z1553" s="8"/>
      <c r="AA1553" s="8">
        <f>CONVERT(Table1[[#This Row],[RevisedForecast 30% Recution2]]*Table1[[#This Row],[Talk Duration (AVG)]],"day","hr")</f>
        <v>12.185862570660388</v>
      </c>
      <c r="AB1553" s="10">
        <f>(Table1[[#This Row],[Forecast Workload Hours]]*60)*1.2</f>
        <v>877.38210508754798</v>
      </c>
      <c r="AC1553" s="10">
        <f>IF(Table1[[#This Row],[Forecast WOrkload Minutes]]&lt;384,1,Table1[[#This Row],[Forecast WOrkload Minutes]]/384)</f>
        <v>2.2848492319988227</v>
      </c>
      <c r="AD1553" s="10">
        <f>ROUNDUP(Table1[[#This Row],[Forecast Headcount]],0)</f>
        <v>3</v>
      </c>
      <c r="AE1553" s="11">
        <v>221.25460437198771</v>
      </c>
      <c r="AF1553" s="11">
        <v>441.86081367204031</v>
      </c>
      <c r="AG1553" t="s">
        <v>7</v>
      </c>
    </row>
    <row r="1554" spans="1:33">
      <c r="A1554" s="2">
        <v>45435</v>
      </c>
      <c r="B1554" s="2"/>
      <c r="C1554" s="5">
        <f>WEEKDAY(Table1[[#This Row],[Date]])</f>
        <v>5</v>
      </c>
      <c r="D1554" s="5">
        <f>MONTH(Table1[[#This Row],[Date]])</f>
        <v>5</v>
      </c>
      <c r="E1554" s="5">
        <f>WEEKNUM(Table1[[#This Row],[Date]])</f>
        <v>21</v>
      </c>
      <c r="F1554" s="5">
        <f>YEAR(Table1[[#This Row],[Date]])</f>
        <v>2024</v>
      </c>
      <c r="H1554">
        <v>323.84594206284112</v>
      </c>
      <c r="I1554">
        <f>Table1[[#This Row],[Forecast]]*0.9</f>
        <v>291.46134785655704</v>
      </c>
      <c r="J1554">
        <f>Table1[[#This Row],[Forecast]]*0.8</f>
        <v>259.07675365027291</v>
      </c>
      <c r="K1554">
        <f>Table1[[#This Row],[Forecast]]*0.8</f>
        <v>259.07675365027291</v>
      </c>
      <c r="P1554" s="13">
        <f t="shared" si="47"/>
        <v>1.9267615223072057E-3</v>
      </c>
      <c r="Z1554" s="8"/>
      <c r="AA1554" s="8">
        <f>CONVERT(Table1[[#This Row],[RevisedForecast 30% Recution2]]*Table1[[#This Row],[Talk Duration (AVG)]],"day","hr")</f>
        <v>11.980298886182611</v>
      </c>
      <c r="AB1554" s="10">
        <f>(Table1[[#This Row],[Forecast Workload Hours]]*60)*1.2</f>
        <v>862.58151980514788</v>
      </c>
      <c r="AC1554" s="10">
        <f>IF(Table1[[#This Row],[Forecast WOrkload Minutes]]&lt;384,1,Table1[[#This Row],[Forecast WOrkload Minutes]]/384)</f>
        <v>2.2463060411592393</v>
      </c>
      <c r="AD1554" s="10">
        <f>ROUNDUP(Table1[[#This Row],[Forecast Headcount]],0)</f>
        <v>3</v>
      </c>
      <c r="AE1554" s="11">
        <v>219.53454618256009</v>
      </c>
      <c r="AF1554" s="11">
        <v>431.88625416670078</v>
      </c>
      <c r="AG1554" t="s">
        <v>7</v>
      </c>
    </row>
    <row r="1555" spans="1:33">
      <c r="A1555" s="2">
        <v>45436</v>
      </c>
      <c r="B1555" s="2"/>
      <c r="C1555" s="5">
        <f>WEEKDAY(Table1[[#This Row],[Date]])</f>
        <v>6</v>
      </c>
      <c r="D1555" s="5">
        <f>MONTH(Table1[[#This Row],[Date]])</f>
        <v>5</v>
      </c>
      <c r="E1555" s="5">
        <f>WEEKNUM(Table1[[#This Row],[Date]])</f>
        <v>21</v>
      </c>
      <c r="F1555" s="5">
        <f>YEAR(Table1[[#This Row],[Date]])</f>
        <v>2024</v>
      </c>
      <c r="H1555">
        <v>314.20316974926391</v>
      </c>
      <c r="I1555">
        <f>Table1[[#This Row],[Forecast]]*0.9</f>
        <v>282.78285277433753</v>
      </c>
      <c r="J1555">
        <f>Table1[[#This Row],[Forecast]]*0.8</f>
        <v>251.36253579941115</v>
      </c>
      <c r="K1555">
        <f>Table1[[#This Row],[Forecast]]*0.8</f>
        <v>251.36253579941115</v>
      </c>
      <c r="P1555" s="13">
        <f t="shared" si="47"/>
        <v>1.9267649419407887E-3</v>
      </c>
      <c r="Z1555" s="8"/>
      <c r="AA1555" s="8">
        <f>CONVERT(Table1[[#This Row],[RevisedForecast 30% Recution2]]*Table1[[#This Row],[Talk Duration (AVG)]],"day","hr")</f>
        <v>11.623596520695404</v>
      </c>
      <c r="AB1555" s="10">
        <f>(Table1[[#This Row],[Forecast Workload Hours]]*60)*1.2</f>
        <v>836.89894949006907</v>
      </c>
      <c r="AC1555" s="10">
        <f>IF(Table1[[#This Row],[Forecast WOrkload Minutes]]&lt;384,1,Table1[[#This Row],[Forecast WOrkload Minutes]]/384)</f>
        <v>2.1794243476303881</v>
      </c>
      <c r="AD1555" s="10">
        <f>ROUNDUP(Table1[[#This Row],[Forecast Headcount]],0)</f>
        <v>3</v>
      </c>
      <c r="AE1555" s="11">
        <v>197.62256603032981</v>
      </c>
      <c r="AF1555" s="11">
        <v>418.03433444027121</v>
      </c>
      <c r="AG1555" t="s">
        <v>7</v>
      </c>
    </row>
    <row r="1556" spans="1:33">
      <c r="A1556" s="2">
        <v>45437</v>
      </c>
      <c r="B1556" s="2"/>
      <c r="C1556" s="5">
        <f>WEEKDAY(Table1[[#This Row],[Date]])</f>
        <v>7</v>
      </c>
      <c r="D1556" s="5">
        <f>MONTH(Table1[[#This Row],[Date]])</f>
        <v>5</v>
      </c>
      <c r="E1556" s="5">
        <f>WEEKNUM(Table1[[#This Row],[Date]])</f>
        <v>21</v>
      </c>
      <c r="F1556" s="5">
        <f>YEAR(Table1[[#This Row],[Date]])</f>
        <v>2024</v>
      </c>
      <c r="H1556">
        <v>320.60499884594498</v>
      </c>
      <c r="I1556">
        <f>Table1[[#This Row],[Forecast]]*0.9</f>
        <v>288.54449896135048</v>
      </c>
      <c r="J1556">
        <f>Table1[[#This Row],[Forecast]]*0.8</f>
        <v>256.48399907675599</v>
      </c>
      <c r="K1556">
        <f>Table1[[#This Row],[Forecast]]*0.8</f>
        <v>256.48399907675599</v>
      </c>
      <c r="P1556" s="13">
        <f t="shared" si="47"/>
        <v>1.9267679713607534E-3</v>
      </c>
      <c r="Z1556" s="8"/>
      <c r="AA1556" s="8">
        <f>CONVERT(Table1[[#This Row],[RevisedForecast 30% Recution2]]*Table1[[#This Row],[Talk Duration (AVG)]],"day","hr")</f>
        <v>11.860443710102748</v>
      </c>
      <c r="AB1556" s="10">
        <f>(Table1[[#This Row],[Forecast Workload Hours]]*60)*1.2</f>
        <v>853.95194712739783</v>
      </c>
      <c r="AC1556" s="10">
        <f>IF(Table1[[#This Row],[Forecast WOrkload Minutes]]&lt;384,1,Table1[[#This Row],[Forecast WOrkload Minutes]]/384)</f>
        <v>2.2238331956442652</v>
      </c>
      <c r="AD1556" s="10">
        <f>ROUNDUP(Table1[[#This Row],[Forecast Headcount]],0)</f>
        <v>3</v>
      </c>
      <c r="AE1556" s="11">
        <v>210.64853847893741</v>
      </c>
      <c r="AF1556" s="11">
        <v>425.84803290273749</v>
      </c>
      <c r="AG1556" t="s">
        <v>7</v>
      </c>
    </row>
    <row r="1557" spans="1:33">
      <c r="A1557" s="2">
        <v>45438</v>
      </c>
      <c r="B1557" s="2"/>
      <c r="C1557" s="5">
        <f>WEEKDAY(Table1[[#This Row],[Date]])</f>
        <v>1</v>
      </c>
      <c r="D1557" s="5">
        <f>MONTH(Table1[[#This Row],[Date]])</f>
        <v>5</v>
      </c>
      <c r="E1557" s="5">
        <f>WEEKNUM(Table1[[#This Row],[Date]])</f>
        <v>22</v>
      </c>
      <c r="F1557" s="5">
        <f>YEAR(Table1[[#This Row],[Date]])</f>
        <v>2024</v>
      </c>
      <c r="H1557">
        <v>231.2240908838285</v>
      </c>
      <c r="I1557">
        <f>Table1[[#This Row],[Forecast]]*0.9</f>
        <v>208.10168179544564</v>
      </c>
      <c r="J1557">
        <f>Table1[[#This Row],[Forecast]]*0.8</f>
        <v>184.97927270706282</v>
      </c>
      <c r="K1557">
        <f>Table1[[#This Row],[Forecast]]*0.8</f>
        <v>184.97927270706282</v>
      </c>
      <c r="P1557" s="13">
        <f t="shared" si="47"/>
        <v>1.9267706598790832E-3</v>
      </c>
      <c r="Z1557" s="8"/>
      <c r="AA1557" s="8">
        <f>CONVERT(Table1[[#This Row],[RevisedForecast 30% Recution2]]*Table1[[#This Row],[Talk Duration (AVG)]],"day","hr")</f>
        <v>8.5539032481057671</v>
      </c>
      <c r="AB1557" s="10">
        <f>(Table1[[#This Row],[Forecast Workload Hours]]*60)*1.2</f>
        <v>615.88103386361524</v>
      </c>
      <c r="AC1557" s="10">
        <f>IF(Table1[[#This Row],[Forecast WOrkload Minutes]]&lt;384,1,Table1[[#This Row],[Forecast WOrkload Minutes]]/384)</f>
        <v>1.6038568590198314</v>
      </c>
      <c r="AD1557" s="10">
        <f>ROUNDUP(Table1[[#This Row],[Forecast Headcount]],0)</f>
        <v>2</v>
      </c>
      <c r="AE1557" s="11">
        <v>125.5304195588491</v>
      </c>
      <c r="AF1557" s="11">
        <v>356.58322402599731</v>
      </c>
      <c r="AG1557" t="s">
        <v>7</v>
      </c>
    </row>
    <row r="1558" spans="1:33">
      <c r="A1558" s="2">
        <v>45439</v>
      </c>
      <c r="B1558" s="2"/>
      <c r="C1558" s="5">
        <f>WEEKDAY(Table1[[#This Row],[Date]])</f>
        <v>2</v>
      </c>
      <c r="D1558" s="5">
        <f>MONTH(Table1[[#This Row],[Date]])</f>
        <v>5</v>
      </c>
      <c r="E1558" s="5">
        <f>WEEKNUM(Table1[[#This Row],[Date]])</f>
        <v>22</v>
      </c>
      <c r="F1558" s="5">
        <f>YEAR(Table1[[#This Row],[Date]])</f>
        <v>2024</v>
      </c>
      <c r="H1558">
        <v>330.43414813565829</v>
      </c>
      <c r="I1558">
        <f>Table1[[#This Row],[Forecast]]*0.9</f>
        <v>297.39073332209244</v>
      </c>
      <c r="J1558">
        <f>Table1[[#This Row],[Forecast]]*0.8</f>
        <v>264.34731850852666</v>
      </c>
      <c r="K1558">
        <f>Table1[[#This Row],[Forecast]]*0.8</f>
        <v>264.34731850852666</v>
      </c>
      <c r="P1558" s="13">
        <f t="shared" si="47"/>
        <v>1.9267729921601362E-3</v>
      </c>
      <c r="Z1558" s="8"/>
      <c r="AA1558" s="8">
        <f>CONVERT(Table1[[#This Row],[RevisedForecast 30% Recution2]]*Table1[[#This Row],[Talk Duration (AVG)]],"day","hr")</f>
        <v>12.224094572452378</v>
      </c>
      <c r="AB1558" s="10">
        <f>(Table1[[#This Row],[Forecast Workload Hours]]*60)*1.2</f>
        <v>880.13480921657117</v>
      </c>
      <c r="AC1558" s="10">
        <f>IF(Table1[[#This Row],[Forecast WOrkload Minutes]]&lt;384,1,Table1[[#This Row],[Forecast WOrkload Minutes]]/384)</f>
        <v>2.2920177323348208</v>
      </c>
      <c r="AD1558" s="10">
        <f>ROUNDUP(Table1[[#This Row],[Forecast Headcount]],0)</f>
        <v>3</v>
      </c>
      <c r="AE1558" s="11">
        <v>216.36430700400379</v>
      </c>
      <c r="AF1558" s="11">
        <v>446.08561950452281</v>
      </c>
      <c r="AG1558" t="s">
        <v>7</v>
      </c>
    </row>
    <row r="1559" spans="1:33">
      <c r="A1559" s="2">
        <v>45440</v>
      </c>
      <c r="B1559" s="2"/>
      <c r="C1559" s="5">
        <f>WEEKDAY(Table1[[#This Row],[Date]])</f>
        <v>3</v>
      </c>
      <c r="D1559" s="5">
        <f>MONTH(Table1[[#This Row],[Date]])</f>
        <v>5</v>
      </c>
      <c r="E1559" s="5">
        <f>WEEKNUM(Table1[[#This Row],[Date]])</f>
        <v>22</v>
      </c>
      <c r="F1559" s="5">
        <f>YEAR(Table1[[#This Row],[Date]])</f>
        <v>2024</v>
      </c>
      <c r="H1559">
        <v>313.81470235014291</v>
      </c>
      <c r="I1559">
        <f>Table1[[#This Row],[Forecast]]*0.9</f>
        <v>282.43323211512865</v>
      </c>
      <c r="J1559">
        <f>Table1[[#This Row],[Forecast]]*0.8</f>
        <v>251.05176188011433</v>
      </c>
      <c r="K1559">
        <f>Table1[[#This Row],[Forecast]]*0.8</f>
        <v>251.05176188011433</v>
      </c>
      <c r="P1559" s="13">
        <f t="shared" si="47"/>
        <v>1.9267749997695601E-3</v>
      </c>
      <c r="Z1559" s="8"/>
      <c r="AA1559" s="8">
        <f>CONVERT(Table1[[#This Row],[RevisedForecast 30% Recution2]]*Table1[[#This Row],[Talk Duration (AVG)]],"day","hr")</f>
        <v>11.609286202528919</v>
      </c>
      <c r="AB1559" s="10">
        <f>(Table1[[#This Row],[Forecast Workload Hours]]*60)*1.2</f>
        <v>835.86860658208218</v>
      </c>
      <c r="AC1559" s="10">
        <f>IF(Table1[[#This Row],[Forecast WOrkload Minutes]]&lt;384,1,Table1[[#This Row],[Forecast WOrkload Minutes]]/384)</f>
        <v>2.1767411629741722</v>
      </c>
      <c r="AD1559" s="10">
        <f>ROUNDUP(Table1[[#This Row],[Forecast Headcount]],0)</f>
        <v>3</v>
      </c>
      <c r="AE1559" s="11">
        <v>194.87085674529419</v>
      </c>
      <c r="AF1559" s="11">
        <v>430.51297154613218</v>
      </c>
      <c r="AG1559" t="s">
        <v>7</v>
      </c>
    </row>
    <row r="1560" spans="1:33">
      <c r="A1560" s="2">
        <v>45441</v>
      </c>
      <c r="B1560" s="2"/>
      <c r="C1560" s="5">
        <f>WEEKDAY(Table1[[#This Row],[Date]])</f>
        <v>4</v>
      </c>
      <c r="D1560" s="5">
        <f>MONTH(Table1[[#This Row],[Date]])</f>
        <v>5</v>
      </c>
      <c r="E1560" s="5">
        <f>WEEKNUM(Table1[[#This Row],[Date]])</f>
        <v>22</v>
      </c>
      <c r="F1560" s="5">
        <f>YEAR(Table1[[#This Row],[Date]])</f>
        <v>2024</v>
      </c>
      <c r="H1560">
        <v>325.59032326026897</v>
      </c>
      <c r="I1560">
        <f>Table1[[#This Row],[Forecast]]*0.9</f>
        <v>293.03129093424207</v>
      </c>
      <c r="J1560">
        <f>Table1[[#This Row],[Forecast]]*0.8</f>
        <v>260.47225860821521</v>
      </c>
      <c r="K1560">
        <f>Table1[[#This Row],[Forecast]]*0.8</f>
        <v>260.47225860821521</v>
      </c>
      <c r="P1560" s="13">
        <f t="shared" si="47"/>
        <v>1.9267767435972368E-3</v>
      </c>
      <c r="Z1560" s="8"/>
      <c r="AA1560" s="8">
        <f>CONVERT(Table1[[#This Row],[RevisedForecast 30% Recution2]]*Table1[[#This Row],[Talk Duration (AVG)]],"day","hr")</f>
        <v>12.044925365725303</v>
      </c>
      <c r="AB1560" s="10">
        <f>(Table1[[#This Row],[Forecast Workload Hours]]*60)*1.2</f>
        <v>867.23462633222186</v>
      </c>
      <c r="AC1560" s="10">
        <f>IF(Table1[[#This Row],[Forecast WOrkload Minutes]]&lt;384,1,Table1[[#This Row],[Forecast WOrkload Minutes]]/384)</f>
        <v>2.2584235060734943</v>
      </c>
      <c r="AD1560" s="10">
        <f>ROUNDUP(Table1[[#This Row],[Forecast Headcount]],0)</f>
        <v>3</v>
      </c>
      <c r="AE1560" s="11">
        <v>213.3571225658545</v>
      </c>
      <c r="AF1560" s="11">
        <v>436.68003680966399</v>
      </c>
      <c r="AG1560" t="s">
        <v>7</v>
      </c>
    </row>
    <row r="1561" spans="1:33">
      <c r="A1561" s="2">
        <v>45442</v>
      </c>
      <c r="B1561" s="2"/>
      <c r="C1561" s="5">
        <f>WEEKDAY(Table1[[#This Row],[Date]])</f>
        <v>5</v>
      </c>
      <c r="D1561" s="5">
        <f>MONTH(Table1[[#This Row],[Date]])</f>
        <v>5</v>
      </c>
      <c r="E1561" s="5">
        <f>WEEKNUM(Table1[[#This Row],[Date]])</f>
        <v>22</v>
      </c>
      <c r="F1561" s="5">
        <f>YEAR(Table1[[#This Row],[Date]])</f>
        <v>2024</v>
      </c>
      <c r="H1561">
        <v>320.49836956478379</v>
      </c>
      <c r="I1561">
        <f>Table1[[#This Row],[Forecast]]*0.9</f>
        <v>288.44853260830541</v>
      </c>
      <c r="J1561">
        <f>Table1[[#This Row],[Forecast]]*0.8</f>
        <v>256.39869565182704</v>
      </c>
      <c r="K1561">
        <f>Table1[[#This Row],[Forecast]]*0.8</f>
        <v>256.39869565182704</v>
      </c>
      <c r="P1561" s="13">
        <f t="shared" si="47"/>
        <v>1.9267782863272187E-3</v>
      </c>
      <c r="Z1561" s="8"/>
      <c r="AA1561" s="8">
        <f>CONVERT(Table1[[#This Row],[RevisedForecast 30% Recution2]]*Table1[[#This Row],[Talk Duration (AVG)]],"day","hr")</f>
        <v>11.856562546189473</v>
      </c>
      <c r="AB1561" s="10">
        <f>(Table1[[#This Row],[Forecast Workload Hours]]*60)*1.2</f>
        <v>853.67250332564197</v>
      </c>
      <c r="AC1561" s="10">
        <f>IF(Table1[[#This Row],[Forecast WOrkload Minutes]]&lt;384,1,Table1[[#This Row],[Forecast WOrkload Minutes]]/384)</f>
        <v>2.2231054774105261</v>
      </c>
      <c r="AD1561" s="10">
        <f>ROUNDUP(Table1[[#This Row],[Forecast Headcount]],0)</f>
        <v>3</v>
      </c>
      <c r="AE1561" s="11">
        <v>217.41129334013311</v>
      </c>
      <c r="AF1561" s="11">
        <v>428.2589368256281</v>
      </c>
      <c r="AG1561" t="s">
        <v>7</v>
      </c>
    </row>
    <row r="1562" spans="1:33">
      <c r="A1562" s="2">
        <v>45443</v>
      </c>
      <c r="B1562" s="2"/>
      <c r="C1562" s="5">
        <f>WEEKDAY(Table1[[#This Row],[Date]])</f>
        <v>6</v>
      </c>
      <c r="D1562" s="5">
        <f>MONTH(Table1[[#This Row],[Date]])</f>
        <v>5</v>
      </c>
      <c r="E1562" s="5">
        <f>WEEKNUM(Table1[[#This Row],[Date]])</f>
        <v>22</v>
      </c>
      <c r="F1562" s="5">
        <f>YEAR(Table1[[#This Row],[Date]])</f>
        <v>2024</v>
      </c>
      <c r="H1562">
        <v>311.43884135981239</v>
      </c>
      <c r="I1562">
        <f>Table1[[#This Row],[Forecast]]*0.9</f>
        <v>280.29495722383115</v>
      </c>
      <c r="J1562">
        <f>Table1[[#This Row],[Forecast]]*0.8</f>
        <v>249.15107308784991</v>
      </c>
      <c r="K1562">
        <f>Table1[[#This Row],[Forecast]]*0.8</f>
        <v>249.15107308784991</v>
      </c>
      <c r="P1562" s="13">
        <f t="shared" si="47"/>
        <v>1.9267798058465184E-3</v>
      </c>
      <c r="Z1562" s="8"/>
      <c r="AA1562" s="8">
        <f>CONVERT(Table1[[#This Row],[RevisedForecast 30% Recution2]]*Table1[[#This Row],[Talk Duration (AVG)]],"day","hr")</f>
        <v>11.52142214953582</v>
      </c>
      <c r="AB1562" s="10">
        <f>(Table1[[#This Row],[Forecast Workload Hours]]*60)*1.2</f>
        <v>829.54239476657892</v>
      </c>
      <c r="AC1562" s="10">
        <f>IF(Table1[[#This Row],[Forecast WOrkload Minutes]]&lt;384,1,Table1[[#This Row],[Forecast WOrkload Minutes]]/384)</f>
        <v>2.1602666530379659</v>
      </c>
      <c r="AD1562" s="10">
        <f>ROUNDUP(Table1[[#This Row],[Forecast Headcount]],0)</f>
        <v>3</v>
      </c>
      <c r="AE1562" s="11">
        <v>206.98713063607349</v>
      </c>
      <c r="AF1562" s="11">
        <v>429.0342374715849</v>
      </c>
      <c r="AG1562" t="s">
        <v>7</v>
      </c>
    </row>
    <row r="1563" spans="1:33">
      <c r="A1563" s="2">
        <v>45444</v>
      </c>
      <c r="B1563" s="2"/>
      <c r="C1563" s="5">
        <f>WEEKDAY(Table1[[#This Row],[Date]])</f>
        <v>7</v>
      </c>
      <c r="D1563" s="5">
        <f>MONTH(Table1[[#This Row],[Date]])</f>
        <v>6</v>
      </c>
      <c r="E1563" s="5">
        <f>WEEKNUM(Table1[[#This Row],[Date]])</f>
        <v>22</v>
      </c>
      <c r="F1563" s="5">
        <f>YEAR(Table1[[#This Row],[Date]])</f>
        <v>2024</v>
      </c>
      <c r="H1563">
        <v>318.53361661352147</v>
      </c>
      <c r="I1563">
        <f>Table1[[#This Row],[Forecast]]*0.9</f>
        <v>286.68025495216932</v>
      </c>
      <c r="J1563">
        <f>Table1[[#This Row],[Forecast]]*0.8</f>
        <v>254.8268932908172</v>
      </c>
      <c r="K1563">
        <f>Table1[[#This Row],[Forecast]]*0.8</f>
        <v>254.8268932908172</v>
      </c>
      <c r="P1563" s="13">
        <f t="shared" si="47"/>
        <v>1.9267813906048321E-3</v>
      </c>
      <c r="Z1563" s="8"/>
      <c r="AA1563" s="8">
        <f>CONVERT(Table1[[#This Row],[RevisedForecast 30% Recution2]]*Table1[[#This Row],[Talk Duration (AVG)]],"day","hr")</f>
        <v>11.783897179641357</v>
      </c>
      <c r="AB1563" s="10">
        <f>(Table1[[#This Row],[Forecast Workload Hours]]*60)*1.2</f>
        <v>848.44059693417762</v>
      </c>
      <c r="AC1563" s="10">
        <f>IF(Table1[[#This Row],[Forecast WOrkload Minutes]]&lt;384,1,Table1[[#This Row],[Forecast WOrkload Minutes]]/384)</f>
        <v>2.2094807211827541</v>
      </c>
      <c r="AD1563" s="10">
        <f>ROUNDUP(Table1[[#This Row],[Forecast Headcount]],0)</f>
        <v>3</v>
      </c>
      <c r="AE1563" s="11">
        <v>209.60225486376021</v>
      </c>
      <c r="AF1563" s="11">
        <v>432.22108442954362</v>
      </c>
      <c r="AG1563" t="s">
        <v>7</v>
      </c>
    </row>
    <row r="1564" spans="1:33">
      <c r="A1564" s="2">
        <v>45445</v>
      </c>
      <c r="B1564" s="2"/>
      <c r="C1564" s="5">
        <f>WEEKDAY(Table1[[#This Row],[Date]])</f>
        <v>1</v>
      </c>
      <c r="D1564" s="5">
        <f>MONTH(Table1[[#This Row],[Date]])</f>
        <v>6</v>
      </c>
      <c r="E1564" s="5">
        <f>WEEKNUM(Table1[[#This Row],[Date]])</f>
        <v>23</v>
      </c>
      <c r="F1564" s="5">
        <f>YEAR(Table1[[#This Row],[Date]])</f>
        <v>2024</v>
      </c>
      <c r="H1564">
        <v>229.9442558504328</v>
      </c>
      <c r="I1564">
        <f>Table1[[#This Row],[Forecast]]*0.9</f>
        <v>206.94983026538952</v>
      </c>
      <c r="J1564">
        <f>Table1[[#This Row],[Forecast]]*0.8</f>
        <v>183.95540468034625</v>
      </c>
      <c r="K1564">
        <f>Table1[[#This Row],[Forecast]]*0.8</f>
        <v>183.95540468034625</v>
      </c>
      <c r="P1564" s="13">
        <f t="shared" si="47"/>
        <v>1.926783197674339E-3</v>
      </c>
      <c r="Z1564" s="8"/>
      <c r="AA1564" s="8">
        <f>CONVERT(Table1[[#This Row],[RevisedForecast 30% Recution2]]*Table1[[#This Row],[Talk Duration (AVG)]],"day","hr")</f>
        <v>8.5066123886273903</v>
      </c>
      <c r="AB1564" s="10">
        <f>(Table1[[#This Row],[Forecast Workload Hours]]*60)*1.2</f>
        <v>612.47609198117209</v>
      </c>
      <c r="AC1564" s="10">
        <f>IF(Table1[[#This Row],[Forecast WOrkload Minutes]]&lt;384,1,Table1[[#This Row],[Forecast WOrkload Minutes]]/384)</f>
        <v>1.5949898228676356</v>
      </c>
      <c r="AD1564" s="10">
        <f>ROUNDUP(Table1[[#This Row],[Forecast Headcount]],0)</f>
        <v>2</v>
      </c>
      <c r="AE1564" s="11">
        <v>100.4499066176605</v>
      </c>
      <c r="AF1564" s="11">
        <v>342.65500349898201</v>
      </c>
      <c r="AG1564" t="s">
        <v>7</v>
      </c>
    </row>
    <row r="1565" spans="1:33">
      <c r="A1565" s="2">
        <v>45446</v>
      </c>
      <c r="B1565" s="2"/>
      <c r="C1565" s="5">
        <f>WEEKDAY(Table1[[#This Row],[Date]])</f>
        <v>2</v>
      </c>
      <c r="D1565" s="5">
        <f>MONTH(Table1[[#This Row],[Date]])</f>
        <v>6</v>
      </c>
      <c r="E1565" s="5">
        <f>WEEKNUM(Table1[[#This Row],[Date]])</f>
        <v>23</v>
      </c>
      <c r="F1565" s="5">
        <f>YEAR(Table1[[#This Row],[Date]])</f>
        <v>2024</v>
      </c>
      <c r="H1565">
        <v>330.03067841722441</v>
      </c>
      <c r="I1565">
        <f>Table1[[#This Row],[Forecast]]*0.9</f>
        <v>297.02761057550197</v>
      </c>
      <c r="J1565">
        <f>Table1[[#This Row],[Forecast]]*0.8</f>
        <v>264.02454273377953</v>
      </c>
      <c r="K1565">
        <f>Table1[[#This Row],[Forecast]]*0.8</f>
        <v>264.02454273377953</v>
      </c>
      <c r="P1565" s="13">
        <f t="shared" si="47"/>
        <v>1.9267852751405515E-3</v>
      </c>
      <c r="Z1565" s="8"/>
      <c r="AA1565" s="8">
        <f>CONVERT(Table1[[#This Row],[RevisedForecast 30% Recution2]]*Table1[[#This Row],[Talk Duration (AVG)]],"day","hr")</f>
        <v>12.209246429163928</v>
      </c>
      <c r="AB1565" s="10">
        <f>(Table1[[#This Row],[Forecast Workload Hours]]*60)*1.2</f>
        <v>879.06574289980279</v>
      </c>
      <c r="AC1565" s="10">
        <f>IF(Table1[[#This Row],[Forecast WOrkload Minutes]]&lt;384,1,Table1[[#This Row],[Forecast WOrkload Minutes]]/384)</f>
        <v>2.2892337054682366</v>
      </c>
      <c r="AD1565" s="10">
        <f>ROUNDUP(Table1[[#This Row],[Forecast Headcount]],0)</f>
        <v>3</v>
      </c>
      <c r="AE1565" s="11">
        <v>217.54902203071671</v>
      </c>
      <c r="AF1565" s="11">
        <v>439.07909414645889</v>
      </c>
      <c r="AG1565" t="s">
        <v>7</v>
      </c>
    </row>
    <row r="1566" spans="1:33">
      <c r="A1566" s="2">
        <v>45447</v>
      </c>
      <c r="B1566" s="2"/>
      <c r="C1566" s="5">
        <f>WEEKDAY(Table1[[#This Row],[Date]])</f>
        <v>3</v>
      </c>
      <c r="D1566" s="5">
        <f>MONTH(Table1[[#This Row],[Date]])</f>
        <v>6</v>
      </c>
      <c r="E1566" s="5">
        <f>WEEKNUM(Table1[[#This Row],[Date]])</f>
        <v>23</v>
      </c>
      <c r="F1566" s="5">
        <f>YEAR(Table1[[#This Row],[Date]])</f>
        <v>2024</v>
      </c>
      <c r="H1566">
        <v>314.35631464570491</v>
      </c>
      <c r="I1566">
        <f>Table1[[#This Row],[Forecast]]*0.9</f>
        <v>282.92068318113445</v>
      </c>
      <c r="J1566">
        <f>Table1[[#This Row],[Forecast]]*0.8</f>
        <v>251.48505171656393</v>
      </c>
      <c r="K1566">
        <f>Table1[[#This Row],[Forecast]]*0.8</f>
        <v>251.48505171656393</v>
      </c>
      <c r="P1566" s="13">
        <f t="shared" si="47"/>
        <v>1.9267875873491865E-3</v>
      </c>
      <c r="Z1566" s="8"/>
      <c r="AA1566" s="8">
        <f>CONVERT(Table1[[#This Row],[RevisedForecast 30% Recution2]]*Table1[[#This Row],[Talk Duration (AVG)]],"day","hr")</f>
        <v>11.629398625232247</v>
      </c>
      <c r="AB1566" s="10">
        <f>(Table1[[#This Row],[Forecast Workload Hours]]*60)*1.2</f>
        <v>837.31670101672171</v>
      </c>
      <c r="AC1566" s="10">
        <f>IF(Table1[[#This Row],[Forecast WOrkload Minutes]]&lt;384,1,Table1[[#This Row],[Forecast WOrkload Minutes]]/384)</f>
        <v>2.1805122422310461</v>
      </c>
      <c r="AD1566" s="10">
        <f>ROUNDUP(Table1[[#This Row],[Forecast Headcount]],0)</f>
        <v>3</v>
      </c>
      <c r="AE1566" s="11">
        <v>197.71026862350351</v>
      </c>
      <c r="AF1566" s="11">
        <v>426.43382772405067</v>
      </c>
      <c r="AG1566" t="s">
        <v>7</v>
      </c>
    </row>
    <row r="1567" spans="1:33">
      <c r="A1567" s="2">
        <v>45448</v>
      </c>
      <c r="B1567" s="2"/>
      <c r="C1567" s="5">
        <f>WEEKDAY(Table1[[#This Row],[Date]])</f>
        <v>4</v>
      </c>
      <c r="D1567" s="5">
        <f>MONTH(Table1[[#This Row],[Date]])</f>
        <v>6</v>
      </c>
      <c r="E1567" s="5">
        <f>WEEKNUM(Table1[[#This Row],[Date]])</f>
        <v>23</v>
      </c>
      <c r="F1567" s="5">
        <f>YEAR(Table1[[#This Row],[Date]])</f>
        <v>2024</v>
      </c>
      <c r="H1567">
        <v>327.12774079151592</v>
      </c>
      <c r="I1567">
        <f>Table1[[#This Row],[Forecast]]*0.9</f>
        <v>294.41496671236433</v>
      </c>
      <c r="J1567">
        <f>Table1[[#This Row],[Forecast]]*0.8</f>
        <v>261.70219263321275</v>
      </c>
      <c r="K1567">
        <f>Table1[[#This Row],[Forecast]]*0.8</f>
        <v>261.70219263321275</v>
      </c>
      <c r="P1567" s="13">
        <f t="shared" si="47"/>
        <v>1.9267901448163924E-3</v>
      </c>
      <c r="Z1567" s="8"/>
      <c r="AA1567" s="8">
        <f>CONVERT(Table1[[#This Row],[RevisedForecast 30% Recution2]]*Table1[[#This Row],[Talk Duration (AVG)]],"day","hr")</f>
        <v>12.101884935420369</v>
      </c>
      <c r="AB1567" s="10">
        <f>(Table1[[#This Row],[Forecast Workload Hours]]*60)*1.2</f>
        <v>871.33571535026647</v>
      </c>
      <c r="AC1567" s="10">
        <f>IF(Table1[[#This Row],[Forecast WOrkload Minutes]]&lt;384,1,Table1[[#This Row],[Forecast WOrkload Minutes]]/384)</f>
        <v>2.2691034253913189</v>
      </c>
      <c r="AD1567" s="10">
        <f>ROUNDUP(Table1[[#This Row],[Forecast Headcount]],0)</f>
        <v>3</v>
      </c>
      <c r="AE1567" s="11">
        <v>211.63732626162019</v>
      </c>
      <c r="AF1567" s="11">
        <v>438.86879880241338</v>
      </c>
      <c r="AG1567" t="s">
        <v>7</v>
      </c>
    </row>
    <row r="1568" spans="1:33">
      <c r="A1568" s="2">
        <v>45449</v>
      </c>
      <c r="B1568" s="2"/>
      <c r="C1568" s="5">
        <f>WEEKDAY(Table1[[#This Row],[Date]])</f>
        <v>5</v>
      </c>
      <c r="D1568" s="5">
        <f>MONTH(Table1[[#This Row],[Date]])</f>
        <v>6</v>
      </c>
      <c r="E1568" s="5">
        <f>WEEKNUM(Table1[[#This Row],[Date]])</f>
        <v>23</v>
      </c>
      <c r="F1568" s="5">
        <f>YEAR(Table1[[#This Row],[Date]])</f>
        <v>2024</v>
      </c>
      <c r="H1568">
        <v>323.06290654537042</v>
      </c>
      <c r="I1568">
        <f>Table1[[#This Row],[Forecast]]*0.9</f>
        <v>290.75661589083342</v>
      </c>
      <c r="J1568">
        <f>Table1[[#This Row],[Forecast]]*0.8</f>
        <v>258.45032523629635</v>
      </c>
      <c r="K1568">
        <f>Table1[[#This Row],[Forecast]]*0.8</f>
        <v>258.45032523629635</v>
      </c>
      <c r="P1568" s="13">
        <f t="shared" si="47"/>
        <v>1.9267929299496705E-3</v>
      </c>
      <c r="Z1568" s="8"/>
      <c r="AA1568" s="8">
        <f>CONVERT(Table1[[#This Row],[RevisedForecast 30% Recution2]]*Table1[[#This Row],[Talk Duration (AVG)]],"day","hr")</f>
        <v>11.951526225803729</v>
      </c>
      <c r="AB1568" s="10">
        <f>(Table1[[#This Row],[Forecast Workload Hours]]*60)*1.2</f>
        <v>860.50988825786851</v>
      </c>
      <c r="AC1568" s="10">
        <f>IF(Table1[[#This Row],[Forecast WOrkload Minutes]]&lt;384,1,Table1[[#This Row],[Forecast WOrkload Minutes]]/384)</f>
        <v>2.2409111673381994</v>
      </c>
      <c r="AD1568" s="10">
        <f>ROUNDUP(Table1[[#This Row],[Forecast Headcount]],0)</f>
        <v>3</v>
      </c>
      <c r="AE1568" s="11">
        <v>207.0339878701208</v>
      </c>
      <c r="AF1568" s="11">
        <v>439.99301930578781</v>
      </c>
      <c r="AG1568" t="s">
        <v>7</v>
      </c>
    </row>
    <row r="1569" spans="1:33">
      <c r="A1569" s="2">
        <v>45450</v>
      </c>
      <c r="B1569" s="2"/>
      <c r="C1569" s="5">
        <f>WEEKDAY(Table1[[#This Row],[Date]])</f>
        <v>6</v>
      </c>
      <c r="D1569" s="5">
        <f>MONTH(Table1[[#This Row],[Date]])</f>
        <v>6</v>
      </c>
      <c r="E1569" s="5">
        <f>WEEKNUM(Table1[[#This Row],[Date]])</f>
        <v>23</v>
      </c>
      <c r="F1569" s="5">
        <f>YEAR(Table1[[#This Row],[Date]])</f>
        <v>2024</v>
      </c>
      <c r="H1569">
        <v>315.04149989521659</v>
      </c>
      <c r="I1569">
        <f>Table1[[#This Row],[Forecast]]*0.9</f>
        <v>283.53734990569495</v>
      </c>
      <c r="J1569">
        <f>Table1[[#This Row],[Forecast]]*0.8</f>
        <v>252.03319991617329</v>
      </c>
      <c r="K1569">
        <f>Table1[[#This Row],[Forecast]]*0.8</f>
        <v>252.03319991617329</v>
      </c>
      <c r="P1569" s="13">
        <f t="shared" si="47"/>
        <v>1.9267958017783009E-3</v>
      </c>
      <c r="Z1569" s="8"/>
      <c r="AA1569" s="8">
        <f>CONVERT(Table1[[#This Row],[RevisedForecast 30% Recution2]]*Table1[[#This Row],[Talk Duration (AVG)]],"day","hr")</f>
        <v>11.654796276173613</v>
      </c>
      <c r="AB1569" s="10">
        <f>(Table1[[#This Row],[Forecast Workload Hours]]*60)*1.2</f>
        <v>839.14533188450014</v>
      </c>
      <c r="AC1569" s="10">
        <f>IF(Table1[[#This Row],[Forecast WOrkload Minutes]]&lt;384,1,Table1[[#This Row],[Forecast WOrkload Minutes]]/384)</f>
        <v>2.1852743017825524</v>
      </c>
      <c r="AD1569" s="10">
        <f>ROUNDUP(Table1[[#This Row],[Forecast Headcount]],0)</f>
        <v>3</v>
      </c>
      <c r="AE1569" s="11">
        <v>195.29902148988671</v>
      </c>
      <c r="AF1569" s="11">
        <v>419.04267832405588</v>
      </c>
      <c r="AG1569" t="s">
        <v>7</v>
      </c>
    </row>
    <row r="1570" spans="1:33">
      <c r="A1570" s="2">
        <v>45451</v>
      </c>
      <c r="B1570" s="2"/>
      <c r="C1570" s="5">
        <f>WEEKDAY(Table1[[#This Row],[Date]])</f>
        <v>7</v>
      </c>
      <c r="D1570" s="5">
        <f>MONTH(Table1[[#This Row],[Date]])</f>
        <v>6</v>
      </c>
      <c r="E1570" s="5">
        <f>WEEKNUM(Table1[[#This Row],[Date]])</f>
        <v>23</v>
      </c>
      <c r="F1570" s="5">
        <f>YEAR(Table1[[#This Row],[Date]])</f>
        <v>2024</v>
      </c>
      <c r="H1570">
        <v>323.1647169063628</v>
      </c>
      <c r="I1570">
        <f>Table1[[#This Row],[Forecast]]*0.9</f>
        <v>290.84824521572654</v>
      </c>
      <c r="J1570">
        <f>Table1[[#This Row],[Forecast]]*0.8</f>
        <v>258.53177352509027</v>
      </c>
      <c r="K1570">
        <f>Table1[[#This Row],[Forecast]]*0.8</f>
        <v>258.53177352509027</v>
      </c>
      <c r="P1570" s="13">
        <f t="shared" si="47"/>
        <v>1.9267988515188467E-3</v>
      </c>
      <c r="Z1570" s="8"/>
      <c r="AA1570" s="8">
        <f>CONVERT(Table1[[#This Row],[RevisedForecast 30% Recution2]]*Table1[[#This Row],[Talk Duration (AVG)]],"day","hr")</f>
        <v>11.955329383422589</v>
      </c>
      <c r="AB1570" s="10">
        <f>(Table1[[#This Row],[Forecast Workload Hours]]*60)*1.2</f>
        <v>860.78371560642631</v>
      </c>
      <c r="AC1570" s="10">
        <f>IF(Table1[[#This Row],[Forecast WOrkload Minutes]]&lt;384,1,Table1[[#This Row],[Forecast WOrkload Minutes]]/384)</f>
        <v>2.241624259391735</v>
      </c>
      <c r="AD1570" s="10">
        <f>ROUNDUP(Table1[[#This Row],[Forecast Headcount]],0)</f>
        <v>3</v>
      </c>
      <c r="AE1570" s="11">
        <v>221.28479363793869</v>
      </c>
      <c r="AF1570" s="11">
        <v>443.60713845951921</v>
      </c>
      <c r="AG1570" t="s">
        <v>7</v>
      </c>
    </row>
    <row r="1571" spans="1:33">
      <c r="A1571" s="2">
        <v>45452</v>
      </c>
      <c r="B1571" s="2"/>
      <c r="C1571" s="5">
        <f>WEEKDAY(Table1[[#This Row],[Date]])</f>
        <v>1</v>
      </c>
      <c r="D1571" s="5">
        <f>MONTH(Table1[[#This Row],[Date]])</f>
        <v>6</v>
      </c>
      <c r="E1571" s="5">
        <f>WEEKNUM(Table1[[#This Row],[Date]])</f>
        <v>24</v>
      </c>
      <c r="F1571" s="5">
        <f>YEAR(Table1[[#This Row],[Date]])</f>
        <v>2024</v>
      </c>
      <c r="H1571">
        <v>235.57360511891861</v>
      </c>
      <c r="I1571">
        <f>Table1[[#This Row],[Forecast]]*0.9</f>
        <v>212.01624460702675</v>
      </c>
      <c r="J1571">
        <f>Table1[[#This Row],[Forecast]]*0.8</f>
        <v>188.45888409513489</v>
      </c>
      <c r="K1571">
        <f>Table1[[#This Row],[Forecast]]*0.8</f>
        <v>188.45888409513489</v>
      </c>
      <c r="P1571" s="13">
        <f t="shared" si="47"/>
        <v>1.9268020784459811E-3</v>
      </c>
      <c r="Z1571" s="8"/>
      <c r="AA1571" s="8">
        <f>CONVERT(Table1[[#This Row],[RevisedForecast 30% Recution2]]*Table1[[#This Row],[Talk Duration (AVG)]],"day","hr")</f>
        <v>8.7149512698267877</v>
      </c>
      <c r="AB1571" s="10">
        <f>(Table1[[#This Row],[Forecast Workload Hours]]*60)*1.2</f>
        <v>627.47649142752869</v>
      </c>
      <c r="AC1571" s="10">
        <f>IF(Table1[[#This Row],[Forecast WOrkload Minutes]]&lt;384,1,Table1[[#This Row],[Forecast WOrkload Minutes]]/384)</f>
        <v>1.6340533630925227</v>
      </c>
      <c r="AD1571" s="10">
        <f>ROUNDUP(Table1[[#This Row],[Forecast Headcount]],0)</f>
        <v>2</v>
      </c>
      <c r="AE1571" s="11">
        <v>119.6150940383742</v>
      </c>
      <c r="AF1571" s="11">
        <v>350.35687058285453</v>
      </c>
      <c r="AG1571" t="s">
        <v>7</v>
      </c>
    </row>
    <row r="1572" spans="1:33">
      <c r="A1572" s="2">
        <v>45453</v>
      </c>
      <c r="B1572" s="2"/>
      <c r="C1572" s="5">
        <f>WEEKDAY(Table1[[#This Row],[Date]])</f>
        <v>2</v>
      </c>
      <c r="D1572" s="5">
        <f>MONTH(Table1[[#This Row],[Date]])</f>
        <v>6</v>
      </c>
      <c r="E1572" s="5">
        <f>WEEKNUM(Table1[[#This Row],[Date]])</f>
        <v>24</v>
      </c>
      <c r="F1572" s="5">
        <f>YEAR(Table1[[#This Row],[Date]])</f>
        <v>2024</v>
      </c>
      <c r="H1572">
        <v>336.60826852939817</v>
      </c>
      <c r="I1572">
        <f>Table1[[#This Row],[Forecast]]*0.9</f>
        <v>302.94744167645837</v>
      </c>
      <c r="J1572">
        <f>Table1[[#This Row],[Forecast]]*0.8</f>
        <v>269.28661482351856</v>
      </c>
      <c r="K1572">
        <f>Table1[[#This Row],[Forecast]]*0.8</f>
        <v>269.28661482351856</v>
      </c>
      <c r="P1572" s="13">
        <f t="shared" si="47"/>
        <v>1.9268054534260896E-3</v>
      </c>
      <c r="Z1572" s="8"/>
      <c r="AA1572" s="8">
        <f>CONVERT(Table1[[#This Row],[RevisedForecast 30% Recution2]]*Table1[[#This Row],[Talk Duration (AVG)]],"day","hr")</f>
        <v>12.452710031438555</v>
      </c>
      <c r="AB1572" s="10">
        <f>(Table1[[#This Row],[Forecast Workload Hours]]*60)*1.2</f>
        <v>896.59512226357594</v>
      </c>
      <c r="AC1572" s="10">
        <f>IF(Table1[[#This Row],[Forecast WOrkload Minutes]]&lt;384,1,Table1[[#This Row],[Forecast WOrkload Minutes]]/384)</f>
        <v>2.3348831308947289</v>
      </c>
      <c r="AD1572" s="10">
        <f>ROUNDUP(Table1[[#This Row],[Forecast Headcount]],0)</f>
        <v>3</v>
      </c>
      <c r="AE1572" s="11">
        <v>223.52323635397059</v>
      </c>
      <c r="AF1572" s="11">
        <v>454.91498661159869</v>
      </c>
      <c r="AG1572" t="s">
        <v>7</v>
      </c>
    </row>
    <row r="1573" spans="1:33">
      <c r="A1573" s="2">
        <v>45454</v>
      </c>
      <c r="B1573" s="2"/>
      <c r="C1573" s="5">
        <f>WEEKDAY(Table1[[#This Row],[Date]])</f>
        <v>3</v>
      </c>
      <c r="D1573" s="5">
        <f>MONTH(Table1[[#This Row],[Date]])</f>
        <v>6</v>
      </c>
      <c r="E1573" s="5">
        <f>WEEKNUM(Table1[[#This Row],[Date]])</f>
        <v>24</v>
      </c>
      <c r="F1573" s="5">
        <f>YEAR(Table1[[#This Row],[Date]])</f>
        <v>2024</v>
      </c>
      <c r="H1573">
        <v>321.81352354459813</v>
      </c>
      <c r="I1573">
        <f>Table1[[#This Row],[Forecast]]*0.9</f>
        <v>289.63217119013831</v>
      </c>
      <c r="J1573">
        <f>Table1[[#This Row],[Forecast]]*0.8</f>
        <v>257.45081883567849</v>
      </c>
      <c r="K1573">
        <f>Table1[[#This Row],[Forecast]]*0.8</f>
        <v>257.45081883567849</v>
      </c>
      <c r="P1573" s="13">
        <f t="shared" si="47"/>
        <v>1.9268089370168976E-3</v>
      </c>
      <c r="Z1573" s="8"/>
      <c r="AA1573" s="8">
        <f>CONVERT(Table1[[#This Row],[RevisedForecast 30% Recution2]]*Table1[[#This Row],[Talk Duration (AVG)]],"day","hr")</f>
        <v>11.905404925797686</v>
      </c>
      <c r="AB1573" s="10">
        <f>(Table1[[#This Row],[Forecast Workload Hours]]*60)*1.2</f>
        <v>857.18915465743339</v>
      </c>
      <c r="AC1573" s="10">
        <f>IF(Table1[[#This Row],[Forecast WOrkload Minutes]]&lt;384,1,Table1[[#This Row],[Forecast WOrkload Minutes]]/384)</f>
        <v>2.232263423587066</v>
      </c>
      <c r="AD1573" s="10">
        <f>ROUNDUP(Table1[[#This Row],[Forecast Headcount]],0)</f>
        <v>3</v>
      </c>
      <c r="AE1573" s="11">
        <v>211.5617489368633</v>
      </c>
      <c r="AF1573" s="11">
        <v>432.84661070462698</v>
      </c>
      <c r="AG1573" t="s">
        <v>7</v>
      </c>
    </row>
    <row r="1574" spans="1:33">
      <c r="A1574" s="2">
        <v>45455</v>
      </c>
      <c r="B1574" s="2"/>
      <c r="C1574" s="5">
        <f>WEEKDAY(Table1[[#This Row],[Date]])</f>
        <v>4</v>
      </c>
      <c r="D1574" s="5">
        <f>MONTH(Table1[[#This Row],[Date]])</f>
        <v>6</v>
      </c>
      <c r="E1574" s="5">
        <f>WEEKNUM(Table1[[#This Row],[Date]])</f>
        <v>24</v>
      </c>
      <c r="F1574" s="5">
        <f>YEAR(Table1[[#This Row],[Date]])</f>
        <v>2024</v>
      </c>
      <c r="H1574">
        <v>335.37899876391162</v>
      </c>
      <c r="I1574">
        <f>Table1[[#This Row],[Forecast]]*0.9</f>
        <v>301.84109888752045</v>
      </c>
      <c r="J1574">
        <f>Table1[[#This Row],[Forecast]]*0.8</f>
        <v>268.30319901112932</v>
      </c>
      <c r="K1574">
        <f>Table1[[#This Row],[Forecast]]*0.8</f>
        <v>268.30319901112932</v>
      </c>
      <c r="P1574" s="13">
        <f t="shared" ref="P1574:P1637" si="48">AVERAGE(P1467:P1573)</f>
        <v>1.9268121957494561E-3</v>
      </c>
      <c r="Z1574" s="8"/>
      <c r="AA1574" s="8">
        <f>CONVERT(Table1[[#This Row],[RevisedForecast 30% Recution2]]*Table1[[#This Row],[Talk Duration (AVG)]],"day","hr")</f>
        <v>12.407277024317699</v>
      </c>
      <c r="AB1574" s="10">
        <f>(Table1[[#This Row],[Forecast Workload Hours]]*60)*1.2</f>
        <v>893.32394575087426</v>
      </c>
      <c r="AC1574" s="10">
        <f>IF(Table1[[#This Row],[Forecast WOrkload Minutes]]&lt;384,1,Table1[[#This Row],[Forecast WOrkload Minutes]]/384)</f>
        <v>2.3263644420595684</v>
      </c>
      <c r="AD1574" s="10">
        <f>ROUNDUP(Table1[[#This Row],[Forecast Headcount]],0)</f>
        <v>3</v>
      </c>
      <c r="AE1574" s="11">
        <v>222.75634718504449</v>
      </c>
      <c r="AF1574" s="11">
        <v>442.0258375290785</v>
      </c>
      <c r="AG1574" t="s">
        <v>7</v>
      </c>
    </row>
    <row r="1575" spans="1:33">
      <c r="A1575" s="2">
        <v>45456</v>
      </c>
      <c r="B1575" s="2"/>
      <c r="C1575" s="5">
        <f>WEEKDAY(Table1[[#This Row],[Date]])</f>
        <v>5</v>
      </c>
      <c r="D1575" s="5">
        <f>MONTH(Table1[[#This Row],[Date]])</f>
        <v>6</v>
      </c>
      <c r="E1575" s="5">
        <f>WEEKNUM(Table1[[#This Row],[Date]])</f>
        <v>24</v>
      </c>
      <c r="F1575" s="5">
        <f>YEAR(Table1[[#This Row],[Date]])</f>
        <v>2024</v>
      </c>
      <c r="H1575">
        <v>332.00777566810859</v>
      </c>
      <c r="I1575">
        <f>Table1[[#This Row],[Forecast]]*0.9</f>
        <v>298.80699810129772</v>
      </c>
      <c r="J1575">
        <f>Table1[[#This Row],[Forecast]]*0.8</f>
        <v>265.60622053448691</v>
      </c>
      <c r="K1575">
        <f>Table1[[#This Row],[Forecast]]*0.8</f>
        <v>265.60622053448691</v>
      </c>
      <c r="P1575" s="13">
        <f t="shared" si="48"/>
        <v>1.9268149434668673E-3</v>
      </c>
      <c r="Z1575" s="8"/>
      <c r="AA1575" s="8">
        <f>CONVERT(Table1[[#This Row],[RevisedForecast 30% Recution2]]*Table1[[#This Row],[Talk Duration (AVG)]],"day","hr")</f>
        <v>12.282576835286537</v>
      </c>
      <c r="AB1575" s="10">
        <f>(Table1[[#This Row],[Forecast Workload Hours]]*60)*1.2</f>
        <v>884.34553214063067</v>
      </c>
      <c r="AC1575" s="10">
        <f>IF(Table1[[#This Row],[Forecast WOrkload Minutes]]&lt;384,1,Table1[[#This Row],[Forecast WOrkload Minutes]]/384)</f>
        <v>2.3029831566162255</v>
      </c>
      <c r="AD1575" s="10">
        <f>ROUNDUP(Table1[[#This Row],[Forecast Headcount]],0)</f>
        <v>3</v>
      </c>
      <c r="AE1575" s="11">
        <v>215.01326350847231</v>
      </c>
      <c r="AF1575" s="11">
        <v>447.75599745155807</v>
      </c>
      <c r="AG1575" t="s">
        <v>7</v>
      </c>
    </row>
    <row r="1576" spans="1:33">
      <c r="A1576" s="2">
        <v>45457</v>
      </c>
      <c r="B1576" s="2"/>
      <c r="C1576" s="5">
        <f>WEEKDAY(Table1[[#This Row],[Date]])</f>
        <v>6</v>
      </c>
      <c r="D1576" s="5">
        <f>MONTH(Table1[[#This Row],[Date]])</f>
        <v>6</v>
      </c>
      <c r="E1576" s="5">
        <f>WEEKNUM(Table1[[#This Row],[Date]])</f>
        <v>24</v>
      </c>
      <c r="F1576" s="5">
        <f>YEAR(Table1[[#This Row],[Date]])</f>
        <v>2024</v>
      </c>
      <c r="H1576">
        <v>324.56710393091458</v>
      </c>
      <c r="I1576">
        <f>Table1[[#This Row],[Forecast]]*0.9</f>
        <v>292.11039353782314</v>
      </c>
      <c r="J1576">
        <f>Table1[[#This Row],[Forecast]]*0.8</f>
        <v>259.6536831447317</v>
      </c>
      <c r="K1576">
        <f>Table1[[#This Row],[Forecast]]*0.8</f>
        <v>259.6536831447317</v>
      </c>
      <c r="P1576" s="13">
        <f t="shared" si="48"/>
        <v>1.9268174907160014E-3</v>
      </c>
      <c r="Z1576" s="8"/>
      <c r="AA1576" s="8">
        <f>CONVERT(Table1[[#This Row],[RevisedForecast 30% Recution2]]*Table1[[#This Row],[Talk Duration (AVG)]],"day","hr")</f>
        <v>12.007326197090395</v>
      </c>
      <c r="AB1576" s="10">
        <f>(Table1[[#This Row],[Forecast Workload Hours]]*60)*1.2</f>
        <v>864.52748619050828</v>
      </c>
      <c r="AC1576" s="10">
        <f>IF(Table1[[#This Row],[Forecast WOrkload Minutes]]&lt;384,1,Table1[[#This Row],[Forecast WOrkload Minutes]]/384)</f>
        <v>2.2513736619544487</v>
      </c>
      <c r="AD1576" s="10">
        <f>ROUNDUP(Table1[[#This Row],[Forecast Headcount]],0)</f>
        <v>3</v>
      </c>
      <c r="AE1576" s="11">
        <v>214.71599593633209</v>
      </c>
      <c r="AF1576" s="11">
        <v>433.74707809594543</v>
      </c>
      <c r="AG1576" t="s">
        <v>7</v>
      </c>
    </row>
    <row r="1577" spans="1:33">
      <c r="A1577" s="2">
        <v>45458</v>
      </c>
      <c r="B1577" s="2"/>
      <c r="C1577" s="5">
        <f>WEEKDAY(Table1[[#This Row],[Date]])</f>
        <v>7</v>
      </c>
      <c r="D1577" s="5">
        <f>MONTH(Table1[[#This Row],[Date]])</f>
        <v>6</v>
      </c>
      <c r="E1577" s="5">
        <f>WEEKNUM(Table1[[#This Row],[Date]])</f>
        <v>24</v>
      </c>
      <c r="F1577" s="5">
        <f>YEAR(Table1[[#This Row],[Date]])</f>
        <v>2024</v>
      </c>
      <c r="H1577">
        <v>333.14844980104448</v>
      </c>
      <c r="I1577">
        <f>Table1[[#This Row],[Forecast]]*0.9</f>
        <v>299.83360482094002</v>
      </c>
      <c r="J1577">
        <f>Table1[[#This Row],[Forecast]]*0.8</f>
        <v>266.51875984083557</v>
      </c>
      <c r="K1577">
        <f>Table1[[#This Row],[Forecast]]*0.8</f>
        <v>266.51875984083557</v>
      </c>
      <c r="P1577" s="13">
        <f t="shared" si="48"/>
        <v>1.9268198372482455E-3</v>
      </c>
      <c r="Z1577" s="8"/>
      <c r="AA1577" s="8">
        <f>CONVERT(Table1[[#This Row],[RevisedForecast 30% Recution2]]*Table1[[#This Row],[Talk Duration (AVG)]],"day","hr")</f>
        <v>12.324807203042953</v>
      </c>
      <c r="AB1577" s="10">
        <f>(Table1[[#This Row],[Forecast Workload Hours]]*60)*1.2</f>
        <v>887.3861186190926</v>
      </c>
      <c r="AC1577" s="10">
        <f>IF(Table1[[#This Row],[Forecast WOrkload Minutes]]&lt;384,1,Table1[[#This Row],[Forecast WOrkload Minutes]]/384)</f>
        <v>2.3109013505705538</v>
      </c>
      <c r="AD1577" s="10">
        <f>ROUNDUP(Table1[[#This Row],[Forecast Headcount]],0)</f>
        <v>3</v>
      </c>
      <c r="AE1577" s="11">
        <v>218.06624139768579</v>
      </c>
      <c r="AF1577" s="11">
        <v>447.88797072553882</v>
      </c>
      <c r="AG1577" t="s">
        <v>7</v>
      </c>
    </row>
    <row r="1578" spans="1:33">
      <c r="A1578" s="2">
        <v>45459</v>
      </c>
      <c r="B1578" s="2"/>
      <c r="C1578" s="5">
        <f>WEEKDAY(Table1[[#This Row],[Date]])</f>
        <v>1</v>
      </c>
      <c r="D1578" s="5">
        <f>MONTH(Table1[[#This Row],[Date]])</f>
        <v>6</v>
      </c>
      <c r="E1578" s="5">
        <f>WEEKNUM(Table1[[#This Row],[Date]])</f>
        <v>25</v>
      </c>
      <c r="F1578" s="5">
        <f>YEAR(Table1[[#This Row],[Date]])</f>
        <v>2024</v>
      </c>
      <c r="H1578">
        <v>245.88603933293061</v>
      </c>
      <c r="I1578">
        <f>Table1[[#This Row],[Forecast]]*0.9</f>
        <v>221.29743539963755</v>
      </c>
      <c r="J1578">
        <f>Table1[[#This Row],[Forecast]]*0.8</f>
        <v>196.70883146634449</v>
      </c>
      <c r="K1578">
        <f>Table1[[#This Row],[Forecast]]*0.8</f>
        <v>196.70883146634449</v>
      </c>
      <c r="P1578" s="13">
        <f t="shared" si="48"/>
        <v>1.9268219826127481E-3</v>
      </c>
      <c r="Z1578" s="8"/>
      <c r="AA1578" s="8">
        <f>CONVERT(Table1[[#This Row],[RevisedForecast 30% Recution2]]*Table1[[#This Row],[Talk Duration (AVG)]],"day","hr")</f>
        <v>9.0965496154420507</v>
      </c>
      <c r="AB1578" s="10">
        <f>(Table1[[#This Row],[Forecast Workload Hours]]*60)*1.2</f>
        <v>654.95157231182759</v>
      </c>
      <c r="AC1578" s="10">
        <f>IF(Table1[[#This Row],[Forecast WOrkload Minutes]]&lt;384,1,Table1[[#This Row],[Forecast WOrkload Minutes]]/384)</f>
        <v>1.7056030528953843</v>
      </c>
      <c r="AD1578" s="10">
        <f>ROUNDUP(Table1[[#This Row],[Forecast Headcount]],0)</f>
        <v>2</v>
      </c>
      <c r="AE1578" s="11">
        <v>133.22790983678971</v>
      </c>
      <c r="AF1578" s="11">
        <v>355.65688072712868</v>
      </c>
      <c r="AG1578" t="s">
        <v>7</v>
      </c>
    </row>
    <row r="1579" spans="1:33">
      <c r="A1579" s="2">
        <v>45460</v>
      </c>
      <c r="B1579" s="2"/>
      <c r="C1579" s="5">
        <f>WEEKDAY(Table1[[#This Row],[Date]])</f>
        <v>2</v>
      </c>
      <c r="D1579" s="5">
        <f>MONTH(Table1[[#This Row],[Date]])</f>
        <v>6</v>
      </c>
      <c r="E1579" s="5">
        <f>WEEKNUM(Table1[[#This Row],[Date]])</f>
        <v>25</v>
      </c>
      <c r="F1579" s="5">
        <f>YEAR(Table1[[#This Row],[Date]])</f>
        <v>2024</v>
      </c>
      <c r="H1579">
        <v>347.11617987080808</v>
      </c>
      <c r="I1579">
        <f>Table1[[#This Row],[Forecast]]*0.9</f>
        <v>312.4045618837273</v>
      </c>
      <c r="J1579">
        <f>Table1[[#This Row],[Forecast]]*0.8</f>
        <v>277.69294389664645</v>
      </c>
      <c r="K1579">
        <f>Table1[[#This Row],[Forecast]]*0.8</f>
        <v>277.69294389664645</v>
      </c>
      <c r="P1579" s="13">
        <f t="shared" si="48"/>
        <v>1.9268239264132075E-3</v>
      </c>
      <c r="Z1579" s="8"/>
      <c r="AA1579" s="8">
        <f>CONVERT(Table1[[#This Row],[RevisedForecast 30% Recution2]]*Table1[[#This Row],[Talk Duration (AVG)]],"day","hr")</f>
        <v>12.841569803908294</v>
      </c>
      <c r="AB1579" s="10">
        <f>(Table1[[#This Row],[Forecast Workload Hours]]*60)*1.2</f>
        <v>924.59302588139712</v>
      </c>
      <c r="AC1579" s="10">
        <f>IF(Table1[[#This Row],[Forecast WOrkload Minutes]]&lt;384,1,Table1[[#This Row],[Forecast WOrkload Minutes]]/384)</f>
        <v>2.4077943382328049</v>
      </c>
      <c r="AD1579" s="10">
        <f>ROUNDUP(Table1[[#This Row],[Forecast Headcount]],0)</f>
        <v>3</v>
      </c>
      <c r="AE1579" s="11">
        <v>239.48564845790551</v>
      </c>
      <c r="AF1579" s="11">
        <v>460.74631222063869</v>
      </c>
      <c r="AG1579" t="s">
        <v>7</v>
      </c>
    </row>
    <row r="1580" spans="1:33">
      <c r="A1580" s="2">
        <v>45461</v>
      </c>
      <c r="B1580" s="2"/>
      <c r="C1580" s="5">
        <f>WEEKDAY(Table1[[#This Row],[Date]])</f>
        <v>3</v>
      </c>
      <c r="D1580" s="5">
        <f>MONTH(Table1[[#This Row],[Date]])</f>
        <v>6</v>
      </c>
      <c r="E1580" s="5">
        <f>WEEKNUM(Table1[[#This Row],[Date]])</f>
        <v>25</v>
      </c>
      <c r="F1580" s="5">
        <f>YEAR(Table1[[#This Row],[Date]])</f>
        <v>2024</v>
      </c>
      <c r="H1580">
        <v>332.38294707966293</v>
      </c>
      <c r="I1580">
        <f>Table1[[#This Row],[Forecast]]*0.9</f>
        <v>299.14465237169662</v>
      </c>
      <c r="J1580">
        <f>Table1[[#This Row],[Forecast]]*0.8</f>
        <v>265.90635766373038</v>
      </c>
      <c r="K1580">
        <f>Table1[[#This Row],[Forecast]]*0.8</f>
        <v>265.90635766373038</v>
      </c>
      <c r="P1580" s="13">
        <f t="shared" si="48"/>
        <v>1.9268256688392612E-3</v>
      </c>
      <c r="Z1580" s="8"/>
      <c r="AA1580" s="8">
        <f>CONVERT(Table1[[#This Row],[RevisedForecast 30% Recution2]]*Table1[[#This Row],[Talk Duration (AVG)]],"day","hr")</f>
        <v>12.296524690896698</v>
      </c>
      <c r="AB1580" s="10">
        <f>(Table1[[#This Row],[Forecast Workload Hours]]*60)*1.2</f>
        <v>885.34977774456229</v>
      </c>
      <c r="AC1580" s="10">
        <f>IF(Table1[[#This Row],[Forecast WOrkload Minutes]]&lt;384,1,Table1[[#This Row],[Forecast WOrkload Minutes]]/384)</f>
        <v>2.305598379543131</v>
      </c>
      <c r="AD1580" s="10">
        <f>ROUNDUP(Table1[[#This Row],[Forecast Headcount]],0)</f>
        <v>3</v>
      </c>
      <c r="AE1580" s="11">
        <v>222.32501584921161</v>
      </c>
      <c r="AF1580" s="11">
        <v>446.3693936336752</v>
      </c>
      <c r="AG1580" t="s">
        <v>7</v>
      </c>
    </row>
    <row r="1581" spans="1:33">
      <c r="A1581" s="2">
        <v>45462</v>
      </c>
      <c r="B1581" s="2"/>
      <c r="C1581" s="5">
        <f>WEEKDAY(Table1[[#This Row],[Date]])</f>
        <v>4</v>
      </c>
      <c r="D1581" s="5">
        <f>MONTH(Table1[[#This Row],[Date]])</f>
        <v>6</v>
      </c>
      <c r="E1581" s="5">
        <f>WEEKNUM(Table1[[#This Row],[Date]])</f>
        <v>25</v>
      </c>
      <c r="F1581" s="5">
        <f>YEAR(Table1[[#This Row],[Date]])</f>
        <v>2024</v>
      </c>
      <c r="H1581">
        <v>345.87823078324828</v>
      </c>
      <c r="I1581">
        <f>Table1[[#This Row],[Forecast]]*0.9</f>
        <v>311.29040770492344</v>
      </c>
      <c r="J1581">
        <f>Table1[[#This Row],[Forecast]]*0.8</f>
        <v>276.70258462659865</v>
      </c>
      <c r="K1581">
        <f>Table1[[#This Row],[Forecast]]*0.8</f>
        <v>276.70258462659865</v>
      </c>
      <c r="P1581" s="13">
        <f t="shared" si="48"/>
        <v>1.9268272108645187E-3</v>
      </c>
      <c r="Z1581" s="8"/>
      <c r="AA1581" s="8">
        <f>CONVERT(Table1[[#This Row],[RevisedForecast 30% Recution2]]*Table1[[#This Row],[Talk Duration (AVG)]],"day","hr")</f>
        <v>12.795793665001739</v>
      </c>
      <c r="AB1581" s="10">
        <f>(Table1[[#This Row],[Forecast Workload Hours]]*60)*1.2</f>
        <v>921.29714388012519</v>
      </c>
      <c r="AC1581" s="10">
        <f>IF(Table1[[#This Row],[Forecast WOrkload Minutes]]&lt;384,1,Table1[[#This Row],[Forecast WOrkload Minutes]]/384)</f>
        <v>2.399211312187826</v>
      </c>
      <c r="AD1581" s="10">
        <f>ROUNDUP(Table1[[#This Row],[Forecast Headcount]],0)</f>
        <v>3</v>
      </c>
      <c r="AE1581" s="11">
        <v>247.2044303685569</v>
      </c>
      <c r="AF1581" s="11">
        <v>457.50007177794208</v>
      </c>
      <c r="AG1581" t="s">
        <v>7</v>
      </c>
    </row>
    <row r="1582" spans="1:33">
      <c r="A1582" s="2">
        <v>45463</v>
      </c>
      <c r="B1582" s="2"/>
      <c r="C1582" s="5">
        <f>WEEKDAY(Table1[[#This Row],[Date]])</f>
        <v>5</v>
      </c>
      <c r="D1582" s="5">
        <f>MONTH(Table1[[#This Row],[Date]])</f>
        <v>6</v>
      </c>
      <c r="E1582" s="5">
        <f>WEEKNUM(Table1[[#This Row],[Date]])</f>
        <v>25</v>
      </c>
      <c r="F1582" s="5">
        <f>YEAR(Table1[[#This Row],[Date]])</f>
        <v>2024</v>
      </c>
      <c r="H1582">
        <v>342.3102395424383</v>
      </c>
      <c r="I1582">
        <f>Table1[[#This Row],[Forecast]]*0.9</f>
        <v>308.07921558819447</v>
      </c>
      <c r="J1582">
        <f>Table1[[#This Row],[Forecast]]*0.8</f>
        <v>273.84819163395065</v>
      </c>
      <c r="K1582">
        <f>Table1[[#This Row],[Forecast]]*0.8</f>
        <v>273.84819163395065</v>
      </c>
      <c r="P1582" s="13">
        <f t="shared" si="48"/>
        <v>1.9268285537453061E-3</v>
      </c>
      <c r="Z1582" s="8"/>
      <c r="AA1582" s="8">
        <f>CONVERT(Table1[[#This Row],[RevisedForecast 30% Recution2]]*Table1[[#This Row],[Talk Duration (AVG)]],"day","hr")</f>
        <v>12.663804360763503</v>
      </c>
      <c r="AB1582" s="10">
        <f>(Table1[[#This Row],[Forecast Workload Hours]]*60)*1.2</f>
        <v>911.79391397497227</v>
      </c>
      <c r="AC1582" s="10">
        <f>IF(Table1[[#This Row],[Forecast WOrkload Minutes]]&lt;384,1,Table1[[#This Row],[Forecast WOrkload Minutes]]/384)</f>
        <v>2.3744633176431571</v>
      </c>
      <c r="AD1582" s="10">
        <f>ROUNDUP(Table1[[#This Row],[Forecast Headcount]],0)</f>
        <v>3</v>
      </c>
      <c r="AE1582" s="11">
        <v>236.7416885777626</v>
      </c>
      <c r="AF1582" s="11">
        <v>449.57211232505131</v>
      </c>
      <c r="AG1582" t="s">
        <v>7</v>
      </c>
    </row>
    <row r="1583" spans="1:33">
      <c r="A1583" s="2">
        <v>45464</v>
      </c>
      <c r="B1583" s="2"/>
      <c r="C1583" s="5">
        <f>WEEKDAY(Table1[[#This Row],[Date]])</f>
        <v>6</v>
      </c>
      <c r="D1583" s="5">
        <f>MONTH(Table1[[#This Row],[Date]])</f>
        <v>6</v>
      </c>
      <c r="E1583" s="5">
        <f>WEEKNUM(Table1[[#This Row],[Date]])</f>
        <v>25</v>
      </c>
      <c r="F1583" s="5">
        <f>YEAR(Table1[[#This Row],[Date]])</f>
        <v>2024</v>
      </c>
      <c r="H1583">
        <v>334.55400288873699</v>
      </c>
      <c r="I1583">
        <f>Table1[[#This Row],[Forecast]]*0.9</f>
        <v>301.09860259986328</v>
      </c>
      <c r="J1583">
        <f>Table1[[#This Row],[Forecast]]*0.8</f>
        <v>267.64320231098958</v>
      </c>
      <c r="K1583">
        <f>Table1[[#This Row],[Forecast]]*0.8</f>
        <v>267.64320231098958</v>
      </c>
      <c r="P1583" s="13">
        <f t="shared" si="48"/>
        <v>1.9268296977055844E-3</v>
      </c>
      <c r="Z1583" s="8"/>
      <c r="AA1583" s="8">
        <f>CONVERT(Table1[[#This Row],[RevisedForecast 30% Recution2]]*Table1[[#This Row],[Talk Duration (AVG)]],"day","hr")</f>
        <v>12.376868894444126</v>
      </c>
      <c r="AB1583" s="10">
        <f>(Table1[[#This Row],[Forecast Workload Hours]]*60)*1.2</f>
        <v>891.13456039997698</v>
      </c>
      <c r="AC1583" s="10">
        <f>IF(Table1[[#This Row],[Forecast WOrkload Minutes]]&lt;384,1,Table1[[#This Row],[Forecast WOrkload Minutes]]/384)</f>
        <v>2.3206629177082734</v>
      </c>
      <c r="AD1583" s="10">
        <f>ROUNDUP(Table1[[#This Row],[Forecast Headcount]],0)</f>
        <v>3</v>
      </c>
      <c r="AE1583" s="11">
        <v>223.09820283862771</v>
      </c>
      <c r="AF1583" s="11">
        <v>444.38946213454818</v>
      </c>
      <c r="AG1583" t="s">
        <v>7</v>
      </c>
    </row>
    <row r="1584" spans="1:33">
      <c r="A1584" s="2">
        <v>45465</v>
      </c>
      <c r="B1584" s="2"/>
      <c r="C1584" s="5">
        <f>WEEKDAY(Table1[[#This Row],[Date]])</f>
        <v>7</v>
      </c>
      <c r="D1584" s="5">
        <f>MONTH(Table1[[#This Row],[Date]])</f>
        <v>6</v>
      </c>
      <c r="E1584" s="5">
        <f>WEEKNUM(Table1[[#This Row],[Date]])</f>
        <v>25</v>
      </c>
      <c r="F1584" s="5">
        <f>YEAR(Table1[[#This Row],[Date]])</f>
        <v>2024</v>
      </c>
      <c r="H1584">
        <v>342.71113702076372</v>
      </c>
      <c r="I1584">
        <f>Table1[[#This Row],[Forecast]]*0.9</f>
        <v>308.44002331868734</v>
      </c>
      <c r="J1584">
        <f>Table1[[#This Row],[Forecast]]*0.8</f>
        <v>274.16890961661096</v>
      </c>
      <c r="K1584">
        <f>Table1[[#This Row],[Forecast]]*0.8</f>
        <v>274.16890961661096</v>
      </c>
      <c r="P1584" s="13">
        <f t="shared" si="48"/>
        <v>1.9268306433980922E-3</v>
      </c>
      <c r="Z1584" s="8"/>
      <c r="AA1584" s="8">
        <f>CONVERT(Table1[[#This Row],[RevisedForecast 30% Recution2]]*Table1[[#This Row],[Talk Duration (AVG)]],"day","hr")</f>
        <v>12.678649356391869</v>
      </c>
      <c r="AB1584" s="10">
        <f>(Table1[[#This Row],[Forecast Workload Hours]]*60)*1.2</f>
        <v>912.86275366021448</v>
      </c>
      <c r="AC1584" s="10">
        <f>IF(Table1[[#This Row],[Forecast WOrkload Minutes]]&lt;384,1,Table1[[#This Row],[Forecast WOrkload Minutes]]/384)</f>
        <v>2.3772467543234752</v>
      </c>
      <c r="AD1584" s="10">
        <f>ROUNDUP(Table1[[#This Row],[Forecast Headcount]],0)</f>
        <v>3</v>
      </c>
      <c r="AE1584" s="11">
        <v>234.8905386401041</v>
      </c>
      <c r="AF1584" s="11">
        <v>458.39802859846168</v>
      </c>
      <c r="AG1584" t="s">
        <v>7</v>
      </c>
    </row>
    <row r="1585" spans="1:33">
      <c r="A1585" s="2">
        <v>45466</v>
      </c>
      <c r="B1585" s="2"/>
      <c r="C1585" s="5">
        <f>WEEKDAY(Table1[[#This Row],[Date]])</f>
        <v>1</v>
      </c>
      <c r="D1585" s="5">
        <f>MONTH(Table1[[#This Row],[Date]])</f>
        <v>6</v>
      </c>
      <c r="E1585" s="5">
        <f>WEEKNUM(Table1[[#This Row],[Date]])</f>
        <v>26</v>
      </c>
      <c r="F1585" s="5">
        <f>YEAR(Table1[[#This Row],[Date]])</f>
        <v>2024</v>
      </c>
      <c r="H1585">
        <v>254.92804502745639</v>
      </c>
      <c r="I1585">
        <f>Table1[[#This Row],[Forecast]]*0.9</f>
        <v>229.43524052471076</v>
      </c>
      <c r="J1585">
        <f>Table1[[#This Row],[Forecast]]*0.8</f>
        <v>203.94243602196514</v>
      </c>
      <c r="K1585">
        <f>Table1[[#This Row],[Forecast]]*0.8</f>
        <v>203.94243602196514</v>
      </c>
      <c r="P1585" s="13">
        <f t="shared" si="48"/>
        <v>1.9268313916547067E-3</v>
      </c>
      <c r="Z1585" s="8"/>
      <c r="AA1585" s="8">
        <f>CONVERT(Table1[[#This Row],[RevisedForecast 30% Recution2]]*Table1[[#This Row],[Talk Duration (AVG)]],"day","hr")</f>
        <v>9.4311045076236972</v>
      </c>
      <c r="AB1585" s="10">
        <f>(Table1[[#This Row],[Forecast Workload Hours]]*60)*1.2</f>
        <v>679.03952454890612</v>
      </c>
      <c r="AC1585" s="10">
        <f>IF(Table1[[#This Row],[Forecast WOrkload Minutes]]&lt;384,1,Table1[[#This Row],[Forecast WOrkload Minutes]]/384)</f>
        <v>1.768332095179443</v>
      </c>
      <c r="AD1585" s="10">
        <f>ROUNDUP(Table1[[#This Row],[Forecast Headcount]],0)</f>
        <v>2</v>
      </c>
      <c r="AE1585" s="11">
        <v>143.78137781898701</v>
      </c>
      <c r="AF1585" s="11">
        <v>359.6766676583876</v>
      </c>
      <c r="AG1585" t="s">
        <v>7</v>
      </c>
    </row>
    <row r="1586" spans="1:33">
      <c r="A1586" s="2">
        <v>45467</v>
      </c>
      <c r="B1586" s="2"/>
      <c r="C1586" s="5">
        <f>WEEKDAY(Table1[[#This Row],[Date]])</f>
        <v>2</v>
      </c>
      <c r="D1586" s="5">
        <f>MONTH(Table1[[#This Row],[Date]])</f>
        <v>6</v>
      </c>
      <c r="E1586" s="5">
        <f>WEEKNUM(Table1[[#This Row],[Date]])</f>
        <v>26</v>
      </c>
      <c r="F1586" s="5">
        <f>YEAR(Table1[[#This Row],[Date]])</f>
        <v>2024</v>
      </c>
      <c r="H1586">
        <v>355.55484594983233</v>
      </c>
      <c r="I1586">
        <f>Table1[[#This Row],[Forecast]]*0.9</f>
        <v>319.9993613548491</v>
      </c>
      <c r="J1586">
        <f>Table1[[#This Row],[Forecast]]*0.8</f>
        <v>284.44387675986587</v>
      </c>
      <c r="K1586">
        <f>Table1[[#This Row],[Forecast]]*0.8</f>
        <v>284.44387675986587</v>
      </c>
      <c r="P1586" s="13">
        <f t="shared" si="48"/>
        <v>1.926831942255962E-3</v>
      </c>
      <c r="Z1586" s="8"/>
      <c r="AA1586" s="8">
        <f>CONVERT(Table1[[#This Row],[RevisedForecast 30% Recution2]]*Table1[[#This Row],[Talk Duration (AVG)]],"day","hr")</f>
        <v>13.153813140480668</v>
      </c>
      <c r="AB1586" s="10">
        <f>(Table1[[#This Row],[Forecast Workload Hours]]*60)*1.2</f>
        <v>947.07454611460798</v>
      </c>
      <c r="AC1586" s="10">
        <f>IF(Table1[[#This Row],[Forecast WOrkload Minutes]]&lt;384,1,Table1[[#This Row],[Forecast WOrkload Minutes]]/384)</f>
        <v>2.4663399638401251</v>
      </c>
      <c r="AD1586" s="10">
        <f>ROUNDUP(Table1[[#This Row],[Forecast Headcount]],0)</f>
        <v>3</v>
      </c>
      <c r="AE1586" s="11">
        <v>248.86299331285991</v>
      </c>
      <c r="AF1586" s="11">
        <v>466.0178260798138</v>
      </c>
      <c r="AG1586" t="s">
        <v>7</v>
      </c>
    </row>
    <row r="1587" spans="1:33">
      <c r="A1587" s="2">
        <v>45468</v>
      </c>
      <c r="B1587" s="2"/>
      <c r="C1587" s="5">
        <f>WEEKDAY(Table1[[#This Row],[Date]])</f>
        <v>3</v>
      </c>
      <c r="D1587" s="5">
        <f>MONTH(Table1[[#This Row],[Date]])</f>
        <v>6</v>
      </c>
      <c r="E1587" s="5">
        <f>WEEKNUM(Table1[[#This Row],[Date]])</f>
        <v>26</v>
      </c>
      <c r="F1587" s="5">
        <f>YEAR(Table1[[#This Row],[Date]])</f>
        <v>2024</v>
      </c>
      <c r="H1587">
        <v>340.15063218430532</v>
      </c>
      <c r="I1587">
        <f>Table1[[#This Row],[Forecast]]*0.9</f>
        <v>306.13556896587482</v>
      </c>
      <c r="J1587">
        <f>Table1[[#This Row],[Forecast]]*0.8</f>
        <v>272.12050574744427</v>
      </c>
      <c r="K1587">
        <f>Table1[[#This Row],[Forecast]]*0.8</f>
        <v>272.12050574744427</v>
      </c>
      <c r="P1587" s="13">
        <f t="shared" si="48"/>
        <v>1.9268322968044925E-3</v>
      </c>
      <c r="Z1587" s="8"/>
      <c r="AA1587" s="8">
        <f>CONVERT(Table1[[#This Row],[RevisedForecast 30% Recution2]]*Table1[[#This Row],[Talk Duration (AVG)]],"day","hr")</f>
        <v>12.583933898326755</v>
      </c>
      <c r="AB1587" s="10">
        <f>(Table1[[#This Row],[Forecast Workload Hours]]*60)*1.2</f>
        <v>906.04324067952632</v>
      </c>
      <c r="AC1587" s="10">
        <f>IF(Table1[[#This Row],[Forecast WOrkload Minutes]]&lt;384,1,Table1[[#This Row],[Forecast WOrkload Minutes]]/384)</f>
        <v>2.3594876059362666</v>
      </c>
      <c r="AD1587" s="10">
        <f>ROUNDUP(Table1[[#This Row],[Forecast Headcount]],0)</f>
        <v>3</v>
      </c>
      <c r="AE1587" s="11">
        <v>224.66085498564371</v>
      </c>
      <c r="AF1587" s="11">
        <v>453.71505540288553</v>
      </c>
      <c r="AG1587" t="s">
        <v>7</v>
      </c>
    </row>
    <row r="1588" spans="1:33">
      <c r="A1588" s="2">
        <v>45469</v>
      </c>
      <c r="B1588" s="2"/>
      <c r="C1588" s="5">
        <f>WEEKDAY(Table1[[#This Row],[Date]])</f>
        <v>4</v>
      </c>
      <c r="D1588" s="5">
        <f>MONTH(Table1[[#This Row],[Date]])</f>
        <v>6</v>
      </c>
      <c r="E1588" s="5">
        <f>WEEKNUM(Table1[[#This Row],[Date]])</f>
        <v>26</v>
      </c>
      <c r="F1588" s="5">
        <f>YEAR(Table1[[#This Row],[Date]])</f>
        <v>2024</v>
      </c>
      <c r="H1588">
        <v>352.92306161080052</v>
      </c>
      <c r="I1588">
        <f>Table1[[#This Row],[Forecast]]*0.9</f>
        <v>317.63075544972048</v>
      </c>
      <c r="J1588">
        <f>Table1[[#This Row],[Forecast]]*0.8</f>
        <v>282.33844928864045</v>
      </c>
      <c r="K1588">
        <f>Table1[[#This Row],[Forecast]]*0.8</f>
        <v>282.33844928864045</v>
      </c>
      <c r="P1588" s="13">
        <f t="shared" si="48"/>
        <v>1.9268324587043122E-3</v>
      </c>
      <c r="Z1588" s="8"/>
      <c r="AA1588" s="8">
        <f>CONVERT(Table1[[#This Row],[RevisedForecast 30% Recution2]]*Table1[[#This Row],[Talk Duration (AVG)]],"day","hr")</f>
        <v>13.056453322310253</v>
      </c>
      <c r="AB1588" s="10">
        <f>(Table1[[#This Row],[Forecast Workload Hours]]*60)*1.2</f>
        <v>940.06463920633814</v>
      </c>
      <c r="AC1588" s="10">
        <f>IF(Table1[[#This Row],[Forecast WOrkload Minutes]]&lt;384,1,Table1[[#This Row],[Forecast WOrkload Minutes]]/384)</f>
        <v>2.4480849979331722</v>
      </c>
      <c r="AD1588" s="10">
        <f>ROUNDUP(Table1[[#This Row],[Forecast Headcount]],0)</f>
        <v>3</v>
      </c>
      <c r="AE1588" s="11">
        <v>241.62130681393671</v>
      </c>
      <c r="AF1588" s="11">
        <v>471.97012447402199</v>
      </c>
      <c r="AG1588" t="s">
        <v>7</v>
      </c>
    </row>
    <row r="1589" spans="1:33">
      <c r="A1589" s="2">
        <v>45470</v>
      </c>
      <c r="B1589" s="2"/>
      <c r="C1589" s="5">
        <f>WEEKDAY(Table1[[#This Row],[Date]])</f>
        <v>5</v>
      </c>
      <c r="D1589" s="5">
        <f>MONTH(Table1[[#This Row],[Date]])</f>
        <v>6</v>
      </c>
      <c r="E1589" s="5">
        <f>WEEKNUM(Table1[[#This Row],[Date]])</f>
        <v>26</v>
      </c>
      <c r="F1589" s="5">
        <f>YEAR(Table1[[#This Row],[Date]])</f>
        <v>2024</v>
      </c>
      <c r="H1589">
        <v>348.59639803049902</v>
      </c>
      <c r="I1589">
        <f>Table1[[#This Row],[Forecast]]*0.9</f>
        <v>313.73675822744912</v>
      </c>
      <c r="J1589">
        <f>Table1[[#This Row],[Forecast]]*0.8</f>
        <v>278.87711842439921</v>
      </c>
      <c r="K1589">
        <f>Table1[[#This Row],[Forecast]]*0.8</f>
        <v>278.87711842439921</v>
      </c>
      <c r="P1589" s="13">
        <f t="shared" si="48"/>
        <v>1.9268324323436861E-3</v>
      </c>
      <c r="Z1589" s="8"/>
      <c r="AA1589" s="8">
        <f>CONVERT(Table1[[#This Row],[RevisedForecast 30% Recution2]]*Table1[[#This Row],[Talk Duration (AVG)]],"day","hr")</f>
        <v>12.896387434048401</v>
      </c>
      <c r="AB1589" s="10">
        <f>(Table1[[#This Row],[Forecast Workload Hours]]*60)*1.2</f>
        <v>928.53989525148495</v>
      </c>
      <c r="AC1589" s="10">
        <f>IF(Table1[[#This Row],[Forecast WOrkload Minutes]]&lt;384,1,Table1[[#This Row],[Forecast WOrkload Minutes]]/384)</f>
        <v>2.4180726438840754</v>
      </c>
      <c r="AD1589" s="10">
        <f>ROUNDUP(Table1[[#This Row],[Forecast Headcount]],0)</f>
        <v>3</v>
      </c>
      <c r="AE1589" s="11">
        <v>236.04820998382499</v>
      </c>
      <c r="AF1589" s="11">
        <v>453.97507759071328</v>
      </c>
      <c r="AG1589" t="s">
        <v>7</v>
      </c>
    </row>
    <row r="1590" spans="1:33">
      <c r="A1590" s="2">
        <v>45471</v>
      </c>
      <c r="B1590" s="2"/>
      <c r="C1590" s="5">
        <f>WEEKDAY(Table1[[#This Row],[Date]])</f>
        <v>6</v>
      </c>
      <c r="D1590" s="5">
        <f>MONTH(Table1[[#This Row],[Date]])</f>
        <v>6</v>
      </c>
      <c r="E1590" s="5">
        <f>WEEKNUM(Table1[[#This Row],[Date]])</f>
        <v>26</v>
      </c>
      <c r="F1590" s="5">
        <f>YEAR(Table1[[#This Row],[Date]])</f>
        <v>2024</v>
      </c>
      <c r="H1590">
        <v>340.06155261050998</v>
      </c>
      <c r="I1590">
        <f>Table1[[#This Row],[Forecast]]*0.9</f>
        <v>306.05539734945899</v>
      </c>
      <c r="J1590">
        <f>Table1[[#This Row],[Forecast]]*0.8</f>
        <v>272.04924208840799</v>
      </c>
      <c r="K1590">
        <f>Table1[[#This Row],[Forecast]]*0.8</f>
        <v>272.04924208840799</v>
      </c>
      <c r="P1590" s="13">
        <f t="shared" si="48"/>
        <v>1.926832222334813E-3</v>
      </c>
      <c r="Z1590" s="8"/>
      <c r="AA1590" s="8">
        <f>CONVERT(Table1[[#This Row],[RevisedForecast 30% Recution2]]*Table1[[#This Row],[Talk Duration (AVG)]],"day","hr")</f>
        <v>12.58063789722501</v>
      </c>
      <c r="AB1590" s="10">
        <f>(Table1[[#This Row],[Forecast Workload Hours]]*60)*1.2</f>
        <v>905.80592860020067</v>
      </c>
      <c r="AC1590" s="10">
        <f>IF(Table1[[#This Row],[Forecast WOrkload Minutes]]&lt;384,1,Table1[[#This Row],[Forecast WOrkload Minutes]]/384)</f>
        <v>2.3588696057296894</v>
      </c>
      <c r="AD1590" s="10">
        <f>ROUNDUP(Table1[[#This Row],[Forecast Headcount]],0)</f>
        <v>3</v>
      </c>
      <c r="AE1590" s="11">
        <v>235.6080628933548</v>
      </c>
      <c r="AF1590" s="11">
        <v>454.67503406207112</v>
      </c>
      <c r="AG1590" t="s">
        <v>7</v>
      </c>
    </row>
    <row r="1591" spans="1:33">
      <c r="A1591" s="2">
        <v>45472</v>
      </c>
      <c r="B1591" s="2"/>
      <c r="C1591" s="5">
        <f>WEEKDAY(Table1[[#This Row],[Date]])</f>
        <v>7</v>
      </c>
      <c r="D1591" s="5">
        <f>MONTH(Table1[[#This Row],[Date]])</f>
        <v>6</v>
      </c>
      <c r="E1591" s="5">
        <f>WEEKNUM(Table1[[#This Row],[Date]])</f>
        <v>26</v>
      </c>
      <c r="F1591" s="5">
        <f>YEAR(Table1[[#This Row],[Date]])</f>
        <v>2024</v>
      </c>
      <c r="H1591">
        <v>347.43540563598918</v>
      </c>
      <c r="I1591">
        <f>Table1[[#This Row],[Forecast]]*0.9</f>
        <v>312.69186507239027</v>
      </c>
      <c r="J1591">
        <f>Table1[[#This Row],[Forecast]]*0.8</f>
        <v>277.94832450879136</v>
      </c>
      <c r="K1591">
        <f>Table1[[#This Row],[Forecast]]*0.8</f>
        <v>277.94832450879136</v>
      </c>
      <c r="P1591" s="13">
        <f t="shared" si="48"/>
        <v>1.9268318361682064E-3</v>
      </c>
      <c r="Z1591" s="8"/>
      <c r="AA1591" s="8">
        <f>CONVERT(Table1[[#This Row],[RevisedForecast 30% Recution2]]*Table1[[#This Row],[Talk Duration (AVG)]],"day","hr")</f>
        <v>12.853432331355622</v>
      </c>
      <c r="AB1591" s="10">
        <f>(Table1[[#This Row],[Forecast Workload Hours]]*60)*1.2</f>
        <v>925.44712785760464</v>
      </c>
      <c r="AC1591" s="10">
        <f>IF(Table1[[#This Row],[Forecast WOrkload Minutes]]&lt;384,1,Table1[[#This Row],[Forecast WOrkload Minutes]]/384)</f>
        <v>2.4100185621291788</v>
      </c>
      <c r="AD1591" s="10">
        <f>ROUNDUP(Table1[[#This Row],[Forecast Headcount]],0)</f>
        <v>3</v>
      </c>
      <c r="AE1591" s="11">
        <v>231.05521202943379</v>
      </c>
      <c r="AF1591" s="11">
        <v>467.91469750112549</v>
      </c>
      <c r="AG1591" t="s">
        <v>7</v>
      </c>
    </row>
    <row r="1592" spans="1:33">
      <c r="A1592" s="2">
        <v>45473</v>
      </c>
      <c r="B1592" s="2"/>
      <c r="C1592" s="5">
        <f>WEEKDAY(Table1[[#This Row],[Date]])</f>
        <v>1</v>
      </c>
      <c r="D1592" s="5">
        <f>MONTH(Table1[[#This Row],[Date]])</f>
        <v>6</v>
      </c>
      <c r="E1592" s="5">
        <f>WEEKNUM(Table1[[#This Row],[Date]])</f>
        <v>27</v>
      </c>
      <c r="F1592" s="5">
        <f>YEAR(Table1[[#This Row],[Date]])</f>
        <v>2024</v>
      </c>
      <c r="H1592">
        <v>258.87859245217572</v>
      </c>
      <c r="I1592">
        <f>Table1[[#This Row],[Forecast]]*0.9</f>
        <v>232.99073320695817</v>
      </c>
      <c r="J1592">
        <f>Table1[[#This Row],[Forecast]]*0.8</f>
        <v>207.10287396174058</v>
      </c>
      <c r="K1592">
        <f>Table1[[#This Row],[Forecast]]*0.8</f>
        <v>207.10287396174058</v>
      </c>
      <c r="P1592" s="13">
        <f t="shared" si="48"/>
        <v>1.9268312832576872E-3</v>
      </c>
      <c r="Z1592" s="8"/>
      <c r="AA1592" s="8">
        <f>CONVERT(Table1[[#This Row],[RevisedForecast 30% Recution2]]*Table1[[#This Row],[Talk Duration (AVG)]],"day","hr")</f>
        <v>9.5772551136493345</v>
      </c>
      <c r="AB1592" s="10">
        <f>(Table1[[#This Row],[Forecast Workload Hours]]*60)*1.2</f>
        <v>689.56236818275204</v>
      </c>
      <c r="AC1592" s="10">
        <f>IF(Table1[[#This Row],[Forecast WOrkload Minutes]]&lt;384,1,Table1[[#This Row],[Forecast WOrkload Minutes]]/384)</f>
        <v>1.7957353338092501</v>
      </c>
      <c r="AD1592" s="10">
        <f>ROUNDUP(Table1[[#This Row],[Forecast Headcount]],0)</f>
        <v>2</v>
      </c>
      <c r="AE1592" s="11">
        <v>150.89496280302239</v>
      </c>
      <c r="AF1592" s="11">
        <v>373.99164117591891</v>
      </c>
      <c r="AG1592" t="s">
        <v>7</v>
      </c>
    </row>
    <row r="1593" spans="1:33">
      <c r="A1593" s="2">
        <v>45474</v>
      </c>
      <c r="B1593" s="2"/>
      <c r="C1593" s="5">
        <f>WEEKDAY(Table1[[#This Row],[Date]])</f>
        <v>2</v>
      </c>
      <c r="D1593" s="5">
        <f>MONTH(Table1[[#This Row],[Date]])</f>
        <v>7</v>
      </c>
      <c r="E1593" s="5">
        <f>WEEKNUM(Table1[[#This Row],[Date]])</f>
        <v>27</v>
      </c>
      <c r="F1593" s="5">
        <f>YEAR(Table1[[#This Row],[Date]])</f>
        <v>2024</v>
      </c>
      <c r="H1593">
        <v>358.75405970670118</v>
      </c>
      <c r="I1593">
        <f>Table1[[#This Row],[Forecast]]*0.9</f>
        <v>322.87865373603108</v>
      </c>
      <c r="J1593">
        <f>Table1[[#This Row],[Forecast]]*0.8</f>
        <v>287.00324776536098</v>
      </c>
      <c r="K1593">
        <f>Table1[[#This Row],[Forecast]]*0.8</f>
        <v>287.00324776536098</v>
      </c>
      <c r="P1593" s="13">
        <f t="shared" si="48"/>
        <v>1.9268305731534971E-3</v>
      </c>
      <c r="Z1593" s="8"/>
      <c r="AA1593" s="8">
        <f>CONVERT(Table1[[#This Row],[RevisedForecast 30% Recution2]]*Table1[[#This Row],[Talk Duration (AVG)]],"day","hr")</f>
        <v>13.272159177327497</v>
      </c>
      <c r="AB1593" s="10">
        <f>(Table1[[#This Row],[Forecast Workload Hours]]*60)*1.2</f>
        <v>955.59546076757977</v>
      </c>
      <c r="AC1593" s="10">
        <f>IF(Table1[[#This Row],[Forecast WOrkload Minutes]]&lt;384,1,Table1[[#This Row],[Forecast WOrkload Minutes]]/384)</f>
        <v>2.4885298457489058</v>
      </c>
      <c r="AD1593" s="10">
        <f>ROUNDUP(Table1[[#This Row],[Forecast Headcount]],0)</f>
        <v>3</v>
      </c>
      <c r="AE1593" s="11">
        <v>248.19388331935929</v>
      </c>
      <c r="AF1593" s="11">
        <v>471.57227304003538</v>
      </c>
      <c r="AG1593" t="s">
        <v>7</v>
      </c>
    </row>
    <row r="1594" spans="1:33">
      <c r="A1594" s="2">
        <v>45475</v>
      </c>
      <c r="B1594" s="2"/>
      <c r="C1594" s="5">
        <f>WEEKDAY(Table1[[#This Row],[Date]])</f>
        <v>3</v>
      </c>
      <c r="D1594" s="5">
        <f>MONTH(Table1[[#This Row],[Date]])</f>
        <v>7</v>
      </c>
      <c r="E1594" s="5">
        <f>WEEKNUM(Table1[[#This Row],[Date]])</f>
        <v>27</v>
      </c>
      <c r="F1594" s="5">
        <f>YEAR(Table1[[#This Row],[Date]])</f>
        <v>2024</v>
      </c>
      <c r="H1594">
        <v>342.63200178709297</v>
      </c>
      <c r="I1594">
        <f>Table1[[#This Row],[Forecast]]*0.9</f>
        <v>308.36880160838371</v>
      </c>
      <c r="J1594">
        <f>Table1[[#This Row],[Forecast]]*0.8</f>
        <v>274.10560142967438</v>
      </c>
      <c r="K1594">
        <f>Table1[[#This Row],[Forecast]]*0.8</f>
        <v>274.10560142967438</v>
      </c>
      <c r="P1594" s="13">
        <f t="shared" si="48"/>
        <v>1.926829716336575E-3</v>
      </c>
      <c r="Z1594" s="8"/>
      <c r="AA1594" s="8">
        <f>CONVERT(Table1[[#This Row],[RevisedForecast 30% Recution2]]*Table1[[#This Row],[Talk Duration (AVG)]],"day","hr")</f>
        <v>12.675715637976138</v>
      </c>
      <c r="AB1594" s="10">
        <f>(Table1[[#This Row],[Forecast Workload Hours]]*60)*1.2</f>
        <v>912.65152593428195</v>
      </c>
      <c r="AC1594" s="10">
        <f>IF(Table1[[#This Row],[Forecast WOrkload Minutes]]&lt;384,1,Table1[[#This Row],[Forecast WOrkload Minutes]]/384)</f>
        <v>2.3766966821205258</v>
      </c>
      <c r="AD1594" s="10">
        <f>ROUNDUP(Table1[[#This Row],[Forecast Headcount]],0)</f>
        <v>3</v>
      </c>
      <c r="AE1594" s="11">
        <v>236.30685793558541</v>
      </c>
      <c r="AF1594" s="11">
        <v>452.28576410946408</v>
      </c>
      <c r="AG1594" t="s">
        <v>7</v>
      </c>
    </row>
    <row r="1595" spans="1:33">
      <c r="A1595" s="2">
        <v>45476</v>
      </c>
      <c r="B1595" s="2"/>
      <c r="C1595" s="5">
        <f>WEEKDAY(Table1[[#This Row],[Date]])</f>
        <v>4</v>
      </c>
      <c r="D1595" s="5">
        <f>MONTH(Table1[[#This Row],[Date]])</f>
        <v>7</v>
      </c>
      <c r="E1595" s="5">
        <f>WEEKNUM(Table1[[#This Row],[Date]])</f>
        <v>27</v>
      </c>
      <c r="F1595" s="5">
        <f>YEAR(Table1[[#This Row],[Date]])</f>
        <v>2024</v>
      </c>
      <c r="H1595">
        <v>354.72919259907661</v>
      </c>
      <c r="I1595">
        <f>Table1[[#This Row],[Forecast]]*0.9</f>
        <v>319.25627333916896</v>
      </c>
      <c r="J1595">
        <f>Table1[[#This Row],[Forecast]]*0.8</f>
        <v>283.7833540792613</v>
      </c>
      <c r="K1595">
        <f>Table1[[#This Row],[Forecast]]*0.8</f>
        <v>283.7833540792613</v>
      </c>
      <c r="P1595" s="13">
        <f t="shared" si="48"/>
        <v>1.9268287234531201E-3</v>
      </c>
      <c r="Z1595" s="8"/>
      <c r="AA1595" s="8">
        <f>CONVERT(Table1[[#This Row],[RevisedForecast 30% Recution2]]*Table1[[#This Row],[Talk Duration (AVG)]],"day","hr")</f>
        <v>13.123246029066909</v>
      </c>
      <c r="AB1595" s="10">
        <f>(Table1[[#This Row],[Forecast Workload Hours]]*60)*1.2</f>
        <v>944.87371409281741</v>
      </c>
      <c r="AC1595" s="10">
        <f>IF(Table1[[#This Row],[Forecast WOrkload Minutes]]&lt;384,1,Table1[[#This Row],[Forecast WOrkload Minutes]]/384)</f>
        <v>2.4606086304500452</v>
      </c>
      <c r="AD1595" s="10">
        <f>ROUNDUP(Table1[[#This Row],[Forecast Headcount]],0)</f>
        <v>3</v>
      </c>
      <c r="AE1595" s="11">
        <v>245.51673717177019</v>
      </c>
      <c r="AF1595" s="11">
        <v>452.43910304029782</v>
      </c>
      <c r="AG1595" t="s">
        <v>7</v>
      </c>
    </row>
    <row r="1596" spans="1:33">
      <c r="A1596" s="2">
        <v>45477</v>
      </c>
      <c r="B1596" s="2"/>
      <c r="C1596" s="5">
        <f>WEEKDAY(Table1[[#This Row],[Date]])</f>
        <v>5</v>
      </c>
      <c r="D1596" s="5">
        <f>MONTH(Table1[[#This Row],[Date]])</f>
        <v>7</v>
      </c>
      <c r="E1596" s="5">
        <f>WEEKNUM(Table1[[#This Row],[Date]])</f>
        <v>27</v>
      </c>
      <c r="F1596" s="5">
        <f>YEAR(Table1[[#This Row],[Date]])</f>
        <v>2024</v>
      </c>
      <c r="H1596">
        <v>349.77683310233579</v>
      </c>
      <c r="I1596">
        <f>Table1[[#This Row],[Forecast]]*0.9</f>
        <v>314.79914979210224</v>
      </c>
      <c r="J1596">
        <f>Table1[[#This Row],[Forecast]]*0.8</f>
        <v>279.82146648186864</v>
      </c>
      <c r="K1596">
        <f>Table1[[#This Row],[Forecast]]*0.8</f>
        <v>279.82146648186864</v>
      </c>
      <c r="P1596" s="13">
        <f t="shared" si="48"/>
        <v>1.926827606197749E-3</v>
      </c>
      <c r="Z1596" s="8"/>
      <c r="AA1596" s="8">
        <f>CONVERT(Table1[[#This Row],[RevisedForecast 30% Recution2]]*Table1[[#This Row],[Talk Duration (AVG)]],"day","hr")</f>
        <v>12.940025434176061</v>
      </c>
      <c r="AB1596" s="10">
        <f>(Table1[[#This Row],[Forecast Workload Hours]]*60)*1.2</f>
        <v>931.6818312606764</v>
      </c>
      <c r="AC1596" s="10">
        <f>IF(Table1[[#This Row],[Forecast WOrkload Minutes]]&lt;384,1,Table1[[#This Row],[Forecast WOrkload Minutes]]/384)</f>
        <v>2.4262547689080116</v>
      </c>
      <c r="AD1596" s="10">
        <f>ROUNDUP(Table1[[#This Row],[Forecast Headcount]],0)</f>
        <v>3</v>
      </c>
      <c r="AE1596" s="11">
        <v>239.75215302259059</v>
      </c>
      <c r="AF1596" s="11">
        <v>455.58705814886798</v>
      </c>
      <c r="AG1596" t="s">
        <v>7</v>
      </c>
    </row>
    <row r="1597" spans="1:33">
      <c r="A1597" s="2">
        <v>45478</v>
      </c>
      <c r="B1597" s="2"/>
      <c r="C1597" s="5">
        <f>WEEKDAY(Table1[[#This Row],[Date]])</f>
        <v>6</v>
      </c>
      <c r="D1597" s="5">
        <f>MONTH(Table1[[#This Row],[Date]])</f>
        <v>7</v>
      </c>
      <c r="E1597" s="5">
        <f>WEEKNUM(Table1[[#This Row],[Date]])</f>
        <v>27</v>
      </c>
      <c r="F1597" s="5">
        <f>YEAR(Table1[[#This Row],[Date]])</f>
        <v>2024</v>
      </c>
      <c r="H1597">
        <v>340.67047206983142</v>
      </c>
      <c r="I1597">
        <f>Table1[[#This Row],[Forecast]]*0.9</f>
        <v>306.60342486284827</v>
      </c>
      <c r="J1597">
        <f>Table1[[#This Row],[Forecast]]*0.8</f>
        <v>272.53637765586512</v>
      </c>
      <c r="K1597">
        <f>Table1[[#This Row],[Forecast]]*0.8</f>
        <v>272.53637765586512</v>
      </c>
      <c r="P1597" s="13">
        <f t="shared" si="48"/>
        <v>1.9268263764636541E-3</v>
      </c>
      <c r="Z1597" s="8"/>
      <c r="AA1597" s="8">
        <f>CONVERT(Table1[[#This Row],[RevisedForecast 30% Recution2]]*Table1[[#This Row],[Talk Duration (AVG)]],"day","hr")</f>
        <v>12.603126744316333</v>
      </c>
      <c r="AB1597" s="10">
        <f>(Table1[[#This Row],[Forecast Workload Hours]]*60)*1.2</f>
        <v>907.42512559077591</v>
      </c>
      <c r="AC1597" s="10">
        <f>IF(Table1[[#This Row],[Forecast WOrkload Minutes]]&lt;384,1,Table1[[#This Row],[Forecast WOrkload Minutes]]/384)</f>
        <v>2.3630862645593123</v>
      </c>
      <c r="AD1597" s="10">
        <f>ROUNDUP(Table1[[#This Row],[Forecast Headcount]],0)</f>
        <v>3</v>
      </c>
      <c r="AE1597" s="11">
        <v>229.0572165920675</v>
      </c>
      <c r="AF1597" s="11">
        <v>451.32326188550508</v>
      </c>
      <c r="AG1597" t="s">
        <v>7</v>
      </c>
    </row>
    <row r="1598" spans="1:33">
      <c r="A1598" s="2">
        <v>45479</v>
      </c>
      <c r="B1598" s="2"/>
      <c r="C1598" s="5">
        <f>WEEKDAY(Table1[[#This Row],[Date]])</f>
        <v>7</v>
      </c>
      <c r="D1598" s="5">
        <f>MONTH(Table1[[#This Row],[Date]])</f>
        <v>7</v>
      </c>
      <c r="E1598" s="5">
        <f>WEEKNUM(Table1[[#This Row],[Date]])</f>
        <v>27</v>
      </c>
      <c r="F1598" s="5">
        <f>YEAR(Table1[[#This Row],[Date]])</f>
        <v>2024</v>
      </c>
      <c r="H1598">
        <v>347.52928191676313</v>
      </c>
      <c r="I1598">
        <f>Table1[[#This Row],[Forecast]]*0.9</f>
        <v>312.77635372508684</v>
      </c>
      <c r="J1598">
        <f>Table1[[#This Row],[Forecast]]*0.8</f>
        <v>278.02342553341049</v>
      </c>
      <c r="K1598">
        <f>Table1[[#This Row],[Forecast]]*0.8</f>
        <v>278.02342553341049</v>
      </c>
      <c r="P1598" s="13">
        <f t="shared" si="48"/>
        <v>1.9268250464317606E-3</v>
      </c>
      <c r="Z1598" s="8"/>
      <c r="AA1598" s="8">
        <f>CONVERT(Table1[[#This Row],[RevisedForecast 30% Recution2]]*Table1[[#This Row],[Talk Duration (AVG)]],"day","hr")</f>
        <v>12.85685999550074</v>
      </c>
      <c r="AB1598" s="10">
        <f>(Table1[[#This Row],[Forecast Workload Hours]]*60)*1.2</f>
        <v>925.69391967605316</v>
      </c>
      <c r="AC1598" s="10">
        <f>IF(Table1[[#This Row],[Forecast WOrkload Minutes]]&lt;384,1,Table1[[#This Row],[Forecast WOrkload Minutes]]/384)</f>
        <v>2.4106612491563886</v>
      </c>
      <c r="AD1598" s="10">
        <f>ROUNDUP(Table1[[#This Row],[Forecast Headcount]],0)</f>
        <v>3</v>
      </c>
      <c r="AE1598" s="11">
        <v>231.15439510979749</v>
      </c>
      <c r="AF1598" s="11">
        <v>457.42021007946698</v>
      </c>
      <c r="AG1598" t="s">
        <v>7</v>
      </c>
    </row>
    <row r="1599" spans="1:33">
      <c r="A1599" s="2">
        <v>45480</v>
      </c>
      <c r="B1599" s="2"/>
      <c r="C1599" s="5">
        <f>WEEKDAY(Table1[[#This Row],[Date]])</f>
        <v>1</v>
      </c>
      <c r="D1599" s="5">
        <f>MONTH(Table1[[#This Row],[Date]])</f>
        <v>7</v>
      </c>
      <c r="E1599" s="5">
        <f>WEEKNUM(Table1[[#This Row],[Date]])</f>
        <v>28</v>
      </c>
      <c r="F1599" s="5">
        <f>YEAR(Table1[[#This Row],[Date]])</f>
        <v>2024</v>
      </c>
      <c r="H1599">
        <v>258.51387379603852</v>
      </c>
      <c r="I1599">
        <f>Table1[[#This Row],[Forecast]]*0.9</f>
        <v>232.66248641643469</v>
      </c>
      <c r="J1599">
        <f>Table1[[#This Row],[Forecast]]*0.8</f>
        <v>206.81109903683083</v>
      </c>
      <c r="K1599">
        <f>Table1[[#This Row],[Forecast]]*0.8</f>
        <v>206.81109903683083</v>
      </c>
      <c r="P1599" s="13">
        <f t="shared" si="48"/>
        <v>1.926823627868466E-3</v>
      </c>
      <c r="Z1599" s="8"/>
      <c r="AA1599" s="8">
        <f>CONVERT(Table1[[#This Row],[RevisedForecast 30% Recution2]]*Table1[[#This Row],[Talk Duration (AVG)]],"day","hr")</f>
        <v>9.5637242911106632</v>
      </c>
      <c r="AB1599" s="10">
        <f>(Table1[[#This Row],[Forecast Workload Hours]]*60)*1.2</f>
        <v>688.58814895996773</v>
      </c>
      <c r="AC1599" s="10">
        <f>IF(Table1[[#This Row],[Forecast WOrkload Minutes]]&lt;384,1,Table1[[#This Row],[Forecast WOrkload Minutes]]/384)</f>
        <v>1.7931983045832494</v>
      </c>
      <c r="AD1599" s="10">
        <f>ROUNDUP(Table1[[#This Row],[Forecast Headcount]],0)</f>
        <v>2</v>
      </c>
      <c r="AE1599" s="11">
        <v>145.88639384067969</v>
      </c>
      <c r="AF1599" s="11">
        <v>370.19304021550857</v>
      </c>
      <c r="AG1599" t="s">
        <v>7</v>
      </c>
    </row>
    <row r="1600" spans="1:33">
      <c r="A1600" s="2">
        <v>45481</v>
      </c>
      <c r="B1600" s="2"/>
      <c r="C1600" s="5">
        <f>WEEKDAY(Table1[[#This Row],[Date]])</f>
        <v>2</v>
      </c>
      <c r="D1600" s="5">
        <f>MONTH(Table1[[#This Row],[Date]])</f>
        <v>7</v>
      </c>
      <c r="E1600" s="5">
        <f>WEEKNUM(Table1[[#This Row],[Date]])</f>
        <v>28</v>
      </c>
      <c r="F1600" s="5">
        <f>YEAR(Table1[[#This Row],[Date]])</f>
        <v>2024</v>
      </c>
      <c r="H1600">
        <v>357.98495611695711</v>
      </c>
      <c r="I1600">
        <f>Table1[[#This Row],[Forecast]]*0.9</f>
        <v>322.18646050526138</v>
      </c>
      <c r="J1600">
        <f>Table1[[#This Row],[Forecast]]*0.8</f>
        <v>286.38796489356571</v>
      </c>
      <c r="K1600">
        <f>Table1[[#This Row],[Forecast]]*0.8</f>
        <v>286.38796489356571</v>
      </c>
      <c r="P1600" s="13">
        <f t="shared" si="48"/>
        <v>1.9268221313087184E-3</v>
      </c>
      <c r="Z1600" s="8"/>
      <c r="AA1600" s="8">
        <f>CONVERT(Table1[[#This Row],[RevisedForecast 30% Recution2]]*Table1[[#This Row],[Talk Duration (AVG)]],"day","hr")</f>
        <v>13.243648053537282</v>
      </c>
      <c r="AB1600" s="10">
        <f>(Table1[[#This Row],[Forecast Workload Hours]]*60)*1.2</f>
        <v>953.5426598546843</v>
      </c>
      <c r="AC1600" s="10">
        <f>IF(Table1[[#This Row],[Forecast WOrkload Minutes]]&lt;384,1,Table1[[#This Row],[Forecast WOrkload Minutes]]/384)</f>
        <v>2.4831840100382405</v>
      </c>
      <c r="AD1600" s="10">
        <f>ROUNDUP(Table1[[#This Row],[Forecast Headcount]],0)</f>
        <v>3</v>
      </c>
      <c r="AE1600" s="11">
        <v>248.69182905275491</v>
      </c>
      <c r="AF1600" s="11">
        <v>469.47173704773542</v>
      </c>
      <c r="AG1600" t="s">
        <v>7</v>
      </c>
    </row>
    <row r="1601" spans="1:33">
      <c r="A1601" s="2">
        <v>45482</v>
      </c>
      <c r="B1601" s="2"/>
      <c r="C1601" s="5">
        <f>WEEKDAY(Table1[[#This Row],[Date]])</f>
        <v>3</v>
      </c>
      <c r="D1601" s="5">
        <f>MONTH(Table1[[#This Row],[Date]])</f>
        <v>7</v>
      </c>
      <c r="E1601" s="5">
        <f>WEEKNUM(Table1[[#This Row],[Date]])</f>
        <v>28</v>
      </c>
      <c r="F1601" s="5">
        <f>YEAR(Table1[[#This Row],[Date]])</f>
        <v>2024</v>
      </c>
      <c r="H1601">
        <v>341.50844228609412</v>
      </c>
      <c r="I1601">
        <f>Table1[[#This Row],[Forecast]]*0.9</f>
        <v>307.35759805748472</v>
      </c>
      <c r="J1601">
        <f>Table1[[#This Row],[Forecast]]*0.8</f>
        <v>273.20675382887532</v>
      </c>
      <c r="K1601">
        <f>Table1[[#This Row],[Forecast]]*0.8</f>
        <v>273.20675382887532</v>
      </c>
      <c r="P1601" s="13">
        <f t="shared" si="48"/>
        <v>1.9268205669747765E-3</v>
      </c>
      <c r="Z1601" s="8"/>
      <c r="AA1601" s="8">
        <f>CONVERT(Table1[[#This Row],[RevisedForecast 30% Recution2]]*Table1[[#This Row],[Talk Duration (AVG)]],"day","hr")</f>
        <v>12.634089415533401</v>
      </c>
      <c r="AB1601" s="10">
        <f>(Table1[[#This Row],[Forecast Workload Hours]]*60)*1.2</f>
        <v>909.65443791840482</v>
      </c>
      <c r="AC1601" s="10">
        <f>IF(Table1[[#This Row],[Forecast WOrkload Minutes]]&lt;384,1,Table1[[#This Row],[Forecast WOrkload Minutes]]/384)</f>
        <v>2.3688917654125126</v>
      </c>
      <c r="AD1601" s="10">
        <f>ROUNDUP(Table1[[#This Row],[Forecast Headcount]],0)</f>
        <v>3</v>
      </c>
      <c r="AE1601" s="11">
        <v>227.07671750522911</v>
      </c>
      <c r="AF1601" s="11">
        <v>450.66612669299212</v>
      </c>
      <c r="AG1601" t="s">
        <v>7</v>
      </c>
    </row>
    <row r="1602" spans="1:33">
      <c r="A1602" s="2">
        <v>45483</v>
      </c>
      <c r="B1602" s="2"/>
      <c r="C1602" s="5">
        <f>WEEKDAY(Table1[[#This Row],[Date]])</f>
        <v>4</v>
      </c>
      <c r="D1602" s="5">
        <f>MONTH(Table1[[#This Row],[Date]])</f>
        <v>7</v>
      </c>
      <c r="E1602" s="5">
        <f>WEEKNUM(Table1[[#This Row],[Date]])</f>
        <v>28</v>
      </c>
      <c r="F1602" s="5">
        <f>YEAR(Table1[[#This Row],[Date]])</f>
        <v>2024</v>
      </c>
      <c r="H1602">
        <v>353.29501667891287</v>
      </c>
      <c r="I1602">
        <f>Table1[[#This Row],[Forecast]]*0.9</f>
        <v>317.96551501102158</v>
      </c>
      <c r="J1602">
        <f>Table1[[#This Row],[Forecast]]*0.8</f>
        <v>282.63601334313029</v>
      </c>
      <c r="K1602">
        <f>Table1[[#This Row],[Forecast]]*0.8</f>
        <v>282.63601334313029</v>
      </c>
      <c r="P1602" s="13">
        <f t="shared" si="48"/>
        <v>1.9268189447587195E-3</v>
      </c>
      <c r="Z1602" s="8"/>
      <c r="AA1602" s="8">
        <f>CONVERT(Table1[[#This Row],[RevisedForecast 30% Recution2]]*Table1[[#This Row],[Talk Duration (AVG)]],"day","hr")</f>
        <v>13.07012219953492</v>
      </c>
      <c r="AB1602" s="10">
        <f>(Table1[[#This Row],[Forecast Workload Hours]]*60)*1.2</f>
        <v>941.04879836651412</v>
      </c>
      <c r="AC1602" s="10">
        <f>IF(Table1[[#This Row],[Forecast WOrkload Minutes]]&lt;384,1,Table1[[#This Row],[Forecast WOrkload Minutes]]/384)</f>
        <v>2.4506479124127973</v>
      </c>
      <c r="AD1602" s="10">
        <f>ROUNDUP(Table1[[#This Row],[Forecast Headcount]],0)</f>
        <v>3</v>
      </c>
      <c r="AE1602" s="11">
        <v>239.81973214496679</v>
      </c>
      <c r="AF1602" s="11">
        <v>464.61614054944329</v>
      </c>
      <c r="AG1602" t="s">
        <v>7</v>
      </c>
    </row>
    <row r="1603" spans="1:33">
      <c r="A1603" s="2">
        <v>45484</v>
      </c>
      <c r="B1603" s="2"/>
      <c r="C1603" s="5">
        <f>WEEKDAY(Table1[[#This Row],[Date]])</f>
        <v>5</v>
      </c>
      <c r="D1603" s="5">
        <f>MONTH(Table1[[#This Row],[Date]])</f>
        <v>7</v>
      </c>
      <c r="E1603" s="5">
        <f>WEEKNUM(Table1[[#This Row],[Date]])</f>
        <v>28</v>
      </c>
      <c r="F1603" s="5">
        <f>YEAR(Table1[[#This Row],[Date]])</f>
        <v>2024</v>
      </c>
      <c r="H1603">
        <v>348.06827131707882</v>
      </c>
      <c r="I1603">
        <f>Table1[[#This Row],[Forecast]]*0.9</f>
        <v>313.26144418537098</v>
      </c>
      <c r="J1603">
        <f>Table1[[#This Row],[Forecast]]*0.8</f>
        <v>278.45461705366307</v>
      </c>
      <c r="K1603">
        <f>Table1[[#This Row],[Forecast]]*0.8</f>
        <v>278.45461705366307</v>
      </c>
      <c r="P1603" s="13">
        <f t="shared" si="48"/>
        <v>1.9268172740279071E-3</v>
      </c>
      <c r="Z1603" s="8"/>
      <c r="AA1603" s="8">
        <f>CONVERT(Table1[[#This Row],[RevisedForecast 30% Recution2]]*Table1[[#This Row],[Talk Duration (AVG)]],"day","hr")</f>
        <v>12.876747988123773</v>
      </c>
      <c r="AB1603" s="10">
        <f>(Table1[[#This Row],[Forecast Workload Hours]]*60)*1.2</f>
        <v>927.12585514491161</v>
      </c>
      <c r="AC1603" s="10">
        <f>IF(Table1[[#This Row],[Forecast WOrkload Minutes]]&lt;384,1,Table1[[#This Row],[Forecast WOrkload Minutes]]/384)</f>
        <v>2.4143902477732073</v>
      </c>
      <c r="AD1603" s="10">
        <f>ROUNDUP(Table1[[#This Row],[Forecast Headcount]],0)</f>
        <v>3</v>
      </c>
      <c r="AE1603" s="11">
        <v>231.25044958607009</v>
      </c>
      <c r="AF1603" s="11">
        <v>451.51669990920777</v>
      </c>
      <c r="AG1603" t="s">
        <v>7</v>
      </c>
    </row>
    <row r="1604" spans="1:33">
      <c r="A1604" s="2">
        <v>45485</v>
      </c>
      <c r="B1604" s="2"/>
      <c r="C1604" s="5">
        <f>WEEKDAY(Table1[[#This Row],[Date]])</f>
        <v>6</v>
      </c>
      <c r="D1604" s="5">
        <f>MONTH(Table1[[#This Row],[Date]])</f>
        <v>7</v>
      </c>
      <c r="E1604" s="5">
        <f>WEEKNUM(Table1[[#This Row],[Date]])</f>
        <v>28</v>
      </c>
      <c r="F1604" s="5">
        <f>YEAR(Table1[[#This Row],[Date]])</f>
        <v>2024</v>
      </c>
      <c r="H1604">
        <v>338.71496117419179</v>
      </c>
      <c r="I1604">
        <f>Table1[[#This Row],[Forecast]]*0.9</f>
        <v>304.84346505677263</v>
      </c>
      <c r="J1604">
        <f>Table1[[#This Row],[Forecast]]*0.8</f>
        <v>270.97196893935342</v>
      </c>
      <c r="K1604">
        <f>Table1[[#This Row],[Forecast]]*0.8</f>
        <v>270.97196893935342</v>
      </c>
      <c r="P1604" s="13">
        <f t="shared" si="48"/>
        <v>1.9268155640414591E-3</v>
      </c>
      <c r="Z1604" s="8"/>
      <c r="AA1604" s="8">
        <f>CONVERT(Table1[[#This Row],[RevisedForecast 30% Recution2]]*Table1[[#This Row],[Talk Duration (AVG)]],"day","hr")</f>
        <v>12.53071217211132</v>
      </c>
      <c r="AB1604" s="10">
        <f>(Table1[[#This Row],[Forecast Workload Hours]]*60)*1.2</f>
        <v>902.21127639201507</v>
      </c>
      <c r="AC1604" s="10">
        <f>IF(Table1[[#This Row],[Forecast WOrkload Minutes]]&lt;384,1,Table1[[#This Row],[Forecast WOrkload Minutes]]/384)</f>
        <v>2.3495085322708724</v>
      </c>
      <c r="AD1604" s="10">
        <f>ROUNDUP(Table1[[#This Row],[Forecast Headcount]],0)</f>
        <v>3</v>
      </c>
      <c r="AE1604" s="11">
        <v>230.94719026599969</v>
      </c>
      <c r="AF1604" s="11">
        <v>451.81575537303331</v>
      </c>
      <c r="AG1604" t="s">
        <v>7</v>
      </c>
    </row>
    <row r="1605" spans="1:33">
      <c r="A1605" s="2">
        <v>45486</v>
      </c>
      <c r="B1605" s="2"/>
      <c r="C1605" s="5">
        <f>WEEKDAY(Table1[[#This Row],[Date]])</f>
        <v>7</v>
      </c>
      <c r="D1605" s="5">
        <f>MONTH(Table1[[#This Row],[Date]])</f>
        <v>7</v>
      </c>
      <c r="E1605" s="5">
        <f>WEEKNUM(Table1[[#This Row],[Date]])</f>
        <v>28</v>
      </c>
      <c r="F1605" s="5">
        <f>YEAR(Table1[[#This Row],[Date]])</f>
        <v>2024</v>
      </c>
      <c r="H1605">
        <v>345.3446491669269</v>
      </c>
      <c r="I1605">
        <f>Table1[[#This Row],[Forecast]]*0.9</f>
        <v>310.81018425023422</v>
      </c>
      <c r="J1605">
        <f>Table1[[#This Row],[Forecast]]*0.8</f>
        <v>276.27571933354153</v>
      </c>
      <c r="K1605">
        <f>Table1[[#This Row],[Forecast]]*0.8</f>
        <v>276.27571933354153</v>
      </c>
      <c r="P1605" s="13">
        <f t="shared" si="48"/>
        <v>1.9268138249124041E-3</v>
      </c>
      <c r="Z1605" s="8"/>
      <c r="AA1605" s="8">
        <f>CONVERT(Table1[[#This Row],[RevisedForecast 30% Recution2]]*Table1[[#This Row],[Talk Duration (AVG)]],"day","hr")</f>
        <v>12.775965011987688</v>
      </c>
      <c r="AB1605" s="10">
        <f>(Table1[[#This Row],[Forecast Workload Hours]]*60)*1.2</f>
        <v>919.86948086311349</v>
      </c>
      <c r="AC1605" s="10">
        <f>IF(Table1[[#This Row],[Forecast WOrkload Minutes]]&lt;384,1,Table1[[#This Row],[Forecast WOrkload Minutes]]/384)</f>
        <v>2.3954934397476912</v>
      </c>
      <c r="AD1605" s="10">
        <f>ROUNDUP(Table1[[#This Row],[Forecast Headcount]],0)</f>
        <v>3</v>
      </c>
      <c r="AE1605" s="11">
        <v>244.7563643803928</v>
      </c>
      <c r="AF1605" s="11">
        <v>454.86349251242677</v>
      </c>
      <c r="AG1605" t="s">
        <v>7</v>
      </c>
    </row>
    <row r="1606" spans="1:33">
      <c r="A1606" s="2">
        <v>45487</v>
      </c>
      <c r="B1606" s="2"/>
      <c r="C1606" s="5">
        <f>WEEKDAY(Table1[[#This Row],[Date]])</f>
        <v>1</v>
      </c>
      <c r="D1606" s="5">
        <f>MONTH(Table1[[#This Row],[Date]])</f>
        <v>7</v>
      </c>
      <c r="E1606" s="5">
        <f>WEEKNUM(Table1[[#This Row],[Date]])</f>
        <v>29</v>
      </c>
      <c r="F1606" s="5">
        <f>YEAR(Table1[[#This Row],[Date]])</f>
        <v>2024</v>
      </c>
      <c r="H1606">
        <v>256.10791325640702</v>
      </c>
      <c r="I1606">
        <f>Table1[[#This Row],[Forecast]]*0.9</f>
        <v>230.49712193076633</v>
      </c>
      <c r="J1606">
        <f>Table1[[#This Row],[Forecast]]*0.8</f>
        <v>204.88633060512564</v>
      </c>
      <c r="K1606">
        <f>Table1[[#This Row],[Forecast]]*0.8</f>
        <v>204.88633060512564</v>
      </c>
      <c r="P1606" s="13">
        <f t="shared" si="48"/>
        <v>1.9268120656037455E-3</v>
      </c>
      <c r="Z1606" s="8"/>
      <c r="AA1606" s="8">
        <f>CONVERT(Table1[[#This Row],[RevisedForecast 30% Recution2]]*Table1[[#This Row],[Talk Duration (AVG)]],"day","hr")</f>
        <v>9.4746588932936149</v>
      </c>
      <c r="AB1606" s="10">
        <f>(Table1[[#This Row],[Forecast Workload Hours]]*60)*1.2</f>
        <v>682.17544031714021</v>
      </c>
      <c r="AC1606" s="10">
        <f>IF(Table1[[#This Row],[Forecast WOrkload Minutes]]&lt;384,1,Table1[[#This Row],[Forecast WOrkload Minutes]]/384)</f>
        <v>1.7764985424925526</v>
      </c>
      <c r="AD1606" s="10">
        <f>ROUNDUP(Table1[[#This Row],[Forecast Headcount]],0)</f>
        <v>2</v>
      </c>
      <c r="AE1606" s="11">
        <v>141.77637997421931</v>
      </c>
      <c r="AF1606" s="11">
        <v>369.79647786759642</v>
      </c>
      <c r="AG1606" t="s">
        <v>7</v>
      </c>
    </row>
    <row r="1607" spans="1:33">
      <c r="A1607" s="2">
        <v>45488</v>
      </c>
      <c r="B1607" s="2"/>
      <c r="C1607" s="5">
        <f>WEEKDAY(Table1[[#This Row],[Date]])</f>
        <v>2</v>
      </c>
      <c r="D1607" s="5">
        <f>MONTH(Table1[[#This Row],[Date]])</f>
        <v>7</v>
      </c>
      <c r="E1607" s="5">
        <f>WEEKNUM(Table1[[#This Row],[Date]])</f>
        <v>29</v>
      </c>
      <c r="F1607" s="5">
        <f>YEAR(Table1[[#This Row],[Date]])</f>
        <v>2024</v>
      </c>
      <c r="H1607">
        <v>355.35540746407361</v>
      </c>
      <c r="I1607">
        <f>Table1[[#This Row],[Forecast]]*0.9</f>
        <v>319.81986671766623</v>
      </c>
      <c r="J1607">
        <f>Table1[[#This Row],[Forecast]]*0.8</f>
        <v>284.28432597125891</v>
      </c>
      <c r="K1607">
        <f>Table1[[#This Row],[Forecast]]*0.8</f>
        <v>284.28432597125891</v>
      </c>
      <c r="P1607" s="13">
        <f t="shared" si="48"/>
        <v>1.9268102950279291E-3</v>
      </c>
      <c r="Z1607" s="8"/>
      <c r="AA1607" s="8">
        <f>CONVERT(Table1[[#This Row],[RevisedForecast 30% Recution2]]*Table1[[#This Row],[Talk Duration (AVG)]],"day","hr")</f>
        <v>13.146287183915938</v>
      </c>
      <c r="AB1607" s="10">
        <f>(Table1[[#This Row],[Forecast Workload Hours]]*60)*1.2</f>
        <v>946.53267724194745</v>
      </c>
      <c r="AC1607" s="10">
        <f>IF(Table1[[#This Row],[Forecast WOrkload Minutes]]&lt;384,1,Table1[[#This Row],[Forecast WOrkload Minutes]]/384)</f>
        <v>2.4649288469842383</v>
      </c>
      <c r="AD1607" s="10">
        <f>ROUNDUP(Table1[[#This Row],[Forecast Headcount]],0)</f>
        <v>3</v>
      </c>
      <c r="AE1607" s="11">
        <v>246.23156474872539</v>
      </c>
      <c r="AF1607" s="11">
        <v>463.31693520918827</v>
      </c>
      <c r="AG1607" t="s">
        <v>7</v>
      </c>
    </row>
    <row r="1608" spans="1:33">
      <c r="A1608" s="2">
        <v>45489</v>
      </c>
      <c r="B1608" s="2"/>
      <c r="C1608" s="5">
        <f>WEEKDAY(Table1[[#This Row],[Date]])</f>
        <v>3</v>
      </c>
      <c r="D1608" s="5">
        <f>MONTH(Table1[[#This Row],[Date]])</f>
        <v>7</v>
      </c>
      <c r="E1608" s="5">
        <f>WEEKNUM(Table1[[#This Row],[Date]])</f>
        <v>29</v>
      </c>
      <c r="F1608" s="5">
        <f>YEAR(Table1[[#This Row],[Date]])</f>
        <v>2024</v>
      </c>
      <c r="H1608">
        <v>338.64337001894938</v>
      </c>
      <c r="I1608">
        <f>Table1[[#This Row],[Forecast]]*0.9</f>
        <v>304.77903301705447</v>
      </c>
      <c r="J1608">
        <f>Table1[[#This Row],[Forecast]]*0.8</f>
        <v>270.91469601515951</v>
      </c>
      <c r="K1608">
        <f>Table1[[#This Row],[Forecast]]*0.8</f>
        <v>270.91469601515951</v>
      </c>
      <c r="P1608" s="13">
        <f t="shared" si="48"/>
        <v>1.9268085223933672E-3</v>
      </c>
      <c r="Z1608" s="8"/>
      <c r="AA1608" s="8">
        <f>CONVERT(Table1[[#This Row],[RevisedForecast 30% Recution2]]*Table1[[#This Row],[Talk Duration (AVG)]],"day","hr")</f>
        <v>12.528017882966825</v>
      </c>
      <c r="AB1608" s="10">
        <f>(Table1[[#This Row],[Forecast Workload Hours]]*60)*1.2</f>
        <v>902.01728757361138</v>
      </c>
      <c r="AC1608" s="10">
        <f>IF(Table1[[#This Row],[Forecast WOrkload Minutes]]&lt;384,1,Table1[[#This Row],[Forecast WOrkload Minutes]]/384)</f>
        <v>2.3490033530562795</v>
      </c>
      <c r="AD1608" s="10">
        <f>ROUNDUP(Table1[[#This Row],[Forecast Headcount]],0)</f>
        <v>3</v>
      </c>
      <c r="AE1608" s="11">
        <v>234.42681936904199</v>
      </c>
      <c r="AF1608" s="11">
        <v>455.90490965530807</v>
      </c>
      <c r="AG1608" t="s">
        <v>7</v>
      </c>
    </row>
    <row r="1609" spans="1:33">
      <c r="A1609" s="2">
        <v>45490</v>
      </c>
      <c r="B1609" s="2"/>
      <c r="C1609" s="5">
        <f>WEEKDAY(Table1[[#This Row],[Date]])</f>
        <v>4</v>
      </c>
      <c r="D1609" s="5">
        <f>MONTH(Table1[[#This Row],[Date]])</f>
        <v>7</v>
      </c>
      <c r="E1609" s="5">
        <f>WEEKNUM(Table1[[#This Row],[Date]])</f>
        <v>29</v>
      </c>
      <c r="F1609" s="5">
        <f>YEAR(Table1[[#This Row],[Date]])</f>
        <v>2024</v>
      </c>
      <c r="H1609">
        <v>350.17357519642781</v>
      </c>
      <c r="I1609">
        <f>Table1[[#This Row],[Forecast]]*0.9</f>
        <v>315.15621767678505</v>
      </c>
      <c r="J1609">
        <f>Table1[[#This Row],[Forecast]]*0.8</f>
        <v>280.13886015714223</v>
      </c>
      <c r="K1609">
        <f>Table1[[#This Row],[Forecast]]*0.8</f>
        <v>280.13886015714223</v>
      </c>
      <c r="P1609" s="13">
        <f t="shared" si="48"/>
        <v>1.9268067577405687E-3</v>
      </c>
      <c r="Z1609" s="8"/>
      <c r="AA1609" s="8">
        <f>CONVERT(Table1[[#This Row],[RevisedForecast 30% Recution2]]*Table1[[#This Row],[Talk Duration (AVG)]],"day","hr")</f>
        <v>12.954562772556523</v>
      </c>
      <c r="AB1609" s="10">
        <f>(Table1[[#This Row],[Forecast Workload Hours]]*60)*1.2</f>
        <v>932.72851962406958</v>
      </c>
      <c r="AC1609" s="10">
        <f>IF(Table1[[#This Row],[Forecast WOrkload Minutes]]&lt;384,1,Table1[[#This Row],[Forecast WOrkload Minutes]]/384)</f>
        <v>2.4289805198543477</v>
      </c>
      <c r="AD1609" s="10">
        <f>ROUNDUP(Table1[[#This Row],[Forecast Headcount]],0)</f>
        <v>3</v>
      </c>
      <c r="AE1609" s="11">
        <v>230.87089132019489</v>
      </c>
      <c r="AF1609" s="11">
        <v>468.01487596123008</v>
      </c>
      <c r="AG1609" t="s">
        <v>7</v>
      </c>
    </row>
    <row r="1610" spans="1:33">
      <c r="A1610" s="2">
        <v>45491</v>
      </c>
      <c r="B1610" s="2"/>
      <c r="C1610" s="5">
        <f>WEEKDAY(Table1[[#This Row],[Date]])</f>
        <v>5</v>
      </c>
      <c r="D1610" s="5">
        <f>MONTH(Table1[[#This Row],[Date]])</f>
        <v>7</v>
      </c>
      <c r="E1610" s="5">
        <f>WEEKNUM(Table1[[#This Row],[Date]])</f>
        <v>29</v>
      </c>
      <c r="F1610" s="5">
        <f>YEAR(Table1[[#This Row],[Date]])</f>
        <v>2024</v>
      </c>
      <c r="H1610">
        <v>344.66182939537629</v>
      </c>
      <c r="I1610">
        <f>Table1[[#This Row],[Forecast]]*0.9</f>
        <v>310.19564645583864</v>
      </c>
      <c r="J1610">
        <f>Table1[[#This Row],[Forecast]]*0.8</f>
        <v>275.72946351630105</v>
      </c>
      <c r="K1610">
        <f>Table1[[#This Row],[Forecast]]*0.8</f>
        <v>275.72946351630105</v>
      </c>
      <c r="P1610" s="13">
        <f t="shared" si="48"/>
        <v>1.9268050109971142E-3</v>
      </c>
      <c r="Z1610" s="8"/>
      <c r="AA1610" s="8">
        <f>CONVERT(Table1[[#This Row],[RevisedForecast 30% Recution2]]*Table1[[#This Row],[Talk Duration (AVG)]],"day","hr")</f>
        <v>12.750645887586117</v>
      </c>
      <c r="AB1610" s="10">
        <f>(Table1[[#This Row],[Forecast Workload Hours]]*60)*1.2</f>
        <v>918.04650390620031</v>
      </c>
      <c r="AC1610" s="10">
        <f>IF(Table1[[#This Row],[Forecast WOrkload Minutes]]&lt;384,1,Table1[[#This Row],[Forecast WOrkload Minutes]]/384)</f>
        <v>2.3907461039223965</v>
      </c>
      <c r="AD1610" s="10">
        <f>ROUNDUP(Table1[[#This Row],[Forecast Headcount]],0)</f>
        <v>3</v>
      </c>
      <c r="AE1610" s="11">
        <v>235.92102275889579</v>
      </c>
      <c r="AF1610" s="11">
        <v>455.39874360068018</v>
      </c>
      <c r="AG1610" t="s">
        <v>7</v>
      </c>
    </row>
    <row r="1611" spans="1:33">
      <c r="A1611" s="2">
        <v>45492</v>
      </c>
      <c r="B1611" s="2"/>
      <c r="C1611" s="5">
        <f>WEEKDAY(Table1[[#This Row],[Date]])</f>
        <v>6</v>
      </c>
      <c r="D1611" s="5">
        <f>MONTH(Table1[[#This Row],[Date]])</f>
        <v>7</v>
      </c>
      <c r="E1611" s="5">
        <f>WEEKNUM(Table1[[#This Row],[Date]])</f>
        <v>29</v>
      </c>
      <c r="F1611" s="5">
        <f>YEAR(Table1[[#This Row],[Date]])</f>
        <v>2024</v>
      </c>
      <c r="H1611">
        <v>334.98854829570388</v>
      </c>
      <c r="I1611">
        <f>Table1[[#This Row],[Forecast]]*0.9</f>
        <v>301.48969346613347</v>
      </c>
      <c r="J1611">
        <f>Table1[[#This Row],[Forecast]]*0.8</f>
        <v>267.99083863656313</v>
      </c>
      <c r="K1611">
        <f>Table1[[#This Row],[Forecast]]*0.8</f>
        <v>267.99083863656313</v>
      </c>
      <c r="P1611" s="13">
        <f t="shared" si="48"/>
        <v>1.9268032904671164E-3</v>
      </c>
      <c r="Z1611" s="8"/>
      <c r="AA1611" s="8">
        <f>CONVERT(Table1[[#This Row],[RevisedForecast 30% Recution2]]*Table1[[#This Row],[Talk Duration (AVG)]],"day","hr")</f>
        <v>12.392775112799326</v>
      </c>
      <c r="AB1611" s="10">
        <f>(Table1[[#This Row],[Forecast Workload Hours]]*60)*1.2</f>
        <v>892.27980812155147</v>
      </c>
      <c r="AC1611" s="10">
        <f>IF(Table1[[#This Row],[Forecast WOrkload Minutes]]&lt;384,1,Table1[[#This Row],[Forecast WOrkload Minutes]]/384)</f>
        <v>2.3236453336498735</v>
      </c>
      <c r="AD1611" s="10">
        <f>ROUNDUP(Table1[[#This Row],[Forecast Headcount]],0)</f>
        <v>3</v>
      </c>
      <c r="AE1611" s="11">
        <v>236.07280486004311</v>
      </c>
      <c r="AF1611" s="11">
        <v>450.83887277578617</v>
      </c>
      <c r="AG1611" t="s">
        <v>7</v>
      </c>
    </row>
    <row r="1612" spans="1:33">
      <c r="A1612" s="2">
        <v>45493</v>
      </c>
      <c r="B1612" s="2"/>
      <c r="C1612" s="5">
        <f>WEEKDAY(Table1[[#This Row],[Date]])</f>
        <v>7</v>
      </c>
      <c r="D1612" s="5">
        <f>MONTH(Table1[[#This Row],[Date]])</f>
        <v>7</v>
      </c>
      <c r="E1612" s="5">
        <f>WEEKNUM(Table1[[#This Row],[Date]])</f>
        <v>29</v>
      </c>
      <c r="F1612" s="5">
        <f>YEAR(Table1[[#This Row],[Date]])</f>
        <v>2024</v>
      </c>
      <c r="H1612">
        <v>341.25867624861468</v>
      </c>
      <c r="I1612">
        <f>Table1[[#This Row],[Forecast]]*0.9</f>
        <v>307.13280862375319</v>
      </c>
      <c r="J1612">
        <f>Table1[[#This Row],[Forecast]]*0.8</f>
        <v>273.00694099889176</v>
      </c>
      <c r="K1612">
        <f>Table1[[#This Row],[Forecast]]*0.8</f>
        <v>273.00694099889176</v>
      </c>
      <c r="P1612" s="13">
        <f t="shared" si="48"/>
        <v>1.9268016065621806E-3</v>
      </c>
      <c r="Z1612" s="8"/>
      <c r="AA1612" s="8">
        <f>CONVERT(Table1[[#This Row],[RevisedForecast 30% Recution2]]*Table1[[#This Row],[Talk Duration (AVG)]],"day","hr")</f>
        <v>12.624725100462985</v>
      </c>
      <c r="AB1612" s="10">
        <f>(Table1[[#This Row],[Forecast Workload Hours]]*60)*1.2</f>
        <v>908.98020723333491</v>
      </c>
      <c r="AC1612" s="10">
        <f>IF(Table1[[#This Row],[Forecast WOrkload Minutes]]&lt;384,1,Table1[[#This Row],[Forecast WOrkload Minutes]]/384)</f>
        <v>2.3671359563368095</v>
      </c>
      <c r="AD1612" s="10">
        <f>ROUNDUP(Table1[[#This Row],[Forecast Headcount]],0)</f>
        <v>3</v>
      </c>
      <c r="AE1612" s="11">
        <v>223.14939209523871</v>
      </c>
      <c r="AF1612" s="11">
        <v>451.32339168019831</v>
      </c>
      <c r="AG1612" t="s">
        <v>7</v>
      </c>
    </row>
    <row r="1613" spans="1:33">
      <c r="A1613" s="2">
        <v>45494</v>
      </c>
      <c r="B1613" s="2"/>
      <c r="C1613" s="5">
        <f>WEEKDAY(Table1[[#This Row],[Date]])</f>
        <v>1</v>
      </c>
      <c r="D1613" s="5">
        <f>MONTH(Table1[[#This Row],[Date]])</f>
        <v>7</v>
      </c>
      <c r="E1613" s="5">
        <f>WEEKNUM(Table1[[#This Row],[Date]])</f>
        <v>30</v>
      </c>
      <c r="F1613" s="5">
        <f>YEAR(Table1[[#This Row],[Date]])</f>
        <v>2024</v>
      </c>
      <c r="H1613">
        <v>251.62011188429159</v>
      </c>
      <c r="I1613">
        <f>Table1[[#This Row],[Forecast]]*0.9</f>
        <v>226.45810069586244</v>
      </c>
      <c r="J1613">
        <f>Table1[[#This Row],[Forecast]]*0.8</f>
        <v>201.29608950743329</v>
      </c>
      <c r="K1613">
        <f>Table1[[#This Row],[Forecast]]*0.8</f>
        <v>201.29608950743329</v>
      </c>
      <c r="P1613" s="13">
        <f t="shared" si="48"/>
        <v>1.9267999680790929E-3</v>
      </c>
      <c r="Z1613" s="8"/>
      <c r="AA1613" s="8">
        <f>CONVERT(Table1[[#This Row],[RevisedForecast 30% Recution2]]*Table1[[#This Row],[Talk Duration (AVG)]],"day","hr")</f>
        <v>9.3085751720968481</v>
      </c>
      <c r="AB1613" s="10">
        <f>(Table1[[#This Row],[Forecast Workload Hours]]*60)*1.2</f>
        <v>670.21741239097298</v>
      </c>
      <c r="AC1613" s="10">
        <f>IF(Table1[[#This Row],[Forecast WOrkload Minutes]]&lt;384,1,Table1[[#This Row],[Forecast WOrkload Minutes]]/384)</f>
        <v>1.7453578447681588</v>
      </c>
      <c r="AD1613" s="10">
        <f>ROUNDUP(Table1[[#This Row],[Forecast Headcount]],0)</f>
        <v>2</v>
      </c>
      <c r="AE1613" s="11">
        <v>141.46751666426101</v>
      </c>
      <c r="AF1613" s="11">
        <v>367.04445436514169</v>
      </c>
      <c r="AG1613" t="s">
        <v>7</v>
      </c>
    </row>
    <row r="1614" spans="1:33">
      <c r="A1614" s="2">
        <v>45495</v>
      </c>
      <c r="B1614" s="2"/>
      <c r="C1614" s="5">
        <f>WEEKDAY(Table1[[#This Row],[Date]])</f>
        <v>2</v>
      </c>
      <c r="D1614" s="5">
        <f>MONTH(Table1[[#This Row],[Date]])</f>
        <v>7</v>
      </c>
      <c r="E1614" s="5">
        <f>WEEKNUM(Table1[[#This Row],[Date]])</f>
        <v>30</v>
      </c>
      <c r="F1614" s="5">
        <f>YEAR(Table1[[#This Row],[Date]])</f>
        <v>2024</v>
      </c>
      <c r="H1614">
        <v>350.42292500171732</v>
      </c>
      <c r="I1614">
        <f>Table1[[#This Row],[Forecast]]*0.9</f>
        <v>315.38063250154562</v>
      </c>
      <c r="J1614">
        <f>Table1[[#This Row],[Forecast]]*0.8</f>
        <v>280.33834000137387</v>
      </c>
      <c r="K1614">
        <f>Table1[[#This Row],[Forecast]]*0.8</f>
        <v>280.33834000137387</v>
      </c>
      <c r="P1614" s="13">
        <f t="shared" si="48"/>
        <v>1.9267983817809063E-3</v>
      </c>
      <c r="Z1614" s="8"/>
      <c r="AA1614" s="8">
        <f>CONVERT(Table1[[#This Row],[RevisedForecast 30% Recution2]]*Table1[[#This Row],[Talk Duration (AVG)]],"day","hr")</f>
        <v>12.963731036779025</v>
      </c>
      <c r="AB1614" s="10">
        <f>(Table1[[#This Row],[Forecast Workload Hours]]*60)*1.2</f>
        <v>933.38863464808981</v>
      </c>
      <c r="AC1614" s="10">
        <f>IF(Table1[[#This Row],[Forecast WOrkload Minutes]]&lt;384,1,Table1[[#This Row],[Forecast WOrkload Minutes]]/384)</f>
        <v>2.4306995693960673</v>
      </c>
      <c r="AD1614" s="10">
        <f>ROUNDUP(Table1[[#This Row],[Forecast Headcount]],0)</f>
        <v>3</v>
      </c>
      <c r="AE1614" s="11">
        <v>243.26094631991779</v>
      </c>
      <c r="AF1614" s="11">
        <v>463.98130491798719</v>
      </c>
      <c r="AG1614" t="s">
        <v>7</v>
      </c>
    </row>
    <row r="1615" spans="1:33">
      <c r="A1615" s="2">
        <v>45496</v>
      </c>
      <c r="B1615" s="2"/>
      <c r="C1615" s="5">
        <f>WEEKDAY(Table1[[#This Row],[Date]])</f>
        <v>3</v>
      </c>
      <c r="D1615" s="5">
        <f>MONTH(Table1[[#This Row],[Date]])</f>
        <v>7</v>
      </c>
      <c r="E1615" s="5">
        <f>WEEKNUM(Table1[[#This Row],[Date]])</f>
        <v>30</v>
      </c>
      <c r="F1615" s="5">
        <f>YEAR(Table1[[#This Row],[Date]])</f>
        <v>2024</v>
      </c>
      <c r="H1615">
        <v>333.22495308899829</v>
      </c>
      <c r="I1615">
        <f>Table1[[#This Row],[Forecast]]*0.9</f>
        <v>299.90245778009847</v>
      </c>
      <c r="J1615">
        <f>Table1[[#This Row],[Forecast]]*0.8</f>
        <v>266.57996247119866</v>
      </c>
      <c r="K1615">
        <f>Table1[[#This Row],[Forecast]]*0.8</f>
        <v>266.57996247119866</v>
      </c>
      <c r="P1615" s="13">
        <f t="shared" si="48"/>
        <v>1.9267968543472869E-3</v>
      </c>
      <c r="Z1615" s="8"/>
      <c r="AA1615" s="8">
        <f>CONVERT(Table1[[#This Row],[RevisedForecast 30% Recution2]]*Table1[[#This Row],[Talk Duration (AVG)]],"day","hr")</f>
        <v>12.327490394916559</v>
      </c>
      <c r="AB1615" s="10">
        <f>(Table1[[#This Row],[Forecast Workload Hours]]*60)*1.2</f>
        <v>887.5793084339922</v>
      </c>
      <c r="AC1615" s="10">
        <f>IF(Table1[[#This Row],[Forecast WOrkload Minutes]]&lt;384,1,Table1[[#This Row],[Forecast WOrkload Minutes]]/384)</f>
        <v>2.3114044490468548</v>
      </c>
      <c r="AD1615" s="10">
        <f>ROUNDUP(Table1[[#This Row],[Forecast Headcount]],0)</f>
        <v>3</v>
      </c>
      <c r="AE1615" s="11">
        <v>227.0599152344123</v>
      </c>
      <c r="AF1615" s="11">
        <v>442.15558238105012</v>
      </c>
      <c r="AG1615" t="s">
        <v>7</v>
      </c>
    </row>
    <row r="1616" spans="1:33">
      <c r="A1616" s="2">
        <v>45497</v>
      </c>
      <c r="B1616" s="2"/>
      <c r="C1616" s="5">
        <f>WEEKDAY(Table1[[#This Row],[Date]])</f>
        <v>4</v>
      </c>
      <c r="D1616" s="5">
        <f>MONTH(Table1[[#This Row],[Date]])</f>
        <v>7</v>
      </c>
      <c r="E1616" s="5">
        <f>WEEKNUM(Table1[[#This Row],[Date]])</f>
        <v>30</v>
      </c>
      <c r="F1616" s="5">
        <f>YEAR(Table1[[#This Row],[Date]])</f>
        <v>2024</v>
      </c>
      <c r="H1616">
        <v>344.23177120925868</v>
      </c>
      <c r="I1616">
        <f>Table1[[#This Row],[Forecast]]*0.9</f>
        <v>309.80859408833282</v>
      </c>
      <c r="J1616">
        <f>Table1[[#This Row],[Forecast]]*0.8</f>
        <v>275.38541696740697</v>
      </c>
      <c r="K1616">
        <f>Table1[[#This Row],[Forecast]]*0.8</f>
        <v>275.38541696740697</v>
      </c>
      <c r="P1616" s="13">
        <f t="shared" si="48"/>
        <v>1.9267953909552491E-3</v>
      </c>
      <c r="Z1616" s="8"/>
      <c r="AA1616" s="8">
        <f>CONVERT(Table1[[#This Row],[RevisedForecast 30% Recution2]]*Table1[[#This Row],[Talk Duration (AVG)]],"day","hr")</f>
        <v>12.73467245157814</v>
      </c>
      <c r="AB1616" s="10">
        <f>(Table1[[#This Row],[Forecast Workload Hours]]*60)*1.2</f>
        <v>916.89641651362604</v>
      </c>
      <c r="AC1616" s="10">
        <f>IF(Table1[[#This Row],[Forecast WOrkload Minutes]]&lt;384,1,Table1[[#This Row],[Forecast WOrkload Minutes]]/384)</f>
        <v>2.3877510846709011</v>
      </c>
      <c r="AD1616" s="10">
        <f>ROUNDUP(Table1[[#This Row],[Forecast Headcount]],0)</f>
        <v>3</v>
      </c>
      <c r="AE1616" s="11">
        <v>241.27261759138611</v>
      </c>
      <c r="AF1616" s="11">
        <v>462.3810654755743</v>
      </c>
      <c r="AG1616" t="s">
        <v>7</v>
      </c>
    </row>
    <row r="1617" spans="1:33">
      <c r="A1617" s="2">
        <v>45498</v>
      </c>
      <c r="B1617" s="2"/>
      <c r="C1617" s="5">
        <f>WEEKDAY(Table1[[#This Row],[Date]])</f>
        <v>5</v>
      </c>
      <c r="D1617" s="5">
        <f>MONTH(Table1[[#This Row],[Date]])</f>
        <v>7</v>
      </c>
      <c r="E1617" s="5">
        <f>WEEKNUM(Table1[[#This Row],[Date]])</f>
        <v>30</v>
      </c>
      <c r="F1617" s="5">
        <f>YEAR(Table1[[#This Row],[Date]])</f>
        <v>2024</v>
      </c>
      <c r="H1617">
        <v>338.16513504420709</v>
      </c>
      <c r="I1617">
        <f>Table1[[#This Row],[Forecast]]*0.9</f>
        <v>304.34862153978639</v>
      </c>
      <c r="J1617">
        <f>Table1[[#This Row],[Forecast]]*0.8</f>
        <v>270.5321080353657</v>
      </c>
      <c r="K1617">
        <f>Table1[[#This Row],[Forecast]]*0.8</f>
        <v>270.5321080353657</v>
      </c>
      <c r="P1617" s="13">
        <f t="shared" si="48"/>
        <v>1.9267939975154099E-3</v>
      </c>
      <c r="Z1617" s="8"/>
      <c r="AA1617" s="8">
        <f>CONVERT(Table1[[#This Row],[RevisedForecast 30% Recution2]]*Table1[[#This Row],[Talk Duration (AVG)]],"day","hr")</f>
        <v>12.510231405545593</v>
      </c>
      <c r="AB1617" s="10">
        <f>(Table1[[#This Row],[Forecast Workload Hours]]*60)*1.2</f>
        <v>900.73666119928259</v>
      </c>
      <c r="AC1617" s="10">
        <f>IF(Table1[[#This Row],[Forecast WOrkload Minutes]]&lt;384,1,Table1[[#This Row],[Forecast WOrkload Minutes]]/384)</f>
        <v>2.3456683885397984</v>
      </c>
      <c r="AD1617" s="10">
        <f>ROUNDUP(Table1[[#This Row],[Forecast Headcount]],0)</f>
        <v>3</v>
      </c>
      <c r="AE1617" s="11">
        <v>225.4808869280688</v>
      </c>
      <c r="AF1617" s="11">
        <v>458.45862358800781</v>
      </c>
      <c r="AG1617" t="s">
        <v>7</v>
      </c>
    </row>
    <row r="1618" spans="1:33">
      <c r="A1618" s="2">
        <v>45499</v>
      </c>
      <c r="B1618" s="2"/>
      <c r="C1618" s="5">
        <f>WEEKDAY(Table1[[#This Row],[Date]])</f>
        <v>6</v>
      </c>
      <c r="D1618" s="5">
        <f>MONTH(Table1[[#This Row],[Date]])</f>
        <v>7</v>
      </c>
      <c r="E1618" s="5">
        <f>WEEKNUM(Table1[[#This Row],[Date]])</f>
        <v>30</v>
      </c>
      <c r="F1618" s="5">
        <f>YEAR(Table1[[#This Row],[Date]])</f>
        <v>2024</v>
      </c>
      <c r="H1618">
        <v>327.91343530355113</v>
      </c>
      <c r="I1618">
        <f>Table1[[#This Row],[Forecast]]*0.9</f>
        <v>295.12209177319602</v>
      </c>
      <c r="J1618">
        <f>Table1[[#This Row],[Forecast]]*0.8</f>
        <v>262.33074824284091</v>
      </c>
      <c r="K1618">
        <f>Table1[[#This Row],[Forecast]]*0.8</f>
        <v>262.33074824284091</v>
      </c>
      <c r="P1618" s="13">
        <f t="shared" si="48"/>
        <v>1.9267926781362629E-3</v>
      </c>
      <c r="Z1618" s="8"/>
      <c r="AA1618" s="8">
        <f>CONVERT(Table1[[#This Row],[RevisedForecast 30% Recution2]]*Table1[[#This Row],[Talk Duration (AVG)]],"day","hr")</f>
        <v>12.13096715914352</v>
      </c>
      <c r="AB1618" s="10">
        <f>(Table1[[#This Row],[Forecast Workload Hours]]*60)*1.2</f>
        <v>873.42963545833334</v>
      </c>
      <c r="AC1618" s="10">
        <f>IF(Table1[[#This Row],[Forecast WOrkload Minutes]]&lt;384,1,Table1[[#This Row],[Forecast WOrkload Minutes]]/384)</f>
        <v>2.2745563423394097</v>
      </c>
      <c r="AD1618" s="10">
        <f>ROUNDUP(Table1[[#This Row],[Forecast Headcount]],0)</f>
        <v>3</v>
      </c>
      <c r="AE1618" s="11">
        <v>216.44259499731169</v>
      </c>
      <c r="AF1618" s="11">
        <v>440.43415000702839</v>
      </c>
      <c r="AG1618" t="s">
        <v>7</v>
      </c>
    </row>
    <row r="1619" spans="1:33">
      <c r="A1619" s="2">
        <v>45500</v>
      </c>
      <c r="B1619" s="2"/>
      <c r="C1619" s="5">
        <f>WEEKDAY(Table1[[#This Row],[Date]])</f>
        <v>7</v>
      </c>
      <c r="D1619" s="5">
        <f>MONTH(Table1[[#This Row],[Date]])</f>
        <v>7</v>
      </c>
      <c r="E1619" s="5">
        <f>WEEKNUM(Table1[[#This Row],[Date]])</f>
        <v>30</v>
      </c>
      <c r="F1619" s="5">
        <f>YEAR(Table1[[#This Row],[Date]])</f>
        <v>2024</v>
      </c>
      <c r="H1619">
        <v>333.59142805936682</v>
      </c>
      <c r="I1619">
        <f>Table1[[#This Row],[Forecast]]*0.9</f>
        <v>300.23228525343012</v>
      </c>
      <c r="J1619">
        <f>Table1[[#This Row],[Forecast]]*0.8</f>
        <v>266.87314244749348</v>
      </c>
      <c r="K1619">
        <f>Table1[[#This Row],[Forecast]]*0.8</f>
        <v>266.87314244749348</v>
      </c>
      <c r="P1619" s="13">
        <f t="shared" si="48"/>
        <v>1.9267914369964895E-3</v>
      </c>
      <c r="Z1619" s="8"/>
      <c r="AA1619" s="8">
        <f>CONVERT(Table1[[#This Row],[RevisedForecast 30% Recution2]]*Table1[[#This Row],[Talk Duration (AVG)]],"day","hr")</f>
        <v>12.341013255172196</v>
      </c>
      <c r="AB1619" s="10">
        <f>(Table1[[#This Row],[Forecast Workload Hours]]*60)*1.2</f>
        <v>888.55295437239818</v>
      </c>
      <c r="AC1619" s="10">
        <f>IF(Table1[[#This Row],[Forecast WOrkload Minutes]]&lt;384,1,Table1[[#This Row],[Forecast WOrkload Minutes]]/384)</f>
        <v>2.3139399853447871</v>
      </c>
      <c r="AD1619" s="10">
        <f>ROUNDUP(Table1[[#This Row],[Forecast Headcount]],0)</f>
        <v>3</v>
      </c>
      <c r="AE1619" s="11">
        <v>225.603285680038</v>
      </c>
      <c r="AF1619" s="11">
        <v>446.7369645833881</v>
      </c>
      <c r="AG1619" t="s">
        <v>7</v>
      </c>
    </row>
    <row r="1620" spans="1:33">
      <c r="A1620" s="2">
        <v>45501</v>
      </c>
      <c r="B1620" s="2"/>
      <c r="C1620" s="5">
        <f>WEEKDAY(Table1[[#This Row],[Date]])</f>
        <v>1</v>
      </c>
      <c r="D1620" s="5">
        <f>MONTH(Table1[[#This Row],[Date]])</f>
        <v>7</v>
      </c>
      <c r="E1620" s="5">
        <f>WEEKNUM(Table1[[#This Row],[Date]])</f>
        <v>31</v>
      </c>
      <c r="F1620" s="5">
        <f>YEAR(Table1[[#This Row],[Date]])</f>
        <v>2024</v>
      </c>
      <c r="H1620">
        <v>243.35841036230201</v>
      </c>
      <c r="I1620">
        <f>Table1[[#This Row],[Forecast]]*0.9</f>
        <v>219.02256932607182</v>
      </c>
      <c r="J1620">
        <f>Table1[[#This Row],[Forecast]]*0.8</f>
        <v>194.68672828984162</v>
      </c>
      <c r="K1620">
        <f>Table1[[#This Row],[Forecast]]*0.8</f>
        <v>194.68672828984162</v>
      </c>
      <c r="P1620" s="13">
        <f t="shared" si="48"/>
        <v>1.926790277462687E-3</v>
      </c>
      <c r="Z1620" s="8"/>
      <c r="AA1620" s="8">
        <f>CONVERT(Table1[[#This Row],[RevisedForecast 30% Recution2]]*Table1[[#This Row],[Talk Duration (AVG)]],"day","hr")</f>
        <v>9.0028918852772808</v>
      </c>
      <c r="AB1620" s="10">
        <f>(Table1[[#This Row],[Forecast Workload Hours]]*60)*1.2</f>
        <v>648.2082157399642</v>
      </c>
      <c r="AC1620" s="10">
        <f>IF(Table1[[#This Row],[Forecast WOrkload Minutes]]&lt;384,1,Table1[[#This Row],[Forecast WOrkload Minutes]]/384)</f>
        <v>1.68804222848949</v>
      </c>
      <c r="AD1620" s="10">
        <f>ROUNDUP(Table1[[#This Row],[Forecast Headcount]],0)</f>
        <v>2</v>
      </c>
      <c r="AE1620" s="11">
        <v>132.37889415923399</v>
      </c>
      <c r="AF1620" s="11">
        <v>356.79694393762497</v>
      </c>
      <c r="AG1620" t="s">
        <v>7</v>
      </c>
    </row>
    <row r="1621" spans="1:33">
      <c r="A1621" s="2">
        <v>45502</v>
      </c>
      <c r="B1621" s="2"/>
      <c r="C1621" s="5">
        <f>WEEKDAY(Table1[[#This Row],[Date]])</f>
        <v>2</v>
      </c>
      <c r="D1621" s="5">
        <f>MONTH(Table1[[#This Row],[Date]])</f>
        <v>7</v>
      </c>
      <c r="E1621" s="5">
        <f>WEEKNUM(Table1[[#This Row],[Date]])</f>
        <v>31</v>
      </c>
      <c r="F1621" s="5">
        <f>YEAR(Table1[[#This Row],[Date]])</f>
        <v>2024</v>
      </c>
      <c r="H1621">
        <v>341.57713333944088</v>
      </c>
      <c r="I1621">
        <f>Table1[[#This Row],[Forecast]]*0.9</f>
        <v>307.41942000549682</v>
      </c>
      <c r="J1621">
        <f>Table1[[#This Row],[Forecast]]*0.8</f>
        <v>273.2617066715527</v>
      </c>
      <c r="K1621">
        <f>Table1[[#This Row],[Forecast]]*0.8</f>
        <v>273.2617066715527</v>
      </c>
      <c r="P1621" s="13">
        <f t="shared" si="48"/>
        <v>1.9267892023219697E-3</v>
      </c>
      <c r="Z1621" s="8"/>
      <c r="AA1621" s="8">
        <f>CONVERT(Table1[[#This Row],[RevisedForecast 30% Recution2]]*Table1[[#This Row],[Talk Duration (AVG)]],"day","hr")</f>
        <v>12.636424939747705</v>
      </c>
      <c r="AB1621" s="10">
        <f>(Table1[[#This Row],[Forecast Workload Hours]]*60)*1.2</f>
        <v>909.82259566183473</v>
      </c>
      <c r="AC1621" s="10">
        <f>IF(Table1[[#This Row],[Forecast WOrkload Minutes]]&lt;384,1,Table1[[#This Row],[Forecast WOrkload Minutes]]/384)</f>
        <v>2.3693296762026947</v>
      </c>
      <c r="AD1621" s="10">
        <f>ROUNDUP(Table1[[#This Row],[Forecast Headcount]],0)</f>
        <v>3</v>
      </c>
      <c r="AE1621" s="11">
        <v>224.84768554786669</v>
      </c>
      <c r="AF1621" s="11">
        <v>467.74511659123982</v>
      </c>
      <c r="AG1621" t="s">
        <v>7</v>
      </c>
    </row>
    <row r="1622" spans="1:33">
      <c r="A1622" s="2">
        <v>45503</v>
      </c>
      <c r="B1622" s="2"/>
      <c r="C1622" s="5">
        <f>WEEKDAY(Table1[[#This Row],[Date]])</f>
        <v>3</v>
      </c>
      <c r="D1622" s="5">
        <f>MONTH(Table1[[#This Row],[Date]])</f>
        <v>7</v>
      </c>
      <c r="E1622" s="5">
        <f>WEEKNUM(Table1[[#This Row],[Date]])</f>
        <v>31</v>
      </c>
      <c r="F1622" s="5">
        <f>YEAR(Table1[[#This Row],[Date]])</f>
        <v>2024</v>
      </c>
      <c r="H1622">
        <v>323.81904984960869</v>
      </c>
      <c r="I1622">
        <f>Table1[[#This Row],[Forecast]]*0.9</f>
        <v>291.43714486464785</v>
      </c>
      <c r="J1622">
        <f>Table1[[#This Row],[Forecast]]*0.8</f>
        <v>259.05523987968695</v>
      </c>
      <c r="K1622">
        <f>Table1[[#This Row],[Forecast]]*0.8</f>
        <v>259.05523987968695</v>
      </c>
      <c r="P1622" s="13">
        <f t="shared" si="48"/>
        <v>1.9267882144651898E-3</v>
      </c>
      <c r="Z1622" s="8"/>
      <c r="AA1622" s="8">
        <f>CONVERT(Table1[[#This Row],[RevisedForecast 30% Recution2]]*Table1[[#This Row],[Talk Duration (AVG)]],"day","hr")</f>
        <v>11.979469994295203</v>
      </c>
      <c r="AB1622" s="10">
        <f>(Table1[[#This Row],[Forecast Workload Hours]]*60)*1.2</f>
        <v>862.52183958925445</v>
      </c>
      <c r="AC1622" s="10">
        <f>IF(Table1[[#This Row],[Forecast WOrkload Minutes]]&lt;384,1,Table1[[#This Row],[Forecast WOrkload Minutes]]/384)</f>
        <v>2.2461506239303501</v>
      </c>
      <c r="AD1622" s="10">
        <f>ROUNDUP(Table1[[#This Row],[Forecast Headcount]],0)</f>
        <v>3</v>
      </c>
      <c r="AE1622" s="11">
        <v>212.2524312648749</v>
      </c>
      <c r="AF1622" s="11">
        <v>433.3340228760722</v>
      </c>
      <c r="AG1622" t="s">
        <v>7</v>
      </c>
    </row>
    <row r="1623" spans="1:33">
      <c r="A1623" s="2">
        <v>45504</v>
      </c>
      <c r="B1623" s="2"/>
      <c r="C1623" s="5">
        <f>WEEKDAY(Table1[[#This Row],[Date]])</f>
        <v>4</v>
      </c>
      <c r="D1623" s="5">
        <f>MONTH(Table1[[#This Row],[Date]])</f>
        <v>7</v>
      </c>
      <c r="E1623" s="5">
        <f>WEEKNUM(Table1[[#This Row],[Date]])</f>
        <v>31</v>
      </c>
      <c r="F1623" s="5">
        <f>YEAR(Table1[[#This Row],[Date]])</f>
        <v>2024</v>
      </c>
      <c r="H1623">
        <v>334.30390045943301</v>
      </c>
      <c r="I1623">
        <f>Table1[[#This Row],[Forecast]]*0.9</f>
        <v>300.87351041348973</v>
      </c>
      <c r="J1623">
        <f>Table1[[#This Row],[Forecast]]*0.8</f>
        <v>267.44312036754644</v>
      </c>
      <c r="K1623">
        <f>Table1[[#This Row],[Forecast]]*0.8</f>
        <v>267.44312036754644</v>
      </c>
      <c r="P1623" s="13">
        <f t="shared" si="48"/>
        <v>1.9267873164481404E-3</v>
      </c>
      <c r="Z1623" s="8"/>
      <c r="AA1623" s="8">
        <f>CONVERT(Table1[[#This Row],[RevisedForecast 30% Recution2]]*Table1[[#This Row],[Talk Duration (AVG)]],"day","hr")</f>
        <v>12.367344292692042</v>
      </c>
      <c r="AB1623" s="10">
        <f>(Table1[[#This Row],[Forecast Workload Hours]]*60)*1.2</f>
        <v>890.44878907382702</v>
      </c>
      <c r="AC1623" s="10">
        <f>IF(Table1[[#This Row],[Forecast WOrkload Minutes]]&lt;384,1,Table1[[#This Row],[Forecast WOrkload Minutes]]/384)</f>
        <v>2.3188770548797577</v>
      </c>
      <c r="AD1623" s="10">
        <f>ROUNDUP(Table1[[#This Row],[Forecast Headcount]],0)</f>
        <v>3</v>
      </c>
      <c r="AE1623" s="11">
        <v>229.15226357476331</v>
      </c>
      <c r="AF1623" s="11">
        <v>439.17790625721261</v>
      </c>
      <c r="AG1623" t="s">
        <v>7</v>
      </c>
    </row>
    <row r="1624" spans="1:33">
      <c r="A1624" s="2">
        <v>45505</v>
      </c>
      <c r="B1624" s="2"/>
      <c r="C1624" s="5">
        <f>WEEKDAY(Table1[[#This Row],[Date]])</f>
        <v>5</v>
      </c>
      <c r="D1624" s="5">
        <f>MONTH(Table1[[#This Row],[Date]])</f>
        <v>8</v>
      </c>
      <c r="E1624" s="5">
        <f>WEEKNUM(Table1[[#This Row],[Date]])</f>
        <v>31</v>
      </c>
      <c r="F1624" s="5">
        <f>YEAR(Table1[[#This Row],[Date]])</f>
        <v>2024</v>
      </c>
      <c r="H1624">
        <v>327.76774858517001</v>
      </c>
      <c r="I1624">
        <f>Table1[[#This Row],[Forecast]]*0.9</f>
        <v>294.99097372665301</v>
      </c>
      <c r="J1624">
        <f>Table1[[#This Row],[Forecast]]*0.8</f>
        <v>262.21419886813601</v>
      </c>
      <c r="K1624">
        <f>Table1[[#This Row],[Forecast]]*0.8</f>
        <v>262.21419886813601</v>
      </c>
      <c r="P1624" s="13">
        <f t="shared" si="48"/>
        <v>1.926786509241628E-3</v>
      </c>
      <c r="Z1624" s="8"/>
      <c r="AA1624" s="8">
        <f>CONVERT(Table1[[#This Row],[RevisedForecast 30% Recution2]]*Table1[[#This Row],[Talk Duration (AVG)]],"day","hr")</f>
        <v>12.125538741857419</v>
      </c>
      <c r="AB1624" s="10">
        <f>(Table1[[#This Row],[Forecast Workload Hours]]*60)*1.2</f>
        <v>873.03878941373421</v>
      </c>
      <c r="AC1624" s="10">
        <f>IF(Table1[[#This Row],[Forecast WOrkload Minutes]]&lt;384,1,Table1[[#This Row],[Forecast WOrkload Minutes]]/384)</f>
        <v>2.273538514098266</v>
      </c>
      <c r="AD1624" s="10">
        <f>ROUNDUP(Table1[[#This Row],[Forecast Headcount]],0)</f>
        <v>3</v>
      </c>
      <c r="AE1624" s="11">
        <v>208.11365966661279</v>
      </c>
      <c r="AF1624" s="11">
        <v>440.61973369813541</v>
      </c>
      <c r="AG1624" t="s">
        <v>7</v>
      </c>
    </row>
    <row r="1625" spans="1:33">
      <c r="A1625" s="2">
        <v>45506</v>
      </c>
      <c r="B1625" s="2"/>
      <c r="C1625" s="5">
        <f>WEEKDAY(Table1[[#This Row],[Date]])</f>
        <v>6</v>
      </c>
      <c r="D1625" s="5">
        <f>MONTH(Table1[[#This Row],[Date]])</f>
        <v>8</v>
      </c>
      <c r="E1625" s="5">
        <f>WEEKNUM(Table1[[#This Row],[Date]])</f>
        <v>31</v>
      </c>
      <c r="F1625" s="5">
        <f>YEAR(Table1[[#This Row],[Date]])</f>
        <v>2024</v>
      </c>
      <c r="H1625">
        <v>317.11301476199628</v>
      </c>
      <c r="I1625">
        <f>Table1[[#This Row],[Forecast]]*0.9</f>
        <v>285.40171328579669</v>
      </c>
      <c r="J1625">
        <f>Table1[[#This Row],[Forecast]]*0.8</f>
        <v>253.69041180959704</v>
      </c>
      <c r="K1625">
        <f>Table1[[#This Row],[Forecast]]*0.8</f>
        <v>253.69041180959704</v>
      </c>
      <c r="P1625" s="13">
        <f t="shared" si="48"/>
        <v>1.9267857934956436E-3</v>
      </c>
      <c r="Z1625" s="8"/>
      <c r="AA1625" s="8">
        <f>CONVERT(Table1[[#This Row],[RevisedForecast 30% Recution2]]*Table1[[#This Row],[Talk Duration (AVG)]],"day","hr")</f>
        <v>11.731369954098986</v>
      </c>
      <c r="AB1625" s="10">
        <f>(Table1[[#This Row],[Forecast Workload Hours]]*60)*1.2</f>
        <v>844.65863669512692</v>
      </c>
      <c r="AC1625" s="10">
        <f>IF(Table1[[#This Row],[Forecast WOrkload Minutes]]&lt;384,1,Table1[[#This Row],[Forecast WOrkload Minutes]]/384)</f>
        <v>2.1996318663935597</v>
      </c>
      <c r="AD1625" s="10">
        <f>ROUNDUP(Table1[[#This Row],[Forecast Headcount]],0)</f>
        <v>3</v>
      </c>
      <c r="AE1625" s="11">
        <v>205.09576318175891</v>
      </c>
      <c r="AF1625" s="11">
        <v>429.08344329518468</v>
      </c>
      <c r="AG1625" t="s">
        <v>7</v>
      </c>
    </row>
    <row r="1626" spans="1:33">
      <c r="A1626" s="2">
        <v>45507</v>
      </c>
      <c r="B1626" s="2"/>
      <c r="C1626" s="5">
        <f>WEEKDAY(Table1[[#This Row],[Date]])</f>
        <v>7</v>
      </c>
      <c r="D1626" s="5">
        <f>MONTH(Table1[[#This Row],[Date]])</f>
        <v>8</v>
      </c>
      <c r="E1626" s="5">
        <f>WEEKNUM(Table1[[#This Row],[Date]])</f>
        <v>31</v>
      </c>
      <c r="F1626" s="5">
        <f>YEAR(Table1[[#This Row],[Date]])</f>
        <v>2024</v>
      </c>
      <c r="H1626">
        <v>322.46778672209308</v>
      </c>
      <c r="I1626">
        <f>Table1[[#This Row],[Forecast]]*0.9</f>
        <v>290.22100804988378</v>
      </c>
      <c r="J1626">
        <f>Table1[[#This Row],[Forecast]]*0.8</f>
        <v>257.97422937767448</v>
      </c>
      <c r="K1626">
        <f>Table1[[#This Row],[Forecast]]*0.8</f>
        <v>257.97422937767448</v>
      </c>
      <c r="P1626" s="13">
        <f t="shared" si="48"/>
        <v>1.9267851699686536E-3</v>
      </c>
      <c r="Z1626" s="8"/>
      <c r="AA1626" s="8">
        <f>CONVERT(Table1[[#This Row],[RevisedForecast 30% Recution2]]*Table1[[#This Row],[Talk Duration (AVG)]],"day","hr")</f>
        <v>11.929462065575878</v>
      </c>
      <c r="AB1626" s="10">
        <f>(Table1[[#This Row],[Forecast Workload Hours]]*60)*1.2</f>
        <v>858.92126872146321</v>
      </c>
      <c r="AC1626" s="10">
        <f>IF(Table1[[#This Row],[Forecast WOrkload Minutes]]&lt;384,1,Table1[[#This Row],[Forecast WOrkload Minutes]]/384)</f>
        <v>2.2367741372954772</v>
      </c>
      <c r="AD1626" s="10">
        <f>ROUNDUP(Table1[[#This Row],[Forecast Headcount]],0)</f>
        <v>3</v>
      </c>
      <c r="AE1626" s="11">
        <v>212.61823311614009</v>
      </c>
      <c r="AF1626" s="11">
        <v>432.94682703703478</v>
      </c>
      <c r="AG1626" t="s">
        <v>7</v>
      </c>
    </row>
    <row r="1627" spans="1:33">
      <c r="A1627" s="2">
        <v>45508</v>
      </c>
      <c r="B1627" s="2"/>
      <c r="C1627" s="5">
        <f>WEEKDAY(Table1[[#This Row],[Date]])</f>
        <v>1</v>
      </c>
      <c r="D1627" s="5">
        <f>MONTH(Table1[[#This Row],[Date]])</f>
        <v>8</v>
      </c>
      <c r="E1627" s="5">
        <f>WEEKNUM(Table1[[#This Row],[Date]])</f>
        <v>32</v>
      </c>
      <c r="F1627" s="5">
        <f>YEAR(Table1[[#This Row],[Date]])</f>
        <v>2024</v>
      </c>
      <c r="H1627">
        <v>232.00358675613049</v>
      </c>
      <c r="I1627">
        <f>Table1[[#This Row],[Forecast]]*0.9</f>
        <v>208.80322808051744</v>
      </c>
      <c r="J1627">
        <f>Table1[[#This Row],[Forecast]]*0.8</f>
        <v>185.6028694049044</v>
      </c>
      <c r="K1627">
        <f>Table1[[#This Row],[Forecast]]*0.8</f>
        <v>185.6028694049044</v>
      </c>
      <c r="P1627" s="13">
        <f t="shared" si="48"/>
        <v>1.9267846387369327E-3</v>
      </c>
      <c r="Z1627" s="8"/>
      <c r="AA1627" s="8">
        <f>CONVERT(Table1[[#This Row],[RevisedForecast 30% Recution2]]*Table1[[#This Row],[Talk Duration (AVG)]],"day","hr")</f>
        <v>8.5828021841968045</v>
      </c>
      <c r="AB1627" s="10">
        <f>(Table1[[#This Row],[Forecast Workload Hours]]*60)*1.2</f>
        <v>617.96175726216995</v>
      </c>
      <c r="AC1627" s="10">
        <f>IF(Table1[[#This Row],[Forecast WOrkload Minutes]]&lt;384,1,Table1[[#This Row],[Forecast WOrkload Minutes]]/384)</f>
        <v>1.6092754095369008</v>
      </c>
      <c r="AD1627" s="10">
        <f>ROUNDUP(Table1[[#This Row],[Forecast Headcount]],0)</f>
        <v>2</v>
      </c>
      <c r="AE1627" s="11">
        <v>118.4014431395826</v>
      </c>
      <c r="AF1627" s="11">
        <v>349.29237014047732</v>
      </c>
      <c r="AG1627" t="s">
        <v>7</v>
      </c>
    </row>
    <row r="1628" spans="1:33">
      <c r="A1628" s="2">
        <v>45509</v>
      </c>
      <c r="B1628" s="2"/>
      <c r="C1628" s="5">
        <f>WEEKDAY(Table1[[#This Row],[Date]])</f>
        <v>2</v>
      </c>
      <c r="D1628" s="5">
        <f>MONTH(Table1[[#This Row],[Date]])</f>
        <v>8</v>
      </c>
      <c r="E1628" s="5">
        <f>WEEKNUM(Table1[[#This Row],[Date]])</f>
        <v>32</v>
      </c>
      <c r="F1628" s="5">
        <f>YEAR(Table1[[#This Row],[Date]])</f>
        <v>2024</v>
      </c>
      <c r="H1628">
        <v>330.09390037554192</v>
      </c>
      <c r="I1628">
        <f>Table1[[#This Row],[Forecast]]*0.9</f>
        <v>297.08451033798775</v>
      </c>
      <c r="J1628">
        <f>Table1[[#This Row],[Forecast]]*0.8</f>
        <v>264.07512030043353</v>
      </c>
      <c r="K1628">
        <f>Table1[[#This Row],[Forecast]]*0.8</f>
        <v>264.07512030043353</v>
      </c>
      <c r="P1628" s="13">
        <f t="shared" si="48"/>
        <v>1.9267842019062128E-3</v>
      </c>
      <c r="Z1628" s="8"/>
      <c r="AA1628" s="8">
        <f>CONVERT(Table1[[#This Row],[RevisedForecast 30% Recution2]]*Table1[[#This Row],[Talk Duration (AVG)]],"day","hr")</f>
        <v>12.211578477872591</v>
      </c>
      <c r="AB1628" s="10">
        <f>(Table1[[#This Row],[Forecast Workload Hours]]*60)*1.2</f>
        <v>879.23365040682654</v>
      </c>
      <c r="AC1628" s="10">
        <f>IF(Table1[[#This Row],[Forecast WOrkload Minutes]]&lt;384,1,Table1[[#This Row],[Forecast WOrkload Minutes]]/384)</f>
        <v>2.2896709646011106</v>
      </c>
      <c r="AD1628" s="10">
        <f>ROUNDUP(Table1[[#This Row],[Forecast Headcount]],0)</f>
        <v>3</v>
      </c>
      <c r="AE1628" s="11">
        <v>224.05374979627959</v>
      </c>
      <c r="AF1628" s="11">
        <v>443.89556417308017</v>
      </c>
      <c r="AG1628" t="s">
        <v>7</v>
      </c>
    </row>
    <row r="1629" spans="1:33">
      <c r="A1629" s="2">
        <v>45510</v>
      </c>
      <c r="B1629" s="2"/>
      <c r="C1629" s="5">
        <f>WEEKDAY(Table1[[#This Row],[Date]])</f>
        <v>3</v>
      </c>
      <c r="D1629" s="5">
        <f>MONTH(Table1[[#This Row],[Date]])</f>
        <v>8</v>
      </c>
      <c r="E1629" s="5">
        <f>WEEKNUM(Table1[[#This Row],[Date]])</f>
        <v>32</v>
      </c>
      <c r="F1629" s="5">
        <f>YEAR(Table1[[#This Row],[Date]])</f>
        <v>2024</v>
      </c>
      <c r="H1629">
        <v>312.31907447984878</v>
      </c>
      <c r="I1629">
        <f>Table1[[#This Row],[Forecast]]*0.9</f>
        <v>281.08716703186388</v>
      </c>
      <c r="J1629">
        <f>Table1[[#This Row],[Forecast]]*0.8</f>
        <v>249.85525958387905</v>
      </c>
      <c r="K1629">
        <f>Table1[[#This Row],[Forecast]]*0.8</f>
        <v>249.85525958387905</v>
      </c>
      <c r="P1629" s="13">
        <f t="shared" si="48"/>
        <v>1.9267838605973803E-3</v>
      </c>
      <c r="Z1629" s="8"/>
      <c r="AA1629" s="8">
        <f>CONVERT(Table1[[#This Row],[RevisedForecast 30% Recution2]]*Table1[[#This Row],[Talk Duration (AVG)]],"day","hr")</f>
        <v>11.554009959638091</v>
      </c>
      <c r="AB1629" s="10">
        <f>(Table1[[#This Row],[Forecast Workload Hours]]*60)*1.2</f>
        <v>831.88871709394255</v>
      </c>
      <c r="AC1629" s="10">
        <f>IF(Table1[[#This Row],[Forecast WOrkload Minutes]]&lt;384,1,Table1[[#This Row],[Forecast WOrkload Minutes]]/384)</f>
        <v>2.1663768674321422</v>
      </c>
      <c r="AD1629" s="10">
        <f>ROUNDUP(Table1[[#This Row],[Forecast Headcount]],0)</f>
        <v>3</v>
      </c>
      <c r="AE1629" s="11">
        <v>195.90309131676639</v>
      </c>
      <c r="AF1629" s="11">
        <v>423.08900494443259</v>
      </c>
      <c r="AG1629" t="s">
        <v>7</v>
      </c>
    </row>
    <row r="1630" spans="1:33">
      <c r="A1630" s="2">
        <v>45511</v>
      </c>
      <c r="B1630" s="2"/>
      <c r="C1630" s="5">
        <f>WEEKDAY(Table1[[#This Row],[Date]])</f>
        <v>4</v>
      </c>
      <c r="D1630" s="5">
        <f>MONTH(Table1[[#This Row],[Date]])</f>
        <v>8</v>
      </c>
      <c r="E1630" s="5">
        <f>WEEKNUM(Table1[[#This Row],[Date]])</f>
        <v>32</v>
      </c>
      <c r="F1630" s="5">
        <f>YEAR(Table1[[#This Row],[Date]])</f>
        <v>2024</v>
      </c>
      <c r="H1630">
        <v>322.90559896174659</v>
      </c>
      <c r="I1630">
        <f>Table1[[#This Row],[Forecast]]*0.9</f>
        <v>290.61503906557192</v>
      </c>
      <c r="J1630">
        <f>Table1[[#This Row],[Forecast]]*0.8</f>
        <v>258.32447916939731</v>
      </c>
      <c r="K1630">
        <f>Table1[[#This Row],[Forecast]]*0.8</f>
        <v>258.32447916939731</v>
      </c>
      <c r="P1630" s="13">
        <f t="shared" si="48"/>
        <v>1.9267836149088652E-3</v>
      </c>
      <c r="Z1630" s="8"/>
      <c r="AA1630" s="8">
        <f>CONVERT(Table1[[#This Row],[RevisedForecast 30% Recution2]]*Table1[[#This Row],[Talk Duration (AVG)]],"day","hr")</f>
        <v>11.945648971043067</v>
      </c>
      <c r="AB1630" s="10">
        <f>(Table1[[#This Row],[Forecast Workload Hours]]*60)*1.2</f>
        <v>860.08672591510083</v>
      </c>
      <c r="AC1630" s="10">
        <f>IF(Table1[[#This Row],[Forecast WOrkload Minutes]]&lt;384,1,Table1[[#This Row],[Forecast WOrkload Minutes]]/384)</f>
        <v>2.2398091820705752</v>
      </c>
      <c r="AD1630" s="10">
        <f>ROUNDUP(Table1[[#This Row],[Forecast Headcount]],0)</f>
        <v>3</v>
      </c>
      <c r="AE1630" s="11">
        <v>212.82945591501581</v>
      </c>
      <c r="AF1630" s="11">
        <v>432.77330754524502</v>
      </c>
      <c r="AG1630" t="s">
        <v>7</v>
      </c>
    </row>
    <row r="1631" spans="1:33">
      <c r="A1631" s="2">
        <v>45512</v>
      </c>
      <c r="B1631" s="2"/>
      <c r="C1631" s="5">
        <f>WEEKDAY(Table1[[#This Row],[Date]])</f>
        <v>5</v>
      </c>
      <c r="D1631" s="5">
        <f>MONTH(Table1[[#This Row],[Date]])</f>
        <v>8</v>
      </c>
      <c r="E1631" s="5">
        <f>WEEKNUM(Table1[[#This Row],[Date]])</f>
        <v>32</v>
      </c>
      <c r="F1631" s="5">
        <f>YEAR(Table1[[#This Row],[Date]])</f>
        <v>2024</v>
      </c>
      <c r="H1631">
        <v>316.59389149556762</v>
      </c>
      <c r="I1631">
        <f>Table1[[#This Row],[Forecast]]*0.9</f>
        <v>284.93450234601085</v>
      </c>
      <c r="J1631">
        <f>Table1[[#This Row],[Forecast]]*0.8</f>
        <v>253.2751131964541</v>
      </c>
      <c r="K1631">
        <f>Table1[[#This Row],[Forecast]]*0.8</f>
        <v>253.2751131964541</v>
      </c>
      <c r="P1631" s="13">
        <f t="shared" si="48"/>
        <v>1.9267834657324006E-3</v>
      </c>
      <c r="Z1631" s="8"/>
      <c r="AA1631" s="8">
        <f>CONVERT(Table1[[#This Row],[RevisedForecast 30% Recution2]]*Table1[[#This Row],[Talk Duration (AVG)]],"day","hr")</f>
        <v>11.712151209322318</v>
      </c>
      <c r="AB1631" s="10">
        <f>(Table1[[#This Row],[Forecast Workload Hours]]*60)*1.2</f>
        <v>843.27488707120688</v>
      </c>
      <c r="AC1631" s="10">
        <f>IF(Table1[[#This Row],[Forecast WOrkload Minutes]]&lt;384,1,Table1[[#This Row],[Forecast WOrkload Minutes]]/384)</f>
        <v>2.1960283517479344</v>
      </c>
      <c r="AD1631" s="10">
        <f>ROUNDUP(Table1[[#This Row],[Forecast Headcount]],0)</f>
        <v>3</v>
      </c>
      <c r="AE1631" s="11">
        <v>209.31017856679591</v>
      </c>
      <c r="AF1631" s="11">
        <v>433.72366391976448</v>
      </c>
      <c r="AG1631" t="s">
        <v>7</v>
      </c>
    </row>
    <row r="1632" spans="1:33">
      <c r="A1632" s="2">
        <v>45513</v>
      </c>
      <c r="B1632" s="2"/>
      <c r="C1632" s="5">
        <f>WEEKDAY(Table1[[#This Row],[Date]])</f>
        <v>6</v>
      </c>
      <c r="D1632" s="5">
        <f>MONTH(Table1[[#This Row],[Date]])</f>
        <v>8</v>
      </c>
      <c r="E1632" s="5">
        <f>WEEKNUM(Table1[[#This Row],[Date]])</f>
        <v>32</v>
      </c>
      <c r="F1632" s="5">
        <f>YEAR(Table1[[#This Row],[Date]])</f>
        <v>2024</v>
      </c>
      <c r="H1632">
        <v>306.28814287998119</v>
      </c>
      <c r="I1632">
        <f>Table1[[#This Row],[Forecast]]*0.9</f>
        <v>275.65932859198307</v>
      </c>
      <c r="J1632">
        <f>Table1[[#This Row],[Forecast]]*0.8</f>
        <v>245.03051430398497</v>
      </c>
      <c r="K1632">
        <f>Table1[[#This Row],[Forecast]]*0.8</f>
        <v>245.03051430398497</v>
      </c>
      <c r="P1632" s="13">
        <f t="shared" si="48"/>
        <v>1.9267834133701769E-3</v>
      </c>
      <c r="Z1632" s="8"/>
      <c r="AA1632" s="8">
        <f>CONVERT(Table1[[#This Row],[RevisedForecast 30% Recution2]]*Table1[[#This Row],[Talk Duration (AVG)]],"day","hr")</f>
        <v>11.33089753753157</v>
      </c>
      <c r="AB1632" s="10">
        <f>(Table1[[#This Row],[Forecast Workload Hours]]*60)*1.2</f>
        <v>815.82462270227302</v>
      </c>
      <c r="AC1632" s="10">
        <f>IF(Table1[[#This Row],[Forecast WOrkload Minutes]]&lt;384,1,Table1[[#This Row],[Forecast WOrkload Minutes]]/384)</f>
        <v>2.1245432882871693</v>
      </c>
      <c r="AD1632" s="10">
        <f>ROUNDUP(Table1[[#This Row],[Forecast Headcount]],0)</f>
        <v>3</v>
      </c>
      <c r="AE1632" s="11">
        <v>197.25086819220499</v>
      </c>
      <c r="AF1632" s="11">
        <v>421.37451583675238</v>
      </c>
      <c r="AG1632" t="s">
        <v>7</v>
      </c>
    </row>
    <row r="1633" spans="1:33">
      <c r="A1633" s="2">
        <v>45514</v>
      </c>
      <c r="B1633" s="2"/>
      <c r="C1633" s="5">
        <f>WEEKDAY(Table1[[#This Row],[Date]])</f>
        <v>7</v>
      </c>
      <c r="D1633" s="5">
        <f>MONTH(Table1[[#This Row],[Date]])</f>
        <v>8</v>
      </c>
      <c r="E1633" s="5">
        <f>WEEKNUM(Table1[[#This Row],[Date]])</f>
        <v>32</v>
      </c>
      <c r="F1633" s="5">
        <f>YEAR(Table1[[#This Row],[Date]])</f>
        <v>2024</v>
      </c>
      <c r="H1633">
        <v>312.11550530498761</v>
      </c>
      <c r="I1633">
        <f>Table1[[#This Row],[Forecast]]*0.9</f>
        <v>280.90395477448885</v>
      </c>
      <c r="J1633">
        <f>Table1[[#This Row],[Forecast]]*0.8</f>
        <v>249.6924042439901</v>
      </c>
      <c r="K1633">
        <f>Table1[[#This Row],[Forecast]]*0.8</f>
        <v>249.6924042439901</v>
      </c>
      <c r="P1633" s="13">
        <f t="shared" si="48"/>
        <v>1.926783457777539E-3</v>
      </c>
      <c r="Z1633" s="8"/>
      <c r="AA1633" s="8">
        <f>CONVERT(Table1[[#This Row],[RevisedForecast 30% Recution2]]*Table1[[#This Row],[Talk Duration (AVG)]],"day","hr")</f>
        <v>11.546476656720536</v>
      </c>
      <c r="AB1633" s="10">
        <f>(Table1[[#This Row],[Forecast Workload Hours]]*60)*1.2</f>
        <v>831.34631928387864</v>
      </c>
      <c r="AC1633" s="10">
        <f>IF(Table1[[#This Row],[Forecast WOrkload Minutes]]&lt;384,1,Table1[[#This Row],[Forecast WOrkload Minutes]]/384)</f>
        <v>2.1649643731351005</v>
      </c>
      <c r="AD1633" s="10">
        <f>ROUNDUP(Table1[[#This Row],[Forecast Headcount]],0)</f>
        <v>3</v>
      </c>
      <c r="AE1633" s="11">
        <v>198.72773696489489</v>
      </c>
      <c r="AF1633" s="11">
        <v>426.78096876839908</v>
      </c>
      <c r="AG1633" t="s">
        <v>7</v>
      </c>
    </row>
    <row r="1634" spans="1:33">
      <c r="A1634" s="2">
        <v>45515</v>
      </c>
      <c r="B1634" s="2"/>
      <c r="C1634" s="5">
        <f>WEEKDAY(Table1[[#This Row],[Date]])</f>
        <v>1</v>
      </c>
      <c r="D1634" s="5">
        <f>MONTH(Table1[[#This Row],[Date]])</f>
        <v>8</v>
      </c>
      <c r="E1634" s="5">
        <f>WEEKNUM(Table1[[#This Row],[Date]])</f>
        <v>33</v>
      </c>
      <c r="F1634" s="5">
        <f>YEAR(Table1[[#This Row],[Date]])</f>
        <v>2024</v>
      </c>
      <c r="H1634">
        <v>222.2438088662625</v>
      </c>
      <c r="I1634">
        <f>Table1[[#This Row],[Forecast]]*0.9</f>
        <v>200.01942797963625</v>
      </c>
      <c r="J1634">
        <f>Table1[[#This Row],[Forecast]]*0.8</f>
        <v>177.79504709301</v>
      </c>
      <c r="K1634">
        <f>Table1[[#This Row],[Forecast]]*0.8</f>
        <v>177.79504709301</v>
      </c>
      <c r="P1634" s="13">
        <f t="shared" si="48"/>
        <v>1.9267836000512514E-3</v>
      </c>
      <c r="Z1634" s="8"/>
      <c r="AA1634" s="8">
        <f>CONVERT(Table1[[#This Row],[RevisedForecast 30% Recution2]]*Table1[[#This Row],[Talk Duration (AVG)]],"day","hr")</f>
        <v>8.2217419418196389</v>
      </c>
      <c r="AB1634" s="10">
        <f>(Table1[[#This Row],[Forecast Workload Hours]]*60)*1.2</f>
        <v>591.96541981101393</v>
      </c>
      <c r="AC1634" s="10">
        <f>IF(Table1[[#This Row],[Forecast WOrkload Minutes]]&lt;384,1,Table1[[#This Row],[Forecast WOrkload Minutes]]/384)</f>
        <v>1.5415766140911822</v>
      </c>
      <c r="AD1634" s="10">
        <f>ROUNDUP(Table1[[#This Row],[Forecast Headcount]],0)</f>
        <v>2</v>
      </c>
      <c r="AE1634" s="11">
        <v>111.0621034243478</v>
      </c>
      <c r="AF1634" s="11">
        <v>329.1293074363287</v>
      </c>
      <c r="AG1634" t="s">
        <v>7</v>
      </c>
    </row>
    <row r="1635" spans="1:33">
      <c r="A1635" s="2">
        <v>45516</v>
      </c>
      <c r="B1635" s="2"/>
      <c r="C1635" s="5">
        <f>WEEKDAY(Table1[[#This Row],[Date]])</f>
        <v>2</v>
      </c>
      <c r="D1635" s="5">
        <f>MONTH(Table1[[#This Row],[Date]])</f>
        <v>8</v>
      </c>
      <c r="E1635" s="5">
        <f>WEEKNUM(Table1[[#This Row],[Date]])</f>
        <v>33</v>
      </c>
      <c r="F1635" s="5">
        <f>YEAR(Table1[[#This Row],[Date]])</f>
        <v>2024</v>
      </c>
      <c r="H1635">
        <v>321.04011221636188</v>
      </c>
      <c r="I1635">
        <f>Table1[[#This Row],[Forecast]]*0.9</f>
        <v>288.93610099472568</v>
      </c>
      <c r="J1635">
        <f>Table1[[#This Row],[Forecast]]*0.8</f>
        <v>256.83208977308954</v>
      </c>
      <c r="K1635">
        <f>Table1[[#This Row],[Forecast]]*0.8</f>
        <v>256.83208977308954</v>
      </c>
      <c r="P1635" s="13">
        <f t="shared" si="48"/>
        <v>1.9267838369980254E-3</v>
      </c>
      <c r="Z1635" s="8"/>
      <c r="AA1635" s="8">
        <f>CONVERT(Table1[[#This Row],[RevisedForecast 30% Recution2]]*Table1[[#This Row],[Talk Duration (AVG)]],"day","hr")</f>
        <v>11.876638065533154</v>
      </c>
      <c r="AB1635" s="10">
        <f>(Table1[[#This Row],[Forecast Workload Hours]]*60)*1.2</f>
        <v>855.1179407183871</v>
      </c>
      <c r="AC1635" s="10">
        <f>IF(Table1[[#This Row],[Forecast WOrkload Minutes]]&lt;384,1,Table1[[#This Row],[Forecast WOrkload Minutes]]/384)</f>
        <v>2.2268696372874666</v>
      </c>
      <c r="AD1635" s="10">
        <f>ROUNDUP(Table1[[#This Row],[Forecast Headcount]],0)</f>
        <v>3</v>
      </c>
      <c r="AE1635" s="11">
        <v>207.81551076923159</v>
      </c>
      <c r="AF1635" s="11">
        <v>435.62469397229751</v>
      </c>
      <c r="AG1635" t="s">
        <v>7</v>
      </c>
    </row>
    <row r="1636" spans="1:33">
      <c r="A1636" s="2">
        <v>45517</v>
      </c>
      <c r="B1636" s="2"/>
      <c r="C1636" s="5">
        <f>WEEKDAY(Table1[[#This Row],[Date]])</f>
        <v>3</v>
      </c>
      <c r="D1636" s="5">
        <f>MONTH(Table1[[#This Row],[Date]])</f>
        <v>8</v>
      </c>
      <c r="E1636" s="5">
        <f>WEEKNUM(Table1[[#This Row],[Date]])</f>
        <v>33</v>
      </c>
      <c r="F1636" s="5">
        <f>YEAR(Table1[[#This Row],[Date]])</f>
        <v>2024</v>
      </c>
      <c r="H1636">
        <v>304.07569544888958</v>
      </c>
      <c r="I1636">
        <f>Table1[[#This Row],[Forecast]]*0.9</f>
        <v>273.66812590400065</v>
      </c>
      <c r="J1636">
        <f>Table1[[#This Row],[Forecast]]*0.8</f>
        <v>243.26055635911166</v>
      </c>
      <c r="K1636">
        <f>Table1[[#This Row],[Forecast]]*0.8</f>
        <v>243.26055635911166</v>
      </c>
      <c r="P1636" s="13">
        <f t="shared" si="48"/>
        <v>1.926784164682405E-3</v>
      </c>
      <c r="Z1636" s="8"/>
      <c r="AA1636" s="8">
        <f>CONVERT(Table1[[#This Row],[RevisedForecast 30% Recution2]]*Table1[[#This Row],[Talk Duration (AVG)]],"day","hr")</f>
        <v>11.249054109229634</v>
      </c>
      <c r="AB1636" s="10">
        <f>(Table1[[#This Row],[Forecast Workload Hours]]*60)*1.2</f>
        <v>809.93189586453366</v>
      </c>
      <c r="AC1636" s="10">
        <f>IF(Table1[[#This Row],[Forecast WOrkload Minutes]]&lt;384,1,Table1[[#This Row],[Forecast WOrkload Minutes]]/384)</f>
        <v>2.1091976454805565</v>
      </c>
      <c r="AD1636" s="10">
        <f>ROUNDUP(Table1[[#This Row],[Forecast Headcount]],0)</f>
        <v>3</v>
      </c>
      <c r="AE1636" s="11">
        <v>193.31227447977921</v>
      </c>
      <c r="AF1636" s="11">
        <v>416.49980573640619</v>
      </c>
      <c r="AG1636" t="s">
        <v>7</v>
      </c>
    </row>
    <row r="1637" spans="1:33">
      <c r="A1637" s="2">
        <v>45518</v>
      </c>
      <c r="B1637" s="2"/>
      <c r="C1637" s="5">
        <f>WEEKDAY(Table1[[#This Row],[Date]])</f>
        <v>4</v>
      </c>
      <c r="D1637" s="5">
        <f>MONTH(Table1[[#This Row],[Date]])</f>
        <v>8</v>
      </c>
      <c r="E1637" s="5">
        <f>WEEKNUM(Table1[[#This Row],[Date]])</f>
        <v>33</v>
      </c>
      <c r="F1637" s="5">
        <f>YEAR(Table1[[#This Row],[Date]])</f>
        <v>2024</v>
      </c>
      <c r="H1637">
        <v>315.56550702861517</v>
      </c>
      <c r="I1637">
        <f>Table1[[#This Row],[Forecast]]*0.9</f>
        <v>284.00895632575367</v>
      </c>
      <c r="J1637">
        <f>Table1[[#This Row],[Forecast]]*0.8</f>
        <v>252.45240562289214</v>
      </c>
      <c r="K1637">
        <f>Table1[[#This Row],[Forecast]]*0.8</f>
        <v>252.45240562289214</v>
      </c>
      <c r="P1637" s="13">
        <f t="shared" si="48"/>
        <v>1.9267845779595246E-3</v>
      </c>
      <c r="Z1637" s="8"/>
      <c r="AA1637" s="8">
        <f>CONVERT(Table1[[#This Row],[RevisedForecast 30% Recution2]]*Table1[[#This Row],[Talk Duration (AVG)]],"day","hr")</f>
        <v>11.674113643751301</v>
      </c>
      <c r="AB1637" s="10">
        <f>(Table1[[#This Row],[Forecast Workload Hours]]*60)*1.2</f>
        <v>840.53618235009367</v>
      </c>
      <c r="AC1637" s="10">
        <f>IF(Table1[[#This Row],[Forecast WOrkload Minutes]]&lt;384,1,Table1[[#This Row],[Forecast WOrkload Minutes]]/384)</f>
        <v>2.1888963082033688</v>
      </c>
      <c r="AD1637" s="10">
        <f>ROUNDUP(Table1[[#This Row],[Forecast Headcount]],0)</f>
        <v>3</v>
      </c>
      <c r="AE1637" s="11">
        <v>203.94474432929931</v>
      </c>
      <c r="AF1637" s="11">
        <v>429.28634494179119</v>
      </c>
      <c r="AG1637" t="s">
        <v>7</v>
      </c>
    </row>
    <row r="1638" spans="1:33">
      <c r="A1638" s="2">
        <v>45519</v>
      </c>
      <c r="B1638" s="2"/>
      <c r="C1638" s="5">
        <f>WEEKDAY(Table1[[#This Row],[Date]])</f>
        <v>5</v>
      </c>
      <c r="D1638" s="5">
        <f>MONTH(Table1[[#This Row],[Date]])</f>
        <v>8</v>
      </c>
      <c r="E1638" s="5">
        <f>WEEKNUM(Table1[[#This Row],[Date]])</f>
        <v>33</v>
      </c>
      <c r="F1638" s="5">
        <f>YEAR(Table1[[#This Row],[Date]])</f>
        <v>2024</v>
      </c>
      <c r="H1638">
        <v>310.2361805008855</v>
      </c>
      <c r="I1638">
        <f>Table1[[#This Row],[Forecast]]*0.9</f>
        <v>279.21256245079695</v>
      </c>
      <c r="J1638">
        <f>Table1[[#This Row],[Forecast]]*0.8</f>
        <v>248.18894440070841</v>
      </c>
      <c r="K1638">
        <f>Table1[[#This Row],[Forecast]]*0.8</f>
        <v>248.18894440070841</v>
      </c>
      <c r="P1638" s="13">
        <f t="shared" ref="P1638:P1701" si="49">AVERAGE(P1531:P1637)</f>
        <v>1.9267850714035455E-3</v>
      </c>
      <c r="Z1638" s="8"/>
      <c r="AA1638" s="8">
        <f>CONVERT(Table1[[#This Row],[RevisedForecast 30% Recution2]]*Table1[[#This Row],[Talk Duration (AVG)]],"day","hr")</f>
        <v>11.476962071008549</v>
      </c>
      <c r="AB1638" s="10">
        <f>(Table1[[#This Row],[Forecast Workload Hours]]*60)*1.2</f>
        <v>826.34126911261546</v>
      </c>
      <c r="AC1638" s="10">
        <f>IF(Table1[[#This Row],[Forecast WOrkload Minutes]]&lt;384,1,Table1[[#This Row],[Forecast WOrkload Minutes]]/384)</f>
        <v>2.1519303883141028</v>
      </c>
      <c r="AD1638" s="10">
        <f>ROUNDUP(Table1[[#This Row],[Forecast Headcount]],0)</f>
        <v>3</v>
      </c>
      <c r="AE1638" s="11">
        <v>195.19687743349411</v>
      </c>
      <c r="AF1638" s="11">
        <v>420.89521390658712</v>
      </c>
      <c r="AG1638" t="s">
        <v>7</v>
      </c>
    </row>
    <row r="1639" spans="1:33">
      <c r="A1639" s="2">
        <v>45520</v>
      </c>
      <c r="B1639" s="2"/>
      <c r="C1639" s="5">
        <f>WEEKDAY(Table1[[#This Row],[Date]])</f>
        <v>6</v>
      </c>
      <c r="D1639" s="5">
        <f>MONTH(Table1[[#This Row],[Date]])</f>
        <v>8</v>
      </c>
      <c r="E1639" s="5">
        <f>WEEKNUM(Table1[[#This Row],[Date]])</f>
        <v>33</v>
      </c>
      <c r="F1639" s="5">
        <f>YEAR(Table1[[#This Row],[Date]])</f>
        <v>2024</v>
      </c>
      <c r="H1639">
        <v>300.97617250414561</v>
      </c>
      <c r="I1639">
        <f>Table1[[#This Row],[Forecast]]*0.9</f>
        <v>270.87855525373107</v>
      </c>
      <c r="J1639">
        <f>Table1[[#This Row],[Forecast]]*0.8</f>
        <v>240.78093800331649</v>
      </c>
      <c r="K1639">
        <f>Table1[[#This Row],[Forecast]]*0.8</f>
        <v>240.78093800331649</v>
      </c>
      <c r="P1639" s="13">
        <f t="shared" si="49"/>
        <v>1.9267856394767399E-3</v>
      </c>
      <c r="Z1639" s="8"/>
      <c r="AA1639" s="8">
        <f>CONVERT(Table1[[#This Row],[RevisedForecast 30% Recution2]]*Table1[[#This Row],[Talk Duration (AVG)]],"day","hr")</f>
        <v>11.134398086508705</v>
      </c>
      <c r="AB1639" s="10">
        <f>(Table1[[#This Row],[Forecast Workload Hours]]*60)*1.2</f>
        <v>801.67666222862681</v>
      </c>
      <c r="AC1639" s="10">
        <f>IF(Table1[[#This Row],[Forecast WOrkload Minutes]]&lt;384,1,Table1[[#This Row],[Forecast WOrkload Minutes]]/384)</f>
        <v>2.0876996412203823</v>
      </c>
      <c r="AD1639" s="10">
        <f>ROUNDUP(Table1[[#This Row],[Forecast Headcount]],0)</f>
        <v>3</v>
      </c>
      <c r="AE1639" s="11">
        <v>186.83271245955109</v>
      </c>
      <c r="AF1639" s="11">
        <v>411.67232874739591</v>
      </c>
      <c r="AG1639" t="s">
        <v>7</v>
      </c>
    </row>
    <row r="1640" spans="1:33">
      <c r="A1640" s="2">
        <v>45521</v>
      </c>
      <c r="B1640" s="2"/>
      <c r="C1640" s="5">
        <f>WEEKDAY(Table1[[#This Row],[Date]])</f>
        <v>7</v>
      </c>
      <c r="D1640" s="5">
        <f>MONTH(Table1[[#This Row],[Date]])</f>
        <v>8</v>
      </c>
      <c r="E1640" s="5">
        <f>WEEKNUM(Table1[[#This Row],[Date]])</f>
        <v>33</v>
      </c>
      <c r="F1640" s="5">
        <f>YEAR(Table1[[#This Row],[Date]])</f>
        <v>2024</v>
      </c>
      <c r="H1640">
        <v>307.89529700303058</v>
      </c>
      <c r="I1640">
        <f>Table1[[#This Row],[Forecast]]*0.9</f>
        <v>277.10576730272754</v>
      </c>
      <c r="J1640">
        <f>Table1[[#This Row],[Forecast]]*0.8</f>
        <v>246.31623760242448</v>
      </c>
      <c r="K1640">
        <f>Table1[[#This Row],[Forecast]]*0.8</f>
        <v>246.31623760242448</v>
      </c>
      <c r="P1640" s="13">
        <f t="shared" si="49"/>
        <v>1.9267862761752374E-3</v>
      </c>
      <c r="Z1640" s="8"/>
      <c r="AA1640" s="8">
        <f>CONVERT(Table1[[#This Row],[RevisedForecast 30% Recution2]]*Table1[[#This Row],[Talk Duration (AVG)]],"day","hr")</f>
        <v>11.390369909075291</v>
      </c>
      <c r="AB1640" s="10">
        <f>(Table1[[#This Row],[Forecast Workload Hours]]*60)*1.2</f>
        <v>820.10663345342084</v>
      </c>
      <c r="AC1640" s="10">
        <f>IF(Table1[[#This Row],[Forecast WOrkload Minutes]]&lt;384,1,Table1[[#This Row],[Forecast WOrkload Minutes]]/384)</f>
        <v>2.1356943579516168</v>
      </c>
      <c r="AD1640" s="10">
        <f>ROUNDUP(Table1[[#This Row],[Forecast Headcount]],0)</f>
        <v>3</v>
      </c>
      <c r="AE1640" s="11">
        <v>198.4845216307113</v>
      </c>
      <c r="AF1640" s="11">
        <v>424.66192087864567</v>
      </c>
      <c r="AG1640" t="s">
        <v>7</v>
      </c>
    </row>
    <row r="1641" spans="1:33">
      <c r="A1641" s="2">
        <v>45522</v>
      </c>
      <c r="B1641" s="2"/>
      <c r="C1641" s="5">
        <f>WEEKDAY(Table1[[#This Row],[Date]])</f>
        <v>1</v>
      </c>
      <c r="D1641" s="5">
        <f>MONTH(Table1[[#This Row],[Date]])</f>
        <v>8</v>
      </c>
      <c r="E1641" s="5">
        <f>WEEKNUM(Table1[[#This Row],[Date]])</f>
        <v>34</v>
      </c>
      <c r="F1641" s="5">
        <f>YEAR(Table1[[#This Row],[Date]])</f>
        <v>2024</v>
      </c>
      <c r="H1641">
        <v>219.14283217869129</v>
      </c>
      <c r="I1641">
        <f>Table1[[#This Row],[Forecast]]*0.9</f>
        <v>197.22854896082217</v>
      </c>
      <c r="J1641">
        <f>Table1[[#This Row],[Forecast]]*0.8</f>
        <v>175.31426574295304</v>
      </c>
      <c r="K1641">
        <f>Table1[[#This Row],[Forecast]]*0.8</f>
        <v>175.31426574295304</v>
      </c>
      <c r="P1641" s="13">
        <f t="shared" si="49"/>
        <v>1.9267869703349597E-3</v>
      </c>
      <c r="Z1641" s="8"/>
      <c r="AA1641" s="8">
        <f>CONVERT(Table1[[#This Row],[RevisedForecast 30% Recution2]]*Table1[[#This Row],[Talk Duration (AVG)]],"day","hr")</f>
        <v>8.1070378307367008</v>
      </c>
      <c r="AB1641" s="10">
        <f>(Table1[[#This Row],[Forecast Workload Hours]]*60)*1.2</f>
        <v>583.70672381304246</v>
      </c>
      <c r="AC1641" s="10">
        <f>IF(Table1[[#This Row],[Forecast WOrkload Minutes]]&lt;384,1,Table1[[#This Row],[Forecast WOrkload Minutes]]/384)</f>
        <v>1.5200695932631314</v>
      </c>
      <c r="AD1641" s="10">
        <f>ROUNDUP(Table1[[#This Row],[Forecast Headcount]],0)</f>
        <v>2</v>
      </c>
      <c r="AE1641" s="11">
        <v>98.93482575846194</v>
      </c>
      <c r="AF1641" s="11">
        <v>333.29444512291082</v>
      </c>
      <c r="AG1641" t="s">
        <v>7</v>
      </c>
    </row>
    <row r="1642" spans="1:33">
      <c r="A1642" s="2">
        <v>45523</v>
      </c>
      <c r="B1642" s="2"/>
      <c r="C1642" s="5">
        <f>WEEKDAY(Table1[[#This Row],[Date]])</f>
        <v>2</v>
      </c>
      <c r="D1642" s="5">
        <f>MONTH(Table1[[#This Row],[Date]])</f>
        <v>8</v>
      </c>
      <c r="E1642" s="5">
        <f>WEEKNUM(Table1[[#This Row],[Date]])</f>
        <v>34</v>
      </c>
      <c r="F1642" s="5">
        <f>YEAR(Table1[[#This Row],[Date]])</f>
        <v>2024</v>
      </c>
      <c r="H1642">
        <v>319.06649581013119</v>
      </c>
      <c r="I1642">
        <f>Table1[[#This Row],[Forecast]]*0.9</f>
        <v>287.1598462291181</v>
      </c>
      <c r="J1642">
        <f>Table1[[#This Row],[Forecast]]*0.8</f>
        <v>255.25319664810496</v>
      </c>
      <c r="K1642">
        <f>Table1[[#This Row],[Forecast]]*0.8</f>
        <v>255.25319664810496</v>
      </c>
      <c r="P1642" s="13">
        <f t="shared" si="49"/>
        <v>1.9267877123293545E-3</v>
      </c>
      <c r="Z1642" s="8"/>
      <c r="AA1642" s="8">
        <f>CONVERT(Table1[[#This Row],[RevisedForecast 30% Recution2]]*Table1[[#This Row],[Talk Duration (AVG)]],"day","hr")</f>
        <v>11.803649348024567</v>
      </c>
      <c r="AB1642" s="10">
        <f>(Table1[[#This Row],[Forecast Workload Hours]]*60)*1.2</f>
        <v>849.86275305776883</v>
      </c>
      <c r="AC1642" s="10">
        <f>IF(Table1[[#This Row],[Forecast WOrkload Minutes]]&lt;384,1,Table1[[#This Row],[Forecast WOrkload Minutes]]/384)</f>
        <v>2.2131842527546062</v>
      </c>
      <c r="AD1642" s="10">
        <f>ROUNDUP(Table1[[#This Row],[Forecast Headcount]],0)</f>
        <v>3</v>
      </c>
      <c r="AE1642" s="11">
        <v>208.56610427646461</v>
      </c>
      <c r="AF1642" s="11">
        <v>440.33916437221438</v>
      </c>
      <c r="AG1642" t="s">
        <v>7</v>
      </c>
    </row>
    <row r="1643" spans="1:33">
      <c r="A1643" s="2">
        <v>45524</v>
      </c>
      <c r="B1643" s="2"/>
      <c r="C1643" s="5">
        <f>WEEKDAY(Table1[[#This Row],[Date]])</f>
        <v>3</v>
      </c>
      <c r="D1643" s="5">
        <f>MONTH(Table1[[#This Row],[Date]])</f>
        <v>8</v>
      </c>
      <c r="E1643" s="5">
        <f>WEEKNUM(Table1[[#This Row],[Date]])</f>
        <v>34</v>
      </c>
      <c r="F1643" s="5">
        <f>YEAR(Table1[[#This Row],[Date]])</f>
        <v>2024</v>
      </c>
      <c r="H1643">
        <v>303.21788630001902</v>
      </c>
      <c r="I1643">
        <f>Table1[[#This Row],[Forecast]]*0.9</f>
        <v>272.89609767001713</v>
      </c>
      <c r="J1643">
        <f>Table1[[#This Row],[Forecast]]*0.8</f>
        <v>242.57430904001524</v>
      </c>
      <c r="K1643">
        <f>Table1[[#This Row],[Forecast]]*0.8</f>
        <v>242.57430904001524</v>
      </c>
      <c r="P1643" s="13">
        <f t="shared" si="49"/>
        <v>1.9267884925435745E-3</v>
      </c>
      <c r="Z1643" s="8"/>
      <c r="AA1643" s="8">
        <f>CONVERT(Table1[[#This Row],[RevisedForecast 30% Recution2]]*Table1[[#This Row],[Talk Duration (AVG)]],"day","hr")</f>
        <v>11.217345293880244</v>
      </c>
      <c r="AB1643" s="10">
        <f>(Table1[[#This Row],[Forecast Workload Hours]]*60)*1.2</f>
        <v>807.64886115937759</v>
      </c>
      <c r="AC1643" s="10">
        <f>IF(Table1[[#This Row],[Forecast WOrkload Minutes]]&lt;384,1,Table1[[#This Row],[Forecast WOrkload Minutes]]/384)</f>
        <v>2.103252242602546</v>
      </c>
      <c r="AD1643" s="10">
        <f>ROUNDUP(Table1[[#This Row],[Forecast Headcount]],0)</f>
        <v>3</v>
      </c>
      <c r="AE1643" s="11">
        <v>195.9224418030372</v>
      </c>
      <c r="AF1643" s="11">
        <v>418.45307878055138</v>
      </c>
      <c r="AG1643" t="s">
        <v>7</v>
      </c>
    </row>
    <row r="1644" spans="1:33">
      <c r="A1644" s="2">
        <v>45525</v>
      </c>
      <c r="B1644" s="2"/>
      <c r="C1644" s="5">
        <f>WEEKDAY(Table1[[#This Row],[Date]])</f>
        <v>4</v>
      </c>
      <c r="D1644" s="5">
        <f>MONTH(Table1[[#This Row],[Date]])</f>
        <v>8</v>
      </c>
      <c r="E1644" s="5">
        <f>WEEKNUM(Table1[[#This Row],[Date]])</f>
        <v>34</v>
      </c>
      <c r="F1644" s="5">
        <f>YEAR(Table1[[#This Row],[Date]])</f>
        <v>2024</v>
      </c>
      <c r="H1644">
        <v>315.79238961877479</v>
      </c>
      <c r="I1644">
        <f>Table1[[#This Row],[Forecast]]*0.9</f>
        <v>284.21315065689731</v>
      </c>
      <c r="J1644">
        <f>Table1[[#This Row],[Forecast]]*0.8</f>
        <v>252.63391169501983</v>
      </c>
      <c r="K1644">
        <f>Table1[[#This Row],[Forecast]]*0.8</f>
        <v>252.63391169501983</v>
      </c>
      <c r="P1644" s="13">
        <f t="shared" si="49"/>
        <v>1.9267893022631264E-3</v>
      </c>
      <c r="Z1644" s="8"/>
      <c r="AA1644" s="8">
        <f>CONVERT(Table1[[#This Row],[RevisedForecast 30% Recution2]]*Table1[[#This Row],[Talk Duration (AVG)]],"day","hr")</f>
        <v>11.682535642628437</v>
      </c>
      <c r="AB1644" s="10">
        <f>(Table1[[#This Row],[Forecast Workload Hours]]*60)*1.2</f>
        <v>841.14256626924748</v>
      </c>
      <c r="AC1644" s="10">
        <f>IF(Table1[[#This Row],[Forecast WOrkload Minutes]]&lt;384,1,Table1[[#This Row],[Forecast WOrkload Minutes]]/384)</f>
        <v>2.190475432992832</v>
      </c>
      <c r="AD1644" s="10">
        <f>ROUNDUP(Table1[[#This Row],[Forecast Headcount]],0)</f>
        <v>3</v>
      </c>
      <c r="AE1644" s="11">
        <v>201.164784516704</v>
      </c>
      <c r="AF1644" s="11">
        <v>438.95152370065699</v>
      </c>
      <c r="AG1644" t="s">
        <v>7</v>
      </c>
    </row>
    <row r="1645" spans="1:33">
      <c r="A1645" s="2">
        <v>45526</v>
      </c>
      <c r="B1645" s="2"/>
      <c r="C1645" s="5">
        <f>WEEKDAY(Table1[[#This Row],[Date]])</f>
        <v>5</v>
      </c>
      <c r="D1645" s="5">
        <f>MONTH(Table1[[#This Row],[Date]])</f>
        <v>8</v>
      </c>
      <c r="E1645" s="5">
        <f>WEEKNUM(Table1[[#This Row],[Date]])</f>
        <v>34</v>
      </c>
      <c r="F1645" s="5">
        <f>YEAR(Table1[[#This Row],[Date]])</f>
        <v>2024</v>
      </c>
      <c r="H1645">
        <v>311.49765608675642</v>
      </c>
      <c r="I1645">
        <f>Table1[[#This Row],[Forecast]]*0.9</f>
        <v>280.34789047808079</v>
      </c>
      <c r="J1645">
        <f>Table1[[#This Row],[Forecast]]*0.8</f>
        <v>249.19812486940515</v>
      </c>
      <c r="K1645">
        <f>Table1[[#This Row],[Forecast]]*0.8</f>
        <v>249.19812486940515</v>
      </c>
      <c r="P1645" s="13">
        <f t="shared" si="49"/>
        <v>1.926790131681861E-3</v>
      </c>
      <c r="Z1645" s="8"/>
      <c r="AA1645" s="8">
        <f>CONVERT(Table1[[#This Row],[RevisedForecast 30% Recution2]]*Table1[[#This Row],[Talk Duration (AVG)]],"day","hr")</f>
        <v>11.523659707967855</v>
      </c>
      <c r="AB1645" s="10">
        <f>(Table1[[#This Row],[Forecast Workload Hours]]*60)*1.2</f>
        <v>829.70349897368556</v>
      </c>
      <c r="AC1645" s="10">
        <f>IF(Table1[[#This Row],[Forecast WOrkload Minutes]]&lt;384,1,Table1[[#This Row],[Forecast WOrkload Minutes]]/384)</f>
        <v>2.1606861952439727</v>
      </c>
      <c r="AD1645" s="10">
        <f>ROUNDUP(Table1[[#This Row],[Forecast Headcount]],0)</f>
        <v>3</v>
      </c>
      <c r="AE1645" s="11">
        <v>201.9058770738757</v>
      </c>
      <c r="AF1645" s="11">
        <v>425.69925441503568</v>
      </c>
      <c r="AG1645" t="s">
        <v>7</v>
      </c>
    </row>
    <row r="1646" spans="1:33">
      <c r="A1646" s="2">
        <v>45527</v>
      </c>
      <c r="B1646" s="2"/>
      <c r="C1646" s="5">
        <f>WEEKDAY(Table1[[#This Row],[Date]])</f>
        <v>6</v>
      </c>
      <c r="D1646" s="5">
        <f>MONTH(Table1[[#This Row],[Date]])</f>
        <v>8</v>
      </c>
      <c r="E1646" s="5">
        <f>WEEKNUM(Table1[[#This Row],[Date]])</f>
        <v>34</v>
      </c>
      <c r="F1646" s="5">
        <f>YEAR(Table1[[#This Row],[Date]])</f>
        <v>2024</v>
      </c>
      <c r="H1646">
        <v>303.20418675000042</v>
      </c>
      <c r="I1646">
        <f>Table1[[#This Row],[Forecast]]*0.9</f>
        <v>272.88376807500038</v>
      </c>
      <c r="J1646">
        <f>Table1[[#This Row],[Forecast]]*0.8</f>
        <v>242.56334940000033</v>
      </c>
      <c r="K1646">
        <f>Table1[[#This Row],[Forecast]]*0.8</f>
        <v>242.56334940000033</v>
      </c>
      <c r="P1646" s="13">
        <f t="shared" si="49"/>
        <v>1.9267909705722364E-3</v>
      </c>
      <c r="Z1646" s="8"/>
      <c r="AA1646" s="8">
        <f>CONVERT(Table1[[#This Row],[RevisedForecast 30% Recution2]]*Table1[[#This Row],[Talk Duration (AVG)]],"day","hr")</f>
        <v>11.216852913976298</v>
      </c>
      <c r="AB1646" s="10">
        <f>(Table1[[#This Row],[Forecast Workload Hours]]*60)*1.2</f>
        <v>807.61340980629336</v>
      </c>
      <c r="AC1646" s="10">
        <f>IF(Table1[[#This Row],[Forecast WOrkload Minutes]]&lt;384,1,Table1[[#This Row],[Forecast WOrkload Minutes]]/384)</f>
        <v>2.1031599213705556</v>
      </c>
      <c r="AD1646" s="10">
        <f>ROUNDUP(Table1[[#This Row],[Forecast Headcount]],0)</f>
        <v>3</v>
      </c>
      <c r="AE1646" s="11">
        <v>195.04507792179371</v>
      </c>
      <c r="AF1646" s="11">
        <v>413.90915674738523</v>
      </c>
      <c r="AG1646" t="s">
        <v>7</v>
      </c>
    </row>
    <row r="1647" spans="1:33">
      <c r="A1647" s="2">
        <v>45528</v>
      </c>
      <c r="B1647" s="2"/>
      <c r="C1647" s="5">
        <f>WEEKDAY(Table1[[#This Row],[Date]])</f>
        <v>7</v>
      </c>
      <c r="D1647" s="5">
        <f>MONTH(Table1[[#This Row],[Date]])</f>
        <v>8</v>
      </c>
      <c r="E1647" s="5">
        <f>WEEKNUM(Table1[[#This Row],[Date]])</f>
        <v>34</v>
      </c>
      <c r="F1647" s="5">
        <f>YEAR(Table1[[#This Row],[Date]])</f>
        <v>2024</v>
      </c>
      <c r="H1647">
        <v>311.00529284844731</v>
      </c>
      <c r="I1647">
        <f>Table1[[#This Row],[Forecast]]*0.9</f>
        <v>279.90476356360261</v>
      </c>
      <c r="J1647">
        <f>Table1[[#This Row],[Forecast]]*0.8</f>
        <v>248.80423427875786</v>
      </c>
      <c r="K1647">
        <f>Table1[[#This Row],[Forecast]]*0.8</f>
        <v>248.80423427875786</v>
      </c>
      <c r="P1647" s="13">
        <f t="shared" si="49"/>
        <v>1.9267918108354359E-3</v>
      </c>
      <c r="Z1647" s="8"/>
      <c r="AA1647" s="8">
        <f>CONVERT(Table1[[#This Row],[RevisedForecast 30% Recution2]]*Table1[[#This Row],[Talk Duration (AVG)]],"day","hr")</f>
        <v>11.505455066627805</v>
      </c>
      <c r="AB1647" s="10">
        <f>(Table1[[#This Row],[Forecast Workload Hours]]*60)*1.2</f>
        <v>828.39276479720195</v>
      </c>
      <c r="AC1647" s="10">
        <f>IF(Table1[[#This Row],[Forecast WOrkload Minutes]]&lt;384,1,Table1[[#This Row],[Forecast WOrkload Minutes]]/384)</f>
        <v>2.1572728249927136</v>
      </c>
      <c r="AD1647" s="10">
        <f>ROUNDUP(Table1[[#This Row],[Forecast Headcount]],0)</f>
        <v>3</v>
      </c>
      <c r="AE1647" s="11">
        <v>206.02363817615091</v>
      </c>
      <c r="AF1647" s="11">
        <v>424.67695529129321</v>
      </c>
      <c r="AG1647" t="s">
        <v>7</v>
      </c>
    </row>
    <row r="1648" spans="1:33">
      <c r="A1648" s="2">
        <v>45529</v>
      </c>
      <c r="B1648" s="2"/>
      <c r="C1648" s="5">
        <f>WEEKDAY(Table1[[#This Row],[Date]])</f>
        <v>1</v>
      </c>
      <c r="D1648" s="5">
        <f>MONTH(Table1[[#This Row],[Date]])</f>
        <v>8</v>
      </c>
      <c r="E1648" s="5">
        <f>WEEKNUM(Table1[[#This Row],[Date]])</f>
        <v>35</v>
      </c>
      <c r="F1648" s="5">
        <f>YEAR(Table1[[#This Row],[Date]])</f>
        <v>2024</v>
      </c>
      <c r="H1648">
        <v>223.0355940523165</v>
      </c>
      <c r="I1648">
        <f>Table1[[#This Row],[Forecast]]*0.9</f>
        <v>200.73203464708484</v>
      </c>
      <c r="J1648">
        <f>Table1[[#This Row],[Forecast]]*0.8</f>
        <v>178.42847524185322</v>
      </c>
      <c r="K1648">
        <f>Table1[[#This Row],[Forecast]]*0.8</f>
        <v>178.42847524185322</v>
      </c>
      <c r="P1648" s="13">
        <f t="shared" si="49"/>
        <v>1.926792644290616E-3</v>
      </c>
      <c r="Z1648" s="8"/>
      <c r="AA1648" s="8">
        <f>CONVERT(Table1[[#This Row],[RevisedForecast 30% Recution2]]*Table1[[#This Row],[Talk Duration (AVG)]],"day","hr")</f>
        <v>8.2510721670718326</v>
      </c>
      <c r="AB1648" s="10">
        <f>(Table1[[#This Row],[Forecast Workload Hours]]*60)*1.2</f>
        <v>594.07719602917189</v>
      </c>
      <c r="AC1648" s="10">
        <f>IF(Table1[[#This Row],[Forecast WOrkload Minutes]]&lt;384,1,Table1[[#This Row],[Forecast WOrkload Minutes]]/384)</f>
        <v>1.5470760313259684</v>
      </c>
      <c r="AD1648" s="10">
        <f>ROUNDUP(Table1[[#This Row],[Forecast Headcount]],0)</f>
        <v>2</v>
      </c>
      <c r="AE1648" s="11">
        <v>115.59868100049999</v>
      </c>
      <c r="AF1648" s="11">
        <v>338.18574881438781</v>
      </c>
      <c r="AG1648" t="s">
        <v>7</v>
      </c>
    </row>
    <row r="1649" spans="1:33">
      <c r="A1649" s="2">
        <v>45530</v>
      </c>
      <c r="B1649" s="2"/>
      <c r="C1649" s="5">
        <f>WEEKDAY(Table1[[#This Row],[Date]])</f>
        <v>2</v>
      </c>
      <c r="D1649" s="5">
        <f>MONTH(Table1[[#This Row],[Date]])</f>
        <v>8</v>
      </c>
      <c r="E1649" s="5">
        <f>WEEKNUM(Table1[[#This Row],[Date]])</f>
        <v>35</v>
      </c>
      <c r="F1649" s="5">
        <f>YEAR(Table1[[#This Row],[Date]])</f>
        <v>2024</v>
      </c>
      <c r="H1649">
        <v>323.63034147846031</v>
      </c>
      <c r="I1649">
        <f>Table1[[#This Row],[Forecast]]*0.9</f>
        <v>291.2673073306143</v>
      </c>
      <c r="J1649">
        <f>Table1[[#This Row],[Forecast]]*0.8</f>
        <v>258.90427318276824</v>
      </c>
      <c r="K1649">
        <f>Table1[[#This Row],[Forecast]]*0.8</f>
        <v>258.90427318276824</v>
      </c>
      <c r="P1649" s="13">
        <f t="shared" si="49"/>
        <v>1.9267934648835609E-3</v>
      </c>
      <c r="Z1649" s="8"/>
      <c r="AA1649" s="8">
        <f>CONVERT(Table1[[#This Row],[RevisedForecast 30% Recution2]]*Table1[[#This Row],[Talk Duration (AVG)]],"day","hr")</f>
        <v>11.972521478375665</v>
      </c>
      <c r="AB1649" s="10">
        <f>(Table1[[#This Row],[Forecast Workload Hours]]*60)*1.2</f>
        <v>862.0215464430479</v>
      </c>
      <c r="AC1649" s="10">
        <f>IF(Table1[[#This Row],[Forecast WOrkload Minutes]]&lt;384,1,Table1[[#This Row],[Forecast WOrkload Minutes]]/384)</f>
        <v>2.2448477771954374</v>
      </c>
      <c r="AD1649" s="10">
        <f>ROUNDUP(Table1[[#This Row],[Forecast Headcount]],0)</f>
        <v>3</v>
      </c>
      <c r="AE1649" s="11">
        <v>212.5080802083784</v>
      </c>
      <c r="AF1649" s="11">
        <v>440.90823571691533</v>
      </c>
      <c r="AG1649" t="s">
        <v>7</v>
      </c>
    </row>
    <row r="1650" spans="1:33">
      <c r="A1650" s="2">
        <v>45531</v>
      </c>
      <c r="B1650" s="2"/>
      <c r="C1650" s="5">
        <f>WEEKDAY(Table1[[#This Row],[Date]])</f>
        <v>3</v>
      </c>
      <c r="D1650" s="5">
        <f>MONTH(Table1[[#This Row],[Date]])</f>
        <v>8</v>
      </c>
      <c r="E1650" s="5">
        <f>WEEKNUM(Table1[[#This Row],[Date]])</f>
        <v>35</v>
      </c>
      <c r="F1650" s="5">
        <f>YEAR(Table1[[#This Row],[Date]])</f>
        <v>2024</v>
      </c>
      <c r="H1650">
        <v>308.33115399393222</v>
      </c>
      <c r="I1650">
        <f>Table1[[#This Row],[Forecast]]*0.9</f>
        <v>277.49803859453903</v>
      </c>
      <c r="J1650">
        <f>Table1[[#This Row],[Forecast]]*0.8</f>
        <v>246.66492319514578</v>
      </c>
      <c r="K1650">
        <f>Table1[[#This Row],[Forecast]]*0.8</f>
        <v>246.66492319514578</v>
      </c>
      <c r="P1650" s="13">
        <f t="shared" si="49"/>
        <v>1.9267942663864202E-3</v>
      </c>
      <c r="Z1650" s="8"/>
      <c r="AA1650" s="8">
        <f>CONVERT(Table1[[#This Row],[RevisedForecast 30% Recution2]]*Table1[[#This Row],[Talk Duration (AVG)]],"day","hr")</f>
        <v>11.406541433545287</v>
      </c>
      <c r="AB1650" s="10">
        <f>(Table1[[#This Row],[Forecast Workload Hours]]*60)*1.2</f>
        <v>821.27098321526057</v>
      </c>
      <c r="AC1650" s="10">
        <f>IF(Table1[[#This Row],[Forecast WOrkload Minutes]]&lt;384,1,Table1[[#This Row],[Forecast WOrkload Minutes]]/384)</f>
        <v>2.1387265187897411</v>
      </c>
      <c r="AD1650" s="10">
        <f>ROUNDUP(Table1[[#This Row],[Forecast Headcount]],0)</f>
        <v>3</v>
      </c>
      <c r="AE1650" s="11">
        <v>203.28746276876751</v>
      </c>
      <c r="AF1650" s="11">
        <v>424.29823042492268</v>
      </c>
      <c r="AG1650" t="s">
        <v>7</v>
      </c>
    </row>
    <row r="1651" spans="1:33">
      <c r="A1651" s="2">
        <v>45532</v>
      </c>
      <c r="B1651" s="2"/>
      <c r="C1651" s="5">
        <f>WEEKDAY(Table1[[#This Row],[Date]])</f>
        <v>4</v>
      </c>
      <c r="D1651" s="5">
        <f>MONTH(Table1[[#This Row],[Date]])</f>
        <v>8</v>
      </c>
      <c r="E1651" s="5">
        <f>WEEKNUM(Table1[[#This Row],[Date]])</f>
        <v>35</v>
      </c>
      <c r="F1651" s="5">
        <f>YEAR(Table1[[#This Row],[Date]])</f>
        <v>2024</v>
      </c>
      <c r="H1651">
        <v>321.3261608461184</v>
      </c>
      <c r="I1651">
        <f>Table1[[#This Row],[Forecast]]*0.9</f>
        <v>289.19354476150659</v>
      </c>
      <c r="J1651">
        <f>Table1[[#This Row],[Forecast]]*0.8</f>
        <v>257.06092867689472</v>
      </c>
      <c r="K1651">
        <f>Table1[[#This Row],[Forecast]]*0.8</f>
        <v>257.06092867689472</v>
      </c>
      <c r="P1651" s="13">
        <f t="shared" si="49"/>
        <v>1.9267950427475538E-3</v>
      </c>
      <c r="Z1651" s="8"/>
      <c r="AA1651" s="8">
        <f>CONVERT(Table1[[#This Row],[RevisedForecast 30% Recution2]]*Table1[[#This Row],[Talk Duration (AVG)]],"day","hr")</f>
        <v>11.887289353409358</v>
      </c>
      <c r="AB1651" s="10">
        <f>(Table1[[#This Row],[Forecast Workload Hours]]*60)*1.2</f>
        <v>855.88483344547376</v>
      </c>
      <c r="AC1651" s="10">
        <f>IF(Table1[[#This Row],[Forecast WOrkload Minutes]]&lt;384,1,Table1[[#This Row],[Forecast WOrkload Minutes]]/384)</f>
        <v>2.2288667537642546</v>
      </c>
      <c r="AD1651" s="10">
        <f>ROUNDUP(Table1[[#This Row],[Forecast Headcount]],0)</f>
        <v>3</v>
      </c>
      <c r="AE1651" s="11">
        <v>209.69798192060509</v>
      </c>
      <c r="AF1651" s="11">
        <v>427.79246918165182</v>
      </c>
      <c r="AG1651" t="s">
        <v>7</v>
      </c>
    </row>
    <row r="1652" spans="1:33">
      <c r="A1652" s="2">
        <v>45533</v>
      </c>
      <c r="B1652" s="2"/>
      <c r="C1652" s="5">
        <f>WEEKDAY(Table1[[#This Row],[Date]])</f>
        <v>5</v>
      </c>
      <c r="D1652" s="5">
        <f>MONTH(Table1[[#This Row],[Date]])</f>
        <v>8</v>
      </c>
      <c r="E1652" s="5">
        <f>WEEKNUM(Table1[[#This Row],[Date]])</f>
        <v>35</v>
      </c>
      <c r="F1652" s="5">
        <f>YEAR(Table1[[#This Row],[Date]])</f>
        <v>2024</v>
      </c>
      <c r="H1652">
        <v>317.31864886781727</v>
      </c>
      <c r="I1652">
        <f>Table1[[#This Row],[Forecast]]*0.9</f>
        <v>285.58678398103558</v>
      </c>
      <c r="J1652">
        <f>Table1[[#This Row],[Forecast]]*0.8</f>
        <v>253.85491909425383</v>
      </c>
      <c r="K1652">
        <f>Table1[[#This Row],[Forecast]]*0.8</f>
        <v>253.85491909425383</v>
      </c>
      <c r="P1652" s="13">
        <f t="shared" si="49"/>
        <v>1.9267957889843141E-3</v>
      </c>
      <c r="Z1652" s="8"/>
      <c r="AA1652" s="8">
        <f>CONVERT(Table1[[#This Row],[RevisedForecast 30% Recution2]]*Table1[[#This Row],[Talk Duration (AVG)]],"day","hr")</f>
        <v>11.73903813897029</v>
      </c>
      <c r="AB1652" s="10">
        <f>(Table1[[#This Row],[Forecast Workload Hours]]*60)*1.2</f>
        <v>845.21074600586087</v>
      </c>
      <c r="AC1652" s="10">
        <f>IF(Table1[[#This Row],[Forecast WOrkload Minutes]]&lt;384,1,Table1[[#This Row],[Forecast WOrkload Minutes]]/384)</f>
        <v>2.2010696510569292</v>
      </c>
      <c r="AD1652" s="10">
        <f>ROUNDUP(Table1[[#This Row],[Forecast Headcount]],0)</f>
        <v>3</v>
      </c>
      <c r="AE1652" s="11">
        <v>203.9357229590216</v>
      </c>
      <c r="AF1652" s="11">
        <v>433.86710991773788</v>
      </c>
      <c r="AG1652" t="s">
        <v>7</v>
      </c>
    </row>
    <row r="1653" spans="1:33">
      <c r="A1653" s="2">
        <v>45534</v>
      </c>
      <c r="B1653" s="2"/>
      <c r="C1653" s="5">
        <f>WEEKDAY(Table1[[#This Row],[Date]])</f>
        <v>6</v>
      </c>
      <c r="D1653" s="5">
        <f>MONTH(Table1[[#This Row],[Date]])</f>
        <v>8</v>
      </c>
      <c r="E1653" s="5">
        <f>WEEKNUM(Table1[[#This Row],[Date]])</f>
        <v>35</v>
      </c>
      <c r="F1653" s="5">
        <f>YEAR(Table1[[#This Row],[Date]])</f>
        <v>2024</v>
      </c>
      <c r="H1653">
        <v>309.17775005740708</v>
      </c>
      <c r="I1653">
        <f>Table1[[#This Row],[Forecast]]*0.9</f>
        <v>278.2599750516664</v>
      </c>
      <c r="J1653">
        <f>Table1[[#This Row],[Forecast]]*0.8</f>
        <v>247.34220004592567</v>
      </c>
      <c r="K1653">
        <f>Table1[[#This Row],[Forecast]]*0.8</f>
        <v>247.34220004592567</v>
      </c>
      <c r="P1653" s="13">
        <f t="shared" si="49"/>
        <v>1.9267965003431334E-3</v>
      </c>
      <c r="Z1653" s="8"/>
      <c r="AA1653" s="8">
        <f>CONVERT(Table1[[#This Row],[RevisedForecast 30% Recution2]]*Table1[[#This Row],[Talk Duration (AVG)]],"day","hr")</f>
        <v>11.437874050455859</v>
      </c>
      <c r="AB1653" s="10">
        <f>(Table1[[#This Row],[Forecast Workload Hours]]*60)*1.2</f>
        <v>823.52693163282186</v>
      </c>
      <c r="AC1653" s="10">
        <f>IF(Table1[[#This Row],[Forecast WOrkload Minutes]]&lt;384,1,Table1[[#This Row],[Forecast WOrkload Minutes]]/384)</f>
        <v>2.1446013844604734</v>
      </c>
      <c r="AD1653" s="10">
        <f>ROUNDUP(Table1[[#This Row],[Forecast Headcount]],0)</f>
        <v>3</v>
      </c>
      <c r="AE1653" s="11">
        <v>193.29960511891079</v>
      </c>
      <c r="AF1653" s="11">
        <v>423.0221752175645</v>
      </c>
      <c r="AG1653" t="s">
        <v>7</v>
      </c>
    </row>
    <row r="1654" spans="1:33">
      <c r="A1654" s="2">
        <v>45535</v>
      </c>
      <c r="B1654" s="2"/>
      <c r="C1654" s="5">
        <f>WEEKDAY(Table1[[#This Row],[Date]])</f>
        <v>7</v>
      </c>
      <c r="D1654" s="5">
        <f>MONTH(Table1[[#This Row],[Date]])</f>
        <v>8</v>
      </c>
      <c r="E1654" s="5">
        <f>WEEKNUM(Table1[[#This Row],[Date]])</f>
        <v>35</v>
      </c>
      <c r="F1654" s="5">
        <f>YEAR(Table1[[#This Row],[Date]])</f>
        <v>2024</v>
      </c>
      <c r="H1654">
        <v>316.99843085453261</v>
      </c>
      <c r="I1654">
        <f>Table1[[#This Row],[Forecast]]*0.9</f>
        <v>285.29858776907935</v>
      </c>
      <c r="J1654">
        <f>Table1[[#This Row],[Forecast]]*0.8</f>
        <v>253.59874468362611</v>
      </c>
      <c r="K1654">
        <f>Table1[[#This Row],[Forecast]]*0.8</f>
        <v>253.59874468362611</v>
      </c>
      <c r="P1654" s="13">
        <f t="shared" si="49"/>
        <v>1.9267971736350788E-3</v>
      </c>
      <c r="Z1654" s="8"/>
      <c r="AA1654" s="8">
        <f>CONVERT(Table1[[#This Row],[RevisedForecast 30% Recution2]]*Table1[[#This Row],[Talk Duration (AVG)]],"day","hr")</f>
        <v>11.727200267851552</v>
      </c>
      <c r="AB1654" s="10">
        <f>(Table1[[#This Row],[Forecast Workload Hours]]*60)*1.2</f>
        <v>844.35841928531181</v>
      </c>
      <c r="AC1654" s="10">
        <f>IF(Table1[[#This Row],[Forecast WOrkload Minutes]]&lt;384,1,Table1[[#This Row],[Forecast WOrkload Minutes]]/384)</f>
        <v>2.1988500502221662</v>
      </c>
      <c r="AD1654" s="10">
        <f>ROUNDUP(Table1[[#This Row],[Forecast Headcount]],0)</f>
        <v>3</v>
      </c>
      <c r="AE1654" s="11">
        <v>210.40576177381149</v>
      </c>
      <c r="AF1654" s="11">
        <v>433.03787875562591</v>
      </c>
      <c r="AG1654" t="s">
        <v>7</v>
      </c>
    </row>
    <row r="1655" spans="1:33">
      <c r="A1655" s="2">
        <v>45536</v>
      </c>
      <c r="B1655" s="2"/>
      <c r="C1655" s="5">
        <f>WEEKDAY(Table1[[#This Row],[Date]])</f>
        <v>1</v>
      </c>
      <c r="D1655" s="5">
        <f>MONTH(Table1[[#This Row],[Date]])</f>
        <v>9</v>
      </c>
      <c r="E1655" s="5">
        <f>WEEKNUM(Table1[[#This Row],[Date]])</f>
        <v>36</v>
      </c>
      <c r="F1655" s="5">
        <f>YEAR(Table1[[#This Row],[Date]])</f>
        <v>2024</v>
      </c>
      <c r="H1655">
        <v>228.91994843689159</v>
      </c>
      <c r="I1655">
        <f>Table1[[#This Row],[Forecast]]*0.9</f>
        <v>206.02795359320243</v>
      </c>
      <c r="J1655">
        <f>Table1[[#This Row],[Forecast]]*0.8</f>
        <v>183.13595874951329</v>
      </c>
      <c r="K1655">
        <f>Table1[[#This Row],[Forecast]]*0.8</f>
        <v>183.13595874951329</v>
      </c>
      <c r="P1655" s="13">
        <f t="shared" si="49"/>
        <v>1.9267978045594929E-3</v>
      </c>
      <c r="Z1655" s="8"/>
      <c r="AA1655" s="8">
        <f>CONVERT(Table1[[#This Row],[RevisedForecast 30% Recution2]]*Table1[[#This Row],[Talk Duration (AVG)]],"day","hr")</f>
        <v>8.4687831181070408</v>
      </c>
      <c r="AB1655" s="10">
        <f>(Table1[[#This Row],[Forecast Workload Hours]]*60)*1.2</f>
        <v>609.75238450370693</v>
      </c>
      <c r="AC1655" s="10">
        <f>IF(Table1[[#This Row],[Forecast WOrkload Minutes]]&lt;384,1,Table1[[#This Row],[Forecast WOrkload Minutes]]/384)</f>
        <v>1.5878968346450701</v>
      </c>
      <c r="AD1655" s="10">
        <f>ROUNDUP(Table1[[#This Row],[Forecast Headcount]],0)</f>
        <v>2</v>
      </c>
      <c r="AE1655" s="11">
        <v>112.48560839926181</v>
      </c>
      <c r="AF1655" s="11">
        <v>343.52512268008331</v>
      </c>
      <c r="AG1655" t="s">
        <v>7</v>
      </c>
    </row>
    <row r="1656" spans="1:33">
      <c r="A1656" s="2">
        <v>45537</v>
      </c>
      <c r="B1656" s="2"/>
      <c r="C1656" s="5">
        <f>WEEKDAY(Table1[[#This Row],[Date]])</f>
        <v>2</v>
      </c>
      <c r="D1656" s="5">
        <f>MONTH(Table1[[#This Row],[Date]])</f>
        <v>9</v>
      </c>
      <c r="E1656" s="5">
        <f>WEEKNUM(Table1[[#This Row],[Date]])</f>
        <v>36</v>
      </c>
      <c r="F1656" s="5">
        <f>YEAR(Table1[[#This Row],[Date]])</f>
        <v>2024</v>
      </c>
      <c r="H1656">
        <v>329.28506150025561</v>
      </c>
      <c r="I1656">
        <f>Table1[[#This Row],[Forecast]]*0.9</f>
        <v>296.35655535023005</v>
      </c>
      <c r="J1656">
        <f>Table1[[#This Row],[Forecast]]*0.8</f>
        <v>263.4280492002045</v>
      </c>
      <c r="K1656">
        <f>Table1[[#This Row],[Forecast]]*0.8</f>
        <v>263.4280492002045</v>
      </c>
      <c r="P1656" s="13">
        <f t="shared" si="49"/>
        <v>1.9267983935799527E-3</v>
      </c>
      <c r="Z1656" s="8"/>
      <c r="AA1656" s="8">
        <f>CONVERT(Table1[[#This Row],[RevisedForecast 30% Recution2]]*Table1[[#This Row],[Talk Duration (AVG)]],"day","hr")</f>
        <v>12.181745808548515</v>
      </c>
      <c r="AB1656" s="10">
        <f>(Table1[[#This Row],[Forecast Workload Hours]]*60)*1.2</f>
        <v>877.08569821549293</v>
      </c>
      <c r="AC1656" s="10">
        <f>IF(Table1[[#This Row],[Forecast WOrkload Minutes]]&lt;384,1,Table1[[#This Row],[Forecast WOrkload Minutes]]/384)</f>
        <v>2.2840773391028462</v>
      </c>
      <c r="AD1656" s="10">
        <f>ROUNDUP(Table1[[#This Row],[Forecast Headcount]],0)</f>
        <v>3</v>
      </c>
      <c r="AE1656" s="11">
        <v>219.1759034976595</v>
      </c>
      <c r="AF1656" s="11">
        <v>445.34723404724451</v>
      </c>
      <c r="AG1656" t="s">
        <v>7</v>
      </c>
    </row>
    <row r="1657" spans="1:33">
      <c r="A1657" s="2">
        <v>45538</v>
      </c>
      <c r="B1657" s="2"/>
      <c r="C1657" s="5">
        <f>WEEKDAY(Table1[[#This Row],[Date]])</f>
        <v>3</v>
      </c>
      <c r="D1657" s="5">
        <f>MONTH(Table1[[#This Row],[Date]])</f>
        <v>9</v>
      </c>
      <c r="E1657" s="5">
        <f>WEEKNUM(Table1[[#This Row],[Date]])</f>
        <v>36</v>
      </c>
      <c r="F1657" s="5">
        <f>YEAR(Table1[[#This Row],[Date]])</f>
        <v>2024</v>
      </c>
      <c r="H1657">
        <v>313.64558722495309</v>
      </c>
      <c r="I1657">
        <f>Table1[[#This Row],[Forecast]]*0.9</f>
        <v>282.28102850245779</v>
      </c>
      <c r="J1657">
        <f>Table1[[#This Row],[Forecast]]*0.8</f>
        <v>250.91646977996248</v>
      </c>
      <c r="K1657">
        <f>Table1[[#This Row],[Forecast]]*0.8</f>
        <v>250.91646977996248</v>
      </c>
      <c r="P1657" s="13">
        <f t="shared" si="49"/>
        <v>1.9267989420427875E-3</v>
      </c>
      <c r="Z1657" s="8"/>
      <c r="AA1657" s="8">
        <f>CONVERT(Table1[[#This Row],[RevisedForecast 30% Recution2]]*Table1[[#This Row],[Talk Duration (AVG)]],"day","hr")</f>
        <v>11.603174124315426</v>
      </c>
      <c r="AB1657" s="10">
        <f>(Table1[[#This Row],[Forecast Workload Hours]]*60)*1.2</f>
        <v>835.42853695071074</v>
      </c>
      <c r="AC1657" s="10">
        <f>IF(Table1[[#This Row],[Forecast WOrkload Minutes]]&lt;384,1,Table1[[#This Row],[Forecast WOrkload Minutes]]/384)</f>
        <v>2.1755951483091427</v>
      </c>
      <c r="AD1657" s="10">
        <f>ROUNDUP(Table1[[#This Row],[Forecast Headcount]],0)</f>
        <v>3</v>
      </c>
      <c r="AE1657" s="11">
        <v>211.9062544300661</v>
      </c>
      <c r="AF1657" s="11">
        <v>433.68175366756651</v>
      </c>
      <c r="AG1657" t="s">
        <v>7</v>
      </c>
    </row>
    <row r="1658" spans="1:33">
      <c r="A1658" s="2">
        <v>45539</v>
      </c>
      <c r="B1658" s="2"/>
      <c r="C1658" s="5">
        <f>WEEKDAY(Table1[[#This Row],[Date]])</f>
        <v>4</v>
      </c>
      <c r="D1658" s="5">
        <f>MONTH(Table1[[#This Row],[Date]])</f>
        <v>9</v>
      </c>
      <c r="E1658" s="5">
        <f>WEEKNUM(Table1[[#This Row],[Date]])</f>
        <v>36</v>
      </c>
      <c r="F1658" s="5">
        <f>YEAR(Table1[[#This Row],[Date]])</f>
        <v>2024</v>
      </c>
      <c r="H1658">
        <v>326.20230229426471</v>
      </c>
      <c r="I1658">
        <f>Table1[[#This Row],[Forecast]]*0.9</f>
        <v>293.58207206483826</v>
      </c>
      <c r="J1658">
        <f>Table1[[#This Row],[Forecast]]*0.8</f>
        <v>260.9618418354118</v>
      </c>
      <c r="K1658">
        <f>Table1[[#This Row],[Forecast]]*0.8</f>
        <v>260.9618418354118</v>
      </c>
      <c r="P1658" s="13">
        <f t="shared" si="49"/>
        <v>1.9267994519447968E-3</v>
      </c>
      <c r="Z1658" s="8"/>
      <c r="AA1658" s="8">
        <f>CONVERT(Table1[[#This Row],[RevisedForecast 30% Recution2]]*Table1[[#This Row],[Talk Duration (AVG)]],"day","hr")</f>
        <v>12.067707211847431</v>
      </c>
      <c r="AB1658" s="10">
        <f>(Table1[[#This Row],[Forecast Workload Hours]]*60)*1.2</f>
        <v>868.87491925301504</v>
      </c>
      <c r="AC1658" s="10">
        <f>IF(Table1[[#This Row],[Forecast WOrkload Minutes]]&lt;384,1,Table1[[#This Row],[Forecast WOrkload Minutes]]/384)</f>
        <v>2.2626951022213935</v>
      </c>
      <c r="AD1658" s="10">
        <f>ROUNDUP(Table1[[#This Row],[Forecast Headcount]],0)</f>
        <v>3</v>
      </c>
      <c r="AE1658" s="11">
        <v>217.32368319579211</v>
      </c>
      <c r="AF1658" s="11">
        <v>445.24416717185699</v>
      </c>
      <c r="AG1658" t="s">
        <v>7</v>
      </c>
    </row>
    <row r="1659" spans="1:33">
      <c r="A1659" s="2">
        <v>45540</v>
      </c>
      <c r="B1659" s="2"/>
      <c r="C1659" s="5">
        <f>WEEKDAY(Table1[[#This Row],[Date]])</f>
        <v>5</v>
      </c>
      <c r="D1659" s="5">
        <f>MONTH(Table1[[#This Row],[Date]])</f>
        <v>9</v>
      </c>
      <c r="E1659" s="5">
        <f>WEEKNUM(Table1[[#This Row],[Date]])</f>
        <v>36</v>
      </c>
      <c r="F1659" s="5">
        <f>YEAR(Table1[[#This Row],[Date]])</f>
        <v>2024</v>
      </c>
      <c r="H1659">
        <v>321.67329252682919</v>
      </c>
      <c r="I1659">
        <f>Table1[[#This Row],[Forecast]]*0.9</f>
        <v>289.50596327414627</v>
      </c>
      <c r="J1659">
        <f>Table1[[#This Row],[Forecast]]*0.8</f>
        <v>257.33863402146335</v>
      </c>
      <c r="K1659">
        <f>Table1[[#This Row],[Forecast]]*0.8</f>
        <v>257.33863402146335</v>
      </c>
      <c r="P1659" s="13">
        <f t="shared" si="49"/>
        <v>1.9267999246322504E-3</v>
      </c>
      <c r="Z1659" s="8"/>
      <c r="AA1659" s="8">
        <f>CONVERT(Table1[[#This Row],[RevisedForecast 30% Recution2]]*Table1[[#This Row],[Talk Duration (AVG)]],"day","hr")</f>
        <v>11.900161455300525</v>
      </c>
      <c r="AB1659" s="10">
        <f>(Table1[[#This Row],[Forecast Workload Hours]]*60)*1.2</f>
        <v>856.81162478163776</v>
      </c>
      <c r="AC1659" s="10">
        <f>IF(Table1[[#This Row],[Forecast WOrkload Minutes]]&lt;384,1,Table1[[#This Row],[Forecast WOrkload Minutes]]/384)</f>
        <v>2.2312802728688483</v>
      </c>
      <c r="AD1659" s="10">
        <f>ROUNDUP(Table1[[#This Row],[Forecast Headcount]],0)</f>
        <v>3</v>
      </c>
      <c r="AE1659" s="11">
        <v>216.62052561238551</v>
      </c>
      <c r="AF1659" s="11">
        <v>432.7832810543992</v>
      </c>
      <c r="AG1659" t="s">
        <v>7</v>
      </c>
    </row>
    <row r="1660" spans="1:33">
      <c r="A1660" s="2">
        <v>45541</v>
      </c>
      <c r="B1660" s="2"/>
      <c r="C1660" s="5">
        <f>WEEKDAY(Table1[[#This Row],[Date]])</f>
        <v>6</v>
      </c>
      <c r="D1660" s="5">
        <f>MONTH(Table1[[#This Row],[Date]])</f>
        <v>9</v>
      </c>
      <c r="E1660" s="5">
        <f>WEEKNUM(Table1[[#This Row],[Date]])</f>
        <v>36</v>
      </c>
      <c r="F1660" s="5">
        <f>YEAR(Table1[[#This Row],[Date]])</f>
        <v>2024</v>
      </c>
      <c r="H1660">
        <v>312.94429452891148</v>
      </c>
      <c r="I1660">
        <f>Table1[[#This Row],[Forecast]]*0.9</f>
        <v>281.64986507602032</v>
      </c>
      <c r="J1660">
        <f>Table1[[#This Row],[Forecast]]*0.8</f>
        <v>250.35543562312921</v>
      </c>
      <c r="K1660">
        <f>Table1[[#This Row],[Forecast]]*0.8</f>
        <v>250.35543562312921</v>
      </c>
      <c r="P1660" s="13">
        <f t="shared" si="49"/>
        <v>1.9268003603338944E-3</v>
      </c>
      <c r="Z1660" s="8"/>
      <c r="AA1660" s="8">
        <f>CONVERT(Table1[[#This Row],[RevisedForecast 30% Recution2]]*Table1[[#This Row],[Talk Duration (AVG)]],"day","hr")</f>
        <v>11.577238645684668</v>
      </c>
      <c r="AB1660" s="10">
        <f>(Table1[[#This Row],[Forecast Workload Hours]]*60)*1.2</f>
        <v>833.56118248929602</v>
      </c>
      <c r="AC1660" s="10">
        <f>IF(Table1[[#This Row],[Forecast WOrkload Minutes]]&lt;384,1,Table1[[#This Row],[Forecast WOrkload Minutes]]/384)</f>
        <v>2.1707322460658749</v>
      </c>
      <c r="AD1660" s="10">
        <f>ROUNDUP(Table1[[#This Row],[Forecast Headcount]],0)</f>
        <v>3</v>
      </c>
      <c r="AE1660" s="11">
        <v>206.03810775587709</v>
      </c>
      <c r="AF1660" s="11">
        <v>430.53274144996311</v>
      </c>
      <c r="AG1660" t="s">
        <v>7</v>
      </c>
    </row>
    <row r="1661" spans="1:33">
      <c r="A1661" s="2">
        <v>45542</v>
      </c>
      <c r="B1661" s="2"/>
      <c r="C1661" s="5">
        <f>WEEKDAY(Table1[[#This Row],[Date]])</f>
        <v>7</v>
      </c>
      <c r="D1661" s="5">
        <f>MONTH(Table1[[#This Row],[Date]])</f>
        <v>9</v>
      </c>
      <c r="E1661" s="5">
        <f>WEEKNUM(Table1[[#This Row],[Date]])</f>
        <v>36</v>
      </c>
      <c r="F1661" s="5">
        <f>YEAR(Table1[[#This Row],[Date]])</f>
        <v>2024</v>
      </c>
      <c r="H1661">
        <v>320.128299389571</v>
      </c>
      <c r="I1661">
        <f>Table1[[#This Row],[Forecast]]*0.9</f>
        <v>288.11546945061389</v>
      </c>
      <c r="J1661">
        <f>Table1[[#This Row],[Forecast]]*0.8</f>
        <v>256.10263951165683</v>
      </c>
      <c r="K1661">
        <f>Table1[[#This Row],[Forecast]]*0.8</f>
        <v>256.10263951165683</v>
      </c>
      <c r="P1661" s="13">
        <f t="shared" si="49"/>
        <v>1.9268007595311101E-3</v>
      </c>
      <c r="Z1661" s="8"/>
      <c r="AA1661" s="8">
        <f>CONVERT(Table1[[#This Row],[RevisedForecast 30% Recution2]]*Table1[[#This Row],[Talk Duration (AVG)]],"day","hr")</f>
        <v>11.843010247895579</v>
      </c>
      <c r="AB1661" s="10">
        <f>(Table1[[#This Row],[Forecast Workload Hours]]*60)*1.2</f>
        <v>852.69673784848158</v>
      </c>
      <c r="AC1661" s="10">
        <f>IF(Table1[[#This Row],[Forecast WOrkload Minutes]]&lt;384,1,Table1[[#This Row],[Forecast WOrkload Minutes]]/384)</f>
        <v>2.2205644214804208</v>
      </c>
      <c r="AD1661" s="10">
        <f>ROUNDUP(Table1[[#This Row],[Forecast Headcount]],0)</f>
        <v>3</v>
      </c>
      <c r="AE1661" s="11">
        <v>213.97718540935011</v>
      </c>
      <c r="AF1661" s="11">
        <v>429.36175054416509</v>
      </c>
      <c r="AG1661" t="s">
        <v>7</v>
      </c>
    </row>
    <row r="1662" spans="1:33">
      <c r="A1662" s="2">
        <v>45543</v>
      </c>
      <c r="B1662" s="2"/>
      <c r="C1662" s="5">
        <f>WEEKDAY(Table1[[#This Row],[Date]])</f>
        <v>1</v>
      </c>
      <c r="D1662" s="5">
        <f>MONTH(Table1[[#This Row],[Date]])</f>
        <v>9</v>
      </c>
      <c r="E1662" s="5">
        <f>WEEKNUM(Table1[[#This Row],[Date]])</f>
        <v>37</v>
      </c>
      <c r="F1662" s="5">
        <f>YEAR(Table1[[#This Row],[Date]])</f>
        <v>2024</v>
      </c>
      <c r="H1662">
        <v>231.38359326834831</v>
      </c>
      <c r="I1662">
        <f>Table1[[#This Row],[Forecast]]*0.9</f>
        <v>208.24523394151348</v>
      </c>
      <c r="J1662">
        <f>Table1[[#This Row],[Forecast]]*0.8</f>
        <v>185.10687461467865</v>
      </c>
      <c r="K1662">
        <f>Table1[[#This Row],[Forecast]]*0.8</f>
        <v>185.10687461467865</v>
      </c>
      <c r="P1662" s="13">
        <f t="shared" si="49"/>
        <v>1.9268011262341372E-3</v>
      </c>
      <c r="Z1662" s="8"/>
      <c r="AA1662" s="8">
        <f>CONVERT(Table1[[#This Row],[RevisedForecast 30% Recution2]]*Table1[[#This Row],[Talk Duration (AVG)]],"day","hr")</f>
        <v>8.5599392275498563</v>
      </c>
      <c r="AB1662" s="10">
        <f>(Table1[[#This Row],[Forecast Workload Hours]]*60)*1.2</f>
        <v>616.31562438358969</v>
      </c>
      <c r="AC1662" s="10">
        <f>IF(Table1[[#This Row],[Forecast WOrkload Minutes]]&lt;384,1,Table1[[#This Row],[Forecast WOrkload Minutes]]/384)</f>
        <v>1.6049886051655982</v>
      </c>
      <c r="AD1662" s="10">
        <f>ROUNDUP(Table1[[#This Row],[Forecast Headcount]],0)</f>
        <v>2</v>
      </c>
      <c r="AE1662" s="11">
        <v>117.6025467381661</v>
      </c>
      <c r="AF1662" s="11">
        <v>343.85388220229288</v>
      </c>
      <c r="AG1662" t="s">
        <v>7</v>
      </c>
    </row>
    <row r="1663" spans="1:33">
      <c r="A1663" s="2">
        <v>45544</v>
      </c>
      <c r="B1663" s="2"/>
      <c r="C1663" s="5">
        <f>WEEKDAY(Table1[[#This Row],[Date]])</f>
        <v>2</v>
      </c>
      <c r="D1663" s="5">
        <f>MONTH(Table1[[#This Row],[Date]])</f>
        <v>9</v>
      </c>
      <c r="E1663" s="5">
        <f>WEEKNUM(Table1[[#This Row],[Date]])</f>
        <v>37</v>
      </c>
      <c r="F1663" s="5">
        <f>YEAR(Table1[[#This Row],[Date]])</f>
        <v>2024</v>
      </c>
      <c r="H1663">
        <v>331.0725324652912</v>
      </c>
      <c r="I1663">
        <f>Table1[[#This Row],[Forecast]]*0.9</f>
        <v>297.96527921876208</v>
      </c>
      <c r="J1663">
        <f>Table1[[#This Row],[Forecast]]*0.8</f>
        <v>264.85802597223295</v>
      </c>
      <c r="K1663">
        <f>Table1[[#This Row],[Forecast]]*0.8</f>
        <v>264.85802597223295</v>
      </c>
      <c r="P1663" s="13">
        <f t="shared" si="49"/>
        <v>1.9268014644051035E-3</v>
      </c>
      <c r="Z1663" s="8"/>
      <c r="AA1663" s="8">
        <f>CONVERT(Table1[[#This Row],[RevisedForecast 30% Recution2]]*Table1[[#This Row],[Talk Duration (AVG)]],"day","hr")</f>
        <v>12.247891975265842</v>
      </c>
      <c r="AB1663" s="10">
        <f>(Table1[[#This Row],[Forecast Workload Hours]]*60)*1.2</f>
        <v>881.84822221914067</v>
      </c>
      <c r="AC1663" s="10">
        <f>IF(Table1[[#This Row],[Forecast WOrkload Minutes]]&lt;384,1,Table1[[#This Row],[Forecast WOrkload Minutes]]/384)</f>
        <v>2.2964797453623453</v>
      </c>
      <c r="AD1663" s="10">
        <f>ROUNDUP(Table1[[#This Row],[Forecast Headcount]],0)</f>
        <v>3</v>
      </c>
      <c r="AE1663" s="11">
        <v>221.40315992649681</v>
      </c>
      <c r="AF1663" s="11">
        <v>440.63622525051699</v>
      </c>
      <c r="AG1663" t="s">
        <v>7</v>
      </c>
    </row>
    <row r="1664" spans="1:33">
      <c r="A1664" s="2">
        <v>45545</v>
      </c>
      <c r="B1664" s="2"/>
      <c r="C1664" s="5">
        <f>WEEKDAY(Table1[[#This Row],[Date]])</f>
        <v>3</v>
      </c>
      <c r="D1664" s="5">
        <f>MONTH(Table1[[#This Row],[Date]])</f>
        <v>9</v>
      </c>
      <c r="E1664" s="5">
        <f>WEEKNUM(Table1[[#This Row],[Date]])</f>
        <v>37</v>
      </c>
      <c r="F1664" s="5">
        <f>YEAR(Table1[[#This Row],[Date]])</f>
        <v>2024</v>
      </c>
      <c r="H1664">
        <v>314.76665510803429</v>
      </c>
      <c r="I1664">
        <f>Table1[[#This Row],[Forecast]]*0.9</f>
        <v>283.28998959723089</v>
      </c>
      <c r="J1664">
        <f>Table1[[#This Row],[Forecast]]*0.8</f>
        <v>251.81332408642743</v>
      </c>
      <c r="K1664">
        <f>Table1[[#This Row],[Forecast]]*0.8</f>
        <v>251.81332408642743</v>
      </c>
      <c r="P1664" s="13">
        <f t="shared" si="49"/>
        <v>1.9268017774242093E-3</v>
      </c>
      <c r="Z1664" s="8"/>
      <c r="AA1664" s="8">
        <f>CONVERT(Table1[[#This Row],[RevisedForecast 30% Recution2]]*Table1[[#This Row],[Talk Duration (AVG)]],"day","hr")</f>
        <v>11.644664650291844</v>
      </c>
      <c r="AB1664" s="10">
        <f>(Table1[[#This Row],[Forecast Workload Hours]]*60)*1.2</f>
        <v>838.41585482101277</v>
      </c>
      <c r="AC1664" s="10">
        <f>IF(Table1[[#This Row],[Forecast WOrkload Minutes]]&lt;384,1,Table1[[#This Row],[Forecast WOrkload Minutes]]/384)</f>
        <v>2.1833746219297208</v>
      </c>
      <c r="AD1664" s="10">
        <f>ROUNDUP(Table1[[#This Row],[Forecast Headcount]],0)</f>
        <v>3</v>
      </c>
      <c r="AE1664" s="11">
        <v>191.04465009554571</v>
      </c>
      <c r="AF1664" s="11">
        <v>420.47120765602511</v>
      </c>
      <c r="AG1664" t="s">
        <v>7</v>
      </c>
    </row>
    <row r="1665" spans="1:33">
      <c r="A1665" s="2">
        <v>45546</v>
      </c>
      <c r="B1665" s="2"/>
      <c r="C1665" s="5">
        <f>WEEKDAY(Table1[[#This Row],[Date]])</f>
        <v>4</v>
      </c>
      <c r="D1665" s="5">
        <f>MONTH(Table1[[#This Row],[Date]])</f>
        <v>9</v>
      </c>
      <c r="E1665" s="5">
        <f>WEEKNUM(Table1[[#This Row],[Date]])</f>
        <v>37</v>
      </c>
      <c r="F1665" s="5">
        <f>YEAR(Table1[[#This Row],[Date]])</f>
        <v>2024</v>
      </c>
      <c r="H1665">
        <v>326.68613781490819</v>
      </c>
      <c r="I1665">
        <f>Table1[[#This Row],[Forecast]]*0.9</f>
        <v>294.01752403341737</v>
      </c>
      <c r="J1665">
        <f>Table1[[#This Row],[Forecast]]*0.8</f>
        <v>261.34891025192655</v>
      </c>
      <c r="K1665">
        <f>Table1[[#This Row],[Forecast]]*0.8</f>
        <v>261.34891025192655</v>
      </c>
      <c r="P1665" s="13">
        <f t="shared" si="49"/>
        <v>1.9268020682423881E-3</v>
      </c>
      <c r="Z1665" s="8"/>
      <c r="AA1665" s="8">
        <f>CONVERT(Table1[[#This Row],[RevisedForecast 30% Recution2]]*Table1[[#This Row],[Talk Duration (AVG)]],"day","hr")</f>
        <v>12.085622899351353</v>
      </c>
      <c r="AB1665" s="10">
        <f>(Table1[[#This Row],[Forecast Workload Hours]]*60)*1.2</f>
        <v>870.16484875329741</v>
      </c>
      <c r="AC1665" s="10">
        <f>IF(Table1[[#This Row],[Forecast WOrkload Minutes]]&lt;384,1,Table1[[#This Row],[Forecast WOrkload Minutes]]/384)</f>
        <v>2.2660542936283785</v>
      </c>
      <c r="AD1665" s="10">
        <f>ROUNDUP(Table1[[#This Row],[Forecast Headcount]],0)</f>
        <v>3</v>
      </c>
      <c r="AE1665" s="11">
        <v>215.63547740848341</v>
      </c>
      <c r="AF1665" s="11">
        <v>448.96056681921488</v>
      </c>
      <c r="AG1665" t="s">
        <v>7</v>
      </c>
    </row>
    <row r="1666" spans="1:33">
      <c r="A1666" s="2">
        <v>45547</v>
      </c>
      <c r="B1666" s="2"/>
      <c r="C1666" s="5">
        <f>WEEKDAY(Table1[[#This Row],[Date]])</f>
        <v>5</v>
      </c>
      <c r="D1666" s="5">
        <f>MONTH(Table1[[#This Row],[Date]])</f>
        <v>9</v>
      </c>
      <c r="E1666" s="5">
        <f>WEEKNUM(Table1[[#This Row],[Date]])</f>
        <v>37</v>
      </c>
      <c r="F1666" s="5">
        <f>YEAR(Table1[[#This Row],[Date]])</f>
        <v>2024</v>
      </c>
      <c r="H1666">
        <v>321.56771216405639</v>
      </c>
      <c r="I1666">
        <f>Table1[[#This Row],[Forecast]]*0.9</f>
        <v>289.41094094765077</v>
      </c>
      <c r="J1666">
        <f>Table1[[#This Row],[Forecast]]*0.8</f>
        <v>257.2541697312451</v>
      </c>
      <c r="K1666">
        <f>Table1[[#This Row],[Forecast]]*0.8</f>
        <v>257.2541697312451</v>
      </c>
      <c r="P1666" s="13">
        <f t="shared" si="49"/>
        <v>1.9268023399814746E-3</v>
      </c>
      <c r="Z1666" s="8"/>
      <c r="AA1666" s="8">
        <f>CONVERT(Table1[[#This Row],[RevisedForecast 30% Recution2]]*Table1[[#This Row],[Talk Duration (AVG)]],"day","hr")</f>
        <v>11.896270468995708</v>
      </c>
      <c r="AB1666" s="10">
        <f>(Table1[[#This Row],[Forecast Workload Hours]]*60)*1.2</f>
        <v>856.53147376769095</v>
      </c>
      <c r="AC1666" s="10">
        <f>IF(Table1[[#This Row],[Forecast WOrkload Minutes]]&lt;384,1,Table1[[#This Row],[Forecast WOrkload Minutes]]/384)</f>
        <v>2.230550712936695</v>
      </c>
      <c r="AD1666" s="10">
        <f>ROUNDUP(Table1[[#This Row],[Forecast Headcount]],0)</f>
        <v>3</v>
      </c>
      <c r="AE1666" s="11">
        <v>212.86337325519011</v>
      </c>
      <c r="AF1666" s="11">
        <v>445.33116728496901</v>
      </c>
      <c r="AG1666" t="s">
        <v>7</v>
      </c>
    </row>
    <row r="1667" spans="1:33">
      <c r="A1667" s="2">
        <v>45548</v>
      </c>
      <c r="B1667" s="2"/>
      <c r="C1667" s="5">
        <f>WEEKDAY(Table1[[#This Row],[Date]])</f>
        <v>6</v>
      </c>
      <c r="D1667" s="5">
        <f>MONTH(Table1[[#This Row],[Date]])</f>
        <v>9</v>
      </c>
      <c r="E1667" s="5">
        <f>WEEKNUM(Table1[[#This Row],[Date]])</f>
        <v>37</v>
      </c>
      <c r="F1667" s="5">
        <f>YEAR(Table1[[#This Row],[Date]])</f>
        <v>2024</v>
      </c>
      <c r="H1667">
        <v>312.31459418717401</v>
      </c>
      <c r="I1667">
        <f>Table1[[#This Row],[Forecast]]*0.9</f>
        <v>281.0831347684566</v>
      </c>
      <c r="J1667">
        <f>Table1[[#This Row],[Forecast]]*0.8</f>
        <v>249.85167534973922</v>
      </c>
      <c r="K1667">
        <f>Table1[[#This Row],[Forecast]]*0.8</f>
        <v>249.85167534973922</v>
      </c>
      <c r="P1667" s="13">
        <f t="shared" si="49"/>
        <v>1.9268025954974738E-3</v>
      </c>
      <c r="Z1667" s="8"/>
      <c r="AA1667" s="8">
        <f>CONVERT(Table1[[#This Row],[RevisedForecast 30% Recution2]]*Table1[[#This Row],[Talk Duration (AVG)]],"day","hr")</f>
        <v>11.553956557278475</v>
      </c>
      <c r="AB1667" s="10">
        <f>(Table1[[#This Row],[Forecast Workload Hours]]*60)*1.2</f>
        <v>831.88487212405028</v>
      </c>
      <c r="AC1667" s="10">
        <f>IF(Table1[[#This Row],[Forecast WOrkload Minutes]]&lt;384,1,Table1[[#This Row],[Forecast WOrkload Minutes]]/384)</f>
        <v>2.1663668544897141</v>
      </c>
      <c r="AD1667" s="10">
        <f>ROUNDUP(Table1[[#This Row],[Forecast Headcount]],0)</f>
        <v>3</v>
      </c>
      <c r="AE1667" s="11">
        <v>200.38735000791189</v>
      </c>
      <c r="AF1667" s="11">
        <v>422.36171954968398</v>
      </c>
      <c r="AG1667" t="s">
        <v>7</v>
      </c>
    </row>
    <row r="1668" spans="1:33">
      <c r="A1668" s="2">
        <v>45549</v>
      </c>
      <c r="B1668" s="2"/>
      <c r="C1668" s="5">
        <f>WEEKDAY(Table1[[#This Row],[Date]])</f>
        <v>7</v>
      </c>
      <c r="D1668" s="5">
        <f>MONTH(Table1[[#This Row],[Date]])</f>
        <v>9</v>
      </c>
      <c r="E1668" s="5">
        <f>WEEKNUM(Table1[[#This Row],[Date]])</f>
        <v>37</v>
      </c>
      <c r="F1668" s="5">
        <f>YEAR(Table1[[#This Row],[Date]])</f>
        <v>2024</v>
      </c>
      <c r="H1668">
        <v>319.05570601488722</v>
      </c>
      <c r="I1668">
        <f>Table1[[#This Row],[Forecast]]*0.9</f>
        <v>287.15013541339852</v>
      </c>
      <c r="J1668">
        <f>Table1[[#This Row],[Forecast]]*0.8</f>
        <v>255.24456481190978</v>
      </c>
      <c r="K1668">
        <f>Table1[[#This Row],[Forecast]]*0.8</f>
        <v>255.24456481190978</v>
      </c>
      <c r="P1668" s="13">
        <f t="shared" si="49"/>
        <v>1.9268028371040181E-3</v>
      </c>
      <c r="Z1668" s="8"/>
      <c r="AA1668" s="8">
        <f>CONVERT(Table1[[#This Row],[RevisedForecast 30% Recution2]]*Table1[[#This Row],[Talk Duration (AVG)]],"day","hr")</f>
        <v>11.803342839239237</v>
      </c>
      <c r="AB1668" s="10">
        <f>(Table1[[#This Row],[Forecast Workload Hours]]*60)*1.2</f>
        <v>849.84068442522505</v>
      </c>
      <c r="AC1668" s="10">
        <f>IF(Table1[[#This Row],[Forecast WOrkload Minutes]]&lt;384,1,Table1[[#This Row],[Forecast WOrkload Minutes]]/384)</f>
        <v>2.213126782357357</v>
      </c>
      <c r="AD1668" s="10">
        <f>ROUNDUP(Table1[[#This Row],[Forecast Headcount]],0)</f>
        <v>3</v>
      </c>
      <c r="AE1668" s="11">
        <v>200.681878724586</v>
      </c>
      <c r="AF1668" s="11">
        <v>432.55175836801442</v>
      </c>
      <c r="AG1668" t="s">
        <v>7</v>
      </c>
    </row>
    <row r="1669" spans="1:33">
      <c r="A1669" s="2">
        <v>45550</v>
      </c>
      <c r="B1669" s="2"/>
      <c r="C1669" s="5">
        <f>WEEKDAY(Table1[[#This Row],[Date]])</f>
        <v>1</v>
      </c>
      <c r="D1669" s="5">
        <f>MONTH(Table1[[#This Row],[Date]])</f>
        <v>9</v>
      </c>
      <c r="E1669" s="5">
        <f>WEEKNUM(Table1[[#This Row],[Date]])</f>
        <v>38</v>
      </c>
      <c r="F1669" s="5">
        <f>YEAR(Table1[[#This Row],[Date]])</f>
        <v>2024</v>
      </c>
      <c r="H1669">
        <v>229.9633727360557</v>
      </c>
      <c r="I1669">
        <f>Table1[[#This Row],[Forecast]]*0.9</f>
        <v>206.96703546245013</v>
      </c>
      <c r="J1669">
        <f>Table1[[#This Row],[Forecast]]*0.8</f>
        <v>183.97069818884458</v>
      </c>
      <c r="K1669">
        <f>Table1[[#This Row],[Forecast]]*0.8</f>
        <v>183.97069818884458</v>
      </c>
      <c r="P1669" s="13">
        <f t="shared" si="49"/>
        <v>1.9268030665505302E-3</v>
      </c>
      <c r="Z1669" s="8"/>
      <c r="AA1669" s="8">
        <f>CONVERT(Table1[[#This Row],[RevisedForecast 30% Recution2]]*Table1[[#This Row],[Talk Duration (AVG)]],"day","hr")</f>
        <v>8.5074073302169868</v>
      </c>
      <c r="AB1669" s="10">
        <f>(Table1[[#This Row],[Forecast Workload Hours]]*60)*1.2</f>
        <v>612.53332777562298</v>
      </c>
      <c r="AC1669" s="10">
        <f>IF(Table1[[#This Row],[Forecast WOrkload Minutes]]&lt;384,1,Table1[[#This Row],[Forecast WOrkload Minutes]]/384)</f>
        <v>1.5951388744156849</v>
      </c>
      <c r="AD1669" s="10">
        <f>ROUNDUP(Table1[[#This Row],[Forecast Headcount]],0)</f>
        <v>2</v>
      </c>
      <c r="AE1669" s="11">
        <v>117.0956475999878</v>
      </c>
      <c r="AF1669" s="11">
        <v>344.36834174253278</v>
      </c>
      <c r="AG1669" t="s">
        <v>7</v>
      </c>
    </row>
    <row r="1670" spans="1:33">
      <c r="A1670" s="2">
        <v>45551</v>
      </c>
      <c r="B1670" s="2"/>
      <c r="C1670" s="5">
        <f>WEEKDAY(Table1[[#This Row],[Date]])</f>
        <v>2</v>
      </c>
      <c r="D1670" s="5">
        <f>MONTH(Table1[[#This Row],[Date]])</f>
        <v>9</v>
      </c>
      <c r="E1670" s="5">
        <f>WEEKNUM(Table1[[#This Row],[Date]])</f>
        <v>38</v>
      </c>
      <c r="F1670" s="5">
        <f>YEAR(Table1[[#This Row],[Date]])</f>
        <v>2024</v>
      </c>
      <c r="H1670">
        <v>329.41179917264202</v>
      </c>
      <c r="I1670">
        <f>Table1[[#This Row],[Forecast]]*0.9</f>
        <v>296.47061925537781</v>
      </c>
      <c r="J1670">
        <f>Table1[[#This Row],[Forecast]]*0.8</f>
        <v>263.5294393381136</v>
      </c>
      <c r="K1670">
        <f>Table1[[#This Row],[Forecast]]*0.8</f>
        <v>263.5294393381136</v>
      </c>
      <c r="P1670" s="13">
        <f t="shared" si="49"/>
        <v>1.9268032839402872E-3</v>
      </c>
      <c r="Z1670" s="8"/>
      <c r="AA1670" s="8">
        <f>CONVERT(Table1[[#This Row],[RevisedForecast 30% Recution2]]*Table1[[#This Row],[Talk Duration (AVG)]],"day","hr")</f>
        <v>12.186465339158879</v>
      </c>
      <c r="AB1670" s="10">
        <f>(Table1[[#This Row],[Forecast Workload Hours]]*60)*1.2</f>
        <v>877.42550441943933</v>
      </c>
      <c r="AC1670" s="10">
        <f>IF(Table1[[#This Row],[Forecast WOrkload Minutes]]&lt;384,1,Table1[[#This Row],[Forecast WOrkload Minutes]]/384)</f>
        <v>2.2849622510922898</v>
      </c>
      <c r="AD1670" s="10">
        <f>ROUNDUP(Table1[[#This Row],[Forecast Headcount]],0)</f>
        <v>3</v>
      </c>
      <c r="AE1670" s="11">
        <v>211.33874596959319</v>
      </c>
      <c r="AF1670" s="11">
        <v>433.09803102827891</v>
      </c>
      <c r="AG1670" t="s">
        <v>7</v>
      </c>
    </row>
    <row r="1671" spans="1:33">
      <c r="A1671" s="2">
        <v>45552</v>
      </c>
      <c r="B1671" s="2"/>
      <c r="C1671" s="5">
        <f>WEEKDAY(Table1[[#This Row],[Date]])</f>
        <v>3</v>
      </c>
      <c r="D1671" s="5">
        <f>MONTH(Table1[[#This Row],[Date]])</f>
        <v>9</v>
      </c>
      <c r="E1671" s="5">
        <f>WEEKNUM(Table1[[#This Row],[Date]])</f>
        <v>38</v>
      </c>
      <c r="F1671" s="5">
        <f>YEAR(Table1[[#This Row],[Date]])</f>
        <v>2024</v>
      </c>
      <c r="H1671">
        <v>312.98193460127402</v>
      </c>
      <c r="I1671">
        <f>Table1[[#This Row],[Forecast]]*0.9</f>
        <v>281.68374114114664</v>
      </c>
      <c r="J1671">
        <f>Table1[[#This Row],[Forecast]]*0.8</f>
        <v>250.38554768101923</v>
      </c>
      <c r="K1671">
        <f>Table1[[#This Row],[Forecast]]*0.8</f>
        <v>250.38554768101923</v>
      </c>
      <c r="P1671" s="13">
        <f t="shared" si="49"/>
        <v>1.9268034885508989E-3</v>
      </c>
      <c r="Z1671" s="8"/>
      <c r="AA1671" s="8">
        <f>CONVERT(Table1[[#This Row],[RevisedForecast 30% Recution2]]*Table1[[#This Row],[Talk Duration (AVG)]],"day","hr")</f>
        <v>11.578649922108367</v>
      </c>
      <c r="AB1671" s="10">
        <f>(Table1[[#This Row],[Forecast Workload Hours]]*60)*1.2</f>
        <v>833.66279439180244</v>
      </c>
      <c r="AC1671" s="10">
        <f>IF(Table1[[#This Row],[Forecast WOrkload Minutes]]&lt;384,1,Table1[[#This Row],[Forecast WOrkload Minutes]]/384)</f>
        <v>2.1709968603953187</v>
      </c>
      <c r="AD1671" s="10">
        <f>ROUNDUP(Table1[[#This Row],[Forecast Headcount]],0)</f>
        <v>3</v>
      </c>
      <c r="AE1671" s="11">
        <v>200.04407296331121</v>
      </c>
      <c r="AF1671" s="11">
        <v>424.05759246970769</v>
      </c>
      <c r="AG1671" t="s">
        <v>7</v>
      </c>
    </row>
    <row r="1672" spans="1:33">
      <c r="A1672" s="2">
        <v>45553</v>
      </c>
      <c r="B1672" s="2"/>
      <c r="C1672" s="5">
        <f>WEEKDAY(Table1[[#This Row],[Date]])</f>
        <v>4</v>
      </c>
      <c r="D1672" s="5">
        <f>MONTH(Table1[[#This Row],[Date]])</f>
        <v>9</v>
      </c>
      <c r="E1672" s="5">
        <f>WEEKNUM(Table1[[#This Row],[Date]])</f>
        <v>38</v>
      </c>
      <c r="F1672" s="5">
        <f>YEAR(Table1[[#This Row],[Date]])</f>
        <v>2024</v>
      </c>
      <c r="H1672">
        <v>324.9007383310169</v>
      </c>
      <c r="I1672">
        <f>Table1[[#This Row],[Forecast]]*0.9</f>
        <v>292.41066449791521</v>
      </c>
      <c r="J1672">
        <f>Table1[[#This Row],[Forecast]]*0.8</f>
        <v>259.92059066481352</v>
      </c>
      <c r="K1672">
        <f>Table1[[#This Row],[Forecast]]*0.8</f>
        <v>259.92059066481352</v>
      </c>
      <c r="P1672" s="13">
        <f t="shared" si="49"/>
        <v>1.9268036781852592E-3</v>
      </c>
      <c r="Z1672" s="8"/>
      <c r="AA1672" s="8">
        <f>CONVERT(Table1[[#This Row],[RevisedForecast 30% Recution2]]*Table1[[#This Row],[Talk Duration (AVG)]],"day","hr")</f>
        <v>12.019582803097146</v>
      </c>
      <c r="AB1672" s="10">
        <f>(Table1[[#This Row],[Forecast Workload Hours]]*60)*1.2</f>
        <v>865.40996182299455</v>
      </c>
      <c r="AC1672" s="10">
        <f>IF(Table1[[#This Row],[Forecast WOrkload Minutes]]&lt;384,1,Table1[[#This Row],[Forecast WOrkload Minutes]]/384)</f>
        <v>2.253671775580715</v>
      </c>
      <c r="AD1672" s="10">
        <f>ROUNDUP(Table1[[#This Row],[Forecast Headcount]],0)</f>
        <v>3</v>
      </c>
      <c r="AE1672" s="11">
        <v>213.42562066999929</v>
      </c>
      <c r="AF1672" s="11">
        <v>435.99388962463593</v>
      </c>
      <c r="AG1672" t="s">
        <v>7</v>
      </c>
    </row>
    <row r="1673" spans="1:33">
      <c r="A1673" s="2">
        <v>45554</v>
      </c>
      <c r="B1673" s="2"/>
      <c r="C1673" s="5">
        <f>WEEKDAY(Table1[[#This Row],[Date]])</f>
        <v>5</v>
      </c>
      <c r="D1673" s="5">
        <f>MONTH(Table1[[#This Row],[Date]])</f>
        <v>9</v>
      </c>
      <c r="E1673" s="5">
        <f>WEEKNUM(Table1[[#This Row],[Date]])</f>
        <v>38</v>
      </c>
      <c r="F1673" s="5">
        <f>YEAR(Table1[[#This Row],[Date]])</f>
        <v>2024</v>
      </c>
      <c r="H1673">
        <v>319.90896410688993</v>
      </c>
      <c r="I1673">
        <f>Table1[[#This Row],[Forecast]]*0.9</f>
        <v>287.91806769620092</v>
      </c>
      <c r="J1673">
        <f>Table1[[#This Row],[Forecast]]*0.8</f>
        <v>255.92717128551195</v>
      </c>
      <c r="K1673">
        <f>Table1[[#This Row],[Forecast]]*0.8</f>
        <v>255.92717128551195</v>
      </c>
      <c r="P1673" s="13">
        <f t="shared" si="49"/>
        <v>1.9268038501763318E-3</v>
      </c>
      <c r="Z1673" s="8"/>
      <c r="AA1673" s="8">
        <f>CONVERT(Table1[[#This Row],[RevisedForecast 30% Recution2]]*Table1[[#This Row],[Talk Duration (AVG)]],"day","hr")</f>
        <v>11.834915015943889</v>
      </c>
      <c r="AB1673" s="10">
        <f>(Table1[[#This Row],[Forecast Workload Hours]]*60)*1.2</f>
        <v>852.11388114795989</v>
      </c>
      <c r="AC1673" s="10">
        <f>IF(Table1[[#This Row],[Forecast WOrkload Minutes]]&lt;384,1,Table1[[#This Row],[Forecast WOrkload Minutes]]/384)</f>
        <v>2.2190465654894789</v>
      </c>
      <c r="AD1673" s="10">
        <f>ROUNDUP(Table1[[#This Row],[Forecast Headcount]],0)</f>
        <v>3</v>
      </c>
      <c r="AE1673" s="11">
        <v>205.538380444886</v>
      </c>
      <c r="AF1673" s="11">
        <v>432.87678635619392</v>
      </c>
      <c r="AG1673" t="s">
        <v>7</v>
      </c>
    </row>
    <row r="1674" spans="1:33">
      <c r="A1674" s="2">
        <v>45555</v>
      </c>
      <c r="B1674" s="2"/>
      <c r="C1674" s="5">
        <f>WEEKDAY(Table1[[#This Row],[Date]])</f>
        <v>6</v>
      </c>
      <c r="D1674" s="5">
        <f>MONTH(Table1[[#This Row],[Date]])</f>
        <v>9</v>
      </c>
      <c r="E1674" s="5">
        <f>WEEKNUM(Table1[[#This Row],[Date]])</f>
        <v>38</v>
      </c>
      <c r="F1674" s="5">
        <f>YEAR(Table1[[#This Row],[Date]])</f>
        <v>2024</v>
      </c>
      <c r="H1674">
        <v>310.91101826546839</v>
      </c>
      <c r="I1674">
        <f>Table1[[#This Row],[Forecast]]*0.9</f>
        <v>279.81991643892155</v>
      </c>
      <c r="J1674">
        <f>Table1[[#This Row],[Forecast]]*0.8</f>
        <v>248.72881461237472</v>
      </c>
      <c r="K1674">
        <f>Table1[[#This Row],[Forecast]]*0.8</f>
        <v>248.72881461237472</v>
      </c>
      <c r="P1674" s="13">
        <f t="shared" si="49"/>
        <v>1.9268040021653702E-3</v>
      </c>
      <c r="Z1674" s="8"/>
      <c r="AA1674" s="8">
        <f>CONVERT(Table1[[#This Row],[RevisedForecast 30% Recution2]]*Table1[[#This Row],[Talk Duration (AVG)]],"day","hr")</f>
        <v>11.502040210775327</v>
      </c>
      <c r="AB1674" s="10">
        <f>(Table1[[#This Row],[Forecast Workload Hours]]*60)*1.2</f>
        <v>828.14689517582349</v>
      </c>
      <c r="AC1674" s="10">
        <f>IF(Table1[[#This Row],[Forecast WOrkload Minutes]]&lt;384,1,Table1[[#This Row],[Forecast WOrkload Minutes]]/384)</f>
        <v>2.1566325395203738</v>
      </c>
      <c r="AD1674" s="10">
        <f>ROUNDUP(Table1[[#This Row],[Forecast Headcount]],0)</f>
        <v>3</v>
      </c>
      <c r="AE1674" s="11">
        <v>202.91863027196129</v>
      </c>
      <c r="AF1674" s="11">
        <v>431.53787752715328</v>
      </c>
      <c r="AG1674" t="s">
        <v>7</v>
      </c>
    </row>
    <row r="1675" spans="1:33">
      <c r="A1675" s="2">
        <v>45556</v>
      </c>
      <c r="B1675" s="2"/>
      <c r="C1675" s="5">
        <f>WEEKDAY(Table1[[#This Row],[Date]])</f>
        <v>7</v>
      </c>
      <c r="D1675" s="5">
        <f>MONTH(Table1[[#This Row],[Date]])</f>
        <v>9</v>
      </c>
      <c r="E1675" s="5">
        <f>WEEKNUM(Table1[[#This Row],[Date]])</f>
        <v>38</v>
      </c>
      <c r="F1675" s="5">
        <f>YEAR(Table1[[#This Row],[Date]])</f>
        <v>2024</v>
      </c>
      <c r="H1675">
        <v>318.03417102617351</v>
      </c>
      <c r="I1675">
        <f>Table1[[#This Row],[Forecast]]*0.9</f>
        <v>286.23075392355616</v>
      </c>
      <c r="J1675">
        <f>Table1[[#This Row],[Forecast]]*0.8</f>
        <v>254.42733682093882</v>
      </c>
      <c r="K1675">
        <f>Table1[[#This Row],[Forecast]]*0.8</f>
        <v>254.42733682093882</v>
      </c>
      <c r="P1675" s="13">
        <f t="shared" si="49"/>
        <v>1.9268041316733047E-3</v>
      </c>
      <c r="Z1675" s="8"/>
      <c r="AA1675" s="8">
        <f>CONVERT(Table1[[#This Row],[RevisedForecast 30% Recution2]]*Table1[[#This Row],[Talk Duration (AVG)]],"day","hr")</f>
        <v>11.765559451133292</v>
      </c>
      <c r="AB1675" s="10">
        <f>(Table1[[#This Row],[Forecast Workload Hours]]*60)*1.2</f>
        <v>847.12028048159698</v>
      </c>
      <c r="AC1675" s="10">
        <f>IF(Table1[[#This Row],[Forecast WOrkload Minutes]]&lt;384,1,Table1[[#This Row],[Forecast WOrkload Minutes]]/384)</f>
        <v>2.2060423970874923</v>
      </c>
      <c r="AD1675" s="10">
        <f>ROUNDUP(Table1[[#This Row],[Forecast Headcount]],0)</f>
        <v>3</v>
      </c>
      <c r="AE1675" s="11">
        <v>214.249389361634</v>
      </c>
      <c r="AF1675" s="11">
        <v>433.98962333109421</v>
      </c>
      <c r="AG1675" t="s">
        <v>7</v>
      </c>
    </row>
    <row r="1676" spans="1:33">
      <c r="A1676" s="2">
        <v>45557</v>
      </c>
      <c r="B1676" s="2"/>
      <c r="C1676" s="5">
        <f>WEEKDAY(Table1[[#This Row],[Date]])</f>
        <v>1</v>
      </c>
      <c r="D1676" s="5">
        <f>MONTH(Table1[[#This Row],[Date]])</f>
        <v>9</v>
      </c>
      <c r="E1676" s="5">
        <f>WEEKNUM(Table1[[#This Row],[Date]])</f>
        <v>39</v>
      </c>
      <c r="F1676" s="5">
        <f>YEAR(Table1[[#This Row],[Date]])</f>
        <v>2024</v>
      </c>
      <c r="H1676">
        <v>229.44630286065231</v>
      </c>
      <c r="I1676">
        <f>Table1[[#This Row],[Forecast]]*0.9</f>
        <v>206.50167257458708</v>
      </c>
      <c r="J1676">
        <f>Table1[[#This Row],[Forecast]]*0.8</f>
        <v>183.55704228852187</v>
      </c>
      <c r="K1676">
        <f>Table1[[#This Row],[Forecast]]*0.8</f>
        <v>183.55704228852187</v>
      </c>
      <c r="P1676" s="13">
        <f t="shared" si="49"/>
        <v>1.9268042363623106E-3</v>
      </c>
      <c r="Z1676" s="8"/>
      <c r="AA1676" s="8">
        <f>CONVERT(Table1[[#This Row],[RevisedForecast 30% Recution2]]*Table1[[#This Row],[Talk Duration (AVG)]],"day","hr")</f>
        <v>8.4882836806958348</v>
      </c>
      <c r="AB1676" s="10">
        <f>(Table1[[#This Row],[Forecast Workload Hours]]*60)*1.2</f>
        <v>611.15642501010007</v>
      </c>
      <c r="AC1676" s="10">
        <f>IF(Table1[[#This Row],[Forecast WOrkload Minutes]]&lt;384,1,Table1[[#This Row],[Forecast WOrkload Minutes]]/384)</f>
        <v>1.5915531901304689</v>
      </c>
      <c r="AD1676" s="10">
        <f>ROUNDUP(Table1[[#This Row],[Forecast Headcount]],0)</f>
        <v>2</v>
      </c>
      <c r="AE1676" s="11">
        <v>119.1242408729634</v>
      </c>
      <c r="AF1676" s="11">
        <v>345.53023792204488</v>
      </c>
      <c r="AG1676" t="s">
        <v>7</v>
      </c>
    </row>
    <row r="1677" spans="1:33">
      <c r="A1677" s="2">
        <v>45558</v>
      </c>
      <c r="B1677" s="2"/>
      <c r="C1677" s="5">
        <f>WEEKDAY(Table1[[#This Row],[Date]])</f>
        <v>2</v>
      </c>
      <c r="D1677" s="5">
        <f>MONTH(Table1[[#This Row],[Date]])</f>
        <v>9</v>
      </c>
      <c r="E1677" s="5">
        <f>WEEKNUM(Table1[[#This Row],[Date]])</f>
        <v>39</v>
      </c>
      <c r="F1677" s="5">
        <f>YEAR(Table1[[#This Row],[Date]])</f>
        <v>2024</v>
      </c>
      <c r="H1677">
        <v>329.51448819161612</v>
      </c>
      <c r="I1677">
        <f>Table1[[#This Row],[Forecast]]*0.9</f>
        <v>296.56303937245451</v>
      </c>
      <c r="J1677">
        <f>Table1[[#This Row],[Forecast]]*0.8</f>
        <v>263.6115905532929</v>
      </c>
      <c r="K1677">
        <f>Table1[[#This Row],[Forecast]]*0.8</f>
        <v>263.6115905532929</v>
      </c>
      <c r="P1677" s="13">
        <f t="shared" si="49"/>
        <v>1.9268043151901987E-3</v>
      </c>
      <c r="Z1677" s="8"/>
      <c r="AA1677" s="8">
        <f>CONVERT(Table1[[#This Row],[RevisedForecast 30% Recution2]]*Table1[[#This Row],[Talk Duration (AVG)]],"day","hr")</f>
        <v>12.190270805093679</v>
      </c>
      <c r="AB1677" s="10">
        <f>(Table1[[#This Row],[Forecast Workload Hours]]*60)*1.2</f>
        <v>877.69949796674484</v>
      </c>
      <c r="AC1677" s="10">
        <f>IF(Table1[[#This Row],[Forecast WOrkload Minutes]]&lt;384,1,Table1[[#This Row],[Forecast WOrkload Minutes]]/384)</f>
        <v>2.2856757759550645</v>
      </c>
      <c r="AD1677" s="10">
        <f>ROUNDUP(Table1[[#This Row],[Forecast Headcount]],0)</f>
        <v>3</v>
      </c>
      <c r="AE1677" s="11">
        <v>224.805096117533</v>
      </c>
      <c r="AF1677" s="11">
        <v>442.93084320765013</v>
      </c>
      <c r="AG1677" t="s">
        <v>7</v>
      </c>
    </row>
    <row r="1678" spans="1:33">
      <c r="A1678" s="2">
        <v>45559</v>
      </c>
      <c r="B1678" s="2"/>
      <c r="C1678" s="5">
        <f>WEEKDAY(Table1[[#This Row],[Date]])</f>
        <v>3</v>
      </c>
      <c r="D1678" s="5">
        <f>MONTH(Table1[[#This Row],[Date]])</f>
        <v>9</v>
      </c>
      <c r="E1678" s="5">
        <f>WEEKNUM(Table1[[#This Row],[Date]])</f>
        <v>39</v>
      </c>
      <c r="F1678" s="5">
        <f>YEAR(Table1[[#This Row],[Date]])</f>
        <v>2024</v>
      </c>
      <c r="H1678">
        <v>313.81002080275567</v>
      </c>
      <c r="I1678">
        <f>Table1[[#This Row],[Forecast]]*0.9</f>
        <v>282.42901872248012</v>
      </c>
      <c r="J1678">
        <f>Table1[[#This Row],[Forecast]]*0.8</f>
        <v>251.04801664220454</v>
      </c>
      <c r="K1678">
        <f>Table1[[#This Row],[Forecast]]*0.8</f>
        <v>251.04801664220454</v>
      </c>
      <c r="P1678" s="13">
        <f t="shared" si="49"/>
        <v>1.9268043662525479E-3</v>
      </c>
      <c r="Z1678" s="8"/>
      <c r="AA1678" s="8">
        <f>CONVERT(Table1[[#This Row],[RevisedForecast 30% Recution2]]*Table1[[#This Row],[Talk Duration (AVG)]],"day","hr")</f>
        <v>11.609289950525808</v>
      </c>
      <c r="AB1678" s="10">
        <f>(Table1[[#This Row],[Forecast Workload Hours]]*60)*1.2</f>
        <v>835.86887643785815</v>
      </c>
      <c r="AC1678" s="10">
        <f>IF(Table1[[#This Row],[Forecast WOrkload Minutes]]&lt;384,1,Table1[[#This Row],[Forecast WOrkload Minutes]]/384)</f>
        <v>2.1767418657235891</v>
      </c>
      <c r="AD1678" s="10">
        <f>ROUNDUP(Table1[[#This Row],[Forecast Headcount]],0)</f>
        <v>3</v>
      </c>
      <c r="AE1678" s="11">
        <v>188.21508802291959</v>
      </c>
      <c r="AF1678" s="11">
        <v>430.44878509344221</v>
      </c>
      <c r="AG1678" t="s">
        <v>7</v>
      </c>
    </row>
    <row r="1679" spans="1:33">
      <c r="A1679" s="2">
        <v>45560</v>
      </c>
      <c r="B1679" s="2"/>
      <c r="C1679" s="5">
        <f>WEEKDAY(Table1[[#This Row],[Date]])</f>
        <v>4</v>
      </c>
      <c r="D1679" s="5">
        <f>MONTH(Table1[[#This Row],[Date]])</f>
        <v>9</v>
      </c>
      <c r="E1679" s="5">
        <f>WEEKNUM(Table1[[#This Row],[Date]])</f>
        <v>39</v>
      </c>
      <c r="F1679" s="5">
        <f>YEAR(Table1[[#This Row],[Date]])</f>
        <v>2024</v>
      </c>
      <c r="H1679">
        <v>326.54788913564357</v>
      </c>
      <c r="I1679">
        <f>Table1[[#This Row],[Forecast]]*0.9</f>
        <v>293.89310022207923</v>
      </c>
      <c r="J1679">
        <f>Table1[[#This Row],[Forecast]]*0.8</f>
        <v>261.23831130851488</v>
      </c>
      <c r="K1679">
        <f>Table1[[#This Row],[Forecast]]*0.8</f>
        <v>261.23831130851488</v>
      </c>
      <c r="P1679" s="13">
        <f t="shared" si="49"/>
        <v>1.9268043876339181E-3</v>
      </c>
      <c r="Z1679" s="8"/>
      <c r="AA1679" s="8">
        <f>CONVERT(Table1[[#This Row],[RevisedForecast 30% Recution2]]*Table1[[#This Row],[Talk Duration (AVG)]],"day","hr")</f>
        <v>12.080522986735724</v>
      </c>
      <c r="AB1679" s="10">
        <f>(Table1[[#This Row],[Forecast Workload Hours]]*60)*1.2</f>
        <v>869.79765504497209</v>
      </c>
      <c r="AC1679" s="10">
        <f>IF(Table1[[#This Row],[Forecast WOrkload Minutes]]&lt;384,1,Table1[[#This Row],[Forecast WOrkload Minutes]]/384)</f>
        <v>2.265098060012948</v>
      </c>
      <c r="AD1679" s="10">
        <f>ROUNDUP(Table1[[#This Row],[Forecast Headcount]],0)</f>
        <v>3</v>
      </c>
      <c r="AE1679" s="11">
        <v>203.78336253402509</v>
      </c>
      <c r="AF1679" s="11">
        <v>432.08229007657587</v>
      </c>
      <c r="AG1679" t="s">
        <v>7</v>
      </c>
    </row>
    <row r="1680" spans="1:33">
      <c r="A1680" s="2">
        <v>45561</v>
      </c>
      <c r="B1680" s="2"/>
      <c r="C1680" s="5">
        <f>WEEKDAY(Table1[[#This Row],[Date]])</f>
        <v>5</v>
      </c>
      <c r="D1680" s="5">
        <f>MONTH(Table1[[#This Row],[Date]])</f>
        <v>9</v>
      </c>
      <c r="E1680" s="5">
        <f>WEEKNUM(Table1[[#This Row],[Date]])</f>
        <v>39</v>
      </c>
      <c r="F1680" s="5">
        <f>YEAR(Table1[[#This Row],[Date]])</f>
        <v>2024</v>
      </c>
      <c r="H1680">
        <v>322.45481380058169</v>
      </c>
      <c r="I1680">
        <f>Table1[[#This Row],[Forecast]]*0.9</f>
        <v>290.20933242052354</v>
      </c>
      <c r="J1680">
        <f>Table1[[#This Row],[Forecast]]*0.8</f>
        <v>257.96385104046539</v>
      </c>
      <c r="K1680">
        <f>Table1[[#This Row],[Forecast]]*0.8</f>
        <v>257.96385104046539</v>
      </c>
      <c r="P1680" s="13">
        <f t="shared" si="49"/>
        <v>1.9268043776732434E-3</v>
      </c>
      <c r="Z1680" s="8"/>
      <c r="AA1680" s="8">
        <f>CONVERT(Table1[[#This Row],[RevisedForecast 30% Recution2]]*Table1[[#This Row],[Talk Duration (AVG)]],"day","hr")</f>
        <v>11.929101059189213</v>
      </c>
      <c r="AB1680" s="10">
        <f>(Table1[[#This Row],[Forecast Workload Hours]]*60)*1.2</f>
        <v>858.89527626162328</v>
      </c>
      <c r="AC1680" s="10">
        <f>IF(Table1[[#This Row],[Forecast WOrkload Minutes]]&lt;384,1,Table1[[#This Row],[Forecast WOrkload Minutes]]/384)</f>
        <v>2.2367064485979773</v>
      </c>
      <c r="AD1680" s="10">
        <f>ROUNDUP(Table1[[#This Row],[Forecast Headcount]],0)</f>
        <v>3</v>
      </c>
      <c r="AE1680" s="11">
        <v>208.14662914342321</v>
      </c>
      <c r="AF1680" s="11">
        <v>429.8374984695543</v>
      </c>
      <c r="AG1680" t="s">
        <v>7</v>
      </c>
    </row>
    <row r="1681" spans="1:33">
      <c r="A1681" s="2">
        <v>45562</v>
      </c>
      <c r="B1681" s="2"/>
      <c r="C1681" s="5">
        <f>WEEKDAY(Table1[[#This Row],[Date]])</f>
        <v>6</v>
      </c>
      <c r="D1681" s="5">
        <f>MONTH(Table1[[#This Row],[Date]])</f>
        <v>9</v>
      </c>
      <c r="E1681" s="5">
        <f>WEEKNUM(Table1[[#This Row],[Date]])</f>
        <v>39</v>
      </c>
      <c r="F1681" s="5">
        <f>YEAR(Table1[[#This Row],[Date]])</f>
        <v>2024</v>
      </c>
      <c r="H1681">
        <v>314.41939582487947</v>
      </c>
      <c r="I1681">
        <f>Table1[[#This Row],[Forecast]]*0.9</f>
        <v>282.97745624239155</v>
      </c>
      <c r="J1681">
        <f>Table1[[#This Row],[Forecast]]*0.8</f>
        <v>251.53551665990358</v>
      </c>
      <c r="K1681">
        <f>Table1[[#This Row],[Forecast]]*0.8</f>
        <v>251.53551665990358</v>
      </c>
      <c r="P1681" s="13">
        <f t="shared" si="49"/>
        <v>1.926804335062555E-3</v>
      </c>
      <c r="Z1681" s="8"/>
      <c r="AA1681" s="8">
        <f>CONVERT(Table1[[#This Row],[RevisedForecast 30% Recution2]]*Table1[[#This Row],[Talk Duration (AVG)]],"day","hr")</f>
        <v>11.631833374140042</v>
      </c>
      <c r="AB1681" s="10">
        <f>(Table1[[#This Row],[Forecast Workload Hours]]*60)*1.2</f>
        <v>837.49200293808303</v>
      </c>
      <c r="AC1681" s="10">
        <f>IF(Table1[[#This Row],[Forecast WOrkload Minutes]]&lt;384,1,Table1[[#This Row],[Forecast WOrkload Minutes]]/384)</f>
        <v>2.1809687576512578</v>
      </c>
      <c r="AD1681" s="10">
        <f>ROUNDUP(Table1[[#This Row],[Forecast Headcount]],0)</f>
        <v>3</v>
      </c>
      <c r="AE1681" s="11">
        <v>195.88656468409249</v>
      </c>
      <c r="AF1681" s="11">
        <v>437.48116985032442</v>
      </c>
      <c r="AG1681" t="s">
        <v>7</v>
      </c>
    </row>
    <row r="1682" spans="1:33">
      <c r="A1682" s="2">
        <v>45563</v>
      </c>
      <c r="B1682" s="2"/>
      <c r="C1682" s="5">
        <f>WEEKDAY(Table1[[#This Row],[Date]])</f>
        <v>7</v>
      </c>
      <c r="D1682" s="5">
        <f>MONTH(Table1[[#This Row],[Date]])</f>
        <v>9</v>
      </c>
      <c r="E1682" s="5">
        <f>WEEKNUM(Table1[[#This Row],[Date]])</f>
        <v>39</v>
      </c>
      <c r="F1682" s="5">
        <f>YEAR(Table1[[#This Row],[Date]])</f>
        <v>2024</v>
      </c>
      <c r="H1682">
        <v>322.5516480701657</v>
      </c>
      <c r="I1682">
        <f>Table1[[#This Row],[Forecast]]*0.9</f>
        <v>290.29648326314913</v>
      </c>
      <c r="J1682">
        <f>Table1[[#This Row],[Forecast]]*0.8</f>
        <v>258.04131845613256</v>
      </c>
      <c r="K1682">
        <f>Table1[[#This Row],[Forecast]]*0.8</f>
        <v>258.04131845613256</v>
      </c>
      <c r="P1682" s="13">
        <f t="shared" si="49"/>
        <v>1.9268042615981917E-3</v>
      </c>
      <c r="Z1682" s="8"/>
      <c r="AA1682" s="8">
        <f>CONVERT(Table1[[#This Row],[RevisedForecast 30% Recution2]]*Table1[[#This Row],[Talk Duration (AVG)]],"day","hr")</f>
        <v>11.932682689672616</v>
      </c>
      <c r="AB1682" s="10">
        <f>(Table1[[#This Row],[Forecast Workload Hours]]*60)*1.2</f>
        <v>859.15315365642834</v>
      </c>
      <c r="AC1682" s="10">
        <f>IF(Table1[[#This Row],[Forecast WOrkload Minutes]]&lt;384,1,Table1[[#This Row],[Forecast WOrkload Minutes]]/384)</f>
        <v>2.2373780043136153</v>
      </c>
      <c r="AD1682" s="10">
        <f>ROUNDUP(Table1[[#This Row],[Forecast Headcount]],0)</f>
        <v>3</v>
      </c>
      <c r="AE1682" s="11">
        <v>205.48176650564361</v>
      </c>
      <c r="AF1682" s="11">
        <v>436.97285822991512</v>
      </c>
      <c r="AG1682" t="s">
        <v>7</v>
      </c>
    </row>
    <row r="1683" spans="1:33">
      <c r="A1683" s="2">
        <v>45564</v>
      </c>
      <c r="B1683" s="2"/>
      <c r="C1683" s="5">
        <f>WEEKDAY(Table1[[#This Row],[Date]])</f>
        <v>1</v>
      </c>
      <c r="D1683" s="5">
        <f>MONTH(Table1[[#This Row],[Date]])</f>
        <v>9</v>
      </c>
      <c r="E1683" s="5">
        <f>WEEKNUM(Table1[[#This Row],[Date]])</f>
        <v>40</v>
      </c>
      <c r="F1683" s="5">
        <f>YEAR(Table1[[#This Row],[Date]])</f>
        <v>2024</v>
      </c>
      <c r="H1683">
        <v>235.00108441279741</v>
      </c>
      <c r="I1683">
        <f>Table1[[#This Row],[Forecast]]*0.9</f>
        <v>211.50097597151768</v>
      </c>
      <c r="J1683">
        <f>Table1[[#This Row],[Forecast]]*0.8</f>
        <v>188.00086753023794</v>
      </c>
      <c r="K1683">
        <f>Table1[[#This Row],[Forecast]]*0.8</f>
        <v>188.00086753023794</v>
      </c>
      <c r="P1683" s="13">
        <f t="shared" si="49"/>
        <v>1.9268041617676434E-3</v>
      </c>
      <c r="Z1683" s="8"/>
      <c r="AA1683" s="8">
        <f>CONVERT(Table1[[#This Row],[RevisedForecast 30% Recution2]]*Table1[[#This Row],[Talk Duration (AVG)]],"day","hr")</f>
        <v>8.6937804953565578</v>
      </c>
      <c r="AB1683" s="10">
        <f>(Table1[[#This Row],[Forecast Workload Hours]]*60)*1.2</f>
        <v>625.95219566567221</v>
      </c>
      <c r="AC1683" s="10">
        <f>IF(Table1[[#This Row],[Forecast WOrkload Minutes]]&lt;384,1,Table1[[#This Row],[Forecast WOrkload Minutes]]/384)</f>
        <v>1.6300838428793547</v>
      </c>
      <c r="AD1683" s="10">
        <f>ROUNDUP(Table1[[#This Row],[Forecast Headcount]],0)</f>
        <v>2</v>
      </c>
      <c r="AE1683" s="11">
        <v>117.837013774585</v>
      </c>
      <c r="AF1683" s="11">
        <v>347.70543163676922</v>
      </c>
      <c r="AG1683" t="s">
        <v>7</v>
      </c>
    </row>
    <row r="1684" spans="1:33">
      <c r="A1684" s="2">
        <v>45565</v>
      </c>
      <c r="B1684" s="2"/>
      <c r="C1684" s="5">
        <f>WEEKDAY(Table1[[#This Row],[Date]])</f>
        <v>2</v>
      </c>
      <c r="D1684" s="5">
        <f>MONTH(Table1[[#This Row],[Date]])</f>
        <v>9</v>
      </c>
      <c r="E1684" s="5">
        <f>WEEKNUM(Table1[[#This Row],[Date]])</f>
        <v>40</v>
      </c>
      <c r="F1684" s="5">
        <f>YEAR(Table1[[#This Row],[Date]])</f>
        <v>2024</v>
      </c>
      <c r="H1684">
        <v>336.11566142461862</v>
      </c>
      <c r="I1684">
        <f>Table1[[#This Row],[Forecast]]*0.9</f>
        <v>302.50409528215675</v>
      </c>
      <c r="J1684">
        <f>Table1[[#This Row],[Forecast]]*0.8</f>
        <v>268.89252913969489</v>
      </c>
      <c r="K1684">
        <f>Table1[[#This Row],[Forecast]]*0.8</f>
        <v>268.89252913969489</v>
      </c>
      <c r="P1684" s="13">
        <f t="shared" si="49"/>
        <v>1.9268040371980323E-3</v>
      </c>
      <c r="Z1684" s="8"/>
      <c r="AA1684" s="8">
        <f>CONVERT(Table1[[#This Row],[RevisedForecast 30% Recution2]]*Table1[[#This Row],[Talk Duration (AVG)]],"day","hr")</f>
        <v>12.434477057250088</v>
      </c>
      <c r="AB1684" s="10">
        <f>(Table1[[#This Row],[Forecast Workload Hours]]*60)*1.2</f>
        <v>895.28234812200628</v>
      </c>
      <c r="AC1684" s="10">
        <f>IF(Table1[[#This Row],[Forecast WOrkload Minutes]]&lt;384,1,Table1[[#This Row],[Forecast WOrkload Minutes]]/384)</f>
        <v>2.3314644482343914</v>
      </c>
      <c r="AD1684" s="10">
        <f>ROUNDUP(Table1[[#This Row],[Forecast Headcount]],0)</f>
        <v>3</v>
      </c>
      <c r="AE1684" s="11">
        <v>229.23195940791581</v>
      </c>
      <c r="AF1684" s="11">
        <v>449.03677806481193</v>
      </c>
      <c r="AG1684" t="s">
        <v>7</v>
      </c>
    </row>
    <row r="1685" spans="1:33">
      <c r="A1685" s="2">
        <v>45566</v>
      </c>
      <c r="B1685" s="2"/>
      <c r="C1685" s="5">
        <f>WEEKDAY(Table1[[#This Row],[Date]])</f>
        <v>3</v>
      </c>
      <c r="D1685" s="5">
        <f>MONTH(Table1[[#This Row],[Date]])</f>
        <v>10</v>
      </c>
      <c r="E1685" s="5">
        <f>WEEKNUM(Table1[[#This Row],[Date]])</f>
        <v>40</v>
      </c>
      <c r="F1685" s="5">
        <f>YEAR(Table1[[#This Row],[Date]])</f>
        <v>2024</v>
      </c>
      <c r="H1685">
        <v>321.44716940212822</v>
      </c>
      <c r="I1685">
        <f>Table1[[#This Row],[Forecast]]*0.9</f>
        <v>289.30245246191544</v>
      </c>
      <c r="J1685">
        <f>Table1[[#This Row],[Forecast]]*0.8</f>
        <v>257.15773552170259</v>
      </c>
      <c r="K1685">
        <f>Table1[[#This Row],[Forecast]]*0.8</f>
        <v>257.15773552170259</v>
      </c>
      <c r="P1685" s="13">
        <f t="shared" si="49"/>
        <v>1.9268038895340117E-3</v>
      </c>
      <c r="Z1685" s="8"/>
      <c r="AA1685" s="8">
        <f>CONVERT(Table1[[#This Row],[RevisedForecast 30% Recution2]]*Table1[[#This Row],[Talk Duration (AVG)]],"day","hr")</f>
        <v>11.891820600647405</v>
      </c>
      <c r="AB1685" s="10">
        <f>(Table1[[#This Row],[Forecast Workload Hours]]*60)*1.2</f>
        <v>856.21108324661316</v>
      </c>
      <c r="AC1685" s="10">
        <f>IF(Table1[[#This Row],[Forecast WOrkload Minutes]]&lt;384,1,Table1[[#This Row],[Forecast WOrkload Minutes]]/384)</f>
        <v>2.2297163626213883</v>
      </c>
      <c r="AD1685" s="10">
        <f>ROUNDUP(Table1[[#This Row],[Forecast Headcount]],0)</f>
        <v>3</v>
      </c>
      <c r="AE1685" s="11">
        <v>207.38622795944639</v>
      </c>
      <c r="AF1685" s="11">
        <v>431.64656253300438</v>
      </c>
      <c r="AG1685" t="s">
        <v>7</v>
      </c>
    </row>
    <row r="1686" spans="1:33">
      <c r="A1686" s="2">
        <v>45567</v>
      </c>
      <c r="B1686" s="2"/>
      <c r="C1686" s="5">
        <f>WEEKDAY(Table1[[#This Row],[Date]])</f>
        <v>4</v>
      </c>
      <c r="D1686" s="5">
        <f>MONTH(Table1[[#This Row],[Date]])</f>
        <v>10</v>
      </c>
      <c r="E1686" s="5">
        <f>WEEKNUM(Table1[[#This Row],[Date]])</f>
        <v>40</v>
      </c>
      <c r="F1686" s="5">
        <f>YEAR(Table1[[#This Row],[Date]])</f>
        <v>2024</v>
      </c>
      <c r="H1686">
        <v>335.19107356039331</v>
      </c>
      <c r="I1686">
        <f>Table1[[#This Row],[Forecast]]*0.9</f>
        <v>301.67196620435396</v>
      </c>
      <c r="J1686">
        <f>Table1[[#This Row],[Forecast]]*0.8</f>
        <v>268.15285884831468</v>
      </c>
      <c r="K1686">
        <f>Table1[[#This Row],[Forecast]]*0.8</f>
        <v>268.15285884831468</v>
      </c>
      <c r="P1686" s="13">
        <f t="shared" si="49"/>
        <v>1.926803720439818E-3</v>
      </c>
      <c r="Z1686" s="8"/>
      <c r="AA1686" s="8">
        <f>CONVERT(Table1[[#This Row],[RevisedForecast 30% Recution2]]*Table1[[#This Row],[Talk Duration (AVG)]],"day","hr")</f>
        <v>12.400270225812147</v>
      </c>
      <c r="AB1686" s="10">
        <f>(Table1[[#This Row],[Forecast Workload Hours]]*60)*1.2</f>
        <v>892.81945625847459</v>
      </c>
      <c r="AC1686" s="10">
        <f>IF(Table1[[#This Row],[Forecast WOrkload Minutes]]&lt;384,1,Table1[[#This Row],[Forecast WOrkload Minutes]]/384)</f>
        <v>2.3250506673397777</v>
      </c>
      <c r="AD1686" s="10">
        <f>ROUNDUP(Table1[[#This Row],[Forecast Headcount]],0)</f>
        <v>3</v>
      </c>
      <c r="AE1686" s="11">
        <v>227.87857775702619</v>
      </c>
      <c r="AF1686" s="11">
        <v>448.36324624244497</v>
      </c>
      <c r="AG1686" t="s">
        <v>7</v>
      </c>
    </row>
    <row r="1687" spans="1:33">
      <c r="A1687" s="2">
        <v>45568</v>
      </c>
      <c r="B1687" s="2"/>
      <c r="C1687" s="5">
        <f>WEEKDAY(Table1[[#This Row],[Date]])</f>
        <v>5</v>
      </c>
      <c r="D1687" s="5">
        <f>MONTH(Table1[[#This Row],[Date]])</f>
        <v>10</v>
      </c>
      <c r="E1687" s="5">
        <f>WEEKNUM(Table1[[#This Row],[Date]])</f>
        <v>40</v>
      </c>
      <c r="F1687" s="5">
        <f>YEAR(Table1[[#This Row],[Date]])</f>
        <v>2024</v>
      </c>
      <c r="H1687">
        <v>332.0549106844918</v>
      </c>
      <c r="I1687">
        <f>Table1[[#This Row],[Forecast]]*0.9</f>
        <v>298.84941961604261</v>
      </c>
      <c r="J1687">
        <f>Table1[[#This Row],[Forecast]]*0.8</f>
        <v>265.64392854759348</v>
      </c>
      <c r="K1687">
        <f>Table1[[#This Row],[Forecast]]*0.8</f>
        <v>265.64392854759348</v>
      </c>
      <c r="P1687" s="13">
        <f t="shared" si="49"/>
        <v>1.9268035315989451E-3</v>
      </c>
      <c r="Z1687" s="8"/>
      <c r="AA1687" s="8">
        <f>CONVERT(Table1[[#This Row],[RevisedForecast 30% Recution2]]*Table1[[#This Row],[Talk Duration (AVG)]],"day","hr")</f>
        <v>12.284247832159702</v>
      </c>
      <c r="AB1687" s="10">
        <f>(Table1[[#This Row],[Forecast Workload Hours]]*60)*1.2</f>
        <v>884.46584391549845</v>
      </c>
      <c r="AC1687" s="10">
        <f>IF(Table1[[#This Row],[Forecast WOrkload Minutes]]&lt;384,1,Table1[[#This Row],[Forecast WOrkload Minutes]]/384)</f>
        <v>2.3032964685299437</v>
      </c>
      <c r="AD1687" s="10">
        <f>ROUNDUP(Table1[[#This Row],[Forecast Headcount]],0)</f>
        <v>3</v>
      </c>
      <c r="AE1687" s="11">
        <v>227.02457309335631</v>
      </c>
      <c r="AF1687" s="11">
        <v>441.11402017715818</v>
      </c>
      <c r="AG1687" t="s">
        <v>7</v>
      </c>
    </row>
    <row r="1688" spans="1:33">
      <c r="A1688" s="2">
        <v>45569</v>
      </c>
      <c r="B1688" s="2"/>
      <c r="C1688" s="5">
        <f>WEEKDAY(Table1[[#This Row],[Date]])</f>
        <v>6</v>
      </c>
      <c r="D1688" s="5">
        <f>MONTH(Table1[[#This Row],[Date]])</f>
        <v>10</v>
      </c>
      <c r="E1688" s="5">
        <f>WEEKNUM(Table1[[#This Row],[Date]])</f>
        <v>40</v>
      </c>
      <c r="F1688" s="5">
        <f>YEAR(Table1[[#This Row],[Date]])</f>
        <v>2024</v>
      </c>
      <c r="H1688">
        <v>324.90878319728557</v>
      </c>
      <c r="I1688">
        <f>Table1[[#This Row],[Forecast]]*0.9</f>
        <v>292.41790487755702</v>
      </c>
      <c r="J1688">
        <f>Table1[[#This Row],[Forecast]]*0.8</f>
        <v>259.92702655782847</v>
      </c>
      <c r="K1688">
        <f>Table1[[#This Row],[Forecast]]*0.8</f>
        <v>259.92702655782847</v>
      </c>
      <c r="P1688" s="13">
        <f t="shared" si="49"/>
        <v>1.9268033247088487E-3</v>
      </c>
      <c r="Z1688" s="8"/>
      <c r="AA1688" s="8">
        <f>CONVERT(Table1[[#This Row],[RevisedForecast 30% Recution2]]*Table1[[#This Row],[Talk Duration (AVG)]],"day","hr")</f>
        <v>12.019878214879418</v>
      </c>
      <c r="AB1688" s="10">
        <f>(Table1[[#This Row],[Forecast Workload Hours]]*60)*1.2</f>
        <v>865.43123147131803</v>
      </c>
      <c r="AC1688" s="10">
        <f>IF(Table1[[#This Row],[Forecast WOrkload Minutes]]&lt;384,1,Table1[[#This Row],[Forecast WOrkload Minutes]]/384)</f>
        <v>2.2537271652898907</v>
      </c>
      <c r="AD1688" s="10">
        <f>ROUNDUP(Table1[[#This Row],[Forecast Headcount]],0)</f>
        <v>3</v>
      </c>
      <c r="AE1688" s="11">
        <v>214.9780842474743</v>
      </c>
      <c r="AF1688" s="11">
        <v>445.47503757200781</v>
      </c>
      <c r="AG1688" t="s">
        <v>7</v>
      </c>
    </row>
    <row r="1689" spans="1:33">
      <c r="A1689" s="2">
        <v>45570</v>
      </c>
      <c r="B1689" s="2"/>
      <c r="C1689" s="5">
        <f>WEEKDAY(Table1[[#This Row],[Date]])</f>
        <v>7</v>
      </c>
      <c r="D1689" s="5">
        <f>MONTH(Table1[[#This Row],[Date]])</f>
        <v>10</v>
      </c>
      <c r="E1689" s="5">
        <f>WEEKNUM(Table1[[#This Row],[Date]])</f>
        <v>40</v>
      </c>
      <c r="F1689" s="5">
        <f>YEAR(Table1[[#This Row],[Date]])</f>
        <v>2024</v>
      </c>
      <c r="H1689">
        <v>333.84521709382068</v>
      </c>
      <c r="I1689">
        <f>Table1[[#This Row],[Forecast]]*0.9</f>
        <v>300.46069538443862</v>
      </c>
      <c r="J1689">
        <f>Table1[[#This Row],[Forecast]]*0.8</f>
        <v>267.07617367505657</v>
      </c>
      <c r="K1689">
        <f>Table1[[#This Row],[Forecast]]*0.8</f>
        <v>267.07617367505657</v>
      </c>
      <c r="P1689" s="13">
        <f t="shared" si="49"/>
        <v>1.926803101473749E-3</v>
      </c>
      <c r="Z1689" s="8"/>
      <c r="AA1689" s="8">
        <f>CONVERT(Table1[[#This Row],[RevisedForecast 30% Recution2]]*Table1[[#This Row],[Talk Duration (AVG)]],"day","hr")</f>
        <v>12.350476794404175</v>
      </c>
      <c r="AB1689" s="10">
        <f>(Table1[[#This Row],[Forecast Workload Hours]]*60)*1.2</f>
        <v>889.23432919710046</v>
      </c>
      <c r="AC1689" s="10">
        <f>IF(Table1[[#This Row],[Forecast WOrkload Minutes]]&lt;384,1,Table1[[#This Row],[Forecast WOrkload Minutes]]/384)</f>
        <v>2.3157143989507825</v>
      </c>
      <c r="AD1689" s="10">
        <f>ROUNDUP(Table1[[#This Row],[Forecast Headcount]],0)</f>
        <v>3</v>
      </c>
      <c r="AE1689" s="11">
        <v>217.41245602670651</v>
      </c>
      <c r="AF1689" s="11">
        <v>450.83442430962612</v>
      </c>
      <c r="AG1689" t="s">
        <v>7</v>
      </c>
    </row>
    <row r="1690" spans="1:33">
      <c r="A1690" s="2">
        <v>45571</v>
      </c>
      <c r="B1690" s="2"/>
      <c r="C1690" s="5">
        <f>WEEKDAY(Table1[[#This Row],[Date]])</f>
        <v>1</v>
      </c>
      <c r="D1690" s="5">
        <f>MONTH(Table1[[#This Row],[Date]])</f>
        <v>10</v>
      </c>
      <c r="E1690" s="5">
        <f>WEEKNUM(Table1[[#This Row],[Date]])</f>
        <v>41</v>
      </c>
      <c r="F1690" s="5">
        <f>YEAR(Table1[[#This Row],[Date]])</f>
        <v>2024</v>
      </c>
      <c r="H1690">
        <v>246.99755304410431</v>
      </c>
      <c r="I1690">
        <f>Table1[[#This Row],[Forecast]]*0.9</f>
        <v>222.29779773969389</v>
      </c>
      <c r="J1690">
        <f>Table1[[#This Row],[Forecast]]*0.8</f>
        <v>197.59804243528345</v>
      </c>
      <c r="K1690">
        <f>Table1[[#This Row],[Forecast]]*0.8</f>
        <v>197.59804243528345</v>
      </c>
      <c r="P1690" s="13">
        <f t="shared" si="49"/>
        <v>1.9268028636020519E-3</v>
      </c>
      <c r="Z1690" s="8"/>
      <c r="AA1690" s="8">
        <f>CONVERT(Table1[[#This Row],[RevisedForecast 30% Recution2]]*Table1[[#This Row],[Talk Duration (AVG)]],"day","hr")</f>
        <v>9.1375793761551343</v>
      </c>
      <c r="AB1690" s="10">
        <f>(Table1[[#This Row],[Forecast Workload Hours]]*60)*1.2</f>
        <v>657.90571508316964</v>
      </c>
      <c r="AC1690" s="10">
        <f>IF(Table1[[#This Row],[Forecast WOrkload Minutes]]&lt;384,1,Table1[[#This Row],[Forecast WOrkload Minutes]]/384)</f>
        <v>1.7132961330290877</v>
      </c>
      <c r="AD1690" s="10">
        <f>ROUNDUP(Table1[[#This Row],[Forecast Headcount]],0)</f>
        <v>2</v>
      </c>
      <c r="AE1690" s="11">
        <v>133.8901393917624</v>
      </c>
      <c r="AF1690" s="11">
        <v>352.27596615620428</v>
      </c>
      <c r="AG1690" t="s">
        <v>7</v>
      </c>
    </row>
    <row r="1691" spans="1:33">
      <c r="A1691" s="2">
        <v>45572</v>
      </c>
      <c r="B1691" s="2"/>
      <c r="C1691" s="5">
        <f>WEEKDAY(Table1[[#This Row],[Date]])</f>
        <v>2</v>
      </c>
      <c r="D1691" s="5">
        <f>MONTH(Table1[[#This Row],[Date]])</f>
        <v>10</v>
      </c>
      <c r="E1691" s="5">
        <f>WEEKNUM(Table1[[#This Row],[Date]])</f>
        <v>41</v>
      </c>
      <c r="F1691" s="5">
        <f>YEAR(Table1[[#This Row],[Date]])</f>
        <v>2024</v>
      </c>
      <c r="H1691">
        <v>348.6991608534812</v>
      </c>
      <c r="I1691">
        <f>Table1[[#This Row],[Forecast]]*0.9</f>
        <v>313.82924476813309</v>
      </c>
      <c r="J1691">
        <f>Table1[[#This Row],[Forecast]]*0.8</f>
        <v>278.95932868278499</v>
      </c>
      <c r="K1691">
        <f>Table1[[#This Row],[Forecast]]*0.8</f>
        <v>278.95932868278499</v>
      </c>
      <c r="P1691" s="13">
        <f t="shared" si="49"/>
        <v>1.9268026128160377E-3</v>
      </c>
      <c r="Z1691" s="8"/>
      <c r="AA1691" s="8">
        <f>CONVERT(Table1[[#This Row],[RevisedForecast 30% Recution2]]*Table1[[#This Row],[Talk Duration (AVG)]],"day","hr")</f>
        <v>12.89998952100955</v>
      </c>
      <c r="AB1691" s="10">
        <f>(Table1[[#This Row],[Forecast Workload Hours]]*60)*1.2</f>
        <v>928.79924551268755</v>
      </c>
      <c r="AC1691" s="10">
        <f>IF(Table1[[#This Row],[Forecast WOrkload Minutes]]&lt;384,1,Table1[[#This Row],[Forecast WOrkload Minutes]]/384)</f>
        <v>2.4187480351892905</v>
      </c>
      <c r="AD1691" s="10">
        <f>ROUNDUP(Table1[[#This Row],[Forecast Headcount]],0)</f>
        <v>3</v>
      </c>
      <c r="AE1691" s="11">
        <v>235.96517131477299</v>
      </c>
      <c r="AF1691" s="11">
        <v>455.40486886749028</v>
      </c>
      <c r="AG1691" t="s">
        <v>7</v>
      </c>
    </row>
    <row r="1692" spans="1:33">
      <c r="A1692" s="2">
        <v>45573</v>
      </c>
      <c r="B1692" s="2"/>
      <c r="C1692" s="5">
        <f>WEEKDAY(Table1[[#This Row],[Date]])</f>
        <v>3</v>
      </c>
      <c r="D1692" s="5">
        <f>MONTH(Table1[[#This Row],[Date]])</f>
        <v>10</v>
      </c>
      <c r="E1692" s="5">
        <f>WEEKNUM(Table1[[#This Row],[Date]])</f>
        <v>41</v>
      </c>
      <c r="F1692" s="5">
        <f>YEAR(Table1[[#This Row],[Date]])</f>
        <v>2024</v>
      </c>
      <c r="H1692">
        <v>334.48907039693472</v>
      </c>
      <c r="I1692">
        <f>Table1[[#This Row],[Forecast]]*0.9</f>
        <v>301.04016335724128</v>
      </c>
      <c r="J1692">
        <f>Table1[[#This Row],[Forecast]]*0.8</f>
        <v>267.59125631754779</v>
      </c>
      <c r="K1692">
        <f>Table1[[#This Row],[Forecast]]*0.8</f>
        <v>267.59125631754779</v>
      </c>
      <c r="P1692" s="13">
        <f t="shared" si="49"/>
        <v>1.9268023508479813E-3</v>
      </c>
      <c r="Z1692" s="8"/>
      <c r="AA1692" s="8">
        <f>CONVERT(Table1[[#This Row],[RevisedForecast 30% Recution2]]*Table1[[#This Row],[Talk Duration (AVG)]],"day","hr")</f>
        <v>12.374291081736379</v>
      </c>
      <c r="AB1692" s="10">
        <f>(Table1[[#This Row],[Forecast Workload Hours]]*60)*1.2</f>
        <v>890.94895788501924</v>
      </c>
      <c r="AC1692" s="10">
        <f>IF(Table1[[#This Row],[Forecast WOrkload Minutes]]&lt;384,1,Table1[[#This Row],[Forecast WOrkload Minutes]]/384)</f>
        <v>2.3201795778255709</v>
      </c>
      <c r="AD1692" s="10">
        <f>ROUNDUP(Table1[[#This Row],[Forecast Headcount]],0)</f>
        <v>3</v>
      </c>
      <c r="AE1692" s="11">
        <v>232.82815712659641</v>
      </c>
      <c r="AF1692" s="11">
        <v>452.35982828991479</v>
      </c>
      <c r="AG1692" t="s">
        <v>7</v>
      </c>
    </row>
    <row r="1693" spans="1:33">
      <c r="A1693" s="2">
        <v>45574</v>
      </c>
      <c r="B1693" s="2"/>
      <c r="C1693" s="5">
        <f>WEEKDAY(Table1[[#This Row],[Date]])</f>
        <v>4</v>
      </c>
      <c r="D1693" s="5">
        <f>MONTH(Table1[[#This Row],[Date]])</f>
        <v>10</v>
      </c>
      <c r="E1693" s="5">
        <f>WEEKNUM(Table1[[#This Row],[Date]])</f>
        <v>41</v>
      </c>
      <c r="F1693" s="5">
        <f>YEAR(Table1[[#This Row],[Date]])</f>
        <v>2024</v>
      </c>
      <c r="H1693">
        <v>348.55201692120119</v>
      </c>
      <c r="I1693">
        <f>Table1[[#This Row],[Forecast]]*0.9</f>
        <v>313.6968152290811</v>
      </c>
      <c r="J1693">
        <f>Table1[[#This Row],[Forecast]]*0.8</f>
        <v>278.84161353696095</v>
      </c>
      <c r="K1693">
        <f>Table1[[#This Row],[Forecast]]*0.8</f>
        <v>278.84161353696095</v>
      </c>
      <c r="P1693" s="13">
        <f t="shared" si="49"/>
        <v>1.9268020794385725E-3</v>
      </c>
      <c r="Z1693" s="8"/>
      <c r="AA1693" s="8">
        <f>CONVERT(Table1[[#This Row],[RevisedForecast 30% Recution2]]*Table1[[#This Row],[Talk Duration (AVG)]],"day","hr")</f>
        <v>12.894542419128557</v>
      </c>
      <c r="AB1693" s="10">
        <f>(Table1[[#This Row],[Forecast Workload Hours]]*60)*1.2</f>
        <v>928.4070541772561</v>
      </c>
      <c r="AC1693" s="10">
        <f>IF(Table1[[#This Row],[Forecast WOrkload Minutes]]&lt;384,1,Table1[[#This Row],[Forecast WOrkload Minutes]]/384)</f>
        <v>2.4177267035866046</v>
      </c>
      <c r="AD1693" s="10">
        <f>ROUNDUP(Table1[[#This Row],[Forecast Headcount]],0)</f>
        <v>3</v>
      </c>
      <c r="AE1693" s="11">
        <v>231.01544202094561</v>
      </c>
      <c r="AF1693" s="11">
        <v>456.61370731025607</v>
      </c>
      <c r="AG1693" t="s">
        <v>7</v>
      </c>
    </row>
    <row r="1694" spans="1:33">
      <c r="A1694" s="2">
        <v>45575</v>
      </c>
      <c r="B1694" s="2"/>
      <c r="C1694" s="5">
        <f>WEEKDAY(Table1[[#This Row],[Date]])</f>
        <v>5</v>
      </c>
      <c r="D1694" s="5">
        <f>MONTH(Table1[[#This Row],[Date]])</f>
        <v>10</v>
      </c>
      <c r="E1694" s="5">
        <f>WEEKNUM(Table1[[#This Row],[Date]])</f>
        <v>41</v>
      </c>
      <c r="F1694" s="5">
        <f>YEAR(Table1[[#This Row],[Date]])</f>
        <v>2024</v>
      </c>
      <c r="H1694">
        <v>345.5870039229672</v>
      </c>
      <c r="I1694">
        <f>Table1[[#This Row],[Forecast]]*0.9</f>
        <v>311.02830353067048</v>
      </c>
      <c r="J1694">
        <f>Table1[[#This Row],[Forecast]]*0.8</f>
        <v>276.46960313837377</v>
      </c>
      <c r="K1694">
        <f>Table1[[#This Row],[Forecast]]*0.8</f>
        <v>276.46960313837377</v>
      </c>
      <c r="P1694" s="13">
        <f t="shared" si="49"/>
        <v>1.9268018003468213E-3</v>
      </c>
      <c r="Z1694" s="8"/>
      <c r="AA1694" s="8">
        <f>CONVERT(Table1[[#This Row],[RevisedForecast 30% Recution2]]*Table1[[#This Row],[Talk Duration (AVG)]],"day","hr")</f>
        <v>12.784851097636555</v>
      </c>
      <c r="AB1694" s="10">
        <f>(Table1[[#This Row],[Forecast Workload Hours]]*60)*1.2</f>
        <v>920.50927902983187</v>
      </c>
      <c r="AC1694" s="10">
        <f>IF(Table1[[#This Row],[Forecast WOrkload Minutes]]&lt;384,1,Table1[[#This Row],[Forecast WOrkload Minutes]]/384)</f>
        <v>2.397159580806854</v>
      </c>
      <c r="AD1694" s="10">
        <f>ROUNDUP(Table1[[#This Row],[Forecast Headcount]],0)</f>
        <v>3</v>
      </c>
      <c r="AE1694" s="11">
        <v>235.69617790026399</v>
      </c>
      <c r="AF1694" s="11">
        <v>460.13013001487758</v>
      </c>
      <c r="AG1694" t="s">
        <v>7</v>
      </c>
    </row>
    <row r="1695" spans="1:33">
      <c r="A1695" s="2">
        <v>45576</v>
      </c>
      <c r="B1695" s="2"/>
      <c r="C1695" s="5">
        <f>WEEKDAY(Table1[[#This Row],[Date]])</f>
        <v>6</v>
      </c>
      <c r="D1695" s="5">
        <f>MONTH(Table1[[#This Row],[Date]])</f>
        <v>10</v>
      </c>
      <c r="E1695" s="5">
        <f>WEEKNUM(Table1[[#This Row],[Date]])</f>
        <v>41</v>
      </c>
      <c r="F1695" s="5">
        <f>YEAR(Table1[[#This Row],[Date]])</f>
        <v>2024</v>
      </c>
      <c r="H1695">
        <v>338.4579242681902</v>
      </c>
      <c r="I1695">
        <f>Table1[[#This Row],[Forecast]]*0.9</f>
        <v>304.61213184137119</v>
      </c>
      <c r="J1695">
        <f>Table1[[#This Row],[Forecast]]*0.8</f>
        <v>270.76633941455219</v>
      </c>
      <c r="K1695">
        <f>Table1[[#This Row],[Forecast]]*0.8</f>
        <v>270.76633941455219</v>
      </c>
      <c r="P1695" s="13">
        <f t="shared" si="49"/>
        <v>1.9268015153331983E-3</v>
      </c>
      <c r="Z1695" s="8"/>
      <c r="AA1695" s="8">
        <f>CONVERT(Table1[[#This Row],[RevisedForecast 30% Recution2]]*Table1[[#This Row],[Talk Duration (AVG)]],"day","hr")</f>
        <v>12.521111834044374</v>
      </c>
      <c r="AB1695" s="10">
        <f>(Table1[[#This Row],[Forecast Workload Hours]]*60)*1.2</f>
        <v>901.52005205119497</v>
      </c>
      <c r="AC1695" s="10">
        <f>IF(Table1[[#This Row],[Forecast WOrkload Minutes]]&lt;384,1,Table1[[#This Row],[Forecast WOrkload Minutes]]/384)</f>
        <v>2.3477084688833201</v>
      </c>
      <c r="AD1695" s="10">
        <f>ROUNDUP(Table1[[#This Row],[Forecast Headcount]],0)</f>
        <v>3</v>
      </c>
      <c r="AE1695" s="11">
        <v>223.26836109950841</v>
      </c>
      <c r="AF1695" s="11">
        <v>458.27994927611252</v>
      </c>
      <c r="AG1695" t="s">
        <v>7</v>
      </c>
    </row>
    <row r="1696" spans="1:33">
      <c r="A1696" s="2">
        <v>45577</v>
      </c>
      <c r="B1696" s="2"/>
      <c r="C1696" s="5">
        <f>WEEKDAY(Table1[[#This Row],[Date]])</f>
        <v>7</v>
      </c>
      <c r="D1696" s="5">
        <f>MONTH(Table1[[#This Row],[Date]])</f>
        <v>10</v>
      </c>
      <c r="E1696" s="5">
        <f>WEEKNUM(Table1[[#This Row],[Date]])</f>
        <v>41</v>
      </c>
      <c r="F1696" s="5">
        <f>YEAR(Table1[[#This Row],[Date]])</f>
        <v>2024</v>
      </c>
      <c r="H1696">
        <v>347.25350547821648</v>
      </c>
      <c r="I1696">
        <f>Table1[[#This Row],[Forecast]]*0.9</f>
        <v>312.52815493039486</v>
      </c>
      <c r="J1696">
        <f>Table1[[#This Row],[Forecast]]*0.8</f>
        <v>277.80280438257319</v>
      </c>
      <c r="K1696">
        <f>Table1[[#This Row],[Forecast]]*0.8</f>
        <v>277.80280438257319</v>
      </c>
      <c r="P1696" s="13">
        <f t="shared" si="49"/>
        <v>1.926801226142814E-3</v>
      </c>
      <c r="Z1696" s="8"/>
      <c r="AA1696" s="8">
        <f>CONVERT(Table1[[#This Row],[RevisedForecast 30% Recution2]]*Table1[[#This Row],[Talk Duration (AVG)]],"day","hr")</f>
        <v>12.846498818646102</v>
      </c>
      <c r="AB1696" s="10">
        <f>(Table1[[#This Row],[Forecast Workload Hours]]*60)*1.2</f>
        <v>924.94791494251933</v>
      </c>
      <c r="AC1696" s="10">
        <f>IF(Table1[[#This Row],[Forecast WOrkload Minutes]]&lt;384,1,Table1[[#This Row],[Forecast WOrkload Minutes]]/384)</f>
        <v>2.4087185284961441</v>
      </c>
      <c r="AD1696" s="10">
        <f>ROUNDUP(Table1[[#This Row],[Forecast Headcount]],0)</f>
        <v>3</v>
      </c>
      <c r="AE1696" s="11">
        <v>233.27427259105849</v>
      </c>
      <c r="AF1696" s="11">
        <v>462.65449564723468</v>
      </c>
      <c r="AG1696" t="s">
        <v>7</v>
      </c>
    </row>
    <row r="1697" spans="1:33">
      <c r="A1697" s="2">
        <v>45578</v>
      </c>
      <c r="B1697" s="2"/>
      <c r="C1697" s="5">
        <f>WEEKDAY(Table1[[#This Row],[Date]])</f>
        <v>1</v>
      </c>
      <c r="D1697" s="5">
        <f>MONTH(Table1[[#This Row],[Date]])</f>
        <v>10</v>
      </c>
      <c r="E1697" s="5">
        <f>WEEKNUM(Table1[[#This Row],[Date]])</f>
        <v>42</v>
      </c>
      <c r="F1697" s="5">
        <f>YEAR(Table1[[#This Row],[Date]])</f>
        <v>2024</v>
      </c>
      <c r="H1697">
        <v>260.10574865866738</v>
      </c>
      <c r="I1697">
        <f>Table1[[#This Row],[Forecast]]*0.9</f>
        <v>234.09517379280064</v>
      </c>
      <c r="J1697">
        <f>Table1[[#This Row],[Forecast]]*0.8</f>
        <v>208.08459892693392</v>
      </c>
      <c r="K1697">
        <f>Table1[[#This Row],[Forecast]]*0.8</f>
        <v>208.08459892693392</v>
      </c>
      <c r="P1697" s="13">
        <f t="shared" si="49"/>
        <v>1.9268009344960769E-3</v>
      </c>
      <c r="Z1697" s="8"/>
      <c r="AA1697" s="8">
        <f>CONVERT(Table1[[#This Row],[RevisedForecast 30% Recution2]]*Table1[[#This Row],[Talk Duration (AVG)]],"day","hr")</f>
        <v>9.6225023919997827</v>
      </c>
      <c r="AB1697" s="10">
        <f>(Table1[[#This Row],[Forecast Workload Hours]]*60)*1.2</f>
        <v>692.8201722239844</v>
      </c>
      <c r="AC1697" s="10">
        <f>IF(Table1[[#This Row],[Forecast WOrkload Minutes]]&lt;384,1,Table1[[#This Row],[Forecast WOrkload Minutes]]/384)</f>
        <v>1.8042191984999594</v>
      </c>
      <c r="AD1697" s="10">
        <f>ROUNDUP(Table1[[#This Row],[Forecast Headcount]],0)</f>
        <v>2</v>
      </c>
      <c r="AE1697" s="11">
        <v>145.7043862879911</v>
      </c>
      <c r="AF1697" s="11">
        <v>377.40361750516712</v>
      </c>
      <c r="AG1697" t="s">
        <v>7</v>
      </c>
    </row>
    <row r="1698" spans="1:33">
      <c r="A1698" s="2">
        <v>45579</v>
      </c>
      <c r="B1698" s="2"/>
      <c r="C1698" s="5">
        <f>WEEKDAY(Table1[[#This Row],[Date]])</f>
        <v>2</v>
      </c>
      <c r="D1698" s="5">
        <f>MONTH(Table1[[#This Row],[Date]])</f>
        <v>10</v>
      </c>
      <c r="E1698" s="5">
        <f>WEEKNUM(Table1[[#This Row],[Date]])</f>
        <v>42</v>
      </c>
      <c r="F1698" s="5">
        <f>YEAR(Table1[[#This Row],[Date]])</f>
        <v>2024</v>
      </c>
      <c r="H1698">
        <v>361.34915207586079</v>
      </c>
      <c r="I1698">
        <f>Table1[[#This Row],[Forecast]]*0.9</f>
        <v>325.21423686827472</v>
      </c>
      <c r="J1698">
        <f>Table1[[#This Row],[Forecast]]*0.8</f>
        <v>289.07932166068866</v>
      </c>
      <c r="K1698">
        <f>Table1[[#This Row],[Forecast]]*0.8</f>
        <v>289.07932166068866</v>
      </c>
      <c r="P1698" s="13">
        <f t="shared" si="49"/>
        <v>1.9268006420863689E-3</v>
      </c>
      <c r="Z1698" s="8"/>
      <c r="AA1698" s="8">
        <f>CONVERT(Table1[[#This Row],[RevisedForecast 30% Recution2]]*Table1[[#This Row],[Talk Duration (AVG)]],"day","hr")</f>
        <v>13.367957342152966</v>
      </c>
      <c r="AB1698" s="10">
        <f>(Table1[[#This Row],[Forecast Workload Hours]]*60)*1.2</f>
        <v>962.49292863501341</v>
      </c>
      <c r="AC1698" s="10">
        <f>IF(Table1[[#This Row],[Forecast WOrkload Minutes]]&lt;384,1,Table1[[#This Row],[Forecast WOrkload Minutes]]/384)</f>
        <v>2.5064920016536809</v>
      </c>
      <c r="AD1698" s="10">
        <f>ROUNDUP(Table1[[#This Row],[Forecast Headcount]],0)</f>
        <v>3</v>
      </c>
      <c r="AE1698" s="11">
        <v>247.37026595161419</v>
      </c>
      <c r="AF1698" s="11">
        <v>474.3539584363379</v>
      </c>
      <c r="AG1698" t="s">
        <v>7</v>
      </c>
    </row>
    <row r="1699" spans="1:33">
      <c r="A1699" s="2">
        <v>45580</v>
      </c>
      <c r="B1699" s="2"/>
      <c r="C1699" s="5">
        <f>WEEKDAY(Table1[[#This Row],[Date]])</f>
        <v>3</v>
      </c>
      <c r="D1699" s="5">
        <f>MONTH(Table1[[#This Row],[Date]])</f>
        <v>10</v>
      </c>
      <c r="E1699" s="5">
        <f>WEEKNUM(Table1[[#This Row],[Date]])</f>
        <v>42</v>
      </c>
      <c r="F1699" s="5">
        <f>YEAR(Table1[[#This Row],[Date]])</f>
        <v>2024</v>
      </c>
      <c r="H1699">
        <v>346.52631385655133</v>
      </c>
      <c r="I1699">
        <f>Table1[[#This Row],[Forecast]]*0.9</f>
        <v>311.8736824708962</v>
      </c>
      <c r="J1699">
        <f>Table1[[#This Row],[Forecast]]*0.8</f>
        <v>277.22105108524107</v>
      </c>
      <c r="K1699">
        <f>Table1[[#This Row],[Forecast]]*0.8</f>
        <v>277.22105108524107</v>
      </c>
      <c r="P1699" s="13">
        <f t="shared" si="49"/>
        <v>1.9268003505528936E-3</v>
      </c>
      <c r="Z1699" s="8"/>
      <c r="AA1699" s="8">
        <f>CONVERT(Table1[[#This Row],[RevisedForecast 30% Recution2]]*Table1[[#This Row],[Talk Duration (AVG)]],"day","hr")</f>
        <v>12.819590841880418</v>
      </c>
      <c r="AB1699" s="10">
        <f>(Table1[[#This Row],[Forecast Workload Hours]]*60)*1.2</f>
        <v>923.01054061539003</v>
      </c>
      <c r="AC1699" s="10">
        <f>IF(Table1[[#This Row],[Forecast WOrkload Minutes]]&lt;384,1,Table1[[#This Row],[Forecast WOrkload Minutes]]/384)</f>
        <v>2.4036732828525782</v>
      </c>
      <c r="AD1699" s="10">
        <f>ROUNDUP(Table1[[#This Row],[Forecast Headcount]],0)</f>
        <v>3</v>
      </c>
      <c r="AE1699" s="11">
        <v>235.8817650090165</v>
      </c>
      <c r="AF1699" s="11">
        <v>465.13865863221298</v>
      </c>
      <c r="AG1699" t="s">
        <v>7</v>
      </c>
    </row>
    <row r="1700" spans="1:33">
      <c r="A1700" s="2">
        <v>45581</v>
      </c>
      <c r="B1700" s="2"/>
      <c r="C1700" s="5">
        <f>WEEKDAY(Table1[[#This Row],[Date]])</f>
        <v>4</v>
      </c>
      <c r="D1700" s="5">
        <f>MONTH(Table1[[#This Row],[Date]])</f>
        <v>10</v>
      </c>
      <c r="E1700" s="5">
        <f>WEEKNUM(Table1[[#This Row],[Date]])</f>
        <v>42</v>
      </c>
      <c r="F1700" s="5">
        <f>YEAR(Table1[[#This Row],[Date]])</f>
        <v>2024</v>
      </c>
      <c r="H1700">
        <v>359.82791355494749</v>
      </c>
      <c r="I1700">
        <f>Table1[[#This Row],[Forecast]]*0.9</f>
        <v>323.84512219945276</v>
      </c>
      <c r="J1700">
        <f>Table1[[#This Row],[Forecast]]*0.8</f>
        <v>287.86233084395798</v>
      </c>
      <c r="K1700">
        <f>Table1[[#This Row],[Forecast]]*0.8</f>
        <v>287.86233084395798</v>
      </c>
      <c r="P1700" s="13">
        <f t="shared" si="49"/>
        <v>1.9268000614621947E-3</v>
      </c>
      <c r="Z1700" s="8"/>
      <c r="AA1700" s="8">
        <f>CONVERT(Table1[[#This Row],[RevisedForecast 30% Recution2]]*Table1[[#This Row],[Talk Duration (AVG)]],"day","hr")</f>
        <v>13.311675762306932</v>
      </c>
      <c r="AB1700" s="10">
        <f>(Table1[[#This Row],[Forecast Workload Hours]]*60)*1.2</f>
        <v>958.44065488609908</v>
      </c>
      <c r="AC1700" s="10">
        <f>IF(Table1[[#This Row],[Forecast WOrkload Minutes]]&lt;384,1,Table1[[#This Row],[Forecast WOrkload Minutes]]/384)</f>
        <v>2.4959392054325495</v>
      </c>
      <c r="AD1700" s="10">
        <f>ROUNDUP(Table1[[#This Row],[Forecast Headcount]],0)</f>
        <v>3</v>
      </c>
      <c r="AE1700" s="11">
        <v>244.4315611264644</v>
      </c>
      <c r="AF1700" s="11">
        <v>476.5903979536032</v>
      </c>
      <c r="AG1700" t="s">
        <v>7</v>
      </c>
    </row>
    <row r="1701" spans="1:33">
      <c r="A1701" s="2">
        <v>45582</v>
      </c>
      <c r="B1701" s="2"/>
      <c r="C1701" s="5">
        <f>WEEKDAY(Table1[[#This Row],[Date]])</f>
        <v>5</v>
      </c>
      <c r="D1701" s="5">
        <f>MONTH(Table1[[#This Row],[Date]])</f>
        <v>10</v>
      </c>
      <c r="E1701" s="5">
        <f>WEEKNUM(Table1[[#This Row],[Date]])</f>
        <v>42</v>
      </c>
      <c r="F1701" s="5">
        <f>YEAR(Table1[[#This Row],[Date]])</f>
        <v>2024</v>
      </c>
      <c r="H1701">
        <v>355.96117801264921</v>
      </c>
      <c r="I1701">
        <f>Table1[[#This Row],[Forecast]]*0.9</f>
        <v>320.36506021138428</v>
      </c>
      <c r="J1701">
        <f>Table1[[#This Row],[Forecast]]*0.8</f>
        <v>284.76894241011939</v>
      </c>
      <c r="K1701">
        <f>Table1[[#This Row],[Forecast]]*0.8</f>
        <v>284.76894241011939</v>
      </c>
      <c r="P1701" s="13">
        <f t="shared" si="49"/>
        <v>1.9267997763062013E-3</v>
      </c>
      <c r="Z1701" s="8"/>
      <c r="AA1701" s="8">
        <f>CONVERT(Table1[[#This Row],[RevisedForecast 30% Recution2]]*Table1[[#This Row],[Talk Duration (AVG)]],"day","hr")</f>
        <v>13.168625628834517</v>
      </c>
      <c r="AB1701" s="10">
        <f>(Table1[[#This Row],[Forecast Workload Hours]]*60)*1.2</f>
        <v>948.14104527608515</v>
      </c>
      <c r="AC1701" s="10">
        <f>IF(Table1[[#This Row],[Forecast WOrkload Minutes]]&lt;384,1,Table1[[#This Row],[Forecast WOrkload Minutes]]/384)</f>
        <v>2.4691173054064719</v>
      </c>
      <c r="AD1701" s="10">
        <f>ROUNDUP(Table1[[#This Row],[Forecast Headcount]],0)</f>
        <v>3</v>
      </c>
      <c r="AE1701" s="11">
        <v>243.07738133148129</v>
      </c>
      <c r="AF1701" s="11">
        <v>470.67461479604009</v>
      </c>
      <c r="AG1701" t="s">
        <v>7</v>
      </c>
    </row>
    <row r="1702" spans="1:33">
      <c r="A1702" s="2">
        <v>45583</v>
      </c>
      <c r="B1702" s="2"/>
      <c r="C1702" s="5">
        <f>WEEKDAY(Table1[[#This Row],[Date]])</f>
        <v>6</v>
      </c>
      <c r="D1702" s="5">
        <f>MONTH(Table1[[#This Row],[Date]])</f>
        <v>10</v>
      </c>
      <c r="E1702" s="5">
        <f>WEEKNUM(Table1[[#This Row],[Date]])</f>
        <v>42</v>
      </c>
      <c r="F1702" s="5">
        <f>YEAR(Table1[[#This Row],[Date]])</f>
        <v>2024</v>
      </c>
      <c r="H1702">
        <v>347.80037470798197</v>
      </c>
      <c r="I1702">
        <f>Table1[[#This Row],[Forecast]]*0.9</f>
        <v>313.02033723718381</v>
      </c>
      <c r="J1702">
        <f>Table1[[#This Row],[Forecast]]*0.8</f>
        <v>278.24029976638559</v>
      </c>
      <c r="K1702">
        <f>Table1[[#This Row],[Forecast]]*0.8</f>
        <v>278.24029976638559</v>
      </c>
      <c r="P1702" s="13">
        <f t="shared" ref="P1702:P1765" si="50">AVERAGE(P1595:P1701)</f>
        <v>1.926799496492833E-3</v>
      </c>
      <c r="Z1702" s="8"/>
      <c r="AA1702" s="8">
        <f>CONVERT(Table1[[#This Row],[RevisedForecast 30% Recution2]]*Table1[[#This Row],[Talk Duration (AVG)]],"day","hr")</f>
        <v>12.866718467853282</v>
      </c>
      <c r="AB1702" s="10">
        <f>(Table1[[#This Row],[Forecast Workload Hours]]*60)*1.2</f>
        <v>926.40372968543625</v>
      </c>
      <c r="AC1702" s="10">
        <f>IF(Table1[[#This Row],[Forecast WOrkload Minutes]]&lt;384,1,Table1[[#This Row],[Forecast WOrkload Minutes]]/384)</f>
        <v>2.4125097127224904</v>
      </c>
      <c r="AD1702" s="10">
        <f>ROUNDUP(Table1[[#This Row],[Forecast Headcount]],0)</f>
        <v>3</v>
      </c>
      <c r="AE1702" s="11">
        <v>226.35975774375581</v>
      </c>
      <c r="AF1702" s="11">
        <v>464.14246558453601</v>
      </c>
      <c r="AG1702" t="s">
        <v>7</v>
      </c>
    </row>
    <row r="1703" spans="1:33">
      <c r="A1703" s="2">
        <v>45584</v>
      </c>
      <c r="B1703" s="2"/>
      <c r="C1703" s="5">
        <f>WEEKDAY(Table1[[#This Row],[Date]])</f>
        <v>7</v>
      </c>
      <c r="D1703" s="5">
        <f>MONTH(Table1[[#This Row],[Date]])</f>
        <v>10</v>
      </c>
      <c r="E1703" s="5">
        <f>WEEKNUM(Table1[[#This Row],[Date]])</f>
        <v>42</v>
      </c>
      <c r="F1703" s="5">
        <f>YEAR(Table1[[#This Row],[Date]])</f>
        <v>2024</v>
      </c>
      <c r="H1703">
        <v>355.44660126832463</v>
      </c>
      <c r="I1703">
        <f>Table1[[#This Row],[Forecast]]*0.9</f>
        <v>319.90194114149216</v>
      </c>
      <c r="J1703">
        <f>Table1[[#This Row],[Forecast]]*0.8</f>
        <v>284.35728101465969</v>
      </c>
      <c r="K1703">
        <f>Table1[[#This Row],[Forecast]]*0.8</f>
        <v>284.35728101465969</v>
      </c>
      <c r="P1703" s="13">
        <f t="shared" si="50"/>
        <v>1.9267992233436716E-3</v>
      </c>
      <c r="Z1703" s="8"/>
      <c r="AA1703" s="8">
        <f>CONVERT(Table1[[#This Row],[RevisedForecast 30% Recution2]]*Table1[[#This Row],[Talk Duration (AVG)]],"day","hr")</f>
        <v>13.149585317067947</v>
      </c>
      <c r="AB1703" s="10">
        <f>(Table1[[#This Row],[Forecast Workload Hours]]*60)*1.2</f>
        <v>946.77014282889206</v>
      </c>
      <c r="AC1703" s="10">
        <f>IF(Table1[[#This Row],[Forecast WOrkload Minutes]]&lt;384,1,Table1[[#This Row],[Forecast WOrkload Minutes]]/384)</f>
        <v>2.4655472469502397</v>
      </c>
      <c r="AD1703" s="10">
        <f>ROUNDUP(Table1[[#This Row],[Forecast Headcount]],0)</f>
        <v>3</v>
      </c>
      <c r="AE1703" s="11">
        <v>236.33670267230281</v>
      </c>
      <c r="AF1703" s="11">
        <v>464.02469149362167</v>
      </c>
      <c r="AG1703" t="s">
        <v>7</v>
      </c>
    </row>
    <row r="1704" spans="1:33">
      <c r="A1704" s="2">
        <v>45585</v>
      </c>
      <c r="B1704" s="2"/>
      <c r="C1704" s="5">
        <f>WEEKDAY(Table1[[#This Row],[Date]])</f>
        <v>1</v>
      </c>
      <c r="D1704" s="5">
        <f>MONTH(Table1[[#This Row],[Date]])</f>
        <v>10</v>
      </c>
      <c r="E1704" s="5">
        <f>WEEKNUM(Table1[[#This Row],[Date]])</f>
        <v>43</v>
      </c>
      <c r="F1704" s="5">
        <f>YEAR(Table1[[#This Row],[Date]])</f>
        <v>2024</v>
      </c>
      <c r="H1704">
        <v>267.04604351651568</v>
      </c>
      <c r="I1704">
        <f>Table1[[#This Row],[Forecast]]*0.9</f>
        <v>240.34143916486411</v>
      </c>
      <c r="J1704">
        <f>Table1[[#This Row],[Forecast]]*0.8</f>
        <v>213.63683481321254</v>
      </c>
      <c r="K1704">
        <f>Table1[[#This Row],[Forecast]]*0.8</f>
        <v>213.63683481321254</v>
      </c>
      <c r="P1704" s="13">
        <f t="shared" si="50"/>
        <v>1.9267989580833531E-3</v>
      </c>
      <c r="Z1704" s="8"/>
      <c r="AA1704" s="8">
        <f>CONVERT(Table1[[#This Row],[RevisedForecast 30% Recution2]]*Table1[[#This Row],[Talk Duration (AVG)]],"day","hr")</f>
        <v>9.8792455374317623</v>
      </c>
      <c r="AB1704" s="10">
        <f>(Table1[[#This Row],[Forecast Workload Hours]]*60)*1.2</f>
        <v>711.30567869508684</v>
      </c>
      <c r="AC1704" s="10">
        <f>IF(Table1[[#This Row],[Forecast WOrkload Minutes]]&lt;384,1,Table1[[#This Row],[Forecast WOrkload Minutes]]/384)</f>
        <v>1.8523585382684553</v>
      </c>
      <c r="AD1704" s="10">
        <f>ROUNDUP(Table1[[#This Row],[Forecast Headcount]],0)</f>
        <v>2</v>
      </c>
      <c r="AE1704" s="11">
        <v>157.9184992530559</v>
      </c>
      <c r="AF1704" s="11">
        <v>374.27825747628032</v>
      </c>
      <c r="AG1704" t="s">
        <v>7</v>
      </c>
    </row>
    <row r="1705" spans="1:33">
      <c r="A1705" s="2">
        <v>45586</v>
      </c>
      <c r="B1705" s="2"/>
      <c r="C1705" s="5">
        <f>WEEKDAY(Table1[[#This Row],[Date]])</f>
        <v>2</v>
      </c>
      <c r="D1705" s="5">
        <f>MONTH(Table1[[#This Row],[Date]])</f>
        <v>10</v>
      </c>
      <c r="E1705" s="5">
        <f>WEEKNUM(Table1[[#This Row],[Date]])</f>
        <v>43</v>
      </c>
      <c r="F1705" s="5">
        <f>YEAR(Table1[[#This Row],[Date]])</f>
        <v>2024</v>
      </c>
      <c r="H1705">
        <v>366.94899604498852</v>
      </c>
      <c r="I1705">
        <f>Table1[[#This Row],[Forecast]]*0.9</f>
        <v>330.25409644048966</v>
      </c>
      <c r="J1705">
        <f>Table1[[#This Row],[Forecast]]*0.8</f>
        <v>293.5591968359908</v>
      </c>
      <c r="K1705">
        <f>Table1[[#This Row],[Forecast]]*0.8</f>
        <v>293.5591968359908</v>
      </c>
      <c r="P1705" s="13">
        <f t="shared" si="50"/>
        <v>1.926798701836808E-3</v>
      </c>
      <c r="Z1705" s="8"/>
      <c r="AA1705" s="8">
        <f>CONVERT(Table1[[#This Row],[RevisedForecast 30% Recution2]]*Table1[[#This Row],[Talk Duration (AVG)]],"day","hr")</f>
        <v>13.575107505020233</v>
      </c>
      <c r="AB1705" s="10">
        <f>(Table1[[#This Row],[Forecast Workload Hours]]*60)*1.2</f>
        <v>977.40774036145672</v>
      </c>
      <c r="AC1705" s="10">
        <f>IF(Table1[[#This Row],[Forecast WOrkload Minutes]]&lt;384,1,Table1[[#This Row],[Forecast WOrkload Minutes]]/384)</f>
        <v>2.5453326571912935</v>
      </c>
      <c r="AD1705" s="10">
        <f>ROUNDUP(Table1[[#This Row],[Forecast Headcount]],0)</f>
        <v>3</v>
      </c>
      <c r="AE1705" s="11">
        <v>266.60462419451648</v>
      </c>
      <c r="AF1705" s="11">
        <v>488.12411309842321</v>
      </c>
      <c r="AG1705" t="s">
        <v>7</v>
      </c>
    </row>
    <row r="1706" spans="1:33">
      <c r="A1706" s="2">
        <v>45587</v>
      </c>
      <c r="B1706" s="2"/>
      <c r="C1706" s="5">
        <f>WEEKDAY(Table1[[#This Row],[Date]])</f>
        <v>3</v>
      </c>
      <c r="D1706" s="5">
        <f>MONTH(Table1[[#This Row],[Date]])</f>
        <v>10</v>
      </c>
      <c r="E1706" s="5">
        <f>WEEKNUM(Table1[[#This Row],[Date]])</f>
        <v>43</v>
      </c>
      <c r="F1706" s="5">
        <f>YEAR(Table1[[#This Row],[Date]])</f>
        <v>2024</v>
      </c>
      <c r="H1706">
        <v>350.71524279909829</v>
      </c>
      <c r="I1706">
        <f>Table1[[#This Row],[Forecast]]*0.9</f>
        <v>315.6437185191885</v>
      </c>
      <c r="J1706">
        <f>Table1[[#This Row],[Forecast]]*0.8</f>
        <v>280.57219423927864</v>
      </c>
      <c r="K1706">
        <f>Table1[[#This Row],[Forecast]]*0.8</f>
        <v>280.57219423927864</v>
      </c>
      <c r="P1706" s="13">
        <f t="shared" si="50"/>
        <v>1.9267984556256407E-3</v>
      </c>
      <c r="Z1706" s="8"/>
      <c r="AA1706" s="8">
        <f>CONVERT(Table1[[#This Row],[RevisedForecast 30% Recution2]]*Table1[[#This Row],[Talk Duration (AVG)]],"day","hr")</f>
        <v>12.974545693241746</v>
      </c>
      <c r="AB1706" s="10">
        <f>(Table1[[#This Row],[Forecast Workload Hours]]*60)*1.2</f>
        <v>934.16728991340574</v>
      </c>
      <c r="AC1706" s="10">
        <f>IF(Table1[[#This Row],[Forecast WOrkload Minutes]]&lt;384,1,Table1[[#This Row],[Forecast WOrkload Minutes]]/384)</f>
        <v>2.4327273174828274</v>
      </c>
      <c r="AD1706" s="10">
        <f>ROUNDUP(Table1[[#This Row],[Forecast Headcount]],0)</f>
        <v>3</v>
      </c>
      <c r="AE1706" s="11">
        <v>251.55715772020989</v>
      </c>
      <c r="AF1706" s="11">
        <v>472.77432889782051</v>
      </c>
      <c r="AG1706" t="s">
        <v>7</v>
      </c>
    </row>
    <row r="1707" spans="1:33">
      <c r="A1707" s="2">
        <v>45588</v>
      </c>
      <c r="B1707" s="2"/>
      <c r="C1707" s="5">
        <f>WEEKDAY(Table1[[#This Row],[Date]])</f>
        <v>4</v>
      </c>
      <c r="D1707" s="5">
        <f>MONTH(Table1[[#This Row],[Date]])</f>
        <v>10</v>
      </c>
      <c r="E1707" s="5">
        <f>WEEKNUM(Table1[[#This Row],[Date]])</f>
        <v>43</v>
      </c>
      <c r="F1707" s="5">
        <f>YEAR(Table1[[#This Row],[Date]])</f>
        <v>2024</v>
      </c>
      <c r="H1707">
        <v>362.55380042928351</v>
      </c>
      <c r="I1707">
        <f>Table1[[#This Row],[Forecast]]*0.9</f>
        <v>326.29842038635519</v>
      </c>
      <c r="J1707">
        <f>Table1[[#This Row],[Forecast]]*0.8</f>
        <v>290.04304034342681</v>
      </c>
      <c r="K1707">
        <f>Table1[[#This Row],[Forecast]]*0.8</f>
        <v>290.04304034342681</v>
      </c>
      <c r="P1707" s="13">
        <f t="shared" si="50"/>
        <v>1.9267982203710345E-3</v>
      </c>
      <c r="Z1707" s="8"/>
      <c r="AA1707" s="8">
        <f>CONVERT(Table1[[#This Row],[RevisedForecast 30% Recution2]]*Table1[[#This Row],[Talk Duration (AVG)]],"day","hr")</f>
        <v>13.412505935153254</v>
      </c>
      <c r="AB1707" s="10">
        <f>(Table1[[#This Row],[Forecast Workload Hours]]*60)*1.2</f>
        <v>965.70042733103423</v>
      </c>
      <c r="AC1707" s="10">
        <f>IF(Table1[[#This Row],[Forecast WOrkload Minutes]]&lt;384,1,Table1[[#This Row],[Forecast WOrkload Minutes]]/384)</f>
        <v>2.514844862841235</v>
      </c>
      <c r="AD1707" s="10">
        <f>ROUNDUP(Table1[[#This Row],[Forecast Headcount]],0)</f>
        <v>3</v>
      </c>
      <c r="AE1707" s="11">
        <v>248.7041086043651</v>
      </c>
      <c r="AF1707" s="11">
        <v>477.70555790714008</v>
      </c>
      <c r="AG1707" t="s">
        <v>7</v>
      </c>
    </row>
    <row r="1708" spans="1:33">
      <c r="A1708" s="2">
        <v>45589</v>
      </c>
      <c r="B1708" s="2"/>
      <c r="C1708" s="5">
        <f>WEEKDAY(Table1[[#This Row],[Date]])</f>
        <v>5</v>
      </c>
      <c r="D1708" s="5">
        <f>MONTH(Table1[[#This Row],[Date]])</f>
        <v>10</v>
      </c>
      <c r="E1708" s="5">
        <f>WEEKNUM(Table1[[#This Row],[Date]])</f>
        <v>43</v>
      </c>
      <c r="F1708" s="5">
        <f>YEAR(Table1[[#This Row],[Date]])</f>
        <v>2024</v>
      </c>
      <c r="H1708">
        <v>357.19113280313462</v>
      </c>
      <c r="I1708">
        <f>Table1[[#This Row],[Forecast]]*0.9</f>
        <v>321.47201952282114</v>
      </c>
      <c r="J1708">
        <f>Table1[[#This Row],[Forecast]]*0.8</f>
        <v>285.75290624250772</v>
      </c>
      <c r="K1708">
        <f>Table1[[#This Row],[Forecast]]*0.8</f>
        <v>285.75290624250772</v>
      </c>
      <c r="P1708" s="13">
        <f t="shared" si="50"/>
        <v>1.9267979969043272E-3</v>
      </c>
      <c r="Z1708" s="8"/>
      <c r="AA1708" s="8">
        <f>CONVERT(Table1[[#This Row],[RevisedForecast 30% Recution2]]*Table1[[#This Row],[Talk Duration (AVG)]],"day","hr")</f>
        <v>13.21411505658369</v>
      </c>
      <c r="AB1708" s="10">
        <f>(Table1[[#This Row],[Forecast Workload Hours]]*60)*1.2</f>
        <v>951.41628407402561</v>
      </c>
      <c r="AC1708" s="10">
        <f>IF(Table1[[#This Row],[Forecast WOrkload Minutes]]&lt;384,1,Table1[[#This Row],[Forecast WOrkload Minutes]]/384)</f>
        <v>2.4776465731094417</v>
      </c>
      <c r="AD1708" s="10">
        <f>ROUNDUP(Table1[[#This Row],[Forecast Headcount]],0)</f>
        <v>3</v>
      </c>
      <c r="AE1708" s="11">
        <v>241.02014605398199</v>
      </c>
      <c r="AF1708" s="11">
        <v>474.01947510038292</v>
      </c>
      <c r="AG1708" t="s">
        <v>7</v>
      </c>
    </row>
    <row r="1709" spans="1:33">
      <c r="A1709" s="2">
        <v>45590</v>
      </c>
      <c r="B1709" s="2"/>
      <c r="C1709" s="5">
        <f>WEEKDAY(Table1[[#This Row],[Date]])</f>
        <v>6</v>
      </c>
      <c r="D1709" s="5">
        <f>MONTH(Table1[[#This Row],[Date]])</f>
        <v>10</v>
      </c>
      <c r="E1709" s="5">
        <f>WEEKNUM(Table1[[#This Row],[Date]])</f>
        <v>43</v>
      </c>
      <c r="F1709" s="5">
        <f>YEAR(Table1[[#This Row],[Date]])</f>
        <v>2024</v>
      </c>
      <c r="H1709">
        <v>347.52138279582852</v>
      </c>
      <c r="I1709">
        <f>Table1[[#This Row],[Forecast]]*0.9</f>
        <v>312.76924451624569</v>
      </c>
      <c r="J1709">
        <f>Table1[[#This Row],[Forecast]]*0.8</f>
        <v>278.01710623666281</v>
      </c>
      <c r="K1709">
        <f>Table1[[#This Row],[Forecast]]*0.8</f>
        <v>278.01710623666281</v>
      </c>
      <c r="P1709" s="13">
        <f t="shared" si="50"/>
        <v>1.9267977859690891E-3</v>
      </c>
      <c r="Z1709" s="8"/>
      <c r="AA1709" s="8">
        <f>CONVERT(Table1[[#This Row],[RevisedForecast 30% Recution2]]*Table1[[#This Row],[Talk Duration (AVG)]],"day","hr")</f>
        <v>12.85638587420004</v>
      </c>
      <c r="AB1709" s="10">
        <f>(Table1[[#This Row],[Forecast Workload Hours]]*60)*1.2</f>
        <v>925.65978294240279</v>
      </c>
      <c r="AC1709" s="10">
        <f>IF(Table1[[#This Row],[Forecast WOrkload Minutes]]&lt;384,1,Table1[[#This Row],[Forecast WOrkload Minutes]]/384)</f>
        <v>2.4105723514125073</v>
      </c>
      <c r="AD1709" s="10">
        <f>ROUNDUP(Table1[[#This Row],[Forecast Headcount]],0)</f>
        <v>3</v>
      </c>
      <c r="AE1709" s="11">
        <v>222.9797081590564</v>
      </c>
      <c r="AF1709" s="11">
        <v>451.7589535755987</v>
      </c>
      <c r="AG1709" t="s">
        <v>7</v>
      </c>
    </row>
    <row r="1710" spans="1:33">
      <c r="A1710" s="2">
        <v>45591</v>
      </c>
      <c r="B1710" s="2"/>
      <c r="C1710" s="5">
        <f>WEEKDAY(Table1[[#This Row],[Date]])</f>
        <v>7</v>
      </c>
      <c r="D1710" s="5">
        <f>MONTH(Table1[[#This Row],[Date]])</f>
        <v>10</v>
      </c>
      <c r="E1710" s="5">
        <f>WEEKNUM(Table1[[#This Row],[Date]])</f>
        <v>43</v>
      </c>
      <c r="F1710" s="5">
        <f>YEAR(Table1[[#This Row],[Date]])</f>
        <v>2024</v>
      </c>
      <c r="H1710">
        <v>353.66589288834501</v>
      </c>
      <c r="I1710">
        <f>Table1[[#This Row],[Forecast]]*0.9</f>
        <v>318.29930359951049</v>
      </c>
      <c r="J1710">
        <f>Table1[[#This Row],[Forecast]]*0.8</f>
        <v>282.93271431067603</v>
      </c>
      <c r="K1710">
        <f>Table1[[#This Row],[Forecast]]*0.8</f>
        <v>282.93271431067603</v>
      </c>
      <c r="P1710" s="13">
        <f t="shared" si="50"/>
        <v>1.9267975882233919E-3</v>
      </c>
      <c r="Z1710" s="8"/>
      <c r="AA1710" s="8">
        <f>CONVERT(Table1[[#This Row],[RevisedForecast 30% Recution2]]*Table1[[#This Row],[Talk Duration (AVG)]],"day","hr")</f>
        <v>13.083697717519405</v>
      </c>
      <c r="AB1710" s="10">
        <f>(Table1[[#This Row],[Forecast Workload Hours]]*60)*1.2</f>
        <v>942.0262356613971</v>
      </c>
      <c r="AC1710" s="10">
        <f>IF(Table1[[#This Row],[Forecast WOrkload Minutes]]&lt;384,1,Table1[[#This Row],[Forecast WOrkload Minutes]]/384)</f>
        <v>2.4531933220348883</v>
      </c>
      <c r="AD1710" s="10">
        <f>ROUNDUP(Table1[[#This Row],[Forecast Headcount]],0)</f>
        <v>3</v>
      </c>
      <c r="AE1710" s="11">
        <v>242.23779171717089</v>
      </c>
      <c r="AF1710" s="11">
        <v>470.96381726885937</v>
      </c>
      <c r="AG1710" t="s">
        <v>7</v>
      </c>
    </row>
    <row r="1711" spans="1:33">
      <c r="A1711" s="2">
        <v>45592</v>
      </c>
      <c r="B1711" s="2"/>
      <c r="C1711" s="5">
        <f>WEEKDAY(Table1[[#This Row],[Date]])</f>
        <v>1</v>
      </c>
      <c r="D1711" s="5">
        <f>MONTH(Table1[[#This Row],[Date]])</f>
        <v>10</v>
      </c>
      <c r="E1711" s="5">
        <f>WEEKNUM(Table1[[#This Row],[Date]])</f>
        <v>44</v>
      </c>
      <c r="F1711" s="5">
        <f>YEAR(Table1[[#This Row],[Date]])</f>
        <v>2024</v>
      </c>
      <c r="H1711">
        <v>263.7911897576721</v>
      </c>
      <c r="I1711">
        <f>Table1[[#This Row],[Forecast]]*0.9</f>
        <v>237.4120707819049</v>
      </c>
      <c r="J1711">
        <f>Table1[[#This Row],[Forecast]]*0.8</f>
        <v>211.0329518061377</v>
      </c>
      <c r="K1711">
        <f>Table1[[#This Row],[Forecast]]*0.8</f>
        <v>211.0329518061377</v>
      </c>
      <c r="P1711" s="13">
        <f t="shared" si="50"/>
        <v>1.9267974042439105E-3</v>
      </c>
      <c r="Z1711" s="8"/>
      <c r="AA1711" s="8">
        <f>CONVERT(Table1[[#This Row],[RevisedForecast 30% Recution2]]*Table1[[#This Row],[Talk Duration (AVG)]],"day","hr")</f>
        <v>9.7588258499999121</v>
      </c>
      <c r="AB1711" s="10">
        <f>(Table1[[#This Row],[Forecast Workload Hours]]*60)*1.2</f>
        <v>702.63546119999364</v>
      </c>
      <c r="AC1711" s="10">
        <f>IF(Table1[[#This Row],[Forecast WOrkload Minutes]]&lt;384,1,Table1[[#This Row],[Forecast WOrkload Minutes]]/384)</f>
        <v>1.8297798468749835</v>
      </c>
      <c r="AD1711" s="10">
        <f>ROUNDUP(Table1[[#This Row],[Forecast Headcount]],0)</f>
        <v>2</v>
      </c>
      <c r="AE1711" s="11">
        <v>150.15213085390229</v>
      </c>
      <c r="AF1711" s="11">
        <v>371.6420164244401</v>
      </c>
      <c r="AG1711" t="s">
        <v>7</v>
      </c>
    </row>
    <row r="1712" spans="1:33">
      <c r="A1712" s="2">
        <v>45593</v>
      </c>
      <c r="B1712" s="2"/>
      <c r="C1712" s="5">
        <f>WEEKDAY(Table1[[#This Row],[Date]])</f>
        <v>2</v>
      </c>
      <c r="D1712" s="5">
        <f>MONTH(Table1[[#This Row],[Date]])</f>
        <v>10</v>
      </c>
      <c r="E1712" s="5">
        <f>WEEKNUM(Table1[[#This Row],[Date]])</f>
        <v>44</v>
      </c>
      <c r="F1712" s="5">
        <f>YEAR(Table1[[#This Row],[Date]])</f>
        <v>2024</v>
      </c>
      <c r="H1712">
        <v>362.2677296102047</v>
      </c>
      <c r="I1712">
        <f>Table1[[#This Row],[Forecast]]*0.9</f>
        <v>326.04095664918424</v>
      </c>
      <c r="J1712">
        <f>Table1[[#This Row],[Forecast]]*0.8</f>
        <v>289.81418368816378</v>
      </c>
      <c r="K1712">
        <f>Table1[[#This Row],[Forecast]]*0.8</f>
        <v>289.81418368816378</v>
      </c>
      <c r="P1712" s="13">
        <f t="shared" si="50"/>
        <v>1.9267972345261765E-3</v>
      </c>
      <c r="Z1712" s="8"/>
      <c r="AA1712" s="8">
        <f>CONVERT(Table1[[#This Row],[RevisedForecast 30% Recution2]]*Table1[[#This Row],[Talk Duration (AVG)]],"day","hr")</f>
        <v>13.401916023763565</v>
      </c>
      <c r="AB1712" s="10">
        <f>(Table1[[#This Row],[Forecast Workload Hours]]*60)*1.2</f>
        <v>964.93795371097667</v>
      </c>
      <c r="AC1712" s="10">
        <f>IF(Table1[[#This Row],[Forecast WOrkload Minutes]]&lt;384,1,Table1[[#This Row],[Forecast WOrkload Minutes]]/384)</f>
        <v>2.5128592544556683</v>
      </c>
      <c r="AD1712" s="10">
        <f>ROUNDUP(Table1[[#This Row],[Forecast Headcount]],0)</f>
        <v>3</v>
      </c>
      <c r="AE1712" s="11">
        <v>253.51763372191121</v>
      </c>
      <c r="AF1712" s="11">
        <v>471.39546606737468</v>
      </c>
      <c r="AG1712" t="s">
        <v>7</v>
      </c>
    </row>
    <row r="1713" spans="1:33">
      <c r="A1713" s="2">
        <v>45594</v>
      </c>
      <c r="B1713" s="2"/>
      <c r="C1713" s="5">
        <f>WEEKDAY(Table1[[#This Row],[Date]])</f>
        <v>3</v>
      </c>
      <c r="D1713" s="5">
        <f>MONTH(Table1[[#This Row],[Date]])</f>
        <v>10</v>
      </c>
      <c r="E1713" s="5">
        <f>WEEKNUM(Table1[[#This Row],[Date]])</f>
        <v>44</v>
      </c>
      <c r="F1713" s="5">
        <f>YEAR(Table1[[#This Row],[Date]])</f>
        <v>2024</v>
      </c>
      <c r="H1713">
        <v>344.67500449014977</v>
      </c>
      <c r="I1713">
        <f>Table1[[#This Row],[Forecast]]*0.9</f>
        <v>310.20750404113483</v>
      </c>
      <c r="J1713">
        <f>Table1[[#This Row],[Forecast]]*0.8</f>
        <v>275.74000359211982</v>
      </c>
      <c r="K1713">
        <f>Table1[[#This Row],[Forecast]]*0.8</f>
        <v>275.74000359211982</v>
      </c>
      <c r="P1713" s="13">
        <f t="shared" si="50"/>
        <v>1.9267970794758381E-3</v>
      </c>
      <c r="Z1713" s="8"/>
      <c r="AA1713" s="8">
        <f>CONVERT(Table1[[#This Row],[RevisedForecast 30% Recution2]]*Table1[[#This Row],[Talk Duration (AVG)]],"day","hr")</f>
        <v>12.751080806782886</v>
      </c>
      <c r="AB1713" s="10">
        <f>(Table1[[#This Row],[Forecast Workload Hours]]*60)*1.2</f>
        <v>918.07781808836774</v>
      </c>
      <c r="AC1713" s="10">
        <f>IF(Table1[[#This Row],[Forecast WOrkload Minutes]]&lt;384,1,Table1[[#This Row],[Forecast WOrkload Minutes]]/384)</f>
        <v>2.390827651271791</v>
      </c>
      <c r="AD1713" s="10">
        <f>ROUNDUP(Table1[[#This Row],[Forecast Headcount]],0)</f>
        <v>3</v>
      </c>
      <c r="AE1713" s="11">
        <v>233.98223854116989</v>
      </c>
      <c r="AF1713" s="11">
        <v>456.12329190080538</v>
      </c>
      <c r="AG1713" t="s">
        <v>7</v>
      </c>
    </row>
    <row r="1714" spans="1:33">
      <c r="A1714" s="2">
        <v>45595</v>
      </c>
      <c r="B1714" s="2"/>
      <c r="C1714" s="5">
        <f>WEEKDAY(Table1[[#This Row],[Date]])</f>
        <v>4</v>
      </c>
      <c r="D1714" s="5">
        <f>MONTH(Table1[[#This Row],[Date]])</f>
        <v>10</v>
      </c>
      <c r="E1714" s="5">
        <f>WEEKNUM(Table1[[#This Row],[Date]])</f>
        <v>44</v>
      </c>
      <c r="F1714" s="5">
        <f>YEAR(Table1[[#This Row],[Date]])</f>
        <v>2024</v>
      </c>
      <c r="H1714">
        <v>355.24101505664981</v>
      </c>
      <c r="I1714">
        <f>Table1[[#This Row],[Forecast]]*0.9</f>
        <v>319.71691355098483</v>
      </c>
      <c r="J1714">
        <f>Table1[[#This Row],[Forecast]]*0.8</f>
        <v>284.19281204531984</v>
      </c>
      <c r="K1714">
        <f>Table1[[#This Row],[Forecast]]*0.8</f>
        <v>284.19281204531984</v>
      </c>
      <c r="P1714" s="13">
        <f t="shared" si="50"/>
        <v>1.926796939418568E-3</v>
      </c>
      <c r="Z1714" s="8"/>
      <c r="AA1714" s="8">
        <f>CONVERT(Table1[[#This Row],[RevisedForecast 30% Recution2]]*Table1[[#This Row],[Talk Duration (AVG)]],"day","hr")</f>
        <v>13.141964170888288</v>
      </c>
      <c r="AB1714" s="10">
        <f>(Table1[[#This Row],[Forecast Workload Hours]]*60)*1.2</f>
        <v>946.22142030395673</v>
      </c>
      <c r="AC1714" s="10">
        <f>IF(Table1[[#This Row],[Forecast WOrkload Minutes]]&lt;384,1,Table1[[#This Row],[Forecast WOrkload Minutes]]/384)</f>
        <v>2.4641182820415541</v>
      </c>
      <c r="AD1714" s="10">
        <f>ROUNDUP(Table1[[#This Row],[Forecast Headcount]],0)</f>
        <v>3</v>
      </c>
      <c r="AE1714" s="11">
        <v>245.293342556873</v>
      </c>
      <c r="AF1714" s="11">
        <v>472.10833876138071</v>
      </c>
      <c r="AG1714" t="s">
        <v>7</v>
      </c>
    </row>
    <row r="1715" spans="1:33">
      <c r="A1715" s="2">
        <v>45596</v>
      </c>
      <c r="B1715" s="2"/>
      <c r="C1715" s="5">
        <f>WEEKDAY(Table1[[#This Row],[Date]])</f>
        <v>5</v>
      </c>
      <c r="D1715" s="5">
        <f>MONTH(Table1[[#This Row],[Date]])</f>
        <v>10</v>
      </c>
      <c r="E1715" s="5">
        <f>WEEKNUM(Table1[[#This Row],[Date]])</f>
        <v>44</v>
      </c>
      <c r="F1715" s="5">
        <f>YEAR(Table1[[#This Row],[Date]])</f>
        <v>2024</v>
      </c>
      <c r="H1715">
        <v>348.71022098078578</v>
      </c>
      <c r="I1715">
        <f>Table1[[#This Row],[Forecast]]*0.9</f>
        <v>313.83919888270719</v>
      </c>
      <c r="J1715">
        <f>Table1[[#This Row],[Forecast]]*0.8</f>
        <v>278.96817678462861</v>
      </c>
      <c r="K1715">
        <f>Table1[[#This Row],[Forecast]]*0.8</f>
        <v>278.96817678462861</v>
      </c>
      <c r="P1715" s="13">
        <f t="shared" si="50"/>
        <v>1.926796814599789E-3</v>
      </c>
      <c r="Z1715" s="8"/>
      <c r="AA1715" s="8">
        <f>CONVERT(Table1[[#This Row],[RevisedForecast 30% Recution2]]*Table1[[#This Row],[Talk Duration (AVG)]],"day","hr")</f>
        <v>12.900359865679999</v>
      </c>
      <c r="AB1715" s="10">
        <f>(Table1[[#This Row],[Forecast Workload Hours]]*60)*1.2</f>
        <v>928.82591032895982</v>
      </c>
      <c r="AC1715" s="10">
        <f>IF(Table1[[#This Row],[Forecast WOrkload Minutes]]&lt;384,1,Table1[[#This Row],[Forecast WOrkload Minutes]]/384)</f>
        <v>2.4188174748149995</v>
      </c>
      <c r="AD1715" s="10">
        <f>ROUNDUP(Table1[[#This Row],[Forecast Headcount]],0)</f>
        <v>3</v>
      </c>
      <c r="AE1715" s="11">
        <v>232.5131816996153</v>
      </c>
      <c r="AF1715" s="11">
        <v>460.85417910963042</v>
      </c>
      <c r="AG1715" t="s">
        <v>7</v>
      </c>
    </row>
    <row r="1716" spans="1:33">
      <c r="A1716" s="2">
        <v>45597</v>
      </c>
      <c r="B1716" s="2"/>
      <c r="C1716" s="5">
        <f>WEEKDAY(Table1[[#This Row],[Date]])</f>
        <v>6</v>
      </c>
      <c r="D1716" s="5">
        <f>MONTH(Table1[[#This Row],[Date]])</f>
        <v>11</v>
      </c>
      <c r="E1716" s="5">
        <f>WEEKNUM(Table1[[#This Row],[Date]])</f>
        <v>44</v>
      </c>
      <c r="F1716" s="5">
        <f>YEAR(Table1[[#This Row],[Date]])</f>
        <v>2024</v>
      </c>
      <c r="H1716">
        <v>337.99351787062233</v>
      </c>
      <c r="I1716">
        <f>Table1[[#This Row],[Forecast]]*0.9</f>
        <v>304.19416608356011</v>
      </c>
      <c r="J1716">
        <f>Table1[[#This Row],[Forecast]]*0.8</f>
        <v>270.39481429649788</v>
      </c>
      <c r="K1716">
        <f>Table1[[#This Row],[Forecast]]*0.8</f>
        <v>270.39481429649788</v>
      </c>
      <c r="P1716" s="13">
        <f t="shared" si="50"/>
        <v>1.9267967051811573E-3</v>
      </c>
      <c r="Z1716" s="8"/>
      <c r="AA1716" s="8">
        <f>CONVERT(Table1[[#This Row],[RevisedForecast 30% Recution2]]*Table1[[#This Row],[Talk Duration (AVG)]],"day","hr")</f>
        <v>12.503900094829513</v>
      </c>
      <c r="AB1716" s="10">
        <f>(Table1[[#This Row],[Forecast Workload Hours]]*60)*1.2</f>
        <v>900.28080682772497</v>
      </c>
      <c r="AC1716" s="10">
        <f>IF(Table1[[#This Row],[Forecast WOrkload Minutes]]&lt;384,1,Table1[[#This Row],[Forecast WOrkload Minutes]]/384)</f>
        <v>2.3444812677805338</v>
      </c>
      <c r="AD1716" s="10">
        <f>ROUNDUP(Table1[[#This Row],[Forecast Headcount]],0)</f>
        <v>3</v>
      </c>
      <c r="AE1716" s="11">
        <v>227.74390533887919</v>
      </c>
      <c r="AF1716" s="11">
        <v>452.86759611405398</v>
      </c>
      <c r="AG1716" t="s">
        <v>7</v>
      </c>
    </row>
    <row r="1717" spans="1:33">
      <c r="A1717" s="2">
        <v>45598</v>
      </c>
      <c r="B1717" s="2"/>
      <c r="C1717" s="5">
        <f>WEEKDAY(Table1[[#This Row],[Date]])</f>
        <v>7</v>
      </c>
      <c r="D1717" s="5">
        <f>MONTH(Table1[[#This Row],[Date]])</f>
        <v>11</v>
      </c>
      <c r="E1717" s="5">
        <f>WEEKNUM(Table1[[#This Row],[Date]])</f>
        <v>44</v>
      </c>
      <c r="F1717" s="5">
        <f>YEAR(Table1[[#This Row],[Date]])</f>
        <v>2024</v>
      </c>
      <c r="H1717">
        <v>343.22751510694673</v>
      </c>
      <c r="I1717">
        <f>Table1[[#This Row],[Forecast]]*0.9</f>
        <v>308.90476359625205</v>
      </c>
      <c r="J1717">
        <f>Table1[[#This Row],[Forecast]]*0.8</f>
        <v>274.58201208555738</v>
      </c>
      <c r="K1717">
        <f>Table1[[#This Row],[Forecast]]*0.8</f>
        <v>274.58201208555738</v>
      </c>
      <c r="P1717" s="13">
        <f t="shared" si="50"/>
        <v>1.9267966112320037E-3</v>
      </c>
      <c r="Z1717" s="8"/>
      <c r="AA1717" s="8">
        <f>CONVERT(Table1[[#This Row],[RevisedForecast 30% Recution2]]*Table1[[#This Row],[Talk Duration (AVG)]],"day","hr")</f>
        <v>12.697528569401211</v>
      </c>
      <c r="AB1717" s="10">
        <f>(Table1[[#This Row],[Forecast Workload Hours]]*60)*1.2</f>
        <v>914.22205699688709</v>
      </c>
      <c r="AC1717" s="10">
        <f>IF(Table1[[#This Row],[Forecast WOrkload Minutes]]&lt;384,1,Table1[[#This Row],[Forecast WOrkload Minutes]]/384)</f>
        <v>2.3807866067627268</v>
      </c>
      <c r="AD1717" s="10">
        <f>ROUNDUP(Table1[[#This Row],[Forecast Headcount]],0)</f>
        <v>3</v>
      </c>
      <c r="AE1717" s="11">
        <v>225.81597475693289</v>
      </c>
      <c r="AF1717" s="11">
        <v>456.39045358375148</v>
      </c>
      <c r="AG1717" t="s">
        <v>7</v>
      </c>
    </row>
    <row r="1718" spans="1:33">
      <c r="A1718" s="2">
        <v>45599</v>
      </c>
      <c r="B1718" s="2"/>
      <c r="C1718" s="5">
        <f>WEEKDAY(Table1[[#This Row],[Date]])</f>
        <v>1</v>
      </c>
      <c r="D1718" s="5">
        <f>MONTH(Table1[[#This Row],[Date]])</f>
        <v>11</v>
      </c>
      <c r="E1718" s="5">
        <f>WEEKNUM(Table1[[#This Row],[Date]])</f>
        <v>45</v>
      </c>
      <c r="F1718" s="5">
        <f>YEAR(Table1[[#This Row],[Date]])</f>
        <v>2024</v>
      </c>
      <c r="H1718">
        <v>252.59229266480429</v>
      </c>
      <c r="I1718">
        <f>Table1[[#This Row],[Forecast]]*0.9</f>
        <v>227.33306339832387</v>
      </c>
      <c r="J1718">
        <f>Table1[[#This Row],[Forecast]]*0.8</f>
        <v>202.07383413184345</v>
      </c>
      <c r="K1718">
        <f>Table1[[#This Row],[Forecast]]*0.8</f>
        <v>202.07383413184345</v>
      </c>
      <c r="P1718" s="13">
        <f t="shared" si="50"/>
        <v>1.9267965327295262E-3</v>
      </c>
      <c r="Z1718" s="8"/>
      <c r="AA1718" s="8">
        <f>CONVERT(Table1[[#This Row],[RevisedForecast 30% Recution2]]*Table1[[#This Row],[Talk Duration (AVG)]],"day","hr")</f>
        <v>9.3445239110543366</v>
      </c>
      <c r="AB1718" s="10">
        <f>(Table1[[#This Row],[Forecast Workload Hours]]*60)*1.2</f>
        <v>672.80572159591225</v>
      </c>
      <c r="AC1718" s="10">
        <f>IF(Table1[[#This Row],[Forecast WOrkload Minutes]]&lt;384,1,Table1[[#This Row],[Forecast WOrkload Minutes]]/384)</f>
        <v>1.7520982333226882</v>
      </c>
      <c r="AD1718" s="10">
        <f>ROUNDUP(Table1[[#This Row],[Forecast Headcount]],0)</f>
        <v>2</v>
      </c>
      <c r="AE1718" s="11">
        <v>145.02491370317239</v>
      </c>
      <c r="AF1718" s="11">
        <v>362.71229751430627</v>
      </c>
      <c r="AG1718" t="s">
        <v>7</v>
      </c>
    </row>
    <row r="1719" spans="1:33">
      <c r="A1719" s="2">
        <v>45600</v>
      </c>
      <c r="B1719" s="2"/>
      <c r="C1719" s="5">
        <f>WEEKDAY(Table1[[#This Row],[Date]])</f>
        <v>2</v>
      </c>
      <c r="D1719" s="5">
        <f>MONTH(Table1[[#This Row],[Date]])</f>
        <v>11</v>
      </c>
      <c r="E1719" s="5">
        <f>WEEKNUM(Table1[[#This Row],[Date]])</f>
        <v>45</v>
      </c>
      <c r="F1719" s="5">
        <f>YEAR(Table1[[#This Row],[Date]])</f>
        <v>2024</v>
      </c>
      <c r="H1719">
        <v>350.46993662943208</v>
      </c>
      <c r="I1719">
        <f>Table1[[#This Row],[Forecast]]*0.9</f>
        <v>315.4229429664889</v>
      </c>
      <c r="J1719">
        <f>Table1[[#This Row],[Forecast]]*0.8</f>
        <v>280.37594930354567</v>
      </c>
      <c r="K1719">
        <f>Table1[[#This Row],[Forecast]]*0.8</f>
        <v>280.37594930354567</v>
      </c>
      <c r="P1719" s="13">
        <f t="shared" si="50"/>
        <v>1.9267964695731E-3</v>
      </c>
      <c r="Z1719" s="8"/>
      <c r="AA1719" s="8">
        <f>CONVERT(Table1[[#This Row],[RevisedForecast 30% Recution2]]*Table1[[#This Row],[Talk Duration (AVG)]],"day","hr")</f>
        <v>12.965457342510678</v>
      </c>
      <c r="AB1719" s="10">
        <f>(Table1[[#This Row],[Forecast Workload Hours]]*60)*1.2</f>
        <v>933.51292866076869</v>
      </c>
      <c r="AC1719" s="10">
        <f>IF(Table1[[#This Row],[Forecast WOrkload Minutes]]&lt;384,1,Table1[[#This Row],[Forecast WOrkload Minutes]]/384)</f>
        <v>2.431023251720752</v>
      </c>
      <c r="AD1719" s="10">
        <f>ROUNDUP(Table1[[#This Row],[Forecast Headcount]],0)</f>
        <v>3</v>
      </c>
      <c r="AE1719" s="11">
        <v>239.97059762346251</v>
      </c>
      <c r="AF1719" s="11">
        <v>457.11407253029779</v>
      </c>
      <c r="AG1719" t="s">
        <v>7</v>
      </c>
    </row>
    <row r="1720" spans="1:33">
      <c r="A1720" s="2">
        <v>45601</v>
      </c>
      <c r="B1720" s="2"/>
      <c r="C1720" s="5">
        <f>WEEKDAY(Table1[[#This Row],[Date]])</f>
        <v>3</v>
      </c>
      <c r="D1720" s="5">
        <f>MONTH(Table1[[#This Row],[Date]])</f>
        <v>11</v>
      </c>
      <c r="E1720" s="5">
        <f>WEEKNUM(Table1[[#This Row],[Date]])</f>
        <v>45</v>
      </c>
      <c r="F1720" s="5">
        <f>YEAR(Table1[[#This Row],[Date]])</f>
        <v>2024</v>
      </c>
      <c r="H1720">
        <v>332.44945662996832</v>
      </c>
      <c r="I1720">
        <f>Table1[[#This Row],[Forecast]]*0.9</f>
        <v>299.2045109669715</v>
      </c>
      <c r="J1720">
        <f>Table1[[#This Row],[Forecast]]*0.8</f>
        <v>265.95956530397467</v>
      </c>
      <c r="K1720">
        <f>Table1[[#This Row],[Forecast]]*0.8</f>
        <v>265.95956530397467</v>
      </c>
      <c r="P1720" s="13">
        <f t="shared" si="50"/>
        <v>1.926796421563856E-3</v>
      </c>
      <c r="Z1720" s="8"/>
      <c r="AA1720" s="8">
        <f>CONVERT(Table1[[#This Row],[RevisedForecast 30% Recution2]]*Table1[[#This Row],[Talk Duration (AVG)]],"day","hr")</f>
        <v>12.298798529001049</v>
      </c>
      <c r="AB1720" s="10">
        <f>(Table1[[#This Row],[Forecast Workload Hours]]*60)*1.2</f>
        <v>885.51349408807539</v>
      </c>
      <c r="AC1720" s="10">
        <f>IF(Table1[[#This Row],[Forecast WOrkload Minutes]]&lt;384,1,Table1[[#This Row],[Forecast WOrkload Minutes]]/384)</f>
        <v>2.3060247241876963</v>
      </c>
      <c r="AD1720" s="10">
        <f>ROUNDUP(Table1[[#This Row],[Forecast Headcount]],0)</f>
        <v>3</v>
      </c>
      <c r="AE1720" s="11">
        <v>209.77828734079719</v>
      </c>
      <c r="AF1720" s="11">
        <v>438.439289660214</v>
      </c>
      <c r="AG1720" t="s">
        <v>7</v>
      </c>
    </row>
    <row r="1721" spans="1:33">
      <c r="A1721" s="2">
        <v>45602</v>
      </c>
      <c r="B1721" s="2"/>
      <c r="C1721" s="5">
        <f>WEEKDAY(Table1[[#This Row],[Date]])</f>
        <v>4</v>
      </c>
      <c r="D1721" s="5">
        <f>MONTH(Table1[[#This Row],[Date]])</f>
        <v>11</v>
      </c>
      <c r="E1721" s="5">
        <f>WEEKNUM(Table1[[#This Row],[Date]])</f>
        <v>45</v>
      </c>
      <c r="F1721" s="5">
        <f>YEAR(Table1[[#This Row],[Date]])</f>
        <v>2024</v>
      </c>
      <c r="H1721">
        <v>342.76609368388603</v>
      </c>
      <c r="I1721">
        <f>Table1[[#This Row],[Forecast]]*0.9</f>
        <v>308.48948431549741</v>
      </c>
      <c r="J1721">
        <f>Table1[[#This Row],[Forecast]]*0.8</f>
        <v>274.21287494710884</v>
      </c>
      <c r="K1721">
        <f>Table1[[#This Row],[Forecast]]*0.8</f>
        <v>274.21287494710884</v>
      </c>
      <c r="P1721" s="13">
        <f t="shared" si="50"/>
        <v>1.9267963884188539E-3</v>
      </c>
      <c r="Z1721" s="8"/>
      <c r="AA1721" s="8">
        <f>CONVERT(Table1[[#This Row],[RevisedForecast 30% Recution2]]*Table1[[#This Row],[Talk Duration (AVG)]],"day","hr")</f>
        <v>12.680457050544961</v>
      </c>
      <c r="AB1721" s="10">
        <f>(Table1[[#This Row],[Forecast Workload Hours]]*60)*1.2</f>
        <v>912.99290763923716</v>
      </c>
      <c r="AC1721" s="10">
        <f>IF(Table1[[#This Row],[Forecast WOrkload Minutes]]&lt;384,1,Table1[[#This Row],[Forecast WOrkload Minutes]]/384)</f>
        <v>2.3775856969771803</v>
      </c>
      <c r="AD1721" s="10">
        <f>ROUNDUP(Table1[[#This Row],[Forecast Headcount]],0)</f>
        <v>3</v>
      </c>
      <c r="AE1721" s="11">
        <v>224.4702962812753</v>
      </c>
      <c r="AF1721" s="11">
        <v>454.2504566130936</v>
      </c>
      <c r="AG1721" t="s">
        <v>7</v>
      </c>
    </row>
    <row r="1722" spans="1:33">
      <c r="A1722" s="2">
        <v>45603</v>
      </c>
      <c r="B1722" s="2"/>
      <c r="C1722" s="5">
        <f>WEEKDAY(Table1[[#This Row],[Date]])</f>
        <v>5</v>
      </c>
      <c r="D1722" s="5">
        <f>MONTH(Table1[[#This Row],[Date]])</f>
        <v>11</v>
      </c>
      <c r="E1722" s="5">
        <f>WEEKNUM(Table1[[#This Row],[Date]])</f>
        <v>45</v>
      </c>
      <c r="F1722" s="5">
        <f>YEAR(Table1[[#This Row],[Date]])</f>
        <v>2024</v>
      </c>
      <c r="H1722">
        <v>336.16913257399563</v>
      </c>
      <c r="I1722">
        <f>Table1[[#This Row],[Forecast]]*0.9</f>
        <v>302.55221931659605</v>
      </c>
      <c r="J1722">
        <f>Table1[[#This Row],[Forecast]]*0.8</f>
        <v>268.93530605919653</v>
      </c>
      <c r="K1722">
        <f>Table1[[#This Row],[Forecast]]*0.8</f>
        <v>268.93530605919653</v>
      </c>
      <c r="P1722" s="13">
        <f t="shared" si="50"/>
        <v>1.9267963697893018E-3</v>
      </c>
      <c r="Z1722" s="8"/>
      <c r="AA1722" s="8">
        <f>CONVERT(Table1[[#This Row],[RevisedForecast 30% Recution2]]*Table1[[#This Row],[Talk Duration (AVG)]],"day","hr")</f>
        <v>12.436405714152833</v>
      </c>
      <c r="AB1722" s="10">
        <f>(Table1[[#This Row],[Forecast Workload Hours]]*60)*1.2</f>
        <v>895.42121141900395</v>
      </c>
      <c r="AC1722" s="10">
        <f>IF(Table1[[#This Row],[Forecast WOrkload Minutes]]&lt;384,1,Table1[[#This Row],[Forecast WOrkload Minutes]]/384)</f>
        <v>2.3318260714036563</v>
      </c>
      <c r="AD1722" s="10">
        <f>ROUNDUP(Table1[[#This Row],[Forecast Headcount]],0)</f>
        <v>3</v>
      </c>
      <c r="AE1722" s="11">
        <v>225.09487060681741</v>
      </c>
      <c r="AF1722" s="11">
        <v>448.49692921507199</v>
      </c>
      <c r="AG1722" t="s">
        <v>7</v>
      </c>
    </row>
    <row r="1723" spans="1:33">
      <c r="A1723" s="2">
        <v>45604</v>
      </c>
      <c r="B1723" s="2"/>
      <c r="C1723" s="5">
        <f>WEEKDAY(Table1[[#This Row],[Date]])</f>
        <v>6</v>
      </c>
      <c r="D1723" s="5">
        <f>MONTH(Table1[[#This Row],[Date]])</f>
        <v>11</v>
      </c>
      <c r="E1723" s="5">
        <f>WEEKNUM(Table1[[#This Row],[Date]])</f>
        <v>45</v>
      </c>
      <c r="F1723" s="5">
        <f>YEAR(Table1[[#This Row],[Date]])</f>
        <v>2024</v>
      </c>
      <c r="H1723">
        <v>325.57177056422648</v>
      </c>
      <c r="I1723">
        <f>Table1[[#This Row],[Forecast]]*0.9</f>
        <v>293.01459350780385</v>
      </c>
      <c r="J1723">
        <f>Table1[[#This Row],[Forecast]]*0.8</f>
        <v>260.45741645138122</v>
      </c>
      <c r="K1723">
        <f>Table1[[#This Row],[Forecast]]*0.8</f>
        <v>260.45741645138122</v>
      </c>
      <c r="P1723" s="13">
        <f t="shared" si="50"/>
        <v>1.9267963652607224E-3</v>
      </c>
      <c r="Z1723" s="8"/>
      <c r="AA1723" s="8">
        <f>CONVERT(Table1[[#This Row],[RevisedForecast 30% Recution2]]*Table1[[#This Row],[Talk Duration (AVG)]],"day","hr")</f>
        <v>12.044361679769271</v>
      </c>
      <c r="AB1723" s="10">
        <f>(Table1[[#This Row],[Forecast Workload Hours]]*60)*1.2</f>
        <v>867.19404094338745</v>
      </c>
      <c r="AC1723" s="10">
        <f>IF(Table1[[#This Row],[Forecast WOrkload Minutes]]&lt;384,1,Table1[[#This Row],[Forecast WOrkload Minutes]]/384)</f>
        <v>2.258317814956738</v>
      </c>
      <c r="AD1723" s="10">
        <f>ROUNDUP(Table1[[#This Row],[Forecast Headcount]],0)</f>
        <v>3</v>
      </c>
      <c r="AE1723" s="11">
        <v>214.6298415920144</v>
      </c>
      <c r="AF1723" s="11">
        <v>429.70273279605641</v>
      </c>
      <c r="AG1723" t="s">
        <v>7</v>
      </c>
    </row>
    <row r="1724" spans="1:33">
      <c r="A1724" s="2">
        <v>45605</v>
      </c>
      <c r="B1724" s="2"/>
      <c r="C1724" s="5">
        <f>WEEKDAY(Table1[[#This Row],[Date]])</f>
        <v>7</v>
      </c>
      <c r="D1724" s="5">
        <f>MONTH(Table1[[#This Row],[Date]])</f>
        <v>11</v>
      </c>
      <c r="E1724" s="5">
        <f>WEEKNUM(Table1[[#This Row],[Date]])</f>
        <v>45</v>
      </c>
      <c r="F1724" s="5">
        <f>YEAR(Table1[[#This Row],[Date]])</f>
        <v>2024</v>
      </c>
      <c r="H1724">
        <v>331.1103195735646</v>
      </c>
      <c r="I1724">
        <f>Table1[[#This Row],[Forecast]]*0.9</f>
        <v>297.99928761620816</v>
      </c>
      <c r="J1724">
        <f>Table1[[#This Row],[Forecast]]*0.8</f>
        <v>264.88825565885168</v>
      </c>
      <c r="K1724">
        <f>Table1[[#This Row],[Forecast]]*0.8</f>
        <v>264.88825565885168</v>
      </c>
      <c r="P1724" s="13">
        <f t="shared" si="50"/>
        <v>1.9267963743663809E-3</v>
      </c>
      <c r="Z1724" s="8"/>
      <c r="AA1724" s="8">
        <f>CONVERT(Table1[[#This Row],[RevisedForecast 30% Recution2]]*Table1[[#This Row],[Talk Duration (AVG)]],"day","hr")</f>
        <v>12.249257534777048</v>
      </c>
      <c r="AB1724" s="10">
        <f>(Table1[[#This Row],[Forecast Workload Hours]]*60)*1.2</f>
        <v>881.9465425039474</v>
      </c>
      <c r="AC1724" s="10">
        <f>IF(Table1[[#This Row],[Forecast WOrkload Minutes]]&lt;384,1,Table1[[#This Row],[Forecast WOrkload Minutes]]/384)</f>
        <v>2.2967357877706962</v>
      </c>
      <c r="AD1724" s="10">
        <f>ROUNDUP(Table1[[#This Row],[Forecast Headcount]],0)</f>
        <v>3</v>
      </c>
      <c r="AE1724" s="11">
        <v>216.8723276855257</v>
      </c>
      <c r="AF1724" s="11">
        <v>445.49284922610252</v>
      </c>
      <c r="AG1724" t="s">
        <v>7</v>
      </c>
    </row>
    <row r="1725" spans="1:33">
      <c r="A1725" s="2">
        <v>45606</v>
      </c>
      <c r="B1725" s="2"/>
      <c r="C1725" s="5">
        <f>WEEKDAY(Table1[[#This Row],[Date]])</f>
        <v>1</v>
      </c>
      <c r="D1725" s="5">
        <f>MONTH(Table1[[#This Row],[Date]])</f>
        <v>11</v>
      </c>
      <c r="E1725" s="5">
        <f>WEEKNUM(Table1[[#This Row],[Date]])</f>
        <v>46</v>
      </c>
      <c r="F1725" s="5">
        <f>YEAR(Table1[[#This Row],[Date]])</f>
        <v>2024</v>
      </c>
      <c r="H1725">
        <v>240.96192241451439</v>
      </c>
      <c r="I1725">
        <f>Table1[[#This Row],[Forecast]]*0.9</f>
        <v>216.86573017306296</v>
      </c>
      <c r="J1725">
        <f>Table1[[#This Row],[Forecast]]*0.8</f>
        <v>192.76953793161152</v>
      </c>
      <c r="K1725">
        <f>Table1[[#This Row],[Forecast]]*0.8</f>
        <v>192.76953793161152</v>
      </c>
      <c r="P1725" s="13">
        <f t="shared" si="50"/>
        <v>1.9267963965799413E-3</v>
      </c>
      <c r="Z1725" s="8"/>
      <c r="AA1725" s="8">
        <f>CONVERT(Table1[[#This Row],[RevisedForecast 30% Recution2]]*Table1[[#This Row],[Talk Duration (AVG)]],"day","hr")</f>
        <v>8.9142636253682266</v>
      </c>
      <c r="AB1725" s="10">
        <f>(Table1[[#This Row],[Forecast Workload Hours]]*60)*1.2</f>
        <v>641.82698102651227</v>
      </c>
      <c r="AC1725" s="10">
        <f>IF(Table1[[#This Row],[Forecast WOrkload Minutes]]&lt;384,1,Table1[[#This Row],[Forecast WOrkload Minutes]]/384)</f>
        <v>1.6714244297565424</v>
      </c>
      <c r="AD1725" s="10">
        <f>ROUNDUP(Table1[[#This Row],[Forecast Headcount]],0)</f>
        <v>2</v>
      </c>
      <c r="AE1725" s="11">
        <v>131.36580846803579</v>
      </c>
      <c r="AF1725" s="11">
        <v>357.86788685036481</v>
      </c>
      <c r="AG1725" t="s">
        <v>7</v>
      </c>
    </row>
    <row r="1726" spans="1:33">
      <c r="A1726" s="2">
        <v>45607</v>
      </c>
      <c r="B1726" s="2"/>
      <c r="C1726" s="5">
        <f>WEEKDAY(Table1[[#This Row],[Date]])</f>
        <v>2</v>
      </c>
      <c r="D1726" s="5">
        <f>MONTH(Table1[[#This Row],[Date]])</f>
        <v>11</v>
      </c>
      <c r="E1726" s="5">
        <f>WEEKNUM(Table1[[#This Row],[Date]])</f>
        <v>46</v>
      </c>
      <c r="F1726" s="5">
        <f>YEAR(Table1[[#This Row],[Date]])</f>
        <v>2024</v>
      </c>
      <c r="H1726">
        <v>339.50308502515543</v>
      </c>
      <c r="I1726">
        <f>Table1[[#This Row],[Forecast]]*0.9</f>
        <v>305.55277652263987</v>
      </c>
      <c r="J1726">
        <f>Table1[[#This Row],[Forecast]]*0.8</f>
        <v>271.60246802012438</v>
      </c>
      <c r="K1726">
        <f>Table1[[#This Row],[Forecast]]*0.8</f>
        <v>271.60246802012438</v>
      </c>
      <c r="P1726" s="13">
        <f t="shared" si="50"/>
        <v>1.9267964313317515E-3</v>
      </c>
      <c r="Z1726" s="8"/>
      <c r="AA1726" s="8">
        <f>CONVERT(Table1[[#This Row],[RevisedForecast 30% Recution2]]*Table1[[#This Row],[Talk Duration (AVG)]],"day","hr")</f>
        <v>12.559743986929721</v>
      </c>
      <c r="AB1726" s="10">
        <f>(Table1[[#This Row],[Forecast Workload Hours]]*60)*1.2</f>
        <v>904.3015670589399</v>
      </c>
      <c r="AC1726" s="10">
        <f>IF(Table1[[#This Row],[Forecast WOrkload Minutes]]&lt;384,1,Table1[[#This Row],[Forecast WOrkload Minutes]]/384)</f>
        <v>2.3549519975493225</v>
      </c>
      <c r="AD1726" s="10">
        <f>ROUNDUP(Table1[[#This Row],[Forecast Headcount]],0)</f>
        <v>3</v>
      </c>
      <c r="AE1726" s="11">
        <v>224.2112318439118</v>
      </c>
      <c r="AF1726" s="11">
        <v>458.1216241548729</v>
      </c>
      <c r="AG1726" t="s">
        <v>7</v>
      </c>
    </row>
    <row r="1727" spans="1:33">
      <c r="A1727" s="2">
        <v>45608</v>
      </c>
      <c r="B1727" s="2"/>
      <c r="C1727" s="5">
        <f>WEEKDAY(Table1[[#This Row],[Date]])</f>
        <v>3</v>
      </c>
      <c r="D1727" s="5">
        <f>MONTH(Table1[[#This Row],[Date]])</f>
        <v>11</v>
      </c>
      <c r="E1727" s="5">
        <f>WEEKNUM(Table1[[#This Row],[Date]])</f>
        <v>46</v>
      </c>
      <c r="F1727" s="5">
        <f>YEAR(Table1[[#This Row],[Date]])</f>
        <v>2024</v>
      </c>
      <c r="H1727">
        <v>322.31462975039932</v>
      </c>
      <c r="I1727">
        <f>Table1[[#This Row],[Forecast]]*0.9</f>
        <v>290.08316677535942</v>
      </c>
      <c r="J1727">
        <f>Table1[[#This Row],[Forecast]]*0.8</f>
        <v>257.85170380031946</v>
      </c>
      <c r="K1727">
        <f>Table1[[#This Row],[Forecast]]*0.8</f>
        <v>257.85170380031946</v>
      </c>
      <c r="P1727" s="13">
        <f t="shared" si="50"/>
        <v>1.9267964780077822E-3</v>
      </c>
      <c r="Z1727" s="8"/>
      <c r="AA1727" s="8">
        <f>CONVERT(Table1[[#This Row],[RevisedForecast 30% Recution2]]*Table1[[#This Row],[Talk Duration (AVG)]],"day","hr")</f>
        <v>11.923866113538272</v>
      </c>
      <c r="AB1727" s="10">
        <f>(Table1[[#This Row],[Forecast Workload Hours]]*60)*1.2</f>
        <v>858.51836017475557</v>
      </c>
      <c r="AC1727" s="10">
        <f>IF(Table1[[#This Row],[Forecast WOrkload Minutes]]&lt;384,1,Table1[[#This Row],[Forecast WOrkload Minutes]]/384)</f>
        <v>2.235724896288426</v>
      </c>
      <c r="AD1727" s="10">
        <f>ROUNDUP(Table1[[#This Row],[Forecast Headcount]],0)</f>
        <v>3</v>
      </c>
      <c r="AE1727" s="11">
        <v>207.57024513890309</v>
      </c>
      <c r="AF1727" s="11">
        <v>436.61693833515352</v>
      </c>
      <c r="AG1727" t="s">
        <v>7</v>
      </c>
    </row>
    <row r="1728" spans="1:33">
      <c r="A1728" s="2">
        <v>45609</v>
      </c>
      <c r="B1728" s="2"/>
      <c r="C1728" s="5">
        <f>WEEKDAY(Table1[[#This Row],[Date]])</f>
        <v>4</v>
      </c>
      <c r="D1728" s="5">
        <f>MONTH(Table1[[#This Row],[Date]])</f>
        <v>11</v>
      </c>
      <c r="E1728" s="5">
        <f>WEEKNUM(Table1[[#This Row],[Date]])</f>
        <v>46</v>
      </c>
      <c r="F1728" s="5">
        <f>YEAR(Table1[[#This Row],[Date]])</f>
        <v>2024</v>
      </c>
      <c r="H1728">
        <v>333.6210795082518</v>
      </c>
      <c r="I1728">
        <f>Table1[[#This Row],[Forecast]]*0.9</f>
        <v>300.25897155742661</v>
      </c>
      <c r="J1728">
        <f>Table1[[#This Row],[Forecast]]*0.8</f>
        <v>266.89686360660147</v>
      </c>
      <c r="K1728">
        <f>Table1[[#This Row],[Forecast]]*0.8</f>
        <v>266.89686360660147</v>
      </c>
      <c r="P1728" s="13">
        <f t="shared" si="50"/>
        <v>1.9267965359568017E-3</v>
      </c>
      <c r="Z1728" s="8"/>
      <c r="AA1728" s="8">
        <f>CONVERT(Table1[[#This Row],[RevisedForecast 30% Recution2]]*Table1[[#This Row],[Talk Duration (AVG)]],"day","hr")</f>
        <v>12.342142854118432</v>
      </c>
      <c r="AB1728" s="10">
        <f>(Table1[[#This Row],[Forecast Workload Hours]]*60)*1.2</f>
        <v>888.63428549652701</v>
      </c>
      <c r="AC1728" s="10">
        <f>IF(Table1[[#This Row],[Forecast WOrkload Minutes]]&lt;384,1,Table1[[#This Row],[Forecast WOrkload Minutes]]/384)</f>
        <v>2.3141517851472058</v>
      </c>
      <c r="AD1728" s="10">
        <f>ROUNDUP(Table1[[#This Row],[Forecast Headcount]],0)</f>
        <v>3</v>
      </c>
      <c r="AE1728" s="11">
        <v>214.81767478586889</v>
      </c>
      <c r="AF1728" s="11">
        <v>439.3747470341807</v>
      </c>
      <c r="AG1728" t="s">
        <v>7</v>
      </c>
    </row>
    <row r="1729" spans="1:33">
      <c r="A1729" s="2">
        <v>45610</v>
      </c>
      <c r="B1729" s="2"/>
      <c r="C1729" s="5">
        <f>WEEKDAY(Table1[[#This Row],[Date]])</f>
        <v>5</v>
      </c>
      <c r="D1729" s="5">
        <f>MONTH(Table1[[#This Row],[Date]])</f>
        <v>11</v>
      </c>
      <c r="E1729" s="5">
        <f>WEEKNUM(Table1[[#This Row],[Date]])</f>
        <v>46</v>
      </c>
      <c r="F1729" s="5">
        <f>YEAR(Table1[[#This Row],[Date]])</f>
        <v>2024</v>
      </c>
      <c r="H1729">
        <v>328.15858774805878</v>
      </c>
      <c r="I1729">
        <f>Table1[[#This Row],[Forecast]]*0.9</f>
        <v>295.34272897325292</v>
      </c>
      <c r="J1729">
        <f>Table1[[#This Row],[Forecast]]*0.8</f>
        <v>262.52687019844706</v>
      </c>
      <c r="K1729">
        <f>Table1[[#This Row],[Forecast]]*0.8</f>
        <v>262.52687019844706</v>
      </c>
      <c r="P1729" s="13">
        <f t="shared" si="50"/>
        <v>1.9267966044954452E-3</v>
      </c>
      <c r="Z1729" s="8"/>
      <c r="AA1729" s="8">
        <f>CONVERT(Table1[[#This Row],[RevisedForecast 30% Recution2]]*Table1[[#This Row],[Talk Duration (AVG)]],"day","hr")</f>
        <v>12.140061170092421</v>
      </c>
      <c r="AB1729" s="10">
        <f>(Table1[[#This Row],[Forecast Workload Hours]]*60)*1.2</f>
        <v>874.08440424665434</v>
      </c>
      <c r="AC1729" s="10">
        <f>IF(Table1[[#This Row],[Forecast WOrkload Minutes]]&lt;384,1,Table1[[#This Row],[Forecast WOrkload Minutes]]/384)</f>
        <v>2.2762614693923289</v>
      </c>
      <c r="AD1729" s="10">
        <f>ROUNDUP(Table1[[#This Row],[Forecast Headcount]],0)</f>
        <v>3</v>
      </c>
      <c r="AE1729" s="11">
        <v>209.94275701923169</v>
      </c>
      <c r="AF1729" s="11">
        <v>434.41248547460992</v>
      </c>
      <c r="AG1729" t="s">
        <v>7</v>
      </c>
    </row>
    <row r="1730" spans="1:33">
      <c r="A1730" s="2">
        <v>45611</v>
      </c>
      <c r="B1730" s="2"/>
      <c r="C1730" s="5">
        <f>WEEKDAY(Table1[[#This Row],[Date]])</f>
        <v>6</v>
      </c>
      <c r="D1730" s="5">
        <f>MONTH(Table1[[#This Row],[Date]])</f>
        <v>11</v>
      </c>
      <c r="E1730" s="5">
        <f>WEEKNUM(Table1[[#This Row],[Date]])</f>
        <v>46</v>
      </c>
      <c r="F1730" s="5">
        <f>YEAR(Table1[[#This Row],[Date]])</f>
        <v>2024</v>
      </c>
      <c r="H1730">
        <v>318.82496611348688</v>
      </c>
      <c r="I1730">
        <f>Table1[[#This Row],[Forecast]]*0.9</f>
        <v>286.94246950213818</v>
      </c>
      <c r="J1730">
        <f>Table1[[#This Row],[Forecast]]*0.8</f>
        <v>255.05997289078951</v>
      </c>
      <c r="K1730">
        <f>Table1[[#This Row],[Forecast]]*0.8</f>
        <v>255.05997289078951</v>
      </c>
      <c r="P1730" s="13">
        <f t="shared" si="50"/>
        <v>1.926796682906943E-3</v>
      </c>
      <c r="Z1730" s="8"/>
      <c r="AA1730" s="8">
        <f>CONVERT(Table1[[#This Row],[RevisedForecast 30% Recution2]]*Table1[[#This Row],[Talk Duration (AVG)]],"day","hr")</f>
        <v>11.794769032999392</v>
      </c>
      <c r="AB1730" s="10">
        <f>(Table1[[#This Row],[Forecast Workload Hours]]*60)*1.2</f>
        <v>849.22337037595616</v>
      </c>
      <c r="AC1730" s="10">
        <f>IF(Table1[[#This Row],[Forecast WOrkload Minutes]]&lt;384,1,Table1[[#This Row],[Forecast WOrkload Minutes]]/384)</f>
        <v>2.2115191936873857</v>
      </c>
      <c r="AD1730" s="10">
        <f>ROUNDUP(Table1[[#This Row],[Forecast Headcount]],0)</f>
        <v>3</v>
      </c>
      <c r="AE1730" s="11">
        <v>208.07357507306861</v>
      </c>
      <c r="AF1730" s="11">
        <v>433.48413427645511</v>
      </c>
      <c r="AG1730" t="s">
        <v>7</v>
      </c>
    </row>
    <row r="1731" spans="1:33">
      <c r="A1731" s="2">
        <v>45612</v>
      </c>
      <c r="B1731" s="2"/>
      <c r="C1731" s="5">
        <f>WEEKDAY(Table1[[#This Row],[Date]])</f>
        <v>7</v>
      </c>
      <c r="D1731" s="5">
        <f>MONTH(Table1[[#This Row],[Date]])</f>
        <v>11</v>
      </c>
      <c r="E1731" s="5">
        <f>WEEKNUM(Table1[[#This Row],[Date]])</f>
        <v>46</v>
      </c>
      <c r="F1731" s="5">
        <f>YEAR(Table1[[#This Row],[Date]])</f>
        <v>2024</v>
      </c>
      <c r="H1731">
        <v>325.7390863138038</v>
      </c>
      <c r="I1731">
        <f>Table1[[#This Row],[Forecast]]*0.9</f>
        <v>293.1651776824234</v>
      </c>
      <c r="J1731">
        <f>Table1[[#This Row],[Forecast]]*0.8</f>
        <v>260.59126905104307</v>
      </c>
      <c r="K1731">
        <f>Table1[[#This Row],[Forecast]]*0.8</f>
        <v>260.59126905104307</v>
      </c>
      <c r="P1731" s="13">
        <f t="shared" si="50"/>
        <v>1.926796770443941E-3</v>
      </c>
      <c r="Z1731" s="8"/>
      <c r="AA1731" s="8">
        <f>CONVERT(Table1[[#This Row],[RevisedForecast 30% Recution2]]*Table1[[#This Row],[Talk Duration (AVG)]],"day","hr")</f>
        <v>12.05055397472251</v>
      </c>
      <c r="AB1731" s="10">
        <f>(Table1[[#This Row],[Forecast Workload Hours]]*60)*1.2</f>
        <v>867.63988618002065</v>
      </c>
      <c r="AC1731" s="10">
        <f>IF(Table1[[#This Row],[Forecast WOrkload Minutes]]&lt;384,1,Table1[[#This Row],[Forecast WOrkload Minutes]]/384)</f>
        <v>2.2594788702604705</v>
      </c>
      <c r="AD1731" s="10">
        <f>ROUNDUP(Table1[[#This Row],[Forecast Headcount]],0)</f>
        <v>3</v>
      </c>
      <c r="AE1731" s="11">
        <v>205.6466493131056</v>
      </c>
      <c r="AF1731" s="11">
        <v>434.18810166648171</v>
      </c>
      <c r="AG1731" t="s">
        <v>7</v>
      </c>
    </row>
    <row r="1732" spans="1:33">
      <c r="A1732" s="2">
        <v>45613</v>
      </c>
      <c r="B1732" s="2"/>
      <c r="C1732" s="5">
        <f>WEEKDAY(Table1[[#This Row],[Date]])</f>
        <v>1</v>
      </c>
      <c r="D1732" s="5">
        <f>MONTH(Table1[[#This Row],[Date]])</f>
        <v>11</v>
      </c>
      <c r="E1732" s="5">
        <f>WEEKNUM(Table1[[#This Row],[Date]])</f>
        <v>47</v>
      </c>
      <c r="F1732" s="5">
        <f>YEAR(Table1[[#This Row],[Date]])</f>
        <v>2024</v>
      </c>
      <c r="H1732">
        <v>237.0588353938661</v>
      </c>
      <c r="I1732">
        <f>Table1[[#This Row],[Forecast]]*0.9</f>
        <v>213.3529518544795</v>
      </c>
      <c r="J1732">
        <f>Table1[[#This Row],[Forecast]]*0.8</f>
        <v>189.64706831509289</v>
      </c>
      <c r="K1732">
        <f>Table1[[#This Row],[Forecast]]*0.8</f>
        <v>189.64706831509289</v>
      </c>
      <c r="P1732" s="13">
        <f t="shared" si="50"/>
        <v>1.9267968663430281E-3</v>
      </c>
      <c r="Z1732" s="8"/>
      <c r="AA1732" s="8">
        <f>CONVERT(Table1[[#This Row],[RevisedForecast 30% Recution2]]*Table1[[#This Row],[Talk Duration (AVG)]],"day","hr")</f>
        <v>8.7698730465759152</v>
      </c>
      <c r="AB1732" s="10">
        <f>(Table1[[#This Row],[Forecast Workload Hours]]*60)*1.2</f>
        <v>631.43085935346585</v>
      </c>
      <c r="AC1732" s="10">
        <f>IF(Table1[[#This Row],[Forecast WOrkload Minutes]]&lt;384,1,Table1[[#This Row],[Forecast WOrkload Minutes]]/384)</f>
        <v>1.644351196232984</v>
      </c>
      <c r="AD1732" s="10">
        <f>ROUNDUP(Table1[[#This Row],[Forecast Headcount]],0)</f>
        <v>2</v>
      </c>
      <c r="AE1732" s="11">
        <v>124.0513813906297</v>
      </c>
      <c r="AF1732" s="11">
        <v>349.6417708423769</v>
      </c>
      <c r="AG1732" t="s">
        <v>7</v>
      </c>
    </row>
    <row r="1733" spans="1:33">
      <c r="A1733" s="2">
        <v>45614</v>
      </c>
      <c r="B1733" s="2"/>
      <c r="C1733" s="5">
        <f>WEEKDAY(Table1[[#This Row],[Date]])</f>
        <v>2</v>
      </c>
      <c r="D1733" s="5">
        <f>MONTH(Table1[[#This Row],[Date]])</f>
        <v>11</v>
      </c>
      <c r="E1733" s="5">
        <f>WEEKNUM(Table1[[#This Row],[Date]])</f>
        <v>47</v>
      </c>
      <c r="F1733" s="5">
        <f>YEAR(Table1[[#This Row],[Date]])</f>
        <v>2024</v>
      </c>
      <c r="H1733">
        <v>337.13992406032582</v>
      </c>
      <c r="I1733">
        <f>Table1[[#This Row],[Forecast]]*0.9</f>
        <v>303.42593165429327</v>
      </c>
      <c r="J1733">
        <f>Table1[[#This Row],[Forecast]]*0.8</f>
        <v>269.71193924826065</v>
      </c>
      <c r="K1733">
        <f>Table1[[#This Row],[Forecast]]*0.8</f>
        <v>269.71193924826065</v>
      </c>
      <c r="P1733" s="13">
        <f t="shared" si="50"/>
        <v>1.926796969827583E-3</v>
      </c>
      <c r="Z1733" s="8"/>
      <c r="AA1733" s="8">
        <f>CONVERT(Table1[[#This Row],[RevisedForecast 30% Recution2]]*Table1[[#This Row],[Talk Duration (AVG)]],"day","hr")</f>
        <v>12.472323534476875</v>
      </c>
      <c r="AB1733" s="10">
        <f>(Table1[[#This Row],[Forecast Workload Hours]]*60)*1.2</f>
        <v>898.00729448233494</v>
      </c>
      <c r="AC1733" s="10">
        <f>IF(Table1[[#This Row],[Forecast WOrkload Minutes]]&lt;384,1,Table1[[#This Row],[Forecast WOrkload Minutes]]/384)</f>
        <v>2.3385606627144138</v>
      </c>
      <c r="AD1733" s="10">
        <f>ROUNDUP(Table1[[#This Row],[Forecast Headcount]],0)</f>
        <v>3</v>
      </c>
      <c r="AE1733" s="11">
        <v>217.86585289278801</v>
      </c>
      <c r="AF1733" s="11">
        <v>444.16314825568378</v>
      </c>
      <c r="AG1733" t="s">
        <v>7</v>
      </c>
    </row>
    <row r="1734" spans="1:33">
      <c r="A1734" s="2">
        <v>45615</v>
      </c>
      <c r="B1734" s="2"/>
      <c r="C1734" s="5">
        <f>WEEKDAY(Table1[[#This Row],[Date]])</f>
        <v>3</v>
      </c>
      <c r="D1734" s="5">
        <f>MONTH(Table1[[#This Row],[Date]])</f>
        <v>11</v>
      </c>
      <c r="E1734" s="5">
        <f>WEEKNUM(Table1[[#This Row],[Date]])</f>
        <v>47</v>
      </c>
      <c r="F1734" s="5">
        <f>YEAR(Table1[[#This Row],[Date]])</f>
        <v>2024</v>
      </c>
      <c r="H1734">
        <v>321.54114997301099</v>
      </c>
      <c r="I1734">
        <f>Table1[[#This Row],[Forecast]]*0.9</f>
        <v>289.38703497570992</v>
      </c>
      <c r="J1734">
        <f>Table1[[#This Row],[Forecast]]*0.8</f>
        <v>257.2329199784088</v>
      </c>
      <c r="K1734">
        <f>Table1[[#This Row],[Forecast]]*0.8</f>
        <v>257.2329199784088</v>
      </c>
      <c r="P1734" s="13">
        <f t="shared" si="50"/>
        <v>1.9267970801066386E-3</v>
      </c>
      <c r="Z1734" s="8"/>
      <c r="AA1734" s="8">
        <f>CONVERT(Table1[[#This Row],[RevisedForecast 30% Recution2]]*Table1[[#This Row],[Talk Duration (AVG)]],"day","hr")</f>
        <v>11.895255338920865</v>
      </c>
      <c r="AB1734" s="10">
        <f>(Table1[[#This Row],[Forecast Workload Hours]]*60)*1.2</f>
        <v>856.45838440230227</v>
      </c>
      <c r="AC1734" s="10">
        <f>IF(Table1[[#This Row],[Forecast WOrkload Minutes]]&lt;384,1,Table1[[#This Row],[Forecast WOrkload Minutes]]/384)</f>
        <v>2.230360376047662</v>
      </c>
      <c r="AD1734" s="10">
        <f>ROUNDUP(Table1[[#This Row],[Forecast Headcount]],0)</f>
        <v>3</v>
      </c>
      <c r="AE1734" s="11">
        <v>208.70083281209111</v>
      </c>
      <c r="AF1734" s="11">
        <v>428.75691632887299</v>
      </c>
      <c r="AG1734" t="s">
        <v>7</v>
      </c>
    </row>
    <row r="1735" spans="1:33">
      <c r="A1735" s="2">
        <v>45616</v>
      </c>
      <c r="B1735" s="2"/>
      <c r="C1735" s="5">
        <f>WEEKDAY(Table1[[#This Row],[Date]])</f>
        <v>4</v>
      </c>
      <c r="D1735" s="5">
        <f>MONTH(Table1[[#This Row],[Date]])</f>
        <v>11</v>
      </c>
      <c r="E1735" s="5">
        <f>WEEKNUM(Table1[[#This Row],[Date]])</f>
        <v>47</v>
      </c>
      <c r="F1735" s="5">
        <f>YEAR(Table1[[#This Row],[Date]])</f>
        <v>2024</v>
      </c>
      <c r="H1735">
        <v>334.46412181067473</v>
      </c>
      <c r="I1735">
        <f>Table1[[#This Row],[Forecast]]*0.9</f>
        <v>301.01770962960728</v>
      </c>
      <c r="J1735">
        <f>Table1[[#This Row],[Forecast]]*0.8</f>
        <v>267.57129744853978</v>
      </c>
      <c r="K1735">
        <f>Table1[[#This Row],[Forecast]]*0.8</f>
        <v>267.57129744853978</v>
      </c>
      <c r="P1735" s="13">
        <f t="shared" si="50"/>
        <v>1.9267971963811219E-3</v>
      </c>
      <c r="Z1735" s="8"/>
      <c r="AA1735" s="8">
        <f>CONVERT(Table1[[#This Row],[RevisedForecast 30% Recution2]]*Table1[[#This Row],[Talk Duration (AVG)]],"day","hr")</f>
        <v>12.373335018141738</v>
      </c>
      <c r="AB1735" s="10">
        <f>(Table1[[#This Row],[Forecast Workload Hours]]*60)*1.2</f>
        <v>890.88012130620507</v>
      </c>
      <c r="AC1735" s="10">
        <f>IF(Table1[[#This Row],[Forecast WOrkload Minutes]]&lt;384,1,Table1[[#This Row],[Forecast WOrkload Minutes]]/384)</f>
        <v>2.3200003159015758</v>
      </c>
      <c r="AD1735" s="10">
        <f>ROUNDUP(Table1[[#This Row],[Forecast Headcount]],0)</f>
        <v>3</v>
      </c>
      <c r="AE1735" s="11">
        <v>222.18985946881381</v>
      </c>
      <c r="AF1735" s="11">
        <v>452.07637128115988</v>
      </c>
      <c r="AG1735" t="s">
        <v>7</v>
      </c>
    </row>
    <row r="1736" spans="1:33">
      <c r="A1736" s="2">
        <v>45617</v>
      </c>
      <c r="B1736" s="2"/>
      <c r="C1736" s="5">
        <f>WEEKDAY(Table1[[#This Row],[Date]])</f>
        <v>5</v>
      </c>
      <c r="D1736" s="5">
        <f>MONTH(Table1[[#This Row],[Date]])</f>
        <v>11</v>
      </c>
      <c r="E1736" s="5">
        <f>WEEKNUM(Table1[[#This Row],[Date]])</f>
        <v>47</v>
      </c>
      <c r="F1736" s="5">
        <f>YEAR(Table1[[#This Row],[Date]])</f>
        <v>2024</v>
      </c>
      <c r="H1736">
        <v>330.62155411702372</v>
      </c>
      <c r="I1736">
        <f>Table1[[#This Row],[Forecast]]*0.9</f>
        <v>297.55939870532137</v>
      </c>
      <c r="J1736">
        <f>Table1[[#This Row],[Forecast]]*0.8</f>
        <v>264.49724329361896</v>
      </c>
      <c r="K1736">
        <f>Table1[[#This Row],[Forecast]]*0.8</f>
        <v>264.49724329361896</v>
      </c>
      <c r="P1736" s="13">
        <f t="shared" si="50"/>
        <v>1.9267973178248125E-3</v>
      </c>
      <c r="Z1736" s="8"/>
      <c r="AA1736" s="8">
        <f>CONVERT(Table1[[#This Row],[RevisedForecast 30% Recution2]]*Table1[[#This Row],[Talk Duration (AVG)]],"day","hr")</f>
        <v>12.231181894804845</v>
      </c>
      <c r="AB1736" s="10">
        <f>(Table1[[#This Row],[Forecast Workload Hours]]*60)*1.2</f>
        <v>880.64509642594874</v>
      </c>
      <c r="AC1736" s="10">
        <f>IF(Table1[[#This Row],[Forecast WOrkload Minutes]]&lt;384,1,Table1[[#This Row],[Forecast WOrkload Minutes]]/384)</f>
        <v>2.2933466052759082</v>
      </c>
      <c r="AD1736" s="10">
        <f>ROUNDUP(Table1[[#This Row],[Forecast Headcount]],0)</f>
        <v>3</v>
      </c>
      <c r="AE1736" s="11">
        <v>216.78038136539101</v>
      </c>
      <c r="AF1736" s="11">
        <v>446.47538483929799</v>
      </c>
      <c r="AG1736" t="s">
        <v>7</v>
      </c>
    </row>
    <row r="1737" spans="1:33">
      <c r="A1737" s="2">
        <v>45618</v>
      </c>
      <c r="B1737" s="2"/>
      <c r="C1737" s="5">
        <f>WEEKDAY(Table1[[#This Row],[Date]])</f>
        <v>6</v>
      </c>
      <c r="D1737" s="5">
        <f>MONTH(Table1[[#This Row],[Date]])</f>
        <v>11</v>
      </c>
      <c r="E1737" s="5">
        <f>WEEKNUM(Table1[[#This Row],[Date]])</f>
        <v>47</v>
      </c>
      <c r="F1737" s="5">
        <f>YEAR(Table1[[#This Row],[Date]])</f>
        <v>2024</v>
      </c>
      <c r="H1737">
        <v>322.88767912330792</v>
      </c>
      <c r="I1737">
        <f>Table1[[#This Row],[Forecast]]*0.9</f>
        <v>290.59891121097712</v>
      </c>
      <c r="J1737">
        <f>Table1[[#This Row],[Forecast]]*0.8</f>
        <v>258.31014329864632</v>
      </c>
      <c r="K1737">
        <f>Table1[[#This Row],[Forecast]]*0.8</f>
        <v>258.31014329864632</v>
      </c>
      <c r="P1737" s="13">
        <f t="shared" si="50"/>
        <v>1.926797443593293E-3</v>
      </c>
      <c r="Z1737" s="8"/>
      <c r="AA1737" s="8">
        <f>CONVERT(Table1[[#This Row],[RevisedForecast 30% Recution2]]*Table1[[#This Row],[Talk Duration (AVG)]],"day","hr")</f>
        <v>11.945071770289173</v>
      </c>
      <c r="AB1737" s="10">
        <f>(Table1[[#This Row],[Forecast Workload Hours]]*60)*1.2</f>
        <v>860.04516746082049</v>
      </c>
      <c r="AC1737" s="10">
        <f>IF(Table1[[#This Row],[Forecast WOrkload Minutes]]&lt;384,1,Table1[[#This Row],[Forecast WOrkload Minutes]]/384)</f>
        <v>2.2397009569292199</v>
      </c>
      <c r="AD1737" s="10">
        <f>ROUNDUP(Table1[[#This Row],[Forecast Headcount]],0)</f>
        <v>3</v>
      </c>
      <c r="AE1737" s="11">
        <v>209.25477983768121</v>
      </c>
      <c r="AF1737" s="11">
        <v>434.16141249082813</v>
      </c>
      <c r="AG1737" t="s">
        <v>7</v>
      </c>
    </row>
    <row r="1738" spans="1:33">
      <c r="A1738" s="2">
        <v>45619</v>
      </c>
      <c r="B1738" s="2"/>
      <c r="C1738" s="5">
        <f>WEEKDAY(Table1[[#This Row],[Date]])</f>
        <v>7</v>
      </c>
      <c r="D1738" s="5">
        <f>MONTH(Table1[[#This Row],[Date]])</f>
        <v>11</v>
      </c>
      <c r="E1738" s="5">
        <f>WEEKNUM(Table1[[#This Row],[Date]])</f>
        <v>47</v>
      </c>
      <c r="F1738" s="5">
        <f>YEAR(Table1[[#This Row],[Date]])</f>
        <v>2024</v>
      </c>
      <c r="H1738">
        <v>331.35804558605258</v>
      </c>
      <c r="I1738">
        <f>Table1[[#This Row],[Forecast]]*0.9</f>
        <v>298.22224102744735</v>
      </c>
      <c r="J1738">
        <f>Table1[[#This Row],[Forecast]]*0.8</f>
        <v>265.08643646884207</v>
      </c>
      <c r="K1738">
        <f>Table1[[#This Row],[Forecast]]*0.8</f>
        <v>265.08643646884207</v>
      </c>
      <c r="P1738" s="13">
        <f t="shared" si="50"/>
        <v>1.9267975728333344E-3</v>
      </c>
      <c r="Z1738" s="8"/>
      <c r="AA1738" s="8">
        <f>CONVERT(Table1[[#This Row],[RevisedForecast 30% Recution2]]*Table1[[#This Row],[Talk Duration (AVG)]],"day","hr")</f>
        <v>12.258429657100866</v>
      </c>
      <c r="AB1738" s="10">
        <f>(Table1[[#This Row],[Forecast Workload Hours]]*60)*1.2</f>
        <v>882.6069353112623</v>
      </c>
      <c r="AC1738" s="10">
        <f>IF(Table1[[#This Row],[Forecast WOrkload Minutes]]&lt;384,1,Table1[[#This Row],[Forecast WOrkload Minutes]]/384)</f>
        <v>2.2984555607064121</v>
      </c>
      <c r="AD1738" s="10">
        <f>ROUNDUP(Table1[[#This Row],[Forecast Headcount]],0)</f>
        <v>3</v>
      </c>
      <c r="AE1738" s="11">
        <v>230.70373058928249</v>
      </c>
      <c r="AF1738" s="11">
        <v>449.68074173683448</v>
      </c>
      <c r="AG1738" t="s">
        <v>7</v>
      </c>
    </row>
    <row r="1739" spans="1:33">
      <c r="A1739" s="2">
        <v>45620</v>
      </c>
      <c r="B1739" s="2"/>
      <c r="C1739" s="5">
        <f>WEEKDAY(Table1[[#This Row],[Date]])</f>
        <v>1</v>
      </c>
      <c r="D1739" s="5">
        <f>MONTH(Table1[[#This Row],[Date]])</f>
        <v>11</v>
      </c>
      <c r="E1739" s="5">
        <f>WEEKNUM(Table1[[#This Row],[Date]])</f>
        <v>48</v>
      </c>
      <c r="F1739" s="5">
        <f>YEAR(Table1[[#This Row],[Date]])</f>
        <v>2024</v>
      </c>
      <c r="H1739">
        <v>244.1678766986054</v>
      </c>
      <c r="I1739">
        <f>Table1[[#This Row],[Forecast]]*0.9</f>
        <v>219.75108902874487</v>
      </c>
      <c r="J1739">
        <f>Table1[[#This Row],[Forecast]]*0.8</f>
        <v>195.33430135888432</v>
      </c>
      <c r="K1739">
        <f>Table1[[#This Row],[Forecast]]*0.8</f>
        <v>195.33430135888432</v>
      </c>
      <c r="P1739" s="13">
        <f t="shared" si="50"/>
        <v>1.926797704675399E-3</v>
      </c>
      <c r="Z1739" s="8"/>
      <c r="AA1739" s="8">
        <f>CONVERT(Table1[[#This Row],[RevisedForecast 30% Recution2]]*Table1[[#This Row],[Talk Duration (AVG)]],"day","hr")</f>
        <v>9.0328724040641024</v>
      </c>
      <c r="AB1739" s="10">
        <f>(Table1[[#This Row],[Forecast Workload Hours]]*60)*1.2</f>
        <v>650.3668130926153</v>
      </c>
      <c r="AC1739" s="10">
        <f>IF(Table1[[#This Row],[Forecast WOrkload Minutes]]&lt;384,1,Table1[[#This Row],[Forecast WOrkload Minutes]]/384)</f>
        <v>1.6936635757620191</v>
      </c>
      <c r="AD1739" s="10">
        <f>ROUNDUP(Table1[[#This Row],[Forecast Headcount]],0)</f>
        <v>2</v>
      </c>
      <c r="AE1739" s="11">
        <v>131.922350085863</v>
      </c>
      <c r="AF1739" s="11">
        <v>353.70203090242268</v>
      </c>
      <c r="AG1739" t="s">
        <v>7</v>
      </c>
    </row>
    <row r="1740" spans="1:33">
      <c r="A1740" s="2">
        <v>45621</v>
      </c>
      <c r="B1740" s="2"/>
      <c r="C1740" s="5">
        <f>WEEKDAY(Table1[[#This Row],[Date]])</f>
        <v>2</v>
      </c>
      <c r="D1740" s="5">
        <f>MONTH(Table1[[#This Row],[Date]])</f>
        <v>11</v>
      </c>
      <c r="E1740" s="5">
        <f>WEEKNUM(Table1[[#This Row],[Date]])</f>
        <v>48</v>
      </c>
      <c r="F1740" s="5">
        <f>YEAR(Table1[[#This Row],[Date]])</f>
        <v>2024</v>
      </c>
      <c r="H1740">
        <v>345.6512791013181</v>
      </c>
      <c r="I1740">
        <f>Table1[[#This Row],[Forecast]]*0.9</f>
        <v>311.08615119118627</v>
      </c>
      <c r="J1740">
        <f>Table1[[#This Row],[Forecast]]*0.8</f>
        <v>276.52102328105451</v>
      </c>
      <c r="K1740">
        <f>Table1[[#This Row],[Forecast]]*0.8</f>
        <v>276.52102328105451</v>
      </c>
      <c r="P1740" s="13">
        <f t="shared" si="50"/>
        <v>1.9267978382389995E-3</v>
      </c>
      <c r="Z1740" s="8"/>
      <c r="AA1740" s="8">
        <f>CONVERT(Table1[[#This Row],[RevisedForecast 30% Recution2]]*Table1[[#This Row],[Talk Duration (AVG)]],"day","hr")</f>
        <v>12.787202637253726</v>
      </c>
      <c r="AB1740" s="10">
        <f>(Table1[[#This Row],[Forecast Workload Hours]]*60)*1.2</f>
        <v>920.67858988226828</v>
      </c>
      <c r="AC1740" s="10">
        <f>IF(Table1[[#This Row],[Forecast WOrkload Minutes]]&lt;384,1,Table1[[#This Row],[Forecast WOrkload Minutes]]/384)</f>
        <v>2.3976004944850735</v>
      </c>
      <c r="AD1740" s="10">
        <f>ROUNDUP(Table1[[#This Row],[Forecast Headcount]],0)</f>
        <v>3</v>
      </c>
      <c r="AE1740" s="11">
        <v>232.05216742870579</v>
      </c>
      <c r="AF1740" s="11">
        <v>467.88994918668283</v>
      </c>
      <c r="AG1740" t="s">
        <v>7</v>
      </c>
    </row>
    <row r="1741" spans="1:33">
      <c r="A1741" s="2">
        <v>45622</v>
      </c>
      <c r="B1741" s="2"/>
      <c r="C1741" s="5">
        <f>WEEKDAY(Table1[[#This Row],[Date]])</f>
        <v>3</v>
      </c>
      <c r="D1741" s="5">
        <f>MONTH(Table1[[#This Row],[Date]])</f>
        <v>11</v>
      </c>
      <c r="E1741" s="5">
        <f>WEEKNUM(Table1[[#This Row],[Date]])</f>
        <v>48</v>
      </c>
      <c r="F1741" s="5">
        <f>YEAR(Table1[[#This Row],[Date]])</f>
        <v>2024</v>
      </c>
      <c r="H1741">
        <v>331.34689686395899</v>
      </c>
      <c r="I1741">
        <f>Table1[[#This Row],[Forecast]]*0.9</f>
        <v>298.21220717756307</v>
      </c>
      <c r="J1741">
        <f>Table1[[#This Row],[Forecast]]*0.8</f>
        <v>265.07751749116721</v>
      </c>
      <c r="K1741">
        <f>Table1[[#This Row],[Forecast]]*0.8</f>
        <v>265.07751749116721</v>
      </c>
      <c r="P1741" s="13">
        <f t="shared" si="50"/>
        <v>1.9267979726358354E-3</v>
      </c>
      <c r="Z1741" s="8"/>
      <c r="AA1741" s="8">
        <f>CONVERT(Table1[[#This Row],[RevisedForecast 30% Recution2]]*Table1[[#This Row],[Talk Duration (AVG)]],"day","hr")</f>
        <v>12.25801975903971</v>
      </c>
      <c r="AB1741" s="10">
        <f>(Table1[[#This Row],[Forecast Workload Hours]]*60)*1.2</f>
        <v>882.57742265085915</v>
      </c>
      <c r="AC1741" s="10">
        <f>IF(Table1[[#This Row],[Forecast WOrkload Minutes]]&lt;384,1,Table1[[#This Row],[Forecast WOrkload Minutes]]/384)</f>
        <v>2.2983787048199456</v>
      </c>
      <c r="AD1741" s="10">
        <f>ROUNDUP(Table1[[#This Row],[Forecast Headcount]],0)</f>
        <v>3</v>
      </c>
      <c r="AE1741" s="11">
        <v>221.8712203535728</v>
      </c>
      <c r="AF1741" s="11">
        <v>448.54059499364553</v>
      </c>
      <c r="AG1741" t="s">
        <v>7</v>
      </c>
    </row>
    <row r="1742" spans="1:33">
      <c r="A1742" s="2">
        <v>45623</v>
      </c>
      <c r="B1742" s="2"/>
      <c r="C1742" s="5">
        <f>WEEKDAY(Table1[[#This Row],[Date]])</f>
        <v>4</v>
      </c>
      <c r="D1742" s="5">
        <f>MONTH(Table1[[#This Row],[Date]])</f>
        <v>11</v>
      </c>
      <c r="E1742" s="5">
        <f>WEEKNUM(Table1[[#This Row],[Date]])</f>
        <v>48</v>
      </c>
      <c r="F1742" s="5">
        <f>YEAR(Table1[[#This Row],[Date]])</f>
        <v>2024</v>
      </c>
      <c r="H1742">
        <v>345.43800802490409</v>
      </c>
      <c r="I1742">
        <f>Table1[[#This Row],[Forecast]]*0.9</f>
        <v>310.89420722241368</v>
      </c>
      <c r="J1742">
        <f>Table1[[#This Row],[Forecast]]*0.8</f>
        <v>276.35040641992327</v>
      </c>
      <c r="K1742">
        <f>Table1[[#This Row],[Forecast]]*0.8</f>
        <v>276.35040641992327</v>
      </c>
      <c r="P1742" s="13">
        <f t="shared" si="50"/>
        <v>1.9267981069590559E-3</v>
      </c>
      <c r="Z1742" s="8"/>
      <c r="AA1742" s="8">
        <f>CONVERT(Table1[[#This Row],[RevisedForecast 30% Recution2]]*Table1[[#This Row],[Talk Duration (AVG)]],"day","hr")</f>
        <v>12.779314558734573</v>
      </c>
      <c r="AB1742" s="10">
        <f>(Table1[[#This Row],[Forecast Workload Hours]]*60)*1.2</f>
        <v>920.1106482288892</v>
      </c>
      <c r="AC1742" s="10">
        <f>IF(Table1[[#This Row],[Forecast WOrkload Minutes]]&lt;384,1,Table1[[#This Row],[Forecast WOrkload Minutes]]/384)</f>
        <v>2.3961214797627322</v>
      </c>
      <c r="AD1742" s="10">
        <f>ROUNDUP(Table1[[#This Row],[Forecast Headcount]],0)</f>
        <v>3</v>
      </c>
      <c r="AE1742" s="11">
        <v>226.5047760146858</v>
      </c>
      <c r="AF1742" s="11">
        <v>464.15533490297082</v>
      </c>
      <c r="AG1742" t="s">
        <v>7</v>
      </c>
    </row>
    <row r="1743" spans="1:33">
      <c r="A1743" s="2">
        <v>45624</v>
      </c>
      <c r="B1743" s="2"/>
      <c r="C1743" s="5">
        <f>WEEKDAY(Table1[[#This Row],[Date]])</f>
        <v>5</v>
      </c>
      <c r="D1743" s="5">
        <f>MONTH(Table1[[#This Row],[Date]])</f>
        <v>11</v>
      </c>
      <c r="E1743" s="5">
        <f>WEEKNUM(Table1[[#This Row],[Date]])</f>
        <v>48</v>
      </c>
      <c r="F1743" s="5">
        <f>YEAR(Table1[[#This Row],[Date]])</f>
        <v>2024</v>
      </c>
      <c r="H1743">
        <v>342.62116544033978</v>
      </c>
      <c r="I1743">
        <f>Table1[[#This Row],[Forecast]]*0.9</f>
        <v>308.35904889630581</v>
      </c>
      <c r="J1743">
        <f>Table1[[#This Row],[Forecast]]*0.8</f>
        <v>274.09693235227184</v>
      </c>
      <c r="K1743">
        <f>Table1[[#This Row],[Forecast]]*0.8</f>
        <v>274.09693235227184</v>
      </c>
      <c r="P1743" s="13">
        <f t="shared" si="50"/>
        <v>1.9267982403231776E-3</v>
      </c>
      <c r="Z1743" s="8"/>
      <c r="AA1743" s="8">
        <f>CONVERT(Table1[[#This Row],[RevisedForecast 30% Recution2]]*Table1[[#This Row],[Talk Duration (AVG)]],"day","hr")</f>
        <v>12.67510768642412</v>
      </c>
      <c r="AB1743" s="10">
        <f>(Table1[[#This Row],[Forecast Workload Hours]]*60)*1.2</f>
        <v>912.60775342253658</v>
      </c>
      <c r="AC1743" s="10">
        <f>IF(Table1[[#This Row],[Forecast WOrkload Minutes]]&lt;384,1,Table1[[#This Row],[Forecast WOrkload Minutes]]/384)</f>
        <v>2.3765826912045225</v>
      </c>
      <c r="AD1743" s="10">
        <f>ROUNDUP(Table1[[#This Row],[Forecast Headcount]],0)</f>
        <v>3</v>
      </c>
      <c r="AE1743" s="11">
        <v>224.9566846239737</v>
      </c>
      <c r="AF1743" s="11">
        <v>450.62937444793113</v>
      </c>
      <c r="AG1743" t="s">
        <v>7</v>
      </c>
    </row>
    <row r="1744" spans="1:33">
      <c r="A1744" s="2">
        <v>45625</v>
      </c>
      <c r="B1744" s="2"/>
      <c r="C1744" s="5">
        <f>WEEKDAY(Table1[[#This Row],[Date]])</f>
        <v>6</v>
      </c>
      <c r="D1744" s="5">
        <f>MONTH(Table1[[#This Row],[Date]])</f>
        <v>11</v>
      </c>
      <c r="E1744" s="5">
        <f>WEEKNUM(Table1[[#This Row],[Date]])</f>
        <v>48</v>
      </c>
      <c r="F1744" s="5">
        <f>YEAR(Table1[[#This Row],[Date]])</f>
        <v>2024</v>
      </c>
      <c r="H1744">
        <v>335.75692007995372</v>
      </c>
      <c r="I1744">
        <f>Table1[[#This Row],[Forecast]]*0.9</f>
        <v>302.18122807195834</v>
      </c>
      <c r="J1744">
        <f>Table1[[#This Row],[Forecast]]*0.8</f>
        <v>268.60553606396297</v>
      </c>
      <c r="K1744">
        <f>Table1[[#This Row],[Forecast]]*0.8</f>
        <v>268.60553606396297</v>
      </c>
      <c r="P1744" s="13">
        <f t="shared" si="50"/>
        <v>1.9267983718712224E-3</v>
      </c>
      <c r="Z1744" s="8"/>
      <c r="AA1744" s="8">
        <f>CONVERT(Table1[[#This Row],[RevisedForecast 30% Recution2]]*Table1[[#This Row],[Talk Duration (AVG)]],"day","hr")</f>
        <v>12.421169029527377</v>
      </c>
      <c r="AB1744" s="10">
        <f>(Table1[[#This Row],[Forecast Workload Hours]]*60)*1.2</f>
        <v>894.32417012597102</v>
      </c>
      <c r="AC1744" s="10">
        <f>IF(Table1[[#This Row],[Forecast WOrkload Minutes]]&lt;384,1,Table1[[#This Row],[Forecast WOrkload Minutes]]/384)</f>
        <v>2.3289691930363827</v>
      </c>
      <c r="AD1744" s="10">
        <f>ROUNDUP(Table1[[#This Row],[Forecast Headcount]],0)</f>
        <v>3</v>
      </c>
      <c r="AE1744" s="11">
        <v>229.7222906229614</v>
      </c>
      <c r="AF1744" s="11">
        <v>448.28417109216377</v>
      </c>
      <c r="AG1744" t="s">
        <v>7</v>
      </c>
    </row>
    <row r="1745" spans="1:33">
      <c r="A1745" s="2">
        <v>45626</v>
      </c>
      <c r="B1745" s="2"/>
      <c r="C1745" s="5">
        <f>WEEKDAY(Table1[[#This Row],[Date]])</f>
        <v>7</v>
      </c>
      <c r="D1745" s="5">
        <f>MONTH(Table1[[#This Row],[Date]])</f>
        <v>11</v>
      </c>
      <c r="E1745" s="5">
        <f>WEEKNUM(Table1[[#This Row],[Date]])</f>
        <v>48</v>
      </c>
      <c r="F1745" s="5">
        <f>YEAR(Table1[[#This Row],[Date]])</f>
        <v>2024</v>
      </c>
      <c r="H1745">
        <v>344.92988912518422</v>
      </c>
      <c r="I1745">
        <f>Table1[[#This Row],[Forecast]]*0.9</f>
        <v>310.43690021266582</v>
      </c>
      <c r="J1745">
        <f>Table1[[#This Row],[Forecast]]*0.8</f>
        <v>275.94391130014736</v>
      </c>
      <c r="K1745">
        <f>Table1[[#This Row],[Forecast]]*0.8</f>
        <v>275.94391130014736</v>
      </c>
      <c r="P1745" s="13">
        <f t="shared" si="50"/>
        <v>1.926798500786285E-3</v>
      </c>
      <c r="Z1745" s="8"/>
      <c r="AA1745" s="8">
        <f>CONVERT(Table1[[#This Row],[RevisedForecast 30% Recution2]]*Table1[[#This Row],[Talk Duration (AVG)]],"day","hr")</f>
        <v>12.760519550261462</v>
      </c>
      <c r="AB1745" s="10">
        <f>(Table1[[#This Row],[Forecast Workload Hours]]*60)*1.2</f>
        <v>918.75740761882525</v>
      </c>
      <c r="AC1745" s="10">
        <f>IF(Table1[[#This Row],[Forecast WOrkload Minutes]]&lt;384,1,Table1[[#This Row],[Forecast WOrkload Minutes]]/384)</f>
        <v>2.392597415674024</v>
      </c>
      <c r="AD1745" s="10">
        <f>ROUNDUP(Table1[[#This Row],[Forecast Headcount]],0)</f>
        <v>3</v>
      </c>
      <c r="AE1745" s="11">
        <v>227.84481672856049</v>
      </c>
      <c r="AF1745" s="11">
        <v>445.78396532589159</v>
      </c>
      <c r="AG1745" t="s">
        <v>7</v>
      </c>
    </row>
    <row r="1746" spans="1:33">
      <c r="A1746" s="2">
        <v>45627</v>
      </c>
      <c r="B1746" s="2"/>
      <c r="C1746" s="5">
        <f>WEEKDAY(Table1[[#This Row],[Date]])</f>
        <v>1</v>
      </c>
      <c r="D1746" s="5">
        <f>MONTH(Table1[[#This Row],[Date]])</f>
        <v>12</v>
      </c>
      <c r="E1746" s="5">
        <f>WEEKNUM(Table1[[#This Row],[Date]])</f>
        <v>49</v>
      </c>
      <c r="F1746" s="5">
        <f>YEAR(Table1[[#This Row],[Date]])</f>
        <v>2024</v>
      </c>
      <c r="H1746">
        <v>258.26733387505692</v>
      </c>
      <c r="I1746">
        <f>Table1[[#This Row],[Forecast]]*0.9</f>
        <v>232.44060048755122</v>
      </c>
      <c r="J1746">
        <f>Table1[[#This Row],[Forecast]]*0.8</f>
        <v>206.61386710004555</v>
      </c>
      <c r="K1746">
        <f>Table1[[#This Row],[Forecast]]*0.8</f>
        <v>206.61386710004555</v>
      </c>
      <c r="P1746" s="13">
        <f t="shared" si="50"/>
        <v>1.9267986262945351E-3</v>
      </c>
      <c r="Z1746" s="8"/>
      <c r="AA1746" s="8">
        <f>CONVERT(Table1[[#This Row],[RevisedForecast 30% Recution2]]*Table1[[#This Row],[Talk Duration (AVG)]],"day","hr")</f>
        <v>9.5544795672424652</v>
      </c>
      <c r="AB1746" s="10">
        <f>(Table1[[#This Row],[Forecast Workload Hours]]*60)*1.2</f>
        <v>687.92252884145751</v>
      </c>
      <c r="AC1746" s="10">
        <f>IF(Table1[[#This Row],[Forecast WOrkload Minutes]]&lt;384,1,Table1[[#This Row],[Forecast WOrkload Minutes]]/384)</f>
        <v>1.7914649188579623</v>
      </c>
      <c r="AD1746" s="10">
        <f>ROUNDUP(Table1[[#This Row],[Forecast Headcount]],0)</f>
        <v>2</v>
      </c>
      <c r="AE1746" s="11">
        <v>146.702801737074</v>
      </c>
      <c r="AF1746" s="11">
        <v>373.69719829773987</v>
      </c>
      <c r="AG1746" t="s">
        <v>7</v>
      </c>
    </row>
    <row r="1747" spans="1:33">
      <c r="A1747" s="2">
        <v>45628</v>
      </c>
      <c r="B1747" s="2"/>
      <c r="C1747" s="5">
        <f>WEEKDAY(Table1[[#This Row],[Date]])</f>
        <v>2</v>
      </c>
      <c r="D1747" s="5">
        <f>MONTH(Table1[[#This Row],[Date]])</f>
        <v>12</v>
      </c>
      <c r="E1747" s="5">
        <f>WEEKNUM(Table1[[#This Row],[Date]])</f>
        <v>49</v>
      </c>
      <c r="F1747" s="5">
        <f>YEAR(Table1[[#This Row],[Date]])</f>
        <v>2024</v>
      </c>
      <c r="H1747">
        <v>360.09853322068102</v>
      </c>
      <c r="I1747">
        <f>Table1[[#This Row],[Forecast]]*0.9</f>
        <v>324.08867989861295</v>
      </c>
      <c r="J1747">
        <f>Table1[[#This Row],[Forecast]]*0.8</f>
        <v>288.07882657654483</v>
      </c>
      <c r="K1747">
        <f>Table1[[#This Row],[Forecast]]*0.8</f>
        <v>288.07882657654483</v>
      </c>
      <c r="P1747" s="13">
        <f t="shared" si="50"/>
        <v>1.9267987476666636E-3</v>
      </c>
      <c r="Z1747" s="8"/>
      <c r="AA1747" s="8">
        <f>CONVERT(Table1[[#This Row],[RevisedForecast 30% Recution2]]*Table1[[#This Row],[Talk Duration (AVG)]],"day","hr")</f>
        <v>13.321678134647243</v>
      </c>
      <c r="AB1747" s="10">
        <f>(Table1[[#This Row],[Forecast Workload Hours]]*60)*1.2</f>
        <v>959.1608256946015</v>
      </c>
      <c r="AC1747" s="10">
        <f>IF(Table1[[#This Row],[Forecast WOrkload Minutes]]&lt;384,1,Table1[[#This Row],[Forecast WOrkload Minutes]]/384)</f>
        <v>2.4978146502463581</v>
      </c>
      <c r="AD1747" s="10">
        <f>ROUNDUP(Table1[[#This Row],[Forecast Headcount]],0)</f>
        <v>3</v>
      </c>
      <c r="AE1747" s="11">
        <v>244.9072604307695</v>
      </c>
      <c r="AF1747" s="11">
        <v>477.27039707675237</v>
      </c>
      <c r="AG1747" t="s">
        <v>7</v>
      </c>
    </row>
    <row r="1748" spans="1:33">
      <c r="A1748" s="2">
        <v>45629</v>
      </c>
      <c r="B1748" s="2"/>
      <c r="C1748" s="5">
        <f>WEEKDAY(Table1[[#This Row],[Date]])</f>
        <v>3</v>
      </c>
      <c r="D1748" s="5">
        <f>MONTH(Table1[[#This Row],[Date]])</f>
        <v>12</v>
      </c>
      <c r="E1748" s="5">
        <f>WEEKNUM(Table1[[#This Row],[Date]])</f>
        <v>49</v>
      </c>
      <c r="F1748" s="5">
        <f>YEAR(Table1[[#This Row],[Date]])</f>
        <v>2024</v>
      </c>
      <c r="H1748">
        <v>345.96054133110198</v>
      </c>
      <c r="I1748">
        <f>Table1[[#This Row],[Forecast]]*0.9</f>
        <v>311.36448719799176</v>
      </c>
      <c r="J1748">
        <f>Table1[[#This Row],[Forecast]]*0.8</f>
        <v>276.76843306488161</v>
      </c>
      <c r="K1748">
        <f>Table1[[#This Row],[Forecast]]*0.8</f>
        <v>276.76843306488161</v>
      </c>
      <c r="P1748" s="13">
        <f t="shared" si="50"/>
        <v>1.9267988642226582E-3</v>
      </c>
      <c r="Z1748" s="8"/>
      <c r="AA1748" s="8">
        <f>CONVERT(Table1[[#This Row],[RevisedForecast 30% Recution2]]*Table1[[#This Row],[Talk Duration (AVG)]],"day","hr")</f>
        <v>12.79865045957037</v>
      </c>
      <c r="AB1748" s="10">
        <f>(Table1[[#This Row],[Forecast Workload Hours]]*60)*1.2</f>
        <v>921.50283308906648</v>
      </c>
      <c r="AC1748" s="10">
        <f>IF(Table1[[#This Row],[Forecast WOrkload Minutes]]&lt;384,1,Table1[[#This Row],[Forecast WOrkload Minutes]]/384)</f>
        <v>2.399746961169444</v>
      </c>
      <c r="AD1748" s="10">
        <f>ROUNDUP(Table1[[#This Row],[Forecast Headcount]],0)</f>
        <v>3</v>
      </c>
      <c r="AE1748" s="11">
        <v>231.50043823680781</v>
      </c>
      <c r="AF1748" s="11">
        <v>461.02413140444861</v>
      </c>
      <c r="AG1748" t="s">
        <v>7</v>
      </c>
    </row>
    <row r="1749" spans="1:33">
      <c r="A1749" s="2">
        <v>45630</v>
      </c>
      <c r="B1749" s="2"/>
      <c r="C1749" s="5">
        <f>WEEKDAY(Table1[[#This Row],[Date]])</f>
        <v>4</v>
      </c>
      <c r="D1749" s="5">
        <f>MONTH(Table1[[#This Row],[Date]])</f>
        <v>12</v>
      </c>
      <c r="E1749" s="5">
        <f>WEEKNUM(Table1[[#This Row],[Date]])</f>
        <v>49</v>
      </c>
      <c r="F1749" s="5">
        <f>YEAR(Table1[[#This Row],[Date]])</f>
        <v>2024</v>
      </c>
      <c r="H1749">
        <v>360.03832308050289</v>
      </c>
      <c r="I1749">
        <f>Table1[[#This Row],[Forecast]]*0.9</f>
        <v>324.03449077245261</v>
      </c>
      <c r="J1749">
        <f>Table1[[#This Row],[Forecast]]*0.8</f>
        <v>288.03065846440234</v>
      </c>
      <c r="K1749">
        <f>Table1[[#This Row],[Forecast]]*0.8</f>
        <v>288.03065846440234</v>
      </c>
      <c r="P1749" s="13">
        <f t="shared" si="50"/>
        <v>1.9267989753804873E-3</v>
      </c>
      <c r="Z1749" s="8"/>
      <c r="AA1749" s="8">
        <f>CONVERT(Table1[[#This Row],[RevisedForecast 30% Recution2]]*Table1[[#This Row],[Talk Duration (AVG)]],"day","hr")</f>
        <v>13.319452262577062</v>
      </c>
      <c r="AB1749" s="10">
        <f>(Table1[[#This Row],[Forecast Workload Hours]]*60)*1.2</f>
        <v>959.00056290554835</v>
      </c>
      <c r="AC1749" s="10">
        <f>IF(Table1[[#This Row],[Forecast WOrkload Minutes]]&lt;384,1,Table1[[#This Row],[Forecast WOrkload Minutes]]/384)</f>
        <v>2.497397299233199</v>
      </c>
      <c r="AD1749" s="10">
        <f>ROUNDUP(Table1[[#This Row],[Forecast Headcount]],0)</f>
        <v>3</v>
      </c>
      <c r="AE1749" s="11">
        <v>245.0281017582347</v>
      </c>
      <c r="AF1749" s="11">
        <v>472.64310818509767</v>
      </c>
      <c r="AG1749" t="s">
        <v>7</v>
      </c>
    </row>
    <row r="1750" spans="1:33">
      <c r="A1750" s="2">
        <v>45631</v>
      </c>
      <c r="B1750" s="2"/>
      <c r="C1750" s="5">
        <f>WEEKDAY(Table1[[#This Row],[Date]])</f>
        <v>5</v>
      </c>
      <c r="D1750" s="5">
        <f>MONTH(Table1[[#This Row],[Date]])</f>
        <v>12</v>
      </c>
      <c r="E1750" s="5">
        <f>WEEKNUM(Table1[[#This Row],[Date]])</f>
        <v>49</v>
      </c>
      <c r="F1750" s="5">
        <f>YEAR(Table1[[#This Row],[Date]])</f>
        <v>2024</v>
      </c>
      <c r="H1750">
        <v>357.03336629175089</v>
      </c>
      <c r="I1750">
        <f>Table1[[#This Row],[Forecast]]*0.9</f>
        <v>321.33002966257584</v>
      </c>
      <c r="J1750">
        <f>Table1[[#This Row],[Forecast]]*0.8</f>
        <v>285.62669303340073</v>
      </c>
      <c r="K1750">
        <f>Table1[[#This Row],[Forecast]]*0.8</f>
        <v>285.62669303340073</v>
      </c>
      <c r="P1750" s="13">
        <f t="shared" si="50"/>
        <v>1.9267990806426474E-3</v>
      </c>
      <c r="Z1750" s="8"/>
      <c r="AA1750" s="8">
        <f>CONVERT(Table1[[#This Row],[RevisedForecast 30% Recution2]]*Table1[[#This Row],[Talk Duration (AVG)]],"day","hr")</f>
        <v>13.208285989050149</v>
      </c>
      <c r="AB1750" s="10">
        <f>(Table1[[#This Row],[Forecast Workload Hours]]*60)*1.2</f>
        <v>950.99659121161062</v>
      </c>
      <c r="AC1750" s="10">
        <f>IF(Table1[[#This Row],[Forecast WOrkload Minutes]]&lt;384,1,Table1[[#This Row],[Forecast WOrkload Minutes]]/384)</f>
        <v>2.4765536229469025</v>
      </c>
      <c r="AD1750" s="10">
        <f>ROUNDUP(Table1[[#This Row],[Forecast Headcount]],0)</f>
        <v>3</v>
      </c>
      <c r="AE1750" s="11">
        <v>252.77908006847011</v>
      </c>
      <c r="AF1750" s="11">
        <v>471.74785265380598</v>
      </c>
      <c r="AG1750" t="s">
        <v>7</v>
      </c>
    </row>
    <row r="1751" spans="1:33">
      <c r="A1751" s="2">
        <v>45632</v>
      </c>
      <c r="B1751" s="2"/>
      <c r="C1751" s="5">
        <f>WEEKDAY(Table1[[#This Row],[Date]])</f>
        <v>6</v>
      </c>
      <c r="D1751" s="5">
        <f>MONTH(Table1[[#This Row],[Date]])</f>
        <v>12</v>
      </c>
      <c r="E1751" s="5">
        <f>WEEKNUM(Table1[[#This Row],[Date]])</f>
        <v>49</v>
      </c>
      <c r="F1751" s="5">
        <f>YEAR(Table1[[#This Row],[Date]])</f>
        <v>2024</v>
      </c>
      <c r="H1751">
        <v>349.81430771137678</v>
      </c>
      <c r="I1751">
        <f>Table1[[#This Row],[Forecast]]*0.9</f>
        <v>314.83287694023909</v>
      </c>
      <c r="J1751">
        <f>Table1[[#This Row],[Forecast]]*0.8</f>
        <v>279.85144616910145</v>
      </c>
      <c r="K1751">
        <f>Table1[[#This Row],[Forecast]]*0.8</f>
        <v>279.85144616910145</v>
      </c>
      <c r="P1751" s="13">
        <f t="shared" si="50"/>
        <v>1.9267991795968442E-3</v>
      </c>
      <c r="Z1751" s="8"/>
      <c r="AA1751" s="8">
        <f>CONVERT(Table1[[#This Row],[RevisedForecast 30% Recution2]]*Table1[[#This Row],[Talk Duration (AVG)]],"day","hr")</f>
        <v>12.941220885302764</v>
      </c>
      <c r="AB1751" s="10">
        <f>(Table1[[#This Row],[Forecast Workload Hours]]*60)*1.2</f>
        <v>931.76790374179905</v>
      </c>
      <c r="AC1751" s="10">
        <f>IF(Table1[[#This Row],[Forecast WOrkload Minutes]]&lt;384,1,Table1[[#This Row],[Forecast WOrkload Minutes]]/384)</f>
        <v>2.4264789159942683</v>
      </c>
      <c r="AD1751" s="10">
        <f>ROUNDUP(Table1[[#This Row],[Forecast Headcount]],0)</f>
        <v>3</v>
      </c>
      <c r="AE1751" s="11">
        <v>231.1678280530771</v>
      </c>
      <c r="AF1751" s="11">
        <v>465.62224586597517</v>
      </c>
      <c r="AG1751" t="s">
        <v>7</v>
      </c>
    </row>
    <row r="1752" spans="1:33">
      <c r="A1752" s="2">
        <v>45633</v>
      </c>
      <c r="B1752" s="2"/>
      <c r="C1752" s="5">
        <f>WEEKDAY(Table1[[#This Row],[Date]])</f>
        <v>7</v>
      </c>
      <c r="D1752" s="5">
        <f>MONTH(Table1[[#This Row],[Date]])</f>
        <v>12</v>
      </c>
      <c r="E1752" s="5">
        <f>WEEKNUM(Table1[[#This Row],[Date]])</f>
        <v>49</v>
      </c>
      <c r="F1752" s="5">
        <f>YEAR(Table1[[#This Row],[Date]])</f>
        <v>2024</v>
      </c>
      <c r="H1752">
        <v>358.47683546945422</v>
      </c>
      <c r="I1752">
        <f>Table1[[#This Row],[Forecast]]*0.9</f>
        <v>322.62915192250881</v>
      </c>
      <c r="J1752">
        <f>Table1[[#This Row],[Forecast]]*0.8</f>
        <v>286.78146837556341</v>
      </c>
      <c r="K1752">
        <f>Table1[[#This Row],[Forecast]]*0.8</f>
        <v>286.78146837556341</v>
      </c>
      <c r="P1752" s="13">
        <f t="shared" si="50"/>
        <v>1.9267992719083744E-3</v>
      </c>
      <c r="Z1752" s="8"/>
      <c r="AA1752" s="8">
        <f>CONVERT(Table1[[#This Row],[RevisedForecast 30% Recution2]]*Table1[[#This Row],[Talk Duration (AVG)]],"day","hr")</f>
        <v>13.261687787108402</v>
      </c>
      <c r="AB1752" s="10">
        <f>(Table1[[#This Row],[Forecast Workload Hours]]*60)*1.2</f>
        <v>954.84152067180491</v>
      </c>
      <c r="AC1752" s="10">
        <f>IF(Table1[[#This Row],[Forecast WOrkload Minutes]]&lt;384,1,Table1[[#This Row],[Forecast WOrkload Minutes]]/384)</f>
        <v>2.4865664600828254</v>
      </c>
      <c r="AD1752" s="10">
        <f>ROUNDUP(Table1[[#This Row],[Forecast Headcount]],0)</f>
        <v>3</v>
      </c>
      <c r="AE1752" s="11">
        <v>245.36716506431779</v>
      </c>
      <c r="AF1752" s="11">
        <v>474.18906378328262</v>
      </c>
      <c r="AG1752" t="s">
        <v>7</v>
      </c>
    </row>
    <row r="1753" spans="1:33">
      <c r="A1753" s="2">
        <v>45634</v>
      </c>
      <c r="B1753" s="2"/>
      <c r="C1753" s="5">
        <f>WEEKDAY(Table1[[#This Row],[Date]])</f>
        <v>1</v>
      </c>
      <c r="D1753" s="5">
        <f>MONTH(Table1[[#This Row],[Date]])</f>
        <v>12</v>
      </c>
      <c r="E1753" s="5">
        <f>WEEKNUM(Table1[[#This Row],[Date]])</f>
        <v>50</v>
      </c>
      <c r="F1753" s="5">
        <f>YEAR(Table1[[#This Row],[Date]])</f>
        <v>2024</v>
      </c>
      <c r="H1753">
        <v>271.16203503528158</v>
      </c>
      <c r="I1753">
        <f>Table1[[#This Row],[Forecast]]*0.9</f>
        <v>244.04583153175344</v>
      </c>
      <c r="J1753">
        <f>Table1[[#This Row],[Forecast]]*0.8</f>
        <v>216.92962802822527</v>
      </c>
      <c r="K1753">
        <f>Table1[[#This Row],[Forecast]]*0.8</f>
        <v>216.92962802822527</v>
      </c>
      <c r="P1753" s="13">
        <f t="shared" si="50"/>
        <v>1.926799357331052E-3</v>
      </c>
      <c r="Z1753" s="8"/>
      <c r="AA1753" s="8">
        <f>CONVERT(Table1[[#This Row],[RevisedForecast 30% Recution2]]*Table1[[#This Row],[Talk Duration (AVG)]],"day","hr")</f>
        <v>10.031516828900367</v>
      </c>
      <c r="AB1753" s="10">
        <f>(Table1[[#This Row],[Forecast Workload Hours]]*60)*1.2</f>
        <v>722.26921168082629</v>
      </c>
      <c r="AC1753" s="10">
        <f>IF(Table1[[#This Row],[Forecast WOrkload Minutes]]&lt;384,1,Table1[[#This Row],[Forecast WOrkload Minutes]]/384)</f>
        <v>1.8809094054188185</v>
      </c>
      <c r="AD1753" s="10">
        <f>ROUNDUP(Table1[[#This Row],[Forecast Headcount]],0)</f>
        <v>2</v>
      </c>
      <c r="AE1753" s="11">
        <v>153.54398552638671</v>
      </c>
      <c r="AF1753" s="11">
        <v>391.53018808631782</v>
      </c>
      <c r="AG1753" t="s">
        <v>7</v>
      </c>
    </row>
    <row r="1754" spans="1:33">
      <c r="A1754" s="2">
        <v>45635</v>
      </c>
      <c r="B1754" s="2"/>
      <c r="C1754" s="5">
        <f>WEEKDAY(Table1[[#This Row],[Date]])</f>
        <v>2</v>
      </c>
      <c r="D1754" s="5">
        <f>MONTH(Table1[[#This Row],[Date]])</f>
        <v>12</v>
      </c>
      <c r="E1754" s="5">
        <f>WEEKNUM(Table1[[#This Row],[Date]])</f>
        <v>50</v>
      </c>
      <c r="F1754" s="5">
        <f>YEAR(Table1[[#This Row],[Date]])</f>
        <v>2024</v>
      </c>
      <c r="H1754">
        <v>372.21546812254991</v>
      </c>
      <c r="I1754">
        <f>Table1[[#This Row],[Forecast]]*0.9</f>
        <v>334.99392131029492</v>
      </c>
      <c r="J1754">
        <f>Table1[[#This Row],[Forecast]]*0.8</f>
        <v>297.77237449803994</v>
      </c>
      <c r="K1754">
        <f>Table1[[#This Row],[Forecast]]*0.8</f>
        <v>297.77237449803994</v>
      </c>
      <c r="P1754" s="13">
        <f t="shared" si="50"/>
        <v>1.9267994357119757E-3</v>
      </c>
      <c r="Z1754" s="8"/>
      <c r="AA1754" s="8">
        <f>CONVERT(Table1[[#This Row],[RevisedForecast 30% Recution2]]*Table1[[#This Row],[Talk Duration (AVG)]],"day","hr")</f>
        <v>13.769943435682523</v>
      </c>
      <c r="AB1754" s="10">
        <f>(Table1[[#This Row],[Forecast Workload Hours]]*60)*1.2</f>
        <v>991.4359273691415</v>
      </c>
      <c r="AC1754" s="10">
        <f>IF(Table1[[#This Row],[Forecast WOrkload Minutes]]&lt;384,1,Table1[[#This Row],[Forecast WOrkload Minutes]]/384)</f>
        <v>2.5818643941904726</v>
      </c>
      <c r="AD1754" s="10">
        <f>ROUNDUP(Table1[[#This Row],[Forecast Headcount]],0)</f>
        <v>3</v>
      </c>
      <c r="AE1754" s="11">
        <v>264.32868747999481</v>
      </c>
      <c r="AF1754" s="11">
        <v>481.77723924243901</v>
      </c>
      <c r="AG1754" t="s">
        <v>7</v>
      </c>
    </row>
    <row r="1755" spans="1:33">
      <c r="A1755" s="2">
        <v>45636</v>
      </c>
      <c r="B1755" s="2"/>
      <c r="C1755" s="5">
        <f>WEEKDAY(Table1[[#This Row],[Date]])</f>
        <v>3</v>
      </c>
      <c r="D1755" s="5">
        <f>MONTH(Table1[[#This Row],[Date]])</f>
        <v>12</v>
      </c>
      <c r="E1755" s="5">
        <f>WEEKNUM(Table1[[#This Row],[Date]])</f>
        <v>50</v>
      </c>
      <c r="F1755" s="5">
        <f>YEAR(Table1[[#This Row],[Date]])</f>
        <v>2024</v>
      </c>
      <c r="H1755">
        <v>357.19257850491351</v>
      </c>
      <c r="I1755">
        <f>Table1[[#This Row],[Forecast]]*0.9</f>
        <v>321.4733206544222</v>
      </c>
      <c r="J1755">
        <f>Table1[[#This Row],[Forecast]]*0.8</f>
        <v>285.75406280393082</v>
      </c>
      <c r="K1755">
        <f>Table1[[#This Row],[Forecast]]*0.8</f>
        <v>285.75406280393082</v>
      </c>
      <c r="P1755" s="13">
        <f t="shared" si="50"/>
        <v>1.9267995069725038E-3</v>
      </c>
      <c r="Z1755" s="8"/>
      <c r="AA1755" s="8">
        <f>CONVERT(Table1[[#This Row],[RevisedForecast 30% Recution2]]*Table1[[#This Row],[Talk Duration (AVG)]],"day","hr")</f>
        <v>13.214178895824089</v>
      </c>
      <c r="AB1755" s="10">
        <f>(Table1[[#This Row],[Forecast Workload Hours]]*60)*1.2</f>
        <v>951.42088049933432</v>
      </c>
      <c r="AC1755" s="10">
        <f>IF(Table1[[#This Row],[Forecast WOrkload Minutes]]&lt;384,1,Table1[[#This Row],[Forecast WOrkload Minutes]]/384)</f>
        <v>2.4776585429670166</v>
      </c>
      <c r="AD1755" s="10">
        <f>ROUNDUP(Table1[[#This Row],[Forecast Headcount]],0)</f>
        <v>3</v>
      </c>
      <c r="AE1755" s="11">
        <v>238.89489197326989</v>
      </c>
      <c r="AF1755" s="11">
        <v>464.08581977482828</v>
      </c>
      <c r="AG1755" t="s">
        <v>7</v>
      </c>
    </row>
    <row r="1756" spans="1:33">
      <c r="A1756" s="2">
        <v>45637</v>
      </c>
      <c r="B1756" s="2"/>
      <c r="C1756" s="5">
        <f>WEEKDAY(Table1[[#This Row],[Date]])</f>
        <v>4</v>
      </c>
      <c r="D1756" s="5">
        <f>MONTH(Table1[[#This Row],[Date]])</f>
        <v>12</v>
      </c>
      <c r="E1756" s="5">
        <f>WEEKNUM(Table1[[#This Row],[Date]])</f>
        <v>50</v>
      </c>
      <c r="F1756" s="5">
        <f>YEAR(Table1[[#This Row],[Date]])</f>
        <v>2024</v>
      </c>
      <c r="H1756">
        <v>370.29842515880301</v>
      </c>
      <c r="I1756">
        <f>Table1[[#This Row],[Forecast]]*0.9</f>
        <v>333.26858264292269</v>
      </c>
      <c r="J1756">
        <f>Table1[[#This Row],[Forecast]]*0.8</f>
        <v>296.23874012704243</v>
      </c>
      <c r="K1756">
        <f>Table1[[#This Row],[Forecast]]*0.8</f>
        <v>296.23874012704243</v>
      </c>
      <c r="P1756" s="13">
        <f t="shared" si="50"/>
        <v>1.9267995711097176E-3</v>
      </c>
      <c r="Z1756" s="8"/>
      <c r="AA1756" s="8">
        <f>CONVERT(Table1[[#This Row],[RevisedForecast 30% Recution2]]*Table1[[#This Row],[Talk Duration (AVG)]],"day","hr")</f>
        <v>13.699024258148842</v>
      </c>
      <c r="AB1756" s="10">
        <f>(Table1[[#This Row],[Forecast Workload Hours]]*60)*1.2</f>
        <v>986.32974658671651</v>
      </c>
      <c r="AC1756" s="10">
        <f>IF(Table1[[#This Row],[Forecast WOrkload Minutes]]&lt;384,1,Table1[[#This Row],[Forecast WOrkload Minutes]]/384)</f>
        <v>2.5685670484029077</v>
      </c>
      <c r="AD1756" s="10">
        <f>ROUNDUP(Table1[[#This Row],[Forecast Headcount]],0)</f>
        <v>3</v>
      </c>
      <c r="AE1756" s="11">
        <v>256.86394451553269</v>
      </c>
      <c r="AF1756" s="11">
        <v>482.93575131570628</v>
      </c>
      <c r="AG1756" t="s">
        <v>7</v>
      </c>
    </row>
    <row r="1757" spans="1:33">
      <c r="A1757" s="2">
        <v>45638</v>
      </c>
      <c r="B1757" s="2"/>
      <c r="C1757" s="5">
        <f>WEEKDAY(Table1[[#This Row],[Date]])</f>
        <v>5</v>
      </c>
      <c r="D1757" s="5">
        <f>MONTH(Table1[[#This Row],[Date]])</f>
        <v>12</v>
      </c>
      <c r="E1757" s="5">
        <f>WEEKNUM(Table1[[#This Row],[Date]])</f>
        <v>50</v>
      </c>
      <c r="F1757" s="5">
        <f>YEAR(Table1[[#This Row],[Date]])</f>
        <v>2024</v>
      </c>
      <c r="H1757">
        <v>366.25585014061272</v>
      </c>
      <c r="I1757">
        <f>Table1[[#This Row],[Forecast]]*0.9</f>
        <v>329.63026512655148</v>
      </c>
      <c r="J1757">
        <f>Table1[[#This Row],[Forecast]]*0.8</f>
        <v>293.00468011249018</v>
      </c>
      <c r="K1757">
        <f>Table1[[#This Row],[Forecast]]*0.8</f>
        <v>293.00468011249018</v>
      </c>
      <c r="P1757" s="13">
        <f t="shared" si="50"/>
        <v>1.9267996281772516E-3</v>
      </c>
      <c r="Z1757" s="8"/>
      <c r="AA1757" s="8">
        <f>CONVERT(Table1[[#This Row],[RevisedForecast 30% Recution2]]*Table1[[#This Row],[Talk Duration (AVG)]],"day","hr")</f>
        <v>13.549471408678574</v>
      </c>
      <c r="AB1757" s="10">
        <f>(Table1[[#This Row],[Forecast Workload Hours]]*60)*1.2</f>
        <v>975.5619414248572</v>
      </c>
      <c r="AC1757" s="10">
        <f>IF(Table1[[#This Row],[Forecast WOrkload Minutes]]&lt;384,1,Table1[[#This Row],[Forecast WOrkload Minutes]]/384)</f>
        <v>2.5405258891272324</v>
      </c>
      <c r="AD1757" s="10">
        <f>ROUNDUP(Table1[[#This Row],[Forecast Headcount]],0)</f>
        <v>3</v>
      </c>
      <c r="AE1757" s="11">
        <v>250.44544037587471</v>
      </c>
      <c r="AF1757" s="11">
        <v>485.67099498914661</v>
      </c>
      <c r="AG1757" t="s">
        <v>7</v>
      </c>
    </row>
    <row r="1758" spans="1:33">
      <c r="A1758" s="2">
        <v>45639</v>
      </c>
      <c r="B1758" s="2"/>
      <c r="C1758" s="5">
        <f>WEEKDAY(Table1[[#This Row],[Date]])</f>
        <v>6</v>
      </c>
      <c r="D1758" s="5">
        <f>MONTH(Table1[[#This Row],[Date]])</f>
        <v>12</v>
      </c>
      <c r="E1758" s="5">
        <f>WEEKNUM(Table1[[#This Row],[Date]])</f>
        <v>50</v>
      </c>
      <c r="F1758" s="5">
        <f>YEAR(Table1[[#This Row],[Date]])</f>
        <v>2024</v>
      </c>
      <c r="H1758">
        <v>357.9556277454206</v>
      </c>
      <c r="I1758">
        <f>Table1[[#This Row],[Forecast]]*0.9</f>
        <v>322.16006497087852</v>
      </c>
      <c r="J1758">
        <f>Table1[[#This Row],[Forecast]]*0.8</f>
        <v>286.3645021963365</v>
      </c>
      <c r="K1758">
        <f>Table1[[#This Row],[Forecast]]*0.8</f>
        <v>286.3645021963365</v>
      </c>
      <c r="P1758" s="13">
        <f t="shared" si="50"/>
        <v>1.9267996782874463E-3</v>
      </c>
      <c r="Z1758" s="8"/>
      <c r="AA1758" s="8">
        <f>CONVERT(Table1[[#This Row],[RevisedForecast 30% Recution2]]*Table1[[#This Row],[Talk Duration (AVG)]],"day","hr")</f>
        <v>13.242408736916301</v>
      </c>
      <c r="AB1758" s="10">
        <f>(Table1[[#This Row],[Forecast Workload Hours]]*60)*1.2</f>
        <v>953.45342905797361</v>
      </c>
      <c r="AC1758" s="10">
        <f>IF(Table1[[#This Row],[Forecast WOrkload Minutes]]&lt;384,1,Table1[[#This Row],[Forecast WOrkload Minutes]]/384)</f>
        <v>2.4829516381718064</v>
      </c>
      <c r="AD1758" s="10">
        <f>ROUNDUP(Table1[[#This Row],[Forecast Headcount]],0)</f>
        <v>3</v>
      </c>
      <c r="AE1758" s="11">
        <v>241.91306626243781</v>
      </c>
      <c r="AF1758" s="11">
        <v>468.56017281278127</v>
      </c>
      <c r="AG1758" t="s">
        <v>7</v>
      </c>
    </row>
    <row r="1759" spans="1:33">
      <c r="A1759" s="2">
        <v>45640</v>
      </c>
      <c r="B1759" s="2"/>
      <c r="C1759" s="5">
        <f>WEEKDAY(Table1[[#This Row],[Date]])</f>
        <v>7</v>
      </c>
      <c r="D1759" s="5">
        <f>MONTH(Table1[[#This Row],[Date]])</f>
        <v>12</v>
      </c>
      <c r="E1759" s="5">
        <f>WEEKNUM(Table1[[#This Row],[Date]])</f>
        <v>50</v>
      </c>
      <c r="F1759" s="5">
        <f>YEAR(Table1[[#This Row],[Date]])</f>
        <v>2024</v>
      </c>
      <c r="H1759">
        <v>365.51586840573788</v>
      </c>
      <c r="I1759">
        <f>Table1[[#This Row],[Forecast]]*0.9</f>
        <v>328.96428156516407</v>
      </c>
      <c r="J1759">
        <f>Table1[[#This Row],[Forecast]]*0.8</f>
        <v>292.41269472459032</v>
      </c>
      <c r="K1759">
        <f>Table1[[#This Row],[Forecast]]*0.8</f>
        <v>292.41269472459032</v>
      </c>
      <c r="P1759" s="13">
        <f t="shared" si="50"/>
        <v>1.9267997216102489E-3</v>
      </c>
      <c r="Z1759" s="8"/>
      <c r="AA1759" s="8">
        <f>CONVERT(Table1[[#This Row],[RevisedForecast 30% Recution2]]*Table1[[#This Row],[Talk Duration (AVG)]],"day","hr")</f>
        <v>13.522096770975438</v>
      </c>
      <c r="AB1759" s="10">
        <f>(Table1[[#This Row],[Forecast Workload Hours]]*60)*1.2</f>
        <v>973.59096751023139</v>
      </c>
      <c r="AC1759" s="10">
        <f>IF(Table1[[#This Row],[Forecast WOrkload Minutes]]&lt;384,1,Table1[[#This Row],[Forecast WOrkload Minutes]]/384)</f>
        <v>2.5353931445578941</v>
      </c>
      <c r="AD1759" s="10">
        <f>ROUNDUP(Table1[[#This Row],[Forecast Headcount]],0)</f>
        <v>3</v>
      </c>
      <c r="AE1759" s="11">
        <v>256.42838953054172</v>
      </c>
      <c r="AF1759" s="11">
        <v>480.09386002085751</v>
      </c>
      <c r="AG1759" t="s">
        <v>7</v>
      </c>
    </row>
    <row r="1760" spans="1:33">
      <c r="A1760" s="2">
        <v>45641</v>
      </c>
      <c r="B1760" s="2"/>
      <c r="C1760" s="5">
        <f>WEEKDAY(Table1[[#This Row],[Date]])</f>
        <v>1</v>
      </c>
      <c r="D1760" s="5">
        <f>MONTH(Table1[[#This Row],[Date]])</f>
        <v>12</v>
      </c>
      <c r="E1760" s="5">
        <f>WEEKNUM(Table1[[#This Row],[Date]])</f>
        <v>51</v>
      </c>
      <c r="F1760" s="5">
        <f>YEAR(Table1[[#This Row],[Date]])</f>
        <v>2024</v>
      </c>
      <c r="H1760">
        <v>277.09985591687058</v>
      </c>
      <c r="I1760">
        <f>Table1[[#This Row],[Forecast]]*0.9</f>
        <v>249.38987032518352</v>
      </c>
      <c r="J1760">
        <f>Table1[[#This Row],[Forecast]]*0.8</f>
        <v>221.67988473349646</v>
      </c>
      <c r="K1760">
        <f>Table1[[#This Row],[Forecast]]*0.8</f>
        <v>221.67988473349646</v>
      </c>
      <c r="P1760" s="13">
        <f t="shared" si="50"/>
        <v>1.9267997583637625E-3</v>
      </c>
      <c r="Z1760" s="8"/>
      <c r="AA1760" s="8">
        <f>CONVERT(Table1[[#This Row],[RevisedForecast 30% Recution2]]*Table1[[#This Row],[Talk Duration (AVG)]],"day","hr")</f>
        <v>10.251185960126584</v>
      </c>
      <c r="AB1760" s="10">
        <f>(Table1[[#This Row],[Forecast Workload Hours]]*60)*1.2</f>
        <v>738.08538912911411</v>
      </c>
      <c r="AC1760" s="10">
        <f>IF(Table1[[#This Row],[Forecast WOrkload Minutes]]&lt;384,1,Table1[[#This Row],[Forecast WOrkload Minutes]]/384)</f>
        <v>1.9220973675237347</v>
      </c>
      <c r="AD1760" s="10">
        <f>ROUNDUP(Table1[[#This Row],[Forecast Headcount]],0)</f>
        <v>2</v>
      </c>
      <c r="AE1760" s="11">
        <v>158.9472857645041</v>
      </c>
      <c r="AF1760" s="11">
        <v>391.92946998048421</v>
      </c>
      <c r="AG1760" t="s">
        <v>7</v>
      </c>
    </row>
    <row r="1761" spans="1:33">
      <c r="A1761" s="2">
        <v>45642</v>
      </c>
      <c r="B1761" s="2"/>
      <c r="C1761" s="5">
        <f>WEEKDAY(Table1[[#This Row],[Date]])</f>
        <v>2</v>
      </c>
      <c r="D1761" s="5">
        <f>MONTH(Table1[[#This Row],[Date]])</f>
        <v>12</v>
      </c>
      <c r="E1761" s="5">
        <f>WEEKNUM(Table1[[#This Row],[Date]])</f>
        <v>51</v>
      </c>
      <c r="F1761" s="5">
        <f>YEAR(Table1[[#This Row],[Date]])</f>
        <v>2024</v>
      </c>
      <c r="H1761">
        <v>377.07461957968951</v>
      </c>
      <c r="I1761">
        <f>Table1[[#This Row],[Forecast]]*0.9</f>
        <v>339.36715762172059</v>
      </c>
      <c r="J1761">
        <f>Table1[[#This Row],[Forecast]]*0.8</f>
        <v>301.65969566375162</v>
      </c>
      <c r="K1761">
        <f>Table1[[#This Row],[Forecast]]*0.8</f>
        <v>301.65969566375162</v>
      </c>
      <c r="P1761" s="13">
        <f t="shared" si="50"/>
        <v>1.9267997888125536E-3</v>
      </c>
      <c r="Z1761" s="8"/>
      <c r="AA1761" s="8">
        <f>CONVERT(Table1[[#This Row],[RevisedForecast 30% Recution2]]*Table1[[#This Row],[Talk Duration (AVG)]],"day","hr")</f>
        <v>13.949708109556219</v>
      </c>
      <c r="AB1761" s="10">
        <f>(Table1[[#This Row],[Forecast Workload Hours]]*60)*1.2</f>
        <v>1004.3789838880477</v>
      </c>
      <c r="AC1761" s="10">
        <f>IF(Table1[[#This Row],[Forecast WOrkload Minutes]]&lt;384,1,Table1[[#This Row],[Forecast WOrkload Minutes]]/384)</f>
        <v>2.6155702705417911</v>
      </c>
      <c r="AD1761" s="10">
        <f>ROUNDUP(Table1[[#This Row],[Forecast Headcount]],0)</f>
        <v>3</v>
      </c>
      <c r="AE1761" s="11">
        <v>266.20430096399429</v>
      </c>
      <c r="AF1761" s="11">
        <v>497.10019340076349</v>
      </c>
      <c r="AG1761" t="s">
        <v>7</v>
      </c>
    </row>
    <row r="1762" spans="1:33">
      <c r="A1762" s="2">
        <v>45643</v>
      </c>
      <c r="B1762" s="2"/>
      <c r="C1762" s="5">
        <f>WEEKDAY(Table1[[#This Row],[Date]])</f>
        <v>3</v>
      </c>
      <c r="D1762" s="5">
        <f>MONTH(Table1[[#This Row],[Date]])</f>
        <v>12</v>
      </c>
      <c r="E1762" s="5">
        <f>WEEKNUM(Table1[[#This Row],[Date]])</f>
        <v>51</v>
      </c>
      <c r="F1762" s="5">
        <f>YEAR(Table1[[#This Row],[Date]])</f>
        <v>2024</v>
      </c>
      <c r="H1762">
        <v>361.01584765617758</v>
      </c>
      <c r="I1762">
        <f>Table1[[#This Row],[Forecast]]*0.9</f>
        <v>324.91426289055983</v>
      </c>
      <c r="J1762">
        <f>Table1[[#This Row],[Forecast]]*0.8</f>
        <v>288.81267812494207</v>
      </c>
      <c r="K1762">
        <f>Table1[[#This Row],[Forecast]]*0.8</f>
        <v>288.81267812494207</v>
      </c>
      <c r="P1762" s="13">
        <f t="shared" si="50"/>
        <v>1.9267998132534642E-3</v>
      </c>
      <c r="Z1762" s="8"/>
      <c r="AA1762" s="8">
        <f>CONVERT(Table1[[#This Row],[RevisedForecast 30% Recution2]]*Table1[[#This Row],[Talk Duration (AVG)]],"day","hr")</f>
        <v>13.355621142632911</v>
      </c>
      <c r="AB1762" s="10">
        <f>(Table1[[#This Row],[Forecast Workload Hours]]*60)*1.2</f>
        <v>961.60472226956949</v>
      </c>
      <c r="AC1762" s="10">
        <f>IF(Table1[[#This Row],[Forecast WOrkload Minutes]]&lt;384,1,Table1[[#This Row],[Forecast WOrkload Minutes]]/384)</f>
        <v>2.5041789642436707</v>
      </c>
      <c r="AD1762" s="10">
        <f>ROUNDUP(Table1[[#This Row],[Forecast Headcount]],0)</f>
        <v>3</v>
      </c>
      <c r="AE1762" s="11">
        <v>252.9216297738447</v>
      </c>
      <c r="AF1762" s="11">
        <v>478.0125764584788</v>
      </c>
      <c r="AG1762" t="s">
        <v>7</v>
      </c>
    </row>
    <row r="1763" spans="1:33">
      <c r="A1763" s="2">
        <v>45644</v>
      </c>
      <c r="B1763" s="2"/>
      <c r="C1763" s="5">
        <f>WEEKDAY(Table1[[#This Row],[Date]])</f>
        <v>4</v>
      </c>
      <c r="D1763" s="5">
        <f>MONTH(Table1[[#This Row],[Date]])</f>
        <v>12</v>
      </c>
      <c r="E1763" s="5">
        <f>WEEKNUM(Table1[[#This Row],[Date]])</f>
        <v>51</v>
      </c>
      <c r="F1763" s="5">
        <f>YEAR(Table1[[#This Row],[Date]])</f>
        <v>2024</v>
      </c>
      <c r="H1763">
        <v>373.14715495300118</v>
      </c>
      <c r="I1763">
        <f>Table1[[#This Row],[Forecast]]*0.9</f>
        <v>335.83243945770107</v>
      </c>
      <c r="J1763">
        <f>Table1[[#This Row],[Forecast]]*0.8</f>
        <v>298.51772396240096</v>
      </c>
      <c r="K1763">
        <f>Table1[[#This Row],[Forecast]]*0.8</f>
        <v>298.51772396240096</v>
      </c>
      <c r="P1763" s="13">
        <f t="shared" si="50"/>
        <v>1.9267998320263051E-3</v>
      </c>
      <c r="Z1763" s="8"/>
      <c r="AA1763" s="8">
        <f>CONVERT(Table1[[#This Row],[RevisedForecast 30% Recution2]]*Table1[[#This Row],[Talk Duration (AVG)]],"day","hr")</f>
        <v>13.804413609303099</v>
      </c>
      <c r="AB1763" s="10">
        <f>(Table1[[#This Row],[Forecast Workload Hours]]*60)*1.2</f>
        <v>993.91777986982299</v>
      </c>
      <c r="AC1763" s="10">
        <f>IF(Table1[[#This Row],[Forecast WOrkload Minutes]]&lt;384,1,Table1[[#This Row],[Forecast WOrkload Minutes]]/384)</f>
        <v>2.5883275517443307</v>
      </c>
      <c r="AD1763" s="10">
        <f>ROUNDUP(Table1[[#This Row],[Forecast Headcount]],0)</f>
        <v>3</v>
      </c>
      <c r="AE1763" s="11">
        <v>259.73196974559681</v>
      </c>
      <c r="AF1763" s="11">
        <v>489.63341571554668</v>
      </c>
      <c r="AG1763" t="s">
        <v>7</v>
      </c>
    </row>
    <row r="1764" spans="1:33">
      <c r="A1764" s="2">
        <v>45645</v>
      </c>
      <c r="B1764" s="2"/>
      <c r="C1764" s="5">
        <f>WEEKDAY(Table1[[#This Row],[Date]])</f>
        <v>5</v>
      </c>
      <c r="D1764" s="5">
        <f>MONTH(Table1[[#This Row],[Date]])</f>
        <v>12</v>
      </c>
      <c r="E1764" s="5">
        <f>WEEKNUM(Table1[[#This Row],[Date]])</f>
        <v>51</v>
      </c>
      <c r="F1764" s="5">
        <f>YEAR(Table1[[#This Row],[Date]])</f>
        <v>2024</v>
      </c>
      <c r="H1764">
        <v>368.20782398476541</v>
      </c>
      <c r="I1764">
        <f>Table1[[#This Row],[Forecast]]*0.9</f>
        <v>331.38704158628889</v>
      </c>
      <c r="J1764">
        <f>Table1[[#This Row],[Forecast]]*0.8</f>
        <v>294.56625918781236</v>
      </c>
      <c r="K1764">
        <f>Table1[[#This Row],[Forecast]]*0.8</f>
        <v>294.56625918781236</v>
      </c>
      <c r="P1764" s="13">
        <f t="shared" si="50"/>
        <v>1.926799845469729E-3</v>
      </c>
      <c r="Z1764" s="8"/>
      <c r="AA1764" s="8">
        <f>CONVERT(Table1[[#This Row],[RevisedForecast 30% Recution2]]*Table1[[#This Row],[Talk Duration (AVG)]],"day","hr")</f>
        <v>13.621685344408151</v>
      </c>
      <c r="AB1764" s="10">
        <f>(Table1[[#This Row],[Forecast Workload Hours]]*60)*1.2</f>
        <v>980.76134479738687</v>
      </c>
      <c r="AC1764" s="10">
        <f>IF(Table1[[#This Row],[Forecast WOrkload Minutes]]&lt;384,1,Table1[[#This Row],[Forecast WOrkload Minutes]]/384)</f>
        <v>2.5540660020765285</v>
      </c>
      <c r="AD1764" s="10">
        <f>ROUNDUP(Table1[[#This Row],[Forecast Headcount]],0)</f>
        <v>3</v>
      </c>
      <c r="AE1764" s="11">
        <v>251.8847715654274</v>
      </c>
      <c r="AF1764" s="11">
        <v>467.73932147778828</v>
      </c>
      <c r="AG1764" t="s">
        <v>7</v>
      </c>
    </row>
    <row r="1765" spans="1:33">
      <c r="A1765" s="2">
        <v>45646</v>
      </c>
      <c r="B1765" s="2"/>
      <c r="C1765" s="5">
        <f>WEEKDAY(Table1[[#This Row],[Date]])</f>
        <v>6</v>
      </c>
      <c r="D1765" s="5">
        <f>MONTH(Table1[[#This Row],[Date]])</f>
        <v>12</v>
      </c>
      <c r="E1765" s="5">
        <f>WEEKNUM(Table1[[#This Row],[Date]])</f>
        <v>51</v>
      </c>
      <c r="F1765" s="5">
        <f>YEAR(Table1[[#This Row],[Date]])</f>
        <v>2024</v>
      </c>
      <c r="H1765">
        <v>359.10257763023998</v>
      </c>
      <c r="I1765">
        <f>Table1[[#This Row],[Forecast]]*0.9</f>
        <v>323.19231986721599</v>
      </c>
      <c r="J1765">
        <f>Table1[[#This Row],[Forecast]]*0.8</f>
        <v>287.28206210419199</v>
      </c>
      <c r="K1765">
        <f>Table1[[#This Row],[Forecast]]*0.8</f>
        <v>287.28206210419199</v>
      </c>
      <c r="P1765" s="13">
        <f t="shared" si="50"/>
        <v>1.9267998539129715E-3</v>
      </c>
      <c r="Z1765" s="8"/>
      <c r="AA1765" s="8">
        <f>CONVERT(Table1[[#This Row],[RevisedForecast 30% Recution2]]*Table1[[#This Row],[Talk Duration (AVG)]],"day","hr")</f>
        <v>13.284840847060185</v>
      </c>
      <c r="AB1765" s="10">
        <f>(Table1[[#This Row],[Forecast Workload Hours]]*60)*1.2</f>
        <v>956.50854098833315</v>
      </c>
      <c r="AC1765" s="10">
        <f>IF(Table1[[#This Row],[Forecast WOrkload Minutes]]&lt;384,1,Table1[[#This Row],[Forecast WOrkload Minutes]]/384)</f>
        <v>2.4909076588237844</v>
      </c>
      <c r="AD1765" s="10">
        <f>ROUNDUP(Table1[[#This Row],[Forecast Headcount]],0)</f>
        <v>3</v>
      </c>
      <c r="AE1765" s="11">
        <v>250.57820725702271</v>
      </c>
      <c r="AF1765" s="11">
        <v>469.14455920915799</v>
      </c>
      <c r="AG1765" t="s">
        <v>7</v>
      </c>
    </row>
    <row r="1766" spans="1:33">
      <c r="A1766" s="2">
        <v>45647</v>
      </c>
      <c r="B1766" s="2"/>
      <c r="C1766" s="5">
        <f>WEEKDAY(Table1[[#This Row],[Date]])</f>
        <v>7</v>
      </c>
      <c r="D1766" s="5">
        <f>MONTH(Table1[[#This Row],[Date]])</f>
        <v>12</v>
      </c>
      <c r="E1766" s="5">
        <f>WEEKNUM(Table1[[#This Row],[Date]])</f>
        <v>51</v>
      </c>
      <c r="F1766" s="5">
        <f>YEAR(Table1[[#This Row],[Date]])</f>
        <v>2024</v>
      </c>
      <c r="H1766">
        <v>365.96066709763062</v>
      </c>
      <c r="I1766">
        <f>Table1[[#This Row],[Forecast]]*0.9</f>
        <v>329.36460038786754</v>
      </c>
      <c r="J1766">
        <f>Table1[[#This Row],[Forecast]]*0.8</f>
        <v>292.76853367810452</v>
      </c>
      <c r="K1766">
        <f>Table1[[#This Row],[Forecast]]*0.8</f>
        <v>292.76853367810452</v>
      </c>
      <c r="P1766" s="13">
        <f t="shared" ref="P1766:P1775" si="51">AVERAGE(P1659:P1765)</f>
        <v>1.9267998576696836E-3</v>
      </c>
      <c r="Z1766" s="8"/>
      <c r="AA1766" s="8">
        <f>CONVERT(Table1[[#This Row],[RevisedForecast 30% Recution2]]*Table1[[#This Row],[Talk Duration (AVG)]],"day","hr")</f>
        <v>13.538552856507211</v>
      </c>
      <c r="AB1766" s="10">
        <f>(Table1[[#This Row],[Forecast Workload Hours]]*60)*1.2</f>
        <v>974.77580566851918</v>
      </c>
      <c r="AC1766" s="10">
        <f>IF(Table1[[#This Row],[Forecast WOrkload Minutes]]&lt;384,1,Table1[[#This Row],[Forecast WOrkload Minutes]]/384)</f>
        <v>2.5384786605951022</v>
      </c>
      <c r="AD1766" s="10">
        <f>ROUNDUP(Table1[[#This Row],[Forecast Headcount]],0)</f>
        <v>3</v>
      </c>
      <c r="AE1766" s="11">
        <v>244.97340262384631</v>
      </c>
      <c r="AF1766" s="11">
        <v>475.47260362733101</v>
      </c>
      <c r="AG1766" t="s">
        <v>7</v>
      </c>
    </row>
    <row r="1767" spans="1:33">
      <c r="A1767" s="2">
        <v>45648</v>
      </c>
      <c r="B1767" s="2"/>
      <c r="C1767" s="5">
        <f>WEEKDAY(Table1[[#This Row],[Date]])</f>
        <v>1</v>
      </c>
      <c r="D1767" s="5">
        <f>MONTH(Table1[[#This Row],[Date]])</f>
        <v>12</v>
      </c>
      <c r="E1767" s="5">
        <f>WEEKNUM(Table1[[#This Row],[Date]])</f>
        <v>52</v>
      </c>
      <c r="F1767" s="5">
        <f>YEAR(Table1[[#This Row],[Date]])</f>
        <v>2024</v>
      </c>
      <c r="H1767">
        <v>276.95346285340128</v>
      </c>
      <c r="I1767">
        <f>Table1[[#This Row],[Forecast]]*0.9</f>
        <v>249.25811656806115</v>
      </c>
      <c r="J1767">
        <f>Table1[[#This Row],[Forecast]]*0.8</f>
        <v>221.56277028272103</v>
      </c>
      <c r="K1767">
        <f>Table1[[#This Row],[Forecast]]*0.8</f>
        <v>221.56277028272103</v>
      </c>
      <c r="P1767" s="13">
        <f t="shared" si="51"/>
        <v>1.9267998570438654E-3</v>
      </c>
      <c r="Z1767" s="8"/>
      <c r="AA1767" s="8">
        <f>CONVERT(Table1[[#This Row],[RevisedForecast 30% Recution2]]*Table1[[#This Row],[Talk Duration (AVG)]],"day","hr")</f>
        <v>10.245770738567751</v>
      </c>
      <c r="AB1767" s="10">
        <f>(Table1[[#This Row],[Forecast Workload Hours]]*60)*1.2</f>
        <v>737.69549317687802</v>
      </c>
      <c r="AC1767" s="10">
        <f>IF(Table1[[#This Row],[Forecast WOrkload Minutes]]&lt;384,1,Table1[[#This Row],[Forecast WOrkload Minutes]]/384)</f>
        <v>1.9210820134814532</v>
      </c>
      <c r="AD1767" s="10">
        <f>ROUNDUP(Table1[[#This Row],[Forecast Headcount]],0)</f>
        <v>2</v>
      </c>
      <c r="AE1767" s="11">
        <v>161.2686918827502</v>
      </c>
      <c r="AF1767" s="11">
        <v>395.9529181468863</v>
      </c>
      <c r="AG1767" t="s">
        <v>7</v>
      </c>
    </row>
    <row r="1768" spans="1:33">
      <c r="A1768" s="2">
        <v>45649</v>
      </c>
      <c r="B1768" s="2"/>
      <c r="C1768" s="5">
        <f>WEEKDAY(Table1[[#This Row],[Date]])</f>
        <v>2</v>
      </c>
      <c r="D1768" s="5">
        <f>MONTH(Table1[[#This Row],[Date]])</f>
        <v>12</v>
      </c>
      <c r="E1768" s="5">
        <f>WEEKNUM(Table1[[#This Row],[Date]])</f>
        <v>52</v>
      </c>
      <c r="F1768" s="5">
        <f>YEAR(Table1[[#This Row],[Date]])</f>
        <v>2024</v>
      </c>
      <c r="H1768">
        <v>376.45285757396113</v>
      </c>
      <c r="I1768">
        <f>Table1[[#This Row],[Forecast]]*0.9</f>
        <v>338.80757181656503</v>
      </c>
      <c r="J1768">
        <f>Table1[[#This Row],[Forecast]]*0.8</f>
        <v>301.16228605916893</v>
      </c>
      <c r="K1768">
        <f>Table1[[#This Row],[Forecast]]*0.8</f>
        <v>301.16228605916893</v>
      </c>
      <c r="P1768" s="13">
        <f t="shared" si="51"/>
        <v>1.92679985234022E-3</v>
      </c>
      <c r="Z1768" s="8"/>
      <c r="AA1768" s="8">
        <f>CONVERT(Table1[[#This Row],[RevisedForecast 30% Recution2]]*Table1[[#This Row],[Talk Duration (AVG)]],"day","hr")</f>
        <v>13.926706759421995</v>
      </c>
      <c r="AB1768" s="10">
        <f>(Table1[[#This Row],[Forecast Workload Hours]]*60)*1.2</f>
        <v>1002.7228866783836</v>
      </c>
      <c r="AC1768" s="10">
        <f>IF(Table1[[#This Row],[Forecast WOrkload Minutes]]&lt;384,1,Table1[[#This Row],[Forecast WOrkload Minutes]]/384)</f>
        <v>2.6112575173916239</v>
      </c>
      <c r="AD1768" s="10">
        <f>ROUNDUP(Table1[[#This Row],[Forecast Headcount]],0)</f>
        <v>3</v>
      </c>
      <c r="AE1768" s="11">
        <v>261.99949980369757</v>
      </c>
      <c r="AF1768" s="11">
        <v>495.46733014858893</v>
      </c>
      <c r="AG1768" t="s">
        <v>7</v>
      </c>
    </row>
    <row r="1769" spans="1:33">
      <c r="A1769" s="2">
        <v>45650</v>
      </c>
      <c r="B1769" s="2"/>
      <c r="C1769" s="5">
        <f>WEEKDAY(Table1[[#This Row],[Date]])</f>
        <v>3</v>
      </c>
      <c r="D1769" s="5">
        <f>MONTH(Table1[[#This Row],[Date]])</f>
        <v>12</v>
      </c>
      <c r="E1769" s="5">
        <f>WEEKNUM(Table1[[#This Row],[Date]])</f>
        <v>52</v>
      </c>
      <c r="F1769" s="5">
        <f>YEAR(Table1[[#This Row],[Date]])</f>
        <v>2024</v>
      </c>
      <c r="H1769">
        <v>360.03609317705298</v>
      </c>
      <c r="I1769">
        <f>Table1[[#This Row],[Forecast]]*0.9</f>
        <v>324.03248385934768</v>
      </c>
      <c r="J1769">
        <f>Table1[[#This Row],[Forecast]]*0.8</f>
        <v>288.02887454164238</v>
      </c>
      <c r="K1769">
        <f>Table1[[#This Row],[Forecast]]*0.8</f>
        <v>288.02887454164238</v>
      </c>
      <c r="P1769" s="13">
        <f t="shared" si="51"/>
        <v>1.9267998438618006E-3</v>
      </c>
      <c r="Z1769" s="8"/>
      <c r="AA1769" s="8">
        <f>CONVERT(Table1[[#This Row],[RevisedForecast 30% Recution2]]*Table1[[#This Row],[Talk Duration (AVG)]],"day","hr")</f>
        <v>13.319375771868639</v>
      </c>
      <c r="AB1769" s="10">
        <f>(Table1[[#This Row],[Forecast Workload Hours]]*60)*1.2</f>
        <v>958.99505557454199</v>
      </c>
      <c r="AC1769" s="10">
        <f>IF(Table1[[#This Row],[Forecast WOrkload Minutes]]&lt;384,1,Table1[[#This Row],[Forecast WOrkload Minutes]]/384)</f>
        <v>2.4973829572253696</v>
      </c>
      <c r="AD1769" s="10">
        <f>ROUNDUP(Table1[[#This Row],[Forecast Headcount]],0)</f>
        <v>3</v>
      </c>
      <c r="AE1769" s="11">
        <v>242.39742033528961</v>
      </c>
      <c r="AF1769" s="11">
        <v>465.60509341140039</v>
      </c>
      <c r="AG1769" t="s">
        <v>7</v>
      </c>
    </row>
    <row r="1770" spans="1:33">
      <c r="A1770" s="2">
        <v>45651</v>
      </c>
      <c r="B1770" s="2"/>
      <c r="C1770" s="5">
        <f>WEEKDAY(Table1[[#This Row],[Date]])</f>
        <v>4</v>
      </c>
      <c r="D1770" s="5">
        <f>MONTH(Table1[[#This Row],[Date]])</f>
        <v>12</v>
      </c>
      <c r="E1770" s="5">
        <f>WEEKNUM(Table1[[#This Row],[Date]])</f>
        <v>52</v>
      </c>
      <c r="F1770" s="5">
        <f>YEAR(Table1[[#This Row],[Date]])</f>
        <v>2024</v>
      </c>
      <c r="H1770">
        <v>371.92502837315561</v>
      </c>
      <c r="I1770">
        <f>Table1[[#This Row],[Forecast]]*0.9</f>
        <v>334.73252553584007</v>
      </c>
      <c r="J1770">
        <f>Table1[[#This Row],[Forecast]]*0.8</f>
        <v>297.54002269852452</v>
      </c>
      <c r="K1770">
        <f>Table1[[#This Row],[Forecast]]*0.8</f>
        <v>297.54002269852452</v>
      </c>
      <c r="P1770" s="13">
        <f t="shared" si="51"/>
        <v>1.9267998318770122E-3</v>
      </c>
      <c r="Z1770" s="8"/>
      <c r="AA1770" s="8">
        <f>CONVERT(Table1[[#This Row],[RevisedForecast 30% Recution2]]*Table1[[#This Row],[Talk Duration (AVG)]],"day","hr")</f>
        <v>13.759201577092789</v>
      </c>
      <c r="AB1770" s="10">
        <f>(Table1[[#This Row],[Forecast Workload Hours]]*60)*1.2</f>
        <v>990.66251355068073</v>
      </c>
      <c r="AC1770" s="10">
        <f>IF(Table1[[#This Row],[Forecast WOrkload Minutes]]&lt;384,1,Table1[[#This Row],[Forecast WOrkload Minutes]]/384)</f>
        <v>2.5798502957048979</v>
      </c>
      <c r="AD1770" s="10">
        <f>ROUNDUP(Table1[[#This Row],[Forecast Headcount]],0)</f>
        <v>3</v>
      </c>
      <c r="AE1770" s="11">
        <v>260.74699223098401</v>
      </c>
      <c r="AF1770" s="11">
        <v>490.80012500093932</v>
      </c>
      <c r="AG1770" t="s">
        <v>7</v>
      </c>
    </row>
    <row r="1771" spans="1:33">
      <c r="A1771" s="2">
        <v>45652</v>
      </c>
      <c r="B1771" s="2"/>
      <c r="C1771" s="5">
        <f>WEEKDAY(Table1[[#This Row],[Date]])</f>
        <v>5</v>
      </c>
      <c r="D1771" s="5">
        <f>MONTH(Table1[[#This Row],[Date]])</f>
        <v>12</v>
      </c>
      <c r="E1771" s="5">
        <f>WEEKNUM(Table1[[#This Row],[Date]])</f>
        <v>52</v>
      </c>
      <c r="F1771" s="5">
        <f>YEAR(Table1[[#This Row],[Date]])</f>
        <v>2024</v>
      </c>
      <c r="H1771">
        <v>366.85396763542371</v>
      </c>
      <c r="I1771">
        <f>Table1[[#This Row],[Forecast]]*0.9</f>
        <v>330.16857087188134</v>
      </c>
      <c r="J1771">
        <f>Table1[[#This Row],[Forecast]]*0.8</f>
        <v>293.48317410833897</v>
      </c>
      <c r="K1771">
        <f>Table1[[#This Row],[Forecast]]*0.8</f>
        <v>293.48317410833897</v>
      </c>
      <c r="P1771" s="13">
        <f t="shared" si="51"/>
        <v>1.9267998166197405E-3</v>
      </c>
      <c r="Z1771" s="8"/>
      <c r="AA1771" s="8">
        <f>CONVERT(Table1[[#This Row],[RevisedForecast 30% Recution2]]*Table1[[#This Row],[Talk Duration (AVG)]],"day","hr")</f>
        <v>13.571599825270242</v>
      </c>
      <c r="AB1771" s="10">
        <f>(Table1[[#This Row],[Forecast Workload Hours]]*60)*1.2</f>
        <v>977.15518741945732</v>
      </c>
      <c r="AC1771" s="10">
        <f>IF(Table1[[#This Row],[Forecast WOrkload Minutes]]&lt;384,1,Table1[[#This Row],[Forecast WOrkload Minutes]]/384)</f>
        <v>2.5446749672381701</v>
      </c>
      <c r="AD1771" s="10">
        <f>ROUNDUP(Table1[[#This Row],[Forecast Headcount]],0)</f>
        <v>3</v>
      </c>
      <c r="AE1771" s="11">
        <v>253.32664844064661</v>
      </c>
      <c r="AF1771" s="11">
        <v>472.52038275394659</v>
      </c>
      <c r="AG1771" t="s">
        <v>7</v>
      </c>
    </row>
    <row r="1772" spans="1:33">
      <c r="A1772" s="2">
        <v>45653</v>
      </c>
      <c r="B1772" s="2"/>
      <c r="C1772" s="5">
        <f>WEEKDAY(Table1[[#This Row],[Date]])</f>
        <v>6</v>
      </c>
      <c r="D1772" s="5">
        <f>MONTH(Table1[[#This Row],[Date]])</f>
        <v>12</v>
      </c>
      <c r="E1772" s="5">
        <f>WEEKNUM(Table1[[#This Row],[Date]])</f>
        <v>52</v>
      </c>
      <c r="F1772" s="5">
        <f>YEAR(Table1[[#This Row],[Date]])</f>
        <v>2024</v>
      </c>
      <c r="H1772">
        <v>357.7196086693325</v>
      </c>
      <c r="I1772">
        <f>Table1[[#This Row],[Forecast]]*0.9</f>
        <v>321.94764780239927</v>
      </c>
      <c r="J1772">
        <f>Table1[[#This Row],[Forecast]]*0.8</f>
        <v>286.17568693546599</v>
      </c>
      <c r="K1772">
        <f>Table1[[#This Row],[Forecast]]*0.8</f>
        <v>286.17568693546599</v>
      </c>
      <c r="P1772" s="13">
        <f t="shared" si="51"/>
        <v>1.9267997982944651E-3</v>
      </c>
      <c r="Z1772" s="8"/>
      <c r="AA1772" s="8">
        <f>CONVERT(Table1[[#This Row],[RevisedForecast 30% Recution2]]*Table1[[#This Row],[Talk Duration (AVG)]],"day","hr")</f>
        <v>13.23367814073686</v>
      </c>
      <c r="AB1772" s="10">
        <f>(Table1[[#This Row],[Forecast Workload Hours]]*60)*1.2</f>
        <v>952.82482613305388</v>
      </c>
      <c r="AC1772" s="10">
        <f>IF(Table1[[#This Row],[Forecast WOrkload Minutes]]&lt;384,1,Table1[[#This Row],[Forecast WOrkload Minutes]]/384)</f>
        <v>2.481314651388161</v>
      </c>
      <c r="AD1772" s="10">
        <f>ROUNDUP(Table1[[#This Row],[Forecast Headcount]],0)</f>
        <v>3</v>
      </c>
      <c r="AE1772" s="11">
        <v>245.0782878914612</v>
      </c>
      <c r="AF1772" s="11">
        <v>476.00369620559633</v>
      </c>
      <c r="AG1772" t="s">
        <v>7</v>
      </c>
    </row>
    <row r="1773" spans="1:33">
      <c r="A1773" s="2">
        <v>45654</v>
      </c>
      <c r="B1773" s="2"/>
      <c r="C1773" s="5">
        <f>WEEKDAY(Table1[[#This Row],[Date]])</f>
        <v>7</v>
      </c>
      <c r="D1773" s="5">
        <f>MONTH(Table1[[#This Row],[Date]])</f>
        <v>12</v>
      </c>
      <c r="E1773" s="5">
        <f>WEEKNUM(Table1[[#This Row],[Date]])</f>
        <v>52</v>
      </c>
      <c r="F1773" s="5">
        <f>YEAR(Table1[[#This Row],[Date]])</f>
        <v>2024</v>
      </c>
      <c r="H1773">
        <v>364.64038905726068</v>
      </c>
      <c r="I1773">
        <f>Table1[[#This Row],[Forecast]]*0.9</f>
        <v>328.17635015153462</v>
      </c>
      <c r="J1773">
        <f>Table1[[#This Row],[Forecast]]*0.8</f>
        <v>291.71231124580856</v>
      </c>
      <c r="K1773">
        <f>Table1[[#This Row],[Forecast]]*0.8</f>
        <v>291.71231124580856</v>
      </c>
      <c r="P1773" s="13">
        <f t="shared" si="51"/>
        <v>1.9267997770799987E-3</v>
      </c>
      <c r="Z1773" s="8"/>
      <c r="AA1773" s="8">
        <f>CONVERT(Table1[[#This Row],[RevisedForecast 30% Recution2]]*Table1[[#This Row],[Talk Duration (AVG)]],"day","hr")</f>
        <v>13.489709190717965</v>
      </c>
      <c r="AB1773" s="10">
        <f>(Table1[[#This Row],[Forecast Workload Hours]]*60)*1.2</f>
        <v>971.25906173169346</v>
      </c>
      <c r="AC1773" s="10">
        <f>IF(Table1[[#This Row],[Forecast WOrkload Minutes]]&lt;384,1,Table1[[#This Row],[Forecast WOrkload Minutes]]/384)</f>
        <v>2.5293204732596184</v>
      </c>
      <c r="AD1773" s="10">
        <f>ROUNDUP(Table1[[#This Row],[Forecast Headcount]],0)</f>
        <v>3</v>
      </c>
      <c r="AE1773" s="11">
        <v>260.46776675584408</v>
      </c>
      <c r="AF1773" s="11">
        <v>475.89423368945859</v>
      </c>
      <c r="AG1773" t="s">
        <v>7</v>
      </c>
    </row>
    <row r="1774" spans="1:33">
      <c r="A1774" s="2">
        <v>45655</v>
      </c>
      <c r="B1774" s="2"/>
      <c r="C1774" s="5">
        <f>WEEKDAY(Table1[[#This Row],[Date]])</f>
        <v>1</v>
      </c>
      <c r="D1774" s="5">
        <f>MONTH(Table1[[#This Row],[Date]])</f>
        <v>12</v>
      </c>
      <c r="E1774" s="5">
        <f>WEEKNUM(Table1[[#This Row],[Date]])</f>
        <v>53</v>
      </c>
      <c r="F1774" s="5">
        <f>YEAR(Table1[[#This Row],[Date]])</f>
        <v>2024</v>
      </c>
      <c r="H1774">
        <v>275.77441426899338</v>
      </c>
      <c r="I1774">
        <f>Table1[[#This Row],[Forecast]]*0.9</f>
        <v>248.19697284209406</v>
      </c>
      <c r="J1774">
        <f>Table1[[#This Row],[Forecast]]*0.8</f>
        <v>220.61953141519473</v>
      </c>
      <c r="K1774">
        <f>Table1[[#This Row],[Forecast]]*0.8</f>
        <v>220.61953141519473</v>
      </c>
      <c r="P1774" s="13">
        <f t="shared" si="51"/>
        <v>1.9267997531276487E-3</v>
      </c>
      <c r="Z1774" s="8"/>
      <c r="AA1774" s="8">
        <f>CONVERT(Table1[[#This Row],[RevisedForecast 30% Recution2]]*Table1[[#This Row],[Talk Duration (AVG)]],"day","hr")</f>
        <v>10.202151807982434</v>
      </c>
      <c r="AB1774" s="10">
        <f>(Table1[[#This Row],[Forecast Workload Hours]]*60)*1.2</f>
        <v>734.5549301747352</v>
      </c>
      <c r="AC1774" s="10">
        <f>IF(Table1[[#This Row],[Forecast WOrkload Minutes]]&lt;384,1,Table1[[#This Row],[Forecast WOrkload Minutes]]/384)</f>
        <v>1.9129034639967062</v>
      </c>
      <c r="AD1774" s="10">
        <f>ROUNDUP(Table1[[#This Row],[Forecast Headcount]],0)</f>
        <v>2</v>
      </c>
      <c r="AE1774" s="11">
        <v>166.72410125213301</v>
      </c>
      <c r="AF1774" s="11">
        <v>384.21594021064772</v>
      </c>
      <c r="AG1774" t="s">
        <v>7</v>
      </c>
    </row>
    <row r="1775" spans="1:33">
      <c r="A1775" s="2">
        <v>45656</v>
      </c>
      <c r="B1775" s="2"/>
      <c r="C1775" s="5">
        <f>WEEKDAY(Table1[[#This Row],[Date]])</f>
        <v>2</v>
      </c>
      <c r="D1775" s="5">
        <f>MONTH(Table1[[#This Row],[Date]])</f>
        <v>12</v>
      </c>
      <c r="E1775" s="5">
        <f>WEEKNUM(Table1[[#This Row],[Date]])</f>
        <v>53</v>
      </c>
      <c r="F1775" s="5">
        <f>YEAR(Table1[[#This Row],[Date]])</f>
        <v>2024</v>
      </c>
      <c r="H1775">
        <v>375.47826845482081</v>
      </c>
      <c r="I1775">
        <f>Table1[[#This Row],[Forecast]]*0.9</f>
        <v>337.93044160933874</v>
      </c>
      <c r="J1775">
        <f>Table1[[#This Row],[Forecast]]*0.8</f>
        <v>300.38261476385668</v>
      </c>
      <c r="K1775">
        <f>Table1[[#This Row],[Forecast]]*0.8</f>
        <v>300.38261476385668</v>
      </c>
      <c r="P1775" s="13">
        <f t="shared" si="51"/>
        <v>1.9267997265634445E-3</v>
      </c>
      <c r="Z1775" s="8"/>
      <c r="AA1775" s="8">
        <f>CONVERT(Table1[[#This Row],[RevisedForecast 30% Recution2]]*Table1[[#This Row],[Talk Duration (AVG)]],"day","hr")</f>
        <v>13.890651359793877</v>
      </c>
      <c r="AB1775" s="10">
        <f>(Table1[[#This Row],[Forecast Workload Hours]]*60)*1.2</f>
        <v>1000.126897905159</v>
      </c>
      <c r="AC1775" s="10">
        <f>IF(Table1[[#This Row],[Forecast WOrkload Minutes]]&lt;384,1,Table1[[#This Row],[Forecast WOrkload Minutes]]/384)</f>
        <v>2.6044971299613517</v>
      </c>
      <c r="AD1775" s="10">
        <f>ROUNDUP(Table1[[#This Row],[Forecast Headcount]],0)</f>
        <v>3</v>
      </c>
      <c r="AE1775" s="11">
        <v>260.20937738202338</v>
      </c>
      <c r="AF1775" s="11">
        <v>494.37862539459638</v>
      </c>
      <c r="AG1775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5"/>
  <sheetViews>
    <sheetView topLeftCell="A994" workbookViewId="0">
      <selection activeCell="B1045" sqref="B1045"/>
    </sheetView>
  </sheetViews>
  <sheetFormatPr defaultRowHeight="15"/>
  <cols>
    <col min="1" max="1" width="19" bestFit="1" customWidth="1"/>
  </cols>
  <sheetData>
    <row r="1" spans="1:9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>
      <c r="A2" s="2">
        <v>43831</v>
      </c>
      <c r="B2">
        <v>217</v>
      </c>
      <c r="C2">
        <v>199.3709121376165</v>
      </c>
      <c r="D2">
        <v>95.453797914284593</v>
      </c>
      <c r="E2">
        <v>309.38970533774523</v>
      </c>
      <c r="F2">
        <v>17.629087862383471</v>
      </c>
      <c r="G2">
        <v>17.629087862383471</v>
      </c>
      <c r="H2">
        <v>8.12400362321819</v>
      </c>
      <c r="I2">
        <v>8.12400362321819</v>
      </c>
    </row>
    <row r="3" spans="1:9">
      <c r="A3" s="2">
        <v>43832</v>
      </c>
      <c r="B3">
        <v>143</v>
      </c>
      <c r="C3">
        <v>194.3519485756805</v>
      </c>
      <c r="D3">
        <v>86.540583078228138</v>
      </c>
      <c r="E3">
        <v>308.33992631595379</v>
      </c>
      <c r="F3">
        <v>-51.351948575680517</v>
      </c>
      <c r="G3">
        <v>51.351948575680517</v>
      </c>
      <c r="H3">
        <v>-35.91045354942694</v>
      </c>
      <c r="I3">
        <v>35.91045354942694</v>
      </c>
    </row>
    <row r="4" spans="1:9">
      <c r="A4" s="2">
        <v>43833</v>
      </c>
      <c r="B4">
        <v>57</v>
      </c>
      <c r="C4">
        <v>185.26813120982851</v>
      </c>
      <c r="D4">
        <v>78.814662146181377</v>
      </c>
      <c r="E4">
        <v>292.51781580365071</v>
      </c>
      <c r="F4">
        <v>-128.26813120982851</v>
      </c>
      <c r="G4">
        <v>128.26813120982851</v>
      </c>
      <c r="H4">
        <v>-225.03180914005009</v>
      </c>
      <c r="I4">
        <v>225.03180914005009</v>
      </c>
    </row>
    <row r="5" spans="1:9">
      <c r="A5" s="2">
        <v>43834</v>
      </c>
      <c r="B5">
        <v>18</v>
      </c>
      <c r="C5">
        <v>192.22158449266561</v>
      </c>
      <c r="D5">
        <v>76.232357368642894</v>
      </c>
      <c r="E5">
        <v>299.8796182456486</v>
      </c>
      <c r="F5">
        <v>-174.22158449266561</v>
      </c>
      <c r="G5">
        <v>174.22158449266561</v>
      </c>
      <c r="H5">
        <v>-967.89769162592006</v>
      </c>
      <c r="I5">
        <v>967.89769162592006</v>
      </c>
    </row>
    <row r="6" spans="1:9">
      <c r="A6" s="2">
        <v>43835</v>
      </c>
      <c r="B6">
        <v>98</v>
      </c>
      <c r="C6">
        <v>103.35501668675229</v>
      </c>
      <c r="D6">
        <v>-8.0739010780395866</v>
      </c>
      <c r="E6">
        <v>217.86183840602899</v>
      </c>
      <c r="F6">
        <v>-5.3550166867522506</v>
      </c>
      <c r="G6">
        <v>5.3550166867522506</v>
      </c>
      <c r="H6">
        <v>-5.4643027415839294</v>
      </c>
      <c r="I6">
        <v>5.4643027415839294</v>
      </c>
    </row>
    <row r="7" spans="1:9">
      <c r="A7" s="2">
        <v>43836</v>
      </c>
      <c r="B7">
        <v>157</v>
      </c>
      <c r="C7">
        <v>203.01103588364069</v>
      </c>
      <c r="D7">
        <v>97.461966406411534</v>
      </c>
      <c r="E7">
        <v>315.19412407611009</v>
      </c>
      <c r="F7">
        <v>-46.011035883640687</v>
      </c>
      <c r="G7">
        <v>46.011035883640687</v>
      </c>
      <c r="H7">
        <v>-29.30639228257369</v>
      </c>
      <c r="I7">
        <v>29.30639228257369</v>
      </c>
    </row>
    <row r="8" spans="1:9">
      <c r="A8" s="2">
        <v>43837</v>
      </c>
      <c r="B8">
        <v>191</v>
      </c>
      <c r="C8">
        <v>186.73791921474111</v>
      </c>
      <c r="D8">
        <v>69.083797189535105</v>
      </c>
      <c r="E8">
        <v>296.41772599791108</v>
      </c>
      <c r="F8">
        <v>4.2620807852588882</v>
      </c>
      <c r="G8">
        <v>4.2620807852588882</v>
      </c>
      <c r="H8">
        <v>2.231455908512507</v>
      </c>
      <c r="I8">
        <v>2.231455908512507</v>
      </c>
    </row>
    <row r="9" spans="1:9">
      <c r="A9" s="2">
        <v>43838</v>
      </c>
      <c r="B9">
        <v>155</v>
      </c>
      <c r="C9">
        <v>198.72982626461649</v>
      </c>
      <c r="D9">
        <v>92.955953824277927</v>
      </c>
      <c r="E9">
        <v>322.07673812868342</v>
      </c>
      <c r="F9">
        <v>-43.72982626461652</v>
      </c>
      <c r="G9">
        <v>43.72982626461652</v>
      </c>
      <c r="H9">
        <v>-28.212791138462268</v>
      </c>
      <c r="I9">
        <v>28.212791138462268</v>
      </c>
    </row>
    <row r="10" spans="1:9">
      <c r="A10" s="2">
        <v>43839</v>
      </c>
      <c r="B10">
        <v>199</v>
      </c>
      <c r="C10">
        <v>193.6955514554802</v>
      </c>
      <c r="D10">
        <v>79.49000955558202</v>
      </c>
      <c r="E10">
        <v>306.52696503595638</v>
      </c>
      <c r="F10">
        <v>5.3044485445198006</v>
      </c>
      <c r="G10">
        <v>5.3044485445198006</v>
      </c>
      <c r="H10">
        <v>2.6655520324220099</v>
      </c>
      <c r="I10">
        <v>2.6655520324220099</v>
      </c>
    </row>
    <row r="11" spans="1:9">
      <c r="A11" s="2">
        <v>43840</v>
      </c>
      <c r="B11">
        <v>184</v>
      </c>
      <c r="C11">
        <v>184.50934634624261</v>
      </c>
      <c r="D11">
        <v>71.547494314795202</v>
      </c>
      <c r="E11">
        <v>292.6199702137568</v>
      </c>
      <c r="F11">
        <v>-0.50934634624260866</v>
      </c>
      <c r="G11">
        <v>0.50934634624260866</v>
      </c>
      <c r="H11">
        <v>-0.27681866643620029</v>
      </c>
      <c r="I11">
        <v>0.27681866643620029</v>
      </c>
    </row>
    <row r="12" spans="1:9">
      <c r="A12" s="2">
        <v>43841</v>
      </c>
      <c r="B12">
        <v>39</v>
      </c>
      <c r="C12">
        <v>191.27106708309839</v>
      </c>
      <c r="D12">
        <v>77.95808226954999</v>
      </c>
      <c r="E12">
        <v>294.56844855098581</v>
      </c>
      <c r="F12">
        <v>-152.27106708309839</v>
      </c>
      <c r="G12">
        <v>152.27106708309839</v>
      </c>
      <c r="H12">
        <v>-390.43863354640609</v>
      </c>
      <c r="I12">
        <v>390.43863354640609</v>
      </c>
    </row>
    <row r="13" spans="1:9">
      <c r="A13" s="2">
        <v>43842</v>
      </c>
      <c r="B13">
        <v>307</v>
      </c>
      <c r="C13">
        <v>102.1248051639358</v>
      </c>
      <c r="D13">
        <v>-2.104579166150963</v>
      </c>
      <c r="E13">
        <v>216.05523658479959</v>
      </c>
      <c r="F13">
        <v>204.8751948360642</v>
      </c>
      <c r="G13">
        <v>204.8751948360642</v>
      </c>
      <c r="H13">
        <v>66.734591151812424</v>
      </c>
      <c r="I13">
        <v>66.734591151812424</v>
      </c>
    </row>
    <row r="14" spans="1:9">
      <c r="A14" s="2">
        <v>43843</v>
      </c>
      <c r="B14">
        <v>231</v>
      </c>
      <c r="C14">
        <v>201.4182809618284</v>
      </c>
      <c r="D14">
        <v>92.135613368821211</v>
      </c>
      <c r="E14">
        <v>307.38897185353773</v>
      </c>
      <c r="F14">
        <v>29.581719038171599</v>
      </c>
      <c r="G14">
        <v>29.581719038171599</v>
      </c>
      <c r="H14">
        <v>12.805938977563461</v>
      </c>
      <c r="I14">
        <v>12.805938977563461</v>
      </c>
    </row>
    <row r="15" spans="1:9">
      <c r="A15" s="2">
        <v>43844</v>
      </c>
      <c r="B15">
        <v>205</v>
      </c>
      <c r="C15">
        <v>184.70858310380871</v>
      </c>
      <c r="D15">
        <v>72.666902338622535</v>
      </c>
      <c r="E15">
        <v>301.22147806428649</v>
      </c>
      <c r="F15">
        <v>20.291416896191269</v>
      </c>
      <c r="G15">
        <v>20.291416896191269</v>
      </c>
      <c r="H15">
        <v>9.8982521444835427</v>
      </c>
      <c r="I15">
        <v>9.8982521444835427</v>
      </c>
    </row>
    <row r="16" spans="1:9">
      <c r="A16" s="2">
        <v>43845</v>
      </c>
      <c r="B16">
        <v>338</v>
      </c>
      <c r="C16">
        <v>196.20224264026069</v>
      </c>
      <c r="D16">
        <v>81.050451488626294</v>
      </c>
      <c r="E16">
        <v>311.0093706678058</v>
      </c>
      <c r="F16">
        <v>141.79775735973931</v>
      </c>
      <c r="G16">
        <v>141.79775735973931</v>
      </c>
      <c r="H16">
        <v>41.951999218857758</v>
      </c>
      <c r="I16">
        <v>41.951999218857758</v>
      </c>
    </row>
    <row r="17" spans="1:9">
      <c r="A17" s="2">
        <v>43846</v>
      </c>
      <c r="B17">
        <v>180</v>
      </c>
      <c r="C17">
        <v>190.62373761669349</v>
      </c>
      <c r="D17">
        <v>77.375242513125755</v>
      </c>
      <c r="E17">
        <v>300.08769208231791</v>
      </c>
      <c r="F17">
        <v>-10.623737616693459</v>
      </c>
      <c r="G17">
        <v>10.623737616693459</v>
      </c>
      <c r="H17">
        <v>-5.9020764537185899</v>
      </c>
      <c r="I17">
        <v>5.9020764537185899</v>
      </c>
    </row>
    <row r="18" spans="1:9">
      <c r="A18" s="2">
        <v>43847</v>
      </c>
      <c r="B18">
        <v>226</v>
      </c>
      <c r="C18">
        <v>180.86596280808189</v>
      </c>
      <c r="D18">
        <v>67.107526115769843</v>
      </c>
      <c r="E18">
        <v>288.41124375702628</v>
      </c>
      <c r="F18">
        <v>45.134037191918139</v>
      </c>
      <c r="G18">
        <v>45.134037191918139</v>
      </c>
      <c r="H18">
        <v>19.970812916777941</v>
      </c>
      <c r="I18">
        <v>19.970812916777941</v>
      </c>
    </row>
    <row r="19" spans="1:9">
      <c r="A19" s="2">
        <v>43848</v>
      </c>
      <c r="B19">
        <v>226</v>
      </c>
      <c r="C19">
        <v>187.04992659525789</v>
      </c>
      <c r="D19">
        <v>81.145712970053026</v>
      </c>
      <c r="E19">
        <v>296.77328811380443</v>
      </c>
      <c r="F19">
        <v>38.950073404742142</v>
      </c>
      <c r="G19">
        <v>38.950073404742142</v>
      </c>
      <c r="H19">
        <v>17.23454575431068</v>
      </c>
      <c r="I19">
        <v>17.23454575431068</v>
      </c>
    </row>
    <row r="20" spans="1:9">
      <c r="A20" s="2">
        <v>43849</v>
      </c>
      <c r="B20">
        <v>45</v>
      </c>
      <c r="C20">
        <v>97.342842708598837</v>
      </c>
      <c r="D20">
        <v>-9.1377032205736359</v>
      </c>
      <c r="E20">
        <v>201.04813815674851</v>
      </c>
      <c r="F20">
        <v>-52.342842708598837</v>
      </c>
      <c r="G20">
        <v>52.342842708598837</v>
      </c>
      <c r="H20">
        <v>-116.3174282413308</v>
      </c>
      <c r="I20">
        <v>116.3174282413308</v>
      </c>
    </row>
    <row r="21" spans="1:9">
      <c r="A21" s="2">
        <v>43850</v>
      </c>
      <c r="B21">
        <v>218</v>
      </c>
      <c r="C21">
        <v>196.11690851008771</v>
      </c>
      <c r="D21">
        <v>88.051441200810132</v>
      </c>
      <c r="E21">
        <v>309.81076276136491</v>
      </c>
      <c r="F21">
        <v>21.883091489912289</v>
      </c>
      <c r="G21">
        <v>21.883091489912289</v>
      </c>
      <c r="H21">
        <v>10.03811536234509</v>
      </c>
      <c r="I21">
        <v>10.03811536234509</v>
      </c>
    </row>
    <row r="22" spans="1:9">
      <c r="A22" s="2">
        <v>43851</v>
      </c>
      <c r="B22">
        <v>187</v>
      </c>
      <c r="C22">
        <v>178.95436747345221</v>
      </c>
      <c r="D22">
        <v>73.162269492854506</v>
      </c>
      <c r="E22">
        <v>288.60467828248642</v>
      </c>
      <c r="F22">
        <v>8.0456325265477631</v>
      </c>
      <c r="G22">
        <v>8.0456325265477631</v>
      </c>
      <c r="H22">
        <v>4.3024772869239376</v>
      </c>
      <c r="I22">
        <v>4.3024772869239376</v>
      </c>
    </row>
    <row r="23" spans="1:9">
      <c r="A23" s="2">
        <v>43852</v>
      </c>
      <c r="B23">
        <v>191</v>
      </c>
      <c r="C23">
        <v>190.08686143613181</v>
      </c>
      <c r="D23">
        <v>80.491101779156168</v>
      </c>
      <c r="E23">
        <v>294.62055656260458</v>
      </c>
      <c r="F23">
        <v>0.9131385638681877</v>
      </c>
      <c r="G23">
        <v>0.9131385638681877</v>
      </c>
      <c r="H23">
        <v>0.47808301773203538</v>
      </c>
      <c r="I23">
        <v>0.47808301773203538</v>
      </c>
    </row>
    <row r="24" spans="1:9">
      <c r="A24" s="2">
        <v>43853</v>
      </c>
      <c r="B24">
        <v>188</v>
      </c>
      <c r="C24">
        <v>184.2631864977981</v>
      </c>
      <c r="D24">
        <v>80.294785646728556</v>
      </c>
      <c r="E24">
        <v>297.22409884324378</v>
      </c>
      <c r="F24">
        <v>3.7368135022018691</v>
      </c>
      <c r="G24">
        <v>3.7368135022018691</v>
      </c>
      <c r="H24">
        <v>1.9876667564903561</v>
      </c>
      <c r="I24">
        <v>1.9876667564903561</v>
      </c>
    </row>
    <row r="25" spans="1:9">
      <c r="A25" s="2">
        <v>43854</v>
      </c>
      <c r="B25">
        <v>154</v>
      </c>
      <c r="C25">
        <v>174.39900680633721</v>
      </c>
      <c r="D25">
        <v>70.018887307261224</v>
      </c>
      <c r="E25">
        <v>278.18102257648911</v>
      </c>
      <c r="F25">
        <v>-20.399006806337209</v>
      </c>
      <c r="G25">
        <v>20.399006806337209</v>
      </c>
      <c r="H25">
        <v>-13.246108315803379</v>
      </c>
      <c r="I25">
        <v>13.246108315803379</v>
      </c>
    </row>
    <row r="26" spans="1:9">
      <c r="A26" s="2">
        <v>43855</v>
      </c>
      <c r="B26">
        <v>166</v>
      </c>
      <c r="C26">
        <v>180.6358083828961</v>
      </c>
      <c r="D26">
        <v>69.816431615925012</v>
      </c>
      <c r="E26">
        <v>293.40546781585078</v>
      </c>
      <c r="F26">
        <v>-14.635808382896069</v>
      </c>
      <c r="G26">
        <v>14.635808382896069</v>
      </c>
      <c r="H26">
        <v>-8.8167520378892004</v>
      </c>
      <c r="I26">
        <v>8.8167520378892004</v>
      </c>
    </row>
    <row r="27" spans="1:9">
      <c r="A27" s="2">
        <v>43856</v>
      </c>
      <c r="B27">
        <v>58</v>
      </c>
      <c r="C27">
        <v>91.15828109460341</v>
      </c>
      <c r="D27">
        <v>-9.2605906752200191</v>
      </c>
      <c r="E27">
        <v>202.95724048613249</v>
      </c>
      <c r="F27">
        <v>-33.15828109460341</v>
      </c>
      <c r="G27">
        <v>33.15828109460341</v>
      </c>
      <c r="H27">
        <v>-57.169450163109317</v>
      </c>
      <c r="I27">
        <v>57.169450163109317</v>
      </c>
    </row>
    <row r="28" spans="1:9">
      <c r="A28" s="2">
        <v>43857</v>
      </c>
      <c r="B28">
        <v>160</v>
      </c>
      <c r="C28">
        <v>190.35244046678091</v>
      </c>
      <c r="D28">
        <v>85.510918177943438</v>
      </c>
      <c r="E28">
        <v>306.00082802254963</v>
      </c>
      <c r="F28">
        <v>-30.352440466780909</v>
      </c>
      <c r="G28">
        <v>30.352440466780909</v>
      </c>
      <c r="H28">
        <v>-18.970275291738069</v>
      </c>
      <c r="I28">
        <v>18.970275291738069</v>
      </c>
    </row>
    <row r="29" spans="1:9">
      <c r="A29" s="2">
        <v>43858</v>
      </c>
      <c r="B29">
        <v>86</v>
      </c>
      <c r="C29">
        <v>173.81010615171681</v>
      </c>
      <c r="D29">
        <v>64.531447088088143</v>
      </c>
      <c r="E29">
        <v>283.77838903991682</v>
      </c>
      <c r="F29">
        <v>-87.810106151716809</v>
      </c>
      <c r="G29">
        <v>87.810106151716809</v>
      </c>
      <c r="H29">
        <v>-102.10477459501951</v>
      </c>
      <c r="I29">
        <v>102.10477459501951</v>
      </c>
    </row>
    <row r="30" spans="1:9">
      <c r="A30" s="2">
        <v>43859</v>
      </c>
      <c r="B30">
        <v>180</v>
      </c>
      <c r="C30">
        <v>185.76776036236819</v>
      </c>
      <c r="D30">
        <v>73.087332038628446</v>
      </c>
      <c r="E30">
        <v>303.4096642018032</v>
      </c>
      <c r="F30">
        <v>-5.7677603623681648</v>
      </c>
      <c r="G30">
        <v>5.7677603623681648</v>
      </c>
      <c r="H30">
        <v>-3.2043113124267579</v>
      </c>
      <c r="I30">
        <v>3.2043113124267579</v>
      </c>
    </row>
    <row r="31" spans="1:9">
      <c r="A31" s="2">
        <v>43860</v>
      </c>
      <c r="B31">
        <v>210</v>
      </c>
      <c r="C31">
        <v>180.97391599007841</v>
      </c>
      <c r="D31">
        <v>68.599042589894466</v>
      </c>
      <c r="E31">
        <v>277.90892180780719</v>
      </c>
      <c r="F31">
        <v>29.02608400992165</v>
      </c>
      <c r="G31">
        <v>29.02608400992165</v>
      </c>
      <c r="H31">
        <v>13.82194476662935</v>
      </c>
      <c r="I31">
        <v>13.82194476662935</v>
      </c>
    </row>
    <row r="32" spans="1:9">
      <c r="A32" s="2">
        <v>43861</v>
      </c>
      <c r="B32">
        <v>163</v>
      </c>
      <c r="C32">
        <v>172.3385621070457</v>
      </c>
      <c r="D32">
        <v>70.547707420491662</v>
      </c>
      <c r="E32">
        <v>283.88153415429952</v>
      </c>
      <c r="F32">
        <v>-9.3385621070457034</v>
      </c>
      <c r="G32">
        <v>9.3385621070457034</v>
      </c>
      <c r="H32">
        <v>-5.7291792067765046</v>
      </c>
      <c r="I32">
        <v>5.7291792067765046</v>
      </c>
    </row>
    <row r="33" spans="1:9">
      <c r="A33" s="2">
        <v>43862</v>
      </c>
      <c r="B33">
        <v>200</v>
      </c>
      <c r="C33">
        <v>179.9919797192785</v>
      </c>
      <c r="D33">
        <v>70.766294546075429</v>
      </c>
      <c r="E33">
        <v>298.17804278627278</v>
      </c>
      <c r="F33">
        <v>20.0080202807215</v>
      </c>
      <c r="G33">
        <v>20.0080202807215</v>
      </c>
      <c r="H33">
        <v>10.00401014036075</v>
      </c>
      <c r="I33">
        <v>10.00401014036075</v>
      </c>
    </row>
    <row r="34" spans="1:9">
      <c r="A34" s="2">
        <v>43863</v>
      </c>
      <c r="B34">
        <v>57</v>
      </c>
      <c r="C34">
        <v>92.102123459995411</v>
      </c>
      <c r="D34">
        <v>-21.925614704917049</v>
      </c>
      <c r="E34">
        <v>207.54573813703499</v>
      </c>
      <c r="F34">
        <v>-35.102123459995411</v>
      </c>
      <c r="G34">
        <v>35.102123459995411</v>
      </c>
      <c r="H34">
        <v>-61.582672736834063</v>
      </c>
      <c r="I34">
        <v>61.582672736834063</v>
      </c>
    </row>
    <row r="35" spans="1:9">
      <c r="A35" s="2">
        <v>43864</v>
      </c>
      <c r="B35">
        <v>200</v>
      </c>
      <c r="C35">
        <v>193.0328851263038</v>
      </c>
      <c r="D35">
        <v>87.980328658350032</v>
      </c>
      <c r="E35">
        <v>300.21546423805671</v>
      </c>
      <c r="F35">
        <v>6.9671148736962323</v>
      </c>
      <c r="G35">
        <v>6.9671148736962323</v>
      </c>
      <c r="H35">
        <v>3.4835574368481161</v>
      </c>
      <c r="I35">
        <v>3.4835574368481161</v>
      </c>
    </row>
    <row r="36" spans="1:9">
      <c r="A36" s="2">
        <v>43865</v>
      </c>
      <c r="B36">
        <v>206</v>
      </c>
      <c r="C36">
        <v>178.34885652353859</v>
      </c>
      <c r="D36">
        <v>63.610352240976212</v>
      </c>
      <c r="E36">
        <v>286.80807710942628</v>
      </c>
      <c r="F36">
        <v>27.65114347646136</v>
      </c>
      <c r="G36">
        <v>27.65114347646136</v>
      </c>
      <c r="H36">
        <v>13.42288518274823</v>
      </c>
      <c r="I36">
        <v>13.42288518274823</v>
      </c>
    </row>
    <row r="37" spans="1:9">
      <c r="A37" s="2">
        <v>43866</v>
      </c>
      <c r="B37">
        <v>255</v>
      </c>
      <c r="C37">
        <v>192.25461197048639</v>
      </c>
      <c r="D37">
        <v>76.976075569037718</v>
      </c>
      <c r="E37">
        <v>301.62558584047429</v>
      </c>
      <c r="F37">
        <v>62.745388029513578</v>
      </c>
      <c r="G37">
        <v>62.745388029513578</v>
      </c>
      <c r="H37">
        <v>24.606034521377872</v>
      </c>
      <c r="I37">
        <v>24.606034521377872</v>
      </c>
    </row>
    <row r="38" spans="1:9">
      <c r="A38" s="2">
        <v>43867</v>
      </c>
      <c r="B38">
        <v>166</v>
      </c>
      <c r="C38">
        <v>189.4626334286076</v>
      </c>
      <c r="D38">
        <v>83.553259803770416</v>
      </c>
      <c r="E38">
        <v>295.57012136644443</v>
      </c>
      <c r="F38">
        <v>-23.462633428607631</v>
      </c>
      <c r="G38">
        <v>23.462633428607631</v>
      </c>
      <c r="H38">
        <v>-14.13411652325761</v>
      </c>
      <c r="I38">
        <v>14.13411652325761</v>
      </c>
    </row>
    <row r="39" spans="1:9">
      <c r="A39" s="2">
        <v>43868</v>
      </c>
      <c r="B39">
        <v>213</v>
      </c>
      <c r="C39">
        <v>182.8434358570218</v>
      </c>
      <c r="D39">
        <v>70.549709652023864</v>
      </c>
      <c r="E39">
        <v>296.11396290650367</v>
      </c>
      <c r="F39">
        <v>30.156564142978169</v>
      </c>
      <c r="G39">
        <v>30.156564142978169</v>
      </c>
      <c r="H39">
        <v>14.15801133473154</v>
      </c>
      <c r="I39">
        <v>14.15801133473154</v>
      </c>
    </row>
    <row r="40" spans="1:9">
      <c r="A40" s="2">
        <v>43869</v>
      </c>
      <c r="B40">
        <v>24</v>
      </c>
      <c r="C40">
        <v>192.48517202491851</v>
      </c>
      <c r="D40">
        <v>78.795787440626412</v>
      </c>
      <c r="E40">
        <v>304.86850354064359</v>
      </c>
      <c r="F40">
        <v>-168.48517202491851</v>
      </c>
      <c r="G40">
        <v>168.48517202491851</v>
      </c>
      <c r="H40">
        <v>-702.02155010382694</v>
      </c>
      <c r="I40">
        <v>702.02155010382694</v>
      </c>
    </row>
    <row r="41" spans="1:9">
      <c r="A41" s="2">
        <v>43870</v>
      </c>
      <c r="B41">
        <v>252</v>
      </c>
      <c r="C41">
        <v>106.511895835543</v>
      </c>
      <c r="D41">
        <v>0.71317657931091205</v>
      </c>
      <c r="E41">
        <v>213.85385716979081</v>
      </c>
      <c r="F41">
        <v>145.48810416445701</v>
      </c>
      <c r="G41">
        <v>145.48810416445701</v>
      </c>
      <c r="H41">
        <v>57.73337466843531</v>
      </c>
      <c r="I41">
        <v>57.73337466843531</v>
      </c>
    </row>
    <row r="42" spans="1:9">
      <c r="A42" s="2">
        <v>43871</v>
      </c>
      <c r="B42">
        <v>184</v>
      </c>
      <c r="C42">
        <v>209.24278068541929</v>
      </c>
      <c r="D42">
        <v>99.042473408474592</v>
      </c>
      <c r="E42">
        <v>316.54026771548729</v>
      </c>
      <c r="F42">
        <v>-25.242780685419319</v>
      </c>
      <c r="G42">
        <v>25.242780685419319</v>
      </c>
      <c r="H42">
        <v>-13.718902546423539</v>
      </c>
      <c r="I42">
        <v>13.718902546423539</v>
      </c>
    </row>
    <row r="43" spans="1:9">
      <c r="A43" s="2">
        <v>43872</v>
      </c>
      <c r="B43">
        <v>250</v>
      </c>
      <c r="C43">
        <v>196.19788869059701</v>
      </c>
      <c r="D43">
        <v>86.946630035246699</v>
      </c>
      <c r="E43">
        <v>306.70842954815862</v>
      </c>
      <c r="F43">
        <v>53.80211130940296</v>
      </c>
      <c r="G43">
        <v>53.80211130940296</v>
      </c>
      <c r="H43">
        <v>21.520844523761181</v>
      </c>
      <c r="I43">
        <v>21.520844523761181</v>
      </c>
    </row>
    <row r="44" spans="1:9">
      <c r="A44" s="2">
        <v>43873</v>
      </c>
      <c r="B44">
        <v>295</v>
      </c>
      <c r="C44">
        <v>211.53848766963461</v>
      </c>
      <c r="D44">
        <v>97.931363832149088</v>
      </c>
      <c r="E44">
        <v>327.1585818821132</v>
      </c>
      <c r="F44">
        <v>83.461512330365423</v>
      </c>
      <c r="G44">
        <v>83.461512330365423</v>
      </c>
      <c r="H44">
        <v>28.292038078089981</v>
      </c>
      <c r="I44">
        <v>28.292038078089981</v>
      </c>
    </row>
    <row r="45" spans="1:9">
      <c r="A45" s="2">
        <v>43874</v>
      </c>
      <c r="B45">
        <v>211</v>
      </c>
      <c r="C45">
        <v>209.93601434224149</v>
      </c>
      <c r="D45">
        <v>102.32679168474461</v>
      </c>
      <c r="E45">
        <v>321.09710564102687</v>
      </c>
      <c r="F45">
        <v>1.0639856577585081</v>
      </c>
      <c r="G45">
        <v>1.0639856577585081</v>
      </c>
      <c r="H45">
        <v>0.50425860557275248</v>
      </c>
      <c r="I45">
        <v>0.50425860557275248</v>
      </c>
    </row>
    <row r="46" spans="1:9">
      <c r="A46" s="2">
        <v>43875</v>
      </c>
      <c r="B46">
        <v>282</v>
      </c>
      <c r="C46">
        <v>204.2232160310235</v>
      </c>
      <c r="D46">
        <v>93.955536396757722</v>
      </c>
      <c r="E46">
        <v>307.74589267822461</v>
      </c>
      <c r="F46">
        <v>77.776783968976474</v>
      </c>
      <c r="G46">
        <v>77.776783968976474</v>
      </c>
      <c r="H46">
        <v>27.580419847154779</v>
      </c>
      <c r="I46">
        <v>27.580419847154779</v>
      </c>
    </row>
    <row r="47" spans="1:9">
      <c r="A47" s="2">
        <v>43876</v>
      </c>
      <c r="B47">
        <v>262</v>
      </c>
      <c r="C47">
        <v>214.45472496527381</v>
      </c>
      <c r="D47">
        <v>104.8060999827367</v>
      </c>
      <c r="E47">
        <v>332.14155527052418</v>
      </c>
      <c r="F47">
        <v>47.54527503472616</v>
      </c>
      <c r="G47">
        <v>47.54527503472616</v>
      </c>
      <c r="H47">
        <v>18.14705153997182</v>
      </c>
      <c r="I47">
        <v>18.14705153997182</v>
      </c>
    </row>
    <row r="48" spans="1:9">
      <c r="A48" s="2">
        <v>43877</v>
      </c>
      <c r="B48">
        <v>65</v>
      </c>
      <c r="C48">
        <v>128.72621972630341</v>
      </c>
      <c r="D48">
        <v>14.320959899635049</v>
      </c>
      <c r="E48">
        <v>233.36483422479861</v>
      </c>
      <c r="F48">
        <v>-63.726219726303412</v>
      </c>
      <c r="G48">
        <v>63.726219726303412</v>
      </c>
      <c r="H48">
        <v>-98.040338040466793</v>
      </c>
      <c r="I48">
        <v>98.040338040466793</v>
      </c>
    </row>
    <row r="49" spans="1:9">
      <c r="A49" s="2">
        <v>43878</v>
      </c>
      <c r="B49">
        <v>325</v>
      </c>
      <c r="C49">
        <v>231.33444712896099</v>
      </c>
      <c r="D49">
        <v>124.0895251521336</v>
      </c>
      <c r="E49">
        <v>340.08137118641798</v>
      </c>
      <c r="F49">
        <v>93.665552871038983</v>
      </c>
      <c r="G49">
        <v>93.665552871038983</v>
      </c>
      <c r="H49">
        <v>28.82017011416584</v>
      </c>
      <c r="I49">
        <v>28.82017011416584</v>
      </c>
    </row>
    <row r="50" spans="1:9">
      <c r="A50" s="2">
        <v>43879</v>
      </c>
      <c r="B50">
        <v>235</v>
      </c>
      <c r="C50">
        <v>217.78367905770489</v>
      </c>
      <c r="D50">
        <v>102.1535927385179</v>
      </c>
      <c r="E50">
        <v>326.29362721078098</v>
      </c>
      <c r="F50">
        <v>17.216320942295059</v>
      </c>
      <c r="G50">
        <v>17.216320942295059</v>
      </c>
      <c r="H50">
        <v>7.3260940179978959</v>
      </c>
      <c r="I50">
        <v>7.3260940179978959</v>
      </c>
    </row>
    <row r="51" spans="1:9">
      <c r="A51" s="2">
        <v>43880</v>
      </c>
      <c r="B51">
        <v>215</v>
      </c>
      <c r="C51">
        <v>232.2265822850089</v>
      </c>
      <c r="D51">
        <v>124.1015863500797</v>
      </c>
      <c r="E51">
        <v>335.99519408491949</v>
      </c>
      <c r="F51">
        <v>-17.22658228500887</v>
      </c>
      <c r="G51">
        <v>17.22658228500887</v>
      </c>
      <c r="H51">
        <v>-8.0123638534924986</v>
      </c>
      <c r="I51">
        <v>8.0123638534924986</v>
      </c>
    </row>
    <row r="52" spans="1:9">
      <c r="A52" s="2">
        <v>43881</v>
      </c>
      <c r="B52">
        <v>85</v>
      </c>
      <c r="C52">
        <v>229.33358384758719</v>
      </c>
      <c r="D52">
        <v>122.8005592172011</v>
      </c>
      <c r="E52">
        <v>345.03909717859818</v>
      </c>
      <c r="F52">
        <v>-144.33358384758719</v>
      </c>
      <c r="G52">
        <v>144.33358384758719</v>
      </c>
      <c r="H52">
        <v>-169.80421629127909</v>
      </c>
      <c r="I52">
        <v>169.80421629127909</v>
      </c>
    </row>
    <row r="53" spans="1:9">
      <c r="A53" s="2">
        <v>43882</v>
      </c>
      <c r="B53">
        <v>195</v>
      </c>
      <c r="C53">
        <v>221.9442517882151</v>
      </c>
      <c r="D53">
        <v>110.71482897763551</v>
      </c>
      <c r="E53">
        <v>335.07663036076991</v>
      </c>
      <c r="F53">
        <v>-26.94425178821513</v>
      </c>
      <c r="G53">
        <v>26.94425178821513</v>
      </c>
      <c r="H53">
        <v>-13.817565019597501</v>
      </c>
      <c r="I53">
        <v>13.817565019597501</v>
      </c>
    </row>
    <row r="54" spans="1:9">
      <c r="A54" s="2">
        <v>43883</v>
      </c>
      <c r="B54">
        <v>188</v>
      </c>
      <c r="C54">
        <v>230.12793667464589</v>
      </c>
      <c r="D54">
        <v>123.75114454095819</v>
      </c>
      <c r="E54">
        <v>341.6523481146782</v>
      </c>
      <c r="F54">
        <v>-42.127936674645923</v>
      </c>
      <c r="G54">
        <v>42.127936674645923</v>
      </c>
      <c r="H54">
        <v>-22.4084769545989</v>
      </c>
      <c r="I54">
        <v>22.4084769545989</v>
      </c>
    </row>
    <row r="55" spans="1:9">
      <c r="A55" s="2">
        <v>43884</v>
      </c>
      <c r="B55">
        <v>58</v>
      </c>
      <c r="C55">
        <v>142.00282374109599</v>
      </c>
      <c r="D55">
        <v>22.710342832925129</v>
      </c>
      <c r="E55">
        <v>244.42765712724241</v>
      </c>
      <c r="F55">
        <v>-84.002823741095995</v>
      </c>
      <c r="G55">
        <v>84.002823741095995</v>
      </c>
      <c r="H55">
        <v>-144.83245472602761</v>
      </c>
      <c r="I55">
        <v>144.83245472602761</v>
      </c>
    </row>
    <row r="56" spans="1:9">
      <c r="A56" s="2">
        <v>43885</v>
      </c>
      <c r="B56">
        <v>251</v>
      </c>
      <c r="C56">
        <v>241.8956685136441</v>
      </c>
      <c r="D56">
        <v>124.8179671933583</v>
      </c>
      <c r="E56">
        <v>346.90466872344427</v>
      </c>
      <c r="F56">
        <v>9.1043314863559317</v>
      </c>
      <c r="G56">
        <v>9.1043314863559317</v>
      </c>
      <c r="H56">
        <v>3.6272236997433991</v>
      </c>
      <c r="I56">
        <v>3.6272236997433991</v>
      </c>
    </row>
    <row r="57" spans="1:9">
      <c r="A57" s="2">
        <v>43886</v>
      </c>
      <c r="B57">
        <v>181</v>
      </c>
      <c r="C57">
        <v>225.34779422204161</v>
      </c>
      <c r="D57">
        <v>115.1366334300577</v>
      </c>
      <c r="E57">
        <v>332.75283205437529</v>
      </c>
      <c r="F57">
        <v>-44.347794222041593</v>
      </c>
      <c r="G57">
        <v>44.347794222041593</v>
      </c>
      <c r="H57">
        <v>-24.501543769083749</v>
      </c>
      <c r="I57">
        <v>24.501543769083749</v>
      </c>
    </row>
    <row r="58" spans="1:9">
      <c r="A58" s="2">
        <v>43887</v>
      </c>
      <c r="B58">
        <v>228</v>
      </c>
      <c r="C58">
        <v>236.55533706861269</v>
      </c>
      <c r="D58">
        <v>130.11758257391759</v>
      </c>
      <c r="E58">
        <v>351.25421292248791</v>
      </c>
      <c r="F58">
        <v>-8.5553370686126584</v>
      </c>
      <c r="G58">
        <v>8.5553370686126584</v>
      </c>
      <c r="H58">
        <v>-3.752340819566955</v>
      </c>
      <c r="I58">
        <v>3.752340819566955</v>
      </c>
    </row>
    <row r="59" spans="1:9">
      <c r="A59" s="2">
        <v>43888</v>
      </c>
      <c r="B59">
        <v>165</v>
      </c>
      <c r="C59">
        <v>230.23783402234179</v>
      </c>
      <c r="D59">
        <v>129.2006186274017</v>
      </c>
      <c r="E59">
        <v>334.64467178314811</v>
      </c>
      <c r="F59">
        <v>-65.237834022341815</v>
      </c>
      <c r="G59">
        <v>65.237834022341815</v>
      </c>
      <c r="H59">
        <v>-39.538081225661713</v>
      </c>
      <c r="I59">
        <v>39.538081225661713</v>
      </c>
    </row>
    <row r="60" spans="1:9">
      <c r="A60" s="2">
        <v>43889</v>
      </c>
      <c r="B60">
        <v>185</v>
      </c>
      <c r="C60">
        <v>219.2886888720802</v>
      </c>
      <c r="D60">
        <v>108.9351530296871</v>
      </c>
      <c r="E60">
        <v>332.94738368088599</v>
      </c>
      <c r="F60">
        <v>-34.288688872080229</v>
      </c>
      <c r="G60">
        <v>34.288688872080229</v>
      </c>
      <c r="H60">
        <v>-18.534426417340661</v>
      </c>
      <c r="I60">
        <v>18.534426417340661</v>
      </c>
    </row>
    <row r="61" spans="1:9">
      <c r="A61" s="2">
        <v>43890</v>
      </c>
      <c r="B61">
        <v>172</v>
      </c>
      <c r="C61">
        <v>223.83478131941021</v>
      </c>
      <c r="D61">
        <v>115.7824951750985</v>
      </c>
      <c r="E61">
        <v>328.96469376901558</v>
      </c>
      <c r="F61">
        <v>-51.83478131941024</v>
      </c>
      <c r="G61">
        <v>51.83478131941024</v>
      </c>
      <c r="H61">
        <v>-30.13650076709898</v>
      </c>
      <c r="I61">
        <v>30.13650076709898</v>
      </c>
    </row>
    <row r="62" spans="1:9">
      <c r="A62" s="2">
        <v>43891</v>
      </c>
      <c r="B62">
        <v>216</v>
      </c>
      <c r="C62">
        <v>132.05439136750911</v>
      </c>
      <c r="D62">
        <v>16.383112097543769</v>
      </c>
      <c r="E62">
        <v>243.05957012504399</v>
      </c>
      <c r="F62">
        <v>83.94560863249086</v>
      </c>
      <c r="G62">
        <v>83.94560863249086</v>
      </c>
      <c r="H62">
        <v>38.863707700227252</v>
      </c>
      <c r="I62">
        <v>38.863707700227252</v>
      </c>
    </row>
    <row r="63" spans="1:9">
      <c r="A63" s="2">
        <v>43892</v>
      </c>
      <c r="B63">
        <v>179</v>
      </c>
      <c r="C63">
        <v>228.33573674679411</v>
      </c>
      <c r="D63">
        <v>124.87540010451259</v>
      </c>
      <c r="E63">
        <v>340.69168109721312</v>
      </c>
      <c r="F63">
        <v>-49.335736746794048</v>
      </c>
      <c r="G63">
        <v>49.335736746794048</v>
      </c>
      <c r="H63">
        <v>-27.561864104354221</v>
      </c>
      <c r="I63">
        <v>27.561864104354221</v>
      </c>
    </row>
    <row r="64" spans="1:9">
      <c r="A64" s="2">
        <v>43893</v>
      </c>
      <c r="B64">
        <v>202</v>
      </c>
      <c r="C64">
        <v>208.2817284824595</v>
      </c>
      <c r="D64">
        <v>102.8882541118862</v>
      </c>
      <c r="E64">
        <v>315.85090033290282</v>
      </c>
      <c r="F64">
        <v>-6.2817284824594992</v>
      </c>
      <c r="G64">
        <v>6.2817284824594992</v>
      </c>
      <c r="H64">
        <v>-3.1097665754750001</v>
      </c>
      <c r="I64">
        <v>3.1097665754750001</v>
      </c>
    </row>
    <row r="65" spans="1:9">
      <c r="A65" s="2">
        <v>43894</v>
      </c>
      <c r="B65">
        <v>194</v>
      </c>
      <c r="C65">
        <v>216.14895872373029</v>
      </c>
      <c r="D65">
        <v>101.44251486779601</v>
      </c>
      <c r="E65">
        <v>332.54556176453849</v>
      </c>
      <c r="F65">
        <v>-22.14895872373032</v>
      </c>
      <c r="G65">
        <v>22.14895872373032</v>
      </c>
      <c r="H65">
        <v>-11.41698903285068</v>
      </c>
      <c r="I65">
        <v>11.41698903285068</v>
      </c>
    </row>
    <row r="66" spans="1:9">
      <c r="A66" s="2">
        <v>43895</v>
      </c>
      <c r="B66">
        <v>50</v>
      </c>
      <c r="C66">
        <v>206.71504414309561</v>
      </c>
      <c r="D66">
        <v>101.1599393071312</v>
      </c>
      <c r="E66">
        <v>317.95137468901532</v>
      </c>
      <c r="F66">
        <v>-156.71504414309561</v>
      </c>
      <c r="G66">
        <v>156.71504414309561</v>
      </c>
      <c r="H66">
        <v>-313.43008828619128</v>
      </c>
      <c r="I66">
        <v>313.43008828619128</v>
      </c>
    </row>
    <row r="67" spans="1:9">
      <c r="A67" s="2">
        <v>43896</v>
      </c>
      <c r="B67">
        <v>58</v>
      </c>
      <c r="C67">
        <v>192.92788915644269</v>
      </c>
      <c r="D67">
        <v>79.794812865470533</v>
      </c>
      <c r="E67">
        <v>306.32770653909938</v>
      </c>
      <c r="F67">
        <v>-134.92788915644269</v>
      </c>
      <c r="G67">
        <v>134.92788915644269</v>
      </c>
      <c r="H67">
        <v>-232.63429164903911</v>
      </c>
      <c r="I67">
        <v>232.63429164903911</v>
      </c>
    </row>
    <row r="68" spans="1:9">
      <c r="A68" s="2">
        <v>43897</v>
      </c>
      <c r="B68">
        <v>483</v>
      </c>
      <c r="C68">
        <v>194.96416145316229</v>
      </c>
      <c r="D68">
        <v>91.695171758728108</v>
      </c>
      <c r="E68">
        <v>302.75183673937482</v>
      </c>
      <c r="F68">
        <v>288.03583854683768</v>
      </c>
      <c r="G68">
        <v>288.03583854683768</v>
      </c>
      <c r="H68">
        <v>59.634749181539902</v>
      </c>
      <c r="I68">
        <v>59.634749181539902</v>
      </c>
    </row>
    <row r="69" spans="1:9">
      <c r="A69" s="2">
        <v>43898</v>
      </c>
      <c r="B69">
        <v>209</v>
      </c>
      <c r="C69">
        <v>101.0461783034451</v>
      </c>
      <c r="D69">
        <v>-0.24482553372344379</v>
      </c>
      <c r="E69">
        <v>209.0733948768893</v>
      </c>
      <c r="F69">
        <v>107.9538216965549</v>
      </c>
      <c r="G69">
        <v>107.9538216965549</v>
      </c>
      <c r="H69">
        <v>51.652546266294188</v>
      </c>
      <c r="I69">
        <v>51.652546266294188</v>
      </c>
    </row>
    <row r="70" spans="1:9">
      <c r="A70" s="2">
        <v>43899</v>
      </c>
      <c r="B70">
        <v>220</v>
      </c>
      <c r="C70">
        <v>195.5995254618617</v>
      </c>
      <c r="D70">
        <v>78.975505805398299</v>
      </c>
      <c r="E70">
        <v>313.343959973182</v>
      </c>
      <c r="F70">
        <v>24.400474538138301</v>
      </c>
      <c r="G70">
        <v>24.400474538138301</v>
      </c>
      <c r="H70">
        <v>11.09112479006286</v>
      </c>
      <c r="I70">
        <v>11.09112479006286</v>
      </c>
    </row>
    <row r="71" spans="1:9">
      <c r="A71" s="2">
        <v>43900</v>
      </c>
      <c r="B71">
        <v>168</v>
      </c>
      <c r="C71">
        <v>174.2570350395369</v>
      </c>
      <c r="D71">
        <v>62.370083785697027</v>
      </c>
      <c r="E71">
        <v>288.79969025162018</v>
      </c>
      <c r="F71">
        <v>-6.2570350395369303</v>
      </c>
      <c r="G71">
        <v>6.2570350395369303</v>
      </c>
      <c r="H71">
        <v>-3.7244256187719822</v>
      </c>
      <c r="I71">
        <v>3.7244256187719822</v>
      </c>
    </row>
    <row r="72" spans="1:9">
      <c r="A72" s="2">
        <v>43901</v>
      </c>
      <c r="B72">
        <v>197</v>
      </c>
      <c r="C72">
        <v>181.29715465355761</v>
      </c>
      <c r="D72">
        <v>67.883820343287724</v>
      </c>
      <c r="E72">
        <v>285.29242283881553</v>
      </c>
      <c r="F72">
        <v>15.702845346442389</v>
      </c>
      <c r="G72">
        <v>15.702845346442389</v>
      </c>
      <c r="H72">
        <v>7.9709874855037501</v>
      </c>
      <c r="I72">
        <v>7.9709874855037501</v>
      </c>
    </row>
    <row r="73" spans="1:9">
      <c r="A73" s="2">
        <v>43902</v>
      </c>
      <c r="B73">
        <v>239</v>
      </c>
      <c r="C73">
        <v>171.51084537547931</v>
      </c>
      <c r="D73">
        <v>63.292901282481949</v>
      </c>
      <c r="E73">
        <v>280.99287024166762</v>
      </c>
      <c r="F73">
        <v>67.489154624520665</v>
      </c>
      <c r="G73">
        <v>67.489154624520665</v>
      </c>
      <c r="H73">
        <v>28.238140010259691</v>
      </c>
      <c r="I73">
        <v>28.238140010259691</v>
      </c>
    </row>
    <row r="74" spans="1:9">
      <c r="A74" s="2">
        <v>43903</v>
      </c>
      <c r="B74">
        <v>155</v>
      </c>
      <c r="C74">
        <v>157.85058306179681</v>
      </c>
      <c r="D74">
        <v>51.181353769672249</v>
      </c>
      <c r="E74">
        <v>276.14252767077932</v>
      </c>
      <c r="F74">
        <v>-2.85058306179684</v>
      </c>
      <c r="G74">
        <v>2.85058306179684</v>
      </c>
      <c r="H74">
        <v>-1.839085846320542</v>
      </c>
      <c r="I74">
        <v>1.839085846320542</v>
      </c>
    </row>
    <row r="75" spans="1:9">
      <c r="A75" s="2">
        <v>43904</v>
      </c>
      <c r="B75">
        <v>157</v>
      </c>
      <c r="C75">
        <v>160.48876147379349</v>
      </c>
      <c r="D75">
        <v>46.471762658904531</v>
      </c>
      <c r="E75">
        <v>280.81019309581887</v>
      </c>
      <c r="F75">
        <v>-3.4887614737934882</v>
      </c>
      <c r="G75">
        <v>3.4887614737934882</v>
      </c>
      <c r="H75">
        <v>-2.2221410661105021</v>
      </c>
      <c r="I75">
        <v>2.2221410661105021</v>
      </c>
    </row>
    <row r="76" spans="1:9">
      <c r="A76" s="2">
        <v>43905</v>
      </c>
      <c r="B76">
        <v>38</v>
      </c>
      <c r="C76">
        <v>67.634697112683355</v>
      </c>
      <c r="D76">
        <v>-40.256523320745103</v>
      </c>
      <c r="E76">
        <v>177.89817954294671</v>
      </c>
      <c r="F76">
        <v>-29.634697112683359</v>
      </c>
      <c r="G76">
        <v>29.634697112683359</v>
      </c>
      <c r="H76">
        <v>-77.986045033377252</v>
      </c>
      <c r="I76">
        <v>77.986045033377252</v>
      </c>
    </row>
    <row r="77" spans="1:9">
      <c r="A77" s="2">
        <v>43906</v>
      </c>
      <c r="B77">
        <v>166</v>
      </c>
      <c r="C77">
        <v>163.69255451296479</v>
      </c>
      <c r="D77">
        <v>48.782784973678908</v>
      </c>
      <c r="E77">
        <v>276.52825162231437</v>
      </c>
      <c r="F77">
        <v>2.3074454870352379</v>
      </c>
      <c r="G77">
        <v>2.3074454870352379</v>
      </c>
      <c r="H77">
        <v>1.3900274018284571</v>
      </c>
      <c r="I77">
        <v>1.3900274018284571</v>
      </c>
    </row>
    <row r="78" spans="1:9">
      <c r="A78" s="2">
        <v>43907</v>
      </c>
      <c r="B78">
        <v>226</v>
      </c>
      <c r="C78">
        <v>144.26581092699561</v>
      </c>
      <c r="D78">
        <v>36.132030114816111</v>
      </c>
      <c r="E78">
        <v>250.5111547096611</v>
      </c>
      <c r="F78">
        <v>81.734189073004387</v>
      </c>
      <c r="G78">
        <v>81.734189073004387</v>
      </c>
      <c r="H78">
        <v>36.165570386285133</v>
      </c>
      <c r="I78">
        <v>36.165570386285133</v>
      </c>
    </row>
    <row r="79" spans="1:9">
      <c r="A79" s="2">
        <v>43908</v>
      </c>
      <c r="B79">
        <v>253</v>
      </c>
      <c r="C79">
        <v>153.59628082467091</v>
      </c>
      <c r="D79">
        <v>44.633597954513128</v>
      </c>
      <c r="E79">
        <v>270.52428853029431</v>
      </c>
      <c r="F79">
        <v>99.403719175329059</v>
      </c>
      <c r="G79">
        <v>99.403719175329059</v>
      </c>
      <c r="H79">
        <v>39.290007579181449</v>
      </c>
      <c r="I79">
        <v>39.290007579181449</v>
      </c>
    </row>
    <row r="80" spans="1:9">
      <c r="A80" s="2">
        <v>43909</v>
      </c>
      <c r="B80">
        <v>134</v>
      </c>
      <c r="C80">
        <v>146.43182214792279</v>
      </c>
      <c r="D80">
        <v>40.551666468564818</v>
      </c>
      <c r="E80">
        <v>257.52733558229988</v>
      </c>
      <c r="F80">
        <v>-12.431822147922791</v>
      </c>
      <c r="G80">
        <v>12.431822147922791</v>
      </c>
      <c r="H80">
        <v>-9.2774792148677516</v>
      </c>
      <c r="I80">
        <v>9.2774792148677516</v>
      </c>
    </row>
    <row r="81" spans="1:9">
      <c r="A81" s="2">
        <v>43910</v>
      </c>
      <c r="B81">
        <v>70</v>
      </c>
      <c r="C81">
        <v>135.67627955832549</v>
      </c>
      <c r="D81">
        <v>23.645320758369142</v>
      </c>
      <c r="E81">
        <v>248.17136991614899</v>
      </c>
      <c r="F81">
        <v>-65.676279558325518</v>
      </c>
      <c r="G81">
        <v>65.676279558325518</v>
      </c>
      <c r="H81">
        <v>-93.82325651189359</v>
      </c>
      <c r="I81">
        <v>93.82325651189359</v>
      </c>
    </row>
    <row r="82" spans="1:9">
      <c r="A82" s="2">
        <v>43911</v>
      </c>
      <c r="B82">
        <v>83</v>
      </c>
      <c r="C82">
        <v>141.44894073645469</v>
      </c>
      <c r="D82">
        <v>31.68679388447886</v>
      </c>
      <c r="E82">
        <v>258.39963069495138</v>
      </c>
      <c r="F82">
        <v>-58.448940736454688</v>
      </c>
      <c r="G82">
        <v>58.448940736454688</v>
      </c>
      <c r="H82">
        <v>-70.420410525849022</v>
      </c>
      <c r="I82">
        <v>70.420410525849022</v>
      </c>
    </row>
    <row r="83" spans="1:9">
      <c r="A83" s="2">
        <v>43912</v>
      </c>
      <c r="B83">
        <v>42</v>
      </c>
      <c r="C83">
        <v>51.902680773853547</v>
      </c>
      <c r="D83">
        <v>-54.585259088467822</v>
      </c>
      <c r="E83">
        <v>160.01191536076001</v>
      </c>
      <c r="F83">
        <v>-9.9026807738535467</v>
      </c>
      <c r="G83">
        <v>9.9026807738535467</v>
      </c>
      <c r="H83">
        <v>-23.57781136631797</v>
      </c>
      <c r="I83">
        <v>23.57781136631797</v>
      </c>
    </row>
    <row r="84" spans="1:9">
      <c r="A84" s="2">
        <v>43913</v>
      </c>
      <c r="B84">
        <v>66</v>
      </c>
      <c r="C84">
        <v>151.38308660026291</v>
      </c>
      <c r="D84">
        <v>41.454171682016053</v>
      </c>
      <c r="E84">
        <v>262.19962316338831</v>
      </c>
      <c r="F84">
        <v>-85.383086600262857</v>
      </c>
      <c r="G84">
        <v>85.383086600262857</v>
      </c>
      <c r="H84">
        <v>-129.3683130307013</v>
      </c>
      <c r="I84">
        <v>129.3683130307013</v>
      </c>
    </row>
    <row r="85" spans="1:9">
      <c r="A85" s="2">
        <v>43914</v>
      </c>
      <c r="B85">
        <v>153</v>
      </c>
      <c r="C85">
        <v>135.4341523540686</v>
      </c>
      <c r="D85">
        <v>26.473132869332531</v>
      </c>
      <c r="E85">
        <v>249.03656146981339</v>
      </c>
      <c r="F85">
        <v>17.565847645931399</v>
      </c>
      <c r="G85">
        <v>17.565847645931399</v>
      </c>
      <c r="H85">
        <v>11.48094617381137</v>
      </c>
      <c r="I85">
        <v>11.48094617381137</v>
      </c>
    </row>
    <row r="86" spans="1:9">
      <c r="A86" s="2">
        <v>43915</v>
      </c>
      <c r="B86">
        <v>141</v>
      </c>
      <c r="C86">
        <v>148.23853753758399</v>
      </c>
      <c r="D86">
        <v>30.351829329750291</v>
      </c>
      <c r="E86">
        <v>254.01851103377601</v>
      </c>
      <c r="F86">
        <v>-7.2385375375840226</v>
      </c>
      <c r="G86">
        <v>7.2385375375840226</v>
      </c>
      <c r="H86">
        <v>-5.1337145656624266</v>
      </c>
      <c r="I86">
        <v>5.1337145656624266</v>
      </c>
    </row>
    <row r="87" spans="1:9">
      <c r="A87" s="2">
        <v>43916</v>
      </c>
      <c r="B87">
        <v>146</v>
      </c>
      <c r="C87">
        <v>144.48648148291139</v>
      </c>
      <c r="D87">
        <v>34.466542228294159</v>
      </c>
      <c r="E87">
        <v>253.20113002297111</v>
      </c>
      <c r="F87">
        <v>1.513518517088585</v>
      </c>
      <c r="G87">
        <v>1.513518517088585</v>
      </c>
      <c r="H87">
        <v>1.036656518553825</v>
      </c>
      <c r="I87">
        <v>1.036656518553825</v>
      </c>
    </row>
    <row r="88" spans="1:9">
      <c r="A88" s="2">
        <v>43917</v>
      </c>
      <c r="B88">
        <v>144</v>
      </c>
      <c r="C88">
        <v>137.02690180303071</v>
      </c>
      <c r="D88">
        <v>26.827689476890988</v>
      </c>
      <c r="E88">
        <v>248.12793654647649</v>
      </c>
      <c r="F88">
        <v>6.9730981969693184</v>
      </c>
      <c r="G88">
        <v>6.9730981969693184</v>
      </c>
      <c r="H88">
        <v>4.8424293034509152</v>
      </c>
      <c r="I88">
        <v>4.8424293034509152</v>
      </c>
    </row>
    <row r="89" spans="1:9">
      <c r="A89" s="2">
        <v>43918</v>
      </c>
      <c r="B89">
        <v>105</v>
      </c>
      <c r="C89">
        <v>145.92792687231409</v>
      </c>
      <c r="D89">
        <v>38.683860122140572</v>
      </c>
      <c r="E89">
        <v>261.78466635169622</v>
      </c>
      <c r="F89">
        <v>-40.927926872314117</v>
      </c>
      <c r="G89">
        <v>40.927926872314117</v>
      </c>
      <c r="H89">
        <v>-38.978977973632503</v>
      </c>
      <c r="I89">
        <v>38.978977973632503</v>
      </c>
    </row>
    <row r="90" spans="1:9">
      <c r="A90" s="2">
        <v>43919</v>
      </c>
      <c r="B90">
        <v>36</v>
      </c>
      <c r="C90">
        <v>59.296013502060049</v>
      </c>
      <c r="D90">
        <v>-47.726484062647692</v>
      </c>
      <c r="E90">
        <v>175.20673971458541</v>
      </c>
      <c r="F90">
        <v>-23.296013502060049</v>
      </c>
      <c r="G90">
        <v>23.296013502060049</v>
      </c>
      <c r="H90">
        <v>-64.711148616833469</v>
      </c>
      <c r="I90">
        <v>64.711148616833469</v>
      </c>
    </row>
    <row r="91" spans="1:9">
      <c r="A91" s="2">
        <v>43920</v>
      </c>
      <c r="B91">
        <v>61</v>
      </c>
      <c r="C91">
        <v>161.43592063787679</v>
      </c>
      <c r="D91">
        <v>47.580465172800373</v>
      </c>
      <c r="E91">
        <v>265.58385153093059</v>
      </c>
      <c r="F91">
        <v>-100.43592063787681</v>
      </c>
      <c r="G91">
        <v>100.43592063787681</v>
      </c>
      <c r="H91">
        <v>-164.6490502260275</v>
      </c>
      <c r="I91">
        <v>164.6490502260275</v>
      </c>
    </row>
    <row r="92" spans="1:9">
      <c r="A92" s="2">
        <v>43921</v>
      </c>
      <c r="B92">
        <v>60</v>
      </c>
      <c r="C92">
        <v>147.85711209190529</v>
      </c>
      <c r="D92">
        <v>42.777410482833417</v>
      </c>
      <c r="E92">
        <v>265.30391066029802</v>
      </c>
      <c r="F92">
        <v>-87.857112091905293</v>
      </c>
      <c r="G92">
        <v>87.857112091905293</v>
      </c>
      <c r="H92">
        <v>-146.4285201531755</v>
      </c>
      <c r="I92">
        <v>146.4285201531755</v>
      </c>
    </row>
    <row r="93" spans="1:9">
      <c r="A93" s="2">
        <v>43922</v>
      </c>
      <c r="B93">
        <v>155</v>
      </c>
      <c r="C93">
        <v>162.7145659125058</v>
      </c>
      <c r="D93">
        <v>56.055014622164002</v>
      </c>
      <c r="E93">
        <v>273.28720827484818</v>
      </c>
      <c r="F93">
        <v>-7.7145659125058046</v>
      </c>
      <c r="G93">
        <v>7.7145659125058046</v>
      </c>
      <c r="H93">
        <v>-4.977139298390842</v>
      </c>
      <c r="I93">
        <v>4.977139298390842</v>
      </c>
    </row>
    <row r="94" spans="1:9">
      <c r="A94" s="2">
        <v>43923</v>
      </c>
      <c r="B94">
        <v>194</v>
      </c>
      <c r="C94">
        <v>160.67807364078129</v>
      </c>
      <c r="D94">
        <v>59.710382311540087</v>
      </c>
      <c r="E94">
        <v>263.07983644118019</v>
      </c>
      <c r="F94">
        <v>33.321926359218708</v>
      </c>
      <c r="G94">
        <v>33.321926359218708</v>
      </c>
      <c r="H94">
        <v>17.176250700628199</v>
      </c>
      <c r="I94">
        <v>17.176250700628199</v>
      </c>
    </row>
    <row r="95" spans="1:9">
      <c r="A95" s="2">
        <v>43924</v>
      </c>
      <c r="B95">
        <v>217</v>
      </c>
      <c r="C95">
        <v>154.58355104756069</v>
      </c>
      <c r="D95">
        <v>42.34634953216549</v>
      </c>
      <c r="E95">
        <v>267.44641363572248</v>
      </c>
      <c r="F95">
        <v>62.416448952439247</v>
      </c>
      <c r="G95">
        <v>62.416448952439247</v>
      </c>
      <c r="H95">
        <v>28.763340531078001</v>
      </c>
      <c r="I95">
        <v>28.763340531078001</v>
      </c>
    </row>
    <row r="96" spans="1:9">
      <c r="A96" s="2">
        <v>43925</v>
      </c>
      <c r="B96">
        <v>206</v>
      </c>
      <c r="C96">
        <v>164.49360858942859</v>
      </c>
      <c r="D96">
        <v>54.134247063795748</v>
      </c>
      <c r="E96">
        <v>273.92517575978741</v>
      </c>
      <c r="F96">
        <v>41.50639141057141</v>
      </c>
      <c r="G96">
        <v>41.50639141057141</v>
      </c>
      <c r="H96">
        <v>20.14873369445214</v>
      </c>
      <c r="I96">
        <v>20.14873369445214</v>
      </c>
    </row>
    <row r="97" spans="1:9">
      <c r="A97" s="2">
        <v>43926</v>
      </c>
      <c r="B97">
        <v>290</v>
      </c>
      <c r="C97">
        <v>78.516535247606527</v>
      </c>
      <c r="D97">
        <v>-32.727788457734277</v>
      </c>
      <c r="E97">
        <v>191.34796147245751</v>
      </c>
      <c r="F97">
        <v>211.4834647523935</v>
      </c>
      <c r="G97">
        <v>211.4834647523935</v>
      </c>
      <c r="H97">
        <v>72.925332673239126</v>
      </c>
      <c r="I97">
        <v>72.925332673239126</v>
      </c>
    </row>
    <row r="98" spans="1:9">
      <c r="A98" s="2">
        <v>43927</v>
      </c>
      <c r="B98">
        <v>75</v>
      </c>
      <c r="C98">
        <v>180.96597323922401</v>
      </c>
      <c r="D98">
        <v>72.928963784057586</v>
      </c>
      <c r="E98">
        <v>294.65349160322899</v>
      </c>
      <c r="F98">
        <v>-105.965973239224</v>
      </c>
      <c r="G98">
        <v>105.965973239224</v>
      </c>
      <c r="H98">
        <v>-141.28796431896529</v>
      </c>
      <c r="I98">
        <v>141.28796431896529</v>
      </c>
    </row>
    <row r="99" spans="1:9">
      <c r="A99" s="2">
        <v>43929</v>
      </c>
      <c r="B99">
        <v>239</v>
      </c>
      <c r="C99">
        <v>181.8956799482286</v>
      </c>
      <c r="D99">
        <v>73.345356969677212</v>
      </c>
      <c r="E99">
        <v>298.11601634019149</v>
      </c>
      <c r="F99">
        <v>57.104320051771403</v>
      </c>
      <c r="G99">
        <v>57.104320051771403</v>
      </c>
      <c r="H99">
        <v>23.893020942163769</v>
      </c>
      <c r="I99">
        <v>23.893020942163769</v>
      </c>
    </row>
    <row r="100" spans="1:9">
      <c r="A100" s="2">
        <v>43930</v>
      </c>
      <c r="B100">
        <v>206</v>
      </c>
      <c r="C100">
        <v>179.2489748545394</v>
      </c>
      <c r="D100">
        <v>66.381337178902712</v>
      </c>
      <c r="E100">
        <v>292.65477904623219</v>
      </c>
      <c r="F100">
        <v>26.751025145460599</v>
      </c>
      <c r="G100">
        <v>26.751025145460599</v>
      </c>
      <c r="H100">
        <v>12.98593453663136</v>
      </c>
      <c r="I100">
        <v>12.98593453663136</v>
      </c>
    </row>
    <row r="101" spans="1:9">
      <c r="A101" s="2">
        <v>43931</v>
      </c>
      <c r="B101">
        <v>39</v>
      </c>
      <c r="C101">
        <v>172.29390784302959</v>
      </c>
      <c r="D101">
        <v>53.616916377405722</v>
      </c>
      <c r="E101">
        <v>283.8290498015873</v>
      </c>
      <c r="F101">
        <v>-133.29390784302959</v>
      </c>
      <c r="G101">
        <v>133.29390784302959</v>
      </c>
      <c r="H101">
        <v>-341.77925087956311</v>
      </c>
      <c r="I101">
        <v>341.77925087956311</v>
      </c>
    </row>
    <row r="102" spans="1:9">
      <c r="A102" s="2">
        <v>43932</v>
      </c>
      <c r="B102">
        <v>223</v>
      </c>
      <c r="C102">
        <v>181.12789850000749</v>
      </c>
      <c r="D102">
        <v>72.122222073605599</v>
      </c>
      <c r="E102">
        <v>284.952159761573</v>
      </c>
      <c r="F102">
        <v>41.87210149999251</v>
      </c>
      <c r="G102">
        <v>41.87210149999251</v>
      </c>
      <c r="H102">
        <v>18.77672713004149</v>
      </c>
      <c r="I102">
        <v>18.77672713004149</v>
      </c>
    </row>
    <row r="103" spans="1:9">
      <c r="A103" s="2">
        <v>43933</v>
      </c>
      <c r="B103">
        <v>241</v>
      </c>
      <c r="C103">
        <v>93.896658693547423</v>
      </c>
      <c r="D103">
        <v>-14.71760458864083</v>
      </c>
      <c r="E103">
        <v>205.12761293738379</v>
      </c>
      <c r="F103">
        <v>147.10334130645259</v>
      </c>
      <c r="G103">
        <v>147.10334130645259</v>
      </c>
      <c r="H103">
        <v>61.038730832552943</v>
      </c>
      <c r="I103">
        <v>61.038730832552943</v>
      </c>
    </row>
    <row r="104" spans="1:9">
      <c r="A104" s="2">
        <v>43934</v>
      </c>
      <c r="B104">
        <v>79</v>
      </c>
      <c r="C104">
        <v>194.9528809321348</v>
      </c>
      <c r="D104">
        <v>80.410573277877845</v>
      </c>
      <c r="E104">
        <v>303.06124548902318</v>
      </c>
      <c r="F104">
        <v>-115.9528809321348</v>
      </c>
      <c r="G104">
        <v>115.9528809321348</v>
      </c>
      <c r="H104">
        <v>-146.77579864827189</v>
      </c>
      <c r="I104">
        <v>146.77579864827189</v>
      </c>
    </row>
    <row r="105" spans="1:9">
      <c r="A105" s="2">
        <v>43935</v>
      </c>
      <c r="B105">
        <v>165</v>
      </c>
      <c r="C105">
        <v>179.8611953896764</v>
      </c>
      <c r="D105">
        <v>68.246953957740956</v>
      </c>
      <c r="E105">
        <v>291.87746910948908</v>
      </c>
      <c r="F105">
        <v>-14.86119538967642</v>
      </c>
      <c r="G105">
        <v>14.86119538967642</v>
      </c>
      <c r="H105">
        <v>-9.0067850846523783</v>
      </c>
      <c r="I105">
        <v>9.0067850846523783</v>
      </c>
    </row>
    <row r="106" spans="1:9">
      <c r="A106" s="2">
        <v>43936</v>
      </c>
      <c r="B106">
        <v>180</v>
      </c>
      <c r="C106">
        <v>192.83741240235031</v>
      </c>
      <c r="D106">
        <v>73.877820964409182</v>
      </c>
      <c r="E106">
        <v>298.52005893576808</v>
      </c>
      <c r="F106">
        <v>-12.83741240235025</v>
      </c>
      <c r="G106">
        <v>12.83741240235025</v>
      </c>
      <c r="H106">
        <v>-7.1318957790834734</v>
      </c>
      <c r="I106">
        <v>7.1318957790834734</v>
      </c>
    </row>
    <row r="107" spans="1:9">
      <c r="A107" s="2">
        <v>43937</v>
      </c>
      <c r="B107">
        <v>179</v>
      </c>
      <c r="C107">
        <v>188.61617509301021</v>
      </c>
      <c r="D107">
        <v>84.493269440824605</v>
      </c>
      <c r="E107">
        <v>284.95867543350062</v>
      </c>
      <c r="F107">
        <v>-9.6161750930102414</v>
      </c>
      <c r="G107">
        <v>9.6161750930102414</v>
      </c>
      <c r="H107">
        <v>-5.3721648564303024</v>
      </c>
      <c r="I107">
        <v>5.3721648564303024</v>
      </c>
    </row>
    <row r="108" spans="1:9">
      <c r="A108" s="2">
        <v>43938</v>
      </c>
      <c r="B108">
        <v>217</v>
      </c>
      <c r="C108">
        <v>180.1005862913525</v>
      </c>
      <c r="D108">
        <v>71.373332813792473</v>
      </c>
      <c r="E108">
        <v>296.08448642197152</v>
      </c>
      <c r="F108">
        <v>36.899413708647472</v>
      </c>
      <c r="G108">
        <v>36.899413708647472</v>
      </c>
      <c r="H108">
        <v>17.00433811458409</v>
      </c>
      <c r="I108">
        <v>17.00433811458409</v>
      </c>
    </row>
    <row r="109" spans="1:9">
      <c r="A109" s="2">
        <v>43939</v>
      </c>
      <c r="B109">
        <v>171</v>
      </c>
      <c r="C109">
        <v>187.42110060412841</v>
      </c>
      <c r="D109">
        <v>77.676434211581665</v>
      </c>
      <c r="E109">
        <v>294.03198884275469</v>
      </c>
      <c r="F109">
        <v>-16.421100604128441</v>
      </c>
      <c r="G109">
        <v>16.421100604128441</v>
      </c>
      <c r="H109">
        <v>-9.6029828094318361</v>
      </c>
      <c r="I109">
        <v>9.6029828094318361</v>
      </c>
    </row>
    <row r="110" spans="1:9">
      <c r="A110" s="2">
        <v>43940</v>
      </c>
      <c r="B110">
        <v>37</v>
      </c>
      <c r="C110">
        <v>98.752876866110299</v>
      </c>
      <c r="D110">
        <v>-9.4763753650390399</v>
      </c>
      <c r="E110">
        <v>204.81348286507219</v>
      </c>
      <c r="F110">
        <v>-61.752876866110299</v>
      </c>
      <c r="G110">
        <v>61.752876866110299</v>
      </c>
      <c r="H110">
        <v>-166.89966720570351</v>
      </c>
      <c r="I110">
        <v>166.89966720570351</v>
      </c>
    </row>
    <row r="111" spans="1:9">
      <c r="A111" s="2">
        <v>43941</v>
      </c>
      <c r="B111">
        <v>215</v>
      </c>
      <c r="C111">
        <v>198.47390793612561</v>
      </c>
      <c r="D111">
        <v>84.049379494259924</v>
      </c>
      <c r="E111">
        <v>300.42668273053681</v>
      </c>
      <c r="F111">
        <v>16.52609206387444</v>
      </c>
      <c r="G111">
        <v>16.52609206387444</v>
      </c>
      <c r="H111">
        <v>7.6865544483136938</v>
      </c>
      <c r="I111">
        <v>7.6865544483136938</v>
      </c>
    </row>
    <row r="112" spans="1:9">
      <c r="A112" s="2">
        <v>43942</v>
      </c>
      <c r="B112">
        <v>218</v>
      </c>
      <c r="C112">
        <v>182.16954786040671</v>
      </c>
      <c r="D112">
        <v>70.805513073933028</v>
      </c>
      <c r="E112">
        <v>289.92598778613842</v>
      </c>
      <c r="F112">
        <v>35.830452139593291</v>
      </c>
      <c r="G112">
        <v>35.830452139593291</v>
      </c>
      <c r="H112">
        <v>16.435987219996921</v>
      </c>
      <c r="I112">
        <v>16.435987219996921</v>
      </c>
    </row>
    <row r="113" spans="1:9">
      <c r="A113" s="2">
        <v>43943</v>
      </c>
      <c r="B113">
        <v>205</v>
      </c>
      <c r="C113">
        <v>194.07146070455951</v>
      </c>
      <c r="D113">
        <v>89.649197692459026</v>
      </c>
      <c r="E113">
        <v>303.64273925738343</v>
      </c>
      <c r="F113">
        <v>10.928539295440491</v>
      </c>
      <c r="G113">
        <v>10.928539295440491</v>
      </c>
      <c r="H113">
        <v>5.3309947782636522</v>
      </c>
      <c r="I113">
        <v>5.3309947782636522</v>
      </c>
    </row>
    <row r="114" spans="1:9">
      <c r="A114" s="2">
        <v>43944</v>
      </c>
      <c r="B114">
        <v>195</v>
      </c>
      <c r="C114">
        <v>188.9251194794509</v>
      </c>
      <c r="D114">
        <v>80.85069821903538</v>
      </c>
      <c r="E114">
        <v>298.99085540634297</v>
      </c>
      <c r="F114">
        <v>6.0748805205490726</v>
      </c>
      <c r="G114">
        <v>6.0748805205490726</v>
      </c>
      <c r="H114">
        <v>3.115323343871319</v>
      </c>
      <c r="I114">
        <v>3.115323343871319</v>
      </c>
    </row>
    <row r="115" spans="1:9">
      <c r="A115" s="2">
        <v>43945</v>
      </c>
      <c r="B115">
        <v>181</v>
      </c>
      <c r="C115">
        <v>179.63941931520111</v>
      </c>
      <c r="D115">
        <v>85.298350275172538</v>
      </c>
      <c r="E115">
        <v>296.26409784706789</v>
      </c>
      <c r="F115">
        <v>1.360580684798947</v>
      </c>
      <c r="G115">
        <v>1.360580684798947</v>
      </c>
      <c r="H115">
        <v>0.75170203580052319</v>
      </c>
      <c r="I115">
        <v>0.75170203580052319</v>
      </c>
    </row>
    <row r="116" spans="1:9">
      <c r="A116" s="2">
        <v>43946</v>
      </c>
      <c r="B116">
        <v>212</v>
      </c>
      <c r="C116">
        <v>186.3456920078539</v>
      </c>
      <c r="D116">
        <v>74.382501854164161</v>
      </c>
      <c r="E116">
        <v>301.7866191165204</v>
      </c>
      <c r="F116">
        <v>25.654307992146069</v>
      </c>
      <c r="G116">
        <v>25.654307992146069</v>
      </c>
      <c r="H116">
        <v>12.1010886755406</v>
      </c>
      <c r="I116">
        <v>12.1010886755406</v>
      </c>
    </row>
    <row r="117" spans="1:9">
      <c r="A117" s="2">
        <v>43947</v>
      </c>
      <c r="B117">
        <v>33</v>
      </c>
      <c r="C117">
        <v>97.215309906351877</v>
      </c>
      <c r="D117">
        <v>-14.44665766335161</v>
      </c>
      <c r="E117">
        <v>199.7151735110908</v>
      </c>
      <c r="F117">
        <v>-64.215309906351877</v>
      </c>
      <c r="G117">
        <v>64.215309906351877</v>
      </c>
      <c r="H117">
        <v>-194.59184820106631</v>
      </c>
      <c r="I117">
        <v>194.59184820106631</v>
      </c>
    </row>
    <row r="118" spans="1:9">
      <c r="A118" s="2">
        <v>43948</v>
      </c>
      <c r="B118">
        <v>298</v>
      </c>
      <c r="C118">
        <v>196.6181855409688</v>
      </c>
      <c r="D118">
        <v>92.235977443165609</v>
      </c>
      <c r="E118">
        <v>313.30253662424929</v>
      </c>
      <c r="F118">
        <v>101.3818144590312</v>
      </c>
      <c r="G118">
        <v>101.3818144590312</v>
      </c>
      <c r="H118">
        <v>34.020743107057463</v>
      </c>
      <c r="I118">
        <v>34.020743107057463</v>
      </c>
    </row>
    <row r="119" spans="1:9">
      <c r="A119" s="2">
        <v>43949</v>
      </c>
      <c r="B119">
        <v>158</v>
      </c>
      <c r="C119">
        <v>180.1277735286765</v>
      </c>
      <c r="D119">
        <v>74.737794483988537</v>
      </c>
      <c r="E119">
        <v>301.24619396067573</v>
      </c>
      <c r="F119">
        <v>-22.127773528676471</v>
      </c>
      <c r="G119">
        <v>22.127773528676471</v>
      </c>
      <c r="H119">
        <v>-14.00491995485852</v>
      </c>
      <c r="I119">
        <v>14.00491995485852</v>
      </c>
    </row>
    <row r="120" spans="1:9">
      <c r="A120" s="2">
        <v>43950</v>
      </c>
      <c r="B120">
        <v>156</v>
      </c>
      <c r="C120">
        <v>191.96058302198699</v>
      </c>
      <c r="D120">
        <v>64.886707270722539</v>
      </c>
      <c r="E120">
        <v>299.33322989526903</v>
      </c>
      <c r="F120">
        <v>-35.96058302198702</v>
      </c>
      <c r="G120">
        <v>35.96058302198702</v>
      </c>
      <c r="H120">
        <v>-23.05165578332501</v>
      </c>
      <c r="I120">
        <v>23.05165578332501</v>
      </c>
    </row>
    <row r="121" spans="1:9">
      <c r="A121" s="2">
        <v>43951</v>
      </c>
      <c r="B121">
        <v>163</v>
      </c>
      <c r="C121">
        <v>186.84431107067891</v>
      </c>
      <c r="D121">
        <v>76.727918598708754</v>
      </c>
      <c r="E121">
        <v>294.94912077508337</v>
      </c>
      <c r="F121">
        <v>-23.844311070678859</v>
      </c>
      <c r="G121">
        <v>23.844311070678859</v>
      </c>
      <c r="H121">
        <v>-14.62841169980298</v>
      </c>
      <c r="I121">
        <v>14.62841169980298</v>
      </c>
    </row>
    <row r="122" spans="1:9">
      <c r="A122" s="2">
        <v>43952</v>
      </c>
      <c r="B122">
        <v>37</v>
      </c>
      <c r="C122">
        <v>177.668141446595</v>
      </c>
      <c r="D122">
        <v>66.225656339636004</v>
      </c>
      <c r="E122">
        <v>288.75380754829479</v>
      </c>
      <c r="F122">
        <v>-140.668141446595</v>
      </c>
      <c r="G122">
        <v>140.668141446595</v>
      </c>
      <c r="H122">
        <v>-380.18416607187839</v>
      </c>
      <c r="I122">
        <v>380.18416607187839</v>
      </c>
    </row>
    <row r="123" spans="1:9">
      <c r="A123" s="2">
        <v>43953</v>
      </c>
      <c r="B123">
        <v>201</v>
      </c>
      <c r="C123">
        <v>184.542475520914</v>
      </c>
      <c r="D123">
        <v>73.069039568659008</v>
      </c>
      <c r="E123">
        <v>295.20140902008501</v>
      </c>
      <c r="F123">
        <v>16.457524479085979</v>
      </c>
      <c r="G123">
        <v>16.457524479085979</v>
      </c>
      <c r="H123">
        <v>8.187823123923371</v>
      </c>
      <c r="I123">
        <v>8.187823123923371</v>
      </c>
    </row>
    <row r="124" spans="1:9">
      <c r="A124" s="2">
        <v>43954</v>
      </c>
      <c r="B124">
        <v>225</v>
      </c>
      <c r="C124">
        <v>95.617262217796011</v>
      </c>
      <c r="D124">
        <v>-4.9524207096625084</v>
      </c>
      <c r="E124">
        <v>205.08495778554089</v>
      </c>
      <c r="F124">
        <v>129.382737782204</v>
      </c>
      <c r="G124">
        <v>129.382737782204</v>
      </c>
      <c r="H124">
        <v>57.503439014312903</v>
      </c>
      <c r="I124">
        <v>57.503439014312903</v>
      </c>
    </row>
    <row r="125" spans="1:9">
      <c r="A125" s="2">
        <v>43955</v>
      </c>
      <c r="B125">
        <v>53</v>
      </c>
      <c r="C125">
        <v>195.2412127227675</v>
      </c>
      <c r="D125">
        <v>85.449229123829411</v>
      </c>
      <c r="E125">
        <v>309.81733021817962</v>
      </c>
      <c r="F125">
        <v>-142.2412127227675</v>
      </c>
      <c r="G125">
        <v>142.2412127227675</v>
      </c>
      <c r="H125">
        <v>-268.3796466467312</v>
      </c>
      <c r="I125">
        <v>268.3796466467312</v>
      </c>
    </row>
    <row r="126" spans="1:9">
      <c r="A126" s="2">
        <v>43956</v>
      </c>
      <c r="B126">
        <v>296</v>
      </c>
      <c r="C126">
        <v>178.96748649509641</v>
      </c>
      <c r="D126">
        <v>68.146627336044617</v>
      </c>
      <c r="E126">
        <v>289.20846171521657</v>
      </c>
      <c r="F126">
        <v>117.0325135049036</v>
      </c>
      <c r="G126">
        <v>117.0325135049036</v>
      </c>
      <c r="H126">
        <v>39.538011319224189</v>
      </c>
      <c r="I126">
        <v>39.538011319224189</v>
      </c>
    </row>
    <row r="127" spans="1:9">
      <c r="A127" s="2">
        <v>43957</v>
      </c>
      <c r="B127">
        <v>28</v>
      </c>
      <c r="C127">
        <v>190.99383818432139</v>
      </c>
      <c r="D127">
        <v>80.564500867461433</v>
      </c>
      <c r="E127">
        <v>303.7274306261869</v>
      </c>
      <c r="F127">
        <v>-162.99383818432139</v>
      </c>
      <c r="G127">
        <v>162.99383818432139</v>
      </c>
      <c r="H127">
        <v>-582.12085065829058</v>
      </c>
      <c r="I127">
        <v>582.12085065829058</v>
      </c>
    </row>
    <row r="128" spans="1:9">
      <c r="A128" s="2">
        <v>43958</v>
      </c>
      <c r="B128">
        <v>54</v>
      </c>
      <c r="C128">
        <v>186.03131892524419</v>
      </c>
      <c r="D128">
        <v>75.598188957969739</v>
      </c>
      <c r="E128">
        <v>299.88711487175578</v>
      </c>
      <c r="F128">
        <v>-132.03131892524419</v>
      </c>
      <c r="G128">
        <v>132.03131892524419</v>
      </c>
      <c r="H128">
        <v>-244.5024424541559</v>
      </c>
      <c r="I128">
        <v>244.5024424541559</v>
      </c>
    </row>
    <row r="129" spans="1:9">
      <c r="A129" s="2">
        <v>43959</v>
      </c>
      <c r="B129">
        <v>229</v>
      </c>
      <c r="C129">
        <v>176.95506189901101</v>
      </c>
      <c r="D129">
        <v>72.369738990032374</v>
      </c>
      <c r="E129">
        <v>283.66907587339608</v>
      </c>
      <c r="F129">
        <v>52.044938100989043</v>
      </c>
      <c r="G129">
        <v>52.044938100989043</v>
      </c>
      <c r="H129">
        <v>22.727047205672068</v>
      </c>
      <c r="I129">
        <v>22.727047205672068</v>
      </c>
    </row>
    <row r="130" spans="1:9">
      <c r="A130" s="2">
        <v>43960</v>
      </c>
      <c r="B130">
        <v>217</v>
      </c>
      <c r="C130">
        <v>183.86440666825141</v>
      </c>
      <c r="D130">
        <v>63.265628395499462</v>
      </c>
      <c r="E130">
        <v>284.51231479588688</v>
      </c>
      <c r="F130">
        <v>33.135593331748623</v>
      </c>
      <c r="G130">
        <v>33.135593331748623</v>
      </c>
      <c r="H130">
        <v>15.26985867822517</v>
      </c>
      <c r="I130">
        <v>15.26985867822517</v>
      </c>
    </row>
    <row r="131" spans="1:9">
      <c r="A131" s="2">
        <v>43961</v>
      </c>
      <c r="B131">
        <v>225</v>
      </c>
      <c r="C131">
        <v>94.901520117421626</v>
      </c>
      <c r="D131">
        <v>-12.220696355762909</v>
      </c>
      <c r="E131">
        <v>212.31821990212981</v>
      </c>
      <c r="F131">
        <v>130.0984798825784</v>
      </c>
      <c r="G131">
        <v>130.0984798825784</v>
      </c>
      <c r="H131">
        <v>57.821546614479281</v>
      </c>
      <c r="I131">
        <v>57.821546614479281</v>
      </c>
    </row>
    <row r="132" spans="1:9">
      <c r="A132" s="2">
        <v>43962</v>
      </c>
      <c r="B132">
        <v>240</v>
      </c>
      <c r="C132">
        <v>194.41079355708931</v>
      </c>
      <c r="D132">
        <v>90.24897876873348</v>
      </c>
      <c r="E132">
        <v>305.66026704337838</v>
      </c>
      <c r="F132">
        <v>45.589206442910722</v>
      </c>
      <c r="G132">
        <v>45.589206442910722</v>
      </c>
      <c r="H132">
        <v>18.995502684546139</v>
      </c>
      <c r="I132">
        <v>18.995502684546139</v>
      </c>
    </row>
    <row r="133" spans="1:9">
      <c r="A133" s="2">
        <v>43963</v>
      </c>
      <c r="B133">
        <v>211</v>
      </c>
      <c r="C133">
        <v>177.94459963239211</v>
      </c>
      <c r="D133">
        <v>66.993733806222252</v>
      </c>
      <c r="E133">
        <v>284.93420495694971</v>
      </c>
      <c r="F133">
        <v>33.055400367607859</v>
      </c>
      <c r="G133">
        <v>33.055400367607859</v>
      </c>
      <c r="H133">
        <v>15.66606652493263</v>
      </c>
      <c r="I133">
        <v>15.66606652493263</v>
      </c>
    </row>
    <row r="134" spans="1:9">
      <c r="A134" s="2">
        <v>43964</v>
      </c>
      <c r="B134">
        <v>278</v>
      </c>
      <c r="C134">
        <v>189.7033989504956</v>
      </c>
      <c r="D134">
        <v>86.505945571231479</v>
      </c>
      <c r="E134">
        <v>299.66534785385312</v>
      </c>
      <c r="F134">
        <v>88.296601049504403</v>
      </c>
      <c r="G134">
        <v>88.296601049504403</v>
      </c>
      <c r="H134">
        <v>31.761367283994389</v>
      </c>
      <c r="I134">
        <v>31.761367283994389</v>
      </c>
    </row>
    <row r="135" spans="1:9">
      <c r="A135" s="2">
        <v>43965</v>
      </c>
      <c r="B135">
        <v>272</v>
      </c>
      <c r="C135">
        <v>184.4042933728162</v>
      </c>
      <c r="D135">
        <v>75.253830017788061</v>
      </c>
      <c r="E135">
        <v>289.17833021861929</v>
      </c>
      <c r="F135">
        <v>87.595706627183802</v>
      </c>
      <c r="G135">
        <v>87.595706627183802</v>
      </c>
      <c r="H135">
        <v>32.204303907052868</v>
      </c>
      <c r="I135">
        <v>32.204303907052868</v>
      </c>
    </row>
    <row r="136" spans="1:9">
      <c r="A136" s="2">
        <v>43966</v>
      </c>
      <c r="B136">
        <v>218</v>
      </c>
      <c r="C136">
        <v>174.93156235755771</v>
      </c>
      <c r="D136">
        <v>68.592440422503174</v>
      </c>
      <c r="E136">
        <v>285.50816495902978</v>
      </c>
      <c r="F136">
        <v>43.068437642442291</v>
      </c>
      <c r="G136">
        <v>43.068437642442291</v>
      </c>
      <c r="H136">
        <v>19.756164056166192</v>
      </c>
      <c r="I136">
        <v>19.756164056166192</v>
      </c>
    </row>
    <row r="137" spans="1:9">
      <c r="A137" s="2">
        <v>43967</v>
      </c>
      <c r="B137">
        <v>152</v>
      </c>
      <c r="C137">
        <v>181.3964461188325</v>
      </c>
      <c r="D137">
        <v>66.788400109195194</v>
      </c>
      <c r="E137">
        <v>292.97409745454559</v>
      </c>
      <c r="F137">
        <v>-29.3964461188325</v>
      </c>
      <c r="G137">
        <v>29.3964461188325</v>
      </c>
      <c r="H137">
        <v>-19.33976718344244</v>
      </c>
      <c r="I137">
        <v>19.33976718344244</v>
      </c>
    </row>
    <row r="138" spans="1:9">
      <c r="A138" s="2">
        <v>43968</v>
      </c>
      <c r="B138">
        <v>48</v>
      </c>
      <c r="C138">
        <v>91.955345176773946</v>
      </c>
      <c r="D138">
        <v>-17.381822504571481</v>
      </c>
      <c r="E138">
        <v>203.03538477355991</v>
      </c>
      <c r="F138">
        <v>-43.955345176773953</v>
      </c>
      <c r="G138">
        <v>43.955345176773953</v>
      </c>
      <c r="H138">
        <v>-91.573635784945722</v>
      </c>
      <c r="I138">
        <v>91.573635784945722</v>
      </c>
    </row>
    <row r="139" spans="1:9">
      <c r="A139" s="2">
        <v>43969</v>
      </c>
      <c r="B139">
        <v>186</v>
      </c>
      <c r="C139">
        <v>190.96872969047931</v>
      </c>
      <c r="D139">
        <v>85.305482620143309</v>
      </c>
      <c r="E139">
        <v>297.96479848928828</v>
      </c>
      <c r="F139">
        <v>-4.9687296904793072</v>
      </c>
      <c r="G139">
        <v>4.9687296904793072</v>
      </c>
      <c r="H139">
        <v>-2.671360048644789</v>
      </c>
      <c r="I139">
        <v>2.671360048644789</v>
      </c>
    </row>
    <row r="140" spans="1:9">
      <c r="A140" s="2">
        <v>43970</v>
      </c>
      <c r="B140">
        <v>182</v>
      </c>
      <c r="C140">
        <v>174.00635772574509</v>
      </c>
      <c r="D140">
        <v>57.932350618555773</v>
      </c>
      <c r="E140">
        <v>282.66582911594082</v>
      </c>
      <c r="F140">
        <v>7.993642274254853</v>
      </c>
      <c r="G140">
        <v>7.993642274254853</v>
      </c>
      <c r="H140">
        <v>4.3921111397004688</v>
      </c>
      <c r="I140">
        <v>4.3921111397004688</v>
      </c>
    </row>
    <row r="141" spans="1:9">
      <c r="A141" s="2">
        <v>43971</v>
      </c>
      <c r="B141">
        <v>192</v>
      </c>
      <c r="C141">
        <v>185.28680908080281</v>
      </c>
      <c r="D141">
        <v>74.383751894875047</v>
      </c>
      <c r="E141">
        <v>294.21696701329302</v>
      </c>
      <c r="F141">
        <v>6.7131909191971886</v>
      </c>
      <c r="G141">
        <v>6.7131909191971886</v>
      </c>
      <c r="H141">
        <v>3.4964536037485359</v>
      </c>
      <c r="I141">
        <v>3.4964536037485359</v>
      </c>
    </row>
    <row r="142" spans="1:9">
      <c r="A142" s="2">
        <v>43972</v>
      </c>
      <c r="B142">
        <v>155</v>
      </c>
      <c r="C142">
        <v>179.5454490513346</v>
      </c>
      <c r="D142">
        <v>65.73724078382655</v>
      </c>
      <c r="E142">
        <v>283.95674874397338</v>
      </c>
      <c r="F142">
        <v>-24.545449051334629</v>
      </c>
      <c r="G142">
        <v>24.545449051334629</v>
      </c>
      <c r="H142">
        <v>-15.83577358150621</v>
      </c>
      <c r="I142">
        <v>15.83577358150621</v>
      </c>
    </row>
    <row r="143" spans="1:9">
      <c r="A143" s="2">
        <v>43973</v>
      </c>
      <c r="B143">
        <v>144</v>
      </c>
      <c r="C143">
        <v>169.68437614323349</v>
      </c>
      <c r="D143">
        <v>65.355608567026735</v>
      </c>
      <c r="E143">
        <v>285.6473520046398</v>
      </c>
      <c r="F143">
        <v>-25.684376143233521</v>
      </c>
      <c r="G143">
        <v>25.684376143233521</v>
      </c>
      <c r="H143">
        <v>-17.836372321689939</v>
      </c>
      <c r="I143">
        <v>17.836372321689939</v>
      </c>
    </row>
    <row r="144" spans="1:9">
      <c r="A144" s="2">
        <v>43974</v>
      </c>
      <c r="B144">
        <v>164</v>
      </c>
      <c r="C144">
        <v>175.8316348402326</v>
      </c>
      <c r="D144">
        <v>78.629743359366842</v>
      </c>
      <c r="E144">
        <v>291.42841466792919</v>
      </c>
      <c r="F144">
        <v>-11.831634840232599</v>
      </c>
      <c r="G144">
        <v>11.831634840232599</v>
      </c>
      <c r="H144">
        <v>-7.2144114879467054</v>
      </c>
      <c r="I144">
        <v>7.2144114879467054</v>
      </c>
    </row>
    <row r="145" spans="1:9">
      <c r="A145" s="2">
        <v>43975</v>
      </c>
      <c r="B145">
        <v>27</v>
      </c>
      <c r="C145">
        <v>86.158879534120288</v>
      </c>
      <c r="D145">
        <v>-34.447075132915963</v>
      </c>
      <c r="E145">
        <v>196.4097805456212</v>
      </c>
      <c r="F145">
        <v>-59.158879534120288</v>
      </c>
      <c r="G145">
        <v>59.158879534120288</v>
      </c>
      <c r="H145">
        <v>-219.10696123748261</v>
      </c>
      <c r="I145">
        <v>219.10696123748261</v>
      </c>
    </row>
    <row r="146" spans="1:9">
      <c r="A146" s="2">
        <v>43976</v>
      </c>
      <c r="B146">
        <v>177</v>
      </c>
      <c r="C146">
        <v>185.03979830882599</v>
      </c>
      <c r="D146">
        <v>69.826022370504987</v>
      </c>
      <c r="E146">
        <v>294.78696528930487</v>
      </c>
      <c r="F146">
        <v>-8.039798308825965</v>
      </c>
      <c r="G146">
        <v>8.039798308825965</v>
      </c>
      <c r="H146">
        <v>-4.5422589315400934</v>
      </c>
      <c r="I146">
        <v>4.5422589315400934</v>
      </c>
    </row>
    <row r="147" spans="1:9">
      <c r="A147" s="2">
        <v>43977</v>
      </c>
      <c r="B147">
        <v>134</v>
      </c>
      <c r="C147">
        <v>168.0549093502346</v>
      </c>
      <c r="D147">
        <v>56.898824765412932</v>
      </c>
      <c r="E147">
        <v>278.8197061599559</v>
      </c>
      <c r="F147">
        <v>-34.054909350234617</v>
      </c>
      <c r="G147">
        <v>34.054909350234617</v>
      </c>
      <c r="H147">
        <v>-25.41411145539897</v>
      </c>
      <c r="I147">
        <v>25.41411145539897</v>
      </c>
    </row>
    <row r="148" spans="1:9">
      <c r="A148" s="2">
        <v>43978</v>
      </c>
      <c r="B148">
        <v>125</v>
      </c>
      <c r="C148">
        <v>179.43074819531321</v>
      </c>
      <c r="D148">
        <v>61.713879385144701</v>
      </c>
      <c r="E148">
        <v>280.68276517005199</v>
      </c>
      <c r="F148">
        <v>-54.430748195313242</v>
      </c>
      <c r="G148">
        <v>54.430748195313242</v>
      </c>
      <c r="H148">
        <v>-43.544598556250598</v>
      </c>
      <c r="I148">
        <v>43.544598556250598</v>
      </c>
    </row>
    <row r="149" spans="1:9">
      <c r="A149" s="2">
        <v>43979</v>
      </c>
      <c r="B149">
        <v>167</v>
      </c>
      <c r="C149">
        <v>173.9075694529144</v>
      </c>
      <c r="D149">
        <v>64.763261174968761</v>
      </c>
      <c r="E149">
        <v>284.47465055837313</v>
      </c>
      <c r="F149">
        <v>-6.9075694529143732</v>
      </c>
      <c r="G149">
        <v>6.9075694529143732</v>
      </c>
      <c r="H149">
        <v>-4.1362691334816608</v>
      </c>
      <c r="I149">
        <v>4.1362691334816608</v>
      </c>
    </row>
    <row r="150" spans="1:9">
      <c r="A150" s="2">
        <v>43980</v>
      </c>
      <c r="B150">
        <v>169</v>
      </c>
      <c r="C150">
        <v>164.38912368907069</v>
      </c>
      <c r="D150">
        <v>59.630585824055863</v>
      </c>
      <c r="E150">
        <v>271.15903866071642</v>
      </c>
      <c r="F150">
        <v>4.610876310929342</v>
      </c>
      <c r="G150">
        <v>4.610876310929342</v>
      </c>
      <c r="H150">
        <v>2.728329178064699</v>
      </c>
      <c r="I150">
        <v>2.728329178064699</v>
      </c>
    </row>
    <row r="151" spans="1:9">
      <c r="A151" s="2">
        <v>43981</v>
      </c>
      <c r="B151">
        <v>162</v>
      </c>
      <c r="C151">
        <v>171.0017945440747</v>
      </c>
      <c r="D151">
        <v>60.15940702661694</v>
      </c>
      <c r="E151">
        <v>283.67412887547511</v>
      </c>
      <c r="F151">
        <v>-9.0017945440746701</v>
      </c>
      <c r="G151">
        <v>9.0017945440746701</v>
      </c>
      <c r="H151">
        <v>-5.5566632988115243</v>
      </c>
      <c r="I151">
        <v>5.5566632988115243</v>
      </c>
    </row>
    <row r="152" spans="1:9">
      <c r="A152" s="2">
        <v>43982</v>
      </c>
      <c r="B152">
        <v>25</v>
      </c>
      <c r="C152">
        <v>81.912283346619631</v>
      </c>
      <c r="D152">
        <v>-24.779002110680711</v>
      </c>
      <c r="E152">
        <v>200.4693819642753</v>
      </c>
      <c r="F152">
        <v>-56.912283346619631</v>
      </c>
      <c r="G152">
        <v>56.912283346619631</v>
      </c>
      <c r="H152">
        <v>-227.6491333864785</v>
      </c>
      <c r="I152">
        <v>227.6491333864785</v>
      </c>
    </row>
    <row r="153" spans="1:9">
      <c r="A153" s="2">
        <v>43983</v>
      </c>
      <c r="B153">
        <v>315</v>
      </c>
      <c r="C153">
        <v>181.48614827856269</v>
      </c>
      <c r="D153">
        <v>73.550568306655947</v>
      </c>
      <c r="E153">
        <v>289.37125792986973</v>
      </c>
      <c r="F153">
        <v>133.51385172143731</v>
      </c>
      <c r="G153">
        <v>133.51385172143731</v>
      </c>
      <c r="H153">
        <v>42.385349752837243</v>
      </c>
      <c r="I153">
        <v>42.385349752837243</v>
      </c>
    </row>
    <row r="154" spans="1:9">
      <c r="A154" s="2">
        <v>43984</v>
      </c>
      <c r="B154">
        <v>218</v>
      </c>
      <c r="C154">
        <v>165.2928065189694</v>
      </c>
      <c r="D154">
        <v>58.562432679013853</v>
      </c>
      <c r="E154">
        <v>282.97105682600261</v>
      </c>
      <c r="F154">
        <v>52.707193481030572</v>
      </c>
      <c r="G154">
        <v>52.707193481030572</v>
      </c>
      <c r="H154">
        <v>24.177611688546129</v>
      </c>
      <c r="I154">
        <v>24.177611688546129</v>
      </c>
    </row>
    <row r="155" spans="1:9">
      <c r="A155" s="2">
        <v>43985</v>
      </c>
      <c r="B155">
        <v>235</v>
      </c>
      <c r="C155">
        <v>177.545010679017</v>
      </c>
      <c r="D155">
        <v>65.069984841667249</v>
      </c>
      <c r="E155">
        <v>287.29241355866748</v>
      </c>
      <c r="F155">
        <v>57.454989320982968</v>
      </c>
      <c r="G155">
        <v>57.454989320982968</v>
      </c>
      <c r="H155">
        <v>24.448931625950198</v>
      </c>
      <c r="I155">
        <v>24.448931625950198</v>
      </c>
    </row>
    <row r="156" spans="1:9">
      <c r="A156" s="2">
        <v>43986</v>
      </c>
      <c r="B156">
        <v>147</v>
      </c>
      <c r="C156">
        <v>172.96691395043149</v>
      </c>
      <c r="D156">
        <v>62.415309150544672</v>
      </c>
      <c r="E156">
        <v>288.85779148615461</v>
      </c>
      <c r="F156">
        <v>-25.966913950431461</v>
      </c>
      <c r="G156">
        <v>25.966913950431461</v>
      </c>
      <c r="H156">
        <v>-17.664567313218679</v>
      </c>
      <c r="I156">
        <v>17.664567313218679</v>
      </c>
    </row>
    <row r="157" spans="1:9">
      <c r="A157" s="2">
        <v>43987</v>
      </c>
      <c r="B157">
        <v>260</v>
      </c>
      <c r="C157">
        <v>164.44427342283939</v>
      </c>
      <c r="D157">
        <v>53.162034439879029</v>
      </c>
      <c r="E157">
        <v>277.54755231378448</v>
      </c>
      <c r="F157">
        <v>95.555726577160641</v>
      </c>
      <c r="G157">
        <v>95.555726577160641</v>
      </c>
      <c r="H157">
        <v>36.75220252967717</v>
      </c>
      <c r="I157">
        <v>36.75220252967717</v>
      </c>
    </row>
    <row r="158" spans="1:9">
      <c r="A158" s="2">
        <v>43988</v>
      </c>
      <c r="B158">
        <v>108</v>
      </c>
      <c r="C158">
        <v>172.08406372668159</v>
      </c>
      <c r="D158">
        <v>64.648313202136052</v>
      </c>
      <c r="E158">
        <v>280.07363021545501</v>
      </c>
      <c r="F158">
        <v>-64.08406372668162</v>
      </c>
      <c r="G158">
        <v>64.08406372668162</v>
      </c>
      <c r="H158">
        <v>-59.337096043223717</v>
      </c>
      <c r="I158">
        <v>59.337096043223717</v>
      </c>
    </row>
    <row r="159" spans="1:9">
      <c r="A159" s="2">
        <v>43989</v>
      </c>
      <c r="B159">
        <v>275</v>
      </c>
      <c r="C159">
        <v>84.032674084131841</v>
      </c>
      <c r="D159">
        <v>-33.049575539534708</v>
      </c>
      <c r="E159">
        <v>195.41922988055151</v>
      </c>
      <c r="F159">
        <v>190.9673259158682</v>
      </c>
      <c r="G159">
        <v>190.9673259158682</v>
      </c>
      <c r="H159">
        <v>69.44266396940661</v>
      </c>
      <c r="I159">
        <v>69.44266396940661</v>
      </c>
    </row>
    <row r="160" spans="1:9">
      <c r="A160" s="2">
        <v>43990</v>
      </c>
      <c r="B160">
        <v>194</v>
      </c>
      <c r="C160">
        <v>184.63498077372239</v>
      </c>
      <c r="D160">
        <v>75.541316291259548</v>
      </c>
      <c r="E160">
        <v>295.63832056306882</v>
      </c>
      <c r="F160">
        <v>9.3650192262776102</v>
      </c>
      <c r="G160">
        <v>9.3650192262776102</v>
      </c>
      <c r="H160">
        <v>4.8273294980812427</v>
      </c>
      <c r="I160">
        <v>4.8273294980812427</v>
      </c>
    </row>
    <row r="161" spans="1:9">
      <c r="A161" s="2">
        <v>43991</v>
      </c>
      <c r="B161">
        <v>24</v>
      </c>
      <c r="C161">
        <v>169.4398879895648</v>
      </c>
      <c r="D161">
        <v>59.748838436995243</v>
      </c>
      <c r="E161">
        <v>281.43049074057632</v>
      </c>
      <c r="F161">
        <v>-145.4398879895648</v>
      </c>
      <c r="G161">
        <v>145.4398879895648</v>
      </c>
      <c r="H161">
        <v>-605.99953328985339</v>
      </c>
      <c r="I161">
        <v>605.99953328985339</v>
      </c>
    </row>
    <row r="162" spans="1:9">
      <c r="A162" s="2">
        <v>43992</v>
      </c>
      <c r="B162">
        <v>182</v>
      </c>
      <c r="C162">
        <v>182.64033299341531</v>
      </c>
      <c r="D162">
        <v>79.485038161311465</v>
      </c>
      <c r="E162">
        <v>292.19272557748411</v>
      </c>
      <c r="F162">
        <v>-0.64033299341531347</v>
      </c>
      <c r="G162">
        <v>0.64033299341531347</v>
      </c>
      <c r="H162">
        <v>-0.35183131506335907</v>
      </c>
      <c r="I162">
        <v>0.35183131506335907</v>
      </c>
    </row>
    <row r="163" spans="1:9">
      <c r="A163" s="2">
        <v>43993</v>
      </c>
      <c r="B163">
        <v>55</v>
      </c>
      <c r="C163">
        <v>178.94185505138711</v>
      </c>
      <c r="D163">
        <v>73.177631432602269</v>
      </c>
      <c r="E163">
        <v>285.04689109338011</v>
      </c>
      <c r="F163">
        <v>-123.94185505138709</v>
      </c>
      <c r="G163">
        <v>123.94185505138709</v>
      </c>
      <c r="H163">
        <v>-225.34882736615839</v>
      </c>
      <c r="I163">
        <v>225.34882736615839</v>
      </c>
    </row>
    <row r="164" spans="1:9">
      <c r="A164" s="2">
        <v>43994</v>
      </c>
      <c r="B164">
        <v>40</v>
      </c>
      <c r="C164">
        <v>171.21326359707419</v>
      </c>
      <c r="D164">
        <v>61.016335503642132</v>
      </c>
      <c r="E164">
        <v>280.00514339786622</v>
      </c>
      <c r="F164">
        <v>-131.21326359707419</v>
      </c>
      <c r="G164">
        <v>131.21326359707419</v>
      </c>
      <c r="H164">
        <v>-328.0331589926854</v>
      </c>
      <c r="I164">
        <v>328.0331589926854</v>
      </c>
    </row>
    <row r="165" spans="1:9">
      <c r="A165" s="2">
        <v>43995</v>
      </c>
      <c r="B165">
        <v>122</v>
      </c>
      <c r="C165">
        <v>179.54666505143121</v>
      </c>
      <c r="D165">
        <v>69.580952395271026</v>
      </c>
      <c r="E165">
        <v>288.46307306710111</v>
      </c>
      <c r="F165">
        <v>-57.546665051431233</v>
      </c>
      <c r="G165">
        <v>57.546665051431233</v>
      </c>
      <c r="H165">
        <v>-47.169397583140352</v>
      </c>
      <c r="I165">
        <v>47.169397583140352</v>
      </c>
    </row>
    <row r="166" spans="1:9">
      <c r="A166" s="2">
        <v>43996</v>
      </c>
      <c r="B166">
        <v>17</v>
      </c>
      <c r="C166">
        <v>92.076010321762681</v>
      </c>
      <c r="D166">
        <v>-23.9968073457831</v>
      </c>
      <c r="E166">
        <v>208.1863723089601</v>
      </c>
      <c r="F166">
        <v>-75.076010321762681</v>
      </c>
      <c r="G166">
        <v>75.076010321762681</v>
      </c>
      <c r="H166">
        <v>-441.62359012801568</v>
      </c>
      <c r="I166">
        <v>441.62359012801568</v>
      </c>
    </row>
    <row r="167" spans="1:9">
      <c r="A167" s="2">
        <v>43997</v>
      </c>
      <c r="B167">
        <v>45</v>
      </c>
      <c r="C167">
        <v>193.13644587042441</v>
      </c>
      <c r="D167">
        <v>86.453701207095605</v>
      </c>
      <c r="E167">
        <v>307.59601545668949</v>
      </c>
      <c r="F167">
        <v>-148.13644587042441</v>
      </c>
      <c r="G167">
        <v>148.13644587042441</v>
      </c>
      <c r="H167">
        <v>-329.19210193427648</v>
      </c>
      <c r="I167">
        <v>329.19210193427648</v>
      </c>
    </row>
    <row r="168" spans="1:9">
      <c r="A168" s="2">
        <v>43998</v>
      </c>
      <c r="B168">
        <v>177</v>
      </c>
      <c r="C168">
        <v>178.2700544055657</v>
      </c>
      <c r="D168">
        <v>70.879060840033659</v>
      </c>
      <c r="E168">
        <v>285.18537725322568</v>
      </c>
      <c r="F168">
        <v>-1.2700544055656739</v>
      </c>
      <c r="G168">
        <v>1.2700544055656739</v>
      </c>
      <c r="H168">
        <v>-0.71754486190151046</v>
      </c>
      <c r="I168">
        <v>0.71754486190151046</v>
      </c>
    </row>
    <row r="169" spans="1:9">
      <c r="A169" s="2">
        <v>43999</v>
      </c>
      <c r="B169">
        <v>133</v>
      </c>
      <c r="C169">
        <v>191.66597653683601</v>
      </c>
      <c r="D169">
        <v>82.095794426739516</v>
      </c>
      <c r="E169">
        <v>302.30136343709722</v>
      </c>
      <c r="F169">
        <v>-58.665976536836013</v>
      </c>
      <c r="G169">
        <v>58.665976536836013</v>
      </c>
      <c r="H169">
        <v>-44.109756794613538</v>
      </c>
      <c r="I169">
        <v>44.109756794613538</v>
      </c>
    </row>
    <row r="170" spans="1:9">
      <c r="A170" s="2">
        <v>44000</v>
      </c>
      <c r="B170">
        <v>177</v>
      </c>
      <c r="C170">
        <v>188.02901078962091</v>
      </c>
      <c r="D170">
        <v>81.936889445874499</v>
      </c>
      <c r="E170">
        <v>293.87366629466771</v>
      </c>
      <c r="F170">
        <v>-11.02901078962091</v>
      </c>
      <c r="G170">
        <v>11.02901078962091</v>
      </c>
      <c r="H170">
        <v>-6.2310795421587084</v>
      </c>
      <c r="I170">
        <v>6.2310795421587084</v>
      </c>
    </row>
    <row r="171" spans="1:9">
      <c r="A171" s="2">
        <v>44001</v>
      </c>
      <c r="B171">
        <v>127</v>
      </c>
      <c r="C171">
        <v>180.23022782079349</v>
      </c>
      <c r="D171">
        <v>69.288043458005106</v>
      </c>
      <c r="E171">
        <v>293.59401821415707</v>
      </c>
      <c r="F171">
        <v>-53.230227820793537</v>
      </c>
      <c r="G171">
        <v>53.230227820793537</v>
      </c>
      <c r="H171">
        <v>-41.913565213223272</v>
      </c>
      <c r="I171">
        <v>41.913565213223272</v>
      </c>
    </row>
    <row r="172" spans="1:9">
      <c r="A172" s="2">
        <v>44002</v>
      </c>
      <c r="B172">
        <v>148</v>
      </c>
      <c r="C172">
        <v>188.36686113135019</v>
      </c>
      <c r="D172">
        <v>71.058308462285694</v>
      </c>
      <c r="E172">
        <v>296.80248258291039</v>
      </c>
      <c r="F172">
        <v>-40.366861131350248</v>
      </c>
      <c r="G172">
        <v>40.366861131350248</v>
      </c>
      <c r="H172">
        <v>-27.274906169831251</v>
      </c>
      <c r="I172">
        <v>27.274906169831251</v>
      </c>
    </row>
    <row r="173" spans="1:9">
      <c r="A173" s="2">
        <v>44003</v>
      </c>
      <c r="B173">
        <v>23</v>
      </c>
      <c r="C173">
        <v>100.5806414859057</v>
      </c>
      <c r="D173">
        <v>-6.4328498266119816</v>
      </c>
      <c r="E173">
        <v>207.93877365593761</v>
      </c>
      <c r="F173">
        <v>-77.580641485905716</v>
      </c>
      <c r="G173">
        <v>77.580641485905716</v>
      </c>
      <c r="H173">
        <v>-337.30713689524231</v>
      </c>
      <c r="I173">
        <v>337.30713689524231</v>
      </c>
    </row>
    <row r="174" spans="1:9">
      <c r="A174" s="2">
        <v>44004</v>
      </c>
      <c r="B174">
        <v>141</v>
      </c>
      <c r="C174">
        <v>201.21686529769551</v>
      </c>
      <c r="D174">
        <v>88.045686512987416</v>
      </c>
      <c r="E174">
        <v>314.24701770875743</v>
      </c>
      <c r="F174">
        <v>-60.216865297695477</v>
      </c>
      <c r="G174">
        <v>60.216865297695477</v>
      </c>
      <c r="H174">
        <v>-42.706996665032257</v>
      </c>
      <c r="I174">
        <v>42.706996665032257</v>
      </c>
    </row>
    <row r="175" spans="1:9">
      <c r="A175" s="2">
        <v>44005</v>
      </c>
      <c r="B175">
        <v>124</v>
      </c>
      <c r="C175">
        <v>185.82979230865959</v>
      </c>
      <c r="D175">
        <v>80.49894984409552</v>
      </c>
      <c r="E175">
        <v>302.43473869328147</v>
      </c>
      <c r="F175">
        <v>-61.829792308659648</v>
      </c>
      <c r="G175">
        <v>61.829792308659648</v>
      </c>
      <c r="H175">
        <v>-49.862735732790043</v>
      </c>
      <c r="I175">
        <v>49.862735732790043</v>
      </c>
    </row>
    <row r="176" spans="1:9">
      <c r="A176" s="2">
        <v>44006</v>
      </c>
      <c r="B176">
        <v>165</v>
      </c>
      <c r="C176">
        <v>198.62237482516909</v>
      </c>
      <c r="D176">
        <v>88.979002741678983</v>
      </c>
      <c r="E176">
        <v>311.81005101896881</v>
      </c>
      <c r="F176">
        <v>-33.622374825169153</v>
      </c>
      <c r="G176">
        <v>33.622374825169153</v>
      </c>
      <c r="H176">
        <v>-20.37719686373887</v>
      </c>
      <c r="I176">
        <v>20.37719686373887</v>
      </c>
    </row>
    <row r="177" spans="1:9">
      <c r="A177" s="2">
        <v>44007</v>
      </c>
      <c r="B177">
        <v>168</v>
      </c>
      <c r="C177">
        <v>194.31442810377391</v>
      </c>
      <c r="D177">
        <v>90.842191860268798</v>
      </c>
      <c r="E177">
        <v>301.20800100339619</v>
      </c>
      <c r="F177">
        <v>-26.314428103773881</v>
      </c>
      <c r="G177">
        <v>26.314428103773881</v>
      </c>
      <c r="H177">
        <v>-15.663350061770171</v>
      </c>
      <c r="I177">
        <v>15.663350061770171</v>
      </c>
    </row>
    <row r="178" spans="1:9">
      <c r="A178" s="2">
        <v>44008</v>
      </c>
      <c r="B178">
        <v>198</v>
      </c>
      <c r="C178">
        <v>185.79279085754371</v>
      </c>
      <c r="D178">
        <v>75.003264710127254</v>
      </c>
      <c r="E178">
        <v>301.98062262988208</v>
      </c>
      <c r="F178">
        <v>12.207209142456319</v>
      </c>
      <c r="G178">
        <v>12.207209142456319</v>
      </c>
      <c r="H178">
        <v>6.165257142654708</v>
      </c>
      <c r="I178">
        <v>6.165257142654708</v>
      </c>
    </row>
    <row r="179" spans="1:9">
      <c r="A179" s="2">
        <v>44009</v>
      </c>
      <c r="B179">
        <v>139</v>
      </c>
      <c r="C179">
        <v>193.17075182839119</v>
      </c>
      <c r="D179">
        <v>82.00171066053602</v>
      </c>
      <c r="E179">
        <v>311.93442145884649</v>
      </c>
      <c r="F179">
        <v>-54.170751828391218</v>
      </c>
      <c r="G179">
        <v>54.170751828391218</v>
      </c>
      <c r="H179">
        <v>-38.971763905317417</v>
      </c>
      <c r="I179">
        <v>38.971763905317417</v>
      </c>
    </row>
    <row r="180" spans="1:9">
      <c r="A180" s="2">
        <v>44010</v>
      </c>
      <c r="B180">
        <v>46</v>
      </c>
      <c r="C180">
        <v>104.6059234171472</v>
      </c>
      <c r="D180">
        <v>-1.288878065241956</v>
      </c>
      <c r="E180">
        <v>222.60787980337079</v>
      </c>
      <c r="F180">
        <v>-58.605923417147153</v>
      </c>
      <c r="G180">
        <v>58.605923417147153</v>
      </c>
      <c r="H180">
        <v>-127.40418134162429</v>
      </c>
      <c r="I180">
        <v>127.40418134162429</v>
      </c>
    </row>
    <row r="181" spans="1:9">
      <c r="A181" s="2">
        <v>44011</v>
      </c>
      <c r="B181">
        <v>184</v>
      </c>
      <c r="C181">
        <v>204.45886612202651</v>
      </c>
      <c r="D181">
        <v>97.399321574156687</v>
      </c>
      <c r="E181">
        <v>315.08201056455931</v>
      </c>
      <c r="F181">
        <v>-20.45886612202651</v>
      </c>
      <c r="G181">
        <v>20.45886612202651</v>
      </c>
      <c r="H181">
        <v>-11.11894897936223</v>
      </c>
      <c r="I181">
        <v>11.11894897936223</v>
      </c>
    </row>
    <row r="182" spans="1:9">
      <c r="A182" s="2">
        <v>44012</v>
      </c>
      <c r="B182">
        <v>207</v>
      </c>
      <c r="C182">
        <v>188.29807194265291</v>
      </c>
      <c r="D182">
        <v>78.838081821896424</v>
      </c>
      <c r="E182">
        <v>295.51552436839899</v>
      </c>
      <c r="F182">
        <v>18.70192805734715</v>
      </c>
      <c r="G182">
        <v>18.70192805734715</v>
      </c>
      <c r="H182">
        <v>9.0347478537908916</v>
      </c>
      <c r="I182">
        <v>9.0347478537908916</v>
      </c>
    </row>
    <row r="183" spans="1:9">
      <c r="A183" s="2">
        <v>44013</v>
      </c>
      <c r="B183">
        <v>252</v>
      </c>
      <c r="C183">
        <v>200.33932079113791</v>
      </c>
      <c r="D183">
        <v>85.689881799736767</v>
      </c>
      <c r="E183">
        <v>308.42874377065363</v>
      </c>
      <c r="F183">
        <v>51.660679208862121</v>
      </c>
      <c r="G183">
        <v>51.660679208862121</v>
      </c>
      <c r="H183">
        <v>20.500269527326239</v>
      </c>
      <c r="I183">
        <v>20.500269527326239</v>
      </c>
    </row>
    <row r="184" spans="1:9">
      <c r="A184" s="2">
        <v>44014</v>
      </c>
      <c r="B184">
        <v>194</v>
      </c>
      <c r="C184">
        <v>195.3135299159903</v>
      </c>
      <c r="D184">
        <v>80.194937889985184</v>
      </c>
      <c r="E184">
        <v>308.11250294691268</v>
      </c>
      <c r="F184">
        <v>-1.31352991599033</v>
      </c>
      <c r="G184">
        <v>1.31352991599033</v>
      </c>
      <c r="H184">
        <v>-0.6770772762836752</v>
      </c>
      <c r="I184">
        <v>0.6770772762836752</v>
      </c>
    </row>
    <row r="185" spans="1:9">
      <c r="A185" s="2">
        <v>44015</v>
      </c>
      <c r="B185">
        <v>202</v>
      </c>
      <c r="C185">
        <v>186.11665405520489</v>
      </c>
      <c r="D185">
        <v>80.307287930728805</v>
      </c>
      <c r="E185">
        <v>299.07595157954938</v>
      </c>
      <c r="F185">
        <v>15.88334594479505</v>
      </c>
      <c r="G185">
        <v>15.88334594479505</v>
      </c>
      <c r="H185">
        <v>7.8630425469282432</v>
      </c>
      <c r="I185">
        <v>7.8630425469282432</v>
      </c>
    </row>
    <row r="186" spans="1:9">
      <c r="A186" s="2">
        <v>44016</v>
      </c>
      <c r="B186">
        <v>201</v>
      </c>
      <c r="C186">
        <v>192.8689191099642</v>
      </c>
      <c r="D186">
        <v>83.140596745099359</v>
      </c>
      <c r="E186">
        <v>295.65064875012621</v>
      </c>
      <c r="F186">
        <v>8.1310808900357756</v>
      </c>
      <c r="G186">
        <v>8.1310808900357756</v>
      </c>
      <c r="H186">
        <v>4.0453138756396898</v>
      </c>
      <c r="I186">
        <v>4.0453138756396898</v>
      </c>
    </row>
    <row r="187" spans="1:9">
      <c r="A187" s="2">
        <v>44017</v>
      </c>
      <c r="B187">
        <v>201</v>
      </c>
      <c r="C187">
        <v>103.7325750859066</v>
      </c>
      <c r="D187">
        <v>-6.6415975548153652</v>
      </c>
      <c r="E187">
        <v>205.60178073105621</v>
      </c>
      <c r="F187">
        <v>97.267424914093425</v>
      </c>
      <c r="G187">
        <v>97.267424914093425</v>
      </c>
      <c r="H187">
        <v>48.391753688603693</v>
      </c>
      <c r="I187">
        <v>48.391753688603693</v>
      </c>
    </row>
    <row r="188" spans="1:9">
      <c r="A188" s="2">
        <v>44018</v>
      </c>
      <c r="B188">
        <v>21</v>
      </c>
      <c r="C188">
        <v>203.0704746121213</v>
      </c>
      <c r="D188">
        <v>96.060337688828852</v>
      </c>
      <c r="E188">
        <v>316.58464001963642</v>
      </c>
      <c r="F188">
        <v>-182.0704746121213</v>
      </c>
      <c r="G188">
        <v>182.0704746121213</v>
      </c>
      <c r="H188">
        <v>-867.00226005772072</v>
      </c>
      <c r="I188">
        <v>867.00226005772072</v>
      </c>
    </row>
    <row r="189" spans="1:9">
      <c r="A189" s="2">
        <v>44019</v>
      </c>
      <c r="B189">
        <v>205</v>
      </c>
      <c r="C189">
        <v>186.45108549593931</v>
      </c>
      <c r="D189">
        <v>73.181394150140491</v>
      </c>
      <c r="E189">
        <v>301.9652942698558</v>
      </c>
      <c r="F189">
        <v>18.54891450406069</v>
      </c>
      <c r="G189">
        <v>18.54891450406069</v>
      </c>
      <c r="H189">
        <v>9.0482509775905804</v>
      </c>
      <c r="I189">
        <v>9.0482509775905804</v>
      </c>
    </row>
    <row r="190" spans="1:9">
      <c r="A190" s="2">
        <v>44020</v>
      </c>
      <c r="B190">
        <v>202</v>
      </c>
      <c r="C190">
        <v>198.08794941100419</v>
      </c>
      <c r="D190">
        <v>87.362621577677913</v>
      </c>
      <c r="E190">
        <v>296.90093150226232</v>
      </c>
      <c r="F190">
        <v>3.912050588995811</v>
      </c>
      <c r="G190">
        <v>3.912050588995811</v>
      </c>
      <c r="H190">
        <v>1.936658707423669</v>
      </c>
      <c r="I190">
        <v>1.936658707423669</v>
      </c>
    </row>
    <row r="191" spans="1:9">
      <c r="A191" s="2">
        <v>44021</v>
      </c>
      <c r="B191">
        <v>248</v>
      </c>
      <c r="C191">
        <v>192.70770262403391</v>
      </c>
      <c r="D191">
        <v>86.586336691099092</v>
      </c>
      <c r="E191">
        <v>300.94831066918528</v>
      </c>
      <c r="F191">
        <v>55.292297375966093</v>
      </c>
      <c r="G191">
        <v>55.292297375966093</v>
      </c>
      <c r="H191">
        <v>22.29528119998632</v>
      </c>
      <c r="I191">
        <v>22.29528119998632</v>
      </c>
    </row>
    <row r="192" spans="1:9">
      <c r="A192" s="2">
        <v>44022</v>
      </c>
      <c r="B192">
        <v>346</v>
      </c>
      <c r="C192">
        <v>183.20021034466441</v>
      </c>
      <c r="D192">
        <v>71.977800511351234</v>
      </c>
      <c r="E192">
        <v>291.74742115093261</v>
      </c>
      <c r="F192">
        <v>162.79978965533559</v>
      </c>
      <c r="G192">
        <v>162.79978965533559</v>
      </c>
      <c r="H192">
        <v>47.051962328131673</v>
      </c>
      <c r="I192">
        <v>47.051962328131673</v>
      </c>
    </row>
    <row r="193" spans="1:9">
      <c r="A193" s="2">
        <v>44023</v>
      </c>
      <c r="B193">
        <v>59</v>
      </c>
      <c r="C193">
        <v>189.6780895339177</v>
      </c>
      <c r="D193">
        <v>71.675674817962246</v>
      </c>
      <c r="E193">
        <v>301.18901120117857</v>
      </c>
      <c r="F193">
        <v>-130.6780895339177</v>
      </c>
      <c r="G193">
        <v>130.6780895339177</v>
      </c>
      <c r="H193">
        <v>-221.48828734562309</v>
      </c>
      <c r="I193">
        <v>221.48828734562309</v>
      </c>
    </row>
    <row r="194" spans="1:9">
      <c r="A194" s="2">
        <v>44024</v>
      </c>
      <c r="B194">
        <v>192</v>
      </c>
      <c r="C194">
        <v>100.29479639954251</v>
      </c>
      <c r="D194">
        <v>-12.8232882329453</v>
      </c>
      <c r="E194">
        <v>206.26580627799319</v>
      </c>
      <c r="F194">
        <v>91.705203600457537</v>
      </c>
      <c r="G194">
        <v>91.705203600457537</v>
      </c>
      <c r="H194">
        <v>47.763126875238299</v>
      </c>
      <c r="I194">
        <v>47.763126875238299</v>
      </c>
    </row>
    <row r="195" spans="1:9">
      <c r="A195" s="2">
        <v>44025</v>
      </c>
      <c r="B195">
        <v>218</v>
      </c>
      <c r="C195">
        <v>199.40357407172181</v>
      </c>
      <c r="D195">
        <v>92.960370792911021</v>
      </c>
      <c r="E195">
        <v>306.22318469637588</v>
      </c>
      <c r="F195">
        <v>18.596425928278169</v>
      </c>
      <c r="G195">
        <v>18.596425928278169</v>
      </c>
      <c r="H195">
        <v>8.5304706093019114</v>
      </c>
      <c r="I195">
        <v>8.5304706093019114</v>
      </c>
    </row>
    <row r="196" spans="1:9">
      <c r="A196" s="2">
        <v>44026</v>
      </c>
      <c r="B196">
        <v>172</v>
      </c>
      <c r="C196">
        <v>182.56285716555959</v>
      </c>
      <c r="D196">
        <v>77.975803278623999</v>
      </c>
      <c r="E196">
        <v>292.98605843491919</v>
      </c>
      <c r="F196">
        <v>-10.562857165559651</v>
      </c>
      <c r="G196">
        <v>10.562857165559651</v>
      </c>
      <c r="H196">
        <v>-6.141196026488168</v>
      </c>
      <c r="I196">
        <v>6.141196026488168</v>
      </c>
    </row>
    <row r="197" spans="1:9">
      <c r="A197" s="2">
        <v>44027</v>
      </c>
      <c r="B197">
        <v>205</v>
      </c>
      <c r="C197">
        <v>193.97613296757899</v>
      </c>
      <c r="D197">
        <v>79.561673003782857</v>
      </c>
      <c r="E197">
        <v>302.45060849442859</v>
      </c>
      <c r="F197">
        <v>11.023867032421039</v>
      </c>
      <c r="G197">
        <v>11.023867032421039</v>
      </c>
      <c r="H197">
        <v>5.3774961133761154</v>
      </c>
      <c r="I197">
        <v>5.3774961133761154</v>
      </c>
    </row>
    <row r="198" spans="1:9">
      <c r="A198" s="2">
        <v>44028</v>
      </c>
      <c r="B198">
        <v>178</v>
      </c>
      <c r="C198">
        <v>188.36036256654131</v>
      </c>
      <c r="D198">
        <v>77.469511668282806</v>
      </c>
      <c r="E198">
        <v>307.12611944691042</v>
      </c>
      <c r="F198">
        <v>-10.36036256654126</v>
      </c>
      <c r="G198">
        <v>10.36036256654126</v>
      </c>
      <c r="H198">
        <v>-5.8204284081692448</v>
      </c>
      <c r="I198">
        <v>5.8204284081692448</v>
      </c>
    </row>
    <row r="199" spans="1:9">
      <c r="A199" s="2">
        <v>44029</v>
      </c>
      <c r="B199">
        <v>214</v>
      </c>
      <c r="C199">
        <v>178.59650107142241</v>
      </c>
      <c r="D199">
        <v>68.908163349687953</v>
      </c>
      <c r="E199">
        <v>281.91882138396579</v>
      </c>
      <c r="F199">
        <v>35.403498928577648</v>
      </c>
      <c r="G199">
        <v>35.403498928577648</v>
      </c>
      <c r="H199">
        <v>16.543691088120401</v>
      </c>
      <c r="I199">
        <v>16.543691088120401</v>
      </c>
    </row>
    <row r="200" spans="1:9">
      <c r="A200" s="2">
        <v>44030</v>
      </c>
      <c r="B200">
        <v>169</v>
      </c>
      <c r="C200">
        <v>184.7893798220878</v>
      </c>
      <c r="D200">
        <v>68.981670842231892</v>
      </c>
      <c r="E200">
        <v>291.48644273734573</v>
      </c>
      <c r="F200">
        <v>-15.789379822087771</v>
      </c>
      <c r="G200">
        <v>15.789379822087771</v>
      </c>
      <c r="H200">
        <v>-9.3428282970933534</v>
      </c>
      <c r="I200">
        <v>9.3428282970933534</v>
      </c>
    </row>
    <row r="201" spans="1:9">
      <c r="A201" s="2">
        <v>44031</v>
      </c>
      <c r="B201">
        <v>46</v>
      </c>
      <c r="C201">
        <v>95.086115730702673</v>
      </c>
      <c r="D201">
        <v>-21.69119762040075</v>
      </c>
      <c r="E201">
        <v>201.99813550134559</v>
      </c>
      <c r="F201">
        <v>-49.086115730702673</v>
      </c>
      <c r="G201">
        <v>49.086115730702673</v>
      </c>
      <c r="H201">
        <v>-106.70894724065801</v>
      </c>
      <c r="I201">
        <v>106.70894724065801</v>
      </c>
    </row>
    <row r="202" spans="1:9">
      <c r="A202" s="2">
        <v>44032</v>
      </c>
      <c r="B202">
        <v>183</v>
      </c>
      <c r="C202">
        <v>193.83533336270801</v>
      </c>
      <c r="D202">
        <v>80.823761663044053</v>
      </c>
      <c r="E202">
        <v>297.30844816562109</v>
      </c>
      <c r="F202">
        <v>-10.83533336270798</v>
      </c>
      <c r="G202">
        <v>10.83533336270798</v>
      </c>
      <c r="H202">
        <v>-5.9209471927366044</v>
      </c>
      <c r="I202">
        <v>5.9209471927366044</v>
      </c>
    </row>
    <row r="203" spans="1:9">
      <c r="A203" s="2">
        <v>44033</v>
      </c>
      <c r="B203">
        <v>208</v>
      </c>
      <c r="C203">
        <v>176.59278798077759</v>
      </c>
      <c r="D203">
        <v>66.609158137221101</v>
      </c>
      <c r="E203">
        <v>280.44635010463611</v>
      </c>
      <c r="F203">
        <v>31.407212019222381</v>
      </c>
      <c r="G203">
        <v>31.407212019222381</v>
      </c>
      <c r="H203">
        <v>15.099621163087679</v>
      </c>
      <c r="I203">
        <v>15.099621163087679</v>
      </c>
    </row>
    <row r="204" spans="1:9">
      <c r="A204" s="2">
        <v>44034</v>
      </c>
      <c r="B204">
        <v>234</v>
      </c>
      <c r="C204">
        <v>187.56138267060561</v>
      </c>
      <c r="D204">
        <v>80.811045254486359</v>
      </c>
      <c r="E204">
        <v>306.7658651394089</v>
      </c>
      <c r="F204">
        <v>46.438617329394447</v>
      </c>
      <c r="G204">
        <v>46.438617329394447</v>
      </c>
      <c r="H204">
        <v>19.845562961279679</v>
      </c>
      <c r="I204">
        <v>19.845562961279679</v>
      </c>
    </row>
    <row r="205" spans="1:9">
      <c r="A205" s="2">
        <v>44035</v>
      </c>
      <c r="B205">
        <v>204</v>
      </c>
      <c r="C205">
        <v>181.45967777961209</v>
      </c>
      <c r="D205">
        <v>73.636049338634493</v>
      </c>
      <c r="E205">
        <v>296.10560530737229</v>
      </c>
      <c r="F205">
        <v>22.540322220387878</v>
      </c>
      <c r="G205">
        <v>22.540322220387878</v>
      </c>
      <c r="H205">
        <v>11.049177559013669</v>
      </c>
      <c r="I205">
        <v>11.049177559013669</v>
      </c>
    </row>
    <row r="206" spans="1:9">
      <c r="A206" s="2">
        <v>44036</v>
      </c>
      <c r="B206">
        <v>204</v>
      </c>
      <c r="C206">
        <v>171.17242920520729</v>
      </c>
      <c r="D206">
        <v>66.156833023144614</v>
      </c>
      <c r="E206">
        <v>289.73834861043412</v>
      </c>
      <c r="F206">
        <v>32.827570794792727</v>
      </c>
      <c r="G206">
        <v>32.827570794792727</v>
      </c>
      <c r="H206">
        <v>16.091946468035651</v>
      </c>
      <c r="I206">
        <v>16.091946468035651</v>
      </c>
    </row>
    <row r="207" spans="1:9">
      <c r="A207" s="2">
        <v>44037</v>
      </c>
      <c r="B207">
        <v>99</v>
      </c>
      <c r="C207">
        <v>176.81041756977831</v>
      </c>
      <c r="D207">
        <v>69.029102101236489</v>
      </c>
      <c r="E207">
        <v>283.52363718416422</v>
      </c>
      <c r="F207">
        <v>-77.810417569778338</v>
      </c>
      <c r="G207">
        <v>77.810417569778338</v>
      </c>
      <c r="H207">
        <v>-78.596381383614471</v>
      </c>
      <c r="I207">
        <v>78.596381383614471</v>
      </c>
    </row>
    <row r="208" spans="1:9">
      <c r="A208" s="2">
        <v>44038</v>
      </c>
      <c r="B208">
        <v>29</v>
      </c>
      <c r="C208">
        <v>86.528734815086139</v>
      </c>
      <c r="D208">
        <v>-14.911055692193891</v>
      </c>
      <c r="E208">
        <v>197.38095128462189</v>
      </c>
      <c r="F208">
        <v>-57.528734815086139</v>
      </c>
      <c r="G208">
        <v>57.528734815086139</v>
      </c>
      <c r="H208">
        <v>-198.37494763822809</v>
      </c>
      <c r="I208">
        <v>198.37494763822809</v>
      </c>
    </row>
    <row r="209" spans="1:9">
      <c r="A209" s="2">
        <v>44039</v>
      </c>
      <c r="B209">
        <v>167</v>
      </c>
      <c r="C209">
        <v>184.6858172280096</v>
      </c>
      <c r="D209">
        <v>69.462088818706505</v>
      </c>
      <c r="E209">
        <v>287.14002752947408</v>
      </c>
      <c r="F209">
        <v>-17.685817228009601</v>
      </c>
      <c r="G209">
        <v>17.685817228009601</v>
      </c>
      <c r="H209">
        <v>-10.590309717371021</v>
      </c>
      <c r="I209">
        <v>10.590309717371021</v>
      </c>
    </row>
    <row r="210" spans="1:9">
      <c r="A210" s="2">
        <v>44040</v>
      </c>
      <c r="B210">
        <v>164</v>
      </c>
      <c r="C210">
        <v>166.8488185135713</v>
      </c>
      <c r="D210">
        <v>51.863430930986617</v>
      </c>
      <c r="E210">
        <v>278.38696473997987</v>
      </c>
      <c r="F210">
        <v>-2.848818513571274</v>
      </c>
      <c r="G210">
        <v>2.848818513571274</v>
      </c>
      <c r="H210">
        <v>-1.737084459494679</v>
      </c>
      <c r="I210">
        <v>1.737084459494679</v>
      </c>
    </row>
    <row r="211" spans="1:9">
      <c r="A211" s="2">
        <v>44041</v>
      </c>
      <c r="B211">
        <v>158</v>
      </c>
      <c r="C211">
        <v>177.23332306254321</v>
      </c>
      <c r="D211">
        <v>68.823429543715193</v>
      </c>
      <c r="E211">
        <v>286.86913939096951</v>
      </c>
      <c r="F211">
        <v>-19.23332306254321</v>
      </c>
      <c r="G211">
        <v>19.23332306254321</v>
      </c>
      <c r="H211">
        <v>-12.17298928009064</v>
      </c>
      <c r="I211">
        <v>12.17298928009064</v>
      </c>
    </row>
    <row r="212" spans="1:9">
      <c r="A212" s="2">
        <v>44042</v>
      </c>
      <c r="B212">
        <v>165</v>
      </c>
      <c r="C212">
        <v>170.5715065946172</v>
      </c>
      <c r="D212">
        <v>61.055884531537423</v>
      </c>
      <c r="E212">
        <v>285.45882529131347</v>
      </c>
      <c r="F212">
        <v>-5.5715065946172331</v>
      </c>
      <c r="G212">
        <v>5.5715065946172331</v>
      </c>
      <c r="H212">
        <v>-3.3766706634043842</v>
      </c>
      <c r="I212">
        <v>3.3766706634043842</v>
      </c>
    </row>
    <row r="213" spans="1:9">
      <c r="A213" s="2">
        <v>44043</v>
      </c>
      <c r="B213">
        <v>129</v>
      </c>
      <c r="C213">
        <v>159.7622905100925</v>
      </c>
      <c r="D213">
        <v>48.400835653463361</v>
      </c>
      <c r="E213">
        <v>275.89496714592968</v>
      </c>
      <c r="F213">
        <v>-30.76229051009247</v>
      </c>
      <c r="G213">
        <v>30.76229051009247</v>
      </c>
      <c r="H213">
        <v>-23.84673682952905</v>
      </c>
      <c r="I213">
        <v>23.84673682952905</v>
      </c>
    </row>
    <row r="214" spans="1:9">
      <c r="A214" s="2">
        <v>44044</v>
      </c>
      <c r="B214">
        <v>213</v>
      </c>
      <c r="C214">
        <v>164.93076316503229</v>
      </c>
      <c r="D214">
        <v>50.474233117298049</v>
      </c>
      <c r="E214">
        <v>273.78647927308259</v>
      </c>
      <c r="F214">
        <v>48.069236834967711</v>
      </c>
      <c r="G214">
        <v>48.069236834967711</v>
      </c>
      <c r="H214">
        <v>22.5677168239285</v>
      </c>
      <c r="I214">
        <v>22.5677168239285</v>
      </c>
    </row>
    <row r="215" spans="1:9">
      <c r="A215" s="2">
        <v>44045</v>
      </c>
      <c r="B215">
        <v>227</v>
      </c>
      <c r="C215">
        <v>74.246046328355405</v>
      </c>
      <c r="D215">
        <v>-34.724910060835093</v>
      </c>
      <c r="E215">
        <v>185.32668230476611</v>
      </c>
      <c r="F215">
        <v>152.75395367164461</v>
      </c>
      <c r="G215">
        <v>152.75395367164461</v>
      </c>
      <c r="H215">
        <v>67.292490604248712</v>
      </c>
      <c r="I215">
        <v>67.292490604248712</v>
      </c>
    </row>
    <row r="216" spans="1:9">
      <c r="A216" s="2">
        <v>44046</v>
      </c>
      <c r="B216">
        <v>43</v>
      </c>
      <c r="C216">
        <v>172.07990794556051</v>
      </c>
      <c r="D216">
        <v>59.875823575944679</v>
      </c>
      <c r="E216">
        <v>284.43121092354568</v>
      </c>
      <c r="F216">
        <v>-129.07990794556051</v>
      </c>
      <c r="G216">
        <v>129.07990794556051</v>
      </c>
      <c r="H216">
        <v>-300.18583243153608</v>
      </c>
      <c r="I216">
        <v>300.18583243153608</v>
      </c>
    </row>
    <row r="217" spans="1:9">
      <c r="A217" s="2">
        <v>44047</v>
      </c>
      <c r="B217">
        <v>202</v>
      </c>
      <c r="C217">
        <v>154.01172696203071</v>
      </c>
      <c r="D217">
        <v>39.126872630320719</v>
      </c>
      <c r="E217">
        <v>265.77986299425271</v>
      </c>
      <c r="F217">
        <v>47.988273037969293</v>
      </c>
      <c r="G217">
        <v>47.988273037969293</v>
      </c>
      <c r="H217">
        <v>23.756570810875889</v>
      </c>
      <c r="I217">
        <v>23.756570810875889</v>
      </c>
    </row>
    <row r="218" spans="1:9">
      <c r="A218" s="2">
        <v>44048</v>
      </c>
      <c r="B218">
        <v>132</v>
      </c>
      <c r="C218">
        <v>164.26782215328339</v>
      </c>
      <c r="D218">
        <v>52.15534664154606</v>
      </c>
      <c r="E218">
        <v>277.81595349516039</v>
      </c>
      <c r="F218">
        <v>-32.267822153283362</v>
      </c>
      <c r="G218">
        <v>32.267822153283362</v>
      </c>
      <c r="H218">
        <v>-24.445319813093459</v>
      </c>
      <c r="I218">
        <v>24.445319813093459</v>
      </c>
    </row>
    <row r="219" spans="1:9">
      <c r="A219" s="2">
        <v>44049</v>
      </c>
      <c r="B219">
        <v>189</v>
      </c>
      <c r="C219">
        <v>157.5892632796448</v>
      </c>
      <c r="D219">
        <v>51.343963614865537</v>
      </c>
      <c r="E219">
        <v>267.56037663070958</v>
      </c>
      <c r="F219">
        <v>31.410736720355231</v>
      </c>
      <c r="G219">
        <v>31.410736720355231</v>
      </c>
      <c r="H219">
        <v>16.61943741817737</v>
      </c>
      <c r="I219">
        <v>16.61943741817737</v>
      </c>
    </row>
    <row r="220" spans="1:9">
      <c r="A220" s="2">
        <v>44050</v>
      </c>
      <c r="B220">
        <v>80</v>
      </c>
      <c r="C220">
        <v>146.8817210668407</v>
      </c>
      <c r="D220">
        <v>32.244660980833757</v>
      </c>
      <c r="E220">
        <v>258.70556257720381</v>
      </c>
      <c r="F220">
        <v>-66.881721066840669</v>
      </c>
      <c r="G220">
        <v>66.881721066840669</v>
      </c>
      <c r="H220">
        <v>-83.602151333550836</v>
      </c>
      <c r="I220">
        <v>83.602151333550836</v>
      </c>
    </row>
    <row r="221" spans="1:9">
      <c r="A221" s="2">
        <v>44051</v>
      </c>
      <c r="B221">
        <v>268</v>
      </c>
      <c r="C221">
        <v>152.2746381301684</v>
      </c>
      <c r="D221">
        <v>45.772284937498227</v>
      </c>
      <c r="E221">
        <v>262.47098356948652</v>
      </c>
      <c r="F221">
        <v>115.7253618698316</v>
      </c>
      <c r="G221">
        <v>115.7253618698316</v>
      </c>
      <c r="H221">
        <v>43.181105175310293</v>
      </c>
      <c r="I221">
        <v>43.181105175310293</v>
      </c>
    </row>
    <row r="222" spans="1:9">
      <c r="A222" s="2">
        <v>44052</v>
      </c>
      <c r="B222">
        <v>222</v>
      </c>
      <c r="C222">
        <v>61.938906500781229</v>
      </c>
      <c r="D222">
        <v>-49.310704189431419</v>
      </c>
      <c r="E222">
        <v>169.6223802981244</v>
      </c>
      <c r="F222">
        <v>160.0610934992188</v>
      </c>
      <c r="G222">
        <v>160.0610934992188</v>
      </c>
      <c r="H222">
        <v>72.099591666314765</v>
      </c>
      <c r="I222">
        <v>72.099591666314765</v>
      </c>
    </row>
    <row r="223" spans="1:9">
      <c r="A223" s="2">
        <v>44053</v>
      </c>
      <c r="B223">
        <v>450</v>
      </c>
      <c r="C223">
        <v>160.24535858317051</v>
      </c>
      <c r="D223">
        <v>52.429377640094152</v>
      </c>
      <c r="E223">
        <v>265.59236042432082</v>
      </c>
      <c r="F223">
        <v>289.75464141682949</v>
      </c>
      <c r="G223">
        <v>289.75464141682949</v>
      </c>
      <c r="H223">
        <v>64.389920314850997</v>
      </c>
      <c r="I223">
        <v>64.389920314850997</v>
      </c>
    </row>
    <row r="224" spans="1:9">
      <c r="A224" s="2">
        <v>44054</v>
      </c>
      <c r="B224">
        <v>36</v>
      </c>
      <c r="C224">
        <v>142.7696811266571</v>
      </c>
      <c r="D224">
        <v>24.863470833410421</v>
      </c>
      <c r="E224">
        <v>250.2485989028682</v>
      </c>
      <c r="F224">
        <v>-106.7696811266571</v>
      </c>
      <c r="G224">
        <v>106.7696811266571</v>
      </c>
      <c r="H224">
        <v>-296.58244757404742</v>
      </c>
      <c r="I224">
        <v>296.58244757404742</v>
      </c>
    </row>
    <row r="225" spans="1:9">
      <c r="A225" s="2">
        <v>44055</v>
      </c>
      <c r="B225">
        <v>201</v>
      </c>
      <c r="C225">
        <v>153.7317660489993</v>
      </c>
      <c r="D225">
        <v>48.618761630425134</v>
      </c>
      <c r="E225">
        <v>266.7354845530121</v>
      </c>
      <c r="F225">
        <v>47.268233951000717</v>
      </c>
      <c r="G225">
        <v>47.268233951000717</v>
      </c>
      <c r="H225">
        <v>23.51653430398046</v>
      </c>
      <c r="I225">
        <v>23.51653430398046</v>
      </c>
    </row>
    <row r="226" spans="1:9">
      <c r="A226" s="2">
        <v>44056</v>
      </c>
      <c r="B226">
        <v>203</v>
      </c>
      <c r="C226">
        <v>147.86361630284651</v>
      </c>
      <c r="D226">
        <v>38.416311349654038</v>
      </c>
      <c r="E226">
        <v>257.78485660826811</v>
      </c>
      <c r="F226">
        <v>55.136383697153491</v>
      </c>
      <c r="G226">
        <v>55.136383697153491</v>
      </c>
      <c r="H226">
        <v>27.160780146381029</v>
      </c>
      <c r="I226">
        <v>27.160780146381029</v>
      </c>
    </row>
    <row r="227" spans="1:9">
      <c r="A227" s="2">
        <v>44057</v>
      </c>
      <c r="B227">
        <v>204</v>
      </c>
      <c r="C227">
        <v>138.05936118832841</v>
      </c>
      <c r="D227">
        <v>29.160818098023231</v>
      </c>
      <c r="E227">
        <v>250.04467807357219</v>
      </c>
      <c r="F227">
        <v>65.940638811671562</v>
      </c>
      <c r="G227">
        <v>65.940638811671562</v>
      </c>
      <c r="H227">
        <v>32.323842554740963</v>
      </c>
      <c r="I227">
        <v>32.323842554740963</v>
      </c>
    </row>
    <row r="228" spans="1:9">
      <c r="A228" s="2">
        <v>44058</v>
      </c>
      <c r="B228">
        <v>126</v>
      </c>
      <c r="C228">
        <v>144.43465919000641</v>
      </c>
      <c r="D228">
        <v>34.738529029511753</v>
      </c>
      <c r="E228">
        <v>257.16500005176681</v>
      </c>
      <c r="F228">
        <v>-18.434659190006389</v>
      </c>
      <c r="G228">
        <v>18.434659190006389</v>
      </c>
      <c r="H228">
        <v>-14.63068189683046</v>
      </c>
      <c r="I228">
        <v>14.63068189683046</v>
      </c>
    </row>
    <row r="229" spans="1:9">
      <c r="A229" s="2">
        <v>44059</v>
      </c>
      <c r="B229">
        <v>36</v>
      </c>
      <c r="C229">
        <v>55.144668179573927</v>
      </c>
      <c r="D229">
        <v>-54.884051807848543</v>
      </c>
      <c r="E229">
        <v>168.10267977695409</v>
      </c>
      <c r="F229">
        <v>-19.14466817957393</v>
      </c>
      <c r="G229">
        <v>19.14466817957393</v>
      </c>
      <c r="H229">
        <v>-53.179633832149797</v>
      </c>
      <c r="I229">
        <v>53.179633832149797</v>
      </c>
    </row>
    <row r="230" spans="1:9">
      <c r="A230" s="2">
        <v>44060</v>
      </c>
      <c r="B230">
        <v>180</v>
      </c>
      <c r="C230">
        <v>154.54288233596381</v>
      </c>
      <c r="D230">
        <v>45.166764728259807</v>
      </c>
      <c r="E230">
        <v>264.04160180207981</v>
      </c>
      <c r="F230">
        <v>25.45711766403619</v>
      </c>
      <c r="G230">
        <v>25.45711766403619</v>
      </c>
      <c r="H230">
        <v>14.14284314668677</v>
      </c>
      <c r="I230">
        <v>14.14284314668677</v>
      </c>
    </row>
    <row r="231" spans="1:9">
      <c r="A231" s="2">
        <v>44061</v>
      </c>
      <c r="B231">
        <v>169</v>
      </c>
      <c r="C231">
        <v>138.18643649371219</v>
      </c>
      <c r="D231">
        <v>34.849354981775157</v>
      </c>
      <c r="E231">
        <v>245.84599412104981</v>
      </c>
      <c r="F231">
        <v>30.813563506287782</v>
      </c>
      <c r="G231">
        <v>30.813563506287782</v>
      </c>
      <c r="H231">
        <v>18.23287781437147</v>
      </c>
      <c r="I231">
        <v>18.23287781437147</v>
      </c>
    </row>
    <row r="232" spans="1:9">
      <c r="A232" s="2">
        <v>44062</v>
      </c>
      <c r="B232">
        <v>155</v>
      </c>
      <c r="C232">
        <v>150.2758816972794</v>
      </c>
      <c r="D232">
        <v>41.018647822101457</v>
      </c>
      <c r="E232">
        <v>261.15975853449828</v>
      </c>
      <c r="F232">
        <v>4.7241183027206262</v>
      </c>
      <c r="G232">
        <v>4.7241183027206262</v>
      </c>
      <c r="H232">
        <v>3.047818259819759</v>
      </c>
      <c r="I232">
        <v>3.047818259819759</v>
      </c>
    </row>
    <row r="233" spans="1:9">
      <c r="A233" s="2">
        <v>44063</v>
      </c>
      <c r="B233">
        <v>169</v>
      </c>
      <c r="C233">
        <v>145.5235392089802</v>
      </c>
      <c r="D233">
        <v>40.73305786667693</v>
      </c>
      <c r="E233">
        <v>263.84493736745247</v>
      </c>
      <c r="F233">
        <v>23.4764607910198</v>
      </c>
      <c r="G233">
        <v>23.4764607910198</v>
      </c>
      <c r="H233">
        <v>13.891396917763201</v>
      </c>
      <c r="I233">
        <v>13.891396917763201</v>
      </c>
    </row>
    <row r="234" spans="1:9">
      <c r="A234" s="2">
        <v>44064</v>
      </c>
      <c r="B234">
        <v>61</v>
      </c>
      <c r="C234">
        <v>136.80397583290289</v>
      </c>
      <c r="D234">
        <v>20.408292338333911</v>
      </c>
      <c r="E234">
        <v>252.11344794627831</v>
      </c>
      <c r="F234">
        <v>-75.80397583290295</v>
      </c>
      <c r="G234">
        <v>75.80397583290295</v>
      </c>
      <c r="H234">
        <v>-124.26881284082449</v>
      </c>
      <c r="I234">
        <v>124.26881284082449</v>
      </c>
    </row>
    <row r="235" spans="1:9">
      <c r="A235" s="2">
        <v>44065</v>
      </c>
      <c r="B235">
        <v>167</v>
      </c>
      <c r="C235">
        <v>144.21386683035979</v>
      </c>
      <c r="D235">
        <v>34.42071267612495</v>
      </c>
      <c r="E235">
        <v>244.57269429762101</v>
      </c>
      <c r="F235">
        <v>22.786133169640149</v>
      </c>
      <c r="G235">
        <v>22.786133169640149</v>
      </c>
      <c r="H235">
        <v>13.644391119545</v>
      </c>
      <c r="I235">
        <v>13.644391119545</v>
      </c>
    </row>
    <row r="236" spans="1:9">
      <c r="A236" s="2">
        <v>44066</v>
      </c>
      <c r="B236">
        <v>32</v>
      </c>
      <c r="C236">
        <v>55.890414480077403</v>
      </c>
      <c r="D236">
        <v>-58.471572866830087</v>
      </c>
      <c r="E236">
        <v>167.42593964667989</v>
      </c>
      <c r="F236">
        <v>-23.8904144800774</v>
      </c>
      <c r="G236">
        <v>23.8904144800774</v>
      </c>
      <c r="H236">
        <v>-74.657545250241867</v>
      </c>
      <c r="I236">
        <v>74.657545250241867</v>
      </c>
    </row>
    <row r="237" spans="1:9">
      <c r="A237" s="2">
        <v>44068</v>
      </c>
      <c r="B237">
        <v>208</v>
      </c>
      <c r="C237">
        <v>140.59693042669579</v>
      </c>
      <c r="D237">
        <v>28.907555072981381</v>
      </c>
      <c r="E237">
        <v>246.60502704125929</v>
      </c>
      <c r="F237">
        <v>67.403069573304151</v>
      </c>
      <c r="G237">
        <v>67.403069573304151</v>
      </c>
      <c r="H237">
        <v>32.405321910242378</v>
      </c>
      <c r="I237">
        <v>32.405321910242378</v>
      </c>
    </row>
    <row r="238" spans="1:9">
      <c r="A238" s="2">
        <v>44069</v>
      </c>
      <c r="B238">
        <v>175</v>
      </c>
      <c r="C238">
        <v>153.35745942739979</v>
      </c>
      <c r="D238">
        <v>41.706211376108747</v>
      </c>
      <c r="E238">
        <v>262.03515293230839</v>
      </c>
      <c r="F238">
        <v>21.642540572600179</v>
      </c>
      <c r="G238">
        <v>21.642540572600179</v>
      </c>
      <c r="H238">
        <v>12.36716604148582</v>
      </c>
      <c r="I238">
        <v>12.36716604148582</v>
      </c>
    </row>
    <row r="239" spans="1:9">
      <c r="A239" s="2">
        <v>44070</v>
      </c>
      <c r="B239">
        <v>177</v>
      </c>
      <c r="C239">
        <v>149.154538967121</v>
      </c>
      <c r="D239">
        <v>35.650765310718363</v>
      </c>
      <c r="E239">
        <v>256.12181523940802</v>
      </c>
      <c r="F239">
        <v>27.845461032878969</v>
      </c>
      <c r="G239">
        <v>27.845461032878969</v>
      </c>
      <c r="H239">
        <v>15.731898888632189</v>
      </c>
      <c r="I239">
        <v>15.731898888632189</v>
      </c>
    </row>
    <row r="240" spans="1:9">
      <c r="A240" s="2">
        <v>44072</v>
      </c>
      <c r="B240">
        <v>87</v>
      </c>
      <c r="C240">
        <v>148.55259168088031</v>
      </c>
      <c r="D240">
        <v>41.954460606418181</v>
      </c>
      <c r="E240">
        <v>258.1405905548541</v>
      </c>
      <c r="F240">
        <v>-61.552591680880312</v>
      </c>
      <c r="G240">
        <v>61.552591680880312</v>
      </c>
      <c r="H240">
        <v>-70.750105380322196</v>
      </c>
      <c r="I240">
        <v>70.750105380322196</v>
      </c>
    </row>
    <row r="241" spans="1:9">
      <c r="A241" s="2">
        <v>44073</v>
      </c>
      <c r="B241">
        <v>41</v>
      </c>
      <c r="C241">
        <v>60.381709859305943</v>
      </c>
      <c r="D241">
        <v>-45.099284761819973</v>
      </c>
      <c r="E241">
        <v>170.45737668783579</v>
      </c>
      <c r="F241">
        <v>-19.381709859305939</v>
      </c>
      <c r="G241">
        <v>19.381709859305939</v>
      </c>
      <c r="H241">
        <v>-47.272463071477908</v>
      </c>
      <c r="I241">
        <v>47.272463071477908</v>
      </c>
    </row>
    <row r="242" spans="1:9">
      <c r="A242" s="2">
        <v>44074</v>
      </c>
      <c r="B242">
        <v>280</v>
      </c>
      <c r="C242">
        <v>160.68148031605651</v>
      </c>
      <c r="D242">
        <v>52.460503056586077</v>
      </c>
      <c r="E242">
        <v>270.75251130749302</v>
      </c>
      <c r="F242">
        <v>119.31851968394351</v>
      </c>
      <c r="G242">
        <v>119.31851968394351</v>
      </c>
      <c r="H242">
        <v>42.613757029979823</v>
      </c>
      <c r="I242">
        <v>42.613757029979823</v>
      </c>
    </row>
    <row r="243" spans="1:9">
      <c r="A243" s="2">
        <v>44075</v>
      </c>
      <c r="B243">
        <v>219</v>
      </c>
      <c r="C243">
        <v>144.9990168832492</v>
      </c>
      <c r="D243">
        <v>37.756353746235767</v>
      </c>
      <c r="E243">
        <v>262.52954416494322</v>
      </c>
      <c r="F243">
        <v>74.000983116750803</v>
      </c>
      <c r="G243">
        <v>74.000983116750803</v>
      </c>
      <c r="H243">
        <v>33.790403249657899</v>
      </c>
      <c r="I243">
        <v>33.790403249657899</v>
      </c>
    </row>
    <row r="244" spans="1:9">
      <c r="A244" s="2">
        <v>44076</v>
      </c>
      <c r="B244">
        <v>52</v>
      </c>
      <c r="C244">
        <v>157.52991152102129</v>
      </c>
      <c r="D244">
        <v>44.959421484674088</v>
      </c>
      <c r="E244">
        <v>261.70161381548172</v>
      </c>
      <c r="F244">
        <v>-105.5299115210213</v>
      </c>
      <c r="G244">
        <v>105.5299115210213</v>
      </c>
      <c r="H244">
        <v>-202.94213754042559</v>
      </c>
      <c r="I244">
        <v>202.94213754042559</v>
      </c>
    </row>
    <row r="245" spans="1:9">
      <c r="A245" s="2">
        <v>44077</v>
      </c>
      <c r="B245">
        <v>194</v>
      </c>
      <c r="C245">
        <v>152.98670426994539</v>
      </c>
      <c r="D245">
        <v>41.831535301351117</v>
      </c>
      <c r="E245">
        <v>270.50735725499578</v>
      </c>
      <c r="F245">
        <v>41.013295730054551</v>
      </c>
      <c r="G245">
        <v>41.013295730054551</v>
      </c>
      <c r="H245">
        <v>21.140874087656989</v>
      </c>
      <c r="I245">
        <v>21.140874087656989</v>
      </c>
    </row>
    <row r="246" spans="1:9">
      <c r="A246" s="2">
        <v>44078</v>
      </c>
      <c r="B246">
        <v>226</v>
      </c>
      <c r="C246">
        <v>144.24935264744781</v>
      </c>
      <c r="D246">
        <v>28.377471665158499</v>
      </c>
      <c r="E246">
        <v>243.3201868694853</v>
      </c>
      <c r="F246">
        <v>81.750647352552193</v>
      </c>
      <c r="G246">
        <v>81.750647352552193</v>
      </c>
      <c r="H246">
        <v>36.172852810863802</v>
      </c>
      <c r="I246">
        <v>36.172852810863802</v>
      </c>
    </row>
    <row r="247" spans="1:9">
      <c r="A247" s="2">
        <v>44079</v>
      </c>
      <c r="B247">
        <v>167</v>
      </c>
      <c r="C247">
        <v>151.42496741147681</v>
      </c>
      <c r="D247">
        <v>43.776663824598451</v>
      </c>
      <c r="E247">
        <v>260.86286933526549</v>
      </c>
      <c r="F247">
        <v>15.575032588523239</v>
      </c>
      <c r="G247">
        <v>15.575032588523239</v>
      </c>
      <c r="H247">
        <v>9.3263668194749965</v>
      </c>
      <c r="I247">
        <v>9.3263668194749965</v>
      </c>
    </row>
    <row r="248" spans="1:9">
      <c r="A248" s="2">
        <v>44080</v>
      </c>
      <c r="B248">
        <v>161</v>
      </c>
      <c r="C248">
        <v>62.66598640244699</v>
      </c>
      <c r="D248">
        <v>-40.270466847627908</v>
      </c>
      <c r="E248">
        <v>168.5830090491782</v>
      </c>
      <c r="F248">
        <v>98.33401359755301</v>
      </c>
      <c r="G248">
        <v>98.33401359755301</v>
      </c>
      <c r="H248">
        <v>61.077027079225473</v>
      </c>
      <c r="I248">
        <v>61.077027079225473</v>
      </c>
    </row>
    <row r="249" spans="1:9">
      <c r="A249" s="2">
        <v>44081</v>
      </c>
      <c r="B249">
        <v>200</v>
      </c>
      <c r="C249">
        <v>162.32908092276901</v>
      </c>
      <c r="D249">
        <v>51.307961526166451</v>
      </c>
      <c r="E249">
        <v>266.09286996692651</v>
      </c>
      <c r="F249">
        <v>37.670919077230963</v>
      </c>
      <c r="G249">
        <v>37.670919077230963</v>
      </c>
      <c r="H249">
        <v>18.835459538615481</v>
      </c>
      <c r="I249">
        <v>18.835459538615481</v>
      </c>
    </row>
    <row r="250" spans="1:9">
      <c r="A250" s="2">
        <v>44082</v>
      </c>
      <c r="B250">
        <v>52</v>
      </c>
      <c r="C250">
        <v>145.9803937863787</v>
      </c>
      <c r="D250">
        <v>34.858806564788168</v>
      </c>
      <c r="E250">
        <v>254.69652101909691</v>
      </c>
      <c r="F250">
        <v>-93.98039378637867</v>
      </c>
      <c r="G250">
        <v>93.98039378637867</v>
      </c>
      <c r="H250">
        <v>-180.7315265122667</v>
      </c>
      <c r="I250">
        <v>180.7315265122667</v>
      </c>
    </row>
    <row r="251" spans="1:9">
      <c r="A251" s="2">
        <v>44083</v>
      </c>
      <c r="B251">
        <v>190</v>
      </c>
      <c r="C251">
        <v>157.8351145578317</v>
      </c>
      <c r="D251">
        <v>48.705980095584387</v>
      </c>
      <c r="E251">
        <v>265.24179753759881</v>
      </c>
      <c r="F251">
        <v>32.16488544216827</v>
      </c>
      <c r="G251">
        <v>32.16488544216827</v>
      </c>
      <c r="H251">
        <v>16.928887074825401</v>
      </c>
      <c r="I251">
        <v>16.928887074825401</v>
      </c>
    </row>
    <row r="252" spans="1:9">
      <c r="A252" s="2">
        <v>44084</v>
      </c>
      <c r="B252">
        <v>259</v>
      </c>
      <c r="C252">
        <v>152.6255042247513</v>
      </c>
      <c r="D252">
        <v>42.416165641423433</v>
      </c>
      <c r="E252">
        <v>266.31580053587749</v>
      </c>
      <c r="F252">
        <v>106.3744957752487</v>
      </c>
      <c r="G252">
        <v>106.3744957752487</v>
      </c>
      <c r="H252">
        <v>41.071233890057407</v>
      </c>
      <c r="I252">
        <v>41.071233890057407</v>
      </c>
    </row>
    <row r="253" spans="1:9">
      <c r="A253" s="2">
        <v>44085</v>
      </c>
      <c r="B253">
        <v>229</v>
      </c>
      <c r="C253">
        <v>143.2509202394763</v>
      </c>
      <c r="D253">
        <v>32.634077771495441</v>
      </c>
      <c r="E253">
        <v>244.6460627081926</v>
      </c>
      <c r="F253">
        <v>85.749079760523728</v>
      </c>
      <c r="G253">
        <v>85.749079760523728</v>
      </c>
      <c r="H253">
        <v>37.445012995861887</v>
      </c>
      <c r="I253">
        <v>37.445012995861887</v>
      </c>
    </row>
    <row r="254" spans="1:9">
      <c r="A254" s="2">
        <v>44086</v>
      </c>
      <c r="B254">
        <v>274</v>
      </c>
      <c r="C254">
        <v>149.83711912059081</v>
      </c>
      <c r="D254">
        <v>47.396846420955391</v>
      </c>
      <c r="E254">
        <v>259.23242432572738</v>
      </c>
      <c r="F254">
        <v>124.1628808794092</v>
      </c>
      <c r="G254">
        <v>124.1628808794092</v>
      </c>
      <c r="H254">
        <v>45.314920028981483</v>
      </c>
      <c r="I254">
        <v>45.314920028981483</v>
      </c>
    </row>
    <row r="255" spans="1:9">
      <c r="A255" s="2">
        <v>44087</v>
      </c>
      <c r="B255">
        <v>21</v>
      </c>
      <c r="C255">
        <v>60.554018132371333</v>
      </c>
      <c r="D255">
        <v>-45.358879521331048</v>
      </c>
      <c r="E255">
        <v>168.34535933745039</v>
      </c>
      <c r="F255">
        <v>-39.554018132371333</v>
      </c>
      <c r="G255">
        <v>39.554018132371333</v>
      </c>
      <c r="H255">
        <v>-188.35246729700631</v>
      </c>
      <c r="I255">
        <v>188.35246729700631</v>
      </c>
    </row>
    <row r="256" spans="1:9">
      <c r="A256" s="2">
        <v>44088</v>
      </c>
      <c r="B256">
        <v>169</v>
      </c>
      <c r="C256">
        <v>159.77421961967011</v>
      </c>
      <c r="D256">
        <v>50.433179971183691</v>
      </c>
      <c r="E256">
        <v>266.5486392530151</v>
      </c>
      <c r="F256">
        <v>9.2257803803299225</v>
      </c>
      <c r="G256">
        <v>9.2257803803299225</v>
      </c>
      <c r="H256">
        <v>5.4590416451656347</v>
      </c>
      <c r="I256">
        <v>5.4590416451656347</v>
      </c>
    </row>
    <row r="257" spans="1:9">
      <c r="A257" s="2">
        <v>44089</v>
      </c>
      <c r="B257">
        <v>149</v>
      </c>
      <c r="C257">
        <v>143.07790532575439</v>
      </c>
      <c r="D257">
        <v>32.744838495612377</v>
      </c>
      <c r="E257">
        <v>244.89741008144301</v>
      </c>
      <c r="F257">
        <v>5.9220946742456144</v>
      </c>
      <c r="G257">
        <v>5.9220946742456144</v>
      </c>
      <c r="H257">
        <v>3.9745601840574589</v>
      </c>
      <c r="I257">
        <v>3.9745601840574589</v>
      </c>
    </row>
    <row r="258" spans="1:9">
      <c r="A258" s="2">
        <v>44090</v>
      </c>
      <c r="B258">
        <v>171</v>
      </c>
      <c r="C258">
        <v>154.69211333708381</v>
      </c>
      <c r="D258">
        <v>40.657319501181952</v>
      </c>
      <c r="E258">
        <v>266.31329067010188</v>
      </c>
      <c r="F258">
        <v>16.307886662916221</v>
      </c>
      <c r="G258">
        <v>16.307886662916221</v>
      </c>
      <c r="H258">
        <v>9.5367758262667941</v>
      </c>
      <c r="I258">
        <v>9.5367758262667941</v>
      </c>
    </row>
    <row r="259" spans="1:9">
      <c r="A259" s="2">
        <v>44091</v>
      </c>
      <c r="B259">
        <v>127</v>
      </c>
      <c r="C259">
        <v>149.35851578995579</v>
      </c>
      <c r="D259">
        <v>37.928726005322048</v>
      </c>
      <c r="E259">
        <v>261.21605620205997</v>
      </c>
      <c r="F259">
        <v>-22.358515789955849</v>
      </c>
      <c r="G259">
        <v>22.358515789955849</v>
      </c>
      <c r="H259">
        <v>-17.60513054327232</v>
      </c>
      <c r="I259">
        <v>17.60513054327232</v>
      </c>
    </row>
    <row r="260" spans="1:9">
      <c r="A260" s="2">
        <v>44092</v>
      </c>
      <c r="B260">
        <v>21</v>
      </c>
      <c r="C260">
        <v>139.98325282747919</v>
      </c>
      <c r="D260">
        <v>25.635666863673841</v>
      </c>
      <c r="E260">
        <v>247.9795011666528</v>
      </c>
      <c r="F260">
        <v>-118.98325282747921</v>
      </c>
      <c r="G260">
        <v>118.98325282747921</v>
      </c>
      <c r="H260">
        <v>-566.58691822609137</v>
      </c>
      <c r="I260">
        <v>566.58691822609137</v>
      </c>
    </row>
    <row r="261" spans="1:9">
      <c r="A261" s="2">
        <v>44093</v>
      </c>
      <c r="B261">
        <v>5</v>
      </c>
      <c r="C261">
        <v>146.69610313523631</v>
      </c>
      <c r="D261">
        <v>42.837664971633039</v>
      </c>
      <c r="E261">
        <v>258.86565044352591</v>
      </c>
      <c r="F261">
        <v>-141.69610313523631</v>
      </c>
      <c r="G261">
        <v>141.69610313523631</v>
      </c>
      <c r="H261">
        <v>-2833.9220627047248</v>
      </c>
      <c r="I261">
        <v>2833.9220627047248</v>
      </c>
    </row>
    <row r="262" spans="1:9">
      <c r="A262" s="2">
        <v>44094</v>
      </c>
      <c r="B262">
        <v>33</v>
      </c>
      <c r="C262">
        <v>57.668174282466012</v>
      </c>
      <c r="D262">
        <v>-57.191807436666977</v>
      </c>
      <c r="E262">
        <v>165.38094794984281</v>
      </c>
      <c r="F262">
        <v>-24.668174282466008</v>
      </c>
      <c r="G262">
        <v>24.668174282466008</v>
      </c>
      <c r="H262">
        <v>-74.752043280200027</v>
      </c>
      <c r="I262">
        <v>74.752043280200027</v>
      </c>
    </row>
    <row r="263" spans="1:9">
      <c r="A263" s="2">
        <v>44095</v>
      </c>
      <c r="B263">
        <v>145</v>
      </c>
      <c r="C263">
        <v>157.27041670285479</v>
      </c>
      <c r="D263">
        <v>45.333453738723072</v>
      </c>
      <c r="E263">
        <v>277.03041935666278</v>
      </c>
      <c r="F263">
        <v>-12.27041670285476</v>
      </c>
      <c r="G263">
        <v>12.27041670285476</v>
      </c>
      <c r="H263">
        <v>-8.4623563467963869</v>
      </c>
      <c r="I263">
        <v>8.4623563467963869</v>
      </c>
    </row>
    <row r="264" spans="1:9">
      <c r="A264" s="2">
        <v>44096</v>
      </c>
      <c r="B264">
        <v>129</v>
      </c>
      <c r="C264">
        <v>141.078567522318</v>
      </c>
      <c r="D264">
        <v>38.701992779369178</v>
      </c>
      <c r="E264">
        <v>250.545605201038</v>
      </c>
      <c r="F264">
        <v>-12.078567522318</v>
      </c>
      <c r="G264">
        <v>12.078567522318</v>
      </c>
      <c r="H264">
        <v>-9.3632306374558105</v>
      </c>
      <c r="I264">
        <v>9.3632306374558105</v>
      </c>
    </row>
    <row r="265" spans="1:9">
      <c r="A265" s="2">
        <v>44097</v>
      </c>
      <c r="B265">
        <v>194</v>
      </c>
      <c r="C265">
        <v>153.31253442775639</v>
      </c>
      <c r="D265">
        <v>41.83793770613557</v>
      </c>
      <c r="E265">
        <v>258.97466356291233</v>
      </c>
      <c r="F265">
        <v>40.687465572243553</v>
      </c>
      <c r="G265">
        <v>40.687465572243553</v>
      </c>
      <c r="H265">
        <v>20.972920398063689</v>
      </c>
      <c r="I265">
        <v>20.972920398063689</v>
      </c>
    </row>
    <row r="266" spans="1:9">
      <c r="A266" s="2">
        <v>44098</v>
      </c>
      <c r="B266">
        <v>194</v>
      </c>
      <c r="C266">
        <v>148.70433406340089</v>
      </c>
      <c r="D266">
        <v>42.599083810226432</v>
      </c>
      <c r="E266">
        <v>251.85129118939409</v>
      </c>
      <c r="F266">
        <v>45.29566593659905</v>
      </c>
      <c r="G266">
        <v>45.29566593659905</v>
      </c>
      <c r="H266">
        <v>23.348281410618061</v>
      </c>
      <c r="I266">
        <v>23.348281410618061</v>
      </c>
    </row>
    <row r="267" spans="1:9">
      <c r="A267" s="2">
        <v>44099</v>
      </c>
      <c r="B267">
        <v>202</v>
      </c>
      <c r="C267">
        <v>140.1481357039354</v>
      </c>
      <c r="D267">
        <v>39.25821546655731</v>
      </c>
      <c r="E267">
        <v>246.76941602284401</v>
      </c>
      <c r="F267">
        <v>61.851864296064583</v>
      </c>
      <c r="G267">
        <v>61.851864296064583</v>
      </c>
      <c r="H267">
        <v>30.619734800031971</v>
      </c>
      <c r="I267">
        <v>30.619734800031971</v>
      </c>
    </row>
    <row r="268" spans="1:9">
      <c r="A268" s="2">
        <v>44100</v>
      </c>
      <c r="B268">
        <v>214</v>
      </c>
      <c r="C268">
        <v>147.75968490028811</v>
      </c>
      <c r="D268">
        <v>38.009451672540202</v>
      </c>
      <c r="E268">
        <v>261.43953229851132</v>
      </c>
      <c r="F268">
        <v>66.24031509971195</v>
      </c>
      <c r="G268">
        <v>66.24031509971195</v>
      </c>
      <c r="H268">
        <v>30.95341827089343</v>
      </c>
      <c r="I268">
        <v>30.95341827089343</v>
      </c>
    </row>
    <row r="269" spans="1:9">
      <c r="A269" s="2">
        <v>44101</v>
      </c>
      <c r="B269">
        <v>28</v>
      </c>
      <c r="C269">
        <v>59.694283913709512</v>
      </c>
      <c r="D269">
        <v>-46.805629569774453</v>
      </c>
      <c r="E269">
        <v>171.55634733869209</v>
      </c>
      <c r="F269">
        <v>-31.694283913709508</v>
      </c>
      <c r="G269">
        <v>31.694283913709508</v>
      </c>
      <c r="H269">
        <v>-113.19387112039109</v>
      </c>
      <c r="I269">
        <v>113.19387112039109</v>
      </c>
    </row>
    <row r="270" spans="1:9">
      <c r="A270" s="2">
        <v>44102</v>
      </c>
      <c r="B270">
        <v>191</v>
      </c>
      <c r="C270">
        <v>160.30562580929819</v>
      </c>
      <c r="D270">
        <v>45.443466440857527</v>
      </c>
      <c r="E270">
        <v>274.49225635132859</v>
      </c>
      <c r="F270">
        <v>30.69437419070178</v>
      </c>
      <c r="G270">
        <v>30.69437419070178</v>
      </c>
      <c r="H270">
        <v>16.07035297942501</v>
      </c>
      <c r="I270">
        <v>16.07035297942501</v>
      </c>
    </row>
    <row r="271" spans="1:9">
      <c r="A271" s="2">
        <v>44103</v>
      </c>
      <c r="B271">
        <v>205</v>
      </c>
      <c r="C271">
        <v>145.151081127167</v>
      </c>
      <c r="D271">
        <v>43.004534297435072</v>
      </c>
      <c r="E271">
        <v>257.6684735226811</v>
      </c>
      <c r="F271">
        <v>59.848918872832968</v>
      </c>
      <c r="G271">
        <v>59.848918872832968</v>
      </c>
      <c r="H271">
        <v>29.19459457211364</v>
      </c>
      <c r="I271">
        <v>29.19459457211364</v>
      </c>
    </row>
    <row r="272" spans="1:9">
      <c r="A272" s="2">
        <v>44104</v>
      </c>
      <c r="B272">
        <v>198</v>
      </c>
      <c r="C272">
        <v>158.43143970416691</v>
      </c>
      <c r="D272">
        <v>45.376180030393002</v>
      </c>
      <c r="E272">
        <v>274.75305241555742</v>
      </c>
      <c r="F272">
        <v>39.568560295833123</v>
      </c>
      <c r="G272">
        <v>39.568560295833123</v>
      </c>
      <c r="H272">
        <v>19.98412136153188</v>
      </c>
      <c r="I272">
        <v>19.98412136153188</v>
      </c>
    </row>
    <row r="273" spans="1:9">
      <c r="A273" s="2">
        <v>44105</v>
      </c>
      <c r="B273">
        <v>371</v>
      </c>
      <c r="C273">
        <v>154.85921469669159</v>
      </c>
      <c r="D273">
        <v>51.674089088660097</v>
      </c>
      <c r="E273">
        <v>266.43530405074699</v>
      </c>
      <c r="F273">
        <v>216.14078530330841</v>
      </c>
      <c r="G273">
        <v>216.14078530330841</v>
      </c>
      <c r="H273">
        <v>58.258971779867487</v>
      </c>
      <c r="I273">
        <v>58.258971779867487</v>
      </c>
    </row>
    <row r="274" spans="1:9">
      <c r="A274" s="2">
        <v>44106</v>
      </c>
      <c r="B274">
        <v>385</v>
      </c>
      <c r="C274">
        <v>147.3090521533037</v>
      </c>
      <c r="D274">
        <v>25.56960826035851</v>
      </c>
      <c r="E274">
        <v>257.51409853405301</v>
      </c>
      <c r="F274">
        <v>237.6909478466963</v>
      </c>
      <c r="G274">
        <v>237.6909478466963</v>
      </c>
      <c r="H274">
        <v>61.73790853160942</v>
      </c>
      <c r="I274">
        <v>61.73790853160942</v>
      </c>
    </row>
    <row r="275" spans="1:9">
      <c r="A275" s="2">
        <v>44107</v>
      </c>
      <c r="B275">
        <v>202</v>
      </c>
      <c r="C275">
        <v>155.87751379940281</v>
      </c>
      <c r="D275">
        <v>47.882827624031997</v>
      </c>
      <c r="E275">
        <v>264.60253792997707</v>
      </c>
      <c r="F275">
        <v>46.122486200597173</v>
      </c>
      <c r="G275">
        <v>46.122486200597173</v>
      </c>
      <c r="H275">
        <v>22.83291396069167</v>
      </c>
      <c r="I275">
        <v>22.83291396069167</v>
      </c>
    </row>
    <row r="276" spans="1:9">
      <c r="A276" s="2">
        <v>44108</v>
      </c>
      <c r="B276">
        <v>167</v>
      </c>
      <c r="C276">
        <v>68.701403291580149</v>
      </c>
      <c r="D276">
        <v>-49.426221184205552</v>
      </c>
      <c r="E276">
        <v>174.61710027687681</v>
      </c>
      <c r="F276">
        <v>98.298596708419851</v>
      </c>
      <c r="G276">
        <v>98.298596708419851</v>
      </c>
      <c r="H276">
        <v>58.861435154742423</v>
      </c>
      <c r="I276">
        <v>58.861435154742423</v>
      </c>
    </row>
    <row r="277" spans="1:9">
      <c r="A277" s="2">
        <v>44109</v>
      </c>
      <c r="B277">
        <v>85</v>
      </c>
      <c r="C277">
        <v>170.11692683857709</v>
      </c>
      <c r="D277">
        <v>58.270987974032231</v>
      </c>
      <c r="E277">
        <v>281.48852952744198</v>
      </c>
      <c r="F277">
        <v>-85.116926838577115</v>
      </c>
      <c r="G277">
        <v>85.116926838577115</v>
      </c>
      <c r="H277">
        <v>-100.1375609865613</v>
      </c>
      <c r="I277">
        <v>100.1375609865613</v>
      </c>
    </row>
    <row r="278" spans="1:9">
      <c r="A278" s="2">
        <v>44110</v>
      </c>
      <c r="B278">
        <v>155</v>
      </c>
      <c r="C278">
        <v>155.66528176396329</v>
      </c>
      <c r="D278">
        <v>43.999789104182767</v>
      </c>
      <c r="E278">
        <v>269.02916173621412</v>
      </c>
      <c r="F278">
        <v>-0.66528176396326444</v>
      </c>
      <c r="G278">
        <v>0.66528176396326444</v>
      </c>
      <c r="H278">
        <v>-0.42921404126662221</v>
      </c>
      <c r="I278">
        <v>0.42921404126662221</v>
      </c>
    </row>
    <row r="279" spans="1:9">
      <c r="A279" s="2">
        <v>44111</v>
      </c>
      <c r="B279">
        <v>154</v>
      </c>
      <c r="C279">
        <v>169.5326711387232</v>
      </c>
      <c r="D279">
        <v>57.943834962122963</v>
      </c>
      <c r="E279">
        <v>280.17917216323872</v>
      </c>
      <c r="F279">
        <v>-15.53267113872317</v>
      </c>
      <c r="G279">
        <v>15.53267113872317</v>
      </c>
      <c r="H279">
        <v>-10.086150090079981</v>
      </c>
      <c r="I279">
        <v>10.086150090079981</v>
      </c>
    </row>
    <row r="280" spans="1:9">
      <c r="A280" s="2">
        <v>44112</v>
      </c>
      <c r="B280">
        <v>414</v>
      </c>
      <c r="C280">
        <v>166.41884769677941</v>
      </c>
      <c r="D280">
        <v>59.433530293778247</v>
      </c>
      <c r="E280">
        <v>277.30058353292782</v>
      </c>
      <c r="F280">
        <v>247.58115230322059</v>
      </c>
      <c r="G280">
        <v>247.58115230322059</v>
      </c>
      <c r="H280">
        <v>59.802210701261018</v>
      </c>
      <c r="I280">
        <v>59.802210701261018</v>
      </c>
    </row>
    <row r="281" spans="1:9">
      <c r="A281" s="2">
        <v>44113</v>
      </c>
      <c r="B281">
        <v>238</v>
      </c>
      <c r="C281">
        <v>159.18772751952869</v>
      </c>
      <c r="D281">
        <v>51.238154457598277</v>
      </c>
      <c r="E281">
        <v>263.57481047621332</v>
      </c>
      <c r="F281">
        <v>78.81227248047125</v>
      </c>
      <c r="G281">
        <v>78.81227248047125</v>
      </c>
      <c r="H281">
        <v>33.114400201878667</v>
      </c>
      <c r="I281">
        <v>33.114400201878667</v>
      </c>
    </row>
    <row r="282" spans="1:9">
      <c r="A282" s="2">
        <v>44114</v>
      </c>
      <c r="B282">
        <v>231</v>
      </c>
      <c r="C282">
        <v>167.92733904316299</v>
      </c>
      <c r="D282">
        <v>64.612673599061822</v>
      </c>
      <c r="E282">
        <v>279.73192544159059</v>
      </c>
      <c r="F282">
        <v>63.072660956837012</v>
      </c>
      <c r="G282">
        <v>63.072660956837012</v>
      </c>
      <c r="H282">
        <v>27.304182232396968</v>
      </c>
      <c r="I282">
        <v>27.304182232396968</v>
      </c>
    </row>
    <row r="283" spans="1:9">
      <c r="A283" s="2">
        <v>44115</v>
      </c>
      <c r="B283">
        <v>206</v>
      </c>
      <c r="C283">
        <v>80.76827636781745</v>
      </c>
      <c r="D283">
        <v>-34.698904152281081</v>
      </c>
      <c r="E283">
        <v>187.5666416235</v>
      </c>
      <c r="F283">
        <v>125.23172363218259</v>
      </c>
      <c r="G283">
        <v>125.23172363218259</v>
      </c>
      <c r="H283">
        <v>60.79209885057405</v>
      </c>
      <c r="I283">
        <v>60.79209885057405</v>
      </c>
    </row>
    <row r="284" spans="1:9">
      <c r="A284" s="2">
        <v>44116</v>
      </c>
      <c r="B284">
        <v>205</v>
      </c>
      <c r="C284">
        <v>182.0429472281609</v>
      </c>
      <c r="D284">
        <v>69.382216246672613</v>
      </c>
      <c r="E284">
        <v>300.98920094681341</v>
      </c>
      <c r="F284">
        <v>22.95705277183907</v>
      </c>
      <c r="G284">
        <v>22.95705277183907</v>
      </c>
      <c r="H284">
        <v>11.19856232772638</v>
      </c>
      <c r="I284">
        <v>11.19856232772638</v>
      </c>
    </row>
    <row r="285" spans="1:9">
      <c r="A285" s="2">
        <v>44117</v>
      </c>
      <c r="B285">
        <v>202</v>
      </c>
      <c r="C285">
        <v>167.29120938387669</v>
      </c>
      <c r="D285">
        <v>55.802925512985063</v>
      </c>
      <c r="E285">
        <v>280.53039305409322</v>
      </c>
      <c r="F285">
        <v>34.708790616123309</v>
      </c>
      <c r="G285">
        <v>34.708790616123309</v>
      </c>
      <c r="H285">
        <v>17.182569611942231</v>
      </c>
      <c r="I285">
        <v>17.182569611942231</v>
      </c>
    </row>
    <row r="286" spans="1:9">
      <c r="A286" s="2">
        <v>44118</v>
      </c>
      <c r="B286">
        <v>153</v>
      </c>
      <c r="C286">
        <v>180.7003943662732</v>
      </c>
      <c r="D286">
        <v>76.048475870488375</v>
      </c>
      <c r="E286">
        <v>292.26040648686001</v>
      </c>
      <c r="F286">
        <v>-27.70039436627323</v>
      </c>
      <c r="G286">
        <v>27.70039436627323</v>
      </c>
      <c r="H286">
        <v>-18.104832919132829</v>
      </c>
      <c r="I286">
        <v>18.104832919132829</v>
      </c>
    </row>
    <row r="287" spans="1:9">
      <c r="A287" s="2">
        <v>44119</v>
      </c>
      <c r="B287">
        <v>178</v>
      </c>
      <c r="C287">
        <v>176.97382316212159</v>
      </c>
      <c r="D287">
        <v>63.335827660568903</v>
      </c>
      <c r="E287">
        <v>280.01691158113539</v>
      </c>
      <c r="F287">
        <v>1.0261768378783811</v>
      </c>
      <c r="G287">
        <v>1.0261768378783811</v>
      </c>
      <c r="H287">
        <v>0.57650384150470857</v>
      </c>
      <c r="I287">
        <v>0.57650384150470857</v>
      </c>
    </row>
    <row r="288" spans="1:9">
      <c r="A288" s="2">
        <v>44120</v>
      </c>
      <c r="B288">
        <v>172</v>
      </c>
      <c r="C288">
        <v>168.98135615875859</v>
      </c>
      <c r="D288">
        <v>52.601063471831488</v>
      </c>
      <c r="E288">
        <v>274.22196589466722</v>
      </c>
      <c r="F288">
        <v>3.0186438412414418</v>
      </c>
      <c r="G288">
        <v>3.0186438412414418</v>
      </c>
      <c r="H288">
        <v>1.7550254890938619</v>
      </c>
      <c r="I288">
        <v>1.7550254890938619</v>
      </c>
    </row>
    <row r="289" spans="1:9">
      <c r="A289" s="2">
        <v>44121</v>
      </c>
      <c r="B289">
        <v>208</v>
      </c>
      <c r="C289">
        <v>176.81924513868611</v>
      </c>
      <c r="D289">
        <v>65.088625159515615</v>
      </c>
      <c r="E289">
        <v>277.31603137764978</v>
      </c>
      <c r="F289">
        <v>31.180754861313861</v>
      </c>
      <c r="G289">
        <v>31.180754861313861</v>
      </c>
      <c r="H289">
        <v>14.990747529477821</v>
      </c>
      <c r="I289">
        <v>14.990747529477821</v>
      </c>
    </row>
    <row r="290" spans="1:9">
      <c r="A290" s="2">
        <v>44122</v>
      </c>
      <c r="B290">
        <v>77</v>
      </c>
      <c r="C290">
        <v>88.628458813329573</v>
      </c>
      <c r="D290">
        <v>-20.96214249507608</v>
      </c>
      <c r="E290">
        <v>206.54256716520561</v>
      </c>
      <c r="F290">
        <v>-11.628458813329569</v>
      </c>
      <c r="G290">
        <v>11.628458813329569</v>
      </c>
      <c r="H290">
        <v>-15.101894562765681</v>
      </c>
      <c r="I290">
        <v>15.101894562765681</v>
      </c>
    </row>
    <row r="291" spans="1:9">
      <c r="A291" s="2">
        <v>44123</v>
      </c>
      <c r="B291">
        <v>291</v>
      </c>
      <c r="C291">
        <v>188.75377502375551</v>
      </c>
      <c r="D291">
        <v>78.682621880388965</v>
      </c>
      <c r="E291">
        <v>297.54838662035399</v>
      </c>
      <c r="F291">
        <v>102.24622497624451</v>
      </c>
      <c r="G291">
        <v>102.24622497624451</v>
      </c>
      <c r="H291">
        <v>35.136159785651017</v>
      </c>
      <c r="I291">
        <v>35.136159785651017</v>
      </c>
    </row>
    <row r="292" spans="1:9">
      <c r="A292" s="2">
        <v>44124</v>
      </c>
      <c r="B292">
        <v>219</v>
      </c>
      <c r="C292">
        <v>172.7492362472691</v>
      </c>
      <c r="D292">
        <v>64.934454562923776</v>
      </c>
      <c r="E292">
        <v>276.31619135449398</v>
      </c>
      <c r="F292">
        <v>46.250763752730897</v>
      </c>
      <c r="G292">
        <v>46.250763752730897</v>
      </c>
      <c r="H292">
        <v>21.119070206726441</v>
      </c>
      <c r="I292">
        <v>21.119070206726441</v>
      </c>
    </row>
    <row r="293" spans="1:9">
      <c r="A293" s="2">
        <v>44125</v>
      </c>
      <c r="B293">
        <v>173</v>
      </c>
      <c r="C293">
        <v>184.81797034100899</v>
      </c>
      <c r="D293">
        <v>78.029432499975329</v>
      </c>
      <c r="E293">
        <v>303.93911269816152</v>
      </c>
      <c r="F293">
        <v>-11.81797034100896</v>
      </c>
      <c r="G293">
        <v>11.81797034100896</v>
      </c>
      <c r="H293">
        <v>-6.8311967289069129</v>
      </c>
      <c r="I293">
        <v>6.8311967289069129</v>
      </c>
    </row>
    <row r="294" spans="1:9">
      <c r="A294" s="2">
        <v>44126</v>
      </c>
      <c r="B294">
        <v>204</v>
      </c>
      <c r="C294">
        <v>179.6804841098789</v>
      </c>
      <c r="D294">
        <v>66.330866111737095</v>
      </c>
      <c r="E294">
        <v>292.82240772375621</v>
      </c>
      <c r="F294">
        <v>24.319515890121071</v>
      </c>
      <c r="G294">
        <v>24.319515890121071</v>
      </c>
      <c r="H294">
        <v>11.9213313186868</v>
      </c>
      <c r="I294">
        <v>11.9213313186868</v>
      </c>
    </row>
    <row r="295" spans="1:9">
      <c r="A295" s="2">
        <v>44127</v>
      </c>
      <c r="B295">
        <v>216</v>
      </c>
      <c r="C295">
        <v>170.2249750383761</v>
      </c>
      <c r="D295">
        <v>56.842666002383787</v>
      </c>
      <c r="E295">
        <v>275.38058890104719</v>
      </c>
      <c r="F295">
        <v>45.77502496162387</v>
      </c>
      <c r="G295">
        <v>45.77502496162387</v>
      </c>
      <c r="H295">
        <v>21.192141185936979</v>
      </c>
      <c r="I295">
        <v>21.192141185936979</v>
      </c>
    </row>
    <row r="296" spans="1:9">
      <c r="A296" s="2">
        <v>44128</v>
      </c>
      <c r="B296">
        <v>461</v>
      </c>
      <c r="C296">
        <v>176.56693193457241</v>
      </c>
      <c r="D296">
        <v>68.767136088214514</v>
      </c>
      <c r="E296">
        <v>284.29606264536699</v>
      </c>
      <c r="F296">
        <v>284.43306806542762</v>
      </c>
      <c r="G296">
        <v>284.43306806542762</v>
      </c>
      <c r="H296">
        <v>61.699147085776048</v>
      </c>
      <c r="I296">
        <v>61.699147085776048</v>
      </c>
    </row>
    <row r="297" spans="1:9">
      <c r="A297" s="2">
        <v>44129</v>
      </c>
      <c r="B297">
        <v>56</v>
      </c>
      <c r="C297">
        <v>86.867198906530717</v>
      </c>
      <c r="D297">
        <v>-13.103339656019029</v>
      </c>
      <c r="E297">
        <v>199.60090477684901</v>
      </c>
      <c r="F297">
        <v>-30.867198906530721</v>
      </c>
      <c r="G297">
        <v>30.867198906530721</v>
      </c>
      <c r="H297">
        <v>-55.119998047376278</v>
      </c>
      <c r="I297">
        <v>55.119998047376278</v>
      </c>
    </row>
    <row r="298" spans="1:9">
      <c r="A298" s="2">
        <v>44130</v>
      </c>
      <c r="B298">
        <v>192</v>
      </c>
      <c r="C298">
        <v>185.4907986493173</v>
      </c>
      <c r="D298">
        <v>68.504733170405771</v>
      </c>
      <c r="E298">
        <v>285.52533887134871</v>
      </c>
      <c r="F298">
        <v>6.5092013506827016</v>
      </c>
      <c r="G298">
        <v>6.5092013506827016</v>
      </c>
      <c r="H298">
        <v>3.3902090368139071</v>
      </c>
      <c r="I298">
        <v>3.3902090368139071</v>
      </c>
    </row>
    <row r="299" spans="1:9">
      <c r="A299" s="2">
        <v>44131</v>
      </c>
      <c r="B299">
        <v>382</v>
      </c>
      <c r="C299">
        <v>168.0121144939412</v>
      </c>
      <c r="D299">
        <v>57.23823134335796</v>
      </c>
      <c r="E299">
        <v>276.37428870710647</v>
      </c>
      <c r="F299">
        <v>213.9878855060588</v>
      </c>
      <c r="G299">
        <v>213.9878855060588</v>
      </c>
      <c r="H299">
        <v>56.017771074884493</v>
      </c>
      <c r="I299">
        <v>56.017771074884493</v>
      </c>
    </row>
    <row r="300" spans="1:9">
      <c r="A300" s="2">
        <v>44132</v>
      </c>
      <c r="B300">
        <v>246</v>
      </c>
      <c r="C300">
        <v>178.6544359113206</v>
      </c>
      <c r="D300">
        <v>60.686859199505562</v>
      </c>
      <c r="E300">
        <v>289.23455771355469</v>
      </c>
      <c r="F300">
        <v>67.345564088679367</v>
      </c>
      <c r="G300">
        <v>67.345564088679367</v>
      </c>
      <c r="H300">
        <v>27.376245564503812</v>
      </c>
      <c r="I300">
        <v>27.376245564503812</v>
      </c>
    </row>
    <row r="301" spans="1:9">
      <c r="A301" s="2">
        <v>44133</v>
      </c>
      <c r="B301">
        <v>48</v>
      </c>
      <c r="C301">
        <v>172.15797780643149</v>
      </c>
      <c r="D301">
        <v>59.513337398271851</v>
      </c>
      <c r="E301">
        <v>280.71811767205691</v>
      </c>
      <c r="F301">
        <v>-124.1579778064315</v>
      </c>
      <c r="G301">
        <v>124.1579778064315</v>
      </c>
      <c r="H301">
        <v>-258.66245376339901</v>
      </c>
      <c r="I301">
        <v>258.66245376339901</v>
      </c>
    </row>
    <row r="302" spans="1:9">
      <c r="A302" s="2">
        <v>44134</v>
      </c>
      <c r="B302">
        <v>221</v>
      </c>
      <c r="C302">
        <v>161.42992167163149</v>
      </c>
      <c r="D302">
        <v>42.490249909208771</v>
      </c>
      <c r="E302">
        <v>271.72634032137239</v>
      </c>
      <c r="F302">
        <v>59.570078328368453</v>
      </c>
      <c r="G302">
        <v>59.570078328368453</v>
      </c>
      <c r="H302">
        <v>26.95478657392238</v>
      </c>
      <c r="I302">
        <v>26.95478657392238</v>
      </c>
    </row>
    <row r="303" spans="1:9">
      <c r="A303" s="2">
        <v>44135</v>
      </c>
      <c r="B303">
        <v>275</v>
      </c>
      <c r="C303">
        <v>166.60375211003841</v>
      </c>
      <c r="D303">
        <v>57.49117119442591</v>
      </c>
      <c r="E303">
        <v>278.58176928151892</v>
      </c>
      <c r="F303">
        <v>108.3962478899616</v>
      </c>
      <c r="G303">
        <v>108.3962478899616</v>
      </c>
      <c r="H303">
        <v>39.416817414531486</v>
      </c>
      <c r="I303">
        <v>39.416817414531486</v>
      </c>
    </row>
    <row r="304" spans="1:9">
      <c r="A304" s="2">
        <v>44136</v>
      </c>
      <c r="B304">
        <v>166</v>
      </c>
      <c r="C304">
        <v>75.857065971540877</v>
      </c>
      <c r="D304">
        <v>-34.945603758512682</v>
      </c>
      <c r="E304">
        <v>192.25271950657751</v>
      </c>
      <c r="F304">
        <v>90.142934028459123</v>
      </c>
      <c r="G304">
        <v>90.142934028459123</v>
      </c>
      <c r="H304">
        <v>54.302972306300681</v>
      </c>
      <c r="I304">
        <v>54.302972306300681</v>
      </c>
    </row>
    <row r="305" spans="1:9">
      <c r="A305" s="2">
        <v>44137</v>
      </c>
      <c r="B305">
        <v>137</v>
      </c>
      <c r="C305">
        <v>173.57015285041209</v>
      </c>
      <c r="D305">
        <v>63.602912324384803</v>
      </c>
      <c r="E305">
        <v>284.23732759830568</v>
      </c>
      <c r="F305">
        <v>-36.570152850412057</v>
      </c>
      <c r="G305">
        <v>36.570152850412057</v>
      </c>
      <c r="H305">
        <v>-26.693542226578138</v>
      </c>
      <c r="I305">
        <v>26.693542226578138</v>
      </c>
    </row>
    <row r="306" spans="1:9">
      <c r="A306" s="2">
        <v>44138</v>
      </c>
      <c r="B306">
        <v>146</v>
      </c>
      <c r="C306">
        <v>155.3309493759287</v>
      </c>
      <c r="D306">
        <v>48.469022427420278</v>
      </c>
      <c r="E306">
        <v>267.4809936412455</v>
      </c>
      <c r="F306">
        <v>-9.3309493759286681</v>
      </c>
      <c r="G306">
        <v>9.3309493759286681</v>
      </c>
      <c r="H306">
        <v>-6.3910612163894989</v>
      </c>
      <c r="I306">
        <v>6.3910612163894989</v>
      </c>
    </row>
    <row r="307" spans="1:9">
      <c r="A307" s="2">
        <v>44139</v>
      </c>
      <c r="B307">
        <v>164</v>
      </c>
      <c r="C307">
        <v>165.37437489785501</v>
      </c>
      <c r="D307">
        <v>49.794382215528309</v>
      </c>
      <c r="E307">
        <v>274.31723650756931</v>
      </c>
      <c r="F307">
        <v>-1.3743748978550061</v>
      </c>
      <c r="G307">
        <v>1.3743748978550061</v>
      </c>
      <c r="H307">
        <v>-0.83803347430183284</v>
      </c>
      <c r="I307">
        <v>0.83803347430183284</v>
      </c>
    </row>
    <row r="308" spans="1:9">
      <c r="A308" s="2">
        <v>44140</v>
      </c>
      <c r="B308">
        <v>244</v>
      </c>
      <c r="C308">
        <v>158.4501619057441</v>
      </c>
      <c r="D308">
        <v>50.55681844760641</v>
      </c>
      <c r="E308">
        <v>276.59461896366912</v>
      </c>
      <c r="F308">
        <v>85.549838094255904</v>
      </c>
      <c r="G308">
        <v>85.549838094255904</v>
      </c>
      <c r="H308">
        <v>35.061409055022907</v>
      </c>
      <c r="I308">
        <v>35.061409055022907</v>
      </c>
    </row>
    <row r="309" spans="1:9">
      <c r="A309" s="2">
        <v>44141</v>
      </c>
      <c r="B309">
        <v>161</v>
      </c>
      <c r="C309">
        <v>147.47273225033709</v>
      </c>
      <c r="D309">
        <v>36.974695109779823</v>
      </c>
      <c r="E309">
        <v>257.26799729493149</v>
      </c>
      <c r="F309">
        <v>13.527267749662849</v>
      </c>
      <c r="G309">
        <v>13.527267749662849</v>
      </c>
      <c r="H309">
        <v>8.4020296581756853</v>
      </c>
      <c r="I309">
        <v>8.4020296581756853</v>
      </c>
    </row>
    <row r="310" spans="1:9">
      <c r="A310" s="2">
        <v>44142</v>
      </c>
      <c r="B310">
        <v>163</v>
      </c>
      <c r="C310">
        <v>152.58039565524419</v>
      </c>
      <c r="D310">
        <v>31.815031133126851</v>
      </c>
      <c r="E310">
        <v>258.66957999877019</v>
      </c>
      <c r="F310">
        <v>10.419604344755809</v>
      </c>
      <c r="G310">
        <v>10.419604344755809</v>
      </c>
      <c r="H310">
        <v>6.3923953035311731</v>
      </c>
      <c r="I310">
        <v>6.3923953035311731</v>
      </c>
    </row>
    <row r="311" spans="1:9">
      <c r="A311" s="2">
        <v>44143</v>
      </c>
      <c r="B311">
        <v>346</v>
      </c>
      <c r="C311">
        <v>61.953050617001978</v>
      </c>
      <c r="D311">
        <v>-49.796110435918337</v>
      </c>
      <c r="E311">
        <v>173.48636112772451</v>
      </c>
      <c r="F311">
        <v>284.04694938299798</v>
      </c>
      <c r="G311">
        <v>284.04694938299798</v>
      </c>
      <c r="H311">
        <v>82.094494041328915</v>
      </c>
      <c r="I311">
        <v>82.094494041328915</v>
      </c>
    </row>
    <row r="312" spans="1:9">
      <c r="A312" s="2">
        <v>44144</v>
      </c>
      <c r="B312">
        <v>214</v>
      </c>
      <c r="C312">
        <v>159.97068926892129</v>
      </c>
      <c r="D312">
        <v>56.544387117618292</v>
      </c>
      <c r="E312">
        <v>273.20473545326388</v>
      </c>
      <c r="F312">
        <v>54.029310731078681</v>
      </c>
      <c r="G312">
        <v>54.029310731078681</v>
      </c>
      <c r="H312">
        <v>25.247341463120879</v>
      </c>
      <c r="I312">
        <v>25.247341463120879</v>
      </c>
    </row>
    <row r="313" spans="1:9">
      <c r="A313" s="2">
        <v>44145</v>
      </c>
      <c r="B313">
        <v>48</v>
      </c>
      <c r="C313">
        <v>142.21831107753411</v>
      </c>
      <c r="D313">
        <v>33.853751803337033</v>
      </c>
      <c r="E313">
        <v>256.79615585955901</v>
      </c>
      <c r="F313">
        <v>-94.218311077534139</v>
      </c>
      <c r="G313">
        <v>94.218311077534139</v>
      </c>
      <c r="H313">
        <v>-196.28814807819609</v>
      </c>
      <c r="I313">
        <v>196.28814807819609</v>
      </c>
    </row>
    <row r="314" spans="1:9">
      <c r="A314" s="2">
        <v>44146</v>
      </c>
      <c r="B314">
        <v>225</v>
      </c>
      <c r="C314">
        <v>152.92525524556461</v>
      </c>
      <c r="D314">
        <v>39.313104184181178</v>
      </c>
      <c r="E314">
        <v>263.05941930189118</v>
      </c>
      <c r="F314">
        <v>72.074744754435358</v>
      </c>
      <c r="G314">
        <v>72.074744754435358</v>
      </c>
      <c r="H314">
        <v>32.03321989086016</v>
      </c>
      <c r="I314">
        <v>32.03321989086016</v>
      </c>
    </row>
    <row r="315" spans="1:9">
      <c r="A315" s="2">
        <v>44147</v>
      </c>
      <c r="B315">
        <v>177</v>
      </c>
      <c r="C315">
        <v>146.83306697765951</v>
      </c>
      <c r="D315">
        <v>34.991550911922481</v>
      </c>
      <c r="E315">
        <v>253.44499454849691</v>
      </c>
      <c r="F315">
        <v>30.166933022340459</v>
      </c>
      <c r="G315">
        <v>30.166933022340459</v>
      </c>
      <c r="H315">
        <v>17.043464984373141</v>
      </c>
      <c r="I315">
        <v>17.043464984373141</v>
      </c>
    </row>
    <row r="316" spans="1:9">
      <c r="A316" s="2">
        <v>44148</v>
      </c>
      <c r="B316">
        <v>189</v>
      </c>
      <c r="C316">
        <v>136.84545002657941</v>
      </c>
      <c r="D316">
        <v>19.854445518931449</v>
      </c>
      <c r="E316">
        <v>246.2196208867459</v>
      </c>
      <c r="F316">
        <v>52.154549973420608</v>
      </c>
      <c r="G316">
        <v>52.154549973420608</v>
      </c>
      <c r="H316">
        <v>27.59499998593683</v>
      </c>
      <c r="I316">
        <v>27.59499998593683</v>
      </c>
    </row>
    <row r="317" spans="1:9">
      <c r="A317" s="2">
        <v>44149</v>
      </c>
      <c r="B317">
        <v>169</v>
      </c>
      <c r="C317">
        <v>143.08758278130469</v>
      </c>
      <c r="D317">
        <v>29.496922372273861</v>
      </c>
      <c r="E317">
        <v>252.12602517727859</v>
      </c>
      <c r="F317">
        <v>25.912417218695339</v>
      </c>
      <c r="G317">
        <v>25.912417218695339</v>
      </c>
      <c r="H317">
        <v>15.33279125366588</v>
      </c>
      <c r="I317">
        <v>15.33279125366588</v>
      </c>
    </row>
    <row r="318" spans="1:9">
      <c r="A318" s="2">
        <v>44150</v>
      </c>
      <c r="B318">
        <v>41</v>
      </c>
      <c r="C318">
        <v>53.723978118182899</v>
      </c>
      <c r="D318">
        <v>-58.808473822980247</v>
      </c>
      <c r="E318">
        <v>163.7909485603108</v>
      </c>
      <c r="F318">
        <v>-12.723978118182901</v>
      </c>
      <c r="G318">
        <v>12.723978118182901</v>
      </c>
      <c r="H318">
        <v>-31.034092971177799</v>
      </c>
      <c r="I318">
        <v>31.034092971177799</v>
      </c>
    </row>
    <row r="319" spans="1:9">
      <c r="A319" s="2">
        <v>44151</v>
      </c>
      <c r="B319">
        <v>218</v>
      </c>
      <c r="C319">
        <v>153.11718796102869</v>
      </c>
      <c r="D319">
        <v>49.408881770880178</v>
      </c>
      <c r="E319">
        <v>263.74817992312973</v>
      </c>
      <c r="F319">
        <v>64.882812038971338</v>
      </c>
      <c r="G319">
        <v>64.882812038971338</v>
      </c>
      <c r="H319">
        <v>29.762757816041901</v>
      </c>
      <c r="I319">
        <v>29.762757816041901</v>
      </c>
    </row>
    <row r="320" spans="1:9">
      <c r="A320" s="2">
        <v>44152</v>
      </c>
      <c r="B320">
        <v>194</v>
      </c>
      <c r="C320">
        <v>136.83295600876249</v>
      </c>
      <c r="D320">
        <v>25.798850647960389</v>
      </c>
      <c r="E320">
        <v>250.8865814661514</v>
      </c>
      <c r="F320">
        <v>57.167043991237513</v>
      </c>
      <c r="G320">
        <v>57.167043991237513</v>
      </c>
      <c r="H320">
        <v>29.467548449091499</v>
      </c>
      <c r="I320">
        <v>29.467548449091499</v>
      </c>
    </row>
    <row r="321" spans="1:9">
      <c r="A321" s="2">
        <v>44153</v>
      </c>
      <c r="B321">
        <v>176</v>
      </c>
      <c r="C321">
        <v>149.079826232588</v>
      </c>
      <c r="D321">
        <v>26.722842889731769</v>
      </c>
      <c r="E321">
        <v>255.62978574232221</v>
      </c>
      <c r="F321">
        <v>26.920173767411971</v>
      </c>
      <c r="G321">
        <v>26.920173767411971</v>
      </c>
      <c r="H321">
        <v>15.29555327693862</v>
      </c>
      <c r="I321">
        <v>15.29555327693862</v>
      </c>
    </row>
    <row r="322" spans="1:9">
      <c r="A322" s="2">
        <v>44154</v>
      </c>
      <c r="B322">
        <v>181</v>
      </c>
      <c r="C322">
        <v>144.57731915254581</v>
      </c>
      <c r="D322">
        <v>38.418793142635231</v>
      </c>
      <c r="E322">
        <v>248.20343912943301</v>
      </c>
      <c r="F322">
        <v>36.422680847454252</v>
      </c>
      <c r="G322">
        <v>36.422680847454252</v>
      </c>
      <c r="H322">
        <v>20.123028092516162</v>
      </c>
      <c r="I322">
        <v>20.123028092516162</v>
      </c>
    </row>
    <row r="323" spans="1:9">
      <c r="A323" s="2">
        <v>44155</v>
      </c>
      <c r="B323">
        <v>159</v>
      </c>
      <c r="C323">
        <v>136.20622428087361</v>
      </c>
      <c r="D323">
        <v>20.38714254422845</v>
      </c>
      <c r="E323">
        <v>247.86391942255199</v>
      </c>
      <c r="F323">
        <v>22.793775719126359</v>
      </c>
      <c r="G323">
        <v>22.793775719126359</v>
      </c>
      <c r="H323">
        <v>14.335707999450539</v>
      </c>
      <c r="I323">
        <v>14.335707999450539</v>
      </c>
    </row>
    <row r="324" spans="1:9">
      <c r="A324" s="2">
        <v>44156</v>
      </c>
      <c r="B324">
        <v>144</v>
      </c>
      <c r="C324">
        <v>144.0682811017019</v>
      </c>
      <c r="D324">
        <v>34.12783490182948</v>
      </c>
      <c r="E324">
        <v>259.95014791986819</v>
      </c>
      <c r="F324">
        <v>-6.8281101701927582E-2</v>
      </c>
      <c r="G324">
        <v>6.8281101701927582E-2</v>
      </c>
      <c r="H324">
        <v>-4.7417431737449708E-2</v>
      </c>
      <c r="I324">
        <v>4.7417431737449708E-2</v>
      </c>
    </row>
    <row r="325" spans="1:9">
      <c r="A325" s="2">
        <v>44157</v>
      </c>
      <c r="B325">
        <v>30</v>
      </c>
      <c r="C325">
        <v>56.304423079904687</v>
      </c>
      <c r="D325">
        <v>-50.581911845330012</v>
      </c>
      <c r="E325">
        <v>164.39261823737741</v>
      </c>
      <c r="F325">
        <v>-26.304423079904691</v>
      </c>
      <c r="G325">
        <v>26.304423079904691</v>
      </c>
      <c r="H325">
        <v>-87.681410266348976</v>
      </c>
      <c r="I325">
        <v>87.681410266348976</v>
      </c>
    </row>
    <row r="326" spans="1:9">
      <c r="A326" s="2">
        <v>44158</v>
      </c>
      <c r="B326">
        <v>197</v>
      </c>
      <c r="C326">
        <v>157.25387918514849</v>
      </c>
      <c r="D326">
        <v>37.149676187264348</v>
      </c>
      <c r="E326">
        <v>272.5879608262718</v>
      </c>
      <c r="F326">
        <v>39.746120814851508</v>
      </c>
      <c r="G326">
        <v>39.746120814851508</v>
      </c>
      <c r="H326">
        <v>20.17569584510229</v>
      </c>
      <c r="I326">
        <v>20.17569584510229</v>
      </c>
    </row>
    <row r="327" spans="1:9">
      <c r="A327" s="2">
        <v>44159</v>
      </c>
      <c r="B327">
        <v>56</v>
      </c>
      <c r="C327">
        <v>142.45972926521401</v>
      </c>
      <c r="D327">
        <v>23.328021822190941</v>
      </c>
      <c r="E327">
        <v>249.49787186970121</v>
      </c>
      <c r="F327">
        <v>-86.459729265214008</v>
      </c>
      <c r="G327">
        <v>86.459729265214008</v>
      </c>
      <c r="H327">
        <v>-154.39237368788221</v>
      </c>
      <c r="I327">
        <v>154.39237368788221</v>
      </c>
    </row>
    <row r="328" spans="1:9">
      <c r="A328" s="2">
        <v>44160</v>
      </c>
      <c r="B328">
        <v>182</v>
      </c>
      <c r="C328">
        <v>156.10891322535051</v>
      </c>
      <c r="D328">
        <v>47.00415754252024</v>
      </c>
      <c r="E328">
        <v>262.17280107379588</v>
      </c>
      <c r="F328">
        <v>25.89108677464947</v>
      </c>
      <c r="G328">
        <v>25.89108677464947</v>
      </c>
      <c r="H328">
        <v>14.225871854203</v>
      </c>
      <c r="I328">
        <v>14.225871854203</v>
      </c>
    </row>
    <row r="329" spans="1:9">
      <c r="A329" s="2">
        <v>44161</v>
      </c>
      <c r="B329">
        <v>178</v>
      </c>
      <c r="C329">
        <v>152.90079799515439</v>
      </c>
      <c r="D329">
        <v>45.705806353646437</v>
      </c>
      <c r="E329">
        <v>257.88302366972079</v>
      </c>
      <c r="F329">
        <v>25.09920200484564</v>
      </c>
      <c r="G329">
        <v>25.09920200484564</v>
      </c>
      <c r="H329">
        <v>14.10067528362115</v>
      </c>
      <c r="I329">
        <v>14.10067528362115</v>
      </c>
    </row>
    <row r="330" spans="1:9">
      <c r="A330" s="2">
        <v>44162</v>
      </c>
      <c r="B330">
        <v>183</v>
      </c>
      <c r="C330">
        <v>145.69784244667201</v>
      </c>
      <c r="D330">
        <v>34.003946128369058</v>
      </c>
      <c r="E330">
        <v>266.90968891870961</v>
      </c>
      <c r="F330">
        <v>37.302157553327987</v>
      </c>
      <c r="G330">
        <v>37.302157553327987</v>
      </c>
      <c r="H330">
        <v>20.383692652091799</v>
      </c>
      <c r="I330">
        <v>20.383692652091799</v>
      </c>
    </row>
    <row r="331" spans="1:9">
      <c r="A331" s="2">
        <v>44163</v>
      </c>
      <c r="B331">
        <v>197</v>
      </c>
      <c r="C331">
        <v>154.58562437701471</v>
      </c>
      <c r="D331">
        <v>32.265655481249652</v>
      </c>
      <c r="E331">
        <v>259.40881099260372</v>
      </c>
      <c r="F331">
        <v>42.414375622985261</v>
      </c>
      <c r="G331">
        <v>42.414375622985261</v>
      </c>
      <c r="H331">
        <v>21.530139910144801</v>
      </c>
      <c r="I331">
        <v>21.530139910144801</v>
      </c>
    </row>
    <row r="332" spans="1:9">
      <c r="A332" s="2">
        <v>44164</v>
      </c>
      <c r="B332">
        <v>60</v>
      </c>
      <c r="C332">
        <v>67.6913959884333</v>
      </c>
      <c r="D332">
        <v>-27.327008740910671</v>
      </c>
      <c r="E332">
        <v>183.78733796480441</v>
      </c>
      <c r="F332">
        <v>-7.6913959884332996</v>
      </c>
      <c r="G332">
        <v>7.6913959884332996</v>
      </c>
      <c r="H332">
        <v>-12.818993314055501</v>
      </c>
      <c r="I332">
        <v>12.818993314055501</v>
      </c>
    </row>
    <row r="333" spans="1:9">
      <c r="A333" s="2">
        <v>44165</v>
      </c>
      <c r="B333">
        <v>241</v>
      </c>
      <c r="C333">
        <v>169.3434546761961</v>
      </c>
      <c r="D333">
        <v>64.415189277933777</v>
      </c>
      <c r="E333">
        <v>283.24033533374029</v>
      </c>
      <c r="F333">
        <v>71.656545323803897</v>
      </c>
      <c r="G333">
        <v>71.656545323803897</v>
      </c>
      <c r="H333">
        <v>29.733006358424849</v>
      </c>
      <c r="I333">
        <v>29.733006358424849</v>
      </c>
    </row>
    <row r="334" spans="1:9">
      <c r="A334" s="2">
        <v>44166</v>
      </c>
      <c r="B334">
        <v>32</v>
      </c>
      <c r="C334">
        <v>155.07691839372421</v>
      </c>
      <c r="D334">
        <v>44.065005369786881</v>
      </c>
      <c r="E334">
        <v>266.94382579400849</v>
      </c>
      <c r="F334">
        <v>-123.0769183937242</v>
      </c>
      <c r="G334">
        <v>123.0769183937242</v>
      </c>
      <c r="H334">
        <v>-384.61536998038821</v>
      </c>
      <c r="I334">
        <v>384.61536998038821</v>
      </c>
    </row>
    <row r="335" spans="1:9">
      <c r="A335" s="2">
        <v>44167</v>
      </c>
      <c r="B335">
        <v>254</v>
      </c>
      <c r="C335">
        <v>169.07389929692479</v>
      </c>
      <c r="D335">
        <v>53.477433753696843</v>
      </c>
      <c r="E335">
        <v>276.00223953692512</v>
      </c>
      <c r="F335">
        <v>84.926100703075235</v>
      </c>
      <c r="G335">
        <v>84.926100703075235</v>
      </c>
      <c r="H335">
        <v>33.435472717746158</v>
      </c>
      <c r="I335">
        <v>33.435472717746158</v>
      </c>
    </row>
    <row r="336" spans="1:9">
      <c r="A336" s="2">
        <v>44168</v>
      </c>
      <c r="B336">
        <v>147</v>
      </c>
      <c r="C336">
        <v>166.0321744141832</v>
      </c>
      <c r="D336">
        <v>64.074624543070442</v>
      </c>
      <c r="E336">
        <v>280.97134387018588</v>
      </c>
      <c r="F336">
        <v>-19.032174414183199</v>
      </c>
      <c r="G336">
        <v>19.032174414183199</v>
      </c>
      <c r="H336">
        <v>-12.947057424614419</v>
      </c>
      <c r="I336">
        <v>12.947057424614419</v>
      </c>
    </row>
    <row r="337" spans="1:9">
      <c r="A337" s="2">
        <v>44169</v>
      </c>
      <c r="B337">
        <v>42</v>
      </c>
      <c r="C337">
        <v>158.81588945700261</v>
      </c>
      <c r="D337">
        <v>42.429413639739103</v>
      </c>
      <c r="E337">
        <v>269.96912136283743</v>
      </c>
      <c r="F337">
        <v>-116.8158894570026</v>
      </c>
      <c r="G337">
        <v>116.8158894570026</v>
      </c>
      <c r="H337">
        <v>-278.13307013572029</v>
      </c>
      <c r="I337">
        <v>278.13307013572029</v>
      </c>
    </row>
    <row r="338" spans="1:9">
      <c r="A338" s="2">
        <v>44170</v>
      </c>
      <c r="B338">
        <v>186</v>
      </c>
      <c r="C338">
        <v>167.5155571851671</v>
      </c>
      <c r="D338">
        <v>55.860465974930179</v>
      </c>
      <c r="E338">
        <v>275.03505024741668</v>
      </c>
      <c r="F338">
        <v>18.484442814832871</v>
      </c>
      <c r="G338">
        <v>18.484442814832871</v>
      </c>
      <c r="H338">
        <v>9.9378724810929437</v>
      </c>
      <c r="I338">
        <v>9.9378724810929437</v>
      </c>
    </row>
    <row r="339" spans="1:9">
      <c r="A339" s="2">
        <v>44171</v>
      </c>
      <c r="B339">
        <v>132</v>
      </c>
      <c r="C339">
        <v>80.266515579393456</v>
      </c>
      <c r="D339">
        <v>-34.914812012478507</v>
      </c>
      <c r="E339">
        <v>186.57160658564379</v>
      </c>
      <c r="F339">
        <v>51.733484420606537</v>
      </c>
      <c r="G339">
        <v>51.733484420606537</v>
      </c>
      <c r="H339">
        <v>39.192033651974647</v>
      </c>
      <c r="I339">
        <v>39.192033651974647</v>
      </c>
    </row>
    <row r="340" spans="1:9">
      <c r="A340" s="2">
        <v>44172</v>
      </c>
      <c r="B340">
        <v>12</v>
      </c>
      <c r="C340">
        <v>181.40813298246809</v>
      </c>
      <c r="D340">
        <v>69.48951523160386</v>
      </c>
      <c r="E340">
        <v>300.21458157583947</v>
      </c>
      <c r="F340">
        <v>-169.40813298246809</v>
      </c>
      <c r="G340">
        <v>169.40813298246809</v>
      </c>
      <c r="H340">
        <v>-1411.734441520568</v>
      </c>
      <c r="I340">
        <v>1411.734441520568</v>
      </c>
    </row>
    <row r="341" spans="1:9">
      <c r="A341" s="2">
        <v>44173</v>
      </c>
      <c r="B341">
        <v>187</v>
      </c>
      <c r="C341">
        <v>166.48935151872621</v>
      </c>
      <c r="D341">
        <v>67.621167801455059</v>
      </c>
      <c r="E341">
        <v>275.17083832836232</v>
      </c>
      <c r="F341">
        <v>20.510648481273758</v>
      </c>
      <c r="G341">
        <v>20.510648481273758</v>
      </c>
      <c r="H341">
        <v>10.96826121993249</v>
      </c>
      <c r="I341">
        <v>10.96826121993249</v>
      </c>
    </row>
    <row r="342" spans="1:9">
      <c r="A342" s="2">
        <v>44174</v>
      </c>
      <c r="B342">
        <v>186</v>
      </c>
      <c r="C342">
        <v>179.70856616612161</v>
      </c>
      <c r="D342">
        <v>68.516297623723773</v>
      </c>
      <c r="E342">
        <v>289.41630014656693</v>
      </c>
      <c r="F342">
        <v>6.2914338338784148</v>
      </c>
      <c r="G342">
        <v>6.2914338338784148</v>
      </c>
      <c r="H342">
        <v>3.3824913085367818</v>
      </c>
      <c r="I342">
        <v>3.3824913085367818</v>
      </c>
    </row>
    <row r="343" spans="1:9">
      <c r="A343" s="2">
        <v>44175</v>
      </c>
      <c r="B343">
        <v>246</v>
      </c>
      <c r="C343">
        <v>175.78194355804359</v>
      </c>
      <c r="D343">
        <v>67.656411896447366</v>
      </c>
      <c r="E343">
        <v>285.07737959418068</v>
      </c>
      <c r="F343">
        <v>70.218056441956406</v>
      </c>
      <c r="G343">
        <v>70.218056441956406</v>
      </c>
      <c r="H343">
        <v>28.543925382909109</v>
      </c>
      <c r="I343">
        <v>28.543925382909109</v>
      </c>
    </row>
    <row r="344" spans="1:9">
      <c r="A344" s="2">
        <v>44176</v>
      </c>
      <c r="B344">
        <v>200</v>
      </c>
      <c r="C344">
        <v>167.5937235052055</v>
      </c>
      <c r="D344">
        <v>61.111792157687432</v>
      </c>
      <c r="E344">
        <v>276.0160903045076</v>
      </c>
      <c r="F344">
        <v>32.406276494794469</v>
      </c>
      <c r="G344">
        <v>32.406276494794469</v>
      </c>
      <c r="H344">
        <v>16.203138247397231</v>
      </c>
      <c r="I344">
        <v>16.203138247397231</v>
      </c>
    </row>
    <row r="345" spans="1:9">
      <c r="A345" s="2">
        <v>44177</v>
      </c>
      <c r="B345">
        <v>159</v>
      </c>
      <c r="C345">
        <v>175.25577300439309</v>
      </c>
      <c r="D345">
        <v>51.231407695264281</v>
      </c>
      <c r="E345">
        <v>287.33826880333248</v>
      </c>
      <c r="F345">
        <v>-16.25577300439306</v>
      </c>
      <c r="G345">
        <v>16.25577300439306</v>
      </c>
      <c r="H345">
        <v>-10.22375660653652</v>
      </c>
      <c r="I345">
        <v>10.22375660653652</v>
      </c>
    </row>
    <row r="346" spans="1:9">
      <c r="A346" s="2">
        <v>44178</v>
      </c>
      <c r="B346">
        <v>33</v>
      </c>
      <c r="C346">
        <v>86.925567583577475</v>
      </c>
      <c r="D346">
        <v>-20.13735432083288</v>
      </c>
      <c r="E346">
        <v>196.84440000058501</v>
      </c>
      <c r="F346">
        <v>-53.925567583577482</v>
      </c>
      <c r="G346">
        <v>53.925567583577482</v>
      </c>
      <c r="H346">
        <v>-163.41081085932569</v>
      </c>
      <c r="I346">
        <v>163.41081085932569</v>
      </c>
    </row>
    <row r="347" spans="1:9">
      <c r="A347" s="2">
        <v>44179</v>
      </c>
      <c r="B347">
        <v>228</v>
      </c>
      <c r="C347">
        <v>186.96489788898441</v>
      </c>
      <c r="D347">
        <v>80.795726537408868</v>
      </c>
      <c r="E347">
        <v>294.77225549601582</v>
      </c>
      <c r="F347">
        <v>41.03510211101559</v>
      </c>
      <c r="G347">
        <v>41.03510211101559</v>
      </c>
      <c r="H347">
        <v>17.997851803077019</v>
      </c>
      <c r="I347">
        <v>17.997851803077019</v>
      </c>
    </row>
    <row r="348" spans="1:9">
      <c r="A348" s="2">
        <v>44180</v>
      </c>
      <c r="B348">
        <v>177</v>
      </c>
      <c r="C348">
        <v>170.94490437047099</v>
      </c>
      <c r="D348">
        <v>64.734439008588524</v>
      </c>
      <c r="E348">
        <v>288.61976235653839</v>
      </c>
      <c r="F348">
        <v>6.055095629528978</v>
      </c>
      <c r="G348">
        <v>6.055095629528978</v>
      </c>
      <c r="H348">
        <v>3.4209579827847341</v>
      </c>
      <c r="I348">
        <v>3.4209579827847341</v>
      </c>
    </row>
    <row r="349" spans="1:9">
      <c r="A349" s="2">
        <v>44181</v>
      </c>
      <c r="B349">
        <v>197</v>
      </c>
      <c r="C349">
        <v>183.08544959357809</v>
      </c>
      <c r="D349">
        <v>66.24687161767487</v>
      </c>
      <c r="E349">
        <v>290.08711455611359</v>
      </c>
      <c r="F349">
        <v>13.91455040642194</v>
      </c>
      <c r="G349">
        <v>13.91455040642194</v>
      </c>
      <c r="H349">
        <v>7.0632235565593584</v>
      </c>
      <c r="I349">
        <v>7.0632235565593584</v>
      </c>
    </row>
    <row r="350" spans="1:9">
      <c r="A350" s="2">
        <v>44183</v>
      </c>
      <c r="B350">
        <v>301</v>
      </c>
      <c r="C350">
        <v>168.96018526953009</v>
      </c>
      <c r="D350">
        <v>56.970435543186461</v>
      </c>
      <c r="E350">
        <v>271.07053428658622</v>
      </c>
      <c r="F350">
        <v>132.03981473046991</v>
      </c>
      <c r="G350">
        <v>132.03981473046991</v>
      </c>
      <c r="H350">
        <v>43.86704808321258</v>
      </c>
      <c r="I350">
        <v>43.86704808321258</v>
      </c>
    </row>
    <row r="351" spans="1:9">
      <c r="A351" s="2">
        <v>44184</v>
      </c>
      <c r="B351">
        <v>179</v>
      </c>
      <c r="C351">
        <v>175.7254788186797</v>
      </c>
      <c r="D351">
        <v>66.552114686712031</v>
      </c>
      <c r="E351">
        <v>291.06776813481281</v>
      </c>
      <c r="F351">
        <v>3.2745211813203241</v>
      </c>
      <c r="G351">
        <v>3.2745211813203241</v>
      </c>
      <c r="H351">
        <v>1.8293414420783931</v>
      </c>
      <c r="I351">
        <v>1.8293414420783931</v>
      </c>
    </row>
    <row r="352" spans="1:9">
      <c r="A352" s="2">
        <v>44185</v>
      </c>
      <c r="B352">
        <v>45</v>
      </c>
      <c r="C352">
        <v>86.590249438365461</v>
      </c>
      <c r="D352">
        <v>-28.106464651745139</v>
      </c>
      <c r="E352">
        <v>206.3120938557889</v>
      </c>
      <c r="F352">
        <v>-41.590249438365461</v>
      </c>
      <c r="G352">
        <v>41.590249438365461</v>
      </c>
      <c r="H352">
        <v>-92.422776529701025</v>
      </c>
      <c r="I352">
        <v>92.422776529701025</v>
      </c>
    </row>
    <row r="353" spans="1:9">
      <c r="A353" s="2">
        <v>44186</v>
      </c>
      <c r="B353">
        <v>180</v>
      </c>
      <c r="C353">
        <v>185.927428551107</v>
      </c>
      <c r="D353">
        <v>71.81248919930097</v>
      </c>
      <c r="E353">
        <v>298.70478654223962</v>
      </c>
      <c r="F353">
        <v>-5.9274285511069991</v>
      </c>
      <c r="G353">
        <v>5.9274285511069991</v>
      </c>
      <c r="H353">
        <v>-3.29301586172611</v>
      </c>
      <c r="I353">
        <v>3.29301586172611</v>
      </c>
    </row>
    <row r="354" spans="1:9">
      <c r="A354" s="2">
        <v>44187</v>
      </c>
      <c r="B354">
        <v>206</v>
      </c>
      <c r="C354">
        <v>169.3162432771486</v>
      </c>
      <c r="D354">
        <v>60.207368299642042</v>
      </c>
      <c r="E354">
        <v>275.66808634035561</v>
      </c>
      <c r="F354">
        <v>36.683756722851399</v>
      </c>
      <c r="G354">
        <v>36.683756722851399</v>
      </c>
      <c r="H354">
        <v>17.807648894588059</v>
      </c>
      <c r="I354">
        <v>17.807648894588059</v>
      </c>
    </row>
    <row r="355" spans="1:9">
      <c r="A355" s="2">
        <v>44188</v>
      </c>
      <c r="B355">
        <v>187</v>
      </c>
      <c r="C355">
        <v>180.98141955757291</v>
      </c>
      <c r="D355">
        <v>71.773643099842047</v>
      </c>
      <c r="E355">
        <v>289.62873202101417</v>
      </c>
      <c r="F355">
        <v>6.0185804424270941</v>
      </c>
      <c r="G355">
        <v>6.0185804424270941</v>
      </c>
      <c r="H355">
        <v>3.2184922152016542</v>
      </c>
      <c r="I355">
        <v>3.2184922152016542</v>
      </c>
    </row>
    <row r="356" spans="1:9">
      <c r="A356" s="2">
        <v>44189</v>
      </c>
      <c r="B356">
        <v>186</v>
      </c>
      <c r="C356">
        <v>175.66092217062629</v>
      </c>
      <c r="D356">
        <v>65.505416055797212</v>
      </c>
      <c r="E356">
        <v>290.42431167864368</v>
      </c>
      <c r="F356">
        <v>10.339077829373711</v>
      </c>
      <c r="G356">
        <v>10.339077829373711</v>
      </c>
      <c r="H356">
        <v>5.5586439942869399</v>
      </c>
      <c r="I356">
        <v>5.5586439942869399</v>
      </c>
    </row>
    <row r="357" spans="1:9">
      <c r="A357" s="2">
        <v>44190</v>
      </c>
      <c r="B357">
        <v>189</v>
      </c>
      <c r="C357">
        <v>166.25579065999619</v>
      </c>
      <c r="D357">
        <v>52.517638398896388</v>
      </c>
      <c r="E357">
        <v>268.75320309776401</v>
      </c>
      <c r="F357">
        <v>22.744209340003831</v>
      </c>
      <c r="G357">
        <v>22.744209340003831</v>
      </c>
      <c r="H357">
        <v>12.033973195769221</v>
      </c>
      <c r="I357">
        <v>12.033973195769221</v>
      </c>
    </row>
    <row r="358" spans="1:9">
      <c r="A358" s="2">
        <v>44191</v>
      </c>
      <c r="B358">
        <v>127</v>
      </c>
      <c r="C358">
        <v>172.88935443936381</v>
      </c>
      <c r="D358">
        <v>56.981735034603737</v>
      </c>
      <c r="E358">
        <v>275.93905088753837</v>
      </c>
      <c r="F358">
        <v>-45.889354439363807</v>
      </c>
      <c r="G358">
        <v>45.889354439363807</v>
      </c>
      <c r="H358">
        <v>-36.133349952254967</v>
      </c>
      <c r="I358">
        <v>36.133349952254967</v>
      </c>
    </row>
    <row r="359" spans="1:9">
      <c r="A359" s="2">
        <v>44192</v>
      </c>
      <c r="B359">
        <v>93</v>
      </c>
      <c r="C359">
        <v>83.725012447820134</v>
      </c>
      <c r="D359">
        <v>-25.864029671271929</v>
      </c>
      <c r="E359">
        <v>196.44071415711741</v>
      </c>
      <c r="F359">
        <v>9.2749875521798657</v>
      </c>
      <c r="G359">
        <v>9.2749875521798657</v>
      </c>
      <c r="H359">
        <v>9.9731048948170606</v>
      </c>
      <c r="I359">
        <v>9.9731048948170606</v>
      </c>
    </row>
    <row r="360" spans="1:9">
      <c r="A360" s="2">
        <v>44193</v>
      </c>
      <c r="B360">
        <v>328</v>
      </c>
      <c r="C360">
        <v>183.1248824809943</v>
      </c>
      <c r="D360">
        <v>73.420732935929152</v>
      </c>
      <c r="E360">
        <v>291.69688285185703</v>
      </c>
      <c r="F360">
        <v>144.8751175190057</v>
      </c>
      <c r="G360">
        <v>144.8751175190057</v>
      </c>
      <c r="H360">
        <v>44.169243146038333</v>
      </c>
      <c r="I360">
        <v>44.169243146038333</v>
      </c>
    </row>
    <row r="361" spans="1:9">
      <c r="A361" s="2">
        <v>44194</v>
      </c>
      <c r="B361">
        <v>238</v>
      </c>
      <c r="C361">
        <v>166.65492666291581</v>
      </c>
      <c r="D361">
        <v>60.810558610685113</v>
      </c>
      <c r="E361">
        <v>276.99314956002871</v>
      </c>
      <c r="F361">
        <v>71.345073337084187</v>
      </c>
      <c r="G361">
        <v>71.345073337084187</v>
      </c>
      <c r="H361">
        <v>29.976921570203441</v>
      </c>
      <c r="I361">
        <v>29.976921570203441</v>
      </c>
    </row>
    <row r="362" spans="1:9">
      <c r="A362" s="2">
        <v>44195</v>
      </c>
      <c r="B362">
        <v>237</v>
      </c>
      <c r="C362">
        <v>178.52456240859351</v>
      </c>
      <c r="D362">
        <v>65.853403206062083</v>
      </c>
      <c r="E362">
        <v>292.29983628833912</v>
      </c>
      <c r="F362">
        <v>58.475437591406489</v>
      </c>
      <c r="G362">
        <v>58.475437591406489</v>
      </c>
      <c r="H362">
        <v>24.673180418314971</v>
      </c>
      <c r="I362">
        <v>24.673180418314971</v>
      </c>
    </row>
    <row r="363" spans="1:9">
      <c r="A363" s="2">
        <v>44196</v>
      </c>
      <c r="B363">
        <v>257</v>
      </c>
      <c r="C363">
        <v>173.45487130341451</v>
      </c>
      <c r="D363">
        <v>66.492161140737963</v>
      </c>
      <c r="E363">
        <v>285.53956209396102</v>
      </c>
      <c r="F363">
        <v>83.545128696585493</v>
      </c>
      <c r="G363">
        <v>83.545128696585493</v>
      </c>
      <c r="H363">
        <v>32.507832177659722</v>
      </c>
      <c r="I363">
        <v>32.507832177659722</v>
      </c>
    </row>
    <row r="364" spans="1:9">
      <c r="A364" s="2">
        <v>44197</v>
      </c>
      <c r="B364">
        <v>238</v>
      </c>
      <c r="C364">
        <v>164.32895333528739</v>
      </c>
      <c r="D364">
        <v>58.339871151808573</v>
      </c>
      <c r="E364">
        <v>275.86003629482082</v>
      </c>
      <c r="F364">
        <v>73.671046664712634</v>
      </c>
      <c r="G364">
        <v>73.671046664712634</v>
      </c>
      <c r="H364">
        <v>30.954221287694381</v>
      </c>
      <c r="I364">
        <v>30.954221287694381</v>
      </c>
    </row>
    <row r="365" spans="1:9">
      <c r="A365" s="2">
        <v>44198</v>
      </c>
      <c r="B365">
        <v>208</v>
      </c>
      <c r="C365">
        <v>171.25169655456179</v>
      </c>
      <c r="D365">
        <v>61.16250723990494</v>
      </c>
      <c r="E365">
        <v>280.86188512336838</v>
      </c>
      <c r="F365">
        <v>36.748303445438239</v>
      </c>
      <c r="G365">
        <v>36.748303445438239</v>
      </c>
      <c r="H365">
        <v>17.667453579537611</v>
      </c>
      <c r="I365">
        <v>17.667453579537611</v>
      </c>
    </row>
    <row r="366" spans="1:9">
      <c r="A366" s="2">
        <v>44199</v>
      </c>
      <c r="B366">
        <v>230</v>
      </c>
      <c r="C366">
        <v>82.368133076941362</v>
      </c>
      <c r="D366">
        <v>-28.983612833716531</v>
      </c>
      <c r="E366">
        <v>187.88300004466299</v>
      </c>
      <c r="F366">
        <v>147.6318669230586</v>
      </c>
      <c r="G366">
        <v>147.6318669230586</v>
      </c>
      <c r="H366">
        <v>64.187768227416797</v>
      </c>
      <c r="I366">
        <v>64.187768227416797</v>
      </c>
    </row>
    <row r="367" spans="1:9">
      <c r="A367" s="2">
        <v>44200</v>
      </c>
      <c r="B367">
        <v>14</v>
      </c>
      <c r="C367">
        <v>182.02267115072161</v>
      </c>
      <c r="D367">
        <v>66.250980125131434</v>
      </c>
      <c r="E367">
        <v>304.78227666786159</v>
      </c>
      <c r="F367">
        <v>-168.02267115072161</v>
      </c>
      <c r="G367">
        <v>168.02267115072161</v>
      </c>
      <c r="H367">
        <v>-1200.161936790869</v>
      </c>
      <c r="I367">
        <v>1200.161936790869</v>
      </c>
    </row>
    <row r="368" spans="1:9">
      <c r="A368" s="2">
        <v>44201</v>
      </c>
      <c r="B368">
        <v>163</v>
      </c>
      <c r="C368">
        <v>165.76479382791101</v>
      </c>
      <c r="D368">
        <v>53.234726981549379</v>
      </c>
      <c r="E368">
        <v>280.38238015458262</v>
      </c>
      <c r="F368">
        <v>-2.7647938279109781</v>
      </c>
      <c r="G368">
        <v>2.7647938279109781</v>
      </c>
      <c r="H368">
        <v>-1.696192532460723</v>
      </c>
      <c r="I368">
        <v>1.696192532460723</v>
      </c>
    </row>
    <row r="369" spans="1:9">
      <c r="A369" s="2">
        <v>44202</v>
      </c>
      <c r="B369">
        <v>124</v>
      </c>
      <c r="C369">
        <v>177.7892175350396</v>
      </c>
      <c r="D369">
        <v>75.056553639080008</v>
      </c>
      <c r="E369">
        <v>292.87263600736929</v>
      </c>
      <c r="F369">
        <v>-53.789217535039633</v>
      </c>
      <c r="G369">
        <v>53.789217535039633</v>
      </c>
      <c r="H369">
        <v>-43.378401237935179</v>
      </c>
      <c r="I369">
        <v>43.378401237935179</v>
      </c>
    </row>
    <row r="370" spans="1:9">
      <c r="A370" s="2">
        <v>44203</v>
      </c>
      <c r="B370">
        <v>170</v>
      </c>
      <c r="C370">
        <v>172.80460729792631</v>
      </c>
      <c r="D370">
        <v>67.701100317391109</v>
      </c>
      <c r="E370">
        <v>290.33859115343768</v>
      </c>
      <c r="F370">
        <v>-2.8046072979262822</v>
      </c>
      <c r="G370">
        <v>2.8046072979262822</v>
      </c>
      <c r="H370">
        <v>-1.649768998780166</v>
      </c>
      <c r="I370">
        <v>1.649768998780166</v>
      </c>
    </row>
    <row r="371" spans="1:9">
      <c r="A371" s="2">
        <v>44204</v>
      </c>
      <c r="B371">
        <v>27</v>
      </c>
      <c r="C371">
        <v>163.6843806870321</v>
      </c>
      <c r="D371">
        <v>48.43798147466795</v>
      </c>
      <c r="E371">
        <v>272.54621914211822</v>
      </c>
      <c r="F371">
        <v>-136.6843806870321</v>
      </c>
      <c r="G371">
        <v>136.6843806870321</v>
      </c>
      <c r="H371">
        <v>-506.2384469890078</v>
      </c>
      <c r="I371">
        <v>506.2384469890078</v>
      </c>
    </row>
    <row r="372" spans="1:9">
      <c r="A372" s="2">
        <v>44205</v>
      </c>
      <c r="B372">
        <v>146</v>
      </c>
      <c r="C372">
        <v>170.52685746001191</v>
      </c>
      <c r="D372">
        <v>61.938436128104698</v>
      </c>
      <c r="E372">
        <v>282.09516301244469</v>
      </c>
      <c r="F372">
        <v>-24.526857460011939</v>
      </c>
      <c r="G372">
        <v>24.526857460011939</v>
      </c>
      <c r="H372">
        <v>-16.799217438364341</v>
      </c>
      <c r="I372">
        <v>16.799217438364341</v>
      </c>
    </row>
    <row r="373" spans="1:9">
      <c r="A373" s="2">
        <v>44206</v>
      </c>
      <c r="B373">
        <v>108</v>
      </c>
      <c r="C373">
        <v>81.473912806353084</v>
      </c>
      <c r="D373">
        <v>-37.346449821738368</v>
      </c>
      <c r="E373">
        <v>184.07488341231479</v>
      </c>
      <c r="F373">
        <v>26.526087193646919</v>
      </c>
      <c r="G373">
        <v>26.526087193646919</v>
      </c>
      <c r="H373">
        <v>24.561191845969361</v>
      </c>
      <c r="I373">
        <v>24.561191845969361</v>
      </c>
    </row>
    <row r="374" spans="1:9">
      <c r="A374" s="2">
        <v>44207</v>
      </c>
      <c r="B374">
        <v>210</v>
      </c>
      <c r="C374">
        <v>180.87041395041089</v>
      </c>
      <c r="D374">
        <v>73.075051699621312</v>
      </c>
      <c r="E374">
        <v>288.09535063548969</v>
      </c>
      <c r="F374">
        <v>29.129586049589051</v>
      </c>
      <c r="G374">
        <v>29.129586049589051</v>
      </c>
      <c r="H374">
        <v>13.87123145218526</v>
      </c>
      <c r="I374">
        <v>13.87123145218526</v>
      </c>
    </row>
    <row r="375" spans="1:9">
      <c r="A375" s="2">
        <v>44208</v>
      </c>
      <c r="B375">
        <v>352</v>
      </c>
      <c r="C375">
        <v>164.2700225112186</v>
      </c>
      <c r="D375">
        <v>49.235148227675047</v>
      </c>
      <c r="E375">
        <v>270.86147157295869</v>
      </c>
      <c r="F375">
        <v>187.7299774887814</v>
      </c>
      <c r="G375">
        <v>187.7299774887814</v>
      </c>
      <c r="H375">
        <v>53.332379968403806</v>
      </c>
      <c r="I375">
        <v>53.332379968403806</v>
      </c>
    </row>
    <row r="376" spans="1:9">
      <c r="A376" s="2">
        <v>44209</v>
      </c>
      <c r="B376">
        <v>208</v>
      </c>
      <c r="C376">
        <v>175.87535037950931</v>
      </c>
      <c r="D376">
        <v>65.572556235209021</v>
      </c>
      <c r="E376">
        <v>280.77447921129829</v>
      </c>
      <c r="F376">
        <v>32.124649620490743</v>
      </c>
      <c r="G376">
        <v>32.124649620490743</v>
      </c>
      <c r="H376">
        <v>15.4445430867744</v>
      </c>
      <c r="I376">
        <v>15.4445430867744</v>
      </c>
    </row>
    <row r="377" spans="1:9">
      <c r="A377" s="2">
        <v>44210</v>
      </c>
      <c r="B377">
        <v>130</v>
      </c>
      <c r="C377">
        <v>170.40656301310869</v>
      </c>
      <c r="D377">
        <v>52.589188049143729</v>
      </c>
      <c r="E377">
        <v>279.48284383025538</v>
      </c>
      <c r="F377">
        <v>-40.406563013108673</v>
      </c>
      <c r="G377">
        <v>40.406563013108673</v>
      </c>
      <c r="H377">
        <v>-31.08197154854513</v>
      </c>
      <c r="I377">
        <v>31.08197154854513</v>
      </c>
    </row>
    <row r="378" spans="1:9">
      <c r="A378" s="2">
        <v>44211</v>
      </c>
      <c r="B378">
        <v>134</v>
      </c>
      <c r="C378">
        <v>160.75196269440031</v>
      </c>
      <c r="D378">
        <v>47.680690427178213</v>
      </c>
      <c r="E378">
        <v>261.57762151151962</v>
      </c>
      <c r="F378">
        <v>-26.75196269440033</v>
      </c>
      <c r="G378">
        <v>26.75196269440033</v>
      </c>
      <c r="H378">
        <v>-19.964151264477859</v>
      </c>
      <c r="I378">
        <v>19.964151264477859</v>
      </c>
    </row>
    <row r="379" spans="1:9">
      <c r="A379" s="2">
        <v>44212</v>
      </c>
      <c r="B379">
        <v>124</v>
      </c>
      <c r="C379">
        <v>167.02781105568121</v>
      </c>
      <c r="D379">
        <v>59.977422207477858</v>
      </c>
      <c r="E379">
        <v>270.28972845329281</v>
      </c>
      <c r="F379">
        <v>-43.027811055681163</v>
      </c>
      <c r="G379">
        <v>43.027811055681163</v>
      </c>
      <c r="H379">
        <v>-34.699847625549317</v>
      </c>
      <c r="I379">
        <v>34.699847625549317</v>
      </c>
    </row>
    <row r="380" spans="1:9">
      <c r="A380" s="2">
        <v>44213</v>
      </c>
      <c r="B380">
        <v>47</v>
      </c>
      <c r="C380">
        <v>77.396555532527955</v>
      </c>
      <c r="D380">
        <v>-36.403416070152232</v>
      </c>
      <c r="E380">
        <v>193.84460943229979</v>
      </c>
      <c r="F380">
        <v>-30.396555532527959</v>
      </c>
      <c r="G380">
        <v>30.396555532527959</v>
      </c>
      <c r="H380">
        <v>-64.673522409633946</v>
      </c>
      <c r="I380">
        <v>64.673522409633946</v>
      </c>
    </row>
    <row r="381" spans="1:9">
      <c r="A381" s="2">
        <v>44214</v>
      </c>
      <c r="B381">
        <v>197</v>
      </c>
      <c r="C381">
        <v>176.22574801654801</v>
      </c>
      <c r="D381">
        <v>70.260768595521981</v>
      </c>
      <c r="E381">
        <v>282.52345887827329</v>
      </c>
      <c r="F381">
        <v>20.77425198345199</v>
      </c>
      <c r="G381">
        <v>20.77425198345199</v>
      </c>
      <c r="H381">
        <v>10.545305575356339</v>
      </c>
      <c r="I381">
        <v>10.545305575356339</v>
      </c>
    </row>
    <row r="382" spans="1:9">
      <c r="A382" s="2">
        <v>44215</v>
      </c>
      <c r="B382">
        <v>158</v>
      </c>
      <c r="C382">
        <v>159.0932497468167</v>
      </c>
      <c r="D382">
        <v>51.48648740314276</v>
      </c>
      <c r="E382">
        <v>266.2593101913007</v>
      </c>
      <c r="F382">
        <v>-1.093249746816696</v>
      </c>
      <c r="G382">
        <v>1.093249746816696</v>
      </c>
      <c r="H382">
        <v>-0.69193021950423772</v>
      </c>
      <c r="I382">
        <v>0.69193021950423772</v>
      </c>
    </row>
    <row r="383" spans="1:9">
      <c r="A383" s="2">
        <v>44216</v>
      </c>
      <c r="B383">
        <v>163</v>
      </c>
      <c r="C383">
        <v>170.22672421874361</v>
      </c>
      <c r="D383">
        <v>63.73535060949051</v>
      </c>
      <c r="E383">
        <v>281.09987729794921</v>
      </c>
      <c r="F383">
        <v>-7.2267242187436409</v>
      </c>
      <c r="G383">
        <v>7.2267242187436409</v>
      </c>
      <c r="H383">
        <v>-4.4335731403335226</v>
      </c>
      <c r="I383">
        <v>4.4335731403335226</v>
      </c>
    </row>
    <row r="384" spans="1:9">
      <c r="A384" s="2">
        <v>44217</v>
      </c>
      <c r="B384">
        <v>178</v>
      </c>
      <c r="C384">
        <v>164.3715281598962</v>
      </c>
      <c r="D384">
        <v>48.094292918668273</v>
      </c>
      <c r="E384">
        <v>273.46857142643131</v>
      </c>
      <c r="F384">
        <v>13.628471840103771</v>
      </c>
      <c r="G384">
        <v>13.628471840103771</v>
      </c>
      <c r="H384">
        <v>7.656444853990882</v>
      </c>
      <c r="I384">
        <v>7.656444853990882</v>
      </c>
    </row>
    <row r="385" spans="1:9">
      <c r="A385" s="2">
        <v>44218</v>
      </c>
      <c r="B385">
        <v>151</v>
      </c>
      <c r="C385">
        <v>154.44055101801681</v>
      </c>
      <c r="D385">
        <v>43.118437705527107</v>
      </c>
      <c r="E385">
        <v>267.85317947701873</v>
      </c>
      <c r="F385">
        <v>-3.4405510180168331</v>
      </c>
      <c r="G385">
        <v>3.4405510180168331</v>
      </c>
      <c r="H385">
        <v>-2.2785106079581681</v>
      </c>
      <c r="I385">
        <v>2.2785106079581681</v>
      </c>
    </row>
    <row r="386" spans="1:9">
      <c r="A386" s="2">
        <v>44219</v>
      </c>
      <c r="B386">
        <v>118</v>
      </c>
      <c r="C386">
        <v>160.57328148133649</v>
      </c>
      <c r="D386">
        <v>51.938373026364857</v>
      </c>
      <c r="E386">
        <v>272.02349300467807</v>
      </c>
      <c r="F386">
        <v>-42.573281481336487</v>
      </c>
      <c r="G386">
        <v>42.573281481336487</v>
      </c>
      <c r="H386">
        <v>-36.079052102827532</v>
      </c>
      <c r="I386">
        <v>36.079052102827532</v>
      </c>
    </row>
    <row r="387" spans="1:9">
      <c r="A387" s="2">
        <v>44220</v>
      </c>
      <c r="B387">
        <v>31</v>
      </c>
      <c r="C387">
        <v>70.953285747581191</v>
      </c>
      <c r="D387">
        <v>-41.988124271717368</v>
      </c>
      <c r="E387">
        <v>179.53389439015081</v>
      </c>
      <c r="F387">
        <v>-39.953285747581191</v>
      </c>
      <c r="G387">
        <v>39.953285747581191</v>
      </c>
      <c r="H387">
        <v>-128.88156692768129</v>
      </c>
      <c r="I387">
        <v>128.88156692768129</v>
      </c>
    </row>
    <row r="388" spans="1:9">
      <c r="A388" s="2">
        <v>44221</v>
      </c>
      <c r="B388">
        <v>139</v>
      </c>
      <c r="C388">
        <v>169.9664061821064</v>
      </c>
      <c r="D388">
        <v>62.815173286727443</v>
      </c>
      <c r="E388">
        <v>276.34197326798062</v>
      </c>
      <c r="F388">
        <v>-30.9664061821064</v>
      </c>
      <c r="G388">
        <v>30.9664061821064</v>
      </c>
      <c r="H388">
        <v>-22.277990059069349</v>
      </c>
      <c r="I388">
        <v>22.277990059069349</v>
      </c>
    </row>
    <row r="389" spans="1:9">
      <c r="A389" s="2">
        <v>44222</v>
      </c>
      <c r="B389">
        <v>171</v>
      </c>
      <c r="C389">
        <v>153.2052945785357</v>
      </c>
      <c r="D389">
        <v>43.918273261360731</v>
      </c>
      <c r="E389">
        <v>260.66379701678392</v>
      </c>
      <c r="F389">
        <v>17.794705421464329</v>
      </c>
      <c r="G389">
        <v>17.794705421464329</v>
      </c>
      <c r="H389">
        <v>10.4062604803885</v>
      </c>
      <c r="I389">
        <v>10.4062604803885</v>
      </c>
    </row>
    <row r="390" spans="1:9">
      <c r="A390" s="2">
        <v>44223</v>
      </c>
      <c r="B390">
        <v>160</v>
      </c>
      <c r="C390">
        <v>164.90830121230559</v>
      </c>
      <c r="D390">
        <v>53.25896827499961</v>
      </c>
      <c r="E390">
        <v>270.28239181455638</v>
      </c>
      <c r="F390">
        <v>-4.908301212305588</v>
      </c>
      <c r="G390">
        <v>4.908301212305588</v>
      </c>
      <c r="H390">
        <v>-3.067688257690993</v>
      </c>
      <c r="I390">
        <v>3.067688257690993</v>
      </c>
    </row>
    <row r="391" spans="1:9">
      <c r="A391" s="2">
        <v>44224</v>
      </c>
      <c r="B391">
        <v>177</v>
      </c>
      <c r="C391">
        <v>159.82684788459471</v>
      </c>
      <c r="D391">
        <v>46.013996912397033</v>
      </c>
      <c r="E391">
        <v>268.2136020016232</v>
      </c>
      <c r="F391">
        <v>17.173152115405319</v>
      </c>
      <c r="G391">
        <v>17.173152115405319</v>
      </c>
      <c r="H391">
        <v>9.7023458279126071</v>
      </c>
      <c r="I391">
        <v>9.7023458279126071</v>
      </c>
    </row>
    <row r="392" spans="1:9">
      <c r="A392" s="2">
        <v>44225</v>
      </c>
      <c r="B392">
        <v>187</v>
      </c>
      <c r="C392">
        <v>150.87485175480921</v>
      </c>
      <c r="D392">
        <v>42.210515238074187</v>
      </c>
      <c r="E392">
        <v>256.99802272249099</v>
      </c>
      <c r="F392">
        <v>36.125148245190793</v>
      </c>
      <c r="G392">
        <v>36.125148245190793</v>
      </c>
      <c r="H392">
        <v>19.31826109368491</v>
      </c>
      <c r="I392">
        <v>19.31826109368491</v>
      </c>
    </row>
    <row r="393" spans="1:9">
      <c r="A393" s="2">
        <v>44226</v>
      </c>
      <c r="B393">
        <v>147</v>
      </c>
      <c r="C393">
        <v>158.1874925875172</v>
      </c>
      <c r="D393">
        <v>47.010222741908237</v>
      </c>
      <c r="E393">
        <v>264.50007575762538</v>
      </c>
      <c r="F393">
        <v>-11.18749258751717</v>
      </c>
      <c r="G393">
        <v>11.18749258751717</v>
      </c>
      <c r="H393">
        <v>-7.6105391751817466</v>
      </c>
      <c r="I393">
        <v>7.6105391751817466</v>
      </c>
    </row>
    <row r="394" spans="1:9">
      <c r="A394" s="2">
        <v>44227</v>
      </c>
      <c r="B394">
        <v>35</v>
      </c>
      <c r="C394">
        <v>69.93851955847407</v>
      </c>
      <c r="D394">
        <v>-40.845818277143678</v>
      </c>
      <c r="E394">
        <v>184.09270854334579</v>
      </c>
      <c r="F394">
        <v>-34.93851955847407</v>
      </c>
      <c r="G394">
        <v>34.93851955847407</v>
      </c>
      <c r="H394">
        <v>-99.824341595640192</v>
      </c>
      <c r="I394">
        <v>99.824341595640192</v>
      </c>
    </row>
    <row r="395" spans="1:9">
      <c r="A395" s="2">
        <v>44228</v>
      </c>
      <c r="B395">
        <v>199</v>
      </c>
      <c r="C395">
        <v>170.49841465268941</v>
      </c>
      <c r="D395">
        <v>57.120174324669392</v>
      </c>
      <c r="E395">
        <v>276.33779669593417</v>
      </c>
      <c r="F395">
        <v>28.50158534731057</v>
      </c>
      <c r="G395">
        <v>28.50158534731057</v>
      </c>
      <c r="H395">
        <v>14.322404697140991</v>
      </c>
      <c r="I395">
        <v>14.322404697140991</v>
      </c>
    </row>
    <row r="396" spans="1:9">
      <c r="A396" s="2">
        <v>44229</v>
      </c>
      <c r="B396">
        <v>162</v>
      </c>
      <c r="C396">
        <v>155.43903194774211</v>
      </c>
      <c r="D396">
        <v>44.641805805763198</v>
      </c>
      <c r="E396">
        <v>264.13688311064749</v>
      </c>
      <c r="F396">
        <v>6.5609680522578628</v>
      </c>
      <c r="G396">
        <v>6.5609680522578628</v>
      </c>
      <c r="H396">
        <v>4.0499802791715203</v>
      </c>
      <c r="I396">
        <v>4.0499802791715203</v>
      </c>
    </row>
    <row r="397" spans="1:9">
      <c r="A397" s="2">
        <v>44230</v>
      </c>
      <c r="B397">
        <v>177</v>
      </c>
      <c r="C397">
        <v>168.97273552555831</v>
      </c>
      <c r="D397">
        <v>59.805581813862197</v>
      </c>
      <c r="E397">
        <v>286.13257057426222</v>
      </c>
      <c r="F397">
        <v>8.0272644744416937</v>
      </c>
      <c r="G397">
        <v>8.0272644744416937</v>
      </c>
      <c r="H397">
        <v>4.5351776691760977</v>
      </c>
      <c r="I397">
        <v>4.5351776691760977</v>
      </c>
    </row>
    <row r="398" spans="1:9">
      <c r="A398" s="2">
        <v>44231</v>
      </c>
      <c r="B398">
        <v>43</v>
      </c>
      <c r="C398">
        <v>165.82016212431881</v>
      </c>
      <c r="D398">
        <v>50.905440427645907</v>
      </c>
      <c r="E398">
        <v>271.89770335415261</v>
      </c>
      <c r="F398">
        <v>-122.8201621243188</v>
      </c>
      <c r="G398">
        <v>122.8201621243188</v>
      </c>
      <c r="H398">
        <v>-285.62828401004373</v>
      </c>
      <c r="I398">
        <v>285.62828401004373</v>
      </c>
    </row>
    <row r="399" spans="1:9">
      <c r="A399" s="2">
        <v>44232</v>
      </c>
      <c r="B399">
        <v>24</v>
      </c>
      <c r="C399">
        <v>158.86016958505249</v>
      </c>
      <c r="D399">
        <v>51.211986080170028</v>
      </c>
      <c r="E399">
        <v>267.21012434555178</v>
      </c>
      <c r="F399">
        <v>-134.86016958505249</v>
      </c>
      <c r="G399">
        <v>134.86016958505249</v>
      </c>
      <c r="H399">
        <v>-561.91737327105193</v>
      </c>
      <c r="I399">
        <v>561.91737327105193</v>
      </c>
    </row>
    <row r="400" spans="1:9">
      <c r="A400" s="2">
        <v>44233</v>
      </c>
      <c r="B400">
        <v>97</v>
      </c>
      <c r="C400">
        <v>168.18925438520091</v>
      </c>
      <c r="D400">
        <v>54.573448362755293</v>
      </c>
      <c r="E400">
        <v>281.2221801502871</v>
      </c>
      <c r="F400">
        <v>-71.189254385200883</v>
      </c>
      <c r="G400">
        <v>71.189254385200883</v>
      </c>
      <c r="H400">
        <v>-73.390983902268943</v>
      </c>
      <c r="I400">
        <v>73.390983902268943</v>
      </c>
    </row>
    <row r="401" spans="1:9">
      <c r="A401" s="2">
        <v>44234</v>
      </c>
      <c r="B401">
        <v>145</v>
      </c>
      <c r="C401">
        <v>81.939621644531726</v>
      </c>
      <c r="D401">
        <v>-25.045807276217939</v>
      </c>
      <c r="E401">
        <v>195.148863658408</v>
      </c>
      <c r="F401">
        <v>63.060378355468274</v>
      </c>
      <c r="G401">
        <v>63.060378355468274</v>
      </c>
      <c r="H401">
        <v>43.4899161072195</v>
      </c>
      <c r="I401">
        <v>43.4899161072195</v>
      </c>
    </row>
    <row r="402" spans="1:9">
      <c r="A402" s="2">
        <v>44235</v>
      </c>
      <c r="B402">
        <v>182</v>
      </c>
      <c r="C402">
        <v>184.4382087333976</v>
      </c>
      <c r="D402">
        <v>73.041640068756834</v>
      </c>
      <c r="E402">
        <v>287.6801015453326</v>
      </c>
      <c r="F402">
        <v>-2.4382087333976301</v>
      </c>
      <c r="G402">
        <v>2.4382087333976301</v>
      </c>
      <c r="H402">
        <v>-1.339675128240456</v>
      </c>
      <c r="I402">
        <v>1.339675128240456</v>
      </c>
    </row>
    <row r="403" spans="1:9">
      <c r="A403" s="2">
        <v>44236</v>
      </c>
      <c r="B403">
        <v>110</v>
      </c>
      <c r="C403">
        <v>171.21226571081499</v>
      </c>
      <c r="D403">
        <v>60.762599301722737</v>
      </c>
      <c r="E403">
        <v>278.44209612811511</v>
      </c>
      <c r="F403">
        <v>-61.212265710815053</v>
      </c>
      <c r="G403">
        <v>61.212265710815053</v>
      </c>
      <c r="H403">
        <v>-55.647514282559129</v>
      </c>
      <c r="I403">
        <v>55.647514282559129</v>
      </c>
    </row>
    <row r="404" spans="1:9">
      <c r="A404" s="2">
        <v>44237</v>
      </c>
      <c r="B404">
        <v>128</v>
      </c>
      <c r="C404">
        <v>186.42948079705951</v>
      </c>
      <c r="D404">
        <v>72.669208247762043</v>
      </c>
      <c r="E404">
        <v>298.48732522723031</v>
      </c>
      <c r="F404">
        <v>-58.429480797059448</v>
      </c>
      <c r="G404">
        <v>58.429480797059448</v>
      </c>
      <c r="H404">
        <v>-45.648031872702703</v>
      </c>
      <c r="I404">
        <v>45.648031872702703</v>
      </c>
    </row>
    <row r="405" spans="1:9">
      <c r="A405" s="2">
        <v>44238</v>
      </c>
      <c r="B405">
        <v>190</v>
      </c>
      <c r="C405">
        <v>184.7667808308569</v>
      </c>
      <c r="D405">
        <v>72.67390140546712</v>
      </c>
      <c r="E405">
        <v>290.06875392755938</v>
      </c>
      <c r="F405">
        <v>5.2332191691430694</v>
      </c>
      <c r="G405">
        <v>5.2332191691430694</v>
      </c>
      <c r="H405">
        <v>2.7543258784963518</v>
      </c>
      <c r="I405">
        <v>2.7543258784963518</v>
      </c>
    </row>
    <row r="406" spans="1:9">
      <c r="A406" s="2">
        <v>44239</v>
      </c>
      <c r="B406">
        <v>282</v>
      </c>
      <c r="C406">
        <v>179.06131653743449</v>
      </c>
      <c r="D406">
        <v>64.450687078617122</v>
      </c>
      <c r="E406">
        <v>288.06602860338802</v>
      </c>
      <c r="F406">
        <v>102.93868346256551</v>
      </c>
      <c r="G406">
        <v>102.93868346256551</v>
      </c>
      <c r="H406">
        <v>36.503079242044507</v>
      </c>
      <c r="I406">
        <v>36.503079242044507</v>
      </c>
    </row>
    <row r="407" spans="1:9">
      <c r="A407" s="2">
        <v>44240</v>
      </c>
      <c r="B407">
        <v>132</v>
      </c>
      <c r="C407">
        <v>189.37090420850211</v>
      </c>
      <c r="D407">
        <v>72.876537553619443</v>
      </c>
      <c r="E407">
        <v>290.82356259888797</v>
      </c>
      <c r="F407">
        <v>-57.370904208502047</v>
      </c>
      <c r="G407">
        <v>57.370904208502047</v>
      </c>
      <c r="H407">
        <v>-43.462806218562157</v>
      </c>
      <c r="I407">
        <v>43.462806218562157</v>
      </c>
    </row>
    <row r="408" spans="1:9">
      <c r="A408" s="2">
        <v>44241</v>
      </c>
      <c r="B408">
        <v>30</v>
      </c>
      <c r="C408">
        <v>103.7930792550459</v>
      </c>
      <c r="D408">
        <v>-8.78405207773279</v>
      </c>
      <c r="E408">
        <v>224.3434653838745</v>
      </c>
      <c r="F408">
        <v>-73.793079255045853</v>
      </c>
      <c r="G408">
        <v>73.793079255045853</v>
      </c>
      <c r="H408">
        <v>-245.97693085015291</v>
      </c>
      <c r="I408">
        <v>245.97693085015291</v>
      </c>
    </row>
    <row r="409" spans="1:9">
      <c r="A409" s="2">
        <v>44242</v>
      </c>
      <c r="B409">
        <v>150</v>
      </c>
      <c r="C409">
        <v>206.62503801390051</v>
      </c>
      <c r="D409">
        <v>91.640552446852922</v>
      </c>
      <c r="E409">
        <v>316.80767105839118</v>
      </c>
      <c r="F409">
        <v>-56.625038013900451</v>
      </c>
      <c r="G409">
        <v>56.625038013900451</v>
      </c>
      <c r="H409">
        <v>-37.750025342600303</v>
      </c>
      <c r="I409">
        <v>37.750025342600303</v>
      </c>
    </row>
    <row r="410" spans="1:9">
      <c r="A410" s="2">
        <v>44243</v>
      </c>
      <c r="B410">
        <v>160</v>
      </c>
      <c r="C410">
        <v>193.37004475573829</v>
      </c>
      <c r="D410">
        <v>86.151332762800962</v>
      </c>
      <c r="E410">
        <v>308.78961922679429</v>
      </c>
      <c r="F410">
        <v>-33.370044755738263</v>
      </c>
      <c r="G410">
        <v>33.370044755738263</v>
      </c>
      <c r="H410">
        <v>-20.856277972336411</v>
      </c>
      <c r="I410">
        <v>20.856277972336411</v>
      </c>
    </row>
    <row r="411" spans="1:9">
      <c r="A411" s="2">
        <v>44244</v>
      </c>
      <c r="B411">
        <v>132</v>
      </c>
      <c r="C411">
        <v>208.17828367974309</v>
      </c>
      <c r="D411">
        <v>96.9288209008064</v>
      </c>
      <c r="E411">
        <v>323.96936699373128</v>
      </c>
      <c r="F411">
        <v>-76.178283679743089</v>
      </c>
      <c r="G411">
        <v>76.178283679743089</v>
      </c>
      <c r="H411">
        <v>-57.710820969502343</v>
      </c>
      <c r="I411">
        <v>57.710820969502343</v>
      </c>
    </row>
    <row r="412" spans="1:9">
      <c r="A412" s="2">
        <v>44245</v>
      </c>
      <c r="B412">
        <v>161</v>
      </c>
      <c r="C412">
        <v>205.7162394533901</v>
      </c>
      <c r="D412">
        <v>89.955078299911449</v>
      </c>
      <c r="E412">
        <v>309.15631111300809</v>
      </c>
      <c r="F412">
        <v>-44.716239453390102</v>
      </c>
      <c r="G412">
        <v>44.716239453390102</v>
      </c>
      <c r="H412">
        <v>-27.77406177229199</v>
      </c>
      <c r="I412">
        <v>27.77406177229199</v>
      </c>
    </row>
    <row r="413" spans="1:9">
      <c r="A413" s="2">
        <v>44246</v>
      </c>
      <c r="B413">
        <v>156</v>
      </c>
      <c r="C413">
        <v>198.81812631473679</v>
      </c>
      <c r="D413">
        <v>96.005817345804118</v>
      </c>
      <c r="E413">
        <v>312.53234528033238</v>
      </c>
      <c r="F413">
        <v>-42.818126314736787</v>
      </c>
      <c r="G413">
        <v>42.818126314736787</v>
      </c>
      <c r="H413">
        <v>-27.447516868421019</v>
      </c>
      <c r="I413">
        <v>27.447516868421019</v>
      </c>
    </row>
    <row r="414" spans="1:9">
      <c r="A414" s="2">
        <v>44247</v>
      </c>
      <c r="B414">
        <v>137</v>
      </c>
      <c r="C414">
        <v>207.54661055196539</v>
      </c>
      <c r="D414">
        <v>95.241353037942034</v>
      </c>
      <c r="E414">
        <v>307.27864750142157</v>
      </c>
      <c r="F414">
        <v>-70.546610551965415</v>
      </c>
      <c r="G414">
        <v>70.546610551965415</v>
      </c>
      <c r="H414">
        <v>-51.493876315303233</v>
      </c>
      <c r="I414">
        <v>51.493876315303233</v>
      </c>
    </row>
    <row r="415" spans="1:9">
      <c r="A415" s="2">
        <v>44248</v>
      </c>
      <c r="B415">
        <v>28</v>
      </c>
      <c r="C415">
        <v>120.0119748203935</v>
      </c>
      <c r="D415">
        <v>4.3027522222583068</v>
      </c>
      <c r="E415">
        <v>225.35996367075421</v>
      </c>
      <c r="F415">
        <v>-92.011974820393462</v>
      </c>
      <c r="G415">
        <v>92.011974820393462</v>
      </c>
      <c r="H415">
        <v>-328.61419578711951</v>
      </c>
      <c r="I415">
        <v>328.61419578711951</v>
      </c>
    </row>
    <row r="416" spans="1:9">
      <c r="A416" s="2">
        <v>44249</v>
      </c>
      <c r="B416">
        <v>141</v>
      </c>
      <c r="C416">
        <v>220.5319949876633</v>
      </c>
      <c r="D416">
        <v>109.3128752883601</v>
      </c>
      <c r="E416">
        <v>337.5139166902523</v>
      </c>
      <c r="F416">
        <v>-79.531994987663325</v>
      </c>
      <c r="G416">
        <v>79.531994987663325</v>
      </c>
      <c r="H416">
        <v>-56.405670204016538</v>
      </c>
      <c r="I416">
        <v>56.405670204016538</v>
      </c>
    </row>
    <row r="417" spans="1:9">
      <c r="A417" s="2">
        <v>44250</v>
      </c>
      <c r="B417">
        <v>130</v>
      </c>
      <c r="C417">
        <v>204.6381049326595</v>
      </c>
      <c r="D417">
        <v>99.902749595286437</v>
      </c>
      <c r="E417">
        <v>324.06872017949291</v>
      </c>
      <c r="F417">
        <v>-74.63810493265953</v>
      </c>
      <c r="G417">
        <v>74.63810493265953</v>
      </c>
      <c r="H417">
        <v>-57.413926871276573</v>
      </c>
      <c r="I417">
        <v>57.413926871276573</v>
      </c>
    </row>
    <row r="418" spans="1:9">
      <c r="A418" s="2">
        <v>44251</v>
      </c>
      <c r="B418">
        <v>161</v>
      </c>
      <c r="C418">
        <v>216.51583181961431</v>
      </c>
      <c r="D418">
        <v>98.728376409255645</v>
      </c>
      <c r="E418">
        <v>320.91048619331173</v>
      </c>
      <c r="F418">
        <v>-55.515831819614327</v>
      </c>
      <c r="G418">
        <v>55.515831819614327</v>
      </c>
      <c r="H418">
        <v>-34.481883117772867</v>
      </c>
      <c r="I418">
        <v>34.481883117772867</v>
      </c>
    </row>
    <row r="419" spans="1:9">
      <c r="A419" s="2">
        <v>44252</v>
      </c>
      <c r="B419">
        <v>139</v>
      </c>
      <c r="C419">
        <v>210.87359238798021</v>
      </c>
      <c r="D419">
        <v>99.302897923202465</v>
      </c>
      <c r="E419">
        <v>320.90222362589537</v>
      </c>
      <c r="F419">
        <v>-71.873592387980153</v>
      </c>
      <c r="G419">
        <v>71.873592387980153</v>
      </c>
      <c r="H419">
        <v>-51.707620423007313</v>
      </c>
      <c r="I419">
        <v>51.707620423007313</v>
      </c>
    </row>
    <row r="420" spans="1:9">
      <c r="A420" s="2">
        <v>44253</v>
      </c>
      <c r="B420">
        <v>167</v>
      </c>
      <c r="C420">
        <v>200.59338138585159</v>
      </c>
      <c r="D420">
        <v>96.416861556315567</v>
      </c>
      <c r="E420">
        <v>313.29220495602658</v>
      </c>
      <c r="F420">
        <v>-33.593381385851558</v>
      </c>
      <c r="G420">
        <v>33.593381385851558</v>
      </c>
      <c r="H420">
        <v>-20.115797237036858</v>
      </c>
      <c r="I420">
        <v>20.115797237036858</v>
      </c>
    </row>
    <row r="421" spans="1:9">
      <c r="A421" s="2">
        <v>44254</v>
      </c>
      <c r="B421">
        <v>138</v>
      </c>
      <c r="C421">
        <v>205.79061194506821</v>
      </c>
      <c r="D421">
        <v>83.530947013661191</v>
      </c>
      <c r="E421">
        <v>311.84484661414791</v>
      </c>
      <c r="F421">
        <v>-67.79061194506815</v>
      </c>
      <c r="G421">
        <v>67.79061194506815</v>
      </c>
      <c r="H421">
        <v>-49.12363184425228</v>
      </c>
      <c r="I421">
        <v>49.12363184425228</v>
      </c>
    </row>
    <row r="422" spans="1:9">
      <c r="A422" s="2">
        <v>44255</v>
      </c>
      <c r="B422">
        <v>47</v>
      </c>
      <c r="C422">
        <v>114.6322749198893</v>
      </c>
      <c r="D422">
        <v>10.833319387294351</v>
      </c>
      <c r="E422">
        <v>223.33302218185719</v>
      </c>
      <c r="F422">
        <v>-67.632274919889269</v>
      </c>
      <c r="G422">
        <v>67.632274919889269</v>
      </c>
      <c r="H422">
        <v>-143.89845727636009</v>
      </c>
      <c r="I422">
        <v>143.89845727636009</v>
      </c>
    </row>
    <row r="423" spans="1:9">
      <c r="A423" s="2">
        <v>44256</v>
      </c>
      <c r="B423">
        <v>30</v>
      </c>
      <c r="C423">
        <v>211.4957095625646</v>
      </c>
      <c r="D423">
        <v>100.0315360534704</v>
      </c>
      <c r="E423">
        <v>324.3309077098491</v>
      </c>
      <c r="F423">
        <v>-181.4957095625646</v>
      </c>
      <c r="G423">
        <v>181.4957095625646</v>
      </c>
      <c r="H423">
        <v>-604.9856985418819</v>
      </c>
      <c r="I423">
        <v>604.9856985418819</v>
      </c>
    </row>
    <row r="424" spans="1:9">
      <c r="A424" s="2">
        <v>44257</v>
      </c>
      <c r="B424">
        <v>152</v>
      </c>
      <c r="C424">
        <v>191.97358528849119</v>
      </c>
      <c r="D424">
        <v>87.095883938590049</v>
      </c>
      <c r="E424">
        <v>302.43734358926253</v>
      </c>
      <c r="F424">
        <v>-39.973585288491172</v>
      </c>
      <c r="G424">
        <v>39.973585288491172</v>
      </c>
      <c r="H424">
        <v>-26.298411374007351</v>
      </c>
      <c r="I424">
        <v>26.298411374007351</v>
      </c>
    </row>
    <row r="425" spans="1:9">
      <c r="A425" s="2">
        <v>44258</v>
      </c>
      <c r="B425">
        <v>159</v>
      </c>
      <c r="C425">
        <v>200.31310342149979</v>
      </c>
      <c r="D425">
        <v>100.0549608281505</v>
      </c>
      <c r="E425">
        <v>315.06519503092699</v>
      </c>
      <c r="F425">
        <v>-41.313103421499761</v>
      </c>
      <c r="G425">
        <v>41.313103421499761</v>
      </c>
      <c r="H425">
        <v>-25.98308391289293</v>
      </c>
      <c r="I425">
        <v>25.98308391289293</v>
      </c>
    </row>
    <row r="426" spans="1:9">
      <c r="A426" s="2">
        <v>44259</v>
      </c>
      <c r="B426">
        <v>74</v>
      </c>
      <c r="C426">
        <v>191.28353727279119</v>
      </c>
      <c r="D426">
        <v>79.601369264706378</v>
      </c>
      <c r="E426">
        <v>301.78759085391908</v>
      </c>
      <c r="F426">
        <v>-117.28353727279119</v>
      </c>
      <c r="G426">
        <v>117.28353727279119</v>
      </c>
      <c r="H426">
        <v>-158.49126658485301</v>
      </c>
      <c r="I426">
        <v>158.49126658485301</v>
      </c>
    </row>
    <row r="427" spans="1:9">
      <c r="A427" s="2">
        <v>44260</v>
      </c>
      <c r="B427">
        <v>146</v>
      </c>
      <c r="C427">
        <v>177.82567022657631</v>
      </c>
      <c r="D427">
        <v>72.032297200261439</v>
      </c>
      <c r="E427">
        <v>293.35183175472099</v>
      </c>
      <c r="F427">
        <v>-31.82567022657631</v>
      </c>
      <c r="G427">
        <v>31.82567022657631</v>
      </c>
      <c r="H427">
        <v>-21.798404264778291</v>
      </c>
      <c r="I427">
        <v>21.798404264778291</v>
      </c>
    </row>
    <row r="428" spans="1:9">
      <c r="A428" s="2">
        <v>44261</v>
      </c>
      <c r="B428">
        <v>117</v>
      </c>
      <c r="C428">
        <v>180.11042025002229</v>
      </c>
      <c r="D428">
        <v>65.607887293767874</v>
      </c>
      <c r="E428">
        <v>281.92339886020602</v>
      </c>
      <c r="F428">
        <v>-63.110420250022337</v>
      </c>
      <c r="G428">
        <v>63.110420250022337</v>
      </c>
      <c r="H428">
        <v>-53.940530128224232</v>
      </c>
      <c r="I428">
        <v>53.940530128224232</v>
      </c>
    </row>
    <row r="429" spans="1:9">
      <c r="A429" s="2">
        <v>44262</v>
      </c>
      <c r="B429">
        <v>144</v>
      </c>
      <c r="C429">
        <v>86.355845824430276</v>
      </c>
      <c r="D429">
        <v>-33.328987401109202</v>
      </c>
      <c r="E429">
        <v>194.59113660371429</v>
      </c>
      <c r="F429">
        <v>57.644154175569717</v>
      </c>
      <c r="G429">
        <v>57.644154175569717</v>
      </c>
      <c r="H429">
        <v>40.030662621923419</v>
      </c>
      <c r="I429">
        <v>40.030662621923419</v>
      </c>
    </row>
    <row r="430" spans="1:9">
      <c r="A430" s="2">
        <v>44263</v>
      </c>
      <c r="B430">
        <v>164</v>
      </c>
      <c r="C430">
        <v>180.98485231945159</v>
      </c>
      <c r="D430">
        <v>64.369731049661439</v>
      </c>
      <c r="E430">
        <v>293.15815475934693</v>
      </c>
      <c r="F430">
        <v>-16.984852319451559</v>
      </c>
      <c r="G430">
        <v>16.984852319451559</v>
      </c>
      <c r="H430">
        <v>-10.356617267958271</v>
      </c>
      <c r="I430">
        <v>10.356617267958271</v>
      </c>
    </row>
    <row r="431" spans="1:9">
      <c r="A431" s="2">
        <v>44264</v>
      </c>
      <c r="B431">
        <v>342</v>
      </c>
      <c r="C431">
        <v>159.6292232190394</v>
      </c>
      <c r="D431">
        <v>48.489474651030847</v>
      </c>
      <c r="E431">
        <v>273.67169465917289</v>
      </c>
      <c r="F431">
        <v>182.3707767809606</v>
      </c>
      <c r="G431">
        <v>182.3707767809606</v>
      </c>
      <c r="H431">
        <v>53.324788532444622</v>
      </c>
      <c r="I431">
        <v>53.324788532444622</v>
      </c>
    </row>
    <row r="432" spans="1:9">
      <c r="A432" s="2">
        <v>44265</v>
      </c>
      <c r="B432">
        <v>27</v>
      </c>
      <c r="C432">
        <v>166.56800716285821</v>
      </c>
      <c r="D432">
        <v>65.372046869563604</v>
      </c>
      <c r="E432">
        <v>281.11989138261811</v>
      </c>
      <c r="F432">
        <v>-139.56800716285821</v>
      </c>
      <c r="G432">
        <v>139.56800716285821</v>
      </c>
      <c r="H432">
        <v>-516.91854504762307</v>
      </c>
      <c r="I432">
        <v>516.91854504762307</v>
      </c>
    </row>
    <row r="433" spans="1:9">
      <c r="A433" s="2">
        <v>44266</v>
      </c>
      <c r="B433">
        <v>190</v>
      </c>
      <c r="C433">
        <v>156.5943980745302</v>
      </c>
      <c r="D433">
        <v>50.735398920910477</v>
      </c>
      <c r="E433">
        <v>258.7331835086452</v>
      </c>
      <c r="F433">
        <v>33.405601925469817</v>
      </c>
      <c r="G433">
        <v>33.405601925469817</v>
      </c>
      <c r="H433">
        <v>17.581895750247281</v>
      </c>
      <c r="I433">
        <v>17.581895750247281</v>
      </c>
    </row>
    <row r="434" spans="1:9">
      <c r="A434" s="2">
        <v>44267</v>
      </c>
      <c r="B434">
        <v>429</v>
      </c>
      <c r="C434">
        <v>142.6646833614268</v>
      </c>
      <c r="D434">
        <v>37.986230865999097</v>
      </c>
      <c r="E434">
        <v>251.38835997288521</v>
      </c>
      <c r="F434">
        <v>286.3353166385732</v>
      </c>
      <c r="G434">
        <v>286.3353166385732</v>
      </c>
      <c r="H434">
        <v>66.744829053280469</v>
      </c>
      <c r="I434">
        <v>66.744829053280469</v>
      </c>
    </row>
    <row r="435" spans="1:9">
      <c r="A435" s="2">
        <v>44268</v>
      </c>
      <c r="B435">
        <v>121</v>
      </c>
      <c r="C435">
        <v>144.95655992128471</v>
      </c>
      <c r="D435">
        <v>31.767202288251841</v>
      </c>
      <c r="E435">
        <v>259.92533401561292</v>
      </c>
      <c r="F435">
        <v>-23.95655992128474</v>
      </c>
      <c r="G435">
        <v>23.95655992128474</v>
      </c>
      <c r="H435">
        <v>-19.798809852301439</v>
      </c>
      <c r="I435">
        <v>19.798809852301439</v>
      </c>
    </row>
    <row r="436" spans="1:9">
      <c r="A436" s="2">
        <v>44269</v>
      </c>
      <c r="B436">
        <v>35</v>
      </c>
      <c r="C436">
        <v>51.686019977360999</v>
      </c>
      <c r="D436">
        <v>-55.213241707492131</v>
      </c>
      <c r="E436">
        <v>164.93530008561601</v>
      </c>
      <c r="F436">
        <v>-16.686019977360999</v>
      </c>
      <c r="G436">
        <v>16.686019977360999</v>
      </c>
      <c r="H436">
        <v>-47.674342792460003</v>
      </c>
      <c r="I436">
        <v>47.674342792460003</v>
      </c>
    </row>
    <row r="437" spans="1:9">
      <c r="A437" s="2">
        <v>44270</v>
      </c>
      <c r="B437">
        <v>240</v>
      </c>
      <c r="C437">
        <v>147.28361911187449</v>
      </c>
      <c r="D437">
        <v>31.96939779503893</v>
      </c>
      <c r="E437">
        <v>260.77015278859687</v>
      </c>
      <c r="F437">
        <v>92.716380888125542</v>
      </c>
      <c r="G437">
        <v>92.716380888125542</v>
      </c>
      <c r="H437">
        <v>38.631825370052312</v>
      </c>
      <c r="I437">
        <v>38.631825370052312</v>
      </c>
    </row>
    <row r="438" spans="1:9">
      <c r="A438" s="2">
        <v>44271</v>
      </c>
      <c r="B438">
        <v>130</v>
      </c>
      <c r="C438">
        <v>127.34329520143049</v>
      </c>
      <c r="D438">
        <v>10.508296630011539</v>
      </c>
      <c r="E438">
        <v>238.6720831494583</v>
      </c>
      <c r="F438">
        <v>2.6567047985694932</v>
      </c>
      <c r="G438">
        <v>2.6567047985694932</v>
      </c>
      <c r="H438">
        <v>2.0436190758226869</v>
      </c>
      <c r="I438">
        <v>2.0436190758226869</v>
      </c>
    </row>
    <row r="439" spans="1:9">
      <c r="A439" s="2">
        <v>44272</v>
      </c>
      <c r="B439">
        <v>140</v>
      </c>
      <c r="C439">
        <v>136.116670334855</v>
      </c>
      <c r="D439">
        <v>26.06939240314987</v>
      </c>
      <c r="E439">
        <v>248.02608307270901</v>
      </c>
      <c r="F439">
        <v>3.88332966514497</v>
      </c>
      <c r="G439">
        <v>3.88332966514497</v>
      </c>
      <c r="H439">
        <v>2.773806903674978</v>
      </c>
      <c r="I439">
        <v>2.773806903674978</v>
      </c>
    </row>
    <row r="440" spans="1:9">
      <c r="A440" s="2">
        <v>44273</v>
      </c>
      <c r="B440">
        <v>131</v>
      </c>
      <c r="C440">
        <v>128.36205474807801</v>
      </c>
      <c r="D440">
        <v>18.067877357700141</v>
      </c>
      <c r="E440">
        <v>235.1056232965708</v>
      </c>
      <c r="F440">
        <v>2.6379452519220479</v>
      </c>
      <c r="G440">
        <v>2.6379452519220479</v>
      </c>
      <c r="H440">
        <v>2.0136986655893501</v>
      </c>
      <c r="I440">
        <v>2.0136986655893501</v>
      </c>
    </row>
    <row r="441" spans="1:9">
      <c r="A441" s="2">
        <v>44274</v>
      </c>
      <c r="B441">
        <v>74</v>
      </c>
      <c r="C441">
        <v>116.9941667699554</v>
      </c>
      <c r="D441">
        <v>12.26515243625323</v>
      </c>
      <c r="E441">
        <v>221.52305854193239</v>
      </c>
      <c r="F441">
        <v>-42.994166769955442</v>
      </c>
      <c r="G441">
        <v>42.994166769955442</v>
      </c>
      <c r="H441">
        <v>-58.10022536480465</v>
      </c>
      <c r="I441">
        <v>58.10022536480465</v>
      </c>
    </row>
    <row r="442" spans="1:9">
      <c r="A442" s="2">
        <v>44275</v>
      </c>
      <c r="B442">
        <v>24</v>
      </c>
      <c r="C442">
        <v>122.1433593214939</v>
      </c>
      <c r="D442">
        <v>10.67499744221297</v>
      </c>
      <c r="E442">
        <v>229.01474676282709</v>
      </c>
      <c r="F442">
        <v>-98.143359321493932</v>
      </c>
      <c r="G442">
        <v>98.143359321493932</v>
      </c>
      <c r="H442">
        <v>-408.93066383955812</v>
      </c>
      <c r="I442">
        <v>408.93066383955812</v>
      </c>
    </row>
    <row r="443" spans="1:9">
      <c r="A443" s="2">
        <v>44276</v>
      </c>
      <c r="B443">
        <v>11</v>
      </c>
      <c r="C443">
        <v>31.97353336287583</v>
      </c>
      <c r="D443">
        <v>-74.559065073884952</v>
      </c>
      <c r="E443">
        <v>139.78965068101559</v>
      </c>
      <c r="F443">
        <v>-20.97353336287583</v>
      </c>
      <c r="G443">
        <v>20.97353336287583</v>
      </c>
      <c r="H443">
        <v>-190.668485117053</v>
      </c>
      <c r="I443">
        <v>190.668485117053</v>
      </c>
    </row>
    <row r="444" spans="1:9">
      <c r="A444" s="2">
        <v>44277</v>
      </c>
      <c r="B444">
        <v>28</v>
      </c>
      <c r="C444">
        <v>130.84103558286489</v>
      </c>
      <c r="D444">
        <v>14.009513678294301</v>
      </c>
      <c r="E444">
        <v>247.3162445981184</v>
      </c>
      <c r="F444">
        <v>-102.8410355828649</v>
      </c>
      <c r="G444">
        <v>102.8410355828649</v>
      </c>
      <c r="H444">
        <v>-367.28941279594608</v>
      </c>
      <c r="I444">
        <v>367.28941279594608</v>
      </c>
    </row>
    <row r="445" spans="1:9">
      <c r="A445" s="2">
        <v>44278</v>
      </c>
      <c r="B445">
        <v>43</v>
      </c>
      <c r="C445">
        <v>114.3001364234689</v>
      </c>
      <c r="D445">
        <v>6.4628238517915566</v>
      </c>
      <c r="E445">
        <v>220.7713260572684</v>
      </c>
      <c r="F445">
        <v>-71.300136423468871</v>
      </c>
      <c r="G445">
        <v>71.300136423468871</v>
      </c>
      <c r="H445">
        <v>-165.81427075225321</v>
      </c>
      <c r="I445">
        <v>165.81427075225321</v>
      </c>
    </row>
    <row r="446" spans="1:9">
      <c r="A446" s="2">
        <v>44279</v>
      </c>
      <c r="B446">
        <v>62</v>
      </c>
      <c r="C446">
        <v>126.54308520712119</v>
      </c>
      <c r="D446">
        <v>22.814465808755479</v>
      </c>
      <c r="E446">
        <v>239.30874034365911</v>
      </c>
      <c r="F446">
        <v>-64.543085207121237</v>
      </c>
      <c r="G446">
        <v>64.543085207121237</v>
      </c>
      <c r="H446">
        <v>-104.10175033406649</v>
      </c>
      <c r="I446">
        <v>104.10175033406649</v>
      </c>
    </row>
    <row r="447" spans="1:9">
      <c r="A447" s="2">
        <v>44280</v>
      </c>
      <c r="B447">
        <v>70</v>
      </c>
      <c r="C447">
        <v>122.2688404232492</v>
      </c>
      <c r="D447">
        <v>8.1984906463172447</v>
      </c>
      <c r="E447">
        <v>242.42678033506559</v>
      </c>
      <c r="F447">
        <v>-52.26884042324923</v>
      </c>
      <c r="G447">
        <v>52.26884042324923</v>
      </c>
      <c r="H447">
        <v>-74.669772033213192</v>
      </c>
      <c r="I447">
        <v>74.669772033213192</v>
      </c>
    </row>
    <row r="448" spans="1:9">
      <c r="A448" s="2">
        <v>44281</v>
      </c>
      <c r="B448">
        <v>107</v>
      </c>
      <c r="C448">
        <v>114.3340068707483</v>
      </c>
      <c r="D448">
        <v>4.599765501668478</v>
      </c>
      <c r="E448">
        <v>234.0158788971338</v>
      </c>
      <c r="F448">
        <v>-7.3340068707482544</v>
      </c>
      <c r="G448">
        <v>7.3340068707482544</v>
      </c>
      <c r="H448">
        <v>-6.8542120287366863</v>
      </c>
      <c r="I448">
        <v>6.8542120287366863</v>
      </c>
    </row>
    <row r="449" spans="1:9">
      <c r="A449" s="2">
        <v>44282</v>
      </c>
      <c r="B449">
        <v>91</v>
      </c>
      <c r="C449">
        <v>122.81323312647579</v>
      </c>
      <c r="D449">
        <v>15.726211285186841</v>
      </c>
      <c r="E449">
        <v>231.91827653378149</v>
      </c>
      <c r="F449">
        <v>-31.813233126475751</v>
      </c>
      <c r="G449">
        <v>31.813233126475751</v>
      </c>
      <c r="H449">
        <v>-34.959596842281037</v>
      </c>
      <c r="I449">
        <v>34.959596842281037</v>
      </c>
    </row>
    <row r="450" spans="1:9">
      <c r="A450" s="2">
        <v>44283</v>
      </c>
      <c r="B450">
        <v>25</v>
      </c>
      <c r="C450">
        <v>35.818223260254953</v>
      </c>
      <c r="D450">
        <v>-69.182506222840672</v>
      </c>
      <c r="E450">
        <v>151.7963916847244</v>
      </c>
      <c r="F450">
        <v>-10.81822326025495</v>
      </c>
      <c r="G450">
        <v>10.81822326025495</v>
      </c>
      <c r="H450">
        <v>-43.272893041019813</v>
      </c>
      <c r="I450">
        <v>43.272893041019813</v>
      </c>
    </row>
    <row r="451" spans="1:9">
      <c r="A451" s="2">
        <v>44284</v>
      </c>
      <c r="B451">
        <v>85</v>
      </c>
      <c r="C451">
        <v>137.65763562825029</v>
      </c>
      <c r="D451">
        <v>23.438238361461892</v>
      </c>
      <c r="E451">
        <v>242.03008781885981</v>
      </c>
      <c r="F451">
        <v>-52.657635628250318</v>
      </c>
      <c r="G451">
        <v>52.657635628250318</v>
      </c>
      <c r="H451">
        <v>-61.950159562647443</v>
      </c>
      <c r="I451">
        <v>61.950159562647443</v>
      </c>
    </row>
    <row r="452" spans="1:9">
      <c r="A452" s="2">
        <v>44285</v>
      </c>
      <c r="B452">
        <v>91</v>
      </c>
      <c r="C452">
        <v>123.8434429830502</v>
      </c>
      <c r="D452">
        <v>9.7947773607622572</v>
      </c>
      <c r="E452">
        <v>232.2215252571344</v>
      </c>
      <c r="F452">
        <v>-32.843442983050238</v>
      </c>
      <c r="G452">
        <v>32.843442983050238</v>
      </c>
      <c r="H452">
        <v>-36.091695585769493</v>
      </c>
      <c r="I452">
        <v>36.091695585769493</v>
      </c>
    </row>
    <row r="453" spans="1:9">
      <c r="A453" s="2">
        <v>44286</v>
      </c>
      <c r="B453">
        <v>48</v>
      </c>
      <c r="C453">
        <v>138.53173192421659</v>
      </c>
      <c r="D453">
        <v>41.755884732416099</v>
      </c>
      <c r="E453">
        <v>244.91799781580741</v>
      </c>
      <c r="F453">
        <v>-90.531731924216643</v>
      </c>
      <c r="G453">
        <v>90.531731924216643</v>
      </c>
      <c r="H453">
        <v>-188.607774842118</v>
      </c>
      <c r="I453">
        <v>188.607774842118</v>
      </c>
    </row>
    <row r="454" spans="1:9">
      <c r="A454" s="2">
        <v>44287</v>
      </c>
      <c r="B454">
        <v>176</v>
      </c>
      <c r="C454">
        <v>136.3920245564579</v>
      </c>
      <c r="D454">
        <v>25.219623025674839</v>
      </c>
      <c r="E454">
        <v>241.68800258957691</v>
      </c>
      <c r="F454">
        <v>39.607975443542131</v>
      </c>
      <c r="G454">
        <v>39.607975443542131</v>
      </c>
      <c r="H454">
        <v>22.504531502012568</v>
      </c>
      <c r="I454">
        <v>22.504531502012568</v>
      </c>
    </row>
    <row r="455" spans="1:9">
      <c r="A455" s="2">
        <v>44288</v>
      </c>
      <c r="B455">
        <v>132</v>
      </c>
      <c r="C455">
        <v>130.2586427682146</v>
      </c>
      <c r="D455">
        <v>21.491549584981978</v>
      </c>
      <c r="E455">
        <v>244.3153440656136</v>
      </c>
      <c r="F455">
        <v>1.7413572317853721</v>
      </c>
      <c r="G455">
        <v>1.7413572317853721</v>
      </c>
      <c r="H455">
        <v>1.319210024079827</v>
      </c>
      <c r="I455">
        <v>1.319210024079827</v>
      </c>
    </row>
    <row r="456" spans="1:9">
      <c r="A456" s="2">
        <v>44289</v>
      </c>
      <c r="B456">
        <v>151</v>
      </c>
      <c r="C456">
        <v>140.1913614473269</v>
      </c>
      <c r="D456">
        <v>31.808515909540091</v>
      </c>
      <c r="E456">
        <v>260.91243501846839</v>
      </c>
      <c r="F456">
        <v>10.80863855267307</v>
      </c>
      <c r="G456">
        <v>10.80863855267307</v>
      </c>
      <c r="H456">
        <v>7.1580387766046849</v>
      </c>
      <c r="I456">
        <v>7.1580387766046849</v>
      </c>
    </row>
    <row r="457" spans="1:9">
      <c r="A457" s="2">
        <v>44290</v>
      </c>
      <c r="B457">
        <v>33</v>
      </c>
      <c r="C457">
        <v>54.294501683086978</v>
      </c>
      <c r="D457">
        <v>-44.057184107192541</v>
      </c>
      <c r="E457">
        <v>168.0992608314898</v>
      </c>
      <c r="F457">
        <v>-21.294501683086981</v>
      </c>
      <c r="G457">
        <v>21.294501683086981</v>
      </c>
      <c r="H457">
        <v>-64.528792979051445</v>
      </c>
      <c r="I457">
        <v>64.528792979051445</v>
      </c>
    </row>
    <row r="458" spans="1:9">
      <c r="A458" s="2">
        <v>44291</v>
      </c>
      <c r="B458">
        <v>143</v>
      </c>
      <c r="C458">
        <v>156.87673821099889</v>
      </c>
      <c r="D458">
        <v>44.455974748490327</v>
      </c>
      <c r="E458">
        <v>267.83059907382739</v>
      </c>
      <c r="F458">
        <v>-13.87673821099887</v>
      </c>
      <c r="G458">
        <v>13.87673821099887</v>
      </c>
      <c r="H458">
        <v>-9.7040127349642411</v>
      </c>
      <c r="I458">
        <v>9.7040127349642411</v>
      </c>
    </row>
    <row r="459" spans="1:9">
      <c r="A459" s="2">
        <v>44292</v>
      </c>
      <c r="B459">
        <v>34</v>
      </c>
      <c r="C459">
        <v>143.457200977036</v>
      </c>
      <c r="D459">
        <v>39.493187751517901</v>
      </c>
      <c r="E459">
        <v>253.8474746314952</v>
      </c>
      <c r="F459">
        <v>-109.457200977036</v>
      </c>
      <c r="G459">
        <v>109.457200977036</v>
      </c>
      <c r="H459">
        <v>-321.93294405010579</v>
      </c>
      <c r="I459">
        <v>321.93294405010579</v>
      </c>
    </row>
    <row r="460" spans="1:9">
      <c r="A460" s="2">
        <v>44293</v>
      </c>
      <c r="B460">
        <v>16</v>
      </c>
      <c r="C460">
        <v>158.20585850518671</v>
      </c>
      <c r="D460">
        <v>51.97288115359575</v>
      </c>
      <c r="E460">
        <v>269.47179191334379</v>
      </c>
      <c r="F460">
        <v>-142.20585850518671</v>
      </c>
      <c r="G460">
        <v>142.20585850518671</v>
      </c>
      <c r="H460">
        <v>-888.78661565741697</v>
      </c>
      <c r="I460">
        <v>888.78661565741697</v>
      </c>
    </row>
    <row r="461" spans="1:9">
      <c r="A461" s="2">
        <v>44294</v>
      </c>
      <c r="B461">
        <v>160</v>
      </c>
      <c r="C461">
        <v>155.81227932257849</v>
      </c>
      <c r="D461">
        <v>49.599201599113243</v>
      </c>
      <c r="E461">
        <v>266.34014016150672</v>
      </c>
      <c r="F461">
        <v>4.1877206774214528</v>
      </c>
      <c r="G461">
        <v>4.1877206774214528</v>
      </c>
      <c r="H461">
        <v>2.617325423388408</v>
      </c>
      <c r="I461">
        <v>2.617325423388408</v>
      </c>
    </row>
    <row r="462" spans="1:9">
      <c r="A462" s="2">
        <v>44295</v>
      </c>
      <c r="B462">
        <v>190</v>
      </c>
      <c r="C462">
        <v>149.1363085855358</v>
      </c>
      <c r="D462">
        <v>44.489799095460228</v>
      </c>
      <c r="E462">
        <v>259.83839715327201</v>
      </c>
      <c r="F462">
        <v>40.863691414464228</v>
      </c>
      <c r="G462">
        <v>40.863691414464228</v>
      </c>
      <c r="H462">
        <v>21.507206007612751</v>
      </c>
      <c r="I462">
        <v>21.507206007612751</v>
      </c>
    </row>
    <row r="463" spans="1:9">
      <c r="A463" s="2">
        <v>44296</v>
      </c>
      <c r="B463">
        <v>155</v>
      </c>
      <c r="C463">
        <v>158.26792582296491</v>
      </c>
      <c r="D463">
        <v>50.405017600728797</v>
      </c>
      <c r="E463">
        <v>272.48125830864069</v>
      </c>
      <c r="F463">
        <v>-3.2679258229648842</v>
      </c>
      <c r="G463">
        <v>3.2679258229648842</v>
      </c>
      <c r="H463">
        <v>-2.108339240622505</v>
      </c>
      <c r="I463">
        <v>2.108339240622505</v>
      </c>
    </row>
    <row r="464" spans="1:9">
      <c r="A464" s="2">
        <v>44297</v>
      </c>
      <c r="B464">
        <v>169</v>
      </c>
      <c r="C464">
        <v>71.345456788266986</v>
      </c>
      <c r="D464">
        <v>-41.894146237922207</v>
      </c>
      <c r="E464">
        <v>189.02752197453859</v>
      </c>
      <c r="F464">
        <v>97.654543211733014</v>
      </c>
      <c r="G464">
        <v>97.654543211733014</v>
      </c>
      <c r="H464">
        <v>57.783753379723677</v>
      </c>
      <c r="I464">
        <v>57.783753379723677</v>
      </c>
    </row>
    <row r="465" spans="1:9">
      <c r="A465" s="2">
        <v>44298</v>
      </c>
      <c r="B465">
        <v>310</v>
      </c>
      <c r="C465">
        <v>172.71443735344491</v>
      </c>
      <c r="D465">
        <v>58.207646974726217</v>
      </c>
      <c r="E465">
        <v>283.24393548995039</v>
      </c>
      <c r="F465">
        <v>137.28556264655509</v>
      </c>
      <c r="G465">
        <v>137.28556264655509</v>
      </c>
      <c r="H465">
        <v>44.285665369856467</v>
      </c>
      <c r="I465">
        <v>44.285665369856467</v>
      </c>
    </row>
    <row r="466" spans="1:9">
      <c r="A466" s="2">
        <v>44299</v>
      </c>
      <c r="B466">
        <v>100</v>
      </c>
      <c r="C466">
        <v>157.932734124181</v>
      </c>
      <c r="D466">
        <v>43.459559381130639</v>
      </c>
      <c r="E466">
        <v>271.25380872451308</v>
      </c>
      <c r="F466">
        <v>-57.932734124181017</v>
      </c>
      <c r="G466">
        <v>57.932734124181017</v>
      </c>
      <c r="H466">
        <v>-57.932734124181032</v>
      </c>
      <c r="I466">
        <v>57.932734124181032</v>
      </c>
    </row>
    <row r="467" spans="1:9">
      <c r="A467" s="2">
        <v>44300</v>
      </c>
      <c r="B467">
        <v>146</v>
      </c>
      <c r="C467">
        <v>171.20993471760471</v>
      </c>
      <c r="D467">
        <v>64.701287880454487</v>
      </c>
      <c r="E467">
        <v>286.51080144284799</v>
      </c>
      <c r="F467">
        <v>-25.20993471760471</v>
      </c>
      <c r="G467">
        <v>25.20993471760471</v>
      </c>
      <c r="H467">
        <v>-17.267078573701859</v>
      </c>
      <c r="I467">
        <v>17.267078573701859</v>
      </c>
    </row>
    <row r="468" spans="1:9">
      <c r="A468" s="2">
        <v>44301</v>
      </c>
      <c r="B468">
        <v>131</v>
      </c>
      <c r="C468">
        <v>167.27512902396811</v>
      </c>
      <c r="D468">
        <v>60.843150768047508</v>
      </c>
      <c r="E468">
        <v>273.74888285546967</v>
      </c>
      <c r="F468">
        <v>-36.275129023968113</v>
      </c>
      <c r="G468">
        <v>36.275129023968113</v>
      </c>
      <c r="H468">
        <v>-27.690938186235201</v>
      </c>
      <c r="I468">
        <v>27.690938186235201</v>
      </c>
    </row>
    <row r="469" spans="1:9">
      <c r="A469" s="2">
        <v>44302</v>
      </c>
      <c r="B469">
        <v>107</v>
      </c>
      <c r="C469">
        <v>159.02664282591911</v>
      </c>
      <c r="D469">
        <v>48.51099269228424</v>
      </c>
      <c r="E469">
        <v>265.3765699839629</v>
      </c>
      <c r="F469">
        <v>-52.02664282591914</v>
      </c>
      <c r="G469">
        <v>52.02664282591914</v>
      </c>
      <c r="H469">
        <v>-48.623030678429103</v>
      </c>
      <c r="I469">
        <v>48.623030678429103</v>
      </c>
    </row>
    <row r="470" spans="1:9">
      <c r="A470" s="2">
        <v>44303</v>
      </c>
      <c r="B470">
        <v>112</v>
      </c>
      <c r="C470">
        <v>166.62926021578599</v>
      </c>
      <c r="D470">
        <v>65.189295516059204</v>
      </c>
      <c r="E470">
        <v>282.80757911787799</v>
      </c>
      <c r="F470">
        <v>-54.62926021578599</v>
      </c>
      <c r="G470">
        <v>54.62926021578599</v>
      </c>
      <c r="H470">
        <v>-48.776125192666058</v>
      </c>
      <c r="I470">
        <v>48.776125192666058</v>
      </c>
    </row>
    <row r="471" spans="1:9">
      <c r="A471" s="2">
        <v>44304</v>
      </c>
      <c r="B471">
        <v>21</v>
      </c>
      <c r="C471">
        <v>78.216889901847665</v>
      </c>
      <c r="D471">
        <v>-27.334943640822079</v>
      </c>
      <c r="E471">
        <v>190.94855076094441</v>
      </c>
      <c r="F471">
        <v>-57.216889901847672</v>
      </c>
      <c r="G471">
        <v>57.216889901847672</v>
      </c>
      <c r="H471">
        <v>-272.46138048498892</v>
      </c>
      <c r="I471">
        <v>272.46138048498892</v>
      </c>
    </row>
    <row r="472" spans="1:9">
      <c r="A472" s="2">
        <v>44305</v>
      </c>
      <c r="B472">
        <v>125</v>
      </c>
      <c r="C472">
        <v>178.1654689099648</v>
      </c>
      <c r="D472">
        <v>73.12392379813339</v>
      </c>
      <c r="E472">
        <v>281.87592167790729</v>
      </c>
      <c r="F472">
        <v>-53.165468909964773</v>
      </c>
      <c r="G472">
        <v>53.165468909964773</v>
      </c>
      <c r="H472">
        <v>-42.532375127971818</v>
      </c>
      <c r="I472">
        <v>42.532375127971818</v>
      </c>
    </row>
    <row r="473" spans="1:9">
      <c r="A473" s="2">
        <v>44306</v>
      </c>
      <c r="B473">
        <v>35</v>
      </c>
      <c r="C473">
        <v>162.0592463344862</v>
      </c>
      <c r="D473">
        <v>48.007815418952219</v>
      </c>
      <c r="E473">
        <v>268.73770129286549</v>
      </c>
      <c r="F473">
        <v>-127.0592463344862</v>
      </c>
      <c r="G473">
        <v>127.0592463344862</v>
      </c>
      <c r="H473">
        <v>-363.02641809853191</v>
      </c>
      <c r="I473">
        <v>363.02641809853191</v>
      </c>
    </row>
    <row r="474" spans="1:9">
      <c r="A474" s="2">
        <v>44307</v>
      </c>
      <c r="B474">
        <v>121</v>
      </c>
      <c r="C474">
        <v>174.12971073027461</v>
      </c>
      <c r="D474">
        <v>64.139920893014519</v>
      </c>
      <c r="E474">
        <v>286.64478847219499</v>
      </c>
      <c r="F474">
        <v>-53.129710730274638</v>
      </c>
      <c r="G474">
        <v>53.129710730274638</v>
      </c>
      <c r="H474">
        <v>-43.908851843202179</v>
      </c>
      <c r="I474">
        <v>43.908851843202179</v>
      </c>
    </row>
    <row r="475" spans="1:9">
      <c r="A475" s="2">
        <v>44308</v>
      </c>
      <c r="B475">
        <v>135</v>
      </c>
      <c r="C475">
        <v>169.1230431575286</v>
      </c>
      <c r="D475">
        <v>67.441401371014308</v>
      </c>
      <c r="E475">
        <v>282.96385586296248</v>
      </c>
      <c r="F475">
        <v>-34.123043157528571</v>
      </c>
      <c r="G475">
        <v>34.123043157528571</v>
      </c>
      <c r="H475">
        <v>-25.276328264835978</v>
      </c>
      <c r="I475">
        <v>25.276328264835978</v>
      </c>
    </row>
    <row r="476" spans="1:9">
      <c r="A476" s="2">
        <v>44309</v>
      </c>
      <c r="B476">
        <v>117</v>
      </c>
      <c r="C476">
        <v>159.94966196808249</v>
      </c>
      <c r="D476">
        <v>48.933697135737702</v>
      </c>
      <c r="E476">
        <v>266.53923192805308</v>
      </c>
      <c r="F476">
        <v>-42.949661968082523</v>
      </c>
      <c r="G476">
        <v>42.949661968082523</v>
      </c>
      <c r="H476">
        <v>-36.709112793232933</v>
      </c>
      <c r="I476">
        <v>36.709112793232933</v>
      </c>
    </row>
    <row r="477" spans="1:9">
      <c r="A477" s="2">
        <v>44310</v>
      </c>
      <c r="B477">
        <v>114</v>
      </c>
      <c r="C477">
        <v>166.74314896136119</v>
      </c>
      <c r="D477">
        <v>62.968944306679951</v>
      </c>
      <c r="E477">
        <v>280.94833114749161</v>
      </c>
      <c r="F477">
        <v>-52.743148961361157</v>
      </c>
      <c r="G477">
        <v>52.743148961361157</v>
      </c>
      <c r="H477">
        <v>-46.265920141544868</v>
      </c>
      <c r="I477">
        <v>46.265920141544868</v>
      </c>
    </row>
    <row r="478" spans="1:9">
      <c r="A478" s="2">
        <v>44311</v>
      </c>
      <c r="B478">
        <v>50</v>
      </c>
      <c r="C478">
        <v>77.677747852857578</v>
      </c>
      <c r="D478">
        <v>-26.45059587483367</v>
      </c>
      <c r="E478">
        <v>195.0596501929561</v>
      </c>
      <c r="F478">
        <v>-27.677747852857578</v>
      </c>
      <c r="G478">
        <v>27.677747852857578</v>
      </c>
      <c r="H478">
        <v>-55.35549570571515</v>
      </c>
      <c r="I478">
        <v>55.35549570571515</v>
      </c>
    </row>
    <row r="479" spans="1:9">
      <c r="A479" s="2">
        <v>44312</v>
      </c>
      <c r="B479">
        <v>207</v>
      </c>
      <c r="C479">
        <v>177.1267448449324</v>
      </c>
      <c r="D479">
        <v>71.363913966584335</v>
      </c>
      <c r="E479">
        <v>290.79721067042459</v>
      </c>
      <c r="F479">
        <v>29.8732551550676</v>
      </c>
      <c r="G479">
        <v>29.8732551550676</v>
      </c>
      <c r="H479">
        <v>14.43152422950125</v>
      </c>
      <c r="I479">
        <v>14.43152422950125</v>
      </c>
    </row>
    <row r="480" spans="1:9">
      <c r="A480" s="2">
        <v>44313</v>
      </c>
      <c r="B480">
        <v>189</v>
      </c>
      <c r="C480">
        <v>160.6673414996821</v>
      </c>
      <c r="D480">
        <v>47.267534956366767</v>
      </c>
      <c r="E480">
        <v>272.05755926295438</v>
      </c>
      <c r="F480">
        <v>28.332658500317901</v>
      </c>
      <c r="G480">
        <v>28.332658500317901</v>
      </c>
      <c r="H480">
        <v>14.99082460334281</v>
      </c>
      <c r="I480">
        <v>14.99082460334281</v>
      </c>
    </row>
    <row r="481" spans="1:9">
      <c r="A481" s="2">
        <v>44314</v>
      </c>
      <c r="B481">
        <v>162</v>
      </c>
      <c r="C481">
        <v>172.5200320544987</v>
      </c>
      <c r="D481">
        <v>71.522977323163488</v>
      </c>
      <c r="E481">
        <v>283.53590862698462</v>
      </c>
      <c r="F481">
        <v>-10.520032054498669</v>
      </c>
      <c r="G481">
        <v>10.520032054498669</v>
      </c>
      <c r="H481">
        <v>-6.4938469472214013</v>
      </c>
      <c r="I481">
        <v>6.4938469472214013</v>
      </c>
    </row>
    <row r="482" spans="1:9">
      <c r="A482" s="2">
        <v>44315</v>
      </c>
      <c r="B482">
        <v>177</v>
      </c>
      <c r="C482">
        <v>167.416599491282</v>
      </c>
      <c r="D482">
        <v>61.478541487342191</v>
      </c>
      <c r="E482">
        <v>274.42038939357639</v>
      </c>
      <c r="F482">
        <v>9.5834005087180003</v>
      </c>
      <c r="G482">
        <v>9.5834005087180003</v>
      </c>
      <c r="H482">
        <v>5.4143505698971746</v>
      </c>
      <c r="I482">
        <v>5.4143505698971746</v>
      </c>
    </row>
    <row r="483" spans="1:9">
      <c r="A483" s="2">
        <v>44316</v>
      </c>
      <c r="B483">
        <v>177</v>
      </c>
      <c r="C483">
        <v>158.25027883764551</v>
      </c>
      <c r="D483">
        <v>50.579522601024323</v>
      </c>
      <c r="E483">
        <v>272.2075139875372</v>
      </c>
      <c r="F483">
        <v>18.749721162354518</v>
      </c>
      <c r="G483">
        <v>18.749721162354518</v>
      </c>
      <c r="H483">
        <v>10.59306280359012</v>
      </c>
      <c r="I483">
        <v>10.59306280359012</v>
      </c>
    </row>
    <row r="484" spans="1:9">
      <c r="A484" s="2">
        <v>44317</v>
      </c>
      <c r="B484">
        <v>162</v>
      </c>
      <c r="C484">
        <v>165.13535806912631</v>
      </c>
      <c r="D484">
        <v>56.026880180307373</v>
      </c>
      <c r="E484">
        <v>278.32486216008527</v>
      </c>
      <c r="F484">
        <v>-3.1353580691263119</v>
      </c>
      <c r="G484">
        <v>3.1353580691263119</v>
      </c>
      <c r="H484">
        <v>-1.9354062155100691</v>
      </c>
      <c r="I484">
        <v>1.9354062155100691</v>
      </c>
    </row>
    <row r="485" spans="1:9">
      <c r="A485" s="2">
        <v>44318</v>
      </c>
      <c r="B485">
        <v>133</v>
      </c>
      <c r="C485">
        <v>76.225387197135078</v>
      </c>
      <c r="D485">
        <v>-29.968771225106629</v>
      </c>
      <c r="E485">
        <v>187.23804496074811</v>
      </c>
      <c r="F485">
        <v>56.774612802864922</v>
      </c>
      <c r="G485">
        <v>56.774612802864922</v>
      </c>
      <c r="H485">
        <v>42.687678799146553</v>
      </c>
      <c r="I485">
        <v>42.687678799146553</v>
      </c>
    </row>
    <row r="486" spans="1:9">
      <c r="A486" s="2">
        <v>44319</v>
      </c>
      <c r="B486">
        <v>138</v>
      </c>
      <c r="C486">
        <v>175.87228443246391</v>
      </c>
      <c r="D486">
        <v>67.967101992779121</v>
      </c>
      <c r="E486">
        <v>280.66779819627982</v>
      </c>
      <c r="F486">
        <v>-37.872284432463907</v>
      </c>
      <c r="G486">
        <v>37.872284432463907</v>
      </c>
      <c r="H486">
        <v>-27.44368437135066</v>
      </c>
      <c r="I486">
        <v>27.44368437135066</v>
      </c>
    </row>
    <row r="487" spans="1:9">
      <c r="A487" s="2">
        <v>44320</v>
      </c>
      <c r="B487">
        <v>124</v>
      </c>
      <c r="C487">
        <v>159.63192879590309</v>
      </c>
      <c r="D487">
        <v>49.008330490032449</v>
      </c>
      <c r="E487">
        <v>273.31474369835712</v>
      </c>
      <c r="F487">
        <v>-35.631928795903121</v>
      </c>
      <c r="G487">
        <v>35.631928795903121</v>
      </c>
      <c r="H487">
        <v>-28.735426448308971</v>
      </c>
      <c r="I487">
        <v>28.735426448308971</v>
      </c>
    </row>
    <row r="488" spans="1:9">
      <c r="A488" s="2">
        <v>44321</v>
      </c>
      <c r="B488">
        <v>132</v>
      </c>
      <c r="C488">
        <v>171.70423109637611</v>
      </c>
      <c r="D488">
        <v>56.164832971028133</v>
      </c>
      <c r="E488">
        <v>296.08280399848007</v>
      </c>
      <c r="F488">
        <v>-39.704231096376127</v>
      </c>
      <c r="G488">
        <v>39.704231096376127</v>
      </c>
      <c r="H488">
        <v>-30.078962951800101</v>
      </c>
      <c r="I488">
        <v>30.078962951800101</v>
      </c>
    </row>
    <row r="489" spans="1:9">
      <c r="A489" s="2">
        <v>44322</v>
      </c>
      <c r="B489">
        <v>53</v>
      </c>
      <c r="C489">
        <v>166.80177853716049</v>
      </c>
      <c r="D489">
        <v>59.476732545002569</v>
      </c>
      <c r="E489">
        <v>279.94424838467012</v>
      </c>
      <c r="F489">
        <v>-113.8017785371605</v>
      </c>
      <c r="G489">
        <v>113.8017785371605</v>
      </c>
      <c r="H489">
        <v>-214.720336862567</v>
      </c>
      <c r="I489">
        <v>214.720336862567</v>
      </c>
    </row>
    <row r="490" spans="1:9">
      <c r="A490" s="2">
        <v>44323</v>
      </c>
      <c r="B490">
        <v>135</v>
      </c>
      <c r="C490">
        <v>157.80058405319079</v>
      </c>
      <c r="D490">
        <v>45.30039338134884</v>
      </c>
      <c r="E490">
        <v>273.43155387217041</v>
      </c>
      <c r="F490">
        <v>-22.80058405319085</v>
      </c>
      <c r="G490">
        <v>22.80058405319085</v>
      </c>
      <c r="H490">
        <v>-16.88932152088211</v>
      </c>
      <c r="I490">
        <v>16.88932152088211</v>
      </c>
    </row>
    <row r="491" spans="1:9">
      <c r="A491" s="2">
        <v>44324</v>
      </c>
      <c r="B491">
        <v>174</v>
      </c>
      <c r="C491">
        <v>164.8001954879507</v>
      </c>
      <c r="D491">
        <v>52.30053279944579</v>
      </c>
      <c r="E491">
        <v>272.57691489583482</v>
      </c>
      <c r="F491">
        <v>9.1998045120492975</v>
      </c>
      <c r="G491">
        <v>9.1998045120492975</v>
      </c>
      <c r="H491">
        <v>5.2872439724421252</v>
      </c>
      <c r="I491">
        <v>5.2872439724421252</v>
      </c>
    </row>
    <row r="492" spans="1:9">
      <c r="A492" s="2">
        <v>44325</v>
      </c>
      <c r="B492">
        <v>25</v>
      </c>
      <c r="C492">
        <v>75.942322436595063</v>
      </c>
      <c r="D492">
        <v>-37.653011219407112</v>
      </c>
      <c r="E492">
        <v>181.40493261008609</v>
      </c>
      <c r="F492">
        <v>-50.942322436595063</v>
      </c>
      <c r="G492">
        <v>50.942322436595063</v>
      </c>
      <c r="H492">
        <v>-203.76928974638031</v>
      </c>
      <c r="I492">
        <v>203.76928974638031</v>
      </c>
    </row>
    <row r="493" spans="1:9">
      <c r="A493" s="2">
        <v>44326</v>
      </c>
      <c r="B493">
        <v>116</v>
      </c>
      <c r="C493">
        <v>175.57025971205081</v>
      </c>
      <c r="D493">
        <v>64.327987969692842</v>
      </c>
      <c r="E493">
        <v>280.33342136725889</v>
      </c>
      <c r="F493">
        <v>-59.570259712050841</v>
      </c>
      <c r="G493">
        <v>59.570259712050841</v>
      </c>
      <c r="H493">
        <v>-51.353672165561072</v>
      </c>
      <c r="I493">
        <v>51.353672165561072</v>
      </c>
    </row>
    <row r="494" spans="1:9">
      <c r="A494" s="2">
        <v>44327</v>
      </c>
      <c r="B494">
        <v>52</v>
      </c>
      <c r="C494">
        <v>159.23468989790561</v>
      </c>
      <c r="D494">
        <v>46.134924420603213</v>
      </c>
      <c r="E494">
        <v>271.04020307726898</v>
      </c>
      <c r="F494">
        <v>-107.2346898979056</v>
      </c>
      <c r="G494">
        <v>107.2346898979056</v>
      </c>
      <c r="H494">
        <v>-206.22055749597229</v>
      </c>
      <c r="I494">
        <v>206.22055749597229</v>
      </c>
    </row>
    <row r="495" spans="1:9">
      <c r="A495" s="2">
        <v>44328</v>
      </c>
      <c r="B495">
        <v>102</v>
      </c>
      <c r="C495">
        <v>171.13385319353321</v>
      </c>
      <c r="D495">
        <v>61.137500899840639</v>
      </c>
      <c r="E495">
        <v>287.10794900144441</v>
      </c>
      <c r="F495">
        <v>-69.133853193533241</v>
      </c>
      <c r="G495">
        <v>69.133853193533241</v>
      </c>
      <c r="H495">
        <v>-67.778287444640426</v>
      </c>
      <c r="I495">
        <v>67.778287444640426</v>
      </c>
    </row>
    <row r="496" spans="1:9">
      <c r="A496" s="2">
        <v>44329</v>
      </c>
      <c r="B496">
        <v>144</v>
      </c>
      <c r="C496">
        <v>165.9821793219522</v>
      </c>
      <c r="D496">
        <v>55.656205876660188</v>
      </c>
      <c r="E496">
        <v>275.04952417037191</v>
      </c>
      <c r="F496">
        <v>-21.982179321952199</v>
      </c>
      <c r="G496">
        <v>21.982179321952199</v>
      </c>
      <c r="H496">
        <v>-15.26540230691125</v>
      </c>
      <c r="I496">
        <v>15.26540230691125</v>
      </c>
    </row>
    <row r="497" spans="1:9">
      <c r="A497" s="2">
        <v>44330</v>
      </c>
      <c r="B497">
        <v>110</v>
      </c>
      <c r="C497">
        <v>156.66091530181791</v>
      </c>
      <c r="D497">
        <v>48.32454012541001</v>
      </c>
      <c r="E497">
        <v>268.05690367558418</v>
      </c>
      <c r="F497">
        <v>-46.660915301817937</v>
      </c>
      <c r="G497">
        <v>46.660915301817937</v>
      </c>
      <c r="H497">
        <v>-42.41901391074358</v>
      </c>
      <c r="I497">
        <v>42.41901391074358</v>
      </c>
    </row>
    <row r="498" spans="1:9">
      <c r="A498" s="2">
        <v>44331</v>
      </c>
      <c r="B498">
        <v>126</v>
      </c>
      <c r="C498">
        <v>163.2780099415134</v>
      </c>
      <c r="D498">
        <v>55.119783590811011</v>
      </c>
      <c r="E498">
        <v>275.57550407518818</v>
      </c>
      <c r="F498">
        <v>-37.278009941513403</v>
      </c>
      <c r="G498">
        <v>37.278009941513403</v>
      </c>
      <c r="H498">
        <v>-29.585722175804289</v>
      </c>
      <c r="I498">
        <v>29.585722175804289</v>
      </c>
    </row>
    <row r="499" spans="1:9">
      <c r="A499" s="2">
        <v>44332</v>
      </c>
      <c r="B499">
        <v>24</v>
      </c>
      <c r="C499">
        <v>73.98642148844749</v>
      </c>
      <c r="D499">
        <v>-37.357102034515037</v>
      </c>
      <c r="E499">
        <v>182.9116762755263</v>
      </c>
      <c r="F499">
        <v>-49.98642148844749</v>
      </c>
      <c r="G499">
        <v>49.98642148844749</v>
      </c>
      <c r="H499">
        <v>-208.27675620186449</v>
      </c>
      <c r="I499">
        <v>208.27675620186449</v>
      </c>
    </row>
    <row r="500" spans="1:9">
      <c r="A500" s="2">
        <v>44333</v>
      </c>
      <c r="B500">
        <v>128</v>
      </c>
      <c r="C500">
        <v>173.14313853401421</v>
      </c>
      <c r="D500">
        <v>64.1185897696148</v>
      </c>
      <c r="E500">
        <v>277.03170458781841</v>
      </c>
      <c r="F500">
        <v>-45.143138534014163</v>
      </c>
      <c r="G500">
        <v>45.143138534014163</v>
      </c>
      <c r="H500">
        <v>-35.268076979698563</v>
      </c>
      <c r="I500">
        <v>35.268076979698563</v>
      </c>
    </row>
    <row r="501" spans="1:9">
      <c r="A501" s="2">
        <v>44334</v>
      </c>
      <c r="B501">
        <v>185</v>
      </c>
      <c r="C501">
        <v>156.31450999600489</v>
      </c>
      <c r="D501">
        <v>45.022215904206767</v>
      </c>
      <c r="E501">
        <v>262.18782266110071</v>
      </c>
      <c r="F501">
        <v>28.685490003995142</v>
      </c>
      <c r="G501">
        <v>28.685490003995142</v>
      </c>
      <c r="H501">
        <v>15.505670272429811</v>
      </c>
      <c r="I501">
        <v>15.505670272429811</v>
      </c>
    </row>
    <row r="502" spans="1:9">
      <c r="A502" s="2">
        <v>44335</v>
      </c>
      <c r="B502">
        <v>136</v>
      </c>
      <c r="C502">
        <v>167.7158875101249</v>
      </c>
      <c r="D502">
        <v>61.748334165226602</v>
      </c>
      <c r="E502">
        <v>282.73331673323838</v>
      </c>
      <c r="F502">
        <v>-31.715887510124901</v>
      </c>
      <c r="G502">
        <v>31.715887510124901</v>
      </c>
      <c r="H502">
        <v>-23.320505522150661</v>
      </c>
      <c r="I502">
        <v>23.320505522150661</v>
      </c>
    </row>
    <row r="503" spans="1:9">
      <c r="A503" s="2">
        <v>44336</v>
      </c>
      <c r="B503">
        <v>130</v>
      </c>
      <c r="C503">
        <v>162.12742312455529</v>
      </c>
      <c r="D503">
        <v>52.766979922382738</v>
      </c>
      <c r="E503">
        <v>274.19202489268793</v>
      </c>
      <c r="F503">
        <v>-32.127423124555257</v>
      </c>
      <c r="G503">
        <v>32.127423124555257</v>
      </c>
      <c r="H503">
        <v>-24.713402403504048</v>
      </c>
      <c r="I503">
        <v>24.713402403504048</v>
      </c>
    </row>
    <row r="504" spans="1:9">
      <c r="A504" s="2">
        <v>44337</v>
      </c>
      <c r="B504">
        <v>103</v>
      </c>
      <c r="C504">
        <v>152.40091509068591</v>
      </c>
      <c r="D504">
        <v>41.654057735414597</v>
      </c>
      <c r="E504">
        <v>266.09381252937112</v>
      </c>
      <c r="F504">
        <v>-49.400915090685878</v>
      </c>
      <c r="G504">
        <v>49.400915090685878</v>
      </c>
      <c r="H504">
        <v>-47.962053486102803</v>
      </c>
      <c r="I504">
        <v>47.962053486102803</v>
      </c>
    </row>
    <row r="505" spans="1:9">
      <c r="A505" s="2">
        <v>44338</v>
      </c>
      <c r="B505">
        <v>99</v>
      </c>
      <c r="C505">
        <v>158.66229683964411</v>
      </c>
      <c r="D505">
        <v>51.616357209160412</v>
      </c>
      <c r="E505">
        <v>268.69687474275003</v>
      </c>
      <c r="F505">
        <v>-59.662296839644057</v>
      </c>
      <c r="G505">
        <v>59.662296839644057</v>
      </c>
      <c r="H505">
        <v>-60.264946302670772</v>
      </c>
      <c r="I505">
        <v>60.264946302670772</v>
      </c>
    </row>
    <row r="506" spans="1:9">
      <c r="A506" s="2">
        <v>44339</v>
      </c>
      <c r="B506">
        <v>26</v>
      </c>
      <c r="C506">
        <v>69.08163642673891</v>
      </c>
      <c r="D506">
        <v>-34.689437739918219</v>
      </c>
      <c r="E506">
        <v>179.91474120081821</v>
      </c>
      <c r="F506">
        <v>-43.08163642673891</v>
      </c>
      <c r="G506">
        <v>43.08163642673891</v>
      </c>
      <c r="H506">
        <v>-165.6986016413035</v>
      </c>
      <c r="I506">
        <v>165.6986016413035</v>
      </c>
    </row>
    <row r="507" spans="1:9">
      <c r="A507" s="2">
        <v>44340</v>
      </c>
      <c r="B507">
        <v>95</v>
      </c>
      <c r="C507">
        <v>168.031611638447</v>
      </c>
      <c r="D507">
        <v>63.87014688654795</v>
      </c>
      <c r="E507">
        <v>277.53485607060497</v>
      </c>
      <c r="F507">
        <v>-73.031611638447004</v>
      </c>
      <c r="G507">
        <v>73.031611638447004</v>
      </c>
      <c r="H507">
        <v>-76.875380672049474</v>
      </c>
      <c r="I507">
        <v>76.875380672049474</v>
      </c>
    </row>
    <row r="508" spans="1:9">
      <c r="A508" s="2">
        <v>44341</v>
      </c>
      <c r="B508">
        <v>136</v>
      </c>
      <c r="C508">
        <v>151.09234055576621</v>
      </c>
      <c r="D508">
        <v>47.747882462893919</v>
      </c>
      <c r="E508">
        <v>263.91030376339609</v>
      </c>
      <c r="F508">
        <v>-15.09234055576619</v>
      </c>
      <c r="G508">
        <v>15.09234055576619</v>
      </c>
      <c r="H508">
        <v>-11.09730923218102</v>
      </c>
      <c r="I508">
        <v>11.09730923218102</v>
      </c>
    </row>
    <row r="509" spans="1:9">
      <c r="A509" s="2">
        <v>44342</v>
      </c>
      <c r="B509">
        <v>37</v>
      </c>
      <c r="C509">
        <v>162.49058499583731</v>
      </c>
      <c r="D509">
        <v>52.723686734690482</v>
      </c>
      <c r="E509">
        <v>268.33688253554521</v>
      </c>
      <c r="F509">
        <v>-125.4905849958373</v>
      </c>
      <c r="G509">
        <v>125.4905849958373</v>
      </c>
      <c r="H509">
        <v>-339.16374323199261</v>
      </c>
      <c r="I509">
        <v>339.16374323199261</v>
      </c>
    </row>
    <row r="510" spans="1:9">
      <c r="A510" s="2">
        <v>44343</v>
      </c>
      <c r="B510">
        <v>105</v>
      </c>
      <c r="C510">
        <v>156.9674501844857</v>
      </c>
      <c r="D510">
        <v>43.971016106902283</v>
      </c>
      <c r="E510">
        <v>268.39138147819608</v>
      </c>
      <c r="F510">
        <v>-51.967450184485728</v>
      </c>
      <c r="G510">
        <v>51.967450184485728</v>
      </c>
      <c r="H510">
        <v>-49.492809699510218</v>
      </c>
      <c r="I510">
        <v>49.492809699510218</v>
      </c>
    </row>
    <row r="511" spans="1:9">
      <c r="A511" s="2">
        <v>44344</v>
      </c>
      <c r="B511">
        <v>100</v>
      </c>
      <c r="C511">
        <v>147.42814161915601</v>
      </c>
      <c r="D511">
        <v>44.874675677187142</v>
      </c>
      <c r="E511">
        <v>250.59602088157939</v>
      </c>
      <c r="F511">
        <v>-47.428141619156008</v>
      </c>
      <c r="G511">
        <v>47.428141619156008</v>
      </c>
      <c r="H511">
        <v>-47.428141619156008</v>
      </c>
      <c r="I511">
        <v>47.428141619156008</v>
      </c>
    </row>
    <row r="512" spans="1:9">
      <c r="A512" s="2">
        <v>44345</v>
      </c>
      <c r="B512">
        <v>115</v>
      </c>
      <c r="C512">
        <v>154.00106495542741</v>
      </c>
      <c r="D512">
        <v>33.491672091410258</v>
      </c>
      <c r="E512">
        <v>261.86603027671117</v>
      </c>
      <c r="F512">
        <v>-39.001064955427438</v>
      </c>
      <c r="G512">
        <v>39.001064955427438</v>
      </c>
      <c r="H512">
        <v>-33.913969526458636</v>
      </c>
      <c r="I512">
        <v>33.913969526458636</v>
      </c>
    </row>
    <row r="513" spans="1:9">
      <c r="A513" s="2">
        <v>44346</v>
      </c>
      <c r="B513">
        <v>38</v>
      </c>
      <c r="C513">
        <v>64.855457449199548</v>
      </c>
      <c r="D513">
        <v>-52.907608929695407</v>
      </c>
      <c r="E513">
        <v>172.35533715907499</v>
      </c>
      <c r="F513">
        <v>-26.855457449199552</v>
      </c>
      <c r="G513">
        <v>26.855457449199552</v>
      </c>
      <c r="H513">
        <v>-70.672256445261965</v>
      </c>
      <c r="I513">
        <v>70.672256445261965</v>
      </c>
    </row>
    <row r="514" spans="1:9">
      <c r="A514" s="2">
        <v>44347</v>
      </c>
      <c r="B514">
        <v>108</v>
      </c>
      <c r="C514">
        <v>164.35985970630469</v>
      </c>
      <c r="D514">
        <v>53.155079393049967</v>
      </c>
      <c r="E514">
        <v>267.37941360138541</v>
      </c>
      <c r="F514">
        <v>-56.359859706304661</v>
      </c>
      <c r="G514">
        <v>56.359859706304661</v>
      </c>
      <c r="H514">
        <v>-52.185055283615419</v>
      </c>
      <c r="I514">
        <v>52.185055283615419</v>
      </c>
    </row>
    <row r="515" spans="1:9">
      <c r="A515" s="2">
        <v>44348</v>
      </c>
      <c r="B515">
        <v>169</v>
      </c>
      <c r="C515">
        <v>148.0870382587683</v>
      </c>
      <c r="D515">
        <v>29.6229975919025</v>
      </c>
      <c r="E515">
        <v>261.45240183229117</v>
      </c>
      <c r="F515">
        <v>20.912961741231729</v>
      </c>
      <c r="G515">
        <v>20.912961741231729</v>
      </c>
      <c r="H515">
        <v>12.374533574693331</v>
      </c>
      <c r="I515">
        <v>12.374533574693331</v>
      </c>
    </row>
    <row r="516" spans="1:9">
      <c r="A516" s="2">
        <v>44349</v>
      </c>
      <c r="B516">
        <v>129</v>
      </c>
      <c r="C516">
        <v>160.25337270043269</v>
      </c>
      <c r="D516">
        <v>45.239460291540396</v>
      </c>
      <c r="E516">
        <v>275.67074116114952</v>
      </c>
      <c r="F516">
        <v>-31.253372700432749</v>
      </c>
      <c r="G516">
        <v>31.253372700432749</v>
      </c>
      <c r="H516">
        <v>-24.22742069800988</v>
      </c>
      <c r="I516">
        <v>24.22742069800988</v>
      </c>
    </row>
    <row r="517" spans="1:9">
      <c r="A517" s="2">
        <v>44350</v>
      </c>
      <c r="B517">
        <v>118</v>
      </c>
      <c r="C517">
        <v>155.58682446279869</v>
      </c>
      <c r="D517">
        <v>48.978378435042281</v>
      </c>
      <c r="E517">
        <v>262.21987659142502</v>
      </c>
      <c r="F517">
        <v>-37.58682446279866</v>
      </c>
      <c r="G517">
        <v>37.58682446279866</v>
      </c>
      <c r="H517">
        <v>-31.853241070168352</v>
      </c>
      <c r="I517">
        <v>31.853241070168352</v>
      </c>
    </row>
    <row r="518" spans="1:9">
      <c r="A518" s="2">
        <v>44351</v>
      </c>
      <c r="B518">
        <v>130</v>
      </c>
      <c r="C518">
        <v>146.97703952332239</v>
      </c>
      <c r="D518">
        <v>34.59943447189049</v>
      </c>
      <c r="E518">
        <v>248.47268043287519</v>
      </c>
      <c r="F518">
        <v>-16.977039523322389</v>
      </c>
      <c r="G518">
        <v>16.977039523322389</v>
      </c>
      <c r="H518">
        <v>-13.059261171786449</v>
      </c>
      <c r="I518">
        <v>13.059261171786449</v>
      </c>
    </row>
    <row r="519" spans="1:9">
      <c r="A519" s="2">
        <v>44352</v>
      </c>
      <c r="B519">
        <v>137</v>
      </c>
      <c r="C519">
        <v>154.5348601237537</v>
      </c>
      <c r="D519">
        <v>42.179322897467181</v>
      </c>
      <c r="E519">
        <v>267.09674533311602</v>
      </c>
      <c r="F519">
        <v>-17.534860123753671</v>
      </c>
      <c r="G519">
        <v>17.534860123753671</v>
      </c>
      <c r="H519">
        <v>-12.799167973542829</v>
      </c>
      <c r="I519">
        <v>12.799167973542829</v>
      </c>
    </row>
    <row r="520" spans="1:9">
      <c r="A520" s="2">
        <v>44353</v>
      </c>
      <c r="B520">
        <v>29</v>
      </c>
      <c r="C520">
        <v>66.410421503917519</v>
      </c>
      <c r="D520">
        <v>-39.563417651710843</v>
      </c>
      <c r="E520">
        <v>183.34616720970209</v>
      </c>
      <c r="F520">
        <v>-37.410421503917519</v>
      </c>
      <c r="G520">
        <v>37.410421503917519</v>
      </c>
      <c r="H520">
        <v>-129.00145346178459</v>
      </c>
      <c r="I520">
        <v>129.00145346178459</v>
      </c>
    </row>
    <row r="521" spans="1:9">
      <c r="A521" s="2">
        <v>44354</v>
      </c>
      <c r="B521">
        <v>137</v>
      </c>
      <c r="C521">
        <v>166.95212849238251</v>
      </c>
      <c r="D521">
        <v>65.913406451949328</v>
      </c>
      <c r="E521">
        <v>283.1562805388624</v>
      </c>
      <c r="F521">
        <v>-29.952128492382538</v>
      </c>
      <c r="G521">
        <v>29.952128492382538</v>
      </c>
      <c r="H521">
        <v>-21.862867512687991</v>
      </c>
      <c r="I521">
        <v>21.862867512687991</v>
      </c>
    </row>
    <row r="522" spans="1:9">
      <c r="A522" s="2">
        <v>44355</v>
      </c>
      <c r="B522">
        <v>235</v>
      </c>
      <c r="C522">
        <v>151.71210760859469</v>
      </c>
      <c r="D522">
        <v>34.555531321280142</v>
      </c>
      <c r="E522">
        <v>259.84162781466068</v>
      </c>
      <c r="F522">
        <v>83.287892391405336</v>
      </c>
      <c r="G522">
        <v>83.287892391405336</v>
      </c>
      <c r="H522">
        <v>35.441656336768233</v>
      </c>
      <c r="I522">
        <v>35.441656336768233</v>
      </c>
    </row>
    <row r="523" spans="1:9">
      <c r="A523" s="2">
        <v>44356</v>
      </c>
      <c r="B523">
        <v>169</v>
      </c>
      <c r="C523">
        <v>164.8861330145653</v>
      </c>
      <c r="D523">
        <v>53.64219047980739</v>
      </c>
      <c r="E523">
        <v>271.92457671628853</v>
      </c>
      <c r="F523">
        <v>4.1138669854347256</v>
      </c>
      <c r="G523">
        <v>4.1138669854347256</v>
      </c>
      <c r="H523">
        <v>2.4342408197838612</v>
      </c>
      <c r="I523">
        <v>2.4342408197838612</v>
      </c>
    </row>
    <row r="524" spans="1:9">
      <c r="A524" s="2">
        <v>44357</v>
      </c>
      <c r="B524">
        <v>117</v>
      </c>
      <c r="C524">
        <v>161.1821279306894</v>
      </c>
      <c r="D524">
        <v>49.788914443673761</v>
      </c>
      <c r="E524">
        <v>275.86088393213947</v>
      </c>
      <c r="F524">
        <v>-44.182127930689433</v>
      </c>
      <c r="G524">
        <v>44.182127930689433</v>
      </c>
      <c r="H524">
        <v>-37.762502504862759</v>
      </c>
      <c r="I524">
        <v>37.762502504862759</v>
      </c>
    </row>
    <row r="525" spans="1:9">
      <c r="A525" s="2">
        <v>44358</v>
      </c>
      <c r="B525">
        <v>144</v>
      </c>
      <c r="C525">
        <v>153.47077872381439</v>
      </c>
      <c r="D525">
        <v>45.961670980234302</v>
      </c>
      <c r="E525">
        <v>264.97562167711982</v>
      </c>
      <c r="F525">
        <v>-9.4707787238144192</v>
      </c>
      <c r="G525">
        <v>9.4707787238144192</v>
      </c>
      <c r="H525">
        <v>-6.576929669315569</v>
      </c>
      <c r="I525">
        <v>6.576929669315569</v>
      </c>
    </row>
    <row r="526" spans="1:9">
      <c r="A526" s="2">
        <v>44359</v>
      </c>
      <c r="B526">
        <v>335</v>
      </c>
      <c r="C526">
        <v>161.84552245623581</v>
      </c>
      <c r="D526">
        <v>60.338027685178652</v>
      </c>
      <c r="E526">
        <v>272.0331151620577</v>
      </c>
      <c r="F526">
        <v>173.15447754376419</v>
      </c>
      <c r="G526">
        <v>173.15447754376419</v>
      </c>
      <c r="H526">
        <v>51.68790374440723</v>
      </c>
      <c r="I526">
        <v>51.68790374440723</v>
      </c>
    </row>
    <row r="527" spans="1:9">
      <c r="A527" s="2">
        <v>44360</v>
      </c>
      <c r="B527">
        <v>42</v>
      </c>
      <c r="C527">
        <v>74.44107081906111</v>
      </c>
      <c r="D527">
        <v>-34.742150664985722</v>
      </c>
      <c r="E527">
        <v>178.37583613099341</v>
      </c>
      <c r="F527">
        <v>-32.44107081906111</v>
      </c>
      <c r="G527">
        <v>32.44107081906111</v>
      </c>
      <c r="H527">
        <v>-77.240644807288362</v>
      </c>
      <c r="I527">
        <v>77.240644807288362</v>
      </c>
    </row>
    <row r="528" spans="1:9">
      <c r="A528" s="2">
        <v>44361</v>
      </c>
      <c r="B528">
        <v>181</v>
      </c>
      <c r="C528">
        <v>175.59275379179689</v>
      </c>
      <c r="D528">
        <v>64.189884598604294</v>
      </c>
      <c r="E528">
        <v>284.20583082774328</v>
      </c>
      <c r="F528">
        <v>5.4072462082030768</v>
      </c>
      <c r="G528">
        <v>5.4072462082030768</v>
      </c>
      <c r="H528">
        <v>2.9874288443110921</v>
      </c>
      <c r="I528">
        <v>2.9874288443110921</v>
      </c>
    </row>
    <row r="529" spans="1:9">
      <c r="A529" s="2">
        <v>44362</v>
      </c>
      <c r="B529">
        <v>159</v>
      </c>
      <c r="C529">
        <v>160.8422690447145</v>
      </c>
      <c r="D529">
        <v>54.90572916108971</v>
      </c>
      <c r="E529">
        <v>271.81964655840937</v>
      </c>
      <c r="F529">
        <v>-1.8422690447144701</v>
      </c>
      <c r="G529">
        <v>1.8422690447144701</v>
      </c>
      <c r="H529">
        <v>-1.1586597765499811</v>
      </c>
      <c r="I529">
        <v>1.1586597765499811</v>
      </c>
    </row>
    <row r="530" spans="1:9">
      <c r="A530" s="2">
        <v>44363</v>
      </c>
      <c r="B530">
        <v>142</v>
      </c>
      <c r="C530">
        <v>174.37782793958331</v>
      </c>
      <c r="D530">
        <v>75.715705935561644</v>
      </c>
      <c r="E530">
        <v>284.68135456048878</v>
      </c>
      <c r="F530">
        <v>-32.377827939583277</v>
      </c>
      <c r="G530">
        <v>32.377827939583277</v>
      </c>
      <c r="H530">
        <v>-22.801287281396679</v>
      </c>
      <c r="I530">
        <v>22.801287281396679</v>
      </c>
    </row>
    <row r="531" spans="1:9">
      <c r="A531" s="2">
        <v>44364</v>
      </c>
      <c r="B531">
        <v>194</v>
      </c>
      <c r="C531">
        <v>170.90279457258691</v>
      </c>
      <c r="D531">
        <v>53.074881997979872</v>
      </c>
      <c r="E531">
        <v>274.41654386020798</v>
      </c>
      <c r="F531">
        <v>23.09720542741309</v>
      </c>
      <c r="G531">
        <v>23.09720542741309</v>
      </c>
      <c r="H531">
        <v>11.905775993511901</v>
      </c>
      <c r="I531">
        <v>11.905775993511901</v>
      </c>
    </row>
    <row r="532" spans="1:9">
      <c r="A532" s="2">
        <v>44365</v>
      </c>
      <c r="B532">
        <v>235</v>
      </c>
      <c r="C532">
        <v>163.2863523584937</v>
      </c>
      <c r="D532">
        <v>50.582968859804012</v>
      </c>
      <c r="E532">
        <v>282.16747469368158</v>
      </c>
      <c r="F532">
        <v>71.71364764150627</v>
      </c>
      <c r="G532">
        <v>71.71364764150627</v>
      </c>
      <c r="H532">
        <v>30.516445804896289</v>
      </c>
      <c r="I532">
        <v>30.516445804896289</v>
      </c>
    </row>
    <row r="533" spans="1:9">
      <c r="A533" s="2">
        <v>44366</v>
      </c>
      <c r="B533">
        <v>206</v>
      </c>
      <c r="C533">
        <v>171.6234587142911</v>
      </c>
      <c r="D533">
        <v>56.749291296737098</v>
      </c>
      <c r="E533">
        <v>283.22043882054368</v>
      </c>
      <c r="F533">
        <v>34.376541285708917</v>
      </c>
      <c r="G533">
        <v>34.376541285708917</v>
      </c>
      <c r="H533">
        <v>16.68764140082958</v>
      </c>
      <c r="I533">
        <v>16.68764140082958</v>
      </c>
    </row>
    <row r="534" spans="1:9">
      <c r="A534" s="2">
        <v>44367</v>
      </c>
      <c r="B534">
        <v>58</v>
      </c>
      <c r="C534">
        <v>84.053253026629548</v>
      </c>
      <c r="D534">
        <v>-29.910141832154281</v>
      </c>
      <c r="E534">
        <v>185.84075703493289</v>
      </c>
      <c r="F534">
        <v>-26.053253026629552</v>
      </c>
      <c r="G534">
        <v>26.053253026629552</v>
      </c>
      <c r="H534">
        <v>-44.919401770050953</v>
      </c>
      <c r="I534">
        <v>44.919401770050953</v>
      </c>
    </row>
    <row r="535" spans="1:9">
      <c r="A535" s="2">
        <v>44368</v>
      </c>
      <c r="B535">
        <v>212</v>
      </c>
      <c r="C535">
        <v>184.9182058654128</v>
      </c>
      <c r="D535">
        <v>75.965193072299158</v>
      </c>
      <c r="E535">
        <v>298.05682451094162</v>
      </c>
      <c r="F535">
        <v>27.08179413458717</v>
      </c>
      <c r="G535">
        <v>27.08179413458717</v>
      </c>
      <c r="H535">
        <v>12.774431195559981</v>
      </c>
      <c r="I535">
        <v>12.774431195559981</v>
      </c>
    </row>
    <row r="536" spans="1:9">
      <c r="A536" s="2">
        <v>44369</v>
      </c>
      <c r="B536">
        <v>232</v>
      </c>
      <c r="C536">
        <v>169.76960230417299</v>
      </c>
      <c r="D536">
        <v>60.947356153317287</v>
      </c>
      <c r="E536">
        <v>274.78649583145761</v>
      </c>
      <c r="F536">
        <v>62.23039769582698</v>
      </c>
      <c r="G536">
        <v>62.23039769582698</v>
      </c>
      <c r="H536">
        <v>26.82344728268404</v>
      </c>
      <c r="I536">
        <v>26.82344728268404</v>
      </c>
    </row>
    <row r="537" spans="1:9">
      <c r="A537" s="2">
        <v>44370</v>
      </c>
      <c r="B537">
        <v>348</v>
      </c>
      <c r="C537">
        <v>182.85220068939569</v>
      </c>
      <c r="D537">
        <v>80.144263927907019</v>
      </c>
      <c r="E537">
        <v>297.44524844628842</v>
      </c>
      <c r="F537">
        <v>165.14779931060431</v>
      </c>
      <c r="G537">
        <v>165.14779931060431</v>
      </c>
      <c r="H537">
        <v>47.456264169713883</v>
      </c>
      <c r="I537">
        <v>47.456264169713883</v>
      </c>
    </row>
    <row r="538" spans="1:9">
      <c r="A538" s="2">
        <v>44371</v>
      </c>
      <c r="B538">
        <v>167</v>
      </c>
      <c r="C538">
        <v>178.8379655295696</v>
      </c>
      <c r="D538">
        <v>68.31862583431834</v>
      </c>
      <c r="E538">
        <v>287.53659317236333</v>
      </c>
      <c r="F538">
        <v>-11.837965529569599</v>
      </c>
      <c r="G538">
        <v>11.837965529569599</v>
      </c>
      <c r="H538">
        <v>-7.0886021135147317</v>
      </c>
      <c r="I538">
        <v>7.0886021135147317</v>
      </c>
    </row>
    <row r="539" spans="1:9">
      <c r="A539" s="2">
        <v>44372</v>
      </c>
      <c r="B539">
        <v>167</v>
      </c>
      <c r="C539">
        <v>170.61083753678551</v>
      </c>
      <c r="D539">
        <v>59.423522639006478</v>
      </c>
      <c r="E539">
        <v>280.08205737937089</v>
      </c>
      <c r="F539">
        <v>-3.6108375367854531</v>
      </c>
      <c r="G539">
        <v>3.6108375367854531</v>
      </c>
      <c r="H539">
        <v>-2.162178165739792</v>
      </c>
      <c r="I539">
        <v>2.162178165739792</v>
      </c>
    </row>
    <row r="540" spans="1:9">
      <c r="A540" s="2">
        <v>44373</v>
      </c>
      <c r="B540">
        <v>166</v>
      </c>
      <c r="C540">
        <v>178.28139769419781</v>
      </c>
      <c r="D540">
        <v>60.991335207798294</v>
      </c>
      <c r="E540">
        <v>283.7897869688727</v>
      </c>
      <c r="F540">
        <v>-12.281397694197841</v>
      </c>
      <c r="G540">
        <v>12.281397694197841</v>
      </c>
      <c r="H540">
        <v>-7.39843234590231</v>
      </c>
      <c r="I540">
        <v>7.39843234590231</v>
      </c>
    </row>
    <row r="541" spans="1:9">
      <c r="A541" s="2">
        <v>44374</v>
      </c>
      <c r="B541">
        <v>32</v>
      </c>
      <c r="C541">
        <v>90.004812397528553</v>
      </c>
      <c r="D541">
        <v>-22.488572592979619</v>
      </c>
      <c r="E541">
        <v>197.5941524653164</v>
      </c>
      <c r="F541">
        <v>-58.004812397528553</v>
      </c>
      <c r="G541">
        <v>58.004812397528553</v>
      </c>
      <c r="H541">
        <v>-181.26503874227669</v>
      </c>
      <c r="I541">
        <v>181.26503874227669</v>
      </c>
    </row>
    <row r="542" spans="1:9">
      <c r="A542" s="2">
        <v>44375</v>
      </c>
      <c r="B542">
        <v>52</v>
      </c>
      <c r="C542">
        <v>190.13951975706209</v>
      </c>
      <c r="D542">
        <v>86.689387991604789</v>
      </c>
      <c r="E542">
        <v>297.99002148647702</v>
      </c>
      <c r="F542">
        <v>-138.13951975706209</v>
      </c>
      <c r="G542">
        <v>138.13951975706209</v>
      </c>
      <c r="H542">
        <v>-265.65292260973467</v>
      </c>
      <c r="I542">
        <v>265.65292260973467</v>
      </c>
    </row>
    <row r="543" spans="1:9">
      <c r="A543" s="2">
        <v>44376</v>
      </c>
      <c r="B543">
        <v>154</v>
      </c>
      <c r="C543">
        <v>174.25226352783679</v>
      </c>
      <c r="D543">
        <v>61.566336287960532</v>
      </c>
      <c r="E543">
        <v>283.43628475744339</v>
      </c>
      <c r="F543">
        <v>-20.252263527836821</v>
      </c>
      <c r="G543">
        <v>20.252263527836821</v>
      </c>
      <c r="H543">
        <v>-13.15082047262131</v>
      </c>
      <c r="I543">
        <v>13.15082047262131</v>
      </c>
    </row>
    <row r="544" spans="1:9">
      <c r="A544" s="2">
        <v>44377</v>
      </c>
      <c r="B544">
        <v>223</v>
      </c>
      <c r="C544">
        <v>186.55748736876819</v>
      </c>
      <c r="D544">
        <v>74.938867385978298</v>
      </c>
      <c r="E544">
        <v>291.90872008255968</v>
      </c>
      <c r="F544">
        <v>36.44251263123175</v>
      </c>
      <c r="G544">
        <v>36.44251263123175</v>
      </c>
      <c r="H544">
        <v>16.341933915350559</v>
      </c>
      <c r="I544">
        <v>16.341933915350559</v>
      </c>
    </row>
    <row r="545" spans="1:9">
      <c r="A545" s="2">
        <v>44378</v>
      </c>
      <c r="B545">
        <v>155</v>
      </c>
      <c r="C545">
        <v>181.7852084987158</v>
      </c>
      <c r="D545">
        <v>78.681008575314905</v>
      </c>
      <c r="E545">
        <v>288.76018306830173</v>
      </c>
      <c r="F545">
        <v>-26.785208498715829</v>
      </c>
      <c r="G545">
        <v>26.785208498715829</v>
      </c>
      <c r="H545">
        <v>-17.280779676590861</v>
      </c>
      <c r="I545">
        <v>17.280779676590861</v>
      </c>
    </row>
    <row r="546" spans="1:9">
      <c r="A546" s="2">
        <v>44379</v>
      </c>
      <c r="B546">
        <v>37</v>
      </c>
      <c r="C546">
        <v>172.83092793368201</v>
      </c>
      <c r="D546">
        <v>57.00990885900589</v>
      </c>
      <c r="E546">
        <v>274.30780746260962</v>
      </c>
      <c r="F546">
        <v>-135.83092793368201</v>
      </c>
      <c r="G546">
        <v>135.83092793368201</v>
      </c>
      <c r="H546">
        <v>-367.11061603697851</v>
      </c>
      <c r="I546">
        <v>367.11061603697851</v>
      </c>
    </row>
    <row r="547" spans="1:9">
      <c r="A547" s="2">
        <v>44380</v>
      </c>
      <c r="B547">
        <v>22</v>
      </c>
      <c r="C547">
        <v>179.81485999068241</v>
      </c>
      <c r="D547">
        <v>65.988581636515605</v>
      </c>
      <c r="E547">
        <v>288.03155900180963</v>
      </c>
      <c r="F547">
        <v>-157.81485999068241</v>
      </c>
      <c r="G547">
        <v>157.81485999068241</v>
      </c>
      <c r="H547">
        <v>-717.34027268491991</v>
      </c>
      <c r="I547">
        <v>717.34027268491991</v>
      </c>
    </row>
    <row r="548" spans="1:9">
      <c r="A548" s="2">
        <v>44381</v>
      </c>
      <c r="B548">
        <v>139</v>
      </c>
      <c r="C548">
        <v>90.899667136771782</v>
      </c>
      <c r="D548">
        <v>-17.94641647390716</v>
      </c>
      <c r="E548">
        <v>206.5460700110165</v>
      </c>
      <c r="F548">
        <v>48.100332863228218</v>
      </c>
      <c r="G548">
        <v>48.100332863228218</v>
      </c>
      <c r="H548">
        <v>34.604556016710937</v>
      </c>
      <c r="I548">
        <v>34.604556016710937</v>
      </c>
    </row>
    <row r="549" spans="1:9">
      <c r="A549" s="2">
        <v>44382</v>
      </c>
      <c r="B549">
        <v>112</v>
      </c>
      <c r="C549">
        <v>190.44900722444109</v>
      </c>
      <c r="D549">
        <v>88.938707384722761</v>
      </c>
      <c r="E549">
        <v>307.32711800832698</v>
      </c>
      <c r="F549">
        <v>-78.44900722444109</v>
      </c>
      <c r="G549">
        <v>78.44900722444109</v>
      </c>
      <c r="H549">
        <v>-70.043756450393829</v>
      </c>
      <c r="I549">
        <v>70.043756450393829</v>
      </c>
    </row>
    <row r="550" spans="1:9">
      <c r="A550" s="2">
        <v>44383</v>
      </c>
      <c r="B550">
        <v>120</v>
      </c>
      <c r="C550">
        <v>174.03250269135751</v>
      </c>
      <c r="D550">
        <v>74.866598133598387</v>
      </c>
      <c r="E550">
        <v>278.07836248924792</v>
      </c>
      <c r="F550">
        <v>-54.032502691357543</v>
      </c>
      <c r="G550">
        <v>54.032502691357543</v>
      </c>
      <c r="H550">
        <v>-45.027085576131277</v>
      </c>
      <c r="I550">
        <v>45.027085576131277</v>
      </c>
    </row>
    <row r="551" spans="1:9">
      <c r="A551" s="2">
        <v>44384</v>
      </c>
      <c r="B551">
        <v>149</v>
      </c>
      <c r="C551">
        <v>185.86514529873219</v>
      </c>
      <c r="D551">
        <v>77.701314820148568</v>
      </c>
      <c r="E551">
        <v>307.6732968468977</v>
      </c>
      <c r="F551">
        <v>-36.865145298732159</v>
      </c>
      <c r="G551">
        <v>36.865145298732159</v>
      </c>
      <c r="H551">
        <v>-24.741708254182662</v>
      </c>
      <c r="I551">
        <v>24.741708254182662</v>
      </c>
    </row>
    <row r="552" spans="1:9">
      <c r="A552" s="2">
        <v>44385</v>
      </c>
      <c r="B552">
        <v>175</v>
      </c>
      <c r="C552">
        <v>180.67525408542599</v>
      </c>
      <c r="D552">
        <v>67.018845831164299</v>
      </c>
      <c r="E552">
        <v>282.71318926646268</v>
      </c>
      <c r="F552">
        <v>-5.6752540854259914</v>
      </c>
      <c r="G552">
        <v>5.6752540854259914</v>
      </c>
      <c r="H552">
        <v>-3.243002334529137</v>
      </c>
      <c r="I552">
        <v>3.243002334529137</v>
      </c>
    </row>
    <row r="553" spans="1:9">
      <c r="A553" s="2">
        <v>44386</v>
      </c>
      <c r="B553">
        <v>130</v>
      </c>
      <c r="C553">
        <v>171.3545401506403</v>
      </c>
      <c r="D553">
        <v>67.880498897246554</v>
      </c>
      <c r="E553">
        <v>289.82901770256728</v>
      </c>
      <c r="F553">
        <v>-41.354540150640283</v>
      </c>
      <c r="G553">
        <v>41.354540150640283</v>
      </c>
      <c r="H553">
        <v>-31.811184731261751</v>
      </c>
      <c r="I553">
        <v>31.811184731261751</v>
      </c>
    </row>
    <row r="554" spans="1:9">
      <c r="A554" s="2">
        <v>44387</v>
      </c>
      <c r="B554">
        <v>113</v>
      </c>
      <c r="C554">
        <v>178.01755530612789</v>
      </c>
      <c r="D554">
        <v>66.195285550673646</v>
      </c>
      <c r="E554">
        <v>292.70328271144422</v>
      </c>
      <c r="F554">
        <v>-65.017555306127946</v>
      </c>
      <c r="G554">
        <v>65.017555306127946</v>
      </c>
      <c r="H554">
        <v>-57.537659562945088</v>
      </c>
      <c r="I554">
        <v>57.537659562945088</v>
      </c>
    </row>
    <row r="555" spans="1:9">
      <c r="A555" s="2">
        <v>44388</v>
      </c>
      <c r="B555">
        <v>36</v>
      </c>
      <c r="C555">
        <v>88.819703166426237</v>
      </c>
      <c r="D555">
        <v>-24.03294206688739</v>
      </c>
      <c r="E555">
        <v>199.80686576961111</v>
      </c>
      <c r="F555">
        <v>-52.819703166426237</v>
      </c>
      <c r="G555">
        <v>52.819703166426237</v>
      </c>
      <c r="H555">
        <v>-146.72139768451731</v>
      </c>
      <c r="I555">
        <v>146.72139768451731</v>
      </c>
    </row>
    <row r="556" spans="1:9">
      <c r="A556" s="2">
        <v>44389</v>
      </c>
      <c r="B556">
        <v>313</v>
      </c>
      <c r="C556">
        <v>188.1161105486523</v>
      </c>
      <c r="D556">
        <v>79.39442493949106</v>
      </c>
      <c r="E556">
        <v>292.81378277185308</v>
      </c>
      <c r="F556">
        <v>124.8838894513477</v>
      </c>
      <c r="G556">
        <v>124.8838894513477</v>
      </c>
      <c r="H556">
        <v>39.899006214488082</v>
      </c>
      <c r="I556">
        <v>39.899006214488082</v>
      </c>
    </row>
    <row r="557" spans="1:9">
      <c r="A557" s="2">
        <v>44390</v>
      </c>
      <c r="B557">
        <v>163</v>
      </c>
      <c r="C557">
        <v>171.46695825080801</v>
      </c>
      <c r="D557">
        <v>56.350240856037352</v>
      </c>
      <c r="E557">
        <v>276.73020645118532</v>
      </c>
      <c r="F557">
        <v>-8.4669582508080339</v>
      </c>
      <c r="G557">
        <v>8.4669582508080339</v>
      </c>
      <c r="H557">
        <v>-5.1944529146061553</v>
      </c>
      <c r="I557">
        <v>5.1944529146061553</v>
      </c>
    </row>
    <row r="558" spans="1:9">
      <c r="A558" s="2">
        <v>44391</v>
      </c>
      <c r="B558">
        <v>160</v>
      </c>
      <c r="C558">
        <v>183.0772732265111</v>
      </c>
      <c r="D558">
        <v>70.61966757466152</v>
      </c>
      <c r="E558">
        <v>294.45207213485662</v>
      </c>
      <c r="F558">
        <v>-23.0772732265111</v>
      </c>
      <c r="G558">
        <v>23.0772732265111</v>
      </c>
      <c r="H558">
        <v>-14.42329576656944</v>
      </c>
      <c r="I558">
        <v>14.42329576656944</v>
      </c>
    </row>
    <row r="559" spans="1:9">
      <c r="A559" s="2">
        <v>44392</v>
      </c>
      <c r="B559">
        <v>132</v>
      </c>
      <c r="C559">
        <v>177.6652875915351</v>
      </c>
      <c r="D559">
        <v>61.156788121744107</v>
      </c>
      <c r="E559">
        <v>284.84788570732701</v>
      </c>
      <c r="F559">
        <v>-45.665287591535133</v>
      </c>
      <c r="G559">
        <v>45.665287591535133</v>
      </c>
      <c r="H559">
        <v>-34.594914842072072</v>
      </c>
      <c r="I559">
        <v>34.594914842072072</v>
      </c>
    </row>
    <row r="560" spans="1:9">
      <c r="A560" s="2">
        <v>44393</v>
      </c>
      <c r="B560">
        <v>131</v>
      </c>
      <c r="C560">
        <v>168.11290551104219</v>
      </c>
      <c r="D560">
        <v>62.596882843979451</v>
      </c>
      <c r="E560">
        <v>279.07629255455481</v>
      </c>
      <c r="F560">
        <v>-37.112905511042207</v>
      </c>
      <c r="G560">
        <v>37.112905511042207</v>
      </c>
      <c r="H560">
        <v>-28.330462222169629</v>
      </c>
      <c r="I560">
        <v>28.330462222169629</v>
      </c>
    </row>
    <row r="561" spans="1:9">
      <c r="A561" s="2">
        <v>44394</v>
      </c>
      <c r="B561">
        <v>158</v>
      </c>
      <c r="C561">
        <v>174.52554250463791</v>
      </c>
      <c r="D561">
        <v>58.636429140538922</v>
      </c>
      <c r="E561">
        <v>282.49623244845401</v>
      </c>
      <c r="F561">
        <v>-16.52554250463794</v>
      </c>
      <c r="G561">
        <v>16.52554250463794</v>
      </c>
      <c r="H561">
        <v>-10.45920411685946</v>
      </c>
      <c r="I561">
        <v>10.45920411685946</v>
      </c>
    </row>
    <row r="562" spans="1:9">
      <c r="A562" s="2">
        <v>44395</v>
      </c>
      <c r="B562">
        <v>19</v>
      </c>
      <c r="C562">
        <v>85.050503624782053</v>
      </c>
      <c r="D562">
        <v>-20.253991995635889</v>
      </c>
      <c r="E562">
        <v>194.1088204723039</v>
      </c>
      <c r="F562">
        <v>-66.050503624782053</v>
      </c>
      <c r="G562">
        <v>66.050503624782053</v>
      </c>
      <c r="H562">
        <v>-347.63422960411611</v>
      </c>
      <c r="I562">
        <v>347.63422960411611</v>
      </c>
    </row>
    <row r="563" spans="1:9">
      <c r="A563" s="2">
        <v>44396</v>
      </c>
      <c r="B563">
        <v>151</v>
      </c>
      <c r="C563">
        <v>184.03618707685959</v>
      </c>
      <c r="D563">
        <v>69.119533857349552</v>
      </c>
      <c r="E563">
        <v>300.21514717433439</v>
      </c>
      <c r="F563">
        <v>-33.036187076859562</v>
      </c>
      <c r="G563">
        <v>33.036187076859562</v>
      </c>
      <c r="H563">
        <v>-21.878269587324219</v>
      </c>
      <c r="I563">
        <v>21.878269587324219</v>
      </c>
    </row>
    <row r="564" spans="1:9">
      <c r="A564" s="2">
        <v>44397</v>
      </c>
      <c r="B564">
        <v>139</v>
      </c>
      <c r="C564">
        <v>167.0377021141226</v>
      </c>
      <c r="D564">
        <v>51.13402986803731</v>
      </c>
      <c r="E564">
        <v>284.21218973152531</v>
      </c>
      <c r="F564">
        <v>-28.03770211412257</v>
      </c>
      <c r="G564">
        <v>28.03770211412257</v>
      </c>
      <c r="H564">
        <v>-20.171008715196091</v>
      </c>
      <c r="I564">
        <v>20.171008715196091</v>
      </c>
    </row>
    <row r="565" spans="1:9">
      <c r="A565" s="2">
        <v>44398</v>
      </c>
      <c r="B565">
        <v>166</v>
      </c>
      <c r="C565">
        <v>178.2568943934422</v>
      </c>
      <c r="D565">
        <v>67.709500777565182</v>
      </c>
      <c r="E565">
        <v>285.43649245539098</v>
      </c>
      <c r="F565">
        <v>-12.25689439344217</v>
      </c>
      <c r="G565">
        <v>12.25689439344217</v>
      </c>
      <c r="H565">
        <v>-7.383671321350703</v>
      </c>
      <c r="I565">
        <v>7.383671321350703</v>
      </c>
    </row>
    <row r="566" spans="1:9">
      <c r="A566" s="2">
        <v>44399</v>
      </c>
      <c r="B566">
        <v>258</v>
      </c>
      <c r="C566">
        <v>172.4108770445618</v>
      </c>
      <c r="D566">
        <v>67.483768810533064</v>
      </c>
      <c r="E566">
        <v>281.52204734459281</v>
      </c>
      <c r="F566">
        <v>85.589122955438199</v>
      </c>
      <c r="G566">
        <v>85.589122955438199</v>
      </c>
      <c r="H566">
        <v>33.174078664898524</v>
      </c>
      <c r="I566">
        <v>33.174078664898524</v>
      </c>
    </row>
    <row r="567" spans="1:9">
      <c r="A567" s="2">
        <v>44400</v>
      </c>
      <c r="B567">
        <v>203</v>
      </c>
      <c r="C567">
        <v>162.38260315330251</v>
      </c>
      <c r="D567">
        <v>63.873027912351667</v>
      </c>
      <c r="E567">
        <v>281.10665732917761</v>
      </c>
      <c r="F567">
        <v>40.617396846697552</v>
      </c>
      <c r="G567">
        <v>40.617396846697552</v>
      </c>
      <c r="H567">
        <v>20.00856987522047</v>
      </c>
      <c r="I567">
        <v>20.00856987522047</v>
      </c>
    </row>
    <row r="568" spans="1:9">
      <c r="A568" s="2">
        <v>44401</v>
      </c>
      <c r="B568">
        <v>182</v>
      </c>
      <c r="C568">
        <v>168.2807408468957</v>
      </c>
      <c r="D568">
        <v>59.118568905382602</v>
      </c>
      <c r="E568">
        <v>282.3295720331007</v>
      </c>
      <c r="F568">
        <v>13.71925915310428</v>
      </c>
      <c r="G568">
        <v>13.71925915310428</v>
      </c>
      <c r="H568">
        <v>7.5380544797276237</v>
      </c>
      <c r="I568">
        <v>7.5380544797276237</v>
      </c>
    </row>
    <row r="569" spans="1:9">
      <c r="A569" s="2">
        <v>44402</v>
      </c>
      <c r="B569">
        <v>18</v>
      </c>
      <c r="C569">
        <v>78.258016164683809</v>
      </c>
      <c r="D569">
        <v>-36.253538161641252</v>
      </c>
      <c r="E569">
        <v>190.9175759147667</v>
      </c>
      <c r="F569">
        <v>-60.258016164683809</v>
      </c>
      <c r="G569">
        <v>60.258016164683809</v>
      </c>
      <c r="H569">
        <v>-334.76675647046562</v>
      </c>
      <c r="I569">
        <v>334.76675647046562</v>
      </c>
    </row>
    <row r="570" spans="1:9">
      <c r="A570" s="2">
        <v>44403</v>
      </c>
      <c r="B570">
        <v>215</v>
      </c>
      <c r="C570">
        <v>176.70798002226999</v>
      </c>
      <c r="D570">
        <v>65.167267277644342</v>
      </c>
      <c r="E570">
        <v>290.28359662600423</v>
      </c>
      <c r="F570">
        <v>38.292019977730043</v>
      </c>
      <c r="G570">
        <v>38.292019977730043</v>
      </c>
      <c r="H570">
        <v>17.810241850106991</v>
      </c>
      <c r="I570">
        <v>17.810241850106991</v>
      </c>
    </row>
    <row r="571" spans="1:9">
      <c r="A571" s="2">
        <v>44404</v>
      </c>
      <c r="B571">
        <v>209</v>
      </c>
      <c r="C571">
        <v>159.15744648056321</v>
      </c>
      <c r="D571">
        <v>48.454844079648488</v>
      </c>
      <c r="E571">
        <v>275.15154479166989</v>
      </c>
      <c r="F571">
        <v>49.842553519436791</v>
      </c>
      <c r="G571">
        <v>49.842553519436791</v>
      </c>
      <c r="H571">
        <v>23.848111731787942</v>
      </c>
      <c r="I571">
        <v>23.848111731787942</v>
      </c>
    </row>
    <row r="572" spans="1:9">
      <c r="A572" s="2">
        <v>44405</v>
      </c>
      <c r="B572">
        <v>140</v>
      </c>
      <c r="C572">
        <v>169.81928945795309</v>
      </c>
      <c r="D572">
        <v>52.479049905889468</v>
      </c>
      <c r="E572">
        <v>282.30417425567867</v>
      </c>
      <c r="F572">
        <v>-29.81928945795309</v>
      </c>
      <c r="G572">
        <v>29.81928945795309</v>
      </c>
      <c r="H572">
        <v>-21.299492469966491</v>
      </c>
      <c r="I572">
        <v>21.299492469966491</v>
      </c>
    </row>
    <row r="573" spans="1:9">
      <c r="A573" s="2">
        <v>44406</v>
      </c>
      <c r="B573">
        <v>124</v>
      </c>
      <c r="C573">
        <v>163.42301379298459</v>
      </c>
      <c r="D573">
        <v>50.831062851542796</v>
      </c>
      <c r="E573">
        <v>272.07222025546162</v>
      </c>
      <c r="F573">
        <v>-39.423013792984563</v>
      </c>
      <c r="G573">
        <v>39.423013792984563</v>
      </c>
      <c r="H573">
        <v>-31.792753058858519</v>
      </c>
      <c r="I573">
        <v>31.792753058858519</v>
      </c>
    </row>
    <row r="574" spans="1:9">
      <c r="A574" s="2">
        <v>44407</v>
      </c>
      <c r="B574">
        <v>179</v>
      </c>
      <c r="C574">
        <v>152.86498923725719</v>
      </c>
      <c r="D574">
        <v>47.149426303919967</v>
      </c>
      <c r="E574">
        <v>260.83194443102929</v>
      </c>
      <c r="F574">
        <v>26.13501076274278</v>
      </c>
      <c r="G574">
        <v>26.13501076274278</v>
      </c>
      <c r="H574">
        <v>14.60056467192334</v>
      </c>
      <c r="I574">
        <v>14.60056467192334</v>
      </c>
    </row>
    <row r="575" spans="1:9">
      <c r="A575" s="2">
        <v>44408</v>
      </c>
      <c r="B575">
        <v>163</v>
      </c>
      <c r="C575">
        <v>158.26794938776959</v>
      </c>
      <c r="D575">
        <v>41.891042973004083</v>
      </c>
      <c r="E575">
        <v>269.82587925080361</v>
      </c>
      <c r="F575">
        <v>4.7320506122303811</v>
      </c>
      <c r="G575">
        <v>4.7320506122303811</v>
      </c>
      <c r="H575">
        <v>2.9030985351106628</v>
      </c>
      <c r="I575">
        <v>2.9030985351106628</v>
      </c>
    </row>
    <row r="576" spans="1:9">
      <c r="A576" s="2">
        <v>44409</v>
      </c>
      <c r="B576">
        <v>247</v>
      </c>
      <c r="C576">
        <v>67.798931576384447</v>
      </c>
      <c r="D576">
        <v>-39.668777697842977</v>
      </c>
      <c r="E576">
        <v>178.11263794424431</v>
      </c>
      <c r="F576">
        <v>179.20106842361551</v>
      </c>
      <c r="G576">
        <v>179.20106842361551</v>
      </c>
      <c r="H576">
        <v>72.551039847617631</v>
      </c>
      <c r="I576">
        <v>72.551039847617631</v>
      </c>
    </row>
    <row r="577" spans="1:9">
      <c r="A577" s="2">
        <v>44410</v>
      </c>
      <c r="B577">
        <v>56</v>
      </c>
      <c r="C577">
        <v>165.82795671824411</v>
      </c>
      <c r="D577">
        <v>56.457160177639373</v>
      </c>
      <c r="E577">
        <v>278.07510654903632</v>
      </c>
      <c r="F577">
        <v>-109.8279567182441</v>
      </c>
      <c r="G577">
        <v>109.8279567182441</v>
      </c>
      <c r="H577">
        <v>-196.1213512825787</v>
      </c>
      <c r="I577">
        <v>196.1213512825787</v>
      </c>
    </row>
    <row r="578" spans="1:9">
      <c r="A578" s="2">
        <v>44411</v>
      </c>
      <c r="B578">
        <v>177</v>
      </c>
      <c r="C578">
        <v>147.9330529295442</v>
      </c>
      <c r="D578">
        <v>36.534130894533483</v>
      </c>
      <c r="E578">
        <v>255.84879744895849</v>
      </c>
      <c r="F578">
        <v>29.066947070455772</v>
      </c>
      <c r="G578">
        <v>29.066947070455772</v>
      </c>
      <c r="H578">
        <v>16.422003994607781</v>
      </c>
      <c r="I578">
        <v>16.422003994607781</v>
      </c>
    </row>
    <row r="579" spans="1:9">
      <c r="A579" s="2">
        <v>44412</v>
      </c>
      <c r="B579">
        <v>138</v>
      </c>
      <c r="C579">
        <v>158.3396331420397</v>
      </c>
      <c r="D579">
        <v>46.871152910236532</v>
      </c>
      <c r="E579">
        <v>269.87452233027648</v>
      </c>
      <c r="F579">
        <v>-20.339633142039698</v>
      </c>
      <c r="G579">
        <v>20.339633142039698</v>
      </c>
      <c r="H579">
        <v>-14.738864595680941</v>
      </c>
      <c r="I579">
        <v>14.738864595680941</v>
      </c>
    </row>
    <row r="580" spans="1:9">
      <c r="A580" s="2">
        <v>44413</v>
      </c>
      <c r="B580">
        <v>110</v>
      </c>
      <c r="C580">
        <v>151.78834360431449</v>
      </c>
      <c r="D580">
        <v>46.819122455136757</v>
      </c>
      <c r="E580">
        <v>265.29834878370252</v>
      </c>
      <c r="F580">
        <v>-41.788343604314463</v>
      </c>
      <c r="G580">
        <v>41.788343604314463</v>
      </c>
      <c r="H580">
        <v>-37.989403276649512</v>
      </c>
      <c r="I580">
        <v>37.989403276649512</v>
      </c>
    </row>
    <row r="581" spans="1:9">
      <c r="A581" s="2">
        <v>44414</v>
      </c>
      <c r="B581">
        <v>107</v>
      </c>
      <c r="C581">
        <v>141.18493865516729</v>
      </c>
      <c r="D581">
        <v>23.263080409547609</v>
      </c>
      <c r="E581">
        <v>256.52904389318547</v>
      </c>
      <c r="F581">
        <v>-34.184938655167308</v>
      </c>
      <c r="G581">
        <v>34.184938655167308</v>
      </c>
      <c r="H581">
        <v>-31.948540799221789</v>
      </c>
      <c r="I581">
        <v>31.948540799221789</v>
      </c>
    </row>
    <row r="582" spans="1:9">
      <c r="A582" s="2">
        <v>44415</v>
      </c>
      <c r="B582">
        <v>155</v>
      </c>
      <c r="C582">
        <v>146.65946311526571</v>
      </c>
      <c r="D582">
        <v>33.147878002280542</v>
      </c>
      <c r="E582">
        <v>256.89123996804551</v>
      </c>
      <c r="F582">
        <v>8.3405368847342913</v>
      </c>
      <c r="G582">
        <v>8.3405368847342913</v>
      </c>
      <c r="H582">
        <v>5.3809915385382521</v>
      </c>
      <c r="I582">
        <v>5.3809915385382521</v>
      </c>
    </row>
    <row r="583" spans="1:9">
      <c r="A583" s="2">
        <v>44416</v>
      </c>
      <c r="B583">
        <v>25</v>
      </c>
      <c r="C583">
        <v>56.383927563890609</v>
      </c>
      <c r="D583">
        <v>-62.586408540844928</v>
      </c>
      <c r="E583">
        <v>172.09365131524581</v>
      </c>
      <c r="F583">
        <v>-31.383927563890609</v>
      </c>
      <c r="G583">
        <v>31.383927563890609</v>
      </c>
      <c r="H583">
        <v>-125.53571025556241</v>
      </c>
      <c r="I583">
        <v>125.53571025556241</v>
      </c>
    </row>
    <row r="584" spans="1:9">
      <c r="A584" s="2">
        <v>44417</v>
      </c>
      <c r="B584">
        <v>22</v>
      </c>
      <c r="C584">
        <v>154.7307833002763</v>
      </c>
      <c r="D584">
        <v>46.602533792688817</v>
      </c>
      <c r="E584">
        <v>266.35578623289962</v>
      </c>
      <c r="F584">
        <v>-132.7307833002763</v>
      </c>
      <c r="G584">
        <v>132.7307833002763</v>
      </c>
      <c r="H584">
        <v>-603.32174227398332</v>
      </c>
      <c r="I584">
        <v>603.32174227398332</v>
      </c>
    </row>
    <row r="585" spans="1:9">
      <c r="A585" s="2">
        <v>44418</v>
      </c>
      <c r="B585">
        <v>107</v>
      </c>
      <c r="C585">
        <v>137.2778069364324</v>
      </c>
      <c r="D585">
        <v>35.286373515162254</v>
      </c>
      <c r="E585">
        <v>250.59649074669281</v>
      </c>
      <c r="F585">
        <v>-30.27780693643237</v>
      </c>
      <c r="G585">
        <v>30.27780693643237</v>
      </c>
      <c r="H585">
        <v>-28.29701582844147</v>
      </c>
      <c r="I585">
        <v>28.29701582844147</v>
      </c>
    </row>
    <row r="586" spans="1:9">
      <c r="A586" s="2">
        <v>44419</v>
      </c>
      <c r="B586">
        <v>155</v>
      </c>
      <c r="C586">
        <v>148.24740916954821</v>
      </c>
      <c r="D586">
        <v>43.45454030937892</v>
      </c>
      <c r="E586">
        <v>256.91703375992267</v>
      </c>
      <c r="F586">
        <v>6.7525908304517941</v>
      </c>
      <c r="G586">
        <v>6.7525908304517941</v>
      </c>
      <c r="H586">
        <v>4.3565102131947064</v>
      </c>
      <c r="I586">
        <v>4.3565102131947064</v>
      </c>
    </row>
    <row r="587" spans="1:9">
      <c r="A587" s="2">
        <v>44420</v>
      </c>
      <c r="B587">
        <v>251</v>
      </c>
      <c r="C587">
        <v>142.37448699551371</v>
      </c>
      <c r="D587">
        <v>34.494694076741403</v>
      </c>
      <c r="E587">
        <v>253.17316622450591</v>
      </c>
      <c r="F587">
        <v>108.62551300448629</v>
      </c>
      <c r="G587">
        <v>108.62551300448629</v>
      </c>
      <c r="H587">
        <v>43.277096814536357</v>
      </c>
      <c r="I587">
        <v>43.277096814536357</v>
      </c>
    </row>
    <row r="588" spans="1:9">
      <c r="A588" s="2">
        <v>44421</v>
      </c>
      <c r="B588">
        <v>143</v>
      </c>
      <c r="C588">
        <v>132.55637513770651</v>
      </c>
      <c r="D588">
        <v>14.98536865028812</v>
      </c>
      <c r="E588">
        <v>242.18528323097891</v>
      </c>
      <c r="F588">
        <v>10.44362486229355</v>
      </c>
      <c r="G588">
        <v>10.44362486229355</v>
      </c>
      <c r="H588">
        <v>7.3032341694360472</v>
      </c>
      <c r="I588">
        <v>7.3032341694360472</v>
      </c>
    </row>
    <row r="589" spans="1:9">
      <c r="A589" s="2">
        <v>44422</v>
      </c>
      <c r="B589">
        <v>100</v>
      </c>
      <c r="C589">
        <v>138.91217641786329</v>
      </c>
      <c r="D589">
        <v>25.957117303899821</v>
      </c>
      <c r="E589">
        <v>250.85510220378001</v>
      </c>
      <c r="F589">
        <v>-38.912176417863257</v>
      </c>
      <c r="G589">
        <v>38.912176417863257</v>
      </c>
      <c r="H589">
        <v>-38.912176417863257</v>
      </c>
      <c r="I589">
        <v>38.912176417863257</v>
      </c>
    </row>
    <row r="590" spans="1:9">
      <c r="A590" s="2">
        <v>44423</v>
      </c>
      <c r="B590">
        <v>17</v>
      </c>
      <c r="C590">
        <v>49.600652781230608</v>
      </c>
      <c r="D590">
        <v>-64.649043775968082</v>
      </c>
      <c r="E590">
        <v>158.4578535493259</v>
      </c>
      <c r="F590">
        <v>-32.600652781230608</v>
      </c>
      <c r="G590">
        <v>32.600652781230608</v>
      </c>
      <c r="H590">
        <v>-191.76854577194479</v>
      </c>
      <c r="I590">
        <v>191.76854577194479</v>
      </c>
    </row>
    <row r="591" spans="1:9">
      <c r="A591" s="2">
        <v>44424</v>
      </c>
      <c r="B591">
        <v>113</v>
      </c>
      <c r="C591">
        <v>148.97897838006591</v>
      </c>
      <c r="D591">
        <v>36.409416558060443</v>
      </c>
      <c r="E591">
        <v>251.08652114405629</v>
      </c>
      <c r="F591">
        <v>-35.978978380065847</v>
      </c>
      <c r="G591">
        <v>35.978978380065847</v>
      </c>
      <c r="H591">
        <v>-31.839803876164471</v>
      </c>
      <c r="I591">
        <v>31.839803876164471</v>
      </c>
    </row>
    <row r="592" spans="1:9">
      <c r="A592" s="2">
        <v>44425</v>
      </c>
      <c r="B592">
        <v>139</v>
      </c>
      <c r="C592">
        <v>132.60795759037839</v>
      </c>
      <c r="D592">
        <v>25.697538806244651</v>
      </c>
      <c r="E592">
        <v>244.81793178597329</v>
      </c>
      <c r="F592">
        <v>6.3920424096215527</v>
      </c>
      <c r="G592">
        <v>6.3920424096215527</v>
      </c>
      <c r="H592">
        <v>4.5985916615982392</v>
      </c>
      <c r="I592">
        <v>4.5985916615982392</v>
      </c>
    </row>
    <row r="593" spans="1:9">
      <c r="A593" s="2">
        <v>44426</v>
      </c>
      <c r="B593">
        <v>135</v>
      </c>
      <c r="C593">
        <v>144.6917139589649</v>
      </c>
      <c r="D593">
        <v>38.080927564668571</v>
      </c>
      <c r="E593">
        <v>245.59101398954971</v>
      </c>
      <c r="F593">
        <v>-9.6917139589648684</v>
      </c>
      <c r="G593">
        <v>9.6917139589648684</v>
      </c>
      <c r="H593">
        <v>-7.1790473770110133</v>
      </c>
      <c r="I593">
        <v>7.1790473770110133</v>
      </c>
    </row>
    <row r="594" spans="1:9">
      <c r="A594" s="2">
        <v>44427</v>
      </c>
      <c r="B594">
        <v>29</v>
      </c>
      <c r="C594">
        <v>139.94595955697031</v>
      </c>
      <c r="D594">
        <v>26.67107309661526</v>
      </c>
      <c r="E594">
        <v>251.0901444056145</v>
      </c>
      <c r="F594">
        <v>-110.94595955697029</v>
      </c>
      <c r="G594">
        <v>110.94595955697029</v>
      </c>
      <c r="H594">
        <v>-382.57227433438038</v>
      </c>
      <c r="I594">
        <v>382.57227433438038</v>
      </c>
    </row>
    <row r="595" spans="1:9">
      <c r="A595" s="2">
        <v>44428</v>
      </c>
      <c r="B595">
        <v>120</v>
      </c>
      <c r="C595">
        <v>131.24838975661629</v>
      </c>
      <c r="D595">
        <v>19.424853803859431</v>
      </c>
      <c r="E595">
        <v>241.02399732191671</v>
      </c>
      <c r="F595">
        <v>-11.248389756616319</v>
      </c>
      <c r="G595">
        <v>11.248389756616319</v>
      </c>
      <c r="H595">
        <v>-9.3736581305136006</v>
      </c>
      <c r="I595">
        <v>9.3736581305136006</v>
      </c>
    </row>
    <row r="596" spans="1:9">
      <c r="A596" s="2">
        <v>44429</v>
      </c>
      <c r="B596">
        <v>115</v>
      </c>
      <c r="C596">
        <v>138.698471754058</v>
      </c>
      <c r="D596">
        <v>32.087356748485739</v>
      </c>
      <c r="E596">
        <v>251.09556850449121</v>
      </c>
      <c r="F596">
        <v>-23.69847175405798</v>
      </c>
      <c r="G596">
        <v>23.69847175405798</v>
      </c>
      <c r="H596">
        <v>-20.60736674265911</v>
      </c>
      <c r="I596">
        <v>20.60736674265911</v>
      </c>
    </row>
    <row r="597" spans="1:9">
      <c r="A597" s="2">
        <v>44430</v>
      </c>
      <c r="B597">
        <v>14</v>
      </c>
      <c r="C597">
        <v>50.435796761685708</v>
      </c>
      <c r="D597">
        <v>-44.783711924785671</v>
      </c>
      <c r="E597">
        <v>165.97972217659091</v>
      </c>
      <c r="F597">
        <v>-36.435796761685708</v>
      </c>
      <c r="G597">
        <v>36.435796761685708</v>
      </c>
      <c r="H597">
        <v>-260.25569115489787</v>
      </c>
      <c r="I597">
        <v>260.25569115489787</v>
      </c>
    </row>
    <row r="598" spans="1:9">
      <c r="A598" s="2">
        <v>44431</v>
      </c>
      <c r="B598">
        <v>107</v>
      </c>
      <c r="C598">
        <v>150.79928547259249</v>
      </c>
      <c r="D598">
        <v>36.892345118120758</v>
      </c>
      <c r="E598">
        <v>247.25939021280919</v>
      </c>
      <c r="F598">
        <v>-43.799285472592487</v>
      </c>
      <c r="G598">
        <v>43.799285472592487</v>
      </c>
      <c r="H598">
        <v>-40.933911656628489</v>
      </c>
      <c r="I598">
        <v>40.933911656628489</v>
      </c>
    </row>
    <row r="599" spans="1:9">
      <c r="A599" s="2">
        <v>44432</v>
      </c>
      <c r="B599">
        <v>137</v>
      </c>
      <c r="C599">
        <v>135.3328381322286</v>
      </c>
      <c r="D599">
        <v>18.04488862603332</v>
      </c>
      <c r="E599">
        <v>245.67471532521651</v>
      </c>
      <c r="F599">
        <v>1.667161867771398</v>
      </c>
      <c r="G599">
        <v>1.667161867771398</v>
      </c>
      <c r="H599">
        <v>1.2169064728258381</v>
      </c>
      <c r="I599">
        <v>1.2169064728258381</v>
      </c>
    </row>
    <row r="600" spans="1:9">
      <c r="A600" s="2">
        <v>44433</v>
      </c>
      <c r="B600">
        <v>106</v>
      </c>
      <c r="C600">
        <v>148.2254242675364</v>
      </c>
      <c r="D600">
        <v>28.58178891926876</v>
      </c>
      <c r="E600">
        <v>261.02991061965429</v>
      </c>
      <c r="F600">
        <v>-42.225424267536368</v>
      </c>
      <c r="G600">
        <v>42.225424267536368</v>
      </c>
      <c r="H600">
        <v>-39.83530591277016</v>
      </c>
      <c r="I600">
        <v>39.83530591277016</v>
      </c>
    </row>
    <row r="601" spans="1:9">
      <c r="A601" s="2">
        <v>44434</v>
      </c>
      <c r="B601">
        <v>116</v>
      </c>
      <c r="C601">
        <v>144.17971146204329</v>
      </c>
      <c r="D601">
        <v>29.646257492747111</v>
      </c>
      <c r="E601">
        <v>252.37527120900191</v>
      </c>
      <c r="F601">
        <v>-28.17971146204334</v>
      </c>
      <c r="G601">
        <v>28.17971146204334</v>
      </c>
      <c r="H601">
        <v>-24.292854708658059</v>
      </c>
      <c r="I601">
        <v>24.292854708658059</v>
      </c>
    </row>
    <row r="602" spans="1:9">
      <c r="A602" s="2">
        <v>44435</v>
      </c>
      <c r="B602">
        <v>120</v>
      </c>
      <c r="C602">
        <v>136.0627692386301</v>
      </c>
      <c r="D602">
        <v>31.19438213661417</v>
      </c>
      <c r="E602">
        <v>242.58907187725271</v>
      </c>
      <c r="F602">
        <v>-16.062769238630072</v>
      </c>
      <c r="G602">
        <v>16.062769238630072</v>
      </c>
      <c r="H602">
        <v>-13.385641032191719</v>
      </c>
      <c r="I602">
        <v>13.385641032191719</v>
      </c>
    </row>
    <row r="603" spans="1:9">
      <c r="A603" s="2">
        <v>44436</v>
      </c>
      <c r="B603">
        <v>123</v>
      </c>
      <c r="C603">
        <v>143.99147263452821</v>
      </c>
      <c r="D603">
        <v>41.250714233506507</v>
      </c>
      <c r="E603">
        <v>251.3258070253616</v>
      </c>
      <c r="F603">
        <v>-20.991472634528151</v>
      </c>
      <c r="G603">
        <v>20.991472634528151</v>
      </c>
      <c r="H603">
        <v>-17.066237914250529</v>
      </c>
      <c r="I603">
        <v>17.066237914250529</v>
      </c>
    </row>
    <row r="604" spans="1:9">
      <c r="A604" s="2">
        <v>44437</v>
      </c>
      <c r="B604">
        <v>31</v>
      </c>
      <c r="C604">
        <v>56.07494994779303</v>
      </c>
      <c r="D604">
        <v>-43.942905168896758</v>
      </c>
      <c r="E604">
        <v>165.93400811095</v>
      </c>
      <c r="F604">
        <v>-25.07494994779303</v>
      </c>
      <c r="G604">
        <v>25.07494994779303</v>
      </c>
      <c r="H604">
        <v>-80.886935315461386</v>
      </c>
      <c r="I604">
        <v>80.886935315461386</v>
      </c>
    </row>
    <row r="605" spans="1:9">
      <c r="A605" s="2">
        <v>44438</v>
      </c>
      <c r="B605">
        <v>140</v>
      </c>
      <c r="C605">
        <v>156.6499986102956</v>
      </c>
      <c r="D605">
        <v>43.885532821568333</v>
      </c>
      <c r="E605">
        <v>258.01091009022008</v>
      </c>
      <c r="F605">
        <v>-16.649998610295601</v>
      </c>
      <c r="G605">
        <v>16.649998610295601</v>
      </c>
      <c r="H605">
        <v>-11.89285615021114</v>
      </c>
      <c r="I605">
        <v>11.89285615021114</v>
      </c>
    </row>
    <row r="606" spans="1:9">
      <c r="A606" s="2">
        <v>44439</v>
      </c>
      <c r="B606">
        <v>168</v>
      </c>
      <c r="C606">
        <v>141.2614191453246</v>
      </c>
      <c r="D606">
        <v>27.918075057868808</v>
      </c>
      <c r="E606">
        <v>241.38895832802729</v>
      </c>
      <c r="F606">
        <v>26.738580854675401</v>
      </c>
      <c r="G606">
        <v>26.738580854675401</v>
      </c>
      <c r="H606">
        <v>15.91582193730679</v>
      </c>
      <c r="I606">
        <v>15.91582193730679</v>
      </c>
    </row>
    <row r="607" spans="1:9">
      <c r="A607" s="2">
        <v>44440</v>
      </c>
      <c r="B607">
        <v>191</v>
      </c>
      <c r="C607">
        <v>154.10208082826969</v>
      </c>
      <c r="D607">
        <v>46.301299705607818</v>
      </c>
      <c r="E607">
        <v>266.26773626142659</v>
      </c>
      <c r="F607">
        <v>36.89791917173028</v>
      </c>
      <c r="G607">
        <v>36.89791917173028</v>
      </c>
      <c r="H607">
        <v>19.318282288864019</v>
      </c>
      <c r="I607">
        <v>19.318282288864019</v>
      </c>
    </row>
    <row r="608" spans="1:9">
      <c r="A608" s="2">
        <v>44441</v>
      </c>
      <c r="B608">
        <v>215</v>
      </c>
      <c r="C608">
        <v>149.88145556563211</v>
      </c>
      <c r="D608">
        <v>43.167579955525682</v>
      </c>
      <c r="E608">
        <v>267.1571574512547</v>
      </c>
      <c r="F608">
        <v>65.118544434367919</v>
      </c>
      <c r="G608">
        <v>65.118544434367919</v>
      </c>
      <c r="H608">
        <v>30.287695085752521</v>
      </c>
      <c r="I608">
        <v>30.287695085752521</v>
      </c>
    </row>
    <row r="609" spans="1:9">
      <c r="A609" s="2">
        <v>44442</v>
      </c>
      <c r="B609">
        <v>156</v>
      </c>
      <c r="C609">
        <v>141.47615882606439</v>
      </c>
      <c r="D609">
        <v>38.422919030074823</v>
      </c>
      <c r="E609">
        <v>256.97767378616311</v>
      </c>
      <c r="F609">
        <v>14.52384117393561</v>
      </c>
      <c r="G609">
        <v>14.52384117393561</v>
      </c>
      <c r="H609">
        <v>9.3101545986766716</v>
      </c>
      <c r="I609">
        <v>9.3101545986766716</v>
      </c>
    </row>
    <row r="610" spans="1:9">
      <c r="A610" s="2">
        <v>44443</v>
      </c>
      <c r="B610">
        <v>125</v>
      </c>
      <c r="C610">
        <v>148.9897627584385</v>
      </c>
      <c r="D610">
        <v>35.919181173353842</v>
      </c>
      <c r="E610">
        <v>261.18059585699592</v>
      </c>
      <c r="F610">
        <v>-23.989762758438498</v>
      </c>
      <c r="G610">
        <v>23.989762758438498</v>
      </c>
      <c r="H610">
        <v>-19.191810206750802</v>
      </c>
      <c r="I610">
        <v>19.191810206750802</v>
      </c>
    </row>
    <row r="611" spans="1:9">
      <c r="A611" s="2">
        <v>44444</v>
      </c>
      <c r="B611">
        <v>24</v>
      </c>
      <c r="C611">
        <v>60.571051317098487</v>
      </c>
      <c r="D611">
        <v>-42.892787675204268</v>
      </c>
      <c r="E611">
        <v>176.5383836896348</v>
      </c>
      <c r="F611">
        <v>-36.571051317098487</v>
      </c>
      <c r="G611">
        <v>36.571051317098487</v>
      </c>
      <c r="H611">
        <v>-152.3793804879104</v>
      </c>
      <c r="I611">
        <v>152.3793804879104</v>
      </c>
    </row>
    <row r="612" spans="1:9">
      <c r="A612" s="2">
        <v>44445</v>
      </c>
      <c r="B612">
        <v>173</v>
      </c>
      <c r="C612">
        <v>160.57300989316411</v>
      </c>
      <c r="D612">
        <v>45.066982905178357</v>
      </c>
      <c r="E612">
        <v>270.99774055336451</v>
      </c>
      <c r="F612">
        <v>12.42699010683592</v>
      </c>
      <c r="G612">
        <v>12.42699010683592</v>
      </c>
      <c r="H612">
        <v>7.1832312756276968</v>
      </c>
      <c r="I612">
        <v>7.1832312756276968</v>
      </c>
    </row>
    <row r="613" spans="1:9">
      <c r="A613" s="2">
        <v>44446</v>
      </c>
      <c r="B613">
        <v>128</v>
      </c>
      <c r="C613">
        <v>144.55814661478129</v>
      </c>
      <c r="D613">
        <v>37.016657173222903</v>
      </c>
      <c r="E613">
        <v>259.50285835900257</v>
      </c>
      <c r="F613">
        <v>-16.558146614781261</v>
      </c>
      <c r="G613">
        <v>16.558146614781261</v>
      </c>
      <c r="H613">
        <v>-12.93605204279786</v>
      </c>
      <c r="I613">
        <v>12.93605204279786</v>
      </c>
    </row>
    <row r="614" spans="1:9">
      <c r="A614" s="2">
        <v>44447</v>
      </c>
      <c r="B614">
        <v>170</v>
      </c>
      <c r="C614">
        <v>156.73814889954539</v>
      </c>
      <c r="D614">
        <v>49.951371654397761</v>
      </c>
      <c r="E614">
        <v>268.30808677855771</v>
      </c>
      <c r="F614">
        <v>13.26185110045461</v>
      </c>
      <c r="G614">
        <v>13.26185110045461</v>
      </c>
      <c r="H614">
        <v>7.8010888826203564</v>
      </c>
      <c r="I614">
        <v>7.8010888826203564</v>
      </c>
    </row>
    <row r="615" spans="1:9">
      <c r="A615" s="2">
        <v>44448</v>
      </c>
      <c r="B615">
        <v>5</v>
      </c>
      <c r="C615">
        <v>151.84198565280951</v>
      </c>
      <c r="D615">
        <v>41.516143108157493</v>
      </c>
      <c r="E615">
        <v>261.69125524418848</v>
      </c>
      <c r="F615">
        <v>-146.84198565280951</v>
      </c>
      <c r="G615">
        <v>146.84198565280951</v>
      </c>
      <c r="H615">
        <v>-2936.8397130561889</v>
      </c>
      <c r="I615">
        <v>2936.8397130561889</v>
      </c>
    </row>
    <row r="616" spans="1:9">
      <c r="A616" s="2">
        <v>44449</v>
      </c>
      <c r="B616">
        <v>146</v>
      </c>
      <c r="C616">
        <v>142.76600432706849</v>
      </c>
      <c r="D616">
        <v>25.9560614116727</v>
      </c>
      <c r="E616">
        <v>246.79040353836081</v>
      </c>
      <c r="F616">
        <v>3.2339956729315422</v>
      </c>
      <c r="G616">
        <v>3.2339956729315422</v>
      </c>
      <c r="H616">
        <v>2.215065529405166</v>
      </c>
      <c r="I616">
        <v>2.215065529405166</v>
      </c>
    </row>
    <row r="617" spans="1:9">
      <c r="A617" s="2">
        <v>44450</v>
      </c>
      <c r="B617">
        <v>159</v>
      </c>
      <c r="C617">
        <v>149.63329847864409</v>
      </c>
      <c r="D617">
        <v>35.668206202626237</v>
      </c>
      <c r="E617">
        <v>264.17806381805309</v>
      </c>
      <c r="F617">
        <v>9.3667015213559353</v>
      </c>
      <c r="G617">
        <v>9.3667015213559353</v>
      </c>
      <c r="H617">
        <v>5.8910072461358087</v>
      </c>
      <c r="I617">
        <v>5.8910072461358087</v>
      </c>
    </row>
    <row r="618" spans="1:9">
      <c r="A618" s="2">
        <v>44451</v>
      </c>
      <c r="B618">
        <v>190</v>
      </c>
      <c r="C618">
        <v>60.611525986722867</v>
      </c>
      <c r="D618">
        <v>-49.582717058736883</v>
      </c>
      <c r="E618">
        <v>172.62395493934511</v>
      </c>
      <c r="F618">
        <v>129.38847401327709</v>
      </c>
      <c r="G618">
        <v>129.38847401327709</v>
      </c>
      <c r="H618">
        <v>68.099196849093218</v>
      </c>
      <c r="I618">
        <v>68.099196849093218</v>
      </c>
    </row>
    <row r="619" spans="1:9">
      <c r="A619" s="2">
        <v>44452</v>
      </c>
      <c r="B619">
        <v>126</v>
      </c>
      <c r="C619">
        <v>160.0714803928775</v>
      </c>
      <c r="D619">
        <v>52.272045180369389</v>
      </c>
      <c r="E619">
        <v>275.7793769732952</v>
      </c>
      <c r="F619">
        <v>-34.071480392877483</v>
      </c>
      <c r="G619">
        <v>34.071480392877483</v>
      </c>
      <c r="H619">
        <v>-27.040857454664661</v>
      </c>
      <c r="I619">
        <v>27.040857454664661</v>
      </c>
    </row>
    <row r="620" spans="1:9">
      <c r="A620" s="2">
        <v>44453</v>
      </c>
      <c r="B620">
        <v>122</v>
      </c>
      <c r="C620">
        <v>143.59202181485759</v>
      </c>
      <c r="D620">
        <v>27.920667943526119</v>
      </c>
      <c r="E620">
        <v>257.59062900204549</v>
      </c>
      <c r="F620">
        <v>-21.592021814857649</v>
      </c>
      <c r="G620">
        <v>21.592021814857649</v>
      </c>
      <c r="H620">
        <v>-17.698378536768558</v>
      </c>
      <c r="I620">
        <v>17.698378536768558</v>
      </c>
    </row>
    <row r="621" spans="1:9">
      <c r="A621" s="2">
        <v>44454</v>
      </c>
      <c r="B621">
        <v>113</v>
      </c>
      <c r="C621">
        <v>155.39937947760239</v>
      </c>
      <c r="D621">
        <v>42.857281076860112</v>
      </c>
      <c r="E621">
        <v>270.7179304346763</v>
      </c>
      <c r="F621">
        <v>-42.399379477602388</v>
      </c>
      <c r="G621">
        <v>42.399379477602388</v>
      </c>
      <c r="H621">
        <v>-37.521574758940183</v>
      </c>
      <c r="I621">
        <v>37.521574758940183</v>
      </c>
    </row>
    <row r="622" spans="1:9">
      <c r="A622" s="2">
        <v>44455</v>
      </c>
      <c r="B622">
        <v>119</v>
      </c>
      <c r="C622">
        <v>150.23494365716601</v>
      </c>
      <c r="D622">
        <v>35.590784714306963</v>
      </c>
      <c r="E622">
        <v>261.49101451436348</v>
      </c>
      <c r="F622">
        <v>-31.234943657165989</v>
      </c>
      <c r="G622">
        <v>31.234943657165989</v>
      </c>
      <c r="H622">
        <v>-26.247851812744528</v>
      </c>
      <c r="I622">
        <v>26.247851812744528</v>
      </c>
    </row>
    <row r="623" spans="1:9">
      <c r="A623" s="2">
        <v>44456</v>
      </c>
      <c r="B623">
        <v>134</v>
      </c>
      <c r="C623">
        <v>141.00510246038971</v>
      </c>
      <c r="D623">
        <v>38.134171930611338</v>
      </c>
      <c r="E623">
        <v>255.0621131876614</v>
      </c>
      <c r="F623">
        <v>-7.0051024603897076</v>
      </c>
      <c r="G623">
        <v>7.0051024603897076</v>
      </c>
      <c r="H623">
        <v>-5.2276884032759012</v>
      </c>
      <c r="I623">
        <v>5.2276884032759012</v>
      </c>
    </row>
    <row r="624" spans="1:9">
      <c r="A624" s="2">
        <v>44457</v>
      </c>
      <c r="B624">
        <v>101</v>
      </c>
      <c r="C624">
        <v>147.84040397494479</v>
      </c>
      <c r="D624">
        <v>33.462001638730513</v>
      </c>
      <c r="E624">
        <v>268.9402619858401</v>
      </c>
      <c r="F624">
        <v>-46.840403974944763</v>
      </c>
      <c r="G624">
        <v>46.840403974944763</v>
      </c>
      <c r="H624">
        <v>-46.376637598955213</v>
      </c>
      <c r="I624">
        <v>46.376637598955213</v>
      </c>
    </row>
    <row r="625" spans="1:9">
      <c r="A625" s="2">
        <v>44458</v>
      </c>
      <c r="B625">
        <v>20</v>
      </c>
      <c r="C625">
        <v>58.913227454030618</v>
      </c>
      <c r="D625">
        <v>-45.700311430417891</v>
      </c>
      <c r="E625">
        <v>162.91474197239609</v>
      </c>
      <c r="F625">
        <v>-38.913227454030618</v>
      </c>
      <c r="G625">
        <v>38.913227454030618</v>
      </c>
      <c r="H625">
        <v>-194.56613727015309</v>
      </c>
      <c r="I625">
        <v>194.56613727015309</v>
      </c>
    </row>
    <row r="626" spans="1:9">
      <c r="A626" s="2">
        <v>44459</v>
      </c>
      <c r="B626">
        <v>169</v>
      </c>
      <c r="C626">
        <v>158.59626805323751</v>
      </c>
      <c r="D626">
        <v>59.182357537076903</v>
      </c>
      <c r="E626">
        <v>280.333169775496</v>
      </c>
      <c r="F626">
        <v>10.40373194676255</v>
      </c>
      <c r="G626">
        <v>10.40373194676255</v>
      </c>
      <c r="H626">
        <v>6.1560544063683711</v>
      </c>
      <c r="I626">
        <v>6.1560544063683711</v>
      </c>
    </row>
    <row r="627" spans="1:9">
      <c r="A627" s="2">
        <v>44460</v>
      </c>
      <c r="B627">
        <v>137</v>
      </c>
      <c r="C627">
        <v>142.4674421985807</v>
      </c>
      <c r="D627">
        <v>35.028423448864402</v>
      </c>
      <c r="E627">
        <v>256.03491551728399</v>
      </c>
      <c r="F627">
        <v>-5.4674421985807271</v>
      </c>
      <c r="G627">
        <v>5.4674421985807271</v>
      </c>
      <c r="H627">
        <v>-3.990833721591772</v>
      </c>
      <c r="I627">
        <v>3.990833721591772</v>
      </c>
    </row>
    <row r="628" spans="1:9">
      <c r="A628" s="2">
        <v>44461</v>
      </c>
      <c r="B628">
        <v>133</v>
      </c>
      <c r="C628">
        <v>154.7492248385835</v>
      </c>
      <c r="D628">
        <v>42.042543545600459</v>
      </c>
      <c r="E628">
        <v>267.13081149145842</v>
      </c>
      <c r="F628">
        <v>-21.74922483858353</v>
      </c>
      <c r="G628">
        <v>21.74922483858353</v>
      </c>
      <c r="H628">
        <v>-16.352800630513929</v>
      </c>
      <c r="I628">
        <v>16.352800630513929</v>
      </c>
    </row>
    <row r="629" spans="1:9">
      <c r="A629" s="2">
        <v>44462</v>
      </c>
      <c r="B629">
        <v>184</v>
      </c>
      <c r="C629">
        <v>150.17653425900531</v>
      </c>
      <c r="D629">
        <v>38.334457370250149</v>
      </c>
      <c r="E629">
        <v>259.73113519976732</v>
      </c>
      <c r="F629">
        <v>33.823465740994664</v>
      </c>
      <c r="G629">
        <v>33.823465740994664</v>
      </c>
      <c r="H629">
        <v>18.3823183374971</v>
      </c>
      <c r="I629">
        <v>18.3823183374971</v>
      </c>
    </row>
    <row r="630" spans="1:9">
      <c r="A630" s="2">
        <v>44463</v>
      </c>
      <c r="B630">
        <v>145</v>
      </c>
      <c r="C630">
        <v>141.64671651063171</v>
      </c>
      <c r="D630">
        <v>37.583232078411768</v>
      </c>
      <c r="E630">
        <v>252.81446614602999</v>
      </c>
      <c r="F630">
        <v>3.353283489368323</v>
      </c>
      <c r="G630">
        <v>3.353283489368323</v>
      </c>
      <c r="H630">
        <v>2.3126093030126369</v>
      </c>
      <c r="I630">
        <v>2.3126093030126369</v>
      </c>
    </row>
    <row r="631" spans="1:9">
      <c r="A631" s="2">
        <v>44464</v>
      </c>
      <c r="B631">
        <v>114</v>
      </c>
      <c r="C631">
        <v>149.2789055188853</v>
      </c>
      <c r="D631">
        <v>36.949549662423969</v>
      </c>
      <c r="E631">
        <v>258.09823883936087</v>
      </c>
      <c r="F631">
        <v>-35.278905518885267</v>
      </c>
      <c r="G631">
        <v>35.278905518885267</v>
      </c>
      <c r="H631">
        <v>-30.946408349899361</v>
      </c>
      <c r="I631">
        <v>30.946408349899361</v>
      </c>
    </row>
    <row r="632" spans="1:9">
      <c r="A632" s="2">
        <v>44465</v>
      </c>
      <c r="B632">
        <v>24</v>
      </c>
      <c r="C632">
        <v>61.231937102845791</v>
      </c>
      <c r="D632">
        <v>-54.811897100265512</v>
      </c>
      <c r="E632">
        <v>176.19305446969801</v>
      </c>
      <c r="F632">
        <v>-37.231937102845791</v>
      </c>
      <c r="G632">
        <v>37.231937102845791</v>
      </c>
      <c r="H632">
        <v>-155.13307126185751</v>
      </c>
      <c r="I632">
        <v>155.13307126185751</v>
      </c>
    </row>
    <row r="633" spans="1:9">
      <c r="A633" s="2">
        <v>44466</v>
      </c>
      <c r="B633">
        <v>143</v>
      </c>
      <c r="C633">
        <v>161.86311519103009</v>
      </c>
      <c r="D633">
        <v>48.746619770307589</v>
      </c>
      <c r="E633">
        <v>271.92391194559531</v>
      </c>
      <c r="F633">
        <v>-18.863115191030118</v>
      </c>
      <c r="G633">
        <v>18.863115191030118</v>
      </c>
      <c r="H633">
        <v>-13.19098964407701</v>
      </c>
      <c r="I633">
        <v>13.19098964407701</v>
      </c>
    </row>
    <row r="634" spans="1:9">
      <c r="A634" s="2">
        <v>44467</v>
      </c>
      <c r="B634">
        <v>119</v>
      </c>
      <c r="C634">
        <v>146.7334304827634</v>
      </c>
      <c r="D634">
        <v>46.915638367293347</v>
      </c>
      <c r="E634">
        <v>257.15906604024121</v>
      </c>
      <c r="F634">
        <v>-27.733430482763399</v>
      </c>
      <c r="G634">
        <v>27.733430482763399</v>
      </c>
      <c r="H634">
        <v>-23.305403767028061</v>
      </c>
      <c r="I634">
        <v>23.305403767028061</v>
      </c>
    </row>
    <row r="635" spans="1:9">
      <c r="A635" s="2">
        <v>44468</v>
      </c>
      <c r="B635">
        <v>123</v>
      </c>
      <c r="C635">
        <v>160.04723554357821</v>
      </c>
      <c r="D635">
        <v>47.258440928295002</v>
      </c>
      <c r="E635">
        <v>261.71065790263589</v>
      </c>
      <c r="F635">
        <v>-37.047235543578147</v>
      </c>
      <c r="G635">
        <v>37.047235543578147</v>
      </c>
      <c r="H635">
        <v>-30.119703693965981</v>
      </c>
      <c r="I635">
        <v>30.119703693965981</v>
      </c>
    </row>
    <row r="636" spans="1:9">
      <c r="A636" s="2">
        <v>44469</v>
      </c>
      <c r="B636">
        <v>145</v>
      </c>
      <c r="C636">
        <v>156.5204845158853</v>
      </c>
      <c r="D636">
        <v>45.673114732464008</v>
      </c>
      <c r="E636">
        <v>266.20319490689081</v>
      </c>
      <c r="F636">
        <v>-11.520484515885331</v>
      </c>
      <c r="G636">
        <v>11.520484515885331</v>
      </c>
      <c r="H636">
        <v>-7.9451617350933299</v>
      </c>
      <c r="I636">
        <v>7.9451617350933299</v>
      </c>
    </row>
    <row r="637" spans="1:9">
      <c r="A637" s="2">
        <v>44470</v>
      </c>
      <c r="B637">
        <v>30</v>
      </c>
      <c r="C637">
        <v>149.03812211909809</v>
      </c>
      <c r="D637">
        <v>31.82926607941419</v>
      </c>
      <c r="E637">
        <v>269.61676040212762</v>
      </c>
      <c r="F637">
        <v>-119.03812211909811</v>
      </c>
      <c r="G637">
        <v>119.03812211909811</v>
      </c>
      <c r="H637">
        <v>-396.79374039699383</v>
      </c>
      <c r="I637">
        <v>396.79374039699383</v>
      </c>
    </row>
    <row r="638" spans="1:9">
      <c r="A638" s="2">
        <v>44471</v>
      </c>
      <c r="B638">
        <v>50</v>
      </c>
      <c r="C638">
        <v>157.69268977605299</v>
      </c>
      <c r="D638">
        <v>52.412913386148439</v>
      </c>
      <c r="E638">
        <v>262.95601942954443</v>
      </c>
      <c r="F638">
        <v>-107.692689776053</v>
      </c>
      <c r="G638">
        <v>107.692689776053</v>
      </c>
      <c r="H638">
        <v>-215.385379552106</v>
      </c>
      <c r="I638">
        <v>215.385379552106</v>
      </c>
    </row>
    <row r="639" spans="1:9">
      <c r="A639" s="2">
        <v>44472</v>
      </c>
      <c r="B639">
        <v>123</v>
      </c>
      <c r="C639">
        <v>70.623721581353038</v>
      </c>
      <c r="D639">
        <v>-33.89606383884334</v>
      </c>
      <c r="E639">
        <v>185.9992827324148</v>
      </c>
      <c r="F639">
        <v>52.376278418646962</v>
      </c>
      <c r="G639">
        <v>52.376278418646962</v>
      </c>
      <c r="H639">
        <v>42.582340177761758</v>
      </c>
      <c r="I639">
        <v>42.582340177761758</v>
      </c>
    </row>
    <row r="640" spans="1:9">
      <c r="A640" s="2">
        <v>44473</v>
      </c>
      <c r="B640">
        <v>98</v>
      </c>
      <c r="C640">
        <v>172.1698200932257</v>
      </c>
      <c r="D640">
        <v>63.405600548066133</v>
      </c>
      <c r="E640">
        <v>281.27248283248201</v>
      </c>
      <c r="F640">
        <v>-74.169820093225724</v>
      </c>
      <c r="G640">
        <v>74.169820093225724</v>
      </c>
      <c r="H640">
        <v>-75.683489891046648</v>
      </c>
      <c r="I640">
        <v>75.683489891046648</v>
      </c>
    </row>
    <row r="641" spans="1:9">
      <c r="A641" s="2">
        <v>44474</v>
      </c>
      <c r="B641">
        <v>168</v>
      </c>
      <c r="C641">
        <v>157.8742068603766</v>
      </c>
      <c r="D641">
        <v>48.775467337953408</v>
      </c>
      <c r="E641">
        <v>266.15909094942538</v>
      </c>
      <c r="F641">
        <v>10.12579313962337</v>
      </c>
      <c r="G641">
        <v>10.12579313962337</v>
      </c>
      <c r="H641">
        <v>6.0272578212043859</v>
      </c>
      <c r="I641">
        <v>6.0272578212043859</v>
      </c>
    </row>
    <row r="642" spans="1:9">
      <c r="A642" s="2">
        <v>44475</v>
      </c>
      <c r="B642">
        <v>256</v>
      </c>
      <c r="C642">
        <v>171.9247060455904</v>
      </c>
      <c r="D642">
        <v>68.264745203251977</v>
      </c>
      <c r="E642">
        <v>278.86027242318647</v>
      </c>
      <c r="F642">
        <v>84.075293954409574</v>
      </c>
      <c r="G642">
        <v>84.075293954409574</v>
      </c>
      <c r="H642">
        <v>32.841911700941239</v>
      </c>
      <c r="I642">
        <v>32.841911700941239</v>
      </c>
    </row>
    <row r="643" spans="1:9">
      <c r="A643" s="2">
        <v>44476</v>
      </c>
      <c r="B643">
        <v>134</v>
      </c>
      <c r="C643">
        <v>169.02226458282419</v>
      </c>
      <c r="D643">
        <v>55.251937606986417</v>
      </c>
      <c r="E643">
        <v>274.33550685752112</v>
      </c>
      <c r="F643">
        <v>-35.022264582824192</v>
      </c>
      <c r="G643">
        <v>35.022264582824192</v>
      </c>
      <c r="H643">
        <v>-26.136018345391189</v>
      </c>
      <c r="I643">
        <v>26.136018345391189</v>
      </c>
    </row>
    <row r="644" spans="1:9">
      <c r="A644" s="2">
        <v>44477</v>
      </c>
      <c r="B644">
        <v>187</v>
      </c>
      <c r="C644">
        <v>162.03154944698741</v>
      </c>
      <c r="D644">
        <v>47.698821932777442</v>
      </c>
      <c r="E644">
        <v>274.16738672194509</v>
      </c>
      <c r="F644">
        <v>24.968450553012591</v>
      </c>
      <c r="G644">
        <v>24.968450553012591</v>
      </c>
      <c r="H644">
        <v>13.352112595193899</v>
      </c>
      <c r="I644">
        <v>13.352112595193899</v>
      </c>
    </row>
    <row r="645" spans="1:9">
      <c r="A645" s="2">
        <v>44478</v>
      </c>
      <c r="B645">
        <v>119</v>
      </c>
      <c r="C645">
        <v>171.0408875488441</v>
      </c>
      <c r="D645">
        <v>62.208619244970301</v>
      </c>
      <c r="E645">
        <v>276.32340322867589</v>
      </c>
      <c r="F645">
        <v>-52.040887548844132</v>
      </c>
      <c r="G645">
        <v>52.040887548844132</v>
      </c>
      <c r="H645">
        <v>-43.731838276339602</v>
      </c>
      <c r="I645">
        <v>43.731838276339602</v>
      </c>
    </row>
    <row r="646" spans="1:9">
      <c r="A646" s="2">
        <v>44479</v>
      </c>
      <c r="B646">
        <v>29</v>
      </c>
      <c r="C646">
        <v>84.180717069334349</v>
      </c>
      <c r="D646">
        <v>-24.639225673240851</v>
      </c>
      <c r="E646">
        <v>184.77220286761519</v>
      </c>
      <c r="F646">
        <v>-55.180717069334349</v>
      </c>
      <c r="G646">
        <v>55.180717069334349</v>
      </c>
      <c r="H646">
        <v>-190.27833472184261</v>
      </c>
      <c r="I646">
        <v>190.27833472184261</v>
      </c>
    </row>
    <row r="647" spans="1:9">
      <c r="A647" s="2">
        <v>44480</v>
      </c>
      <c r="B647">
        <v>115</v>
      </c>
      <c r="C647">
        <v>185.78284033395289</v>
      </c>
      <c r="D647">
        <v>76.790313630292943</v>
      </c>
      <c r="E647">
        <v>296.67241623081679</v>
      </c>
      <c r="F647">
        <v>-70.782840333952862</v>
      </c>
      <c r="G647">
        <v>70.782840333952862</v>
      </c>
      <c r="H647">
        <v>-61.550295942567701</v>
      </c>
      <c r="I647">
        <v>61.550295942567701</v>
      </c>
    </row>
    <row r="648" spans="1:9">
      <c r="A648" s="2">
        <v>44481</v>
      </c>
      <c r="B648">
        <v>188</v>
      </c>
      <c r="C648">
        <v>171.38607162921281</v>
      </c>
      <c r="D648">
        <v>56.859975699905291</v>
      </c>
      <c r="E648">
        <v>285.19539007170789</v>
      </c>
      <c r="F648">
        <v>16.613928370787221</v>
      </c>
      <c r="G648">
        <v>16.613928370787221</v>
      </c>
      <c r="H648">
        <v>8.8371959419080959</v>
      </c>
      <c r="I648">
        <v>8.8371959419080959</v>
      </c>
    </row>
    <row r="649" spans="1:9">
      <c r="A649" s="2">
        <v>44482</v>
      </c>
      <c r="B649">
        <v>174</v>
      </c>
      <c r="C649">
        <v>185.1762784782897</v>
      </c>
      <c r="D649">
        <v>73.134773249889335</v>
      </c>
      <c r="E649">
        <v>288.42991971681653</v>
      </c>
      <c r="F649">
        <v>-11.17627847828973</v>
      </c>
      <c r="G649">
        <v>11.17627847828973</v>
      </c>
      <c r="H649">
        <v>-6.4231485507412236</v>
      </c>
      <c r="I649">
        <v>6.4231485507412236</v>
      </c>
    </row>
    <row r="650" spans="1:9">
      <c r="A650" s="2">
        <v>44483</v>
      </c>
      <c r="B650">
        <v>168</v>
      </c>
      <c r="C650">
        <v>181.8549204864363</v>
      </c>
      <c r="D650">
        <v>70.804411490424428</v>
      </c>
      <c r="E650">
        <v>293.43606424024472</v>
      </c>
      <c r="F650">
        <v>-13.854920486436329</v>
      </c>
      <c r="G650">
        <v>13.854920486436329</v>
      </c>
      <c r="H650">
        <v>-8.2469764800216243</v>
      </c>
      <c r="I650">
        <v>8.2469764800216243</v>
      </c>
    </row>
    <row r="651" spans="1:9">
      <c r="A651" s="2">
        <v>44484</v>
      </c>
      <c r="B651">
        <v>135</v>
      </c>
      <c r="C651">
        <v>174.28962755557041</v>
      </c>
      <c r="D651">
        <v>61.847492278014748</v>
      </c>
      <c r="E651">
        <v>277.60853674180601</v>
      </c>
      <c r="F651">
        <v>-39.289627555570377</v>
      </c>
      <c r="G651">
        <v>39.289627555570377</v>
      </c>
      <c r="H651">
        <v>-29.103427818941022</v>
      </c>
      <c r="I651">
        <v>29.103427818941022</v>
      </c>
    </row>
    <row r="652" spans="1:9">
      <c r="A652" s="2">
        <v>44485</v>
      </c>
      <c r="B652">
        <v>122</v>
      </c>
      <c r="C652">
        <v>182.5740847274059</v>
      </c>
      <c r="D652">
        <v>69.778666474112839</v>
      </c>
      <c r="E652">
        <v>295.41714634354298</v>
      </c>
      <c r="F652">
        <v>-60.574084727405904</v>
      </c>
      <c r="G652">
        <v>60.574084727405904</v>
      </c>
      <c r="H652">
        <v>-49.650889120824509</v>
      </c>
      <c r="I652">
        <v>49.650889120824509</v>
      </c>
    </row>
    <row r="653" spans="1:9">
      <c r="A653" s="2">
        <v>44486</v>
      </c>
      <c r="B653">
        <v>13</v>
      </c>
      <c r="C653">
        <v>94.846394590778203</v>
      </c>
      <c r="D653">
        <v>-13.378919844574609</v>
      </c>
      <c r="E653">
        <v>196.36372926934689</v>
      </c>
      <c r="F653">
        <v>-81.846394590778203</v>
      </c>
      <c r="G653">
        <v>81.846394590778203</v>
      </c>
      <c r="H653">
        <v>-629.58765069829394</v>
      </c>
      <c r="I653">
        <v>629.58765069829394</v>
      </c>
    </row>
    <row r="654" spans="1:9">
      <c r="A654" s="2">
        <v>44487</v>
      </c>
      <c r="B654">
        <v>20</v>
      </c>
      <c r="C654">
        <v>195.448209825047</v>
      </c>
      <c r="D654">
        <v>77.856592543722172</v>
      </c>
      <c r="E654">
        <v>303.38273495285461</v>
      </c>
      <c r="F654">
        <v>-175.448209825047</v>
      </c>
      <c r="G654">
        <v>175.448209825047</v>
      </c>
      <c r="H654">
        <v>-877.24104912523478</v>
      </c>
      <c r="I654">
        <v>877.24104912523478</v>
      </c>
    </row>
    <row r="655" spans="1:9">
      <c r="A655" s="2">
        <v>44488</v>
      </c>
      <c r="B655">
        <v>152</v>
      </c>
      <c r="C655">
        <v>179.9302319763745</v>
      </c>
      <c r="D655">
        <v>67.20824350800298</v>
      </c>
      <c r="E655">
        <v>281.44275737455769</v>
      </c>
      <c r="F655">
        <v>-27.930231976374529</v>
      </c>
      <c r="G655">
        <v>27.930231976374529</v>
      </c>
      <c r="H655">
        <v>-18.37515261603588</v>
      </c>
      <c r="I655">
        <v>18.37515261603588</v>
      </c>
    </row>
    <row r="656" spans="1:9">
      <c r="A656" s="2">
        <v>44489</v>
      </c>
      <c r="B656">
        <v>132</v>
      </c>
      <c r="C656">
        <v>192.49207785245329</v>
      </c>
      <c r="D656">
        <v>89.072876744060537</v>
      </c>
      <c r="E656">
        <v>304.67689515590843</v>
      </c>
      <c r="F656">
        <v>-60.492077852453349</v>
      </c>
      <c r="G656">
        <v>60.492077852453349</v>
      </c>
      <c r="H656">
        <v>-45.827331706404053</v>
      </c>
      <c r="I656">
        <v>45.827331706404053</v>
      </c>
    </row>
    <row r="657" spans="1:9">
      <c r="A657" s="2">
        <v>44490</v>
      </c>
      <c r="B657">
        <v>180</v>
      </c>
      <c r="C657">
        <v>187.8506206096788</v>
      </c>
      <c r="D657">
        <v>70.49215542707465</v>
      </c>
      <c r="E657">
        <v>296.75146736113447</v>
      </c>
      <c r="F657">
        <v>-7.8506206096787707</v>
      </c>
      <c r="G657">
        <v>7.8506206096787707</v>
      </c>
      <c r="H657">
        <v>-4.3614558942659833</v>
      </c>
      <c r="I657">
        <v>4.3614558942659833</v>
      </c>
    </row>
    <row r="658" spans="1:9">
      <c r="A658" s="2">
        <v>44491</v>
      </c>
      <c r="B658">
        <v>193</v>
      </c>
      <c r="C658">
        <v>178.8903503508802</v>
      </c>
      <c r="D658">
        <v>72.405643192207009</v>
      </c>
      <c r="E658">
        <v>282.71724332865159</v>
      </c>
      <c r="F658">
        <v>14.10964964911977</v>
      </c>
      <c r="G658">
        <v>14.10964964911977</v>
      </c>
      <c r="H658">
        <v>7.3106993000620593</v>
      </c>
      <c r="I658">
        <v>7.3106993000620593</v>
      </c>
    </row>
    <row r="659" spans="1:9">
      <c r="A659" s="2">
        <v>44492</v>
      </c>
      <c r="B659">
        <v>245</v>
      </c>
      <c r="C659">
        <v>185.7230244953206</v>
      </c>
      <c r="D659">
        <v>74.292214120710597</v>
      </c>
      <c r="E659">
        <v>301.70218136303708</v>
      </c>
      <c r="F659">
        <v>59.27697550467937</v>
      </c>
      <c r="G659">
        <v>59.27697550467937</v>
      </c>
      <c r="H659">
        <v>24.194683879460971</v>
      </c>
      <c r="I659">
        <v>24.194683879460971</v>
      </c>
    </row>
    <row r="660" spans="1:9">
      <c r="A660" s="2">
        <v>44493</v>
      </c>
      <c r="B660">
        <v>35</v>
      </c>
      <c r="C660">
        <v>96.505781847597945</v>
      </c>
      <c r="D660">
        <v>-7.5894796915678926</v>
      </c>
      <c r="E660">
        <v>208.22285372570551</v>
      </c>
      <c r="F660">
        <v>-61.505781847597937</v>
      </c>
      <c r="G660">
        <v>61.505781847597937</v>
      </c>
      <c r="H660">
        <v>-175.73080527885131</v>
      </c>
      <c r="I660">
        <v>175.73080527885131</v>
      </c>
    </row>
    <row r="661" spans="1:9">
      <c r="A661" s="2">
        <v>44494</v>
      </c>
      <c r="B661">
        <v>198</v>
      </c>
      <c r="C661">
        <v>195.600015862589</v>
      </c>
      <c r="D661">
        <v>87.569237981958807</v>
      </c>
      <c r="E661">
        <v>310.56981373849851</v>
      </c>
      <c r="F661">
        <v>2.3999841374109958</v>
      </c>
      <c r="G661">
        <v>2.3999841374109958</v>
      </c>
      <c r="H661">
        <v>1.2121132007126241</v>
      </c>
      <c r="I661">
        <v>1.2121132007126241</v>
      </c>
    </row>
    <row r="662" spans="1:9">
      <c r="A662" s="2">
        <v>44495</v>
      </c>
      <c r="B662">
        <v>47</v>
      </c>
      <c r="C662">
        <v>178.57660608293301</v>
      </c>
      <c r="D662">
        <v>60.030939024303329</v>
      </c>
      <c r="E662">
        <v>283.71029870059641</v>
      </c>
      <c r="F662">
        <v>-131.57660608293301</v>
      </c>
      <c r="G662">
        <v>131.57660608293301</v>
      </c>
      <c r="H662">
        <v>-279.95022570836818</v>
      </c>
      <c r="I662">
        <v>279.95022570836818</v>
      </c>
    </row>
    <row r="663" spans="1:9">
      <c r="A663" s="2">
        <v>44496</v>
      </c>
      <c r="B663">
        <v>187</v>
      </c>
      <c r="C663">
        <v>189.65551195057199</v>
      </c>
      <c r="D663">
        <v>84.458073127933801</v>
      </c>
      <c r="E663">
        <v>284.04540317863518</v>
      </c>
      <c r="F663">
        <v>-2.655511950571992</v>
      </c>
      <c r="G663">
        <v>2.655511950571992</v>
      </c>
      <c r="H663">
        <v>-1.420059866616038</v>
      </c>
      <c r="I663">
        <v>1.420059866616038</v>
      </c>
    </row>
    <row r="664" spans="1:9">
      <c r="A664" s="2">
        <v>44497</v>
      </c>
      <c r="B664">
        <v>57</v>
      </c>
      <c r="C664">
        <v>183.57383884398411</v>
      </c>
      <c r="D664">
        <v>70.637017441848329</v>
      </c>
      <c r="E664">
        <v>293.6872402923438</v>
      </c>
      <c r="F664">
        <v>-126.57383884398411</v>
      </c>
      <c r="G664">
        <v>126.57383884398411</v>
      </c>
      <c r="H664">
        <v>-222.0593663929545</v>
      </c>
      <c r="I664">
        <v>222.0593663929545</v>
      </c>
    </row>
    <row r="665" spans="1:9">
      <c r="A665" s="2">
        <v>44498</v>
      </c>
      <c r="B665">
        <v>169</v>
      </c>
      <c r="C665">
        <v>173.23592390173951</v>
      </c>
      <c r="D665">
        <v>61.733897219202618</v>
      </c>
      <c r="E665">
        <v>285.12926222716243</v>
      </c>
      <c r="F665">
        <v>-4.2359239017395396</v>
      </c>
      <c r="G665">
        <v>4.2359239017395396</v>
      </c>
      <c r="H665">
        <v>-2.5064638471831588</v>
      </c>
      <c r="I665">
        <v>2.5064638471831588</v>
      </c>
    </row>
    <row r="666" spans="1:9">
      <c r="A666" s="2">
        <v>44499</v>
      </c>
      <c r="B666">
        <v>337</v>
      </c>
      <c r="C666">
        <v>178.77271463530511</v>
      </c>
      <c r="D666">
        <v>72.537390446626077</v>
      </c>
      <c r="E666">
        <v>284.98321526340862</v>
      </c>
      <c r="F666">
        <v>158.22728536469489</v>
      </c>
      <c r="G666">
        <v>158.22728536469489</v>
      </c>
      <c r="H666">
        <v>46.951716725428767</v>
      </c>
      <c r="I666">
        <v>46.951716725428767</v>
      </c>
    </row>
    <row r="667" spans="1:9">
      <c r="A667" s="2">
        <v>44500</v>
      </c>
      <c r="B667">
        <v>44</v>
      </c>
      <c r="C667">
        <v>88.359617006030106</v>
      </c>
      <c r="D667">
        <v>-27.60287041454513</v>
      </c>
      <c r="E667">
        <v>193.13079262088641</v>
      </c>
      <c r="F667">
        <v>-44.359617006030113</v>
      </c>
      <c r="G667">
        <v>44.359617006030113</v>
      </c>
      <c r="H667">
        <v>-100.8173113773412</v>
      </c>
      <c r="I667">
        <v>100.8173113773412</v>
      </c>
    </row>
    <row r="668" spans="1:9">
      <c r="A668" s="2">
        <v>44501</v>
      </c>
      <c r="B668">
        <v>316</v>
      </c>
      <c r="C668">
        <v>186.37511125100491</v>
      </c>
      <c r="D668">
        <v>77.641735196778939</v>
      </c>
      <c r="E668">
        <v>293.66386053093731</v>
      </c>
      <c r="F668">
        <v>129.62488874899509</v>
      </c>
      <c r="G668">
        <v>129.62488874899509</v>
      </c>
      <c r="H668">
        <v>41.020534414238973</v>
      </c>
      <c r="I668">
        <v>41.020534414238973</v>
      </c>
    </row>
    <row r="669" spans="1:9">
      <c r="A669" s="2">
        <v>44502</v>
      </c>
      <c r="B669">
        <v>136</v>
      </c>
      <c r="C669">
        <v>168.40573725987969</v>
      </c>
      <c r="D669">
        <v>48.723252137996212</v>
      </c>
      <c r="E669">
        <v>274.84082364946539</v>
      </c>
      <c r="F669">
        <v>-32.405737259879743</v>
      </c>
      <c r="G669">
        <v>32.405737259879743</v>
      </c>
      <c r="H669">
        <v>-23.82774798520569</v>
      </c>
      <c r="I669">
        <v>23.82774798520569</v>
      </c>
    </row>
    <row r="670" spans="1:9">
      <c r="A670" s="2">
        <v>44503</v>
      </c>
      <c r="B670">
        <v>130</v>
      </c>
      <c r="C670">
        <v>178.68545664009329</v>
      </c>
      <c r="D670">
        <v>67.496229152754452</v>
      </c>
      <c r="E670">
        <v>296.33850322066507</v>
      </c>
      <c r="F670">
        <v>-48.685456640093321</v>
      </c>
      <c r="G670">
        <v>48.685456640093321</v>
      </c>
      <c r="H670">
        <v>-37.450351261610251</v>
      </c>
      <c r="I670">
        <v>37.450351261610251</v>
      </c>
    </row>
    <row r="671" spans="1:9">
      <c r="A671" s="2">
        <v>44504</v>
      </c>
      <c r="B671">
        <v>12</v>
      </c>
      <c r="C671">
        <v>171.96350403572299</v>
      </c>
      <c r="D671">
        <v>56.205392837322528</v>
      </c>
      <c r="E671">
        <v>276.88094935380713</v>
      </c>
      <c r="F671">
        <v>-159.96350403572299</v>
      </c>
      <c r="G671">
        <v>159.96350403572299</v>
      </c>
      <c r="H671">
        <v>-1333.029200297691</v>
      </c>
      <c r="I671">
        <v>1333.029200297691</v>
      </c>
    </row>
    <row r="672" spans="1:9">
      <c r="A672" s="2">
        <v>44505</v>
      </c>
      <c r="B672">
        <v>146</v>
      </c>
      <c r="C672">
        <v>161.15427869268899</v>
      </c>
      <c r="D672">
        <v>47.537324529293556</v>
      </c>
      <c r="E672">
        <v>266.03988018170179</v>
      </c>
      <c r="F672">
        <v>-15.154278692689021</v>
      </c>
      <c r="G672">
        <v>15.154278692689021</v>
      </c>
      <c r="H672">
        <v>-10.379642940197961</v>
      </c>
      <c r="I672">
        <v>10.379642940197961</v>
      </c>
    </row>
    <row r="673" spans="1:9">
      <c r="A673" s="2">
        <v>44506</v>
      </c>
      <c r="B673">
        <v>199</v>
      </c>
      <c r="C673">
        <v>166.39655182805981</v>
      </c>
      <c r="D673">
        <v>55.118604312095258</v>
      </c>
      <c r="E673">
        <v>274.65398024414532</v>
      </c>
      <c r="F673">
        <v>32.603448171940158</v>
      </c>
      <c r="G673">
        <v>32.603448171940158</v>
      </c>
      <c r="H673">
        <v>16.38364229745736</v>
      </c>
      <c r="I673">
        <v>16.38364229745736</v>
      </c>
    </row>
    <row r="674" spans="1:9">
      <c r="A674" s="2">
        <v>44507</v>
      </c>
      <c r="B674">
        <v>21</v>
      </c>
      <c r="C674">
        <v>75.871169684051111</v>
      </c>
      <c r="D674">
        <v>-41.123161869057419</v>
      </c>
      <c r="E674">
        <v>191.74364921100599</v>
      </c>
      <c r="F674">
        <v>-54.871169684051111</v>
      </c>
      <c r="G674">
        <v>54.871169684051111</v>
      </c>
      <c r="H674">
        <v>-261.29128420976718</v>
      </c>
      <c r="I674">
        <v>261.29128420976718</v>
      </c>
    </row>
    <row r="675" spans="1:9">
      <c r="A675" s="2">
        <v>44508</v>
      </c>
      <c r="B675">
        <v>53</v>
      </c>
      <c r="C675">
        <v>173.9595534277436</v>
      </c>
      <c r="D675">
        <v>63.048209332656619</v>
      </c>
      <c r="E675">
        <v>288.45212084764779</v>
      </c>
      <c r="F675">
        <v>-120.9595534277436</v>
      </c>
      <c r="G675">
        <v>120.9595534277436</v>
      </c>
      <c r="H675">
        <v>-228.22557250517659</v>
      </c>
      <c r="I675">
        <v>228.22557250517659</v>
      </c>
    </row>
    <row r="676" spans="1:9">
      <c r="A676" s="2">
        <v>44509</v>
      </c>
      <c r="B676">
        <v>140</v>
      </c>
      <c r="C676">
        <v>156.2486004814248</v>
      </c>
      <c r="D676">
        <v>36.550901271557251</v>
      </c>
      <c r="E676">
        <v>262.61836932565637</v>
      </c>
      <c r="F676">
        <v>-16.24860048142477</v>
      </c>
      <c r="G676">
        <v>16.24860048142477</v>
      </c>
      <c r="H676">
        <v>-11.606143201017691</v>
      </c>
      <c r="I676">
        <v>11.606143201017691</v>
      </c>
    </row>
    <row r="677" spans="1:9">
      <c r="A677" s="2">
        <v>44510</v>
      </c>
      <c r="B677">
        <v>231</v>
      </c>
      <c r="C677">
        <v>166.96999697066479</v>
      </c>
      <c r="D677">
        <v>53.693032649619077</v>
      </c>
      <c r="E677">
        <v>277.76518401916007</v>
      </c>
      <c r="F677">
        <v>64.030003029335177</v>
      </c>
      <c r="G677">
        <v>64.030003029335177</v>
      </c>
      <c r="H677">
        <v>27.71861603001523</v>
      </c>
      <c r="I677">
        <v>27.71861603001523</v>
      </c>
    </row>
    <row r="678" spans="1:9">
      <c r="A678" s="2">
        <v>44511</v>
      </c>
      <c r="B678">
        <v>186</v>
      </c>
      <c r="C678">
        <v>160.86805637730791</v>
      </c>
      <c r="D678">
        <v>50.096099414634438</v>
      </c>
      <c r="E678">
        <v>269.84858215600019</v>
      </c>
      <c r="F678">
        <v>25.13194362269212</v>
      </c>
      <c r="G678">
        <v>25.13194362269212</v>
      </c>
      <c r="H678">
        <v>13.51179764660867</v>
      </c>
      <c r="I678">
        <v>13.51179764660867</v>
      </c>
    </row>
    <row r="679" spans="1:9">
      <c r="A679" s="2">
        <v>44512</v>
      </c>
      <c r="B679">
        <v>166</v>
      </c>
      <c r="C679">
        <v>150.84963689157669</v>
      </c>
      <c r="D679">
        <v>37.631736053444321</v>
      </c>
      <c r="E679">
        <v>260.87987493367473</v>
      </c>
      <c r="F679">
        <v>15.15036310842331</v>
      </c>
      <c r="G679">
        <v>15.15036310842331</v>
      </c>
      <c r="H679">
        <v>9.1267247641104241</v>
      </c>
      <c r="I679">
        <v>9.1267247641104241</v>
      </c>
    </row>
    <row r="680" spans="1:9">
      <c r="A680" s="2">
        <v>44513</v>
      </c>
      <c r="B680">
        <v>146</v>
      </c>
      <c r="C680">
        <v>157.0434149306341</v>
      </c>
      <c r="D680">
        <v>52.721296998023831</v>
      </c>
      <c r="E680">
        <v>272.07325937352641</v>
      </c>
      <c r="F680">
        <v>-11.0434149306341</v>
      </c>
      <c r="G680">
        <v>11.0434149306341</v>
      </c>
      <c r="H680">
        <v>-7.5639828292014366</v>
      </c>
      <c r="I680">
        <v>7.5639828292014366</v>
      </c>
    </row>
    <row r="681" spans="1:9">
      <c r="A681" s="2">
        <v>44514</v>
      </c>
      <c r="B681">
        <v>41</v>
      </c>
      <c r="C681">
        <v>67.617695422166193</v>
      </c>
      <c r="D681">
        <v>-53.5434892711571</v>
      </c>
      <c r="E681">
        <v>182.49346418583369</v>
      </c>
      <c r="F681">
        <v>-26.617695422166189</v>
      </c>
      <c r="G681">
        <v>26.617695422166189</v>
      </c>
      <c r="H681">
        <v>-64.921208346746823</v>
      </c>
      <c r="I681">
        <v>64.921208346746823</v>
      </c>
    </row>
    <row r="682" spans="1:9">
      <c r="A682" s="2">
        <v>44518</v>
      </c>
      <c r="B682">
        <v>173</v>
      </c>
      <c r="C682">
        <v>158.16781595368471</v>
      </c>
      <c r="D682">
        <v>52.151672342031929</v>
      </c>
      <c r="E682">
        <v>274.94970693916417</v>
      </c>
      <c r="F682">
        <v>14.832184046315319</v>
      </c>
      <c r="G682">
        <v>14.832184046315319</v>
      </c>
      <c r="H682">
        <v>8.5735167897776403</v>
      </c>
      <c r="I682">
        <v>8.5735167897776403</v>
      </c>
    </row>
    <row r="683" spans="1:9">
      <c r="A683" s="2">
        <v>44519</v>
      </c>
      <c r="B683">
        <v>176</v>
      </c>
      <c r="C683">
        <v>149.72875839673199</v>
      </c>
      <c r="D683">
        <v>31.262178112135999</v>
      </c>
      <c r="E683">
        <v>252.7497097963157</v>
      </c>
      <c r="F683">
        <v>26.271241603268042</v>
      </c>
      <c r="G683">
        <v>26.271241603268042</v>
      </c>
      <c r="H683">
        <v>14.926841820038661</v>
      </c>
      <c r="I683">
        <v>14.926841820038661</v>
      </c>
    </row>
    <row r="684" spans="1:9">
      <c r="A684" s="2">
        <v>44520</v>
      </c>
      <c r="B684">
        <v>147</v>
      </c>
      <c r="C684">
        <v>157.53453163366859</v>
      </c>
      <c r="D684">
        <v>41.898266079648849</v>
      </c>
      <c r="E684">
        <v>263.02164107905128</v>
      </c>
      <c r="F684">
        <v>-10.534531633668591</v>
      </c>
      <c r="G684">
        <v>10.534531633668591</v>
      </c>
      <c r="H684">
        <v>-7.1663480501146886</v>
      </c>
      <c r="I684">
        <v>7.1663480501146886</v>
      </c>
    </row>
    <row r="685" spans="1:9">
      <c r="A685" s="2">
        <v>44521</v>
      </c>
      <c r="B685">
        <v>84</v>
      </c>
      <c r="C685">
        <v>69.730097485820139</v>
      </c>
      <c r="D685">
        <v>-44.694422940948492</v>
      </c>
      <c r="E685">
        <v>176.11181216194089</v>
      </c>
      <c r="F685">
        <v>14.26990251417986</v>
      </c>
      <c r="G685">
        <v>14.26990251417986</v>
      </c>
      <c r="H685">
        <v>16.987979183547459</v>
      </c>
      <c r="I685">
        <v>16.987979183547459</v>
      </c>
    </row>
    <row r="686" spans="1:9">
      <c r="A686" s="2">
        <v>44527</v>
      </c>
      <c r="B686">
        <v>378</v>
      </c>
      <c r="C686">
        <v>168.28258801564689</v>
      </c>
      <c r="D686">
        <v>60.150103068026183</v>
      </c>
      <c r="E686">
        <v>280.06869699962459</v>
      </c>
      <c r="F686">
        <v>209.71741198435311</v>
      </c>
      <c r="G686">
        <v>209.71741198435311</v>
      </c>
      <c r="H686">
        <v>55.480796821257442</v>
      </c>
      <c r="I686">
        <v>55.480796821257442</v>
      </c>
    </row>
    <row r="687" spans="1:9">
      <c r="A687" s="2">
        <v>44528</v>
      </c>
      <c r="B687">
        <v>80</v>
      </c>
      <c r="C687">
        <v>81.540866992942</v>
      </c>
      <c r="D687">
        <v>-30.186388168311339</v>
      </c>
      <c r="E687">
        <v>189.0674929248689</v>
      </c>
      <c r="F687">
        <v>-1.540866992942</v>
      </c>
      <c r="G687">
        <v>1.540866992942</v>
      </c>
      <c r="H687">
        <v>-1.9260837411775</v>
      </c>
      <c r="I687">
        <v>1.9260837411775</v>
      </c>
    </row>
    <row r="688" spans="1:9">
      <c r="A688" s="2">
        <v>44529</v>
      </c>
      <c r="B688">
        <v>356</v>
      </c>
      <c r="C688">
        <v>183.3790162217347</v>
      </c>
      <c r="D688">
        <v>71.136749677811935</v>
      </c>
      <c r="E688">
        <v>296.25680952083871</v>
      </c>
      <c r="F688">
        <v>172.6209837782653</v>
      </c>
      <c r="G688">
        <v>172.6209837782653</v>
      </c>
      <c r="H688">
        <v>48.489040387153182</v>
      </c>
      <c r="I688">
        <v>48.489040387153182</v>
      </c>
    </row>
    <row r="689" spans="1:9">
      <c r="A689" s="2">
        <v>44530</v>
      </c>
      <c r="B689">
        <v>409</v>
      </c>
      <c r="C689">
        <v>169.33191927706889</v>
      </c>
      <c r="D689">
        <v>52.773233869489289</v>
      </c>
      <c r="E689">
        <v>273.07671329272358</v>
      </c>
      <c r="F689">
        <v>239.66808072293111</v>
      </c>
      <c r="G689">
        <v>239.66808072293111</v>
      </c>
      <c r="H689">
        <v>58.59855274399294</v>
      </c>
      <c r="I689">
        <v>58.59855274399294</v>
      </c>
    </row>
    <row r="690" spans="1:9">
      <c r="A690" s="2">
        <v>44531</v>
      </c>
      <c r="B690">
        <v>211</v>
      </c>
      <c r="C690">
        <v>183.58084752076579</v>
      </c>
      <c r="D690">
        <v>77.268009324332041</v>
      </c>
      <c r="E690">
        <v>297.62020905930041</v>
      </c>
      <c r="F690">
        <v>27.41915247923416</v>
      </c>
      <c r="G690">
        <v>27.41915247923416</v>
      </c>
      <c r="H690">
        <v>12.994858994897699</v>
      </c>
      <c r="I690">
        <v>12.994858994897699</v>
      </c>
    </row>
    <row r="691" spans="1:9">
      <c r="A691" s="2">
        <v>44532</v>
      </c>
      <c r="B691">
        <v>160</v>
      </c>
      <c r="C691">
        <v>180.82214663951549</v>
      </c>
      <c r="D691">
        <v>73.272354398465254</v>
      </c>
      <c r="E691">
        <v>294.49120225655969</v>
      </c>
      <c r="F691">
        <v>-20.822146639515491</v>
      </c>
      <c r="G691">
        <v>20.822146639515491</v>
      </c>
      <c r="H691">
        <v>-13.013841649697181</v>
      </c>
      <c r="I691">
        <v>13.013841649697181</v>
      </c>
    </row>
    <row r="692" spans="1:9">
      <c r="A692" s="2">
        <v>44533</v>
      </c>
      <c r="B692">
        <v>141</v>
      </c>
      <c r="C692">
        <v>173.91796914664971</v>
      </c>
      <c r="D692">
        <v>70.643054518458683</v>
      </c>
      <c r="E692">
        <v>284.67888519887163</v>
      </c>
      <c r="F692">
        <v>-32.917969146649739</v>
      </c>
      <c r="G692">
        <v>32.917969146649739</v>
      </c>
      <c r="H692">
        <v>-23.34607740897145</v>
      </c>
      <c r="I692">
        <v>23.34607740897145</v>
      </c>
    </row>
    <row r="693" spans="1:9">
      <c r="A693" s="2">
        <v>44534</v>
      </c>
      <c r="B693">
        <v>119</v>
      </c>
      <c r="C693">
        <v>182.9563139595987</v>
      </c>
      <c r="D693">
        <v>75.709977877088647</v>
      </c>
      <c r="E693">
        <v>291.97045933376052</v>
      </c>
      <c r="F693">
        <v>-63.956313959598667</v>
      </c>
      <c r="G693">
        <v>63.956313959598667</v>
      </c>
      <c r="H693">
        <v>-53.744801646721577</v>
      </c>
      <c r="I693">
        <v>53.744801646721577</v>
      </c>
    </row>
    <row r="694" spans="1:9">
      <c r="A694" s="2">
        <v>44535</v>
      </c>
      <c r="B694">
        <v>100</v>
      </c>
      <c r="C694">
        <v>96.069537657785361</v>
      </c>
      <c r="D694">
        <v>-20.786931965632579</v>
      </c>
      <c r="E694">
        <v>202.43849197363889</v>
      </c>
      <c r="F694">
        <v>3.9304623422146392</v>
      </c>
      <c r="G694">
        <v>3.9304623422146392</v>
      </c>
      <c r="H694">
        <v>3.9304623422146392</v>
      </c>
      <c r="I694">
        <v>3.9304623422146392</v>
      </c>
    </row>
    <row r="695" spans="1:9">
      <c r="A695" s="2">
        <v>44536</v>
      </c>
      <c r="B695">
        <v>182</v>
      </c>
      <c r="C695">
        <v>197.5936236630595</v>
      </c>
      <c r="D695">
        <v>94.984819223746442</v>
      </c>
      <c r="E695">
        <v>303.32162834363322</v>
      </c>
      <c r="F695">
        <v>-15.59362366305947</v>
      </c>
      <c r="G695">
        <v>15.59362366305947</v>
      </c>
      <c r="H695">
        <v>-8.5679250895931176</v>
      </c>
      <c r="I695">
        <v>8.5679250895931176</v>
      </c>
    </row>
    <row r="696" spans="1:9">
      <c r="A696" s="2">
        <v>44537</v>
      </c>
      <c r="B696">
        <v>150</v>
      </c>
      <c r="C696">
        <v>183.07379941120021</v>
      </c>
      <c r="D696">
        <v>77.245629158376829</v>
      </c>
      <c r="E696">
        <v>281.05180699395561</v>
      </c>
      <c r="F696">
        <v>-33.073799411200177</v>
      </c>
      <c r="G696">
        <v>33.073799411200177</v>
      </c>
      <c r="H696">
        <v>-22.04919960746679</v>
      </c>
      <c r="I696">
        <v>22.04919960746679</v>
      </c>
    </row>
    <row r="697" spans="1:9">
      <c r="A697" s="2">
        <v>44538</v>
      </c>
      <c r="B697">
        <v>121</v>
      </c>
      <c r="C697">
        <v>196.70449737720361</v>
      </c>
      <c r="D697">
        <v>83.221314060296976</v>
      </c>
      <c r="E697">
        <v>307.84082980277822</v>
      </c>
      <c r="F697">
        <v>-75.704497377203609</v>
      </c>
      <c r="G697">
        <v>75.704497377203609</v>
      </c>
      <c r="H697">
        <v>-62.565700311738517</v>
      </c>
      <c r="I697">
        <v>62.565700311738517</v>
      </c>
    </row>
    <row r="698" spans="1:9">
      <c r="A698" s="2">
        <v>44539</v>
      </c>
      <c r="B698">
        <v>22</v>
      </c>
      <c r="C698">
        <v>193.19776226254999</v>
      </c>
      <c r="D698">
        <v>80.160428185461342</v>
      </c>
      <c r="E698">
        <v>295.27191502278907</v>
      </c>
      <c r="F698">
        <v>-171.19776226254999</v>
      </c>
      <c r="G698">
        <v>171.19776226254999</v>
      </c>
      <c r="H698">
        <v>-778.17164664795462</v>
      </c>
      <c r="I698">
        <v>778.17164664795462</v>
      </c>
    </row>
    <row r="699" spans="1:9">
      <c r="A699" s="2">
        <v>44540</v>
      </c>
      <c r="B699">
        <v>239</v>
      </c>
      <c r="C699">
        <v>185.4336453659416</v>
      </c>
      <c r="D699">
        <v>76.96330891747084</v>
      </c>
      <c r="E699">
        <v>293.08443664047383</v>
      </c>
      <c r="F699">
        <v>53.566354634058371</v>
      </c>
      <c r="G699">
        <v>53.566354634058371</v>
      </c>
      <c r="H699">
        <v>22.412700683706429</v>
      </c>
      <c r="I699">
        <v>22.412700683706429</v>
      </c>
    </row>
    <row r="700" spans="1:9">
      <c r="A700" s="2">
        <v>44541</v>
      </c>
      <c r="B700">
        <v>167</v>
      </c>
      <c r="C700">
        <v>193.51985375475411</v>
      </c>
      <c r="D700">
        <v>90.41188792280478</v>
      </c>
      <c r="E700">
        <v>300.561238433867</v>
      </c>
      <c r="F700">
        <v>-26.519853754754141</v>
      </c>
      <c r="G700">
        <v>26.519853754754141</v>
      </c>
      <c r="H700">
        <v>-15.88015194895457</v>
      </c>
      <c r="I700">
        <v>15.88015194895457</v>
      </c>
    </row>
    <row r="701" spans="1:9">
      <c r="A701" s="2">
        <v>44542</v>
      </c>
      <c r="B701">
        <v>73</v>
      </c>
      <c r="C701">
        <v>105.60982681738859</v>
      </c>
      <c r="D701">
        <v>-5.3719857437214147</v>
      </c>
      <c r="E701">
        <v>217.78354541683541</v>
      </c>
      <c r="F701">
        <v>-32.609826817388637</v>
      </c>
      <c r="G701">
        <v>32.609826817388637</v>
      </c>
      <c r="H701">
        <v>-44.670995640258397</v>
      </c>
      <c r="I701">
        <v>44.670995640258397</v>
      </c>
    </row>
    <row r="702" spans="1:9">
      <c r="A702" s="2">
        <v>44543</v>
      </c>
      <c r="B702">
        <v>170</v>
      </c>
      <c r="C702">
        <v>206.0615357786437</v>
      </c>
      <c r="D702">
        <v>93.930883529513224</v>
      </c>
      <c r="E702">
        <v>320.702858868661</v>
      </c>
      <c r="F702">
        <v>-36.061535778643673</v>
      </c>
      <c r="G702">
        <v>36.061535778643673</v>
      </c>
      <c r="H702">
        <v>-21.212668105084511</v>
      </c>
      <c r="I702">
        <v>21.212668105084511</v>
      </c>
    </row>
    <row r="703" spans="1:9">
      <c r="A703" s="2">
        <v>44544</v>
      </c>
      <c r="B703">
        <v>188</v>
      </c>
      <c r="C703">
        <v>190.44260668812109</v>
      </c>
      <c r="D703">
        <v>79.274977368743109</v>
      </c>
      <c r="E703">
        <v>299.4169439968494</v>
      </c>
      <c r="F703">
        <v>-2.4426066881210602</v>
      </c>
      <c r="G703">
        <v>2.4426066881210602</v>
      </c>
      <c r="H703">
        <v>-1.299258876660139</v>
      </c>
      <c r="I703">
        <v>1.299258876660139</v>
      </c>
    </row>
    <row r="704" spans="1:9">
      <c r="A704" s="2">
        <v>44545</v>
      </c>
      <c r="B704">
        <v>306</v>
      </c>
      <c r="C704">
        <v>202.96977415067491</v>
      </c>
      <c r="D704">
        <v>96.896226283845209</v>
      </c>
      <c r="E704">
        <v>315.81476674350381</v>
      </c>
      <c r="F704">
        <v>103.03022584932511</v>
      </c>
      <c r="G704">
        <v>103.03022584932511</v>
      </c>
      <c r="H704">
        <v>33.670008447491853</v>
      </c>
      <c r="I704">
        <v>33.670008447491853</v>
      </c>
    </row>
    <row r="705" spans="1:9">
      <c r="A705" s="2">
        <v>44546</v>
      </c>
      <c r="B705">
        <v>201</v>
      </c>
      <c r="C705">
        <v>198.37678006197029</v>
      </c>
      <c r="D705">
        <v>89.654800727991855</v>
      </c>
      <c r="E705">
        <v>309.49651460058089</v>
      </c>
      <c r="F705">
        <v>2.6232199380297061</v>
      </c>
      <c r="G705">
        <v>2.6232199380297061</v>
      </c>
      <c r="H705">
        <v>1.305084546283436</v>
      </c>
      <c r="I705">
        <v>1.305084546283436</v>
      </c>
    </row>
    <row r="706" spans="1:9">
      <c r="A706" s="2">
        <v>44547</v>
      </c>
      <c r="B706">
        <v>188</v>
      </c>
      <c r="C706">
        <v>189.56427088713119</v>
      </c>
      <c r="D706">
        <v>82.675656899299256</v>
      </c>
      <c r="E706">
        <v>297.50980606887691</v>
      </c>
      <c r="F706">
        <v>-1.5642708871312441</v>
      </c>
      <c r="G706">
        <v>1.5642708871312441</v>
      </c>
      <c r="H706">
        <v>-0.83205898251661903</v>
      </c>
      <c r="I706">
        <v>0.83205898251661903</v>
      </c>
    </row>
    <row r="707" spans="1:9">
      <c r="A707" s="2">
        <v>44548</v>
      </c>
      <c r="B707">
        <v>148</v>
      </c>
      <c r="C707">
        <v>196.65897340972441</v>
      </c>
      <c r="D707">
        <v>79.755293912860338</v>
      </c>
      <c r="E707">
        <v>302.5747554616546</v>
      </c>
      <c r="F707">
        <v>-48.658973409724346</v>
      </c>
      <c r="G707">
        <v>48.658973409724346</v>
      </c>
      <c r="H707">
        <v>-32.877684736300239</v>
      </c>
      <c r="I707">
        <v>32.877684736300239</v>
      </c>
    </row>
    <row r="708" spans="1:9">
      <c r="A708" s="2">
        <v>44549</v>
      </c>
      <c r="B708">
        <v>21</v>
      </c>
      <c r="C708">
        <v>107.83133376459929</v>
      </c>
      <c r="D708">
        <v>-0.57301860750763278</v>
      </c>
      <c r="E708">
        <v>217.63741027113781</v>
      </c>
      <c r="F708">
        <v>-86.83133376459925</v>
      </c>
      <c r="G708">
        <v>86.83133376459925</v>
      </c>
      <c r="H708">
        <v>-413.48254173618687</v>
      </c>
      <c r="I708">
        <v>413.48254173618687</v>
      </c>
    </row>
    <row r="709" spans="1:9">
      <c r="A709" s="2">
        <v>44550</v>
      </c>
      <c r="B709">
        <v>148</v>
      </c>
      <c r="C709">
        <v>207.45392687879419</v>
      </c>
      <c r="D709">
        <v>105.6807064374173</v>
      </c>
      <c r="E709">
        <v>317.93330167081291</v>
      </c>
      <c r="F709">
        <v>-59.453926878794192</v>
      </c>
      <c r="G709">
        <v>59.453926878794192</v>
      </c>
      <c r="H709">
        <v>-40.171572215401483</v>
      </c>
      <c r="I709">
        <v>40.171572215401483</v>
      </c>
    </row>
    <row r="710" spans="1:9">
      <c r="A710" s="2">
        <v>44551</v>
      </c>
      <c r="B710">
        <v>167</v>
      </c>
      <c r="C710">
        <v>191.1062474820032</v>
      </c>
      <c r="D710">
        <v>79.470065816053506</v>
      </c>
      <c r="E710">
        <v>301.69560347419912</v>
      </c>
      <c r="F710">
        <v>-24.10624748200317</v>
      </c>
      <c r="G710">
        <v>24.10624748200317</v>
      </c>
      <c r="H710">
        <v>-14.43487873173842</v>
      </c>
      <c r="I710">
        <v>14.43487873173842</v>
      </c>
    </row>
    <row r="711" spans="1:9">
      <c r="A711" s="2">
        <v>44552</v>
      </c>
      <c r="B711">
        <v>169</v>
      </c>
      <c r="C711">
        <v>203.01389934843081</v>
      </c>
      <c r="D711">
        <v>94.675259778222824</v>
      </c>
      <c r="E711">
        <v>309.04228772322813</v>
      </c>
      <c r="F711">
        <v>-34.013899348430812</v>
      </c>
      <c r="G711">
        <v>34.013899348430812</v>
      </c>
      <c r="H711">
        <v>-20.126567661793381</v>
      </c>
      <c r="I711">
        <v>20.126567661793381</v>
      </c>
    </row>
    <row r="712" spans="1:9">
      <c r="A712" s="2">
        <v>44553</v>
      </c>
      <c r="B712">
        <v>175</v>
      </c>
      <c r="C712">
        <v>197.91630499926299</v>
      </c>
      <c r="D712">
        <v>94.645627245148987</v>
      </c>
      <c r="E712">
        <v>311.9567318239715</v>
      </c>
      <c r="F712">
        <v>-22.916304999262991</v>
      </c>
      <c r="G712">
        <v>22.916304999262991</v>
      </c>
      <c r="H712">
        <v>-13.09503142815028</v>
      </c>
      <c r="I712">
        <v>13.09503142815028</v>
      </c>
    </row>
    <row r="713" spans="1:9">
      <c r="A713" s="2">
        <v>44554</v>
      </c>
      <c r="B713">
        <v>193</v>
      </c>
      <c r="C713">
        <v>188.71649540505089</v>
      </c>
      <c r="D713">
        <v>82.367827917168938</v>
      </c>
      <c r="E713">
        <v>298.97415566509682</v>
      </c>
      <c r="F713">
        <v>4.2835045949490791</v>
      </c>
      <c r="G713">
        <v>4.2835045949490791</v>
      </c>
      <c r="H713">
        <v>2.2194324326161028</v>
      </c>
      <c r="I713">
        <v>2.2194324326161028</v>
      </c>
    </row>
    <row r="714" spans="1:9">
      <c r="A714" s="2">
        <v>44555</v>
      </c>
      <c r="B714">
        <v>154</v>
      </c>
      <c r="C714">
        <v>195.54026389350139</v>
      </c>
      <c r="D714">
        <v>87.366640544657528</v>
      </c>
      <c r="E714">
        <v>300.9014353358458</v>
      </c>
      <c r="F714">
        <v>-41.54026389350139</v>
      </c>
      <c r="G714">
        <v>41.54026389350139</v>
      </c>
      <c r="H714">
        <v>-26.974197333442461</v>
      </c>
      <c r="I714">
        <v>26.974197333442461</v>
      </c>
    </row>
    <row r="715" spans="1:9">
      <c r="A715" s="2">
        <v>44556</v>
      </c>
      <c r="B715">
        <v>35</v>
      </c>
      <c r="C715">
        <v>106.5538710185906</v>
      </c>
      <c r="D715">
        <v>-1.5497750494696809</v>
      </c>
      <c r="E715">
        <v>220.19888615154679</v>
      </c>
      <c r="F715">
        <v>-71.55387101859057</v>
      </c>
      <c r="G715">
        <v>71.55387101859057</v>
      </c>
      <c r="H715">
        <v>-204.43963148168729</v>
      </c>
      <c r="I715">
        <v>204.43963148168729</v>
      </c>
    </row>
    <row r="716" spans="1:9">
      <c r="A716" s="2">
        <v>44557</v>
      </c>
      <c r="B716">
        <v>172</v>
      </c>
      <c r="C716">
        <v>206.12260726687651</v>
      </c>
      <c r="D716">
        <v>96.540038321165667</v>
      </c>
      <c r="E716">
        <v>317.105480290537</v>
      </c>
      <c r="F716">
        <v>-34.122607266876543</v>
      </c>
      <c r="G716">
        <v>34.122607266876543</v>
      </c>
      <c r="H716">
        <v>-19.83872515516078</v>
      </c>
      <c r="I716">
        <v>19.83872515516078</v>
      </c>
    </row>
    <row r="717" spans="1:9">
      <c r="A717" s="2">
        <v>44558</v>
      </c>
      <c r="B717">
        <v>195</v>
      </c>
      <c r="C717">
        <v>189.81582220118511</v>
      </c>
      <c r="D717">
        <v>86.868284007269423</v>
      </c>
      <c r="E717">
        <v>305.22413815758472</v>
      </c>
      <c r="F717">
        <v>5.1841777988148863</v>
      </c>
      <c r="G717">
        <v>5.1841777988148863</v>
      </c>
      <c r="H717">
        <v>2.6585527173409669</v>
      </c>
      <c r="I717">
        <v>2.6585527173409669</v>
      </c>
    </row>
    <row r="718" spans="1:9">
      <c r="A718" s="2">
        <v>44559</v>
      </c>
      <c r="B718">
        <v>163</v>
      </c>
      <c r="C718">
        <v>201.84643181992439</v>
      </c>
      <c r="D718">
        <v>94.494998875227054</v>
      </c>
      <c r="E718">
        <v>310.77589612873788</v>
      </c>
      <c r="F718">
        <v>-38.846431819924419</v>
      </c>
      <c r="G718">
        <v>38.846431819924419</v>
      </c>
      <c r="H718">
        <v>-23.83216676068983</v>
      </c>
      <c r="I718">
        <v>23.83216676068983</v>
      </c>
    </row>
    <row r="719" spans="1:9">
      <c r="A719" s="2">
        <v>44560</v>
      </c>
      <c r="B719">
        <v>134</v>
      </c>
      <c r="C719">
        <v>196.9390192439659</v>
      </c>
      <c r="D719">
        <v>85.9555263827869</v>
      </c>
      <c r="E719">
        <v>303.60218636314607</v>
      </c>
      <c r="F719">
        <v>-62.939019243965902</v>
      </c>
      <c r="G719">
        <v>62.939019243965902</v>
      </c>
      <c r="H719">
        <v>-46.969417346243212</v>
      </c>
      <c r="I719">
        <v>46.969417346243212</v>
      </c>
    </row>
    <row r="720" spans="1:9">
      <c r="A720" s="2">
        <v>44561</v>
      </c>
      <c r="B720">
        <v>158</v>
      </c>
      <c r="C720">
        <v>187.9800790442458</v>
      </c>
      <c r="D720">
        <v>82.26907070626045</v>
      </c>
      <c r="E720">
        <v>301.68070275441812</v>
      </c>
      <c r="F720">
        <v>-29.980079044245802</v>
      </c>
      <c r="G720">
        <v>29.980079044245802</v>
      </c>
      <c r="H720">
        <v>-18.974733572307471</v>
      </c>
      <c r="I720">
        <v>18.974733572307471</v>
      </c>
    </row>
    <row r="721" spans="1:9">
      <c r="A721" s="2">
        <v>44562</v>
      </c>
      <c r="B721">
        <v>161</v>
      </c>
      <c r="C721">
        <v>195.07767827134401</v>
      </c>
      <c r="D721">
        <v>91.950208220338936</v>
      </c>
      <c r="E721">
        <v>305.96192930069111</v>
      </c>
      <c r="F721">
        <v>-34.077678271344013</v>
      </c>
      <c r="G721">
        <v>34.077678271344013</v>
      </c>
      <c r="H721">
        <v>-21.166259795865852</v>
      </c>
      <c r="I721">
        <v>21.166259795865852</v>
      </c>
    </row>
    <row r="722" spans="1:9">
      <c r="A722" s="2">
        <v>44563</v>
      </c>
      <c r="B722">
        <v>270</v>
      </c>
      <c r="C722">
        <v>106.3797081287032</v>
      </c>
      <c r="D722">
        <v>-6.7482072060275451</v>
      </c>
      <c r="E722">
        <v>217.98403908053541</v>
      </c>
      <c r="F722">
        <v>163.62029187129681</v>
      </c>
      <c r="G722">
        <v>163.62029187129681</v>
      </c>
      <c r="H722">
        <v>60.600108100480277</v>
      </c>
      <c r="I722">
        <v>60.600108100480277</v>
      </c>
    </row>
    <row r="723" spans="1:9">
      <c r="A723" s="2">
        <v>44564</v>
      </c>
      <c r="B723">
        <v>429</v>
      </c>
      <c r="C723">
        <v>206.23301899310891</v>
      </c>
      <c r="D723">
        <v>92.127621298619744</v>
      </c>
      <c r="E723">
        <v>309.74867527709688</v>
      </c>
      <c r="F723">
        <v>222.76698100689109</v>
      </c>
      <c r="G723">
        <v>222.76698100689109</v>
      </c>
      <c r="H723">
        <v>51.927035199741518</v>
      </c>
      <c r="I723">
        <v>51.927035199741518</v>
      </c>
    </row>
    <row r="724" spans="1:9">
      <c r="A724" s="2">
        <v>44565</v>
      </c>
      <c r="B724">
        <v>24</v>
      </c>
      <c r="C724">
        <v>190.1890321766578</v>
      </c>
      <c r="D724">
        <v>88.990075416614928</v>
      </c>
      <c r="E724">
        <v>301.87586817421078</v>
      </c>
      <c r="F724">
        <v>-166.1890321766578</v>
      </c>
      <c r="G724">
        <v>166.1890321766578</v>
      </c>
      <c r="H724">
        <v>-692.45430073607429</v>
      </c>
      <c r="I724">
        <v>692.45430073607429</v>
      </c>
    </row>
    <row r="725" spans="1:9">
      <c r="A725" s="2">
        <v>44566</v>
      </c>
      <c r="B725">
        <v>112</v>
      </c>
      <c r="C725">
        <v>202.4438243757144</v>
      </c>
      <c r="D725">
        <v>84.549776348500586</v>
      </c>
      <c r="E725">
        <v>308.21302460633609</v>
      </c>
      <c r="F725">
        <v>-90.443824375714428</v>
      </c>
      <c r="G725">
        <v>90.443824375714428</v>
      </c>
      <c r="H725">
        <v>-80.75341462117359</v>
      </c>
      <c r="I725">
        <v>80.75341462117359</v>
      </c>
    </row>
    <row r="726" spans="1:9">
      <c r="A726" s="2">
        <v>44569</v>
      </c>
      <c r="B726">
        <v>170</v>
      </c>
      <c r="C726">
        <v>195.97525391177231</v>
      </c>
      <c r="D726">
        <v>79.809222056357299</v>
      </c>
      <c r="E726">
        <v>315.0115882180977</v>
      </c>
      <c r="F726">
        <v>-25.975253911772281</v>
      </c>
      <c r="G726">
        <v>25.975253911772281</v>
      </c>
      <c r="H726">
        <v>-15.279561124571931</v>
      </c>
      <c r="I726">
        <v>15.279561124571931</v>
      </c>
    </row>
    <row r="727" spans="1:9">
      <c r="A727" s="2">
        <v>44570</v>
      </c>
      <c r="B727">
        <v>224</v>
      </c>
      <c r="C727">
        <v>107.2189401584788</v>
      </c>
      <c r="D727">
        <v>-2.628961849398324</v>
      </c>
      <c r="E727">
        <v>209.92002701852539</v>
      </c>
      <c r="F727">
        <v>116.7810598415212</v>
      </c>
      <c r="G727">
        <v>116.7810598415212</v>
      </c>
      <c r="H727">
        <v>52.134401714964817</v>
      </c>
      <c r="I727">
        <v>52.134401714964817</v>
      </c>
    </row>
    <row r="728" spans="1:9">
      <c r="A728" s="2">
        <v>44571</v>
      </c>
      <c r="B728">
        <v>176</v>
      </c>
      <c r="C728">
        <v>206.9252492431805</v>
      </c>
      <c r="D728">
        <v>100.3752748118572</v>
      </c>
      <c r="E728">
        <v>323.69224699094372</v>
      </c>
      <c r="F728">
        <v>-30.925249243180531</v>
      </c>
      <c r="G728">
        <v>30.925249243180531</v>
      </c>
      <c r="H728">
        <v>-17.571164342716209</v>
      </c>
      <c r="I728">
        <v>17.571164342716209</v>
      </c>
    </row>
    <row r="729" spans="1:9">
      <c r="A729" s="2">
        <v>44572</v>
      </c>
      <c r="B729">
        <v>328</v>
      </c>
      <c r="C729">
        <v>190.64514370296419</v>
      </c>
      <c r="D729">
        <v>79.635671084886567</v>
      </c>
      <c r="E729">
        <v>294.29440973715742</v>
      </c>
      <c r="F729">
        <v>137.35485629703581</v>
      </c>
      <c r="G729">
        <v>137.35485629703581</v>
      </c>
      <c r="H729">
        <v>41.876480578364557</v>
      </c>
      <c r="I729">
        <v>41.876480578364557</v>
      </c>
    </row>
    <row r="730" spans="1:9">
      <c r="A730" s="2">
        <v>44573</v>
      </c>
      <c r="B730">
        <v>230</v>
      </c>
      <c r="C730">
        <v>202.57794493121261</v>
      </c>
      <c r="D730">
        <v>96.563721491424857</v>
      </c>
      <c r="E730">
        <v>310.55668753864802</v>
      </c>
      <c r="F730">
        <v>27.422055068787419</v>
      </c>
      <c r="G730">
        <v>27.422055068787419</v>
      </c>
      <c r="H730">
        <v>11.92263263860322</v>
      </c>
      <c r="I730">
        <v>11.92263263860322</v>
      </c>
    </row>
    <row r="731" spans="1:9">
      <c r="A731" s="2">
        <v>44574</v>
      </c>
      <c r="B731">
        <v>180</v>
      </c>
      <c r="C731">
        <v>197.44001363974289</v>
      </c>
      <c r="D731">
        <v>93.534630459139279</v>
      </c>
      <c r="E731">
        <v>313.52661053181407</v>
      </c>
      <c r="F731">
        <v>-17.440013639742858</v>
      </c>
      <c r="G731">
        <v>17.440013639742858</v>
      </c>
      <c r="H731">
        <v>-9.6888964665238095</v>
      </c>
      <c r="I731">
        <v>9.6888964665238095</v>
      </c>
    </row>
    <row r="732" spans="1:9">
      <c r="A732" s="2">
        <v>44575</v>
      </c>
      <c r="B732">
        <v>192</v>
      </c>
      <c r="C732">
        <v>188.11542777318991</v>
      </c>
      <c r="D732">
        <v>73.637604536133068</v>
      </c>
      <c r="E732">
        <v>298.42015047136351</v>
      </c>
      <c r="F732">
        <v>3.884572226810064</v>
      </c>
      <c r="G732">
        <v>3.884572226810064</v>
      </c>
      <c r="H732">
        <v>2.023214701463576</v>
      </c>
      <c r="I732">
        <v>2.023214701463576</v>
      </c>
    </row>
    <row r="733" spans="1:9">
      <c r="A733" s="2">
        <v>44576</v>
      </c>
      <c r="B733">
        <v>194</v>
      </c>
      <c r="C733">
        <v>194.71591509216501</v>
      </c>
      <c r="D733">
        <v>75.971269495567512</v>
      </c>
      <c r="E733">
        <v>304.20999416493731</v>
      </c>
      <c r="F733">
        <v>-0.71591509216500526</v>
      </c>
      <c r="G733">
        <v>0.71591509216500526</v>
      </c>
      <c r="H733">
        <v>-0.36902839802319859</v>
      </c>
      <c r="I733">
        <v>0.36902839802319859</v>
      </c>
    </row>
    <row r="734" spans="1:9">
      <c r="A734" s="2">
        <v>44577</v>
      </c>
      <c r="B734">
        <v>37</v>
      </c>
      <c r="C734">
        <v>105.39920251643061</v>
      </c>
      <c r="D734">
        <v>-1.650260537844551</v>
      </c>
      <c r="E734">
        <v>216.71527017071861</v>
      </c>
      <c r="F734">
        <v>-68.399202516430606</v>
      </c>
      <c r="G734">
        <v>68.399202516430606</v>
      </c>
      <c r="H734">
        <v>-184.86270950386651</v>
      </c>
      <c r="I734">
        <v>184.86270950386651</v>
      </c>
    </row>
    <row r="735" spans="1:9">
      <c r="A735" s="2">
        <v>44578</v>
      </c>
      <c r="B735">
        <v>180</v>
      </c>
      <c r="C735">
        <v>204.52806753015051</v>
      </c>
      <c r="D735">
        <v>94.260302847049246</v>
      </c>
      <c r="E735">
        <v>313.46875606273147</v>
      </c>
      <c r="F735">
        <v>-24.528067530150508</v>
      </c>
      <c r="G735">
        <v>24.528067530150508</v>
      </c>
      <c r="H735">
        <v>-13.626704183416949</v>
      </c>
      <c r="I735">
        <v>13.626704183416949</v>
      </c>
    </row>
    <row r="736" spans="1:9">
      <c r="A736" s="2">
        <v>44579</v>
      </c>
      <c r="B736">
        <v>213</v>
      </c>
      <c r="C736">
        <v>187.67568236071011</v>
      </c>
      <c r="D736">
        <v>82.357294964572432</v>
      </c>
      <c r="E736">
        <v>293.85109941018192</v>
      </c>
      <c r="F736">
        <v>25.324317639289891</v>
      </c>
      <c r="G736">
        <v>25.324317639289891</v>
      </c>
      <c r="H736">
        <v>11.889351004361449</v>
      </c>
      <c r="I736">
        <v>11.889351004361449</v>
      </c>
    </row>
    <row r="737" spans="1:9">
      <c r="A737" s="2">
        <v>44580</v>
      </c>
      <c r="B737">
        <v>251</v>
      </c>
      <c r="C737">
        <v>199.06524913401259</v>
      </c>
      <c r="D737">
        <v>85.602656090952394</v>
      </c>
      <c r="E737">
        <v>315.20617200198342</v>
      </c>
      <c r="F737">
        <v>51.934750865987347</v>
      </c>
      <c r="G737">
        <v>51.934750865987347</v>
      </c>
      <c r="H737">
        <v>20.69113580318221</v>
      </c>
      <c r="I737">
        <v>20.69113580318221</v>
      </c>
    </row>
    <row r="738" spans="1:9">
      <c r="A738" s="2">
        <v>44581</v>
      </c>
      <c r="B738">
        <v>200</v>
      </c>
      <c r="C738">
        <v>193.43803232103201</v>
      </c>
      <c r="D738">
        <v>85.841297452393803</v>
      </c>
      <c r="E738">
        <v>317.58210014370849</v>
      </c>
      <c r="F738">
        <v>6.5619676789680446</v>
      </c>
      <c r="G738">
        <v>6.5619676789680446</v>
      </c>
      <c r="H738">
        <v>3.2809838394840218</v>
      </c>
      <c r="I738">
        <v>3.2809838394840218</v>
      </c>
    </row>
    <row r="739" spans="1:9">
      <c r="A739" s="2">
        <v>44582</v>
      </c>
      <c r="B739">
        <v>214</v>
      </c>
      <c r="C739">
        <v>183.70333504037129</v>
      </c>
      <c r="D739">
        <v>71.95929993447308</v>
      </c>
      <c r="E739">
        <v>290.71867370183293</v>
      </c>
      <c r="F739">
        <v>30.296664959628661</v>
      </c>
      <c r="G739">
        <v>30.296664959628661</v>
      </c>
      <c r="H739">
        <v>14.15732007459283</v>
      </c>
      <c r="I739">
        <v>14.15732007459283</v>
      </c>
    </row>
    <row r="740" spans="1:9">
      <c r="A740" s="2">
        <v>44583</v>
      </c>
      <c r="B740">
        <v>185</v>
      </c>
      <c r="C740">
        <v>189.99769397883199</v>
      </c>
      <c r="D740">
        <v>78.896277637400729</v>
      </c>
      <c r="E740">
        <v>303.87324364476581</v>
      </c>
      <c r="F740">
        <v>-4.9976939788320456</v>
      </c>
      <c r="G740">
        <v>4.9976939788320456</v>
      </c>
      <c r="H740">
        <v>-2.7014562047740789</v>
      </c>
      <c r="I740">
        <v>2.7014562047740789</v>
      </c>
    </row>
    <row r="741" spans="1:9">
      <c r="A741" s="2">
        <v>44584</v>
      </c>
      <c r="B741">
        <v>49</v>
      </c>
      <c r="C741">
        <v>100.5024739359156</v>
      </c>
      <c r="D741">
        <v>-12.085030288576689</v>
      </c>
      <c r="E741">
        <v>210.45545629117569</v>
      </c>
      <c r="F741">
        <v>-51.502473935915631</v>
      </c>
      <c r="G741">
        <v>51.502473935915631</v>
      </c>
      <c r="H741">
        <v>-105.1070896651339</v>
      </c>
      <c r="I741">
        <v>105.1070896651339</v>
      </c>
    </row>
    <row r="742" spans="1:9">
      <c r="A742" s="2">
        <v>44585</v>
      </c>
      <c r="B742">
        <v>193</v>
      </c>
      <c r="C742">
        <v>199.6021671791257</v>
      </c>
      <c r="D742">
        <v>83.742429472641504</v>
      </c>
      <c r="E742">
        <v>308.92874168319349</v>
      </c>
      <c r="F742">
        <v>-6.6021671791256722</v>
      </c>
      <c r="G742">
        <v>6.6021671791256722</v>
      </c>
      <c r="H742">
        <v>-3.420812009909675</v>
      </c>
      <c r="I742">
        <v>3.420812009909675</v>
      </c>
    </row>
    <row r="743" spans="1:9">
      <c r="A743" s="2">
        <v>44586</v>
      </c>
      <c r="B743">
        <v>195</v>
      </c>
      <c r="C743">
        <v>182.88900867720281</v>
      </c>
      <c r="D743">
        <v>72.370173963399154</v>
      </c>
      <c r="E743">
        <v>283.52705706471761</v>
      </c>
      <c r="F743">
        <v>12.11099132279722</v>
      </c>
      <c r="G743">
        <v>12.11099132279722</v>
      </c>
      <c r="H743">
        <v>6.2107647809216511</v>
      </c>
      <c r="I743">
        <v>6.2107647809216511</v>
      </c>
    </row>
    <row r="744" spans="1:9">
      <c r="A744" s="2">
        <v>44587</v>
      </c>
      <c r="B744">
        <v>211</v>
      </c>
      <c r="C744">
        <v>194.60192567499689</v>
      </c>
      <c r="D744">
        <v>84.551773961520027</v>
      </c>
      <c r="E744">
        <v>307.25232021264361</v>
      </c>
      <c r="F744">
        <v>16.39807432500308</v>
      </c>
      <c r="G744">
        <v>16.39807432500308</v>
      </c>
      <c r="H744">
        <v>7.7715992061625956</v>
      </c>
      <c r="I744">
        <v>7.7715992061625956</v>
      </c>
    </row>
    <row r="745" spans="1:9">
      <c r="A745" s="2">
        <v>44588</v>
      </c>
      <c r="B745">
        <v>200</v>
      </c>
      <c r="C745">
        <v>189.49394757000181</v>
      </c>
      <c r="D745">
        <v>81.489858252555194</v>
      </c>
      <c r="E745">
        <v>305.88216175685551</v>
      </c>
      <c r="F745">
        <v>10.50605242999819</v>
      </c>
      <c r="G745">
        <v>10.50605242999819</v>
      </c>
      <c r="H745">
        <v>5.2530262149990961</v>
      </c>
      <c r="I745">
        <v>5.2530262149990961</v>
      </c>
    </row>
    <row r="746" spans="1:9">
      <c r="A746" s="2">
        <v>44589</v>
      </c>
      <c r="B746">
        <v>48</v>
      </c>
      <c r="C746">
        <v>180.48164120379349</v>
      </c>
      <c r="D746">
        <v>77.551094752185207</v>
      </c>
      <c r="E746">
        <v>294.04099223598388</v>
      </c>
      <c r="F746">
        <v>-132.48164120379349</v>
      </c>
      <c r="G746">
        <v>132.48164120379349</v>
      </c>
      <c r="H746">
        <v>-276.0034191745699</v>
      </c>
      <c r="I746">
        <v>276.0034191745699</v>
      </c>
    </row>
    <row r="747" spans="1:9">
      <c r="A747" s="2">
        <v>44590</v>
      </c>
      <c r="B747">
        <v>164</v>
      </c>
      <c r="C747">
        <v>187.70386313521919</v>
      </c>
      <c r="D747">
        <v>73.04192392977707</v>
      </c>
      <c r="E747">
        <v>298.63800261822689</v>
      </c>
      <c r="F747">
        <v>-23.703863135219169</v>
      </c>
      <c r="G747">
        <v>23.703863135219169</v>
      </c>
      <c r="H747">
        <v>-14.45357508245071</v>
      </c>
      <c r="I747">
        <v>14.45357508245071</v>
      </c>
    </row>
    <row r="748" spans="1:9">
      <c r="A748" s="2">
        <v>44591</v>
      </c>
      <c r="B748">
        <v>43</v>
      </c>
      <c r="C748">
        <v>99.339024634755603</v>
      </c>
      <c r="D748">
        <v>-17.096766227982329</v>
      </c>
      <c r="E748">
        <v>208.93338717703921</v>
      </c>
      <c r="F748">
        <v>-56.339024634755603</v>
      </c>
      <c r="G748">
        <v>56.339024634755603</v>
      </c>
      <c r="H748">
        <v>-131.02098752268739</v>
      </c>
      <c r="I748">
        <v>131.02098752268739</v>
      </c>
    </row>
    <row r="749" spans="1:9">
      <c r="A749" s="2">
        <v>44592</v>
      </c>
      <c r="B749">
        <v>236</v>
      </c>
      <c r="C749">
        <v>199.76318671116741</v>
      </c>
      <c r="D749">
        <v>89.003006552937961</v>
      </c>
      <c r="E749">
        <v>309.59716921180359</v>
      </c>
      <c r="F749">
        <v>36.236813288832593</v>
      </c>
      <c r="G749">
        <v>36.236813288832593</v>
      </c>
      <c r="H749">
        <v>15.354581902047711</v>
      </c>
      <c r="I749">
        <v>15.354581902047711</v>
      </c>
    </row>
    <row r="750" spans="1:9">
      <c r="A750" s="2">
        <v>44593</v>
      </c>
      <c r="B750">
        <v>36</v>
      </c>
      <c r="C750">
        <v>184.55460542571529</v>
      </c>
      <c r="D750">
        <v>75.923262932957002</v>
      </c>
      <c r="E750">
        <v>284.67668737415642</v>
      </c>
      <c r="F750">
        <v>-148.55460542571529</v>
      </c>
      <c r="G750">
        <v>148.55460542571529</v>
      </c>
      <c r="H750">
        <v>-412.65168173809798</v>
      </c>
      <c r="I750">
        <v>412.65168173809798</v>
      </c>
    </row>
    <row r="751" spans="1:9">
      <c r="A751" s="2">
        <v>44594</v>
      </c>
      <c r="B751">
        <v>304</v>
      </c>
      <c r="C751">
        <v>197.93275188363819</v>
      </c>
      <c r="D751">
        <v>91.073219247734926</v>
      </c>
      <c r="E751">
        <v>310.75592422384682</v>
      </c>
      <c r="F751">
        <v>106.0672481163618</v>
      </c>
      <c r="G751">
        <v>106.0672481163618</v>
      </c>
      <c r="H751">
        <v>34.890542143540067</v>
      </c>
      <c r="I751">
        <v>34.890542143540067</v>
      </c>
    </row>
    <row r="752" spans="1:9">
      <c r="A752" s="2">
        <v>44595</v>
      </c>
      <c r="B752">
        <v>499</v>
      </c>
      <c r="C752">
        <v>194.62593530982099</v>
      </c>
      <c r="D752">
        <v>85.738576103846583</v>
      </c>
      <c r="E752">
        <v>302.65238259590541</v>
      </c>
      <c r="F752">
        <v>304.37406469017901</v>
      </c>
      <c r="G752">
        <v>304.37406469017901</v>
      </c>
      <c r="H752">
        <v>60.996806551138093</v>
      </c>
      <c r="I752">
        <v>60.996806551138093</v>
      </c>
    </row>
    <row r="753" spans="1:9">
      <c r="A753" s="2">
        <v>44596</v>
      </c>
      <c r="B753">
        <v>106</v>
      </c>
      <c r="C753">
        <v>187.52109315860801</v>
      </c>
      <c r="D753">
        <v>84.101039567784184</v>
      </c>
      <c r="E753">
        <v>306.74385853280302</v>
      </c>
      <c r="F753">
        <v>-81.521093158607954</v>
      </c>
      <c r="G753">
        <v>81.521093158607954</v>
      </c>
      <c r="H753">
        <v>-76.906691659064109</v>
      </c>
      <c r="I753">
        <v>76.906691659064109</v>
      </c>
    </row>
    <row r="754" spans="1:9">
      <c r="A754" s="2">
        <v>44597</v>
      </c>
      <c r="B754">
        <v>482</v>
      </c>
      <c r="C754">
        <v>196.7230349874666</v>
      </c>
      <c r="D754">
        <v>80.970100197605575</v>
      </c>
      <c r="E754">
        <v>304.32656829318512</v>
      </c>
      <c r="F754">
        <v>285.27696501253342</v>
      </c>
      <c r="G754">
        <v>285.27696501253342</v>
      </c>
      <c r="H754">
        <v>59.186092326251753</v>
      </c>
      <c r="I754">
        <v>59.186092326251753</v>
      </c>
    </row>
    <row r="755" spans="1:9">
      <c r="A755" s="2">
        <v>44600</v>
      </c>
      <c r="B755">
        <v>154</v>
      </c>
      <c r="C755">
        <v>199.55355516286011</v>
      </c>
      <c r="D755">
        <v>94.751104917465369</v>
      </c>
      <c r="E755">
        <v>312.08794381799231</v>
      </c>
      <c r="F755">
        <v>-45.55355516286005</v>
      </c>
      <c r="G755">
        <v>45.55355516286005</v>
      </c>
      <c r="H755">
        <v>-29.580230625233799</v>
      </c>
      <c r="I755">
        <v>29.580230625233799</v>
      </c>
    </row>
    <row r="756" spans="1:9">
      <c r="A756" s="2">
        <v>44601</v>
      </c>
      <c r="B756">
        <v>170</v>
      </c>
      <c r="C756">
        <v>214.79565529941499</v>
      </c>
      <c r="D756">
        <v>105.1157900786126</v>
      </c>
      <c r="E756">
        <v>319.97934445711411</v>
      </c>
      <c r="F756">
        <v>-44.795655299415017</v>
      </c>
      <c r="G756">
        <v>44.795655299415017</v>
      </c>
      <c r="H756">
        <v>-26.35038547024412</v>
      </c>
      <c r="I756">
        <v>26.35038547024412</v>
      </c>
    </row>
    <row r="757" spans="1:9">
      <c r="A757" s="2">
        <v>44602</v>
      </c>
      <c r="B757">
        <v>61</v>
      </c>
      <c r="C757">
        <v>213.21398279823021</v>
      </c>
      <c r="D757">
        <v>106.4193098697685</v>
      </c>
      <c r="E757">
        <v>326.59441764880478</v>
      </c>
      <c r="F757">
        <v>-152.21398279823021</v>
      </c>
      <c r="G757">
        <v>152.21398279823021</v>
      </c>
      <c r="H757">
        <v>-249.53111934136101</v>
      </c>
      <c r="I757">
        <v>249.53111934136101</v>
      </c>
    </row>
    <row r="758" spans="1:9">
      <c r="A758" s="2">
        <v>44603</v>
      </c>
      <c r="B758">
        <v>234</v>
      </c>
      <c r="C758">
        <v>207.65142689893389</v>
      </c>
      <c r="D758">
        <v>90.288549193413004</v>
      </c>
      <c r="E758">
        <v>321.88456220457198</v>
      </c>
      <c r="F758">
        <v>26.34857310106614</v>
      </c>
      <c r="G758">
        <v>26.34857310106614</v>
      </c>
      <c r="H758">
        <v>11.26007397481459</v>
      </c>
      <c r="I758">
        <v>11.26007397481459</v>
      </c>
    </row>
    <row r="759" spans="1:9">
      <c r="A759" s="2">
        <v>44604</v>
      </c>
      <c r="B759">
        <v>174</v>
      </c>
      <c r="C759">
        <v>218.17049229968649</v>
      </c>
      <c r="D759">
        <v>108.309055045631</v>
      </c>
      <c r="E759">
        <v>324.21252279192589</v>
      </c>
      <c r="F759">
        <v>-44.170492299686543</v>
      </c>
      <c r="G759">
        <v>44.170492299686543</v>
      </c>
      <c r="H759">
        <v>-25.385340402118711</v>
      </c>
      <c r="I759">
        <v>25.385340402118711</v>
      </c>
    </row>
    <row r="760" spans="1:9">
      <c r="A760" s="2">
        <v>44605</v>
      </c>
      <c r="B760">
        <v>70</v>
      </c>
      <c r="C760">
        <v>132.87221444675319</v>
      </c>
      <c r="D760">
        <v>18.360836852568749</v>
      </c>
      <c r="E760">
        <v>242.85952682493721</v>
      </c>
      <c r="F760">
        <v>-62.872214446753247</v>
      </c>
      <c r="G760">
        <v>62.872214446753247</v>
      </c>
      <c r="H760">
        <v>-89.817449209647492</v>
      </c>
      <c r="I760">
        <v>89.817449209647492</v>
      </c>
    </row>
    <row r="761" spans="1:9">
      <c r="A761" s="2">
        <v>44606</v>
      </c>
      <c r="B761">
        <v>287</v>
      </c>
      <c r="C761">
        <v>236.05598695493671</v>
      </c>
      <c r="D761">
        <v>129.72869596044421</v>
      </c>
      <c r="E761">
        <v>342.57132280996149</v>
      </c>
      <c r="F761">
        <v>50.944013045063308</v>
      </c>
      <c r="G761">
        <v>50.944013045063308</v>
      </c>
      <c r="H761">
        <v>17.750527193401851</v>
      </c>
      <c r="I761">
        <v>17.750527193401851</v>
      </c>
    </row>
    <row r="762" spans="1:9">
      <c r="A762" s="2">
        <v>44607</v>
      </c>
      <c r="B762">
        <v>298</v>
      </c>
      <c r="C762">
        <v>223.22588133249499</v>
      </c>
      <c r="D762">
        <v>106.22570906956319</v>
      </c>
      <c r="E762">
        <v>339.21283334594409</v>
      </c>
      <c r="F762">
        <v>74.774118667504951</v>
      </c>
      <c r="G762">
        <v>74.774118667504951</v>
      </c>
      <c r="H762">
        <v>25.09198613003522</v>
      </c>
      <c r="I762">
        <v>25.09198613003522</v>
      </c>
    </row>
    <row r="763" spans="1:9">
      <c r="A763" s="2">
        <v>44608</v>
      </c>
      <c r="B763">
        <v>347</v>
      </c>
      <c r="C763">
        <v>238.53144139284981</v>
      </c>
      <c r="D763">
        <v>131.60303650310689</v>
      </c>
      <c r="E763">
        <v>341.4876237175402</v>
      </c>
      <c r="F763">
        <v>108.4685586071502</v>
      </c>
      <c r="G763">
        <v>108.4685586071502</v>
      </c>
      <c r="H763">
        <v>31.2589506072479</v>
      </c>
      <c r="I763">
        <v>31.2589506072479</v>
      </c>
    </row>
    <row r="764" spans="1:9">
      <c r="A764" s="2">
        <v>44609</v>
      </c>
      <c r="B764">
        <v>414</v>
      </c>
      <c r="C764">
        <v>236.6370378465617</v>
      </c>
      <c r="D764">
        <v>128.3618298725458</v>
      </c>
      <c r="E764">
        <v>343.84925344317497</v>
      </c>
      <c r="F764">
        <v>177.3629621534383</v>
      </c>
      <c r="G764">
        <v>177.3629621534383</v>
      </c>
      <c r="H764">
        <v>42.841295206144508</v>
      </c>
      <c r="I764">
        <v>42.841295206144508</v>
      </c>
    </row>
    <row r="765" spans="1:9">
      <c r="A765" s="2">
        <v>44610</v>
      </c>
      <c r="B765">
        <v>406</v>
      </c>
      <c r="C765">
        <v>230.3733042701779</v>
      </c>
      <c r="D765">
        <v>135.28072963613349</v>
      </c>
      <c r="E765">
        <v>339.76377260727003</v>
      </c>
      <c r="F765">
        <v>175.6266957298221</v>
      </c>
      <c r="G765">
        <v>175.6266957298221</v>
      </c>
      <c r="H765">
        <v>43.257806830005443</v>
      </c>
      <c r="I765">
        <v>43.257806830005443</v>
      </c>
    </row>
    <row r="766" spans="1:9">
      <c r="A766" s="2">
        <v>44611</v>
      </c>
      <c r="B766">
        <v>366</v>
      </c>
      <c r="C766">
        <v>239.79789967144319</v>
      </c>
      <c r="D766">
        <v>134.36478585429569</v>
      </c>
      <c r="E766">
        <v>351.72229236586571</v>
      </c>
      <c r="F766">
        <v>126.2021003285568</v>
      </c>
      <c r="G766">
        <v>126.2021003285568</v>
      </c>
      <c r="H766">
        <v>34.481448177201308</v>
      </c>
      <c r="I766">
        <v>34.481448177201308</v>
      </c>
    </row>
    <row r="767" spans="1:9">
      <c r="A767" s="2">
        <v>44612</v>
      </c>
      <c r="B767">
        <v>68</v>
      </c>
      <c r="C767">
        <v>153.01474571757331</v>
      </c>
      <c r="D767">
        <v>46.723416015065347</v>
      </c>
      <c r="E767">
        <v>271.64121337523102</v>
      </c>
      <c r="F767">
        <v>-85.014745717573277</v>
      </c>
      <c r="G767">
        <v>85.014745717573277</v>
      </c>
      <c r="H767">
        <v>-125.0216848787842</v>
      </c>
      <c r="I767">
        <v>125.0216848787842</v>
      </c>
    </row>
    <row r="768" spans="1:9">
      <c r="A768" s="2">
        <v>44613</v>
      </c>
      <c r="B768">
        <v>350</v>
      </c>
      <c r="C768">
        <v>254.33400812251099</v>
      </c>
      <c r="D768">
        <v>142.08043489519281</v>
      </c>
      <c r="E768">
        <v>358.33041577327742</v>
      </c>
      <c r="F768">
        <v>95.665991877489006</v>
      </c>
      <c r="G768">
        <v>95.665991877489006</v>
      </c>
      <c r="H768">
        <v>27.333140536425429</v>
      </c>
      <c r="I768">
        <v>27.333140536425429</v>
      </c>
    </row>
    <row r="769" spans="1:9">
      <c r="A769" s="2">
        <v>44614</v>
      </c>
      <c r="B769">
        <v>437</v>
      </c>
      <c r="C769">
        <v>239.2783956510103</v>
      </c>
      <c r="D769">
        <v>133.16373101862021</v>
      </c>
      <c r="E769">
        <v>349.83526897601678</v>
      </c>
      <c r="F769">
        <v>197.7216043489897</v>
      </c>
      <c r="G769">
        <v>197.7216043489897</v>
      </c>
      <c r="H769">
        <v>45.245218386496497</v>
      </c>
      <c r="I769">
        <v>45.245218386496497</v>
      </c>
    </row>
    <row r="770" spans="1:9">
      <c r="A770" s="2">
        <v>44615</v>
      </c>
      <c r="B770">
        <v>484</v>
      </c>
      <c r="C770">
        <v>252.02375597885441</v>
      </c>
      <c r="D770">
        <v>138.94988620493649</v>
      </c>
      <c r="E770">
        <v>359.18908339133122</v>
      </c>
      <c r="F770">
        <v>231.97624402114559</v>
      </c>
      <c r="G770">
        <v>231.97624402114559</v>
      </c>
      <c r="H770">
        <v>47.928976037426779</v>
      </c>
      <c r="I770">
        <v>47.928976037426779</v>
      </c>
    </row>
    <row r="771" spans="1:9">
      <c r="A771" s="2">
        <v>44616</v>
      </c>
      <c r="B771">
        <v>405</v>
      </c>
      <c r="C771">
        <v>247.26805839396721</v>
      </c>
      <c r="D771">
        <v>128.30267003376099</v>
      </c>
      <c r="E771">
        <v>356.33493303679552</v>
      </c>
      <c r="F771">
        <v>157.73194160603279</v>
      </c>
      <c r="G771">
        <v>157.73194160603279</v>
      </c>
      <c r="H771">
        <v>38.946158421242657</v>
      </c>
      <c r="I771">
        <v>38.946158421242657</v>
      </c>
    </row>
    <row r="772" spans="1:9">
      <c r="A772" s="2">
        <v>44618</v>
      </c>
      <c r="B772">
        <v>424</v>
      </c>
      <c r="C772">
        <v>243.97049014150431</v>
      </c>
      <c r="D772">
        <v>133.6947746873675</v>
      </c>
      <c r="E772">
        <v>347.17055744352228</v>
      </c>
      <c r="F772">
        <v>180.02950985849569</v>
      </c>
      <c r="G772">
        <v>180.02950985849569</v>
      </c>
      <c r="H772">
        <v>42.459790060965972</v>
      </c>
      <c r="I772">
        <v>42.459790060965972</v>
      </c>
    </row>
    <row r="773" spans="1:9">
      <c r="A773" s="2">
        <v>44619</v>
      </c>
      <c r="B773">
        <v>60</v>
      </c>
      <c r="C773">
        <v>153.68819103734481</v>
      </c>
      <c r="D773">
        <v>48.091943568745172</v>
      </c>
      <c r="E773">
        <v>268.82075456643582</v>
      </c>
      <c r="F773">
        <v>-93.688191037344779</v>
      </c>
      <c r="G773">
        <v>93.688191037344779</v>
      </c>
      <c r="H773">
        <v>-156.1469850622413</v>
      </c>
      <c r="I773">
        <v>156.1469850622413</v>
      </c>
    </row>
    <row r="774" spans="1:9">
      <c r="A774" s="2">
        <v>44620</v>
      </c>
      <c r="B774">
        <v>497</v>
      </c>
      <c r="C774">
        <v>251.40137123452919</v>
      </c>
      <c r="D774">
        <v>140.4071490060214</v>
      </c>
      <c r="E774">
        <v>364.52586452221158</v>
      </c>
      <c r="F774">
        <v>245.59862876547081</v>
      </c>
      <c r="G774">
        <v>245.59862876547081</v>
      </c>
      <c r="H774">
        <v>49.416223091644028</v>
      </c>
      <c r="I774">
        <v>49.416223091644028</v>
      </c>
    </row>
    <row r="775" spans="1:9">
      <c r="A775" s="2">
        <v>44621</v>
      </c>
      <c r="B775">
        <v>147</v>
      </c>
      <c r="C775">
        <v>232.69169742988839</v>
      </c>
      <c r="D775">
        <v>126.2607078512341</v>
      </c>
      <c r="E775">
        <v>333.03374118708672</v>
      </c>
      <c r="F775">
        <v>-85.691697429888393</v>
      </c>
      <c r="G775">
        <v>85.691697429888393</v>
      </c>
      <c r="H775">
        <v>-58.293671721012508</v>
      </c>
      <c r="I775">
        <v>58.293671721012508</v>
      </c>
    </row>
    <row r="776" spans="1:9">
      <c r="A776" s="2">
        <v>44622</v>
      </c>
      <c r="B776">
        <v>286</v>
      </c>
      <c r="C776">
        <v>241.79594949932729</v>
      </c>
      <c r="D776">
        <v>135.74403569623439</v>
      </c>
      <c r="E776">
        <v>348.77593508104769</v>
      </c>
      <c r="F776">
        <v>44.204050500672743</v>
      </c>
      <c r="G776">
        <v>44.204050500672743</v>
      </c>
      <c r="H776">
        <v>15.45596171352194</v>
      </c>
      <c r="I776">
        <v>15.45596171352194</v>
      </c>
    </row>
    <row r="777" spans="1:9">
      <c r="A777" s="2">
        <v>44624</v>
      </c>
      <c r="B777">
        <v>52</v>
      </c>
      <c r="C777">
        <v>220.6573438858218</v>
      </c>
      <c r="D777">
        <v>116.0052723005487</v>
      </c>
      <c r="E777">
        <v>336.09013326920058</v>
      </c>
      <c r="F777">
        <v>-168.6573438858218</v>
      </c>
      <c r="G777">
        <v>168.6573438858218</v>
      </c>
      <c r="H777">
        <v>-324.34104593427281</v>
      </c>
      <c r="I777">
        <v>324.34104593427281</v>
      </c>
    </row>
    <row r="778" spans="1:9">
      <c r="A778" s="2">
        <v>44626</v>
      </c>
      <c r="B778">
        <v>436</v>
      </c>
      <c r="C778">
        <v>130.24406994987001</v>
      </c>
      <c r="D778">
        <v>28.094514326374089</v>
      </c>
      <c r="E778">
        <v>246.83168546770179</v>
      </c>
      <c r="F778">
        <v>305.75593005013002</v>
      </c>
      <c r="G778">
        <v>305.75593005013002</v>
      </c>
      <c r="H778">
        <v>70.127506892231651</v>
      </c>
      <c r="I778">
        <v>70.127506892231651</v>
      </c>
    </row>
    <row r="779" spans="1:9">
      <c r="A779" s="2">
        <v>44627</v>
      </c>
      <c r="B779">
        <v>63</v>
      </c>
      <c r="C779">
        <v>225.27744803475031</v>
      </c>
      <c r="D779">
        <v>113.93846431808871</v>
      </c>
      <c r="E779">
        <v>339.53290029975938</v>
      </c>
      <c r="F779">
        <v>-162.27744803475031</v>
      </c>
      <c r="G779">
        <v>162.27744803475031</v>
      </c>
      <c r="H779">
        <v>-257.58325084881011</v>
      </c>
      <c r="I779">
        <v>257.58325084881011</v>
      </c>
    </row>
    <row r="780" spans="1:9">
      <c r="A780" s="2">
        <v>44628</v>
      </c>
      <c r="B780">
        <v>165</v>
      </c>
      <c r="C780">
        <v>204.23895975210979</v>
      </c>
      <c r="D780">
        <v>95.278610300662677</v>
      </c>
      <c r="E780">
        <v>316.10303192247682</v>
      </c>
      <c r="F780">
        <v>-39.238959752109793</v>
      </c>
      <c r="G780">
        <v>39.238959752109793</v>
      </c>
      <c r="H780">
        <v>-23.781187728551391</v>
      </c>
      <c r="I780">
        <v>23.781187728551391</v>
      </c>
    </row>
    <row r="781" spans="1:9">
      <c r="A781" s="2">
        <v>44629</v>
      </c>
      <c r="B781">
        <v>161</v>
      </c>
      <c r="C781">
        <v>211.40619409283511</v>
      </c>
      <c r="D781">
        <v>105.02868129073779</v>
      </c>
      <c r="E781">
        <v>317.43250056348739</v>
      </c>
      <c r="F781">
        <v>-50.406194092835143</v>
      </c>
      <c r="G781">
        <v>50.406194092835143</v>
      </c>
      <c r="H781">
        <v>-31.308195088717479</v>
      </c>
      <c r="I781">
        <v>31.308195088717479</v>
      </c>
    </row>
    <row r="782" spans="1:9">
      <c r="A782" s="2">
        <v>44630</v>
      </c>
      <c r="B782">
        <v>166</v>
      </c>
      <c r="C782">
        <v>201.57253386310501</v>
      </c>
      <c r="D782">
        <v>85.529742490667431</v>
      </c>
      <c r="E782">
        <v>309.43176766060049</v>
      </c>
      <c r="F782">
        <v>-35.572533863104979</v>
      </c>
      <c r="G782">
        <v>35.572533863104979</v>
      </c>
      <c r="H782">
        <v>-21.429237266930709</v>
      </c>
      <c r="I782">
        <v>21.429237266930709</v>
      </c>
    </row>
    <row r="783" spans="1:9">
      <c r="A783" s="2">
        <v>44631</v>
      </c>
      <c r="B783">
        <v>37</v>
      </c>
      <c r="C783">
        <v>187.69609498299809</v>
      </c>
      <c r="D783">
        <v>77.781707288243595</v>
      </c>
      <c r="E783">
        <v>303.34995391498569</v>
      </c>
      <c r="F783">
        <v>-150.69609498299809</v>
      </c>
      <c r="G783">
        <v>150.69609498299809</v>
      </c>
      <c r="H783">
        <v>-407.28674319729208</v>
      </c>
      <c r="I783">
        <v>407.28674319729208</v>
      </c>
    </row>
    <row r="784" spans="1:9">
      <c r="A784" s="2">
        <v>44632</v>
      </c>
      <c r="B784">
        <v>240</v>
      </c>
      <c r="C784">
        <v>189.9579980961895</v>
      </c>
      <c r="D784">
        <v>81.980506069370875</v>
      </c>
      <c r="E784">
        <v>296.40597032343072</v>
      </c>
      <c r="F784">
        <v>50.042001903810501</v>
      </c>
      <c r="G784">
        <v>50.042001903810501</v>
      </c>
      <c r="H784">
        <v>20.85083412658771</v>
      </c>
      <c r="I784">
        <v>20.85083412658771</v>
      </c>
    </row>
    <row r="785" spans="1:9">
      <c r="A785" s="2">
        <v>44633</v>
      </c>
      <c r="B785">
        <v>116</v>
      </c>
      <c r="C785">
        <v>96.579175620339129</v>
      </c>
      <c r="D785">
        <v>-21.651110016622621</v>
      </c>
      <c r="E785">
        <v>207.1059310805083</v>
      </c>
      <c r="F785">
        <v>19.420824379660871</v>
      </c>
      <c r="G785">
        <v>19.420824379660871</v>
      </c>
      <c r="H785">
        <v>16.742089982466268</v>
      </c>
      <c r="I785">
        <v>16.742089982466268</v>
      </c>
    </row>
    <row r="786" spans="1:9">
      <c r="A786" s="2">
        <v>44635</v>
      </c>
      <c r="B786">
        <v>416</v>
      </c>
      <c r="C786">
        <v>171.77462263126779</v>
      </c>
      <c r="D786">
        <v>55.513180317513097</v>
      </c>
      <c r="E786">
        <v>286.27717023339642</v>
      </c>
      <c r="F786">
        <v>244.22537736873221</v>
      </c>
      <c r="G786">
        <v>244.22537736873221</v>
      </c>
      <c r="H786">
        <v>58.708023405945227</v>
      </c>
      <c r="I786">
        <v>58.708023405945227</v>
      </c>
    </row>
    <row r="787" spans="1:9">
      <c r="A787" s="2">
        <v>44639</v>
      </c>
      <c r="B787">
        <v>244</v>
      </c>
      <c r="C787">
        <v>165.06524249366981</v>
      </c>
      <c r="D787">
        <v>55.226705486951822</v>
      </c>
      <c r="E787">
        <v>272.4363913405686</v>
      </c>
      <c r="F787">
        <v>78.934757506330186</v>
      </c>
      <c r="G787">
        <v>78.934757506330186</v>
      </c>
      <c r="H787">
        <v>32.350310453414011</v>
      </c>
      <c r="I787">
        <v>32.350310453414011</v>
      </c>
    </row>
    <row r="788" spans="1:9">
      <c r="A788" s="2">
        <v>44640</v>
      </c>
      <c r="B788">
        <v>51</v>
      </c>
      <c r="C788">
        <v>74.456089582984305</v>
      </c>
      <c r="D788">
        <v>-31.193695235158561</v>
      </c>
      <c r="E788">
        <v>177.17287963044421</v>
      </c>
      <c r="F788">
        <v>-23.456089582984301</v>
      </c>
      <c r="G788">
        <v>23.456089582984301</v>
      </c>
      <c r="H788">
        <v>-45.992332515655498</v>
      </c>
      <c r="I788">
        <v>45.992332515655498</v>
      </c>
    </row>
    <row r="789" spans="1:9">
      <c r="A789" s="2">
        <v>44641</v>
      </c>
      <c r="B789">
        <v>202</v>
      </c>
      <c r="C789">
        <v>172.8814272266554</v>
      </c>
      <c r="D789">
        <v>69.283641893071646</v>
      </c>
      <c r="E789">
        <v>291.44206036957178</v>
      </c>
      <c r="F789">
        <v>29.118572773344599</v>
      </c>
      <c r="G789">
        <v>29.118572773344599</v>
      </c>
      <c r="H789">
        <v>14.415135036309209</v>
      </c>
      <c r="I789">
        <v>14.415135036309209</v>
      </c>
    </row>
    <row r="790" spans="1:9">
      <c r="A790" s="2">
        <v>44642</v>
      </c>
      <c r="B790">
        <v>128</v>
      </c>
      <c r="C790">
        <v>155.90637298267441</v>
      </c>
      <c r="D790">
        <v>46.826467259723657</v>
      </c>
      <c r="E790">
        <v>258.27485204050782</v>
      </c>
      <c r="F790">
        <v>-27.906372982674409</v>
      </c>
      <c r="G790">
        <v>27.906372982674409</v>
      </c>
      <c r="H790">
        <v>-21.80185389271438</v>
      </c>
      <c r="I790">
        <v>21.80185389271438</v>
      </c>
    </row>
    <row r="791" spans="1:9">
      <c r="A791" s="2">
        <v>44643</v>
      </c>
      <c r="B791">
        <v>102</v>
      </c>
      <c r="C791">
        <v>167.73359301482409</v>
      </c>
      <c r="D791">
        <v>59.961283557311248</v>
      </c>
      <c r="E791">
        <v>273.46325354076959</v>
      </c>
      <c r="F791">
        <v>-65.733593014824095</v>
      </c>
      <c r="G791">
        <v>65.733593014824095</v>
      </c>
      <c r="H791">
        <v>-64.44469903414128</v>
      </c>
      <c r="I791">
        <v>64.44469903414128</v>
      </c>
    </row>
    <row r="792" spans="1:9">
      <c r="A792" s="2">
        <v>44644</v>
      </c>
      <c r="B792">
        <v>201</v>
      </c>
      <c r="C792">
        <v>163.0718253298777</v>
      </c>
      <c r="D792">
        <v>51.990074419490362</v>
      </c>
      <c r="E792">
        <v>272.06510654336341</v>
      </c>
      <c r="F792">
        <v>37.928174670122331</v>
      </c>
      <c r="G792">
        <v>37.928174670122331</v>
      </c>
      <c r="H792">
        <v>18.8697386418519</v>
      </c>
      <c r="I792">
        <v>18.8697386418519</v>
      </c>
    </row>
    <row r="793" spans="1:9">
      <c r="A793" s="2">
        <v>44645</v>
      </c>
      <c r="B793">
        <v>261</v>
      </c>
      <c r="C793">
        <v>154.78662762924449</v>
      </c>
      <c r="D793">
        <v>43.354526975691137</v>
      </c>
      <c r="E793">
        <v>256.63205787965251</v>
      </c>
      <c r="F793">
        <v>106.21337237075549</v>
      </c>
      <c r="G793">
        <v>106.21337237075549</v>
      </c>
      <c r="H793">
        <v>40.694778686113231</v>
      </c>
      <c r="I793">
        <v>40.694778686113231</v>
      </c>
    </row>
    <row r="794" spans="1:9">
      <c r="A794" s="2">
        <v>44646</v>
      </c>
      <c r="B794">
        <v>201</v>
      </c>
      <c r="C794">
        <v>162.96060740536569</v>
      </c>
      <c r="D794">
        <v>53.909792069455463</v>
      </c>
      <c r="E794">
        <v>269.62148344728149</v>
      </c>
      <c r="F794">
        <v>38.039392594634279</v>
      </c>
      <c r="G794">
        <v>38.039392594634279</v>
      </c>
      <c r="H794">
        <v>18.925070942604119</v>
      </c>
      <c r="I794">
        <v>18.925070942604119</v>
      </c>
    </row>
    <row r="795" spans="1:9">
      <c r="A795" s="2">
        <v>44647</v>
      </c>
      <c r="B795">
        <v>64</v>
      </c>
      <c r="C795">
        <v>75.712291785131299</v>
      </c>
      <c r="D795">
        <v>-37.239337825145668</v>
      </c>
      <c r="E795">
        <v>186.7936347429804</v>
      </c>
      <c r="F795">
        <v>-11.712291785131301</v>
      </c>
      <c r="G795">
        <v>11.712291785131301</v>
      </c>
      <c r="H795">
        <v>-18.300455914267651</v>
      </c>
      <c r="I795">
        <v>18.300455914267651</v>
      </c>
    </row>
    <row r="796" spans="1:9">
      <c r="A796" s="2">
        <v>44648</v>
      </c>
      <c r="B796">
        <v>200</v>
      </c>
      <c r="C796">
        <v>177.3559128824914</v>
      </c>
      <c r="D796">
        <v>72.503481030384194</v>
      </c>
      <c r="E796">
        <v>287.26088979598211</v>
      </c>
      <c r="F796">
        <v>22.644087117508629</v>
      </c>
      <c r="G796">
        <v>22.644087117508629</v>
      </c>
      <c r="H796">
        <v>11.32204355875432</v>
      </c>
      <c r="I796">
        <v>11.32204355875432</v>
      </c>
    </row>
    <row r="797" spans="1:9">
      <c r="A797" s="2">
        <v>44649</v>
      </c>
      <c r="B797">
        <v>158</v>
      </c>
      <c r="C797">
        <v>163.40768509220271</v>
      </c>
      <c r="D797">
        <v>53.756456809740968</v>
      </c>
      <c r="E797">
        <v>283.51739952111751</v>
      </c>
      <c r="F797">
        <v>-5.4076850922026836</v>
      </c>
      <c r="G797">
        <v>5.4076850922026836</v>
      </c>
      <c r="H797">
        <v>-3.4225855013941029</v>
      </c>
      <c r="I797">
        <v>3.4225855013941029</v>
      </c>
    </row>
    <row r="798" spans="1:9">
      <c r="A798" s="2">
        <v>44650</v>
      </c>
      <c r="B798">
        <v>174</v>
      </c>
      <c r="C798">
        <v>178.02655377868561</v>
      </c>
      <c r="D798">
        <v>71.666950179905371</v>
      </c>
      <c r="E798">
        <v>286.05029959057708</v>
      </c>
      <c r="F798">
        <v>-4.0265537786856376</v>
      </c>
      <c r="G798">
        <v>4.0265537786856376</v>
      </c>
      <c r="H798">
        <v>-2.3141113670607121</v>
      </c>
      <c r="I798">
        <v>2.3141113670607121</v>
      </c>
    </row>
    <row r="799" spans="1:9">
      <c r="A799" s="2">
        <v>44651</v>
      </c>
      <c r="B799">
        <v>67</v>
      </c>
      <c r="C799">
        <v>175.8834988436646</v>
      </c>
      <c r="D799">
        <v>70.856485796198257</v>
      </c>
      <c r="E799">
        <v>293.15841863893212</v>
      </c>
      <c r="F799">
        <v>-108.8834988436646</v>
      </c>
      <c r="G799">
        <v>108.8834988436646</v>
      </c>
      <c r="H799">
        <v>-162.51268484129051</v>
      </c>
      <c r="I799">
        <v>162.51268484129051</v>
      </c>
    </row>
    <row r="800" spans="1:9">
      <c r="A800" s="2">
        <v>44652</v>
      </c>
      <c r="B800">
        <v>131</v>
      </c>
      <c r="C800">
        <v>169.8129134059985</v>
      </c>
      <c r="D800">
        <v>61.86664647269037</v>
      </c>
      <c r="E800">
        <v>273.24921813567619</v>
      </c>
      <c r="F800">
        <v>-38.812913405998501</v>
      </c>
      <c r="G800">
        <v>38.812913405998501</v>
      </c>
      <c r="H800">
        <v>-29.628178172517941</v>
      </c>
      <c r="I800">
        <v>29.628178172517941</v>
      </c>
    </row>
    <row r="801" spans="1:9">
      <c r="A801" s="2">
        <v>44653</v>
      </c>
      <c r="B801">
        <v>317</v>
      </c>
      <c r="C801">
        <v>179.87330292536541</v>
      </c>
      <c r="D801">
        <v>63.886573472697158</v>
      </c>
      <c r="E801">
        <v>300.4109039129562</v>
      </c>
      <c r="F801">
        <v>137.12669707463459</v>
      </c>
      <c r="G801">
        <v>137.12669707463459</v>
      </c>
      <c r="H801">
        <v>43.257633146572431</v>
      </c>
      <c r="I801">
        <v>43.257633146572431</v>
      </c>
    </row>
    <row r="802" spans="1:9">
      <c r="A802" s="2">
        <v>44655</v>
      </c>
      <c r="B802">
        <v>223</v>
      </c>
      <c r="C802">
        <v>196.99734520021039</v>
      </c>
      <c r="D802">
        <v>84.101288776074284</v>
      </c>
      <c r="E802">
        <v>306.9805665261718</v>
      </c>
      <c r="F802">
        <v>26.00265479978961</v>
      </c>
      <c r="G802">
        <v>26.00265479978961</v>
      </c>
      <c r="H802">
        <v>11.660383318291309</v>
      </c>
      <c r="I802">
        <v>11.660383318291309</v>
      </c>
    </row>
    <row r="803" spans="1:9">
      <c r="A803" s="2">
        <v>44656</v>
      </c>
      <c r="B803">
        <v>490</v>
      </c>
      <c r="C803">
        <v>183.88037506586949</v>
      </c>
      <c r="D803">
        <v>71.23843527158391</v>
      </c>
      <c r="E803">
        <v>284.35800637529888</v>
      </c>
      <c r="F803">
        <v>306.11962493413063</v>
      </c>
      <c r="G803">
        <v>306.11962493413063</v>
      </c>
      <c r="H803">
        <v>62.473392843700118</v>
      </c>
      <c r="I803">
        <v>62.473392843700118</v>
      </c>
    </row>
    <row r="804" spans="1:9">
      <c r="A804" s="2">
        <v>44657</v>
      </c>
      <c r="B804">
        <v>191</v>
      </c>
      <c r="C804">
        <v>198.9726607209976</v>
      </c>
      <c r="D804">
        <v>89.139850099137803</v>
      </c>
      <c r="E804">
        <v>313.00623235962831</v>
      </c>
      <c r="F804">
        <v>-7.9726607209975953</v>
      </c>
      <c r="G804">
        <v>7.9726607209975953</v>
      </c>
      <c r="H804">
        <v>-4.1741679167526673</v>
      </c>
      <c r="I804">
        <v>4.1741679167526673</v>
      </c>
    </row>
    <row r="805" spans="1:9">
      <c r="A805" s="2">
        <v>44658</v>
      </c>
      <c r="B805">
        <v>573</v>
      </c>
      <c r="C805">
        <v>196.9646633259548</v>
      </c>
      <c r="D805">
        <v>90.713687615533459</v>
      </c>
      <c r="E805">
        <v>307.50509382858951</v>
      </c>
      <c r="F805">
        <v>376.0353366740452</v>
      </c>
      <c r="G805">
        <v>376.0353366740452</v>
      </c>
      <c r="H805">
        <v>65.625713206639645</v>
      </c>
      <c r="I805">
        <v>65.625713206639645</v>
      </c>
    </row>
    <row r="806" spans="1:9">
      <c r="A806" s="2">
        <v>44659</v>
      </c>
      <c r="B806">
        <v>153</v>
      </c>
      <c r="C806">
        <v>190.70934110259179</v>
      </c>
      <c r="D806">
        <v>75.362481294545617</v>
      </c>
      <c r="E806">
        <v>307.44498333354608</v>
      </c>
      <c r="F806">
        <v>-37.709341102591821</v>
      </c>
      <c r="G806">
        <v>37.709341102591821</v>
      </c>
      <c r="H806">
        <v>-24.646628171628642</v>
      </c>
      <c r="I806">
        <v>24.646628171628642</v>
      </c>
    </row>
    <row r="807" spans="1:9">
      <c r="A807" s="2">
        <v>44660</v>
      </c>
      <c r="B807">
        <v>37</v>
      </c>
      <c r="C807">
        <v>200.2894242898648</v>
      </c>
      <c r="D807">
        <v>80.647684517246773</v>
      </c>
      <c r="E807">
        <v>305.92222016220131</v>
      </c>
      <c r="F807">
        <v>-163.2894242898648</v>
      </c>
      <c r="G807">
        <v>163.2894242898648</v>
      </c>
      <c r="H807">
        <v>-441.32276835098611</v>
      </c>
      <c r="I807">
        <v>441.32276835098611</v>
      </c>
    </row>
    <row r="808" spans="1:9">
      <c r="A808" s="2">
        <v>44661</v>
      </c>
      <c r="B808">
        <v>191</v>
      </c>
      <c r="C808">
        <v>113.83581352854929</v>
      </c>
      <c r="D808">
        <v>7.4320819859400231</v>
      </c>
      <c r="E808">
        <v>225.32452731916419</v>
      </c>
      <c r="F808">
        <v>77.164186471450691</v>
      </c>
      <c r="G808">
        <v>77.164186471450691</v>
      </c>
      <c r="H808">
        <v>40.400097629031769</v>
      </c>
      <c r="I808">
        <v>40.400097629031769</v>
      </c>
    </row>
    <row r="809" spans="1:9">
      <c r="A809" s="2">
        <v>44662</v>
      </c>
      <c r="B809">
        <v>185</v>
      </c>
      <c r="C809">
        <v>215.6866282559817</v>
      </c>
      <c r="D809">
        <v>113.7442273360456</v>
      </c>
      <c r="E809">
        <v>334.5248952197702</v>
      </c>
      <c r="F809">
        <v>-30.686628255981699</v>
      </c>
      <c r="G809">
        <v>30.686628255981699</v>
      </c>
      <c r="H809">
        <v>-16.587366624854969</v>
      </c>
      <c r="I809">
        <v>16.587366624854969</v>
      </c>
    </row>
    <row r="810" spans="1:9">
      <c r="A810" s="2">
        <v>44663</v>
      </c>
      <c r="B810">
        <v>35</v>
      </c>
      <c r="C810">
        <v>201.39250520022779</v>
      </c>
      <c r="D810">
        <v>97.39541438560957</v>
      </c>
      <c r="E810">
        <v>313.69311400024333</v>
      </c>
      <c r="F810">
        <v>-166.39250520022779</v>
      </c>
      <c r="G810">
        <v>166.39250520022779</v>
      </c>
      <c r="H810">
        <v>-475.4071577149366</v>
      </c>
      <c r="I810">
        <v>475.4071577149366</v>
      </c>
    </row>
    <row r="811" spans="1:9">
      <c r="A811" s="2">
        <v>44664</v>
      </c>
      <c r="B811">
        <v>389</v>
      </c>
      <c r="C811">
        <v>215.156155610464</v>
      </c>
      <c r="D811">
        <v>109.5619432821438</v>
      </c>
      <c r="E811">
        <v>336.44174580409901</v>
      </c>
      <c r="F811">
        <v>173.843844389536</v>
      </c>
      <c r="G811">
        <v>173.843844389536</v>
      </c>
      <c r="H811">
        <v>44.689934290369138</v>
      </c>
      <c r="I811">
        <v>44.689934290369138</v>
      </c>
    </row>
    <row r="812" spans="1:9">
      <c r="A812" s="2">
        <v>44675</v>
      </c>
      <c r="B812">
        <v>252</v>
      </c>
      <c r="C812">
        <v>125.2933574833682</v>
      </c>
      <c r="D812">
        <v>12.95258955912405</v>
      </c>
      <c r="E812">
        <v>233.9684283879979</v>
      </c>
      <c r="F812">
        <v>126.7066425166318</v>
      </c>
      <c r="G812">
        <v>126.7066425166318</v>
      </c>
      <c r="H812">
        <v>50.280413697076128</v>
      </c>
      <c r="I812">
        <v>50.280413697076128</v>
      </c>
    </row>
    <row r="813" spans="1:9">
      <c r="A813" s="2">
        <v>44682</v>
      </c>
      <c r="B813">
        <v>128</v>
      </c>
      <c r="C813">
        <v>124.7437449620593</v>
      </c>
      <c r="D813">
        <v>11.312053558279439</v>
      </c>
      <c r="E813">
        <v>232.68140839095551</v>
      </c>
      <c r="F813">
        <v>3.2562550379406621</v>
      </c>
      <c r="G813">
        <v>3.2562550379406621</v>
      </c>
      <c r="H813">
        <v>2.5439492483911419</v>
      </c>
      <c r="I813">
        <v>2.5439492483911419</v>
      </c>
    </row>
    <row r="814" spans="1:9">
      <c r="A814" s="2">
        <v>44683</v>
      </c>
      <c r="B814">
        <v>471</v>
      </c>
      <c r="C814">
        <v>224.5031137123425</v>
      </c>
      <c r="D814">
        <v>114.3381050994161</v>
      </c>
      <c r="E814">
        <v>331.70144983518389</v>
      </c>
      <c r="F814">
        <v>246.4968862876575</v>
      </c>
      <c r="G814">
        <v>246.4968862876575</v>
      </c>
      <c r="H814">
        <v>52.334795390160828</v>
      </c>
      <c r="I814">
        <v>52.334795390160828</v>
      </c>
    </row>
    <row r="815" spans="1:9">
      <c r="A815" s="2">
        <v>44685</v>
      </c>
      <c r="B815">
        <v>274</v>
      </c>
      <c r="C815">
        <v>220.58368730011179</v>
      </c>
      <c r="D815">
        <v>113.2660348723436</v>
      </c>
      <c r="E815">
        <v>331.23668804157728</v>
      </c>
      <c r="F815">
        <v>53.416312699888238</v>
      </c>
      <c r="G815">
        <v>53.416312699888238</v>
      </c>
      <c r="H815">
        <v>19.495004634995709</v>
      </c>
      <c r="I815">
        <v>19.495004634995709</v>
      </c>
    </row>
    <row r="816" spans="1:9">
      <c r="A816" s="2">
        <v>44686</v>
      </c>
      <c r="B816">
        <v>462</v>
      </c>
      <c r="C816">
        <v>215.8225425147414</v>
      </c>
      <c r="D816">
        <v>109.7633201976643</v>
      </c>
      <c r="E816">
        <v>320.43017884366691</v>
      </c>
      <c r="F816">
        <v>246.1774574852586</v>
      </c>
      <c r="G816">
        <v>246.1774574852586</v>
      </c>
      <c r="H816">
        <v>53.285163957848177</v>
      </c>
      <c r="I816">
        <v>53.285163957848177</v>
      </c>
    </row>
    <row r="817" spans="1:9">
      <c r="A817" s="2">
        <v>44687</v>
      </c>
      <c r="B817">
        <v>68</v>
      </c>
      <c r="C817">
        <v>206.97644834764671</v>
      </c>
      <c r="D817">
        <v>99.86155278085478</v>
      </c>
      <c r="E817">
        <v>328.16547787844121</v>
      </c>
      <c r="F817">
        <v>-138.97644834764671</v>
      </c>
      <c r="G817">
        <v>138.97644834764671</v>
      </c>
      <c r="H817">
        <v>-204.37712992300979</v>
      </c>
      <c r="I817">
        <v>204.37712992300979</v>
      </c>
    </row>
    <row r="818" spans="1:9">
      <c r="A818" s="2">
        <v>44688</v>
      </c>
      <c r="B818">
        <v>391</v>
      </c>
      <c r="C818">
        <v>214.1459987245689</v>
      </c>
      <c r="D818">
        <v>106.8964300938548</v>
      </c>
      <c r="E818">
        <v>319.96684073771422</v>
      </c>
      <c r="F818">
        <v>176.8540012754311</v>
      </c>
      <c r="G818">
        <v>176.8540012754311</v>
      </c>
      <c r="H818">
        <v>45.231202372233028</v>
      </c>
      <c r="I818">
        <v>45.231202372233028</v>
      </c>
    </row>
    <row r="819" spans="1:9">
      <c r="A819" s="2">
        <v>44689</v>
      </c>
      <c r="B819">
        <v>175</v>
      </c>
      <c r="C819">
        <v>125.47327965213989</v>
      </c>
      <c r="D819">
        <v>21.189161092145799</v>
      </c>
      <c r="E819">
        <v>234.7585732549407</v>
      </c>
      <c r="F819">
        <v>49.526720347860078</v>
      </c>
      <c r="G819">
        <v>49.526720347860078</v>
      </c>
      <c r="H819">
        <v>28.300983055920039</v>
      </c>
      <c r="I819">
        <v>28.300983055920039</v>
      </c>
    </row>
    <row r="820" spans="1:9">
      <c r="A820" s="2">
        <v>44690</v>
      </c>
      <c r="B820">
        <v>183</v>
      </c>
      <c r="C820">
        <v>225.30129335894489</v>
      </c>
      <c r="D820">
        <v>115.77824244481771</v>
      </c>
      <c r="E820">
        <v>337.63366896219873</v>
      </c>
      <c r="F820">
        <v>-42.301293358944861</v>
      </c>
      <c r="G820">
        <v>42.301293358944861</v>
      </c>
      <c r="H820">
        <v>-23.115460851882439</v>
      </c>
      <c r="I820">
        <v>23.115460851882439</v>
      </c>
    </row>
    <row r="821" spans="1:9">
      <c r="A821" s="2">
        <v>44691</v>
      </c>
      <c r="B821">
        <v>171</v>
      </c>
      <c r="C821">
        <v>209.17978218188679</v>
      </c>
      <c r="D821">
        <v>91.768157956000877</v>
      </c>
      <c r="E821">
        <v>313.6624119308625</v>
      </c>
      <c r="F821">
        <v>-38.179782181886793</v>
      </c>
      <c r="G821">
        <v>38.179782181886793</v>
      </c>
      <c r="H821">
        <v>-22.327358001103391</v>
      </c>
      <c r="I821">
        <v>22.327358001103391</v>
      </c>
    </row>
    <row r="822" spans="1:9">
      <c r="A822" s="2">
        <v>44692</v>
      </c>
      <c r="B822">
        <v>139</v>
      </c>
      <c r="C822">
        <v>221.3054393753539</v>
      </c>
      <c r="D822">
        <v>115.41258938863299</v>
      </c>
      <c r="E822">
        <v>328.79654569583948</v>
      </c>
      <c r="F822">
        <v>-82.305439375353927</v>
      </c>
      <c r="G822">
        <v>82.305439375353927</v>
      </c>
      <c r="H822">
        <v>-59.212546313204257</v>
      </c>
      <c r="I822">
        <v>59.212546313204257</v>
      </c>
    </row>
    <row r="823" spans="1:9">
      <c r="A823" s="2">
        <v>44693</v>
      </c>
      <c r="B823">
        <v>198</v>
      </c>
      <c r="C823">
        <v>216.39060003125991</v>
      </c>
      <c r="D823">
        <v>102.7278430440404</v>
      </c>
      <c r="E823">
        <v>326.50801753820031</v>
      </c>
      <c r="F823">
        <v>-18.390600031259851</v>
      </c>
      <c r="G823">
        <v>18.390600031259851</v>
      </c>
      <c r="H823">
        <v>-9.288181833969622</v>
      </c>
      <c r="I823">
        <v>9.288181833969622</v>
      </c>
    </row>
    <row r="824" spans="1:9">
      <c r="A824" s="2">
        <v>44694</v>
      </c>
      <c r="B824">
        <v>464</v>
      </c>
      <c r="C824">
        <v>207.3139438439749</v>
      </c>
      <c r="D824">
        <v>100.6254746036529</v>
      </c>
      <c r="E824">
        <v>309.18328228177188</v>
      </c>
      <c r="F824">
        <v>256.68605615602507</v>
      </c>
      <c r="G824">
        <v>256.68605615602507</v>
      </c>
      <c r="H824">
        <v>55.320270723281261</v>
      </c>
      <c r="I824">
        <v>55.320270723281261</v>
      </c>
    </row>
    <row r="825" spans="1:9">
      <c r="A825" s="2">
        <v>44695</v>
      </c>
      <c r="B825">
        <v>302</v>
      </c>
      <c r="C825">
        <v>214.18046809280261</v>
      </c>
      <c r="D825">
        <v>97.275554650209656</v>
      </c>
      <c r="E825">
        <v>335.05045671257841</v>
      </c>
      <c r="F825">
        <v>87.819531907197387</v>
      </c>
      <c r="G825">
        <v>87.819531907197387</v>
      </c>
      <c r="H825">
        <v>29.079315201058741</v>
      </c>
      <c r="I825">
        <v>29.079315201058741</v>
      </c>
    </row>
    <row r="826" spans="1:9">
      <c r="A826" s="2">
        <v>44696</v>
      </c>
      <c r="B826">
        <v>47</v>
      </c>
      <c r="C826">
        <v>125.1398944345686</v>
      </c>
      <c r="D826">
        <v>13.437834283373279</v>
      </c>
      <c r="E826">
        <v>233.42850593856011</v>
      </c>
      <c r="F826">
        <v>-78.139894434568646</v>
      </c>
      <c r="G826">
        <v>78.139894434568646</v>
      </c>
      <c r="H826">
        <v>-166.2550945416354</v>
      </c>
      <c r="I826">
        <v>166.2550945416354</v>
      </c>
    </row>
    <row r="827" spans="1:9">
      <c r="A827" s="2">
        <v>44697</v>
      </c>
      <c r="B827">
        <v>293</v>
      </c>
      <c r="C827">
        <v>224.54579652380571</v>
      </c>
      <c r="D827">
        <v>111.4577372690292</v>
      </c>
      <c r="E827">
        <v>341.05089361164079</v>
      </c>
      <c r="F827">
        <v>68.454203476194323</v>
      </c>
      <c r="G827">
        <v>68.454203476194323</v>
      </c>
      <c r="H827">
        <v>23.36320937754072</v>
      </c>
      <c r="I827">
        <v>23.36320937754072</v>
      </c>
    </row>
    <row r="828" spans="1:9">
      <c r="A828" s="2">
        <v>44698</v>
      </c>
      <c r="B828">
        <v>245</v>
      </c>
      <c r="C828">
        <v>207.96104100985269</v>
      </c>
      <c r="D828">
        <v>94.092586616889633</v>
      </c>
      <c r="E828">
        <v>320.72776676920938</v>
      </c>
      <c r="F828">
        <v>37.038958990147279</v>
      </c>
      <c r="G828">
        <v>37.038958990147279</v>
      </c>
      <c r="H828">
        <v>15.11794244495807</v>
      </c>
      <c r="I828">
        <v>15.11794244495807</v>
      </c>
    </row>
    <row r="829" spans="1:9">
      <c r="A829" s="2">
        <v>44699</v>
      </c>
      <c r="B829">
        <v>295</v>
      </c>
      <c r="C829">
        <v>219.5975419195851</v>
      </c>
      <c r="D829">
        <v>108.5217630770874</v>
      </c>
      <c r="E829">
        <v>324.75505256138678</v>
      </c>
      <c r="F829">
        <v>75.402458080414931</v>
      </c>
      <c r="G829">
        <v>75.402458080414931</v>
      </c>
      <c r="H829">
        <v>25.560155281496591</v>
      </c>
      <c r="I829">
        <v>25.560155281496591</v>
      </c>
    </row>
    <row r="830" spans="1:9">
      <c r="A830" s="2">
        <v>44700</v>
      </c>
      <c r="B830">
        <v>205</v>
      </c>
      <c r="C830">
        <v>214.18443634750349</v>
      </c>
      <c r="D830">
        <v>95.564950050117019</v>
      </c>
      <c r="E830">
        <v>325.17030146437088</v>
      </c>
      <c r="F830">
        <v>-9.1844363475034925</v>
      </c>
      <c r="G830">
        <v>9.1844363475034925</v>
      </c>
      <c r="H830">
        <v>-4.4802128524407276</v>
      </c>
      <c r="I830">
        <v>4.4802128524407276</v>
      </c>
    </row>
    <row r="831" spans="1:9">
      <c r="A831" s="2">
        <v>44701</v>
      </c>
      <c r="B831">
        <v>249</v>
      </c>
      <c r="C831">
        <v>204.6182293524212</v>
      </c>
      <c r="D831">
        <v>102.0152227803209</v>
      </c>
      <c r="E831">
        <v>317.86899242200252</v>
      </c>
      <c r="F831">
        <v>44.381770647578833</v>
      </c>
      <c r="G831">
        <v>44.381770647578833</v>
      </c>
      <c r="H831">
        <v>17.82400427613608</v>
      </c>
      <c r="I831">
        <v>17.82400427613608</v>
      </c>
    </row>
    <row r="832" spans="1:9">
      <c r="A832" s="2">
        <v>44702</v>
      </c>
      <c r="B832">
        <v>236</v>
      </c>
      <c r="C832">
        <v>211.02218357300819</v>
      </c>
      <c r="D832">
        <v>100.5153114482104</v>
      </c>
      <c r="E832">
        <v>327.1384306943807</v>
      </c>
      <c r="F832">
        <v>24.97781642699178</v>
      </c>
      <c r="G832">
        <v>24.97781642699178</v>
      </c>
      <c r="H832">
        <v>10.58382051991177</v>
      </c>
      <c r="I832">
        <v>10.58382051991177</v>
      </c>
    </row>
    <row r="833" spans="1:9">
      <c r="A833" s="2">
        <v>44703</v>
      </c>
      <c r="B833">
        <v>39</v>
      </c>
      <c r="C833">
        <v>121.56413474613061</v>
      </c>
      <c r="D833">
        <v>6.8282589879771578</v>
      </c>
      <c r="E833">
        <v>231.55930884490331</v>
      </c>
      <c r="F833">
        <v>-82.564134746130591</v>
      </c>
      <c r="G833">
        <v>82.564134746130591</v>
      </c>
      <c r="H833">
        <v>-211.70290960546299</v>
      </c>
      <c r="I833">
        <v>211.70290960546299</v>
      </c>
    </row>
    <row r="834" spans="1:9">
      <c r="A834" s="2">
        <v>44704</v>
      </c>
      <c r="B834">
        <v>208</v>
      </c>
      <c r="C834">
        <v>220.61503768527891</v>
      </c>
      <c r="D834">
        <v>100.8540020360855</v>
      </c>
      <c r="E834">
        <v>336.21052682566727</v>
      </c>
      <c r="F834">
        <v>-12.61503768527893</v>
      </c>
      <c r="G834">
        <v>12.61503768527893</v>
      </c>
      <c r="H834">
        <v>-6.0649219640764116</v>
      </c>
      <c r="I834">
        <v>6.0649219640764116</v>
      </c>
    </row>
    <row r="835" spans="1:9">
      <c r="A835" s="2">
        <v>44705</v>
      </c>
      <c r="B835">
        <v>39</v>
      </c>
      <c r="C835">
        <v>203.75385227425849</v>
      </c>
      <c r="D835">
        <v>95.329100079986674</v>
      </c>
      <c r="E835">
        <v>317.10819463050223</v>
      </c>
      <c r="F835">
        <v>-164.75385227425849</v>
      </c>
      <c r="G835">
        <v>164.75385227425849</v>
      </c>
      <c r="H835">
        <v>-422.44577506220128</v>
      </c>
      <c r="I835">
        <v>422.44577506220128</v>
      </c>
    </row>
    <row r="836" spans="1:9">
      <c r="A836" s="2">
        <v>44706</v>
      </c>
      <c r="B836">
        <v>115</v>
      </c>
      <c r="C836">
        <v>215.20678544831071</v>
      </c>
      <c r="D836">
        <v>108.6674940587433</v>
      </c>
      <c r="E836">
        <v>326.36311637351099</v>
      </c>
      <c r="F836">
        <v>-100.2067854483107</v>
      </c>
      <c r="G836">
        <v>100.2067854483107</v>
      </c>
      <c r="H836">
        <v>-87.13633517244412</v>
      </c>
      <c r="I836">
        <v>87.13633517244412</v>
      </c>
    </row>
    <row r="837" spans="1:9">
      <c r="A837" s="2">
        <v>44707</v>
      </c>
      <c r="B837">
        <v>338</v>
      </c>
      <c r="C837">
        <v>209.7146105418488</v>
      </c>
      <c r="D837">
        <v>99.521323567192169</v>
      </c>
      <c r="E837">
        <v>322.66197133004403</v>
      </c>
      <c r="F837">
        <v>128.2853894581512</v>
      </c>
      <c r="G837">
        <v>128.2853894581512</v>
      </c>
      <c r="H837">
        <v>37.954257236139398</v>
      </c>
      <c r="I837">
        <v>37.954257236139398</v>
      </c>
    </row>
    <row r="838" spans="1:9">
      <c r="A838" s="2">
        <v>44708</v>
      </c>
      <c r="B838">
        <v>404</v>
      </c>
      <c r="C838">
        <v>200.1836298249618</v>
      </c>
      <c r="D838">
        <v>89.94741457513409</v>
      </c>
      <c r="E838">
        <v>307.53782627948033</v>
      </c>
      <c r="F838">
        <v>203.8163701750382</v>
      </c>
      <c r="G838">
        <v>203.8163701750382</v>
      </c>
      <c r="H838">
        <v>50.449596577979761</v>
      </c>
      <c r="I838">
        <v>50.449596577979761</v>
      </c>
    </row>
    <row r="839" spans="1:9">
      <c r="A839" s="2">
        <v>44709</v>
      </c>
      <c r="B839">
        <v>436</v>
      </c>
      <c r="C839">
        <v>206.74355564209631</v>
      </c>
      <c r="D839">
        <v>99.014912611021416</v>
      </c>
      <c r="E839">
        <v>316.97031795493501</v>
      </c>
      <c r="F839">
        <v>229.25644435790369</v>
      </c>
      <c r="G839">
        <v>229.25644435790369</v>
      </c>
      <c r="H839">
        <v>52.581753293097186</v>
      </c>
      <c r="I839">
        <v>52.581753293097186</v>
      </c>
    </row>
    <row r="840" spans="1:9">
      <c r="A840" s="2">
        <v>44710</v>
      </c>
      <c r="B840">
        <v>73</v>
      </c>
      <c r="C840">
        <v>117.5655098813484</v>
      </c>
      <c r="D840">
        <v>-2.7739438196785891</v>
      </c>
      <c r="E840">
        <v>229.44027737361759</v>
      </c>
      <c r="F840">
        <v>-44.565509881348433</v>
      </c>
      <c r="G840">
        <v>44.565509881348433</v>
      </c>
      <c r="H840">
        <v>-61.048643673080051</v>
      </c>
      <c r="I840">
        <v>61.048643673080051</v>
      </c>
    </row>
    <row r="841" spans="1:9">
      <c r="A841" s="2">
        <v>44711</v>
      </c>
      <c r="B841">
        <v>521</v>
      </c>
      <c r="C841">
        <v>217.02044639468519</v>
      </c>
      <c r="D841">
        <v>105.880739246175</v>
      </c>
      <c r="E841">
        <v>326.27181533604499</v>
      </c>
      <c r="F841">
        <v>303.97955360531478</v>
      </c>
      <c r="G841">
        <v>303.97955360531478</v>
      </c>
      <c r="H841">
        <v>58.345403763016257</v>
      </c>
      <c r="I841">
        <v>58.345403763016257</v>
      </c>
    </row>
    <row r="842" spans="1:9">
      <c r="A842" s="2">
        <v>44713</v>
      </c>
      <c r="B842">
        <v>136</v>
      </c>
      <c r="C842">
        <v>212.7758445606683</v>
      </c>
      <c r="D842">
        <v>104.6827636752575</v>
      </c>
      <c r="E842">
        <v>320.53138634694261</v>
      </c>
      <c r="F842">
        <v>-76.775844560668276</v>
      </c>
      <c r="G842">
        <v>76.775844560668276</v>
      </c>
      <c r="H842">
        <v>-56.45282688284432</v>
      </c>
      <c r="I842">
        <v>56.45282688284432</v>
      </c>
    </row>
    <row r="843" spans="1:9">
      <c r="A843" s="2">
        <v>44714</v>
      </c>
      <c r="B843">
        <v>48</v>
      </c>
      <c r="C843">
        <v>208.02747927611679</v>
      </c>
      <c r="D843">
        <v>91.146524445692933</v>
      </c>
      <c r="E843">
        <v>325.92419126046741</v>
      </c>
      <c r="F843">
        <v>-160.02747927611679</v>
      </c>
      <c r="G843">
        <v>160.02747927611679</v>
      </c>
      <c r="H843">
        <v>-333.39058182524332</v>
      </c>
      <c r="I843">
        <v>333.39058182524332</v>
      </c>
    </row>
    <row r="844" spans="1:9">
      <c r="A844" s="2">
        <v>44715</v>
      </c>
      <c r="B844">
        <v>137</v>
      </c>
      <c r="C844">
        <v>199.332331903126</v>
      </c>
      <c r="D844">
        <v>91.805896442283597</v>
      </c>
      <c r="E844">
        <v>303.96969630038171</v>
      </c>
      <c r="F844">
        <v>-62.332331903125983</v>
      </c>
      <c r="G844">
        <v>62.332331903125983</v>
      </c>
      <c r="H844">
        <v>-45.498052484033558</v>
      </c>
      <c r="I844">
        <v>45.498052484033558</v>
      </c>
    </row>
    <row r="845" spans="1:9">
      <c r="A845" s="2">
        <v>44716</v>
      </c>
      <c r="B845">
        <v>280</v>
      </c>
      <c r="C845">
        <v>206.80512296333609</v>
      </c>
      <c r="D845">
        <v>94.959121105494404</v>
      </c>
      <c r="E845">
        <v>316.47429711558237</v>
      </c>
      <c r="F845">
        <v>73.194877036663854</v>
      </c>
      <c r="G845">
        <v>73.194877036663854</v>
      </c>
      <c r="H845">
        <v>26.14102751309423</v>
      </c>
      <c r="I845">
        <v>26.14102751309423</v>
      </c>
    </row>
    <row r="846" spans="1:9">
      <c r="A846" s="2">
        <v>44717</v>
      </c>
      <c r="B846">
        <v>428</v>
      </c>
      <c r="C846">
        <v>118.59987014434751</v>
      </c>
      <c r="D846">
        <v>12.27226808392966</v>
      </c>
      <c r="E846">
        <v>227.12064919666631</v>
      </c>
      <c r="F846">
        <v>309.40012985565261</v>
      </c>
      <c r="G846">
        <v>309.40012985565261</v>
      </c>
      <c r="H846">
        <v>72.289749966273959</v>
      </c>
      <c r="I846">
        <v>72.289749966273959</v>
      </c>
    </row>
    <row r="847" spans="1:9">
      <c r="A847" s="2">
        <v>44718</v>
      </c>
      <c r="B847">
        <v>498</v>
      </c>
      <c r="C847">
        <v>219.06876389981451</v>
      </c>
      <c r="D847">
        <v>110.15143784802819</v>
      </c>
      <c r="E847">
        <v>329.54907064355592</v>
      </c>
      <c r="F847">
        <v>278.93123610018552</v>
      </c>
      <c r="G847">
        <v>278.93123610018552</v>
      </c>
      <c r="H847">
        <v>56.010288373531218</v>
      </c>
      <c r="I847">
        <v>56.010288373531218</v>
      </c>
    </row>
    <row r="848" spans="1:9">
      <c r="A848" s="2">
        <v>44720</v>
      </c>
      <c r="B848">
        <v>241</v>
      </c>
      <c r="C848">
        <v>216.89522625172401</v>
      </c>
      <c r="D848">
        <v>110.0622115563216</v>
      </c>
      <c r="E848">
        <v>329.78353721398167</v>
      </c>
      <c r="F848">
        <v>24.104773748276049</v>
      </c>
      <c r="G848">
        <v>24.104773748276049</v>
      </c>
      <c r="H848">
        <v>10.0019808084133</v>
      </c>
      <c r="I848">
        <v>10.0019808084133</v>
      </c>
    </row>
    <row r="849" spans="1:9">
      <c r="A849" s="2">
        <v>44721</v>
      </c>
      <c r="B849">
        <v>221</v>
      </c>
      <c r="C849">
        <v>213.16273902574949</v>
      </c>
      <c r="D849">
        <v>104.59245334121719</v>
      </c>
      <c r="E849">
        <v>326.84956091856372</v>
      </c>
      <c r="F849">
        <v>7.8372609742505404</v>
      </c>
      <c r="G849">
        <v>7.8372609742505404</v>
      </c>
      <c r="H849">
        <v>3.5462719340500182</v>
      </c>
      <c r="I849">
        <v>3.5462719340500182</v>
      </c>
    </row>
    <row r="850" spans="1:9">
      <c r="A850" s="2">
        <v>44722</v>
      </c>
      <c r="B850">
        <v>153</v>
      </c>
      <c r="C850">
        <v>205.44324980857419</v>
      </c>
      <c r="D850">
        <v>90.036863933161371</v>
      </c>
      <c r="E850">
        <v>318.19638387419081</v>
      </c>
      <c r="F850">
        <v>-52.443249808574222</v>
      </c>
      <c r="G850">
        <v>52.443249808574222</v>
      </c>
      <c r="H850">
        <v>-34.276633861813217</v>
      </c>
      <c r="I850">
        <v>34.276633861813217</v>
      </c>
    </row>
    <row r="851" spans="1:9">
      <c r="A851" s="2">
        <v>44723</v>
      </c>
      <c r="B851">
        <v>13</v>
      </c>
      <c r="C851">
        <v>213.83220363076711</v>
      </c>
      <c r="D851">
        <v>109.5514708764422</v>
      </c>
      <c r="E851">
        <v>327.16508770883598</v>
      </c>
      <c r="F851">
        <v>-200.83220363076711</v>
      </c>
      <c r="G851">
        <v>200.83220363076711</v>
      </c>
      <c r="H851">
        <v>-1544.863104852054</v>
      </c>
      <c r="I851">
        <v>1544.863104852054</v>
      </c>
    </row>
    <row r="852" spans="1:9">
      <c r="A852" s="2">
        <v>44724</v>
      </c>
      <c r="B852">
        <v>189</v>
      </c>
      <c r="C852">
        <v>126.4657822319846</v>
      </c>
      <c r="D852">
        <v>14.781101109572189</v>
      </c>
      <c r="E852">
        <v>236.2773820762722</v>
      </c>
      <c r="F852">
        <v>62.534217768015417</v>
      </c>
      <c r="G852">
        <v>62.534217768015417</v>
      </c>
      <c r="H852">
        <v>33.086887707944669</v>
      </c>
      <c r="I852">
        <v>33.086887707944669</v>
      </c>
    </row>
    <row r="853" spans="1:9">
      <c r="A853" s="2">
        <v>44725</v>
      </c>
      <c r="B853">
        <v>266</v>
      </c>
      <c r="C853">
        <v>227.68022016809749</v>
      </c>
      <c r="D853">
        <v>121.19274989033499</v>
      </c>
      <c r="E853">
        <v>339.03525102664508</v>
      </c>
      <c r="F853">
        <v>38.319779831902508</v>
      </c>
      <c r="G853">
        <v>38.319779831902508</v>
      </c>
      <c r="H853">
        <v>14.405932267632521</v>
      </c>
      <c r="I853">
        <v>14.405932267632521</v>
      </c>
    </row>
    <row r="854" spans="1:9">
      <c r="A854" s="2">
        <v>44726</v>
      </c>
      <c r="B854">
        <v>242</v>
      </c>
      <c r="C854">
        <v>213.0175427514742</v>
      </c>
      <c r="D854">
        <v>111.4481556648648</v>
      </c>
      <c r="E854">
        <v>323.8449091725077</v>
      </c>
      <c r="F854">
        <v>28.98245724852578</v>
      </c>
      <c r="G854">
        <v>28.98245724852578</v>
      </c>
      <c r="H854">
        <v>11.97622200352305</v>
      </c>
      <c r="I854">
        <v>11.97622200352305</v>
      </c>
    </row>
    <row r="855" spans="1:9">
      <c r="A855" s="2">
        <v>44727</v>
      </c>
      <c r="B855">
        <v>241</v>
      </c>
      <c r="C855">
        <v>226.6657167604744</v>
      </c>
      <c r="D855">
        <v>114.2837726854937</v>
      </c>
      <c r="E855">
        <v>340.27886873207723</v>
      </c>
      <c r="F855">
        <v>14.3342832395256</v>
      </c>
      <c r="G855">
        <v>14.3342832395256</v>
      </c>
      <c r="H855">
        <v>5.9478353690977608</v>
      </c>
      <c r="I855">
        <v>5.9478353690977608</v>
      </c>
    </row>
    <row r="856" spans="1:9">
      <c r="A856" s="2">
        <v>44728</v>
      </c>
      <c r="B856">
        <v>279</v>
      </c>
      <c r="C856">
        <v>223.32730999086181</v>
      </c>
      <c r="D856">
        <v>113.95221714802101</v>
      </c>
      <c r="E856">
        <v>329.6131302872792</v>
      </c>
      <c r="F856">
        <v>55.672690009138194</v>
      </c>
      <c r="G856">
        <v>55.672690009138194</v>
      </c>
      <c r="H856">
        <v>19.954369178902581</v>
      </c>
      <c r="I856">
        <v>19.954369178902581</v>
      </c>
    </row>
    <row r="857" spans="1:9">
      <c r="A857" s="2">
        <v>44729</v>
      </c>
      <c r="B857">
        <v>73</v>
      </c>
      <c r="C857">
        <v>215.8701933082869</v>
      </c>
      <c r="D857">
        <v>105.04676868538139</v>
      </c>
      <c r="E857">
        <v>332.69994398649459</v>
      </c>
      <c r="F857">
        <v>-142.8701933082869</v>
      </c>
      <c r="G857">
        <v>142.8701933082869</v>
      </c>
      <c r="H857">
        <v>-195.71259357299579</v>
      </c>
      <c r="I857">
        <v>195.71259357299579</v>
      </c>
    </row>
    <row r="858" spans="1:9">
      <c r="A858" s="2">
        <v>44730</v>
      </c>
      <c r="B858">
        <v>226</v>
      </c>
      <c r="C858">
        <v>224.38754451361379</v>
      </c>
      <c r="D858">
        <v>113.0359906001438</v>
      </c>
      <c r="E858">
        <v>330.19229849257363</v>
      </c>
      <c r="F858">
        <v>1.6124554863861531</v>
      </c>
      <c r="G858">
        <v>1.6124554863861531</v>
      </c>
      <c r="H858">
        <v>0.71347587893192621</v>
      </c>
      <c r="I858">
        <v>0.71347587893192621</v>
      </c>
    </row>
    <row r="859" spans="1:9">
      <c r="A859" s="2">
        <v>44731</v>
      </c>
      <c r="B859">
        <v>43</v>
      </c>
      <c r="C859">
        <v>137.0163175618616</v>
      </c>
      <c r="D859">
        <v>24.958194043436158</v>
      </c>
      <c r="E859">
        <v>252.90734029589521</v>
      </c>
      <c r="F859">
        <v>-94.01631756186157</v>
      </c>
      <c r="G859">
        <v>94.01631756186157</v>
      </c>
      <c r="H859">
        <v>-218.64259898107341</v>
      </c>
      <c r="I859">
        <v>218.64259898107341</v>
      </c>
    </row>
    <row r="860" spans="1:9">
      <c r="A860" s="2">
        <v>44732</v>
      </c>
      <c r="B860">
        <v>311</v>
      </c>
      <c r="C860">
        <v>238.09646313350851</v>
      </c>
      <c r="D860">
        <v>132.4019274932858</v>
      </c>
      <c r="E860">
        <v>352.73188521756231</v>
      </c>
      <c r="F860">
        <v>72.90353686649155</v>
      </c>
      <c r="G860">
        <v>72.90353686649155</v>
      </c>
      <c r="H860">
        <v>23.441651725559979</v>
      </c>
      <c r="I860">
        <v>23.441651725559979</v>
      </c>
    </row>
    <row r="861" spans="1:9">
      <c r="A861" s="2">
        <v>44733</v>
      </c>
      <c r="B861">
        <v>251</v>
      </c>
      <c r="C861">
        <v>223.1764911913167</v>
      </c>
      <c r="D861">
        <v>115.1096061247171</v>
      </c>
      <c r="E861">
        <v>335.46052319935342</v>
      </c>
      <c r="F861">
        <v>27.823508808683329</v>
      </c>
      <c r="G861">
        <v>27.823508808683329</v>
      </c>
      <c r="H861">
        <v>11.085063270391769</v>
      </c>
      <c r="I861">
        <v>11.085063270391769</v>
      </c>
    </row>
    <row r="862" spans="1:9">
      <c r="A862" s="2">
        <v>44734</v>
      </c>
      <c r="B862">
        <v>339</v>
      </c>
      <c r="C862">
        <v>236.4533727609398</v>
      </c>
      <c r="D862">
        <v>128.908834090369</v>
      </c>
      <c r="E862">
        <v>349.92080363071329</v>
      </c>
      <c r="F862">
        <v>102.5466272390602</v>
      </c>
      <c r="G862">
        <v>102.5466272390602</v>
      </c>
      <c r="H862">
        <v>30.249742548395339</v>
      </c>
      <c r="I862">
        <v>30.249742548395339</v>
      </c>
    </row>
    <row r="863" spans="1:9">
      <c r="A863" s="2">
        <v>44735</v>
      </c>
      <c r="B863">
        <v>323</v>
      </c>
      <c r="C863">
        <v>232.64088536835601</v>
      </c>
      <c r="D863">
        <v>116.79224547608371</v>
      </c>
      <c r="E863">
        <v>339.92955560448593</v>
      </c>
      <c r="F863">
        <v>90.359114631644047</v>
      </c>
      <c r="G863">
        <v>90.359114631644047</v>
      </c>
      <c r="H863">
        <v>27.974958090292269</v>
      </c>
      <c r="I863">
        <v>27.974958090292269</v>
      </c>
    </row>
    <row r="864" spans="1:9">
      <c r="A864" s="2">
        <v>44736</v>
      </c>
      <c r="B864">
        <v>289</v>
      </c>
      <c r="C864">
        <v>224.6199459212381</v>
      </c>
      <c r="D864">
        <v>123.0758626180819</v>
      </c>
      <c r="E864">
        <v>338.81288698938482</v>
      </c>
      <c r="F864">
        <v>64.38005407876193</v>
      </c>
      <c r="G864">
        <v>64.38005407876193</v>
      </c>
      <c r="H864">
        <v>22.27683532137091</v>
      </c>
      <c r="I864">
        <v>22.27683532137091</v>
      </c>
    </row>
    <row r="865" spans="1:9">
      <c r="A865" s="2">
        <v>44737</v>
      </c>
      <c r="B865">
        <v>310</v>
      </c>
      <c r="C865">
        <v>232.4982019591825</v>
      </c>
      <c r="D865">
        <v>114.15888690859239</v>
      </c>
      <c r="E865">
        <v>342.92827821100178</v>
      </c>
      <c r="F865">
        <v>77.501798040817476</v>
      </c>
      <c r="G865">
        <v>77.501798040817476</v>
      </c>
      <c r="H865">
        <v>25.000580013166928</v>
      </c>
      <c r="I865">
        <v>25.000580013166928</v>
      </c>
    </row>
    <row r="866" spans="1:9">
      <c r="A866" s="2">
        <v>44738</v>
      </c>
      <c r="B866">
        <v>33</v>
      </c>
      <c r="C866">
        <v>144.42805751950789</v>
      </c>
      <c r="D866">
        <v>25.941046159722958</v>
      </c>
      <c r="E866">
        <v>252.0074737185424</v>
      </c>
      <c r="F866">
        <v>-111.4280575195079</v>
      </c>
      <c r="G866">
        <v>111.4280575195079</v>
      </c>
      <c r="H866">
        <v>-337.6607803621452</v>
      </c>
      <c r="I866">
        <v>337.6607803621452</v>
      </c>
    </row>
    <row r="867" spans="1:9">
      <c r="A867" s="2">
        <v>44739</v>
      </c>
      <c r="B867">
        <v>346</v>
      </c>
      <c r="C867">
        <v>244.76543306082169</v>
      </c>
      <c r="D867">
        <v>141.8651437443333</v>
      </c>
      <c r="E867">
        <v>359.58002736127997</v>
      </c>
      <c r="F867">
        <v>101.23456693917829</v>
      </c>
      <c r="G867">
        <v>101.23456693917829</v>
      </c>
      <c r="H867">
        <v>29.25854535814403</v>
      </c>
      <c r="I867">
        <v>29.25854535814403</v>
      </c>
    </row>
    <row r="868" spans="1:9">
      <c r="A868" s="2">
        <v>44740</v>
      </c>
      <c r="B868">
        <v>325</v>
      </c>
      <c r="C868">
        <v>229.0748638403598</v>
      </c>
      <c r="D868">
        <v>123.5848341839388</v>
      </c>
      <c r="E868">
        <v>341.98008871423758</v>
      </c>
      <c r="F868">
        <v>95.925136159640175</v>
      </c>
      <c r="G868">
        <v>95.925136159640175</v>
      </c>
      <c r="H868">
        <v>29.515426510658511</v>
      </c>
      <c r="I868">
        <v>29.515426510658511</v>
      </c>
    </row>
    <row r="869" spans="1:9">
      <c r="A869" s="2">
        <v>44743</v>
      </c>
      <c r="B869">
        <v>225</v>
      </c>
      <c r="C869">
        <v>228.191290387295</v>
      </c>
      <c r="D869">
        <v>121.166311137375</v>
      </c>
      <c r="E869">
        <v>340.1988023673469</v>
      </c>
      <c r="F869">
        <v>-3.1912903872950271</v>
      </c>
      <c r="G869">
        <v>3.1912903872950271</v>
      </c>
      <c r="H869">
        <v>-1.418351283242234</v>
      </c>
      <c r="I869">
        <v>1.418351283242234</v>
      </c>
    </row>
    <row r="870" spans="1:9">
      <c r="A870" s="2">
        <v>44744</v>
      </c>
      <c r="B870">
        <v>375</v>
      </c>
      <c r="C870">
        <v>235.33368854829041</v>
      </c>
      <c r="D870">
        <v>128.2699693212233</v>
      </c>
      <c r="E870">
        <v>342.65880963754051</v>
      </c>
      <c r="F870">
        <v>139.66631145170959</v>
      </c>
      <c r="G870">
        <v>139.66631145170959</v>
      </c>
      <c r="H870">
        <v>37.244349720455908</v>
      </c>
      <c r="I870">
        <v>37.244349720455908</v>
      </c>
    </row>
    <row r="871" spans="1:9">
      <c r="A871" s="2">
        <v>44746</v>
      </c>
      <c r="B871">
        <v>534</v>
      </c>
      <c r="C871">
        <v>246.2521786012436</v>
      </c>
      <c r="D871">
        <v>137.21286351238521</v>
      </c>
      <c r="E871">
        <v>359.90996511750558</v>
      </c>
      <c r="F871">
        <v>287.7478213987564</v>
      </c>
      <c r="G871">
        <v>287.7478213987564</v>
      </c>
      <c r="H871">
        <v>53.8853598125012</v>
      </c>
      <c r="I871">
        <v>53.8853598125012</v>
      </c>
    </row>
    <row r="872" spans="1:9">
      <c r="A872" s="2">
        <v>44747</v>
      </c>
      <c r="B872">
        <v>393</v>
      </c>
      <c r="C872">
        <v>229.9625703153981</v>
      </c>
      <c r="D872">
        <v>118.71954457874629</v>
      </c>
      <c r="E872">
        <v>338.35975041495811</v>
      </c>
      <c r="F872">
        <v>163.0374296846019</v>
      </c>
      <c r="G872">
        <v>163.0374296846019</v>
      </c>
      <c r="H872">
        <v>41.48535106478419</v>
      </c>
      <c r="I872">
        <v>41.48535106478419</v>
      </c>
    </row>
    <row r="873" spans="1:9">
      <c r="A873" s="2">
        <v>44748</v>
      </c>
      <c r="B873">
        <v>358</v>
      </c>
      <c r="C873">
        <v>241.91323456252209</v>
      </c>
      <c r="D873">
        <v>134.8311442463602</v>
      </c>
      <c r="E873">
        <v>347.83996781283258</v>
      </c>
      <c r="F873">
        <v>116.08676543747789</v>
      </c>
      <c r="G873">
        <v>116.08676543747789</v>
      </c>
      <c r="H873">
        <v>32.426470792591587</v>
      </c>
      <c r="I873">
        <v>32.426470792591587</v>
      </c>
    </row>
    <row r="874" spans="1:9">
      <c r="A874" s="2">
        <v>44749</v>
      </c>
      <c r="B874">
        <v>343</v>
      </c>
      <c r="C874">
        <v>236.8338721774393</v>
      </c>
      <c r="D874">
        <v>140.4788145289115</v>
      </c>
      <c r="E874">
        <v>343.21788820692569</v>
      </c>
      <c r="F874">
        <v>106.1661278225607</v>
      </c>
      <c r="G874">
        <v>106.1661278225607</v>
      </c>
      <c r="H874">
        <v>30.952223854973969</v>
      </c>
      <c r="I874">
        <v>30.952223854973969</v>
      </c>
    </row>
    <row r="875" spans="1:9">
      <c r="A875" s="2">
        <v>44750</v>
      </c>
      <c r="B875">
        <v>14</v>
      </c>
      <c r="C875">
        <v>227.61782515340539</v>
      </c>
      <c r="D875">
        <v>116.67797243082521</v>
      </c>
      <c r="E875">
        <v>330.10189304798968</v>
      </c>
      <c r="F875">
        <v>-213.61782515340539</v>
      </c>
      <c r="G875">
        <v>213.61782515340539</v>
      </c>
      <c r="H875">
        <v>-1525.84160823861</v>
      </c>
      <c r="I875">
        <v>1525.84160823861</v>
      </c>
    </row>
    <row r="876" spans="1:9">
      <c r="A876" s="2">
        <v>44751</v>
      </c>
      <c r="B876">
        <v>202</v>
      </c>
      <c r="C876">
        <v>234.38145722461309</v>
      </c>
      <c r="D876">
        <v>127.6659835067816</v>
      </c>
      <c r="E876">
        <v>339.82481794994197</v>
      </c>
      <c r="F876">
        <v>-32.381457224613087</v>
      </c>
      <c r="G876">
        <v>32.381457224613087</v>
      </c>
      <c r="H876">
        <v>-16.030424368620341</v>
      </c>
      <c r="I876">
        <v>16.030424368620341</v>
      </c>
    </row>
    <row r="877" spans="1:9">
      <c r="A877" s="2">
        <v>44752</v>
      </c>
      <c r="B877">
        <v>183</v>
      </c>
      <c r="C877">
        <v>145.28209173170609</v>
      </c>
      <c r="D877">
        <v>39.71059639044276</v>
      </c>
      <c r="E877">
        <v>259.19537352383742</v>
      </c>
      <c r="F877">
        <v>37.717908268293939</v>
      </c>
      <c r="G877">
        <v>37.717908268293939</v>
      </c>
      <c r="H877">
        <v>20.610878835133299</v>
      </c>
      <c r="I877">
        <v>20.610878835133299</v>
      </c>
    </row>
    <row r="878" spans="1:9">
      <c r="A878" s="2">
        <v>44753</v>
      </c>
      <c r="B878">
        <v>161</v>
      </c>
      <c r="C878">
        <v>244.67680695651481</v>
      </c>
      <c r="D878">
        <v>142.41315189659329</v>
      </c>
      <c r="E878">
        <v>359.79602788918351</v>
      </c>
      <c r="F878">
        <v>-83.67680695651481</v>
      </c>
      <c r="G878">
        <v>83.67680695651481</v>
      </c>
      <c r="H878">
        <v>-51.973172022679996</v>
      </c>
      <c r="I878">
        <v>51.973172022679996</v>
      </c>
    </row>
    <row r="879" spans="1:9">
      <c r="A879" s="2">
        <v>44754</v>
      </c>
      <c r="B879">
        <v>229</v>
      </c>
      <c r="C879">
        <v>228.12769036819481</v>
      </c>
      <c r="D879">
        <v>112.3611049154327</v>
      </c>
      <c r="E879">
        <v>341.06339731026151</v>
      </c>
      <c r="F879">
        <v>0.87230963180522281</v>
      </c>
      <c r="G879">
        <v>0.87230963180522281</v>
      </c>
      <c r="H879">
        <v>0.38092123659616722</v>
      </c>
      <c r="I879">
        <v>0.38092123659616722</v>
      </c>
    </row>
    <row r="880" spans="1:9">
      <c r="A880" s="2">
        <v>44755</v>
      </c>
      <c r="B880">
        <v>258</v>
      </c>
      <c r="C880">
        <v>239.84155617281539</v>
      </c>
      <c r="D880">
        <v>127.0829627149964</v>
      </c>
      <c r="E880">
        <v>349.83106038126459</v>
      </c>
      <c r="F880">
        <v>18.158443827184559</v>
      </c>
      <c r="G880">
        <v>18.158443827184559</v>
      </c>
      <c r="H880">
        <v>7.0381565221645568</v>
      </c>
      <c r="I880">
        <v>7.0381565221645568</v>
      </c>
    </row>
    <row r="881" spans="1:9">
      <c r="A881" s="2">
        <v>44756</v>
      </c>
      <c r="B881">
        <v>282</v>
      </c>
      <c r="C881">
        <v>234.5382339106194</v>
      </c>
      <c r="D881">
        <v>129.77429081084841</v>
      </c>
      <c r="E881">
        <v>345.5315360284178</v>
      </c>
      <c r="F881">
        <v>47.461766089380603</v>
      </c>
      <c r="G881">
        <v>47.461766089380603</v>
      </c>
      <c r="H881">
        <v>16.830413506872549</v>
      </c>
      <c r="I881">
        <v>16.830413506872549</v>
      </c>
    </row>
    <row r="882" spans="1:9">
      <c r="A882" s="2">
        <v>44757</v>
      </c>
      <c r="B882">
        <v>253</v>
      </c>
      <c r="C882">
        <v>225.10097130684079</v>
      </c>
      <c r="D882">
        <v>110.75937145200049</v>
      </c>
      <c r="E882">
        <v>341.45654620497822</v>
      </c>
      <c r="F882">
        <v>27.89902869315921</v>
      </c>
      <c r="G882">
        <v>27.89902869315921</v>
      </c>
      <c r="H882">
        <v>11.027284068442381</v>
      </c>
      <c r="I882">
        <v>11.027284068442381</v>
      </c>
    </row>
    <row r="883" spans="1:9">
      <c r="A883" s="2">
        <v>44758</v>
      </c>
      <c r="B883">
        <v>266</v>
      </c>
      <c r="C883">
        <v>231.6362178843539</v>
      </c>
      <c r="D883">
        <v>117.28736664143111</v>
      </c>
      <c r="E883">
        <v>346.18286112837347</v>
      </c>
      <c r="F883">
        <v>34.363782115646067</v>
      </c>
      <c r="G883">
        <v>34.363782115646067</v>
      </c>
      <c r="H883">
        <v>12.91871508106995</v>
      </c>
      <c r="I883">
        <v>12.91871508106995</v>
      </c>
    </row>
    <row r="884" spans="1:9">
      <c r="A884" s="2">
        <v>44759</v>
      </c>
      <c r="B884">
        <v>30</v>
      </c>
      <c r="C884">
        <v>142.29195749390431</v>
      </c>
      <c r="D884">
        <v>32.154750912173057</v>
      </c>
      <c r="E884">
        <v>253.40524445765541</v>
      </c>
      <c r="F884">
        <v>-112.29195749390431</v>
      </c>
      <c r="G884">
        <v>112.29195749390431</v>
      </c>
      <c r="H884">
        <v>-374.306524979681</v>
      </c>
      <c r="I884">
        <v>374.306524979681</v>
      </c>
    </row>
    <row r="885" spans="1:9">
      <c r="A885" s="2">
        <v>44760</v>
      </c>
      <c r="B885">
        <v>258</v>
      </c>
      <c r="C885">
        <v>241.41687773130619</v>
      </c>
      <c r="D885">
        <v>124.17004185532249</v>
      </c>
      <c r="E885">
        <v>354.86291075246652</v>
      </c>
      <c r="F885">
        <v>16.58312226869381</v>
      </c>
      <c r="G885">
        <v>16.58312226869381</v>
      </c>
      <c r="H885">
        <v>6.4275667708115556</v>
      </c>
      <c r="I885">
        <v>6.4275667708115556</v>
      </c>
    </row>
    <row r="886" spans="1:9">
      <c r="A886" s="2">
        <v>44761</v>
      </c>
      <c r="B886">
        <v>293</v>
      </c>
      <c r="C886">
        <v>224.56596612492621</v>
      </c>
      <c r="D886">
        <v>118.1911835107426</v>
      </c>
      <c r="E886">
        <v>327.14459201855192</v>
      </c>
      <c r="F886">
        <v>68.434033875073823</v>
      </c>
      <c r="G886">
        <v>68.434033875073823</v>
      </c>
      <c r="H886">
        <v>23.356325554632701</v>
      </c>
      <c r="I886">
        <v>23.356325554632701</v>
      </c>
    </row>
    <row r="887" spans="1:9">
      <c r="A887" s="2">
        <v>44762</v>
      </c>
      <c r="B887">
        <v>377</v>
      </c>
      <c r="C887">
        <v>235.9405269653877</v>
      </c>
      <c r="D887">
        <v>123.7946104284984</v>
      </c>
      <c r="E887">
        <v>345.8597323151933</v>
      </c>
      <c r="F887">
        <v>141.0594730346123</v>
      </c>
      <c r="G887">
        <v>141.0594730346123</v>
      </c>
      <c r="H887">
        <v>37.416305844724739</v>
      </c>
      <c r="I887">
        <v>37.416305844724739</v>
      </c>
    </row>
    <row r="888" spans="1:9">
      <c r="A888" s="2">
        <v>44763</v>
      </c>
      <c r="B888">
        <v>196</v>
      </c>
      <c r="C888">
        <v>230.2567173091912</v>
      </c>
      <c r="D888">
        <v>122.8704619761956</v>
      </c>
      <c r="E888">
        <v>346.26071337703178</v>
      </c>
      <c r="F888">
        <v>-34.256717309191167</v>
      </c>
      <c r="G888">
        <v>34.256717309191167</v>
      </c>
      <c r="H888">
        <v>-17.477916994485291</v>
      </c>
      <c r="I888">
        <v>17.477916994485291</v>
      </c>
    </row>
    <row r="889" spans="1:9">
      <c r="A889" s="2">
        <v>44764</v>
      </c>
      <c r="B889">
        <v>192</v>
      </c>
      <c r="C889">
        <v>220.39613774978599</v>
      </c>
      <c r="D889">
        <v>102.74004665810349</v>
      </c>
      <c r="E889">
        <v>327.61664664137692</v>
      </c>
      <c r="F889">
        <v>-28.396137749786021</v>
      </c>
      <c r="G889">
        <v>28.396137749786021</v>
      </c>
      <c r="H889">
        <v>-14.789655078013549</v>
      </c>
      <c r="I889">
        <v>14.789655078013549</v>
      </c>
    </row>
    <row r="890" spans="1:9">
      <c r="A890" s="2">
        <v>44765</v>
      </c>
      <c r="B890">
        <v>185</v>
      </c>
      <c r="C890">
        <v>226.4657386338759</v>
      </c>
      <c r="D890">
        <v>120.56137401893039</v>
      </c>
      <c r="E890">
        <v>331.16929513150228</v>
      </c>
      <c r="F890">
        <v>-41.46573863387593</v>
      </c>
      <c r="G890">
        <v>41.46573863387593</v>
      </c>
      <c r="H890">
        <v>-22.41391277506807</v>
      </c>
      <c r="I890">
        <v>22.41391277506807</v>
      </c>
    </row>
    <row r="891" spans="1:9">
      <c r="A891" s="2">
        <v>44766</v>
      </c>
      <c r="B891">
        <v>27</v>
      </c>
      <c r="C891">
        <v>136.61620603008501</v>
      </c>
      <c r="D891">
        <v>27.33981202576377</v>
      </c>
      <c r="E891">
        <v>248.1212873441562</v>
      </c>
      <c r="F891">
        <v>-109.616206030085</v>
      </c>
      <c r="G891">
        <v>109.616206030085</v>
      </c>
      <c r="H891">
        <v>-405.98594825957389</v>
      </c>
      <c r="I891">
        <v>405.98594825957389</v>
      </c>
    </row>
    <row r="892" spans="1:9">
      <c r="A892" s="2">
        <v>44767</v>
      </c>
      <c r="B892">
        <v>222</v>
      </c>
      <c r="C892">
        <v>235.20111361181009</v>
      </c>
      <c r="D892">
        <v>135.4843710168102</v>
      </c>
      <c r="E892">
        <v>350.90594054106748</v>
      </c>
      <c r="F892">
        <v>-13.20111361181011</v>
      </c>
      <c r="G892">
        <v>13.20111361181011</v>
      </c>
      <c r="H892">
        <v>-5.9464475728874397</v>
      </c>
      <c r="I892">
        <v>5.9464475728874397</v>
      </c>
    </row>
    <row r="893" spans="1:9">
      <c r="A893" s="2">
        <v>44768</v>
      </c>
      <c r="B893">
        <v>217</v>
      </c>
      <c r="C893">
        <v>217.78243065513971</v>
      </c>
      <c r="D893">
        <v>106.5372463668035</v>
      </c>
      <c r="E893">
        <v>324.66675163228479</v>
      </c>
      <c r="F893">
        <v>-0.78243065513967736</v>
      </c>
      <c r="G893">
        <v>0.78243065513967736</v>
      </c>
      <c r="H893">
        <v>-0.36056712218418308</v>
      </c>
      <c r="I893">
        <v>0.36056712218418308</v>
      </c>
    </row>
    <row r="894" spans="1:9">
      <c r="A894" s="2">
        <v>44769</v>
      </c>
      <c r="B894">
        <v>204</v>
      </c>
      <c r="C894">
        <v>228.57038241398041</v>
      </c>
      <c r="D894">
        <v>120.4900059872059</v>
      </c>
      <c r="E894">
        <v>344.33916698177012</v>
      </c>
      <c r="F894">
        <v>-24.570382413980351</v>
      </c>
      <c r="G894">
        <v>24.570382413980351</v>
      </c>
      <c r="H894">
        <v>-12.044305104892331</v>
      </c>
      <c r="I894">
        <v>12.044305104892331</v>
      </c>
    </row>
    <row r="895" spans="1:9">
      <c r="A895" s="2">
        <v>44770</v>
      </c>
      <c r="B895">
        <v>191</v>
      </c>
      <c r="C895">
        <v>222.29176581414021</v>
      </c>
      <c r="D895">
        <v>114.6075526471043</v>
      </c>
      <c r="E895">
        <v>332.725576278576</v>
      </c>
      <c r="F895">
        <v>-31.291765814140209</v>
      </c>
      <c r="G895">
        <v>31.291765814140209</v>
      </c>
      <c r="H895">
        <v>-16.383123462900631</v>
      </c>
      <c r="I895">
        <v>16.383123462900631</v>
      </c>
    </row>
    <row r="896" spans="1:9">
      <c r="A896" s="2">
        <v>44771</v>
      </c>
      <c r="B896">
        <v>176</v>
      </c>
      <c r="C896">
        <v>211.8402623357305</v>
      </c>
      <c r="D896">
        <v>100.2433422901459</v>
      </c>
      <c r="E896">
        <v>329.34623524343948</v>
      </c>
      <c r="F896">
        <v>-35.8402623357305</v>
      </c>
      <c r="G896">
        <v>35.8402623357305</v>
      </c>
      <c r="H896">
        <v>-20.363785418028691</v>
      </c>
      <c r="I896">
        <v>20.363785418028691</v>
      </c>
    </row>
    <row r="897" spans="1:9">
      <c r="A897" s="2">
        <v>44772</v>
      </c>
      <c r="B897">
        <v>176</v>
      </c>
      <c r="C897">
        <v>217.33601672123649</v>
      </c>
      <c r="D897">
        <v>103.2326543669942</v>
      </c>
      <c r="E897">
        <v>330.67375337735513</v>
      </c>
      <c r="F897">
        <v>-41.33601672123649</v>
      </c>
      <c r="G897">
        <v>41.33601672123649</v>
      </c>
      <c r="H897">
        <v>-23.486373137066192</v>
      </c>
      <c r="I897">
        <v>23.486373137066192</v>
      </c>
    </row>
    <row r="898" spans="1:9">
      <c r="A898" s="2">
        <v>44773</v>
      </c>
      <c r="B898">
        <v>26</v>
      </c>
      <c r="C898">
        <v>126.9436552341508</v>
      </c>
      <c r="D898">
        <v>20.679302677485939</v>
      </c>
      <c r="E898">
        <v>233.70229201399621</v>
      </c>
      <c r="F898">
        <v>-100.9436552341508</v>
      </c>
      <c r="G898">
        <v>100.9436552341508</v>
      </c>
      <c r="H898">
        <v>-388.24482782365692</v>
      </c>
      <c r="I898">
        <v>388.24482782365692</v>
      </c>
    </row>
    <row r="899" spans="1:9">
      <c r="A899" s="2">
        <v>44774</v>
      </c>
      <c r="B899">
        <v>167</v>
      </c>
      <c r="C899">
        <v>225.0310402004678</v>
      </c>
      <c r="D899">
        <v>113.3823418310203</v>
      </c>
      <c r="E899">
        <v>335.08300062492538</v>
      </c>
      <c r="F899">
        <v>-58.0310402004678</v>
      </c>
      <c r="G899">
        <v>58.0310402004678</v>
      </c>
      <c r="H899">
        <v>-34.749125868543587</v>
      </c>
      <c r="I899">
        <v>34.749125868543587</v>
      </c>
    </row>
    <row r="900" spans="1:9">
      <c r="A900" s="2">
        <v>44775</v>
      </c>
      <c r="B900">
        <v>327</v>
      </c>
      <c r="C900">
        <v>207.17436248726929</v>
      </c>
      <c r="D900">
        <v>100.49623849334949</v>
      </c>
      <c r="E900">
        <v>322.39036662028451</v>
      </c>
      <c r="F900">
        <v>119.82563751273069</v>
      </c>
      <c r="G900">
        <v>119.82563751273069</v>
      </c>
      <c r="H900">
        <v>36.643925844871781</v>
      </c>
      <c r="I900">
        <v>36.643925844871781</v>
      </c>
    </row>
    <row r="901" spans="1:9">
      <c r="A901" s="2">
        <v>44776</v>
      </c>
      <c r="B901">
        <v>231</v>
      </c>
      <c r="C901">
        <v>217.59758015543539</v>
      </c>
      <c r="D901">
        <v>108.5089989598339</v>
      </c>
      <c r="E901">
        <v>333.52272225341801</v>
      </c>
      <c r="F901">
        <v>13.40241984456458</v>
      </c>
      <c r="G901">
        <v>13.40241984456458</v>
      </c>
      <c r="H901">
        <v>5.8019133526253572</v>
      </c>
      <c r="I901">
        <v>5.8019133526253572</v>
      </c>
    </row>
    <row r="902" spans="1:9">
      <c r="A902" s="2">
        <v>44777</v>
      </c>
      <c r="B902">
        <v>315</v>
      </c>
      <c r="C902">
        <v>211.04031839372291</v>
      </c>
      <c r="D902">
        <v>102.3536031737455</v>
      </c>
      <c r="E902">
        <v>328.71942795854102</v>
      </c>
      <c r="F902">
        <v>103.9596816062771</v>
      </c>
      <c r="G902">
        <v>103.9596816062771</v>
      </c>
      <c r="H902">
        <v>33.003073525802243</v>
      </c>
      <c r="I902">
        <v>33.003073525802243</v>
      </c>
    </row>
    <row r="903" spans="1:9">
      <c r="A903" s="2">
        <v>44778</v>
      </c>
      <c r="B903">
        <v>58</v>
      </c>
      <c r="C903">
        <v>200.407784615331</v>
      </c>
      <c r="D903">
        <v>88.272110498083421</v>
      </c>
      <c r="E903">
        <v>315.56149154667082</v>
      </c>
      <c r="F903">
        <v>-142.407784615331</v>
      </c>
      <c r="G903">
        <v>142.407784615331</v>
      </c>
      <c r="H903">
        <v>-245.53066312988099</v>
      </c>
      <c r="I903">
        <v>245.53066312988099</v>
      </c>
    </row>
    <row r="904" spans="1:9">
      <c r="A904" s="2">
        <v>44779</v>
      </c>
      <c r="B904">
        <v>340</v>
      </c>
      <c r="C904">
        <v>205.8299788683901</v>
      </c>
      <c r="D904">
        <v>99.60059936870374</v>
      </c>
      <c r="E904">
        <v>318.79716551282178</v>
      </c>
      <c r="F904">
        <v>134.1700211316099</v>
      </c>
      <c r="G904">
        <v>134.1700211316099</v>
      </c>
      <c r="H904">
        <v>39.461770921061728</v>
      </c>
      <c r="I904">
        <v>39.461770921061728</v>
      </c>
    </row>
    <row r="905" spans="1:9">
      <c r="A905" s="2">
        <v>44780</v>
      </c>
      <c r="B905">
        <v>401</v>
      </c>
      <c r="C905">
        <v>115.4793839605144</v>
      </c>
      <c r="D905">
        <v>6.7712080073473766</v>
      </c>
      <c r="E905">
        <v>221.94865686199131</v>
      </c>
      <c r="F905">
        <v>285.52061603948562</v>
      </c>
      <c r="G905">
        <v>285.52061603948562</v>
      </c>
      <c r="H905">
        <v>71.202148638275716</v>
      </c>
      <c r="I905">
        <v>71.202148638275716</v>
      </c>
    </row>
    <row r="906" spans="1:9">
      <c r="A906" s="2">
        <v>44781</v>
      </c>
      <c r="B906">
        <v>57</v>
      </c>
      <c r="C906">
        <v>213.7294416195912</v>
      </c>
      <c r="D906">
        <v>105.1267592219493</v>
      </c>
      <c r="E906">
        <v>326.04993452567538</v>
      </c>
      <c r="F906">
        <v>-156.7294416195912</v>
      </c>
      <c r="G906">
        <v>156.7294416195912</v>
      </c>
      <c r="H906">
        <v>-274.96393266594941</v>
      </c>
      <c r="I906">
        <v>274.96393266594941</v>
      </c>
    </row>
    <row r="907" spans="1:9">
      <c r="A907" s="2">
        <v>44782</v>
      </c>
      <c r="B907">
        <v>193</v>
      </c>
      <c r="C907">
        <v>196.15942450639889</v>
      </c>
      <c r="D907">
        <v>80.729147275445428</v>
      </c>
      <c r="E907">
        <v>304.43707296565071</v>
      </c>
      <c r="F907">
        <v>-3.1594245063988922</v>
      </c>
      <c r="G907">
        <v>3.1594245063988922</v>
      </c>
      <c r="H907">
        <v>-1.637007516268856</v>
      </c>
      <c r="I907">
        <v>1.637007516268856</v>
      </c>
    </row>
    <row r="908" spans="1:9">
      <c r="A908" s="2">
        <v>44783</v>
      </c>
      <c r="B908">
        <v>14</v>
      </c>
      <c r="C908">
        <v>206.99371890185529</v>
      </c>
      <c r="D908">
        <v>98.409057060135709</v>
      </c>
      <c r="E908">
        <v>320.81419883699988</v>
      </c>
      <c r="F908">
        <v>-192.99371890185529</v>
      </c>
      <c r="G908">
        <v>192.99371890185529</v>
      </c>
      <c r="H908">
        <v>-1378.5265635846811</v>
      </c>
      <c r="I908">
        <v>1378.5265635846811</v>
      </c>
    </row>
    <row r="909" spans="1:9">
      <c r="A909" s="2">
        <v>44784</v>
      </c>
      <c r="B909">
        <v>149</v>
      </c>
      <c r="C909">
        <v>200.96963795019391</v>
      </c>
      <c r="D909">
        <v>85.423048696836346</v>
      </c>
      <c r="E909">
        <v>314.89122006810152</v>
      </c>
      <c r="F909">
        <v>-51.969637950193942</v>
      </c>
      <c r="G909">
        <v>51.969637950193942</v>
      </c>
      <c r="H909">
        <v>-34.878951644425463</v>
      </c>
      <c r="I909">
        <v>34.878951644425463</v>
      </c>
    </row>
    <row r="910" spans="1:9">
      <c r="A910" s="2">
        <v>44785</v>
      </c>
      <c r="B910">
        <v>254</v>
      </c>
      <c r="C910">
        <v>190.9873222178405</v>
      </c>
      <c r="D910">
        <v>81.745604887840742</v>
      </c>
      <c r="E910">
        <v>302.75016519413742</v>
      </c>
      <c r="F910">
        <v>63.012677782159528</v>
      </c>
      <c r="G910">
        <v>63.012677782159528</v>
      </c>
      <c r="H910">
        <v>24.80814085911792</v>
      </c>
      <c r="I910">
        <v>24.80814085911792</v>
      </c>
    </row>
    <row r="911" spans="1:9">
      <c r="A911" s="2">
        <v>44786</v>
      </c>
      <c r="B911">
        <v>203</v>
      </c>
      <c r="C911">
        <v>197.1690085941008</v>
      </c>
      <c r="D911">
        <v>92.588921182081918</v>
      </c>
      <c r="E911">
        <v>308.26128437944328</v>
      </c>
      <c r="F911">
        <v>5.8309914058991694</v>
      </c>
      <c r="G911">
        <v>5.8309914058991694</v>
      </c>
      <c r="H911">
        <v>2.8724095595562411</v>
      </c>
      <c r="I911">
        <v>2.8724095595562411</v>
      </c>
    </row>
    <row r="912" spans="1:9">
      <c r="A912" s="2">
        <v>44787</v>
      </c>
      <c r="B912">
        <v>33</v>
      </c>
      <c r="C912">
        <v>107.6768508264492</v>
      </c>
      <c r="D912">
        <v>-0.22952147198688019</v>
      </c>
      <c r="E912">
        <v>219.35563154879091</v>
      </c>
      <c r="F912">
        <v>-74.676850826449169</v>
      </c>
      <c r="G912">
        <v>74.676850826449169</v>
      </c>
      <c r="H912">
        <v>-226.2934873528763</v>
      </c>
      <c r="I912">
        <v>226.2934873528763</v>
      </c>
    </row>
    <row r="913" spans="1:9">
      <c r="A913" s="2">
        <v>44788</v>
      </c>
      <c r="B913">
        <v>220</v>
      </c>
      <c r="C913">
        <v>206.8715949209674</v>
      </c>
      <c r="D913">
        <v>87.453475059648952</v>
      </c>
      <c r="E913">
        <v>316.72348906484632</v>
      </c>
      <c r="F913">
        <v>13.1284050790326</v>
      </c>
      <c r="G913">
        <v>13.1284050790326</v>
      </c>
      <c r="H913">
        <v>5.9674568541057287</v>
      </c>
      <c r="I913">
        <v>5.9674568541057287</v>
      </c>
    </row>
    <row r="914" spans="1:9">
      <c r="A914" s="2">
        <v>44789</v>
      </c>
      <c r="B914">
        <v>185</v>
      </c>
      <c r="C914">
        <v>190.31771428638871</v>
      </c>
      <c r="D914">
        <v>88.349712074532434</v>
      </c>
      <c r="E914">
        <v>305.83267693671019</v>
      </c>
      <c r="F914">
        <v>-5.3177142863887346</v>
      </c>
      <c r="G914">
        <v>5.3177142863887346</v>
      </c>
      <c r="H914">
        <v>-2.8744401548047218</v>
      </c>
      <c r="I914">
        <v>2.8744401548047218</v>
      </c>
    </row>
    <row r="915" spans="1:9">
      <c r="A915" s="2">
        <v>44790</v>
      </c>
      <c r="B915">
        <v>203</v>
      </c>
      <c r="C915">
        <v>202.2230127653965</v>
      </c>
      <c r="D915">
        <v>96.643412763278192</v>
      </c>
      <c r="E915">
        <v>312.22759861070409</v>
      </c>
      <c r="F915">
        <v>0.77698723460352426</v>
      </c>
      <c r="G915">
        <v>0.77698723460352426</v>
      </c>
      <c r="H915">
        <v>0.38275233231700712</v>
      </c>
      <c r="I915">
        <v>0.38275233231700712</v>
      </c>
    </row>
    <row r="916" spans="1:9">
      <c r="A916" s="2">
        <v>44791</v>
      </c>
      <c r="B916">
        <v>218</v>
      </c>
      <c r="C916">
        <v>197.30680724135769</v>
      </c>
      <c r="D916">
        <v>84.605900071993503</v>
      </c>
      <c r="E916">
        <v>313.03634725458039</v>
      </c>
      <c r="F916">
        <v>20.693192758642251</v>
      </c>
      <c r="G916">
        <v>20.693192758642251</v>
      </c>
      <c r="H916">
        <v>9.492290256257915</v>
      </c>
      <c r="I916">
        <v>9.492290256257915</v>
      </c>
    </row>
    <row r="917" spans="1:9">
      <c r="A917" s="2">
        <v>44792</v>
      </c>
      <c r="B917">
        <v>204</v>
      </c>
      <c r="C917">
        <v>188.45023706679009</v>
      </c>
      <c r="D917">
        <v>65.708481091073153</v>
      </c>
      <c r="E917">
        <v>294.60798904970801</v>
      </c>
      <c r="F917">
        <v>15.54976293320993</v>
      </c>
      <c r="G917">
        <v>15.54976293320993</v>
      </c>
      <c r="H917">
        <v>7.6224328103970258</v>
      </c>
      <c r="I917">
        <v>7.6224328103970258</v>
      </c>
    </row>
    <row r="918" spans="1:9">
      <c r="A918" s="2">
        <v>44793</v>
      </c>
      <c r="B918">
        <v>242</v>
      </c>
      <c r="C918">
        <v>195.75597081418391</v>
      </c>
      <c r="D918">
        <v>80.070267620769499</v>
      </c>
      <c r="E918">
        <v>308.74767647121661</v>
      </c>
      <c r="F918">
        <v>46.244029185816089</v>
      </c>
      <c r="G918">
        <v>46.244029185816089</v>
      </c>
      <c r="H918">
        <v>19.109102969345489</v>
      </c>
      <c r="I918">
        <v>19.109102969345489</v>
      </c>
    </row>
    <row r="919" spans="1:9">
      <c r="A919" s="2">
        <v>44794</v>
      </c>
      <c r="B919">
        <v>29</v>
      </c>
      <c r="C919">
        <v>107.3664823550393</v>
      </c>
      <c r="D919">
        <v>-1.0686229692192839</v>
      </c>
      <c r="E919">
        <v>211.14277167105871</v>
      </c>
      <c r="F919">
        <v>-78.366482355039309</v>
      </c>
      <c r="G919">
        <v>78.366482355039309</v>
      </c>
      <c r="H919">
        <v>-270.22924950013561</v>
      </c>
      <c r="I919">
        <v>270.22924950013561</v>
      </c>
    </row>
    <row r="920" spans="1:9">
      <c r="A920" s="2">
        <v>44795</v>
      </c>
      <c r="B920">
        <v>171</v>
      </c>
      <c r="C920">
        <v>207.6231877847404</v>
      </c>
      <c r="D920">
        <v>95.138161225978166</v>
      </c>
      <c r="E920">
        <v>313.57048818738588</v>
      </c>
      <c r="F920">
        <v>-36.623187784740423</v>
      </c>
      <c r="G920">
        <v>36.623187784740423</v>
      </c>
      <c r="H920">
        <v>-21.417068879965161</v>
      </c>
      <c r="I920">
        <v>21.417068879965161</v>
      </c>
    </row>
    <row r="921" spans="1:9">
      <c r="A921" s="2">
        <v>44796</v>
      </c>
      <c r="B921">
        <v>190</v>
      </c>
      <c r="C921">
        <v>192.07203624268999</v>
      </c>
      <c r="D921">
        <v>84.140998601342432</v>
      </c>
      <c r="E921">
        <v>299.84060725320649</v>
      </c>
      <c r="F921">
        <v>-2.072036242690046</v>
      </c>
      <c r="G921">
        <v>2.072036242690046</v>
      </c>
      <c r="H921">
        <v>-1.090545390889498</v>
      </c>
      <c r="I921">
        <v>1.090545390889498</v>
      </c>
    </row>
    <row r="922" spans="1:9">
      <c r="A922" s="2">
        <v>44797</v>
      </c>
      <c r="B922">
        <v>221</v>
      </c>
      <c r="C922">
        <v>204.90355113396589</v>
      </c>
      <c r="D922">
        <v>100.3176801269399</v>
      </c>
      <c r="E922">
        <v>309.96949124802438</v>
      </c>
      <c r="F922">
        <v>16.096448866034081</v>
      </c>
      <c r="G922">
        <v>16.096448866034081</v>
      </c>
      <c r="H922">
        <v>7.2834610253547876</v>
      </c>
      <c r="I922">
        <v>7.2834610253547876</v>
      </c>
    </row>
    <row r="923" spans="1:9">
      <c r="A923" s="2">
        <v>44798</v>
      </c>
      <c r="B923">
        <v>297</v>
      </c>
      <c r="C923">
        <v>200.82142232011441</v>
      </c>
      <c r="D923">
        <v>95.594567807928755</v>
      </c>
      <c r="E923">
        <v>304.87127854190021</v>
      </c>
      <c r="F923">
        <v>96.17857767988562</v>
      </c>
      <c r="G923">
        <v>96.17857767988562</v>
      </c>
      <c r="H923">
        <v>32.383359488176978</v>
      </c>
      <c r="I923">
        <v>32.383359488176978</v>
      </c>
    </row>
    <row r="924" spans="1:9">
      <c r="A924" s="2">
        <v>44799</v>
      </c>
      <c r="B924">
        <v>233</v>
      </c>
      <c r="C924">
        <v>192.693186198566</v>
      </c>
      <c r="D924">
        <v>80.279180122208359</v>
      </c>
      <c r="E924">
        <v>297.11070494315419</v>
      </c>
      <c r="F924">
        <v>40.306813801433982</v>
      </c>
      <c r="G924">
        <v>40.306813801433982</v>
      </c>
      <c r="H924">
        <v>17.299061717353641</v>
      </c>
      <c r="I924">
        <v>17.299061717353641</v>
      </c>
    </row>
    <row r="925" spans="1:9">
      <c r="A925" s="2">
        <v>44800</v>
      </c>
      <c r="B925">
        <v>198</v>
      </c>
      <c r="C925">
        <v>200.6102549049306</v>
      </c>
      <c r="D925">
        <v>86.571081157114634</v>
      </c>
      <c r="E925">
        <v>317.42546390645208</v>
      </c>
      <c r="F925">
        <v>-2.6102549049305992</v>
      </c>
      <c r="G925">
        <v>2.6102549049305992</v>
      </c>
      <c r="H925">
        <v>-1.318310558045757</v>
      </c>
      <c r="I925">
        <v>1.318310558045757</v>
      </c>
    </row>
    <row r="926" spans="1:9">
      <c r="A926" s="2">
        <v>44801</v>
      </c>
      <c r="B926">
        <v>15</v>
      </c>
      <c r="C926">
        <v>112.70645868650701</v>
      </c>
      <c r="D926">
        <v>1.0487961478787911</v>
      </c>
      <c r="E926">
        <v>225.99548484640979</v>
      </c>
      <c r="F926">
        <v>-97.706458686507034</v>
      </c>
      <c r="G926">
        <v>97.706458686507034</v>
      </c>
      <c r="H926">
        <v>-651.37639124338023</v>
      </c>
      <c r="I926">
        <v>651.37639124338023</v>
      </c>
    </row>
    <row r="927" spans="1:9">
      <c r="A927" s="2">
        <v>44802</v>
      </c>
      <c r="B927">
        <v>27</v>
      </c>
      <c r="C927">
        <v>213.31738648460791</v>
      </c>
      <c r="D927">
        <v>107.3730594254977</v>
      </c>
      <c r="E927">
        <v>325.30419288582908</v>
      </c>
      <c r="F927">
        <v>-186.31738648460791</v>
      </c>
      <c r="G927">
        <v>186.31738648460791</v>
      </c>
      <c r="H927">
        <v>-690.06439438743666</v>
      </c>
      <c r="I927">
        <v>690.06439438743666</v>
      </c>
    </row>
    <row r="928" spans="1:9">
      <c r="A928" s="2">
        <v>44803</v>
      </c>
      <c r="B928">
        <v>7</v>
      </c>
      <c r="C928">
        <v>197.98611295340339</v>
      </c>
      <c r="D928">
        <v>87.637695424831662</v>
      </c>
      <c r="E928">
        <v>309.43368788027482</v>
      </c>
      <c r="F928">
        <v>-190.98611295340339</v>
      </c>
      <c r="G928">
        <v>190.98611295340339</v>
      </c>
      <c r="H928">
        <v>-2728.3730421914779</v>
      </c>
      <c r="I928">
        <v>2728.3730421914779</v>
      </c>
    </row>
    <row r="929" spans="1:9">
      <c r="A929" s="2">
        <v>44804</v>
      </c>
      <c r="B929">
        <v>169</v>
      </c>
      <c r="C929">
        <v>210.9033053450369</v>
      </c>
      <c r="D929">
        <v>89.687573635074884</v>
      </c>
      <c r="E929">
        <v>318.47518070462502</v>
      </c>
      <c r="F929">
        <v>-41.90330534503687</v>
      </c>
      <c r="G929">
        <v>41.90330534503687</v>
      </c>
      <c r="H929">
        <v>-24.79485523374963</v>
      </c>
      <c r="I929">
        <v>24.79485523374963</v>
      </c>
    </row>
    <row r="930" spans="1:9">
      <c r="A930" s="2">
        <v>44805</v>
      </c>
      <c r="B930">
        <v>48</v>
      </c>
      <c r="C930">
        <v>206.77580956537969</v>
      </c>
      <c r="D930">
        <v>102.0967405187552</v>
      </c>
      <c r="E930">
        <v>313.27440301069271</v>
      </c>
      <c r="F930">
        <v>-158.77580956537969</v>
      </c>
      <c r="G930">
        <v>158.77580956537969</v>
      </c>
      <c r="H930">
        <v>-330.78293659454101</v>
      </c>
      <c r="I930">
        <v>330.78293659454101</v>
      </c>
    </row>
    <row r="931" spans="1:9">
      <c r="A931" s="2">
        <v>44806</v>
      </c>
      <c r="B931">
        <v>366</v>
      </c>
      <c r="C931">
        <v>198.47725287275529</v>
      </c>
      <c r="D931">
        <v>92.518953659864295</v>
      </c>
      <c r="E931">
        <v>301.37345528426619</v>
      </c>
      <c r="F931">
        <v>167.52274712724471</v>
      </c>
      <c r="G931">
        <v>167.52274712724471</v>
      </c>
      <c r="H931">
        <v>45.771242384493092</v>
      </c>
      <c r="I931">
        <v>45.771242384493092</v>
      </c>
    </row>
    <row r="932" spans="1:9">
      <c r="A932" s="2">
        <v>44808</v>
      </c>
      <c r="B932">
        <v>122</v>
      </c>
      <c r="C932">
        <v>117.8131183026555</v>
      </c>
      <c r="D932">
        <v>4.478032414771647</v>
      </c>
      <c r="E932">
        <v>232.19461448140379</v>
      </c>
      <c r="F932">
        <v>4.1868816973445462</v>
      </c>
      <c r="G932">
        <v>4.1868816973445462</v>
      </c>
      <c r="H932">
        <v>3.4318702437250379</v>
      </c>
      <c r="I932">
        <v>3.4318702437250379</v>
      </c>
    </row>
    <row r="933" spans="1:9">
      <c r="A933" s="2">
        <v>44809</v>
      </c>
      <c r="B933">
        <v>316</v>
      </c>
      <c r="C933">
        <v>217.9421799731017</v>
      </c>
      <c r="D933">
        <v>105.6947451144782</v>
      </c>
      <c r="E933">
        <v>318.06398882352272</v>
      </c>
      <c r="F933">
        <v>98.05782002689827</v>
      </c>
      <c r="G933">
        <v>98.05782002689827</v>
      </c>
      <c r="H933">
        <v>31.030955704714639</v>
      </c>
      <c r="I933">
        <v>31.030955704714639</v>
      </c>
    </row>
    <row r="934" spans="1:9">
      <c r="A934" s="2">
        <v>44810</v>
      </c>
      <c r="B934">
        <v>322</v>
      </c>
      <c r="C934">
        <v>202.05393418611669</v>
      </c>
      <c r="D934">
        <v>86.733583442941637</v>
      </c>
      <c r="E934">
        <v>315.46780842171228</v>
      </c>
      <c r="F934">
        <v>119.94606581388329</v>
      </c>
      <c r="G934">
        <v>119.94606581388329</v>
      </c>
      <c r="H934">
        <v>37.250330998100388</v>
      </c>
      <c r="I934">
        <v>37.250330998100388</v>
      </c>
    </row>
    <row r="935" spans="1:9">
      <c r="A935" s="2">
        <v>44811</v>
      </c>
      <c r="B935">
        <v>281</v>
      </c>
      <c r="C935">
        <v>214.35641313554001</v>
      </c>
      <c r="D935">
        <v>107.21318217077039</v>
      </c>
      <c r="E935">
        <v>328.74046184204849</v>
      </c>
      <c r="F935">
        <v>66.643586864459962</v>
      </c>
      <c r="G935">
        <v>66.643586864459962</v>
      </c>
      <c r="H935">
        <v>23.716578955323829</v>
      </c>
      <c r="I935">
        <v>23.716578955323829</v>
      </c>
    </row>
    <row r="936" spans="1:9">
      <c r="A936" s="2">
        <v>44813</v>
      </c>
      <c r="B936">
        <v>201</v>
      </c>
      <c r="C936">
        <v>200.60281963555761</v>
      </c>
      <c r="D936">
        <v>89.756241333007125</v>
      </c>
      <c r="E936">
        <v>305.82259030176772</v>
      </c>
      <c r="F936">
        <v>0.39718036444236299</v>
      </c>
      <c r="G936">
        <v>0.39718036444236299</v>
      </c>
      <c r="H936">
        <v>0.1976021713643597</v>
      </c>
      <c r="I936">
        <v>0.1976021713643597</v>
      </c>
    </row>
    <row r="937" spans="1:9">
      <c r="A937" s="2">
        <v>44814</v>
      </c>
      <c r="B937">
        <v>18</v>
      </c>
      <c r="C937">
        <v>207.5597496910905</v>
      </c>
      <c r="D937">
        <v>99.012098492345601</v>
      </c>
      <c r="E937">
        <v>313.80523787570343</v>
      </c>
      <c r="F937">
        <v>-189.5597496910905</v>
      </c>
      <c r="G937">
        <v>189.5597496910905</v>
      </c>
      <c r="H937">
        <v>-1053.109720506058</v>
      </c>
      <c r="I937">
        <v>1053.109720506058</v>
      </c>
    </row>
    <row r="938" spans="1:9">
      <c r="A938" s="2">
        <v>44815</v>
      </c>
      <c r="B938">
        <v>178</v>
      </c>
      <c r="C938">
        <v>118.6107356728874</v>
      </c>
      <c r="D938">
        <v>9.4305739763950793</v>
      </c>
      <c r="E938">
        <v>218.91205007247461</v>
      </c>
      <c r="F938">
        <v>59.389264327112571</v>
      </c>
      <c r="G938">
        <v>59.389264327112571</v>
      </c>
      <c r="H938">
        <v>33.364755239950881</v>
      </c>
      <c r="I938">
        <v>33.364755239950881</v>
      </c>
    </row>
    <row r="939" spans="1:9">
      <c r="A939" s="2">
        <v>44816</v>
      </c>
      <c r="B939">
        <v>584</v>
      </c>
      <c r="C939">
        <v>218.1242060467915</v>
      </c>
      <c r="D939">
        <v>96.829125554574645</v>
      </c>
      <c r="E939">
        <v>326.07962727359438</v>
      </c>
      <c r="F939">
        <v>365.87579395320847</v>
      </c>
      <c r="G939">
        <v>365.87579395320847</v>
      </c>
      <c r="H939">
        <v>62.649964718015148</v>
      </c>
      <c r="I939">
        <v>62.649964718015148</v>
      </c>
    </row>
    <row r="940" spans="1:9">
      <c r="A940" s="2">
        <v>44817</v>
      </c>
      <c r="B940">
        <v>225</v>
      </c>
      <c r="C940">
        <v>201.677095631486</v>
      </c>
      <c r="D940">
        <v>96.68644592402768</v>
      </c>
      <c r="E940">
        <v>316.48001495230432</v>
      </c>
      <c r="F940">
        <v>23.322904368513971</v>
      </c>
      <c r="G940">
        <v>23.322904368513971</v>
      </c>
      <c r="H940">
        <v>10.365735274895099</v>
      </c>
      <c r="I940">
        <v>10.365735274895099</v>
      </c>
    </row>
    <row r="941" spans="1:9">
      <c r="A941" s="2">
        <v>44818</v>
      </c>
      <c r="B941">
        <v>204</v>
      </c>
      <c r="C941">
        <v>213.49418739650329</v>
      </c>
      <c r="D941">
        <v>103.17656575310571</v>
      </c>
      <c r="E941">
        <v>323.41263757684879</v>
      </c>
      <c r="F941">
        <v>-9.4941873965032926</v>
      </c>
      <c r="G941">
        <v>9.4941873965032926</v>
      </c>
      <c r="H941">
        <v>-4.6540134296584768</v>
      </c>
      <c r="I941">
        <v>4.6540134296584768</v>
      </c>
    </row>
    <row r="942" spans="1:9">
      <c r="A942" s="2">
        <v>44819</v>
      </c>
      <c r="B942">
        <v>221</v>
      </c>
      <c r="C942">
        <v>208.3159327836895</v>
      </c>
      <c r="D942">
        <v>102.9888395913825</v>
      </c>
      <c r="E942">
        <v>320.83087672037209</v>
      </c>
      <c r="F942">
        <v>12.684067216310501</v>
      </c>
      <c r="G942">
        <v>12.684067216310501</v>
      </c>
      <c r="H942">
        <v>5.7393969304572376</v>
      </c>
      <c r="I942">
        <v>5.7393969304572376</v>
      </c>
    </row>
    <row r="943" spans="1:9">
      <c r="A943" s="2">
        <v>44820</v>
      </c>
      <c r="B943">
        <v>172</v>
      </c>
      <c r="C943">
        <v>199.04830557947301</v>
      </c>
      <c r="D943">
        <v>87.371955034534082</v>
      </c>
      <c r="E943">
        <v>307.275976860046</v>
      </c>
      <c r="F943">
        <v>-27.048305579473041</v>
      </c>
      <c r="G943">
        <v>27.048305579473041</v>
      </c>
      <c r="H943">
        <v>-15.725759057833161</v>
      </c>
      <c r="I943">
        <v>15.725759057833161</v>
      </c>
    </row>
    <row r="944" spans="1:9">
      <c r="A944" s="2">
        <v>44821</v>
      </c>
      <c r="B944">
        <v>161</v>
      </c>
      <c r="C944">
        <v>205.82196973384131</v>
      </c>
      <c r="D944">
        <v>94.42954913218945</v>
      </c>
      <c r="E944">
        <v>316.12447817326267</v>
      </c>
      <c r="F944">
        <v>-44.821969733841257</v>
      </c>
      <c r="G944">
        <v>44.821969733841257</v>
      </c>
      <c r="H944">
        <v>-27.839732753938669</v>
      </c>
      <c r="I944">
        <v>27.839732753938669</v>
      </c>
    </row>
    <row r="945" spans="1:9">
      <c r="A945" s="2">
        <v>44822</v>
      </c>
      <c r="B945">
        <v>17</v>
      </c>
      <c r="C945">
        <v>116.8099449280799</v>
      </c>
      <c r="D945">
        <v>8.7786621999163827</v>
      </c>
      <c r="E945">
        <v>231.82968511762229</v>
      </c>
      <c r="F945">
        <v>-99.809944928079886</v>
      </c>
      <c r="G945">
        <v>99.809944928079886</v>
      </c>
      <c r="H945">
        <v>-587.11732310635227</v>
      </c>
      <c r="I945">
        <v>587.11732310635227</v>
      </c>
    </row>
    <row r="946" spans="1:9">
      <c r="A946" s="2">
        <v>44823</v>
      </c>
      <c r="B946">
        <v>168</v>
      </c>
      <c r="C946">
        <v>216.38607479198589</v>
      </c>
      <c r="D946">
        <v>98.622710111095699</v>
      </c>
      <c r="E946">
        <v>325.48124371741261</v>
      </c>
      <c r="F946">
        <v>-48.386074791985948</v>
      </c>
      <c r="G946">
        <v>48.386074791985948</v>
      </c>
      <c r="H946">
        <v>-28.801234995229731</v>
      </c>
      <c r="I946">
        <v>28.801234995229731</v>
      </c>
    </row>
    <row r="947" spans="1:9">
      <c r="A947" s="2">
        <v>44824</v>
      </c>
      <c r="B947">
        <v>160</v>
      </c>
      <c r="C947">
        <v>200.12990547631591</v>
      </c>
      <c r="D947">
        <v>84.395351732708505</v>
      </c>
      <c r="E947">
        <v>302.47257631485257</v>
      </c>
      <c r="F947">
        <v>-40.129905476315862</v>
      </c>
      <c r="G947">
        <v>40.129905476315862</v>
      </c>
      <c r="H947">
        <v>-25.081190922697409</v>
      </c>
      <c r="I947">
        <v>25.081190922697409</v>
      </c>
    </row>
    <row r="948" spans="1:9">
      <c r="A948" s="2">
        <v>44825</v>
      </c>
      <c r="B948">
        <v>185</v>
      </c>
      <c r="C948">
        <v>212.26598665645199</v>
      </c>
      <c r="D948">
        <v>95.918617940717056</v>
      </c>
      <c r="E948">
        <v>324.3608586344522</v>
      </c>
      <c r="F948">
        <v>-27.265986656452011</v>
      </c>
      <c r="G948">
        <v>27.265986656452011</v>
      </c>
      <c r="H948">
        <v>-14.73837116564974</v>
      </c>
      <c r="I948">
        <v>14.73837116564974</v>
      </c>
    </row>
    <row r="949" spans="1:9">
      <c r="A949" s="2">
        <v>44826</v>
      </c>
      <c r="B949">
        <v>155</v>
      </c>
      <c r="C949">
        <v>207.53171166187809</v>
      </c>
      <c r="D949">
        <v>97.099136108574925</v>
      </c>
      <c r="E949">
        <v>311.76307152849051</v>
      </c>
      <c r="F949">
        <v>-52.53171166187812</v>
      </c>
      <c r="G949">
        <v>52.53171166187812</v>
      </c>
      <c r="H949">
        <v>-33.891426878631037</v>
      </c>
      <c r="I949">
        <v>33.891426878631037</v>
      </c>
    </row>
    <row r="950" spans="1:9">
      <c r="A950" s="2">
        <v>44827</v>
      </c>
      <c r="B950">
        <v>188</v>
      </c>
      <c r="C950">
        <v>198.82724994621941</v>
      </c>
      <c r="D950">
        <v>83.524099086751391</v>
      </c>
      <c r="E950">
        <v>310.77636843975989</v>
      </c>
      <c r="F950">
        <v>-10.82724994621938</v>
      </c>
      <c r="G950">
        <v>10.82724994621938</v>
      </c>
      <c r="H950">
        <v>-5.7591755033081817</v>
      </c>
      <c r="I950">
        <v>5.7591755033081817</v>
      </c>
    </row>
    <row r="951" spans="1:9">
      <c r="A951" s="2">
        <v>44828</v>
      </c>
      <c r="B951">
        <v>152</v>
      </c>
      <c r="C951">
        <v>206.27484923991139</v>
      </c>
      <c r="D951">
        <v>99.862099920587468</v>
      </c>
      <c r="E951">
        <v>321.12827325838703</v>
      </c>
      <c r="F951">
        <v>-54.274849239911418</v>
      </c>
      <c r="G951">
        <v>54.274849239911418</v>
      </c>
      <c r="H951">
        <v>-35.707137657836448</v>
      </c>
      <c r="I951">
        <v>35.707137657836448</v>
      </c>
    </row>
    <row r="952" spans="1:9">
      <c r="A952" s="2">
        <v>44829</v>
      </c>
      <c r="B952">
        <v>26</v>
      </c>
      <c r="C952">
        <v>118.0366869756263</v>
      </c>
      <c r="D952">
        <v>10.658853998599261</v>
      </c>
      <c r="E952">
        <v>232.29682805189839</v>
      </c>
      <c r="F952">
        <v>-92.036686975626296</v>
      </c>
      <c r="G952">
        <v>92.036686975626296</v>
      </c>
      <c r="H952">
        <v>-353.98725759856268</v>
      </c>
      <c r="I952">
        <v>353.98725759856268</v>
      </c>
    </row>
    <row r="953" spans="1:9">
      <c r="A953" s="2">
        <v>44830</v>
      </c>
      <c r="B953">
        <v>152</v>
      </c>
      <c r="C953">
        <v>218.4735706742342</v>
      </c>
      <c r="D953">
        <v>110.92118979387659</v>
      </c>
      <c r="E953">
        <v>333.17445949428151</v>
      </c>
      <c r="F953">
        <v>-66.473570674234196</v>
      </c>
      <c r="G953">
        <v>66.473570674234196</v>
      </c>
      <c r="H953">
        <v>-43.732612285680403</v>
      </c>
      <c r="I953">
        <v>43.732612285680403</v>
      </c>
    </row>
    <row r="954" spans="1:9">
      <c r="A954" s="2">
        <v>44831</v>
      </c>
      <c r="B954">
        <v>130</v>
      </c>
      <c r="C954">
        <v>203.15008895776751</v>
      </c>
      <c r="D954">
        <v>91.698664874723605</v>
      </c>
      <c r="E954">
        <v>313.92613164219028</v>
      </c>
      <c r="F954">
        <v>-73.150088957767537</v>
      </c>
      <c r="G954">
        <v>73.150088957767537</v>
      </c>
      <c r="H954">
        <v>-56.269299198282717</v>
      </c>
      <c r="I954">
        <v>56.269299198282717</v>
      </c>
    </row>
    <row r="955" spans="1:9">
      <c r="A955" s="2">
        <v>44832</v>
      </c>
      <c r="B955">
        <v>191</v>
      </c>
      <c r="C955">
        <v>216.27421856004869</v>
      </c>
      <c r="D955">
        <v>106.28273612999639</v>
      </c>
      <c r="E955">
        <v>325.84097900273349</v>
      </c>
      <c r="F955">
        <v>-25.274218560048691</v>
      </c>
      <c r="G955">
        <v>25.274218560048691</v>
      </c>
      <c r="H955">
        <v>-13.232575162329161</v>
      </c>
      <c r="I955">
        <v>13.232575162329161</v>
      </c>
    </row>
    <row r="956" spans="1:9">
      <c r="A956" s="2">
        <v>44833</v>
      </c>
      <c r="B956">
        <v>254</v>
      </c>
      <c r="C956">
        <v>212.56549685580941</v>
      </c>
      <c r="D956">
        <v>98.029116183484447</v>
      </c>
      <c r="E956">
        <v>320.28303140438737</v>
      </c>
      <c r="F956">
        <v>41.434503144190607</v>
      </c>
      <c r="G956">
        <v>41.434503144190607</v>
      </c>
      <c r="H956">
        <v>16.312796513460871</v>
      </c>
      <c r="I956">
        <v>16.312796513460871</v>
      </c>
    </row>
    <row r="957" spans="1:9">
      <c r="A957" s="2">
        <v>44834</v>
      </c>
      <c r="B957">
        <v>213</v>
      </c>
      <c r="C957">
        <v>204.90530567581919</v>
      </c>
      <c r="D957">
        <v>99.282859050710854</v>
      </c>
      <c r="E957">
        <v>312.65511875994241</v>
      </c>
      <c r="F957">
        <v>8.0946943241808071</v>
      </c>
      <c r="G957">
        <v>8.0946943241808071</v>
      </c>
      <c r="H957">
        <v>3.800325973793806</v>
      </c>
      <c r="I957">
        <v>3.800325973793806</v>
      </c>
    </row>
    <row r="958" spans="1:9">
      <c r="A958" s="2">
        <v>44835</v>
      </c>
      <c r="B958">
        <v>232</v>
      </c>
      <c r="C958">
        <v>213.39653619269919</v>
      </c>
      <c r="D958">
        <v>108.0097051047788</v>
      </c>
      <c r="E958">
        <v>319.48634003868801</v>
      </c>
      <c r="F958">
        <v>18.603463807300759</v>
      </c>
      <c r="G958">
        <v>18.603463807300759</v>
      </c>
      <c r="H958">
        <v>8.0187343996986016</v>
      </c>
      <c r="I958">
        <v>8.0187343996986016</v>
      </c>
    </row>
    <row r="959" spans="1:9">
      <c r="A959" s="2">
        <v>44836</v>
      </c>
      <c r="B959">
        <v>121</v>
      </c>
      <c r="C959">
        <v>126.1818070069971</v>
      </c>
      <c r="D959">
        <v>16.043089512436492</v>
      </c>
      <c r="E959">
        <v>231.90429331513391</v>
      </c>
      <c r="F959">
        <v>-5.1818070069971469</v>
      </c>
      <c r="G959">
        <v>5.1818070069971469</v>
      </c>
      <c r="H959">
        <v>-4.2824851297497082</v>
      </c>
      <c r="I959">
        <v>4.2824851297497082</v>
      </c>
    </row>
    <row r="960" spans="1:9">
      <c r="A960" s="2">
        <v>44838</v>
      </c>
      <c r="B960">
        <v>63</v>
      </c>
      <c r="C960">
        <v>213.20440414433301</v>
      </c>
      <c r="D960">
        <v>110.841409852881</v>
      </c>
      <c r="E960">
        <v>328.40872942642881</v>
      </c>
      <c r="F960">
        <v>-150.20440414433301</v>
      </c>
      <c r="G960">
        <v>150.20440414433301</v>
      </c>
      <c r="H960">
        <v>-238.41968911798881</v>
      </c>
      <c r="I960">
        <v>238.41968911798881</v>
      </c>
    </row>
    <row r="961" spans="1:9">
      <c r="A961" s="2">
        <v>44839</v>
      </c>
      <c r="B961">
        <v>298</v>
      </c>
      <c r="C961">
        <v>227.17738032583301</v>
      </c>
      <c r="D961">
        <v>122.2011276131793</v>
      </c>
      <c r="E961">
        <v>336.95702018752468</v>
      </c>
      <c r="F961">
        <v>70.822619674167044</v>
      </c>
      <c r="G961">
        <v>70.822619674167044</v>
      </c>
      <c r="H961">
        <v>23.765979756431889</v>
      </c>
      <c r="I961">
        <v>23.765979756431889</v>
      </c>
    </row>
    <row r="962" spans="1:9">
      <c r="A962" s="2">
        <v>44840</v>
      </c>
      <c r="B962">
        <v>296</v>
      </c>
      <c r="C962">
        <v>224.22412777366031</v>
      </c>
      <c r="D962">
        <v>109.9417255420566</v>
      </c>
      <c r="E962">
        <v>336.40541777814099</v>
      </c>
      <c r="F962">
        <v>71.775872226339715</v>
      </c>
      <c r="G962">
        <v>71.775872226339715</v>
      </c>
      <c r="H962">
        <v>24.248605481871529</v>
      </c>
      <c r="I962">
        <v>24.248605481871529</v>
      </c>
    </row>
    <row r="963" spans="1:9">
      <c r="A963" s="2">
        <v>44841</v>
      </c>
      <c r="B963">
        <v>46</v>
      </c>
      <c r="C963">
        <v>217.2106162110822</v>
      </c>
      <c r="D963">
        <v>97.504931370138451</v>
      </c>
      <c r="E963">
        <v>334.48601048403748</v>
      </c>
      <c r="F963">
        <v>-171.2106162110822</v>
      </c>
      <c r="G963">
        <v>171.2106162110822</v>
      </c>
      <c r="H963">
        <v>-372.19699176322217</v>
      </c>
      <c r="I963">
        <v>372.19699176322217</v>
      </c>
    </row>
    <row r="964" spans="1:9">
      <c r="A964" s="2">
        <v>44842</v>
      </c>
      <c r="B964">
        <v>374</v>
      </c>
      <c r="C964">
        <v>226.22603540708519</v>
      </c>
      <c r="D964">
        <v>114.6818380785778</v>
      </c>
      <c r="E964">
        <v>341.44917185451408</v>
      </c>
      <c r="F964">
        <v>147.77396459291481</v>
      </c>
      <c r="G964">
        <v>147.77396459291481</v>
      </c>
      <c r="H964">
        <v>39.511755238747263</v>
      </c>
      <c r="I964">
        <v>39.511755238747263</v>
      </c>
    </row>
    <row r="965" spans="1:9">
      <c r="A965" s="2">
        <v>44843</v>
      </c>
      <c r="B965">
        <v>193</v>
      </c>
      <c r="C965">
        <v>139.40123558222891</v>
      </c>
      <c r="D965">
        <v>26.088626513868959</v>
      </c>
      <c r="E965">
        <v>254.15043768092741</v>
      </c>
      <c r="F965">
        <v>53.598764417771122</v>
      </c>
      <c r="G965">
        <v>53.598764417771122</v>
      </c>
      <c r="H965">
        <v>27.771380527342551</v>
      </c>
      <c r="I965">
        <v>27.771380527342551</v>
      </c>
    </row>
    <row r="966" spans="1:9">
      <c r="A966" s="2">
        <v>44844</v>
      </c>
      <c r="B966">
        <v>159</v>
      </c>
      <c r="C966">
        <v>241.0679765447708</v>
      </c>
      <c r="D966">
        <v>123.0385830752512</v>
      </c>
      <c r="E966">
        <v>343.04692830026329</v>
      </c>
      <c r="F966">
        <v>-82.067976544770801</v>
      </c>
      <c r="G966">
        <v>82.067976544770801</v>
      </c>
      <c r="H966">
        <v>-51.615079587906173</v>
      </c>
      <c r="I966">
        <v>51.615079587906173</v>
      </c>
    </row>
    <row r="967" spans="1:9">
      <c r="A967" s="2">
        <v>44845</v>
      </c>
      <c r="B967">
        <v>224</v>
      </c>
      <c r="C967">
        <v>226.76457872109421</v>
      </c>
      <c r="D967">
        <v>115.3400335047606</v>
      </c>
      <c r="E967">
        <v>339.65929012910078</v>
      </c>
      <c r="F967">
        <v>-2.7645787210942099</v>
      </c>
      <c r="G967">
        <v>2.7645787210942099</v>
      </c>
      <c r="H967">
        <v>-1.234186929059915</v>
      </c>
      <c r="I967">
        <v>1.234186929059915</v>
      </c>
    </row>
    <row r="968" spans="1:9">
      <c r="A968" s="2">
        <v>44847</v>
      </c>
      <c r="B968">
        <v>194</v>
      </c>
      <c r="C968">
        <v>237.50226194665791</v>
      </c>
      <c r="D968">
        <v>127.5455905201365</v>
      </c>
      <c r="E968">
        <v>341.86353237914022</v>
      </c>
      <c r="F968">
        <v>-43.50226194665791</v>
      </c>
      <c r="G968">
        <v>43.50226194665791</v>
      </c>
      <c r="H968">
        <v>-22.423846364256651</v>
      </c>
      <c r="I968">
        <v>22.423846364256651</v>
      </c>
    </row>
    <row r="969" spans="1:9">
      <c r="A969" s="2">
        <v>44848</v>
      </c>
      <c r="B969">
        <v>390</v>
      </c>
      <c r="C969">
        <v>230.10930717071989</v>
      </c>
      <c r="D969">
        <v>113.8580772581178</v>
      </c>
      <c r="E969">
        <v>339.61955609735531</v>
      </c>
      <c r="F969">
        <v>159.89069282928011</v>
      </c>
      <c r="G969">
        <v>159.89069282928011</v>
      </c>
      <c r="H969">
        <v>40.997613545969259</v>
      </c>
      <c r="I969">
        <v>40.997613545969259</v>
      </c>
    </row>
    <row r="970" spans="1:9">
      <c r="A970" s="2">
        <v>44849</v>
      </c>
      <c r="B970">
        <v>238</v>
      </c>
      <c r="C970">
        <v>238.58865385889209</v>
      </c>
      <c r="D970">
        <v>127.38680500109059</v>
      </c>
      <c r="E970">
        <v>346.01674024488858</v>
      </c>
      <c r="F970">
        <v>-0.58865385889211552</v>
      </c>
      <c r="G970">
        <v>0.58865385889211552</v>
      </c>
      <c r="H970">
        <v>-0.24733355415635111</v>
      </c>
      <c r="I970">
        <v>0.24733355415635111</v>
      </c>
    </row>
    <row r="971" spans="1:9">
      <c r="A971" s="2">
        <v>44850</v>
      </c>
      <c r="B971">
        <v>29</v>
      </c>
      <c r="C971">
        <v>151.07591861401309</v>
      </c>
      <c r="D971">
        <v>42.291863219010523</v>
      </c>
      <c r="E971">
        <v>260.91487082966478</v>
      </c>
      <c r="F971">
        <v>-122.0759186140131</v>
      </c>
      <c r="G971">
        <v>122.0759186140131</v>
      </c>
      <c r="H971">
        <v>-420.95144349659688</v>
      </c>
      <c r="I971">
        <v>420.95144349659688</v>
      </c>
    </row>
    <row r="972" spans="1:9">
      <c r="A972" s="2">
        <v>44851</v>
      </c>
      <c r="B972">
        <v>30</v>
      </c>
      <c r="C972">
        <v>251.90995918284099</v>
      </c>
      <c r="D972">
        <v>145.2413841944913</v>
      </c>
      <c r="E972">
        <v>358.72216470682741</v>
      </c>
      <c r="F972">
        <v>-221.90995918284099</v>
      </c>
      <c r="G972">
        <v>221.90995918284099</v>
      </c>
      <c r="H972">
        <v>-739.69986394280352</v>
      </c>
      <c r="I972">
        <v>739.69986394280352</v>
      </c>
    </row>
    <row r="973" spans="1:9">
      <c r="A973" s="2">
        <v>44852</v>
      </c>
      <c r="B973">
        <v>287</v>
      </c>
      <c r="C973">
        <v>236.63841275774459</v>
      </c>
      <c r="D973">
        <v>123.2329790153937</v>
      </c>
      <c r="E973">
        <v>349.27874042465709</v>
      </c>
      <c r="F973">
        <v>50.361587242255382</v>
      </c>
      <c r="G973">
        <v>50.361587242255382</v>
      </c>
      <c r="H973">
        <v>17.547591373608149</v>
      </c>
      <c r="I973">
        <v>17.547591373608149</v>
      </c>
    </row>
    <row r="974" spans="1:9">
      <c r="A974" s="2">
        <v>44853</v>
      </c>
      <c r="B974">
        <v>474</v>
      </c>
      <c r="C974">
        <v>249.45760496135011</v>
      </c>
      <c r="D974">
        <v>141.44380327682049</v>
      </c>
      <c r="E974">
        <v>366.68111113184131</v>
      </c>
      <c r="F974">
        <v>224.54239503864989</v>
      </c>
      <c r="G974">
        <v>224.54239503864989</v>
      </c>
      <c r="H974">
        <v>47.37181329929323</v>
      </c>
      <c r="I974">
        <v>47.37181329929323</v>
      </c>
    </row>
    <row r="975" spans="1:9">
      <c r="A975" s="2">
        <v>44854</v>
      </c>
      <c r="B975">
        <v>277</v>
      </c>
      <c r="C975">
        <v>245.0809360404526</v>
      </c>
      <c r="D975">
        <v>138.1553603263535</v>
      </c>
      <c r="E975">
        <v>352.06740189843032</v>
      </c>
      <c r="F975">
        <v>31.919063959547401</v>
      </c>
      <c r="G975">
        <v>31.919063959547401</v>
      </c>
      <c r="H975">
        <v>11.523127783230111</v>
      </c>
      <c r="I975">
        <v>11.523127783230111</v>
      </c>
    </row>
    <row r="976" spans="1:9">
      <c r="A976" s="2">
        <v>44855</v>
      </c>
      <c r="B976">
        <v>173</v>
      </c>
      <c r="C976">
        <v>236.3892885610405</v>
      </c>
      <c r="D976">
        <v>127.56565517271009</v>
      </c>
      <c r="E976">
        <v>342.95543824831992</v>
      </c>
      <c r="F976">
        <v>-63.389288561040473</v>
      </c>
      <c r="G976">
        <v>63.389288561040473</v>
      </c>
      <c r="H976">
        <v>-36.641207260717032</v>
      </c>
      <c r="I976">
        <v>36.641207260717032</v>
      </c>
    </row>
    <row r="977" spans="1:9">
      <c r="A977" s="2">
        <v>44856</v>
      </c>
      <c r="B977">
        <v>167</v>
      </c>
      <c r="C977">
        <v>243.4907263578182</v>
      </c>
      <c r="D977">
        <v>127.5962624602429</v>
      </c>
      <c r="E977">
        <v>351.33528105534862</v>
      </c>
      <c r="F977">
        <v>-76.490726357818232</v>
      </c>
      <c r="G977">
        <v>76.490726357818232</v>
      </c>
      <c r="H977">
        <v>-45.802830154382171</v>
      </c>
      <c r="I977">
        <v>45.802830154382171</v>
      </c>
    </row>
    <row r="978" spans="1:9">
      <c r="A978" s="2">
        <v>44857</v>
      </c>
      <c r="B978">
        <v>27</v>
      </c>
      <c r="C978">
        <v>154.53865815821379</v>
      </c>
      <c r="D978">
        <v>48.349592945669819</v>
      </c>
      <c r="E978">
        <v>267.73670114683938</v>
      </c>
      <c r="F978">
        <v>-127.53865815821381</v>
      </c>
      <c r="G978">
        <v>127.53865815821381</v>
      </c>
      <c r="H978">
        <v>-472.36540058597711</v>
      </c>
      <c r="I978">
        <v>472.36540058597711</v>
      </c>
    </row>
    <row r="979" spans="1:9">
      <c r="A979" s="2">
        <v>44858</v>
      </c>
      <c r="B979">
        <v>173</v>
      </c>
      <c r="C979">
        <v>253.89076089421081</v>
      </c>
      <c r="D979">
        <v>145.7490562622439</v>
      </c>
      <c r="E979">
        <v>362.72636913620022</v>
      </c>
      <c r="F979">
        <v>-80.890760894210814</v>
      </c>
      <c r="G979">
        <v>80.890760894210814</v>
      </c>
      <c r="H979">
        <v>-46.757665256769258</v>
      </c>
      <c r="I979">
        <v>46.757665256769258</v>
      </c>
    </row>
    <row r="980" spans="1:9">
      <c r="A980" s="2">
        <v>44859</v>
      </c>
      <c r="B980">
        <v>36</v>
      </c>
      <c r="C980">
        <v>237.11426119064859</v>
      </c>
      <c r="D980">
        <v>130.72523896242359</v>
      </c>
      <c r="E980">
        <v>350.75533891592858</v>
      </c>
      <c r="F980">
        <v>-201.11426119064859</v>
      </c>
      <c r="G980">
        <v>201.11426119064859</v>
      </c>
      <c r="H980">
        <v>-558.6507255295794</v>
      </c>
      <c r="I980">
        <v>558.6507255295794</v>
      </c>
    </row>
    <row r="981" spans="1:9">
      <c r="A981" s="2">
        <v>44860</v>
      </c>
      <c r="B981">
        <v>186</v>
      </c>
      <c r="C981">
        <v>248.4255787592088</v>
      </c>
      <c r="D981">
        <v>136.60091790993749</v>
      </c>
      <c r="E981">
        <v>359.41101806485392</v>
      </c>
      <c r="F981">
        <v>-62.425578759208832</v>
      </c>
      <c r="G981">
        <v>62.425578759208832</v>
      </c>
      <c r="H981">
        <v>-33.562139117854208</v>
      </c>
      <c r="I981">
        <v>33.562139117854208</v>
      </c>
    </row>
    <row r="982" spans="1:9">
      <c r="A982" s="2">
        <v>44861</v>
      </c>
      <c r="B982">
        <v>160</v>
      </c>
      <c r="C982">
        <v>242.5584410576509</v>
      </c>
      <c r="D982">
        <v>137.76379056939729</v>
      </c>
      <c r="E982">
        <v>350.3175414610925</v>
      </c>
      <c r="F982">
        <v>-82.558441057650924</v>
      </c>
      <c r="G982">
        <v>82.558441057650924</v>
      </c>
      <c r="H982">
        <v>-51.599025661031831</v>
      </c>
      <c r="I982">
        <v>51.599025661031831</v>
      </c>
    </row>
    <row r="983" spans="1:9">
      <c r="A983" s="2">
        <v>44862</v>
      </c>
      <c r="B983">
        <v>233</v>
      </c>
      <c r="C983">
        <v>232.41401629541491</v>
      </c>
      <c r="D983">
        <v>126.0538732826369</v>
      </c>
      <c r="E983">
        <v>345.98202747448443</v>
      </c>
      <c r="F983">
        <v>0.58598370458508953</v>
      </c>
      <c r="G983">
        <v>0.58598370458508953</v>
      </c>
      <c r="H983">
        <v>0.25149515218244178</v>
      </c>
      <c r="I983">
        <v>0.25149515218244178</v>
      </c>
    </row>
    <row r="984" spans="1:9">
      <c r="A984" s="2">
        <v>44863</v>
      </c>
      <c r="B984">
        <v>162</v>
      </c>
      <c r="C984">
        <v>238.12033728078859</v>
      </c>
      <c r="D984">
        <v>130.08795475919041</v>
      </c>
      <c r="E984">
        <v>353.17373129243151</v>
      </c>
      <c r="F984">
        <v>-76.120337280788561</v>
      </c>
      <c r="G984">
        <v>76.120337280788561</v>
      </c>
      <c r="H984">
        <v>-46.987862519005283</v>
      </c>
      <c r="I984">
        <v>46.987862519005283</v>
      </c>
    </row>
    <row r="985" spans="1:9">
      <c r="A985" s="2">
        <v>44864</v>
      </c>
      <c r="B985">
        <v>27</v>
      </c>
      <c r="C985">
        <v>147.85019227871609</v>
      </c>
      <c r="D985">
        <v>32.782368282073811</v>
      </c>
      <c r="E985">
        <v>261.43740314441237</v>
      </c>
      <c r="F985">
        <v>-120.85019227871609</v>
      </c>
      <c r="G985">
        <v>120.85019227871609</v>
      </c>
      <c r="H985">
        <v>-447.59330473598538</v>
      </c>
      <c r="I985">
        <v>447.59330473598538</v>
      </c>
    </row>
    <row r="986" spans="1:9">
      <c r="A986" s="2">
        <v>44865</v>
      </c>
      <c r="B986">
        <v>168</v>
      </c>
      <c r="C986">
        <v>245.97978062901109</v>
      </c>
      <c r="D986">
        <v>135.8347041121107</v>
      </c>
      <c r="E986">
        <v>355.69035303578681</v>
      </c>
      <c r="F986">
        <v>-77.979780629011145</v>
      </c>
      <c r="G986">
        <v>77.979780629011145</v>
      </c>
      <c r="H986">
        <v>-46.416536088697107</v>
      </c>
      <c r="I986">
        <v>46.416536088697107</v>
      </c>
    </row>
    <row r="987" spans="1:9">
      <c r="A987" s="2">
        <v>44866</v>
      </c>
      <c r="B987">
        <v>198</v>
      </c>
      <c r="C987">
        <v>228.09373439370651</v>
      </c>
      <c r="D987">
        <v>121.99842511435141</v>
      </c>
      <c r="E987">
        <v>339.31047884907179</v>
      </c>
      <c r="F987">
        <v>-30.093734393706541</v>
      </c>
      <c r="G987">
        <v>30.093734393706541</v>
      </c>
      <c r="H987">
        <v>-15.19885575439724</v>
      </c>
      <c r="I987">
        <v>15.19885575439724</v>
      </c>
    </row>
    <row r="988" spans="1:9">
      <c r="A988" s="2">
        <v>44867</v>
      </c>
      <c r="B988">
        <v>287</v>
      </c>
      <c r="C988">
        <v>238.42451257793721</v>
      </c>
      <c r="D988">
        <v>124.75964647664441</v>
      </c>
      <c r="E988">
        <v>349.561167404625</v>
      </c>
      <c r="F988">
        <v>48.575487422062757</v>
      </c>
      <c r="G988">
        <v>48.575487422062757</v>
      </c>
      <c r="H988">
        <v>16.92525694148528</v>
      </c>
      <c r="I988">
        <v>16.92525694148528</v>
      </c>
    </row>
    <row r="989" spans="1:9">
      <c r="A989" s="2">
        <v>44869</v>
      </c>
      <c r="B989">
        <v>402</v>
      </c>
      <c r="C989">
        <v>220.89482191739799</v>
      </c>
      <c r="D989">
        <v>107.5724169130136</v>
      </c>
      <c r="E989">
        <v>329.03502710084069</v>
      </c>
      <c r="F989">
        <v>181.10517808260201</v>
      </c>
      <c r="G989">
        <v>181.10517808260201</v>
      </c>
      <c r="H989">
        <v>45.051039324030349</v>
      </c>
      <c r="I989">
        <v>45.051039324030349</v>
      </c>
    </row>
    <row r="990" spans="1:9">
      <c r="A990" s="2">
        <v>44870</v>
      </c>
      <c r="B990">
        <v>308</v>
      </c>
      <c r="C990">
        <v>226.0867665834121</v>
      </c>
      <c r="D990">
        <v>111.2857160251427</v>
      </c>
      <c r="E990">
        <v>337.59304895652372</v>
      </c>
      <c r="F990">
        <v>81.9132334165879</v>
      </c>
      <c r="G990">
        <v>81.9132334165879</v>
      </c>
      <c r="H990">
        <v>26.595205654736329</v>
      </c>
      <c r="I990">
        <v>26.595205654736329</v>
      </c>
    </row>
    <row r="991" spans="1:9">
      <c r="A991" s="2">
        <v>44871</v>
      </c>
      <c r="B991">
        <v>264</v>
      </c>
      <c r="C991">
        <v>135.4773003940727</v>
      </c>
      <c r="D991">
        <v>29.570415035148709</v>
      </c>
      <c r="E991">
        <v>245.62929437720521</v>
      </c>
      <c r="F991">
        <v>128.5226996059273</v>
      </c>
      <c r="G991">
        <v>128.5226996059273</v>
      </c>
      <c r="H991">
        <v>48.682840759820941</v>
      </c>
      <c r="I991">
        <v>48.682840759820941</v>
      </c>
    </row>
    <row r="992" spans="1:9">
      <c r="A992" s="2">
        <v>44872</v>
      </c>
      <c r="B992">
        <v>357</v>
      </c>
      <c r="C992">
        <v>233.44867088003309</v>
      </c>
      <c r="D992">
        <v>121.2724772481297</v>
      </c>
      <c r="E992">
        <v>350.21939070355671</v>
      </c>
      <c r="F992">
        <v>123.55132911996689</v>
      </c>
      <c r="G992">
        <v>123.55132911996689</v>
      </c>
      <c r="H992">
        <v>34.608215439766632</v>
      </c>
      <c r="I992">
        <v>34.608215439766632</v>
      </c>
    </row>
    <row r="993" spans="1:9">
      <c r="A993" s="2">
        <v>44873</v>
      </c>
      <c r="B993">
        <v>265</v>
      </c>
      <c r="C993">
        <v>215.58908504205809</v>
      </c>
      <c r="D993">
        <v>109.6981058349523</v>
      </c>
      <c r="E993">
        <v>322.22096975149219</v>
      </c>
      <c r="F993">
        <v>49.410914957941912</v>
      </c>
      <c r="G993">
        <v>49.410914957941912</v>
      </c>
      <c r="H993">
        <v>18.645628286015821</v>
      </c>
      <c r="I993">
        <v>18.645628286015821</v>
      </c>
    </row>
    <row r="994" spans="1:9">
      <c r="A994" s="2">
        <v>44874</v>
      </c>
      <c r="B994">
        <v>27</v>
      </c>
      <c r="C994">
        <v>226.13201130305259</v>
      </c>
      <c r="D994">
        <v>118.6223934385884</v>
      </c>
      <c r="E994">
        <v>330.97967796920472</v>
      </c>
      <c r="F994">
        <v>-199.13201130305259</v>
      </c>
      <c r="G994">
        <v>199.13201130305259</v>
      </c>
      <c r="H994">
        <v>-737.52596778908378</v>
      </c>
      <c r="I994">
        <v>737.52596778908378</v>
      </c>
    </row>
    <row r="995" spans="1:9">
      <c r="A995" s="2">
        <v>44875</v>
      </c>
      <c r="B995">
        <v>143</v>
      </c>
      <c r="C995">
        <v>219.82400011589519</v>
      </c>
      <c r="D995">
        <v>111.9785585533202</v>
      </c>
      <c r="E995">
        <v>330.68035367480428</v>
      </c>
      <c r="F995">
        <v>-76.82400011589516</v>
      </c>
      <c r="G995">
        <v>76.82400011589516</v>
      </c>
      <c r="H995">
        <v>-53.723077004122487</v>
      </c>
      <c r="I995">
        <v>53.723077004122487</v>
      </c>
    </row>
    <row r="996" spans="1:9">
      <c r="A996" s="2">
        <v>44876</v>
      </c>
      <c r="B996">
        <v>277</v>
      </c>
      <c r="C996">
        <v>209.57457561470841</v>
      </c>
      <c r="D996">
        <v>102.3246122271743</v>
      </c>
      <c r="E996">
        <v>324.15215889682628</v>
      </c>
      <c r="F996">
        <v>67.425424385291649</v>
      </c>
      <c r="G996">
        <v>67.425424385291649</v>
      </c>
      <c r="H996">
        <v>24.341308442343561</v>
      </c>
      <c r="I996">
        <v>24.341308442343561</v>
      </c>
    </row>
    <row r="997" spans="1:9">
      <c r="A997" s="2">
        <v>44877</v>
      </c>
      <c r="B997">
        <v>150</v>
      </c>
      <c r="C997">
        <v>215.51547582253889</v>
      </c>
      <c r="D997">
        <v>106.6800767328868</v>
      </c>
      <c r="E997">
        <v>327.1791531433941</v>
      </c>
      <c r="F997">
        <v>-65.515475822538889</v>
      </c>
      <c r="G997">
        <v>65.515475822538889</v>
      </c>
      <c r="H997">
        <v>-43.676983881692593</v>
      </c>
      <c r="I997">
        <v>43.676983881692593</v>
      </c>
    </row>
    <row r="998" spans="1:9">
      <c r="A998" s="2">
        <v>44878</v>
      </c>
      <c r="B998">
        <v>26</v>
      </c>
      <c r="C998">
        <v>125.81842217835739</v>
      </c>
      <c r="D998">
        <v>8.4510557681317966</v>
      </c>
      <c r="E998">
        <v>232.70926505044599</v>
      </c>
      <c r="F998">
        <v>-99.818422178357395</v>
      </c>
      <c r="G998">
        <v>99.818422178357395</v>
      </c>
      <c r="H998">
        <v>-383.91700837829768</v>
      </c>
      <c r="I998">
        <v>383.91700837829768</v>
      </c>
    </row>
    <row r="999" spans="1:9">
      <c r="A999" s="2">
        <v>44879</v>
      </c>
      <c r="B999">
        <v>177</v>
      </c>
      <c r="C999">
        <v>224.8537202088018</v>
      </c>
      <c r="D999">
        <v>109.79442943233229</v>
      </c>
      <c r="E999">
        <v>339.89152206737231</v>
      </c>
      <c r="F999">
        <v>-47.853720208801803</v>
      </c>
      <c r="G999">
        <v>47.853720208801803</v>
      </c>
      <c r="H999">
        <v>-27.03600011796712</v>
      </c>
      <c r="I999">
        <v>27.03600011796712</v>
      </c>
    </row>
    <row r="1000" spans="1:9">
      <c r="A1000" s="2">
        <v>44880</v>
      </c>
      <c r="B1000">
        <v>149</v>
      </c>
      <c r="C1000">
        <v>208.19529599826279</v>
      </c>
      <c r="D1000">
        <v>106.512670058675</v>
      </c>
      <c r="E1000">
        <v>323.32524566080059</v>
      </c>
      <c r="F1000">
        <v>-59.195295998262793</v>
      </c>
      <c r="G1000">
        <v>59.195295998262793</v>
      </c>
      <c r="H1000">
        <v>-39.728386576015303</v>
      </c>
      <c r="I1000">
        <v>39.728386576015303</v>
      </c>
    </row>
    <row r="1001" spans="1:9">
      <c r="A1001" s="2">
        <v>44881</v>
      </c>
      <c r="B1001">
        <v>147</v>
      </c>
      <c r="C1001">
        <v>220.06017759030911</v>
      </c>
      <c r="D1001">
        <v>108.3548459358372</v>
      </c>
      <c r="E1001">
        <v>325.35623983847188</v>
      </c>
      <c r="F1001">
        <v>-73.060177590309138</v>
      </c>
      <c r="G1001">
        <v>73.060177590309138</v>
      </c>
      <c r="H1001">
        <v>-49.700801081842947</v>
      </c>
      <c r="I1001">
        <v>49.700801081842947</v>
      </c>
    </row>
    <row r="1002" spans="1:9">
      <c r="A1002" s="2">
        <v>44882</v>
      </c>
      <c r="B1002">
        <v>140</v>
      </c>
      <c r="C1002">
        <v>215.17653519145489</v>
      </c>
      <c r="D1002">
        <v>100.3250363460815</v>
      </c>
      <c r="E1002">
        <v>324.50688414839152</v>
      </c>
      <c r="F1002">
        <v>-75.17653519145486</v>
      </c>
      <c r="G1002">
        <v>75.17653519145486</v>
      </c>
      <c r="H1002">
        <v>-53.697525136753477</v>
      </c>
      <c r="I1002">
        <v>53.697525136753477</v>
      </c>
    </row>
    <row r="1003" spans="1:9">
      <c r="A1003" s="2">
        <v>44883</v>
      </c>
      <c r="B1003">
        <v>177</v>
      </c>
      <c r="C1003">
        <v>206.43383072046231</v>
      </c>
      <c r="D1003">
        <v>104.9893895489289</v>
      </c>
      <c r="E1003">
        <v>309.76496420537347</v>
      </c>
      <c r="F1003">
        <v>-29.433830720462279</v>
      </c>
      <c r="G1003">
        <v>29.433830720462279</v>
      </c>
      <c r="H1003">
        <v>-16.629282892916549</v>
      </c>
      <c r="I1003">
        <v>16.629282892916549</v>
      </c>
    </row>
    <row r="1004" spans="1:9">
      <c r="A1004" s="2">
        <v>44884</v>
      </c>
      <c r="B1004">
        <v>169</v>
      </c>
      <c r="C1004">
        <v>213.9423515180477</v>
      </c>
      <c r="D1004">
        <v>105.6885100080527</v>
      </c>
      <c r="E1004">
        <v>328.35329487273469</v>
      </c>
      <c r="F1004">
        <v>-44.942351518047701</v>
      </c>
      <c r="G1004">
        <v>44.942351518047701</v>
      </c>
      <c r="H1004">
        <v>-26.593107407128819</v>
      </c>
      <c r="I1004">
        <v>26.593107407128819</v>
      </c>
    </row>
    <row r="1005" spans="1:9">
      <c r="A1005" s="2">
        <v>44885</v>
      </c>
      <c r="B1005">
        <v>26</v>
      </c>
      <c r="C1005">
        <v>125.85130538701659</v>
      </c>
      <c r="D1005">
        <v>16.514746279486442</v>
      </c>
      <c r="E1005">
        <v>233.49189812783709</v>
      </c>
      <c r="F1005">
        <v>-99.851305387016609</v>
      </c>
      <c r="G1005">
        <v>99.851305387016609</v>
      </c>
      <c r="H1005">
        <v>-384.04348225775618</v>
      </c>
      <c r="I1005">
        <v>384.04348225775618</v>
      </c>
    </row>
    <row r="1006" spans="1:9">
      <c r="A1006" s="2">
        <v>44886</v>
      </c>
      <c r="B1006">
        <v>147</v>
      </c>
      <c r="C1006">
        <v>226.50777432235759</v>
      </c>
      <c r="D1006">
        <v>115.3252001132083</v>
      </c>
      <c r="E1006">
        <v>330.82128859225048</v>
      </c>
      <c r="F1006">
        <v>-79.507774322357648</v>
      </c>
      <c r="G1006">
        <v>79.507774322357648</v>
      </c>
      <c r="H1006">
        <v>-54.086921307726293</v>
      </c>
      <c r="I1006">
        <v>54.086921307726293</v>
      </c>
    </row>
    <row r="1007" spans="1:9">
      <c r="A1007" s="2">
        <v>44887</v>
      </c>
      <c r="B1007">
        <v>127</v>
      </c>
      <c r="C1007">
        <v>211.46212626980511</v>
      </c>
      <c r="D1007">
        <v>100.0627071533756</v>
      </c>
      <c r="E1007">
        <v>314.79486012562529</v>
      </c>
      <c r="F1007">
        <v>-84.46212626980514</v>
      </c>
      <c r="G1007">
        <v>84.46212626980514</v>
      </c>
      <c r="H1007">
        <v>-66.50561123606704</v>
      </c>
      <c r="I1007">
        <v>66.50561123606704</v>
      </c>
    </row>
    <row r="1008" spans="1:9">
      <c r="A1008" s="2">
        <v>44888</v>
      </c>
      <c r="B1008">
        <v>141</v>
      </c>
      <c r="C1008">
        <v>224.90788794145621</v>
      </c>
      <c r="D1008">
        <v>113.71500661271639</v>
      </c>
      <c r="E1008">
        <v>330.56610990371041</v>
      </c>
      <c r="F1008">
        <v>-83.90788794145621</v>
      </c>
      <c r="G1008">
        <v>83.90788794145621</v>
      </c>
      <c r="H1008">
        <v>-59.509140384011488</v>
      </c>
      <c r="I1008">
        <v>59.509140384011488</v>
      </c>
    </row>
    <row r="1009" spans="1:9">
      <c r="A1009" s="2">
        <v>44889</v>
      </c>
      <c r="B1009">
        <v>208</v>
      </c>
      <c r="C1009">
        <v>221.55018574847449</v>
      </c>
      <c r="D1009">
        <v>105.4597472626766</v>
      </c>
      <c r="E1009">
        <v>328.09966706766431</v>
      </c>
      <c r="F1009">
        <v>-13.55018574847446</v>
      </c>
      <c r="G1009">
        <v>13.55018574847446</v>
      </c>
      <c r="H1009">
        <v>-6.5145123790742607</v>
      </c>
      <c r="I1009">
        <v>6.5145123790742607</v>
      </c>
    </row>
    <row r="1010" spans="1:9">
      <c r="A1010" s="2">
        <v>44890</v>
      </c>
      <c r="B1010">
        <v>178</v>
      </c>
      <c r="C1010">
        <v>214.25629799951429</v>
      </c>
      <c r="D1010">
        <v>105.8645084918266</v>
      </c>
      <c r="E1010">
        <v>329.76916763874868</v>
      </c>
      <c r="F1010">
        <v>-36.256297999514352</v>
      </c>
      <c r="G1010">
        <v>36.256297999514352</v>
      </c>
      <c r="H1010">
        <v>-20.368706741300191</v>
      </c>
      <c r="I1010">
        <v>20.368706741300191</v>
      </c>
    </row>
    <row r="1011" spans="1:9">
      <c r="A1011" s="2">
        <v>44891</v>
      </c>
      <c r="B1011">
        <v>198</v>
      </c>
      <c r="C1011">
        <v>223.11558531426809</v>
      </c>
      <c r="D1011">
        <v>111.2419799570885</v>
      </c>
      <c r="E1011">
        <v>328.55753866919378</v>
      </c>
      <c r="F1011">
        <v>-25.115585314268088</v>
      </c>
      <c r="G1011">
        <v>25.115585314268088</v>
      </c>
      <c r="H1011">
        <v>-12.684639047610149</v>
      </c>
      <c r="I1011">
        <v>12.684639047610149</v>
      </c>
    </row>
    <row r="1012" spans="1:9">
      <c r="A1012" s="2">
        <v>44892</v>
      </c>
      <c r="B1012">
        <v>21</v>
      </c>
      <c r="C1012">
        <v>136.25796828353131</v>
      </c>
      <c r="D1012">
        <v>19.164329892258401</v>
      </c>
      <c r="E1012">
        <v>242.7949662235099</v>
      </c>
      <c r="F1012">
        <v>-115.2579682835313</v>
      </c>
      <c r="G1012">
        <v>115.2579682835313</v>
      </c>
      <c r="H1012">
        <v>-548.84746801681592</v>
      </c>
      <c r="I1012">
        <v>548.84746801681592</v>
      </c>
    </row>
    <row r="1013" spans="1:9">
      <c r="A1013" s="2">
        <v>44893</v>
      </c>
      <c r="B1013">
        <v>171</v>
      </c>
      <c r="C1013">
        <v>238.01324146097269</v>
      </c>
      <c r="D1013">
        <v>127.3861123779957</v>
      </c>
      <c r="E1013">
        <v>352.10271879713628</v>
      </c>
      <c r="F1013">
        <v>-67.013241460972722</v>
      </c>
      <c r="G1013">
        <v>67.013241460972722</v>
      </c>
      <c r="H1013">
        <v>-39.189030094136093</v>
      </c>
      <c r="I1013">
        <v>39.189030094136093</v>
      </c>
    </row>
    <row r="1014" spans="1:9">
      <c r="A1014" s="2">
        <v>44894</v>
      </c>
      <c r="B1014">
        <v>200</v>
      </c>
      <c r="C1014">
        <v>223.91681484853731</v>
      </c>
      <c r="D1014">
        <v>123.4431563045468</v>
      </c>
      <c r="E1014">
        <v>329.64549223372069</v>
      </c>
      <c r="F1014">
        <v>-23.916814848537289</v>
      </c>
      <c r="G1014">
        <v>23.916814848537289</v>
      </c>
      <c r="H1014">
        <v>-11.958407424268639</v>
      </c>
      <c r="I1014">
        <v>11.958407424268639</v>
      </c>
    </row>
    <row r="1015" spans="1:9">
      <c r="A1015" s="2">
        <v>44895</v>
      </c>
      <c r="B1015">
        <v>166</v>
      </c>
      <c r="C1015">
        <v>238.1498780036394</v>
      </c>
      <c r="D1015">
        <v>129.9732384081149</v>
      </c>
      <c r="E1015">
        <v>351.71871241250892</v>
      </c>
      <c r="F1015">
        <v>-72.149878003639429</v>
      </c>
      <c r="G1015">
        <v>72.149878003639429</v>
      </c>
      <c r="H1015">
        <v>-43.46378192990327</v>
      </c>
      <c r="I1015">
        <v>43.46378192990327</v>
      </c>
    </row>
    <row r="1016" spans="1:9">
      <c r="A1016" s="2">
        <v>44896</v>
      </c>
      <c r="B1016">
        <v>171</v>
      </c>
      <c r="C1016">
        <v>235.40808643860549</v>
      </c>
      <c r="D1016">
        <v>125.6735959554652</v>
      </c>
      <c r="E1016">
        <v>341.69349067464168</v>
      </c>
      <c r="F1016">
        <v>-64.408086438605466</v>
      </c>
      <c r="G1016">
        <v>64.408086438605466</v>
      </c>
      <c r="H1016">
        <v>-37.665547624915483</v>
      </c>
      <c r="I1016">
        <v>37.665547624915483</v>
      </c>
    </row>
    <row r="1017" spans="1:9">
      <c r="A1017" s="2">
        <v>44897</v>
      </c>
      <c r="B1017">
        <v>298</v>
      </c>
      <c r="C1017">
        <v>228.5523067704284</v>
      </c>
      <c r="D1017">
        <v>119.25069709577841</v>
      </c>
      <c r="E1017">
        <v>342.19963425596512</v>
      </c>
      <c r="F1017">
        <v>69.44769322957157</v>
      </c>
      <c r="G1017">
        <v>69.44769322957157</v>
      </c>
      <c r="H1017">
        <v>23.30459504348039</v>
      </c>
      <c r="I1017">
        <v>23.30459504348039</v>
      </c>
    </row>
    <row r="1018" spans="1:9">
      <c r="A1018" s="2">
        <v>44899</v>
      </c>
      <c r="B1018">
        <v>413</v>
      </c>
      <c r="C1018">
        <v>150.88717990339421</v>
      </c>
      <c r="D1018">
        <v>35.697914879392563</v>
      </c>
      <c r="E1018">
        <v>257.42466521157581</v>
      </c>
      <c r="F1018">
        <v>262.11282009660579</v>
      </c>
      <c r="G1018">
        <v>262.11282009660579</v>
      </c>
      <c r="H1018">
        <v>63.465573873270174</v>
      </c>
      <c r="I1018">
        <v>63.465573873270174</v>
      </c>
    </row>
    <row r="1019" spans="1:9">
      <c r="A1019" s="2">
        <v>44900</v>
      </c>
      <c r="B1019">
        <v>259</v>
      </c>
      <c r="C1019">
        <v>252.5409143890991</v>
      </c>
      <c r="D1019">
        <v>142.7965873004845</v>
      </c>
      <c r="E1019">
        <v>363.70452990164739</v>
      </c>
      <c r="F1019">
        <v>6.4590856109008712</v>
      </c>
      <c r="G1019">
        <v>6.4590856109008712</v>
      </c>
      <c r="H1019">
        <v>2.493855448224275</v>
      </c>
      <c r="I1019">
        <v>2.493855448224275</v>
      </c>
    </row>
    <row r="1020" spans="1:9">
      <c r="A1020" s="2">
        <v>44901</v>
      </c>
      <c r="B1020">
        <v>52</v>
      </c>
      <c r="C1020">
        <v>238.1718220956181</v>
      </c>
      <c r="D1020">
        <v>128.36404760434459</v>
      </c>
      <c r="E1020">
        <v>350.8335320796669</v>
      </c>
      <c r="F1020">
        <v>-186.1718220956181</v>
      </c>
      <c r="G1020">
        <v>186.1718220956181</v>
      </c>
      <c r="H1020">
        <v>-358.02273479926561</v>
      </c>
      <c r="I1020">
        <v>358.02273479926561</v>
      </c>
    </row>
    <row r="1021" spans="1:9">
      <c r="A1021" s="2">
        <v>44902</v>
      </c>
      <c r="B1021">
        <v>280</v>
      </c>
      <c r="C1021">
        <v>251.97069586004949</v>
      </c>
      <c r="D1021">
        <v>141.76693605755159</v>
      </c>
      <c r="E1021">
        <v>355.330110123569</v>
      </c>
      <c r="F1021">
        <v>28.029304139950511</v>
      </c>
      <c r="G1021">
        <v>28.029304139950511</v>
      </c>
      <c r="H1021">
        <v>10.010465764268041</v>
      </c>
      <c r="I1021">
        <v>10.010465764268041</v>
      </c>
    </row>
    <row r="1022" spans="1:9">
      <c r="A1022" s="2">
        <v>44903</v>
      </c>
      <c r="B1022">
        <v>222</v>
      </c>
      <c r="C1022">
        <v>248.6456717674302</v>
      </c>
      <c r="D1022">
        <v>137.45093502029351</v>
      </c>
      <c r="E1022">
        <v>348.70936325602992</v>
      </c>
      <c r="F1022">
        <v>-26.64567176743023</v>
      </c>
      <c r="G1022">
        <v>26.64567176743023</v>
      </c>
      <c r="H1022">
        <v>-12.0025548501938</v>
      </c>
      <c r="I1022">
        <v>12.0025548501938</v>
      </c>
    </row>
    <row r="1023" spans="1:9">
      <c r="A1023" s="2">
        <v>44904</v>
      </c>
      <c r="B1023">
        <v>227</v>
      </c>
      <c r="C1023">
        <v>241.0727104761265</v>
      </c>
      <c r="D1023">
        <v>129.69123877443701</v>
      </c>
      <c r="E1023">
        <v>350.39538966822357</v>
      </c>
      <c r="F1023">
        <v>-14.072710476126471</v>
      </c>
      <c r="G1023">
        <v>14.072710476126471</v>
      </c>
      <c r="H1023">
        <v>-6.1994319278090204</v>
      </c>
      <c r="I1023">
        <v>6.1994319278090204</v>
      </c>
    </row>
    <row r="1024" spans="1:9">
      <c r="A1024" s="2">
        <v>44905</v>
      </c>
      <c r="B1024">
        <v>195</v>
      </c>
      <c r="C1024">
        <v>249.35533831715881</v>
      </c>
      <c r="D1024">
        <v>139.64871135964739</v>
      </c>
      <c r="E1024">
        <v>357.45492259041879</v>
      </c>
      <c r="F1024">
        <v>-54.355338317158747</v>
      </c>
      <c r="G1024">
        <v>54.355338317158747</v>
      </c>
      <c r="H1024">
        <v>-27.874532470337819</v>
      </c>
      <c r="I1024">
        <v>27.874532470337819</v>
      </c>
    </row>
    <row r="1025" spans="1:9">
      <c r="A1025" s="2">
        <v>44906</v>
      </c>
      <c r="B1025">
        <v>188</v>
      </c>
      <c r="C1025">
        <v>161.64281864067931</v>
      </c>
      <c r="D1025">
        <v>57.653924352920583</v>
      </c>
      <c r="E1025">
        <v>275.28711622228502</v>
      </c>
      <c r="F1025">
        <v>26.357181359320659</v>
      </c>
      <c r="G1025">
        <v>26.357181359320659</v>
      </c>
      <c r="H1025">
        <v>14.01977731878759</v>
      </c>
      <c r="I1025">
        <v>14.01977731878759</v>
      </c>
    </row>
    <row r="1026" spans="1:9">
      <c r="A1026" s="2">
        <v>44907</v>
      </c>
      <c r="B1026">
        <v>521</v>
      </c>
      <c r="C1026">
        <v>262.28904674286781</v>
      </c>
      <c r="D1026">
        <v>153.7837650112846</v>
      </c>
      <c r="E1026">
        <v>368.43135098976768</v>
      </c>
      <c r="F1026">
        <v>258.71095325713219</v>
      </c>
      <c r="G1026">
        <v>258.71095325713219</v>
      </c>
      <c r="H1026">
        <v>49.656612909238433</v>
      </c>
      <c r="I1026">
        <v>49.656612909238433</v>
      </c>
    </row>
    <row r="1027" spans="1:9">
      <c r="A1027" s="2">
        <v>44908</v>
      </c>
      <c r="B1027">
        <v>330</v>
      </c>
      <c r="C1027">
        <v>246.85776657422201</v>
      </c>
      <c r="D1027">
        <v>129.65985979952941</v>
      </c>
      <c r="E1027">
        <v>357.82449654475221</v>
      </c>
      <c r="F1027">
        <v>83.142233425778045</v>
      </c>
      <c r="G1027">
        <v>83.142233425778045</v>
      </c>
      <c r="H1027">
        <v>25.194616189629709</v>
      </c>
      <c r="I1027">
        <v>25.194616189629709</v>
      </c>
    </row>
    <row r="1028" spans="1:9">
      <c r="A1028" s="2">
        <v>44909</v>
      </c>
      <c r="B1028">
        <v>298</v>
      </c>
      <c r="C1028">
        <v>259.56211413245501</v>
      </c>
      <c r="D1028">
        <v>141.71625291164409</v>
      </c>
      <c r="E1028">
        <v>368.98254160082712</v>
      </c>
      <c r="F1028">
        <v>38.437885867544992</v>
      </c>
      <c r="G1028">
        <v>38.437885867544992</v>
      </c>
      <c r="H1028">
        <v>12.89861941863926</v>
      </c>
      <c r="I1028">
        <v>12.89861941863926</v>
      </c>
    </row>
    <row r="1029" spans="1:9">
      <c r="A1029" s="2">
        <v>44910</v>
      </c>
      <c r="B1029">
        <v>294</v>
      </c>
      <c r="C1029">
        <v>255.13259957468111</v>
      </c>
      <c r="D1029">
        <v>146.58182882056519</v>
      </c>
      <c r="E1029">
        <v>365.77615339280862</v>
      </c>
      <c r="F1029">
        <v>38.867400425318863</v>
      </c>
      <c r="G1029">
        <v>38.867400425318863</v>
      </c>
      <c r="H1029">
        <v>13.220204226298931</v>
      </c>
      <c r="I1029">
        <v>13.220204226298931</v>
      </c>
    </row>
    <row r="1030" spans="1:9">
      <c r="A1030" s="2">
        <v>44911</v>
      </c>
      <c r="B1030">
        <v>261</v>
      </c>
      <c r="C1030">
        <v>246.4670792531922</v>
      </c>
      <c r="D1030">
        <v>141.17478077479211</v>
      </c>
      <c r="E1030">
        <v>345.36311008673738</v>
      </c>
      <c r="F1030">
        <v>14.532920746807781</v>
      </c>
      <c r="G1030">
        <v>14.532920746807781</v>
      </c>
      <c r="H1030">
        <v>5.5681688685087263</v>
      </c>
      <c r="I1030">
        <v>5.5681688685087263</v>
      </c>
    </row>
    <row r="1031" spans="1:9">
      <c r="A1031" s="2">
        <v>44912</v>
      </c>
      <c r="B1031">
        <v>223</v>
      </c>
      <c r="C1031">
        <v>253.68999569532599</v>
      </c>
      <c r="D1031">
        <v>151.9980357474935</v>
      </c>
      <c r="E1031">
        <v>363.91420936615361</v>
      </c>
      <c r="F1031">
        <v>-30.689995695325958</v>
      </c>
      <c r="G1031">
        <v>30.689995695325958</v>
      </c>
      <c r="H1031">
        <v>-13.76232990821792</v>
      </c>
      <c r="I1031">
        <v>13.76232990821792</v>
      </c>
    </row>
    <row r="1032" spans="1:9">
      <c r="A1032" s="2">
        <v>44913</v>
      </c>
      <c r="B1032">
        <v>59</v>
      </c>
      <c r="C1032">
        <v>164.97006845336841</v>
      </c>
      <c r="D1032">
        <v>55.832085521048711</v>
      </c>
      <c r="E1032">
        <v>278.38975673705471</v>
      </c>
      <c r="F1032">
        <v>-105.9700684533684</v>
      </c>
      <c r="G1032">
        <v>105.9700684533684</v>
      </c>
      <c r="H1032">
        <v>-179.61028551418369</v>
      </c>
      <c r="I1032">
        <v>179.61028551418369</v>
      </c>
    </row>
    <row r="1033" spans="1:9">
      <c r="A1033" s="2">
        <v>44914</v>
      </c>
      <c r="B1033">
        <v>340</v>
      </c>
      <c r="C1033">
        <v>264.67874142467127</v>
      </c>
      <c r="D1033">
        <v>154.54070974742061</v>
      </c>
      <c r="E1033">
        <v>369.62039075061608</v>
      </c>
      <c r="F1033">
        <v>75.32125857532867</v>
      </c>
      <c r="G1033">
        <v>75.32125857532867</v>
      </c>
      <c r="H1033">
        <v>22.153311345684909</v>
      </c>
      <c r="I1033">
        <v>22.153311345684909</v>
      </c>
    </row>
    <row r="1034" spans="1:9">
      <c r="A1034" s="2">
        <v>44915</v>
      </c>
      <c r="B1034">
        <v>287</v>
      </c>
      <c r="C1034">
        <v>248.3949965870529</v>
      </c>
      <c r="D1034">
        <v>136.70862145681309</v>
      </c>
      <c r="E1034">
        <v>359.46154228449609</v>
      </c>
      <c r="F1034">
        <v>38.605003412947099</v>
      </c>
      <c r="G1034">
        <v>38.605003412947099</v>
      </c>
      <c r="H1034">
        <v>13.4512207013753</v>
      </c>
      <c r="I1034">
        <v>13.4512207013753</v>
      </c>
    </row>
    <row r="1035" spans="1:9">
      <c r="A1035" s="2">
        <v>44916</v>
      </c>
      <c r="B1035">
        <v>269</v>
      </c>
      <c r="C1035">
        <v>260.34454995223831</v>
      </c>
      <c r="D1035">
        <v>160.21271991331679</v>
      </c>
      <c r="E1035">
        <v>370.08029766345749</v>
      </c>
      <c r="F1035">
        <v>8.6554500477616898</v>
      </c>
      <c r="G1035">
        <v>8.6554500477616898</v>
      </c>
      <c r="H1035">
        <v>3.2176394229597358</v>
      </c>
      <c r="I1035">
        <v>3.2176394229597358</v>
      </c>
    </row>
    <row r="1036" spans="1:9">
      <c r="A1036" s="2">
        <v>44917</v>
      </c>
      <c r="B1036">
        <v>270</v>
      </c>
      <c r="C1036">
        <v>255.26755152408961</v>
      </c>
      <c r="D1036">
        <v>148.44580348058059</v>
      </c>
      <c r="E1036">
        <v>362.78698131110912</v>
      </c>
      <c r="F1036">
        <v>14.73244847591045</v>
      </c>
      <c r="G1036">
        <v>14.73244847591045</v>
      </c>
      <c r="H1036">
        <v>5.4564623984853498</v>
      </c>
      <c r="I1036">
        <v>5.4564623984853498</v>
      </c>
    </row>
    <row r="1037" spans="1:9">
      <c r="A1037" s="2">
        <v>44918</v>
      </c>
      <c r="B1037">
        <v>285</v>
      </c>
      <c r="C1037">
        <v>246.0683487638529</v>
      </c>
      <c r="D1037">
        <v>131.59510283986609</v>
      </c>
      <c r="E1037">
        <v>354.38585368203479</v>
      </c>
      <c r="F1037">
        <v>38.931651236147133</v>
      </c>
      <c r="G1037">
        <v>38.931651236147133</v>
      </c>
      <c r="H1037">
        <v>13.660228503911281</v>
      </c>
      <c r="I1037">
        <v>13.660228503911281</v>
      </c>
    </row>
    <row r="1038" spans="1:9">
      <c r="A1038" s="2">
        <v>44919</v>
      </c>
      <c r="B1038">
        <v>251</v>
      </c>
      <c r="C1038">
        <v>252.87459817752961</v>
      </c>
      <c r="D1038">
        <v>144.2065944202225</v>
      </c>
      <c r="E1038">
        <v>360.59453078705019</v>
      </c>
      <c r="F1038">
        <v>-1.8745981775296059</v>
      </c>
      <c r="G1038">
        <v>1.8745981775296059</v>
      </c>
      <c r="H1038">
        <v>-0.74685186355761191</v>
      </c>
      <c r="I1038">
        <v>0.74685186355761191</v>
      </c>
    </row>
    <row r="1039" spans="1:9">
      <c r="A1039" s="2">
        <v>44920</v>
      </c>
      <c r="B1039">
        <v>47</v>
      </c>
      <c r="C1039">
        <v>163.85491261958819</v>
      </c>
      <c r="D1039">
        <v>46.249846675551382</v>
      </c>
      <c r="E1039">
        <v>269.3564443244212</v>
      </c>
      <c r="F1039">
        <v>-116.85491261958821</v>
      </c>
      <c r="G1039">
        <v>116.85491261958821</v>
      </c>
      <c r="H1039">
        <v>-248.62747365869831</v>
      </c>
      <c r="I1039">
        <v>248.62747365869831</v>
      </c>
    </row>
    <row r="1040" spans="1:9">
      <c r="A1040" s="2">
        <v>44921</v>
      </c>
      <c r="B1040">
        <v>233</v>
      </c>
      <c r="C1040">
        <v>263.37735245761257</v>
      </c>
      <c r="D1040">
        <v>159.14067078053779</v>
      </c>
      <c r="E1040">
        <v>376.24942798444368</v>
      </c>
      <c r="F1040">
        <v>-30.37735245761257</v>
      </c>
      <c r="G1040">
        <v>30.37735245761257</v>
      </c>
      <c r="H1040">
        <v>-13.037490325155609</v>
      </c>
      <c r="I1040">
        <v>13.037490325155609</v>
      </c>
    </row>
    <row r="1041" spans="1:9">
      <c r="A1041" s="2">
        <v>44922</v>
      </c>
      <c r="B1041">
        <v>257</v>
      </c>
      <c r="C1041">
        <v>247.01437086814079</v>
      </c>
      <c r="D1041">
        <v>139.28989072952359</v>
      </c>
      <c r="E1041">
        <v>358.99006147183621</v>
      </c>
      <c r="F1041">
        <v>9.9856291318592127</v>
      </c>
      <c r="G1041">
        <v>9.9856291318592127</v>
      </c>
      <c r="H1041">
        <v>3.8854588061709001</v>
      </c>
      <c r="I1041">
        <v>3.8854588061709001</v>
      </c>
    </row>
    <row r="1042" spans="1:9">
      <c r="A1042" s="2">
        <v>44923</v>
      </c>
      <c r="B1042">
        <v>245</v>
      </c>
      <c r="C1042">
        <v>258.98222707432308</v>
      </c>
      <c r="D1042">
        <v>146.55155263773969</v>
      </c>
      <c r="E1042">
        <v>371.78022528253609</v>
      </c>
      <c r="F1042">
        <v>-13.982227074323079</v>
      </c>
      <c r="G1042">
        <v>13.982227074323079</v>
      </c>
      <c r="H1042">
        <v>-5.7070314589073794</v>
      </c>
      <c r="I1042">
        <v>5.7070314589073794</v>
      </c>
    </row>
    <row r="1043" spans="1:9">
      <c r="A1043" s="2">
        <v>44924</v>
      </c>
      <c r="B1043">
        <v>267</v>
      </c>
      <c r="C1043">
        <v>254.00898500551301</v>
      </c>
      <c r="D1043">
        <v>140.60991500429051</v>
      </c>
      <c r="E1043">
        <v>359.64922481517021</v>
      </c>
      <c r="F1043">
        <v>12.991014994487021</v>
      </c>
      <c r="G1043">
        <v>12.991014994487021</v>
      </c>
      <c r="H1043">
        <v>4.8655486870737894</v>
      </c>
      <c r="I1043">
        <v>4.8655486870737894</v>
      </c>
    </row>
    <row r="1044" spans="1:9">
      <c r="A1044" s="2">
        <v>44925</v>
      </c>
      <c r="B1044">
        <v>231</v>
      </c>
      <c r="C1044">
        <v>244.98465031702969</v>
      </c>
      <c r="D1044">
        <v>132.25241370294751</v>
      </c>
      <c r="E1044">
        <v>359.60353154351782</v>
      </c>
      <c r="F1044">
        <v>-13.98465031702966</v>
      </c>
      <c r="G1044">
        <v>13.98465031702966</v>
      </c>
      <c r="H1044">
        <v>-6.053961176203317</v>
      </c>
      <c r="I1044">
        <v>6.053961176203317</v>
      </c>
    </row>
    <row r="1045" spans="1:9">
      <c r="A1045" s="2">
        <v>44926</v>
      </c>
      <c r="B1045">
        <v>236</v>
      </c>
      <c r="C1045">
        <v>252.02072166693429</v>
      </c>
      <c r="D1045">
        <v>135.21490631019341</v>
      </c>
      <c r="E1045">
        <v>354.05631970288158</v>
      </c>
      <c r="F1045">
        <v>-16.020721666934321</v>
      </c>
      <c r="G1045">
        <v>16.020721666934321</v>
      </c>
      <c r="H1045">
        <v>-6.7884413842942042</v>
      </c>
      <c r="I1045">
        <v>6.7884413842942042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73B3-C323-474A-8A81-A742FF709411}">
  <dimension ref="A1:D273"/>
  <sheetViews>
    <sheetView workbookViewId="0">
      <selection activeCell="N3" sqref="N3"/>
    </sheetView>
  </sheetViews>
  <sheetFormatPr defaultRowHeight="15"/>
  <cols>
    <col min="1" max="1" width="11.42578125" bestFit="1" customWidth="1"/>
    <col min="2" max="2" width="9.140625" bestFit="1" customWidth="1"/>
    <col min="3" max="3" width="36.5703125" bestFit="1" customWidth="1"/>
    <col min="4" max="4" width="30.42578125" bestFit="1" customWidth="1"/>
    <col min="5" max="8" width="35.7109375" bestFit="1" customWidth="1"/>
  </cols>
  <sheetData>
    <row r="1" spans="1:4">
      <c r="A1" s="14" t="s">
        <v>1</v>
      </c>
      <c r="B1" t="s">
        <v>50</v>
      </c>
    </row>
    <row r="3" spans="1:4" ht="30.75">
      <c r="A3" s="14" t="s">
        <v>5</v>
      </c>
      <c r="B3" s="14" t="s">
        <v>4</v>
      </c>
      <c r="C3" s="18" t="s">
        <v>51</v>
      </c>
      <c r="D3" t="s">
        <v>52</v>
      </c>
    </row>
    <row r="4" spans="1:4">
      <c r="A4">
        <v>2020</v>
      </c>
      <c r="B4">
        <v>1</v>
      </c>
      <c r="C4" s="15">
        <v>435</v>
      </c>
      <c r="D4" s="15"/>
    </row>
    <row r="5" spans="1:4">
      <c r="B5">
        <v>2</v>
      </c>
      <c r="C5" s="15">
        <v>1023</v>
      </c>
      <c r="D5" s="15"/>
    </row>
    <row r="6" spans="1:4">
      <c r="B6">
        <v>3</v>
      </c>
      <c r="C6" s="15">
        <v>1713</v>
      </c>
      <c r="D6" s="15"/>
    </row>
    <row r="7" spans="1:4">
      <c r="B7">
        <v>4</v>
      </c>
      <c r="C7" s="15">
        <v>1149</v>
      </c>
      <c r="D7" s="15"/>
    </row>
    <row r="8" spans="1:4">
      <c r="B8">
        <v>5</v>
      </c>
      <c r="C8" s="15">
        <v>1057</v>
      </c>
      <c r="D8" s="15"/>
    </row>
    <row r="9" spans="1:4">
      <c r="B9">
        <v>6</v>
      </c>
      <c r="C9" s="15">
        <v>1121</v>
      </c>
      <c r="D9" s="15"/>
    </row>
    <row r="10" spans="1:4">
      <c r="B10">
        <v>7</v>
      </c>
      <c r="C10" s="15">
        <v>1736</v>
      </c>
      <c r="D10" s="15"/>
    </row>
    <row r="11" spans="1:4">
      <c r="B11">
        <v>8</v>
      </c>
      <c r="C11" s="15">
        <v>1308</v>
      </c>
      <c r="D11" s="15"/>
    </row>
    <row r="12" spans="1:4">
      <c r="B12">
        <v>9</v>
      </c>
      <c r="C12" s="15">
        <v>1240</v>
      </c>
      <c r="D12" s="15"/>
    </row>
    <row r="13" spans="1:4">
      <c r="B13">
        <v>10</v>
      </c>
      <c r="C13" s="15">
        <v>1382</v>
      </c>
      <c r="D13" s="15"/>
    </row>
    <row r="14" spans="1:4">
      <c r="B14">
        <v>11</v>
      </c>
      <c r="C14" s="15">
        <v>1345</v>
      </c>
      <c r="D14" s="15"/>
    </row>
    <row r="15" spans="1:4">
      <c r="B15">
        <v>12</v>
      </c>
      <c r="C15" s="15">
        <v>970</v>
      </c>
      <c r="D15" s="15"/>
    </row>
    <row r="16" spans="1:4">
      <c r="B16">
        <v>13</v>
      </c>
      <c r="C16" s="15">
        <v>797</v>
      </c>
      <c r="D16" s="15"/>
    </row>
    <row r="17" spans="2:4">
      <c r="B17">
        <v>14</v>
      </c>
      <c r="C17" s="15">
        <v>929</v>
      </c>
      <c r="D17" s="15"/>
    </row>
    <row r="18" spans="2:4">
      <c r="B18">
        <v>15</v>
      </c>
      <c r="C18" s="15">
        <v>1072</v>
      </c>
      <c r="D18" s="15"/>
    </row>
    <row r="19" spans="2:4">
      <c r="B19">
        <v>16</v>
      </c>
      <c r="C19" s="15">
        <v>1232</v>
      </c>
      <c r="D19" s="15"/>
    </row>
    <row r="20" spans="2:4">
      <c r="B20">
        <v>17</v>
      </c>
      <c r="C20" s="15">
        <v>1263</v>
      </c>
      <c r="D20" s="15"/>
    </row>
    <row r="21" spans="2:4">
      <c r="B21">
        <v>18</v>
      </c>
      <c r="C21" s="15">
        <v>1046</v>
      </c>
      <c r="D21" s="15"/>
    </row>
    <row r="22" spans="2:4">
      <c r="B22">
        <v>19</v>
      </c>
      <c r="C22" s="15">
        <v>1102</v>
      </c>
      <c r="D22" s="15"/>
    </row>
    <row r="23" spans="2:4">
      <c r="B23">
        <v>20</v>
      </c>
      <c r="C23" s="15">
        <v>1596</v>
      </c>
      <c r="D23" s="15"/>
    </row>
    <row r="24" spans="2:4">
      <c r="B24">
        <v>21</v>
      </c>
      <c r="C24" s="15">
        <v>1071</v>
      </c>
      <c r="D24" s="15"/>
    </row>
    <row r="25" spans="2:4">
      <c r="B25">
        <v>22</v>
      </c>
      <c r="C25" s="15">
        <v>961</v>
      </c>
      <c r="D25" s="15"/>
    </row>
    <row r="26" spans="2:4">
      <c r="B26">
        <v>23</v>
      </c>
      <c r="C26" s="15">
        <v>1308</v>
      </c>
      <c r="D26" s="15"/>
    </row>
    <row r="27" spans="2:4">
      <c r="B27">
        <v>24</v>
      </c>
      <c r="C27" s="15">
        <v>892</v>
      </c>
      <c r="D27" s="15"/>
    </row>
    <row r="28" spans="2:4">
      <c r="B28">
        <v>25</v>
      </c>
      <c r="C28" s="15">
        <v>824</v>
      </c>
      <c r="D28" s="15"/>
    </row>
    <row r="29" spans="2:4">
      <c r="B29">
        <v>26</v>
      </c>
      <c r="C29" s="15">
        <v>958</v>
      </c>
      <c r="D29" s="15"/>
    </row>
    <row r="30" spans="2:4">
      <c r="B30">
        <v>27</v>
      </c>
      <c r="C30" s="15">
        <v>1286</v>
      </c>
      <c r="D30" s="15"/>
    </row>
    <row r="31" spans="2:4">
      <c r="B31">
        <v>28</v>
      </c>
      <c r="C31" s="15">
        <v>1282</v>
      </c>
      <c r="D31" s="15"/>
    </row>
    <row r="32" spans="2:4">
      <c r="B32">
        <v>29</v>
      </c>
      <c r="C32" s="15">
        <v>1348</v>
      </c>
      <c r="D32" s="15"/>
    </row>
    <row r="33" spans="2:4">
      <c r="B33">
        <v>30</v>
      </c>
      <c r="C33" s="15">
        <v>1178</v>
      </c>
      <c r="D33" s="15"/>
    </row>
    <row r="34" spans="2:4">
      <c r="B34">
        <v>31</v>
      </c>
      <c r="C34" s="15">
        <v>1025</v>
      </c>
      <c r="D34" s="15"/>
    </row>
    <row r="35" spans="2:4">
      <c r="B35">
        <v>32</v>
      </c>
      <c r="C35" s="15">
        <v>1141</v>
      </c>
      <c r="D35" s="15"/>
    </row>
    <row r="36" spans="2:4">
      <c r="B36">
        <v>33</v>
      </c>
      <c r="C36" s="15">
        <v>1442</v>
      </c>
      <c r="D36" s="15"/>
    </row>
    <row r="37" spans="2:4">
      <c r="B37">
        <v>34</v>
      </c>
      <c r="C37" s="15">
        <v>937</v>
      </c>
      <c r="D37" s="15"/>
    </row>
    <row r="38" spans="2:4">
      <c r="B38">
        <v>35</v>
      </c>
      <c r="C38" s="15">
        <v>679</v>
      </c>
      <c r="D38" s="15"/>
    </row>
    <row r="39" spans="2:4">
      <c r="B39">
        <v>36</v>
      </c>
      <c r="C39" s="15">
        <v>1179</v>
      </c>
      <c r="D39" s="15"/>
    </row>
    <row r="40" spans="2:4">
      <c r="B40">
        <v>37</v>
      </c>
      <c r="C40" s="15">
        <v>1365</v>
      </c>
      <c r="D40" s="15"/>
    </row>
    <row r="41" spans="2:4">
      <c r="B41">
        <v>38</v>
      </c>
      <c r="C41" s="15">
        <v>663</v>
      </c>
      <c r="D41" s="15"/>
    </row>
    <row r="42" spans="2:4">
      <c r="B42">
        <v>39</v>
      </c>
      <c r="C42" s="15">
        <v>1111</v>
      </c>
      <c r="D42" s="15"/>
    </row>
    <row r="43" spans="2:4">
      <c r="B43">
        <v>40</v>
      </c>
      <c r="C43" s="15">
        <v>1580</v>
      </c>
      <c r="D43" s="15"/>
    </row>
    <row r="44" spans="2:4">
      <c r="B44">
        <v>41</v>
      </c>
      <c r="C44" s="15">
        <v>1444</v>
      </c>
      <c r="D44" s="15"/>
    </row>
    <row r="45" spans="2:4">
      <c r="B45">
        <v>42</v>
      </c>
      <c r="C45" s="15">
        <v>1324</v>
      </c>
      <c r="D45" s="15"/>
    </row>
    <row r="46" spans="2:4">
      <c r="B46">
        <v>43</v>
      </c>
      <c r="C46" s="15">
        <v>1641</v>
      </c>
      <c r="D46" s="15"/>
    </row>
    <row r="47" spans="2:4">
      <c r="B47">
        <v>44</v>
      </c>
      <c r="C47" s="15">
        <v>1420</v>
      </c>
      <c r="D47" s="15"/>
    </row>
    <row r="48" spans="2:4">
      <c r="B48">
        <v>45</v>
      </c>
      <c r="C48" s="15">
        <v>1181</v>
      </c>
      <c r="D48" s="15"/>
    </row>
    <row r="49" spans="1:4">
      <c r="B49">
        <v>46</v>
      </c>
      <c r="C49" s="15">
        <v>1368</v>
      </c>
      <c r="D49" s="15"/>
    </row>
    <row r="50" spans="1:4">
      <c r="B50">
        <v>47</v>
      </c>
      <c r="C50" s="15">
        <v>1113</v>
      </c>
      <c r="D50" s="15"/>
    </row>
    <row r="51" spans="1:4">
      <c r="B51">
        <v>48</v>
      </c>
      <c r="C51" s="15">
        <v>1023</v>
      </c>
      <c r="D51" s="15"/>
    </row>
    <row r="52" spans="1:4">
      <c r="B52">
        <v>49</v>
      </c>
      <c r="C52" s="15">
        <v>962</v>
      </c>
      <c r="D52" s="15"/>
    </row>
    <row r="53" spans="1:4">
      <c r="B53">
        <v>50</v>
      </c>
      <c r="C53" s="15">
        <v>1122</v>
      </c>
      <c r="D53" s="15"/>
    </row>
    <row r="54" spans="1:4">
      <c r="B54">
        <v>51</v>
      </c>
      <c r="C54" s="15">
        <v>1115</v>
      </c>
      <c r="D54" s="15"/>
    </row>
    <row r="55" spans="1:4">
      <c r="B55">
        <v>52</v>
      </c>
      <c r="C55" s="15">
        <v>1120</v>
      </c>
      <c r="D55" s="15"/>
    </row>
    <row r="56" spans="1:4">
      <c r="B56">
        <v>53</v>
      </c>
      <c r="C56" s="15">
        <v>1153</v>
      </c>
      <c r="D56" s="15"/>
    </row>
    <row r="57" spans="1:4">
      <c r="A57" t="s">
        <v>53</v>
      </c>
      <c r="C57" s="15">
        <v>61732</v>
      </c>
      <c r="D57" s="15"/>
    </row>
    <row r="58" spans="1:4">
      <c r="A58">
        <v>2021</v>
      </c>
      <c r="B58">
        <v>1</v>
      </c>
      <c r="C58" s="15">
        <v>446</v>
      </c>
      <c r="D58" s="15"/>
    </row>
    <row r="59" spans="1:4">
      <c r="B59">
        <v>2</v>
      </c>
      <c r="C59" s="15">
        <v>874</v>
      </c>
      <c r="D59" s="15"/>
    </row>
    <row r="60" spans="1:4">
      <c r="B60">
        <v>3</v>
      </c>
      <c r="C60" s="15">
        <v>1266</v>
      </c>
      <c r="D60" s="15"/>
    </row>
    <row r="61" spans="1:4">
      <c r="B61">
        <v>4</v>
      </c>
      <c r="C61" s="15">
        <v>1012</v>
      </c>
      <c r="D61" s="15"/>
    </row>
    <row r="62" spans="1:4">
      <c r="B62">
        <v>5</v>
      </c>
      <c r="C62" s="15">
        <v>1012</v>
      </c>
      <c r="D62" s="15"/>
    </row>
    <row r="63" spans="1:4">
      <c r="B63">
        <v>6</v>
      </c>
      <c r="C63" s="15">
        <v>737</v>
      </c>
      <c r="D63" s="15"/>
    </row>
    <row r="64" spans="1:4">
      <c r="B64">
        <v>7</v>
      </c>
      <c r="C64" s="15">
        <v>1169</v>
      </c>
      <c r="D64" s="15"/>
    </row>
    <row r="65" spans="2:4">
      <c r="B65">
        <v>8</v>
      </c>
      <c r="C65" s="15">
        <v>926</v>
      </c>
      <c r="D65" s="15"/>
    </row>
    <row r="66" spans="2:4">
      <c r="B66">
        <v>9</v>
      </c>
      <c r="C66" s="15">
        <v>904</v>
      </c>
      <c r="D66" s="15"/>
    </row>
    <row r="67" spans="2:4">
      <c r="B67">
        <v>10</v>
      </c>
      <c r="C67" s="15">
        <v>725</v>
      </c>
      <c r="D67" s="15"/>
    </row>
    <row r="68" spans="2:4">
      <c r="B68">
        <v>11</v>
      </c>
      <c r="C68" s="15">
        <v>1417</v>
      </c>
      <c r="D68" s="15"/>
    </row>
    <row r="69" spans="2:4">
      <c r="B69">
        <v>12</v>
      </c>
      <c r="C69" s="15">
        <v>774</v>
      </c>
      <c r="D69" s="15"/>
    </row>
    <row r="70" spans="2:4">
      <c r="B70">
        <v>13</v>
      </c>
      <c r="C70" s="15">
        <v>412</v>
      </c>
      <c r="D70" s="15"/>
    </row>
    <row r="71" spans="2:4">
      <c r="B71">
        <v>14</v>
      </c>
      <c r="C71" s="15">
        <v>708</v>
      </c>
      <c r="D71" s="15"/>
    </row>
    <row r="72" spans="2:4">
      <c r="B72">
        <v>15</v>
      </c>
      <c r="C72" s="15">
        <v>731</v>
      </c>
      <c r="D72" s="15"/>
    </row>
    <row r="73" spans="2:4">
      <c r="B73">
        <v>16</v>
      </c>
      <c r="C73" s="15">
        <v>1075</v>
      </c>
      <c r="D73" s="15"/>
    </row>
    <row r="74" spans="2:4">
      <c r="B74">
        <v>17</v>
      </c>
      <c r="C74" s="15">
        <v>668</v>
      </c>
      <c r="D74" s="15"/>
    </row>
    <row r="75" spans="2:4">
      <c r="B75">
        <v>18</v>
      </c>
      <c r="C75" s="15">
        <v>1124</v>
      </c>
      <c r="D75" s="15"/>
    </row>
    <row r="76" spans="2:4">
      <c r="B76">
        <v>19</v>
      </c>
      <c r="C76" s="15">
        <v>889</v>
      </c>
      <c r="D76" s="15"/>
    </row>
    <row r="77" spans="2:4">
      <c r="B77">
        <v>20</v>
      </c>
      <c r="C77" s="15">
        <v>675</v>
      </c>
      <c r="D77" s="15"/>
    </row>
    <row r="78" spans="2:4">
      <c r="B78">
        <v>21</v>
      </c>
      <c r="C78" s="15">
        <v>805</v>
      </c>
      <c r="D78" s="15"/>
    </row>
    <row r="79" spans="2:4">
      <c r="B79">
        <v>22</v>
      </c>
      <c r="C79" s="15">
        <v>614</v>
      </c>
      <c r="D79" s="15"/>
    </row>
    <row r="80" spans="2:4">
      <c r="B80">
        <v>23</v>
      </c>
      <c r="C80" s="15">
        <v>829</v>
      </c>
      <c r="D80" s="15"/>
    </row>
    <row r="81" spans="2:4">
      <c r="B81">
        <v>24</v>
      </c>
      <c r="C81" s="15">
        <v>1166</v>
      </c>
      <c r="D81" s="15"/>
    </row>
    <row r="82" spans="2:4">
      <c r="B82">
        <v>25</v>
      </c>
      <c r="C82" s="15">
        <v>1159</v>
      </c>
      <c r="D82" s="15"/>
    </row>
    <row r="83" spans="2:4">
      <c r="B83">
        <v>26</v>
      </c>
      <c r="C83" s="15">
        <v>1350</v>
      </c>
      <c r="D83" s="15"/>
    </row>
    <row r="84" spans="2:4">
      <c r="B84">
        <v>27</v>
      </c>
      <c r="C84" s="15">
        <v>675</v>
      </c>
      <c r="D84" s="15"/>
    </row>
    <row r="85" spans="2:4">
      <c r="B85">
        <v>28</v>
      </c>
      <c r="C85" s="15">
        <v>938</v>
      </c>
      <c r="D85" s="15"/>
    </row>
    <row r="86" spans="2:4">
      <c r="B86">
        <v>29</v>
      </c>
      <c r="C86" s="15">
        <v>1093</v>
      </c>
      <c r="D86" s="15"/>
    </row>
    <row r="87" spans="2:4">
      <c r="B87">
        <v>30</v>
      </c>
      <c r="C87" s="15">
        <v>1118</v>
      </c>
      <c r="D87" s="15"/>
    </row>
    <row r="88" spans="2:4">
      <c r="B88">
        <v>31</v>
      </c>
      <c r="C88" s="15">
        <v>1048</v>
      </c>
      <c r="D88" s="15"/>
    </row>
    <row r="89" spans="2:4">
      <c r="B89">
        <v>32</v>
      </c>
      <c r="C89" s="15">
        <v>990</v>
      </c>
      <c r="D89" s="15"/>
    </row>
    <row r="90" spans="2:4">
      <c r="B90">
        <v>33</v>
      </c>
      <c r="C90" s="15">
        <v>803</v>
      </c>
      <c r="D90" s="15"/>
    </row>
    <row r="91" spans="2:4">
      <c r="B91">
        <v>34</v>
      </c>
      <c r="C91" s="15">
        <v>668</v>
      </c>
      <c r="D91" s="15"/>
    </row>
    <row r="92" spans="2:4">
      <c r="B92">
        <v>35</v>
      </c>
      <c r="C92" s="15">
        <v>723</v>
      </c>
      <c r="D92" s="15"/>
    </row>
    <row r="93" spans="2:4">
      <c r="B93">
        <v>36</v>
      </c>
      <c r="C93" s="15">
        <v>1026</v>
      </c>
      <c r="D93" s="15"/>
    </row>
    <row r="94" spans="2:4">
      <c r="B94">
        <v>37</v>
      </c>
      <c r="C94" s="15">
        <v>805</v>
      </c>
      <c r="D94" s="15"/>
    </row>
    <row r="95" spans="2:4">
      <c r="B95">
        <v>38</v>
      </c>
      <c r="C95" s="15">
        <v>905</v>
      </c>
      <c r="D95" s="15"/>
    </row>
    <row r="96" spans="2:4">
      <c r="B96">
        <v>39</v>
      </c>
      <c r="C96" s="15">
        <v>902</v>
      </c>
      <c r="D96" s="15"/>
    </row>
    <row r="97" spans="1:4">
      <c r="B97">
        <v>40</v>
      </c>
      <c r="C97" s="15">
        <v>634</v>
      </c>
      <c r="D97" s="15"/>
    </row>
    <row r="98" spans="1:4">
      <c r="B98">
        <v>41</v>
      </c>
      <c r="C98" s="15">
        <v>1085</v>
      </c>
      <c r="D98" s="15"/>
    </row>
    <row r="99" spans="1:4">
      <c r="B99">
        <v>42</v>
      </c>
      <c r="C99" s="15">
        <v>931</v>
      </c>
      <c r="D99" s="15"/>
    </row>
    <row r="100" spans="1:4">
      <c r="B100">
        <v>43</v>
      </c>
      <c r="C100" s="15">
        <v>935</v>
      </c>
      <c r="D100" s="15"/>
    </row>
    <row r="101" spans="1:4">
      <c r="B101">
        <v>44</v>
      </c>
      <c r="C101" s="15">
        <v>1030</v>
      </c>
      <c r="D101" s="15"/>
    </row>
    <row r="102" spans="1:4">
      <c r="B102">
        <v>45</v>
      </c>
      <c r="C102" s="15">
        <v>983</v>
      </c>
      <c r="D102" s="15"/>
    </row>
    <row r="103" spans="1:4">
      <c r="B103">
        <v>46</v>
      </c>
      <c r="C103" s="15">
        <v>943</v>
      </c>
      <c r="D103" s="15"/>
    </row>
    <row r="104" spans="1:4">
      <c r="B104">
        <v>47</v>
      </c>
      <c r="C104" s="15">
        <v>537</v>
      </c>
      <c r="D104" s="15"/>
    </row>
    <row r="105" spans="1:4">
      <c r="B105">
        <v>48</v>
      </c>
      <c r="C105" s="15">
        <v>462</v>
      </c>
      <c r="D105" s="15"/>
    </row>
    <row r="106" spans="1:4">
      <c r="B106">
        <v>49</v>
      </c>
      <c r="C106" s="15">
        <v>1476</v>
      </c>
      <c r="D106" s="15"/>
    </row>
    <row r="107" spans="1:4">
      <c r="B107">
        <v>50</v>
      </c>
      <c r="C107" s="15">
        <v>981</v>
      </c>
      <c r="D107" s="15"/>
    </row>
    <row r="108" spans="1:4">
      <c r="B108">
        <v>51</v>
      </c>
      <c r="C108" s="15">
        <v>1274</v>
      </c>
      <c r="D108" s="15"/>
    </row>
    <row r="109" spans="1:4">
      <c r="B109">
        <v>52</v>
      </c>
      <c r="C109" s="15">
        <v>1027</v>
      </c>
      <c r="D109" s="15"/>
    </row>
    <row r="110" spans="1:4">
      <c r="B110">
        <v>53</v>
      </c>
      <c r="C110" s="15">
        <v>857</v>
      </c>
      <c r="D110" s="15"/>
    </row>
    <row r="111" spans="1:4">
      <c r="A111" t="s">
        <v>54</v>
      </c>
      <c r="C111" s="15">
        <v>48316</v>
      </c>
      <c r="D111" s="15"/>
    </row>
    <row r="112" spans="1:4">
      <c r="A112">
        <v>2022</v>
      </c>
      <c r="B112">
        <v>1</v>
      </c>
      <c r="C112" s="15">
        <v>161</v>
      </c>
      <c r="D112" s="15"/>
    </row>
    <row r="113" spans="2:4">
      <c r="B113">
        <v>2</v>
      </c>
      <c r="C113" s="15">
        <v>1005</v>
      </c>
      <c r="D113" s="15"/>
    </row>
    <row r="114" spans="2:4">
      <c r="B114">
        <v>3</v>
      </c>
      <c r="C114" s="15">
        <v>1524</v>
      </c>
      <c r="D114" s="15"/>
    </row>
    <row r="115" spans="2:4">
      <c r="B115">
        <v>4</v>
      </c>
      <c r="C115" s="15">
        <v>1280</v>
      </c>
      <c r="D115" s="15"/>
    </row>
    <row r="116" spans="2:4">
      <c r="B116">
        <v>5</v>
      </c>
      <c r="C116" s="15">
        <v>1060</v>
      </c>
      <c r="D116" s="15"/>
    </row>
    <row r="117" spans="2:4">
      <c r="B117">
        <v>6</v>
      </c>
      <c r="C117" s="15">
        <v>1706</v>
      </c>
      <c r="D117" s="15"/>
    </row>
    <row r="118" spans="2:4">
      <c r="B118">
        <v>7</v>
      </c>
      <c r="C118" s="15">
        <v>793</v>
      </c>
      <c r="D118" s="15"/>
    </row>
    <row r="119" spans="2:4">
      <c r="B119">
        <v>8</v>
      </c>
      <c r="C119" s="15">
        <v>2188</v>
      </c>
      <c r="D119" s="15"/>
    </row>
    <row r="120" spans="2:4">
      <c r="B120">
        <v>9</v>
      </c>
      <c r="C120" s="15">
        <v>2168</v>
      </c>
      <c r="D120" s="15"/>
    </row>
    <row r="121" spans="2:4">
      <c r="B121">
        <v>10</v>
      </c>
      <c r="C121" s="15">
        <v>1042</v>
      </c>
      <c r="D121" s="15"/>
    </row>
    <row r="122" spans="2:4">
      <c r="B122">
        <v>11</v>
      </c>
      <c r="C122" s="15">
        <v>1268</v>
      </c>
      <c r="D122" s="15"/>
    </row>
    <row r="123" spans="2:4">
      <c r="B123">
        <v>12</v>
      </c>
      <c r="C123" s="15">
        <v>776</v>
      </c>
      <c r="D123" s="15"/>
    </row>
    <row r="124" spans="2:4">
      <c r="B124">
        <v>13</v>
      </c>
      <c r="C124" s="15">
        <v>1146</v>
      </c>
      <c r="D124" s="15"/>
    </row>
    <row r="125" spans="2:4">
      <c r="B125">
        <v>14</v>
      </c>
      <c r="C125" s="15">
        <v>1111</v>
      </c>
      <c r="D125" s="15"/>
    </row>
    <row r="126" spans="2:4">
      <c r="B126">
        <v>15</v>
      </c>
      <c r="C126" s="15">
        <v>1667</v>
      </c>
      <c r="D126" s="15"/>
    </row>
    <row r="127" spans="2:4">
      <c r="B127">
        <v>16</v>
      </c>
      <c r="C127" s="15">
        <v>800</v>
      </c>
      <c r="D127" s="15"/>
    </row>
    <row r="128" spans="2:4">
      <c r="B128">
        <v>18</v>
      </c>
      <c r="C128" s="15">
        <v>252</v>
      </c>
      <c r="D128" s="15"/>
    </row>
    <row r="129" spans="2:4">
      <c r="B129">
        <v>19</v>
      </c>
      <c r="C129" s="15">
        <v>1794</v>
      </c>
      <c r="D129" s="15"/>
    </row>
    <row r="130" spans="2:4">
      <c r="B130">
        <v>20</v>
      </c>
      <c r="C130" s="15">
        <v>1632</v>
      </c>
      <c r="D130" s="15"/>
    </row>
    <row r="131" spans="2:4">
      <c r="B131">
        <v>21</v>
      </c>
      <c r="C131" s="15">
        <v>1570</v>
      </c>
      <c r="D131" s="15"/>
    </row>
    <row r="132" spans="2:4">
      <c r="B132">
        <v>22</v>
      </c>
      <c r="C132" s="15">
        <v>1579</v>
      </c>
      <c r="D132" s="15"/>
    </row>
    <row r="133" spans="2:4">
      <c r="B133">
        <v>23</v>
      </c>
      <c r="C133" s="15">
        <v>1195</v>
      </c>
      <c r="D133" s="15"/>
    </row>
    <row r="134" spans="2:4">
      <c r="B134">
        <v>24</v>
      </c>
      <c r="C134" s="15">
        <v>1554</v>
      </c>
      <c r="D134" s="15"/>
    </row>
    <row r="135" spans="2:4">
      <c r="B135">
        <v>25</v>
      </c>
      <c r="C135" s="15">
        <v>1516</v>
      </c>
      <c r="D135" s="15"/>
    </row>
    <row r="136" spans="2:4">
      <c r="B136">
        <v>26</v>
      </c>
      <c r="C136" s="15">
        <v>1866</v>
      </c>
      <c r="D136" s="15"/>
    </row>
    <row r="137" spans="2:4">
      <c r="B137">
        <v>27</v>
      </c>
      <c r="C137" s="15">
        <v>1304</v>
      </c>
      <c r="D137" s="15"/>
    </row>
    <row r="138" spans="2:4">
      <c r="B138">
        <v>28</v>
      </c>
      <c r="C138" s="15">
        <v>1844</v>
      </c>
      <c r="D138" s="15"/>
    </row>
    <row r="139" spans="2:4">
      <c r="B139">
        <v>29</v>
      </c>
      <c r="C139" s="15">
        <v>1632</v>
      </c>
      <c r="D139" s="15"/>
    </row>
    <row r="140" spans="2:4">
      <c r="B140">
        <v>30</v>
      </c>
      <c r="C140" s="15">
        <v>1531</v>
      </c>
      <c r="D140" s="15"/>
    </row>
    <row r="141" spans="2:4">
      <c r="B141">
        <v>31</v>
      </c>
      <c r="C141" s="15">
        <v>1213</v>
      </c>
      <c r="D141" s="15"/>
    </row>
    <row r="142" spans="2:4">
      <c r="B142">
        <v>32</v>
      </c>
      <c r="C142" s="15">
        <v>1464</v>
      </c>
      <c r="D142" s="15"/>
    </row>
    <row r="143" spans="2:4">
      <c r="B143">
        <v>33</v>
      </c>
      <c r="C143" s="15">
        <v>1271</v>
      </c>
      <c r="D143" s="15"/>
    </row>
    <row r="144" spans="2:4">
      <c r="B144">
        <v>34</v>
      </c>
      <c r="C144" s="15">
        <v>1305</v>
      </c>
      <c r="D144" s="15"/>
    </row>
    <row r="145" spans="2:4">
      <c r="B145">
        <v>35</v>
      </c>
      <c r="C145" s="15">
        <v>1339</v>
      </c>
      <c r="D145" s="15"/>
    </row>
    <row r="146" spans="2:4">
      <c r="B146">
        <v>36</v>
      </c>
      <c r="C146" s="15">
        <v>632</v>
      </c>
      <c r="D146" s="15"/>
    </row>
    <row r="147" spans="2:4">
      <c r="B147">
        <v>37</v>
      </c>
      <c r="C147" s="15">
        <v>1260</v>
      </c>
      <c r="D147" s="15"/>
    </row>
    <row r="148" spans="2:4">
      <c r="B148">
        <v>38</v>
      </c>
      <c r="C148" s="15">
        <v>1745</v>
      </c>
      <c r="D148" s="15"/>
    </row>
    <row r="149" spans="2:4">
      <c r="B149">
        <v>39</v>
      </c>
      <c r="C149" s="15">
        <v>1025</v>
      </c>
      <c r="D149" s="15"/>
    </row>
    <row r="150" spans="2:4">
      <c r="B150">
        <v>40</v>
      </c>
      <c r="C150" s="15">
        <v>1198</v>
      </c>
      <c r="D150" s="15"/>
    </row>
    <row r="151" spans="2:4">
      <c r="B151">
        <v>41</v>
      </c>
      <c r="C151" s="15">
        <v>1198</v>
      </c>
      <c r="D151" s="15"/>
    </row>
    <row r="152" spans="2:4">
      <c r="B152">
        <v>42</v>
      </c>
      <c r="C152" s="15">
        <v>1398</v>
      </c>
      <c r="D152" s="15"/>
    </row>
    <row r="153" spans="2:4">
      <c r="B153">
        <v>43</v>
      </c>
      <c r="C153" s="15">
        <v>1437</v>
      </c>
      <c r="D153" s="15"/>
    </row>
    <row r="154" spans="2:4">
      <c r="B154">
        <v>44</v>
      </c>
      <c r="C154" s="15">
        <v>977</v>
      </c>
      <c r="D154" s="15"/>
    </row>
    <row r="155" spans="2:4">
      <c r="B155">
        <v>45</v>
      </c>
      <c r="C155" s="15">
        <v>1390</v>
      </c>
      <c r="D155" s="15"/>
    </row>
    <row r="156" spans="2:4">
      <c r="B156">
        <v>46</v>
      </c>
      <c r="C156" s="15">
        <v>1483</v>
      </c>
      <c r="D156" s="15"/>
    </row>
    <row r="157" spans="2:4">
      <c r="B157">
        <v>47</v>
      </c>
      <c r="C157" s="15">
        <v>985</v>
      </c>
      <c r="D157" s="15"/>
    </row>
    <row r="158" spans="2:4">
      <c r="B158">
        <v>48</v>
      </c>
      <c r="C158" s="15">
        <v>1025</v>
      </c>
      <c r="D158" s="15"/>
    </row>
    <row r="159" spans="2:4">
      <c r="B159">
        <v>49</v>
      </c>
      <c r="C159" s="15">
        <v>1027</v>
      </c>
      <c r="D159" s="15"/>
    </row>
    <row r="160" spans="2:4">
      <c r="B160">
        <v>50</v>
      </c>
      <c r="C160" s="15">
        <v>1648</v>
      </c>
      <c r="D160" s="15"/>
    </row>
    <row r="161" spans="1:4">
      <c r="B161">
        <v>51</v>
      </c>
      <c r="C161" s="15">
        <v>2115</v>
      </c>
      <c r="D161" s="15"/>
    </row>
    <row r="162" spans="1:4">
      <c r="B162">
        <v>52</v>
      </c>
      <c r="C162" s="15">
        <v>1761</v>
      </c>
      <c r="D162" s="15"/>
    </row>
    <row r="163" spans="1:4">
      <c r="B163">
        <v>53</v>
      </c>
      <c r="C163" s="15">
        <v>1516</v>
      </c>
      <c r="D163" s="15"/>
    </row>
    <row r="164" spans="1:4">
      <c r="A164" t="s">
        <v>55</v>
      </c>
      <c r="C164" s="15">
        <v>69376</v>
      </c>
      <c r="D164" s="15"/>
    </row>
    <row r="165" spans="1:4">
      <c r="A165">
        <v>2023</v>
      </c>
      <c r="B165">
        <v>1</v>
      </c>
      <c r="C165" s="15">
        <v>1808</v>
      </c>
      <c r="D165" s="15">
        <v>1348.4556520985091</v>
      </c>
    </row>
    <row r="166" spans="1:4">
      <c r="B166">
        <v>2</v>
      </c>
      <c r="C166" s="15">
        <v>1868</v>
      </c>
      <c r="D166" s="15">
        <v>1350.1333348013013</v>
      </c>
    </row>
    <row r="167" spans="1:4">
      <c r="B167">
        <v>3</v>
      </c>
      <c r="C167" s="15">
        <v>1459</v>
      </c>
      <c r="D167" s="15">
        <v>1334.2600456776488</v>
      </c>
    </row>
    <row r="168" spans="1:4">
      <c r="B168">
        <v>4</v>
      </c>
      <c r="C168" s="15">
        <v>1934</v>
      </c>
      <c r="D168" s="15">
        <v>1308.8676563161787</v>
      </c>
    </row>
    <row r="169" spans="1:4">
      <c r="B169">
        <v>5</v>
      </c>
      <c r="C169" s="15">
        <v>2202</v>
      </c>
      <c r="D169" s="15">
        <v>1317.5298763175247</v>
      </c>
    </row>
    <row r="170" spans="1:4">
      <c r="B170">
        <v>6</v>
      </c>
      <c r="C170" s="15">
        <v>1508</v>
      </c>
      <c r="D170" s="15">
        <v>1397.5916626169189</v>
      </c>
    </row>
    <row r="171" spans="1:4">
      <c r="B171">
        <v>7</v>
      </c>
      <c r="C171" s="15">
        <v>1925</v>
      </c>
      <c r="D171" s="15">
        <v>1525.5520301242148</v>
      </c>
    </row>
    <row r="172" spans="1:4">
      <c r="B172">
        <v>8</v>
      </c>
      <c r="C172" s="15">
        <v>1954</v>
      </c>
      <c r="D172" s="15">
        <v>1614.6559729949158</v>
      </c>
    </row>
    <row r="173" spans="1:4">
      <c r="B173">
        <v>9</v>
      </c>
      <c r="C173" s="15">
        <v>1820</v>
      </c>
      <c r="D173" s="15">
        <v>1582.572567778441</v>
      </c>
    </row>
    <row r="174" spans="1:4">
      <c r="B174">
        <v>10</v>
      </c>
      <c r="C174" s="15">
        <v>1200</v>
      </c>
      <c r="D174" s="15">
        <v>1430.2434437093111</v>
      </c>
    </row>
    <row r="175" spans="1:4">
      <c r="B175">
        <v>11</v>
      </c>
      <c r="C175" s="15">
        <v>1148</v>
      </c>
      <c r="D175" s="15">
        <v>1251.8095321272681</v>
      </c>
    </row>
    <row r="176" spans="1:4">
      <c r="B176">
        <v>12</v>
      </c>
      <c r="C176" s="15">
        <v>314</v>
      </c>
      <c r="D176" s="15">
        <v>1159.8084925556125</v>
      </c>
    </row>
    <row r="177" spans="2:4">
      <c r="B177">
        <v>13</v>
      </c>
      <c r="C177" s="15">
        <v>805</v>
      </c>
      <c r="D177" s="15">
        <v>1194.9081957069109</v>
      </c>
    </row>
    <row r="178" spans="2:4">
      <c r="B178">
        <v>14</v>
      </c>
      <c r="C178" s="15">
        <v>1679</v>
      </c>
      <c r="D178" s="15">
        <v>1304.3676475807324</v>
      </c>
    </row>
    <row r="179" spans="2:4">
      <c r="B179">
        <v>15</v>
      </c>
      <c r="C179" s="15">
        <v>2010</v>
      </c>
      <c r="D179" s="15">
        <v>1402.2706847407294</v>
      </c>
    </row>
    <row r="180" spans="2:4">
      <c r="B180">
        <v>16</v>
      </c>
      <c r="C180" s="15">
        <v>1243</v>
      </c>
      <c r="D180" s="15">
        <v>1444.6637634750994</v>
      </c>
    </row>
    <row r="181" spans="2:4">
      <c r="B181">
        <v>17</v>
      </c>
      <c r="C181" s="15">
        <v>1577</v>
      </c>
      <c r="D181" s="15">
        <v>1447.8783601274349</v>
      </c>
    </row>
    <row r="182" spans="2:4">
      <c r="B182">
        <v>18</v>
      </c>
      <c r="C182" s="15">
        <v>1124</v>
      </c>
      <c r="D182" s="15">
        <v>1446.7113841675143</v>
      </c>
    </row>
    <row r="183" spans="2:4">
      <c r="B183">
        <v>19</v>
      </c>
      <c r="C183" s="15">
        <v>1220</v>
      </c>
      <c r="D183" s="15">
        <v>1450.3912095864441</v>
      </c>
    </row>
    <row r="184" spans="2:4">
      <c r="B184">
        <v>20</v>
      </c>
      <c r="C184" s="15">
        <v>1302</v>
      </c>
      <c r="D184" s="15">
        <v>1443.8910250921097</v>
      </c>
    </row>
    <row r="185" spans="2:4">
      <c r="B185">
        <v>21</v>
      </c>
      <c r="C185" s="15">
        <v>1220</v>
      </c>
      <c r="D185" s="15">
        <v>1421.6464680272445</v>
      </c>
    </row>
    <row r="186" spans="2:4">
      <c r="B186">
        <v>22</v>
      </c>
      <c r="C186" s="15">
        <v>1230</v>
      </c>
      <c r="D186" s="15">
        <v>1404.9389627737798</v>
      </c>
    </row>
    <row r="187" spans="2:4">
      <c r="B187">
        <v>23</v>
      </c>
      <c r="C187" s="15">
        <v>12</v>
      </c>
      <c r="D187" s="15">
        <v>1420.8166276271784</v>
      </c>
    </row>
    <row r="188" spans="2:4">
      <c r="B188">
        <v>24</v>
      </c>
      <c r="C188" s="15"/>
      <c r="D188" s="15">
        <v>1470.5036030070235</v>
      </c>
    </row>
    <row r="189" spans="2:4">
      <c r="B189">
        <v>25</v>
      </c>
      <c r="C189" s="15"/>
      <c r="D189" s="15">
        <v>1526.5242933396323</v>
      </c>
    </row>
    <row r="190" spans="2:4">
      <c r="B190">
        <v>26</v>
      </c>
      <c r="C190" s="15"/>
      <c r="D190" s="15">
        <v>1560.4600360828633</v>
      </c>
    </row>
    <row r="191" spans="2:4">
      <c r="B191">
        <v>27</v>
      </c>
      <c r="C191" s="15"/>
      <c r="D191" s="15">
        <v>1566.8438083174392</v>
      </c>
    </row>
    <row r="192" spans="2:4">
      <c r="B192">
        <v>28</v>
      </c>
      <c r="C192" s="15"/>
      <c r="D192" s="15">
        <v>1557.1948305868302</v>
      </c>
    </row>
    <row r="193" spans="2:4">
      <c r="B193">
        <v>29</v>
      </c>
      <c r="C193" s="15"/>
      <c r="D193" s="15">
        <v>1537.2937528706907</v>
      </c>
    </row>
    <row r="194" spans="2:4">
      <c r="B194">
        <v>30</v>
      </c>
      <c r="C194" s="15"/>
      <c r="D194" s="15">
        <v>1499.8848950653696</v>
      </c>
    </row>
    <row r="195" spans="2:4">
      <c r="B195">
        <v>31</v>
      </c>
      <c r="C195" s="15"/>
      <c r="D195" s="15">
        <v>1441.8357389501634</v>
      </c>
    </row>
    <row r="196" spans="2:4">
      <c r="B196">
        <v>32</v>
      </c>
      <c r="C196" s="15"/>
      <c r="D196" s="15">
        <v>1381.0651870407273</v>
      </c>
    </row>
    <row r="197" spans="2:4">
      <c r="B197">
        <v>33</v>
      </c>
      <c r="C197" s="15"/>
      <c r="D197" s="15">
        <v>1347.5506124358035</v>
      </c>
    </row>
    <row r="198" spans="2:4">
      <c r="B198">
        <v>34</v>
      </c>
      <c r="C198" s="15"/>
      <c r="D198" s="15">
        <v>1355.2060795419495</v>
      </c>
    </row>
    <row r="199" spans="2:4">
      <c r="B199">
        <v>35</v>
      </c>
      <c r="C199" s="15"/>
      <c r="D199" s="15">
        <v>1386.5980862133911</v>
      </c>
    </row>
    <row r="200" spans="2:4">
      <c r="B200">
        <v>36</v>
      </c>
      <c r="C200" s="15"/>
      <c r="D200" s="15">
        <v>1409.5024742331468</v>
      </c>
    </row>
    <row r="201" spans="2:4">
      <c r="B201">
        <v>37</v>
      </c>
      <c r="C201" s="15"/>
      <c r="D201" s="15">
        <v>1408.9080905857036</v>
      </c>
    </row>
    <row r="202" spans="2:4">
      <c r="B202">
        <v>38</v>
      </c>
      <c r="C202" s="15"/>
      <c r="D202" s="15">
        <v>1401.3309093346591</v>
      </c>
    </row>
    <row r="203" spans="2:4">
      <c r="B203">
        <v>39</v>
      </c>
      <c r="C203" s="15"/>
      <c r="D203" s="15">
        <v>1417.5656440321334</v>
      </c>
    </row>
    <row r="204" spans="2:4">
      <c r="B204">
        <v>40</v>
      </c>
      <c r="C204" s="15"/>
      <c r="D204" s="15">
        <v>1471.8091833301887</v>
      </c>
    </row>
    <row r="205" spans="2:4">
      <c r="B205">
        <v>41</v>
      </c>
      <c r="C205" s="15"/>
      <c r="D205" s="15">
        <v>1545.9691599399139</v>
      </c>
    </row>
    <row r="206" spans="2:4">
      <c r="B206">
        <v>42</v>
      </c>
      <c r="C206" s="15"/>
      <c r="D206" s="15">
        <v>1601.2733678040256</v>
      </c>
    </row>
    <row r="207" spans="2:4">
      <c r="B207">
        <v>43</v>
      </c>
      <c r="C207" s="15"/>
      <c r="D207" s="15">
        <v>1605.9633547598555</v>
      </c>
    </row>
    <row r="208" spans="2:4">
      <c r="B208">
        <v>44</v>
      </c>
      <c r="C208" s="15"/>
      <c r="D208" s="15">
        <v>1558.3303224664251</v>
      </c>
    </row>
    <row r="209" spans="1:4">
      <c r="B209">
        <v>45</v>
      </c>
      <c r="C209" s="15"/>
      <c r="D209" s="15">
        <v>1490.2347367051425</v>
      </c>
    </row>
    <row r="210" spans="1:4">
      <c r="B210">
        <v>46</v>
      </c>
      <c r="C210" s="15"/>
      <c r="D210" s="15">
        <v>1448.4705856601122</v>
      </c>
    </row>
    <row r="211" spans="1:4">
      <c r="B211">
        <v>47</v>
      </c>
      <c r="C211" s="15"/>
      <c r="D211" s="15">
        <v>1464.2288446476232</v>
      </c>
    </row>
    <row r="212" spans="1:4">
      <c r="B212">
        <v>48</v>
      </c>
      <c r="C212" s="15"/>
      <c r="D212" s="15">
        <v>1530.962586276311</v>
      </c>
    </row>
    <row r="213" spans="1:4">
      <c r="B213">
        <v>49</v>
      </c>
      <c r="C213" s="15"/>
      <c r="D213" s="15">
        <v>1609.4368429810502</v>
      </c>
    </row>
    <row r="214" spans="1:4">
      <c r="B214">
        <v>50</v>
      </c>
      <c r="C214" s="15"/>
      <c r="D214" s="15">
        <v>1659.1629591154121</v>
      </c>
    </row>
    <row r="215" spans="1:4">
      <c r="B215">
        <v>51</v>
      </c>
      <c r="C215" s="15"/>
      <c r="D215" s="15">
        <v>1669.9617148818534</v>
      </c>
    </row>
    <row r="216" spans="1:4">
      <c r="B216">
        <v>52</v>
      </c>
      <c r="C216" s="15"/>
      <c r="D216" s="15">
        <v>1663.3943063998045</v>
      </c>
    </row>
    <row r="217" spans="1:4">
      <c r="B217">
        <v>53</v>
      </c>
      <c r="C217" s="15"/>
      <c r="D217" s="15">
        <v>175.58927037432682</v>
      </c>
    </row>
    <row r="218" spans="1:4">
      <c r="A218" t="s">
        <v>56</v>
      </c>
      <c r="C218" s="15">
        <v>32562</v>
      </c>
      <c r="D218" s="15">
        <v>75767.019873002588</v>
      </c>
    </row>
    <row r="219" spans="1:4">
      <c r="A219">
        <v>2024</v>
      </c>
      <c r="B219">
        <v>1</v>
      </c>
      <c r="C219" s="15"/>
      <c r="D219" s="15">
        <v>1487.196174808332</v>
      </c>
    </row>
    <row r="220" spans="1:4">
      <c r="B220">
        <v>2</v>
      </c>
      <c r="C220" s="15"/>
      <c r="D220" s="15">
        <v>1665.8566544742841</v>
      </c>
    </row>
    <row r="221" spans="1:4">
      <c r="B221">
        <v>3</v>
      </c>
      <c r="C221" s="15"/>
      <c r="D221" s="15">
        <v>1653.6960801398295</v>
      </c>
    </row>
    <row r="222" spans="1:4">
      <c r="B222">
        <v>4</v>
      </c>
      <c r="C222" s="15"/>
      <c r="D222" s="15">
        <v>1627.5485783503545</v>
      </c>
    </row>
    <row r="223" spans="1:4">
      <c r="B223">
        <v>5</v>
      </c>
      <c r="C223" s="15"/>
      <c r="D223" s="15">
        <v>1626.3831826284263</v>
      </c>
    </row>
    <row r="224" spans="1:4">
      <c r="B224">
        <v>6</v>
      </c>
      <c r="C224" s="15"/>
      <c r="D224" s="15">
        <v>1693.1895252719644</v>
      </c>
    </row>
    <row r="225" spans="2:4">
      <c r="B225">
        <v>7</v>
      </c>
      <c r="C225" s="15"/>
      <c r="D225" s="15">
        <v>1817.6995151567085</v>
      </c>
    </row>
    <row r="226" spans="2:4">
      <c r="B226">
        <v>8</v>
      </c>
      <c r="C226" s="15"/>
      <c r="D226" s="15">
        <v>1921.123037141012</v>
      </c>
    </row>
    <row r="227" spans="2:4">
      <c r="B227">
        <v>9</v>
      </c>
      <c r="C227" s="15"/>
      <c r="D227" s="15">
        <v>1913.6957674116452</v>
      </c>
    </row>
    <row r="228" spans="2:4">
      <c r="B228">
        <v>10</v>
      </c>
      <c r="C228" s="15"/>
      <c r="D228" s="15">
        <v>1778.0196051865721</v>
      </c>
    </row>
    <row r="229" spans="2:4">
      <c r="B229">
        <v>11</v>
      </c>
      <c r="C229" s="15"/>
      <c r="D229" s="15">
        <v>1595.1588213270547</v>
      </c>
    </row>
    <row r="230" spans="2:4">
      <c r="B230">
        <v>12</v>
      </c>
      <c r="C230" s="15"/>
      <c r="D230" s="15">
        <v>1481.8381371721489</v>
      </c>
    </row>
    <row r="231" spans="2:4">
      <c r="B231">
        <v>13</v>
      </c>
      <c r="C231" s="15"/>
      <c r="D231" s="15">
        <v>1495.8516628430821</v>
      </c>
    </row>
    <row r="232" spans="2:4">
      <c r="B232">
        <v>14</v>
      </c>
      <c r="C232" s="15"/>
      <c r="D232" s="15">
        <v>1598.5231508806244</v>
      </c>
    </row>
    <row r="233" spans="2:4">
      <c r="B233">
        <v>15</v>
      </c>
      <c r="C233" s="15"/>
      <c r="D233" s="15">
        <v>1703.6026090481816</v>
      </c>
    </row>
    <row r="234" spans="2:4">
      <c r="B234">
        <v>16</v>
      </c>
      <c r="C234" s="15"/>
      <c r="D234" s="15">
        <v>1756.1276179501394</v>
      </c>
    </row>
    <row r="235" spans="2:4">
      <c r="B235">
        <v>17</v>
      </c>
      <c r="C235" s="15"/>
      <c r="D235" s="15">
        <v>1763.5655017922088</v>
      </c>
    </row>
    <row r="236" spans="2:4">
      <c r="B236">
        <v>18</v>
      </c>
      <c r="C236" s="15"/>
      <c r="D236" s="15">
        <v>1761.479821220544</v>
      </c>
    </row>
    <row r="237" spans="2:4">
      <c r="B237">
        <v>19</v>
      </c>
      <c r="C237" s="15"/>
      <c r="D237" s="15">
        <v>1765.0786539305145</v>
      </c>
    </row>
    <row r="238" spans="2:4">
      <c r="B238">
        <v>20</v>
      </c>
      <c r="C238" s="15"/>
      <c r="D238" s="15">
        <v>1761.5233131527552</v>
      </c>
    </row>
    <row r="239" spans="2:4">
      <c r="B239">
        <v>21</v>
      </c>
      <c r="C239" s="15"/>
      <c r="D239" s="15">
        <v>1741.2231563280384</v>
      </c>
    </row>
    <row r="240" spans="2:4">
      <c r="B240">
        <v>22</v>
      </c>
      <c r="C240" s="15"/>
      <c r="D240" s="15">
        <v>1721.2272737344131</v>
      </c>
    </row>
    <row r="241" spans="2:4">
      <c r="B241">
        <v>23</v>
      </c>
      <c r="C241" s="15"/>
      <c r="D241" s="15">
        <v>1730.1824904414623</v>
      </c>
    </row>
    <row r="242" spans="2:4">
      <c r="B242">
        <v>24</v>
      </c>
      <c r="C242" s="15"/>
      <c r="D242" s="15">
        <v>1775.2781802855154</v>
      </c>
    </row>
    <row r="243" spans="2:4">
      <c r="B243">
        <v>25</v>
      </c>
      <c r="C243" s="15"/>
      <c r="D243" s="15">
        <v>1832.6710212148714</v>
      </c>
    </row>
    <row r="244" spans="2:4">
      <c r="B244">
        <v>26</v>
      </c>
      <c r="C244" s="15"/>
      <c r="D244" s="15">
        <v>1871.7199528395142</v>
      </c>
    </row>
    <row r="245" spans="2:4">
      <c r="B245">
        <v>27</v>
      </c>
      <c r="C245" s="15"/>
      <c r="D245" s="15">
        <v>1882.3763469071816</v>
      </c>
    </row>
    <row r="246" spans="2:4">
      <c r="B246">
        <v>28</v>
      </c>
      <c r="C246" s="15"/>
      <c r="D246" s="15">
        <v>1874.74413642896</v>
      </c>
    </row>
    <row r="247" spans="2:4">
      <c r="B247">
        <v>29</v>
      </c>
      <c r="C247" s="15"/>
      <c r="D247" s="15">
        <v>1856.9514559004424</v>
      </c>
    </row>
    <row r="248" spans="2:4">
      <c r="B248">
        <v>30</v>
      </c>
      <c r="C248" s="15"/>
      <c r="D248" s="15">
        <v>1823.3358076731129</v>
      </c>
    </row>
    <row r="249" spans="2:4">
      <c r="B249">
        <v>31</v>
      </c>
      <c r="C249" s="15"/>
      <c r="D249" s="15">
        <v>1768.3256352640351</v>
      </c>
    </row>
    <row r="250" spans="2:4">
      <c r="B250">
        <v>32</v>
      </c>
      <c r="C250" s="15"/>
      <c r="D250" s="15">
        <v>1705.8557602030435</v>
      </c>
    </row>
    <row r="251" spans="2:4">
      <c r="B251">
        <v>33</v>
      </c>
      <c r="C251" s="15"/>
      <c r="D251" s="15">
        <v>1665.6262188545529</v>
      </c>
    </row>
    <row r="252" spans="2:4">
      <c r="B252">
        <v>34</v>
      </c>
      <c r="C252" s="15"/>
      <c r="D252" s="15">
        <v>1666.3413916742563</v>
      </c>
    </row>
    <row r="253" spans="2:4">
      <c r="B253">
        <v>35</v>
      </c>
      <c r="C253" s="15"/>
      <c r="D253" s="15">
        <v>1695.8544641204676</v>
      </c>
    </row>
    <row r="254" spans="2:4">
      <c r="B254">
        <v>36</v>
      </c>
      <c r="C254" s="15"/>
      <c r="D254" s="15">
        <v>1722.2390287213416</v>
      </c>
    </row>
    <row r="255" spans="2:4">
      <c r="B255">
        <v>37</v>
      </c>
      <c r="C255" s="15"/>
      <c r="D255" s="15">
        <v>1725.4775448181599</v>
      </c>
    </row>
    <row r="256" spans="2:4">
      <c r="B256">
        <v>38</v>
      </c>
      <c r="C256" s="15"/>
      <c r="D256" s="15">
        <v>1716.8895985916163</v>
      </c>
    </row>
    <row r="257" spans="1:4">
      <c r="B257">
        <v>39</v>
      </c>
      <c r="C257" s="15"/>
      <c r="D257" s="15">
        <v>1726.9956469490357</v>
      </c>
    </row>
    <row r="258" spans="1:4">
      <c r="B258">
        <v>40</v>
      </c>
      <c r="C258" s="15"/>
      <c r="D258" s="15">
        <v>1774.8511198204287</v>
      </c>
    </row>
    <row r="259" spans="1:4">
      <c r="B259">
        <v>41</v>
      </c>
      <c r="C259" s="15"/>
      <c r="D259" s="15">
        <v>1848.0289879080763</v>
      </c>
    </row>
    <row r="260" spans="1:4">
      <c r="B260">
        <v>42</v>
      </c>
      <c r="C260" s="15"/>
      <c r="D260" s="15">
        <v>1909.6138257079863</v>
      </c>
    </row>
    <row r="261" spans="1:4">
      <c r="B261">
        <v>43</v>
      </c>
      <c r="C261" s="15"/>
      <c r="D261" s="15">
        <v>1924.5139930217551</v>
      </c>
    </row>
    <row r="262" spans="1:4">
      <c r="B262">
        <v>44</v>
      </c>
      <c r="C262" s="15"/>
      <c r="D262" s="15">
        <v>1884.724954298425</v>
      </c>
    </row>
    <row r="263" spans="1:4">
      <c r="B263">
        <v>45</v>
      </c>
      <c r="C263" s="15"/>
      <c r="D263" s="15">
        <v>1816.9032018559021</v>
      </c>
    </row>
    <row r="264" spans="1:4">
      <c r="B264">
        <v>46</v>
      </c>
      <c r="C264" s="15"/>
      <c r="D264" s="15">
        <v>1767.2986854989367</v>
      </c>
    </row>
    <row r="265" spans="1:4">
      <c r="B265">
        <v>47</v>
      </c>
      <c r="C265" s="15"/>
      <c r="D265" s="15">
        <v>1772.0570480514095</v>
      </c>
    </row>
    <row r="266" spans="1:4">
      <c r="B266">
        <v>48</v>
      </c>
      <c r="C266" s="15"/>
      <c r="D266" s="15">
        <v>1831.9296282674115</v>
      </c>
    </row>
    <row r="267" spans="1:4">
      <c r="B267">
        <v>49</v>
      </c>
      <c r="C267" s="15"/>
      <c r="D267" s="15">
        <v>1911.7513927839398</v>
      </c>
    </row>
    <row r="268" spans="1:4">
      <c r="B268">
        <v>50</v>
      </c>
      <c r="C268" s="15"/>
      <c r="D268" s="15">
        <v>1968.4766824906555</v>
      </c>
    </row>
    <row r="269" spans="1:4">
      <c r="B269">
        <v>51</v>
      </c>
      <c r="C269" s="15"/>
      <c r="D269" s="15">
        <v>1985.2868374546997</v>
      </c>
    </row>
    <row r="270" spans="1:4">
      <c r="B270">
        <v>52</v>
      </c>
      <c r="C270" s="15"/>
      <c r="D270" s="15">
        <v>1979.6651258716706</v>
      </c>
    </row>
    <row r="271" spans="1:4">
      <c r="B271">
        <v>53</v>
      </c>
      <c r="C271" s="15"/>
      <c r="D271" s="15">
        <v>521.00214617905135</v>
      </c>
    </row>
    <row r="272" spans="1:4">
      <c r="A272" t="s">
        <v>57</v>
      </c>
      <c r="C272" s="15"/>
      <c r="D272" s="15">
        <v>92266.576150046778</v>
      </c>
    </row>
    <row r="273" spans="1:4">
      <c r="A273" t="s">
        <v>58</v>
      </c>
      <c r="C273" s="15">
        <v>211986</v>
      </c>
      <c r="D273" s="15">
        <v>168033.59602304935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029D-514A-4F59-BB04-4C251A4DD31C}">
  <dimension ref="A3:E267"/>
  <sheetViews>
    <sheetView workbookViewId="0">
      <selection activeCell="B4" sqref="B4"/>
    </sheetView>
  </sheetViews>
  <sheetFormatPr defaultRowHeight="15"/>
  <cols>
    <col min="1" max="1" width="11.42578125" bestFit="1" customWidth="1"/>
    <col min="2" max="2" width="9.140625" bestFit="1" customWidth="1"/>
    <col min="3" max="3" width="19.140625" bestFit="1" customWidth="1"/>
    <col min="4" max="4" width="16.140625" bestFit="1" customWidth="1"/>
    <col min="5" max="6" width="19.7109375" bestFit="1" customWidth="1"/>
  </cols>
  <sheetData>
    <row r="3" spans="1:5">
      <c r="A3" s="14" t="s">
        <v>5</v>
      </c>
      <c r="B3" s="14" t="s">
        <v>4</v>
      </c>
      <c r="C3" t="s">
        <v>59</v>
      </c>
      <c r="D3" t="s">
        <v>60</v>
      </c>
      <c r="E3" t="s">
        <v>61</v>
      </c>
    </row>
    <row r="4" spans="1:5">
      <c r="A4">
        <v>2020</v>
      </c>
      <c r="B4">
        <v>1</v>
      </c>
      <c r="C4" s="11"/>
      <c r="D4" s="15">
        <v>4.6664583333333338</v>
      </c>
      <c r="E4" s="15">
        <v>4.2620659722222225</v>
      </c>
    </row>
    <row r="5" spans="1:5">
      <c r="B5">
        <v>2</v>
      </c>
      <c r="C5" s="11"/>
      <c r="D5" s="15">
        <v>8.2800000000000011</v>
      </c>
      <c r="E5" s="15">
        <v>7.1919270833333329</v>
      </c>
    </row>
    <row r="6" spans="1:5">
      <c r="B6">
        <v>3</v>
      </c>
      <c r="C6" s="11"/>
      <c r="D6" s="15">
        <v>7.8699999999999992</v>
      </c>
      <c r="E6" s="15">
        <v>8.8611111111111107</v>
      </c>
    </row>
    <row r="7" spans="1:5">
      <c r="B7">
        <v>4</v>
      </c>
      <c r="C7" s="11"/>
      <c r="D7" s="15">
        <v>7.5300000000000011</v>
      </c>
      <c r="E7" s="15">
        <v>7.9505642361111111</v>
      </c>
    </row>
    <row r="8" spans="1:5">
      <c r="B8">
        <v>5</v>
      </c>
      <c r="C8" s="11"/>
      <c r="D8" s="15">
        <v>7.24</v>
      </c>
      <c r="E8" s="15">
        <v>7.6345486111111107</v>
      </c>
    </row>
    <row r="9" spans="1:5">
      <c r="B9">
        <v>6</v>
      </c>
      <c r="C9" s="11"/>
      <c r="D9" s="15">
        <v>8.35</v>
      </c>
      <c r="E9" s="15">
        <v>8.4258680555555543</v>
      </c>
    </row>
    <row r="10" spans="1:5">
      <c r="B10">
        <v>7</v>
      </c>
      <c r="C10" s="11"/>
      <c r="D10" s="15">
        <v>10.16</v>
      </c>
      <c r="E10" s="15">
        <v>10.481684027777778</v>
      </c>
    </row>
    <row r="11" spans="1:5">
      <c r="B11">
        <v>8</v>
      </c>
      <c r="C11" s="11"/>
      <c r="D11" s="15">
        <v>8.76</v>
      </c>
      <c r="E11" s="15">
        <v>8.8564236111111114</v>
      </c>
    </row>
    <row r="12" spans="1:5">
      <c r="B12">
        <v>9</v>
      </c>
      <c r="C12" s="11"/>
      <c r="D12" s="15">
        <v>7.97</v>
      </c>
      <c r="E12" s="15">
        <v>8.1945312500000007</v>
      </c>
    </row>
    <row r="13" spans="1:5">
      <c r="B13">
        <v>10</v>
      </c>
      <c r="C13" s="11"/>
      <c r="D13" s="15">
        <v>8.16</v>
      </c>
      <c r="E13" s="15">
        <v>9.1270399305555561</v>
      </c>
    </row>
    <row r="14" spans="1:5">
      <c r="B14">
        <v>11</v>
      </c>
      <c r="C14" s="11"/>
      <c r="D14" s="15">
        <v>7.43</v>
      </c>
      <c r="E14" s="15">
        <v>8.2378472222222214</v>
      </c>
    </row>
    <row r="15" spans="1:5">
      <c r="B15">
        <v>12</v>
      </c>
      <c r="C15" s="11"/>
      <c r="D15" s="15">
        <v>7.54</v>
      </c>
      <c r="E15" s="15">
        <v>7.6495659722222227</v>
      </c>
    </row>
    <row r="16" spans="1:5">
      <c r="B16">
        <v>13</v>
      </c>
      <c r="C16" s="11"/>
      <c r="D16" s="15">
        <v>7</v>
      </c>
      <c r="E16" s="15">
        <v>7</v>
      </c>
    </row>
    <row r="17" spans="2:5">
      <c r="B17">
        <v>14</v>
      </c>
      <c r="C17" s="11"/>
      <c r="D17" s="15">
        <v>7.11</v>
      </c>
      <c r="E17" s="15">
        <v>7.3160590277777784</v>
      </c>
    </row>
    <row r="18" spans="2:5">
      <c r="B18">
        <v>15</v>
      </c>
      <c r="C18" s="11"/>
      <c r="D18" s="15">
        <v>6.38</v>
      </c>
      <c r="E18" s="15">
        <v>7.2474826388888891</v>
      </c>
    </row>
    <row r="19" spans="2:5">
      <c r="B19">
        <v>16</v>
      </c>
      <c r="C19" s="11"/>
      <c r="D19" s="15">
        <v>7.34</v>
      </c>
      <c r="E19" s="15">
        <v>7.8966145833333341</v>
      </c>
    </row>
    <row r="20" spans="2:5">
      <c r="B20">
        <v>17</v>
      </c>
      <c r="C20" s="11"/>
      <c r="D20" s="15">
        <v>7.8699999999999992</v>
      </c>
      <c r="E20" s="15">
        <v>8.0978732638888893</v>
      </c>
    </row>
    <row r="21" spans="2:5">
      <c r="B21">
        <v>18</v>
      </c>
      <c r="C21" s="11"/>
      <c r="D21" s="15">
        <v>7.43</v>
      </c>
      <c r="E21" s="15">
        <v>8.0483506944444443</v>
      </c>
    </row>
    <row r="22" spans="2:5">
      <c r="B22">
        <v>19</v>
      </c>
      <c r="C22" s="11"/>
      <c r="D22" s="15">
        <v>9.26</v>
      </c>
      <c r="E22" s="15">
        <v>8.5858940972222229</v>
      </c>
    </row>
    <row r="23" spans="2:5">
      <c r="B23">
        <v>20</v>
      </c>
      <c r="C23" s="11"/>
      <c r="D23" s="15">
        <v>9.18</v>
      </c>
      <c r="E23" s="15">
        <v>9.7822482638888903</v>
      </c>
    </row>
    <row r="24" spans="2:5">
      <c r="B24">
        <v>21</v>
      </c>
      <c r="C24" s="11"/>
      <c r="D24" s="15">
        <v>7.12</v>
      </c>
      <c r="E24" s="15">
        <v>7.1892361111111107</v>
      </c>
    </row>
    <row r="25" spans="2:5">
      <c r="B25">
        <v>22</v>
      </c>
      <c r="C25" s="11"/>
      <c r="D25" s="15">
        <v>7.17</v>
      </c>
      <c r="E25" s="15">
        <v>7.071006944444445</v>
      </c>
    </row>
    <row r="26" spans="2:5">
      <c r="B26">
        <v>23</v>
      </c>
      <c r="C26" s="11"/>
      <c r="D26" s="15">
        <v>7</v>
      </c>
      <c r="E26" s="15">
        <v>9.3238281250000004</v>
      </c>
    </row>
    <row r="27" spans="2:5">
      <c r="B27">
        <v>24</v>
      </c>
      <c r="C27" s="11"/>
      <c r="D27" s="15">
        <v>7.03</v>
      </c>
      <c r="E27" s="15">
        <v>8.2235677083333343</v>
      </c>
    </row>
    <row r="28" spans="2:5">
      <c r="B28">
        <v>25</v>
      </c>
      <c r="C28" s="11"/>
      <c r="D28" s="15">
        <v>7.1000000000000005</v>
      </c>
      <c r="E28" s="15">
        <v>7.113932291666667</v>
      </c>
    </row>
    <row r="29" spans="2:5">
      <c r="B29">
        <v>26</v>
      </c>
      <c r="C29" s="11"/>
      <c r="D29" s="15">
        <v>7.34</v>
      </c>
      <c r="E29" s="15">
        <v>7.4386718749999998</v>
      </c>
    </row>
    <row r="30" spans="2:5">
      <c r="B30">
        <v>27</v>
      </c>
      <c r="C30" s="11"/>
      <c r="D30" s="15">
        <v>7.9700000000000006</v>
      </c>
      <c r="E30" s="15">
        <v>8.6046440972222218</v>
      </c>
    </row>
    <row r="31" spans="2:5">
      <c r="B31">
        <v>28</v>
      </c>
      <c r="C31" s="11"/>
      <c r="D31" s="15">
        <v>8.93</v>
      </c>
      <c r="E31" s="15">
        <v>9.1962239583333343</v>
      </c>
    </row>
    <row r="32" spans="2:5">
      <c r="B32">
        <v>29</v>
      </c>
      <c r="C32" s="11"/>
      <c r="D32" s="15">
        <v>7.5</v>
      </c>
      <c r="E32" s="15">
        <v>8.8381510416666664</v>
      </c>
    </row>
    <row r="33" spans="2:5">
      <c r="B33">
        <v>30</v>
      </c>
      <c r="C33" s="11"/>
      <c r="D33" s="15">
        <v>7.9200000000000008</v>
      </c>
      <c r="E33" s="15">
        <v>8.37890625</v>
      </c>
    </row>
    <row r="34" spans="2:5">
      <c r="B34">
        <v>31</v>
      </c>
      <c r="C34" s="11"/>
      <c r="D34" s="15">
        <v>7.1199999999999992</v>
      </c>
      <c r="E34" s="15">
        <v>7.7979600694444438</v>
      </c>
    </row>
    <row r="35" spans="2:5">
      <c r="B35">
        <v>32</v>
      </c>
      <c r="C35" s="11"/>
      <c r="D35" s="15">
        <v>8.02</v>
      </c>
      <c r="E35" s="15">
        <v>8.4559461805555554</v>
      </c>
    </row>
    <row r="36" spans="2:5">
      <c r="B36">
        <v>33</v>
      </c>
      <c r="C36" s="11"/>
      <c r="D36" s="15">
        <v>9.86</v>
      </c>
      <c r="E36" s="15">
        <v>9.5832465277777779</v>
      </c>
    </row>
    <row r="37" spans="2:5">
      <c r="B37">
        <v>34</v>
      </c>
      <c r="C37" s="11"/>
      <c r="D37" s="15">
        <v>7.09</v>
      </c>
      <c r="E37" s="15">
        <v>7.35212673611111</v>
      </c>
    </row>
    <row r="38" spans="2:5">
      <c r="B38">
        <v>35</v>
      </c>
      <c r="C38" s="11"/>
      <c r="D38" s="15">
        <v>5.98</v>
      </c>
      <c r="E38" s="15">
        <v>5.98689236111111</v>
      </c>
    </row>
    <row r="39" spans="2:5">
      <c r="B39">
        <v>36</v>
      </c>
      <c r="C39" s="11"/>
      <c r="D39" s="15">
        <v>10.64</v>
      </c>
      <c r="E39" s="15">
        <v>8.4078124999999986</v>
      </c>
    </row>
    <row r="40" spans="2:5">
      <c r="B40">
        <v>37</v>
      </c>
      <c r="C40" s="11"/>
      <c r="D40" s="15">
        <v>8.94</v>
      </c>
      <c r="E40" s="15">
        <v>9.6098958333333329</v>
      </c>
    </row>
    <row r="41" spans="2:5">
      <c r="B41">
        <v>38</v>
      </c>
      <c r="C41" s="11"/>
      <c r="D41" s="15">
        <v>7.9</v>
      </c>
      <c r="E41" s="15">
        <v>7.205772569444445</v>
      </c>
    </row>
    <row r="42" spans="2:5">
      <c r="B42">
        <v>39</v>
      </c>
      <c r="C42" s="11"/>
      <c r="D42" s="15">
        <v>7.21</v>
      </c>
      <c r="E42" s="15">
        <v>8.0569878472222225</v>
      </c>
    </row>
    <row r="43" spans="2:5">
      <c r="B43">
        <v>40</v>
      </c>
      <c r="C43" s="11"/>
      <c r="D43" s="15">
        <v>8.3000000000000007</v>
      </c>
      <c r="E43" s="15">
        <v>10.605208333333334</v>
      </c>
    </row>
    <row r="44" spans="2:5">
      <c r="B44">
        <v>41</v>
      </c>
      <c r="C44" s="11"/>
      <c r="D44" s="15">
        <v>8.15</v>
      </c>
      <c r="E44" s="15">
        <v>9.1347222222222229</v>
      </c>
    </row>
    <row r="45" spans="2:5">
      <c r="B45">
        <v>42</v>
      </c>
      <c r="C45" s="11"/>
      <c r="D45" s="15">
        <v>9.17</v>
      </c>
      <c r="E45" s="15">
        <v>7.4747395833333332</v>
      </c>
    </row>
    <row r="46" spans="2:5">
      <c r="B46">
        <v>43</v>
      </c>
      <c r="C46" s="11"/>
      <c r="D46" s="15">
        <v>8.0800000000000018</v>
      </c>
      <c r="E46" s="15">
        <v>10.403038194444445</v>
      </c>
    </row>
    <row r="47" spans="2:5">
      <c r="B47">
        <v>44</v>
      </c>
      <c r="C47" s="11"/>
      <c r="D47" s="15">
        <v>9.7600000000000016</v>
      </c>
      <c r="E47" s="15">
        <v>9.4277777777777771</v>
      </c>
    </row>
    <row r="48" spans="2:5">
      <c r="B48">
        <v>45</v>
      </c>
      <c r="C48" s="11"/>
      <c r="D48" s="15">
        <v>8.49</v>
      </c>
      <c r="E48" s="15">
        <v>7.3555555555555552</v>
      </c>
    </row>
    <row r="49" spans="1:5">
      <c r="B49">
        <v>46</v>
      </c>
      <c r="C49" s="11"/>
      <c r="D49" s="15">
        <v>7.9399999999999995</v>
      </c>
      <c r="E49" s="15">
        <v>8.8645833333333339</v>
      </c>
    </row>
    <row r="50" spans="1:5">
      <c r="B50">
        <v>47</v>
      </c>
      <c r="C50" s="11"/>
      <c r="D50" s="15">
        <v>7.4</v>
      </c>
      <c r="E50" s="15">
        <v>7.6557725694444443</v>
      </c>
    </row>
    <row r="51" spans="1:5">
      <c r="B51">
        <v>48</v>
      </c>
      <c r="C51" s="11"/>
      <c r="D51" s="15">
        <v>7.21</v>
      </c>
      <c r="E51" s="15">
        <v>7.7889756944444448</v>
      </c>
    </row>
    <row r="52" spans="1:5">
      <c r="B52">
        <v>49</v>
      </c>
      <c r="C52" s="11"/>
      <c r="D52" s="15">
        <v>9.129999999999999</v>
      </c>
      <c r="E52" s="15">
        <v>8.1712673611111111</v>
      </c>
    </row>
    <row r="53" spans="1:5">
      <c r="B53">
        <v>50</v>
      </c>
      <c r="C53" s="11"/>
      <c r="D53" s="15">
        <v>8.65</v>
      </c>
      <c r="E53" s="15">
        <v>8.2161458333333321</v>
      </c>
    </row>
    <row r="54" spans="1:5">
      <c r="B54">
        <v>51</v>
      </c>
      <c r="C54" s="11"/>
      <c r="D54" s="15">
        <v>6.22</v>
      </c>
      <c r="E54" s="15">
        <v>7.3890190972222225</v>
      </c>
    </row>
    <row r="55" spans="1:5">
      <c r="B55">
        <v>52</v>
      </c>
      <c r="C55" s="11"/>
      <c r="D55" s="15">
        <v>9.9200000000000017</v>
      </c>
      <c r="E55" s="15">
        <v>7.484418402777778</v>
      </c>
    </row>
    <row r="56" spans="1:5">
      <c r="B56">
        <v>53</v>
      </c>
      <c r="C56" s="11"/>
      <c r="D56" s="15">
        <v>5.32</v>
      </c>
      <c r="E56" s="15">
        <v>7.2126736111111098</v>
      </c>
    </row>
    <row r="57" spans="1:5">
      <c r="A57">
        <v>2021</v>
      </c>
      <c r="B57">
        <v>1</v>
      </c>
      <c r="C57" s="11"/>
      <c r="D57" s="15">
        <v>3.12</v>
      </c>
      <c r="E57" s="15">
        <v>2.7061631944444442</v>
      </c>
    </row>
    <row r="58" spans="1:5">
      <c r="B58">
        <v>2</v>
      </c>
      <c r="C58" s="11"/>
      <c r="D58" s="15">
        <v>8.26</v>
      </c>
      <c r="E58" s="15">
        <v>7.5737847222222223</v>
      </c>
    </row>
    <row r="59" spans="1:5">
      <c r="B59">
        <v>3</v>
      </c>
      <c r="C59" s="11"/>
      <c r="D59" s="15">
        <v>8.36</v>
      </c>
      <c r="E59" s="15">
        <v>8.6980902777777782</v>
      </c>
    </row>
    <row r="60" spans="1:5">
      <c r="B60">
        <v>4</v>
      </c>
      <c r="C60" s="11"/>
      <c r="D60" s="15">
        <v>7.12</v>
      </c>
      <c r="E60" s="15">
        <v>7.2375434027777779</v>
      </c>
    </row>
    <row r="61" spans="1:5">
      <c r="B61">
        <v>5</v>
      </c>
      <c r="C61" s="11"/>
      <c r="D61" s="15">
        <v>7.1</v>
      </c>
      <c r="E61" s="15">
        <v>7.4580729166666675</v>
      </c>
    </row>
    <row r="62" spans="1:5">
      <c r="B62">
        <v>6</v>
      </c>
      <c r="C62" s="11"/>
      <c r="D62" s="15">
        <v>7.4500000000000011</v>
      </c>
      <c r="E62" s="15">
        <v>7.4104600694444445</v>
      </c>
    </row>
    <row r="63" spans="1:5">
      <c r="B63">
        <v>7</v>
      </c>
      <c r="C63" s="11"/>
      <c r="D63" s="15">
        <v>7</v>
      </c>
      <c r="E63" s="15">
        <v>8.0386284722222214</v>
      </c>
    </row>
    <row r="64" spans="1:5">
      <c r="B64">
        <v>8</v>
      </c>
      <c r="C64" s="11"/>
      <c r="D64" s="15">
        <v>7</v>
      </c>
      <c r="E64" s="15">
        <v>7.1887152777777779</v>
      </c>
    </row>
    <row r="65" spans="2:5">
      <c r="B65">
        <v>9</v>
      </c>
      <c r="C65" s="11"/>
      <c r="D65" s="15">
        <v>7</v>
      </c>
      <c r="E65" s="15">
        <v>7.2299045138888882</v>
      </c>
    </row>
    <row r="66" spans="2:5">
      <c r="B66">
        <v>10</v>
      </c>
      <c r="C66" s="11"/>
      <c r="D66" s="15">
        <v>7.629999999999999</v>
      </c>
      <c r="E66" s="15">
        <v>7.1822482638888889</v>
      </c>
    </row>
    <row r="67" spans="2:5">
      <c r="B67">
        <v>11</v>
      </c>
      <c r="C67" s="11"/>
      <c r="D67" s="15">
        <v>7.11</v>
      </c>
      <c r="E67" s="15">
        <v>10.263585069444446</v>
      </c>
    </row>
    <row r="68" spans="2:5">
      <c r="B68">
        <v>12</v>
      </c>
      <c r="C68" s="11"/>
      <c r="D68" s="15">
        <v>7.32</v>
      </c>
      <c r="E68" s="15">
        <v>7.552083333333333</v>
      </c>
    </row>
    <row r="69" spans="2:5">
      <c r="B69">
        <v>13</v>
      </c>
      <c r="C69" s="11"/>
      <c r="D69" s="15">
        <v>7</v>
      </c>
      <c r="E69" s="15">
        <v>7</v>
      </c>
    </row>
    <row r="70" spans="2:5">
      <c r="B70">
        <v>14</v>
      </c>
      <c r="C70" s="11"/>
      <c r="D70" s="15">
        <v>7</v>
      </c>
      <c r="E70" s="15">
        <v>7.2511718749999998</v>
      </c>
    </row>
    <row r="71" spans="2:5">
      <c r="B71">
        <v>15</v>
      </c>
      <c r="C71" s="11"/>
      <c r="D71" s="15">
        <v>7</v>
      </c>
      <c r="E71" s="15">
        <v>7.3025173611111107</v>
      </c>
    </row>
    <row r="72" spans="2:5">
      <c r="B72">
        <v>16</v>
      </c>
      <c r="C72" s="11"/>
      <c r="D72" s="15">
        <v>7</v>
      </c>
      <c r="E72" s="15">
        <v>8.2147135416666668</v>
      </c>
    </row>
    <row r="73" spans="2:5">
      <c r="B73">
        <v>17</v>
      </c>
      <c r="C73" s="11"/>
      <c r="D73" s="15">
        <v>7</v>
      </c>
      <c r="E73" s="15">
        <v>7</v>
      </c>
    </row>
    <row r="74" spans="2:5">
      <c r="B74">
        <v>18</v>
      </c>
      <c r="C74" s="11"/>
      <c r="D74" s="15">
        <v>7.6000000000000005</v>
      </c>
      <c r="E74" s="15">
        <v>8.5333333333333332</v>
      </c>
    </row>
    <row r="75" spans="2:5">
      <c r="B75">
        <v>19</v>
      </c>
      <c r="C75" s="11"/>
      <c r="D75" s="15">
        <v>7.21</v>
      </c>
      <c r="E75" s="15">
        <v>7.24609375</v>
      </c>
    </row>
    <row r="76" spans="2:5">
      <c r="B76">
        <v>20</v>
      </c>
      <c r="C76" s="11"/>
      <c r="D76" s="15">
        <v>7.1</v>
      </c>
      <c r="E76" s="15">
        <v>7</v>
      </c>
    </row>
    <row r="77" spans="2:5">
      <c r="B77">
        <v>21</v>
      </c>
      <c r="C77" s="11"/>
      <c r="D77" s="15">
        <v>7.09</v>
      </c>
      <c r="E77" s="15">
        <v>7.1723090277777777</v>
      </c>
    </row>
    <row r="78" spans="2:5">
      <c r="B78">
        <v>22</v>
      </c>
      <c r="C78" s="11"/>
      <c r="D78" s="15">
        <v>7</v>
      </c>
      <c r="E78" s="15">
        <v>7</v>
      </c>
    </row>
    <row r="79" spans="2:5">
      <c r="B79">
        <v>23</v>
      </c>
      <c r="C79" s="11"/>
      <c r="D79" s="15">
        <v>7</v>
      </c>
      <c r="E79" s="15">
        <v>7.0782552083333332</v>
      </c>
    </row>
    <row r="80" spans="2:5">
      <c r="B80">
        <v>24</v>
      </c>
      <c r="C80" s="11"/>
      <c r="D80" s="15">
        <v>7</v>
      </c>
      <c r="E80" s="15">
        <v>8.8259548611111107</v>
      </c>
    </row>
    <row r="81" spans="2:5">
      <c r="B81">
        <v>25</v>
      </c>
      <c r="C81" s="11"/>
      <c r="D81" s="15">
        <v>8.17</v>
      </c>
      <c r="E81" s="15">
        <v>8.8090711805555539</v>
      </c>
    </row>
    <row r="82" spans="2:5">
      <c r="B82">
        <v>26</v>
      </c>
      <c r="C82" s="11"/>
      <c r="D82" s="15">
        <v>8.74</v>
      </c>
      <c r="E82" s="15">
        <v>10.081901041666665</v>
      </c>
    </row>
    <row r="83" spans="2:5">
      <c r="B83">
        <v>27</v>
      </c>
      <c r="C83" s="11"/>
      <c r="D83" s="15">
        <v>8.67</v>
      </c>
      <c r="E83" s="15">
        <v>7.8766493055555555</v>
      </c>
    </row>
    <row r="84" spans="2:5">
      <c r="B84">
        <v>28</v>
      </c>
      <c r="C84" s="11"/>
      <c r="D84" s="15">
        <v>7.51</v>
      </c>
      <c r="E84" s="15">
        <v>7.4859809027777775</v>
      </c>
    </row>
    <row r="85" spans="2:5">
      <c r="B85">
        <v>29</v>
      </c>
      <c r="C85" s="11"/>
      <c r="D85" s="15">
        <v>7.04</v>
      </c>
      <c r="E85" s="15">
        <v>8.5374131944444436</v>
      </c>
    </row>
    <row r="86" spans="2:5">
      <c r="B86">
        <v>30</v>
      </c>
      <c r="C86" s="11"/>
      <c r="D86" s="15">
        <v>7.07</v>
      </c>
      <c r="E86" s="15">
        <v>8.7385850694444454</v>
      </c>
    </row>
    <row r="87" spans="2:5">
      <c r="B87">
        <v>31</v>
      </c>
      <c r="C87" s="11"/>
      <c r="D87" s="15">
        <v>8.2900000000000009</v>
      </c>
      <c r="E87" s="15">
        <v>8.5373697916666664</v>
      </c>
    </row>
    <row r="88" spans="2:5">
      <c r="B88">
        <v>32</v>
      </c>
      <c r="C88" s="11"/>
      <c r="D88" s="15">
        <v>7.5200000000000005</v>
      </c>
      <c r="E88" s="15">
        <v>8.1788628472222218</v>
      </c>
    </row>
    <row r="89" spans="2:5">
      <c r="B89">
        <v>33</v>
      </c>
      <c r="C89" s="11"/>
      <c r="D89" s="15">
        <v>7.8900000000000006</v>
      </c>
      <c r="E89" s="15">
        <v>8.1243489583333339</v>
      </c>
    </row>
    <row r="90" spans="2:5">
      <c r="B90">
        <v>34</v>
      </c>
      <c r="C90" s="11"/>
      <c r="D90" s="15">
        <v>7</v>
      </c>
      <c r="E90" s="15">
        <v>7</v>
      </c>
    </row>
    <row r="91" spans="2:5">
      <c r="B91">
        <v>35</v>
      </c>
      <c r="C91" s="11"/>
      <c r="D91" s="15">
        <v>7</v>
      </c>
      <c r="E91" s="15">
        <v>7</v>
      </c>
    </row>
    <row r="92" spans="2:5">
      <c r="B92">
        <v>36</v>
      </c>
      <c r="C92" s="11"/>
      <c r="D92" s="15">
        <v>7.01</v>
      </c>
      <c r="E92" s="15">
        <v>7.7277343749999998</v>
      </c>
    </row>
    <row r="93" spans="2:5">
      <c r="B93">
        <v>37</v>
      </c>
      <c r="C93" s="11"/>
      <c r="D93" s="15">
        <v>8.15</v>
      </c>
      <c r="E93" s="15">
        <v>7.4331597222222223</v>
      </c>
    </row>
    <row r="94" spans="2:5">
      <c r="B94">
        <v>38</v>
      </c>
      <c r="C94" s="11"/>
      <c r="D94" s="15">
        <v>7</v>
      </c>
      <c r="E94" s="15">
        <v>7.608072916666667</v>
      </c>
    </row>
    <row r="95" spans="2:5">
      <c r="B95">
        <v>39</v>
      </c>
      <c r="C95" s="11"/>
      <c r="D95" s="15">
        <v>7.07</v>
      </c>
      <c r="E95" s="15">
        <v>7.2942708333333339</v>
      </c>
    </row>
    <row r="96" spans="2:5">
      <c r="B96">
        <v>40</v>
      </c>
      <c r="C96" s="11"/>
      <c r="D96" s="15">
        <v>7</v>
      </c>
      <c r="E96" s="15">
        <v>7</v>
      </c>
    </row>
    <row r="97" spans="1:5">
      <c r="B97">
        <v>41</v>
      </c>
      <c r="C97" s="11"/>
      <c r="D97" s="15">
        <v>7</v>
      </c>
      <c r="E97" s="15">
        <v>8.3065972222222211</v>
      </c>
    </row>
    <row r="98" spans="1:5">
      <c r="B98">
        <v>42</v>
      </c>
      <c r="C98" s="11"/>
      <c r="D98" s="15">
        <v>7.74</v>
      </c>
      <c r="E98" s="15">
        <v>7.555381944444445</v>
      </c>
    </row>
    <row r="99" spans="1:5">
      <c r="B99">
        <v>43</v>
      </c>
      <c r="C99" s="11"/>
      <c r="D99" s="15">
        <v>7.27</v>
      </c>
      <c r="E99" s="15">
        <v>8.3956597222222218</v>
      </c>
    </row>
    <row r="100" spans="1:5">
      <c r="B100">
        <v>44</v>
      </c>
      <c r="C100" s="11"/>
      <c r="D100" s="15">
        <v>8.52</v>
      </c>
      <c r="E100" s="15">
        <v>8.846397569444445</v>
      </c>
    </row>
    <row r="101" spans="1:5">
      <c r="B101">
        <v>45</v>
      </c>
      <c r="C101" s="11"/>
      <c r="D101" s="15">
        <v>8.7200000000000006</v>
      </c>
      <c r="E101" s="15">
        <v>8.3873263888888889</v>
      </c>
    </row>
    <row r="102" spans="1:5">
      <c r="B102">
        <v>46</v>
      </c>
      <c r="C102" s="11"/>
      <c r="D102" s="15">
        <v>7.4</v>
      </c>
      <c r="E102" s="15">
        <v>8.0328125000000004</v>
      </c>
    </row>
    <row r="103" spans="1:5">
      <c r="B103">
        <v>47</v>
      </c>
      <c r="C103" s="11"/>
      <c r="D103" s="15">
        <v>4.2300000000000004</v>
      </c>
      <c r="E103" s="15">
        <v>4.3885850694444439</v>
      </c>
    </row>
    <row r="104" spans="1:5">
      <c r="B104">
        <v>48</v>
      </c>
      <c r="C104" s="11"/>
      <c r="D104" s="15">
        <v>2</v>
      </c>
      <c r="E104" s="15">
        <v>3.7234375000000006</v>
      </c>
    </row>
    <row r="105" spans="1:5">
      <c r="B105">
        <v>49</v>
      </c>
      <c r="C105" s="11"/>
      <c r="D105" s="15">
        <v>7.18</v>
      </c>
      <c r="E105" s="15">
        <v>11.064713541666666</v>
      </c>
    </row>
    <row r="106" spans="1:5">
      <c r="B106">
        <v>50</v>
      </c>
      <c r="C106" s="11"/>
      <c r="D106" s="15">
        <v>11.22</v>
      </c>
      <c r="E106" s="15">
        <v>8.8432291666666671</v>
      </c>
    </row>
    <row r="107" spans="1:5">
      <c r="B107">
        <v>51</v>
      </c>
      <c r="C107" s="11"/>
      <c r="D107" s="15">
        <v>14.770000000000001</v>
      </c>
      <c r="E107" s="15">
        <v>9.751258680555555</v>
      </c>
    </row>
    <row r="108" spans="1:5">
      <c r="B108">
        <v>52</v>
      </c>
      <c r="C108" s="11"/>
      <c r="D108" s="15">
        <v>9.1300000000000008</v>
      </c>
      <c r="E108" s="15">
        <v>7.7735677083333332</v>
      </c>
    </row>
    <row r="109" spans="1:5">
      <c r="B109">
        <v>53</v>
      </c>
      <c r="C109" s="11"/>
      <c r="D109" s="15">
        <v>7.68</v>
      </c>
      <c r="E109" s="15">
        <v>7.1282986111111102</v>
      </c>
    </row>
    <row r="110" spans="1:5">
      <c r="A110">
        <v>2022</v>
      </c>
      <c r="B110">
        <v>1</v>
      </c>
      <c r="C110" s="11"/>
      <c r="D110" s="15">
        <v>1.01</v>
      </c>
      <c r="E110" s="15">
        <v>1.2648003472222222</v>
      </c>
    </row>
    <row r="111" spans="1:5">
      <c r="B111">
        <v>2</v>
      </c>
      <c r="C111" s="11"/>
      <c r="D111" s="15">
        <v>5.62</v>
      </c>
      <c r="E111" s="15">
        <v>8.0027777777777782</v>
      </c>
    </row>
    <row r="112" spans="1:5">
      <c r="B112">
        <v>3</v>
      </c>
      <c r="C112" s="11"/>
      <c r="D112" s="15">
        <v>7.73</v>
      </c>
      <c r="E112" s="15">
        <v>11.371788194444443</v>
      </c>
    </row>
    <row r="113" spans="2:5">
      <c r="B113">
        <v>4</v>
      </c>
      <c r="C113" s="11"/>
      <c r="D113" s="15">
        <v>7.3800000000000008</v>
      </c>
      <c r="E113" s="15">
        <v>9.7877170138888889</v>
      </c>
    </row>
    <row r="114" spans="2:5">
      <c r="B114">
        <v>5</v>
      </c>
      <c r="C114" s="11"/>
      <c r="D114" s="15">
        <v>8.73</v>
      </c>
      <c r="E114" s="15">
        <v>8.7628906250000007</v>
      </c>
    </row>
    <row r="115" spans="2:5">
      <c r="B115">
        <v>6</v>
      </c>
      <c r="C115" s="11"/>
      <c r="D115" s="15">
        <v>9.16</v>
      </c>
      <c r="E115" s="15">
        <v>13.929470486111111</v>
      </c>
    </row>
    <row r="116" spans="2:5">
      <c r="B116">
        <v>7</v>
      </c>
      <c r="C116" s="11"/>
      <c r="D116" s="15">
        <v>6.54</v>
      </c>
      <c r="E116" s="15">
        <v>6.3276041666666671</v>
      </c>
    </row>
    <row r="117" spans="2:5">
      <c r="B117">
        <v>8</v>
      </c>
      <c r="C117" s="11"/>
      <c r="D117" s="15">
        <v>10.530000000000001</v>
      </c>
      <c r="E117" s="15">
        <v>16.169401041666667</v>
      </c>
    </row>
    <row r="118" spans="2:5">
      <c r="B118">
        <v>9</v>
      </c>
      <c r="C118" s="11"/>
      <c r="D118" s="15">
        <v>12.71</v>
      </c>
      <c r="E118" s="15">
        <v>15.894140625</v>
      </c>
    </row>
    <row r="119" spans="2:5">
      <c r="B119">
        <v>10</v>
      </c>
      <c r="C119" s="11"/>
      <c r="D119" s="15">
        <v>8.73</v>
      </c>
      <c r="E119" s="15">
        <v>9.7315972222222218</v>
      </c>
    </row>
    <row r="120" spans="2:5">
      <c r="B120">
        <v>11</v>
      </c>
      <c r="C120" s="11"/>
      <c r="D120" s="15">
        <v>17.110000000000003</v>
      </c>
      <c r="E120" s="15">
        <v>11.754296874999998</v>
      </c>
    </row>
    <row r="121" spans="2:5">
      <c r="B121">
        <v>12</v>
      </c>
      <c r="C121" s="11"/>
      <c r="D121" s="15">
        <v>9.15</v>
      </c>
      <c r="E121" s="15">
        <v>6.197395833333335</v>
      </c>
    </row>
    <row r="122" spans="2:5">
      <c r="B122">
        <v>13</v>
      </c>
      <c r="C122" s="11"/>
      <c r="D122" s="15">
        <v>17.59</v>
      </c>
      <c r="E122" s="15">
        <v>9.2495225694444443</v>
      </c>
    </row>
    <row r="123" spans="2:5">
      <c r="B123">
        <v>14</v>
      </c>
      <c r="C123" s="11"/>
      <c r="D123" s="15">
        <v>22</v>
      </c>
      <c r="E123" s="15">
        <v>10.524001736111112</v>
      </c>
    </row>
    <row r="124" spans="2:5">
      <c r="B124">
        <v>15</v>
      </c>
      <c r="C124" s="11"/>
      <c r="D124" s="15">
        <v>16.450000000000003</v>
      </c>
      <c r="E124" s="15">
        <v>17.538324652777778</v>
      </c>
    </row>
    <row r="125" spans="2:5">
      <c r="B125">
        <v>16</v>
      </c>
      <c r="C125" s="11"/>
      <c r="D125" s="15">
        <v>8.2100000000000009</v>
      </c>
      <c r="E125" s="15">
        <v>7.9206597222222221</v>
      </c>
    </row>
    <row r="126" spans="2:5">
      <c r="B126">
        <v>18</v>
      </c>
      <c r="C126" s="11"/>
      <c r="D126" s="15">
        <v>1.7</v>
      </c>
      <c r="E126" s="15">
        <v>2.4281250000000001</v>
      </c>
    </row>
    <row r="127" spans="2:5">
      <c r="B127">
        <v>19</v>
      </c>
      <c r="C127" s="11"/>
      <c r="D127" s="15">
        <v>7.85</v>
      </c>
      <c r="E127" s="15">
        <v>16.465147569444444</v>
      </c>
    </row>
    <row r="128" spans="2:5">
      <c r="B128">
        <v>20</v>
      </c>
      <c r="C128" s="11"/>
      <c r="D128" s="15">
        <v>7.97</v>
      </c>
      <c r="E128" s="15">
        <v>13.477690972222222</v>
      </c>
    </row>
    <row r="129" spans="2:5">
      <c r="B129">
        <v>21</v>
      </c>
      <c r="C129" s="11"/>
      <c r="D129" s="15">
        <v>13.89</v>
      </c>
      <c r="E129" s="15">
        <v>13.184852430555557</v>
      </c>
    </row>
    <row r="130" spans="2:5">
      <c r="B130">
        <v>22</v>
      </c>
      <c r="C130" s="11"/>
      <c r="D130" s="15">
        <v>21.53</v>
      </c>
      <c r="E130" s="15">
        <v>14.095616319444442</v>
      </c>
    </row>
    <row r="131" spans="2:5">
      <c r="B131">
        <v>23</v>
      </c>
      <c r="C131" s="11"/>
      <c r="D131" s="15">
        <v>30.58</v>
      </c>
      <c r="E131" s="15">
        <v>11.210807291666667</v>
      </c>
    </row>
    <row r="132" spans="2:5">
      <c r="B132">
        <v>24</v>
      </c>
      <c r="C132" s="11"/>
      <c r="D132" s="15">
        <v>32.67</v>
      </c>
      <c r="E132" s="15">
        <v>14.23224826388889</v>
      </c>
    </row>
    <row r="133" spans="2:5">
      <c r="B133">
        <v>25</v>
      </c>
      <c r="C133" s="11"/>
      <c r="D133" s="15">
        <v>21.11</v>
      </c>
      <c r="E133" s="15">
        <v>12.884288194444444</v>
      </c>
    </row>
    <row r="134" spans="2:5">
      <c r="B134">
        <v>26</v>
      </c>
      <c r="C134" s="11"/>
      <c r="D134" s="15">
        <v>15.450000000000001</v>
      </c>
      <c r="E134" s="15">
        <v>15.545442708333333</v>
      </c>
    </row>
    <row r="135" spans="2:5">
      <c r="B135">
        <v>27</v>
      </c>
      <c r="C135" s="11"/>
      <c r="D135" s="15">
        <v>8.93</v>
      </c>
      <c r="E135" s="15">
        <v>10.806032986111111</v>
      </c>
    </row>
    <row r="136" spans="2:5">
      <c r="B136">
        <v>28</v>
      </c>
      <c r="C136" s="11"/>
      <c r="D136" s="15">
        <v>8.5</v>
      </c>
      <c r="E136" s="15">
        <v>14.830815972222222</v>
      </c>
    </row>
    <row r="137" spans="2:5">
      <c r="B137">
        <v>29</v>
      </c>
      <c r="C137" s="11"/>
      <c r="D137" s="15">
        <v>17.239999999999998</v>
      </c>
      <c r="E137" s="15">
        <v>11.950564236111113</v>
      </c>
    </row>
    <row r="138" spans="2:5">
      <c r="B138">
        <v>30</v>
      </c>
      <c r="C138" s="11"/>
      <c r="D138" s="15">
        <v>21.34</v>
      </c>
      <c r="E138" s="15">
        <v>12.770572916666666</v>
      </c>
    </row>
    <row r="139" spans="2:5">
      <c r="B139">
        <v>31</v>
      </c>
      <c r="C139" s="11"/>
      <c r="D139" s="15">
        <v>12.34</v>
      </c>
      <c r="E139" s="15">
        <v>9.1424913194444439</v>
      </c>
    </row>
    <row r="140" spans="2:5">
      <c r="B140">
        <v>32</v>
      </c>
      <c r="C140" s="11"/>
      <c r="D140" s="15">
        <v>10.739999999999998</v>
      </c>
      <c r="E140" s="15">
        <v>12.265321180555556</v>
      </c>
    </row>
    <row r="141" spans="2:5">
      <c r="B141">
        <v>33</v>
      </c>
      <c r="C141" s="11"/>
      <c r="D141" s="15">
        <v>12.89</v>
      </c>
      <c r="E141" s="15">
        <v>9.9235243055555546</v>
      </c>
    </row>
    <row r="142" spans="2:5">
      <c r="B142">
        <v>34</v>
      </c>
      <c r="C142" s="11"/>
      <c r="D142" s="15">
        <v>26.730000000000004</v>
      </c>
      <c r="E142" s="15">
        <v>11.138151041666667</v>
      </c>
    </row>
    <row r="143" spans="2:5">
      <c r="B143">
        <v>35</v>
      </c>
      <c r="C143" s="11"/>
      <c r="D143" s="15">
        <v>16.77</v>
      </c>
      <c r="E143" s="15">
        <v>11.80095486111111</v>
      </c>
    </row>
    <row r="144" spans="2:5">
      <c r="B144">
        <v>36</v>
      </c>
      <c r="C144" s="11"/>
      <c r="D144" s="15">
        <v>9.94</v>
      </c>
      <c r="E144" s="15">
        <v>8.1148871527777775</v>
      </c>
    </row>
    <row r="145" spans="2:5">
      <c r="B145">
        <v>37</v>
      </c>
      <c r="C145" s="11"/>
      <c r="D145" s="15">
        <v>8.7899999999999991</v>
      </c>
      <c r="E145" s="15">
        <v>9.5763888888888893</v>
      </c>
    </row>
    <row r="146" spans="2:5">
      <c r="B146">
        <v>38</v>
      </c>
      <c r="C146" s="11"/>
      <c r="D146" s="15">
        <v>9.23</v>
      </c>
      <c r="E146" s="15">
        <v>12.87621527777778</v>
      </c>
    </row>
    <row r="147" spans="2:5">
      <c r="B147">
        <v>39</v>
      </c>
      <c r="C147" s="11"/>
      <c r="D147" s="15">
        <v>8.36</v>
      </c>
      <c r="E147" s="15">
        <v>8.6125434027777779</v>
      </c>
    </row>
    <row r="148" spans="2:5">
      <c r="B148">
        <v>40</v>
      </c>
      <c r="C148" s="11"/>
      <c r="D148" s="15">
        <v>13.430000000000001</v>
      </c>
      <c r="E148" s="15">
        <v>9.7432725694444446</v>
      </c>
    </row>
    <row r="149" spans="2:5">
      <c r="B149">
        <v>41</v>
      </c>
      <c r="C149" s="11"/>
      <c r="D149" s="15">
        <v>8.43</v>
      </c>
      <c r="E149" s="15">
        <v>10.397569444444446</v>
      </c>
    </row>
    <row r="150" spans="2:5">
      <c r="B150">
        <v>42</v>
      </c>
      <c r="C150" s="11"/>
      <c r="D150" s="15">
        <v>8.629999999999999</v>
      </c>
      <c r="E150" s="15">
        <v>10.778124999999999</v>
      </c>
    </row>
    <row r="151" spans="2:5">
      <c r="B151">
        <v>43</v>
      </c>
      <c r="C151" s="11"/>
      <c r="D151" s="15">
        <v>8.15</v>
      </c>
      <c r="E151" s="15">
        <v>14.194618055555555</v>
      </c>
    </row>
    <row r="152" spans="2:5">
      <c r="B152">
        <v>44</v>
      </c>
      <c r="C152" s="11"/>
      <c r="D152" s="15">
        <v>9.2900000000000009</v>
      </c>
      <c r="E152" s="15">
        <v>8.9552951388888893</v>
      </c>
    </row>
    <row r="153" spans="2:5">
      <c r="B153">
        <v>45</v>
      </c>
      <c r="C153" s="11"/>
      <c r="D153" s="15">
        <v>8.17</v>
      </c>
      <c r="E153" s="15">
        <v>10.792795138888888</v>
      </c>
    </row>
    <row r="154" spans="2:5">
      <c r="B154">
        <v>46</v>
      </c>
      <c r="C154" s="11"/>
      <c r="D154" s="15">
        <v>7.7700000000000005</v>
      </c>
      <c r="E154" s="15">
        <v>12.21167534722222</v>
      </c>
    </row>
    <row r="155" spans="2:5">
      <c r="B155">
        <v>47</v>
      </c>
      <c r="C155" s="11"/>
      <c r="D155" s="15">
        <v>8.25</v>
      </c>
      <c r="E155" s="15">
        <v>8.11662326388889</v>
      </c>
    </row>
    <row r="156" spans="2:5">
      <c r="B156">
        <v>48</v>
      </c>
      <c r="C156" s="11"/>
      <c r="D156" s="15">
        <v>7.8999999999999995</v>
      </c>
      <c r="E156" s="15">
        <v>8.3452690972222214</v>
      </c>
    </row>
    <row r="157" spans="2:5">
      <c r="B157">
        <v>49</v>
      </c>
      <c r="C157" s="11"/>
      <c r="D157" s="15">
        <v>6.4499999999999993</v>
      </c>
      <c r="E157" s="15">
        <v>8.7359375000000004</v>
      </c>
    </row>
    <row r="158" spans="2:5">
      <c r="B158">
        <v>50</v>
      </c>
      <c r="C158" s="11"/>
      <c r="D158" s="15">
        <v>10.76</v>
      </c>
      <c r="E158" s="15">
        <v>11.61115451388889</v>
      </c>
    </row>
    <row r="159" spans="2:5">
      <c r="B159">
        <v>51</v>
      </c>
      <c r="C159" s="11"/>
      <c r="D159" s="15">
        <v>8.2799999999999994</v>
      </c>
      <c r="E159" s="15">
        <v>14.759027777777778</v>
      </c>
    </row>
    <row r="160" spans="2:5">
      <c r="B160">
        <v>52</v>
      </c>
      <c r="C160" s="11"/>
      <c r="D160" s="15">
        <v>9.32</v>
      </c>
      <c r="E160" s="15">
        <v>12.633810763888887</v>
      </c>
    </row>
    <row r="161" spans="1:5">
      <c r="B161">
        <v>53</v>
      </c>
      <c r="C161" s="11"/>
      <c r="D161" s="15">
        <v>7.3999999999999995</v>
      </c>
      <c r="E161" s="15">
        <v>11.012022569444444</v>
      </c>
    </row>
    <row r="162" spans="1:5">
      <c r="A162">
        <v>2023</v>
      </c>
      <c r="B162">
        <v>1</v>
      </c>
      <c r="C162" s="11">
        <v>11.118583834014288</v>
      </c>
      <c r="D162" s="15">
        <v>8.6748697916666675</v>
      </c>
      <c r="E162" s="15">
        <v>12.691753472222222</v>
      </c>
    </row>
    <row r="163" spans="1:5">
      <c r="B163">
        <v>2</v>
      </c>
      <c r="C163" s="11">
        <v>11.175357181821125</v>
      </c>
      <c r="D163" s="15">
        <v>7.3276909722222214</v>
      </c>
      <c r="E163" s="15">
        <v>13.520746527777778</v>
      </c>
    </row>
    <row r="164" spans="1:5">
      <c r="B164">
        <v>3</v>
      </c>
      <c r="C164" s="11">
        <v>11.787285111762092</v>
      </c>
      <c r="D164" s="15">
        <v>8.3616319444444454</v>
      </c>
      <c r="E164" s="15">
        <v>12.219097222222221</v>
      </c>
    </row>
    <row r="165" spans="1:5">
      <c r="B165">
        <v>4</v>
      </c>
      <c r="C165" s="11">
        <v>12.025632433429305</v>
      </c>
      <c r="D165" s="15">
        <v>9.7600694444444436</v>
      </c>
      <c r="E165" s="15">
        <v>15.72517361111111</v>
      </c>
    </row>
    <row r="166" spans="1:5">
      <c r="B166">
        <v>5</v>
      </c>
      <c r="C166" s="11">
        <v>9.7422959350519989</v>
      </c>
      <c r="D166" s="15">
        <v>15.510026041666666</v>
      </c>
      <c r="E166" s="15">
        <v>13.216579861111111</v>
      </c>
    </row>
    <row r="167" spans="1:5">
      <c r="B167">
        <v>6</v>
      </c>
      <c r="C167" s="11">
        <v>13.237350455250112</v>
      </c>
      <c r="D167" s="15">
        <v>13.237760416666667</v>
      </c>
      <c r="E167" s="15">
        <v>12.794835069444446</v>
      </c>
    </row>
    <row r="168" spans="1:5">
      <c r="B168">
        <v>7</v>
      </c>
      <c r="C168" s="11">
        <v>14.743266494644862</v>
      </c>
      <c r="D168" s="15">
        <v>12.888671874999998</v>
      </c>
      <c r="E168" s="15">
        <v>16.226388888888888</v>
      </c>
    </row>
    <row r="169" spans="1:5">
      <c r="B169">
        <v>8</v>
      </c>
      <c r="C169" s="11">
        <v>14.700944569353938</v>
      </c>
      <c r="D169" s="15">
        <v>13.546788194444444</v>
      </c>
      <c r="E169" s="15">
        <v>16.141362847222219</v>
      </c>
    </row>
    <row r="170" spans="1:5">
      <c r="B170">
        <v>9</v>
      </c>
      <c r="C170" s="11">
        <v>13.896154062718519</v>
      </c>
      <c r="D170" s="15">
        <v>12.598480902777778</v>
      </c>
      <c r="E170" s="15">
        <v>13.91293402777778</v>
      </c>
    </row>
    <row r="171" spans="1:5">
      <c r="B171">
        <v>10</v>
      </c>
      <c r="C171" s="11">
        <v>12.781624854217142</v>
      </c>
      <c r="D171" s="15">
        <v>12.537109375</v>
      </c>
      <c r="E171" s="15">
        <v>10.175390625</v>
      </c>
    </row>
    <row r="172" spans="1:5">
      <c r="B172">
        <v>11</v>
      </c>
      <c r="C172" s="11">
        <v>10.508535739358042</v>
      </c>
      <c r="D172" s="15">
        <v>13.818272569444442</v>
      </c>
      <c r="E172" s="15">
        <v>8.7042968749999989</v>
      </c>
    </row>
    <row r="173" spans="1:5">
      <c r="B173">
        <v>12</v>
      </c>
      <c r="C173" s="11">
        <v>9.9278042228762402</v>
      </c>
      <c r="D173" s="15">
        <v>14.186154513888889</v>
      </c>
      <c r="E173" s="15">
        <v>7</v>
      </c>
    </row>
    <row r="174" spans="1:5">
      <c r="B174">
        <v>13</v>
      </c>
      <c r="C174" s="11">
        <v>9.9915000093762671</v>
      </c>
      <c r="D174" s="15">
        <v>11.982682291666666</v>
      </c>
      <c r="E174" s="15">
        <v>7.7821180555555554</v>
      </c>
    </row>
    <row r="175" spans="1:5">
      <c r="B175">
        <v>14</v>
      </c>
      <c r="C175" s="11">
        <v>10.664749902027154</v>
      </c>
      <c r="D175" s="15">
        <v>12.551562499999999</v>
      </c>
      <c r="E175" s="15">
        <v>12.831770833333332</v>
      </c>
    </row>
    <row r="176" spans="1:5">
      <c r="B176">
        <v>15</v>
      </c>
      <c r="C176" s="11">
        <v>12.402706850879797</v>
      </c>
      <c r="D176" s="15">
        <v>16.262326388888887</v>
      </c>
      <c r="E176" s="15">
        <v>14.871527777777777</v>
      </c>
    </row>
    <row r="177" spans="2:5">
      <c r="B177">
        <v>16</v>
      </c>
      <c r="C177" s="11">
        <v>12.837709417188934</v>
      </c>
      <c r="D177" s="15">
        <v>13.547829861111111</v>
      </c>
      <c r="E177" s="15">
        <v>9.8552517361111107</v>
      </c>
    </row>
    <row r="178" spans="2:5">
      <c r="B178">
        <v>17</v>
      </c>
      <c r="C178" s="11">
        <v>13.147765875454571</v>
      </c>
      <c r="D178" s="15">
        <v>12.475868055555557</v>
      </c>
      <c r="E178" s="15">
        <v>12.929383680555558</v>
      </c>
    </row>
    <row r="179" spans="2:5">
      <c r="B179">
        <v>18</v>
      </c>
      <c r="C179" s="11">
        <v>11.841720890259268</v>
      </c>
      <c r="D179" s="15">
        <v>8.6457465277777779</v>
      </c>
      <c r="E179" s="15">
        <v>9.2304253472222211</v>
      </c>
    </row>
    <row r="180" spans="2:5">
      <c r="B180">
        <v>19</v>
      </c>
      <c r="C180" s="11">
        <v>12.347686225552724</v>
      </c>
      <c r="D180" s="15">
        <v>7.4348958333333339</v>
      </c>
      <c r="E180" s="15">
        <v>10.163888888888888</v>
      </c>
    </row>
    <row r="181" spans="2:5">
      <c r="B181">
        <v>20</v>
      </c>
      <c r="C181" s="11">
        <v>11.858188970135007</v>
      </c>
      <c r="D181" s="15">
        <v>7.3263020833333332</v>
      </c>
      <c r="E181" s="15">
        <v>9.7154513888888889</v>
      </c>
    </row>
    <row r="182" spans="2:5">
      <c r="B182">
        <v>21</v>
      </c>
      <c r="C182" s="11">
        <v>11.709982374769332</v>
      </c>
      <c r="D182" s="15">
        <v>8.1643663194444436</v>
      </c>
      <c r="E182" s="15">
        <v>9.3243489583333332</v>
      </c>
    </row>
    <row r="183" spans="2:5">
      <c r="B183">
        <v>22</v>
      </c>
      <c r="C183" s="11">
        <v>12.21328495020712</v>
      </c>
      <c r="D183" s="15">
        <v>16.268923611111113</v>
      </c>
      <c r="E183" s="15">
        <v>9.7243923611111089</v>
      </c>
    </row>
    <row r="184" spans="2:5">
      <c r="B184">
        <v>23</v>
      </c>
      <c r="C184" s="11">
        <v>11.627307908965832</v>
      </c>
      <c r="D184" s="15">
        <v>1.9513888888888891</v>
      </c>
      <c r="E184" s="15">
        <v>1</v>
      </c>
    </row>
    <row r="185" spans="2:5">
      <c r="B185">
        <v>24</v>
      </c>
      <c r="C185" s="11">
        <v>12.495656248219678</v>
      </c>
      <c r="D185" s="15"/>
      <c r="E185" s="15"/>
    </row>
    <row r="186" spans="2:5">
      <c r="B186">
        <v>25</v>
      </c>
      <c r="C186" s="11">
        <v>14.176268704295891</v>
      </c>
      <c r="D186" s="15"/>
      <c r="E186" s="15"/>
    </row>
    <row r="187" spans="2:5">
      <c r="B187">
        <v>26</v>
      </c>
      <c r="C187" s="11">
        <v>14.454358861606597</v>
      </c>
      <c r="D187" s="15"/>
      <c r="E187" s="15"/>
    </row>
    <row r="188" spans="2:5">
      <c r="B188">
        <v>27</v>
      </c>
      <c r="C188" s="11">
        <v>13.770328212961108</v>
      </c>
      <c r="D188" s="15"/>
      <c r="E188" s="15"/>
    </row>
    <row r="189" spans="2:5">
      <c r="B189">
        <v>28</v>
      </c>
      <c r="C189" s="11">
        <v>12.678526437695082</v>
      </c>
      <c r="D189" s="15"/>
      <c r="E189" s="15"/>
    </row>
    <row r="190" spans="2:5">
      <c r="B190">
        <v>29</v>
      </c>
      <c r="C190" s="11">
        <v>13.514380744843407</v>
      </c>
      <c r="D190" s="15"/>
      <c r="E190" s="15"/>
    </row>
    <row r="191" spans="2:5">
      <c r="B191">
        <v>30</v>
      </c>
      <c r="C191" s="11">
        <v>13.380965028771154</v>
      </c>
      <c r="D191" s="15"/>
      <c r="E191" s="15"/>
    </row>
    <row r="192" spans="2:5">
      <c r="B192">
        <v>31</v>
      </c>
      <c r="C192" s="11">
        <v>12.449527814214548</v>
      </c>
      <c r="D192" s="15"/>
      <c r="E192" s="15"/>
    </row>
    <row r="193" spans="2:5">
      <c r="B193">
        <v>32</v>
      </c>
      <c r="C193" s="11">
        <v>11.88977737077987</v>
      </c>
      <c r="D193" s="15"/>
      <c r="E193" s="15"/>
    </row>
    <row r="194" spans="2:5">
      <c r="B194">
        <v>33</v>
      </c>
      <c r="C194" s="11">
        <v>11.576399360892795</v>
      </c>
      <c r="D194" s="15"/>
      <c r="E194" s="15"/>
    </row>
    <row r="195" spans="2:5">
      <c r="B195">
        <v>34</v>
      </c>
      <c r="C195" s="11">
        <v>11.672873460893154</v>
      </c>
      <c r="D195" s="15"/>
      <c r="E195" s="15"/>
    </row>
    <row r="196" spans="2:5">
      <c r="B196">
        <v>35</v>
      </c>
      <c r="C196" s="11">
        <v>11.960966139882139</v>
      </c>
      <c r="D196" s="15"/>
      <c r="E196" s="15"/>
    </row>
    <row r="197" spans="2:5">
      <c r="B197">
        <v>36</v>
      </c>
      <c r="C197" s="11">
        <v>12.204291462327696</v>
      </c>
      <c r="D197" s="15"/>
      <c r="E197" s="15"/>
    </row>
    <row r="198" spans="2:5">
      <c r="B198">
        <v>37</v>
      </c>
      <c r="C198" s="11">
        <v>12.226785398041944</v>
      </c>
      <c r="D198" s="15"/>
      <c r="E198" s="15"/>
    </row>
    <row r="199" spans="2:5">
      <c r="B199">
        <v>38</v>
      </c>
      <c r="C199" s="11">
        <v>12.171774566094498</v>
      </c>
      <c r="D199" s="15"/>
      <c r="E199" s="15"/>
    </row>
    <row r="200" spans="2:5">
      <c r="B200">
        <v>39</v>
      </c>
      <c r="C200" s="11">
        <v>12.360562336140434</v>
      </c>
      <c r="D200" s="15"/>
      <c r="E200" s="15"/>
    </row>
    <row r="201" spans="2:5">
      <c r="B201">
        <v>40</v>
      </c>
      <c r="C201" s="11">
        <v>12.833804120869436</v>
      </c>
      <c r="D201" s="15"/>
      <c r="E201" s="15"/>
    </row>
    <row r="202" spans="2:5">
      <c r="B202">
        <v>41</v>
      </c>
      <c r="C202" s="11">
        <v>13.430050373768204</v>
      </c>
      <c r="D202" s="15"/>
      <c r="E202" s="15"/>
    </row>
    <row r="203" spans="2:5">
      <c r="B203">
        <v>42</v>
      </c>
      <c r="C203" s="11">
        <v>13.85651883799402</v>
      </c>
      <c r="D203" s="15"/>
      <c r="E203" s="15"/>
    </row>
    <row r="204" spans="2:5">
      <c r="B204">
        <v>43</v>
      </c>
      <c r="C204" s="11">
        <v>13.898691693967237</v>
      </c>
      <c r="D204" s="15"/>
      <c r="E204" s="15"/>
    </row>
    <row r="205" spans="2:5">
      <c r="B205">
        <v>44</v>
      </c>
      <c r="C205" s="11">
        <v>13.524360794730384</v>
      </c>
      <c r="D205" s="15"/>
      <c r="E205" s="15"/>
    </row>
    <row r="206" spans="2:5">
      <c r="B206">
        <v>45</v>
      </c>
      <c r="C206" s="11">
        <v>12.912749351096773</v>
      </c>
      <c r="D206" s="15"/>
      <c r="E206" s="15"/>
    </row>
    <row r="207" spans="2:5">
      <c r="B207">
        <v>46</v>
      </c>
      <c r="C207" s="11">
        <v>12.541614356960952</v>
      </c>
      <c r="D207" s="15"/>
      <c r="E207" s="15"/>
    </row>
    <row r="208" spans="2:5">
      <c r="B208">
        <v>47</v>
      </c>
      <c r="C208" s="11">
        <v>12.680634009930408</v>
      </c>
      <c r="D208" s="15"/>
      <c r="E208" s="15"/>
    </row>
    <row r="209" spans="1:5">
      <c r="B209">
        <v>48</v>
      </c>
      <c r="C209" s="11">
        <v>13.264263859642289</v>
      </c>
      <c r="D209" s="15"/>
      <c r="E209" s="15"/>
    </row>
    <row r="210" spans="1:5">
      <c r="B210">
        <v>49</v>
      </c>
      <c r="C210" s="11">
        <v>13.951693684241636</v>
      </c>
      <c r="D210" s="15"/>
      <c r="E210" s="15"/>
    </row>
    <row r="211" spans="1:5">
      <c r="B211">
        <v>50</v>
      </c>
      <c r="C211" s="11">
        <v>14.388797554871065</v>
      </c>
      <c r="D211" s="15"/>
      <c r="E211" s="15"/>
    </row>
    <row r="212" spans="1:5">
      <c r="B212">
        <v>51</v>
      </c>
      <c r="C212" s="11">
        <v>14.48708945624279</v>
      </c>
      <c r="D212" s="15"/>
      <c r="E212" s="15"/>
    </row>
    <row r="213" spans="1:5">
      <c r="B213">
        <v>52</v>
      </c>
      <c r="C213" s="11">
        <v>14.431669370455074</v>
      </c>
      <c r="D213" s="15"/>
      <c r="E213" s="15"/>
    </row>
    <row r="214" spans="1:5">
      <c r="B214">
        <v>53</v>
      </c>
      <c r="C214" s="11">
        <v>1.5234089494583076</v>
      </c>
      <c r="D214" s="15"/>
      <c r="E214" s="15"/>
    </row>
    <row r="215" spans="1:5">
      <c r="A215">
        <v>2024</v>
      </c>
      <c r="B215">
        <v>1</v>
      </c>
      <c r="C215" s="11">
        <v>12.902630170916037</v>
      </c>
      <c r="D215" s="15"/>
      <c r="E215" s="15"/>
    </row>
    <row r="216" spans="1:5">
      <c r="B216">
        <v>2</v>
      </c>
      <c r="C216" s="11">
        <v>14.451053232714662</v>
      </c>
      <c r="D216" s="15"/>
      <c r="E216" s="15"/>
    </row>
    <row r="217" spans="1:5">
      <c r="B217">
        <v>3</v>
      </c>
      <c r="C217" s="11">
        <v>14.340485441874065</v>
      </c>
      <c r="D217" s="15"/>
      <c r="E217" s="15"/>
    </row>
    <row r="218" spans="1:5">
      <c r="B218">
        <v>4</v>
      </c>
      <c r="C218" s="11">
        <v>14.108915525510882</v>
      </c>
      <c r="D218" s="15"/>
      <c r="E218" s="15"/>
    </row>
    <row r="219" spans="1:5">
      <c r="B219">
        <v>5</v>
      </c>
      <c r="C219" s="11">
        <v>14.097479045755877</v>
      </c>
      <c r="D219" s="15"/>
      <c r="E219" s="15"/>
    </row>
    <row r="220" spans="1:5">
      <c r="B220">
        <v>6</v>
      </c>
      <c r="C220" s="11">
        <v>14.67822252779078</v>
      </c>
      <c r="D220" s="15"/>
      <c r="E220" s="15"/>
    </row>
    <row r="221" spans="1:5">
      <c r="B221">
        <v>7</v>
      </c>
      <c r="C221" s="11">
        <v>15.758805621356739</v>
      </c>
      <c r="D221" s="15"/>
      <c r="E221" s="15"/>
    </row>
    <row r="222" spans="1:5">
      <c r="B222">
        <v>8</v>
      </c>
      <c r="C222" s="11">
        <v>16.654419539555906</v>
      </c>
      <c r="D222" s="15"/>
      <c r="E222" s="15"/>
    </row>
    <row r="223" spans="1:5">
      <c r="B223">
        <v>9</v>
      </c>
      <c r="C223" s="11">
        <v>16.590859392176768</v>
      </c>
      <c r="D223" s="15"/>
      <c r="E223" s="15"/>
    </row>
    <row r="224" spans="1:5">
      <c r="B224">
        <v>10</v>
      </c>
      <c r="C224" s="11">
        <v>15.415929491380844</v>
      </c>
      <c r="D224" s="15"/>
      <c r="E224" s="15"/>
    </row>
    <row r="225" spans="2:5">
      <c r="B225">
        <v>11</v>
      </c>
      <c r="C225" s="11">
        <v>13.831504454079946</v>
      </c>
      <c r="D225" s="15"/>
      <c r="E225" s="15"/>
    </row>
    <row r="226" spans="2:5">
      <c r="B226">
        <v>12</v>
      </c>
      <c r="C226" s="11">
        <v>12.849540404040372</v>
      </c>
      <c r="D226" s="15"/>
      <c r="E226" s="15"/>
    </row>
    <row r="227" spans="2:5">
      <c r="B227">
        <v>13</v>
      </c>
      <c r="C227" s="11">
        <v>12.971276938417809</v>
      </c>
      <c r="D227" s="15"/>
      <c r="E227" s="15"/>
    </row>
    <row r="228" spans="2:5">
      <c r="B228">
        <v>14</v>
      </c>
      <c r="C228" s="11">
        <v>13.861455807609003</v>
      </c>
      <c r="D228" s="15"/>
      <c r="E228" s="15"/>
    </row>
    <row r="229" spans="2:5">
      <c r="B229">
        <v>15</v>
      </c>
      <c r="C229" s="11">
        <v>14.772204116686275</v>
      </c>
      <c r="D229" s="15"/>
      <c r="E229" s="15"/>
    </row>
    <row r="230" spans="2:5">
      <c r="B230">
        <v>16</v>
      </c>
      <c r="C230" s="11">
        <v>15.22708553073816</v>
      </c>
      <c r="D230" s="15"/>
      <c r="E230" s="15"/>
    </row>
    <row r="231" spans="2:5">
      <c r="B231">
        <v>17</v>
      </c>
      <c r="C231" s="11">
        <v>15.290995234442015</v>
      </c>
      <c r="D231" s="15"/>
      <c r="E231" s="15"/>
    </row>
    <row r="232" spans="2:5">
      <c r="B232">
        <v>18</v>
      </c>
      <c r="C232" s="11">
        <v>15.272443857566897</v>
      </c>
      <c r="D232" s="15"/>
      <c r="E232" s="15"/>
    </row>
    <row r="233" spans="2:5">
      <c r="B233">
        <v>19</v>
      </c>
      <c r="C233" s="11">
        <v>15.303518416759516</v>
      </c>
      <c r="D233" s="15"/>
      <c r="E233" s="15"/>
    </row>
    <row r="234" spans="2:5">
      <c r="B234">
        <v>20</v>
      </c>
      <c r="C234" s="11">
        <v>15.272872888779538</v>
      </c>
      <c r="D234" s="15"/>
      <c r="E234" s="15"/>
    </row>
    <row r="235" spans="2:5">
      <c r="B235">
        <v>21</v>
      </c>
      <c r="C235" s="11">
        <v>15.097115527613568</v>
      </c>
      <c r="D235" s="15"/>
      <c r="E235" s="15"/>
    </row>
    <row r="236" spans="2:5">
      <c r="B236">
        <v>22</v>
      </c>
      <c r="C236" s="11">
        <v>14.923892112033563</v>
      </c>
      <c r="D236" s="15"/>
      <c r="E236" s="15"/>
    </row>
    <row r="237" spans="2:5">
      <c r="B237">
        <v>23</v>
      </c>
      <c r="C237" s="11">
        <v>15.001648924470723</v>
      </c>
      <c r="D237" s="15"/>
      <c r="E237" s="15"/>
    </row>
    <row r="238" spans="2:5">
      <c r="B238">
        <v>24</v>
      </c>
      <c r="C238" s="11">
        <v>15.392822528775113</v>
      </c>
      <c r="D238" s="15"/>
      <c r="E238" s="15"/>
    </row>
    <row r="239" spans="2:5">
      <c r="B239">
        <v>25</v>
      </c>
      <c r="C239" s="11">
        <v>15.890580072534053</v>
      </c>
      <c r="D239" s="15"/>
      <c r="E239" s="15"/>
    </row>
    <row r="240" spans="2:5">
      <c r="B240">
        <v>26</v>
      </c>
      <c r="C240" s="11">
        <v>16.22920547463195</v>
      </c>
      <c r="D240" s="15"/>
      <c r="E240" s="15"/>
    </row>
    <row r="241" spans="2:5">
      <c r="B241">
        <v>27</v>
      </c>
      <c r="C241" s="11">
        <v>16.32157277475244</v>
      </c>
      <c r="D241" s="15"/>
      <c r="E241" s="15"/>
    </row>
    <row r="242" spans="2:5">
      <c r="B242">
        <v>28</v>
      </c>
      <c r="C242" s="11">
        <v>16.25531421223857</v>
      </c>
      <c r="D242" s="15"/>
      <c r="E242" s="15"/>
    </row>
    <row r="243" spans="2:5">
      <c r="B243">
        <v>29</v>
      </c>
      <c r="C243" s="11">
        <v>16.100938656296496</v>
      </c>
      <c r="D243" s="15"/>
      <c r="E243" s="15"/>
    </row>
    <row r="244" spans="2:5">
      <c r="B244">
        <v>30</v>
      </c>
      <c r="C244" s="11">
        <v>15.809377664105975</v>
      </c>
      <c r="D244" s="15"/>
      <c r="E244" s="15"/>
    </row>
    <row r="245" spans="2:5">
      <c r="B245">
        <v>31</v>
      </c>
      <c r="C245" s="11">
        <v>15.332344101289596</v>
      </c>
      <c r="D245" s="15"/>
      <c r="E245" s="15"/>
    </row>
    <row r="246" spans="2:5">
      <c r="B246">
        <v>32</v>
      </c>
      <c r="C246" s="11">
        <v>14.790668436810932</v>
      </c>
      <c r="D246" s="15"/>
      <c r="E246" s="15"/>
    </row>
    <row r="247" spans="2:5">
      <c r="B247">
        <v>33</v>
      </c>
      <c r="C247" s="11">
        <v>14.441864592548676</v>
      </c>
      <c r="D247" s="15"/>
      <c r="E247" s="15"/>
    </row>
    <row r="248" spans="2:5">
      <c r="B248">
        <v>34</v>
      </c>
      <c r="C248" s="11">
        <v>14.448100463220356</v>
      </c>
      <c r="D248" s="15"/>
      <c r="E248" s="15"/>
    </row>
    <row r="249" spans="2:5">
      <c r="B249">
        <v>35</v>
      </c>
      <c r="C249" s="11">
        <v>14.704038166814971</v>
      </c>
      <c r="D249" s="15"/>
      <c r="E249" s="15"/>
    </row>
    <row r="250" spans="2:5">
      <c r="B250">
        <v>36</v>
      </c>
      <c r="C250" s="11">
        <v>14.932841364693598</v>
      </c>
      <c r="D250" s="15"/>
      <c r="E250" s="15"/>
    </row>
    <row r="251" spans="2:5">
      <c r="B251">
        <v>37</v>
      </c>
      <c r="C251" s="11">
        <v>14.96094161586981</v>
      </c>
      <c r="D251" s="15"/>
      <c r="E251" s="15"/>
    </row>
    <row r="252" spans="2:5">
      <c r="B252">
        <v>38</v>
      </c>
      <c r="C252" s="11">
        <v>14.886491263581354</v>
      </c>
      <c r="D252" s="15"/>
      <c r="E252" s="15"/>
    </row>
    <row r="253" spans="2:5">
      <c r="B253">
        <v>39</v>
      </c>
      <c r="C253" s="11">
        <v>14.974122102384921</v>
      </c>
      <c r="D253" s="15"/>
      <c r="E253" s="15"/>
    </row>
    <row r="254" spans="2:5">
      <c r="B254">
        <v>40</v>
      </c>
      <c r="C254" s="11">
        <v>15.389053353845526</v>
      </c>
      <c r="D254" s="15"/>
      <c r="E254" s="15"/>
    </row>
    <row r="255" spans="2:5">
      <c r="B255">
        <v>41</v>
      </c>
      <c r="C255" s="11">
        <v>16.023537027816872</v>
      </c>
      <c r="D255" s="15"/>
      <c r="E255" s="15"/>
    </row>
    <row r="256" spans="2:5">
      <c r="B256">
        <v>42</v>
      </c>
      <c r="C256" s="11">
        <v>16.55749795351797</v>
      </c>
      <c r="D256" s="15"/>
      <c r="E256" s="15"/>
    </row>
    <row r="257" spans="2:5">
      <c r="B257">
        <v>43</v>
      </c>
      <c r="C257" s="11">
        <v>16.686675622340651</v>
      </c>
      <c r="D257" s="15"/>
      <c r="E257" s="15"/>
    </row>
    <row r="258" spans="2:5">
      <c r="B258">
        <v>44</v>
      </c>
      <c r="C258" s="11">
        <v>16.341670384002256</v>
      </c>
      <c r="D258" s="15"/>
      <c r="E258" s="15"/>
    </row>
    <row r="259" spans="2:5">
      <c r="B259">
        <v>45</v>
      </c>
      <c r="C259" s="11">
        <v>15.753611580339408</v>
      </c>
      <c r="D259" s="15"/>
      <c r="E259" s="15"/>
    </row>
    <row r="260" spans="2:5">
      <c r="B260">
        <v>46</v>
      </c>
      <c r="C260" s="11">
        <v>15.323512642081681</v>
      </c>
      <c r="D260" s="15"/>
      <c r="E260" s="15"/>
    </row>
    <row r="261" spans="2:5">
      <c r="B261">
        <v>47</v>
      </c>
      <c r="C261" s="11">
        <v>15.364775673808175</v>
      </c>
      <c r="D261" s="15"/>
      <c r="E261" s="15"/>
    </row>
    <row r="262" spans="2:5">
      <c r="B262">
        <v>48</v>
      </c>
      <c r="C262" s="11">
        <v>15.883913554744698</v>
      </c>
      <c r="D262" s="15"/>
      <c r="E262" s="15"/>
    </row>
    <row r="263" spans="2:5">
      <c r="B263">
        <v>49</v>
      </c>
      <c r="C263" s="11">
        <v>16.576022828530959</v>
      </c>
      <c r="D263" s="15"/>
      <c r="E263" s="15"/>
    </row>
    <row r="264" spans="2:5">
      <c r="B264">
        <v>50</v>
      </c>
      <c r="C264" s="11">
        <v>17.06787006283615</v>
      </c>
      <c r="D264" s="15"/>
      <c r="E264" s="15"/>
    </row>
    <row r="265" spans="2:5">
      <c r="B265">
        <v>51</v>
      </c>
      <c r="C265" s="11">
        <v>17.213626475548942</v>
      </c>
      <c r="D265" s="15"/>
      <c r="E265" s="15"/>
    </row>
    <row r="266" spans="2:5">
      <c r="B266">
        <v>52</v>
      </c>
      <c r="C266" s="11">
        <v>17.164882875689294</v>
      </c>
      <c r="D266" s="15"/>
      <c r="E266" s="15"/>
    </row>
    <row r="267" spans="2:5">
      <c r="B267">
        <v>53</v>
      </c>
      <c r="C267" s="11">
        <v>4.5174005939580582</v>
      </c>
      <c r="D267" s="15"/>
      <c r="E267" s="1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7B31-3BE1-438B-8008-30DBD7A696C5}">
  <dimension ref="A3:D273"/>
  <sheetViews>
    <sheetView tabSelected="1" workbookViewId="0">
      <selection activeCell="D3" sqref="D3"/>
    </sheetView>
  </sheetViews>
  <sheetFormatPr defaultRowHeight="15"/>
  <cols>
    <col min="1" max="1" width="11.42578125" bestFit="1" customWidth="1"/>
    <col min="2" max="2" width="9.140625" bestFit="1" customWidth="1"/>
    <col min="3" max="4" width="29.140625" bestFit="1" customWidth="1"/>
    <col min="5" max="5" width="29.28515625" bestFit="1" customWidth="1"/>
  </cols>
  <sheetData>
    <row r="3" spans="1:4" ht="30.75">
      <c r="A3" s="14" t="s">
        <v>5</v>
      </c>
      <c r="B3" s="14" t="s">
        <v>4</v>
      </c>
      <c r="C3" s="18" t="s">
        <v>62</v>
      </c>
      <c r="D3" t="s">
        <v>63</v>
      </c>
    </row>
    <row r="4" spans="1:4">
      <c r="A4">
        <v>2020</v>
      </c>
      <c r="B4">
        <v>1</v>
      </c>
      <c r="C4" s="15">
        <v>2</v>
      </c>
      <c r="D4" s="15"/>
    </row>
    <row r="5" spans="1:4">
      <c r="B5">
        <v>2</v>
      </c>
      <c r="C5" s="15">
        <v>2</v>
      </c>
      <c r="D5" s="15"/>
    </row>
    <row r="6" spans="1:4">
      <c r="B6">
        <v>3</v>
      </c>
      <c r="C6" s="15">
        <v>2</v>
      </c>
      <c r="D6" s="15"/>
    </row>
    <row r="7" spans="1:4">
      <c r="B7">
        <v>4</v>
      </c>
      <c r="C7" s="15">
        <v>2</v>
      </c>
      <c r="D7" s="15"/>
    </row>
    <row r="8" spans="1:4">
      <c r="B8">
        <v>5</v>
      </c>
      <c r="C8" s="15">
        <v>2</v>
      </c>
      <c r="D8" s="15"/>
    </row>
    <row r="9" spans="1:4">
      <c r="B9">
        <v>6</v>
      </c>
      <c r="C9" s="15">
        <v>2</v>
      </c>
      <c r="D9" s="15"/>
    </row>
    <row r="10" spans="1:4">
      <c r="B10">
        <v>7</v>
      </c>
      <c r="C10" s="15">
        <v>3</v>
      </c>
      <c r="D10" s="15"/>
    </row>
    <row r="11" spans="1:4">
      <c r="B11">
        <v>8</v>
      </c>
      <c r="C11" s="15">
        <v>2</v>
      </c>
      <c r="D11" s="15"/>
    </row>
    <row r="12" spans="1:4">
      <c r="B12">
        <v>9</v>
      </c>
      <c r="C12" s="15">
        <v>2</v>
      </c>
      <c r="D12" s="15"/>
    </row>
    <row r="13" spans="1:4">
      <c r="B13">
        <v>10</v>
      </c>
      <c r="C13" s="15">
        <v>2</v>
      </c>
      <c r="D13" s="15"/>
    </row>
    <row r="14" spans="1:4">
      <c r="B14">
        <v>11</v>
      </c>
      <c r="C14" s="15">
        <v>2</v>
      </c>
      <c r="D14" s="15"/>
    </row>
    <row r="15" spans="1:4">
      <c r="B15">
        <v>12</v>
      </c>
      <c r="C15" s="15">
        <v>2</v>
      </c>
      <c r="D15" s="15"/>
    </row>
    <row r="16" spans="1:4">
      <c r="B16">
        <v>13</v>
      </c>
      <c r="C16" s="15">
        <v>1</v>
      </c>
      <c r="D16" s="15"/>
    </row>
    <row r="17" spans="2:4">
      <c r="B17">
        <v>14</v>
      </c>
      <c r="C17" s="15">
        <v>2</v>
      </c>
      <c r="D17" s="15"/>
    </row>
    <row r="18" spans="2:4">
      <c r="B18">
        <v>15</v>
      </c>
      <c r="C18" s="15">
        <v>2</v>
      </c>
      <c r="D18" s="15"/>
    </row>
    <row r="19" spans="2:4">
      <c r="B19">
        <v>16</v>
      </c>
      <c r="C19" s="15">
        <v>2</v>
      </c>
      <c r="D19" s="15"/>
    </row>
    <row r="20" spans="2:4">
      <c r="B20">
        <v>17</v>
      </c>
      <c r="C20" s="15">
        <v>2</v>
      </c>
      <c r="D20" s="15"/>
    </row>
    <row r="21" spans="2:4">
      <c r="B21">
        <v>18</v>
      </c>
      <c r="C21" s="15">
        <v>2</v>
      </c>
      <c r="D21" s="15"/>
    </row>
    <row r="22" spans="2:4">
      <c r="B22">
        <v>19</v>
      </c>
      <c r="C22" s="15">
        <v>2</v>
      </c>
      <c r="D22" s="15"/>
    </row>
    <row r="23" spans="2:4">
      <c r="B23">
        <v>20</v>
      </c>
      <c r="C23" s="15">
        <v>2</v>
      </c>
      <c r="D23" s="15"/>
    </row>
    <row r="24" spans="2:4">
      <c r="B24">
        <v>21</v>
      </c>
      <c r="C24" s="15">
        <v>2</v>
      </c>
      <c r="D24" s="15"/>
    </row>
    <row r="25" spans="2:4">
      <c r="B25">
        <v>22</v>
      </c>
      <c r="C25" s="15">
        <v>2</v>
      </c>
      <c r="D25" s="15"/>
    </row>
    <row r="26" spans="2:4">
      <c r="B26">
        <v>23</v>
      </c>
      <c r="C26" s="15">
        <v>1</v>
      </c>
      <c r="D26" s="15"/>
    </row>
    <row r="27" spans="2:4">
      <c r="B27">
        <v>24</v>
      </c>
      <c r="C27" s="15">
        <v>2</v>
      </c>
      <c r="D27" s="15"/>
    </row>
    <row r="28" spans="2:4">
      <c r="B28">
        <v>25</v>
      </c>
      <c r="C28" s="15">
        <v>2</v>
      </c>
      <c r="D28" s="15"/>
    </row>
    <row r="29" spans="2:4">
      <c r="B29">
        <v>26</v>
      </c>
      <c r="C29" s="15">
        <v>2</v>
      </c>
      <c r="D29" s="15"/>
    </row>
    <row r="30" spans="2:4">
      <c r="B30">
        <v>27</v>
      </c>
      <c r="C30" s="15">
        <v>2</v>
      </c>
      <c r="D30" s="15"/>
    </row>
    <row r="31" spans="2:4">
      <c r="B31">
        <v>28</v>
      </c>
      <c r="C31" s="15">
        <v>2</v>
      </c>
      <c r="D31" s="15"/>
    </row>
    <row r="32" spans="2:4">
      <c r="B32">
        <v>29</v>
      </c>
      <c r="C32" s="15">
        <v>2</v>
      </c>
      <c r="D32" s="15"/>
    </row>
    <row r="33" spans="2:4">
      <c r="B33">
        <v>30</v>
      </c>
      <c r="C33" s="15">
        <v>2</v>
      </c>
      <c r="D33" s="15"/>
    </row>
    <row r="34" spans="2:4">
      <c r="B34">
        <v>31</v>
      </c>
      <c r="C34" s="15">
        <v>2</v>
      </c>
      <c r="D34" s="15"/>
    </row>
    <row r="35" spans="2:4">
      <c r="B35">
        <v>32</v>
      </c>
      <c r="C35" s="15">
        <v>2</v>
      </c>
      <c r="D35" s="15"/>
    </row>
    <row r="36" spans="2:4">
      <c r="B36">
        <v>33</v>
      </c>
      <c r="C36" s="15">
        <v>3</v>
      </c>
      <c r="D36" s="15"/>
    </row>
    <row r="37" spans="2:4">
      <c r="B37">
        <v>34</v>
      </c>
      <c r="C37" s="15">
        <v>2</v>
      </c>
      <c r="D37" s="15"/>
    </row>
    <row r="38" spans="2:4">
      <c r="B38">
        <v>35</v>
      </c>
      <c r="C38" s="15">
        <v>2</v>
      </c>
      <c r="D38" s="15"/>
    </row>
    <row r="39" spans="2:4">
      <c r="B39">
        <v>36</v>
      </c>
      <c r="C39" s="15">
        <v>3</v>
      </c>
      <c r="D39" s="15"/>
    </row>
    <row r="40" spans="2:4">
      <c r="B40">
        <v>37</v>
      </c>
      <c r="C40" s="15">
        <v>2</v>
      </c>
      <c r="D40" s="15"/>
    </row>
    <row r="41" spans="2:4">
      <c r="B41">
        <v>38</v>
      </c>
      <c r="C41" s="15">
        <v>2</v>
      </c>
      <c r="D41" s="15"/>
    </row>
    <row r="42" spans="2:4">
      <c r="B42">
        <v>39</v>
      </c>
      <c r="C42" s="15">
        <v>2</v>
      </c>
      <c r="D42" s="15"/>
    </row>
    <row r="43" spans="2:4">
      <c r="B43">
        <v>40</v>
      </c>
      <c r="C43" s="15">
        <v>2</v>
      </c>
      <c r="D43" s="15"/>
    </row>
    <row r="44" spans="2:4">
      <c r="B44">
        <v>41</v>
      </c>
      <c r="C44" s="15">
        <v>2</v>
      </c>
      <c r="D44" s="15"/>
    </row>
    <row r="45" spans="2:4">
      <c r="B45">
        <v>42</v>
      </c>
      <c r="C45" s="15">
        <v>3</v>
      </c>
      <c r="D45" s="15"/>
    </row>
    <row r="46" spans="2:4">
      <c r="B46">
        <v>43</v>
      </c>
      <c r="C46" s="15">
        <v>2</v>
      </c>
      <c r="D46" s="15"/>
    </row>
    <row r="47" spans="2:4">
      <c r="B47">
        <v>44</v>
      </c>
      <c r="C47" s="15">
        <v>3</v>
      </c>
      <c r="D47" s="15"/>
    </row>
    <row r="48" spans="2:4">
      <c r="B48">
        <v>45</v>
      </c>
      <c r="C48" s="15">
        <v>2</v>
      </c>
      <c r="D48" s="15"/>
    </row>
    <row r="49" spans="1:4">
      <c r="B49">
        <v>46</v>
      </c>
      <c r="C49" s="15">
        <v>2</v>
      </c>
      <c r="D49" s="15"/>
    </row>
    <row r="50" spans="1:4">
      <c r="B50">
        <v>47</v>
      </c>
      <c r="C50" s="15">
        <v>2</v>
      </c>
      <c r="D50" s="15"/>
    </row>
    <row r="51" spans="1:4">
      <c r="B51">
        <v>48</v>
      </c>
      <c r="C51" s="15">
        <v>2</v>
      </c>
      <c r="D51" s="15"/>
    </row>
    <row r="52" spans="1:4">
      <c r="B52">
        <v>49</v>
      </c>
      <c r="C52" s="15">
        <v>2</v>
      </c>
      <c r="D52" s="15"/>
    </row>
    <row r="53" spans="1:4">
      <c r="B53">
        <v>50</v>
      </c>
      <c r="C53" s="15">
        <v>2</v>
      </c>
      <c r="D53" s="15"/>
    </row>
    <row r="54" spans="1:4">
      <c r="B54">
        <v>51</v>
      </c>
      <c r="C54" s="15">
        <v>2</v>
      </c>
      <c r="D54" s="15"/>
    </row>
    <row r="55" spans="1:4">
      <c r="B55">
        <v>52</v>
      </c>
      <c r="C55" s="15">
        <v>4</v>
      </c>
      <c r="D55" s="15"/>
    </row>
    <row r="56" spans="1:4">
      <c r="B56">
        <v>53</v>
      </c>
      <c r="C56" s="15">
        <v>2</v>
      </c>
      <c r="D56" s="15"/>
    </row>
    <row r="57" spans="1:4">
      <c r="A57" t="s">
        <v>53</v>
      </c>
      <c r="C57" s="15">
        <v>4</v>
      </c>
      <c r="D57" s="15"/>
    </row>
    <row r="58" spans="1:4">
      <c r="A58">
        <v>2021</v>
      </c>
      <c r="B58">
        <v>1</v>
      </c>
      <c r="C58" s="15">
        <v>2</v>
      </c>
      <c r="D58" s="15"/>
    </row>
    <row r="59" spans="1:4">
      <c r="B59">
        <v>2</v>
      </c>
      <c r="C59" s="15">
        <v>2</v>
      </c>
      <c r="D59" s="15"/>
    </row>
    <row r="60" spans="1:4">
      <c r="B60">
        <v>3</v>
      </c>
      <c r="C60" s="15">
        <v>2</v>
      </c>
      <c r="D60" s="15"/>
    </row>
    <row r="61" spans="1:4">
      <c r="B61">
        <v>4</v>
      </c>
      <c r="C61" s="15">
        <v>2</v>
      </c>
      <c r="D61" s="15"/>
    </row>
    <row r="62" spans="1:4">
      <c r="B62">
        <v>5</v>
      </c>
      <c r="C62" s="15">
        <v>2</v>
      </c>
      <c r="D62" s="15"/>
    </row>
    <row r="63" spans="1:4">
      <c r="B63">
        <v>6</v>
      </c>
      <c r="C63" s="15">
        <v>2</v>
      </c>
      <c r="D63" s="15"/>
    </row>
    <row r="64" spans="1:4">
      <c r="B64">
        <v>7</v>
      </c>
      <c r="C64" s="15">
        <v>1</v>
      </c>
      <c r="D64" s="15"/>
    </row>
    <row r="65" spans="2:4">
      <c r="B65">
        <v>8</v>
      </c>
      <c r="C65" s="15">
        <v>1</v>
      </c>
      <c r="D65" s="15"/>
    </row>
    <row r="66" spans="2:4">
      <c r="B66">
        <v>9</v>
      </c>
      <c r="C66" s="15">
        <v>1</v>
      </c>
      <c r="D66" s="15"/>
    </row>
    <row r="67" spans="2:4">
      <c r="B67">
        <v>10</v>
      </c>
      <c r="C67" s="15">
        <v>2</v>
      </c>
      <c r="D67" s="15"/>
    </row>
    <row r="68" spans="2:4">
      <c r="B68">
        <v>11</v>
      </c>
      <c r="C68" s="15">
        <v>2</v>
      </c>
      <c r="D68" s="15"/>
    </row>
    <row r="69" spans="2:4">
      <c r="B69">
        <v>12</v>
      </c>
      <c r="C69" s="15">
        <v>2</v>
      </c>
      <c r="D69" s="15"/>
    </row>
    <row r="70" spans="2:4">
      <c r="B70">
        <v>13</v>
      </c>
      <c r="C70" s="15">
        <v>1</v>
      </c>
      <c r="D70" s="15"/>
    </row>
    <row r="71" spans="2:4">
      <c r="B71">
        <v>14</v>
      </c>
      <c r="C71" s="15">
        <v>1</v>
      </c>
      <c r="D71" s="15"/>
    </row>
    <row r="72" spans="2:4">
      <c r="B72">
        <v>15</v>
      </c>
      <c r="C72" s="15">
        <v>1</v>
      </c>
      <c r="D72" s="15"/>
    </row>
    <row r="73" spans="2:4">
      <c r="B73">
        <v>16</v>
      </c>
      <c r="C73" s="15">
        <v>1</v>
      </c>
      <c r="D73" s="15"/>
    </row>
    <row r="74" spans="2:4">
      <c r="B74">
        <v>17</v>
      </c>
      <c r="C74" s="15">
        <v>1</v>
      </c>
      <c r="D74" s="15"/>
    </row>
    <row r="75" spans="2:4">
      <c r="B75">
        <v>18</v>
      </c>
      <c r="C75" s="15">
        <v>2</v>
      </c>
      <c r="D75" s="15"/>
    </row>
    <row r="76" spans="2:4">
      <c r="B76">
        <v>19</v>
      </c>
      <c r="C76" s="15">
        <v>2</v>
      </c>
      <c r="D76" s="15"/>
    </row>
    <row r="77" spans="2:4">
      <c r="B77">
        <v>20</v>
      </c>
      <c r="C77" s="15">
        <v>2</v>
      </c>
      <c r="D77" s="15"/>
    </row>
    <row r="78" spans="2:4">
      <c r="B78">
        <v>21</v>
      </c>
      <c r="C78" s="15">
        <v>2</v>
      </c>
      <c r="D78" s="15"/>
    </row>
    <row r="79" spans="2:4">
      <c r="B79">
        <v>22</v>
      </c>
      <c r="C79" s="15">
        <v>1</v>
      </c>
      <c r="D79" s="15"/>
    </row>
    <row r="80" spans="2:4">
      <c r="B80">
        <v>23</v>
      </c>
      <c r="C80" s="15">
        <v>1</v>
      </c>
      <c r="D80" s="15"/>
    </row>
    <row r="81" spans="2:4">
      <c r="B81">
        <v>24</v>
      </c>
      <c r="C81" s="15">
        <v>1</v>
      </c>
      <c r="D81" s="15"/>
    </row>
    <row r="82" spans="2:4">
      <c r="B82">
        <v>25</v>
      </c>
      <c r="C82" s="15">
        <v>2</v>
      </c>
      <c r="D82" s="15"/>
    </row>
    <row r="83" spans="2:4">
      <c r="B83">
        <v>26</v>
      </c>
      <c r="C83" s="15">
        <v>2</v>
      </c>
      <c r="D83" s="15"/>
    </row>
    <row r="84" spans="2:4">
      <c r="B84">
        <v>27</v>
      </c>
      <c r="C84" s="15">
        <v>3</v>
      </c>
      <c r="D84" s="15"/>
    </row>
    <row r="85" spans="2:4">
      <c r="B85">
        <v>28</v>
      </c>
      <c r="C85" s="15">
        <v>2</v>
      </c>
      <c r="D85" s="15"/>
    </row>
    <row r="86" spans="2:4">
      <c r="B86">
        <v>29</v>
      </c>
      <c r="C86" s="15">
        <v>2</v>
      </c>
      <c r="D86" s="15"/>
    </row>
    <row r="87" spans="2:4">
      <c r="B87">
        <v>30</v>
      </c>
      <c r="C87" s="15">
        <v>2</v>
      </c>
      <c r="D87" s="15"/>
    </row>
    <row r="88" spans="2:4">
      <c r="B88">
        <v>31</v>
      </c>
      <c r="C88" s="15">
        <v>2</v>
      </c>
      <c r="D88" s="15"/>
    </row>
    <row r="89" spans="2:4">
      <c r="B89">
        <v>32</v>
      </c>
      <c r="C89" s="15">
        <v>2</v>
      </c>
      <c r="D89" s="15"/>
    </row>
    <row r="90" spans="2:4">
      <c r="B90">
        <v>33</v>
      </c>
      <c r="C90" s="15">
        <v>2</v>
      </c>
      <c r="D90" s="15"/>
    </row>
    <row r="91" spans="2:4">
      <c r="B91">
        <v>34</v>
      </c>
      <c r="C91" s="15">
        <v>1</v>
      </c>
      <c r="D91" s="15"/>
    </row>
    <row r="92" spans="2:4">
      <c r="B92">
        <v>35</v>
      </c>
      <c r="C92" s="15">
        <v>1</v>
      </c>
      <c r="D92" s="15"/>
    </row>
    <row r="93" spans="2:4">
      <c r="B93">
        <v>36</v>
      </c>
      <c r="C93" s="15">
        <v>2</v>
      </c>
      <c r="D93" s="15"/>
    </row>
    <row r="94" spans="2:4">
      <c r="B94">
        <v>37</v>
      </c>
      <c r="C94" s="15">
        <v>2</v>
      </c>
      <c r="D94" s="15"/>
    </row>
    <row r="95" spans="2:4">
      <c r="B95">
        <v>38</v>
      </c>
      <c r="C95" s="15">
        <v>1</v>
      </c>
      <c r="D95" s="15"/>
    </row>
    <row r="96" spans="2:4">
      <c r="B96">
        <v>39</v>
      </c>
      <c r="C96" s="15">
        <v>2</v>
      </c>
      <c r="D96" s="15"/>
    </row>
    <row r="97" spans="1:4">
      <c r="B97">
        <v>40</v>
      </c>
      <c r="C97" s="15">
        <v>1</v>
      </c>
      <c r="D97" s="15"/>
    </row>
    <row r="98" spans="1:4">
      <c r="B98">
        <v>41</v>
      </c>
      <c r="C98" s="15">
        <v>1</v>
      </c>
      <c r="D98" s="15"/>
    </row>
    <row r="99" spans="1:4">
      <c r="B99">
        <v>42</v>
      </c>
      <c r="C99" s="15">
        <v>2</v>
      </c>
      <c r="D99" s="15"/>
    </row>
    <row r="100" spans="1:4">
      <c r="B100">
        <v>43</v>
      </c>
      <c r="C100" s="15">
        <v>2</v>
      </c>
      <c r="D100" s="15"/>
    </row>
    <row r="101" spans="1:4">
      <c r="B101">
        <v>44</v>
      </c>
      <c r="C101" s="15">
        <v>2</v>
      </c>
      <c r="D101" s="15"/>
    </row>
    <row r="102" spans="1:4">
      <c r="B102">
        <v>45</v>
      </c>
      <c r="C102" s="15">
        <v>2</v>
      </c>
      <c r="D102" s="15"/>
    </row>
    <row r="103" spans="1:4">
      <c r="B103">
        <v>46</v>
      </c>
      <c r="C103" s="15">
        <v>2</v>
      </c>
      <c r="D103" s="15"/>
    </row>
    <row r="104" spans="1:4">
      <c r="B104">
        <v>47</v>
      </c>
      <c r="C104" s="15">
        <v>2</v>
      </c>
      <c r="D104" s="15"/>
    </row>
    <row r="105" spans="1:4">
      <c r="B105">
        <v>48</v>
      </c>
      <c r="C105" s="15">
        <v>1</v>
      </c>
      <c r="D105" s="15"/>
    </row>
    <row r="106" spans="1:4">
      <c r="B106">
        <v>49</v>
      </c>
      <c r="C106" s="15">
        <v>2</v>
      </c>
      <c r="D106" s="15"/>
    </row>
    <row r="107" spans="1:4">
      <c r="B107">
        <v>50</v>
      </c>
      <c r="C107" s="15">
        <v>3</v>
      </c>
      <c r="D107" s="15"/>
    </row>
    <row r="108" spans="1:4">
      <c r="B108">
        <v>51</v>
      </c>
      <c r="C108" s="15">
        <v>3</v>
      </c>
      <c r="D108" s="15"/>
    </row>
    <row r="109" spans="1:4">
      <c r="B109">
        <v>52</v>
      </c>
      <c r="C109" s="15">
        <v>2</v>
      </c>
      <c r="D109" s="15"/>
    </row>
    <row r="110" spans="1:4">
      <c r="B110">
        <v>53</v>
      </c>
      <c r="C110" s="15">
        <v>2</v>
      </c>
      <c r="D110" s="15"/>
    </row>
    <row r="111" spans="1:4">
      <c r="A111" t="s">
        <v>54</v>
      </c>
      <c r="C111" s="15">
        <v>3</v>
      </c>
      <c r="D111" s="15"/>
    </row>
    <row r="112" spans="1:4">
      <c r="A112">
        <v>2022</v>
      </c>
      <c r="B112">
        <v>1</v>
      </c>
      <c r="C112" s="15">
        <v>2</v>
      </c>
      <c r="D112" s="15"/>
    </row>
    <row r="113" spans="2:4">
      <c r="B113">
        <v>2</v>
      </c>
      <c r="C113" s="15">
        <v>2</v>
      </c>
      <c r="D113" s="15"/>
    </row>
    <row r="114" spans="2:4">
      <c r="B114">
        <v>3</v>
      </c>
      <c r="C114" s="15">
        <v>2</v>
      </c>
      <c r="D114" s="15"/>
    </row>
    <row r="115" spans="2:4">
      <c r="B115">
        <v>4</v>
      </c>
      <c r="C115" s="15">
        <v>2</v>
      </c>
      <c r="D115" s="15"/>
    </row>
    <row r="116" spans="2:4">
      <c r="B116">
        <v>5</v>
      </c>
      <c r="C116" s="15">
        <v>2</v>
      </c>
      <c r="D116" s="15"/>
    </row>
    <row r="117" spans="2:4">
      <c r="B117">
        <v>6</v>
      </c>
      <c r="C117" s="15">
        <v>2</v>
      </c>
      <c r="D117" s="15"/>
    </row>
    <row r="118" spans="2:4">
      <c r="B118">
        <v>7</v>
      </c>
      <c r="C118" s="15">
        <v>2</v>
      </c>
      <c r="D118" s="15"/>
    </row>
    <row r="119" spans="2:4">
      <c r="B119">
        <v>8</v>
      </c>
      <c r="C119" s="15">
        <v>2</v>
      </c>
      <c r="D119" s="15"/>
    </row>
    <row r="120" spans="2:4">
      <c r="B120">
        <v>9</v>
      </c>
      <c r="C120" s="15">
        <v>3</v>
      </c>
      <c r="D120" s="15"/>
    </row>
    <row r="121" spans="2:4">
      <c r="B121">
        <v>10</v>
      </c>
      <c r="C121" s="15">
        <v>3</v>
      </c>
      <c r="D121" s="15"/>
    </row>
    <row r="122" spans="2:4">
      <c r="B122">
        <v>11</v>
      </c>
      <c r="C122" s="15">
        <v>4</v>
      </c>
      <c r="D122" s="15"/>
    </row>
    <row r="123" spans="2:4">
      <c r="B123">
        <v>12</v>
      </c>
      <c r="C123" s="15">
        <v>4</v>
      </c>
      <c r="D123" s="15"/>
    </row>
    <row r="124" spans="2:4">
      <c r="B124">
        <v>13</v>
      </c>
      <c r="C124" s="15">
        <v>4</v>
      </c>
      <c r="D124" s="15"/>
    </row>
    <row r="125" spans="2:4">
      <c r="B125">
        <v>14</v>
      </c>
      <c r="C125" s="15">
        <v>5</v>
      </c>
      <c r="D125" s="15"/>
    </row>
    <row r="126" spans="2:4">
      <c r="B126">
        <v>15</v>
      </c>
      <c r="C126" s="15">
        <v>4</v>
      </c>
      <c r="D126" s="15"/>
    </row>
    <row r="127" spans="2:4">
      <c r="B127">
        <v>16</v>
      </c>
      <c r="C127" s="15">
        <v>3</v>
      </c>
      <c r="D127" s="15"/>
    </row>
    <row r="128" spans="2:4">
      <c r="B128">
        <v>18</v>
      </c>
      <c r="C128" s="15">
        <v>2</v>
      </c>
      <c r="D128" s="15"/>
    </row>
    <row r="129" spans="2:4">
      <c r="B129">
        <v>19</v>
      </c>
      <c r="C129" s="15">
        <v>2</v>
      </c>
      <c r="D129" s="15"/>
    </row>
    <row r="130" spans="2:4">
      <c r="B130">
        <v>20</v>
      </c>
      <c r="C130" s="15">
        <v>2</v>
      </c>
      <c r="D130" s="15"/>
    </row>
    <row r="131" spans="2:4">
      <c r="B131">
        <v>21</v>
      </c>
      <c r="C131" s="15">
        <v>4</v>
      </c>
      <c r="D131" s="15"/>
    </row>
    <row r="132" spans="2:4">
      <c r="B132">
        <v>22</v>
      </c>
      <c r="C132" s="15">
        <v>4</v>
      </c>
      <c r="D132" s="15"/>
    </row>
    <row r="133" spans="2:4">
      <c r="B133">
        <v>23</v>
      </c>
      <c r="C133" s="15">
        <v>7</v>
      </c>
      <c r="D133" s="15"/>
    </row>
    <row r="134" spans="2:4">
      <c r="B134">
        <v>24</v>
      </c>
      <c r="C134" s="15">
        <v>8</v>
      </c>
      <c r="D134" s="15"/>
    </row>
    <row r="135" spans="2:4">
      <c r="B135">
        <v>25</v>
      </c>
      <c r="C135" s="15">
        <v>4</v>
      </c>
      <c r="D135" s="15"/>
    </row>
    <row r="136" spans="2:4">
      <c r="B136">
        <v>26</v>
      </c>
      <c r="C136" s="15">
        <v>4</v>
      </c>
      <c r="D136" s="15"/>
    </row>
    <row r="137" spans="2:4">
      <c r="B137">
        <v>27</v>
      </c>
      <c r="C137" s="15">
        <v>3</v>
      </c>
      <c r="D137" s="15"/>
    </row>
    <row r="138" spans="2:4">
      <c r="B138">
        <v>28</v>
      </c>
      <c r="C138" s="15">
        <v>2</v>
      </c>
      <c r="D138" s="15"/>
    </row>
    <row r="139" spans="2:4">
      <c r="B139">
        <v>29</v>
      </c>
      <c r="C139" s="15">
        <v>5</v>
      </c>
      <c r="D139" s="15"/>
    </row>
    <row r="140" spans="2:4">
      <c r="B140">
        <v>30</v>
      </c>
      <c r="C140" s="15">
        <v>6</v>
      </c>
      <c r="D140" s="15"/>
    </row>
    <row r="141" spans="2:4">
      <c r="B141">
        <v>31</v>
      </c>
      <c r="C141" s="15">
        <v>3</v>
      </c>
      <c r="D141" s="15"/>
    </row>
    <row r="142" spans="2:4">
      <c r="B142">
        <v>32</v>
      </c>
      <c r="C142" s="15">
        <v>2</v>
      </c>
      <c r="D142" s="15"/>
    </row>
    <row r="143" spans="2:4">
      <c r="B143">
        <v>33</v>
      </c>
      <c r="C143" s="15">
        <v>3</v>
      </c>
      <c r="D143" s="15"/>
    </row>
    <row r="144" spans="2:4">
      <c r="B144">
        <v>34</v>
      </c>
      <c r="C144" s="15">
        <v>7</v>
      </c>
      <c r="D144" s="15"/>
    </row>
    <row r="145" spans="2:4">
      <c r="B145">
        <v>35</v>
      </c>
      <c r="C145" s="15">
        <v>4</v>
      </c>
      <c r="D145" s="15"/>
    </row>
    <row r="146" spans="2:4">
      <c r="B146">
        <v>36</v>
      </c>
      <c r="C146" s="15">
        <v>2</v>
      </c>
      <c r="D146" s="15"/>
    </row>
    <row r="147" spans="2:4">
      <c r="B147">
        <v>37</v>
      </c>
      <c r="C147" s="15">
        <v>3</v>
      </c>
      <c r="D147" s="15"/>
    </row>
    <row r="148" spans="2:4">
      <c r="B148">
        <v>38</v>
      </c>
      <c r="C148" s="15">
        <v>2</v>
      </c>
      <c r="D148" s="15"/>
    </row>
    <row r="149" spans="2:4">
      <c r="B149">
        <v>39</v>
      </c>
      <c r="C149" s="15">
        <v>2</v>
      </c>
      <c r="D149" s="15"/>
    </row>
    <row r="150" spans="2:4">
      <c r="B150">
        <v>40</v>
      </c>
      <c r="C150" s="15">
        <v>4</v>
      </c>
      <c r="D150" s="15"/>
    </row>
    <row r="151" spans="2:4">
      <c r="B151">
        <v>41</v>
      </c>
      <c r="C151" s="15">
        <v>2</v>
      </c>
      <c r="D151" s="15"/>
    </row>
    <row r="152" spans="2:4">
      <c r="B152">
        <v>42</v>
      </c>
      <c r="C152" s="15">
        <v>2</v>
      </c>
      <c r="D152" s="15"/>
    </row>
    <row r="153" spans="2:4">
      <c r="B153">
        <v>43</v>
      </c>
      <c r="C153" s="15">
        <v>2</v>
      </c>
      <c r="D153" s="15"/>
    </row>
    <row r="154" spans="2:4">
      <c r="B154">
        <v>44</v>
      </c>
      <c r="C154" s="15">
        <v>2</v>
      </c>
      <c r="D154" s="15"/>
    </row>
    <row r="155" spans="2:4">
      <c r="B155">
        <v>45</v>
      </c>
      <c r="C155" s="15">
        <v>2</v>
      </c>
      <c r="D155" s="15"/>
    </row>
    <row r="156" spans="2:4">
      <c r="B156">
        <v>46</v>
      </c>
      <c r="C156" s="15">
        <v>2</v>
      </c>
      <c r="D156" s="15"/>
    </row>
    <row r="157" spans="2:4">
      <c r="B157">
        <v>47</v>
      </c>
      <c r="C157" s="15">
        <v>2</v>
      </c>
      <c r="D157" s="15"/>
    </row>
    <row r="158" spans="2:4">
      <c r="B158">
        <v>48</v>
      </c>
      <c r="C158" s="15">
        <v>2</v>
      </c>
      <c r="D158" s="15"/>
    </row>
    <row r="159" spans="2:4">
      <c r="B159">
        <v>49</v>
      </c>
      <c r="C159" s="15">
        <v>2</v>
      </c>
      <c r="D159" s="15"/>
    </row>
    <row r="160" spans="2:4">
      <c r="B160">
        <v>50</v>
      </c>
      <c r="C160" s="15">
        <v>3</v>
      </c>
      <c r="D160" s="15"/>
    </row>
    <row r="161" spans="1:4">
      <c r="B161">
        <v>51</v>
      </c>
      <c r="C161" s="15">
        <v>2</v>
      </c>
      <c r="D161" s="15"/>
    </row>
    <row r="162" spans="1:4">
      <c r="B162">
        <v>52</v>
      </c>
      <c r="C162" s="15">
        <v>2</v>
      </c>
      <c r="D162" s="15"/>
    </row>
    <row r="163" spans="1:4">
      <c r="B163">
        <v>53</v>
      </c>
      <c r="C163" s="15">
        <v>2</v>
      </c>
      <c r="D163" s="15"/>
    </row>
    <row r="164" spans="1:4">
      <c r="A164" t="s">
        <v>55</v>
      </c>
      <c r="C164" s="15">
        <v>8</v>
      </c>
      <c r="D164" s="15"/>
    </row>
    <row r="165" spans="1:4">
      <c r="A165">
        <v>2023</v>
      </c>
      <c r="B165">
        <v>1</v>
      </c>
      <c r="C165" s="15">
        <v>2</v>
      </c>
      <c r="D165" s="15">
        <v>2</v>
      </c>
    </row>
    <row r="166" spans="1:4">
      <c r="B166">
        <v>2</v>
      </c>
      <c r="C166" s="15">
        <v>2</v>
      </c>
      <c r="D166" s="15">
        <v>2</v>
      </c>
    </row>
    <row r="167" spans="1:4">
      <c r="B167">
        <v>3</v>
      </c>
      <c r="C167" s="15">
        <v>2</v>
      </c>
      <c r="D167" s="15">
        <v>3</v>
      </c>
    </row>
    <row r="168" spans="1:4">
      <c r="B168">
        <v>4</v>
      </c>
      <c r="C168" s="15">
        <v>2</v>
      </c>
      <c r="D168" s="15">
        <v>2</v>
      </c>
    </row>
    <row r="169" spans="1:4">
      <c r="B169">
        <v>5</v>
      </c>
      <c r="C169" s="15">
        <v>4</v>
      </c>
      <c r="D169" s="15">
        <v>3</v>
      </c>
    </row>
    <row r="170" spans="1:4">
      <c r="B170">
        <v>6</v>
      </c>
      <c r="C170" s="15">
        <v>3</v>
      </c>
      <c r="D170" s="15">
        <v>3</v>
      </c>
    </row>
    <row r="171" spans="1:4">
      <c r="B171">
        <v>7</v>
      </c>
      <c r="C171" s="15">
        <v>3</v>
      </c>
      <c r="D171" s="15">
        <v>3</v>
      </c>
    </row>
    <row r="172" spans="1:4">
      <c r="B172">
        <v>8</v>
      </c>
      <c r="C172" s="15">
        <v>3</v>
      </c>
      <c r="D172" s="15">
        <v>3</v>
      </c>
    </row>
    <row r="173" spans="1:4">
      <c r="B173">
        <v>9</v>
      </c>
      <c r="C173" s="15">
        <v>3</v>
      </c>
      <c r="D173" s="15">
        <v>3</v>
      </c>
    </row>
    <row r="174" spans="1:4">
      <c r="B174">
        <v>10</v>
      </c>
      <c r="C174" s="15">
        <v>3</v>
      </c>
      <c r="D174" s="15">
        <v>3</v>
      </c>
    </row>
    <row r="175" spans="1:4">
      <c r="B175">
        <v>11</v>
      </c>
      <c r="C175" s="15">
        <v>4</v>
      </c>
      <c r="D175" s="15">
        <v>2</v>
      </c>
    </row>
    <row r="176" spans="1:4">
      <c r="B176">
        <v>12</v>
      </c>
      <c r="C176" s="15">
        <v>4</v>
      </c>
      <c r="D176" s="15">
        <v>2</v>
      </c>
    </row>
    <row r="177" spans="2:4">
      <c r="B177">
        <v>13</v>
      </c>
      <c r="C177" s="15">
        <v>3</v>
      </c>
      <c r="D177" s="15">
        <v>2</v>
      </c>
    </row>
    <row r="178" spans="2:4">
      <c r="B178">
        <v>14</v>
      </c>
      <c r="C178" s="15">
        <v>3</v>
      </c>
      <c r="D178" s="15">
        <v>2</v>
      </c>
    </row>
    <row r="179" spans="2:4">
      <c r="B179">
        <v>15</v>
      </c>
      <c r="C179" s="15">
        <v>4</v>
      </c>
      <c r="D179" s="15">
        <v>2</v>
      </c>
    </row>
    <row r="180" spans="2:4">
      <c r="B180">
        <v>16</v>
      </c>
      <c r="C180" s="15">
        <v>3</v>
      </c>
      <c r="D180" s="15">
        <v>3</v>
      </c>
    </row>
    <row r="181" spans="2:4">
      <c r="B181">
        <v>17</v>
      </c>
      <c r="C181" s="15">
        <v>3</v>
      </c>
      <c r="D181" s="15">
        <v>3</v>
      </c>
    </row>
    <row r="182" spans="2:4">
      <c r="B182">
        <v>18</v>
      </c>
      <c r="C182" s="15">
        <v>2</v>
      </c>
      <c r="D182" s="15">
        <v>2</v>
      </c>
    </row>
    <row r="183" spans="2:4">
      <c r="B183">
        <v>19</v>
      </c>
      <c r="C183" s="15">
        <v>2</v>
      </c>
      <c r="D183" s="15">
        <v>3</v>
      </c>
    </row>
    <row r="184" spans="2:4">
      <c r="B184">
        <v>20</v>
      </c>
      <c r="C184" s="15">
        <v>2</v>
      </c>
      <c r="D184" s="15">
        <v>3</v>
      </c>
    </row>
    <row r="185" spans="2:4">
      <c r="B185">
        <v>21</v>
      </c>
      <c r="C185" s="15">
        <v>2</v>
      </c>
      <c r="D185" s="15">
        <v>2</v>
      </c>
    </row>
    <row r="186" spans="2:4">
      <c r="B186">
        <v>22</v>
      </c>
      <c r="C186" s="15">
        <v>4</v>
      </c>
      <c r="D186" s="15">
        <v>3</v>
      </c>
    </row>
    <row r="187" spans="2:4">
      <c r="B187">
        <v>23</v>
      </c>
      <c r="C187" s="15">
        <v>2</v>
      </c>
      <c r="D187" s="15">
        <v>2</v>
      </c>
    </row>
    <row r="188" spans="2:4">
      <c r="B188">
        <v>24</v>
      </c>
      <c r="C188" s="15"/>
      <c r="D188" s="15">
        <v>3</v>
      </c>
    </row>
    <row r="189" spans="2:4">
      <c r="B189">
        <v>25</v>
      </c>
      <c r="C189" s="15"/>
      <c r="D189" s="15">
        <v>3</v>
      </c>
    </row>
    <row r="190" spans="2:4">
      <c r="B190">
        <v>26</v>
      </c>
      <c r="C190" s="15"/>
      <c r="D190" s="15">
        <v>3</v>
      </c>
    </row>
    <row r="191" spans="2:4">
      <c r="B191">
        <v>27</v>
      </c>
      <c r="C191" s="15"/>
      <c r="D191" s="15">
        <v>3</v>
      </c>
    </row>
    <row r="192" spans="2:4">
      <c r="B192">
        <v>28</v>
      </c>
      <c r="C192" s="15"/>
      <c r="D192" s="15">
        <v>2</v>
      </c>
    </row>
    <row r="193" spans="2:4">
      <c r="B193">
        <v>29</v>
      </c>
      <c r="C193" s="15"/>
      <c r="D193" s="15">
        <v>3</v>
      </c>
    </row>
    <row r="194" spans="2:4">
      <c r="B194">
        <v>30</v>
      </c>
      <c r="C194" s="15"/>
      <c r="D194" s="15">
        <v>3</v>
      </c>
    </row>
    <row r="195" spans="2:4">
      <c r="B195">
        <v>31</v>
      </c>
      <c r="C195" s="15"/>
      <c r="D195" s="15">
        <v>2</v>
      </c>
    </row>
    <row r="196" spans="2:4">
      <c r="B196">
        <v>32</v>
      </c>
      <c r="C196" s="15"/>
      <c r="D196" s="15">
        <v>2</v>
      </c>
    </row>
    <row r="197" spans="2:4">
      <c r="B197">
        <v>33</v>
      </c>
      <c r="C197" s="15"/>
      <c r="D197" s="15">
        <v>2</v>
      </c>
    </row>
    <row r="198" spans="2:4">
      <c r="B198">
        <v>34</v>
      </c>
      <c r="C198" s="15"/>
      <c r="D198" s="15">
        <v>2</v>
      </c>
    </row>
    <row r="199" spans="2:4">
      <c r="B199">
        <v>35</v>
      </c>
      <c r="C199" s="15"/>
      <c r="D199" s="15">
        <v>2</v>
      </c>
    </row>
    <row r="200" spans="2:4">
      <c r="B200">
        <v>36</v>
      </c>
      <c r="C200" s="15"/>
      <c r="D200" s="15">
        <v>2</v>
      </c>
    </row>
    <row r="201" spans="2:4">
      <c r="B201">
        <v>37</v>
      </c>
      <c r="C201" s="15"/>
      <c r="D201" s="15">
        <v>2</v>
      </c>
    </row>
    <row r="202" spans="2:4">
      <c r="B202">
        <v>38</v>
      </c>
      <c r="C202" s="15"/>
      <c r="D202" s="15">
        <v>2</v>
      </c>
    </row>
    <row r="203" spans="2:4">
      <c r="B203">
        <v>39</v>
      </c>
      <c r="C203" s="15"/>
      <c r="D203" s="15">
        <v>2</v>
      </c>
    </row>
    <row r="204" spans="2:4">
      <c r="B204">
        <v>40</v>
      </c>
      <c r="C204" s="15"/>
      <c r="D204" s="15">
        <v>2</v>
      </c>
    </row>
    <row r="205" spans="2:4">
      <c r="B205">
        <v>41</v>
      </c>
      <c r="C205" s="15"/>
      <c r="D205" s="15">
        <v>3</v>
      </c>
    </row>
    <row r="206" spans="2:4">
      <c r="B206">
        <v>42</v>
      </c>
      <c r="C206" s="15"/>
      <c r="D206" s="15">
        <v>3</v>
      </c>
    </row>
    <row r="207" spans="2:4">
      <c r="B207">
        <v>43</v>
      </c>
      <c r="C207" s="15"/>
      <c r="D207" s="15">
        <v>3</v>
      </c>
    </row>
    <row r="208" spans="2:4">
      <c r="B208">
        <v>44</v>
      </c>
      <c r="C208" s="15"/>
      <c r="D208" s="15">
        <v>3</v>
      </c>
    </row>
    <row r="209" spans="1:4">
      <c r="B209">
        <v>45</v>
      </c>
      <c r="C209" s="15"/>
      <c r="D209" s="15">
        <v>3</v>
      </c>
    </row>
    <row r="210" spans="1:4">
      <c r="B210">
        <v>46</v>
      </c>
      <c r="C210" s="15"/>
      <c r="D210" s="15">
        <v>2</v>
      </c>
    </row>
    <row r="211" spans="1:4">
      <c r="B211">
        <v>47</v>
      </c>
      <c r="C211" s="15"/>
      <c r="D211" s="15">
        <v>2</v>
      </c>
    </row>
    <row r="212" spans="1:4">
      <c r="B212">
        <v>48</v>
      </c>
      <c r="C212" s="15"/>
      <c r="D212" s="15">
        <v>3</v>
      </c>
    </row>
    <row r="213" spans="1:4">
      <c r="B213">
        <v>49</v>
      </c>
      <c r="C213" s="15"/>
      <c r="D213" s="15">
        <v>3</v>
      </c>
    </row>
    <row r="214" spans="1:4">
      <c r="B214">
        <v>50</v>
      </c>
      <c r="C214" s="15"/>
      <c r="D214" s="15">
        <v>3</v>
      </c>
    </row>
    <row r="215" spans="1:4">
      <c r="B215">
        <v>51</v>
      </c>
      <c r="C215" s="15"/>
      <c r="D215" s="15">
        <v>3</v>
      </c>
    </row>
    <row r="216" spans="1:4">
      <c r="B216">
        <v>52</v>
      </c>
      <c r="C216" s="15"/>
      <c r="D216" s="15">
        <v>3</v>
      </c>
    </row>
    <row r="217" spans="1:4">
      <c r="B217">
        <v>53</v>
      </c>
      <c r="C217" s="15"/>
      <c r="D217" s="15">
        <v>2</v>
      </c>
    </row>
    <row r="218" spans="1:4">
      <c r="A218" t="s">
        <v>56</v>
      </c>
      <c r="C218" s="15">
        <v>4</v>
      </c>
      <c r="D218" s="15">
        <v>3</v>
      </c>
    </row>
    <row r="219" spans="1:4">
      <c r="A219">
        <v>2024</v>
      </c>
      <c r="B219">
        <v>1</v>
      </c>
      <c r="C219" s="15"/>
      <c r="D219" s="15">
        <v>3</v>
      </c>
    </row>
    <row r="220" spans="1:4">
      <c r="B220">
        <v>2</v>
      </c>
      <c r="C220" s="15"/>
      <c r="D220" s="15">
        <v>3</v>
      </c>
    </row>
    <row r="221" spans="1:4">
      <c r="B221">
        <v>3</v>
      </c>
      <c r="C221" s="15"/>
      <c r="D221" s="15">
        <v>3</v>
      </c>
    </row>
    <row r="222" spans="1:4">
      <c r="B222">
        <v>4</v>
      </c>
      <c r="C222" s="15"/>
      <c r="D222" s="15">
        <v>3</v>
      </c>
    </row>
    <row r="223" spans="1:4">
      <c r="B223">
        <v>5</v>
      </c>
      <c r="C223" s="15"/>
      <c r="D223" s="15">
        <v>3</v>
      </c>
    </row>
    <row r="224" spans="1:4">
      <c r="B224">
        <v>6</v>
      </c>
      <c r="C224" s="15"/>
      <c r="D224" s="15">
        <v>3</v>
      </c>
    </row>
    <row r="225" spans="2:4">
      <c r="B225">
        <v>7</v>
      </c>
      <c r="C225" s="15"/>
      <c r="D225" s="15">
        <v>3</v>
      </c>
    </row>
    <row r="226" spans="2:4">
      <c r="B226">
        <v>8</v>
      </c>
      <c r="C226" s="15"/>
      <c r="D226" s="15">
        <v>3</v>
      </c>
    </row>
    <row r="227" spans="2:4">
      <c r="B227">
        <v>9</v>
      </c>
      <c r="C227" s="15"/>
      <c r="D227" s="15">
        <v>3</v>
      </c>
    </row>
    <row r="228" spans="2:4">
      <c r="B228">
        <v>10</v>
      </c>
      <c r="C228" s="15"/>
      <c r="D228" s="15">
        <v>3</v>
      </c>
    </row>
    <row r="229" spans="2:4">
      <c r="B229">
        <v>11</v>
      </c>
      <c r="C229" s="15"/>
      <c r="D229" s="15">
        <v>3</v>
      </c>
    </row>
    <row r="230" spans="2:4">
      <c r="B230">
        <v>12</v>
      </c>
      <c r="C230" s="15"/>
      <c r="D230" s="15">
        <v>3</v>
      </c>
    </row>
    <row r="231" spans="2:4">
      <c r="B231">
        <v>13</v>
      </c>
      <c r="C231" s="15"/>
      <c r="D231" s="15">
        <v>2</v>
      </c>
    </row>
    <row r="232" spans="2:4">
      <c r="B232">
        <v>14</v>
      </c>
      <c r="C232" s="15"/>
      <c r="D232" s="15">
        <v>3</v>
      </c>
    </row>
    <row r="233" spans="2:4">
      <c r="B233">
        <v>15</v>
      </c>
      <c r="C233" s="15"/>
      <c r="D233" s="15">
        <v>3</v>
      </c>
    </row>
    <row r="234" spans="2:4">
      <c r="B234">
        <v>16</v>
      </c>
      <c r="C234" s="15"/>
      <c r="D234" s="15">
        <v>3</v>
      </c>
    </row>
    <row r="235" spans="2:4">
      <c r="B235">
        <v>17</v>
      </c>
      <c r="C235" s="15"/>
      <c r="D235" s="15">
        <v>3</v>
      </c>
    </row>
    <row r="236" spans="2:4">
      <c r="B236">
        <v>18</v>
      </c>
      <c r="C236" s="15"/>
      <c r="D236" s="15">
        <v>3</v>
      </c>
    </row>
    <row r="237" spans="2:4">
      <c r="B237">
        <v>19</v>
      </c>
      <c r="C237" s="15"/>
      <c r="D237" s="15">
        <v>3</v>
      </c>
    </row>
    <row r="238" spans="2:4">
      <c r="B238">
        <v>20</v>
      </c>
      <c r="C238" s="15"/>
      <c r="D238" s="15">
        <v>3</v>
      </c>
    </row>
    <row r="239" spans="2:4">
      <c r="B239">
        <v>21</v>
      </c>
      <c r="C239" s="15"/>
      <c r="D239" s="15">
        <v>3</v>
      </c>
    </row>
    <row r="240" spans="2:4">
      <c r="B240">
        <v>22</v>
      </c>
      <c r="C240" s="15"/>
      <c r="D240" s="15">
        <v>3</v>
      </c>
    </row>
    <row r="241" spans="2:4">
      <c r="B241">
        <v>23</v>
      </c>
      <c r="C241" s="15"/>
      <c r="D241" s="15">
        <v>3</v>
      </c>
    </row>
    <row r="242" spans="2:4">
      <c r="B242">
        <v>24</v>
      </c>
      <c r="C242" s="15"/>
      <c r="D242" s="15">
        <v>3</v>
      </c>
    </row>
    <row r="243" spans="2:4">
      <c r="B243">
        <v>25</v>
      </c>
      <c r="C243" s="15"/>
      <c r="D243" s="15">
        <v>3</v>
      </c>
    </row>
    <row r="244" spans="2:4">
      <c r="B244">
        <v>26</v>
      </c>
      <c r="C244" s="15"/>
      <c r="D244" s="15">
        <v>3</v>
      </c>
    </row>
    <row r="245" spans="2:4">
      <c r="B245">
        <v>27</v>
      </c>
      <c r="C245" s="15"/>
      <c r="D245" s="15">
        <v>3</v>
      </c>
    </row>
    <row r="246" spans="2:4">
      <c r="B246">
        <v>28</v>
      </c>
      <c r="C246" s="15"/>
      <c r="D246" s="15">
        <v>3</v>
      </c>
    </row>
    <row r="247" spans="2:4">
      <c r="B247">
        <v>29</v>
      </c>
      <c r="C247" s="15"/>
      <c r="D247" s="15">
        <v>3</v>
      </c>
    </row>
    <row r="248" spans="2:4">
      <c r="B248">
        <v>30</v>
      </c>
      <c r="C248" s="15"/>
      <c r="D248" s="15">
        <v>3</v>
      </c>
    </row>
    <row r="249" spans="2:4">
      <c r="B249">
        <v>31</v>
      </c>
      <c r="C249" s="15"/>
      <c r="D249" s="15">
        <v>3</v>
      </c>
    </row>
    <row r="250" spans="2:4">
      <c r="B250">
        <v>32</v>
      </c>
      <c r="C250" s="15"/>
      <c r="D250" s="15">
        <v>3</v>
      </c>
    </row>
    <row r="251" spans="2:4">
      <c r="B251">
        <v>33</v>
      </c>
      <c r="C251" s="15"/>
      <c r="D251" s="15">
        <v>3</v>
      </c>
    </row>
    <row r="252" spans="2:4">
      <c r="B252">
        <v>34</v>
      </c>
      <c r="C252" s="15"/>
      <c r="D252" s="15">
        <v>3</v>
      </c>
    </row>
    <row r="253" spans="2:4">
      <c r="B253">
        <v>35</v>
      </c>
      <c r="C253" s="15"/>
      <c r="D253" s="15">
        <v>3</v>
      </c>
    </row>
    <row r="254" spans="2:4">
      <c r="B254">
        <v>36</v>
      </c>
      <c r="C254" s="15"/>
      <c r="D254" s="15">
        <v>3</v>
      </c>
    </row>
    <row r="255" spans="2:4">
      <c r="B255">
        <v>37</v>
      </c>
      <c r="C255" s="15"/>
      <c r="D255" s="15">
        <v>3</v>
      </c>
    </row>
    <row r="256" spans="2:4">
      <c r="B256">
        <v>38</v>
      </c>
      <c r="C256" s="15"/>
      <c r="D256" s="15">
        <v>3</v>
      </c>
    </row>
    <row r="257" spans="1:4">
      <c r="B257">
        <v>39</v>
      </c>
      <c r="C257" s="15"/>
      <c r="D257" s="15">
        <v>3</v>
      </c>
    </row>
    <row r="258" spans="1:4">
      <c r="B258">
        <v>40</v>
      </c>
      <c r="C258" s="15"/>
      <c r="D258" s="15">
        <v>3</v>
      </c>
    </row>
    <row r="259" spans="1:4">
      <c r="B259">
        <v>41</v>
      </c>
      <c r="C259" s="15"/>
      <c r="D259" s="15">
        <v>3</v>
      </c>
    </row>
    <row r="260" spans="1:4">
      <c r="B260">
        <v>42</v>
      </c>
      <c r="C260" s="15"/>
      <c r="D260" s="15">
        <v>3</v>
      </c>
    </row>
    <row r="261" spans="1:4">
      <c r="B261">
        <v>43</v>
      </c>
      <c r="C261" s="15"/>
      <c r="D261" s="15">
        <v>3</v>
      </c>
    </row>
    <row r="262" spans="1:4">
      <c r="B262">
        <v>44</v>
      </c>
      <c r="C262" s="15"/>
      <c r="D262" s="15">
        <v>3</v>
      </c>
    </row>
    <row r="263" spans="1:4">
      <c r="B263">
        <v>45</v>
      </c>
      <c r="C263" s="15"/>
      <c r="D263" s="15">
        <v>3</v>
      </c>
    </row>
    <row r="264" spans="1:4">
      <c r="B264">
        <v>46</v>
      </c>
      <c r="C264" s="15"/>
      <c r="D264" s="15">
        <v>3</v>
      </c>
    </row>
    <row r="265" spans="1:4">
      <c r="B265">
        <v>47</v>
      </c>
      <c r="C265" s="15"/>
      <c r="D265" s="15">
        <v>3</v>
      </c>
    </row>
    <row r="266" spans="1:4">
      <c r="B266">
        <v>48</v>
      </c>
      <c r="C266" s="15"/>
      <c r="D266" s="15">
        <v>3</v>
      </c>
    </row>
    <row r="267" spans="1:4">
      <c r="B267">
        <v>49</v>
      </c>
      <c r="C267" s="15"/>
      <c r="D267" s="15">
        <v>3</v>
      </c>
    </row>
    <row r="268" spans="1:4">
      <c r="B268">
        <v>50</v>
      </c>
      <c r="C268" s="15"/>
      <c r="D268" s="15">
        <v>3</v>
      </c>
    </row>
    <row r="269" spans="1:4">
      <c r="B269">
        <v>51</v>
      </c>
      <c r="C269" s="15"/>
      <c r="D269" s="15">
        <v>3</v>
      </c>
    </row>
    <row r="270" spans="1:4">
      <c r="B270">
        <v>52</v>
      </c>
      <c r="C270" s="15"/>
      <c r="D270" s="15">
        <v>3</v>
      </c>
    </row>
    <row r="271" spans="1:4">
      <c r="B271">
        <v>53</v>
      </c>
      <c r="C271" s="15"/>
      <c r="D271" s="15">
        <v>3</v>
      </c>
    </row>
    <row r="272" spans="1:4">
      <c r="A272" t="s">
        <v>57</v>
      </c>
      <c r="C272" s="15"/>
      <c r="D272" s="15">
        <v>3</v>
      </c>
    </row>
    <row r="273" spans="1:4">
      <c r="A273" t="s">
        <v>58</v>
      </c>
      <c r="C273" s="15">
        <v>8</v>
      </c>
      <c r="D273" s="15">
        <v>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2026-01-17T22:36:11Z</dcterms:created>
  <dcterms:modified xsi:type="dcterms:W3CDTF">2026-01-20T20:10:54Z</dcterms:modified>
  <cp:category/>
  <cp:contentStatus/>
</cp:coreProperties>
</file>