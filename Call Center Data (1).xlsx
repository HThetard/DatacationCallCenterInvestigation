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xr:revisionPtr revIDLastSave="0" documentId="8_{28E471C9-8419-4E1A-A919-608A1183E8FB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Call Center Data" sheetId="1" r:id="rId1"/>
    <sheet name="Completed" sheetId="2" r:id="rId2"/>
    <sheet name="Weekly Patern" sheetId="3" r:id="rId3"/>
    <sheet name="Monthly Pattern" sheetId="4" r:id="rId4"/>
    <sheet name="Total Demand" sheetId="5" r:id="rId5"/>
    <sheet name="April 2022 Demand" sheetId="6" r:id="rId6"/>
  </sheets>
  <calcPr calcId="191028"/>
  <pivotCaches>
    <pivotCache cacheId="102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2" i="2"/>
  <c r="Q1252" i="2"/>
  <c r="R1252" i="2" s="1"/>
  <c r="O1252" i="2"/>
  <c r="P1252" i="2" s="1"/>
  <c r="Q1251" i="2"/>
  <c r="R1251" i="2" s="1"/>
  <c r="O1251" i="2"/>
  <c r="P1251" i="2" s="1"/>
  <c r="Q1250" i="2"/>
  <c r="R1250" i="2" s="1"/>
  <c r="O1250" i="2"/>
  <c r="P1250" i="2" s="1"/>
  <c r="Q1249" i="2"/>
  <c r="R1249" i="2" s="1"/>
  <c r="O1249" i="2"/>
  <c r="P1249" i="2" s="1"/>
  <c r="Q1248" i="2"/>
  <c r="R1248" i="2" s="1"/>
  <c r="O1248" i="2"/>
  <c r="P1248" i="2" s="1"/>
  <c r="Q1247" i="2"/>
  <c r="R1247" i="2" s="1"/>
  <c r="O1247" i="2"/>
  <c r="P1247" i="2" s="1"/>
  <c r="Q1246" i="2"/>
  <c r="R1246" i="2" s="1"/>
  <c r="O1246" i="2"/>
  <c r="P1246" i="2" s="1"/>
  <c r="Q1245" i="2"/>
  <c r="R1245" i="2" s="1"/>
  <c r="O1245" i="2"/>
  <c r="P1245" i="2" s="1"/>
  <c r="Q1244" i="2"/>
  <c r="R1244" i="2" s="1"/>
  <c r="O1244" i="2"/>
  <c r="P1244" i="2" s="1"/>
  <c r="Q1243" i="2"/>
  <c r="R1243" i="2" s="1"/>
  <c r="O1243" i="2"/>
  <c r="P1243" i="2" s="1"/>
  <c r="Q1242" i="2"/>
  <c r="R1242" i="2" s="1"/>
  <c r="O1242" i="2"/>
  <c r="P1242" i="2" s="1"/>
  <c r="Q1241" i="2"/>
  <c r="R1241" i="2" s="1"/>
  <c r="O1241" i="2"/>
  <c r="P1241" i="2" s="1"/>
  <c r="Q1240" i="2"/>
  <c r="R1240" i="2" s="1"/>
  <c r="O1240" i="2"/>
  <c r="P1240" i="2" s="1"/>
  <c r="Q1239" i="2"/>
  <c r="R1239" i="2" s="1"/>
  <c r="O1239" i="2"/>
  <c r="P1239" i="2" s="1"/>
  <c r="Q1238" i="2"/>
  <c r="R1238" i="2" s="1"/>
  <c r="O1238" i="2"/>
  <c r="P1238" i="2" s="1"/>
  <c r="Q1237" i="2"/>
  <c r="R1237" i="2" s="1"/>
  <c r="O1237" i="2"/>
  <c r="P1237" i="2" s="1"/>
  <c r="Q1236" i="2"/>
  <c r="R1236" i="2" s="1"/>
  <c r="O1236" i="2"/>
  <c r="P1236" i="2" s="1"/>
  <c r="Q1235" i="2"/>
  <c r="R1235" i="2" s="1"/>
  <c r="O1235" i="2"/>
  <c r="P1235" i="2" s="1"/>
  <c r="Q1234" i="2"/>
  <c r="R1234" i="2" s="1"/>
  <c r="O1234" i="2"/>
  <c r="P1234" i="2" s="1"/>
  <c r="Q1233" i="2"/>
  <c r="R1233" i="2" s="1"/>
  <c r="O1233" i="2"/>
  <c r="P1233" i="2" s="1"/>
  <c r="Q1232" i="2"/>
  <c r="R1232" i="2" s="1"/>
  <c r="O1232" i="2"/>
  <c r="P1232" i="2" s="1"/>
  <c r="Q1231" i="2"/>
  <c r="R1231" i="2" s="1"/>
  <c r="O1231" i="2"/>
  <c r="P1231" i="2" s="1"/>
  <c r="Q1230" i="2"/>
  <c r="R1230" i="2" s="1"/>
  <c r="O1230" i="2"/>
  <c r="P1230" i="2" s="1"/>
  <c r="Q1229" i="2"/>
  <c r="R1229" i="2" s="1"/>
  <c r="O1229" i="2"/>
  <c r="P1229" i="2" s="1"/>
  <c r="Q1228" i="2"/>
  <c r="R1228" i="2" s="1"/>
  <c r="O1228" i="2"/>
  <c r="P1228" i="2" s="1"/>
  <c r="Q1227" i="2"/>
  <c r="R1227" i="2" s="1"/>
  <c r="O1227" i="2"/>
  <c r="P1227" i="2" s="1"/>
  <c r="Q1226" i="2"/>
  <c r="R1226" i="2" s="1"/>
  <c r="O1226" i="2"/>
  <c r="P1226" i="2" s="1"/>
  <c r="Q1225" i="2"/>
  <c r="R1225" i="2" s="1"/>
  <c r="O1225" i="2"/>
  <c r="P1225" i="2" s="1"/>
  <c r="Q1224" i="2"/>
  <c r="R1224" i="2" s="1"/>
  <c r="O1224" i="2"/>
  <c r="P1224" i="2" s="1"/>
  <c r="Q1223" i="2"/>
  <c r="R1223" i="2" s="1"/>
  <c r="O1223" i="2"/>
  <c r="P1223" i="2" s="1"/>
  <c r="Q1222" i="2"/>
  <c r="R1222" i="2" s="1"/>
  <c r="O1222" i="2"/>
  <c r="P1222" i="2" s="1"/>
  <c r="Q1221" i="2"/>
  <c r="R1221" i="2" s="1"/>
  <c r="O1221" i="2"/>
  <c r="P1221" i="2" s="1"/>
  <c r="Q1220" i="2"/>
  <c r="R1220" i="2" s="1"/>
  <c r="O1220" i="2"/>
  <c r="P1220" i="2" s="1"/>
  <c r="Q1219" i="2"/>
  <c r="R1219" i="2" s="1"/>
  <c r="O1219" i="2"/>
  <c r="P1219" i="2" s="1"/>
  <c r="Q1218" i="2"/>
  <c r="R1218" i="2" s="1"/>
  <c r="O1218" i="2"/>
  <c r="P1218" i="2" s="1"/>
  <c r="Q1217" i="2"/>
  <c r="R1217" i="2" s="1"/>
  <c r="O1217" i="2"/>
  <c r="P1217" i="2" s="1"/>
  <c r="Q1216" i="2"/>
  <c r="R1216" i="2" s="1"/>
  <c r="O1216" i="2"/>
  <c r="P1216" i="2" s="1"/>
  <c r="Q1215" i="2"/>
  <c r="R1215" i="2" s="1"/>
  <c r="O1215" i="2"/>
  <c r="P1215" i="2" s="1"/>
  <c r="Q1214" i="2"/>
  <c r="R1214" i="2" s="1"/>
  <c r="O1214" i="2"/>
  <c r="P1214" i="2" s="1"/>
  <c r="Q1213" i="2"/>
  <c r="R1213" i="2" s="1"/>
  <c r="O1213" i="2"/>
  <c r="P1213" i="2" s="1"/>
  <c r="Q1212" i="2"/>
  <c r="R1212" i="2" s="1"/>
  <c r="O1212" i="2"/>
  <c r="P1212" i="2" s="1"/>
  <c r="Q1211" i="2"/>
  <c r="R1211" i="2" s="1"/>
  <c r="O1211" i="2"/>
  <c r="P1211" i="2" s="1"/>
  <c r="Q1210" i="2"/>
  <c r="R1210" i="2" s="1"/>
  <c r="O1210" i="2"/>
  <c r="P1210" i="2" s="1"/>
  <c r="Q1209" i="2"/>
  <c r="R1209" i="2" s="1"/>
  <c r="O1209" i="2"/>
  <c r="P1209" i="2" s="1"/>
  <c r="Q1208" i="2"/>
  <c r="R1208" i="2" s="1"/>
  <c r="O1208" i="2"/>
  <c r="P1208" i="2" s="1"/>
  <c r="Q1207" i="2"/>
  <c r="R1207" i="2" s="1"/>
  <c r="O1207" i="2"/>
  <c r="P1207" i="2" s="1"/>
  <c r="Q1206" i="2"/>
  <c r="R1206" i="2" s="1"/>
  <c r="O1206" i="2"/>
  <c r="P1206" i="2" s="1"/>
  <c r="Q1205" i="2"/>
  <c r="R1205" i="2" s="1"/>
  <c r="O1205" i="2"/>
  <c r="P1205" i="2" s="1"/>
  <c r="Q1204" i="2"/>
  <c r="R1204" i="2" s="1"/>
  <c r="O1204" i="2"/>
  <c r="P1204" i="2" s="1"/>
  <c r="Q1203" i="2"/>
  <c r="R1203" i="2" s="1"/>
  <c r="O1203" i="2"/>
  <c r="P1203" i="2" s="1"/>
  <c r="Q1202" i="2"/>
  <c r="R1202" i="2" s="1"/>
  <c r="O1202" i="2"/>
  <c r="P1202" i="2" s="1"/>
  <c r="Q1201" i="2"/>
  <c r="R1201" i="2" s="1"/>
  <c r="O1201" i="2"/>
  <c r="P1201" i="2" s="1"/>
  <c r="Q1200" i="2"/>
  <c r="R1200" i="2" s="1"/>
  <c r="O1200" i="2"/>
  <c r="P1200" i="2" s="1"/>
  <c r="Q1199" i="2"/>
  <c r="R1199" i="2" s="1"/>
  <c r="O1199" i="2"/>
  <c r="P1199" i="2" s="1"/>
  <c r="Q1198" i="2"/>
  <c r="R1198" i="2" s="1"/>
  <c r="O1198" i="2"/>
  <c r="P1198" i="2" s="1"/>
  <c r="Q1197" i="2"/>
  <c r="R1197" i="2" s="1"/>
  <c r="O1197" i="2"/>
  <c r="P1197" i="2" s="1"/>
  <c r="Q1196" i="2"/>
  <c r="R1196" i="2" s="1"/>
  <c r="O1196" i="2"/>
  <c r="P1196" i="2" s="1"/>
  <c r="Q1195" i="2"/>
  <c r="R1195" i="2" s="1"/>
  <c r="O1195" i="2"/>
  <c r="P1195" i="2" s="1"/>
  <c r="Q1194" i="2"/>
  <c r="R1194" i="2" s="1"/>
  <c r="O1194" i="2"/>
  <c r="P1194" i="2" s="1"/>
  <c r="Q1193" i="2"/>
  <c r="R1193" i="2" s="1"/>
  <c r="O1193" i="2"/>
  <c r="P1193" i="2" s="1"/>
  <c r="Q1192" i="2"/>
  <c r="R1192" i="2" s="1"/>
  <c r="O1192" i="2"/>
  <c r="P1192" i="2" s="1"/>
  <c r="Q1191" i="2"/>
  <c r="R1191" i="2" s="1"/>
  <c r="O1191" i="2"/>
  <c r="P1191" i="2" s="1"/>
  <c r="Q1190" i="2"/>
  <c r="R1190" i="2" s="1"/>
  <c r="O1190" i="2"/>
  <c r="P1190" i="2" s="1"/>
  <c r="Q1189" i="2"/>
  <c r="R1189" i="2" s="1"/>
  <c r="O1189" i="2"/>
  <c r="P1189" i="2" s="1"/>
  <c r="Q1188" i="2"/>
  <c r="R1188" i="2" s="1"/>
  <c r="O1188" i="2"/>
  <c r="P1188" i="2" s="1"/>
  <c r="Q1187" i="2"/>
  <c r="R1187" i="2" s="1"/>
  <c r="O1187" i="2"/>
  <c r="P1187" i="2" s="1"/>
  <c r="Q1186" i="2"/>
  <c r="R1186" i="2" s="1"/>
  <c r="O1186" i="2"/>
  <c r="P1186" i="2" s="1"/>
  <c r="Q1185" i="2"/>
  <c r="R1185" i="2" s="1"/>
  <c r="O1185" i="2"/>
  <c r="P1185" i="2" s="1"/>
  <c r="Q1184" i="2"/>
  <c r="R1184" i="2" s="1"/>
  <c r="O1184" i="2"/>
  <c r="P1184" i="2" s="1"/>
  <c r="Q1183" i="2"/>
  <c r="R1183" i="2" s="1"/>
  <c r="O1183" i="2"/>
  <c r="P1183" i="2" s="1"/>
  <c r="Q1182" i="2"/>
  <c r="R1182" i="2" s="1"/>
  <c r="O1182" i="2"/>
  <c r="P1182" i="2" s="1"/>
  <c r="Q1181" i="2"/>
  <c r="R1181" i="2" s="1"/>
  <c r="O1181" i="2"/>
  <c r="P1181" i="2" s="1"/>
  <c r="Q1180" i="2"/>
  <c r="R1180" i="2" s="1"/>
  <c r="O1180" i="2"/>
  <c r="P1180" i="2" s="1"/>
  <c r="Q1179" i="2"/>
  <c r="R1179" i="2" s="1"/>
  <c r="O1179" i="2"/>
  <c r="P1179" i="2" s="1"/>
  <c r="Q1178" i="2"/>
  <c r="R1178" i="2" s="1"/>
  <c r="O1178" i="2"/>
  <c r="P1178" i="2" s="1"/>
  <c r="Q1177" i="2"/>
  <c r="R1177" i="2" s="1"/>
  <c r="O1177" i="2"/>
  <c r="P1177" i="2" s="1"/>
  <c r="Q1176" i="2"/>
  <c r="R1176" i="2" s="1"/>
  <c r="O1176" i="2"/>
  <c r="P1176" i="2" s="1"/>
  <c r="Q1175" i="2"/>
  <c r="R1175" i="2" s="1"/>
  <c r="O1175" i="2"/>
  <c r="P1175" i="2" s="1"/>
  <c r="Q1174" i="2"/>
  <c r="R1174" i="2" s="1"/>
  <c r="O1174" i="2"/>
  <c r="P1174" i="2" s="1"/>
  <c r="Q1173" i="2"/>
  <c r="R1173" i="2" s="1"/>
  <c r="O1173" i="2"/>
  <c r="P1173" i="2" s="1"/>
  <c r="Q1172" i="2"/>
  <c r="R1172" i="2" s="1"/>
  <c r="O1172" i="2"/>
  <c r="P1172" i="2" s="1"/>
  <c r="Q1171" i="2"/>
  <c r="R1171" i="2" s="1"/>
  <c r="O1171" i="2"/>
  <c r="P1171" i="2" s="1"/>
  <c r="Q1170" i="2"/>
  <c r="R1170" i="2" s="1"/>
  <c r="O1170" i="2"/>
  <c r="P1170" i="2" s="1"/>
  <c r="Q1169" i="2"/>
  <c r="R1169" i="2" s="1"/>
  <c r="O1169" i="2"/>
  <c r="P1169" i="2" s="1"/>
  <c r="Q1168" i="2"/>
  <c r="R1168" i="2" s="1"/>
  <c r="O1168" i="2"/>
  <c r="P1168" i="2" s="1"/>
  <c r="Q1167" i="2"/>
  <c r="R1167" i="2" s="1"/>
  <c r="O1167" i="2"/>
  <c r="P1167" i="2" s="1"/>
  <c r="Q1166" i="2"/>
  <c r="R1166" i="2" s="1"/>
  <c r="O1166" i="2"/>
  <c r="P1166" i="2" s="1"/>
  <c r="Q1165" i="2"/>
  <c r="R1165" i="2" s="1"/>
  <c r="O1165" i="2"/>
  <c r="P1165" i="2" s="1"/>
  <c r="Q1164" i="2"/>
  <c r="R1164" i="2" s="1"/>
  <c r="O1164" i="2"/>
  <c r="P1164" i="2" s="1"/>
  <c r="Q1163" i="2"/>
  <c r="R1163" i="2" s="1"/>
  <c r="O1163" i="2"/>
  <c r="P1163" i="2" s="1"/>
  <c r="Q1162" i="2"/>
  <c r="R1162" i="2" s="1"/>
  <c r="O1162" i="2"/>
  <c r="P1162" i="2" s="1"/>
  <c r="Q1161" i="2"/>
  <c r="R1161" i="2" s="1"/>
  <c r="O1161" i="2"/>
  <c r="P1161" i="2" s="1"/>
  <c r="Q1160" i="2"/>
  <c r="R1160" i="2" s="1"/>
  <c r="O1160" i="2"/>
  <c r="P1160" i="2" s="1"/>
  <c r="Q1159" i="2"/>
  <c r="R1159" i="2" s="1"/>
  <c r="O1159" i="2"/>
  <c r="P1159" i="2" s="1"/>
  <c r="Q1158" i="2"/>
  <c r="R1158" i="2" s="1"/>
  <c r="O1158" i="2"/>
  <c r="P1158" i="2" s="1"/>
  <c r="Q1157" i="2"/>
  <c r="R1157" i="2" s="1"/>
  <c r="O1157" i="2"/>
  <c r="P1157" i="2" s="1"/>
  <c r="Q1156" i="2"/>
  <c r="R1156" i="2" s="1"/>
  <c r="O1156" i="2"/>
  <c r="P1156" i="2" s="1"/>
  <c r="Q1155" i="2"/>
  <c r="R1155" i="2" s="1"/>
  <c r="O1155" i="2"/>
  <c r="P1155" i="2" s="1"/>
  <c r="Q1154" i="2"/>
  <c r="R1154" i="2" s="1"/>
  <c r="O1154" i="2"/>
  <c r="P1154" i="2" s="1"/>
  <c r="Q1153" i="2"/>
  <c r="R1153" i="2" s="1"/>
  <c r="O1153" i="2"/>
  <c r="P1153" i="2" s="1"/>
  <c r="Q1152" i="2"/>
  <c r="R1152" i="2" s="1"/>
  <c r="O1152" i="2"/>
  <c r="P1152" i="2" s="1"/>
  <c r="Q1151" i="2"/>
  <c r="R1151" i="2" s="1"/>
  <c r="O1151" i="2"/>
  <c r="P1151" i="2" s="1"/>
  <c r="Q1150" i="2"/>
  <c r="R1150" i="2" s="1"/>
  <c r="O1150" i="2"/>
  <c r="P1150" i="2" s="1"/>
  <c r="Q1149" i="2"/>
  <c r="R1149" i="2" s="1"/>
  <c r="O1149" i="2"/>
  <c r="P1149" i="2" s="1"/>
  <c r="Q1148" i="2"/>
  <c r="R1148" i="2" s="1"/>
  <c r="O1148" i="2"/>
  <c r="P1148" i="2" s="1"/>
  <c r="Q1147" i="2"/>
  <c r="R1147" i="2" s="1"/>
  <c r="O1147" i="2"/>
  <c r="P1147" i="2" s="1"/>
  <c r="Q1146" i="2"/>
  <c r="R1146" i="2" s="1"/>
  <c r="O1146" i="2"/>
  <c r="P1146" i="2" s="1"/>
  <c r="Q1145" i="2"/>
  <c r="R1145" i="2" s="1"/>
  <c r="O1145" i="2"/>
  <c r="P1145" i="2" s="1"/>
  <c r="Q1144" i="2"/>
  <c r="R1144" i="2" s="1"/>
  <c r="O1144" i="2"/>
  <c r="P1144" i="2" s="1"/>
  <c r="Q1143" i="2"/>
  <c r="R1143" i="2" s="1"/>
  <c r="O1143" i="2"/>
  <c r="P1143" i="2" s="1"/>
  <c r="Q1142" i="2"/>
  <c r="R1142" i="2" s="1"/>
  <c r="O1142" i="2"/>
  <c r="P1142" i="2" s="1"/>
  <c r="Q1141" i="2"/>
  <c r="R1141" i="2" s="1"/>
  <c r="O1141" i="2"/>
  <c r="P1141" i="2" s="1"/>
  <c r="Q1140" i="2"/>
  <c r="R1140" i="2" s="1"/>
  <c r="O1140" i="2"/>
  <c r="P1140" i="2" s="1"/>
  <c r="Q1139" i="2"/>
  <c r="R1139" i="2" s="1"/>
  <c r="O1139" i="2"/>
  <c r="P1139" i="2" s="1"/>
  <c r="Q1138" i="2"/>
  <c r="R1138" i="2" s="1"/>
  <c r="O1138" i="2"/>
  <c r="P1138" i="2" s="1"/>
  <c r="Q1137" i="2"/>
  <c r="R1137" i="2" s="1"/>
  <c r="O1137" i="2"/>
  <c r="P1137" i="2" s="1"/>
  <c r="Q1136" i="2"/>
  <c r="R1136" i="2" s="1"/>
  <c r="O1136" i="2"/>
  <c r="P1136" i="2" s="1"/>
  <c r="Q1135" i="2"/>
  <c r="R1135" i="2" s="1"/>
  <c r="O1135" i="2"/>
  <c r="P1135" i="2" s="1"/>
  <c r="Q1134" i="2"/>
  <c r="R1134" i="2" s="1"/>
  <c r="O1134" i="2"/>
  <c r="P1134" i="2" s="1"/>
  <c r="Q1133" i="2"/>
  <c r="R1133" i="2" s="1"/>
  <c r="O1133" i="2"/>
  <c r="P1133" i="2" s="1"/>
  <c r="Q1132" i="2"/>
  <c r="R1132" i="2" s="1"/>
  <c r="O1132" i="2"/>
  <c r="P1132" i="2" s="1"/>
  <c r="Q1131" i="2"/>
  <c r="R1131" i="2" s="1"/>
  <c r="O1131" i="2"/>
  <c r="P1131" i="2" s="1"/>
  <c r="Q1130" i="2"/>
  <c r="R1130" i="2" s="1"/>
  <c r="O1130" i="2"/>
  <c r="P1130" i="2" s="1"/>
  <c r="Q1129" i="2"/>
  <c r="R1129" i="2" s="1"/>
  <c r="O1129" i="2"/>
  <c r="P1129" i="2" s="1"/>
  <c r="Q1128" i="2"/>
  <c r="R1128" i="2" s="1"/>
  <c r="O1128" i="2"/>
  <c r="P1128" i="2" s="1"/>
  <c r="Q1127" i="2"/>
  <c r="R1127" i="2" s="1"/>
  <c r="O1127" i="2"/>
  <c r="P1127" i="2" s="1"/>
  <c r="Q1126" i="2"/>
  <c r="R1126" i="2" s="1"/>
  <c r="O1126" i="2"/>
  <c r="P1126" i="2" s="1"/>
  <c r="Q1125" i="2"/>
  <c r="R1125" i="2" s="1"/>
  <c r="O1125" i="2"/>
  <c r="P1125" i="2" s="1"/>
  <c r="Q1124" i="2"/>
  <c r="R1124" i="2" s="1"/>
  <c r="O1124" i="2"/>
  <c r="P1124" i="2" s="1"/>
  <c r="Q1123" i="2"/>
  <c r="R1123" i="2" s="1"/>
  <c r="O1123" i="2"/>
  <c r="P1123" i="2" s="1"/>
  <c r="Q1122" i="2"/>
  <c r="R1122" i="2" s="1"/>
  <c r="O1122" i="2"/>
  <c r="P1122" i="2" s="1"/>
  <c r="Q1121" i="2"/>
  <c r="R1121" i="2" s="1"/>
  <c r="O1121" i="2"/>
  <c r="P1121" i="2" s="1"/>
  <c r="Q1120" i="2"/>
  <c r="R1120" i="2" s="1"/>
  <c r="O1120" i="2"/>
  <c r="P1120" i="2" s="1"/>
  <c r="Q1119" i="2"/>
  <c r="R1119" i="2" s="1"/>
  <c r="O1119" i="2"/>
  <c r="P1119" i="2" s="1"/>
  <c r="Q1118" i="2"/>
  <c r="R1118" i="2" s="1"/>
  <c r="O1118" i="2"/>
  <c r="P1118" i="2" s="1"/>
  <c r="Q1117" i="2"/>
  <c r="R1117" i="2" s="1"/>
  <c r="O1117" i="2"/>
  <c r="P1117" i="2" s="1"/>
  <c r="Q1116" i="2"/>
  <c r="R1116" i="2" s="1"/>
  <c r="O1116" i="2"/>
  <c r="P1116" i="2" s="1"/>
  <c r="Q1115" i="2"/>
  <c r="R1115" i="2" s="1"/>
  <c r="O1115" i="2"/>
  <c r="P1115" i="2" s="1"/>
  <c r="Q1114" i="2"/>
  <c r="R1114" i="2" s="1"/>
  <c r="O1114" i="2"/>
  <c r="P1114" i="2" s="1"/>
  <c r="Q1113" i="2"/>
  <c r="R1113" i="2" s="1"/>
  <c r="O1113" i="2"/>
  <c r="P1113" i="2" s="1"/>
  <c r="Q1112" i="2"/>
  <c r="R1112" i="2" s="1"/>
  <c r="O1112" i="2"/>
  <c r="P1112" i="2" s="1"/>
  <c r="Q1111" i="2"/>
  <c r="R1111" i="2" s="1"/>
  <c r="O1111" i="2"/>
  <c r="P1111" i="2" s="1"/>
  <c r="Q1110" i="2"/>
  <c r="R1110" i="2" s="1"/>
  <c r="O1110" i="2"/>
  <c r="P1110" i="2" s="1"/>
  <c r="Q1109" i="2"/>
  <c r="R1109" i="2" s="1"/>
  <c r="O1109" i="2"/>
  <c r="P1109" i="2" s="1"/>
  <c r="Q1108" i="2"/>
  <c r="R1108" i="2" s="1"/>
  <c r="O1108" i="2"/>
  <c r="P1108" i="2" s="1"/>
  <c r="Q1107" i="2"/>
  <c r="R1107" i="2" s="1"/>
  <c r="O1107" i="2"/>
  <c r="P1107" i="2" s="1"/>
  <c r="Q1106" i="2"/>
  <c r="R1106" i="2" s="1"/>
  <c r="O1106" i="2"/>
  <c r="P1106" i="2" s="1"/>
  <c r="Q1105" i="2"/>
  <c r="R1105" i="2" s="1"/>
  <c r="O1105" i="2"/>
  <c r="P1105" i="2" s="1"/>
  <c r="Q1104" i="2"/>
  <c r="R1104" i="2" s="1"/>
  <c r="O1104" i="2"/>
  <c r="P1104" i="2" s="1"/>
  <c r="Q1103" i="2"/>
  <c r="R1103" i="2" s="1"/>
  <c r="O1103" i="2"/>
  <c r="P1103" i="2" s="1"/>
  <c r="Q1102" i="2"/>
  <c r="R1102" i="2" s="1"/>
  <c r="O1102" i="2"/>
  <c r="P1102" i="2" s="1"/>
  <c r="Q1101" i="2"/>
  <c r="R1101" i="2" s="1"/>
  <c r="O1101" i="2"/>
  <c r="P1101" i="2" s="1"/>
  <c r="Q1100" i="2"/>
  <c r="R1100" i="2" s="1"/>
  <c r="O1100" i="2"/>
  <c r="P1100" i="2" s="1"/>
  <c r="Q1099" i="2"/>
  <c r="R1099" i="2" s="1"/>
  <c r="O1099" i="2"/>
  <c r="P1099" i="2" s="1"/>
  <c r="Q1098" i="2"/>
  <c r="R1098" i="2" s="1"/>
  <c r="O1098" i="2"/>
  <c r="P1098" i="2" s="1"/>
  <c r="Q1097" i="2"/>
  <c r="R1097" i="2" s="1"/>
  <c r="O1097" i="2"/>
  <c r="P1097" i="2" s="1"/>
  <c r="Q1096" i="2"/>
  <c r="R1096" i="2" s="1"/>
  <c r="O1096" i="2"/>
  <c r="P1096" i="2" s="1"/>
  <c r="Q1095" i="2"/>
  <c r="R1095" i="2" s="1"/>
  <c r="O1095" i="2"/>
  <c r="P1095" i="2" s="1"/>
  <c r="Q1094" i="2"/>
  <c r="R1094" i="2" s="1"/>
  <c r="O1094" i="2"/>
  <c r="P1094" i="2" s="1"/>
  <c r="Q1093" i="2"/>
  <c r="R1093" i="2" s="1"/>
  <c r="O1093" i="2"/>
  <c r="P1093" i="2" s="1"/>
  <c r="Q1092" i="2"/>
  <c r="R1092" i="2" s="1"/>
  <c r="O1092" i="2"/>
  <c r="P1092" i="2" s="1"/>
  <c r="Q1091" i="2"/>
  <c r="R1091" i="2" s="1"/>
  <c r="O1091" i="2"/>
  <c r="P1091" i="2" s="1"/>
  <c r="Q1090" i="2"/>
  <c r="R1090" i="2" s="1"/>
  <c r="O1090" i="2"/>
  <c r="P1090" i="2" s="1"/>
  <c r="Q1089" i="2"/>
  <c r="R1089" i="2" s="1"/>
  <c r="O1089" i="2"/>
  <c r="P1089" i="2" s="1"/>
  <c r="Q1088" i="2"/>
  <c r="R1088" i="2" s="1"/>
  <c r="O1088" i="2"/>
  <c r="P1088" i="2" s="1"/>
  <c r="Q1087" i="2"/>
  <c r="R1087" i="2" s="1"/>
  <c r="O1087" i="2"/>
  <c r="P1087" i="2" s="1"/>
  <c r="Q1086" i="2"/>
  <c r="R1086" i="2" s="1"/>
  <c r="O1086" i="2"/>
  <c r="P1086" i="2" s="1"/>
  <c r="Q1085" i="2"/>
  <c r="R1085" i="2" s="1"/>
  <c r="O1085" i="2"/>
  <c r="P1085" i="2" s="1"/>
  <c r="Q1084" i="2"/>
  <c r="R1084" i="2" s="1"/>
  <c r="O1084" i="2"/>
  <c r="P1084" i="2" s="1"/>
  <c r="Q1083" i="2"/>
  <c r="R1083" i="2" s="1"/>
  <c r="O1083" i="2"/>
  <c r="P1083" i="2" s="1"/>
  <c r="Q1082" i="2"/>
  <c r="R1082" i="2" s="1"/>
  <c r="O1082" i="2"/>
  <c r="P1082" i="2" s="1"/>
  <c r="Q1081" i="2"/>
  <c r="R1081" i="2" s="1"/>
  <c r="O1081" i="2"/>
  <c r="P1081" i="2" s="1"/>
  <c r="Q1080" i="2"/>
  <c r="R1080" i="2" s="1"/>
  <c r="O1080" i="2"/>
  <c r="P1080" i="2" s="1"/>
  <c r="Q1079" i="2"/>
  <c r="R1079" i="2" s="1"/>
  <c r="O1079" i="2"/>
  <c r="P1079" i="2" s="1"/>
  <c r="Q1078" i="2"/>
  <c r="R1078" i="2" s="1"/>
  <c r="O1078" i="2"/>
  <c r="P1078" i="2" s="1"/>
  <c r="Q1077" i="2"/>
  <c r="R1077" i="2" s="1"/>
  <c r="O1077" i="2"/>
  <c r="P1077" i="2" s="1"/>
  <c r="Q1076" i="2"/>
  <c r="R1076" i="2" s="1"/>
  <c r="O1076" i="2"/>
  <c r="P1076" i="2" s="1"/>
  <c r="Q1075" i="2"/>
  <c r="R1075" i="2" s="1"/>
  <c r="O1075" i="2"/>
  <c r="P1075" i="2" s="1"/>
  <c r="Q1074" i="2"/>
  <c r="R1074" i="2" s="1"/>
  <c r="O1074" i="2"/>
  <c r="P1074" i="2" s="1"/>
  <c r="Q1073" i="2"/>
  <c r="R1073" i="2" s="1"/>
  <c r="O1073" i="2"/>
  <c r="P1073" i="2" s="1"/>
  <c r="Q1072" i="2"/>
  <c r="R1072" i="2" s="1"/>
  <c r="O1072" i="2"/>
  <c r="P1072" i="2" s="1"/>
  <c r="Q1071" i="2"/>
  <c r="R1071" i="2" s="1"/>
  <c r="O1071" i="2"/>
  <c r="P1071" i="2" s="1"/>
  <c r="Q1070" i="2"/>
  <c r="R1070" i="2" s="1"/>
  <c r="O1070" i="2"/>
  <c r="P1070" i="2" s="1"/>
  <c r="Q1069" i="2"/>
  <c r="R1069" i="2" s="1"/>
  <c r="O1069" i="2"/>
  <c r="P1069" i="2" s="1"/>
  <c r="Q1068" i="2"/>
  <c r="R1068" i="2" s="1"/>
  <c r="O1068" i="2"/>
  <c r="P1068" i="2" s="1"/>
  <c r="Q1067" i="2"/>
  <c r="R1067" i="2" s="1"/>
  <c r="O1067" i="2"/>
  <c r="P1067" i="2" s="1"/>
  <c r="Q1066" i="2"/>
  <c r="R1066" i="2" s="1"/>
  <c r="O1066" i="2"/>
  <c r="P1066" i="2" s="1"/>
  <c r="Q1065" i="2"/>
  <c r="R1065" i="2" s="1"/>
  <c r="O1065" i="2"/>
  <c r="P1065" i="2" s="1"/>
  <c r="Q1064" i="2"/>
  <c r="R1064" i="2" s="1"/>
  <c r="O1064" i="2"/>
  <c r="P1064" i="2" s="1"/>
  <c r="Q1063" i="2"/>
  <c r="R1063" i="2" s="1"/>
  <c r="O1063" i="2"/>
  <c r="P1063" i="2" s="1"/>
  <c r="Q1062" i="2"/>
  <c r="R1062" i="2" s="1"/>
  <c r="O1062" i="2"/>
  <c r="P1062" i="2" s="1"/>
  <c r="Q1061" i="2"/>
  <c r="R1061" i="2" s="1"/>
  <c r="O1061" i="2"/>
  <c r="P1061" i="2" s="1"/>
  <c r="Q1060" i="2"/>
  <c r="R1060" i="2" s="1"/>
  <c r="O1060" i="2"/>
  <c r="P1060" i="2" s="1"/>
  <c r="Q1059" i="2"/>
  <c r="R1059" i="2" s="1"/>
  <c r="O1059" i="2"/>
  <c r="P1059" i="2" s="1"/>
  <c r="Q1058" i="2"/>
  <c r="R1058" i="2" s="1"/>
  <c r="O1058" i="2"/>
  <c r="P1058" i="2" s="1"/>
  <c r="Q1057" i="2"/>
  <c r="R1057" i="2" s="1"/>
  <c r="O1057" i="2"/>
  <c r="P1057" i="2" s="1"/>
  <c r="Q1056" i="2"/>
  <c r="R1056" i="2" s="1"/>
  <c r="O1056" i="2"/>
  <c r="P1056" i="2" s="1"/>
  <c r="Q1055" i="2"/>
  <c r="R1055" i="2" s="1"/>
  <c r="O1055" i="2"/>
  <c r="P1055" i="2" s="1"/>
  <c r="Q1054" i="2"/>
  <c r="R1054" i="2" s="1"/>
  <c r="O1054" i="2"/>
  <c r="P1054" i="2" s="1"/>
  <c r="Q1053" i="2"/>
  <c r="R1053" i="2" s="1"/>
  <c r="O1053" i="2"/>
  <c r="P1053" i="2" s="1"/>
  <c r="Q1052" i="2"/>
  <c r="R1052" i="2" s="1"/>
  <c r="O1052" i="2"/>
  <c r="P1052" i="2" s="1"/>
  <c r="Q1051" i="2"/>
  <c r="R1051" i="2" s="1"/>
  <c r="O1051" i="2"/>
  <c r="P1051" i="2" s="1"/>
  <c r="Q1050" i="2"/>
  <c r="R1050" i="2" s="1"/>
  <c r="O1050" i="2"/>
  <c r="P1050" i="2" s="1"/>
  <c r="Q1049" i="2"/>
  <c r="R1049" i="2" s="1"/>
  <c r="O1049" i="2"/>
  <c r="P1049" i="2" s="1"/>
  <c r="Q1048" i="2"/>
  <c r="R1048" i="2" s="1"/>
  <c r="O1048" i="2"/>
  <c r="P1048" i="2" s="1"/>
  <c r="Q1047" i="2"/>
  <c r="R1047" i="2" s="1"/>
  <c r="O1047" i="2"/>
  <c r="P1047" i="2" s="1"/>
  <c r="Q1046" i="2"/>
  <c r="R1046" i="2" s="1"/>
  <c r="O1046" i="2"/>
  <c r="P1046" i="2" s="1"/>
  <c r="Q1045" i="2"/>
  <c r="R1045" i="2" s="1"/>
  <c r="O1045" i="2"/>
  <c r="P1045" i="2" s="1"/>
  <c r="Q1044" i="2"/>
  <c r="R1044" i="2" s="1"/>
  <c r="O1044" i="2"/>
  <c r="P1044" i="2" s="1"/>
  <c r="Q1043" i="2"/>
  <c r="R1043" i="2" s="1"/>
  <c r="O1043" i="2"/>
  <c r="P1043" i="2" s="1"/>
  <c r="Q1042" i="2"/>
  <c r="R1042" i="2" s="1"/>
  <c r="O1042" i="2"/>
  <c r="P1042" i="2" s="1"/>
  <c r="Q1041" i="2"/>
  <c r="R1041" i="2" s="1"/>
  <c r="O1041" i="2"/>
  <c r="P1041" i="2" s="1"/>
  <c r="Q1040" i="2"/>
  <c r="R1040" i="2" s="1"/>
  <c r="O1040" i="2"/>
  <c r="P1040" i="2" s="1"/>
  <c r="Q1039" i="2"/>
  <c r="R1039" i="2" s="1"/>
  <c r="O1039" i="2"/>
  <c r="P1039" i="2" s="1"/>
  <c r="Q1038" i="2"/>
  <c r="R1038" i="2" s="1"/>
  <c r="O1038" i="2"/>
  <c r="P1038" i="2" s="1"/>
  <c r="Q1037" i="2"/>
  <c r="R1037" i="2" s="1"/>
  <c r="O1037" i="2"/>
  <c r="P1037" i="2" s="1"/>
  <c r="Q1036" i="2"/>
  <c r="R1036" i="2" s="1"/>
  <c r="O1036" i="2"/>
  <c r="P1036" i="2" s="1"/>
  <c r="Q1035" i="2"/>
  <c r="R1035" i="2" s="1"/>
  <c r="O1035" i="2"/>
  <c r="P1035" i="2" s="1"/>
  <c r="Q1034" i="2"/>
  <c r="R1034" i="2" s="1"/>
  <c r="O1034" i="2"/>
  <c r="P1034" i="2" s="1"/>
  <c r="Q1033" i="2"/>
  <c r="R1033" i="2" s="1"/>
  <c r="O1033" i="2"/>
  <c r="P1033" i="2" s="1"/>
  <c r="Q1032" i="2"/>
  <c r="R1032" i="2" s="1"/>
  <c r="O1032" i="2"/>
  <c r="P1032" i="2" s="1"/>
  <c r="Q1031" i="2"/>
  <c r="R1031" i="2" s="1"/>
  <c r="O1031" i="2"/>
  <c r="P1031" i="2" s="1"/>
  <c r="Q1030" i="2"/>
  <c r="R1030" i="2" s="1"/>
  <c r="O1030" i="2"/>
  <c r="P1030" i="2" s="1"/>
  <c r="Q1029" i="2"/>
  <c r="R1029" i="2" s="1"/>
  <c r="O1029" i="2"/>
  <c r="P1029" i="2" s="1"/>
  <c r="Q1028" i="2"/>
  <c r="R1028" i="2" s="1"/>
  <c r="O1028" i="2"/>
  <c r="P1028" i="2" s="1"/>
  <c r="Q1027" i="2"/>
  <c r="R1027" i="2" s="1"/>
  <c r="O1027" i="2"/>
  <c r="P1027" i="2" s="1"/>
  <c r="Q1026" i="2"/>
  <c r="R1026" i="2" s="1"/>
  <c r="O1026" i="2"/>
  <c r="P1026" i="2" s="1"/>
  <c r="Q1025" i="2"/>
  <c r="R1025" i="2" s="1"/>
  <c r="O1025" i="2"/>
  <c r="P1025" i="2" s="1"/>
  <c r="Q1024" i="2"/>
  <c r="R1024" i="2" s="1"/>
  <c r="O1024" i="2"/>
  <c r="P1024" i="2" s="1"/>
  <c r="Q1023" i="2"/>
  <c r="R1023" i="2" s="1"/>
  <c r="O1023" i="2"/>
  <c r="P1023" i="2" s="1"/>
  <c r="Q1022" i="2"/>
  <c r="R1022" i="2" s="1"/>
  <c r="O1022" i="2"/>
  <c r="P1022" i="2" s="1"/>
  <c r="Q1021" i="2"/>
  <c r="R1021" i="2" s="1"/>
  <c r="O1021" i="2"/>
  <c r="P1021" i="2" s="1"/>
  <c r="Q1020" i="2"/>
  <c r="R1020" i="2" s="1"/>
  <c r="O1020" i="2"/>
  <c r="P1020" i="2" s="1"/>
  <c r="Q1019" i="2"/>
  <c r="R1019" i="2" s="1"/>
  <c r="O1019" i="2"/>
  <c r="P1019" i="2" s="1"/>
  <c r="Q1018" i="2"/>
  <c r="R1018" i="2" s="1"/>
  <c r="O1018" i="2"/>
  <c r="P1018" i="2" s="1"/>
  <c r="Q1017" i="2"/>
  <c r="R1017" i="2" s="1"/>
  <c r="O1017" i="2"/>
  <c r="P1017" i="2" s="1"/>
  <c r="Q1016" i="2"/>
  <c r="R1016" i="2" s="1"/>
  <c r="O1016" i="2"/>
  <c r="P1016" i="2" s="1"/>
  <c r="Q1015" i="2"/>
  <c r="R1015" i="2" s="1"/>
  <c r="O1015" i="2"/>
  <c r="P1015" i="2" s="1"/>
  <c r="Q1014" i="2"/>
  <c r="R1014" i="2" s="1"/>
  <c r="O1014" i="2"/>
  <c r="P1014" i="2" s="1"/>
  <c r="Q1013" i="2"/>
  <c r="R1013" i="2" s="1"/>
  <c r="O1013" i="2"/>
  <c r="P1013" i="2" s="1"/>
  <c r="Q1012" i="2"/>
  <c r="R1012" i="2" s="1"/>
  <c r="O1012" i="2"/>
  <c r="P1012" i="2" s="1"/>
  <c r="Q1011" i="2"/>
  <c r="R1011" i="2" s="1"/>
  <c r="O1011" i="2"/>
  <c r="P1011" i="2" s="1"/>
  <c r="Q1010" i="2"/>
  <c r="R1010" i="2" s="1"/>
  <c r="O1010" i="2"/>
  <c r="P1010" i="2" s="1"/>
  <c r="Q1009" i="2"/>
  <c r="R1009" i="2" s="1"/>
  <c r="O1009" i="2"/>
  <c r="P1009" i="2" s="1"/>
  <c r="Q1008" i="2"/>
  <c r="R1008" i="2" s="1"/>
  <c r="O1008" i="2"/>
  <c r="P1008" i="2" s="1"/>
  <c r="Q1007" i="2"/>
  <c r="R1007" i="2" s="1"/>
  <c r="O1007" i="2"/>
  <c r="P1007" i="2" s="1"/>
  <c r="Q1006" i="2"/>
  <c r="R1006" i="2" s="1"/>
  <c r="O1006" i="2"/>
  <c r="P1006" i="2" s="1"/>
  <c r="Q1005" i="2"/>
  <c r="R1005" i="2" s="1"/>
  <c r="O1005" i="2"/>
  <c r="P1005" i="2" s="1"/>
  <c r="Q1004" i="2"/>
  <c r="R1004" i="2" s="1"/>
  <c r="O1004" i="2"/>
  <c r="P1004" i="2" s="1"/>
  <c r="Q1003" i="2"/>
  <c r="R1003" i="2" s="1"/>
  <c r="O1003" i="2"/>
  <c r="P1003" i="2" s="1"/>
  <c r="Q1002" i="2"/>
  <c r="R1002" i="2" s="1"/>
  <c r="O1002" i="2"/>
  <c r="P1002" i="2" s="1"/>
  <c r="Q1001" i="2"/>
  <c r="R1001" i="2" s="1"/>
  <c r="O1001" i="2"/>
  <c r="P1001" i="2" s="1"/>
  <c r="Q1000" i="2"/>
  <c r="R1000" i="2" s="1"/>
  <c r="O1000" i="2"/>
  <c r="P1000" i="2" s="1"/>
  <c r="Q999" i="2"/>
  <c r="R999" i="2" s="1"/>
  <c r="O999" i="2"/>
  <c r="P999" i="2" s="1"/>
  <c r="Q998" i="2"/>
  <c r="R998" i="2" s="1"/>
  <c r="O998" i="2"/>
  <c r="P998" i="2" s="1"/>
  <c r="Q997" i="2"/>
  <c r="R997" i="2" s="1"/>
  <c r="O997" i="2"/>
  <c r="P997" i="2" s="1"/>
  <c r="Q996" i="2"/>
  <c r="R996" i="2" s="1"/>
  <c r="O996" i="2"/>
  <c r="P996" i="2" s="1"/>
  <c r="Q995" i="2"/>
  <c r="R995" i="2" s="1"/>
  <c r="O995" i="2"/>
  <c r="P995" i="2" s="1"/>
  <c r="Q994" i="2"/>
  <c r="R994" i="2" s="1"/>
  <c r="O994" i="2"/>
  <c r="P994" i="2" s="1"/>
  <c r="Q993" i="2"/>
  <c r="R993" i="2" s="1"/>
  <c r="O993" i="2"/>
  <c r="P993" i="2" s="1"/>
  <c r="Q992" i="2"/>
  <c r="R992" i="2" s="1"/>
  <c r="O992" i="2"/>
  <c r="P992" i="2" s="1"/>
  <c r="Q991" i="2"/>
  <c r="R991" i="2" s="1"/>
  <c r="O991" i="2"/>
  <c r="P991" i="2" s="1"/>
  <c r="Q990" i="2"/>
  <c r="R990" i="2" s="1"/>
  <c r="O990" i="2"/>
  <c r="P990" i="2" s="1"/>
  <c r="Q989" i="2"/>
  <c r="R989" i="2" s="1"/>
  <c r="O989" i="2"/>
  <c r="P989" i="2" s="1"/>
  <c r="Q988" i="2"/>
  <c r="R988" i="2" s="1"/>
  <c r="O988" i="2"/>
  <c r="P988" i="2" s="1"/>
  <c r="Q987" i="2"/>
  <c r="R987" i="2" s="1"/>
  <c r="O987" i="2"/>
  <c r="P987" i="2" s="1"/>
  <c r="Q986" i="2"/>
  <c r="R986" i="2" s="1"/>
  <c r="O986" i="2"/>
  <c r="P986" i="2" s="1"/>
  <c r="Q985" i="2"/>
  <c r="R985" i="2" s="1"/>
  <c r="O985" i="2"/>
  <c r="P985" i="2" s="1"/>
  <c r="Q984" i="2"/>
  <c r="R984" i="2" s="1"/>
  <c r="O984" i="2"/>
  <c r="P984" i="2" s="1"/>
  <c r="Q983" i="2"/>
  <c r="R983" i="2" s="1"/>
  <c r="O983" i="2"/>
  <c r="P983" i="2" s="1"/>
  <c r="Q982" i="2"/>
  <c r="R982" i="2" s="1"/>
  <c r="O982" i="2"/>
  <c r="P982" i="2" s="1"/>
  <c r="Q981" i="2"/>
  <c r="R981" i="2" s="1"/>
  <c r="O981" i="2"/>
  <c r="P981" i="2" s="1"/>
  <c r="Q980" i="2"/>
  <c r="R980" i="2" s="1"/>
  <c r="O980" i="2"/>
  <c r="P980" i="2" s="1"/>
  <c r="Q979" i="2"/>
  <c r="R979" i="2" s="1"/>
  <c r="O979" i="2"/>
  <c r="P979" i="2" s="1"/>
  <c r="Q978" i="2"/>
  <c r="R978" i="2" s="1"/>
  <c r="O978" i="2"/>
  <c r="P978" i="2" s="1"/>
  <c r="Q977" i="2"/>
  <c r="R977" i="2" s="1"/>
  <c r="O977" i="2"/>
  <c r="P977" i="2" s="1"/>
  <c r="Q976" i="2"/>
  <c r="R976" i="2" s="1"/>
  <c r="O976" i="2"/>
  <c r="P976" i="2" s="1"/>
  <c r="Q975" i="2"/>
  <c r="R975" i="2" s="1"/>
  <c r="O975" i="2"/>
  <c r="P975" i="2" s="1"/>
  <c r="Q974" i="2"/>
  <c r="R974" i="2" s="1"/>
  <c r="O974" i="2"/>
  <c r="P974" i="2" s="1"/>
  <c r="Q973" i="2"/>
  <c r="R973" i="2" s="1"/>
  <c r="O973" i="2"/>
  <c r="P973" i="2" s="1"/>
  <c r="Q972" i="2"/>
  <c r="R972" i="2" s="1"/>
  <c r="O972" i="2"/>
  <c r="P972" i="2" s="1"/>
  <c r="Q971" i="2"/>
  <c r="R971" i="2" s="1"/>
  <c r="O971" i="2"/>
  <c r="P971" i="2" s="1"/>
  <c r="Q970" i="2"/>
  <c r="R970" i="2" s="1"/>
  <c r="O970" i="2"/>
  <c r="P970" i="2" s="1"/>
  <c r="Q969" i="2"/>
  <c r="R969" i="2" s="1"/>
  <c r="O969" i="2"/>
  <c r="P969" i="2" s="1"/>
  <c r="Q968" i="2"/>
  <c r="R968" i="2" s="1"/>
  <c r="O968" i="2"/>
  <c r="P968" i="2" s="1"/>
  <c r="Q967" i="2"/>
  <c r="R967" i="2" s="1"/>
  <c r="O967" i="2"/>
  <c r="P967" i="2" s="1"/>
  <c r="Q966" i="2"/>
  <c r="R966" i="2" s="1"/>
  <c r="O966" i="2"/>
  <c r="P966" i="2" s="1"/>
  <c r="Q965" i="2"/>
  <c r="R965" i="2" s="1"/>
  <c r="O965" i="2"/>
  <c r="P965" i="2" s="1"/>
  <c r="Q964" i="2"/>
  <c r="R964" i="2" s="1"/>
  <c r="O964" i="2"/>
  <c r="P964" i="2" s="1"/>
  <c r="Q963" i="2"/>
  <c r="R963" i="2" s="1"/>
  <c r="O963" i="2"/>
  <c r="P963" i="2" s="1"/>
  <c r="Q962" i="2"/>
  <c r="R962" i="2" s="1"/>
  <c r="O962" i="2"/>
  <c r="P962" i="2" s="1"/>
  <c r="Q961" i="2"/>
  <c r="R961" i="2" s="1"/>
  <c r="O961" i="2"/>
  <c r="P961" i="2" s="1"/>
  <c r="Q960" i="2"/>
  <c r="R960" i="2" s="1"/>
  <c r="O960" i="2"/>
  <c r="P960" i="2" s="1"/>
  <c r="Q959" i="2"/>
  <c r="R959" i="2" s="1"/>
  <c r="O959" i="2"/>
  <c r="P959" i="2" s="1"/>
  <c r="Q958" i="2"/>
  <c r="R958" i="2" s="1"/>
  <c r="O958" i="2"/>
  <c r="P958" i="2" s="1"/>
  <c r="Q957" i="2"/>
  <c r="R957" i="2" s="1"/>
  <c r="O957" i="2"/>
  <c r="P957" i="2" s="1"/>
  <c r="Q956" i="2"/>
  <c r="R956" i="2" s="1"/>
  <c r="O956" i="2"/>
  <c r="P956" i="2" s="1"/>
  <c r="Q955" i="2"/>
  <c r="R955" i="2" s="1"/>
  <c r="O955" i="2"/>
  <c r="P955" i="2" s="1"/>
  <c r="Q954" i="2"/>
  <c r="R954" i="2" s="1"/>
  <c r="O954" i="2"/>
  <c r="P954" i="2" s="1"/>
  <c r="Q953" i="2"/>
  <c r="R953" i="2" s="1"/>
  <c r="O953" i="2"/>
  <c r="P953" i="2" s="1"/>
  <c r="Q952" i="2"/>
  <c r="R952" i="2" s="1"/>
  <c r="O952" i="2"/>
  <c r="P952" i="2" s="1"/>
  <c r="Q951" i="2"/>
  <c r="R951" i="2" s="1"/>
  <c r="O951" i="2"/>
  <c r="P951" i="2" s="1"/>
  <c r="Q950" i="2"/>
  <c r="R950" i="2" s="1"/>
  <c r="O950" i="2"/>
  <c r="P950" i="2" s="1"/>
  <c r="Q949" i="2"/>
  <c r="R949" i="2" s="1"/>
  <c r="O949" i="2"/>
  <c r="P949" i="2" s="1"/>
  <c r="Q948" i="2"/>
  <c r="R948" i="2" s="1"/>
  <c r="O948" i="2"/>
  <c r="P948" i="2" s="1"/>
  <c r="Q947" i="2"/>
  <c r="R947" i="2" s="1"/>
  <c r="O947" i="2"/>
  <c r="P947" i="2" s="1"/>
  <c r="Q946" i="2"/>
  <c r="R946" i="2" s="1"/>
  <c r="O946" i="2"/>
  <c r="P946" i="2" s="1"/>
  <c r="Q945" i="2"/>
  <c r="R945" i="2" s="1"/>
  <c r="O945" i="2"/>
  <c r="P945" i="2" s="1"/>
  <c r="Q944" i="2"/>
  <c r="R944" i="2" s="1"/>
  <c r="O944" i="2"/>
  <c r="P944" i="2" s="1"/>
  <c r="Q943" i="2"/>
  <c r="R943" i="2" s="1"/>
  <c r="O943" i="2"/>
  <c r="P943" i="2" s="1"/>
  <c r="Q942" i="2"/>
  <c r="R942" i="2" s="1"/>
  <c r="O942" i="2"/>
  <c r="P942" i="2" s="1"/>
  <c r="Q941" i="2"/>
  <c r="R941" i="2" s="1"/>
  <c r="O941" i="2"/>
  <c r="P941" i="2" s="1"/>
  <c r="Q940" i="2"/>
  <c r="R940" i="2" s="1"/>
  <c r="O940" i="2"/>
  <c r="P940" i="2" s="1"/>
  <c r="Q939" i="2"/>
  <c r="R939" i="2" s="1"/>
  <c r="O939" i="2"/>
  <c r="P939" i="2" s="1"/>
  <c r="Q938" i="2"/>
  <c r="R938" i="2" s="1"/>
  <c r="O938" i="2"/>
  <c r="P938" i="2" s="1"/>
  <c r="Q937" i="2"/>
  <c r="R937" i="2" s="1"/>
  <c r="O937" i="2"/>
  <c r="P937" i="2" s="1"/>
  <c r="Q936" i="2"/>
  <c r="R936" i="2" s="1"/>
  <c r="O936" i="2"/>
  <c r="P936" i="2" s="1"/>
  <c r="Q935" i="2"/>
  <c r="R935" i="2" s="1"/>
  <c r="O935" i="2"/>
  <c r="P935" i="2" s="1"/>
  <c r="Q934" i="2"/>
  <c r="R934" i="2" s="1"/>
  <c r="O934" i="2"/>
  <c r="P934" i="2" s="1"/>
  <c r="Q933" i="2"/>
  <c r="R933" i="2" s="1"/>
  <c r="O933" i="2"/>
  <c r="P933" i="2" s="1"/>
  <c r="Q932" i="2"/>
  <c r="R932" i="2" s="1"/>
  <c r="O932" i="2"/>
  <c r="P932" i="2" s="1"/>
  <c r="Q931" i="2"/>
  <c r="R931" i="2" s="1"/>
  <c r="O931" i="2"/>
  <c r="P931" i="2" s="1"/>
  <c r="Q930" i="2"/>
  <c r="R930" i="2" s="1"/>
  <c r="O930" i="2"/>
  <c r="P930" i="2" s="1"/>
  <c r="Q929" i="2"/>
  <c r="R929" i="2" s="1"/>
  <c r="O929" i="2"/>
  <c r="P929" i="2" s="1"/>
  <c r="Q928" i="2"/>
  <c r="R928" i="2" s="1"/>
  <c r="O928" i="2"/>
  <c r="P928" i="2" s="1"/>
  <c r="Q927" i="2"/>
  <c r="R927" i="2" s="1"/>
  <c r="O927" i="2"/>
  <c r="P927" i="2" s="1"/>
  <c r="Q926" i="2"/>
  <c r="R926" i="2" s="1"/>
  <c r="O926" i="2"/>
  <c r="P926" i="2" s="1"/>
  <c r="Q925" i="2"/>
  <c r="R925" i="2" s="1"/>
  <c r="O925" i="2"/>
  <c r="P925" i="2" s="1"/>
  <c r="Q924" i="2"/>
  <c r="R924" i="2" s="1"/>
  <c r="O924" i="2"/>
  <c r="P924" i="2" s="1"/>
  <c r="Q923" i="2"/>
  <c r="R923" i="2" s="1"/>
  <c r="O923" i="2"/>
  <c r="P923" i="2" s="1"/>
  <c r="Q922" i="2"/>
  <c r="R922" i="2" s="1"/>
  <c r="O922" i="2"/>
  <c r="P922" i="2" s="1"/>
  <c r="Q921" i="2"/>
  <c r="R921" i="2" s="1"/>
  <c r="O921" i="2"/>
  <c r="P921" i="2" s="1"/>
  <c r="Q920" i="2"/>
  <c r="R920" i="2" s="1"/>
  <c r="O920" i="2"/>
  <c r="P920" i="2" s="1"/>
  <c r="Q919" i="2"/>
  <c r="R919" i="2" s="1"/>
  <c r="O919" i="2"/>
  <c r="P919" i="2" s="1"/>
  <c r="Q918" i="2"/>
  <c r="R918" i="2" s="1"/>
  <c r="O918" i="2"/>
  <c r="P918" i="2" s="1"/>
  <c r="Q917" i="2"/>
  <c r="R917" i="2" s="1"/>
  <c r="O917" i="2"/>
  <c r="P917" i="2" s="1"/>
  <c r="Q916" i="2"/>
  <c r="R916" i="2" s="1"/>
  <c r="O916" i="2"/>
  <c r="P916" i="2" s="1"/>
  <c r="Q915" i="2"/>
  <c r="R915" i="2" s="1"/>
  <c r="O915" i="2"/>
  <c r="P915" i="2" s="1"/>
  <c r="Q914" i="2"/>
  <c r="R914" i="2" s="1"/>
  <c r="O914" i="2"/>
  <c r="P914" i="2" s="1"/>
  <c r="Q913" i="2"/>
  <c r="R913" i="2" s="1"/>
  <c r="O913" i="2"/>
  <c r="P913" i="2" s="1"/>
  <c r="Q912" i="2"/>
  <c r="R912" i="2" s="1"/>
  <c r="O912" i="2"/>
  <c r="P912" i="2" s="1"/>
  <c r="Q911" i="2"/>
  <c r="R911" i="2" s="1"/>
  <c r="O911" i="2"/>
  <c r="P911" i="2" s="1"/>
  <c r="Q910" i="2"/>
  <c r="R910" i="2" s="1"/>
  <c r="O910" i="2"/>
  <c r="P910" i="2" s="1"/>
  <c r="Q909" i="2"/>
  <c r="R909" i="2" s="1"/>
  <c r="O909" i="2"/>
  <c r="P909" i="2" s="1"/>
  <c r="Q908" i="2"/>
  <c r="R908" i="2" s="1"/>
  <c r="O908" i="2"/>
  <c r="P908" i="2" s="1"/>
  <c r="Q907" i="2"/>
  <c r="R907" i="2" s="1"/>
  <c r="O907" i="2"/>
  <c r="P907" i="2" s="1"/>
  <c r="Q906" i="2"/>
  <c r="R906" i="2" s="1"/>
  <c r="O906" i="2"/>
  <c r="P906" i="2" s="1"/>
  <c r="Q905" i="2"/>
  <c r="R905" i="2" s="1"/>
  <c r="O905" i="2"/>
  <c r="P905" i="2" s="1"/>
  <c r="Q904" i="2"/>
  <c r="R904" i="2" s="1"/>
  <c r="O904" i="2"/>
  <c r="P904" i="2" s="1"/>
  <c r="Q903" i="2"/>
  <c r="R903" i="2" s="1"/>
  <c r="O903" i="2"/>
  <c r="P903" i="2" s="1"/>
  <c r="Q902" i="2"/>
  <c r="R902" i="2" s="1"/>
  <c r="O902" i="2"/>
  <c r="P902" i="2" s="1"/>
  <c r="Q901" i="2"/>
  <c r="R901" i="2" s="1"/>
  <c r="O901" i="2"/>
  <c r="P901" i="2" s="1"/>
  <c r="Q900" i="2"/>
  <c r="R900" i="2" s="1"/>
  <c r="O900" i="2"/>
  <c r="P900" i="2" s="1"/>
  <c r="Q899" i="2"/>
  <c r="R899" i="2" s="1"/>
  <c r="O899" i="2"/>
  <c r="P899" i="2" s="1"/>
  <c r="Q898" i="2"/>
  <c r="R898" i="2" s="1"/>
  <c r="O898" i="2"/>
  <c r="P898" i="2" s="1"/>
  <c r="Q897" i="2"/>
  <c r="R897" i="2" s="1"/>
  <c r="O897" i="2"/>
  <c r="P897" i="2" s="1"/>
  <c r="Q896" i="2"/>
  <c r="R896" i="2" s="1"/>
  <c r="O896" i="2"/>
  <c r="P896" i="2" s="1"/>
  <c r="Q895" i="2"/>
  <c r="R895" i="2" s="1"/>
  <c r="O895" i="2"/>
  <c r="P895" i="2" s="1"/>
  <c r="Q894" i="2"/>
  <c r="R894" i="2" s="1"/>
  <c r="O894" i="2"/>
  <c r="P894" i="2" s="1"/>
  <c r="Q893" i="2"/>
  <c r="R893" i="2" s="1"/>
  <c r="O893" i="2"/>
  <c r="P893" i="2" s="1"/>
  <c r="Q892" i="2"/>
  <c r="R892" i="2" s="1"/>
  <c r="O892" i="2"/>
  <c r="P892" i="2" s="1"/>
  <c r="Q891" i="2"/>
  <c r="R891" i="2" s="1"/>
  <c r="O891" i="2"/>
  <c r="P891" i="2" s="1"/>
  <c r="Q890" i="2"/>
  <c r="R890" i="2" s="1"/>
  <c r="O890" i="2"/>
  <c r="P890" i="2" s="1"/>
  <c r="Q889" i="2"/>
  <c r="R889" i="2" s="1"/>
  <c r="O889" i="2"/>
  <c r="P889" i="2" s="1"/>
  <c r="Q888" i="2"/>
  <c r="R888" i="2" s="1"/>
  <c r="O888" i="2"/>
  <c r="P888" i="2" s="1"/>
  <c r="Q887" i="2"/>
  <c r="R887" i="2" s="1"/>
  <c r="O887" i="2"/>
  <c r="P887" i="2" s="1"/>
  <c r="Q886" i="2"/>
  <c r="R886" i="2" s="1"/>
  <c r="O886" i="2"/>
  <c r="P886" i="2" s="1"/>
  <c r="Q885" i="2"/>
  <c r="R885" i="2" s="1"/>
  <c r="O885" i="2"/>
  <c r="P885" i="2" s="1"/>
  <c r="Q884" i="2"/>
  <c r="R884" i="2" s="1"/>
  <c r="O884" i="2"/>
  <c r="P884" i="2" s="1"/>
  <c r="Q883" i="2"/>
  <c r="R883" i="2" s="1"/>
  <c r="O883" i="2"/>
  <c r="P883" i="2" s="1"/>
  <c r="Q882" i="2"/>
  <c r="R882" i="2" s="1"/>
  <c r="O882" i="2"/>
  <c r="P882" i="2" s="1"/>
  <c r="Q881" i="2"/>
  <c r="R881" i="2" s="1"/>
  <c r="O881" i="2"/>
  <c r="P881" i="2" s="1"/>
  <c r="Q880" i="2"/>
  <c r="R880" i="2" s="1"/>
  <c r="O880" i="2"/>
  <c r="P880" i="2" s="1"/>
  <c r="Q879" i="2"/>
  <c r="R879" i="2" s="1"/>
  <c r="O879" i="2"/>
  <c r="P879" i="2" s="1"/>
  <c r="Q878" i="2"/>
  <c r="R878" i="2" s="1"/>
  <c r="O878" i="2"/>
  <c r="P878" i="2" s="1"/>
  <c r="Q877" i="2"/>
  <c r="R877" i="2" s="1"/>
  <c r="O877" i="2"/>
  <c r="P877" i="2" s="1"/>
  <c r="Q876" i="2"/>
  <c r="R876" i="2" s="1"/>
  <c r="O876" i="2"/>
  <c r="P876" i="2" s="1"/>
  <c r="Q875" i="2"/>
  <c r="R875" i="2" s="1"/>
  <c r="O875" i="2"/>
  <c r="P875" i="2" s="1"/>
  <c r="Q874" i="2"/>
  <c r="R874" i="2" s="1"/>
  <c r="O874" i="2"/>
  <c r="P874" i="2" s="1"/>
  <c r="Q873" i="2"/>
  <c r="R873" i="2" s="1"/>
  <c r="O873" i="2"/>
  <c r="P873" i="2" s="1"/>
  <c r="Q872" i="2"/>
  <c r="R872" i="2" s="1"/>
  <c r="O872" i="2"/>
  <c r="P872" i="2" s="1"/>
  <c r="Q871" i="2"/>
  <c r="R871" i="2" s="1"/>
  <c r="O871" i="2"/>
  <c r="P871" i="2" s="1"/>
  <c r="Q870" i="2"/>
  <c r="R870" i="2" s="1"/>
  <c r="O870" i="2"/>
  <c r="P870" i="2" s="1"/>
  <c r="Q869" i="2"/>
  <c r="R869" i="2" s="1"/>
  <c r="O869" i="2"/>
  <c r="P869" i="2" s="1"/>
  <c r="Q868" i="2"/>
  <c r="R868" i="2" s="1"/>
  <c r="O868" i="2"/>
  <c r="P868" i="2" s="1"/>
  <c r="Q867" i="2"/>
  <c r="R867" i="2" s="1"/>
  <c r="O867" i="2"/>
  <c r="P867" i="2" s="1"/>
  <c r="Q866" i="2"/>
  <c r="R866" i="2" s="1"/>
  <c r="O866" i="2"/>
  <c r="P866" i="2" s="1"/>
  <c r="Q865" i="2"/>
  <c r="R865" i="2" s="1"/>
  <c r="O865" i="2"/>
  <c r="P865" i="2" s="1"/>
  <c r="Q864" i="2"/>
  <c r="R864" i="2" s="1"/>
  <c r="O864" i="2"/>
  <c r="P864" i="2" s="1"/>
  <c r="Q863" i="2"/>
  <c r="R863" i="2" s="1"/>
  <c r="O863" i="2"/>
  <c r="P863" i="2" s="1"/>
  <c r="Q862" i="2"/>
  <c r="R862" i="2" s="1"/>
  <c r="O862" i="2"/>
  <c r="P862" i="2" s="1"/>
  <c r="Q861" i="2"/>
  <c r="R861" i="2" s="1"/>
  <c r="O861" i="2"/>
  <c r="P861" i="2" s="1"/>
  <c r="Q860" i="2"/>
  <c r="R860" i="2" s="1"/>
  <c r="O860" i="2"/>
  <c r="P860" i="2" s="1"/>
  <c r="Q859" i="2"/>
  <c r="R859" i="2" s="1"/>
  <c r="O859" i="2"/>
  <c r="P859" i="2" s="1"/>
  <c r="Q858" i="2"/>
  <c r="R858" i="2" s="1"/>
  <c r="O858" i="2"/>
  <c r="P858" i="2" s="1"/>
  <c r="Q857" i="2"/>
  <c r="R857" i="2" s="1"/>
  <c r="O857" i="2"/>
  <c r="P857" i="2" s="1"/>
  <c r="Q856" i="2"/>
  <c r="R856" i="2" s="1"/>
  <c r="O856" i="2"/>
  <c r="P856" i="2" s="1"/>
  <c r="Q855" i="2"/>
  <c r="R855" i="2" s="1"/>
  <c r="O855" i="2"/>
  <c r="P855" i="2" s="1"/>
  <c r="Q854" i="2"/>
  <c r="R854" i="2" s="1"/>
  <c r="O854" i="2"/>
  <c r="P854" i="2" s="1"/>
  <c r="Q853" i="2"/>
  <c r="R853" i="2" s="1"/>
  <c r="O853" i="2"/>
  <c r="P853" i="2" s="1"/>
  <c r="Q852" i="2"/>
  <c r="R852" i="2" s="1"/>
  <c r="O852" i="2"/>
  <c r="P852" i="2" s="1"/>
  <c r="Q851" i="2"/>
  <c r="R851" i="2" s="1"/>
  <c r="O851" i="2"/>
  <c r="P851" i="2" s="1"/>
  <c r="Q850" i="2"/>
  <c r="R850" i="2" s="1"/>
  <c r="O850" i="2"/>
  <c r="P850" i="2" s="1"/>
  <c r="Q849" i="2"/>
  <c r="R849" i="2" s="1"/>
  <c r="O849" i="2"/>
  <c r="P849" i="2" s="1"/>
  <c r="Q848" i="2"/>
  <c r="R848" i="2" s="1"/>
  <c r="O848" i="2"/>
  <c r="P848" i="2" s="1"/>
  <c r="Q847" i="2"/>
  <c r="R847" i="2" s="1"/>
  <c r="O847" i="2"/>
  <c r="P847" i="2" s="1"/>
  <c r="Q846" i="2"/>
  <c r="R846" i="2" s="1"/>
  <c r="O846" i="2"/>
  <c r="P846" i="2" s="1"/>
  <c r="Q845" i="2"/>
  <c r="R845" i="2" s="1"/>
  <c r="O845" i="2"/>
  <c r="P845" i="2" s="1"/>
  <c r="Q844" i="2"/>
  <c r="R844" i="2" s="1"/>
  <c r="O844" i="2"/>
  <c r="P844" i="2" s="1"/>
  <c r="Q843" i="2"/>
  <c r="R843" i="2" s="1"/>
  <c r="O843" i="2"/>
  <c r="P843" i="2" s="1"/>
  <c r="Q842" i="2"/>
  <c r="R842" i="2" s="1"/>
  <c r="O842" i="2"/>
  <c r="P842" i="2" s="1"/>
  <c r="Q841" i="2"/>
  <c r="R841" i="2" s="1"/>
  <c r="O841" i="2"/>
  <c r="P841" i="2" s="1"/>
  <c r="Q840" i="2"/>
  <c r="R840" i="2" s="1"/>
  <c r="O840" i="2"/>
  <c r="P840" i="2" s="1"/>
  <c r="Q839" i="2"/>
  <c r="R839" i="2" s="1"/>
  <c r="O839" i="2"/>
  <c r="P839" i="2" s="1"/>
  <c r="Q838" i="2"/>
  <c r="R838" i="2" s="1"/>
  <c r="O838" i="2"/>
  <c r="P838" i="2" s="1"/>
  <c r="Q837" i="2"/>
  <c r="R837" i="2" s="1"/>
  <c r="O837" i="2"/>
  <c r="P837" i="2" s="1"/>
  <c r="Q836" i="2"/>
  <c r="R836" i="2" s="1"/>
  <c r="O836" i="2"/>
  <c r="P836" i="2" s="1"/>
  <c r="Q835" i="2"/>
  <c r="R835" i="2" s="1"/>
  <c r="O835" i="2"/>
  <c r="P835" i="2" s="1"/>
  <c r="Q834" i="2"/>
  <c r="R834" i="2" s="1"/>
  <c r="O834" i="2"/>
  <c r="P834" i="2" s="1"/>
  <c r="Q833" i="2"/>
  <c r="R833" i="2" s="1"/>
  <c r="O833" i="2"/>
  <c r="P833" i="2" s="1"/>
  <c r="Q832" i="2"/>
  <c r="R832" i="2" s="1"/>
  <c r="O832" i="2"/>
  <c r="P832" i="2" s="1"/>
  <c r="Q831" i="2"/>
  <c r="R831" i="2" s="1"/>
  <c r="O831" i="2"/>
  <c r="P831" i="2" s="1"/>
  <c r="Q830" i="2"/>
  <c r="R830" i="2" s="1"/>
  <c r="O830" i="2"/>
  <c r="P830" i="2" s="1"/>
  <c r="Q829" i="2"/>
  <c r="R829" i="2" s="1"/>
  <c r="O829" i="2"/>
  <c r="P829" i="2" s="1"/>
  <c r="Q828" i="2"/>
  <c r="R828" i="2" s="1"/>
  <c r="O828" i="2"/>
  <c r="P828" i="2" s="1"/>
  <c r="Q827" i="2"/>
  <c r="R827" i="2" s="1"/>
  <c r="O827" i="2"/>
  <c r="P827" i="2" s="1"/>
  <c r="Q826" i="2"/>
  <c r="R826" i="2" s="1"/>
  <c r="O826" i="2"/>
  <c r="P826" i="2" s="1"/>
  <c r="Q825" i="2"/>
  <c r="R825" i="2" s="1"/>
  <c r="O825" i="2"/>
  <c r="P825" i="2" s="1"/>
  <c r="Q824" i="2"/>
  <c r="R824" i="2" s="1"/>
  <c r="O824" i="2"/>
  <c r="P824" i="2" s="1"/>
  <c r="Q823" i="2"/>
  <c r="R823" i="2" s="1"/>
  <c r="O823" i="2"/>
  <c r="P823" i="2" s="1"/>
  <c r="Q822" i="2"/>
  <c r="R822" i="2" s="1"/>
  <c r="O822" i="2"/>
  <c r="P822" i="2" s="1"/>
  <c r="Q821" i="2"/>
  <c r="R821" i="2" s="1"/>
  <c r="O821" i="2"/>
  <c r="P821" i="2" s="1"/>
  <c r="Q820" i="2"/>
  <c r="R820" i="2" s="1"/>
  <c r="O820" i="2"/>
  <c r="P820" i="2" s="1"/>
  <c r="Q819" i="2"/>
  <c r="R819" i="2" s="1"/>
  <c r="O819" i="2"/>
  <c r="P819" i="2" s="1"/>
  <c r="Q818" i="2"/>
  <c r="R818" i="2" s="1"/>
  <c r="O818" i="2"/>
  <c r="P818" i="2" s="1"/>
  <c r="Q817" i="2"/>
  <c r="R817" i="2" s="1"/>
  <c r="O817" i="2"/>
  <c r="P817" i="2" s="1"/>
  <c r="Q816" i="2"/>
  <c r="R816" i="2" s="1"/>
  <c r="O816" i="2"/>
  <c r="P816" i="2" s="1"/>
  <c r="Q815" i="2"/>
  <c r="R815" i="2" s="1"/>
  <c r="O815" i="2"/>
  <c r="P815" i="2" s="1"/>
  <c r="Q814" i="2"/>
  <c r="R814" i="2" s="1"/>
  <c r="O814" i="2"/>
  <c r="P814" i="2" s="1"/>
  <c r="Q813" i="2"/>
  <c r="R813" i="2" s="1"/>
  <c r="O813" i="2"/>
  <c r="P813" i="2" s="1"/>
  <c r="Q812" i="2"/>
  <c r="R812" i="2" s="1"/>
  <c r="O812" i="2"/>
  <c r="P812" i="2" s="1"/>
  <c r="Q811" i="2"/>
  <c r="R811" i="2" s="1"/>
  <c r="O811" i="2"/>
  <c r="P811" i="2" s="1"/>
  <c r="Q810" i="2"/>
  <c r="R810" i="2" s="1"/>
  <c r="O810" i="2"/>
  <c r="P810" i="2" s="1"/>
  <c r="Q809" i="2"/>
  <c r="R809" i="2" s="1"/>
  <c r="O809" i="2"/>
  <c r="P809" i="2" s="1"/>
  <c r="Q808" i="2"/>
  <c r="R808" i="2" s="1"/>
  <c r="O808" i="2"/>
  <c r="P808" i="2" s="1"/>
  <c r="Q807" i="2"/>
  <c r="R807" i="2" s="1"/>
  <c r="O807" i="2"/>
  <c r="P807" i="2" s="1"/>
  <c r="Q806" i="2"/>
  <c r="R806" i="2" s="1"/>
  <c r="O806" i="2"/>
  <c r="P806" i="2" s="1"/>
  <c r="Q805" i="2"/>
  <c r="R805" i="2" s="1"/>
  <c r="O805" i="2"/>
  <c r="P805" i="2" s="1"/>
  <c r="Q804" i="2"/>
  <c r="R804" i="2" s="1"/>
  <c r="O804" i="2"/>
  <c r="P804" i="2" s="1"/>
  <c r="Q803" i="2"/>
  <c r="R803" i="2" s="1"/>
  <c r="O803" i="2"/>
  <c r="P803" i="2" s="1"/>
  <c r="Q802" i="2"/>
  <c r="R802" i="2" s="1"/>
  <c r="O802" i="2"/>
  <c r="P802" i="2" s="1"/>
  <c r="Q801" i="2"/>
  <c r="R801" i="2" s="1"/>
  <c r="O801" i="2"/>
  <c r="P801" i="2" s="1"/>
  <c r="Q800" i="2"/>
  <c r="R800" i="2" s="1"/>
  <c r="O800" i="2"/>
  <c r="P800" i="2" s="1"/>
  <c r="Q799" i="2"/>
  <c r="R799" i="2" s="1"/>
  <c r="O799" i="2"/>
  <c r="P799" i="2" s="1"/>
  <c r="Q798" i="2"/>
  <c r="R798" i="2" s="1"/>
  <c r="O798" i="2"/>
  <c r="P798" i="2" s="1"/>
  <c r="Q797" i="2"/>
  <c r="R797" i="2" s="1"/>
  <c r="O797" i="2"/>
  <c r="P797" i="2" s="1"/>
  <c r="Q796" i="2"/>
  <c r="R796" i="2" s="1"/>
  <c r="O796" i="2"/>
  <c r="P796" i="2" s="1"/>
  <c r="Q795" i="2"/>
  <c r="R795" i="2" s="1"/>
  <c r="O795" i="2"/>
  <c r="P795" i="2" s="1"/>
  <c r="Q794" i="2"/>
  <c r="R794" i="2" s="1"/>
  <c r="O794" i="2"/>
  <c r="P794" i="2" s="1"/>
  <c r="Q793" i="2"/>
  <c r="R793" i="2" s="1"/>
  <c r="O793" i="2"/>
  <c r="P793" i="2" s="1"/>
  <c r="Q792" i="2"/>
  <c r="R792" i="2" s="1"/>
  <c r="O792" i="2"/>
  <c r="P792" i="2" s="1"/>
  <c r="Q791" i="2"/>
  <c r="R791" i="2" s="1"/>
  <c r="O791" i="2"/>
  <c r="P791" i="2" s="1"/>
  <c r="Q790" i="2"/>
  <c r="R790" i="2" s="1"/>
  <c r="O790" i="2"/>
  <c r="P790" i="2" s="1"/>
  <c r="Q789" i="2"/>
  <c r="R789" i="2" s="1"/>
  <c r="O789" i="2"/>
  <c r="P789" i="2" s="1"/>
  <c r="Q788" i="2"/>
  <c r="R788" i="2" s="1"/>
  <c r="O788" i="2"/>
  <c r="P788" i="2" s="1"/>
  <c r="Q787" i="2"/>
  <c r="R787" i="2" s="1"/>
  <c r="O787" i="2"/>
  <c r="P787" i="2" s="1"/>
  <c r="Q786" i="2"/>
  <c r="R786" i="2" s="1"/>
  <c r="O786" i="2"/>
  <c r="P786" i="2" s="1"/>
  <c r="Q785" i="2"/>
  <c r="R785" i="2" s="1"/>
  <c r="O785" i="2"/>
  <c r="P785" i="2" s="1"/>
  <c r="Q784" i="2"/>
  <c r="R784" i="2" s="1"/>
  <c r="O784" i="2"/>
  <c r="P784" i="2" s="1"/>
  <c r="Q783" i="2"/>
  <c r="R783" i="2" s="1"/>
  <c r="O783" i="2"/>
  <c r="P783" i="2" s="1"/>
  <c r="Q782" i="2"/>
  <c r="R782" i="2" s="1"/>
  <c r="O782" i="2"/>
  <c r="P782" i="2" s="1"/>
  <c r="Q781" i="2"/>
  <c r="R781" i="2" s="1"/>
  <c r="O781" i="2"/>
  <c r="P781" i="2" s="1"/>
  <c r="Q780" i="2"/>
  <c r="R780" i="2" s="1"/>
  <c r="O780" i="2"/>
  <c r="P780" i="2" s="1"/>
  <c r="Q779" i="2"/>
  <c r="R779" i="2" s="1"/>
  <c r="O779" i="2"/>
  <c r="P779" i="2" s="1"/>
  <c r="Q778" i="2"/>
  <c r="R778" i="2" s="1"/>
  <c r="O778" i="2"/>
  <c r="P778" i="2" s="1"/>
  <c r="Q777" i="2"/>
  <c r="R777" i="2" s="1"/>
  <c r="O777" i="2"/>
  <c r="P777" i="2" s="1"/>
  <c r="Q776" i="2"/>
  <c r="R776" i="2" s="1"/>
  <c r="O776" i="2"/>
  <c r="P776" i="2" s="1"/>
  <c r="Q775" i="2"/>
  <c r="R775" i="2" s="1"/>
  <c r="O775" i="2"/>
  <c r="P775" i="2" s="1"/>
  <c r="Q774" i="2"/>
  <c r="R774" i="2" s="1"/>
  <c r="O774" i="2"/>
  <c r="P774" i="2" s="1"/>
  <c r="Q773" i="2"/>
  <c r="R773" i="2" s="1"/>
  <c r="O773" i="2"/>
  <c r="P773" i="2" s="1"/>
  <c r="Q772" i="2"/>
  <c r="R772" i="2" s="1"/>
  <c r="O772" i="2"/>
  <c r="P772" i="2" s="1"/>
  <c r="Q771" i="2"/>
  <c r="R771" i="2" s="1"/>
  <c r="O771" i="2"/>
  <c r="P771" i="2" s="1"/>
  <c r="Q770" i="2"/>
  <c r="R770" i="2" s="1"/>
  <c r="O770" i="2"/>
  <c r="P770" i="2" s="1"/>
  <c r="Q769" i="2"/>
  <c r="R769" i="2" s="1"/>
  <c r="O769" i="2"/>
  <c r="P769" i="2" s="1"/>
  <c r="Q768" i="2"/>
  <c r="R768" i="2" s="1"/>
  <c r="O768" i="2"/>
  <c r="P768" i="2" s="1"/>
  <c r="Q767" i="2"/>
  <c r="R767" i="2" s="1"/>
  <c r="O767" i="2"/>
  <c r="P767" i="2" s="1"/>
  <c r="Q766" i="2"/>
  <c r="R766" i="2" s="1"/>
  <c r="O766" i="2"/>
  <c r="P766" i="2" s="1"/>
  <c r="Q765" i="2"/>
  <c r="R765" i="2" s="1"/>
  <c r="O765" i="2"/>
  <c r="P765" i="2" s="1"/>
  <c r="Q764" i="2"/>
  <c r="R764" i="2" s="1"/>
  <c r="O764" i="2"/>
  <c r="P764" i="2" s="1"/>
  <c r="Q763" i="2"/>
  <c r="R763" i="2" s="1"/>
  <c r="O763" i="2"/>
  <c r="P763" i="2" s="1"/>
  <c r="Q762" i="2"/>
  <c r="R762" i="2" s="1"/>
  <c r="O762" i="2"/>
  <c r="P762" i="2" s="1"/>
  <c r="Q761" i="2"/>
  <c r="R761" i="2" s="1"/>
  <c r="O761" i="2"/>
  <c r="P761" i="2" s="1"/>
  <c r="Q760" i="2"/>
  <c r="R760" i="2" s="1"/>
  <c r="O760" i="2"/>
  <c r="P760" i="2" s="1"/>
  <c r="Q759" i="2"/>
  <c r="R759" i="2" s="1"/>
  <c r="O759" i="2"/>
  <c r="P759" i="2" s="1"/>
  <c r="Q758" i="2"/>
  <c r="R758" i="2" s="1"/>
  <c r="O758" i="2"/>
  <c r="P758" i="2" s="1"/>
  <c r="Q757" i="2"/>
  <c r="R757" i="2" s="1"/>
  <c r="O757" i="2"/>
  <c r="P757" i="2" s="1"/>
  <c r="Q756" i="2"/>
  <c r="R756" i="2" s="1"/>
  <c r="O756" i="2"/>
  <c r="P756" i="2" s="1"/>
  <c r="Q755" i="2"/>
  <c r="R755" i="2" s="1"/>
  <c r="O755" i="2"/>
  <c r="P755" i="2" s="1"/>
  <c r="Q754" i="2"/>
  <c r="R754" i="2" s="1"/>
  <c r="O754" i="2"/>
  <c r="P754" i="2" s="1"/>
  <c r="Q753" i="2"/>
  <c r="R753" i="2" s="1"/>
  <c r="O753" i="2"/>
  <c r="P753" i="2" s="1"/>
  <c r="Q752" i="2"/>
  <c r="R752" i="2" s="1"/>
  <c r="O752" i="2"/>
  <c r="P752" i="2" s="1"/>
  <c r="Q751" i="2"/>
  <c r="R751" i="2" s="1"/>
  <c r="O751" i="2"/>
  <c r="P751" i="2" s="1"/>
  <c r="Q750" i="2"/>
  <c r="R750" i="2" s="1"/>
  <c r="O750" i="2"/>
  <c r="P750" i="2" s="1"/>
  <c r="Q749" i="2"/>
  <c r="R749" i="2" s="1"/>
  <c r="O749" i="2"/>
  <c r="P749" i="2" s="1"/>
  <c r="Q748" i="2"/>
  <c r="R748" i="2" s="1"/>
  <c r="O748" i="2"/>
  <c r="P748" i="2" s="1"/>
  <c r="Q747" i="2"/>
  <c r="R747" i="2" s="1"/>
  <c r="O747" i="2"/>
  <c r="P747" i="2" s="1"/>
  <c r="Q746" i="2"/>
  <c r="R746" i="2" s="1"/>
  <c r="O746" i="2"/>
  <c r="P746" i="2" s="1"/>
  <c r="Q745" i="2"/>
  <c r="R745" i="2" s="1"/>
  <c r="O745" i="2"/>
  <c r="P745" i="2" s="1"/>
  <c r="Q744" i="2"/>
  <c r="R744" i="2" s="1"/>
  <c r="O744" i="2"/>
  <c r="P744" i="2" s="1"/>
  <c r="Q743" i="2"/>
  <c r="R743" i="2" s="1"/>
  <c r="O743" i="2"/>
  <c r="P743" i="2" s="1"/>
  <c r="Q742" i="2"/>
  <c r="R742" i="2" s="1"/>
  <c r="O742" i="2"/>
  <c r="P742" i="2" s="1"/>
  <c r="Q741" i="2"/>
  <c r="R741" i="2" s="1"/>
  <c r="O741" i="2"/>
  <c r="P741" i="2" s="1"/>
  <c r="Q740" i="2"/>
  <c r="R740" i="2" s="1"/>
  <c r="O740" i="2"/>
  <c r="P740" i="2" s="1"/>
  <c r="Q739" i="2"/>
  <c r="R739" i="2" s="1"/>
  <c r="O739" i="2"/>
  <c r="P739" i="2" s="1"/>
  <c r="Q738" i="2"/>
  <c r="R738" i="2" s="1"/>
  <c r="O738" i="2"/>
  <c r="P738" i="2" s="1"/>
  <c r="Q737" i="2"/>
  <c r="R737" i="2" s="1"/>
  <c r="O737" i="2"/>
  <c r="P737" i="2" s="1"/>
  <c r="Q736" i="2"/>
  <c r="R736" i="2" s="1"/>
  <c r="O736" i="2"/>
  <c r="P736" i="2" s="1"/>
  <c r="Q735" i="2"/>
  <c r="R735" i="2" s="1"/>
  <c r="O735" i="2"/>
  <c r="P735" i="2" s="1"/>
  <c r="Q734" i="2"/>
  <c r="R734" i="2" s="1"/>
  <c r="O734" i="2"/>
  <c r="P734" i="2" s="1"/>
  <c r="Q733" i="2"/>
  <c r="R733" i="2" s="1"/>
  <c r="O733" i="2"/>
  <c r="P733" i="2" s="1"/>
  <c r="Q732" i="2"/>
  <c r="R732" i="2" s="1"/>
  <c r="O732" i="2"/>
  <c r="P732" i="2" s="1"/>
  <c r="Q731" i="2"/>
  <c r="R731" i="2" s="1"/>
  <c r="O731" i="2"/>
  <c r="P731" i="2" s="1"/>
  <c r="Q730" i="2"/>
  <c r="R730" i="2" s="1"/>
  <c r="O730" i="2"/>
  <c r="P730" i="2" s="1"/>
  <c r="Q729" i="2"/>
  <c r="R729" i="2" s="1"/>
  <c r="O729" i="2"/>
  <c r="P729" i="2" s="1"/>
  <c r="Q728" i="2"/>
  <c r="R728" i="2" s="1"/>
  <c r="O728" i="2"/>
  <c r="P728" i="2" s="1"/>
  <c r="Q727" i="2"/>
  <c r="R727" i="2" s="1"/>
  <c r="O727" i="2"/>
  <c r="P727" i="2" s="1"/>
  <c r="Q726" i="2"/>
  <c r="R726" i="2" s="1"/>
  <c r="O726" i="2"/>
  <c r="P726" i="2" s="1"/>
  <c r="Q725" i="2"/>
  <c r="R725" i="2" s="1"/>
  <c r="O725" i="2"/>
  <c r="P725" i="2" s="1"/>
  <c r="Q724" i="2"/>
  <c r="R724" i="2" s="1"/>
  <c r="O724" i="2"/>
  <c r="P724" i="2" s="1"/>
  <c r="Q723" i="2"/>
  <c r="R723" i="2" s="1"/>
  <c r="O723" i="2"/>
  <c r="P723" i="2" s="1"/>
  <c r="Q722" i="2"/>
  <c r="R722" i="2" s="1"/>
  <c r="O722" i="2"/>
  <c r="P722" i="2" s="1"/>
  <c r="Q721" i="2"/>
  <c r="R721" i="2" s="1"/>
  <c r="O721" i="2"/>
  <c r="P721" i="2" s="1"/>
  <c r="Q720" i="2"/>
  <c r="R720" i="2" s="1"/>
  <c r="O720" i="2"/>
  <c r="P720" i="2" s="1"/>
  <c r="Q719" i="2"/>
  <c r="R719" i="2" s="1"/>
  <c r="O719" i="2"/>
  <c r="P719" i="2" s="1"/>
  <c r="Q718" i="2"/>
  <c r="R718" i="2" s="1"/>
  <c r="O718" i="2"/>
  <c r="P718" i="2" s="1"/>
  <c r="Q717" i="2"/>
  <c r="R717" i="2" s="1"/>
  <c r="O717" i="2"/>
  <c r="P717" i="2" s="1"/>
  <c r="Q716" i="2"/>
  <c r="R716" i="2" s="1"/>
  <c r="O716" i="2"/>
  <c r="P716" i="2" s="1"/>
  <c r="Q715" i="2"/>
  <c r="R715" i="2" s="1"/>
  <c r="O715" i="2"/>
  <c r="P715" i="2" s="1"/>
  <c r="Q714" i="2"/>
  <c r="R714" i="2" s="1"/>
  <c r="O714" i="2"/>
  <c r="P714" i="2" s="1"/>
  <c r="Q713" i="2"/>
  <c r="R713" i="2" s="1"/>
  <c r="O713" i="2"/>
  <c r="P713" i="2" s="1"/>
  <c r="Q712" i="2"/>
  <c r="R712" i="2" s="1"/>
  <c r="O712" i="2"/>
  <c r="P712" i="2" s="1"/>
  <c r="Q711" i="2"/>
  <c r="R711" i="2" s="1"/>
  <c r="O711" i="2"/>
  <c r="P711" i="2" s="1"/>
  <c r="Q710" i="2"/>
  <c r="R710" i="2" s="1"/>
  <c r="O710" i="2"/>
  <c r="P710" i="2" s="1"/>
  <c r="Q709" i="2"/>
  <c r="R709" i="2" s="1"/>
  <c r="O709" i="2"/>
  <c r="P709" i="2" s="1"/>
  <c r="Q708" i="2"/>
  <c r="R708" i="2" s="1"/>
  <c r="O708" i="2"/>
  <c r="P708" i="2" s="1"/>
  <c r="Q707" i="2"/>
  <c r="R707" i="2" s="1"/>
  <c r="O707" i="2"/>
  <c r="P707" i="2" s="1"/>
  <c r="Q706" i="2"/>
  <c r="R706" i="2" s="1"/>
  <c r="O706" i="2"/>
  <c r="P706" i="2" s="1"/>
  <c r="Q705" i="2"/>
  <c r="R705" i="2" s="1"/>
  <c r="O705" i="2"/>
  <c r="P705" i="2" s="1"/>
  <c r="Q704" i="2"/>
  <c r="R704" i="2" s="1"/>
  <c r="O704" i="2"/>
  <c r="P704" i="2" s="1"/>
  <c r="Q703" i="2"/>
  <c r="R703" i="2" s="1"/>
  <c r="O703" i="2"/>
  <c r="P703" i="2" s="1"/>
  <c r="Q702" i="2"/>
  <c r="R702" i="2" s="1"/>
  <c r="O702" i="2"/>
  <c r="P702" i="2" s="1"/>
  <c r="Q701" i="2"/>
  <c r="R701" i="2" s="1"/>
  <c r="O701" i="2"/>
  <c r="P701" i="2" s="1"/>
  <c r="Q700" i="2"/>
  <c r="R700" i="2" s="1"/>
  <c r="O700" i="2"/>
  <c r="P700" i="2" s="1"/>
  <c r="Q699" i="2"/>
  <c r="R699" i="2" s="1"/>
  <c r="O699" i="2"/>
  <c r="P699" i="2" s="1"/>
  <c r="Q698" i="2"/>
  <c r="R698" i="2" s="1"/>
  <c r="O698" i="2"/>
  <c r="P698" i="2" s="1"/>
  <c r="Q697" i="2"/>
  <c r="R697" i="2" s="1"/>
  <c r="O697" i="2"/>
  <c r="P697" i="2" s="1"/>
  <c r="Q696" i="2"/>
  <c r="R696" i="2" s="1"/>
  <c r="O696" i="2"/>
  <c r="P696" i="2" s="1"/>
  <c r="Q695" i="2"/>
  <c r="R695" i="2" s="1"/>
  <c r="O695" i="2"/>
  <c r="P695" i="2" s="1"/>
  <c r="Q694" i="2"/>
  <c r="R694" i="2" s="1"/>
  <c r="O694" i="2"/>
  <c r="P694" i="2" s="1"/>
  <c r="Q693" i="2"/>
  <c r="R693" i="2" s="1"/>
  <c r="O693" i="2"/>
  <c r="P693" i="2" s="1"/>
  <c r="Q692" i="2"/>
  <c r="R692" i="2" s="1"/>
  <c r="O692" i="2"/>
  <c r="P692" i="2" s="1"/>
  <c r="Q691" i="2"/>
  <c r="R691" i="2" s="1"/>
  <c r="O691" i="2"/>
  <c r="P691" i="2" s="1"/>
  <c r="Q690" i="2"/>
  <c r="R690" i="2" s="1"/>
  <c r="O690" i="2"/>
  <c r="P690" i="2" s="1"/>
  <c r="Q689" i="2"/>
  <c r="R689" i="2" s="1"/>
  <c r="O689" i="2"/>
  <c r="P689" i="2" s="1"/>
  <c r="Q688" i="2"/>
  <c r="R688" i="2" s="1"/>
  <c r="O688" i="2"/>
  <c r="P688" i="2" s="1"/>
  <c r="Q687" i="2"/>
  <c r="R687" i="2" s="1"/>
  <c r="O687" i="2"/>
  <c r="P687" i="2" s="1"/>
  <c r="Q686" i="2"/>
  <c r="R686" i="2" s="1"/>
  <c r="O686" i="2"/>
  <c r="P686" i="2" s="1"/>
  <c r="Q685" i="2"/>
  <c r="R685" i="2" s="1"/>
  <c r="O685" i="2"/>
  <c r="P685" i="2" s="1"/>
  <c r="Q684" i="2"/>
  <c r="R684" i="2" s="1"/>
  <c r="O684" i="2"/>
  <c r="P684" i="2" s="1"/>
  <c r="Q683" i="2"/>
  <c r="R683" i="2" s="1"/>
  <c r="O683" i="2"/>
  <c r="P683" i="2" s="1"/>
  <c r="Q682" i="2"/>
  <c r="R682" i="2" s="1"/>
  <c r="O682" i="2"/>
  <c r="P682" i="2" s="1"/>
  <c r="Q681" i="2"/>
  <c r="R681" i="2" s="1"/>
  <c r="O681" i="2"/>
  <c r="P681" i="2" s="1"/>
  <c r="Q680" i="2"/>
  <c r="R680" i="2" s="1"/>
  <c r="O680" i="2"/>
  <c r="P680" i="2" s="1"/>
  <c r="Q679" i="2"/>
  <c r="R679" i="2" s="1"/>
  <c r="O679" i="2"/>
  <c r="P679" i="2" s="1"/>
  <c r="Q678" i="2"/>
  <c r="R678" i="2" s="1"/>
  <c r="O678" i="2"/>
  <c r="P678" i="2" s="1"/>
  <c r="Q677" i="2"/>
  <c r="R677" i="2" s="1"/>
  <c r="O677" i="2"/>
  <c r="P677" i="2" s="1"/>
  <c r="Q676" i="2"/>
  <c r="R676" i="2" s="1"/>
  <c r="O676" i="2"/>
  <c r="P676" i="2" s="1"/>
  <c r="Q675" i="2"/>
  <c r="R675" i="2" s="1"/>
  <c r="O675" i="2"/>
  <c r="P675" i="2" s="1"/>
  <c r="Q674" i="2"/>
  <c r="R674" i="2" s="1"/>
  <c r="O674" i="2"/>
  <c r="P674" i="2" s="1"/>
  <c r="Q673" i="2"/>
  <c r="R673" i="2" s="1"/>
  <c r="O673" i="2"/>
  <c r="P673" i="2" s="1"/>
  <c r="Q672" i="2"/>
  <c r="R672" i="2" s="1"/>
  <c r="O672" i="2"/>
  <c r="P672" i="2" s="1"/>
  <c r="Q671" i="2"/>
  <c r="R671" i="2" s="1"/>
  <c r="O671" i="2"/>
  <c r="P671" i="2" s="1"/>
  <c r="Q670" i="2"/>
  <c r="R670" i="2" s="1"/>
  <c r="O670" i="2"/>
  <c r="P670" i="2" s="1"/>
  <c r="Q669" i="2"/>
  <c r="R669" i="2" s="1"/>
  <c r="O669" i="2"/>
  <c r="P669" i="2" s="1"/>
  <c r="Q668" i="2"/>
  <c r="R668" i="2" s="1"/>
  <c r="O668" i="2"/>
  <c r="P668" i="2" s="1"/>
  <c r="Q667" i="2"/>
  <c r="R667" i="2" s="1"/>
  <c r="O667" i="2"/>
  <c r="P667" i="2" s="1"/>
  <c r="Q666" i="2"/>
  <c r="R666" i="2" s="1"/>
  <c r="O666" i="2"/>
  <c r="P666" i="2" s="1"/>
  <c r="Q665" i="2"/>
  <c r="R665" i="2" s="1"/>
  <c r="O665" i="2"/>
  <c r="P665" i="2" s="1"/>
  <c r="Q664" i="2"/>
  <c r="R664" i="2" s="1"/>
  <c r="O664" i="2"/>
  <c r="P664" i="2" s="1"/>
  <c r="Q663" i="2"/>
  <c r="R663" i="2" s="1"/>
  <c r="O663" i="2"/>
  <c r="P663" i="2" s="1"/>
  <c r="Q662" i="2"/>
  <c r="R662" i="2" s="1"/>
  <c r="O662" i="2"/>
  <c r="P662" i="2" s="1"/>
  <c r="Q661" i="2"/>
  <c r="R661" i="2" s="1"/>
  <c r="O661" i="2"/>
  <c r="P661" i="2" s="1"/>
  <c r="Q660" i="2"/>
  <c r="R660" i="2" s="1"/>
  <c r="O660" i="2"/>
  <c r="P660" i="2" s="1"/>
  <c r="Q659" i="2"/>
  <c r="R659" i="2" s="1"/>
  <c r="O659" i="2"/>
  <c r="P659" i="2" s="1"/>
  <c r="Q658" i="2"/>
  <c r="R658" i="2" s="1"/>
  <c r="O658" i="2"/>
  <c r="P658" i="2" s="1"/>
  <c r="Q657" i="2"/>
  <c r="R657" i="2" s="1"/>
  <c r="O657" i="2"/>
  <c r="P657" i="2" s="1"/>
  <c r="Q656" i="2"/>
  <c r="R656" i="2" s="1"/>
  <c r="O656" i="2"/>
  <c r="P656" i="2" s="1"/>
  <c r="Q655" i="2"/>
  <c r="R655" i="2" s="1"/>
  <c r="O655" i="2"/>
  <c r="P655" i="2" s="1"/>
  <c r="Q654" i="2"/>
  <c r="R654" i="2" s="1"/>
  <c r="O654" i="2"/>
  <c r="P654" i="2" s="1"/>
  <c r="Q653" i="2"/>
  <c r="R653" i="2" s="1"/>
  <c r="O653" i="2"/>
  <c r="P653" i="2" s="1"/>
  <c r="Q652" i="2"/>
  <c r="R652" i="2" s="1"/>
  <c r="O652" i="2"/>
  <c r="P652" i="2" s="1"/>
  <c r="Q651" i="2"/>
  <c r="R651" i="2" s="1"/>
  <c r="O651" i="2"/>
  <c r="P651" i="2" s="1"/>
  <c r="Q650" i="2"/>
  <c r="R650" i="2" s="1"/>
  <c r="O650" i="2"/>
  <c r="P650" i="2" s="1"/>
  <c r="Q649" i="2"/>
  <c r="R649" i="2" s="1"/>
  <c r="O649" i="2"/>
  <c r="P649" i="2" s="1"/>
  <c r="Q648" i="2"/>
  <c r="R648" i="2" s="1"/>
  <c r="O648" i="2"/>
  <c r="P648" i="2" s="1"/>
  <c r="Q647" i="2"/>
  <c r="R647" i="2" s="1"/>
  <c r="O647" i="2"/>
  <c r="P647" i="2" s="1"/>
  <c r="Q646" i="2"/>
  <c r="R646" i="2" s="1"/>
  <c r="O646" i="2"/>
  <c r="P646" i="2" s="1"/>
  <c r="Q645" i="2"/>
  <c r="R645" i="2" s="1"/>
  <c r="O645" i="2"/>
  <c r="P645" i="2" s="1"/>
  <c r="Q644" i="2"/>
  <c r="R644" i="2" s="1"/>
  <c r="O644" i="2"/>
  <c r="P644" i="2" s="1"/>
  <c r="Q643" i="2"/>
  <c r="R643" i="2" s="1"/>
  <c r="O643" i="2"/>
  <c r="P643" i="2" s="1"/>
  <c r="Q642" i="2"/>
  <c r="R642" i="2" s="1"/>
  <c r="O642" i="2"/>
  <c r="P642" i="2" s="1"/>
  <c r="Q641" i="2"/>
  <c r="R641" i="2" s="1"/>
  <c r="O641" i="2"/>
  <c r="P641" i="2" s="1"/>
  <c r="Q640" i="2"/>
  <c r="R640" i="2" s="1"/>
  <c r="O640" i="2"/>
  <c r="P640" i="2" s="1"/>
  <c r="Q639" i="2"/>
  <c r="R639" i="2" s="1"/>
  <c r="O639" i="2"/>
  <c r="P639" i="2" s="1"/>
  <c r="Q638" i="2"/>
  <c r="R638" i="2" s="1"/>
  <c r="O638" i="2"/>
  <c r="P638" i="2" s="1"/>
  <c r="Q637" i="2"/>
  <c r="R637" i="2" s="1"/>
  <c r="O637" i="2"/>
  <c r="P637" i="2" s="1"/>
  <c r="Q636" i="2"/>
  <c r="R636" i="2" s="1"/>
  <c r="O636" i="2"/>
  <c r="P636" i="2" s="1"/>
  <c r="Q635" i="2"/>
  <c r="R635" i="2" s="1"/>
  <c r="O635" i="2"/>
  <c r="P635" i="2" s="1"/>
  <c r="Q634" i="2"/>
  <c r="R634" i="2" s="1"/>
  <c r="O634" i="2"/>
  <c r="P634" i="2" s="1"/>
  <c r="Q633" i="2"/>
  <c r="R633" i="2" s="1"/>
  <c r="O633" i="2"/>
  <c r="P633" i="2" s="1"/>
  <c r="Q632" i="2"/>
  <c r="R632" i="2" s="1"/>
  <c r="O632" i="2"/>
  <c r="P632" i="2" s="1"/>
  <c r="Q631" i="2"/>
  <c r="R631" i="2" s="1"/>
  <c r="O631" i="2"/>
  <c r="P631" i="2" s="1"/>
  <c r="Q630" i="2"/>
  <c r="R630" i="2" s="1"/>
  <c r="O630" i="2"/>
  <c r="P630" i="2" s="1"/>
  <c r="Q629" i="2"/>
  <c r="R629" i="2" s="1"/>
  <c r="O629" i="2"/>
  <c r="P629" i="2" s="1"/>
  <c r="Q628" i="2"/>
  <c r="R628" i="2" s="1"/>
  <c r="O628" i="2"/>
  <c r="P628" i="2" s="1"/>
  <c r="Q627" i="2"/>
  <c r="R627" i="2" s="1"/>
  <c r="O627" i="2"/>
  <c r="P627" i="2" s="1"/>
  <c r="Q626" i="2"/>
  <c r="R626" i="2" s="1"/>
  <c r="O626" i="2"/>
  <c r="P626" i="2" s="1"/>
  <c r="Q625" i="2"/>
  <c r="R625" i="2" s="1"/>
  <c r="O625" i="2"/>
  <c r="P625" i="2" s="1"/>
  <c r="Q624" i="2"/>
  <c r="R624" i="2" s="1"/>
  <c r="O624" i="2"/>
  <c r="P624" i="2" s="1"/>
  <c r="Q623" i="2"/>
  <c r="R623" i="2" s="1"/>
  <c r="O623" i="2"/>
  <c r="P623" i="2" s="1"/>
  <c r="Q622" i="2"/>
  <c r="R622" i="2" s="1"/>
  <c r="O622" i="2"/>
  <c r="P622" i="2" s="1"/>
  <c r="Q621" i="2"/>
  <c r="R621" i="2" s="1"/>
  <c r="O621" i="2"/>
  <c r="P621" i="2" s="1"/>
  <c r="Q620" i="2"/>
  <c r="R620" i="2" s="1"/>
  <c r="O620" i="2"/>
  <c r="P620" i="2" s="1"/>
  <c r="Q619" i="2"/>
  <c r="R619" i="2" s="1"/>
  <c r="O619" i="2"/>
  <c r="P619" i="2" s="1"/>
  <c r="Q618" i="2"/>
  <c r="R618" i="2" s="1"/>
  <c r="O618" i="2"/>
  <c r="P618" i="2" s="1"/>
  <c r="Q617" i="2"/>
  <c r="R617" i="2" s="1"/>
  <c r="O617" i="2"/>
  <c r="P617" i="2" s="1"/>
  <c r="Q616" i="2"/>
  <c r="R616" i="2" s="1"/>
  <c r="O616" i="2"/>
  <c r="P616" i="2" s="1"/>
  <c r="Q615" i="2"/>
  <c r="R615" i="2" s="1"/>
  <c r="O615" i="2"/>
  <c r="P615" i="2" s="1"/>
  <c r="Q614" i="2"/>
  <c r="R614" i="2" s="1"/>
  <c r="O614" i="2"/>
  <c r="P614" i="2" s="1"/>
  <c r="Q613" i="2"/>
  <c r="R613" i="2" s="1"/>
  <c r="O613" i="2"/>
  <c r="P613" i="2" s="1"/>
  <c r="Q612" i="2"/>
  <c r="R612" i="2" s="1"/>
  <c r="O612" i="2"/>
  <c r="P612" i="2" s="1"/>
  <c r="Q611" i="2"/>
  <c r="R611" i="2" s="1"/>
  <c r="O611" i="2"/>
  <c r="P611" i="2" s="1"/>
  <c r="Q610" i="2"/>
  <c r="R610" i="2" s="1"/>
  <c r="O610" i="2"/>
  <c r="P610" i="2" s="1"/>
  <c r="Q609" i="2"/>
  <c r="R609" i="2" s="1"/>
  <c r="O609" i="2"/>
  <c r="P609" i="2" s="1"/>
  <c r="Q608" i="2"/>
  <c r="R608" i="2" s="1"/>
  <c r="O608" i="2"/>
  <c r="P608" i="2" s="1"/>
  <c r="Q607" i="2"/>
  <c r="R607" i="2" s="1"/>
  <c r="O607" i="2"/>
  <c r="P607" i="2" s="1"/>
  <c r="Q606" i="2"/>
  <c r="R606" i="2" s="1"/>
  <c r="O606" i="2"/>
  <c r="P606" i="2" s="1"/>
  <c r="Q605" i="2"/>
  <c r="R605" i="2" s="1"/>
  <c r="O605" i="2"/>
  <c r="P605" i="2" s="1"/>
  <c r="Q604" i="2"/>
  <c r="R604" i="2" s="1"/>
  <c r="O604" i="2"/>
  <c r="P604" i="2" s="1"/>
  <c r="Q603" i="2"/>
  <c r="R603" i="2" s="1"/>
  <c r="O603" i="2"/>
  <c r="P603" i="2" s="1"/>
  <c r="Q602" i="2"/>
  <c r="R602" i="2" s="1"/>
  <c r="O602" i="2"/>
  <c r="P602" i="2" s="1"/>
  <c r="Q601" i="2"/>
  <c r="R601" i="2" s="1"/>
  <c r="O601" i="2"/>
  <c r="P601" i="2" s="1"/>
  <c r="Q600" i="2"/>
  <c r="R600" i="2" s="1"/>
  <c r="O600" i="2"/>
  <c r="P600" i="2" s="1"/>
  <c r="Q599" i="2"/>
  <c r="R599" i="2" s="1"/>
  <c r="O599" i="2"/>
  <c r="P599" i="2" s="1"/>
  <c r="Q598" i="2"/>
  <c r="R598" i="2" s="1"/>
  <c r="O598" i="2"/>
  <c r="P598" i="2" s="1"/>
  <c r="Q597" i="2"/>
  <c r="R597" i="2" s="1"/>
  <c r="O597" i="2"/>
  <c r="P597" i="2" s="1"/>
  <c r="Q596" i="2"/>
  <c r="R596" i="2" s="1"/>
  <c r="O596" i="2"/>
  <c r="P596" i="2" s="1"/>
  <c r="Q595" i="2"/>
  <c r="R595" i="2" s="1"/>
  <c r="O595" i="2"/>
  <c r="P595" i="2" s="1"/>
  <c r="Q594" i="2"/>
  <c r="R594" i="2" s="1"/>
  <c r="O594" i="2"/>
  <c r="P594" i="2" s="1"/>
  <c r="Q593" i="2"/>
  <c r="R593" i="2" s="1"/>
  <c r="O593" i="2"/>
  <c r="P593" i="2" s="1"/>
  <c r="Q592" i="2"/>
  <c r="R592" i="2" s="1"/>
  <c r="O592" i="2"/>
  <c r="P592" i="2" s="1"/>
  <c r="Q591" i="2"/>
  <c r="R591" i="2" s="1"/>
  <c r="O591" i="2"/>
  <c r="P591" i="2" s="1"/>
  <c r="Q590" i="2"/>
  <c r="R590" i="2" s="1"/>
  <c r="O590" i="2"/>
  <c r="P590" i="2" s="1"/>
  <c r="Q589" i="2"/>
  <c r="R589" i="2" s="1"/>
  <c r="O589" i="2"/>
  <c r="P589" i="2" s="1"/>
  <c r="Q588" i="2"/>
  <c r="R588" i="2" s="1"/>
  <c r="O588" i="2"/>
  <c r="P588" i="2" s="1"/>
  <c r="Q587" i="2"/>
  <c r="R587" i="2" s="1"/>
  <c r="O587" i="2"/>
  <c r="P587" i="2" s="1"/>
  <c r="Q586" i="2"/>
  <c r="R586" i="2" s="1"/>
  <c r="O586" i="2"/>
  <c r="P586" i="2" s="1"/>
  <c r="Q585" i="2"/>
  <c r="R585" i="2" s="1"/>
  <c r="O585" i="2"/>
  <c r="P585" i="2" s="1"/>
  <c r="Q584" i="2"/>
  <c r="R584" i="2" s="1"/>
  <c r="O584" i="2"/>
  <c r="P584" i="2" s="1"/>
  <c r="Q583" i="2"/>
  <c r="R583" i="2" s="1"/>
  <c r="O583" i="2"/>
  <c r="P583" i="2" s="1"/>
  <c r="Q582" i="2"/>
  <c r="R582" i="2" s="1"/>
  <c r="O582" i="2"/>
  <c r="P582" i="2" s="1"/>
  <c r="Q581" i="2"/>
  <c r="R581" i="2" s="1"/>
  <c r="O581" i="2"/>
  <c r="P581" i="2" s="1"/>
  <c r="Q580" i="2"/>
  <c r="R580" i="2" s="1"/>
  <c r="O580" i="2"/>
  <c r="P580" i="2" s="1"/>
  <c r="Q579" i="2"/>
  <c r="R579" i="2" s="1"/>
  <c r="O579" i="2"/>
  <c r="P579" i="2" s="1"/>
  <c r="Q578" i="2"/>
  <c r="R578" i="2" s="1"/>
  <c r="O578" i="2"/>
  <c r="P578" i="2" s="1"/>
  <c r="Q577" i="2"/>
  <c r="R577" i="2" s="1"/>
  <c r="O577" i="2"/>
  <c r="P577" i="2" s="1"/>
  <c r="Q576" i="2"/>
  <c r="R576" i="2" s="1"/>
  <c r="O576" i="2"/>
  <c r="P576" i="2" s="1"/>
  <c r="Q575" i="2"/>
  <c r="R575" i="2" s="1"/>
  <c r="O575" i="2"/>
  <c r="P575" i="2" s="1"/>
  <c r="Q574" i="2"/>
  <c r="R574" i="2" s="1"/>
  <c r="O574" i="2"/>
  <c r="P574" i="2" s="1"/>
  <c r="Q573" i="2"/>
  <c r="R573" i="2" s="1"/>
  <c r="O573" i="2"/>
  <c r="P573" i="2" s="1"/>
  <c r="Q572" i="2"/>
  <c r="R572" i="2" s="1"/>
  <c r="O572" i="2"/>
  <c r="P572" i="2" s="1"/>
  <c r="Q571" i="2"/>
  <c r="R571" i="2" s="1"/>
  <c r="O571" i="2"/>
  <c r="P571" i="2" s="1"/>
  <c r="Q570" i="2"/>
  <c r="R570" i="2" s="1"/>
  <c r="O570" i="2"/>
  <c r="P570" i="2" s="1"/>
  <c r="Q569" i="2"/>
  <c r="R569" i="2" s="1"/>
  <c r="O569" i="2"/>
  <c r="P569" i="2" s="1"/>
  <c r="Q568" i="2"/>
  <c r="R568" i="2" s="1"/>
  <c r="O568" i="2"/>
  <c r="P568" i="2" s="1"/>
  <c r="Q567" i="2"/>
  <c r="R567" i="2" s="1"/>
  <c r="O567" i="2"/>
  <c r="P567" i="2" s="1"/>
  <c r="Q566" i="2"/>
  <c r="R566" i="2" s="1"/>
  <c r="O566" i="2"/>
  <c r="P566" i="2" s="1"/>
  <c r="Q565" i="2"/>
  <c r="R565" i="2" s="1"/>
  <c r="O565" i="2"/>
  <c r="P565" i="2" s="1"/>
  <c r="Q564" i="2"/>
  <c r="R564" i="2" s="1"/>
  <c r="O564" i="2"/>
  <c r="P564" i="2" s="1"/>
  <c r="Q563" i="2"/>
  <c r="R563" i="2" s="1"/>
  <c r="O563" i="2"/>
  <c r="P563" i="2" s="1"/>
  <c r="Q562" i="2"/>
  <c r="R562" i="2" s="1"/>
  <c r="O562" i="2"/>
  <c r="P562" i="2" s="1"/>
  <c r="Q561" i="2"/>
  <c r="R561" i="2" s="1"/>
  <c r="O561" i="2"/>
  <c r="P561" i="2" s="1"/>
  <c r="Q560" i="2"/>
  <c r="R560" i="2" s="1"/>
  <c r="O560" i="2"/>
  <c r="P560" i="2" s="1"/>
  <c r="Q559" i="2"/>
  <c r="R559" i="2" s="1"/>
  <c r="O559" i="2"/>
  <c r="P559" i="2" s="1"/>
  <c r="Q558" i="2"/>
  <c r="R558" i="2" s="1"/>
  <c r="O558" i="2"/>
  <c r="P558" i="2" s="1"/>
  <c r="Q557" i="2"/>
  <c r="R557" i="2" s="1"/>
  <c r="O557" i="2"/>
  <c r="P557" i="2" s="1"/>
  <c r="Q556" i="2"/>
  <c r="R556" i="2" s="1"/>
  <c r="O556" i="2"/>
  <c r="P556" i="2" s="1"/>
  <c r="Q555" i="2"/>
  <c r="R555" i="2" s="1"/>
  <c r="O555" i="2"/>
  <c r="P555" i="2" s="1"/>
  <c r="Q554" i="2"/>
  <c r="R554" i="2" s="1"/>
  <c r="O554" i="2"/>
  <c r="P554" i="2" s="1"/>
  <c r="Q553" i="2"/>
  <c r="R553" i="2" s="1"/>
  <c r="O553" i="2"/>
  <c r="P553" i="2" s="1"/>
  <c r="Q552" i="2"/>
  <c r="R552" i="2" s="1"/>
  <c r="O552" i="2"/>
  <c r="P552" i="2" s="1"/>
  <c r="Q551" i="2"/>
  <c r="R551" i="2" s="1"/>
  <c r="O551" i="2"/>
  <c r="P551" i="2" s="1"/>
  <c r="Q550" i="2"/>
  <c r="R550" i="2" s="1"/>
  <c r="O550" i="2"/>
  <c r="P550" i="2" s="1"/>
  <c r="Q549" i="2"/>
  <c r="R549" i="2" s="1"/>
  <c r="O549" i="2"/>
  <c r="P549" i="2" s="1"/>
  <c r="Q548" i="2"/>
  <c r="R548" i="2" s="1"/>
  <c r="O548" i="2"/>
  <c r="P548" i="2" s="1"/>
  <c r="Q547" i="2"/>
  <c r="R547" i="2" s="1"/>
  <c r="O547" i="2"/>
  <c r="P547" i="2" s="1"/>
  <c r="Q546" i="2"/>
  <c r="R546" i="2" s="1"/>
  <c r="O546" i="2"/>
  <c r="P546" i="2" s="1"/>
  <c r="Q545" i="2"/>
  <c r="R545" i="2" s="1"/>
  <c r="O545" i="2"/>
  <c r="P545" i="2" s="1"/>
  <c r="Q544" i="2"/>
  <c r="R544" i="2" s="1"/>
  <c r="O544" i="2"/>
  <c r="P544" i="2" s="1"/>
  <c r="Q543" i="2"/>
  <c r="R543" i="2" s="1"/>
  <c r="O543" i="2"/>
  <c r="P543" i="2" s="1"/>
  <c r="Q542" i="2"/>
  <c r="R542" i="2" s="1"/>
  <c r="O542" i="2"/>
  <c r="P542" i="2" s="1"/>
  <c r="Q541" i="2"/>
  <c r="R541" i="2" s="1"/>
  <c r="O541" i="2"/>
  <c r="P541" i="2" s="1"/>
  <c r="Q540" i="2"/>
  <c r="R540" i="2" s="1"/>
  <c r="O540" i="2"/>
  <c r="P540" i="2" s="1"/>
  <c r="Q539" i="2"/>
  <c r="R539" i="2" s="1"/>
  <c r="O539" i="2"/>
  <c r="P539" i="2" s="1"/>
  <c r="Q538" i="2"/>
  <c r="R538" i="2" s="1"/>
  <c r="O538" i="2"/>
  <c r="P538" i="2" s="1"/>
  <c r="Q537" i="2"/>
  <c r="R537" i="2" s="1"/>
  <c r="O537" i="2"/>
  <c r="P537" i="2" s="1"/>
  <c r="Q536" i="2"/>
  <c r="R536" i="2" s="1"/>
  <c r="O536" i="2"/>
  <c r="P536" i="2" s="1"/>
  <c r="Q535" i="2"/>
  <c r="R535" i="2" s="1"/>
  <c r="O535" i="2"/>
  <c r="P535" i="2" s="1"/>
  <c r="Q534" i="2"/>
  <c r="R534" i="2" s="1"/>
  <c r="O534" i="2"/>
  <c r="P534" i="2" s="1"/>
  <c r="Q533" i="2"/>
  <c r="R533" i="2" s="1"/>
  <c r="O533" i="2"/>
  <c r="P533" i="2" s="1"/>
  <c r="Q532" i="2"/>
  <c r="R532" i="2" s="1"/>
  <c r="O532" i="2"/>
  <c r="P532" i="2" s="1"/>
  <c r="Q531" i="2"/>
  <c r="R531" i="2" s="1"/>
  <c r="O531" i="2"/>
  <c r="P531" i="2" s="1"/>
  <c r="Q530" i="2"/>
  <c r="R530" i="2" s="1"/>
  <c r="O530" i="2"/>
  <c r="P530" i="2" s="1"/>
  <c r="Q529" i="2"/>
  <c r="R529" i="2" s="1"/>
  <c r="O529" i="2"/>
  <c r="P529" i="2" s="1"/>
  <c r="Q528" i="2"/>
  <c r="R528" i="2" s="1"/>
  <c r="O528" i="2"/>
  <c r="P528" i="2" s="1"/>
  <c r="Q527" i="2"/>
  <c r="R527" i="2" s="1"/>
  <c r="O527" i="2"/>
  <c r="P527" i="2" s="1"/>
  <c r="Q526" i="2"/>
  <c r="R526" i="2" s="1"/>
  <c r="O526" i="2"/>
  <c r="P526" i="2" s="1"/>
  <c r="Q525" i="2"/>
  <c r="R525" i="2" s="1"/>
  <c r="O525" i="2"/>
  <c r="P525" i="2" s="1"/>
  <c r="Q524" i="2"/>
  <c r="R524" i="2" s="1"/>
  <c r="O524" i="2"/>
  <c r="P524" i="2" s="1"/>
  <c r="Q523" i="2"/>
  <c r="R523" i="2" s="1"/>
  <c r="O523" i="2"/>
  <c r="P523" i="2" s="1"/>
  <c r="Q522" i="2"/>
  <c r="R522" i="2" s="1"/>
  <c r="O522" i="2"/>
  <c r="P522" i="2" s="1"/>
  <c r="Q521" i="2"/>
  <c r="R521" i="2" s="1"/>
  <c r="O521" i="2"/>
  <c r="P521" i="2" s="1"/>
  <c r="Q520" i="2"/>
  <c r="R520" i="2" s="1"/>
  <c r="O520" i="2"/>
  <c r="P520" i="2" s="1"/>
  <c r="Q519" i="2"/>
  <c r="R519" i="2" s="1"/>
  <c r="O519" i="2"/>
  <c r="P519" i="2" s="1"/>
  <c r="Q518" i="2"/>
  <c r="R518" i="2" s="1"/>
  <c r="O518" i="2"/>
  <c r="P518" i="2" s="1"/>
  <c r="Q517" i="2"/>
  <c r="R517" i="2" s="1"/>
  <c r="O517" i="2"/>
  <c r="P517" i="2" s="1"/>
  <c r="Q516" i="2"/>
  <c r="R516" i="2" s="1"/>
  <c r="O516" i="2"/>
  <c r="P516" i="2" s="1"/>
  <c r="Q515" i="2"/>
  <c r="R515" i="2" s="1"/>
  <c r="O515" i="2"/>
  <c r="P515" i="2" s="1"/>
  <c r="Q514" i="2"/>
  <c r="R514" i="2" s="1"/>
  <c r="O514" i="2"/>
  <c r="P514" i="2" s="1"/>
  <c r="Q513" i="2"/>
  <c r="R513" i="2" s="1"/>
  <c r="O513" i="2"/>
  <c r="P513" i="2" s="1"/>
  <c r="Q512" i="2"/>
  <c r="R512" i="2" s="1"/>
  <c r="O512" i="2"/>
  <c r="P512" i="2" s="1"/>
  <c r="Q511" i="2"/>
  <c r="R511" i="2" s="1"/>
  <c r="O511" i="2"/>
  <c r="P511" i="2" s="1"/>
  <c r="Q510" i="2"/>
  <c r="R510" i="2" s="1"/>
  <c r="O510" i="2"/>
  <c r="P510" i="2" s="1"/>
  <c r="Q509" i="2"/>
  <c r="R509" i="2" s="1"/>
  <c r="O509" i="2"/>
  <c r="P509" i="2" s="1"/>
  <c r="Q508" i="2"/>
  <c r="R508" i="2" s="1"/>
  <c r="O508" i="2"/>
  <c r="P508" i="2" s="1"/>
  <c r="Q507" i="2"/>
  <c r="R507" i="2" s="1"/>
  <c r="O507" i="2"/>
  <c r="P507" i="2" s="1"/>
  <c r="Q506" i="2"/>
  <c r="R506" i="2" s="1"/>
  <c r="O506" i="2"/>
  <c r="P506" i="2" s="1"/>
  <c r="Q505" i="2"/>
  <c r="R505" i="2" s="1"/>
  <c r="O505" i="2"/>
  <c r="P505" i="2" s="1"/>
  <c r="Q504" i="2"/>
  <c r="R504" i="2" s="1"/>
  <c r="O504" i="2"/>
  <c r="P504" i="2" s="1"/>
  <c r="Q503" i="2"/>
  <c r="R503" i="2" s="1"/>
  <c r="O503" i="2"/>
  <c r="P503" i="2" s="1"/>
  <c r="Q502" i="2"/>
  <c r="R502" i="2" s="1"/>
  <c r="O502" i="2"/>
  <c r="P502" i="2" s="1"/>
  <c r="Q501" i="2"/>
  <c r="R501" i="2" s="1"/>
  <c r="O501" i="2"/>
  <c r="P501" i="2" s="1"/>
  <c r="Q500" i="2"/>
  <c r="R500" i="2" s="1"/>
  <c r="O500" i="2"/>
  <c r="P500" i="2" s="1"/>
  <c r="Q499" i="2"/>
  <c r="R499" i="2" s="1"/>
  <c r="O499" i="2"/>
  <c r="P499" i="2" s="1"/>
  <c r="Q498" i="2"/>
  <c r="R498" i="2" s="1"/>
  <c r="O498" i="2"/>
  <c r="P498" i="2" s="1"/>
  <c r="Q497" i="2"/>
  <c r="R497" i="2" s="1"/>
  <c r="O497" i="2"/>
  <c r="P497" i="2" s="1"/>
  <c r="Q496" i="2"/>
  <c r="R496" i="2" s="1"/>
  <c r="O496" i="2"/>
  <c r="P496" i="2" s="1"/>
  <c r="Q495" i="2"/>
  <c r="R495" i="2" s="1"/>
  <c r="O495" i="2"/>
  <c r="P495" i="2" s="1"/>
  <c r="Q494" i="2"/>
  <c r="R494" i="2" s="1"/>
  <c r="O494" i="2"/>
  <c r="P494" i="2" s="1"/>
  <c r="Q493" i="2"/>
  <c r="R493" i="2" s="1"/>
  <c r="O493" i="2"/>
  <c r="P493" i="2" s="1"/>
  <c r="Q492" i="2"/>
  <c r="R492" i="2" s="1"/>
  <c r="O492" i="2"/>
  <c r="P492" i="2" s="1"/>
  <c r="Q491" i="2"/>
  <c r="R491" i="2" s="1"/>
  <c r="O491" i="2"/>
  <c r="P491" i="2" s="1"/>
  <c r="Q490" i="2"/>
  <c r="R490" i="2" s="1"/>
  <c r="O490" i="2"/>
  <c r="P490" i="2" s="1"/>
  <c r="Q489" i="2"/>
  <c r="R489" i="2" s="1"/>
  <c r="O489" i="2"/>
  <c r="P489" i="2" s="1"/>
  <c r="Q488" i="2"/>
  <c r="R488" i="2" s="1"/>
  <c r="O488" i="2"/>
  <c r="P488" i="2" s="1"/>
  <c r="Q487" i="2"/>
  <c r="R487" i="2" s="1"/>
  <c r="O487" i="2"/>
  <c r="P487" i="2" s="1"/>
  <c r="Q486" i="2"/>
  <c r="R486" i="2" s="1"/>
  <c r="O486" i="2"/>
  <c r="P486" i="2" s="1"/>
  <c r="Q485" i="2"/>
  <c r="R485" i="2" s="1"/>
  <c r="O485" i="2"/>
  <c r="P485" i="2" s="1"/>
  <c r="Q484" i="2"/>
  <c r="R484" i="2" s="1"/>
  <c r="O484" i="2"/>
  <c r="P484" i="2" s="1"/>
  <c r="Q483" i="2"/>
  <c r="R483" i="2" s="1"/>
  <c r="O483" i="2"/>
  <c r="P483" i="2" s="1"/>
  <c r="Q482" i="2"/>
  <c r="R482" i="2" s="1"/>
  <c r="O482" i="2"/>
  <c r="P482" i="2" s="1"/>
  <c r="Q481" i="2"/>
  <c r="R481" i="2" s="1"/>
  <c r="O481" i="2"/>
  <c r="P481" i="2" s="1"/>
  <c r="Q480" i="2"/>
  <c r="R480" i="2" s="1"/>
  <c r="O480" i="2"/>
  <c r="P480" i="2" s="1"/>
  <c r="Q479" i="2"/>
  <c r="R479" i="2" s="1"/>
  <c r="O479" i="2"/>
  <c r="P479" i="2" s="1"/>
  <c r="Q478" i="2"/>
  <c r="R478" i="2" s="1"/>
  <c r="O478" i="2"/>
  <c r="P478" i="2" s="1"/>
  <c r="Q477" i="2"/>
  <c r="R477" i="2" s="1"/>
  <c r="O477" i="2"/>
  <c r="P477" i="2" s="1"/>
  <c r="Q476" i="2"/>
  <c r="R476" i="2" s="1"/>
  <c r="O476" i="2"/>
  <c r="P476" i="2" s="1"/>
  <c r="Q475" i="2"/>
  <c r="R475" i="2" s="1"/>
  <c r="O475" i="2"/>
  <c r="P475" i="2" s="1"/>
  <c r="Q474" i="2"/>
  <c r="R474" i="2" s="1"/>
  <c r="O474" i="2"/>
  <c r="P474" i="2" s="1"/>
  <c r="Q473" i="2"/>
  <c r="R473" i="2" s="1"/>
  <c r="O473" i="2"/>
  <c r="P473" i="2" s="1"/>
  <c r="Q472" i="2"/>
  <c r="R472" i="2" s="1"/>
  <c r="O472" i="2"/>
  <c r="P472" i="2" s="1"/>
  <c r="Q471" i="2"/>
  <c r="R471" i="2" s="1"/>
  <c r="O471" i="2"/>
  <c r="P471" i="2" s="1"/>
  <c r="Q470" i="2"/>
  <c r="R470" i="2" s="1"/>
  <c r="O470" i="2"/>
  <c r="P470" i="2" s="1"/>
  <c r="Q469" i="2"/>
  <c r="R469" i="2" s="1"/>
  <c r="O469" i="2"/>
  <c r="P469" i="2" s="1"/>
  <c r="Q468" i="2"/>
  <c r="R468" i="2" s="1"/>
  <c r="O468" i="2"/>
  <c r="P468" i="2" s="1"/>
  <c r="Q467" i="2"/>
  <c r="R467" i="2" s="1"/>
  <c r="O467" i="2"/>
  <c r="P467" i="2" s="1"/>
  <c r="Q466" i="2"/>
  <c r="R466" i="2" s="1"/>
  <c r="O466" i="2"/>
  <c r="P466" i="2" s="1"/>
  <c r="Q465" i="2"/>
  <c r="R465" i="2" s="1"/>
  <c r="O465" i="2"/>
  <c r="P465" i="2" s="1"/>
  <c r="Q464" i="2"/>
  <c r="R464" i="2" s="1"/>
  <c r="O464" i="2"/>
  <c r="P464" i="2" s="1"/>
  <c r="Q463" i="2"/>
  <c r="R463" i="2" s="1"/>
  <c r="O463" i="2"/>
  <c r="P463" i="2" s="1"/>
  <c r="Q462" i="2"/>
  <c r="R462" i="2" s="1"/>
  <c r="O462" i="2"/>
  <c r="P462" i="2" s="1"/>
  <c r="Q461" i="2"/>
  <c r="R461" i="2" s="1"/>
  <c r="O461" i="2"/>
  <c r="P461" i="2" s="1"/>
  <c r="Q460" i="2"/>
  <c r="R460" i="2" s="1"/>
  <c r="O460" i="2"/>
  <c r="P460" i="2" s="1"/>
  <c r="Q459" i="2"/>
  <c r="R459" i="2" s="1"/>
  <c r="O459" i="2"/>
  <c r="P459" i="2" s="1"/>
  <c r="Q458" i="2"/>
  <c r="R458" i="2" s="1"/>
  <c r="O458" i="2"/>
  <c r="P458" i="2" s="1"/>
  <c r="Q457" i="2"/>
  <c r="R457" i="2" s="1"/>
  <c r="O457" i="2"/>
  <c r="P457" i="2" s="1"/>
  <c r="Q456" i="2"/>
  <c r="R456" i="2" s="1"/>
  <c r="O456" i="2"/>
  <c r="P456" i="2" s="1"/>
  <c r="Q455" i="2"/>
  <c r="R455" i="2" s="1"/>
  <c r="O455" i="2"/>
  <c r="P455" i="2" s="1"/>
  <c r="Q454" i="2"/>
  <c r="R454" i="2" s="1"/>
  <c r="O454" i="2"/>
  <c r="P454" i="2" s="1"/>
  <c r="Q453" i="2"/>
  <c r="R453" i="2" s="1"/>
  <c r="O453" i="2"/>
  <c r="P453" i="2" s="1"/>
  <c r="Q452" i="2"/>
  <c r="R452" i="2" s="1"/>
  <c r="O452" i="2"/>
  <c r="P452" i="2" s="1"/>
  <c r="Q451" i="2"/>
  <c r="R451" i="2" s="1"/>
  <c r="O451" i="2"/>
  <c r="P451" i="2" s="1"/>
  <c r="Q450" i="2"/>
  <c r="R450" i="2" s="1"/>
  <c r="O450" i="2"/>
  <c r="P450" i="2" s="1"/>
  <c r="Q449" i="2"/>
  <c r="R449" i="2" s="1"/>
  <c r="O449" i="2"/>
  <c r="P449" i="2" s="1"/>
  <c r="Q448" i="2"/>
  <c r="R448" i="2" s="1"/>
  <c r="O448" i="2"/>
  <c r="P448" i="2" s="1"/>
  <c r="Q447" i="2"/>
  <c r="R447" i="2" s="1"/>
  <c r="O447" i="2"/>
  <c r="P447" i="2" s="1"/>
  <c r="Q446" i="2"/>
  <c r="R446" i="2" s="1"/>
  <c r="O446" i="2"/>
  <c r="P446" i="2" s="1"/>
  <c r="Q445" i="2"/>
  <c r="R445" i="2" s="1"/>
  <c r="O445" i="2"/>
  <c r="P445" i="2" s="1"/>
  <c r="Q444" i="2"/>
  <c r="R444" i="2" s="1"/>
  <c r="O444" i="2"/>
  <c r="P444" i="2" s="1"/>
  <c r="Q443" i="2"/>
  <c r="R443" i="2" s="1"/>
  <c r="O443" i="2"/>
  <c r="P443" i="2" s="1"/>
  <c r="Q442" i="2"/>
  <c r="R442" i="2" s="1"/>
  <c r="O442" i="2"/>
  <c r="P442" i="2" s="1"/>
  <c r="Q441" i="2"/>
  <c r="R441" i="2" s="1"/>
  <c r="O441" i="2"/>
  <c r="P441" i="2" s="1"/>
  <c r="Q440" i="2"/>
  <c r="R440" i="2" s="1"/>
  <c r="O440" i="2"/>
  <c r="P440" i="2" s="1"/>
  <c r="Q439" i="2"/>
  <c r="R439" i="2" s="1"/>
  <c r="O439" i="2"/>
  <c r="P439" i="2" s="1"/>
  <c r="Q438" i="2"/>
  <c r="R438" i="2" s="1"/>
  <c r="O438" i="2"/>
  <c r="P438" i="2" s="1"/>
  <c r="Q437" i="2"/>
  <c r="R437" i="2" s="1"/>
  <c r="O437" i="2"/>
  <c r="P437" i="2" s="1"/>
  <c r="Q436" i="2"/>
  <c r="R436" i="2" s="1"/>
  <c r="O436" i="2"/>
  <c r="P436" i="2" s="1"/>
  <c r="Q435" i="2"/>
  <c r="R435" i="2" s="1"/>
  <c r="O435" i="2"/>
  <c r="P435" i="2" s="1"/>
  <c r="Q434" i="2"/>
  <c r="R434" i="2" s="1"/>
  <c r="O434" i="2"/>
  <c r="P434" i="2" s="1"/>
  <c r="Q433" i="2"/>
  <c r="R433" i="2" s="1"/>
  <c r="O433" i="2"/>
  <c r="P433" i="2" s="1"/>
  <c r="Q432" i="2"/>
  <c r="R432" i="2" s="1"/>
  <c r="O432" i="2"/>
  <c r="P432" i="2" s="1"/>
  <c r="Q431" i="2"/>
  <c r="R431" i="2" s="1"/>
  <c r="O431" i="2"/>
  <c r="P431" i="2" s="1"/>
  <c r="Q430" i="2"/>
  <c r="R430" i="2" s="1"/>
  <c r="O430" i="2"/>
  <c r="P430" i="2" s="1"/>
  <c r="Q429" i="2"/>
  <c r="R429" i="2" s="1"/>
  <c r="O429" i="2"/>
  <c r="P429" i="2" s="1"/>
  <c r="Q428" i="2"/>
  <c r="R428" i="2" s="1"/>
  <c r="O428" i="2"/>
  <c r="P428" i="2" s="1"/>
  <c r="Q427" i="2"/>
  <c r="R427" i="2" s="1"/>
  <c r="O427" i="2"/>
  <c r="P427" i="2" s="1"/>
  <c r="Q426" i="2"/>
  <c r="R426" i="2" s="1"/>
  <c r="O426" i="2"/>
  <c r="P426" i="2" s="1"/>
  <c r="Q425" i="2"/>
  <c r="R425" i="2" s="1"/>
  <c r="O425" i="2"/>
  <c r="P425" i="2" s="1"/>
  <c r="Q424" i="2"/>
  <c r="R424" i="2" s="1"/>
  <c r="O424" i="2"/>
  <c r="P424" i="2" s="1"/>
  <c r="Q423" i="2"/>
  <c r="R423" i="2" s="1"/>
  <c r="O423" i="2"/>
  <c r="P423" i="2" s="1"/>
  <c r="Q422" i="2"/>
  <c r="R422" i="2" s="1"/>
  <c r="O422" i="2"/>
  <c r="P422" i="2" s="1"/>
  <c r="Q421" i="2"/>
  <c r="R421" i="2" s="1"/>
  <c r="O421" i="2"/>
  <c r="P421" i="2" s="1"/>
  <c r="Q420" i="2"/>
  <c r="R420" i="2" s="1"/>
  <c r="O420" i="2"/>
  <c r="P420" i="2" s="1"/>
  <c r="Q419" i="2"/>
  <c r="R419" i="2" s="1"/>
  <c r="O419" i="2"/>
  <c r="P419" i="2" s="1"/>
  <c r="Q418" i="2"/>
  <c r="R418" i="2" s="1"/>
  <c r="O418" i="2"/>
  <c r="P418" i="2" s="1"/>
  <c r="Q417" i="2"/>
  <c r="R417" i="2" s="1"/>
  <c r="O417" i="2"/>
  <c r="P417" i="2" s="1"/>
  <c r="Q416" i="2"/>
  <c r="R416" i="2" s="1"/>
  <c r="O416" i="2"/>
  <c r="P416" i="2" s="1"/>
  <c r="Q415" i="2"/>
  <c r="R415" i="2" s="1"/>
  <c r="O415" i="2"/>
  <c r="P415" i="2" s="1"/>
  <c r="Q414" i="2"/>
  <c r="R414" i="2" s="1"/>
  <c r="O414" i="2"/>
  <c r="P414" i="2" s="1"/>
  <c r="Q413" i="2"/>
  <c r="R413" i="2" s="1"/>
  <c r="O413" i="2"/>
  <c r="P413" i="2" s="1"/>
  <c r="Q412" i="2"/>
  <c r="R412" i="2" s="1"/>
  <c r="O412" i="2"/>
  <c r="P412" i="2" s="1"/>
  <c r="Q411" i="2"/>
  <c r="R411" i="2" s="1"/>
  <c r="O411" i="2"/>
  <c r="P411" i="2" s="1"/>
  <c r="Q410" i="2"/>
  <c r="R410" i="2" s="1"/>
  <c r="O410" i="2"/>
  <c r="P410" i="2" s="1"/>
  <c r="Q409" i="2"/>
  <c r="R409" i="2" s="1"/>
  <c r="O409" i="2"/>
  <c r="P409" i="2" s="1"/>
  <c r="Q408" i="2"/>
  <c r="R408" i="2" s="1"/>
  <c r="O408" i="2"/>
  <c r="P408" i="2" s="1"/>
  <c r="Q407" i="2"/>
  <c r="R407" i="2" s="1"/>
  <c r="O407" i="2"/>
  <c r="P407" i="2" s="1"/>
  <c r="Q406" i="2"/>
  <c r="R406" i="2" s="1"/>
  <c r="O406" i="2"/>
  <c r="P406" i="2" s="1"/>
  <c r="Q405" i="2"/>
  <c r="R405" i="2" s="1"/>
  <c r="O405" i="2"/>
  <c r="P405" i="2" s="1"/>
  <c r="Q404" i="2"/>
  <c r="R404" i="2" s="1"/>
  <c r="O404" i="2"/>
  <c r="P404" i="2" s="1"/>
  <c r="Q403" i="2"/>
  <c r="R403" i="2" s="1"/>
  <c r="O403" i="2"/>
  <c r="P403" i="2" s="1"/>
  <c r="Q402" i="2"/>
  <c r="R402" i="2" s="1"/>
  <c r="O402" i="2"/>
  <c r="P402" i="2" s="1"/>
  <c r="Q401" i="2"/>
  <c r="R401" i="2" s="1"/>
  <c r="O401" i="2"/>
  <c r="P401" i="2" s="1"/>
  <c r="Q400" i="2"/>
  <c r="R400" i="2" s="1"/>
  <c r="O400" i="2"/>
  <c r="P400" i="2" s="1"/>
  <c r="Q399" i="2"/>
  <c r="R399" i="2" s="1"/>
  <c r="O399" i="2"/>
  <c r="P399" i="2" s="1"/>
  <c r="Q398" i="2"/>
  <c r="R398" i="2" s="1"/>
  <c r="O398" i="2"/>
  <c r="P398" i="2" s="1"/>
  <c r="Q397" i="2"/>
  <c r="R397" i="2" s="1"/>
  <c r="O397" i="2"/>
  <c r="P397" i="2" s="1"/>
  <c r="Q396" i="2"/>
  <c r="R396" i="2" s="1"/>
  <c r="O396" i="2"/>
  <c r="P396" i="2" s="1"/>
  <c r="Q395" i="2"/>
  <c r="R395" i="2" s="1"/>
  <c r="O395" i="2"/>
  <c r="P395" i="2" s="1"/>
  <c r="Q394" i="2"/>
  <c r="R394" i="2" s="1"/>
  <c r="O394" i="2"/>
  <c r="P394" i="2" s="1"/>
  <c r="Q393" i="2"/>
  <c r="R393" i="2" s="1"/>
  <c r="O393" i="2"/>
  <c r="P393" i="2" s="1"/>
  <c r="Q392" i="2"/>
  <c r="R392" i="2" s="1"/>
  <c r="O392" i="2"/>
  <c r="P392" i="2" s="1"/>
  <c r="Q391" i="2"/>
  <c r="R391" i="2" s="1"/>
  <c r="O391" i="2"/>
  <c r="P391" i="2" s="1"/>
  <c r="Q390" i="2"/>
  <c r="R390" i="2" s="1"/>
  <c r="O390" i="2"/>
  <c r="P390" i="2" s="1"/>
  <c r="Q389" i="2"/>
  <c r="R389" i="2" s="1"/>
  <c r="O389" i="2"/>
  <c r="P389" i="2" s="1"/>
  <c r="Q388" i="2"/>
  <c r="R388" i="2" s="1"/>
  <c r="O388" i="2"/>
  <c r="P388" i="2" s="1"/>
  <c r="Q387" i="2"/>
  <c r="R387" i="2" s="1"/>
  <c r="O387" i="2"/>
  <c r="P387" i="2" s="1"/>
  <c r="Q386" i="2"/>
  <c r="R386" i="2" s="1"/>
  <c r="O386" i="2"/>
  <c r="P386" i="2" s="1"/>
  <c r="Q385" i="2"/>
  <c r="R385" i="2" s="1"/>
  <c r="O385" i="2"/>
  <c r="P385" i="2" s="1"/>
  <c r="Q384" i="2"/>
  <c r="R384" i="2" s="1"/>
  <c r="O384" i="2"/>
  <c r="P384" i="2" s="1"/>
  <c r="Q383" i="2"/>
  <c r="R383" i="2" s="1"/>
  <c r="O383" i="2"/>
  <c r="P383" i="2" s="1"/>
  <c r="Q382" i="2"/>
  <c r="R382" i="2" s="1"/>
  <c r="O382" i="2"/>
  <c r="P382" i="2" s="1"/>
  <c r="Q381" i="2"/>
  <c r="R381" i="2" s="1"/>
  <c r="O381" i="2"/>
  <c r="P381" i="2" s="1"/>
  <c r="Q380" i="2"/>
  <c r="R380" i="2" s="1"/>
  <c r="O380" i="2"/>
  <c r="P380" i="2" s="1"/>
  <c r="Q379" i="2"/>
  <c r="R379" i="2" s="1"/>
  <c r="O379" i="2"/>
  <c r="P379" i="2" s="1"/>
  <c r="Q378" i="2"/>
  <c r="R378" i="2" s="1"/>
  <c r="O378" i="2"/>
  <c r="P378" i="2" s="1"/>
  <c r="Q377" i="2"/>
  <c r="R377" i="2" s="1"/>
  <c r="O377" i="2"/>
  <c r="P377" i="2" s="1"/>
  <c r="Q376" i="2"/>
  <c r="R376" i="2" s="1"/>
  <c r="O376" i="2"/>
  <c r="P376" i="2" s="1"/>
  <c r="Q375" i="2"/>
  <c r="R375" i="2" s="1"/>
  <c r="O375" i="2"/>
  <c r="P375" i="2" s="1"/>
  <c r="Q374" i="2"/>
  <c r="R374" i="2" s="1"/>
  <c r="O374" i="2"/>
  <c r="P374" i="2" s="1"/>
  <c r="Q373" i="2"/>
  <c r="R373" i="2" s="1"/>
  <c r="O373" i="2"/>
  <c r="P373" i="2" s="1"/>
  <c r="Q372" i="2"/>
  <c r="R372" i="2" s="1"/>
  <c r="O372" i="2"/>
  <c r="P372" i="2" s="1"/>
  <c r="Q371" i="2"/>
  <c r="R371" i="2" s="1"/>
  <c r="O371" i="2"/>
  <c r="P371" i="2" s="1"/>
  <c r="Q370" i="2"/>
  <c r="R370" i="2" s="1"/>
  <c r="O370" i="2"/>
  <c r="P370" i="2" s="1"/>
  <c r="Q369" i="2"/>
  <c r="R369" i="2" s="1"/>
  <c r="O369" i="2"/>
  <c r="P369" i="2" s="1"/>
  <c r="Q368" i="2"/>
  <c r="R368" i="2" s="1"/>
  <c r="O368" i="2"/>
  <c r="P368" i="2" s="1"/>
  <c r="Q367" i="2"/>
  <c r="R367" i="2" s="1"/>
  <c r="O367" i="2"/>
  <c r="P367" i="2" s="1"/>
  <c r="Q366" i="2"/>
  <c r="R366" i="2" s="1"/>
  <c r="O366" i="2"/>
  <c r="P366" i="2" s="1"/>
  <c r="Q365" i="2"/>
  <c r="R365" i="2" s="1"/>
  <c r="O365" i="2"/>
  <c r="P365" i="2" s="1"/>
  <c r="Q364" i="2"/>
  <c r="R364" i="2" s="1"/>
  <c r="O364" i="2"/>
  <c r="P364" i="2" s="1"/>
  <c r="Q363" i="2"/>
  <c r="R363" i="2" s="1"/>
  <c r="O363" i="2"/>
  <c r="P363" i="2" s="1"/>
  <c r="Q362" i="2"/>
  <c r="R362" i="2" s="1"/>
  <c r="O362" i="2"/>
  <c r="P362" i="2" s="1"/>
  <c r="Q361" i="2"/>
  <c r="R361" i="2" s="1"/>
  <c r="O361" i="2"/>
  <c r="P361" i="2" s="1"/>
  <c r="Q360" i="2"/>
  <c r="R360" i="2" s="1"/>
  <c r="O360" i="2"/>
  <c r="P360" i="2" s="1"/>
  <c r="Q359" i="2"/>
  <c r="R359" i="2" s="1"/>
  <c r="O359" i="2"/>
  <c r="P359" i="2" s="1"/>
  <c r="Q358" i="2"/>
  <c r="R358" i="2" s="1"/>
  <c r="O358" i="2"/>
  <c r="P358" i="2" s="1"/>
  <c r="Q357" i="2"/>
  <c r="R357" i="2" s="1"/>
  <c r="O357" i="2"/>
  <c r="P357" i="2" s="1"/>
  <c r="Q356" i="2"/>
  <c r="R356" i="2" s="1"/>
  <c r="O356" i="2"/>
  <c r="P356" i="2" s="1"/>
  <c r="Q355" i="2"/>
  <c r="R355" i="2" s="1"/>
  <c r="O355" i="2"/>
  <c r="P355" i="2" s="1"/>
  <c r="Q354" i="2"/>
  <c r="R354" i="2" s="1"/>
  <c r="O354" i="2"/>
  <c r="P354" i="2" s="1"/>
  <c r="Q353" i="2"/>
  <c r="R353" i="2" s="1"/>
  <c r="O353" i="2"/>
  <c r="P353" i="2" s="1"/>
  <c r="Q352" i="2"/>
  <c r="R352" i="2" s="1"/>
  <c r="O352" i="2"/>
  <c r="P352" i="2" s="1"/>
  <c r="Q351" i="2"/>
  <c r="R351" i="2" s="1"/>
  <c r="O351" i="2"/>
  <c r="P351" i="2" s="1"/>
  <c r="Q350" i="2"/>
  <c r="R350" i="2" s="1"/>
  <c r="O350" i="2"/>
  <c r="P350" i="2" s="1"/>
  <c r="Q349" i="2"/>
  <c r="R349" i="2" s="1"/>
  <c r="O349" i="2"/>
  <c r="P349" i="2" s="1"/>
  <c r="Q348" i="2"/>
  <c r="R348" i="2" s="1"/>
  <c r="O348" i="2"/>
  <c r="P348" i="2" s="1"/>
  <c r="Q347" i="2"/>
  <c r="R347" i="2" s="1"/>
  <c r="O347" i="2"/>
  <c r="P347" i="2" s="1"/>
  <c r="Q346" i="2"/>
  <c r="R346" i="2" s="1"/>
  <c r="O346" i="2"/>
  <c r="P346" i="2" s="1"/>
  <c r="Q345" i="2"/>
  <c r="R345" i="2" s="1"/>
  <c r="O345" i="2"/>
  <c r="P345" i="2" s="1"/>
  <c r="Q344" i="2"/>
  <c r="R344" i="2" s="1"/>
  <c r="O344" i="2"/>
  <c r="P344" i="2" s="1"/>
  <c r="Q343" i="2"/>
  <c r="R343" i="2" s="1"/>
  <c r="O343" i="2"/>
  <c r="P343" i="2" s="1"/>
  <c r="Q342" i="2"/>
  <c r="R342" i="2" s="1"/>
  <c r="O342" i="2"/>
  <c r="P342" i="2" s="1"/>
  <c r="Q341" i="2"/>
  <c r="R341" i="2" s="1"/>
  <c r="O341" i="2"/>
  <c r="P341" i="2" s="1"/>
  <c r="Q340" i="2"/>
  <c r="R340" i="2" s="1"/>
  <c r="O340" i="2"/>
  <c r="P340" i="2" s="1"/>
  <c r="Q339" i="2"/>
  <c r="R339" i="2" s="1"/>
  <c r="O339" i="2"/>
  <c r="P339" i="2" s="1"/>
  <c r="Q338" i="2"/>
  <c r="R338" i="2" s="1"/>
  <c r="O338" i="2"/>
  <c r="P338" i="2" s="1"/>
  <c r="Q337" i="2"/>
  <c r="R337" i="2" s="1"/>
  <c r="O337" i="2"/>
  <c r="P337" i="2" s="1"/>
  <c r="Q336" i="2"/>
  <c r="R336" i="2" s="1"/>
  <c r="O336" i="2"/>
  <c r="P336" i="2" s="1"/>
  <c r="Q335" i="2"/>
  <c r="R335" i="2" s="1"/>
  <c r="O335" i="2"/>
  <c r="P335" i="2" s="1"/>
  <c r="Q334" i="2"/>
  <c r="R334" i="2" s="1"/>
  <c r="O334" i="2"/>
  <c r="P334" i="2" s="1"/>
  <c r="Q333" i="2"/>
  <c r="R333" i="2" s="1"/>
  <c r="O333" i="2"/>
  <c r="P333" i="2" s="1"/>
  <c r="Q332" i="2"/>
  <c r="R332" i="2" s="1"/>
  <c r="O332" i="2"/>
  <c r="P332" i="2" s="1"/>
  <c r="Q331" i="2"/>
  <c r="R331" i="2" s="1"/>
  <c r="O331" i="2"/>
  <c r="P331" i="2" s="1"/>
  <c r="Q330" i="2"/>
  <c r="R330" i="2" s="1"/>
  <c r="O330" i="2"/>
  <c r="P330" i="2" s="1"/>
  <c r="Q329" i="2"/>
  <c r="R329" i="2" s="1"/>
  <c r="O329" i="2"/>
  <c r="P329" i="2" s="1"/>
  <c r="Q328" i="2"/>
  <c r="R328" i="2" s="1"/>
  <c r="O328" i="2"/>
  <c r="P328" i="2" s="1"/>
  <c r="Q327" i="2"/>
  <c r="R327" i="2" s="1"/>
  <c r="O327" i="2"/>
  <c r="P327" i="2" s="1"/>
  <c r="Q326" i="2"/>
  <c r="R326" i="2" s="1"/>
  <c r="O326" i="2"/>
  <c r="P326" i="2" s="1"/>
  <c r="Q325" i="2"/>
  <c r="R325" i="2" s="1"/>
  <c r="O325" i="2"/>
  <c r="P325" i="2" s="1"/>
  <c r="Q324" i="2"/>
  <c r="R324" i="2" s="1"/>
  <c r="O324" i="2"/>
  <c r="P324" i="2" s="1"/>
  <c r="Q323" i="2"/>
  <c r="R323" i="2" s="1"/>
  <c r="O323" i="2"/>
  <c r="P323" i="2" s="1"/>
  <c r="Q322" i="2"/>
  <c r="R322" i="2" s="1"/>
  <c r="O322" i="2"/>
  <c r="P322" i="2" s="1"/>
  <c r="Q321" i="2"/>
  <c r="R321" i="2" s="1"/>
  <c r="O321" i="2"/>
  <c r="P321" i="2" s="1"/>
  <c r="Q320" i="2"/>
  <c r="R320" i="2" s="1"/>
  <c r="O320" i="2"/>
  <c r="P320" i="2" s="1"/>
  <c r="Q319" i="2"/>
  <c r="R319" i="2" s="1"/>
  <c r="O319" i="2"/>
  <c r="P319" i="2" s="1"/>
  <c r="Q318" i="2"/>
  <c r="R318" i="2" s="1"/>
  <c r="O318" i="2"/>
  <c r="P318" i="2" s="1"/>
  <c r="Q317" i="2"/>
  <c r="R317" i="2" s="1"/>
  <c r="O317" i="2"/>
  <c r="P317" i="2" s="1"/>
  <c r="Q316" i="2"/>
  <c r="R316" i="2" s="1"/>
  <c r="O316" i="2"/>
  <c r="P316" i="2" s="1"/>
  <c r="Q315" i="2"/>
  <c r="R315" i="2" s="1"/>
  <c r="O315" i="2"/>
  <c r="P315" i="2" s="1"/>
  <c r="Q314" i="2"/>
  <c r="R314" i="2" s="1"/>
  <c r="O314" i="2"/>
  <c r="P314" i="2" s="1"/>
  <c r="Q313" i="2"/>
  <c r="R313" i="2" s="1"/>
  <c r="O313" i="2"/>
  <c r="P313" i="2" s="1"/>
  <c r="Q312" i="2"/>
  <c r="R312" i="2" s="1"/>
  <c r="O312" i="2"/>
  <c r="P312" i="2" s="1"/>
  <c r="Q311" i="2"/>
  <c r="R311" i="2" s="1"/>
  <c r="O311" i="2"/>
  <c r="P311" i="2" s="1"/>
  <c r="Q310" i="2"/>
  <c r="R310" i="2" s="1"/>
  <c r="O310" i="2"/>
  <c r="P310" i="2" s="1"/>
  <c r="Q309" i="2"/>
  <c r="R309" i="2" s="1"/>
  <c r="O309" i="2"/>
  <c r="P309" i="2" s="1"/>
  <c r="Q308" i="2"/>
  <c r="R308" i="2" s="1"/>
  <c r="O308" i="2"/>
  <c r="P308" i="2" s="1"/>
  <c r="Q307" i="2"/>
  <c r="R307" i="2" s="1"/>
  <c r="O307" i="2"/>
  <c r="P307" i="2" s="1"/>
  <c r="Q306" i="2"/>
  <c r="R306" i="2" s="1"/>
  <c r="O306" i="2"/>
  <c r="P306" i="2" s="1"/>
  <c r="Q305" i="2"/>
  <c r="R305" i="2" s="1"/>
  <c r="O305" i="2"/>
  <c r="P305" i="2" s="1"/>
  <c r="Q304" i="2"/>
  <c r="R304" i="2" s="1"/>
  <c r="O304" i="2"/>
  <c r="P304" i="2" s="1"/>
  <c r="Q303" i="2"/>
  <c r="R303" i="2" s="1"/>
  <c r="O303" i="2"/>
  <c r="P303" i="2" s="1"/>
  <c r="Q302" i="2"/>
  <c r="R302" i="2" s="1"/>
  <c r="O302" i="2"/>
  <c r="P302" i="2" s="1"/>
  <c r="Q301" i="2"/>
  <c r="R301" i="2" s="1"/>
  <c r="O301" i="2"/>
  <c r="P301" i="2" s="1"/>
  <c r="Q300" i="2"/>
  <c r="R300" i="2" s="1"/>
  <c r="O300" i="2"/>
  <c r="P300" i="2" s="1"/>
  <c r="Q299" i="2"/>
  <c r="R299" i="2" s="1"/>
  <c r="O299" i="2"/>
  <c r="P299" i="2" s="1"/>
  <c r="Q298" i="2"/>
  <c r="R298" i="2" s="1"/>
  <c r="O298" i="2"/>
  <c r="P298" i="2" s="1"/>
  <c r="Q297" i="2"/>
  <c r="R297" i="2" s="1"/>
  <c r="O297" i="2"/>
  <c r="P297" i="2" s="1"/>
  <c r="Q296" i="2"/>
  <c r="R296" i="2" s="1"/>
  <c r="O296" i="2"/>
  <c r="P296" i="2" s="1"/>
  <c r="Q295" i="2"/>
  <c r="R295" i="2" s="1"/>
  <c r="O295" i="2"/>
  <c r="P295" i="2" s="1"/>
  <c r="Q294" i="2"/>
  <c r="R294" i="2" s="1"/>
  <c r="O294" i="2"/>
  <c r="P294" i="2" s="1"/>
  <c r="Q293" i="2"/>
  <c r="R293" i="2" s="1"/>
  <c r="O293" i="2"/>
  <c r="P293" i="2" s="1"/>
  <c r="Q292" i="2"/>
  <c r="R292" i="2" s="1"/>
  <c r="O292" i="2"/>
  <c r="P292" i="2" s="1"/>
  <c r="Q291" i="2"/>
  <c r="R291" i="2" s="1"/>
  <c r="O291" i="2"/>
  <c r="P291" i="2" s="1"/>
  <c r="Q290" i="2"/>
  <c r="R290" i="2" s="1"/>
  <c r="O290" i="2"/>
  <c r="P290" i="2" s="1"/>
  <c r="Q289" i="2"/>
  <c r="R289" i="2" s="1"/>
  <c r="O289" i="2"/>
  <c r="P289" i="2" s="1"/>
  <c r="Q288" i="2"/>
  <c r="R288" i="2" s="1"/>
  <c r="O288" i="2"/>
  <c r="P288" i="2" s="1"/>
  <c r="Q287" i="2"/>
  <c r="R287" i="2" s="1"/>
  <c r="O287" i="2"/>
  <c r="P287" i="2" s="1"/>
  <c r="Q286" i="2"/>
  <c r="R286" i="2" s="1"/>
  <c r="O286" i="2"/>
  <c r="P286" i="2" s="1"/>
  <c r="Q285" i="2"/>
  <c r="R285" i="2" s="1"/>
  <c r="O285" i="2"/>
  <c r="P285" i="2" s="1"/>
  <c r="Q284" i="2"/>
  <c r="R284" i="2" s="1"/>
  <c r="O284" i="2"/>
  <c r="P284" i="2" s="1"/>
  <c r="Q283" i="2"/>
  <c r="R283" i="2" s="1"/>
  <c r="O283" i="2"/>
  <c r="P283" i="2" s="1"/>
  <c r="Q282" i="2"/>
  <c r="R282" i="2" s="1"/>
  <c r="O282" i="2"/>
  <c r="P282" i="2" s="1"/>
  <c r="Q281" i="2"/>
  <c r="R281" i="2" s="1"/>
  <c r="O281" i="2"/>
  <c r="P281" i="2" s="1"/>
  <c r="Q280" i="2"/>
  <c r="R280" i="2" s="1"/>
  <c r="O280" i="2"/>
  <c r="P280" i="2" s="1"/>
  <c r="Q279" i="2"/>
  <c r="R279" i="2" s="1"/>
  <c r="O279" i="2"/>
  <c r="P279" i="2" s="1"/>
  <c r="Q278" i="2"/>
  <c r="R278" i="2" s="1"/>
  <c r="O278" i="2"/>
  <c r="P278" i="2" s="1"/>
  <c r="Q277" i="2"/>
  <c r="R277" i="2" s="1"/>
  <c r="O277" i="2"/>
  <c r="P277" i="2" s="1"/>
  <c r="Q276" i="2"/>
  <c r="R276" i="2" s="1"/>
  <c r="O276" i="2"/>
  <c r="P276" i="2" s="1"/>
  <c r="Q275" i="2"/>
  <c r="R275" i="2" s="1"/>
  <c r="O275" i="2"/>
  <c r="P275" i="2" s="1"/>
  <c r="Q274" i="2"/>
  <c r="R274" i="2" s="1"/>
  <c r="O274" i="2"/>
  <c r="P274" i="2" s="1"/>
  <c r="Q273" i="2"/>
  <c r="R273" i="2" s="1"/>
  <c r="O273" i="2"/>
  <c r="P273" i="2" s="1"/>
  <c r="Q272" i="2"/>
  <c r="R272" i="2" s="1"/>
  <c r="O272" i="2"/>
  <c r="P272" i="2" s="1"/>
  <c r="Q271" i="2"/>
  <c r="R271" i="2" s="1"/>
  <c r="O271" i="2"/>
  <c r="P271" i="2" s="1"/>
  <c r="Q270" i="2"/>
  <c r="R270" i="2" s="1"/>
  <c r="O270" i="2"/>
  <c r="P270" i="2" s="1"/>
  <c r="Q269" i="2"/>
  <c r="R269" i="2" s="1"/>
  <c r="O269" i="2"/>
  <c r="P269" i="2" s="1"/>
  <c r="Q268" i="2"/>
  <c r="R268" i="2" s="1"/>
  <c r="O268" i="2"/>
  <c r="P268" i="2" s="1"/>
  <c r="Q267" i="2"/>
  <c r="R267" i="2" s="1"/>
  <c r="O267" i="2"/>
  <c r="P267" i="2" s="1"/>
  <c r="Q266" i="2"/>
  <c r="R266" i="2" s="1"/>
  <c r="O266" i="2"/>
  <c r="P266" i="2" s="1"/>
  <c r="Q265" i="2"/>
  <c r="R265" i="2" s="1"/>
  <c r="O265" i="2"/>
  <c r="P265" i="2" s="1"/>
  <c r="Q264" i="2"/>
  <c r="R264" i="2" s="1"/>
  <c r="O264" i="2"/>
  <c r="P264" i="2" s="1"/>
  <c r="Q263" i="2"/>
  <c r="R263" i="2" s="1"/>
  <c r="O263" i="2"/>
  <c r="P263" i="2" s="1"/>
  <c r="Q262" i="2"/>
  <c r="R262" i="2" s="1"/>
  <c r="O262" i="2"/>
  <c r="P262" i="2" s="1"/>
  <c r="Q261" i="2"/>
  <c r="R261" i="2" s="1"/>
  <c r="O261" i="2"/>
  <c r="P261" i="2" s="1"/>
  <c r="Q260" i="2"/>
  <c r="R260" i="2" s="1"/>
  <c r="O260" i="2"/>
  <c r="P260" i="2" s="1"/>
  <c r="Q259" i="2"/>
  <c r="R259" i="2" s="1"/>
  <c r="O259" i="2"/>
  <c r="P259" i="2" s="1"/>
  <c r="Q258" i="2"/>
  <c r="R258" i="2" s="1"/>
  <c r="O258" i="2"/>
  <c r="P258" i="2" s="1"/>
  <c r="Q257" i="2"/>
  <c r="R257" i="2" s="1"/>
  <c r="O257" i="2"/>
  <c r="P257" i="2" s="1"/>
  <c r="Q256" i="2"/>
  <c r="R256" i="2" s="1"/>
  <c r="O256" i="2"/>
  <c r="P256" i="2" s="1"/>
  <c r="Q255" i="2"/>
  <c r="R255" i="2" s="1"/>
  <c r="O255" i="2"/>
  <c r="P255" i="2" s="1"/>
  <c r="Q254" i="2"/>
  <c r="R254" i="2" s="1"/>
  <c r="O254" i="2"/>
  <c r="P254" i="2" s="1"/>
  <c r="Q253" i="2"/>
  <c r="R253" i="2" s="1"/>
  <c r="O253" i="2"/>
  <c r="P253" i="2" s="1"/>
  <c r="Q252" i="2"/>
  <c r="R252" i="2" s="1"/>
  <c r="O252" i="2"/>
  <c r="P252" i="2" s="1"/>
  <c r="Q251" i="2"/>
  <c r="R251" i="2" s="1"/>
  <c r="O251" i="2"/>
  <c r="P251" i="2" s="1"/>
  <c r="Q250" i="2"/>
  <c r="R250" i="2" s="1"/>
  <c r="O250" i="2"/>
  <c r="P250" i="2" s="1"/>
  <c r="Q249" i="2"/>
  <c r="R249" i="2" s="1"/>
  <c r="O249" i="2"/>
  <c r="P249" i="2" s="1"/>
  <c r="Q248" i="2"/>
  <c r="R248" i="2" s="1"/>
  <c r="O248" i="2"/>
  <c r="P248" i="2" s="1"/>
  <c r="Q247" i="2"/>
  <c r="R247" i="2" s="1"/>
  <c r="O247" i="2"/>
  <c r="P247" i="2" s="1"/>
  <c r="Q246" i="2"/>
  <c r="R246" i="2" s="1"/>
  <c r="O246" i="2"/>
  <c r="P246" i="2" s="1"/>
  <c r="Q245" i="2"/>
  <c r="R245" i="2" s="1"/>
  <c r="O245" i="2"/>
  <c r="P245" i="2" s="1"/>
  <c r="Q244" i="2"/>
  <c r="R244" i="2" s="1"/>
  <c r="O244" i="2"/>
  <c r="P244" i="2" s="1"/>
  <c r="Q243" i="2"/>
  <c r="R243" i="2" s="1"/>
  <c r="O243" i="2"/>
  <c r="P243" i="2" s="1"/>
  <c r="Q242" i="2"/>
  <c r="R242" i="2" s="1"/>
  <c r="O242" i="2"/>
  <c r="P242" i="2" s="1"/>
  <c r="Q241" i="2"/>
  <c r="R241" i="2" s="1"/>
  <c r="O241" i="2"/>
  <c r="P241" i="2" s="1"/>
  <c r="Q240" i="2"/>
  <c r="R240" i="2" s="1"/>
  <c r="O240" i="2"/>
  <c r="P240" i="2" s="1"/>
  <c r="Q239" i="2"/>
  <c r="R239" i="2" s="1"/>
  <c r="O239" i="2"/>
  <c r="P239" i="2" s="1"/>
  <c r="Q238" i="2"/>
  <c r="R238" i="2" s="1"/>
  <c r="O238" i="2"/>
  <c r="P238" i="2" s="1"/>
  <c r="Q237" i="2"/>
  <c r="R237" i="2" s="1"/>
  <c r="O237" i="2"/>
  <c r="P237" i="2" s="1"/>
  <c r="Q236" i="2"/>
  <c r="R236" i="2" s="1"/>
  <c r="O236" i="2"/>
  <c r="P236" i="2" s="1"/>
  <c r="Q235" i="2"/>
  <c r="R235" i="2" s="1"/>
  <c r="O235" i="2"/>
  <c r="P235" i="2" s="1"/>
  <c r="Q234" i="2"/>
  <c r="R234" i="2" s="1"/>
  <c r="O234" i="2"/>
  <c r="P234" i="2" s="1"/>
  <c r="Q233" i="2"/>
  <c r="R233" i="2" s="1"/>
  <c r="O233" i="2"/>
  <c r="P233" i="2" s="1"/>
  <c r="Q232" i="2"/>
  <c r="R232" i="2" s="1"/>
  <c r="O232" i="2"/>
  <c r="P232" i="2" s="1"/>
  <c r="Q231" i="2"/>
  <c r="R231" i="2" s="1"/>
  <c r="O231" i="2"/>
  <c r="P231" i="2" s="1"/>
  <c r="Q230" i="2"/>
  <c r="R230" i="2" s="1"/>
  <c r="O230" i="2"/>
  <c r="P230" i="2" s="1"/>
  <c r="Q229" i="2"/>
  <c r="R229" i="2" s="1"/>
  <c r="O229" i="2"/>
  <c r="P229" i="2" s="1"/>
  <c r="Q228" i="2"/>
  <c r="R228" i="2" s="1"/>
  <c r="O228" i="2"/>
  <c r="P228" i="2" s="1"/>
  <c r="Q227" i="2"/>
  <c r="R227" i="2" s="1"/>
  <c r="O227" i="2"/>
  <c r="P227" i="2" s="1"/>
  <c r="Q226" i="2"/>
  <c r="R226" i="2" s="1"/>
  <c r="O226" i="2"/>
  <c r="P226" i="2" s="1"/>
  <c r="Q225" i="2"/>
  <c r="R225" i="2" s="1"/>
  <c r="O225" i="2"/>
  <c r="P225" i="2" s="1"/>
  <c r="Q224" i="2"/>
  <c r="R224" i="2" s="1"/>
  <c r="O224" i="2"/>
  <c r="P224" i="2" s="1"/>
  <c r="Q223" i="2"/>
  <c r="R223" i="2" s="1"/>
  <c r="O223" i="2"/>
  <c r="P223" i="2" s="1"/>
  <c r="Q222" i="2"/>
  <c r="R222" i="2" s="1"/>
  <c r="O222" i="2"/>
  <c r="P222" i="2" s="1"/>
  <c r="Q221" i="2"/>
  <c r="R221" i="2" s="1"/>
  <c r="O221" i="2"/>
  <c r="P221" i="2" s="1"/>
  <c r="Q220" i="2"/>
  <c r="R220" i="2" s="1"/>
  <c r="O220" i="2"/>
  <c r="P220" i="2" s="1"/>
  <c r="Q219" i="2"/>
  <c r="R219" i="2" s="1"/>
  <c r="O219" i="2"/>
  <c r="P219" i="2" s="1"/>
  <c r="Q218" i="2"/>
  <c r="R218" i="2" s="1"/>
  <c r="O218" i="2"/>
  <c r="P218" i="2" s="1"/>
  <c r="Q217" i="2"/>
  <c r="R217" i="2" s="1"/>
  <c r="O217" i="2"/>
  <c r="P217" i="2" s="1"/>
  <c r="Q216" i="2"/>
  <c r="R216" i="2" s="1"/>
  <c r="O216" i="2"/>
  <c r="P216" i="2" s="1"/>
  <c r="Q215" i="2"/>
  <c r="R215" i="2" s="1"/>
  <c r="O215" i="2"/>
  <c r="P215" i="2" s="1"/>
  <c r="Q214" i="2"/>
  <c r="R214" i="2" s="1"/>
  <c r="O214" i="2"/>
  <c r="P214" i="2" s="1"/>
  <c r="Q213" i="2"/>
  <c r="R213" i="2" s="1"/>
  <c r="O213" i="2"/>
  <c r="P213" i="2" s="1"/>
  <c r="Q212" i="2"/>
  <c r="R212" i="2" s="1"/>
  <c r="O212" i="2"/>
  <c r="P212" i="2" s="1"/>
  <c r="Q211" i="2"/>
  <c r="R211" i="2" s="1"/>
  <c r="O211" i="2"/>
  <c r="P211" i="2" s="1"/>
  <c r="Q210" i="2"/>
  <c r="R210" i="2" s="1"/>
  <c r="O210" i="2"/>
  <c r="P210" i="2" s="1"/>
  <c r="Q209" i="2"/>
  <c r="R209" i="2" s="1"/>
  <c r="O209" i="2"/>
  <c r="P209" i="2" s="1"/>
  <c r="Q208" i="2"/>
  <c r="R208" i="2" s="1"/>
  <c r="O208" i="2"/>
  <c r="P208" i="2" s="1"/>
  <c r="Q207" i="2"/>
  <c r="R207" i="2" s="1"/>
  <c r="O207" i="2"/>
  <c r="P207" i="2" s="1"/>
  <c r="Q206" i="2"/>
  <c r="R206" i="2" s="1"/>
  <c r="O206" i="2"/>
  <c r="P206" i="2" s="1"/>
  <c r="Q205" i="2"/>
  <c r="R205" i="2" s="1"/>
  <c r="O205" i="2"/>
  <c r="P205" i="2" s="1"/>
  <c r="Q204" i="2"/>
  <c r="R204" i="2" s="1"/>
  <c r="O204" i="2"/>
  <c r="P204" i="2" s="1"/>
  <c r="Q203" i="2"/>
  <c r="R203" i="2" s="1"/>
  <c r="O203" i="2"/>
  <c r="P203" i="2" s="1"/>
  <c r="Q202" i="2"/>
  <c r="R202" i="2" s="1"/>
  <c r="O202" i="2"/>
  <c r="P202" i="2" s="1"/>
  <c r="Q201" i="2"/>
  <c r="R201" i="2" s="1"/>
  <c r="O201" i="2"/>
  <c r="P201" i="2" s="1"/>
  <c r="Q200" i="2"/>
  <c r="R200" i="2" s="1"/>
  <c r="O200" i="2"/>
  <c r="P200" i="2" s="1"/>
  <c r="Q199" i="2"/>
  <c r="R199" i="2" s="1"/>
  <c r="O199" i="2"/>
  <c r="P199" i="2" s="1"/>
  <c r="Q198" i="2"/>
  <c r="R198" i="2" s="1"/>
  <c r="O198" i="2"/>
  <c r="P198" i="2" s="1"/>
  <c r="Q197" i="2"/>
  <c r="R197" i="2" s="1"/>
  <c r="O197" i="2"/>
  <c r="P197" i="2" s="1"/>
  <c r="Q196" i="2"/>
  <c r="R196" i="2" s="1"/>
  <c r="O196" i="2"/>
  <c r="P196" i="2" s="1"/>
  <c r="Q195" i="2"/>
  <c r="R195" i="2" s="1"/>
  <c r="O195" i="2"/>
  <c r="P195" i="2" s="1"/>
  <c r="Q194" i="2"/>
  <c r="R194" i="2" s="1"/>
  <c r="O194" i="2"/>
  <c r="P194" i="2" s="1"/>
  <c r="Q193" i="2"/>
  <c r="R193" i="2" s="1"/>
  <c r="O193" i="2"/>
  <c r="P193" i="2" s="1"/>
  <c r="Q192" i="2"/>
  <c r="R192" i="2" s="1"/>
  <c r="O192" i="2"/>
  <c r="P192" i="2" s="1"/>
  <c r="Q191" i="2"/>
  <c r="R191" i="2" s="1"/>
  <c r="O191" i="2"/>
  <c r="P191" i="2" s="1"/>
  <c r="Q190" i="2"/>
  <c r="R190" i="2" s="1"/>
  <c r="O190" i="2"/>
  <c r="P190" i="2" s="1"/>
  <c r="Q189" i="2"/>
  <c r="R189" i="2" s="1"/>
  <c r="O189" i="2"/>
  <c r="P189" i="2" s="1"/>
  <c r="Q188" i="2"/>
  <c r="R188" i="2" s="1"/>
  <c r="O188" i="2"/>
  <c r="P188" i="2" s="1"/>
  <c r="Q187" i="2"/>
  <c r="R187" i="2" s="1"/>
  <c r="O187" i="2"/>
  <c r="P187" i="2" s="1"/>
  <c r="Q186" i="2"/>
  <c r="R186" i="2" s="1"/>
  <c r="O186" i="2"/>
  <c r="P186" i="2" s="1"/>
  <c r="Q185" i="2"/>
  <c r="R185" i="2" s="1"/>
  <c r="O185" i="2"/>
  <c r="P185" i="2" s="1"/>
  <c r="Q184" i="2"/>
  <c r="R184" i="2" s="1"/>
  <c r="O184" i="2"/>
  <c r="P184" i="2" s="1"/>
  <c r="Q183" i="2"/>
  <c r="R183" i="2" s="1"/>
  <c r="O183" i="2"/>
  <c r="P183" i="2" s="1"/>
  <c r="Q182" i="2"/>
  <c r="R182" i="2" s="1"/>
  <c r="O182" i="2"/>
  <c r="P182" i="2" s="1"/>
  <c r="Q181" i="2"/>
  <c r="R181" i="2" s="1"/>
  <c r="O181" i="2"/>
  <c r="P181" i="2" s="1"/>
  <c r="Q180" i="2"/>
  <c r="R180" i="2" s="1"/>
  <c r="O180" i="2"/>
  <c r="P180" i="2" s="1"/>
  <c r="Q179" i="2"/>
  <c r="R179" i="2" s="1"/>
  <c r="O179" i="2"/>
  <c r="P179" i="2" s="1"/>
  <c r="Q178" i="2"/>
  <c r="R178" i="2" s="1"/>
  <c r="O178" i="2"/>
  <c r="P178" i="2" s="1"/>
  <c r="Q177" i="2"/>
  <c r="R177" i="2" s="1"/>
  <c r="O177" i="2"/>
  <c r="P177" i="2" s="1"/>
  <c r="Q176" i="2"/>
  <c r="R176" i="2" s="1"/>
  <c r="O176" i="2"/>
  <c r="P176" i="2" s="1"/>
  <c r="Q175" i="2"/>
  <c r="R175" i="2" s="1"/>
  <c r="O175" i="2"/>
  <c r="P175" i="2" s="1"/>
  <c r="Q174" i="2"/>
  <c r="R174" i="2" s="1"/>
  <c r="O174" i="2"/>
  <c r="P174" i="2" s="1"/>
  <c r="Q173" i="2"/>
  <c r="R173" i="2" s="1"/>
  <c r="O173" i="2"/>
  <c r="P173" i="2" s="1"/>
  <c r="Q172" i="2"/>
  <c r="R172" i="2" s="1"/>
  <c r="O172" i="2"/>
  <c r="P172" i="2" s="1"/>
  <c r="Q171" i="2"/>
  <c r="R171" i="2" s="1"/>
  <c r="O171" i="2"/>
  <c r="P171" i="2" s="1"/>
  <c r="Q170" i="2"/>
  <c r="R170" i="2" s="1"/>
  <c r="O170" i="2"/>
  <c r="P170" i="2" s="1"/>
  <c r="Q169" i="2"/>
  <c r="R169" i="2" s="1"/>
  <c r="O169" i="2"/>
  <c r="P169" i="2" s="1"/>
  <c r="Q168" i="2"/>
  <c r="R168" i="2" s="1"/>
  <c r="O168" i="2"/>
  <c r="P168" i="2" s="1"/>
  <c r="Q167" i="2"/>
  <c r="R167" i="2" s="1"/>
  <c r="O167" i="2"/>
  <c r="P167" i="2" s="1"/>
  <c r="Q166" i="2"/>
  <c r="R166" i="2" s="1"/>
  <c r="O166" i="2"/>
  <c r="P166" i="2" s="1"/>
  <c r="Q165" i="2"/>
  <c r="R165" i="2" s="1"/>
  <c r="O165" i="2"/>
  <c r="P165" i="2" s="1"/>
  <c r="Q164" i="2"/>
  <c r="R164" i="2" s="1"/>
  <c r="O164" i="2"/>
  <c r="P164" i="2" s="1"/>
  <c r="Q163" i="2"/>
  <c r="R163" i="2" s="1"/>
  <c r="O163" i="2"/>
  <c r="P163" i="2" s="1"/>
  <c r="Q162" i="2"/>
  <c r="R162" i="2" s="1"/>
  <c r="O162" i="2"/>
  <c r="P162" i="2" s="1"/>
  <c r="Q161" i="2"/>
  <c r="R161" i="2" s="1"/>
  <c r="O161" i="2"/>
  <c r="P161" i="2" s="1"/>
  <c r="Q160" i="2"/>
  <c r="R160" i="2" s="1"/>
  <c r="O160" i="2"/>
  <c r="P160" i="2" s="1"/>
  <c r="Q159" i="2"/>
  <c r="R159" i="2" s="1"/>
  <c r="O159" i="2"/>
  <c r="P159" i="2" s="1"/>
  <c r="Q158" i="2"/>
  <c r="R158" i="2" s="1"/>
  <c r="O158" i="2"/>
  <c r="P158" i="2" s="1"/>
  <c r="Q157" i="2"/>
  <c r="R157" i="2" s="1"/>
  <c r="O157" i="2"/>
  <c r="P157" i="2" s="1"/>
  <c r="Q156" i="2"/>
  <c r="R156" i="2" s="1"/>
  <c r="O156" i="2"/>
  <c r="P156" i="2" s="1"/>
  <c r="Q155" i="2"/>
  <c r="R155" i="2" s="1"/>
  <c r="O155" i="2"/>
  <c r="P155" i="2" s="1"/>
  <c r="Q154" i="2"/>
  <c r="R154" i="2" s="1"/>
  <c r="O154" i="2"/>
  <c r="P154" i="2" s="1"/>
  <c r="Q153" i="2"/>
  <c r="R153" i="2" s="1"/>
  <c r="O153" i="2"/>
  <c r="P153" i="2" s="1"/>
  <c r="Q152" i="2"/>
  <c r="R152" i="2" s="1"/>
  <c r="O152" i="2"/>
  <c r="P152" i="2" s="1"/>
  <c r="Q151" i="2"/>
  <c r="R151" i="2" s="1"/>
  <c r="O151" i="2"/>
  <c r="P151" i="2" s="1"/>
  <c r="Q150" i="2"/>
  <c r="R150" i="2" s="1"/>
  <c r="O150" i="2"/>
  <c r="P150" i="2" s="1"/>
  <c r="Q149" i="2"/>
  <c r="R149" i="2" s="1"/>
  <c r="O149" i="2"/>
  <c r="P149" i="2" s="1"/>
  <c r="Q148" i="2"/>
  <c r="R148" i="2" s="1"/>
  <c r="O148" i="2"/>
  <c r="P148" i="2" s="1"/>
  <c r="Q147" i="2"/>
  <c r="R147" i="2" s="1"/>
  <c r="O147" i="2"/>
  <c r="P147" i="2" s="1"/>
  <c r="Q146" i="2"/>
  <c r="R146" i="2" s="1"/>
  <c r="O146" i="2"/>
  <c r="P146" i="2" s="1"/>
  <c r="Q145" i="2"/>
  <c r="R145" i="2" s="1"/>
  <c r="O145" i="2"/>
  <c r="P145" i="2" s="1"/>
  <c r="Q144" i="2"/>
  <c r="R144" i="2" s="1"/>
  <c r="O144" i="2"/>
  <c r="P144" i="2" s="1"/>
  <c r="Q143" i="2"/>
  <c r="R143" i="2" s="1"/>
  <c r="O143" i="2"/>
  <c r="P143" i="2" s="1"/>
  <c r="Q142" i="2"/>
  <c r="R142" i="2" s="1"/>
  <c r="O142" i="2"/>
  <c r="P142" i="2" s="1"/>
  <c r="Q141" i="2"/>
  <c r="R141" i="2" s="1"/>
  <c r="O141" i="2"/>
  <c r="P141" i="2" s="1"/>
  <c r="Q140" i="2"/>
  <c r="R140" i="2" s="1"/>
  <c r="O140" i="2"/>
  <c r="P140" i="2" s="1"/>
  <c r="Q139" i="2"/>
  <c r="R139" i="2" s="1"/>
  <c r="O139" i="2"/>
  <c r="P139" i="2" s="1"/>
  <c r="Q138" i="2"/>
  <c r="R138" i="2" s="1"/>
  <c r="O138" i="2"/>
  <c r="P138" i="2" s="1"/>
  <c r="Q137" i="2"/>
  <c r="R137" i="2" s="1"/>
  <c r="O137" i="2"/>
  <c r="P137" i="2" s="1"/>
  <c r="Q136" i="2"/>
  <c r="R136" i="2" s="1"/>
  <c r="O136" i="2"/>
  <c r="P136" i="2" s="1"/>
  <c r="Q135" i="2"/>
  <c r="R135" i="2" s="1"/>
  <c r="O135" i="2"/>
  <c r="P135" i="2" s="1"/>
  <c r="Q134" i="2"/>
  <c r="R134" i="2" s="1"/>
  <c r="O134" i="2"/>
  <c r="P134" i="2" s="1"/>
  <c r="Q133" i="2"/>
  <c r="R133" i="2" s="1"/>
  <c r="O133" i="2"/>
  <c r="P133" i="2" s="1"/>
  <c r="Q132" i="2"/>
  <c r="R132" i="2" s="1"/>
  <c r="O132" i="2"/>
  <c r="P132" i="2" s="1"/>
  <c r="Q131" i="2"/>
  <c r="R131" i="2" s="1"/>
  <c r="O131" i="2"/>
  <c r="P131" i="2" s="1"/>
  <c r="Q130" i="2"/>
  <c r="R130" i="2" s="1"/>
  <c r="O130" i="2"/>
  <c r="P130" i="2" s="1"/>
  <c r="Q129" i="2"/>
  <c r="R129" i="2" s="1"/>
  <c r="O129" i="2"/>
  <c r="P129" i="2" s="1"/>
  <c r="Q128" i="2"/>
  <c r="R128" i="2" s="1"/>
  <c r="O128" i="2"/>
  <c r="P128" i="2" s="1"/>
  <c r="Q127" i="2"/>
  <c r="R127" i="2" s="1"/>
  <c r="O127" i="2"/>
  <c r="P127" i="2" s="1"/>
  <c r="Q126" i="2"/>
  <c r="R126" i="2" s="1"/>
  <c r="O126" i="2"/>
  <c r="P126" i="2" s="1"/>
  <c r="Q125" i="2"/>
  <c r="R125" i="2" s="1"/>
  <c r="O125" i="2"/>
  <c r="P125" i="2" s="1"/>
  <c r="Q124" i="2"/>
  <c r="R124" i="2" s="1"/>
  <c r="O124" i="2"/>
  <c r="P124" i="2" s="1"/>
  <c r="Q123" i="2"/>
  <c r="R123" i="2" s="1"/>
  <c r="O123" i="2"/>
  <c r="P123" i="2" s="1"/>
  <c r="Q122" i="2"/>
  <c r="R122" i="2" s="1"/>
  <c r="O122" i="2"/>
  <c r="P122" i="2" s="1"/>
  <c r="Q121" i="2"/>
  <c r="R121" i="2" s="1"/>
  <c r="O121" i="2"/>
  <c r="P121" i="2" s="1"/>
  <c r="Q120" i="2"/>
  <c r="R120" i="2" s="1"/>
  <c r="O120" i="2"/>
  <c r="P120" i="2" s="1"/>
  <c r="Q119" i="2"/>
  <c r="R119" i="2" s="1"/>
  <c r="O119" i="2"/>
  <c r="P119" i="2" s="1"/>
  <c r="Q118" i="2"/>
  <c r="R118" i="2" s="1"/>
  <c r="O118" i="2"/>
  <c r="P118" i="2" s="1"/>
  <c r="Q117" i="2"/>
  <c r="R117" i="2" s="1"/>
  <c r="O117" i="2"/>
  <c r="P117" i="2" s="1"/>
  <c r="Q116" i="2"/>
  <c r="R116" i="2" s="1"/>
  <c r="O116" i="2"/>
  <c r="P116" i="2" s="1"/>
  <c r="Q115" i="2"/>
  <c r="R115" i="2" s="1"/>
  <c r="O115" i="2"/>
  <c r="P115" i="2" s="1"/>
  <c r="Q114" i="2"/>
  <c r="R114" i="2" s="1"/>
  <c r="O114" i="2"/>
  <c r="P114" i="2" s="1"/>
  <c r="Q113" i="2"/>
  <c r="R113" i="2" s="1"/>
  <c r="O113" i="2"/>
  <c r="P113" i="2" s="1"/>
  <c r="Q112" i="2"/>
  <c r="R112" i="2" s="1"/>
  <c r="O112" i="2"/>
  <c r="P112" i="2" s="1"/>
  <c r="Q111" i="2"/>
  <c r="R111" i="2" s="1"/>
  <c r="O111" i="2"/>
  <c r="P111" i="2" s="1"/>
  <c r="Q110" i="2"/>
  <c r="R110" i="2" s="1"/>
  <c r="O110" i="2"/>
  <c r="P110" i="2" s="1"/>
  <c r="Q109" i="2"/>
  <c r="R109" i="2" s="1"/>
  <c r="O109" i="2"/>
  <c r="P109" i="2" s="1"/>
  <c r="Q108" i="2"/>
  <c r="R108" i="2" s="1"/>
  <c r="O108" i="2"/>
  <c r="P108" i="2" s="1"/>
  <c r="Q107" i="2"/>
  <c r="R107" i="2" s="1"/>
  <c r="O107" i="2"/>
  <c r="P107" i="2" s="1"/>
  <c r="Q106" i="2"/>
  <c r="R106" i="2" s="1"/>
  <c r="O106" i="2"/>
  <c r="P106" i="2" s="1"/>
  <c r="Q105" i="2"/>
  <c r="R105" i="2" s="1"/>
  <c r="O105" i="2"/>
  <c r="P105" i="2" s="1"/>
  <c r="Q104" i="2"/>
  <c r="R104" i="2" s="1"/>
  <c r="O104" i="2"/>
  <c r="P104" i="2" s="1"/>
  <c r="Q103" i="2"/>
  <c r="R103" i="2" s="1"/>
  <c r="O103" i="2"/>
  <c r="P103" i="2" s="1"/>
  <c r="Q102" i="2"/>
  <c r="R102" i="2" s="1"/>
  <c r="O102" i="2"/>
  <c r="P102" i="2" s="1"/>
  <c r="Q101" i="2"/>
  <c r="R101" i="2" s="1"/>
  <c r="O101" i="2"/>
  <c r="P101" i="2" s="1"/>
  <c r="Q100" i="2"/>
  <c r="R100" i="2" s="1"/>
  <c r="O100" i="2"/>
  <c r="P100" i="2" s="1"/>
  <c r="Q99" i="2"/>
  <c r="R99" i="2" s="1"/>
  <c r="O99" i="2"/>
  <c r="P99" i="2" s="1"/>
  <c r="Q98" i="2"/>
  <c r="R98" i="2" s="1"/>
  <c r="O98" i="2"/>
  <c r="P98" i="2" s="1"/>
  <c r="Q97" i="2"/>
  <c r="R97" i="2" s="1"/>
  <c r="O97" i="2"/>
  <c r="P97" i="2" s="1"/>
  <c r="Q96" i="2"/>
  <c r="R96" i="2" s="1"/>
  <c r="O96" i="2"/>
  <c r="P96" i="2" s="1"/>
  <c r="Q95" i="2"/>
  <c r="R95" i="2" s="1"/>
  <c r="O95" i="2"/>
  <c r="P95" i="2" s="1"/>
  <c r="Q94" i="2"/>
  <c r="R94" i="2" s="1"/>
  <c r="O94" i="2"/>
  <c r="P94" i="2" s="1"/>
  <c r="Q93" i="2"/>
  <c r="R93" i="2" s="1"/>
  <c r="O93" i="2"/>
  <c r="P93" i="2" s="1"/>
  <c r="Q92" i="2"/>
  <c r="R92" i="2" s="1"/>
  <c r="O92" i="2"/>
  <c r="P92" i="2" s="1"/>
  <c r="Q91" i="2"/>
  <c r="R91" i="2" s="1"/>
  <c r="O91" i="2"/>
  <c r="P91" i="2" s="1"/>
  <c r="Q90" i="2"/>
  <c r="R90" i="2" s="1"/>
  <c r="O90" i="2"/>
  <c r="P90" i="2" s="1"/>
  <c r="Q89" i="2"/>
  <c r="R89" i="2" s="1"/>
  <c r="O89" i="2"/>
  <c r="P89" i="2" s="1"/>
  <c r="Q88" i="2"/>
  <c r="R88" i="2" s="1"/>
  <c r="O88" i="2"/>
  <c r="P88" i="2" s="1"/>
  <c r="Q87" i="2"/>
  <c r="R87" i="2" s="1"/>
  <c r="O87" i="2"/>
  <c r="P87" i="2" s="1"/>
  <c r="Q86" i="2"/>
  <c r="R86" i="2" s="1"/>
  <c r="O86" i="2"/>
  <c r="P86" i="2" s="1"/>
  <c r="Q85" i="2"/>
  <c r="R85" i="2" s="1"/>
  <c r="O85" i="2"/>
  <c r="P85" i="2" s="1"/>
  <c r="Q84" i="2"/>
  <c r="R84" i="2" s="1"/>
  <c r="O84" i="2"/>
  <c r="P84" i="2" s="1"/>
  <c r="Q83" i="2"/>
  <c r="R83" i="2" s="1"/>
  <c r="O83" i="2"/>
  <c r="P83" i="2" s="1"/>
  <c r="Q82" i="2"/>
  <c r="R82" i="2" s="1"/>
  <c r="O82" i="2"/>
  <c r="P82" i="2" s="1"/>
  <c r="Q81" i="2"/>
  <c r="R81" i="2" s="1"/>
  <c r="O81" i="2"/>
  <c r="P81" i="2" s="1"/>
  <c r="Q80" i="2"/>
  <c r="R80" i="2" s="1"/>
  <c r="O80" i="2"/>
  <c r="P80" i="2" s="1"/>
  <c r="Q79" i="2"/>
  <c r="R79" i="2" s="1"/>
  <c r="O79" i="2"/>
  <c r="P79" i="2" s="1"/>
  <c r="Q78" i="2"/>
  <c r="R78" i="2" s="1"/>
  <c r="O78" i="2"/>
  <c r="P78" i="2" s="1"/>
  <c r="Q77" i="2"/>
  <c r="R77" i="2" s="1"/>
  <c r="O77" i="2"/>
  <c r="P77" i="2" s="1"/>
  <c r="Q76" i="2"/>
  <c r="R76" i="2" s="1"/>
  <c r="O76" i="2"/>
  <c r="P76" i="2" s="1"/>
  <c r="Q75" i="2"/>
  <c r="R75" i="2" s="1"/>
  <c r="O75" i="2"/>
  <c r="P75" i="2" s="1"/>
  <c r="Q74" i="2"/>
  <c r="R74" i="2" s="1"/>
  <c r="O74" i="2"/>
  <c r="P74" i="2" s="1"/>
  <c r="Q73" i="2"/>
  <c r="R73" i="2" s="1"/>
  <c r="O73" i="2"/>
  <c r="P73" i="2" s="1"/>
  <c r="Q72" i="2"/>
  <c r="R72" i="2" s="1"/>
  <c r="O72" i="2"/>
  <c r="P72" i="2" s="1"/>
  <c r="Q71" i="2"/>
  <c r="R71" i="2" s="1"/>
  <c r="O71" i="2"/>
  <c r="P71" i="2" s="1"/>
  <c r="Q70" i="2"/>
  <c r="R70" i="2" s="1"/>
  <c r="O70" i="2"/>
  <c r="P70" i="2" s="1"/>
  <c r="Q69" i="2"/>
  <c r="R69" i="2" s="1"/>
  <c r="O69" i="2"/>
  <c r="P69" i="2" s="1"/>
  <c r="Q68" i="2"/>
  <c r="R68" i="2" s="1"/>
  <c r="O68" i="2"/>
  <c r="P68" i="2" s="1"/>
  <c r="Q67" i="2"/>
  <c r="R67" i="2" s="1"/>
  <c r="O67" i="2"/>
  <c r="P67" i="2" s="1"/>
  <c r="Q66" i="2"/>
  <c r="R66" i="2" s="1"/>
  <c r="O66" i="2"/>
  <c r="P66" i="2" s="1"/>
  <c r="Q65" i="2"/>
  <c r="R65" i="2" s="1"/>
  <c r="O65" i="2"/>
  <c r="P65" i="2" s="1"/>
  <c r="Q64" i="2"/>
  <c r="R64" i="2" s="1"/>
  <c r="O64" i="2"/>
  <c r="P64" i="2" s="1"/>
  <c r="Q63" i="2"/>
  <c r="R63" i="2" s="1"/>
  <c r="O63" i="2"/>
  <c r="P63" i="2" s="1"/>
  <c r="Q62" i="2"/>
  <c r="R62" i="2" s="1"/>
  <c r="O62" i="2"/>
  <c r="P62" i="2" s="1"/>
  <c r="Q61" i="2"/>
  <c r="R61" i="2" s="1"/>
  <c r="O61" i="2"/>
  <c r="P61" i="2" s="1"/>
  <c r="Q60" i="2"/>
  <c r="R60" i="2" s="1"/>
  <c r="O60" i="2"/>
  <c r="P60" i="2" s="1"/>
  <c r="Q59" i="2"/>
  <c r="R59" i="2" s="1"/>
  <c r="O59" i="2"/>
  <c r="P59" i="2" s="1"/>
  <c r="Q58" i="2"/>
  <c r="R58" i="2" s="1"/>
  <c r="O58" i="2"/>
  <c r="P58" i="2" s="1"/>
  <c r="Q57" i="2"/>
  <c r="R57" i="2" s="1"/>
  <c r="O57" i="2"/>
  <c r="P57" i="2" s="1"/>
  <c r="Q56" i="2"/>
  <c r="R56" i="2" s="1"/>
  <c r="O56" i="2"/>
  <c r="P56" i="2" s="1"/>
  <c r="Q55" i="2"/>
  <c r="R55" i="2" s="1"/>
  <c r="O55" i="2"/>
  <c r="P55" i="2" s="1"/>
  <c r="Q54" i="2"/>
  <c r="R54" i="2" s="1"/>
  <c r="O54" i="2"/>
  <c r="P54" i="2" s="1"/>
  <c r="Q53" i="2"/>
  <c r="R53" i="2" s="1"/>
  <c r="O53" i="2"/>
  <c r="P53" i="2" s="1"/>
  <c r="Q52" i="2"/>
  <c r="R52" i="2" s="1"/>
  <c r="O52" i="2"/>
  <c r="P52" i="2" s="1"/>
  <c r="Q51" i="2"/>
  <c r="R51" i="2" s="1"/>
  <c r="O51" i="2"/>
  <c r="P51" i="2" s="1"/>
  <c r="Q50" i="2"/>
  <c r="R50" i="2" s="1"/>
  <c r="O50" i="2"/>
  <c r="P50" i="2" s="1"/>
  <c r="Q49" i="2"/>
  <c r="R49" i="2" s="1"/>
  <c r="O49" i="2"/>
  <c r="P49" i="2" s="1"/>
  <c r="Q48" i="2"/>
  <c r="R48" i="2" s="1"/>
  <c r="O48" i="2"/>
  <c r="P48" i="2" s="1"/>
  <c r="Q47" i="2"/>
  <c r="R47" i="2" s="1"/>
  <c r="O47" i="2"/>
  <c r="P47" i="2" s="1"/>
  <c r="Q46" i="2"/>
  <c r="R46" i="2" s="1"/>
  <c r="O46" i="2"/>
  <c r="P46" i="2" s="1"/>
  <c r="Q45" i="2"/>
  <c r="R45" i="2" s="1"/>
  <c r="O45" i="2"/>
  <c r="P45" i="2" s="1"/>
  <c r="Q44" i="2"/>
  <c r="R44" i="2" s="1"/>
  <c r="O44" i="2"/>
  <c r="P44" i="2" s="1"/>
  <c r="Q43" i="2"/>
  <c r="R43" i="2" s="1"/>
  <c r="O43" i="2"/>
  <c r="P43" i="2" s="1"/>
  <c r="Q42" i="2"/>
  <c r="R42" i="2" s="1"/>
  <c r="O42" i="2"/>
  <c r="P42" i="2" s="1"/>
  <c r="Q41" i="2"/>
  <c r="R41" i="2" s="1"/>
  <c r="O41" i="2"/>
  <c r="P41" i="2" s="1"/>
  <c r="Q40" i="2"/>
  <c r="R40" i="2" s="1"/>
  <c r="O40" i="2"/>
  <c r="P40" i="2" s="1"/>
  <c r="Q39" i="2"/>
  <c r="R39" i="2" s="1"/>
  <c r="O39" i="2"/>
  <c r="P39" i="2" s="1"/>
  <c r="Q38" i="2"/>
  <c r="R38" i="2" s="1"/>
  <c r="O38" i="2"/>
  <c r="P38" i="2" s="1"/>
  <c r="Q37" i="2"/>
  <c r="R37" i="2" s="1"/>
  <c r="O37" i="2"/>
  <c r="P37" i="2" s="1"/>
  <c r="Q36" i="2"/>
  <c r="R36" i="2" s="1"/>
  <c r="O36" i="2"/>
  <c r="P36" i="2" s="1"/>
  <c r="Q35" i="2"/>
  <c r="R35" i="2" s="1"/>
  <c r="O35" i="2"/>
  <c r="P35" i="2" s="1"/>
  <c r="Q34" i="2"/>
  <c r="R34" i="2" s="1"/>
  <c r="O34" i="2"/>
  <c r="P34" i="2" s="1"/>
  <c r="Q33" i="2"/>
  <c r="R33" i="2" s="1"/>
  <c r="O33" i="2"/>
  <c r="P33" i="2" s="1"/>
  <c r="Q32" i="2"/>
  <c r="R32" i="2" s="1"/>
  <c r="O32" i="2"/>
  <c r="P32" i="2" s="1"/>
  <c r="Q31" i="2"/>
  <c r="R31" i="2" s="1"/>
  <c r="O31" i="2"/>
  <c r="P31" i="2" s="1"/>
  <c r="Q30" i="2"/>
  <c r="R30" i="2" s="1"/>
  <c r="O30" i="2"/>
  <c r="P30" i="2" s="1"/>
  <c r="Q29" i="2"/>
  <c r="R29" i="2" s="1"/>
  <c r="O29" i="2"/>
  <c r="P29" i="2" s="1"/>
  <c r="Q28" i="2"/>
  <c r="R28" i="2" s="1"/>
  <c r="O28" i="2"/>
  <c r="P28" i="2" s="1"/>
  <c r="Q27" i="2"/>
  <c r="R27" i="2" s="1"/>
  <c r="O27" i="2"/>
  <c r="P27" i="2" s="1"/>
  <c r="Q26" i="2"/>
  <c r="R26" i="2" s="1"/>
  <c r="O26" i="2"/>
  <c r="P26" i="2" s="1"/>
  <c r="Q25" i="2"/>
  <c r="R25" i="2" s="1"/>
  <c r="O25" i="2"/>
  <c r="P25" i="2" s="1"/>
  <c r="Q24" i="2"/>
  <c r="R24" i="2" s="1"/>
  <c r="O24" i="2"/>
  <c r="P24" i="2" s="1"/>
  <c r="Q23" i="2"/>
  <c r="R23" i="2" s="1"/>
  <c r="O23" i="2"/>
  <c r="P23" i="2" s="1"/>
  <c r="Q22" i="2"/>
  <c r="R22" i="2" s="1"/>
  <c r="O22" i="2"/>
  <c r="P22" i="2" s="1"/>
  <c r="Q21" i="2"/>
  <c r="R21" i="2" s="1"/>
  <c r="O21" i="2"/>
  <c r="P21" i="2" s="1"/>
  <c r="Q20" i="2"/>
  <c r="R20" i="2" s="1"/>
  <c r="O20" i="2"/>
  <c r="P20" i="2" s="1"/>
  <c r="Q19" i="2"/>
  <c r="R19" i="2" s="1"/>
  <c r="O19" i="2"/>
  <c r="P19" i="2" s="1"/>
  <c r="Q18" i="2"/>
  <c r="R18" i="2" s="1"/>
  <c r="O18" i="2"/>
  <c r="P18" i="2" s="1"/>
  <c r="Q17" i="2"/>
  <c r="R17" i="2" s="1"/>
  <c r="O17" i="2"/>
  <c r="P17" i="2" s="1"/>
  <c r="Q16" i="2"/>
  <c r="R16" i="2" s="1"/>
  <c r="O16" i="2"/>
  <c r="P16" i="2" s="1"/>
  <c r="Q15" i="2"/>
  <c r="R15" i="2" s="1"/>
  <c r="O15" i="2"/>
  <c r="P15" i="2" s="1"/>
  <c r="Q14" i="2"/>
  <c r="R14" i="2" s="1"/>
  <c r="O14" i="2"/>
  <c r="P14" i="2" s="1"/>
  <c r="Q13" i="2"/>
  <c r="R13" i="2" s="1"/>
  <c r="O13" i="2"/>
  <c r="P13" i="2" s="1"/>
  <c r="Q12" i="2"/>
  <c r="R12" i="2" s="1"/>
  <c r="O12" i="2"/>
  <c r="P12" i="2" s="1"/>
  <c r="Q11" i="2"/>
  <c r="R11" i="2" s="1"/>
  <c r="O11" i="2"/>
  <c r="P11" i="2" s="1"/>
  <c r="Q10" i="2"/>
  <c r="R10" i="2" s="1"/>
  <c r="O10" i="2"/>
  <c r="P10" i="2" s="1"/>
  <c r="Q9" i="2"/>
  <c r="R9" i="2" s="1"/>
  <c r="O9" i="2"/>
  <c r="P9" i="2" s="1"/>
  <c r="Q8" i="2"/>
  <c r="R8" i="2" s="1"/>
  <c r="O8" i="2"/>
  <c r="P8" i="2" s="1"/>
  <c r="Q7" i="2"/>
  <c r="R7" i="2" s="1"/>
  <c r="O7" i="2"/>
  <c r="P7" i="2" s="1"/>
  <c r="Q6" i="2"/>
  <c r="R6" i="2" s="1"/>
  <c r="O6" i="2"/>
  <c r="P6" i="2" s="1"/>
  <c r="Q5" i="2"/>
  <c r="R5" i="2" s="1"/>
  <c r="O5" i="2"/>
  <c r="P5" i="2" s="1"/>
  <c r="Q4" i="2"/>
  <c r="R4" i="2" s="1"/>
  <c r="O4" i="2"/>
  <c r="P4" i="2" s="1"/>
  <c r="Q3" i="2"/>
  <c r="R3" i="2" s="1"/>
  <c r="O3" i="2"/>
  <c r="P3" i="2" s="1"/>
  <c r="Q2" i="2"/>
  <c r="R2" i="2" s="1"/>
  <c r="O2" i="2"/>
  <c r="P2" i="2" s="1"/>
</calcChain>
</file>

<file path=xl/sharedStrings.xml><?xml version="1.0" encoding="utf-8"?>
<sst xmlns="http://schemas.openxmlformats.org/spreadsheetml/2006/main" count="1307" uniqueCount="33">
  <si>
    <t>Index</t>
  </si>
  <si>
    <t>Incoming Calls</t>
  </si>
  <si>
    <t>Answered Calls</t>
  </si>
  <si>
    <t>Answer Rate</t>
  </si>
  <si>
    <t>Abandoned Calls</t>
  </si>
  <si>
    <t>Answer Speed (AVG)</t>
  </si>
  <si>
    <t>Talk Duration (AVG)</t>
  </si>
  <si>
    <t>Waiting Time (AVG)</t>
  </si>
  <si>
    <t>Service Level (20 Seconds)</t>
  </si>
  <si>
    <t>Date</t>
  </si>
  <si>
    <t>Day</t>
  </si>
  <si>
    <t>Month</t>
  </si>
  <si>
    <t>DayOfMonth</t>
  </si>
  <si>
    <t>Year</t>
  </si>
  <si>
    <t>Actual Workload hours</t>
  </si>
  <si>
    <t>Actual Workload Minutes</t>
  </si>
  <si>
    <t>Required Workload Hours</t>
  </si>
  <si>
    <t>Required Workload Minutes</t>
  </si>
  <si>
    <t>Wednesday</t>
  </si>
  <si>
    <t>Thursday</t>
  </si>
  <si>
    <t>Friday</t>
  </si>
  <si>
    <t>Saturday</t>
  </si>
  <si>
    <t>Sunday</t>
  </si>
  <si>
    <t>Monday</t>
  </si>
  <si>
    <t>Tuesday</t>
  </si>
  <si>
    <t>Sum of Incoming Calls</t>
  </si>
  <si>
    <t>Sum of Answered Calls</t>
  </si>
  <si>
    <t>Grand Total</t>
  </si>
  <si>
    <t>2020 Total</t>
  </si>
  <si>
    <t>2021 Total</t>
  </si>
  <si>
    <t>2022 Total</t>
  </si>
  <si>
    <t>2023 Total</t>
  </si>
  <si>
    <t>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</si>
</sst>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"/>
    <numFmt numFmtId="165" formatCode="dd/mm/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46" fontId="1" fillId="0" borderId="0" xfId="0" applyNumberFormat="1" applyFont="1"/>
    <xf numFmtId="0" fontId="0" fillId="0" borderId="0" xfId="0" pivotButton="1" applyFont="1" applyAlignment="1"/>
    <xf numFmtId="0" fontId="0" fillId="0" borderId="0" xfId="0" applyNumberFormat="1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hh:mm:ss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hh:mm:ss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hh:mm:ss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Data.xlsx]Weekly Patern!PivotTable2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Patern'!$B$3</c:f>
              <c:strCache>
                <c:ptCount val="1"/>
                <c:pt idx="0">
                  <c:v>Sum of Incoming Calls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'Weekly Patern'!$A$4:$A$11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'Weekly Patern'!$B$4:$B$11</c:f>
              <c:numCache>
                <c:formatCode>General</c:formatCode>
                <c:ptCount val="7"/>
                <c:pt idx="0">
                  <c:v>8085</c:v>
                </c:pt>
                <c:pt idx="1">
                  <c:v>41245</c:v>
                </c:pt>
                <c:pt idx="2">
                  <c:v>40069</c:v>
                </c:pt>
                <c:pt idx="3">
                  <c:v>40357</c:v>
                </c:pt>
                <c:pt idx="4">
                  <c:v>40713</c:v>
                </c:pt>
                <c:pt idx="5">
                  <c:v>40935</c:v>
                </c:pt>
                <c:pt idx="6">
                  <c:v>36969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9-43D8-9EDE-206460B5BAB2}"/>
            </c:ext>
          </c:extLst>
        </c:ser>
        <c:ser>
          <c:idx val="1"/>
          <c:order val="1"/>
          <c:tx>
            <c:strRef>
              <c:f>'Weekly Patern'!$C$3</c:f>
              <c:strCache>
                <c:ptCount val="1"/>
                <c:pt idx="0">
                  <c:v>Sum of Answered Calls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'Weekly Patern'!$A$4:$A$11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'Weekly Patern'!$C$4:$C$11</c:f>
              <c:numCache>
                <c:formatCode>General</c:formatCode>
                <c:ptCount val="7"/>
                <c:pt idx="0">
                  <c:v>7354</c:v>
                </c:pt>
                <c:pt idx="1">
                  <c:v>37108</c:v>
                </c:pt>
                <c:pt idx="2">
                  <c:v>36321</c:v>
                </c:pt>
                <c:pt idx="3">
                  <c:v>35873</c:v>
                </c:pt>
                <c:pt idx="4">
                  <c:v>35668</c:v>
                </c:pt>
                <c:pt idx="5">
                  <c:v>35866</c:v>
                </c:pt>
                <c:pt idx="6">
                  <c:v>33044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C9-43D8-9EDE-206460B5B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7780999"/>
        <c:axId val="2037783047"/>
      </c:barChart>
      <c:catAx>
        <c:axId val="2037780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83047"/>
        <c:crosses val="autoZero"/>
        <c:auto val="1"/>
        <c:lblAlgn val="ctr"/>
        <c:lblOffset val="100"/>
        <c:noMultiLvlLbl val="0"/>
      </c:catAx>
      <c:valAx>
        <c:axId val="2037783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7780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Data.xlsx]Monthly Pattern!PivotTable1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Pattern'!$B$3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Pattern'!$A$4:$A$16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Pattern'!$B$4:$B$16</c:f>
              <c:numCache>
                <c:formatCode>General</c:formatCode>
                <c:ptCount val="12"/>
                <c:pt idx="0">
                  <c:v>23446</c:v>
                </c:pt>
                <c:pt idx="1">
                  <c:v>25552</c:v>
                </c:pt>
                <c:pt idx="2">
                  <c:v>22754</c:v>
                </c:pt>
                <c:pt idx="3">
                  <c:v>33352</c:v>
                </c:pt>
                <c:pt idx="4">
                  <c:v>23416</c:v>
                </c:pt>
                <c:pt idx="5">
                  <c:v>18993</c:v>
                </c:pt>
                <c:pt idx="6">
                  <c:v>19211</c:v>
                </c:pt>
                <c:pt idx="7">
                  <c:v>15695</c:v>
                </c:pt>
                <c:pt idx="8">
                  <c:v>13416</c:v>
                </c:pt>
                <c:pt idx="9">
                  <c:v>15721</c:v>
                </c:pt>
                <c:pt idx="10">
                  <c:v>16040</c:v>
                </c:pt>
                <c:pt idx="11">
                  <c:v>20777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E-4A2E-86CD-0487E036C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653063"/>
        <c:axId val="900655111"/>
      </c:barChart>
      <c:catAx>
        <c:axId val="900653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55111"/>
        <c:crosses val="autoZero"/>
        <c:auto val="1"/>
        <c:lblAlgn val="ctr"/>
        <c:lblOffset val="100"/>
        <c:noMultiLvlLbl val="0"/>
      </c:catAx>
      <c:valAx>
        <c:axId val="900655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653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Data.xlsx]Total Demand!PivotTable2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Demand'!$C$3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'Total Demand'!$A$4:$B$50</c:f>
              <c:multiLvlStrCache>
                <c:ptCount val="4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  <c:pt idx="36">
                    <c:v>2023</c:v>
                  </c:pt>
                </c:lvl>
              </c:multiLvlStrCache>
            </c:multiLvlStrRef>
          </c:cat>
          <c:val>
            <c:numRef>
              <c:f>'Total Demand'!$C$4:$C$50</c:f>
              <c:numCache>
                <c:formatCode>General</c:formatCode>
                <c:ptCount val="42"/>
                <c:pt idx="0">
                  <c:v>5805</c:v>
                </c:pt>
                <c:pt idx="1">
                  <c:v>5544</c:v>
                </c:pt>
                <c:pt idx="2">
                  <c:v>4306</c:v>
                </c:pt>
                <c:pt idx="3">
                  <c:v>4888</c:v>
                </c:pt>
                <c:pt idx="4">
                  <c:v>5241</c:v>
                </c:pt>
                <c:pt idx="5">
                  <c:v>3752</c:v>
                </c:pt>
                <c:pt idx="6">
                  <c:v>5723</c:v>
                </c:pt>
                <c:pt idx="7">
                  <c:v>6040</c:v>
                </c:pt>
                <c:pt idx="8">
                  <c:v>4812</c:v>
                </c:pt>
                <c:pt idx="9">
                  <c:v>6536</c:v>
                </c:pt>
                <c:pt idx="10">
                  <c:v>4754</c:v>
                </c:pt>
                <c:pt idx="11">
                  <c:v>6650</c:v>
                </c:pt>
                <c:pt idx="12">
                  <c:v>4779</c:v>
                </c:pt>
                <c:pt idx="13">
                  <c:v>3579</c:v>
                </c:pt>
                <c:pt idx="14">
                  <c:v>3278</c:v>
                </c:pt>
                <c:pt idx="15">
                  <c:v>3275</c:v>
                </c:pt>
                <c:pt idx="16">
                  <c:v>3350</c:v>
                </c:pt>
                <c:pt idx="17">
                  <c:v>4461</c:v>
                </c:pt>
                <c:pt idx="18">
                  <c:v>4394</c:v>
                </c:pt>
                <c:pt idx="19">
                  <c:v>3646</c:v>
                </c:pt>
                <c:pt idx="20">
                  <c:v>3591</c:v>
                </c:pt>
                <c:pt idx="21">
                  <c:v>4124</c:v>
                </c:pt>
                <c:pt idx="22">
                  <c:v>6605</c:v>
                </c:pt>
                <c:pt idx="23">
                  <c:v>6076</c:v>
                </c:pt>
                <c:pt idx="24">
                  <c:v>4965</c:v>
                </c:pt>
                <c:pt idx="25">
                  <c:v>8953</c:v>
                </c:pt>
                <c:pt idx="26">
                  <c:v>10622</c:v>
                </c:pt>
                <c:pt idx="27">
                  <c:v>18641</c:v>
                </c:pt>
                <c:pt idx="28">
                  <c:v>9333</c:v>
                </c:pt>
                <c:pt idx="29">
                  <c:v>10179</c:v>
                </c:pt>
                <c:pt idx="30">
                  <c:v>9094</c:v>
                </c:pt>
                <c:pt idx="31">
                  <c:v>6009</c:v>
                </c:pt>
                <c:pt idx="32">
                  <c:v>5013</c:v>
                </c:pt>
                <c:pt idx="33">
                  <c:v>5061</c:v>
                </c:pt>
                <c:pt idx="34">
                  <c:v>4681</c:v>
                </c:pt>
                <c:pt idx="35">
                  <c:v>8051</c:v>
                </c:pt>
                <c:pt idx="36">
                  <c:v>7897</c:v>
                </c:pt>
                <c:pt idx="37">
                  <c:v>7476</c:v>
                </c:pt>
                <c:pt idx="38">
                  <c:v>4548</c:v>
                </c:pt>
                <c:pt idx="39">
                  <c:v>6548</c:v>
                </c:pt>
                <c:pt idx="40">
                  <c:v>5492</c:v>
                </c:pt>
                <c:pt idx="41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5-4025-8521-53010AB57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829063"/>
        <c:axId val="902831111"/>
      </c:barChart>
      <c:catAx>
        <c:axId val="90282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831111"/>
        <c:crosses val="autoZero"/>
        <c:auto val="1"/>
        <c:lblAlgn val="ctr"/>
        <c:lblOffset val="100"/>
        <c:noMultiLvlLbl val="0"/>
      </c:catAx>
      <c:valAx>
        <c:axId val="902831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82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Data.xlsx]April 2022 Demand!PivotTable3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'April 2022 Demand'!$C$3:$C$4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'April 2022 Demand'!$A$5:$B$36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  <c:lvl>
                  <c:pt idx="0">
                    <c:v>4</c:v>
                  </c:pt>
                </c:lvl>
              </c:multiLvlStrCache>
            </c:multiLvlStrRef>
          </c:cat>
          <c:val>
            <c:numRef>
              <c:f>'April 2022 Demand'!$C$5:$C$36</c:f>
              <c:numCache>
                <c:formatCode>General</c:formatCode>
                <c:ptCount val="30"/>
                <c:pt idx="0">
                  <c:v>18</c:v>
                </c:pt>
                <c:pt idx="1">
                  <c:v>206</c:v>
                </c:pt>
                <c:pt idx="2">
                  <c:v>194</c:v>
                </c:pt>
                <c:pt idx="3">
                  <c:v>206</c:v>
                </c:pt>
                <c:pt idx="4">
                  <c:v>53</c:v>
                </c:pt>
                <c:pt idx="5">
                  <c:v>147</c:v>
                </c:pt>
                <c:pt idx="6">
                  <c:v>201</c:v>
                </c:pt>
                <c:pt idx="7">
                  <c:v>202</c:v>
                </c:pt>
                <c:pt idx="8">
                  <c:v>226</c:v>
                </c:pt>
                <c:pt idx="9">
                  <c:v>167</c:v>
                </c:pt>
                <c:pt idx="10">
                  <c:v>164</c:v>
                </c:pt>
                <c:pt idx="11">
                  <c:v>42</c:v>
                </c:pt>
                <c:pt idx="12">
                  <c:v>79</c:v>
                </c:pt>
                <c:pt idx="13">
                  <c:v>165</c:v>
                </c:pt>
                <c:pt idx="14">
                  <c:v>180</c:v>
                </c:pt>
                <c:pt idx="15">
                  <c:v>179</c:v>
                </c:pt>
                <c:pt idx="16">
                  <c:v>217</c:v>
                </c:pt>
                <c:pt idx="17">
                  <c:v>171</c:v>
                </c:pt>
                <c:pt idx="18">
                  <c:v>37</c:v>
                </c:pt>
                <c:pt idx="19">
                  <c:v>215</c:v>
                </c:pt>
                <c:pt idx="20">
                  <c:v>218</c:v>
                </c:pt>
                <c:pt idx="21">
                  <c:v>205</c:v>
                </c:pt>
                <c:pt idx="22">
                  <c:v>195</c:v>
                </c:pt>
                <c:pt idx="23">
                  <c:v>181</c:v>
                </c:pt>
                <c:pt idx="24">
                  <c:v>212</c:v>
                </c:pt>
                <c:pt idx="25">
                  <c:v>33</c:v>
                </c:pt>
                <c:pt idx="26">
                  <c:v>298</c:v>
                </c:pt>
                <c:pt idx="27">
                  <c:v>158</c:v>
                </c:pt>
                <c:pt idx="28">
                  <c:v>156</c:v>
                </c:pt>
                <c:pt idx="29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8-4B80-8AC9-4C83B1DE2B7C}"/>
            </c:ext>
          </c:extLst>
        </c:ser>
        <c:ser>
          <c:idx val="1"/>
          <c:order val="1"/>
          <c:tx>
            <c:strRef>
              <c:f>'April 2022 Demand'!$D$3:$D$4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'April 2022 Demand'!$A$5:$B$36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  <c:lvl>
                  <c:pt idx="0">
                    <c:v>4</c:v>
                  </c:pt>
                </c:lvl>
              </c:multiLvlStrCache>
            </c:multiLvlStrRef>
          </c:cat>
          <c:val>
            <c:numRef>
              <c:f>'April 2022 Demand'!$D$5:$D$36</c:f>
              <c:numCache>
                <c:formatCode>General</c:formatCode>
                <c:ptCount val="30"/>
                <c:pt idx="0">
                  <c:v>14</c:v>
                </c:pt>
                <c:pt idx="1">
                  <c:v>43</c:v>
                </c:pt>
                <c:pt idx="2">
                  <c:v>74</c:v>
                </c:pt>
                <c:pt idx="3">
                  <c:v>33</c:v>
                </c:pt>
                <c:pt idx="4">
                  <c:v>124</c:v>
                </c:pt>
                <c:pt idx="5">
                  <c:v>130</c:v>
                </c:pt>
                <c:pt idx="6">
                  <c:v>139</c:v>
                </c:pt>
                <c:pt idx="7">
                  <c:v>138</c:v>
                </c:pt>
                <c:pt idx="8">
                  <c:v>125</c:v>
                </c:pt>
                <c:pt idx="9">
                  <c:v>98</c:v>
                </c:pt>
                <c:pt idx="10">
                  <c:v>12</c:v>
                </c:pt>
                <c:pt idx="11">
                  <c:v>119</c:v>
                </c:pt>
                <c:pt idx="12">
                  <c:v>100</c:v>
                </c:pt>
                <c:pt idx="13">
                  <c:v>146</c:v>
                </c:pt>
                <c:pt idx="14">
                  <c:v>131</c:v>
                </c:pt>
                <c:pt idx="15">
                  <c:v>107</c:v>
                </c:pt>
                <c:pt idx="16">
                  <c:v>112</c:v>
                </c:pt>
                <c:pt idx="17">
                  <c:v>21</c:v>
                </c:pt>
                <c:pt idx="18">
                  <c:v>125</c:v>
                </c:pt>
                <c:pt idx="19">
                  <c:v>35</c:v>
                </c:pt>
                <c:pt idx="20">
                  <c:v>121</c:v>
                </c:pt>
                <c:pt idx="21">
                  <c:v>135</c:v>
                </c:pt>
                <c:pt idx="22">
                  <c:v>117</c:v>
                </c:pt>
                <c:pt idx="23">
                  <c:v>114</c:v>
                </c:pt>
                <c:pt idx="24">
                  <c:v>50</c:v>
                </c:pt>
                <c:pt idx="25">
                  <c:v>207</c:v>
                </c:pt>
                <c:pt idx="26">
                  <c:v>189</c:v>
                </c:pt>
                <c:pt idx="27">
                  <c:v>162</c:v>
                </c:pt>
                <c:pt idx="28">
                  <c:v>177</c:v>
                </c:pt>
                <c:pt idx="29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6-C6D8-4B80-8AC9-4C83B1DE2B7C}"/>
            </c:ext>
          </c:extLst>
        </c:ser>
        <c:ser>
          <c:idx val="2"/>
          <c:order val="2"/>
          <c:tx>
            <c:strRef>
              <c:f>'April 2022 Demand'!$E$3:$E$4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'April 2022 Demand'!$A$5:$B$36</c:f>
              <c:multiLvlStrCache>
                <c:ptCount val="3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  <c:lvl>
                  <c:pt idx="0">
                    <c:v>4</c:v>
                  </c:pt>
                </c:lvl>
              </c:multiLvlStrCache>
            </c:multiLvlStrRef>
          </c:cat>
          <c:val>
            <c:numRef>
              <c:f>'April 2022 Demand'!$E$5:$E$36</c:f>
              <c:numCache>
                <c:formatCode>General</c:formatCode>
                <c:ptCount val="30"/>
                <c:pt idx="0">
                  <c:v>24</c:v>
                </c:pt>
                <c:pt idx="1">
                  <c:v>106</c:v>
                </c:pt>
                <c:pt idx="2">
                  <c:v>52</c:v>
                </c:pt>
                <c:pt idx="3">
                  <c:v>223</c:v>
                </c:pt>
                <c:pt idx="4">
                  <c:v>274</c:v>
                </c:pt>
                <c:pt idx="5">
                  <c:v>280</c:v>
                </c:pt>
                <c:pt idx="6">
                  <c:v>534</c:v>
                </c:pt>
                <c:pt idx="7">
                  <c:v>315</c:v>
                </c:pt>
                <c:pt idx="8">
                  <c:v>122</c:v>
                </c:pt>
                <c:pt idx="9">
                  <c:v>63</c:v>
                </c:pt>
                <c:pt idx="10">
                  <c:v>402</c:v>
                </c:pt>
                <c:pt idx="11">
                  <c:v>413</c:v>
                </c:pt>
                <c:pt idx="12">
                  <c:v>389</c:v>
                </c:pt>
                <c:pt idx="13">
                  <c:v>495</c:v>
                </c:pt>
                <c:pt idx="14">
                  <c:v>712</c:v>
                </c:pt>
                <c:pt idx="15">
                  <c:v>1057</c:v>
                </c:pt>
                <c:pt idx="16">
                  <c:v>620</c:v>
                </c:pt>
                <c:pt idx="17">
                  <c:v>1575</c:v>
                </c:pt>
                <c:pt idx="18">
                  <c:v>1349</c:v>
                </c:pt>
                <c:pt idx="19">
                  <c:v>999</c:v>
                </c:pt>
                <c:pt idx="20">
                  <c:v>968</c:v>
                </c:pt>
                <c:pt idx="21">
                  <c:v>1066</c:v>
                </c:pt>
                <c:pt idx="22">
                  <c:v>788</c:v>
                </c:pt>
                <c:pt idx="23">
                  <c:v>252</c:v>
                </c:pt>
                <c:pt idx="24">
                  <c:v>842</c:v>
                </c:pt>
                <c:pt idx="25">
                  <c:v>847</c:v>
                </c:pt>
                <c:pt idx="26">
                  <c:v>800</c:v>
                </c:pt>
                <c:pt idx="27">
                  <c:v>1100</c:v>
                </c:pt>
                <c:pt idx="28">
                  <c:v>1242</c:v>
                </c:pt>
                <c:pt idx="29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7-C6D8-4B80-8AC9-4C83B1DE2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3463943"/>
        <c:axId val="190285320"/>
      </c:barChart>
      <c:catAx>
        <c:axId val="138346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85320"/>
        <c:crosses val="autoZero"/>
        <c:auto val="1"/>
        <c:lblAlgn val="ctr"/>
        <c:lblOffset val="100"/>
        <c:noMultiLvlLbl val="0"/>
      </c:catAx>
      <c:valAx>
        <c:axId val="19028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46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14</xdr:row>
      <xdr:rowOff>114300</xdr:rowOff>
    </xdr:from>
    <xdr:to>
      <xdr:col>29</xdr:col>
      <xdr:colOff>447675</xdr:colOff>
      <xdr:row>58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950B9-5FAA-8C33-D1FD-3389D1A44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171450</xdr:colOff>
      <xdr:row>4</xdr:row>
      <xdr:rowOff>76200</xdr:rowOff>
    </xdr:from>
    <xdr:to>
      <xdr:col>78</xdr:col>
      <xdr:colOff>28575</xdr:colOff>
      <xdr:row>42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2BC65-68BF-4459-6674-F1A27E633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11</xdr:row>
      <xdr:rowOff>19050</xdr:rowOff>
    </xdr:from>
    <xdr:to>
      <xdr:col>30</xdr:col>
      <xdr:colOff>371475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EA4DB-3D4F-2EB9-29EE-44340ED55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2</xdr:row>
      <xdr:rowOff>47625</xdr:rowOff>
    </xdr:from>
    <xdr:to>
      <xdr:col>32</xdr:col>
      <xdr:colOff>390525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CE877-F84B-A6E1-02A3-46F138929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9.630616087961" createdVersion="8" refreshedVersion="8" minRefreshableVersion="3" recordCount="1251" xr:uid="{ACFBCA13-F3EB-44E8-A256-B10104D406B5}">
  <cacheSource type="worksheet">
    <worksheetSource ref="A1:R1252" sheet="Completed"/>
  </cacheSource>
  <cacheFields count="18">
    <cacheField name="Date" numFmtId="165">
      <sharedItems containsSemiMixedTypes="0" containsNonDate="0" containsDate="1" containsString="0" minDate="2020-01-01T00:00:00" maxDate="2023-06-05T00:00:00"/>
    </cacheField>
    <cacheField name="Day" numFmtId="0">
      <sharedItems count="7">
        <s v="Wednesday"/>
        <s v="Thursday"/>
        <s v="Friday"/>
        <s v="Saturday"/>
        <s v="Sunday"/>
        <s v="Monday"/>
        <s v="Tuesday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OfMonth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Index" numFmtId="0">
      <sharedItems containsSemiMixedTypes="0" containsString="0" containsNumber="1" containsInteger="1" minValue="1" maxValue="1251"/>
    </cacheField>
    <cacheField name="Incoming Calls" numFmtId="0">
      <sharedItems containsSemiMixedTypes="0" containsString="0" containsNumber="1" containsInteger="1" minValue="5" maxValue="1575"/>
    </cacheField>
    <cacheField name="Answered Calls" numFmtId="0">
      <sharedItems containsSemiMixedTypes="0" containsString="0" containsNumber="1" containsInteger="1" minValue="5" maxValue="909"/>
    </cacheField>
    <cacheField name="Answer Rate" numFmtId="10">
      <sharedItems containsSemiMixedTypes="0" containsString="0" containsNumber="1" minValue="0.221" maxValue="1"/>
    </cacheField>
    <cacheField name="Abandoned Calls" numFmtId="0">
      <sharedItems containsSemiMixedTypes="0" containsString="0" containsNumber="1" containsInteger="1" minValue="0" maxValue="704"/>
    </cacheField>
    <cacheField name="Answer Speed (AVG)" numFmtId="164">
      <sharedItems containsSemiMixedTypes="0" containsNonDate="0" containsDate="1" containsString="0" minDate="1899-12-30T00:00:02" maxDate="1899-12-30T00:05:08"/>
    </cacheField>
    <cacheField name="Talk Duration (AVG)" numFmtId="164">
      <sharedItems containsSemiMixedTypes="0" containsNonDate="0" containsDate="1" containsString="0" minDate="1899-12-30T00:00:57" maxDate="1899-12-30T00:04:48"/>
    </cacheField>
    <cacheField name="Waiting Time (AVG)" numFmtId="164">
      <sharedItems containsSemiMixedTypes="0" containsNonDate="0" containsDate="1" containsString="0" minDate="1899-12-30T00:00:03" maxDate="1899-12-30T00:25:51"/>
    </cacheField>
    <cacheField name="Service Level (20 Seconds)" numFmtId="10">
      <sharedItems containsSemiMixedTypes="0" containsString="0" containsNumber="1" minValue="0" maxValue="1"/>
    </cacheField>
    <cacheField name="Actual Workload hours" numFmtId="46">
      <sharedItems containsSemiMixedTypes="0" containsNonDate="0" containsDate="1" containsString="0" minDate="1899-12-30T00:12:05" maxDate="1899-12-31T22:27:36"/>
    </cacheField>
    <cacheField name="Actual Workload Minutes" numFmtId="46">
      <sharedItems containsSemiMixedTypes="0" containsNonDate="0" containsDate="1" containsString="0" minDate="1899-12-30T12:05:00" maxDate="1900-04-25T03:36:00"/>
    </cacheField>
    <cacheField name="Required Workload Hours" numFmtId="46">
      <sharedItems containsSemiMixedTypes="0" containsNonDate="0" containsDate="1" containsString="0" minDate="1899-12-30T00:12:05" maxDate="1900-01-01T23:11:50"/>
    </cacheField>
    <cacheField name="Required Workload Minutes" numFmtId="46">
      <sharedItems containsSemiMixedTypes="0" containsNonDate="0" containsDate="1" containsString="0" minDate="1899-12-30T12:05:00" maxDate="1900-06-25T23:5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1">
  <r>
    <d v="2020-01-01T00:00:00"/>
    <x v="0"/>
    <x v="0"/>
    <x v="0"/>
    <x v="0"/>
    <n v="1"/>
    <n v="217"/>
    <n v="204"/>
    <n v="0.94010000000000005"/>
    <n v="13"/>
    <d v="1899-12-30T00:00:17"/>
    <d v="1899-12-30T00:02:14"/>
    <d v="1899-12-30T00:02:45"/>
    <n v="0.76280000000000003"/>
    <d v="1899-12-30T07:35:36"/>
    <d v="1900-01-17T23:36:00"/>
    <d v="1899-12-30T08:04:38"/>
    <d v="1900-01-19T04:38:00"/>
  </r>
  <r>
    <d v="2020-01-02T00:00:00"/>
    <x v="1"/>
    <x v="0"/>
    <x v="1"/>
    <x v="0"/>
    <n v="2"/>
    <n v="200"/>
    <n v="182"/>
    <n v="0.91"/>
    <n v="18"/>
    <d v="1899-12-30T00:00:20"/>
    <d v="1899-12-30T00:02:22"/>
    <d v="1899-12-30T00:06:55"/>
    <n v="0.72729999999999995"/>
    <d v="1899-12-30T07:10:44"/>
    <d v="1900-01-16T22:44:00"/>
    <d v="1899-12-30T07:53:20"/>
    <d v="1900-01-18T17:20:00"/>
  </r>
  <r>
    <d v="2020-01-03T00:00:00"/>
    <x v="2"/>
    <x v="0"/>
    <x v="2"/>
    <x v="0"/>
    <n v="3"/>
    <n v="216"/>
    <n v="198"/>
    <n v="0.91669999999999996"/>
    <n v="18"/>
    <d v="1899-12-30T00:00:18"/>
    <d v="1899-12-30T00:02:38"/>
    <d v="1899-12-30T00:03:50"/>
    <n v="0.74299999999999999"/>
    <d v="1899-12-30T08:41:24"/>
    <d v="1900-01-20T17:24:00"/>
    <d v="1899-12-30T09:28:48"/>
    <d v="1900-01-22T16:48:00"/>
  </r>
  <r>
    <d v="2020-01-04T00:00:00"/>
    <x v="3"/>
    <x v="0"/>
    <x v="3"/>
    <x v="0"/>
    <n v="4"/>
    <n v="155"/>
    <n v="145"/>
    <n v="0.9355"/>
    <n v="10"/>
    <d v="1899-12-30T00:00:15"/>
    <d v="1899-12-30T00:02:29"/>
    <d v="1899-12-30T00:03:12"/>
    <n v="0.79610000000000003"/>
    <d v="1899-12-30T06:00:05"/>
    <d v="1900-01-14T00:05:00"/>
    <d v="1899-12-30T06:24:55"/>
    <d v="1900-01-15T00:55:00"/>
  </r>
  <r>
    <d v="2020-01-05T00:00:00"/>
    <x v="4"/>
    <x v="0"/>
    <x v="4"/>
    <x v="0"/>
    <n v="5"/>
    <n v="37"/>
    <n v="37"/>
    <n v="1"/>
    <n v="0"/>
    <d v="1899-12-30T00:00:03"/>
    <d v="1899-12-30T00:02:06"/>
    <d v="1899-12-30T00:00:35"/>
    <n v="0.97299999999999998"/>
    <d v="1899-12-30T01:17:42"/>
    <d v="1900-01-02T05:42:00"/>
    <d v="1899-12-30T01:17:42"/>
    <d v="1900-01-02T05:42:00"/>
  </r>
  <r>
    <d v="2020-01-06T00:00:00"/>
    <x v="5"/>
    <x v="0"/>
    <x v="5"/>
    <x v="0"/>
    <n v="6"/>
    <n v="315"/>
    <n v="304"/>
    <n v="0.96509999999999996"/>
    <n v="11"/>
    <d v="1899-12-30T00:00:18"/>
    <d v="1899-12-30T00:01:35"/>
    <d v="1899-12-30T00:02:37"/>
    <n v="0.77170000000000005"/>
    <d v="1899-12-30T08:01:20"/>
    <d v="1900-01-19T01:20:00"/>
    <d v="1899-12-30T08:18:45"/>
    <d v="1900-01-19T18:45:00"/>
  </r>
  <r>
    <d v="2020-01-07T00:00:00"/>
    <x v="6"/>
    <x v="0"/>
    <x v="6"/>
    <x v="0"/>
    <n v="7"/>
    <n v="252"/>
    <n v="244"/>
    <n v="0.96830000000000005"/>
    <n v="8"/>
    <d v="1899-12-30T00:00:13"/>
    <d v="1899-12-30T00:01:50"/>
    <d v="1899-12-30T00:02:02"/>
    <n v="0.82"/>
    <d v="1899-12-30T07:27:20"/>
    <d v="1900-01-17T15:20:00"/>
    <d v="1899-12-30T07:42:00"/>
    <d v="1900-01-18T06:00:00"/>
  </r>
  <r>
    <d v="2020-01-08T00:00:00"/>
    <x v="0"/>
    <x v="0"/>
    <x v="7"/>
    <x v="0"/>
    <n v="8"/>
    <n v="213"/>
    <n v="205"/>
    <n v="0.96240000000000003"/>
    <n v="8"/>
    <d v="1899-12-30T00:00:10"/>
    <d v="1899-12-30T00:02:10"/>
    <d v="1899-12-30T00:03:22"/>
    <n v="0.88100000000000001"/>
    <d v="1899-12-30T07:24:10"/>
    <d v="1900-01-17T12:10:00"/>
    <d v="1899-12-30T07:41:30"/>
    <d v="1900-01-18T05:30:00"/>
  </r>
  <r>
    <d v="2020-01-09T00:00:00"/>
    <x v="1"/>
    <x v="0"/>
    <x v="8"/>
    <x v="0"/>
    <n v="9"/>
    <n v="219"/>
    <n v="200"/>
    <n v="0.91320000000000001"/>
    <n v="19"/>
    <d v="1899-12-30T00:00:15"/>
    <d v="1899-12-30T00:02:18"/>
    <d v="1899-12-30T00:06:12"/>
    <n v="0.79449999999999998"/>
    <d v="1899-12-30T07:40:00"/>
    <d v="1900-01-18T04:00:00"/>
    <d v="1899-12-30T08:23:42"/>
    <d v="1900-01-19T23:42:00"/>
  </r>
  <r>
    <d v="2020-01-10T00:00:00"/>
    <x v="2"/>
    <x v="0"/>
    <x v="9"/>
    <x v="0"/>
    <n v="10"/>
    <n v="371"/>
    <n v="348"/>
    <n v="0.93799999999999994"/>
    <n v="23"/>
    <d v="1899-12-30T00:00:19"/>
    <d v="1899-12-30T00:01:40"/>
    <d v="1899-12-30T00:03:29"/>
    <n v="0.73629999999999995"/>
    <d v="1899-12-30T09:40:00"/>
    <d v="1900-01-23T04:00:00"/>
    <d v="1899-12-30T10:18:20"/>
    <d v="1900-01-24T18:20:00"/>
  </r>
  <r>
    <d v="2020-01-11T00:00:00"/>
    <x v="3"/>
    <x v="0"/>
    <x v="10"/>
    <x v="0"/>
    <n v="11"/>
    <n v="166"/>
    <n v="164"/>
    <n v="0.98799999999999999"/>
    <n v="2"/>
    <d v="1899-12-30T00:00:12"/>
    <d v="1899-12-30T00:02:10"/>
    <d v="1899-12-30T00:02:46"/>
    <n v="0.81330000000000002"/>
    <d v="1899-12-30T05:55:20"/>
    <d v="1900-01-13T19:20:00"/>
    <d v="1899-12-30T05:59:40"/>
    <d v="1900-01-13T23:40:00"/>
  </r>
  <r>
    <d v="2020-01-12T00:00:00"/>
    <x v="4"/>
    <x v="0"/>
    <x v="11"/>
    <x v="0"/>
    <n v="12"/>
    <n v="32"/>
    <n v="32"/>
    <n v="1"/>
    <n v="0"/>
    <d v="1899-12-30T00:00:02"/>
    <d v="1899-12-30T00:02:03"/>
    <d v="1899-12-30T00:00:03"/>
    <n v="1"/>
    <d v="1899-12-30T01:05:36"/>
    <d v="1900-01-01T17:36:00"/>
    <d v="1899-12-30T01:05:36"/>
    <d v="1900-01-01T17:36:00"/>
  </r>
  <r>
    <d v="2020-01-13T00:00:00"/>
    <x v="5"/>
    <x v="0"/>
    <x v="12"/>
    <x v="0"/>
    <n v="13"/>
    <n v="231"/>
    <n v="222"/>
    <n v="0.96099999999999997"/>
    <n v="9"/>
    <d v="1899-12-30T00:00:08"/>
    <d v="1899-12-30T00:01:49"/>
    <d v="1899-12-30T00:02:18"/>
    <n v="0.86460000000000004"/>
    <d v="1899-12-30T06:43:18"/>
    <d v="1900-01-15T19:18:00"/>
    <d v="1899-12-30T06:59:39"/>
    <d v="1900-01-16T11:39:00"/>
  </r>
  <r>
    <d v="2020-01-14T00:00:00"/>
    <x v="6"/>
    <x v="0"/>
    <x v="13"/>
    <x v="0"/>
    <n v="14"/>
    <n v="205"/>
    <n v="197"/>
    <n v="0.96099999999999997"/>
    <n v="8"/>
    <d v="1899-12-30T00:00:07"/>
    <d v="1899-12-30T00:01:52"/>
    <d v="1899-12-30T00:02:48"/>
    <n v="0.92610000000000003"/>
    <d v="1899-12-30T06:07:44"/>
    <d v="1900-01-14T07:44:00"/>
    <d v="1899-12-30T06:22:40"/>
    <d v="1900-01-14T22:40:00"/>
  </r>
  <r>
    <d v="2020-01-15T00:00:00"/>
    <x v="0"/>
    <x v="0"/>
    <x v="14"/>
    <x v="0"/>
    <n v="15"/>
    <n v="338"/>
    <n v="313"/>
    <n v="0.92600000000000005"/>
    <n v="25"/>
    <d v="1899-12-30T00:00:13"/>
    <d v="1899-12-30T00:01:51"/>
    <d v="1899-12-30T00:03:40"/>
    <n v="0.80059999999999998"/>
    <d v="1899-12-30T09:39:03"/>
    <d v="1900-01-23T03:03:00"/>
    <d v="1899-12-30T10:25:18"/>
    <d v="1900-01-25T01:18:00"/>
  </r>
  <r>
    <d v="2020-01-16T00:00:00"/>
    <x v="1"/>
    <x v="0"/>
    <x v="15"/>
    <x v="0"/>
    <n v="16"/>
    <n v="180"/>
    <n v="174"/>
    <n v="0.9667"/>
    <n v="6"/>
    <d v="1899-12-30T00:00:13"/>
    <d v="1899-12-30T00:02:18"/>
    <d v="1899-12-30T00:03:26"/>
    <n v="0.83799999999999997"/>
    <d v="1899-12-30T06:40:12"/>
    <d v="1900-01-15T16:12:00"/>
    <d v="1899-12-30T06:54:00"/>
    <d v="1900-01-16T06:00:00"/>
  </r>
  <r>
    <d v="2020-01-17T00:00:00"/>
    <x v="2"/>
    <x v="0"/>
    <x v="16"/>
    <x v="0"/>
    <n v="17"/>
    <n v="226"/>
    <n v="211"/>
    <n v="0.93359999999999999"/>
    <n v="15"/>
    <d v="1899-12-30T00:00:20"/>
    <d v="1899-12-30T00:02:04"/>
    <d v="1899-12-30T00:04:53"/>
    <n v="0.76229999999999998"/>
    <d v="1899-12-30T07:16:04"/>
    <d v="1900-01-17T04:04:00"/>
    <d v="1899-12-30T07:47:04"/>
    <d v="1900-01-18T11:04:00"/>
  </r>
  <r>
    <d v="2020-01-18T00:00:00"/>
    <x v="3"/>
    <x v="0"/>
    <x v="17"/>
    <x v="0"/>
    <n v="18"/>
    <n v="226"/>
    <n v="212"/>
    <n v="0.93810000000000004"/>
    <n v="14"/>
    <d v="1899-12-30T00:00:10"/>
    <d v="1899-12-30T00:02:03"/>
    <d v="1899-12-30T00:02:45"/>
    <n v="0.84440000000000004"/>
    <d v="1899-12-30T07:14:36"/>
    <d v="1900-01-17T02:36:00"/>
    <d v="1899-12-30T07:43:18"/>
    <d v="1900-01-18T07:18:00"/>
  </r>
  <r>
    <d v="2020-01-19T00:00:00"/>
    <x v="4"/>
    <x v="0"/>
    <x v="18"/>
    <x v="0"/>
    <n v="19"/>
    <n v="45"/>
    <n v="44"/>
    <n v="0.9778"/>
    <n v="1"/>
    <d v="1899-12-30T00:00:02"/>
    <d v="1899-12-30T00:02:04"/>
    <d v="1899-12-30T00:00:55"/>
    <n v="0.9778"/>
    <d v="1899-12-30T01:30:56"/>
    <d v="1900-01-02T18:56:00"/>
    <d v="1899-12-30T01:33:00"/>
    <d v="1900-01-02T21:00:00"/>
  </r>
  <r>
    <d v="2020-01-20T00:00:00"/>
    <x v="5"/>
    <x v="0"/>
    <x v="19"/>
    <x v="0"/>
    <n v="20"/>
    <n v="218"/>
    <n v="194"/>
    <n v="0.88990000000000002"/>
    <n v="24"/>
    <d v="1899-12-30T00:00:26"/>
    <d v="1899-12-30T00:02:43"/>
    <d v="1899-12-30T00:06:28"/>
    <n v="0.68979999999999997"/>
    <d v="1899-12-30T08:47:02"/>
    <d v="1900-01-20T23:02:00"/>
    <d v="1899-12-30T09:52:14"/>
    <d v="1900-01-23T16:14:00"/>
  </r>
  <r>
    <d v="2020-01-21T00:00:00"/>
    <x v="6"/>
    <x v="0"/>
    <x v="20"/>
    <x v="0"/>
    <n v="21"/>
    <n v="187"/>
    <n v="174"/>
    <n v="0.93049999999999999"/>
    <n v="13"/>
    <d v="1899-12-30T00:00:15"/>
    <d v="1899-12-30T00:02:16"/>
    <d v="1899-12-30T00:04:39"/>
    <n v="0.81520000000000004"/>
    <d v="1899-12-30T06:34:24"/>
    <d v="1900-01-15T10:24:00"/>
    <d v="1899-12-30T07:03:52"/>
    <d v="1900-01-16T15:52:00"/>
  </r>
  <r>
    <d v="2020-01-22T00:00:00"/>
    <x v="0"/>
    <x v="0"/>
    <x v="21"/>
    <x v="0"/>
    <n v="22"/>
    <n v="191"/>
    <n v="184"/>
    <n v="0.96340000000000003"/>
    <n v="7"/>
    <d v="1899-12-30T00:00:10"/>
    <d v="1899-12-30T00:02:09"/>
    <d v="1899-12-30T00:03:40"/>
    <n v="0.85640000000000005"/>
    <d v="1899-12-30T06:35:36"/>
    <d v="1900-01-15T11:36:00"/>
    <d v="1899-12-30T06:50:39"/>
    <d v="1900-01-16T02:39:00"/>
  </r>
  <r>
    <d v="2020-01-23T00:00:00"/>
    <x v="1"/>
    <x v="0"/>
    <x v="22"/>
    <x v="0"/>
    <n v="23"/>
    <n v="188"/>
    <n v="174"/>
    <n v="0.92549999999999999"/>
    <n v="14"/>
    <d v="1899-12-30T00:00:15"/>
    <d v="1899-12-30T00:02:25"/>
    <d v="1899-12-30T00:03:09"/>
    <n v="0.76880000000000004"/>
    <d v="1899-12-30T07:00:30"/>
    <d v="1900-01-16T12:30:00"/>
    <d v="1899-12-30T07:34:20"/>
    <d v="1900-01-17T22:20:00"/>
  </r>
  <r>
    <d v="2020-01-24T00:00:00"/>
    <x v="2"/>
    <x v="0"/>
    <x v="23"/>
    <x v="0"/>
    <n v="24"/>
    <n v="154"/>
    <n v="148"/>
    <n v="0.96099999999999997"/>
    <n v="6"/>
    <d v="1899-12-30T00:00:10"/>
    <d v="1899-12-30T00:02:27"/>
    <d v="1899-12-30T00:03:36"/>
    <n v="0.85060000000000002"/>
    <d v="1899-12-30T06:02:36"/>
    <d v="1900-01-14T02:36:00"/>
    <d v="1899-12-30T06:17:18"/>
    <d v="1900-01-14T17:18:00"/>
  </r>
  <r>
    <d v="2020-01-25T00:00:00"/>
    <x v="3"/>
    <x v="0"/>
    <x v="24"/>
    <x v="0"/>
    <n v="25"/>
    <n v="166"/>
    <n v="150"/>
    <n v="0.90359999999999996"/>
    <n v="16"/>
    <d v="1899-12-30T00:00:18"/>
    <d v="1899-12-30T00:02:26"/>
    <d v="1899-12-30T00:04:38"/>
    <n v="0.76829999999999998"/>
    <d v="1899-12-30T06:05:00"/>
    <d v="1900-01-14T05:00:00"/>
    <d v="1899-12-30T06:43:56"/>
    <d v="1900-01-15T19:56:00"/>
  </r>
  <r>
    <d v="2020-01-26T00:00:00"/>
    <x v="4"/>
    <x v="0"/>
    <x v="25"/>
    <x v="0"/>
    <n v="26"/>
    <n v="58"/>
    <n v="57"/>
    <n v="0.98280000000000001"/>
    <n v="1"/>
    <d v="1899-12-30T00:00:04"/>
    <d v="1899-12-30T00:02:26"/>
    <d v="1899-12-30T00:00:58"/>
    <n v="0.94830000000000003"/>
    <d v="1899-12-30T02:18:42"/>
    <d v="1900-01-04T18:42:00"/>
    <d v="1899-12-30T02:21:08"/>
    <d v="1900-01-04T21:08:00"/>
  </r>
  <r>
    <d v="2020-01-27T00:00:00"/>
    <x v="5"/>
    <x v="0"/>
    <x v="26"/>
    <x v="0"/>
    <n v="27"/>
    <n v="160"/>
    <n v="153"/>
    <n v="0.95630000000000004"/>
    <n v="7"/>
    <d v="1899-12-30T00:00:10"/>
    <d v="1899-12-30T00:02:23"/>
    <d v="1899-12-30T00:02:45"/>
    <n v="0.84909999999999997"/>
    <d v="1899-12-30T06:04:39"/>
    <d v="1900-01-14T04:39:00"/>
    <d v="1899-12-30T06:21:20"/>
    <d v="1900-01-14T21:20:00"/>
  </r>
  <r>
    <d v="2020-01-28T00:00:00"/>
    <x v="6"/>
    <x v="0"/>
    <x v="27"/>
    <x v="0"/>
    <n v="28"/>
    <n v="86"/>
    <n v="79"/>
    <n v="0.91859999999999997"/>
    <n v="7"/>
    <d v="1899-12-30T00:00:32"/>
    <d v="1899-12-30T00:02:43"/>
    <d v="1899-12-30T00:04:40"/>
    <n v="0.61629999999999996"/>
    <d v="1899-12-30T03:34:37"/>
    <d v="1900-01-07T22:37:00"/>
    <d v="1899-12-30T03:53:38"/>
    <d v="1900-01-08T17:38:00"/>
  </r>
  <r>
    <d v="2020-01-29T00:00:00"/>
    <x v="0"/>
    <x v="0"/>
    <x v="28"/>
    <x v="0"/>
    <n v="29"/>
    <n v="180"/>
    <n v="170"/>
    <n v="0.94440000000000002"/>
    <n v="10"/>
    <d v="1899-12-30T00:00:23"/>
    <d v="1899-12-30T00:02:31"/>
    <d v="1899-12-30T00:05:45"/>
    <n v="0.77529999999999999"/>
    <d v="1899-12-30T07:07:50"/>
    <d v="1900-01-16T19:50:00"/>
    <d v="1899-12-30T07:33:00"/>
    <d v="1900-01-17T21:00:00"/>
  </r>
  <r>
    <d v="2020-01-30T00:00:00"/>
    <x v="1"/>
    <x v="0"/>
    <x v="29"/>
    <x v="0"/>
    <n v="30"/>
    <n v="210"/>
    <n v="192"/>
    <n v="0.9143"/>
    <n v="18"/>
    <d v="1899-12-30T00:00:26"/>
    <d v="1899-12-30T00:02:16"/>
    <d v="1899-12-30T00:05:35"/>
    <n v="0.67459999999999998"/>
    <d v="1899-12-30T07:15:12"/>
    <d v="1900-01-17T03:12:00"/>
    <d v="1899-12-30T07:56:00"/>
    <d v="1900-01-18T20:00:00"/>
  </r>
  <r>
    <d v="2020-01-31T00:00:00"/>
    <x v="2"/>
    <x v="0"/>
    <x v="30"/>
    <x v="0"/>
    <n v="31"/>
    <n v="163"/>
    <n v="157"/>
    <n v="0.96319999999999995"/>
    <n v="6"/>
    <d v="1899-12-30T00:00:14"/>
    <d v="1899-12-30T00:02:19"/>
    <d v="1899-12-30T00:02:55"/>
    <n v="0.81369999999999998"/>
    <d v="1899-12-30T06:03:43"/>
    <d v="1900-01-14T03:43:00"/>
    <d v="1899-12-30T06:17:37"/>
    <d v="1900-01-14T17:37:00"/>
  </r>
  <r>
    <d v="2020-02-01T00:00:00"/>
    <x v="3"/>
    <x v="1"/>
    <x v="0"/>
    <x v="0"/>
    <n v="32"/>
    <n v="143"/>
    <n v="140"/>
    <n v="0.97899999999999998"/>
    <n v="3"/>
    <d v="1899-12-30T00:00:15"/>
    <d v="1899-12-30T00:02:20"/>
    <d v="1899-12-30T00:04:43"/>
    <n v="0.82520000000000004"/>
    <d v="1899-12-30T05:26:40"/>
    <d v="1900-01-12T14:40:00"/>
    <d v="1899-12-30T05:33:40"/>
    <d v="1900-01-12T21:40:00"/>
  </r>
  <r>
    <d v="2020-02-02T00:00:00"/>
    <x v="4"/>
    <x v="1"/>
    <x v="1"/>
    <x v="0"/>
    <n v="33"/>
    <n v="57"/>
    <n v="55"/>
    <n v="0.96489999999999998"/>
    <n v="2"/>
    <d v="1899-12-30T00:00:06"/>
    <d v="1899-12-30T00:02:03"/>
    <d v="1899-12-30T00:01:50"/>
    <n v="0.9123"/>
    <d v="1899-12-30T01:52:45"/>
    <d v="1900-01-03T16:45:00"/>
    <d v="1899-12-30T01:56:51"/>
    <d v="1900-01-03T20:51:00"/>
  </r>
  <r>
    <d v="2020-02-03T00:00:00"/>
    <x v="5"/>
    <x v="1"/>
    <x v="2"/>
    <x v="0"/>
    <n v="34"/>
    <n v="179"/>
    <n v="172"/>
    <n v="0.96089999999999998"/>
    <n v="7"/>
    <d v="1899-12-30T00:00:13"/>
    <d v="1899-12-30T00:02:17"/>
    <d v="1899-12-30T00:03:23"/>
    <n v="0.82489999999999997"/>
    <d v="1899-12-30T06:32:44"/>
    <d v="1900-01-15T08:44:00"/>
    <d v="1899-12-30T06:48:43"/>
    <d v="1900-01-16T00:43:00"/>
  </r>
  <r>
    <d v="2020-02-04T00:00:00"/>
    <x v="6"/>
    <x v="1"/>
    <x v="3"/>
    <x v="0"/>
    <n v="35"/>
    <n v="194"/>
    <n v="184"/>
    <n v="0.94850000000000001"/>
    <n v="10"/>
    <d v="1899-12-30T00:00:24"/>
    <d v="1899-12-30T00:02:24"/>
    <d v="1899-12-30T00:03:19"/>
    <n v="0.70099999999999996"/>
    <d v="1899-12-30T07:21:36"/>
    <d v="1900-01-17T09:36:00"/>
    <d v="1899-12-30T07:45:36"/>
    <d v="1900-01-18T09:36:00"/>
  </r>
  <r>
    <d v="2020-02-05T00:00:00"/>
    <x v="0"/>
    <x v="1"/>
    <x v="4"/>
    <x v="0"/>
    <n v="36"/>
    <n v="201"/>
    <n v="196"/>
    <n v="0.97509999999999997"/>
    <n v="5"/>
    <d v="1899-12-30T00:00:15"/>
    <d v="1899-12-30T00:02:16"/>
    <d v="1899-12-30T00:04:53"/>
    <n v="0.81589999999999996"/>
    <d v="1899-12-30T07:24:16"/>
    <d v="1900-01-17T12:16:00"/>
    <d v="1899-12-30T07:35:36"/>
    <d v="1900-01-17T23:36:00"/>
  </r>
  <r>
    <d v="2020-02-06T00:00:00"/>
    <x v="1"/>
    <x v="1"/>
    <x v="5"/>
    <x v="0"/>
    <n v="37"/>
    <n v="218"/>
    <n v="189"/>
    <n v="0.86699999999999999"/>
    <n v="29"/>
    <d v="1899-12-30T00:00:32"/>
    <d v="1899-12-30T00:02:37"/>
    <d v="1899-12-30T00:08:04"/>
    <n v="0.57410000000000005"/>
    <d v="1899-12-30T08:14:33"/>
    <d v="1900-01-19T14:33:00"/>
    <d v="1899-12-30T09:30:26"/>
    <d v="1900-01-22T18:26:00"/>
  </r>
  <r>
    <d v="2020-02-07T00:00:00"/>
    <x v="2"/>
    <x v="1"/>
    <x v="6"/>
    <x v="0"/>
    <n v="38"/>
    <n v="194"/>
    <n v="190"/>
    <n v="0.97940000000000005"/>
    <n v="4"/>
    <d v="1899-12-30T00:00:16"/>
    <d v="1899-12-30T00:02:22"/>
    <d v="1899-12-30T00:02:02"/>
    <n v="0.81769999999999998"/>
    <d v="1899-12-30T07:29:40"/>
    <d v="1900-01-17T17:40:00"/>
    <d v="1899-12-30T07:39:08"/>
    <d v="1900-01-18T03:08:00"/>
  </r>
  <r>
    <d v="2020-02-08T00:00:00"/>
    <x v="3"/>
    <x v="1"/>
    <x v="7"/>
    <x v="0"/>
    <n v="39"/>
    <n v="227"/>
    <n v="219"/>
    <n v="0.96479999999999999"/>
    <n v="8"/>
    <d v="1899-12-30T00:00:15"/>
    <d v="1899-12-30T00:02:44"/>
    <d v="1899-12-30T00:03:55"/>
    <n v="0.83630000000000004"/>
    <d v="1899-12-30T09:58:36"/>
    <d v="1900-01-23T22:36:00"/>
    <d v="1899-12-30T10:20:28"/>
    <d v="1900-01-24T20:28:00"/>
  </r>
  <r>
    <d v="2020-02-09T00:00:00"/>
    <x v="4"/>
    <x v="1"/>
    <x v="8"/>
    <x v="0"/>
    <n v="40"/>
    <n v="52"/>
    <n v="52"/>
    <n v="1"/>
    <n v="0"/>
    <d v="1899-12-30T00:00:09"/>
    <d v="1899-12-30T00:02:16"/>
    <d v="1899-12-30T00:00:52"/>
    <n v="0.94230000000000003"/>
    <d v="1899-12-30T01:57:52"/>
    <d v="1900-01-03T21:52:00"/>
    <d v="1899-12-30T01:57:52"/>
    <d v="1900-01-03T21:52:00"/>
  </r>
  <r>
    <d v="2020-02-10T00:00:00"/>
    <x v="5"/>
    <x v="1"/>
    <x v="9"/>
    <x v="0"/>
    <n v="41"/>
    <n v="385"/>
    <n v="370"/>
    <n v="0.96099999999999997"/>
    <n v="15"/>
    <d v="1899-12-30T00:00:20"/>
    <d v="1899-12-30T00:02:11"/>
    <d v="1899-12-30T00:03:10"/>
    <n v="0.76190000000000002"/>
    <d v="1899-12-30T13:27:50"/>
    <d v="1900-02-01T15:50:00"/>
    <d v="1899-12-30T14:00:35"/>
    <d v="1900-02-03T00:35:00"/>
  </r>
  <r>
    <d v="2020-02-11T00:00:00"/>
    <x v="6"/>
    <x v="1"/>
    <x v="10"/>
    <x v="0"/>
    <n v="42"/>
    <n v="137"/>
    <n v="130"/>
    <n v="0.94889999999999997"/>
    <n v="7"/>
    <d v="1899-12-30T00:00:16"/>
    <d v="1899-12-30T00:02:26"/>
    <d v="1899-12-30T00:09:47"/>
    <n v="0.7591"/>
    <d v="1899-12-30T05:16:20"/>
    <d v="1900-01-12T04:20:00"/>
    <d v="1899-12-30T05:33:22"/>
    <d v="1900-01-12T21:22:00"/>
  </r>
  <r>
    <d v="2020-02-12T00:00:00"/>
    <x v="0"/>
    <x v="1"/>
    <x v="11"/>
    <x v="0"/>
    <n v="43"/>
    <n v="254"/>
    <n v="252"/>
    <n v="0.99209999999999998"/>
    <n v="2"/>
    <d v="1899-12-30T00:00:10"/>
    <d v="1899-12-30T00:02:08"/>
    <d v="1899-12-30T00:01:10"/>
    <n v="0.91339999999999999"/>
    <d v="1899-12-30T08:57:36"/>
    <d v="1900-01-21T09:36:00"/>
    <d v="1899-12-30T09:01:52"/>
    <d v="1900-01-21T13:52:00"/>
  </r>
  <r>
    <d v="2020-02-13T00:00:00"/>
    <x v="1"/>
    <x v="1"/>
    <x v="12"/>
    <x v="0"/>
    <n v="44"/>
    <n v="211"/>
    <n v="206"/>
    <n v="0.97629999999999995"/>
    <n v="5"/>
    <d v="1899-12-30T00:00:11"/>
    <d v="1899-12-30T00:02:24"/>
    <d v="1899-12-30T00:04:37"/>
    <n v="0.87139999999999995"/>
    <d v="1899-12-30T08:14:24"/>
    <d v="1900-01-19T14:24:00"/>
    <d v="1899-12-30T08:26:24"/>
    <d v="1900-01-20T02:24:00"/>
  </r>
  <r>
    <d v="2020-02-14T00:00:00"/>
    <x v="2"/>
    <x v="1"/>
    <x v="13"/>
    <x v="0"/>
    <n v="45"/>
    <n v="282"/>
    <n v="279"/>
    <n v="0.98939999999999995"/>
    <n v="3"/>
    <d v="1899-12-30T00:00:07"/>
    <d v="1899-12-30T00:02:18"/>
    <d v="1899-12-30T00:01:11"/>
    <n v="0.93210000000000004"/>
    <d v="1899-12-30T10:41:42"/>
    <d v="1900-01-25T17:42:00"/>
    <d v="1899-12-30T10:48:36"/>
    <d v="1900-01-26T00:36:00"/>
  </r>
  <r>
    <d v="2020-02-15T00:00:00"/>
    <x v="3"/>
    <x v="1"/>
    <x v="14"/>
    <x v="0"/>
    <n v="46"/>
    <n v="262"/>
    <n v="260"/>
    <n v="0.99239999999999995"/>
    <n v="2"/>
    <d v="1899-12-30T00:00:08"/>
    <d v="1899-12-30T00:02:31"/>
    <d v="1899-12-30T00:01:13"/>
    <n v="0.90800000000000003"/>
    <d v="1899-12-30T10:54:20"/>
    <d v="1900-01-26T06:20:00"/>
    <d v="1899-12-30T10:59:22"/>
    <d v="1900-01-26T11:22:00"/>
  </r>
  <r>
    <d v="2020-02-16T00:00:00"/>
    <x v="4"/>
    <x v="1"/>
    <x v="15"/>
    <x v="0"/>
    <n v="47"/>
    <n v="65"/>
    <n v="63"/>
    <n v="0.96919999999999995"/>
    <n v="2"/>
    <d v="1899-12-30T00:00:12"/>
    <d v="1899-12-30T00:02:22"/>
    <d v="1899-12-30T00:02:10"/>
    <n v="0.85940000000000005"/>
    <d v="1899-12-30T02:29:06"/>
    <d v="1900-01-05T05:06:00"/>
    <d v="1899-12-30T02:33:50"/>
    <d v="1900-01-05T09:50:00"/>
  </r>
  <r>
    <d v="2020-02-17T00:00:00"/>
    <x v="5"/>
    <x v="1"/>
    <x v="16"/>
    <x v="0"/>
    <n v="48"/>
    <n v="325"/>
    <n v="323"/>
    <n v="0.99380000000000002"/>
    <n v="2"/>
    <d v="1899-12-30T00:00:05"/>
    <d v="1899-12-30T00:02:13"/>
    <d v="1899-12-30T00:01:14"/>
    <n v="0.96899999999999997"/>
    <d v="1899-12-30T11:55:59"/>
    <d v="1900-01-28T19:59:00"/>
    <d v="1899-12-30T12:00:25"/>
    <d v="1900-01-29T00:25:00"/>
  </r>
  <r>
    <d v="2020-02-18T00:00:00"/>
    <x v="6"/>
    <x v="1"/>
    <x v="17"/>
    <x v="0"/>
    <n v="49"/>
    <n v="235"/>
    <n v="230"/>
    <n v="0.97870000000000001"/>
    <n v="5"/>
    <d v="1899-12-30T00:00:05"/>
    <d v="1899-12-30T00:02:19"/>
    <d v="1899-12-30T00:00:58"/>
    <n v="0.96140000000000003"/>
    <d v="1899-12-30T08:52:50"/>
    <d v="1900-01-21T04:50:00"/>
    <d v="1899-12-30T09:04:25"/>
    <d v="1900-01-21T16:25:00"/>
  </r>
  <r>
    <d v="2020-02-19T00:00:00"/>
    <x v="0"/>
    <x v="1"/>
    <x v="18"/>
    <x v="0"/>
    <n v="50"/>
    <n v="215"/>
    <n v="212"/>
    <n v="0.98599999999999999"/>
    <n v="3"/>
    <d v="1899-12-30T00:00:05"/>
    <d v="1899-12-30T00:02:14"/>
    <d v="1899-12-30T00:00:58"/>
    <n v="0.95809999999999995"/>
    <d v="1899-12-30T07:53:28"/>
    <d v="1900-01-18T17:28:00"/>
    <d v="1899-12-30T08:00:10"/>
    <d v="1900-01-19T00:10:00"/>
  </r>
  <r>
    <d v="2020-02-20T00:00:00"/>
    <x v="1"/>
    <x v="1"/>
    <x v="19"/>
    <x v="0"/>
    <n v="51"/>
    <n v="85"/>
    <n v="85"/>
    <n v="1"/>
    <n v="0"/>
    <d v="1899-12-30T00:00:03"/>
    <d v="1899-12-30T00:02:26"/>
    <d v="1899-12-30T00:00:55"/>
    <n v="0.97650000000000003"/>
    <d v="1899-12-30T03:26:50"/>
    <d v="1900-01-07T14:50:00"/>
    <d v="1899-12-30T03:26:50"/>
    <d v="1900-01-07T14:50:00"/>
  </r>
  <r>
    <d v="2020-02-21T00:00:00"/>
    <x v="2"/>
    <x v="1"/>
    <x v="20"/>
    <x v="0"/>
    <n v="52"/>
    <n v="195"/>
    <n v="195"/>
    <n v="1"/>
    <n v="0"/>
    <d v="1899-12-30T00:00:05"/>
    <d v="1899-12-30T00:02:24"/>
    <d v="1899-12-30T00:02:13"/>
    <n v="0.97440000000000004"/>
    <d v="1899-12-30T07:48:00"/>
    <d v="1900-01-18T12:00:00"/>
    <d v="1899-12-30T07:48:00"/>
    <d v="1900-01-18T12:00:00"/>
  </r>
  <r>
    <d v="2020-02-22T00:00:00"/>
    <x v="3"/>
    <x v="1"/>
    <x v="21"/>
    <x v="0"/>
    <n v="53"/>
    <n v="188"/>
    <n v="182"/>
    <n v="0.96809999999999996"/>
    <n v="6"/>
    <d v="1899-12-30T00:00:15"/>
    <d v="1899-12-30T00:02:14"/>
    <d v="1899-12-30T00:01:51"/>
    <n v="0.83609999999999995"/>
    <d v="1899-12-30T06:46:28"/>
    <d v="1900-01-15T22:28:00"/>
    <d v="1899-12-30T06:59:52"/>
    <d v="1900-01-16T11:52:00"/>
  </r>
  <r>
    <d v="2020-02-23T00:00:00"/>
    <x v="4"/>
    <x v="1"/>
    <x v="22"/>
    <x v="0"/>
    <n v="54"/>
    <n v="58"/>
    <n v="58"/>
    <n v="1"/>
    <n v="0"/>
    <d v="1899-12-30T00:00:06"/>
    <d v="1899-12-30T00:02:22"/>
    <d v="1899-12-30T00:00:52"/>
    <n v="0.94830000000000003"/>
    <d v="1899-12-30T02:17:16"/>
    <d v="1900-01-04T17:16:00"/>
    <d v="1899-12-30T02:17:16"/>
    <d v="1900-01-04T17:16:00"/>
  </r>
  <r>
    <d v="2020-02-24T00:00:00"/>
    <x v="5"/>
    <x v="1"/>
    <x v="23"/>
    <x v="0"/>
    <n v="55"/>
    <n v="251"/>
    <n v="247"/>
    <n v="0.98409999999999997"/>
    <n v="4"/>
    <d v="1899-12-30T00:00:14"/>
    <d v="1899-12-30T00:02:16"/>
    <d v="1899-12-30T00:01:53"/>
    <n v="0.83530000000000004"/>
    <d v="1899-12-30T09:19:52"/>
    <d v="1900-01-22T07:52:00"/>
    <d v="1899-12-30T09:28:56"/>
    <d v="1900-01-22T16:56:00"/>
  </r>
  <r>
    <d v="2020-02-25T00:00:00"/>
    <x v="6"/>
    <x v="1"/>
    <x v="24"/>
    <x v="0"/>
    <n v="56"/>
    <n v="181"/>
    <n v="178"/>
    <n v="0.98340000000000005"/>
    <n v="3"/>
    <d v="1899-12-30T00:00:12"/>
    <d v="1899-12-30T00:02:24"/>
    <d v="1899-12-30T00:01:57"/>
    <n v="0.8619"/>
    <d v="1899-12-30T07:07:12"/>
    <d v="1900-01-16T19:12:00"/>
    <d v="1899-12-30T07:14:24"/>
    <d v="1900-01-17T02:24:00"/>
  </r>
  <r>
    <d v="2020-02-26T00:00:00"/>
    <x v="0"/>
    <x v="1"/>
    <x v="25"/>
    <x v="0"/>
    <n v="57"/>
    <n v="228"/>
    <n v="213"/>
    <n v="0.93420000000000003"/>
    <n v="15"/>
    <d v="1899-12-30T00:00:26"/>
    <d v="1899-12-30T00:02:16"/>
    <d v="1899-12-30T00:03:07"/>
    <n v="0.63560000000000005"/>
    <d v="1899-12-30T08:02:48"/>
    <d v="1900-01-19T02:48:00"/>
    <d v="1899-12-30T08:36:48"/>
    <d v="1900-01-20T12:48:00"/>
  </r>
  <r>
    <d v="2020-02-27T00:00:00"/>
    <x v="1"/>
    <x v="1"/>
    <x v="26"/>
    <x v="0"/>
    <n v="58"/>
    <n v="165"/>
    <n v="163"/>
    <n v="0.9879"/>
    <n v="2"/>
    <d v="1899-12-30T00:00:09"/>
    <d v="1899-12-30T00:02:25"/>
    <d v="1899-12-30T00:02:20"/>
    <n v="0.90239999999999998"/>
    <d v="1899-12-30T06:33:55"/>
    <d v="1900-01-15T09:55:00"/>
    <d v="1899-12-30T06:38:45"/>
    <d v="1900-01-15T14:45:00"/>
  </r>
  <r>
    <d v="2020-02-28T00:00:00"/>
    <x v="2"/>
    <x v="1"/>
    <x v="27"/>
    <x v="0"/>
    <n v="59"/>
    <n v="185"/>
    <n v="179"/>
    <n v="0.96760000000000002"/>
    <n v="6"/>
    <d v="1899-12-30T00:00:17"/>
    <d v="1899-12-30T00:02:17"/>
    <d v="1899-12-30T00:02:33"/>
    <n v="0.78569999999999995"/>
    <d v="1899-12-30T06:48:43"/>
    <d v="1900-01-16T00:43:00"/>
    <d v="1899-12-30T07:02:25"/>
    <d v="1900-01-16T14:25:00"/>
  </r>
  <r>
    <d v="2020-02-29T00:00:00"/>
    <x v="3"/>
    <x v="1"/>
    <x v="28"/>
    <x v="0"/>
    <n v="60"/>
    <n v="172"/>
    <n v="164"/>
    <n v="0.95350000000000001"/>
    <n v="8"/>
    <d v="1899-12-30T00:00:18"/>
    <d v="1899-12-30T00:02:27"/>
    <d v="1899-12-30T00:04:09"/>
    <n v="0.77059999999999995"/>
    <d v="1899-12-30T06:41:48"/>
    <d v="1900-01-15T17:48:00"/>
    <d v="1899-12-30T07:01:24"/>
    <d v="1900-01-16T13:24:00"/>
  </r>
  <r>
    <d v="2020-03-01T00:00:00"/>
    <x v="4"/>
    <x v="2"/>
    <x v="0"/>
    <x v="0"/>
    <n v="61"/>
    <n v="57"/>
    <n v="51"/>
    <n v="0.89470000000000005"/>
    <n v="6"/>
    <d v="1899-12-30T00:00:07"/>
    <d v="1899-12-30T00:01:47"/>
    <d v="1899-12-30T00:03:40"/>
    <n v="0.90569999999999995"/>
    <d v="1899-12-30T01:30:57"/>
    <d v="1900-01-02T18:57:00"/>
    <d v="1899-12-30T01:41:39"/>
    <d v="1900-01-03T05:39:00"/>
  </r>
  <r>
    <d v="2020-03-02T00:00:00"/>
    <x v="5"/>
    <x v="2"/>
    <x v="1"/>
    <x v="0"/>
    <n v="62"/>
    <n v="200"/>
    <n v="192"/>
    <n v="0.96"/>
    <n v="8"/>
    <d v="1899-12-30T00:00:10"/>
    <d v="1899-12-30T00:02:18"/>
    <d v="1899-12-30T00:02:49"/>
    <n v="0.86429999999999996"/>
    <d v="1899-12-30T07:21:36"/>
    <d v="1900-01-17T09:36:00"/>
    <d v="1899-12-30T07:40:00"/>
    <d v="1900-01-18T04:00:00"/>
  </r>
  <r>
    <d v="2020-03-03T00:00:00"/>
    <x v="6"/>
    <x v="2"/>
    <x v="2"/>
    <x v="0"/>
    <n v="63"/>
    <n v="202"/>
    <n v="199"/>
    <n v="0.98509999999999998"/>
    <n v="3"/>
    <d v="1899-12-30T00:00:08"/>
    <d v="1899-12-30T00:02:05"/>
    <d v="1899-12-30T00:01:17"/>
    <n v="0.91"/>
    <d v="1899-12-30T06:54:35"/>
    <d v="1900-01-16T06:35:00"/>
    <d v="1899-12-30T07:00:50"/>
    <d v="1900-01-16T12:50:00"/>
  </r>
  <r>
    <d v="2020-03-04T00:00:00"/>
    <x v="0"/>
    <x v="2"/>
    <x v="3"/>
    <x v="0"/>
    <n v="64"/>
    <n v="217"/>
    <n v="212"/>
    <n v="0.97699999999999998"/>
    <n v="5"/>
    <d v="1899-12-30T00:00:07"/>
    <d v="1899-12-30T00:01:55"/>
    <d v="1899-12-30T00:01:50"/>
    <n v="0.94420000000000004"/>
    <d v="1899-12-30T06:46:20"/>
    <d v="1900-01-15T22:20:00"/>
    <d v="1899-12-30T06:55:55"/>
    <d v="1900-01-16T07:55:00"/>
  </r>
  <r>
    <d v="2020-03-05T00:00:00"/>
    <x v="1"/>
    <x v="2"/>
    <x v="4"/>
    <x v="0"/>
    <n v="65"/>
    <n v="225"/>
    <n v="223"/>
    <n v="0.99109999999999998"/>
    <n v="2"/>
    <d v="1899-12-30T00:00:09"/>
    <d v="1899-12-30T00:02:09"/>
    <d v="1899-12-30T00:01:06"/>
    <n v="0.91930000000000001"/>
    <d v="1899-12-30T07:59:27"/>
    <d v="1900-01-18T23:27:00"/>
    <d v="1899-12-30T08:03:45"/>
    <d v="1900-01-19T03:45:00"/>
  </r>
  <r>
    <d v="2020-03-06T00:00:00"/>
    <x v="2"/>
    <x v="2"/>
    <x v="5"/>
    <x v="0"/>
    <n v="66"/>
    <n v="235"/>
    <n v="231"/>
    <n v="0.98299999999999998"/>
    <n v="4"/>
    <d v="1899-12-30T00:00:08"/>
    <d v="1899-12-30T00:02:19"/>
    <d v="1899-12-30T00:01:06"/>
    <n v="0.95709999999999995"/>
    <d v="1899-12-30T08:55:09"/>
    <d v="1900-01-21T07:09:00"/>
    <d v="1899-12-30T09:04:25"/>
    <d v="1900-01-21T16:25:00"/>
  </r>
  <r>
    <d v="2020-03-07T00:00:00"/>
    <x v="3"/>
    <x v="2"/>
    <x v="6"/>
    <x v="0"/>
    <n v="67"/>
    <n v="202"/>
    <n v="201"/>
    <n v="0.995"/>
    <n v="1"/>
    <d v="1899-12-30T00:00:08"/>
    <d v="1899-12-30T00:02:21"/>
    <d v="1899-12-30T00:01:53"/>
    <n v="0.94550000000000001"/>
    <d v="1899-12-30T07:52:21"/>
    <d v="1900-01-18T16:21:00"/>
    <d v="1899-12-30T07:54:42"/>
    <d v="1900-01-18T18:42:00"/>
  </r>
  <r>
    <d v="2020-03-08T00:00:00"/>
    <x v="4"/>
    <x v="2"/>
    <x v="7"/>
    <x v="0"/>
    <n v="68"/>
    <n v="43"/>
    <n v="39"/>
    <n v="0.90700000000000003"/>
    <n v="4"/>
    <d v="1899-12-30T00:00:11"/>
    <d v="1899-12-30T00:02:15"/>
    <d v="1899-12-30T00:01:50"/>
    <n v="0.76190000000000002"/>
    <d v="1899-12-30T01:27:45"/>
    <d v="1900-01-02T15:45:00"/>
    <d v="1899-12-30T01:36:45"/>
    <d v="1900-01-03T00:45:00"/>
  </r>
  <r>
    <d v="2020-03-09T00:00:00"/>
    <x v="5"/>
    <x v="2"/>
    <x v="8"/>
    <x v="0"/>
    <n v="69"/>
    <n v="194"/>
    <n v="187"/>
    <n v="0.96389999999999998"/>
    <n v="7"/>
    <d v="1899-12-30T00:00:10"/>
    <d v="1899-12-30T00:02:27"/>
    <d v="1899-12-30T00:02:30"/>
    <n v="0.87429999999999997"/>
    <d v="1899-12-30T07:38:09"/>
    <d v="1900-01-18T02:09:00"/>
    <d v="1899-12-30T07:55:18"/>
    <d v="1900-01-18T19:18:00"/>
  </r>
  <r>
    <d v="2020-03-10T00:00:00"/>
    <x v="6"/>
    <x v="2"/>
    <x v="9"/>
    <x v="0"/>
    <n v="70"/>
    <n v="202"/>
    <n v="199"/>
    <n v="0.98509999999999998"/>
    <n v="3"/>
    <d v="1899-12-30T00:00:13"/>
    <d v="1899-12-30T00:02:23"/>
    <d v="1899-12-30T00:01:58"/>
    <n v="0.86070000000000002"/>
    <d v="1899-12-30T07:54:17"/>
    <d v="1900-01-18T18:17:00"/>
    <d v="1899-12-30T08:01:26"/>
    <d v="1900-01-19T01:26:00"/>
  </r>
  <r>
    <d v="2020-03-11T00:00:00"/>
    <x v="0"/>
    <x v="2"/>
    <x v="10"/>
    <x v="0"/>
    <n v="71"/>
    <n v="146"/>
    <n v="140"/>
    <n v="0.95889999999999997"/>
    <n v="6"/>
    <d v="1899-12-30T00:00:12"/>
    <d v="1899-12-30T00:02:13"/>
    <d v="1899-12-30T00:04:35"/>
    <n v="0.83450000000000002"/>
    <d v="1899-12-30T05:10:20"/>
    <d v="1900-01-11T22:20:00"/>
    <d v="1899-12-30T05:23:38"/>
    <d v="1900-01-12T11:38:00"/>
  </r>
  <r>
    <d v="2020-03-12T00:00:00"/>
    <x v="1"/>
    <x v="2"/>
    <x v="11"/>
    <x v="0"/>
    <n v="72"/>
    <n v="147"/>
    <n v="145"/>
    <n v="0.98640000000000005"/>
    <n v="2"/>
    <d v="1899-12-30T00:00:09"/>
    <d v="1899-12-30T00:02:15"/>
    <d v="1899-12-30T00:00:58"/>
    <n v="0.91159999999999997"/>
    <d v="1899-12-30T05:26:15"/>
    <d v="1900-01-12T14:15:00"/>
    <d v="1899-12-30T05:30:45"/>
    <d v="1900-01-12T18:45:00"/>
  </r>
  <r>
    <d v="2020-03-13T00:00:00"/>
    <x v="2"/>
    <x v="2"/>
    <x v="12"/>
    <x v="0"/>
    <n v="73"/>
    <n v="155"/>
    <n v="145"/>
    <n v="0.9355"/>
    <n v="10"/>
    <d v="1899-12-30T00:00:12"/>
    <d v="1899-12-30T00:02:33"/>
    <d v="1899-12-30T00:04:33"/>
    <n v="0.82240000000000002"/>
    <d v="1899-12-30T06:09:45"/>
    <d v="1900-01-14T09:45:00"/>
    <d v="1899-12-30T06:35:15"/>
    <d v="1900-01-15T11:15:00"/>
  </r>
  <r>
    <d v="2020-03-14T00:00:00"/>
    <x v="3"/>
    <x v="2"/>
    <x v="13"/>
    <x v="0"/>
    <n v="74"/>
    <n v="157"/>
    <n v="156"/>
    <n v="0.99360000000000004"/>
    <n v="1"/>
    <d v="1899-12-30T00:00:09"/>
    <d v="1899-12-30T00:02:24"/>
    <d v="1899-12-30T00:00:53"/>
    <n v="0.92949999999999999"/>
    <d v="1899-12-30T06:14:24"/>
    <d v="1900-01-14T14:24:00"/>
    <d v="1899-12-30T06:16:48"/>
    <d v="1900-01-14T16:48:00"/>
  </r>
  <r>
    <d v="2020-03-15T00:00:00"/>
    <x v="4"/>
    <x v="2"/>
    <x v="14"/>
    <x v="0"/>
    <n v="75"/>
    <n v="38"/>
    <n v="36"/>
    <n v="0.94740000000000002"/>
    <n v="2"/>
    <d v="1899-12-30T00:00:13"/>
    <d v="1899-12-30T00:02:11"/>
    <d v="1899-12-30T00:00:59"/>
    <n v="0.83779999999999999"/>
    <d v="1899-12-30T01:18:36"/>
    <d v="1900-01-02T06:36:00"/>
    <d v="1899-12-30T01:22:58"/>
    <d v="1900-01-02T10:58:00"/>
  </r>
  <r>
    <d v="2020-03-16T00:00:00"/>
    <x v="5"/>
    <x v="2"/>
    <x v="15"/>
    <x v="0"/>
    <n v="76"/>
    <n v="166"/>
    <n v="162"/>
    <n v="0.97589999999999999"/>
    <n v="4"/>
    <d v="1899-12-30T00:00:09"/>
    <d v="1899-12-30T00:02:29"/>
    <d v="1899-12-30T00:02:45"/>
    <n v="0.89090000000000003"/>
    <d v="1899-12-30T06:42:18"/>
    <d v="1900-01-15T18:18:00"/>
    <d v="1899-12-30T06:52:14"/>
    <d v="1900-01-16T04:14:00"/>
  </r>
  <r>
    <d v="2020-03-17T00:00:00"/>
    <x v="6"/>
    <x v="2"/>
    <x v="16"/>
    <x v="0"/>
    <n v="77"/>
    <n v="226"/>
    <n v="216"/>
    <n v="0.95579999999999998"/>
    <n v="10"/>
    <d v="1899-12-30T00:00:13"/>
    <d v="1899-12-30T00:02:15"/>
    <d v="1899-12-30T00:01:46"/>
    <n v="0.8145"/>
    <d v="1899-12-30T08:06:00"/>
    <d v="1900-01-19T06:00:00"/>
    <d v="1899-12-30T08:28:30"/>
    <d v="1900-01-20T04:30:00"/>
  </r>
  <r>
    <d v="2020-03-18T00:00:00"/>
    <x v="0"/>
    <x v="2"/>
    <x v="17"/>
    <x v="0"/>
    <n v="78"/>
    <n v="253"/>
    <n v="247"/>
    <n v="0.97629999999999995"/>
    <n v="6"/>
    <d v="1899-12-30T00:00:10"/>
    <d v="1899-12-30T00:01:54"/>
    <d v="1899-12-30T00:01:17"/>
    <n v="0.88490000000000002"/>
    <d v="1899-12-30T07:49:18"/>
    <d v="1900-01-18T13:18:00"/>
    <d v="1899-12-30T08:00:42"/>
    <d v="1900-01-19T00:42:00"/>
  </r>
  <r>
    <d v="2020-03-19T00:00:00"/>
    <x v="1"/>
    <x v="2"/>
    <x v="18"/>
    <x v="0"/>
    <n v="79"/>
    <n v="134"/>
    <n v="134"/>
    <n v="1"/>
    <n v="0"/>
    <d v="1899-12-30T00:00:03"/>
    <d v="1899-12-30T00:02:13"/>
    <d v="1899-12-30T00:00:26"/>
    <n v="1"/>
    <d v="1899-12-30T04:57:02"/>
    <d v="1900-01-11T09:02:00"/>
    <d v="1899-12-30T04:57:02"/>
    <d v="1900-01-11T09:02:00"/>
  </r>
  <r>
    <d v="2020-03-20T00:00:00"/>
    <x v="2"/>
    <x v="2"/>
    <x v="19"/>
    <x v="0"/>
    <n v="80"/>
    <n v="70"/>
    <n v="67"/>
    <n v="0.95709999999999995"/>
    <n v="3"/>
    <d v="1899-12-30T00:00:12"/>
    <d v="1899-12-30T00:02:01"/>
    <d v="1899-12-30T00:01:16"/>
    <n v="0.83819999999999995"/>
    <d v="1899-12-30T02:15:07"/>
    <d v="1900-01-04T15:07:00"/>
    <d v="1899-12-30T02:21:10"/>
    <d v="1900-01-04T21:10:00"/>
  </r>
  <r>
    <d v="2020-03-21T00:00:00"/>
    <x v="3"/>
    <x v="2"/>
    <x v="20"/>
    <x v="0"/>
    <n v="81"/>
    <n v="83"/>
    <n v="82"/>
    <n v="0.98799999999999999"/>
    <n v="1"/>
    <d v="1899-12-30T00:00:07"/>
    <d v="1899-12-30T00:02:03"/>
    <d v="1899-12-30T00:01:16"/>
    <n v="0.95179999999999998"/>
    <d v="1899-12-30T02:48:06"/>
    <d v="1900-01-06T00:06:00"/>
    <d v="1899-12-30T02:50:09"/>
    <d v="1900-01-06T02:09:00"/>
  </r>
  <r>
    <d v="2020-03-22T00:00:00"/>
    <x v="4"/>
    <x v="2"/>
    <x v="21"/>
    <x v="0"/>
    <n v="82"/>
    <n v="42"/>
    <n v="40"/>
    <n v="0.95240000000000002"/>
    <n v="2"/>
    <d v="1899-12-30T00:00:08"/>
    <d v="1899-12-30T00:01:51"/>
    <d v="1899-12-30T00:01:36"/>
    <n v="0.90239999999999998"/>
    <d v="1899-12-30T01:14:00"/>
    <d v="1900-01-02T02:00:00"/>
    <d v="1899-12-30T01:17:42"/>
    <d v="1900-01-02T05:42:00"/>
  </r>
  <r>
    <d v="2020-03-23T00:00:00"/>
    <x v="5"/>
    <x v="2"/>
    <x v="22"/>
    <x v="0"/>
    <n v="83"/>
    <n v="66"/>
    <n v="64"/>
    <n v="0.96970000000000001"/>
    <n v="2"/>
    <d v="1899-12-30T00:00:05"/>
    <d v="1899-12-30T00:02:00"/>
    <d v="1899-12-30T00:01:39"/>
    <n v="0.95450000000000002"/>
    <d v="1899-12-30T02:08:00"/>
    <d v="1900-01-04T08:00:00"/>
    <d v="1899-12-30T02:12:00"/>
    <d v="1900-01-04T12:00:00"/>
  </r>
  <r>
    <d v="2020-03-24T00:00:00"/>
    <x v="6"/>
    <x v="2"/>
    <x v="23"/>
    <x v="0"/>
    <n v="84"/>
    <n v="153"/>
    <n v="146"/>
    <n v="0.95420000000000005"/>
    <n v="7"/>
    <d v="1899-12-30T00:00:20"/>
    <d v="1899-12-30T00:02:08"/>
    <d v="1899-12-30T00:04:32"/>
    <n v="0.76"/>
    <d v="1899-12-30T05:11:28"/>
    <d v="1900-01-11T23:28:00"/>
    <d v="1899-12-30T05:26:24"/>
    <d v="1900-01-12T14:24:00"/>
  </r>
  <r>
    <d v="2020-03-25T00:00:00"/>
    <x v="0"/>
    <x v="2"/>
    <x v="24"/>
    <x v="0"/>
    <n v="85"/>
    <n v="141"/>
    <n v="135"/>
    <n v="0.95740000000000003"/>
    <n v="6"/>
    <d v="1899-12-30T00:00:23"/>
    <d v="1899-12-30T00:02:06"/>
    <d v="1899-12-30T00:02:15"/>
    <n v="0.66910000000000003"/>
    <d v="1899-12-30T04:43:30"/>
    <d v="1900-01-10T19:30:00"/>
    <d v="1899-12-30T04:56:06"/>
    <d v="1900-01-11T08:06:00"/>
  </r>
  <r>
    <d v="2020-03-26T00:00:00"/>
    <x v="1"/>
    <x v="2"/>
    <x v="25"/>
    <x v="0"/>
    <n v="86"/>
    <n v="146"/>
    <n v="143"/>
    <n v="0.97950000000000004"/>
    <n v="3"/>
    <d v="1899-12-30T00:00:17"/>
    <d v="1899-12-30T00:01:57"/>
    <d v="1899-12-30T00:02:27"/>
    <n v="0.78320000000000001"/>
    <d v="1899-12-30T04:38:51"/>
    <d v="1900-01-10T14:51:00"/>
    <d v="1899-12-30T04:44:42"/>
    <d v="1900-01-10T20:42:00"/>
  </r>
  <r>
    <d v="2020-03-27T00:00:00"/>
    <x v="2"/>
    <x v="2"/>
    <x v="26"/>
    <x v="0"/>
    <n v="87"/>
    <n v="144"/>
    <n v="140"/>
    <n v="0.97219999999999995"/>
    <n v="4"/>
    <d v="1899-12-30T00:00:12"/>
    <d v="1899-12-30T00:01:53"/>
    <d v="1899-12-30T00:02:05"/>
    <n v="0.84030000000000005"/>
    <d v="1899-12-30T04:23:40"/>
    <d v="1900-01-09T23:40:00"/>
    <d v="1899-12-30T04:31:12"/>
    <d v="1900-01-10T07:12:00"/>
  </r>
  <r>
    <d v="2020-03-28T00:00:00"/>
    <x v="3"/>
    <x v="2"/>
    <x v="27"/>
    <x v="0"/>
    <n v="88"/>
    <n v="105"/>
    <n v="103"/>
    <n v="0.98099999999999998"/>
    <n v="2"/>
    <d v="1899-12-30T00:00:17"/>
    <d v="1899-12-30T00:01:55"/>
    <d v="1899-12-30T00:02:01"/>
    <n v="0.76190000000000002"/>
    <d v="1899-12-30T03:17:25"/>
    <d v="1900-01-07T05:25:00"/>
    <d v="1899-12-30T03:21:15"/>
    <d v="1900-01-07T09:15:00"/>
  </r>
  <r>
    <d v="2020-03-29T00:00:00"/>
    <x v="4"/>
    <x v="2"/>
    <x v="28"/>
    <x v="0"/>
    <n v="89"/>
    <n v="36"/>
    <n v="35"/>
    <n v="0.97219999999999995"/>
    <n v="1"/>
    <d v="1899-12-30T00:00:16"/>
    <d v="1899-12-30T00:01:54"/>
    <d v="1899-12-30T00:01:31"/>
    <n v="0.77139999999999997"/>
    <d v="1899-12-30T01:06:30"/>
    <d v="1900-01-01T18:30:00"/>
    <d v="1899-12-30T01:08:24"/>
    <d v="1900-01-01T20:24:00"/>
  </r>
  <r>
    <d v="2020-03-30T00:00:00"/>
    <x v="5"/>
    <x v="2"/>
    <x v="29"/>
    <x v="0"/>
    <n v="90"/>
    <n v="61"/>
    <n v="57"/>
    <n v="0.93440000000000001"/>
    <n v="4"/>
    <d v="1899-12-30T00:00:04"/>
    <d v="1899-12-30T00:02:00"/>
    <d v="1899-12-30T00:03:41"/>
    <n v="0.91669999999999996"/>
    <d v="1899-12-30T01:54:00"/>
    <d v="1900-01-03T18:00:00"/>
    <d v="1899-12-30T02:02:00"/>
    <d v="1900-01-04T02:00:00"/>
  </r>
  <r>
    <d v="2020-03-31T00:00:00"/>
    <x v="6"/>
    <x v="2"/>
    <x v="30"/>
    <x v="0"/>
    <n v="91"/>
    <n v="60"/>
    <n v="58"/>
    <n v="0.9667"/>
    <n v="2"/>
    <d v="1899-12-30T00:00:11"/>
    <d v="1899-12-30T00:02:08"/>
    <d v="1899-12-30T00:01:34"/>
    <n v="0.85"/>
    <d v="1899-12-30T02:03:44"/>
    <d v="1900-01-04T03:44:00"/>
    <d v="1899-12-30T02:08:00"/>
    <d v="1900-01-04T08:00:00"/>
  </r>
  <r>
    <d v="2020-04-01T00:00:00"/>
    <x v="0"/>
    <x v="3"/>
    <x v="0"/>
    <x v="0"/>
    <n v="92"/>
    <n v="18"/>
    <n v="17"/>
    <n v="0.94440000000000002"/>
    <n v="1"/>
    <d v="1899-12-30T00:00:05"/>
    <d v="1899-12-30T00:02:39"/>
    <d v="1899-12-30T00:00:20"/>
    <n v="1"/>
    <d v="1899-12-30T00:45:03"/>
    <d v="1899-12-31T21:03:00"/>
    <d v="1899-12-30T00:47:42"/>
    <d v="1899-12-31T23:42:00"/>
  </r>
  <r>
    <d v="2020-04-02T00:00:00"/>
    <x v="1"/>
    <x v="3"/>
    <x v="1"/>
    <x v="0"/>
    <n v="93"/>
    <n v="206"/>
    <n v="202"/>
    <n v="0.98060000000000003"/>
    <n v="4"/>
    <d v="1899-12-30T00:00:09"/>
    <d v="1899-12-30T00:01:54"/>
    <d v="1899-12-30T00:01:10"/>
    <n v="0.89270000000000005"/>
    <d v="1899-12-30T06:23:48"/>
    <d v="1900-01-14T23:48:00"/>
    <d v="1899-12-30T06:31:24"/>
    <d v="1900-01-15T07:24:00"/>
  </r>
  <r>
    <d v="2020-04-03T00:00:00"/>
    <x v="2"/>
    <x v="3"/>
    <x v="2"/>
    <x v="0"/>
    <n v="94"/>
    <n v="194"/>
    <n v="193"/>
    <n v="0.99480000000000002"/>
    <n v="1"/>
    <d v="1899-12-30T00:00:11"/>
    <d v="1899-12-30T00:01:57"/>
    <d v="1899-12-30T00:01:34"/>
    <n v="0.84970000000000001"/>
    <d v="1899-12-30T06:16:21"/>
    <d v="1900-01-14T16:21:00"/>
    <d v="1899-12-30T06:18:18"/>
    <d v="1900-01-14T18:18:00"/>
  </r>
  <r>
    <d v="2020-04-04T00:00:00"/>
    <x v="3"/>
    <x v="3"/>
    <x v="3"/>
    <x v="0"/>
    <n v="95"/>
    <n v="206"/>
    <n v="200"/>
    <n v="0.97089999999999999"/>
    <n v="6"/>
    <d v="1899-12-30T00:00:10"/>
    <d v="1899-12-30T00:02:08"/>
    <d v="1899-12-30T00:02:00"/>
    <n v="0.86270000000000002"/>
    <d v="1899-12-30T07:06:40"/>
    <d v="1900-01-16T18:40:00"/>
    <d v="1899-12-30T07:19:28"/>
    <d v="1900-01-17T07:28:00"/>
  </r>
  <r>
    <d v="2020-04-05T00:00:00"/>
    <x v="4"/>
    <x v="3"/>
    <x v="4"/>
    <x v="0"/>
    <n v="96"/>
    <n v="53"/>
    <n v="53"/>
    <n v="1"/>
    <n v="0"/>
    <d v="1899-12-30T00:00:18"/>
    <d v="1899-12-30T00:02:08"/>
    <d v="1899-12-30T00:02:10"/>
    <n v="0.77359999999999995"/>
    <d v="1899-12-30T01:53:04"/>
    <d v="1900-01-03T17:04:00"/>
    <d v="1899-12-30T01:53:04"/>
    <d v="1900-01-03T17:04:00"/>
  </r>
  <r>
    <d v="2020-04-06T00:00:00"/>
    <x v="5"/>
    <x v="3"/>
    <x v="5"/>
    <x v="0"/>
    <n v="97"/>
    <n v="147"/>
    <n v="145"/>
    <n v="0.98640000000000005"/>
    <n v="2"/>
    <d v="1899-12-30T00:00:09"/>
    <d v="1899-12-30T00:01:50"/>
    <d v="1899-12-30T00:01:24"/>
    <n v="0.88360000000000005"/>
    <d v="1899-12-30T04:25:50"/>
    <d v="1900-01-10T01:50:00"/>
    <d v="1899-12-30T04:29:30"/>
    <d v="1900-01-10T05:30:00"/>
  </r>
  <r>
    <d v="2020-04-07T00:00:00"/>
    <x v="6"/>
    <x v="3"/>
    <x v="6"/>
    <x v="0"/>
    <n v="98"/>
    <n v="201"/>
    <n v="197"/>
    <n v="0.98009999999999997"/>
    <n v="4"/>
    <d v="1899-12-30T00:00:09"/>
    <d v="1899-12-30T00:01:59"/>
    <d v="1899-12-30T00:02:23"/>
    <n v="0.90949999999999998"/>
    <d v="1899-12-30T06:30:43"/>
    <d v="1900-01-15T06:43:00"/>
    <d v="1899-12-30T06:38:39"/>
    <d v="1900-01-15T14:39:00"/>
  </r>
  <r>
    <d v="2020-04-08T00:00:00"/>
    <x v="0"/>
    <x v="3"/>
    <x v="7"/>
    <x v="0"/>
    <n v="99"/>
    <n v="202"/>
    <n v="198"/>
    <n v="0.98019999999999996"/>
    <n v="4"/>
    <d v="1899-12-30T00:00:10"/>
    <d v="1899-12-30T00:02:09"/>
    <d v="1899-12-30T00:01:11"/>
    <n v="0.88500000000000001"/>
    <d v="1899-12-30T07:05:42"/>
    <d v="1900-01-16T17:42:00"/>
    <d v="1899-12-30T07:14:18"/>
    <d v="1900-01-17T02:18:00"/>
  </r>
  <r>
    <d v="2020-04-09T00:00:00"/>
    <x v="1"/>
    <x v="3"/>
    <x v="8"/>
    <x v="0"/>
    <n v="100"/>
    <n v="226"/>
    <n v="219"/>
    <n v="0.96899999999999997"/>
    <n v="7"/>
    <d v="1899-12-30T00:00:10"/>
    <d v="1899-12-30T00:02:12"/>
    <d v="1899-12-30T00:02:45"/>
    <n v="0.88"/>
    <d v="1899-12-30T08:01:48"/>
    <d v="1900-01-19T01:48:00"/>
    <d v="1899-12-30T08:17:12"/>
    <d v="1900-01-19T17:12:00"/>
  </r>
  <r>
    <d v="2020-04-10T00:00:00"/>
    <x v="2"/>
    <x v="3"/>
    <x v="9"/>
    <x v="0"/>
    <n v="101"/>
    <n v="167"/>
    <n v="163"/>
    <n v="0.97599999999999998"/>
    <n v="4"/>
    <d v="1899-12-30T00:00:07"/>
    <d v="1899-12-30T00:02:09"/>
    <d v="1899-12-30T00:01:50"/>
    <n v="0.92769999999999997"/>
    <d v="1899-12-30T05:50:27"/>
    <d v="1900-01-13T14:27:00"/>
    <d v="1899-12-30T05:59:03"/>
    <d v="1900-01-13T23:03:00"/>
  </r>
  <r>
    <d v="2020-04-11T00:00:00"/>
    <x v="3"/>
    <x v="3"/>
    <x v="10"/>
    <x v="0"/>
    <n v="102"/>
    <n v="164"/>
    <n v="164"/>
    <n v="1"/>
    <n v="0"/>
    <d v="1899-12-30T00:00:11"/>
    <d v="1899-12-30T00:02:17"/>
    <d v="1899-12-30T00:01:45"/>
    <n v="0.89019999999999999"/>
    <d v="1899-12-30T06:14:28"/>
    <d v="1900-01-14T14:28:00"/>
    <d v="1899-12-30T06:14:28"/>
    <d v="1900-01-14T14:28:00"/>
  </r>
  <r>
    <d v="2020-04-12T00:00:00"/>
    <x v="4"/>
    <x v="3"/>
    <x v="11"/>
    <x v="0"/>
    <n v="103"/>
    <n v="42"/>
    <n v="41"/>
    <n v="0.97619999999999996"/>
    <n v="1"/>
    <d v="1899-12-30T00:00:11"/>
    <d v="1899-12-30T00:02:09"/>
    <d v="1899-12-30T00:01:18"/>
    <n v="0.878"/>
    <d v="1899-12-30T01:28:09"/>
    <d v="1900-01-02T16:09:00"/>
    <d v="1899-12-30T01:30:18"/>
    <d v="1900-01-02T18:18:00"/>
  </r>
  <r>
    <d v="2020-04-13T00:00:00"/>
    <x v="5"/>
    <x v="3"/>
    <x v="12"/>
    <x v="0"/>
    <n v="104"/>
    <n v="79"/>
    <n v="78"/>
    <n v="0.98729999999999996"/>
    <n v="1"/>
    <d v="1899-12-30T00:00:07"/>
    <d v="1899-12-30T00:02:23"/>
    <d v="1899-12-30T00:00:48"/>
    <n v="0.94869999999999999"/>
    <d v="1899-12-30T03:05:54"/>
    <d v="1900-01-06T17:54:00"/>
    <d v="1899-12-30T03:08:17"/>
    <d v="1900-01-06T20:17:00"/>
  </r>
  <r>
    <d v="2020-04-14T00:00:00"/>
    <x v="6"/>
    <x v="3"/>
    <x v="13"/>
    <x v="0"/>
    <n v="105"/>
    <n v="165"/>
    <n v="162"/>
    <n v="0.98180000000000001"/>
    <n v="3"/>
    <d v="1899-12-30T00:00:09"/>
    <d v="1899-12-30T00:02:09"/>
    <d v="1899-12-30T00:01:50"/>
    <n v="0.89700000000000002"/>
    <d v="1899-12-30T05:48:18"/>
    <d v="1900-01-13T12:18:00"/>
    <d v="1899-12-30T05:54:45"/>
    <d v="1900-01-13T18:45:00"/>
  </r>
  <r>
    <d v="2020-04-15T00:00:00"/>
    <x v="0"/>
    <x v="3"/>
    <x v="14"/>
    <x v="0"/>
    <n v="106"/>
    <n v="180"/>
    <n v="174"/>
    <n v="0.9667"/>
    <n v="6"/>
    <d v="1899-12-30T00:00:16"/>
    <d v="1899-12-30T00:02:16"/>
    <d v="1899-12-30T00:01:43"/>
    <n v="0.77780000000000005"/>
    <d v="1899-12-30T06:34:24"/>
    <d v="1900-01-15T10:24:00"/>
    <d v="1899-12-30T06:48:00"/>
    <d v="1900-01-16T00:00:00"/>
  </r>
  <r>
    <d v="2020-04-16T00:00:00"/>
    <x v="1"/>
    <x v="3"/>
    <x v="15"/>
    <x v="0"/>
    <n v="107"/>
    <n v="179"/>
    <n v="176"/>
    <n v="0.98319999999999996"/>
    <n v="3"/>
    <d v="1899-12-30T00:00:10"/>
    <d v="1899-12-30T00:02:26"/>
    <d v="1899-12-30T00:01:50"/>
    <n v="0.87639999999999996"/>
    <d v="1899-12-30T07:08:16"/>
    <d v="1900-01-16T20:16:00"/>
    <d v="1899-12-30T07:15:34"/>
    <d v="1900-01-17T03:34:00"/>
  </r>
  <r>
    <d v="2020-04-17T00:00:00"/>
    <x v="2"/>
    <x v="3"/>
    <x v="16"/>
    <x v="0"/>
    <n v="108"/>
    <n v="217"/>
    <n v="215"/>
    <n v="0.99080000000000001"/>
    <n v="2"/>
    <d v="1899-12-30T00:00:08"/>
    <d v="1899-12-30T00:02:08"/>
    <d v="1899-12-30T00:02:07"/>
    <n v="0.91710000000000003"/>
    <d v="1899-12-30T07:38:40"/>
    <d v="1900-01-18T02:40:00"/>
    <d v="1899-12-30T07:42:56"/>
    <d v="1900-01-18T06:56:00"/>
  </r>
  <r>
    <d v="2020-04-18T00:00:00"/>
    <x v="3"/>
    <x v="3"/>
    <x v="17"/>
    <x v="0"/>
    <n v="109"/>
    <n v="171"/>
    <n v="167"/>
    <n v="0.97660000000000002"/>
    <n v="4"/>
    <d v="1899-12-30T00:00:10"/>
    <d v="1899-12-30T00:02:15"/>
    <d v="1899-12-30T00:01:50"/>
    <n v="0.86470000000000002"/>
    <d v="1899-12-30T06:15:45"/>
    <d v="1900-01-14T15:45:00"/>
    <d v="1899-12-30T06:24:45"/>
    <d v="1900-01-15T00:45:00"/>
  </r>
  <r>
    <d v="2020-04-19T00:00:00"/>
    <x v="4"/>
    <x v="3"/>
    <x v="18"/>
    <x v="0"/>
    <n v="110"/>
    <n v="37"/>
    <n v="37"/>
    <n v="1"/>
    <n v="0"/>
    <d v="1899-12-30T00:00:09"/>
    <d v="1899-12-30T00:01:57"/>
    <d v="1899-12-30T00:01:22"/>
    <n v="0.8649"/>
    <d v="1899-12-30T01:12:09"/>
    <d v="1900-01-02T00:09:00"/>
    <d v="1899-12-30T01:12:09"/>
    <d v="1900-01-02T00:09:00"/>
  </r>
  <r>
    <d v="2020-04-20T00:00:00"/>
    <x v="5"/>
    <x v="3"/>
    <x v="19"/>
    <x v="0"/>
    <n v="111"/>
    <n v="215"/>
    <n v="206"/>
    <n v="0.95809999999999995"/>
    <n v="9"/>
    <d v="1899-12-30T00:00:18"/>
    <d v="1899-12-30T00:02:09"/>
    <d v="1899-12-30T00:02:45"/>
    <n v="0.8095"/>
    <d v="1899-12-30T07:22:54"/>
    <d v="1900-01-17T10:54:00"/>
    <d v="1899-12-30T07:42:15"/>
    <d v="1900-01-18T06:15:00"/>
  </r>
  <r>
    <d v="2020-04-21T00:00:00"/>
    <x v="6"/>
    <x v="3"/>
    <x v="20"/>
    <x v="0"/>
    <n v="112"/>
    <n v="218"/>
    <n v="212"/>
    <n v="0.97250000000000003"/>
    <n v="6"/>
    <d v="1899-12-30T00:00:16"/>
    <d v="1899-12-30T00:02:17"/>
    <d v="1899-12-30T00:02:09"/>
    <n v="0.84260000000000002"/>
    <d v="1899-12-30T08:04:04"/>
    <d v="1900-01-19T04:04:00"/>
    <d v="1899-12-30T08:17:46"/>
    <d v="1900-01-19T17:46:00"/>
  </r>
  <r>
    <d v="2020-04-22T00:00:00"/>
    <x v="0"/>
    <x v="3"/>
    <x v="21"/>
    <x v="0"/>
    <n v="113"/>
    <n v="205"/>
    <n v="202"/>
    <n v="0.98540000000000005"/>
    <n v="3"/>
    <d v="1899-12-30T00:00:11"/>
    <d v="1899-12-30T00:02:25"/>
    <d v="1899-12-30T00:01:37"/>
    <n v="0.90690000000000004"/>
    <d v="1899-12-30T08:08:10"/>
    <d v="1900-01-19T08:10:00"/>
    <d v="1899-12-30T08:15:25"/>
    <d v="1900-01-19T15:25:00"/>
  </r>
  <r>
    <d v="2020-04-23T00:00:00"/>
    <x v="1"/>
    <x v="3"/>
    <x v="22"/>
    <x v="0"/>
    <n v="114"/>
    <n v="195"/>
    <n v="190"/>
    <n v="0.97440000000000004"/>
    <n v="5"/>
    <d v="1899-12-30T00:00:12"/>
    <d v="1899-12-30T00:02:22"/>
    <d v="1899-12-30T00:01:14"/>
    <n v="0.8901"/>
    <d v="1899-12-30T07:29:40"/>
    <d v="1900-01-17T17:40:00"/>
    <d v="1899-12-30T07:41:30"/>
    <d v="1900-01-18T05:30:00"/>
  </r>
  <r>
    <d v="2020-04-24T00:00:00"/>
    <x v="2"/>
    <x v="3"/>
    <x v="23"/>
    <x v="0"/>
    <n v="115"/>
    <n v="181"/>
    <n v="176"/>
    <n v="0.97240000000000004"/>
    <n v="5"/>
    <d v="1899-12-30T00:00:13"/>
    <d v="1899-12-30T00:02:13"/>
    <d v="1899-12-30T00:01:16"/>
    <n v="0.82220000000000004"/>
    <d v="1899-12-30T06:30:08"/>
    <d v="1900-01-15T06:08:00"/>
    <d v="1899-12-30T06:41:13"/>
    <d v="1900-01-15T17:13:00"/>
  </r>
  <r>
    <d v="2020-04-25T00:00:00"/>
    <x v="3"/>
    <x v="3"/>
    <x v="24"/>
    <x v="0"/>
    <n v="116"/>
    <n v="212"/>
    <n v="206"/>
    <n v="0.97170000000000001"/>
    <n v="6"/>
    <d v="1899-12-30T00:00:11"/>
    <d v="1899-12-30T00:02:20"/>
    <d v="1899-12-30T00:01:49"/>
    <n v="0.89419999999999999"/>
    <d v="1899-12-30T08:00:40"/>
    <d v="1900-01-19T00:40:00"/>
    <d v="1899-12-30T08:14:40"/>
    <d v="1900-01-19T14:40:00"/>
  </r>
  <r>
    <d v="2020-04-26T00:00:00"/>
    <x v="4"/>
    <x v="3"/>
    <x v="25"/>
    <x v="0"/>
    <n v="117"/>
    <n v="33"/>
    <n v="32"/>
    <n v="0.96970000000000001"/>
    <n v="1"/>
    <d v="1899-12-30T00:00:08"/>
    <d v="1899-12-30T00:02:28"/>
    <d v="1899-12-30T00:00:55"/>
    <n v="0.90910000000000002"/>
    <d v="1899-12-30T01:18:56"/>
    <d v="1900-01-02T06:56:00"/>
    <d v="1899-12-30T01:21:24"/>
    <d v="1900-01-02T09:24:00"/>
  </r>
  <r>
    <d v="2020-04-27T00:00:00"/>
    <x v="5"/>
    <x v="3"/>
    <x v="26"/>
    <x v="0"/>
    <n v="118"/>
    <n v="298"/>
    <n v="287"/>
    <n v="0.96309999999999996"/>
    <n v="11"/>
    <d v="1899-12-30T00:00:13"/>
    <d v="1899-12-30T00:01:35"/>
    <d v="1899-12-30T00:02:51"/>
    <n v="0.83330000000000004"/>
    <d v="1899-12-30T07:34:25"/>
    <d v="1900-01-17T22:25:00"/>
    <d v="1899-12-30T07:51:50"/>
    <d v="1900-01-18T15:50:00"/>
  </r>
  <r>
    <d v="2020-04-28T00:00:00"/>
    <x v="6"/>
    <x v="3"/>
    <x v="27"/>
    <x v="0"/>
    <n v="119"/>
    <n v="158"/>
    <n v="156"/>
    <n v="0.98729999999999996"/>
    <n v="2"/>
    <d v="1899-12-30T00:00:11"/>
    <d v="1899-12-30T00:02:23"/>
    <d v="1899-12-30T00:01:32"/>
    <n v="0.89810000000000001"/>
    <d v="1899-12-30T06:11:48"/>
    <d v="1900-01-14T11:48:00"/>
    <d v="1899-12-30T06:16:34"/>
    <d v="1900-01-14T16:34:00"/>
  </r>
  <r>
    <d v="2020-04-29T00:00:00"/>
    <x v="0"/>
    <x v="3"/>
    <x v="28"/>
    <x v="0"/>
    <n v="120"/>
    <n v="156"/>
    <n v="154"/>
    <n v="0.98719999999999997"/>
    <n v="2"/>
    <d v="1899-12-30T00:00:12"/>
    <d v="1899-12-30T00:02:13"/>
    <d v="1899-12-30T00:01:01"/>
    <n v="0.85809999999999997"/>
    <d v="1899-12-30T05:41:22"/>
    <d v="1900-01-13T05:22:00"/>
    <d v="1899-12-30T05:45:48"/>
    <d v="1900-01-13T09:48:00"/>
  </r>
  <r>
    <d v="2020-04-30T00:00:00"/>
    <x v="1"/>
    <x v="3"/>
    <x v="29"/>
    <x v="0"/>
    <n v="121"/>
    <n v="163"/>
    <n v="163"/>
    <n v="1"/>
    <n v="0"/>
    <d v="1899-12-30T00:00:10"/>
    <d v="1899-12-30T00:02:02"/>
    <d v="1899-12-30T00:02:46"/>
    <n v="0.9264"/>
    <d v="1899-12-30T05:31:26"/>
    <d v="1900-01-12T19:26:00"/>
    <d v="1899-12-30T05:31:26"/>
    <d v="1900-01-12T19:26:00"/>
  </r>
  <r>
    <d v="2020-05-01T00:00:00"/>
    <x v="2"/>
    <x v="4"/>
    <x v="0"/>
    <x v="0"/>
    <n v="122"/>
    <n v="98"/>
    <n v="98"/>
    <n v="1"/>
    <n v="0"/>
    <d v="1899-12-30T00:00:07"/>
    <d v="1899-12-30T00:02:10"/>
    <d v="1899-12-30T00:01:10"/>
    <n v="0.93879999999999997"/>
    <d v="1899-12-30T03:32:20"/>
    <d v="1900-01-07T20:20:00"/>
    <d v="1899-12-30T03:32:20"/>
    <d v="1900-01-07T20:20:00"/>
  </r>
  <r>
    <d v="2020-05-02T00:00:00"/>
    <x v="3"/>
    <x v="4"/>
    <x v="1"/>
    <x v="0"/>
    <n v="123"/>
    <n v="255"/>
    <n v="249"/>
    <n v="0.97650000000000003"/>
    <n v="6"/>
    <d v="1899-12-30T00:00:15"/>
    <d v="1899-12-30T00:02:19"/>
    <d v="1899-12-30T00:05:31"/>
    <n v="0.82679999999999998"/>
    <d v="1899-12-30T09:36:51"/>
    <d v="1900-01-23T00:51:00"/>
    <d v="1899-12-30T09:50:45"/>
    <d v="1900-01-23T14:45:00"/>
  </r>
  <r>
    <d v="2020-05-03T00:00:00"/>
    <x v="4"/>
    <x v="4"/>
    <x v="2"/>
    <x v="0"/>
    <n v="124"/>
    <n v="50"/>
    <n v="49"/>
    <n v="0.98"/>
    <n v="1"/>
    <d v="1899-12-30T00:00:08"/>
    <d v="1899-12-30T00:02:02"/>
    <d v="1899-12-30T00:00:57"/>
    <n v="0.92"/>
    <d v="1899-12-30T01:39:38"/>
    <d v="1900-01-03T03:38:00"/>
    <d v="1899-12-30T01:41:40"/>
    <d v="1900-01-03T05:40:00"/>
  </r>
  <r>
    <d v="2020-05-04T00:00:00"/>
    <x v="5"/>
    <x v="4"/>
    <x v="3"/>
    <x v="0"/>
    <n v="125"/>
    <n v="290"/>
    <n v="289"/>
    <n v="0.99660000000000004"/>
    <n v="1"/>
    <d v="1899-12-30T00:00:12"/>
    <d v="1899-12-30T00:02:01"/>
    <d v="1899-12-30T00:01:10"/>
    <n v="0.89270000000000005"/>
    <d v="1899-12-30T09:42:49"/>
    <d v="1900-01-23T06:49:00"/>
    <d v="1899-12-30T09:44:50"/>
    <d v="1900-01-23T08:50:00"/>
  </r>
  <r>
    <d v="2020-05-05T00:00:00"/>
    <x v="6"/>
    <x v="4"/>
    <x v="4"/>
    <x v="0"/>
    <n v="126"/>
    <n v="296"/>
    <n v="281"/>
    <n v="0.94930000000000003"/>
    <n v="15"/>
    <d v="1899-12-30T00:00:22"/>
    <d v="1899-12-30T00:02:08"/>
    <d v="1899-12-30T00:04:30"/>
    <n v="0.73540000000000005"/>
    <d v="1899-12-30T09:59:28"/>
    <d v="1900-01-23T23:28:00"/>
    <d v="1899-12-30T10:31:28"/>
    <d v="1900-01-25T07:28:00"/>
  </r>
  <r>
    <d v="2020-05-06T00:00:00"/>
    <x v="0"/>
    <x v="4"/>
    <x v="5"/>
    <x v="0"/>
    <n v="127"/>
    <n v="260"/>
    <n v="257"/>
    <n v="0.98850000000000005"/>
    <n v="3"/>
    <d v="1899-12-30T00:00:17"/>
    <d v="1899-12-30T00:02:13"/>
    <d v="1899-12-30T00:01:20"/>
    <n v="0.87160000000000004"/>
    <d v="1899-12-30T09:29:41"/>
    <d v="1900-01-22T17:41:00"/>
    <d v="1899-12-30T09:36:20"/>
    <d v="1900-01-23T00:20:00"/>
  </r>
  <r>
    <d v="2020-05-07T00:00:00"/>
    <x v="1"/>
    <x v="4"/>
    <x v="6"/>
    <x v="0"/>
    <n v="128"/>
    <n v="201"/>
    <n v="193"/>
    <n v="0.96020000000000005"/>
    <n v="8"/>
    <d v="1899-12-30T00:00:19"/>
    <d v="1899-12-30T00:02:23"/>
    <d v="1899-12-30T00:02:02"/>
    <n v="0.76770000000000005"/>
    <d v="1899-12-30T07:39:59"/>
    <d v="1900-01-18T03:59:00"/>
    <d v="1899-12-30T07:59:03"/>
    <d v="1900-01-18T23:03:00"/>
  </r>
  <r>
    <d v="2020-05-08T00:00:00"/>
    <x v="2"/>
    <x v="4"/>
    <x v="7"/>
    <x v="0"/>
    <n v="129"/>
    <n v="132"/>
    <n v="131"/>
    <n v="0.99239999999999995"/>
    <n v="1"/>
    <d v="1899-12-30T00:00:17"/>
    <d v="1899-12-30T00:02:13"/>
    <d v="1899-12-30T00:01:30"/>
    <n v="0.76519999999999999"/>
    <d v="1899-12-30T04:50:23"/>
    <d v="1900-01-11T02:23:00"/>
    <d v="1899-12-30T04:52:36"/>
    <d v="1900-01-11T04:36:00"/>
  </r>
  <r>
    <d v="2020-05-09T00:00:00"/>
    <x v="3"/>
    <x v="4"/>
    <x v="8"/>
    <x v="0"/>
    <n v="130"/>
    <n v="167"/>
    <n v="165"/>
    <n v="0.98799999999999999"/>
    <n v="2"/>
    <d v="1899-12-30T00:00:09"/>
    <d v="1899-12-30T00:02:06"/>
    <d v="1899-12-30T00:00:57"/>
    <n v="0.92120000000000002"/>
    <d v="1899-12-30T05:46:30"/>
    <d v="1900-01-13T10:30:00"/>
    <d v="1899-12-30T05:50:42"/>
    <d v="1900-01-13T14:42:00"/>
  </r>
  <r>
    <d v="2020-05-10T00:00:00"/>
    <x v="4"/>
    <x v="4"/>
    <x v="9"/>
    <x v="0"/>
    <n v="131"/>
    <n v="85"/>
    <n v="79"/>
    <n v="0.9294"/>
    <n v="6"/>
    <d v="1899-12-30T00:00:18"/>
    <d v="1899-12-30T00:02:25"/>
    <d v="1899-12-30T00:01:53"/>
    <n v="0.77380000000000004"/>
    <d v="1899-12-30T03:10:55"/>
    <d v="1900-01-06T22:55:00"/>
    <d v="1899-12-30T03:25:25"/>
    <d v="1900-01-07T13:25:00"/>
  </r>
  <r>
    <d v="2020-05-11T00:00:00"/>
    <x v="5"/>
    <x v="4"/>
    <x v="10"/>
    <x v="0"/>
    <n v="132"/>
    <n v="244"/>
    <n v="236"/>
    <n v="0.96719999999999995"/>
    <n v="8"/>
    <d v="1899-12-30T00:00:21"/>
    <d v="1899-12-30T00:02:29"/>
    <d v="1899-12-30T00:01:56"/>
    <n v="0.75619999999999998"/>
    <d v="1899-12-30T09:46:04"/>
    <d v="1900-01-23T10:04:00"/>
    <d v="1899-12-30T10:05:56"/>
    <d v="1900-01-24T05:56:00"/>
  </r>
  <r>
    <d v="2020-05-12T00:00:00"/>
    <x v="6"/>
    <x v="4"/>
    <x v="11"/>
    <x v="0"/>
    <n v="133"/>
    <n v="186"/>
    <n v="182"/>
    <n v="0.97850000000000004"/>
    <n v="4"/>
    <d v="1899-12-30T00:00:14"/>
    <d v="1899-12-30T00:02:13"/>
    <d v="1899-12-30T00:01:38"/>
    <n v="0.7903"/>
    <d v="1899-12-30T06:43:26"/>
    <d v="1900-01-15T19:26:00"/>
    <d v="1899-12-30T06:52:18"/>
    <d v="1900-01-16T04:18:00"/>
  </r>
  <r>
    <d v="2020-05-13T00:00:00"/>
    <x v="0"/>
    <x v="4"/>
    <x v="12"/>
    <x v="0"/>
    <n v="134"/>
    <n v="278"/>
    <n v="264"/>
    <n v="0.9496"/>
    <n v="14"/>
    <d v="1899-12-30T00:00:19"/>
    <d v="1899-12-30T00:02:20"/>
    <d v="1899-12-30T00:02:10"/>
    <n v="0.76839999999999997"/>
    <d v="1899-12-30T10:16:00"/>
    <d v="1900-01-24T16:00:00"/>
    <d v="1899-12-30T10:48:40"/>
    <d v="1900-01-26T00:40:00"/>
  </r>
  <r>
    <d v="2020-05-14T00:00:00"/>
    <x v="1"/>
    <x v="4"/>
    <x v="13"/>
    <x v="0"/>
    <n v="135"/>
    <n v="272"/>
    <n v="268"/>
    <n v="0.98529999999999995"/>
    <n v="4"/>
    <d v="1899-12-30T00:00:15"/>
    <d v="1899-12-30T00:02:30"/>
    <d v="1899-12-30T00:01:45"/>
    <n v="0.8"/>
    <d v="1899-12-30T11:10:00"/>
    <d v="1900-01-26T22:00:00"/>
    <d v="1899-12-30T11:20:00"/>
    <d v="1900-01-27T08:00:00"/>
  </r>
  <r>
    <d v="2020-05-15T00:00:00"/>
    <x v="2"/>
    <x v="4"/>
    <x v="14"/>
    <x v="0"/>
    <n v="136"/>
    <n v="218"/>
    <n v="206"/>
    <n v="0.94499999999999995"/>
    <n v="12"/>
    <d v="1899-12-30T00:00:25"/>
    <d v="1899-12-30T00:02:21"/>
    <d v="1899-12-30T00:03:41"/>
    <n v="0.67279999999999995"/>
    <d v="1899-12-30T08:04:06"/>
    <d v="1900-01-19T04:06:00"/>
    <d v="1899-12-30T08:32:18"/>
    <d v="1900-01-20T08:18:00"/>
  </r>
  <r>
    <d v="2020-05-16T00:00:00"/>
    <x v="3"/>
    <x v="4"/>
    <x v="15"/>
    <x v="0"/>
    <n v="137"/>
    <n v="152"/>
    <n v="148"/>
    <n v="0.97370000000000001"/>
    <n v="4"/>
    <d v="1899-12-30T00:00:14"/>
    <d v="1899-12-30T00:02:18"/>
    <d v="1899-12-30T00:01:25"/>
    <n v="0.83330000000000004"/>
    <d v="1899-12-30T05:40:24"/>
    <d v="1900-01-13T04:24:00"/>
    <d v="1899-12-30T05:49:36"/>
    <d v="1900-01-13T13:36:00"/>
  </r>
  <r>
    <d v="2020-05-17T00:00:00"/>
    <x v="4"/>
    <x v="4"/>
    <x v="16"/>
    <x v="0"/>
    <n v="138"/>
    <n v="48"/>
    <n v="43"/>
    <n v="0.89580000000000004"/>
    <n v="5"/>
    <d v="1899-12-30T00:00:22"/>
    <d v="1899-12-30T00:02:01"/>
    <d v="1899-12-30T00:01:21"/>
    <n v="0.69569999999999999"/>
    <d v="1899-12-30T01:26:43"/>
    <d v="1900-01-02T14:43:00"/>
    <d v="1899-12-30T01:36:48"/>
    <d v="1900-01-03T00:48:00"/>
  </r>
  <r>
    <d v="2020-05-18T00:00:00"/>
    <x v="5"/>
    <x v="4"/>
    <x v="17"/>
    <x v="0"/>
    <n v="139"/>
    <n v="186"/>
    <n v="181"/>
    <n v="0.97309999999999997"/>
    <n v="5"/>
    <d v="1899-12-30T00:00:14"/>
    <d v="1899-12-30T00:02:20"/>
    <d v="1899-12-30T00:01:49"/>
    <n v="0.84950000000000003"/>
    <d v="1899-12-30T07:02:20"/>
    <d v="1900-01-16T14:20:00"/>
    <d v="1899-12-30T07:14:00"/>
    <d v="1900-01-17T02:00:00"/>
  </r>
  <r>
    <d v="2020-05-19T00:00:00"/>
    <x v="6"/>
    <x v="4"/>
    <x v="18"/>
    <x v="0"/>
    <n v="140"/>
    <n v="182"/>
    <n v="180"/>
    <n v="0.98899999999999999"/>
    <n v="2"/>
    <d v="1899-12-30T00:00:08"/>
    <d v="1899-12-30T00:02:10"/>
    <d v="1899-12-30T00:00:58"/>
    <n v="0.93369999999999997"/>
    <d v="1899-12-30T06:30:00"/>
    <d v="1900-01-15T06:00:00"/>
    <d v="1899-12-30T06:34:20"/>
    <d v="1900-01-15T10:20:00"/>
  </r>
  <r>
    <d v="2020-05-20T00:00:00"/>
    <x v="0"/>
    <x v="4"/>
    <x v="19"/>
    <x v="0"/>
    <n v="141"/>
    <n v="192"/>
    <n v="188"/>
    <n v="0.97919999999999996"/>
    <n v="4"/>
    <d v="1899-12-30T00:00:20"/>
    <d v="1899-12-30T00:01:58"/>
    <d v="1899-12-30T00:01:56"/>
    <n v="0.76190000000000002"/>
    <d v="1899-12-30T06:09:44"/>
    <d v="1900-01-14T09:44:00"/>
    <d v="1899-12-30T06:17:36"/>
    <d v="1900-01-14T17:36:00"/>
  </r>
  <r>
    <d v="2020-05-21T00:00:00"/>
    <x v="1"/>
    <x v="4"/>
    <x v="20"/>
    <x v="0"/>
    <n v="142"/>
    <n v="155"/>
    <n v="148"/>
    <n v="0.95479999999999998"/>
    <n v="7"/>
    <d v="1899-12-30T00:00:14"/>
    <d v="1899-12-30T00:02:24"/>
    <d v="1899-12-30T00:02:18"/>
    <n v="0.85329999999999995"/>
    <d v="1899-12-30T05:55:12"/>
    <d v="1900-01-13T19:12:00"/>
    <d v="1899-12-30T06:12:00"/>
    <d v="1900-01-14T12:00:00"/>
  </r>
  <r>
    <d v="2020-05-22T00:00:00"/>
    <x v="2"/>
    <x v="4"/>
    <x v="21"/>
    <x v="0"/>
    <n v="143"/>
    <n v="144"/>
    <n v="142"/>
    <n v="0.98609999999999998"/>
    <n v="2"/>
    <d v="1899-12-30T00:00:11"/>
    <d v="1899-12-30T00:02:19"/>
    <d v="1899-12-30T00:01:05"/>
    <n v="0.90210000000000001"/>
    <d v="1899-12-30T05:28:58"/>
    <d v="1900-01-12T16:58:00"/>
    <d v="1899-12-30T05:33:36"/>
    <d v="1900-01-12T21:36:00"/>
  </r>
  <r>
    <d v="2020-05-23T00:00:00"/>
    <x v="3"/>
    <x v="4"/>
    <x v="22"/>
    <x v="0"/>
    <n v="144"/>
    <n v="164"/>
    <n v="162"/>
    <n v="0.98780000000000001"/>
    <n v="2"/>
    <d v="1899-12-30T00:00:12"/>
    <d v="1899-12-30T00:02:35"/>
    <d v="1899-12-30T00:01:50"/>
    <n v="0.85370000000000001"/>
    <d v="1899-12-30T06:58:30"/>
    <d v="1900-01-16T10:30:00"/>
    <d v="1899-12-30T07:03:40"/>
    <d v="1900-01-16T15:40:00"/>
  </r>
  <r>
    <d v="2020-05-24T00:00:00"/>
    <x v="4"/>
    <x v="4"/>
    <x v="23"/>
    <x v="0"/>
    <n v="145"/>
    <n v="27"/>
    <n v="26"/>
    <n v="0.96299999999999997"/>
    <n v="1"/>
    <d v="1899-12-30T00:00:11"/>
    <d v="1899-12-30T00:02:04"/>
    <d v="1899-12-30T00:01:17"/>
    <n v="0.81479999999999997"/>
    <d v="1899-12-30T00:53:44"/>
    <d v="1900-01-01T05:44:00"/>
    <d v="1899-12-30T00:55:48"/>
    <d v="1900-01-01T07:48:00"/>
  </r>
  <r>
    <d v="2020-05-25T00:00:00"/>
    <x v="5"/>
    <x v="4"/>
    <x v="24"/>
    <x v="0"/>
    <n v="146"/>
    <n v="177"/>
    <n v="175"/>
    <n v="0.98870000000000002"/>
    <n v="2"/>
    <d v="1899-12-30T00:00:11"/>
    <d v="1899-12-30T00:02:19"/>
    <d v="1899-12-30T00:01:35"/>
    <n v="0.90859999999999996"/>
    <d v="1899-12-30T06:45:25"/>
    <d v="1900-01-15T21:25:00"/>
    <d v="1899-12-30T06:50:03"/>
    <d v="1900-01-16T02:03:00"/>
  </r>
  <r>
    <d v="2020-05-26T00:00:00"/>
    <x v="6"/>
    <x v="4"/>
    <x v="25"/>
    <x v="0"/>
    <n v="147"/>
    <n v="134"/>
    <n v="131"/>
    <n v="0.97760000000000002"/>
    <n v="3"/>
    <d v="1899-12-30T00:00:14"/>
    <d v="1899-12-30T00:02:23"/>
    <d v="1899-12-30T00:01:39"/>
    <n v="0.81340000000000001"/>
    <d v="1899-12-30T05:12:13"/>
    <d v="1900-01-12T00:13:00"/>
    <d v="1899-12-30T05:19:22"/>
    <d v="1900-01-12T07:22:00"/>
  </r>
  <r>
    <d v="2020-05-27T00:00:00"/>
    <x v="0"/>
    <x v="4"/>
    <x v="26"/>
    <x v="0"/>
    <n v="148"/>
    <n v="125"/>
    <n v="120"/>
    <n v="0.96"/>
    <n v="5"/>
    <d v="1899-12-30T00:00:14"/>
    <d v="1899-12-30T00:02:20"/>
    <d v="1899-12-30T00:02:52"/>
    <n v="0.84550000000000003"/>
    <d v="1899-12-30T04:40:00"/>
    <d v="1900-01-10T16:00:00"/>
    <d v="1899-12-30T04:51:40"/>
    <d v="1900-01-11T03:40:00"/>
  </r>
  <r>
    <d v="2020-05-28T00:00:00"/>
    <x v="1"/>
    <x v="4"/>
    <x v="27"/>
    <x v="0"/>
    <n v="149"/>
    <n v="167"/>
    <n v="163"/>
    <n v="0.97599999999999998"/>
    <n v="4"/>
    <d v="1899-12-30T00:00:16"/>
    <d v="1899-12-30T00:02:24"/>
    <d v="1899-12-30T00:01:12"/>
    <n v="0.81210000000000004"/>
    <d v="1899-12-30T06:31:12"/>
    <d v="1900-01-15T07:12:00"/>
    <d v="1899-12-30T06:40:48"/>
    <d v="1900-01-15T16:48:00"/>
  </r>
  <r>
    <d v="2020-05-29T00:00:00"/>
    <x v="2"/>
    <x v="4"/>
    <x v="28"/>
    <x v="0"/>
    <n v="150"/>
    <n v="169"/>
    <n v="167"/>
    <n v="0.98819999999999997"/>
    <n v="2"/>
    <d v="1899-12-30T00:00:09"/>
    <d v="1899-12-30T00:02:14"/>
    <d v="1899-12-30T00:01:44"/>
    <n v="0.89939999999999998"/>
    <d v="1899-12-30T06:12:58"/>
    <d v="1900-01-14T12:58:00"/>
    <d v="1899-12-30T06:17:26"/>
    <d v="1900-01-14T17:26:00"/>
  </r>
  <r>
    <d v="2020-05-30T00:00:00"/>
    <x v="3"/>
    <x v="4"/>
    <x v="29"/>
    <x v="0"/>
    <n v="151"/>
    <n v="162"/>
    <n v="160"/>
    <n v="0.98770000000000002"/>
    <n v="2"/>
    <d v="1899-12-30T00:00:16"/>
    <d v="1899-12-30T00:02:15"/>
    <d v="1899-12-30T00:01:31"/>
    <n v="0.83130000000000004"/>
    <d v="1899-12-30T06:00:00"/>
    <d v="1900-01-14T00:00:00"/>
    <d v="1899-12-30T06:04:30"/>
    <d v="1900-01-14T04:30:00"/>
  </r>
  <r>
    <d v="2020-05-31T00:00:00"/>
    <x v="4"/>
    <x v="4"/>
    <x v="30"/>
    <x v="0"/>
    <n v="152"/>
    <n v="25"/>
    <n v="25"/>
    <n v="1"/>
    <n v="0"/>
    <d v="1899-12-30T00:00:16"/>
    <d v="1899-12-30T00:02:35"/>
    <d v="1899-12-30T00:00:58"/>
    <n v="0.76"/>
    <d v="1899-12-30T01:04:35"/>
    <d v="1900-01-01T16:35:00"/>
    <d v="1899-12-30T01:04:35"/>
    <d v="1900-01-01T16:35:00"/>
  </r>
  <r>
    <d v="2020-06-01T00:00:00"/>
    <x v="5"/>
    <x v="5"/>
    <x v="0"/>
    <x v="0"/>
    <n v="153"/>
    <n v="157"/>
    <n v="146"/>
    <n v="0.92989999999999995"/>
    <n v="11"/>
    <d v="1899-12-30T00:00:17"/>
    <d v="1899-12-30T00:02:17"/>
    <d v="1899-12-30T00:01:51"/>
    <n v="0.7974"/>
    <d v="1899-12-30T05:33:22"/>
    <d v="1900-01-12T21:22:00"/>
    <d v="1899-12-30T05:58:29"/>
    <d v="1900-01-13T22:29:00"/>
  </r>
  <r>
    <d v="2020-06-02T00:00:00"/>
    <x v="6"/>
    <x v="5"/>
    <x v="1"/>
    <x v="0"/>
    <n v="154"/>
    <n v="166"/>
    <n v="154"/>
    <n v="0.92769999999999997"/>
    <n v="12"/>
    <d v="1899-12-30T00:00:25"/>
    <d v="1899-12-30T00:02:18"/>
    <d v="1899-12-30T00:03:39"/>
    <n v="0.66259999999999997"/>
    <d v="1899-12-30T05:54:12"/>
    <d v="1900-01-13T18:12:00"/>
    <d v="1899-12-30T06:21:48"/>
    <d v="1900-01-14T21:48:00"/>
  </r>
  <r>
    <d v="2020-06-03T00:00:00"/>
    <x v="0"/>
    <x v="5"/>
    <x v="2"/>
    <x v="0"/>
    <n v="155"/>
    <n v="58"/>
    <n v="55"/>
    <n v="0.94830000000000003"/>
    <n v="3"/>
    <d v="1899-12-30T00:00:16"/>
    <d v="1899-12-30T00:02:11"/>
    <d v="1899-12-30T00:02:45"/>
    <n v="0.74139999999999995"/>
    <d v="1899-12-30T02:00:05"/>
    <d v="1900-01-04T00:05:00"/>
    <d v="1899-12-30T02:06:38"/>
    <d v="1900-01-04T06:38:00"/>
  </r>
  <r>
    <d v="2020-06-04T00:00:00"/>
    <x v="1"/>
    <x v="5"/>
    <x v="3"/>
    <x v="0"/>
    <n v="156"/>
    <n v="75"/>
    <n v="74"/>
    <n v="0.98670000000000002"/>
    <n v="1"/>
    <d v="1899-12-30T00:00:15"/>
    <d v="1899-12-30T00:02:13"/>
    <d v="1899-12-30T00:03:18"/>
    <n v="0.84"/>
    <d v="1899-12-30T02:44:02"/>
    <d v="1900-01-05T20:02:00"/>
    <d v="1899-12-30T02:46:15"/>
    <d v="1900-01-05T22:15:00"/>
  </r>
  <r>
    <d v="2020-06-05T00:00:00"/>
    <x v="2"/>
    <x v="5"/>
    <x v="4"/>
    <x v="0"/>
    <n v="157"/>
    <n v="28"/>
    <n v="28"/>
    <n v="1"/>
    <n v="0"/>
    <d v="1899-12-30T00:00:07"/>
    <d v="1899-12-30T00:02:28"/>
    <d v="1899-12-30T00:00:51"/>
    <n v="0.96430000000000005"/>
    <d v="1899-12-30T01:09:04"/>
    <d v="1900-01-01T21:04:00"/>
    <d v="1899-12-30T01:09:04"/>
    <d v="1900-01-01T21:04:00"/>
  </r>
  <r>
    <d v="2020-06-06T00:00:00"/>
    <x v="3"/>
    <x v="5"/>
    <x v="5"/>
    <x v="0"/>
    <n v="158"/>
    <n v="108"/>
    <n v="107"/>
    <n v="0.99070000000000003"/>
    <n v="1"/>
    <d v="1899-12-30T00:00:09"/>
    <d v="1899-12-30T00:02:11"/>
    <d v="1899-12-30T00:00:59"/>
    <n v="0.94440000000000002"/>
    <d v="1899-12-30T03:53:37"/>
    <d v="1900-01-08T17:37:00"/>
    <d v="1899-12-30T03:55:48"/>
    <d v="1900-01-08T19:48:00"/>
  </r>
  <r>
    <d v="2020-06-07T00:00:00"/>
    <x v="4"/>
    <x v="5"/>
    <x v="6"/>
    <x v="0"/>
    <n v="159"/>
    <n v="21"/>
    <n v="21"/>
    <n v="1"/>
    <n v="0"/>
    <d v="1899-12-30T00:00:07"/>
    <d v="1899-12-30T00:02:58"/>
    <d v="1899-12-30T00:00:58"/>
    <n v="0.95240000000000002"/>
    <d v="1899-12-30T01:02:18"/>
    <d v="1900-01-01T14:18:00"/>
    <d v="1899-12-30T01:02:18"/>
    <d v="1900-01-01T14:18:00"/>
  </r>
  <r>
    <d v="2020-06-08T00:00:00"/>
    <x v="5"/>
    <x v="5"/>
    <x v="7"/>
    <x v="0"/>
    <n v="160"/>
    <n v="189"/>
    <n v="182"/>
    <n v="0.96299999999999997"/>
    <n v="7"/>
    <d v="1899-12-30T00:00:21"/>
    <d v="1899-12-30T00:02:10"/>
    <d v="1899-12-30T00:04:46"/>
    <n v="0.76339999999999997"/>
    <d v="1899-12-30T06:34:20"/>
    <d v="1900-01-15T10:20:00"/>
    <d v="1899-12-30T06:49:30"/>
    <d v="1900-01-16T01:30:00"/>
  </r>
  <r>
    <d v="2020-06-09T00:00:00"/>
    <x v="6"/>
    <x v="5"/>
    <x v="8"/>
    <x v="0"/>
    <n v="161"/>
    <n v="161"/>
    <n v="155"/>
    <n v="0.9627"/>
    <n v="6"/>
    <d v="1899-12-30T00:00:19"/>
    <d v="1899-12-30T00:02:27"/>
    <d v="1899-12-30T00:01:50"/>
    <n v="0.71879999999999999"/>
    <d v="1899-12-30T06:19:45"/>
    <d v="1900-01-14T19:45:00"/>
    <d v="1899-12-30T06:34:27"/>
    <d v="1900-01-15T10:27:00"/>
  </r>
  <r>
    <d v="2020-06-10T00:00:00"/>
    <x v="0"/>
    <x v="5"/>
    <x v="9"/>
    <x v="0"/>
    <n v="162"/>
    <n v="155"/>
    <n v="151"/>
    <n v="0.97419999999999995"/>
    <n v="4"/>
    <d v="1899-12-30T00:00:17"/>
    <d v="1899-12-30T00:02:20"/>
    <d v="1899-12-30T00:01:49"/>
    <n v="0.80520000000000003"/>
    <d v="1899-12-30T05:52:20"/>
    <d v="1900-01-13T16:20:00"/>
    <d v="1899-12-30T06:01:40"/>
    <d v="1900-01-14T01:40:00"/>
  </r>
  <r>
    <d v="2020-06-11T00:00:00"/>
    <x v="1"/>
    <x v="5"/>
    <x v="10"/>
    <x v="0"/>
    <n v="163"/>
    <n v="161"/>
    <n v="150"/>
    <n v="0.93169999999999997"/>
    <n v="11"/>
    <d v="1899-12-30T00:00:17"/>
    <d v="1899-12-30T00:02:22"/>
    <d v="1899-12-30T00:02:45"/>
    <n v="0.75319999999999998"/>
    <d v="1899-12-30T05:55:00"/>
    <d v="1900-01-13T19:00:00"/>
    <d v="1899-12-30T06:21:02"/>
    <d v="1900-01-14T21:02:00"/>
  </r>
  <r>
    <d v="2020-06-12T00:00:00"/>
    <x v="2"/>
    <x v="5"/>
    <x v="11"/>
    <x v="0"/>
    <n v="164"/>
    <n v="132"/>
    <n v="129"/>
    <n v="0.97729999999999995"/>
    <n v="3"/>
    <d v="1899-12-30T00:00:27"/>
    <d v="1899-12-30T00:02:22"/>
    <d v="1899-12-30T00:02:34"/>
    <n v="0.65149999999999997"/>
    <d v="1899-12-30T05:05:18"/>
    <d v="1900-01-11T17:18:00"/>
    <d v="1899-12-30T05:12:24"/>
    <d v="1900-01-12T00:24:00"/>
  </r>
  <r>
    <d v="2020-06-13T00:00:00"/>
    <x v="3"/>
    <x v="5"/>
    <x v="12"/>
    <x v="0"/>
    <n v="165"/>
    <n v="122"/>
    <n v="119"/>
    <n v="0.97540000000000004"/>
    <n v="3"/>
    <d v="1899-12-30T00:00:16"/>
    <d v="1899-12-30T00:02:24"/>
    <d v="1899-12-30T00:01:50"/>
    <n v="0.8"/>
    <d v="1899-12-30T04:45:36"/>
    <d v="1900-01-10T21:36:00"/>
    <d v="1899-12-30T04:52:48"/>
    <d v="1900-01-11T04:48:00"/>
  </r>
  <r>
    <d v="2020-06-14T00:00:00"/>
    <x v="4"/>
    <x v="5"/>
    <x v="13"/>
    <x v="0"/>
    <n v="166"/>
    <n v="17"/>
    <n v="17"/>
    <n v="1"/>
    <n v="0"/>
    <d v="1899-12-30T00:00:21"/>
    <d v="1899-12-30T00:02:40"/>
    <d v="1899-12-30T00:00:58"/>
    <n v="0.76470000000000005"/>
    <d v="1899-12-30T00:45:20"/>
    <d v="1899-12-31T21:20:00"/>
    <d v="1899-12-30T00:45:20"/>
    <d v="1899-12-31T21:20:00"/>
  </r>
  <r>
    <d v="2020-06-15T00:00:00"/>
    <x v="5"/>
    <x v="5"/>
    <x v="14"/>
    <x v="0"/>
    <n v="167"/>
    <n v="45"/>
    <n v="45"/>
    <n v="1"/>
    <n v="0"/>
    <d v="1899-12-30T00:00:06"/>
    <d v="1899-12-30T00:02:06"/>
    <d v="1899-12-30T00:00:57"/>
    <n v="0.9556"/>
    <d v="1899-12-30T01:34:30"/>
    <d v="1900-01-02T22:30:00"/>
    <d v="1899-12-30T01:34:30"/>
    <d v="1900-01-02T22:30:00"/>
  </r>
  <r>
    <d v="2020-06-16T00:00:00"/>
    <x v="6"/>
    <x v="5"/>
    <x v="15"/>
    <x v="0"/>
    <n v="168"/>
    <n v="177"/>
    <n v="172"/>
    <n v="0.9718"/>
    <n v="5"/>
    <d v="1899-12-30T00:00:20"/>
    <d v="1899-12-30T00:02:23"/>
    <d v="1899-12-30T00:02:51"/>
    <n v="0.76"/>
    <d v="1899-12-30T06:49:56"/>
    <d v="1900-01-16T01:56:00"/>
    <d v="1899-12-30T07:01:51"/>
    <d v="1900-01-16T13:51:00"/>
  </r>
  <r>
    <d v="2020-06-17T00:00:00"/>
    <x v="0"/>
    <x v="5"/>
    <x v="16"/>
    <x v="0"/>
    <n v="169"/>
    <n v="133"/>
    <n v="132"/>
    <n v="0.99250000000000005"/>
    <n v="1"/>
    <d v="1899-12-30T00:00:10"/>
    <d v="1899-12-30T00:02:25"/>
    <d v="1899-12-30T00:00:59"/>
    <n v="0.93230000000000002"/>
    <d v="1899-12-30T05:19:00"/>
    <d v="1900-01-12T07:00:00"/>
    <d v="1899-12-30T05:21:25"/>
    <d v="1900-01-12T09:25:00"/>
  </r>
  <r>
    <d v="2020-06-18T00:00:00"/>
    <x v="1"/>
    <x v="5"/>
    <x v="17"/>
    <x v="0"/>
    <n v="170"/>
    <n v="177"/>
    <n v="167"/>
    <n v="0.94350000000000001"/>
    <n v="10"/>
    <d v="1899-12-30T00:00:15"/>
    <d v="1899-12-30T00:02:22"/>
    <d v="1899-12-30T00:04:35"/>
    <n v="0.83240000000000003"/>
    <d v="1899-12-30T06:35:14"/>
    <d v="1900-01-15T11:14:00"/>
    <d v="1899-12-30T06:58:54"/>
    <d v="1900-01-16T10:54:00"/>
  </r>
  <r>
    <d v="2020-06-19T00:00:00"/>
    <x v="2"/>
    <x v="5"/>
    <x v="18"/>
    <x v="0"/>
    <n v="171"/>
    <n v="127"/>
    <n v="124"/>
    <n v="0.97640000000000005"/>
    <n v="3"/>
    <d v="1899-12-30T00:00:16"/>
    <d v="1899-12-30T00:02:22"/>
    <d v="1899-12-30T00:01:45"/>
    <n v="0.81889999999999996"/>
    <d v="1899-12-30T04:53:28"/>
    <d v="1900-01-11T05:28:00"/>
    <d v="1899-12-30T05:00:34"/>
    <d v="1900-01-11T12:34:00"/>
  </r>
  <r>
    <d v="2020-06-20T00:00:00"/>
    <x v="3"/>
    <x v="5"/>
    <x v="19"/>
    <x v="0"/>
    <n v="172"/>
    <n v="148"/>
    <n v="147"/>
    <n v="0.99319999999999997"/>
    <n v="1"/>
    <d v="1899-12-30T00:00:16"/>
    <d v="1899-12-30T00:02:11"/>
    <d v="1899-12-30T00:03:11"/>
    <n v="0.83109999999999995"/>
    <d v="1899-12-30T05:20:57"/>
    <d v="1900-01-12T08:57:00"/>
    <d v="1899-12-30T05:23:08"/>
    <d v="1900-01-12T11:08:00"/>
  </r>
  <r>
    <d v="2020-06-21T00:00:00"/>
    <x v="4"/>
    <x v="5"/>
    <x v="20"/>
    <x v="0"/>
    <n v="173"/>
    <n v="23"/>
    <n v="23"/>
    <n v="1"/>
    <n v="0"/>
    <d v="1899-12-30T00:00:32"/>
    <d v="1899-12-30T00:02:02"/>
    <d v="1899-12-30T00:02:43"/>
    <n v="0.6522"/>
    <d v="1899-12-30T00:46:46"/>
    <d v="1899-12-31T22:46:00"/>
    <d v="1899-12-30T00:46:46"/>
    <d v="1899-12-31T22:46:00"/>
  </r>
  <r>
    <d v="2020-06-22T00:00:00"/>
    <x v="5"/>
    <x v="5"/>
    <x v="21"/>
    <x v="0"/>
    <n v="174"/>
    <n v="141"/>
    <n v="134"/>
    <n v="0.95040000000000002"/>
    <n v="7"/>
    <d v="1899-12-30T00:00:24"/>
    <d v="1899-12-30T00:02:38"/>
    <d v="1899-12-30T00:02:29"/>
    <n v="0.72140000000000004"/>
    <d v="1899-12-30T05:52:52"/>
    <d v="1900-01-13T16:52:00"/>
    <d v="1899-12-30T06:11:18"/>
    <d v="1900-01-14T11:18:00"/>
  </r>
  <r>
    <d v="2020-06-23T00:00:00"/>
    <x v="6"/>
    <x v="5"/>
    <x v="22"/>
    <x v="0"/>
    <n v="175"/>
    <n v="124"/>
    <n v="120"/>
    <n v="0.9677"/>
    <n v="4"/>
    <d v="1899-12-30T00:00:20"/>
    <d v="1899-12-30T00:02:33"/>
    <d v="1899-12-30T00:02:58"/>
    <n v="0.8226"/>
    <d v="1899-12-30T05:06:00"/>
    <d v="1900-01-11T18:00:00"/>
    <d v="1899-12-30T05:16:12"/>
    <d v="1900-01-12T04:12:00"/>
  </r>
  <r>
    <d v="2020-06-24T00:00:00"/>
    <x v="0"/>
    <x v="5"/>
    <x v="23"/>
    <x v="0"/>
    <n v="176"/>
    <n v="165"/>
    <n v="156"/>
    <n v="0.94550000000000001"/>
    <n v="9"/>
    <d v="1899-12-30T00:00:25"/>
    <d v="1899-12-30T00:02:21"/>
    <d v="1899-12-30T00:02:38"/>
    <n v="0.70550000000000002"/>
    <d v="1899-12-30T06:06:36"/>
    <d v="1900-01-14T06:36:00"/>
    <d v="1899-12-30T06:27:45"/>
    <d v="1900-01-15T03:45:00"/>
  </r>
  <r>
    <d v="2020-06-25T00:00:00"/>
    <x v="1"/>
    <x v="5"/>
    <x v="24"/>
    <x v="0"/>
    <n v="177"/>
    <n v="168"/>
    <n v="166"/>
    <n v="0.98809999999999998"/>
    <n v="2"/>
    <d v="1899-12-30T00:00:21"/>
    <d v="1899-12-30T00:02:33"/>
    <d v="1899-12-30T00:03:43"/>
    <n v="0.80120000000000002"/>
    <d v="1899-12-30T07:03:18"/>
    <d v="1900-01-16T15:18:00"/>
    <d v="1899-12-30T07:08:24"/>
    <d v="1900-01-16T20:24:00"/>
  </r>
  <r>
    <d v="2020-06-26T00:00:00"/>
    <x v="2"/>
    <x v="5"/>
    <x v="25"/>
    <x v="0"/>
    <n v="178"/>
    <n v="198"/>
    <n v="188"/>
    <n v="0.94950000000000001"/>
    <n v="10"/>
    <d v="1899-12-30T00:00:22"/>
    <d v="1899-12-30T00:02:32"/>
    <d v="1899-12-30T00:02:45"/>
    <n v="0.70920000000000005"/>
    <d v="1899-12-30T07:56:16"/>
    <d v="1900-01-18T20:16:00"/>
    <d v="1899-12-30T08:21:36"/>
    <d v="1900-01-19T21:36:00"/>
  </r>
  <r>
    <d v="2020-06-27T00:00:00"/>
    <x v="3"/>
    <x v="5"/>
    <x v="26"/>
    <x v="0"/>
    <n v="179"/>
    <n v="139"/>
    <n v="133"/>
    <n v="0.95679999999999998"/>
    <n v="6"/>
    <d v="1899-12-30T00:00:17"/>
    <d v="1899-12-30T00:02:40"/>
    <d v="1899-12-30T00:03:03"/>
    <n v="0.80149999999999999"/>
    <d v="1899-12-30T05:54:40"/>
    <d v="1900-01-13T18:40:00"/>
    <d v="1899-12-30T06:10:40"/>
    <d v="1900-01-14T10:40:00"/>
  </r>
  <r>
    <d v="2020-06-28T00:00:00"/>
    <x v="4"/>
    <x v="5"/>
    <x v="27"/>
    <x v="0"/>
    <n v="180"/>
    <n v="46"/>
    <n v="45"/>
    <n v="0.97829999999999995"/>
    <n v="1"/>
    <d v="1899-12-30T00:00:10"/>
    <d v="1899-12-30T00:02:14"/>
    <d v="1899-12-30T00:01:16"/>
    <n v="0.88890000000000002"/>
    <d v="1899-12-30T01:40:30"/>
    <d v="1900-01-03T04:30:00"/>
    <d v="1899-12-30T01:42:44"/>
    <d v="1900-01-03T06:44:00"/>
  </r>
  <r>
    <d v="2020-06-29T00:00:00"/>
    <x v="5"/>
    <x v="5"/>
    <x v="28"/>
    <x v="0"/>
    <n v="181"/>
    <n v="184"/>
    <n v="174"/>
    <n v="0.94569999999999999"/>
    <n v="10"/>
    <d v="1899-12-30T00:00:23"/>
    <d v="1899-12-30T00:02:37"/>
    <d v="1899-12-30T00:04:35"/>
    <n v="0.76539999999999997"/>
    <d v="1899-12-30T07:35:18"/>
    <d v="1900-01-17T23:18:00"/>
    <d v="1899-12-30T08:01:28"/>
    <d v="1900-01-19T01:28:00"/>
  </r>
  <r>
    <d v="2020-06-30T00:00:00"/>
    <x v="6"/>
    <x v="5"/>
    <x v="29"/>
    <x v="0"/>
    <n v="182"/>
    <n v="207"/>
    <n v="190"/>
    <n v="0.91790000000000005"/>
    <n v="17"/>
    <d v="1899-12-30T00:00:21"/>
    <d v="1899-12-30T00:02:23"/>
    <d v="1899-12-30T00:04:06"/>
    <n v="0.71360000000000001"/>
    <d v="1899-12-30T07:32:50"/>
    <d v="1900-01-17T20:50:00"/>
    <d v="1899-12-30T08:13:21"/>
    <d v="1900-01-19T13:21:00"/>
  </r>
  <r>
    <d v="2020-07-01T00:00:00"/>
    <x v="0"/>
    <x v="6"/>
    <x v="0"/>
    <x v="0"/>
    <n v="183"/>
    <n v="191"/>
    <n v="180"/>
    <n v="0.94240000000000002"/>
    <n v="11"/>
    <d v="1899-12-30T00:00:21"/>
    <d v="1899-12-30T00:02:32"/>
    <d v="1899-12-30T00:01:53"/>
    <n v="0.76500000000000001"/>
    <d v="1899-12-30T07:36:00"/>
    <d v="1900-01-18T00:00:00"/>
    <d v="1899-12-30T08:03:52"/>
    <d v="1900-01-19T03:52:00"/>
  </r>
  <r>
    <d v="2020-07-02T00:00:00"/>
    <x v="1"/>
    <x v="6"/>
    <x v="1"/>
    <x v="0"/>
    <n v="184"/>
    <n v="213"/>
    <n v="204"/>
    <n v="0.9577"/>
    <n v="9"/>
    <d v="1899-12-30T00:00:24"/>
    <d v="1899-12-30T00:02:26"/>
    <d v="1899-12-30T00:02:46"/>
    <n v="0.69669999999999999"/>
    <d v="1899-12-30T08:16:24"/>
    <d v="1900-01-19T16:24:00"/>
    <d v="1899-12-30T08:38:18"/>
    <d v="1900-01-20T14:18:00"/>
  </r>
  <r>
    <d v="2020-07-03T00:00:00"/>
    <x v="2"/>
    <x v="6"/>
    <x v="2"/>
    <x v="0"/>
    <n v="185"/>
    <n v="483"/>
    <n v="451"/>
    <n v="0.93369999999999997"/>
    <n v="32"/>
    <d v="1899-12-30T00:00:16"/>
    <d v="1899-12-30T00:00:57"/>
    <d v="1899-12-30T00:08:45"/>
    <n v="0.79200000000000004"/>
    <d v="1899-12-30T07:08:27"/>
    <d v="1900-01-16T20:27:00"/>
    <d v="1899-12-30T07:38:51"/>
    <d v="1900-01-18T02:51:00"/>
  </r>
  <r>
    <d v="2020-07-04T00:00:00"/>
    <x v="3"/>
    <x v="6"/>
    <x v="3"/>
    <x v="0"/>
    <n v="186"/>
    <n v="547"/>
    <n v="526"/>
    <n v="0.96160000000000001"/>
    <n v="21"/>
    <d v="1899-12-30T00:00:19"/>
    <d v="1899-12-30T00:01:21"/>
    <d v="1899-12-30T00:03:54"/>
    <n v="0.81579999999999997"/>
    <d v="1899-12-30T11:50:06"/>
    <d v="1900-01-28T14:06:00"/>
    <d v="1899-12-30T12:18:27"/>
    <d v="1900-01-29T18:27:00"/>
  </r>
  <r>
    <d v="2020-07-05T00:00:00"/>
    <x v="4"/>
    <x v="6"/>
    <x v="4"/>
    <x v="0"/>
    <n v="187"/>
    <n v="54"/>
    <n v="53"/>
    <n v="0.98150000000000004"/>
    <n v="1"/>
    <d v="1899-12-30T00:00:25"/>
    <d v="1899-12-30T00:02:36"/>
    <d v="1899-12-30T00:01:18"/>
    <n v="0.70369999999999999"/>
    <d v="1899-12-30T02:17:48"/>
    <d v="1900-01-04T17:48:00"/>
    <d v="1899-12-30T02:20:24"/>
    <d v="1900-01-04T20:24:00"/>
  </r>
  <r>
    <d v="2020-07-06T00:00:00"/>
    <x v="5"/>
    <x v="6"/>
    <x v="5"/>
    <x v="0"/>
    <n v="188"/>
    <n v="275"/>
    <n v="261"/>
    <n v="0.94910000000000005"/>
    <n v="14"/>
    <d v="1899-12-30T00:00:22"/>
    <d v="1899-12-30T00:02:13"/>
    <d v="1899-12-30T00:02:12"/>
    <n v="0.74439999999999995"/>
    <d v="1899-12-30T09:38:33"/>
    <d v="1900-01-23T02:33:00"/>
    <d v="1899-12-30T10:09:35"/>
    <d v="1900-01-24T09:35:00"/>
  </r>
  <r>
    <d v="2020-07-07T00:00:00"/>
    <x v="6"/>
    <x v="6"/>
    <x v="6"/>
    <x v="0"/>
    <n v="189"/>
    <n v="205"/>
    <n v="195"/>
    <n v="0.95120000000000005"/>
    <n v="10"/>
    <d v="1899-12-30T00:00:24"/>
    <d v="1899-12-30T00:02:34"/>
    <d v="1899-12-30T00:03:00"/>
    <n v="0.70789999999999997"/>
    <d v="1899-12-30T08:20:30"/>
    <d v="1900-01-19T20:30:00"/>
    <d v="1899-12-30T08:46:10"/>
    <d v="1900-01-20T22:10:00"/>
  </r>
  <r>
    <d v="2020-07-08T00:00:00"/>
    <x v="0"/>
    <x v="6"/>
    <x v="7"/>
    <x v="0"/>
    <n v="190"/>
    <n v="80"/>
    <n v="77"/>
    <n v="0.96250000000000002"/>
    <n v="3"/>
    <d v="1899-12-30T00:00:10"/>
    <d v="1899-12-30T00:02:11"/>
    <d v="1899-12-30T00:01:33"/>
    <n v="0.89610000000000001"/>
    <d v="1899-12-30T02:48:07"/>
    <d v="1900-01-06T00:07:00"/>
    <d v="1899-12-30T02:54:40"/>
    <d v="1900-01-06T06:40:00"/>
  </r>
  <r>
    <d v="2020-07-09T00:00:00"/>
    <x v="1"/>
    <x v="6"/>
    <x v="8"/>
    <x v="0"/>
    <n v="191"/>
    <n v="200"/>
    <n v="195"/>
    <n v="0.97499999999999998"/>
    <n v="5"/>
    <d v="1899-12-30T00:00:21"/>
    <d v="1899-12-30T00:02:30"/>
    <d v="1899-12-30T00:02:48"/>
    <n v="0.75249999999999995"/>
    <d v="1899-12-30T08:07:30"/>
    <d v="1900-01-19T07:30:00"/>
    <d v="1899-12-30T08:20:00"/>
    <d v="1900-01-19T20:00:00"/>
  </r>
  <r>
    <d v="2020-07-10T00:00:00"/>
    <x v="2"/>
    <x v="6"/>
    <x v="9"/>
    <x v="0"/>
    <n v="192"/>
    <n v="154"/>
    <n v="150"/>
    <n v="0.97399999999999998"/>
    <n v="4"/>
    <d v="1899-12-30T00:00:21"/>
    <d v="1899-12-30T00:02:29"/>
    <d v="1899-12-30T00:02:45"/>
    <n v="0.74339999999999995"/>
    <d v="1899-12-30T06:12:30"/>
    <d v="1900-01-14T12:30:00"/>
    <d v="1899-12-30T06:22:26"/>
    <d v="1900-01-14T22:26:00"/>
  </r>
  <r>
    <d v="2020-07-11T00:00:00"/>
    <x v="3"/>
    <x v="6"/>
    <x v="10"/>
    <x v="0"/>
    <n v="193"/>
    <n v="163"/>
    <n v="155"/>
    <n v="0.95089999999999997"/>
    <n v="8"/>
    <d v="1899-12-30T00:00:23"/>
    <d v="1899-12-30T00:02:18"/>
    <d v="1899-12-30T00:02:26"/>
    <n v="0.74519999999999997"/>
    <d v="1899-12-30T05:56:30"/>
    <d v="1900-01-13T20:30:00"/>
    <d v="1899-12-30T06:14:54"/>
    <d v="1900-01-14T14:54:00"/>
  </r>
  <r>
    <d v="2020-07-12T00:00:00"/>
    <x v="4"/>
    <x v="6"/>
    <x v="11"/>
    <x v="0"/>
    <n v="194"/>
    <n v="12"/>
    <n v="12"/>
    <n v="1"/>
    <n v="0"/>
    <d v="1899-12-30T00:00:25"/>
    <d v="1899-12-30T00:03:37"/>
    <d v="1899-12-30T00:01:28"/>
    <n v="0.66669999999999996"/>
    <d v="1899-12-30T00:43:24"/>
    <d v="1899-12-31T19:24:00"/>
    <d v="1899-12-30T00:43:24"/>
    <d v="1899-12-31T19:24:00"/>
  </r>
  <r>
    <d v="2020-07-13T00:00:00"/>
    <x v="5"/>
    <x v="6"/>
    <x v="12"/>
    <x v="0"/>
    <n v="195"/>
    <n v="218"/>
    <n v="212"/>
    <n v="0.97250000000000003"/>
    <n v="6"/>
    <d v="1899-12-30T00:00:20"/>
    <d v="1899-12-30T00:01:56"/>
    <d v="1899-12-30T00:04:11"/>
    <n v="0.75929999999999997"/>
    <d v="1899-12-30T06:49:52"/>
    <d v="1900-01-16T01:52:00"/>
    <d v="1899-12-30T07:01:28"/>
    <d v="1900-01-16T13:28:00"/>
  </r>
  <r>
    <d v="2020-07-14T00:00:00"/>
    <x v="6"/>
    <x v="6"/>
    <x v="13"/>
    <x v="0"/>
    <n v="196"/>
    <n v="172"/>
    <n v="163"/>
    <n v="0.94769999999999999"/>
    <n v="9"/>
    <d v="1899-12-30T00:00:18"/>
    <d v="1899-12-30T00:02:09"/>
    <d v="1899-12-30T00:01:53"/>
    <n v="0.81930000000000003"/>
    <d v="1899-12-30T05:50:27"/>
    <d v="1900-01-13T14:27:00"/>
    <d v="1899-12-30T06:09:48"/>
    <d v="1900-01-14T09:48:00"/>
  </r>
  <r>
    <d v="2020-07-15T00:00:00"/>
    <x v="0"/>
    <x v="6"/>
    <x v="14"/>
    <x v="0"/>
    <n v="197"/>
    <n v="205"/>
    <n v="194"/>
    <n v="0.94630000000000003"/>
    <n v="11"/>
    <d v="1899-12-30T00:00:18"/>
    <d v="1899-12-30T00:02:24"/>
    <d v="1899-12-30T00:01:41"/>
    <n v="0.80600000000000005"/>
    <d v="1899-12-30T07:45:36"/>
    <d v="1900-01-18T09:36:00"/>
    <d v="1899-12-30T08:12:00"/>
    <d v="1900-01-19T12:00:00"/>
  </r>
  <r>
    <d v="2020-07-16T00:00:00"/>
    <x v="1"/>
    <x v="6"/>
    <x v="15"/>
    <x v="0"/>
    <n v="198"/>
    <n v="178"/>
    <n v="168"/>
    <n v="0.94379999999999997"/>
    <n v="10"/>
    <d v="1899-12-30T00:00:23"/>
    <d v="1899-12-30T00:02:28"/>
    <d v="1899-12-30T00:02:50"/>
    <n v="0.68969999999999998"/>
    <d v="1899-12-30T06:54:24"/>
    <d v="1900-01-16T06:24:00"/>
    <d v="1899-12-30T07:19:04"/>
    <d v="1900-01-17T07:04:00"/>
  </r>
  <r>
    <d v="2020-07-17T00:00:00"/>
    <x v="2"/>
    <x v="6"/>
    <x v="16"/>
    <x v="0"/>
    <n v="199"/>
    <n v="214"/>
    <n v="201"/>
    <n v="0.93930000000000002"/>
    <n v="13"/>
    <d v="1899-12-30T00:00:23"/>
    <d v="1899-12-30T00:02:11"/>
    <d v="1899-12-30T00:02:24"/>
    <n v="0.6603"/>
    <d v="1899-12-30T07:18:51"/>
    <d v="1900-01-17T06:51:00"/>
    <d v="1899-12-30T07:47:14"/>
    <d v="1900-01-18T11:14:00"/>
  </r>
  <r>
    <d v="2020-07-18T00:00:00"/>
    <x v="3"/>
    <x v="6"/>
    <x v="17"/>
    <x v="0"/>
    <n v="200"/>
    <n v="169"/>
    <n v="161"/>
    <n v="0.95269999999999999"/>
    <n v="8"/>
    <d v="1899-12-30T00:00:23"/>
    <d v="1899-12-30T00:02:17"/>
    <d v="1899-12-30T00:04:35"/>
    <n v="0.71689999999999998"/>
    <d v="1899-12-30T06:07:37"/>
    <d v="1900-01-14T07:37:00"/>
    <d v="1899-12-30T06:25:53"/>
    <d v="1900-01-15T01:53:00"/>
  </r>
  <r>
    <d v="2020-07-19T00:00:00"/>
    <x v="4"/>
    <x v="6"/>
    <x v="18"/>
    <x v="0"/>
    <n v="201"/>
    <n v="46"/>
    <n v="46"/>
    <n v="1"/>
    <n v="0"/>
    <d v="1899-12-30T00:00:25"/>
    <d v="1899-12-30T00:02:24"/>
    <d v="1899-12-30T00:01:35"/>
    <n v="0.71740000000000004"/>
    <d v="1899-12-30T01:50:24"/>
    <d v="1900-01-03T14:24:00"/>
    <d v="1899-12-30T01:50:24"/>
    <d v="1900-01-03T14:24:00"/>
  </r>
  <r>
    <d v="2020-07-20T00:00:00"/>
    <x v="5"/>
    <x v="6"/>
    <x v="19"/>
    <x v="0"/>
    <n v="202"/>
    <n v="183"/>
    <n v="177"/>
    <n v="0.96719999999999995"/>
    <n v="6"/>
    <d v="1899-12-30T00:00:18"/>
    <d v="1899-12-30T00:02:30"/>
    <d v="1899-12-30T00:01:07"/>
    <n v="0.81110000000000004"/>
    <d v="1899-12-30T07:22:30"/>
    <d v="1900-01-17T10:30:00"/>
    <d v="1899-12-30T07:37:30"/>
    <d v="1900-01-18T01:30:00"/>
  </r>
  <r>
    <d v="2020-07-21T00:00:00"/>
    <x v="6"/>
    <x v="6"/>
    <x v="20"/>
    <x v="0"/>
    <n v="203"/>
    <n v="208"/>
    <n v="190"/>
    <n v="0.91349999999999998"/>
    <n v="18"/>
    <d v="1899-12-30T00:00:21"/>
    <d v="1899-12-30T00:02:25"/>
    <d v="1899-12-30T00:01:50"/>
    <n v="0.74109999999999998"/>
    <d v="1899-12-30T07:39:10"/>
    <d v="1900-01-18T03:10:00"/>
    <d v="1899-12-30T08:22:40"/>
    <d v="1900-01-19T22:40:00"/>
  </r>
  <r>
    <d v="2020-07-22T00:00:00"/>
    <x v="0"/>
    <x v="6"/>
    <x v="21"/>
    <x v="0"/>
    <n v="204"/>
    <n v="234"/>
    <n v="224"/>
    <n v="0.95730000000000004"/>
    <n v="10"/>
    <d v="1899-12-30T00:00:22"/>
    <d v="1899-12-30T00:02:15"/>
    <d v="1899-12-30T00:03:20"/>
    <n v="0.74139999999999995"/>
    <d v="1899-12-30T08:24:00"/>
    <d v="1900-01-20T00:00:00"/>
    <d v="1899-12-30T08:46:30"/>
    <d v="1900-01-20T22:30:00"/>
  </r>
  <r>
    <d v="2020-07-23T00:00:00"/>
    <x v="1"/>
    <x v="6"/>
    <x v="22"/>
    <x v="0"/>
    <n v="205"/>
    <n v="204"/>
    <n v="194"/>
    <n v="0.95099999999999996"/>
    <n v="10"/>
    <d v="1899-12-30T00:00:18"/>
    <d v="1899-12-30T00:02:17"/>
    <d v="1899-12-30T00:01:50"/>
    <n v="0.78710000000000002"/>
    <d v="1899-12-30T07:22:58"/>
    <d v="1900-01-17T10:58:00"/>
    <d v="1899-12-30T07:45:48"/>
    <d v="1900-01-18T09:48:00"/>
  </r>
  <r>
    <d v="2020-07-24T00:00:00"/>
    <x v="2"/>
    <x v="6"/>
    <x v="23"/>
    <x v="0"/>
    <n v="206"/>
    <n v="204"/>
    <n v="189"/>
    <n v="0.92649999999999999"/>
    <n v="15"/>
    <d v="1899-12-30T00:00:21"/>
    <d v="1899-12-30T00:02:15"/>
    <d v="1899-12-30T00:03:56"/>
    <n v="0.70789999999999997"/>
    <d v="1899-12-30T07:05:15"/>
    <d v="1900-01-16T17:15:00"/>
    <d v="1899-12-30T07:39:00"/>
    <d v="1900-01-18T03:00:00"/>
  </r>
  <r>
    <d v="2020-07-25T00:00:00"/>
    <x v="3"/>
    <x v="6"/>
    <x v="24"/>
    <x v="0"/>
    <n v="207"/>
    <n v="99"/>
    <n v="99"/>
    <n v="1"/>
    <n v="0"/>
    <d v="1899-12-30T00:00:16"/>
    <d v="1899-12-30T00:02:25"/>
    <d v="1899-12-30T00:01:02"/>
    <n v="0.82830000000000004"/>
    <d v="1899-12-30T03:59:15"/>
    <d v="1900-01-08T23:15:00"/>
    <d v="1899-12-30T03:59:15"/>
    <d v="1900-01-08T23:15:00"/>
  </r>
  <r>
    <d v="2020-07-26T00:00:00"/>
    <x v="4"/>
    <x v="6"/>
    <x v="25"/>
    <x v="0"/>
    <n v="208"/>
    <n v="29"/>
    <n v="27"/>
    <n v="0.93100000000000005"/>
    <n v="2"/>
    <d v="1899-12-30T00:00:19"/>
    <d v="1899-12-30T00:02:47"/>
    <d v="1899-12-30T00:02:22"/>
    <n v="0.78569999999999995"/>
    <d v="1899-12-30T01:15:09"/>
    <d v="1900-01-02T03:09:00"/>
    <d v="1899-12-30T01:20:43"/>
    <d v="1900-01-02T08:43:00"/>
  </r>
  <r>
    <d v="2020-07-27T00:00:00"/>
    <x v="5"/>
    <x v="6"/>
    <x v="26"/>
    <x v="0"/>
    <n v="209"/>
    <n v="167"/>
    <n v="159"/>
    <n v="0.95209999999999995"/>
    <n v="8"/>
    <d v="1899-12-30T00:00:23"/>
    <d v="1899-12-30T00:02:28"/>
    <d v="1899-12-30T00:04:35"/>
    <n v="0.70479999999999998"/>
    <d v="1899-12-30T06:32:12"/>
    <d v="1900-01-15T08:12:00"/>
    <d v="1899-12-30T06:51:56"/>
    <d v="1900-01-16T03:56:00"/>
  </r>
  <r>
    <d v="2020-07-28T00:00:00"/>
    <x v="6"/>
    <x v="6"/>
    <x v="27"/>
    <x v="0"/>
    <n v="210"/>
    <n v="164"/>
    <n v="161"/>
    <n v="0.98170000000000002"/>
    <n v="3"/>
    <d v="1899-12-30T00:00:17"/>
    <d v="1899-12-30T00:02:35"/>
    <d v="1899-12-30T00:01:37"/>
    <n v="0.81710000000000005"/>
    <d v="1899-12-30T06:55:55"/>
    <d v="1900-01-16T07:55:00"/>
    <d v="1899-12-30T07:03:40"/>
    <d v="1900-01-16T15:40:00"/>
  </r>
  <r>
    <d v="2020-07-29T00:00:00"/>
    <x v="0"/>
    <x v="6"/>
    <x v="28"/>
    <x v="0"/>
    <n v="211"/>
    <n v="158"/>
    <n v="147"/>
    <n v="0.9304"/>
    <n v="11"/>
    <d v="1899-12-30T00:00:21"/>
    <d v="1899-12-30T00:02:34"/>
    <d v="1899-12-30T00:02:03"/>
    <n v="0.72440000000000004"/>
    <d v="1899-12-30T06:17:18"/>
    <d v="1900-01-14T17:18:00"/>
    <d v="1899-12-30T06:45:32"/>
    <d v="1900-01-15T21:32:00"/>
  </r>
  <r>
    <d v="2020-07-30T00:00:00"/>
    <x v="1"/>
    <x v="6"/>
    <x v="29"/>
    <x v="0"/>
    <n v="212"/>
    <n v="165"/>
    <n v="161"/>
    <n v="0.9758"/>
    <n v="4"/>
    <d v="1899-12-30T00:00:17"/>
    <d v="1899-12-30T00:02:26"/>
    <d v="1899-12-30T00:01:06"/>
    <n v="0.77910000000000001"/>
    <d v="1899-12-30T06:31:46"/>
    <d v="1900-01-15T07:46:00"/>
    <d v="1899-12-30T06:41:30"/>
    <d v="1900-01-15T17:30:00"/>
  </r>
  <r>
    <d v="2020-07-31T00:00:00"/>
    <x v="2"/>
    <x v="6"/>
    <x v="30"/>
    <x v="0"/>
    <n v="213"/>
    <n v="129"/>
    <n v="124"/>
    <n v="0.96120000000000005"/>
    <n v="5"/>
    <d v="1899-12-30T00:00:23"/>
    <d v="1899-12-30T00:02:28"/>
    <d v="1899-12-30T00:01:50"/>
    <n v="0.7087"/>
    <d v="1899-12-30T05:05:52"/>
    <d v="1900-01-11T17:52:00"/>
    <d v="1899-12-30T05:18:12"/>
    <d v="1900-01-12T06:12:00"/>
  </r>
  <r>
    <d v="2020-08-01T00:00:00"/>
    <x v="3"/>
    <x v="7"/>
    <x v="0"/>
    <x v="0"/>
    <n v="214"/>
    <n v="155"/>
    <n v="149"/>
    <n v="0.96130000000000004"/>
    <n v="6"/>
    <d v="1899-12-30T00:00:23"/>
    <d v="1899-12-30T00:02:26"/>
    <d v="1899-12-30T00:04:19"/>
    <n v="0.74509999999999998"/>
    <d v="1899-12-30T06:02:34"/>
    <d v="1900-01-14T02:34:00"/>
    <d v="1899-12-30T06:17:10"/>
    <d v="1900-01-14T17:10:00"/>
  </r>
  <r>
    <d v="2020-08-02T00:00:00"/>
    <x v="4"/>
    <x v="7"/>
    <x v="1"/>
    <x v="0"/>
    <n v="215"/>
    <n v="24"/>
    <n v="22"/>
    <n v="0.91669999999999996"/>
    <n v="2"/>
    <d v="1899-12-30T00:00:28"/>
    <d v="1899-12-30T00:02:24"/>
    <d v="1899-12-30T00:01:21"/>
    <n v="0.54169999999999996"/>
    <d v="1899-12-30T00:52:48"/>
    <d v="1900-01-01T04:48:00"/>
    <d v="1899-12-30T00:57:36"/>
    <d v="1900-01-01T09:36:00"/>
  </r>
  <r>
    <d v="2020-08-03T00:00:00"/>
    <x v="5"/>
    <x v="7"/>
    <x v="2"/>
    <x v="0"/>
    <n v="216"/>
    <n v="209"/>
    <n v="200"/>
    <n v="0.95689999999999997"/>
    <n v="9"/>
    <d v="1899-12-30T00:00:23"/>
    <d v="1899-12-30T00:02:24"/>
    <d v="1899-12-30T00:02:11"/>
    <n v="0.66669999999999996"/>
    <d v="1899-12-30T08:00:00"/>
    <d v="1900-01-19T00:00:00"/>
    <d v="1899-12-30T08:21:36"/>
    <d v="1900-01-19T21:36:00"/>
  </r>
  <r>
    <d v="2020-08-04T00:00:00"/>
    <x v="6"/>
    <x v="7"/>
    <x v="3"/>
    <x v="0"/>
    <n v="217"/>
    <n v="239"/>
    <n v="226"/>
    <n v="0.9456"/>
    <n v="13"/>
    <d v="1899-12-30T00:00:26"/>
    <d v="1899-12-30T00:02:19"/>
    <d v="1899-12-30T00:02:50"/>
    <n v="0.67230000000000001"/>
    <d v="1899-12-30T08:43:34"/>
    <d v="1900-01-20T19:34:00"/>
    <d v="1899-12-30T09:13:41"/>
    <d v="1900-01-22T01:41:00"/>
  </r>
  <r>
    <d v="2020-08-05T00:00:00"/>
    <x v="0"/>
    <x v="7"/>
    <x v="4"/>
    <x v="0"/>
    <n v="218"/>
    <n v="229"/>
    <n v="210"/>
    <n v="0.91700000000000004"/>
    <n v="19"/>
    <d v="1899-12-30T00:00:29"/>
    <d v="1899-12-30T00:02:23"/>
    <d v="1899-12-30T00:08:16"/>
    <n v="0.64159999999999995"/>
    <d v="1899-12-30T08:20:30"/>
    <d v="1900-01-19T20:30:00"/>
    <d v="1899-12-30T09:05:47"/>
    <d v="1900-01-21T17:47:00"/>
  </r>
  <r>
    <d v="2020-08-06T00:00:00"/>
    <x v="1"/>
    <x v="7"/>
    <x v="5"/>
    <x v="0"/>
    <n v="219"/>
    <n v="194"/>
    <n v="172"/>
    <n v="0.88660000000000005"/>
    <n v="22"/>
    <d v="1899-12-30T00:00:23"/>
    <d v="1899-12-30T00:02:20"/>
    <d v="1899-12-30T00:06:16"/>
    <n v="0.66139999999999999"/>
    <d v="1899-12-30T06:41:20"/>
    <d v="1900-01-15T17:20:00"/>
    <d v="1899-12-30T07:32:40"/>
    <d v="1900-01-17T20:40:00"/>
  </r>
  <r>
    <d v="2020-08-07T00:00:00"/>
    <x v="2"/>
    <x v="7"/>
    <x v="6"/>
    <x v="0"/>
    <n v="220"/>
    <n v="202"/>
    <n v="179"/>
    <n v="0.8861"/>
    <n v="23"/>
    <d v="1899-12-30T00:00:24"/>
    <d v="1899-12-30T00:02:16"/>
    <d v="1899-12-30T00:02:50"/>
    <n v="0.64429999999999998"/>
    <d v="1899-12-30T06:45:44"/>
    <d v="1900-01-15T21:44:00"/>
    <d v="1899-12-30T07:37:52"/>
    <d v="1900-01-18T01:52:00"/>
  </r>
  <r>
    <d v="2020-08-08T00:00:00"/>
    <x v="3"/>
    <x v="7"/>
    <x v="7"/>
    <x v="0"/>
    <n v="221"/>
    <n v="268"/>
    <n v="254"/>
    <n v="0.94779999999999998"/>
    <n v="14"/>
    <d v="1899-12-30T00:00:15"/>
    <d v="1899-12-30T00:01:51"/>
    <d v="1899-12-30T00:02:40"/>
    <n v="0.81130000000000002"/>
    <d v="1899-12-30T07:49:54"/>
    <d v="1900-01-18T13:54:00"/>
    <d v="1899-12-30T08:15:48"/>
    <d v="1900-01-19T15:48:00"/>
  </r>
  <r>
    <d v="2020-08-09T00:00:00"/>
    <x v="4"/>
    <x v="7"/>
    <x v="8"/>
    <x v="0"/>
    <n v="222"/>
    <n v="52"/>
    <n v="49"/>
    <n v="0.94230000000000003"/>
    <n v="3"/>
    <d v="1899-12-30T00:00:18"/>
    <d v="1899-12-30T00:02:18"/>
    <d v="1899-12-30T00:02:17"/>
    <n v="0.76470000000000005"/>
    <d v="1899-12-30T01:52:42"/>
    <d v="1900-01-03T16:42:00"/>
    <d v="1899-12-30T01:59:36"/>
    <d v="1900-01-03T23:36:00"/>
  </r>
  <r>
    <d v="2020-08-10T00:00:00"/>
    <x v="5"/>
    <x v="7"/>
    <x v="9"/>
    <x v="0"/>
    <n v="223"/>
    <n v="414"/>
    <n v="397"/>
    <n v="0.95889999999999997"/>
    <n v="17"/>
    <d v="1899-12-30T00:00:23"/>
    <d v="1899-12-30T00:01:58"/>
    <d v="1899-12-30T00:05:32"/>
    <n v="0.70730000000000004"/>
    <d v="1899-12-30T13:00:46"/>
    <d v="1900-01-31T12:46:00"/>
    <d v="1899-12-30T13:34:12"/>
    <d v="1900-02-01T22:12:00"/>
  </r>
  <r>
    <d v="2020-08-11T00:00:00"/>
    <x v="6"/>
    <x v="7"/>
    <x v="10"/>
    <x v="0"/>
    <n v="224"/>
    <n v="346"/>
    <n v="325"/>
    <n v="0.93930000000000002"/>
    <n v="21"/>
    <d v="1899-12-30T00:00:27"/>
    <d v="1899-12-30T00:02:22"/>
    <d v="1899-12-30T00:02:45"/>
    <n v="0.65690000000000004"/>
    <d v="1899-12-30T12:49:10"/>
    <d v="1900-01-31T01:10:00"/>
    <d v="1899-12-30T13:38:52"/>
    <d v="1900-02-02T02:52:00"/>
  </r>
  <r>
    <d v="2020-08-12T00:00:00"/>
    <x v="0"/>
    <x v="7"/>
    <x v="11"/>
    <x v="0"/>
    <n v="225"/>
    <n v="187"/>
    <n v="179"/>
    <n v="0.95720000000000005"/>
    <n v="8"/>
    <d v="1899-12-30T00:00:25"/>
    <d v="1899-12-30T00:02:14"/>
    <d v="1899-12-30T00:02:59"/>
    <n v="0.67030000000000001"/>
    <d v="1899-12-30T06:39:46"/>
    <d v="1900-01-15T15:46:00"/>
    <d v="1899-12-30T06:57:38"/>
    <d v="1900-01-16T09:38:00"/>
  </r>
  <r>
    <d v="2020-08-13T00:00:00"/>
    <x v="1"/>
    <x v="7"/>
    <x v="12"/>
    <x v="0"/>
    <n v="226"/>
    <n v="203"/>
    <n v="186"/>
    <n v="0.9163"/>
    <n v="17"/>
    <d v="1899-12-30T00:00:24"/>
    <d v="1899-12-30T00:02:38"/>
    <d v="1899-12-30T00:04:35"/>
    <n v="0.69589999999999996"/>
    <d v="1899-12-30T08:09:48"/>
    <d v="1900-01-19T09:48:00"/>
    <d v="1899-12-30T08:54:34"/>
    <d v="1900-01-21T06:34:00"/>
  </r>
  <r>
    <d v="2020-08-14T00:00:00"/>
    <x v="2"/>
    <x v="7"/>
    <x v="13"/>
    <x v="0"/>
    <n v="227"/>
    <n v="204"/>
    <n v="194"/>
    <n v="0.95099999999999996"/>
    <n v="10"/>
    <d v="1899-12-30T00:00:18"/>
    <d v="1899-12-30T00:02:33"/>
    <d v="1899-12-30T00:02:02"/>
    <n v="0.82410000000000005"/>
    <d v="1899-12-30T08:14:42"/>
    <d v="1900-01-19T14:42:00"/>
    <d v="1899-12-30T08:40:12"/>
    <d v="1900-01-20T16:12:00"/>
  </r>
  <r>
    <d v="2020-08-15T00:00:00"/>
    <x v="3"/>
    <x v="7"/>
    <x v="14"/>
    <x v="0"/>
    <n v="228"/>
    <n v="126"/>
    <n v="121"/>
    <n v="0.96030000000000004"/>
    <n v="5"/>
    <d v="1899-12-30T00:00:21"/>
    <d v="1899-12-30T00:02:32"/>
    <d v="1899-12-30T00:01:51"/>
    <n v="0.70630000000000004"/>
    <d v="1899-12-30T05:06:32"/>
    <d v="1900-01-11T18:32:00"/>
    <d v="1899-12-30T05:19:12"/>
    <d v="1900-01-12T07:12:00"/>
  </r>
  <r>
    <d v="2020-08-16T00:00:00"/>
    <x v="4"/>
    <x v="7"/>
    <x v="15"/>
    <x v="0"/>
    <n v="229"/>
    <n v="36"/>
    <n v="36"/>
    <n v="1"/>
    <n v="0"/>
    <d v="1899-12-30T00:00:17"/>
    <d v="1899-12-30T00:02:07"/>
    <d v="1899-12-30T00:01:31"/>
    <n v="0.77780000000000005"/>
    <d v="1899-12-30T01:16:12"/>
    <d v="1900-01-02T04:12:00"/>
    <d v="1899-12-30T01:16:12"/>
    <d v="1900-01-02T04:12:00"/>
  </r>
  <r>
    <d v="2020-08-17T00:00:00"/>
    <x v="5"/>
    <x v="7"/>
    <x v="16"/>
    <x v="0"/>
    <n v="230"/>
    <n v="180"/>
    <n v="165"/>
    <n v="0.91669999999999996"/>
    <n v="15"/>
    <d v="1899-12-30T00:00:27"/>
    <d v="1899-12-30T00:02:30"/>
    <d v="1899-12-30T00:02:19"/>
    <n v="0.66090000000000004"/>
    <d v="1899-12-30T06:52:30"/>
    <d v="1900-01-16T04:30:00"/>
    <d v="1899-12-30T07:30:00"/>
    <d v="1900-01-17T18:00:00"/>
  </r>
  <r>
    <d v="2020-08-18T00:00:00"/>
    <x v="6"/>
    <x v="7"/>
    <x v="17"/>
    <x v="0"/>
    <n v="231"/>
    <n v="169"/>
    <n v="162"/>
    <n v="0.95860000000000001"/>
    <n v="7"/>
    <d v="1899-12-30T00:00:20"/>
    <d v="1899-12-30T00:02:25"/>
    <d v="1899-12-30T00:01:53"/>
    <n v="0.74560000000000004"/>
    <d v="1899-12-30T06:31:30"/>
    <d v="1900-01-15T07:30:00"/>
    <d v="1899-12-30T06:48:25"/>
    <d v="1900-01-16T00:25:00"/>
  </r>
  <r>
    <d v="2020-08-19T00:00:00"/>
    <x v="0"/>
    <x v="7"/>
    <x v="18"/>
    <x v="0"/>
    <n v="232"/>
    <n v="155"/>
    <n v="151"/>
    <n v="0.97419999999999995"/>
    <n v="4"/>
    <d v="1899-12-30T00:00:21"/>
    <d v="1899-12-30T00:02:20"/>
    <d v="1899-12-30T00:02:45"/>
    <n v="0.7097"/>
    <d v="1899-12-30T05:52:20"/>
    <d v="1900-01-13T16:20:00"/>
    <d v="1899-12-30T06:01:40"/>
    <d v="1900-01-14T01:40:00"/>
  </r>
  <r>
    <d v="2020-08-20T00:00:00"/>
    <x v="1"/>
    <x v="7"/>
    <x v="19"/>
    <x v="0"/>
    <n v="233"/>
    <n v="169"/>
    <n v="137"/>
    <n v="0.81069999999999998"/>
    <n v="32"/>
    <d v="1899-12-30T00:00:38"/>
    <d v="1899-12-30T00:02:24"/>
    <d v="1899-12-30T00:05:30"/>
    <n v="0.40360000000000001"/>
    <d v="1899-12-30T05:28:48"/>
    <d v="1900-01-12T16:48:00"/>
    <d v="1899-12-30T06:45:36"/>
    <d v="1900-01-15T21:36:00"/>
  </r>
  <r>
    <d v="2020-08-21T00:00:00"/>
    <x v="2"/>
    <x v="7"/>
    <x v="20"/>
    <x v="0"/>
    <n v="234"/>
    <n v="61"/>
    <n v="45"/>
    <n v="0.73770000000000002"/>
    <n v="16"/>
    <d v="1899-12-30T00:00:32"/>
    <d v="1899-12-30T00:02:49"/>
    <d v="1899-12-30T00:05:30"/>
    <n v="0.4098"/>
    <d v="1899-12-30T02:06:45"/>
    <d v="1900-01-04T06:45:00"/>
    <d v="1899-12-30T02:51:49"/>
    <d v="1900-01-06T03:49:00"/>
  </r>
  <r>
    <d v="2020-08-22T00:00:00"/>
    <x v="3"/>
    <x v="7"/>
    <x v="21"/>
    <x v="0"/>
    <n v="235"/>
    <n v="167"/>
    <n v="136"/>
    <n v="0.81440000000000001"/>
    <n v="31"/>
    <d v="1899-12-30T00:00:42"/>
    <d v="1899-12-30T00:02:36"/>
    <d v="1899-12-30T00:05:28"/>
    <n v="0.35980000000000001"/>
    <d v="1899-12-30T05:53:36"/>
    <d v="1900-01-13T17:36:00"/>
    <d v="1899-12-30T07:14:12"/>
    <d v="1900-01-17T02:12:00"/>
  </r>
  <r>
    <d v="2020-08-23T00:00:00"/>
    <x v="4"/>
    <x v="7"/>
    <x v="22"/>
    <x v="0"/>
    <n v="236"/>
    <n v="32"/>
    <n v="27"/>
    <n v="0.84379999999999999"/>
    <n v="5"/>
    <d v="1899-12-30T00:00:35"/>
    <d v="1899-12-30T00:02:22"/>
    <d v="1899-12-30T00:03:10"/>
    <n v="0.53129999999999999"/>
    <d v="1899-12-30T01:03:54"/>
    <d v="1900-01-01T15:54:00"/>
    <d v="1899-12-30T01:15:44"/>
    <d v="1900-01-02T03:44:00"/>
  </r>
  <r>
    <d v="2020-08-24T00:00:00"/>
    <x v="5"/>
    <x v="7"/>
    <x v="23"/>
    <x v="0"/>
    <n v="237"/>
    <n v="229"/>
    <n v="148"/>
    <n v="0.64629999999999999"/>
    <n v="81"/>
    <d v="1899-12-30T00:00:36"/>
    <d v="1899-12-30T00:02:48"/>
    <d v="1899-12-30T00:10:39"/>
    <n v="0.43180000000000002"/>
    <d v="1899-12-30T06:54:24"/>
    <d v="1900-01-16T06:24:00"/>
    <d v="1899-12-30T10:41:12"/>
    <d v="1900-01-25T17:12:00"/>
  </r>
  <r>
    <d v="2020-08-25T00:00:00"/>
    <x v="6"/>
    <x v="7"/>
    <x v="24"/>
    <x v="0"/>
    <n v="238"/>
    <n v="208"/>
    <n v="204"/>
    <n v="0.98080000000000001"/>
    <n v="4"/>
    <d v="1899-12-30T00:00:19"/>
    <d v="1899-12-30T00:03:06"/>
    <d v="1899-12-30T00:05:14"/>
    <n v="0.77669999999999995"/>
    <d v="1899-12-30T10:32:24"/>
    <d v="1900-01-25T08:24:00"/>
    <d v="1899-12-30T10:44:48"/>
    <d v="1900-01-25T20:48:00"/>
  </r>
  <r>
    <d v="2020-08-26T00:00:00"/>
    <x v="0"/>
    <x v="7"/>
    <x v="25"/>
    <x v="0"/>
    <n v="239"/>
    <n v="175"/>
    <n v="168"/>
    <n v="0.96"/>
    <n v="7"/>
    <d v="1899-12-30T00:00:25"/>
    <d v="1899-12-30T00:02:51"/>
    <d v="1899-12-30T00:03:44"/>
    <n v="0.6512"/>
    <d v="1899-12-30T07:58:48"/>
    <d v="1900-01-18T22:48:00"/>
    <d v="1899-12-30T08:18:45"/>
    <d v="1900-01-19T18:45:00"/>
  </r>
  <r>
    <d v="2020-08-27T00:00:00"/>
    <x v="1"/>
    <x v="7"/>
    <x v="26"/>
    <x v="0"/>
    <n v="240"/>
    <n v="177"/>
    <n v="167"/>
    <n v="0.94350000000000001"/>
    <n v="10"/>
    <d v="1899-12-30T00:00:22"/>
    <d v="1899-12-30T00:02:41"/>
    <d v="1899-12-30T00:04:24"/>
    <n v="0.68389999999999995"/>
    <d v="1899-12-30T07:28:07"/>
    <d v="1900-01-17T16:07:00"/>
    <d v="1899-12-30T07:54:57"/>
    <d v="1900-01-18T18:57:00"/>
  </r>
  <r>
    <d v="2020-08-28T00:00:00"/>
    <x v="2"/>
    <x v="7"/>
    <x v="27"/>
    <x v="0"/>
    <n v="241"/>
    <n v="822"/>
    <n v="767"/>
    <n v="0.93310000000000004"/>
    <n v="55"/>
    <d v="1899-12-30T00:00:24"/>
    <d v="1899-12-30T00:01:25"/>
    <d v="1899-12-30T00:04:35"/>
    <n v="0.64400000000000002"/>
    <d v="1899-12-30T18:06:35"/>
    <d v="1900-02-13T06:35:00"/>
    <d v="1899-12-30T19:24:30"/>
    <d v="1900-02-16T12:30:00"/>
  </r>
  <r>
    <d v="2020-08-29T00:00:00"/>
    <x v="3"/>
    <x v="7"/>
    <x v="28"/>
    <x v="0"/>
    <n v="242"/>
    <n v="87"/>
    <n v="85"/>
    <n v="0.97699999999999998"/>
    <n v="2"/>
    <d v="1899-12-30T00:00:23"/>
    <d v="1899-12-30T00:02:25"/>
    <d v="1899-12-30T00:02:17"/>
    <n v="0.67820000000000003"/>
    <d v="1899-12-30T03:25:25"/>
    <d v="1900-01-07T13:25:00"/>
    <d v="1899-12-30T03:30:15"/>
    <d v="1900-01-07T18:15:00"/>
  </r>
  <r>
    <d v="2020-08-30T00:00:00"/>
    <x v="4"/>
    <x v="7"/>
    <x v="29"/>
    <x v="0"/>
    <n v="243"/>
    <n v="41"/>
    <n v="39"/>
    <n v="0.95120000000000005"/>
    <n v="2"/>
    <d v="1899-12-30T00:00:15"/>
    <d v="1899-12-30T00:02:42"/>
    <d v="1899-12-30T00:01:18"/>
    <n v="0.82499999999999996"/>
    <d v="1899-12-30T01:45:18"/>
    <d v="1900-01-03T09:18:00"/>
    <d v="1899-12-30T01:50:42"/>
    <d v="1900-01-03T14:42:00"/>
  </r>
  <r>
    <d v="2020-08-31T00:00:00"/>
    <x v="5"/>
    <x v="7"/>
    <x v="30"/>
    <x v="0"/>
    <n v="244"/>
    <n v="280"/>
    <n v="257"/>
    <n v="0.91790000000000005"/>
    <n v="23"/>
    <d v="1899-12-30T00:00:31"/>
    <d v="1899-12-30T00:02:33"/>
    <d v="1899-12-30T00:07:55"/>
    <n v="0.63870000000000005"/>
    <d v="1899-12-30T10:55:21"/>
    <d v="1900-01-26T07:21:00"/>
    <d v="1899-12-30T11:54:00"/>
    <d v="1900-01-28T18:00:00"/>
  </r>
  <r>
    <d v="2020-09-01T00:00:00"/>
    <x v="6"/>
    <x v="8"/>
    <x v="0"/>
    <x v="0"/>
    <n v="245"/>
    <n v="199"/>
    <n v="192"/>
    <n v="0.96479999999999999"/>
    <n v="7"/>
    <d v="1899-12-30T00:00:22"/>
    <d v="1899-12-30T00:02:46"/>
    <d v="1899-12-30T00:02:48"/>
    <n v="0.73870000000000002"/>
    <d v="1899-12-30T08:51:12"/>
    <d v="1900-01-21T03:12:00"/>
    <d v="1899-12-30T09:10:34"/>
    <d v="1900-01-21T22:34:00"/>
  </r>
  <r>
    <d v="2020-09-02T00:00:00"/>
    <x v="0"/>
    <x v="8"/>
    <x v="1"/>
    <x v="0"/>
    <n v="246"/>
    <n v="252"/>
    <n v="239"/>
    <n v="0.94840000000000002"/>
    <n v="13"/>
    <d v="1899-12-30T00:00:29"/>
    <d v="1899-12-30T00:02:29"/>
    <d v="1899-12-30T00:03:36"/>
    <n v="0.6492"/>
    <d v="1899-12-30T09:53:31"/>
    <d v="1900-01-23T17:31:00"/>
    <d v="1899-12-30T10:25:48"/>
    <d v="1900-01-25T01:48:00"/>
  </r>
  <r>
    <d v="2020-09-03T00:00:00"/>
    <x v="1"/>
    <x v="8"/>
    <x v="2"/>
    <x v="0"/>
    <n v="247"/>
    <n v="220"/>
    <n v="208"/>
    <n v="0.94550000000000001"/>
    <n v="12"/>
    <d v="1899-12-30T00:00:20"/>
    <d v="1899-12-30T00:02:36"/>
    <d v="1899-12-30T00:02:45"/>
    <n v="0.75590000000000002"/>
    <d v="1899-12-30T09:00:48"/>
    <d v="1900-01-21T12:48:00"/>
    <d v="1899-12-30T09:32:00"/>
    <d v="1900-01-22T20:00:00"/>
  </r>
  <r>
    <d v="2020-09-04T00:00:00"/>
    <x v="2"/>
    <x v="8"/>
    <x v="3"/>
    <x v="0"/>
    <n v="248"/>
    <n v="206"/>
    <n v="193"/>
    <n v="0.93689999999999996"/>
    <n v="13"/>
    <d v="1899-12-30T00:00:24"/>
    <d v="1899-12-30T00:02:27"/>
    <d v="1899-12-30T00:03:37"/>
    <n v="0.75490000000000002"/>
    <d v="1899-12-30T07:52:51"/>
    <d v="1900-01-18T16:51:00"/>
    <d v="1899-12-30T08:24:42"/>
    <d v="1900-01-20T00:42:00"/>
  </r>
  <r>
    <d v="2020-09-05T00:00:00"/>
    <x v="3"/>
    <x v="8"/>
    <x v="4"/>
    <x v="0"/>
    <n v="249"/>
    <n v="217"/>
    <n v="206"/>
    <n v="0.94930000000000003"/>
    <n v="11"/>
    <d v="1899-12-30T00:00:22"/>
    <d v="1899-12-30T00:02:26"/>
    <d v="1899-12-30T00:02:02"/>
    <n v="0.71030000000000004"/>
    <d v="1899-12-30T08:21:16"/>
    <d v="1900-01-19T21:16:00"/>
    <d v="1899-12-30T08:48:02"/>
    <d v="1900-01-21T00:02:00"/>
  </r>
  <r>
    <d v="2020-09-06T00:00:00"/>
    <x v="4"/>
    <x v="8"/>
    <x v="5"/>
    <x v="0"/>
    <n v="250"/>
    <n v="24"/>
    <n v="24"/>
    <n v="1"/>
    <n v="0"/>
    <d v="1899-12-30T00:00:19"/>
    <d v="1899-12-30T00:02:50"/>
    <d v="1899-12-30T00:01:07"/>
    <n v="0.79169999999999996"/>
    <d v="1899-12-30T01:08:00"/>
    <d v="1900-01-01T20:00:00"/>
    <d v="1899-12-30T01:08:00"/>
    <d v="1900-01-01T20:00:00"/>
  </r>
  <r>
    <d v="2020-09-07T00:00:00"/>
    <x v="5"/>
    <x v="8"/>
    <x v="6"/>
    <x v="0"/>
    <n v="251"/>
    <n v="248"/>
    <n v="238"/>
    <n v="0.9597"/>
    <n v="10"/>
    <d v="1899-12-30T00:00:13"/>
    <d v="1899-12-30T00:02:27"/>
    <d v="1899-12-30T00:01:50"/>
    <n v="0.85250000000000004"/>
    <d v="1899-12-30T09:43:06"/>
    <d v="1900-01-23T07:06:00"/>
    <d v="1899-12-30T10:07:36"/>
    <d v="1900-01-24T07:36:00"/>
  </r>
  <r>
    <d v="2020-09-08T00:00:00"/>
    <x v="6"/>
    <x v="8"/>
    <x v="7"/>
    <x v="0"/>
    <n v="252"/>
    <n v="222"/>
    <n v="212"/>
    <n v="0.95499999999999996"/>
    <n v="10"/>
    <d v="1899-12-30T00:00:20"/>
    <d v="1899-12-30T00:02:25"/>
    <d v="1899-12-30T00:03:41"/>
    <n v="0.77729999999999999"/>
    <d v="1899-12-30T08:32:20"/>
    <d v="1900-01-20T08:20:00"/>
    <d v="1899-12-30T08:56:30"/>
    <d v="1900-01-21T08:30:00"/>
  </r>
  <r>
    <d v="2020-09-09T00:00:00"/>
    <x v="0"/>
    <x v="8"/>
    <x v="8"/>
    <x v="0"/>
    <n v="253"/>
    <n v="190"/>
    <n v="178"/>
    <n v="0.93679999999999997"/>
    <n v="12"/>
    <d v="1899-12-30T00:00:32"/>
    <d v="1899-12-30T00:02:27"/>
    <d v="1899-12-30T00:02:45"/>
    <n v="0.55079999999999996"/>
    <d v="1899-12-30T07:16:06"/>
    <d v="1900-01-17T04:06:00"/>
    <d v="1899-12-30T07:45:30"/>
    <d v="1900-01-18T09:30:00"/>
  </r>
  <r>
    <d v="2020-09-10T00:00:00"/>
    <x v="1"/>
    <x v="8"/>
    <x v="9"/>
    <x v="0"/>
    <n v="254"/>
    <n v="238"/>
    <n v="231"/>
    <n v="0.97060000000000002"/>
    <n v="7"/>
    <d v="1899-12-30T00:00:20"/>
    <d v="1899-12-30T00:02:27"/>
    <d v="1899-12-30T00:02:03"/>
    <n v="0.79659999999999997"/>
    <d v="1899-12-30T09:25:57"/>
    <d v="1900-01-22T13:57:00"/>
    <d v="1899-12-30T09:43:06"/>
    <d v="1900-01-23T07:06:00"/>
  </r>
  <r>
    <d v="2020-09-11T00:00:00"/>
    <x v="2"/>
    <x v="8"/>
    <x v="10"/>
    <x v="0"/>
    <n v="255"/>
    <n v="214"/>
    <n v="205"/>
    <n v="0.95789999999999997"/>
    <n v="9"/>
    <d v="1899-12-30T00:00:20"/>
    <d v="1899-12-30T00:02:34"/>
    <d v="1899-12-30T00:02:34"/>
    <n v="0.79049999999999998"/>
    <d v="1899-12-30T08:46:10"/>
    <d v="1900-01-20T22:10:00"/>
    <d v="1899-12-30T09:09:16"/>
    <d v="1900-01-21T21:16:00"/>
  </r>
  <r>
    <d v="2020-09-12T00:00:00"/>
    <x v="3"/>
    <x v="8"/>
    <x v="11"/>
    <x v="0"/>
    <n v="256"/>
    <n v="186"/>
    <n v="176"/>
    <n v="0.94620000000000004"/>
    <n v="10"/>
    <d v="1899-12-30T00:00:23"/>
    <d v="1899-12-30T00:02:15"/>
    <d v="1899-12-30T00:05:03"/>
    <n v="0.70879999999999999"/>
    <d v="1899-12-30T06:36:00"/>
    <d v="1900-01-15T12:00:00"/>
    <d v="1899-12-30T06:58:30"/>
    <d v="1900-01-16T10:30:00"/>
  </r>
  <r>
    <d v="2020-09-13T00:00:00"/>
    <x v="4"/>
    <x v="8"/>
    <x v="12"/>
    <x v="0"/>
    <n v="257"/>
    <n v="21"/>
    <n v="20"/>
    <n v="0.95240000000000002"/>
    <n v="1"/>
    <d v="1899-12-30T00:00:14"/>
    <d v="1899-12-30T00:02:25"/>
    <d v="1899-12-30T00:00:54"/>
    <n v="0.85"/>
    <d v="1899-12-30T00:48:20"/>
    <d v="1900-01-01T00:20:00"/>
    <d v="1899-12-30T00:50:45"/>
    <d v="1900-01-01T02:45:00"/>
  </r>
  <r>
    <d v="2020-09-14T00:00:00"/>
    <x v="5"/>
    <x v="8"/>
    <x v="13"/>
    <x v="0"/>
    <n v="258"/>
    <n v="169"/>
    <n v="157"/>
    <n v="0.92900000000000005"/>
    <n v="12"/>
    <d v="1899-12-30T00:00:21"/>
    <d v="1899-12-30T00:02:29"/>
    <d v="1899-12-30T00:04:30"/>
    <n v="0.77710000000000001"/>
    <d v="1899-12-30T06:29:53"/>
    <d v="1900-01-15T05:53:00"/>
    <d v="1899-12-30T06:59:41"/>
    <d v="1900-01-16T11:41:00"/>
  </r>
  <r>
    <d v="2020-09-15T00:00:00"/>
    <x v="6"/>
    <x v="8"/>
    <x v="14"/>
    <x v="0"/>
    <n v="259"/>
    <n v="149"/>
    <n v="141"/>
    <n v="0.94630000000000003"/>
    <n v="8"/>
    <d v="1899-12-30T00:00:16"/>
    <d v="1899-12-30T00:02:38"/>
    <d v="1899-12-30T00:02:37"/>
    <n v="0.79049999999999998"/>
    <d v="1899-12-30T06:11:18"/>
    <d v="1900-01-14T11:18:00"/>
    <d v="1899-12-30T06:32:22"/>
    <d v="1900-01-15T08:22:00"/>
  </r>
  <r>
    <d v="2020-09-16T00:00:00"/>
    <x v="0"/>
    <x v="8"/>
    <x v="15"/>
    <x v="0"/>
    <n v="260"/>
    <n v="171"/>
    <n v="164"/>
    <n v="0.95909999999999995"/>
    <n v="7"/>
    <d v="1899-12-30T00:00:19"/>
    <d v="1899-12-30T00:02:22"/>
    <d v="1899-12-30T00:03:49"/>
    <n v="0.77190000000000003"/>
    <d v="1899-12-30T06:28:08"/>
    <d v="1900-01-15T04:08:00"/>
    <d v="1899-12-30T06:44:42"/>
    <d v="1900-01-15T20:42:00"/>
  </r>
  <r>
    <d v="2020-09-17T00:00:00"/>
    <x v="1"/>
    <x v="8"/>
    <x v="16"/>
    <x v="0"/>
    <n v="261"/>
    <n v="127"/>
    <n v="122"/>
    <n v="0.96060000000000001"/>
    <n v="5"/>
    <d v="1899-12-30T00:00:13"/>
    <d v="1899-12-30T00:02:22"/>
    <d v="1899-12-30T00:01:25"/>
    <n v="0.878"/>
    <d v="1899-12-30T04:48:44"/>
    <d v="1900-01-11T00:44:00"/>
    <d v="1899-12-30T05:00:34"/>
    <d v="1900-01-11T12:34:00"/>
  </r>
  <r>
    <d v="2020-09-18T00:00:00"/>
    <x v="2"/>
    <x v="8"/>
    <x v="17"/>
    <x v="0"/>
    <n v="262"/>
    <n v="21"/>
    <n v="21"/>
    <n v="1"/>
    <n v="0"/>
    <d v="1899-12-30T00:00:08"/>
    <d v="1899-12-30T00:03:03"/>
    <d v="1899-12-30T00:00:58"/>
    <n v="0.90480000000000005"/>
    <d v="1899-12-30T01:04:03"/>
    <d v="1900-01-01T16:03:00"/>
    <d v="1899-12-30T01:04:03"/>
    <d v="1900-01-01T16:03:00"/>
  </r>
  <r>
    <d v="2020-09-19T00:00:00"/>
    <x v="3"/>
    <x v="8"/>
    <x v="18"/>
    <x v="0"/>
    <n v="263"/>
    <n v="5"/>
    <n v="5"/>
    <n v="1"/>
    <n v="0"/>
    <d v="1899-12-30T00:00:14"/>
    <d v="1899-12-30T00:02:37"/>
    <d v="1899-12-30T00:00:59"/>
    <n v="0.8"/>
    <d v="1899-12-30T00:13:05"/>
    <d v="1899-12-30T13:05:00"/>
    <d v="1899-12-30T00:13:05"/>
    <d v="1899-12-30T13:05:00"/>
  </r>
  <r>
    <d v="2020-09-20T00:00:00"/>
    <x v="4"/>
    <x v="8"/>
    <x v="19"/>
    <x v="0"/>
    <n v="264"/>
    <n v="33"/>
    <n v="32"/>
    <n v="0.96970000000000001"/>
    <n v="1"/>
    <d v="1899-12-30T00:00:26"/>
    <d v="1899-12-30T00:02:04"/>
    <d v="1899-12-30T00:01:45"/>
    <n v="0.66669999999999996"/>
    <d v="1899-12-30T01:06:08"/>
    <d v="1900-01-01T18:08:00"/>
    <d v="1899-12-30T01:08:12"/>
    <d v="1900-01-01T20:12:00"/>
  </r>
  <r>
    <d v="2020-09-21T00:00:00"/>
    <x v="5"/>
    <x v="8"/>
    <x v="20"/>
    <x v="0"/>
    <n v="265"/>
    <n v="145"/>
    <n v="139"/>
    <n v="0.95860000000000001"/>
    <n v="6"/>
    <d v="1899-12-30T00:00:20"/>
    <d v="1899-12-30T00:02:28"/>
    <d v="1899-12-30T00:03:41"/>
    <n v="0.79020000000000001"/>
    <d v="1899-12-30T05:42:52"/>
    <d v="1900-01-13T06:52:00"/>
    <d v="1899-12-30T05:57:40"/>
    <d v="1900-01-13T21:40:00"/>
  </r>
  <r>
    <d v="2020-09-22T00:00:00"/>
    <x v="6"/>
    <x v="8"/>
    <x v="21"/>
    <x v="0"/>
    <n v="266"/>
    <n v="129"/>
    <n v="127"/>
    <n v="0.98450000000000004"/>
    <n v="2"/>
    <d v="1899-12-30T00:00:19"/>
    <d v="1899-12-30T00:02:13"/>
    <d v="1899-12-30T00:01:49"/>
    <n v="0.75590000000000002"/>
    <d v="1899-12-30T04:41:31"/>
    <d v="1900-01-10T17:31:00"/>
    <d v="1899-12-30T04:45:57"/>
    <d v="1900-01-10T21:57:00"/>
  </r>
  <r>
    <d v="2020-09-23T00:00:00"/>
    <x v="0"/>
    <x v="8"/>
    <x v="22"/>
    <x v="0"/>
    <n v="267"/>
    <n v="194"/>
    <n v="178"/>
    <n v="0.91749999999999998"/>
    <n v="16"/>
    <d v="1899-12-30T00:00:26"/>
    <d v="1899-12-30T00:02:36"/>
    <d v="1899-12-30T00:05:20"/>
    <n v="0.67190000000000005"/>
    <d v="1899-12-30T07:42:48"/>
    <d v="1900-01-18T06:48:00"/>
    <d v="1899-12-30T08:24:24"/>
    <d v="1900-01-20T00:24:00"/>
  </r>
  <r>
    <d v="2020-09-24T00:00:00"/>
    <x v="1"/>
    <x v="8"/>
    <x v="23"/>
    <x v="0"/>
    <n v="268"/>
    <n v="194"/>
    <n v="187"/>
    <n v="0.96389999999999998"/>
    <n v="7"/>
    <d v="1899-12-30T00:00:24"/>
    <d v="1899-12-30T00:02:25"/>
    <d v="1899-12-30T00:03:44"/>
    <n v="0.77249999999999996"/>
    <d v="1899-12-30T07:31:55"/>
    <d v="1900-01-17T19:55:00"/>
    <d v="1899-12-30T07:48:50"/>
    <d v="1900-01-18T12:50:00"/>
  </r>
  <r>
    <d v="2020-09-25T00:00:00"/>
    <x v="2"/>
    <x v="8"/>
    <x v="24"/>
    <x v="0"/>
    <n v="269"/>
    <n v="202"/>
    <n v="195"/>
    <n v="0.96530000000000005"/>
    <n v="7"/>
    <d v="1899-12-30T00:00:21"/>
    <d v="1899-12-30T00:02:21"/>
    <d v="1899-12-30T00:02:59"/>
    <n v="0.74750000000000005"/>
    <d v="1899-12-30T07:38:15"/>
    <d v="1900-01-18T02:15:00"/>
    <d v="1899-12-30T07:54:42"/>
    <d v="1900-01-18T18:42:00"/>
  </r>
  <r>
    <d v="2020-09-26T00:00:00"/>
    <x v="3"/>
    <x v="8"/>
    <x v="25"/>
    <x v="0"/>
    <n v="270"/>
    <n v="214"/>
    <n v="208"/>
    <n v="0.97199999999999998"/>
    <n v="6"/>
    <d v="1899-12-30T00:00:13"/>
    <d v="1899-12-30T00:02:19"/>
    <d v="1899-12-30T00:00:57"/>
    <n v="0.88149999999999995"/>
    <d v="1899-12-30T08:01:52"/>
    <d v="1900-01-19T01:52:00"/>
    <d v="1899-12-30T08:15:46"/>
    <d v="1900-01-19T15:46:00"/>
  </r>
  <r>
    <d v="2020-09-27T00:00:00"/>
    <x v="4"/>
    <x v="8"/>
    <x v="26"/>
    <x v="0"/>
    <n v="271"/>
    <n v="28"/>
    <n v="28"/>
    <n v="1"/>
    <n v="0"/>
    <d v="1899-12-30T00:00:13"/>
    <d v="1899-12-30T00:02:13"/>
    <d v="1899-12-30T00:01:18"/>
    <n v="0.89290000000000003"/>
    <d v="1899-12-30T01:02:04"/>
    <d v="1900-01-01T14:04:00"/>
    <d v="1899-12-30T01:02:04"/>
    <d v="1900-01-01T14:04:00"/>
  </r>
  <r>
    <d v="2020-09-28T00:00:00"/>
    <x v="5"/>
    <x v="8"/>
    <x v="27"/>
    <x v="0"/>
    <n v="272"/>
    <n v="191"/>
    <n v="187"/>
    <n v="0.97909999999999997"/>
    <n v="4"/>
    <d v="1899-12-30T00:00:15"/>
    <d v="1899-12-30T00:02:23"/>
    <d v="1899-12-30T00:01:40"/>
    <n v="0.82540000000000002"/>
    <d v="1899-12-30T07:25:41"/>
    <d v="1900-01-17T13:41:00"/>
    <d v="1899-12-30T07:35:13"/>
    <d v="1900-01-17T23:13:00"/>
  </r>
  <r>
    <d v="2020-09-29T00:00:00"/>
    <x v="6"/>
    <x v="8"/>
    <x v="28"/>
    <x v="0"/>
    <n v="273"/>
    <n v="205"/>
    <n v="197"/>
    <n v="0.96099999999999997"/>
    <n v="8"/>
    <d v="1899-12-30T00:00:21"/>
    <d v="1899-12-30T00:02:27"/>
    <d v="1899-12-30T00:02:23"/>
    <n v="0.74380000000000002"/>
    <d v="1899-12-30T08:02:39"/>
    <d v="1900-01-19T02:39:00"/>
    <d v="1899-12-30T08:22:15"/>
    <d v="1900-01-19T22:15:00"/>
  </r>
  <r>
    <d v="2020-09-30T00:00:00"/>
    <x v="0"/>
    <x v="8"/>
    <x v="29"/>
    <x v="0"/>
    <n v="274"/>
    <n v="198"/>
    <n v="196"/>
    <n v="0.9899"/>
    <n v="2"/>
    <d v="1899-12-30T00:00:23"/>
    <d v="1899-12-30T00:02:28"/>
    <d v="1899-12-30T00:02:03"/>
    <n v="0.73599999999999999"/>
    <d v="1899-12-30T08:03:28"/>
    <d v="1900-01-19T03:28:00"/>
    <d v="1899-12-30T08:08:24"/>
    <d v="1900-01-19T08:24:00"/>
  </r>
  <r>
    <d v="2020-10-01T00:00:00"/>
    <x v="1"/>
    <x v="9"/>
    <x v="0"/>
    <x v="0"/>
    <n v="275"/>
    <n v="184"/>
    <n v="177"/>
    <n v="0.96199999999999997"/>
    <n v="7"/>
    <d v="1899-12-30T00:00:20"/>
    <d v="1899-12-30T00:02:41"/>
    <d v="1899-12-30T00:01:50"/>
    <n v="0.78569999999999995"/>
    <d v="1899-12-30T07:54:57"/>
    <d v="1900-01-18T18:57:00"/>
    <d v="1899-12-30T08:13:44"/>
    <d v="1900-01-19T13:44:00"/>
  </r>
  <r>
    <d v="2020-10-02T00:00:00"/>
    <x v="2"/>
    <x v="9"/>
    <x v="1"/>
    <x v="0"/>
    <n v="276"/>
    <n v="184"/>
    <n v="174"/>
    <n v="0.94569999999999999"/>
    <n v="10"/>
    <d v="1899-12-30T00:00:25"/>
    <d v="1899-12-30T00:02:27"/>
    <d v="1899-12-30T00:02:47"/>
    <n v="0.7"/>
    <d v="1899-12-30T07:06:18"/>
    <d v="1900-01-16T18:18:00"/>
    <d v="1899-12-30T07:30:48"/>
    <d v="1900-01-17T18:48:00"/>
  </r>
  <r>
    <d v="2020-10-03T00:00:00"/>
    <x v="3"/>
    <x v="9"/>
    <x v="2"/>
    <x v="0"/>
    <n v="277"/>
    <n v="168"/>
    <n v="160"/>
    <n v="0.95240000000000002"/>
    <n v="8"/>
    <d v="1899-12-30T00:00:26"/>
    <d v="1899-12-30T00:02:25"/>
    <d v="1899-12-30T00:02:04"/>
    <n v="0.68259999999999998"/>
    <d v="1899-12-30T06:26:40"/>
    <d v="1900-01-15T02:40:00"/>
    <d v="1899-12-30T06:46:00"/>
    <d v="1900-01-15T22:00:00"/>
  </r>
  <r>
    <d v="2020-10-04T00:00:00"/>
    <x v="4"/>
    <x v="9"/>
    <x v="3"/>
    <x v="0"/>
    <n v="278"/>
    <n v="39"/>
    <n v="37"/>
    <n v="0.94869999999999999"/>
    <n v="2"/>
    <d v="1899-12-30T00:00:14"/>
    <d v="1899-12-30T00:02:08"/>
    <d v="1899-12-30T00:01:03"/>
    <n v="0.81079999999999997"/>
    <d v="1899-12-30T01:18:56"/>
    <d v="1900-01-02T06:56:00"/>
    <d v="1899-12-30T01:23:12"/>
    <d v="1900-01-02T11:12:00"/>
  </r>
  <r>
    <d v="2020-10-05T00:00:00"/>
    <x v="5"/>
    <x v="9"/>
    <x v="4"/>
    <x v="0"/>
    <n v="279"/>
    <n v="225"/>
    <n v="210"/>
    <n v="0.93330000000000002"/>
    <n v="15"/>
    <d v="1899-12-30T00:00:28"/>
    <d v="1899-12-30T00:02:13"/>
    <d v="1899-12-30T00:02:33"/>
    <n v="0.66969999999999996"/>
    <d v="1899-12-30T07:45:30"/>
    <d v="1900-01-18T09:30:00"/>
    <d v="1899-12-30T08:18:45"/>
    <d v="1900-01-19T18:45:00"/>
  </r>
  <r>
    <d v="2020-10-06T00:00:00"/>
    <x v="6"/>
    <x v="9"/>
    <x v="5"/>
    <x v="0"/>
    <n v="280"/>
    <n v="182"/>
    <n v="174"/>
    <n v="0.95599999999999996"/>
    <n v="8"/>
    <d v="1899-12-30T00:00:32"/>
    <d v="1899-12-30T00:02:16"/>
    <d v="1899-12-30T00:03:56"/>
    <n v="0.60219999999999996"/>
    <d v="1899-12-30T06:34:24"/>
    <d v="1900-01-15T10:24:00"/>
    <d v="1899-12-30T06:52:32"/>
    <d v="1900-01-16T04:32:00"/>
  </r>
  <r>
    <d v="2020-10-07T00:00:00"/>
    <x v="0"/>
    <x v="9"/>
    <x v="6"/>
    <x v="0"/>
    <n v="281"/>
    <n v="346"/>
    <n v="305"/>
    <n v="0.88149999999999995"/>
    <n v="41"/>
    <d v="1899-12-30T00:00:45"/>
    <d v="1899-12-30T00:01:57"/>
    <d v="1899-12-30T00:05:07"/>
    <n v="0.45029999999999998"/>
    <d v="1899-12-30T09:54:45"/>
    <d v="1900-01-23T18:45:00"/>
    <d v="1899-12-30T11:14:42"/>
    <d v="1900-01-27T02:42:00"/>
  </r>
  <r>
    <d v="2020-10-08T00:00:00"/>
    <x v="1"/>
    <x v="9"/>
    <x v="7"/>
    <x v="0"/>
    <n v="282"/>
    <n v="450"/>
    <n v="441"/>
    <n v="0.98"/>
    <n v="9"/>
    <d v="1899-12-30T00:00:19"/>
    <d v="1899-12-30T00:01:53"/>
    <d v="1899-12-30T00:02:31"/>
    <n v="0.78300000000000003"/>
    <d v="1899-12-30T13:50:33"/>
    <d v="1900-02-02T14:33:00"/>
    <d v="1899-12-30T14:07:30"/>
    <d v="1900-02-03T07:30:00"/>
  </r>
  <r>
    <d v="2020-10-09T00:00:00"/>
    <x v="2"/>
    <x v="9"/>
    <x v="8"/>
    <x v="0"/>
    <n v="283"/>
    <n v="259"/>
    <n v="248"/>
    <n v="0.95750000000000002"/>
    <n v="11"/>
    <d v="1899-12-30T00:00:20"/>
    <d v="1899-12-30T00:02:06"/>
    <d v="1899-12-30T00:01:51"/>
    <n v="0.75390000000000001"/>
    <d v="1899-12-30T08:40:48"/>
    <d v="1900-01-20T16:48:00"/>
    <d v="1899-12-30T09:03:54"/>
    <d v="1900-01-21T15:54:00"/>
  </r>
  <r>
    <d v="2020-10-10T00:00:00"/>
    <x v="3"/>
    <x v="9"/>
    <x v="9"/>
    <x v="0"/>
    <n v="284"/>
    <n v="231"/>
    <n v="214"/>
    <n v="0.9264"/>
    <n v="17"/>
    <d v="1899-12-30T00:00:18"/>
    <d v="1899-12-30T00:02:06"/>
    <d v="1899-12-30T00:02:31"/>
    <n v="0.79559999999999997"/>
    <d v="1899-12-30T07:29:24"/>
    <d v="1900-01-17T17:24:00"/>
    <d v="1899-12-30T08:05:06"/>
    <d v="1900-01-19T05:06:00"/>
  </r>
  <r>
    <d v="2020-10-11T00:00:00"/>
    <x v="4"/>
    <x v="9"/>
    <x v="10"/>
    <x v="0"/>
    <n v="285"/>
    <n v="48"/>
    <n v="47"/>
    <n v="0.97919999999999996"/>
    <n v="1"/>
    <d v="1899-12-30T00:00:13"/>
    <d v="1899-12-30T00:02:03"/>
    <d v="1899-12-30T00:01:46"/>
    <n v="0.89580000000000004"/>
    <d v="1899-12-30T01:36:21"/>
    <d v="1900-01-03T00:21:00"/>
    <d v="1899-12-30T01:38:24"/>
    <d v="1900-01-03T02:24:00"/>
  </r>
  <r>
    <d v="2020-10-12T00:00:00"/>
    <x v="5"/>
    <x v="9"/>
    <x v="11"/>
    <x v="0"/>
    <n v="286"/>
    <n v="246"/>
    <n v="236"/>
    <n v="0.95930000000000004"/>
    <n v="10"/>
    <d v="1899-12-30T00:00:20"/>
    <d v="1899-12-30T00:02:11"/>
    <d v="1899-12-30T00:04:36"/>
    <n v="0.79179999999999995"/>
    <d v="1899-12-30T08:35:16"/>
    <d v="1900-01-20T11:16:00"/>
    <d v="1899-12-30T08:57:06"/>
    <d v="1900-01-21T09:06:00"/>
  </r>
  <r>
    <d v="2020-10-13T00:00:00"/>
    <x v="6"/>
    <x v="9"/>
    <x v="12"/>
    <x v="0"/>
    <n v="287"/>
    <n v="202"/>
    <n v="195"/>
    <n v="0.96530000000000005"/>
    <n v="7"/>
    <d v="1899-12-30T00:00:25"/>
    <d v="1899-12-30T00:02:15"/>
    <d v="1899-12-30T00:05:33"/>
    <n v="0.745"/>
    <d v="1899-12-30T07:18:45"/>
    <d v="1900-01-17T06:45:00"/>
    <d v="1899-12-30T07:34:30"/>
    <d v="1900-01-17T22:30:00"/>
  </r>
  <r>
    <d v="2020-10-14T00:00:00"/>
    <x v="0"/>
    <x v="9"/>
    <x v="13"/>
    <x v="0"/>
    <n v="288"/>
    <n v="153"/>
    <n v="150"/>
    <n v="0.98040000000000005"/>
    <n v="3"/>
    <d v="1899-12-30T00:00:15"/>
    <d v="1899-12-30T00:02:15"/>
    <d v="1899-12-30T00:02:12"/>
    <n v="0.82240000000000002"/>
    <d v="1899-12-30T05:37:30"/>
    <d v="1900-01-13T01:30:00"/>
    <d v="1899-12-30T05:44:15"/>
    <d v="1900-01-13T08:15:00"/>
  </r>
  <r>
    <d v="2020-10-15T00:00:00"/>
    <x v="1"/>
    <x v="9"/>
    <x v="14"/>
    <x v="0"/>
    <n v="289"/>
    <n v="178"/>
    <n v="172"/>
    <n v="0.96630000000000005"/>
    <n v="6"/>
    <d v="1899-12-30T00:00:19"/>
    <d v="1899-12-30T00:02:15"/>
    <d v="1899-12-30T00:04:35"/>
    <n v="0.78290000000000004"/>
    <d v="1899-12-30T06:27:00"/>
    <d v="1900-01-15T03:00:00"/>
    <d v="1899-12-30T06:40:30"/>
    <d v="1900-01-15T16:30:00"/>
  </r>
  <r>
    <d v="2020-10-16T00:00:00"/>
    <x v="2"/>
    <x v="9"/>
    <x v="15"/>
    <x v="0"/>
    <n v="290"/>
    <n v="172"/>
    <n v="165"/>
    <n v="0.95930000000000004"/>
    <n v="7"/>
    <d v="1899-12-30T00:00:19"/>
    <d v="1899-12-30T00:02:24"/>
    <d v="1899-12-30T00:03:24"/>
    <n v="0.79290000000000005"/>
    <d v="1899-12-30T06:36:00"/>
    <d v="1900-01-15T12:00:00"/>
    <d v="1899-12-30T06:52:48"/>
    <d v="1900-01-16T04:48:00"/>
  </r>
  <r>
    <d v="2020-10-17T00:00:00"/>
    <x v="3"/>
    <x v="9"/>
    <x v="16"/>
    <x v="0"/>
    <n v="291"/>
    <n v="208"/>
    <n v="200"/>
    <n v="0.96150000000000002"/>
    <n v="8"/>
    <d v="1899-12-30T00:00:26"/>
    <d v="1899-12-30T00:02:23"/>
    <d v="1899-12-30T00:03:15"/>
    <n v="0.68779999999999997"/>
    <d v="1899-12-30T07:56:40"/>
    <d v="1900-01-18T20:40:00"/>
    <d v="1899-12-30T08:15:44"/>
    <d v="1900-01-19T15:44:00"/>
  </r>
  <r>
    <d v="2020-10-18T00:00:00"/>
    <x v="4"/>
    <x v="9"/>
    <x v="17"/>
    <x v="0"/>
    <n v="292"/>
    <n v="77"/>
    <n v="76"/>
    <n v="0.98699999999999999"/>
    <n v="1"/>
    <d v="1899-12-30T00:00:29"/>
    <d v="1899-12-30T00:02:16"/>
    <d v="1899-12-30T00:01:54"/>
    <n v="0.58440000000000003"/>
    <d v="1899-12-30T02:52:16"/>
    <d v="1900-01-06T04:16:00"/>
    <d v="1899-12-30T02:54:32"/>
    <d v="1900-01-06T06:32:00"/>
  </r>
  <r>
    <d v="2020-10-19T00:00:00"/>
    <x v="5"/>
    <x v="9"/>
    <x v="18"/>
    <x v="0"/>
    <n v="293"/>
    <n v="291"/>
    <n v="250"/>
    <n v="0.85909999999999997"/>
    <n v="41"/>
    <d v="1899-12-30T00:00:41"/>
    <d v="1899-12-30T00:02:20"/>
    <d v="1899-12-30T00:07:10"/>
    <n v="0.5544"/>
    <d v="1899-12-30T09:43:20"/>
    <d v="1900-01-23T07:20:00"/>
    <d v="1899-12-30T11:19:00"/>
    <d v="1900-01-27T07:00:00"/>
  </r>
  <r>
    <d v="2020-10-20T00:00:00"/>
    <x v="6"/>
    <x v="9"/>
    <x v="19"/>
    <x v="0"/>
    <n v="294"/>
    <n v="219"/>
    <n v="212"/>
    <n v="0.96799999999999997"/>
    <n v="7"/>
    <d v="1899-12-30T00:00:21"/>
    <d v="1899-12-30T00:02:19"/>
    <d v="1899-12-30T00:01:50"/>
    <n v="0.76849999999999996"/>
    <d v="1899-12-30T08:11:08"/>
    <d v="1900-01-19T11:08:00"/>
    <d v="1899-12-30T08:27:21"/>
    <d v="1900-01-20T03:21:00"/>
  </r>
  <r>
    <d v="2020-10-21T00:00:00"/>
    <x v="0"/>
    <x v="9"/>
    <x v="20"/>
    <x v="0"/>
    <n v="295"/>
    <n v="173"/>
    <n v="169"/>
    <n v="0.97689999999999999"/>
    <n v="4"/>
    <d v="1899-12-30T00:00:18"/>
    <d v="1899-12-30T00:02:13"/>
    <d v="1899-12-30T00:02:14"/>
    <n v="0.81399999999999995"/>
    <d v="1899-12-30T06:14:37"/>
    <d v="1900-01-14T14:37:00"/>
    <d v="1899-12-30T06:23:29"/>
    <d v="1900-01-14T23:29:00"/>
  </r>
  <r>
    <d v="2020-10-22T00:00:00"/>
    <x v="1"/>
    <x v="9"/>
    <x v="21"/>
    <x v="0"/>
    <n v="296"/>
    <n v="204"/>
    <n v="197"/>
    <n v="0.9657"/>
    <n v="7"/>
    <d v="1899-12-30T00:00:17"/>
    <d v="1899-12-30T00:02:23"/>
    <d v="1899-12-30T00:01:57"/>
    <n v="0.8"/>
    <d v="1899-12-30T07:49:31"/>
    <d v="1900-01-18T13:31:00"/>
    <d v="1899-12-30T08:06:12"/>
    <d v="1900-01-19T06:12:00"/>
  </r>
  <r>
    <d v="2020-10-23T00:00:00"/>
    <x v="2"/>
    <x v="9"/>
    <x v="22"/>
    <x v="0"/>
    <n v="297"/>
    <n v="216"/>
    <n v="185"/>
    <n v="0.85650000000000004"/>
    <n v="31"/>
    <d v="1899-12-30T00:00:30"/>
    <d v="1899-12-30T00:02:17"/>
    <d v="1899-12-30T00:06:26"/>
    <n v="0.61429999999999996"/>
    <d v="1899-12-30T07:02:25"/>
    <d v="1900-01-16T14:25:00"/>
    <d v="1899-12-30T08:13:12"/>
    <d v="1900-01-19T13:12:00"/>
  </r>
  <r>
    <d v="2020-10-24T00:00:00"/>
    <x v="3"/>
    <x v="9"/>
    <x v="23"/>
    <x v="0"/>
    <n v="298"/>
    <n v="461"/>
    <n v="441"/>
    <n v="0.95660000000000001"/>
    <n v="20"/>
    <d v="1899-12-30T00:00:30"/>
    <d v="1899-12-30T00:02:18"/>
    <d v="1899-12-30T00:03:40"/>
    <n v="0.6149"/>
    <d v="1899-12-30T16:54:18"/>
    <d v="1900-02-10T06:18:00"/>
    <d v="1899-12-30T17:40:18"/>
    <d v="1900-02-12T04:18:00"/>
  </r>
  <r>
    <d v="2020-10-25T00:00:00"/>
    <x v="4"/>
    <x v="9"/>
    <x v="24"/>
    <x v="0"/>
    <n v="299"/>
    <n v="56"/>
    <n v="55"/>
    <n v="0.98209999999999997"/>
    <n v="1"/>
    <d v="1899-12-30T00:00:26"/>
    <d v="1899-12-30T00:02:11"/>
    <d v="1899-12-30T00:01:53"/>
    <n v="0.66069999999999995"/>
    <d v="1899-12-30T02:00:05"/>
    <d v="1900-01-04T00:05:00"/>
    <d v="1899-12-30T02:02:16"/>
    <d v="1900-01-04T02:16:00"/>
  </r>
  <r>
    <d v="2020-10-26T00:00:00"/>
    <x v="5"/>
    <x v="9"/>
    <x v="25"/>
    <x v="0"/>
    <n v="300"/>
    <n v="192"/>
    <n v="176"/>
    <n v="0.91669999999999996"/>
    <n v="16"/>
    <d v="1899-12-30T00:00:23"/>
    <d v="1899-12-30T00:02:05"/>
    <d v="1899-12-30T00:02:47"/>
    <n v="0.68279999999999996"/>
    <d v="1899-12-30T06:06:40"/>
    <d v="1900-01-14T06:40:00"/>
    <d v="1899-12-30T06:40:00"/>
    <d v="1900-01-15T16:00:00"/>
  </r>
  <r>
    <d v="2020-10-27T00:00:00"/>
    <x v="6"/>
    <x v="9"/>
    <x v="26"/>
    <x v="0"/>
    <n v="301"/>
    <n v="382"/>
    <n v="365"/>
    <n v="0.95550000000000002"/>
    <n v="17"/>
    <d v="1899-12-30T00:00:20"/>
    <d v="1899-12-30T00:01:35"/>
    <d v="1899-12-30T00:02:53"/>
    <n v="0.73140000000000005"/>
    <d v="1899-12-30T09:37:55"/>
    <d v="1900-01-23T01:55:00"/>
    <d v="1899-12-30T10:04:50"/>
    <d v="1900-01-24T04:50:00"/>
  </r>
  <r>
    <d v="2020-10-28T00:00:00"/>
    <x v="0"/>
    <x v="9"/>
    <x v="27"/>
    <x v="0"/>
    <n v="302"/>
    <n v="246"/>
    <n v="223"/>
    <n v="0.90649999999999997"/>
    <n v="23"/>
    <d v="1899-12-30T00:00:25"/>
    <d v="1899-12-30T00:02:14"/>
    <d v="1899-12-30T00:05:24"/>
    <n v="0.7167"/>
    <d v="1899-12-30T08:18:02"/>
    <d v="1900-01-19T18:02:00"/>
    <d v="1899-12-30T09:09:24"/>
    <d v="1900-01-21T21:24:00"/>
  </r>
  <r>
    <d v="2020-10-29T00:00:00"/>
    <x v="1"/>
    <x v="9"/>
    <x v="28"/>
    <x v="0"/>
    <n v="303"/>
    <n v="48"/>
    <n v="46"/>
    <n v="0.95830000000000004"/>
    <n v="2"/>
    <d v="1899-12-30T00:00:26"/>
    <d v="1899-12-30T00:02:14"/>
    <d v="1899-12-30T00:01:25"/>
    <n v="0.72340000000000004"/>
    <d v="1899-12-30T01:42:44"/>
    <d v="1900-01-03T06:44:00"/>
    <d v="1899-12-30T01:47:12"/>
    <d v="1900-01-03T11:12:00"/>
  </r>
  <r>
    <d v="2020-10-30T00:00:00"/>
    <x v="2"/>
    <x v="9"/>
    <x v="29"/>
    <x v="0"/>
    <n v="304"/>
    <n v="221"/>
    <n v="205"/>
    <n v="0.92759999999999998"/>
    <n v="16"/>
    <d v="1899-12-30T00:00:26"/>
    <d v="1899-12-30T00:02:15"/>
    <d v="1899-12-30T00:03:15"/>
    <n v="0.63080000000000003"/>
    <d v="1899-12-30T07:41:15"/>
    <d v="1900-01-18T05:15:00"/>
    <d v="1899-12-30T08:17:15"/>
    <d v="1900-01-19T17:15:00"/>
  </r>
  <r>
    <d v="2020-10-31T00:00:00"/>
    <x v="3"/>
    <x v="9"/>
    <x v="30"/>
    <x v="0"/>
    <n v="305"/>
    <n v="275"/>
    <n v="261"/>
    <n v="0.94910000000000005"/>
    <n v="14"/>
    <d v="1899-12-30T00:00:33"/>
    <d v="1899-12-30T00:02:19"/>
    <d v="1899-12-30T00:02:58"/>
    <n v="0.58520000000000005"/>
    <d v="1899-12-30T10:04:39"/>
    <d v="1900-01-24T04:39:00"/>
    <d v="1899-12-30T10:37:05"/>
    <d v="1900-01-25T13:05:00"/>
  </r>
  <r>
    <d v="2020-11-01T00:00:00"/>
    <x v="4"/>
    <x v="10"/>
    <x v="0"/>
    <x v="0"/>
    <n v="306"/>
    <n v="39"/>
    <n v="36"/>
    <n v="0.92310000000000003"/>
    <n v="3"/>
    <d v="1899-12-30T00:00:19"/>
    <d v="1899-12-30T00:01:53"/>
    <d v="1899-12-30T00:01:52"/>
    <n v="0.77780000000000005"/>
    <d v="1899-12-30T01:07:48"/>
    <d v="1900-01-01T19:48:00"/>
    <d v="1899-12-30T01:13:27"/>
    <d v="1900-01-02T01:27:00"/>
  </r>
  <r>
    <d v="2020-11-02T00:00:00"/>
    <x v="5"/>
    <x v="10"/>
    <x v="1"/>
    <x v="0"/>
    <n v="307"/>
    <n v="250"/>
    <n v="236"/>
    <n v="0.94399999999999995"/>
    <n v="14"/>
    <d v="1899-12-30T00:00:29"/>
    <d v="1899-12-30T00:02:08"/>
    <d v="1899-12-30T00:04:07"/>
    <n v="0.59040000000000004"/>
    <d v="1899-12-30T08:23:28"/>
    <d v="1900-01-19T23:28:00"/>
    <d v="1899-12-30T08:53:20"/>
    <d v="1900-01-21T05:20:00"/>
  </r>
  <r>
    <d v="2020-11-03T00:00:00"/>
    <x v="6"/>
    <x v="10"/>
    <x v="2"/>
    <x v="0"/>
    <n v="308"/>
    <n v="197"/>
    <n v="184"/>
    <n v="0.93400000000000005"/>
    <n v="13"/>
    <d v="1899-12-30T00:00:29"/>
    <d v="1899-12-30T00:02:23"/>
    <d v="1899-12-30T00:03:41"/>
    <n v="0.55610000000000004"/>
    <d v="1899-12-30T07:18:32"/>
    <d v="1900-01-17T06:32:00"/>
    <d v="1899-12-30T07:49:31"/>
    <d v="1900-01-18T13:31:00"/>
  </r>
  <r>
    <d v="2020-11-04T00:00:00"/>
    <x v="0"/>
    <x v="10"/>
    <x v="3"/>
    <x v="0"/>
    <n v="309"/>
    <n v="223"/>
    <n v="208"/>
    <n v="0.93269999999999997"/>
    <n v="15"/>
    <d v="1899-12-30T00:00:28"/>
    <d v="1899-12-30T00:02:21"/>
    <d v="1899-12-30T00:06:51"/>
    <n v="0.72270000000000001"/>
    <d v="1899-12-30T08:08:48"/>
    <d v="1900-01-19T08:48:00"/>
    <d v="1899-12-30T08:44:03"/>
    <d v="1900-01-20T20:03:00"/>
  </r>
  <r>
    <d v="2020-11-05T00:00:00"/>
    <x v="1"/>
    <x v="10"/>
    <x v="4"/>
    <x v="0"/>
    <n v="310"/>
    <n v="240"/>
    <n v="236"/>
    <n v="0.98329999999999995"/>
    <n v="4"/>
    <d v="1899-12-30T00:00:18"/>
    <d v="1899-12-30T00:02:14"/>
    <d v="1899-12-30T00:02:08"/>
    <n v="0.7792"/>
    <d v="1899-12-30T08:47:04"/>
    <d v="1900-01-20T23:04:00"/>
    <d v="1899-12-30T08:56:00"/>
    <d v="1900-01-21T08:00:00"/>
  </r>
  <r>
    <d v="2020-11-06T00:00:00"/>
    <x v="2"/>
    <x v="10"/>
    <x v="5"/>
    <x v="0"/>
    <n v="311"/>
    <n v="55"/>
    <n v="52"/>
    <n v="0.94550000000000001"/>
    <n v="3"/>
    <d v="1899-12-30T00:00:16"/>
    <d v="1899-12-30T00:02:19"/>
    <d v="1899-12-30T00:01:42"/>
    <n v="0.78180000000000005"/>
    <d v="1899-12-30T02:00:28"/>
    <d v="1900-01-04T00:28:00"/>
    <d v="1899-12-30T02:07:25"/>
    <d v="1900-01-04T07:25:00"/>
  </r>
  <r>
    <d v="2020-11-07T00:00:00"/>
    <x v="3"/>
    <x v="10"/>
    <x v="6"/>
    <x v="0"/>
    <n v="312"/>
    <n v="59"/>
    <n v="54"/>
    <n v="0.9153"/>
    <n v="5"/>
    <d v="1899-12-30T00:00:08"/>
    <d v="1899-12-30T00:02:06"/>
    <d v="1899-12-30T00:02:01"/>
    <n v="0.84750000000000003"/>
    <d v="1899-12-30T01:53:24"/>
    <d v="1900-01-03T17:24:00"/>
    <d v="1899-12-30T02:03:54"/>
    <d v="1900-01-04T03:54:00"/>
  </r>
  <r>
    <d v="2020-11-08T00:00:00"/>
    <x v="4"/>
    <x v="10"/>
    <x v="7"/>
    <x v="0"/>
    <n v="313"/>
    <n v="36"/>
    <n v="31"/>
    <n v="0.86109999999999998"/>
    <n v="5"/>
    <d v="1899-12-30T00:00:11"/>
    <d v="1899-12-30T00:02:22"/>
    <d v="1899-12-30T00:01:56"/>
    <n v="0.72219999999999995"/>
    <d v="1899-12-30T01:13:22"/>
    <d v="1900-01-02T01:22:00"/>
    <d v="1899-12-30T01:25:12"/>
    <d v="1900-01-02T13:12:00"/>
  </r>
  <r>
    <d v="2020-11-09T00:00:00"/>
    <x v="5"/>
    <x v="10"/>
    <x v="8"/>
    <x v="0"/>
    <n v="314"/>
    <n v="229"/>
    <n v="219"/>
    <n v="0.95630000000000004"/>
    <n v="10"/>
    <d v="1899-12-30T00:00:13"/>
    <d v="1899-12-30T00:02:07"/>
    <d v="1899-12-30T00:02:35"/>
    <n v="0.84889999999999999"/>
    <d v="1899-12-30T07:43:33"/>
    <d v="1900-01-18T07:33:00"/>
    <d v="1899-12-30T08:04:43"/>
    <d v="1900-01-19T04:43:00"/>
  </r>
  <r>
    <d v="2020-11-10T00:00:00"/>
    <x v="6"/>
    <x v="10"/>
    <x v="9"/>
    <x v="0"/>
    <n v="315"/>
    <n v="206"/>
    <n v="189"/>
    <n v="0.91749999999999998"/>
    <n v="17"/>
    <d v="1899-12-30T00:00:15"/>
    <d v="1899-12-30T00:02:19"/>
    <d v="1899-12-30T00:03:48"/>
    <n v="0.82830000000000004"/>
    <d v="1899-12-30T07:17:51"/>
    <d v="1900-01-17T05:51:00"/>
    <d v="1899-12-30T07:57:14"/>
    <d v="1900-01-18T21:14:00"/>
  </r>
  <r>
    <d v="2020-11-11T00:00:00"/>
    <x v="0"/>
    <x v="10"/>
    <x v="10"/>
    <x v="0"/>
    <n v="316"/>
    <n v="225"/>
    <n v="200"/>
    <n v="0.88890000000000002"/>
    <n v="25"/>
    <d v="1899-12-30T00:00:21"/>
    <d v="1899-12-30T00:02:21"/>
    <d v="1899-12-30T00:04:42"/>
    <n v="0.73109999999999997"/>
    <d v="1899-12-30T07:50:00"/>
    <d v="1900-01-18T14:00:00"/>
    <d v="1899-12-30T08:48:45"/>
    <d v="1900-01-21T00:45:00"/>
  </r>
  <r>
    <d v="2020-11-12T00:00:00"/>
    <x v="1"/>
    <x v="10"/>
    <x v="11"/>
    <x v="0"/>
    <n v="317"/>
    <n v="200"/>
    <n v="193"/>
    <n v="0.96499999999999997"/>
    <n v="7"/>
    <d v="1899-12-30T00:00:17"/>
    <d v="1899-12-30T00:02:23"/>
    <d v="1899-12-30T00:03:40"/>
    <n v="0.79290000000000005"/>
    <d v="1899-12-30T07:39:59"/>
    <d v="1900-01-18T03:59:00"/>
    <d v="1899-12-30T07:56:40"/>
    <d v="1900-01-18T20:40:00"/>
  </r>
  <r>
    <d v="2020-11-13T00:00:00"/>
    <x v="2"/>
    <x v="10"/>
    <x v="12"/>
    <x v="0"/>
    <n v="318"/>
    <n v="189"/>
    <n v="179"/>
    <n v="0.94710000000000005"/>
    <n v="10"/>
    <d v="1899-12-30T00:00:22"/>
    <d v="1899-12-30T00:02:10"/>
    <d v="1899-12-30T00:06:41"/>
    <n v="0.78069999999999995"/>
    <d v="1899-12-30T06:27:50"/>
    <d v="1900-01-15T03:50:00"/>
    <d v="1899-12-30T06:49:30"/>
    <d v="1900-01-16T01:30:00"/>
  </r>
  <r>
    <d v="2020-11-14T00:00:00"/>
    <x v="3"/>
    <x v="10"/>
    <x v="13"/>
    <x v="0"/>
    <n v="319"/>
    <n v="169"/>
    <n v="159"/>
    <n v="0.94079999999999997"/>
    <n v="10"/>
    <d v="1899-12-30T00:00:22"/>
    <d v="1899-12-30T00:02:23"/>
    <d v="1899-12-30T00:03:26"/>
    <n v="0.73650000000000004"/>
    <d v="1899-12-30T06:18:57"/>
    <d v="1900-01-14T18:57:00"/>
    <d v="1899-12-30T06:42:47"/>
    <d v="1900-01-15T18:47:00"/>
  </r>
  <r>
    <d v="2020-11-15T00:00:00"/>
    <x v="4"/>
    <x v="10"/>
    <x v="14"/>
    <x v="0"/>
    <n v="320"/>
    <n v="41"/>
    <n v="40"/>
    <n v="0.97560000000000002"/>
    <n v="1"/>
    <d v="1899-12-30T00:00:25"/>
    <d v="1899-12-30T00:02:32"/>
    <d v="1899-12-30T00:02:05"/>
    <n v="0.68289999999999995"/>
    <d v="1899-12-30T01:41:20"/>
    <d v="1900-01-03T05:20:00"/>
    <d v="1899-12-30T01:43:52"/>
    <d v="1900-01-03T07:52:00"/>
  </r>
  <r>
    <d v="2020-11-16T00:00:00"/>
    <x v="5"/>
    <x v="10"/>
    <x v="15"/>
    <x v="0"/>
    <n v="321"/>
    <n v="218"/>
    <n v="187"/>
    <n v="0.85780000000000001"/>
    <n v="31"/>
    <d v="1899-12-30T00:00:48"/>
    <d v="1899-12-30T00:02:15"/>
    <d v="1899-12-30T00:05:13"/>
    <n v="0.52110000000000001"/>
    <d v="1899-12-30T07:00:45"/>
    <d v="1900-01-16T12:45:00"/>
    <d v="1899-12-30T08:10:30"/>
    <d v="1900-01-19T10:30:00"/>
  </r>
  <r>
    <d v="2020-11-17T00:00:00"/>
    <x v="6"/>
    <x v="10"/>
    <x v="16"/>
    <x v="0"/>
    <n v="322"/>
    <n v="194"/>
    <n v="185"/>
    <n v="0.9536"/>
    <n v="9"/>
    <d v="1899-12-30T00:00:21"/>
    <d v="1899-12-30T00:02:10"/>
    <d v="1899-12-30T00:02:45"/>
    <n v="0.71579999999999999"/>
    <d v="1899-12-30T06:40:50"/>
    <d v="1900-01-15T16:50:00"/>
    <d v="1899-12-30T07:00:20"/>
    <d v="1900-01-16T12:20:00"/>
  </r>
  <r>
    <d v="2020-11-18T00:00:00"/>
    <x v="0"/>
    <x v="10"/>
    <x v="17"/>
    <x v="0"/>
    <n v="323"/>
    <n v="176"/>
    <n v="172"/>
    <n v="0.97729999999999995"/>
    <n v="4"/>
    <d v="1899-12-30T00:00:16"/>
    <d v="1899-12-30T00:02:20"/>
    <d v="1899-12-30T00:02:15"/>
    <n v="0.82079999999999997"/>
    <d v="1899-12-30T06:41:20"/>
    <d v="1900-01-15T17:20:00"/>
    <d v="1899-12-30T06:50:40"/>
    <d v="1900-01-16T02:40:00"/>
  </r>
  <r>
    <d v="2020-11-19T00:00:00"/>
    <x v="1"/>
    <x v="10"/>
    <x v="18"/>
    <x v="0"/>
    <n v="324"/>
    <n v="181"/>
    <n v="179"/>
    <n v="0.98899999999999999"/>
    <n v="2"/>
    <d v="1899-12-30T00:00:18"/>
    <d v="1899-12-30T00:02:21"/>
    <d v="1899-12-30T00:02:17"/>
    <n v="0.80559999999999998"/>
    <d v="1899-12-30T07:00:39"/>
    <d v="1900-01-16T12:39:00"/>
    <d v="1899-12-30T07:05:21"/>
    <d v="1900-01-16T17:21:00"/>
  </r>
  <r>
    <d v="2020-11-20T00:00:00"/>
    <x v="2"/>
    <x v="10"/>
    <x v="19"/>
    <x v="0"/>
    <n v="325"/>
    <n v="159"/>
    <n v="151"/>
    <n v="0.94969999999999999"/>
    <n v="8"/>
    <d v="1899-12-30T00:00:29"/>
    <d v="1899-12-30T00:01:59"/>
    <d v="1899-12-30T00:03:41"/>
    <n v="0.61009999999999998"/>
    <d v="1899-12-30T04:59:29"/>
    <d v="1900-01-11T11:29:00"/>
    <d v="1899-12-30T05:15:21"/>
    <d v="1900-01-12T03:21:00"/>
  </r>
  <r>
    <d v="2020-11-21T00:00:00"/>
    <x v="3"/>
    <x v="10"/>
    <x v="20"/>
    <x v="0"/>
    <n v="326"/>
    <n v="144"/>
    <n v="135"/>
    <n v="0.9375"/>
    <n v="9"/>
    <d v="1899-12-30T00:00:24"/>
    <d v="1899-12-30T00:02:12"/>
    <d v="1899-12-30T00:06:25"/>
    <n v="0.70630000000000004"/>
    <d v="1899-12-30T04:57:00"/>
    <d v="1900-01-11T09:00:00"/>
    <d v="1899-12-30T05:16:48"/>
    <d v="1900-01-12T04:48:00"/>
  </r>
  <r>
    <d v="2020-11-22T00:00:00"/>
    <x v="4"/>
    <x v="10"/>
    <x v="21"/>
    <x v="0"/>
    <n v="327"/>
    <n v="30"/>
    <n v="29"/>
    <n v="0.9667"/>
    <n v="1"/>
    <d v="1899-12-30T00:00:33"/>
    <d v="1899-12-30T00:02:58"/>
    <d v="1899-12-30T00:02:16"/>
    <n v="0.6"/>
    <d v="1899-12-30T01:26:02"/>
    <d v="1900-01-02T14:02:00"/>
    <d v="1899-12-30T01:29:00"/>
    <d v="1900-01-02T17:00:00"/>
  </r>
  <r>
    <d v="2020-11-23T00:00:00"/>
    <x v="5"/>
    <x v="10"/>
    <x v="22"/>
    <x v="0"/>
    <n v="328"/>
    <n v="197"/>
    <n v="185"/>
    <n v="0.93910000000000005"/>
    <n v="12"/>
    <d v="1899-12-30T00:00:24"/>
    <d v="1899-12-30T00:02:18"/>
    <d v="1899-12-30T00:02:20"/>
    <n v="0.68230000000000002"/>
    <d v="1899-12-30T07:05:30"/>
    <d v="1900-01-16T17:30:00"/>
    <d v="1899-12-30T07:33:06"/>
    <d v="1900-01-17T21:06:00"/>
  </r>
  <r>
    <d v="2020-11-24T00:00:00"/>
    <x v="6"/>
    <x v="10"/>
    <x v="23"/>
    <x v="0"/>
    <n v="329"/>
    <n v="56"/>
    <n v="47"/>
    <n v="0.83930000000000005"/>
    <n v="9"/>
    <d v="1899-12-30T00:00:24"/>
    <d v="1899-12-30T00:02:22"/>
    <d v="1899-12-30T00:02:48"/>
    <n v="0.58930000000000005"/>
    <d v="1899-12-30T01:51:14"/>
    <d v="1900-01-03T15:14:00"/>
    <d v="1899-12-30T02:12:32"/>
    <d v="1900-01-04T12:32:00"/>
  </r>
  <r>
    <d v="2020-11-25T00:00:00"/>
    <x v="0"/>
    <x v="10"/>
    <x v="24"/>
    <x v="0"/>
    <n v="330"/>
    <n v="182"/>
    <n v="153"/>
    <n v="0.8407"/>
    <n v="29"/>
    <d v="1899-12-30T00:00:38"/>
    <d v="1899-12-30T00:02:17"/>
    <d v="1899-12-30T00:10:41"/>
    <n v="0.53890000000000005"/>
    <d v="1899-12-30T05:49:21"/>
    <d v="1900-01-13T13:21:00"/>
    <d v="1899-12-30T06:55:34"/>
    <d v="1900-01-16T07:34:00"/>
  </r>
  <r>
    <d v="2020-11-26T00:00:00"/>
    <x v="1"/>
    <x v="10"/>
    <x v="25"/>
    <x v="0"/>
    <n v="331"/>
    <n v="178"/>
    <n v="166"/>
    <n v="0.93259999999999998"/>
    <n v="12"/>
    <d v="1899-12-30T00:00:30"/>
    <d v="1899-12-30T00:02:24"/>
    <d v="1899-12-30T00:05:12"/>
    <n v="0.62070000000000003"/>
    <d v="1899-12-30T06:38:24"/>
    <d v="1900-01-15T14:24:00"/>
    <d v="1899-12-30T07:07:12"/>
    <d v="1900-01-16T19:12:00"/>
  </r>
  <r>
    <d v="2020-11-27T00:00:00"/>
    <x v="2"/>
    <x v="10"/>
    <x v="26"/>
    <x v="0"/>
    <n v="332"/>
    <n v="183"/>
    <n v="164"/>
    <n v="0.8962"/>
    <n v="19"/>
    <d v="1899-12-30T00:00:25"/>
    <d v="1899-12-30T00:02:04"/>
    <d v="1899-12-30T00:03:40"/>
    <n v="0.65910000000000002"/>
    <d v="1899-12-30T05:38:56"/>
    <d v="1900-01-13T02:56:00"/>
    <d v="1899-12-30T06:18:12"/>
    <d v="1900-01-14T18:12:00"/>
  </r>
  <r>
    <d v="2020-11-28T00:00:00"/>
    <x v="3"/>
    <x v="10"/>
    <x v="27"/>
    <x v="0"/>
    <n v="333"/>
    <n v="197"/>
    <n v="182"/>
    <n v="0.92390000000000005"/>
    <n v="15"/>
    <d v="1899-12-30T00:00:28"/>
    <d v="1899-12-30T00:02:25"/>
    <d v="1899-12-30T00:04:20"/>
    <n v="0.64800000000000002"/>
    <d v="1899-12-30T07:19:50"/>
    <d v="1900-01-17T07:50:00"/>
    <d v="1899-12-30T07:56:05"/>
    <d v="1900-01-18T20:05:00"/>
  </r>
  <r>
    <d v="2020-11-29T00:00:00"/>
    <x v="4"/>
    <x v="10"/>
    <x v="28"/>
    <x v="0"/>
    <n v="334"/>
    <n v="60"/>
    <n v="58"/>
    <n v="0.9667"/>
    <n v="2"/>
    <d v="1899-12-30T00:00:37"/>
    <d v="1899-12-30T00:02:36"/>
    <d v="1899-12-30T00:03:10"/>
    <n v="0.54239999999999999"/>
    <d v="1899-12-30T02:30:48"/>
    <d v="1900-01-05T06:48:00"/>
    <d v="1899-12-30T02:36:00"/>
    <d v="1900-01-05T12:00:00"/>
  </r>
  <r>
    <d v="2020-11-30T00:00:00"/>
    <x v="5"/>
    <x v="10"/>
    <x v="29"/>
    <x v="0"/>
    <n v="335"/>
    <n v="241"/>
    <n v="224"/>
    <n v="0.92949999999999999"/>
    <n v="17"/>
    <d v="1899-12-30T00:00:23"/>
    <d v="1899-12-30T00:02:25"/>
    <d v="1899-12-30T00:02:45"/>
    <n v="0.7046"/>
    <d v="1899-12-30T09:01:20"/>
    <d v="1900-01-21T13:20:00"/>
    <d v="1899-12-30T09:42:25"/>
    <d v="1900-01-23T06:25:00"/>
  </r>
  <r>
    <d v="2020-12-01T00:00:00"/>
    <x v="6"/>
    <x v="11"/>
    <x v="0"/>
    <x v="0"/>
    <n v="336"/>
    <n v="307"/>
    <n v="295"/>
    <n v="0.96089999999999998"/>
    <n v="12"/>
    <d v="1899-12-30T00:00:29"/>
    <d v="1899-12-30T00:02:16"/>
    <d v="1899-12-30T00:02:45"/>
    <n v="0.60460000000000003"/>
    <d v="1899-12-30T11:08:40"/>
    <d v="1900-01-26T20:40:00"/>
    <d v="1899-12-30T11:35:52"/>
    <d v="1900-01-27T23:52:00"/>
  </r>
  <r>
    <d v="2020-12-02T00:00:00"/>
    <x v="0"/>
    <x v="11"/>
    <x v="1"/>
    <x v="0"/>
    <n v="337"/>
    <n v="295"/>
    <n v="289"/>
    <n v="0.97970000000000002"/>
    <n v="6"/>
    <d v="1899-12-30T00:00:26"/>
    <d v="1899-12-30T00:02:23"/>
    <d v="1899-12-30T00:03:11"/>
    <n v="0.70689999999999997"/>
    <d v="1899-12-30T11:28:47"/>
    <d v="1900-01-27T16:47:00"/>
    <d v="1899-12-30T11:43:05"/>
    <d v="1900-01-28T07:05:00"/>
  </r>
  <r>
    <d v="2020-12-03T00:00:00"/>
    <x v="1"/>
    <x v="11"/>
    <x v="2"/>
    <x v="0"/>
    <n v="338"/>
    <n v="239"/>
    <n v="230"/>
    <n v="0.96230000000000004"/>
    <n v="9"/>
    <d v="1899-12-30T00:00:26"/>
    <d v="1899-12-30T00:02:14"/>
    <d v="1899-12-30T00:03:14"/>
    <n v="0.68910000000000005"/>
    <d v="1899-12-30T08:33:40"/>
    <d v="1900-01-20T09:40:00"/>
    <d v="1899-12-30T08:53:46"/>
    <d v="1900-01-21T05:46:00"/>
  </r>
  <r>
    <d v="2020-12-04T00:00:00"/>
    <x v="2"/>
    <x v="11"/>
    <x v="3"/>
    <x v="0"/>
    <n v="339"/>
    <n v="241"/>
    <n v="231"/>
    <n v="0.95850000000000002"/>
    <n v="10"/>
    <d v="1899-12-30T00:00:23"/>
    <d v="1899-12-30T00:02:25"/>
    <d v="1899-12-30T00:01:52"/>
    <n v="0.72460000000000002"/>
    <d v="1899-12-30T09:18:15"/>
    <d v="1900-01-22T06:15:00"/>
    <d v="1899-12-30T09:42:25"/>
    <d v="1900-01-23T06:25:00"/>
  </r>
  <r>
    <d v="2020-12-05T00:00:00"/>
    <x v="3"/>
    <x v="11"/>
    <x v="4"/>
    <x v="0"/>
    <n v="340"/>
    <n v="211"/>
    <n v="195"/>
    <n v="0.92420000000000002"/>
    <n v="16"/>
    <d v="1899-12-30T00:00:33"/>
    <d v="1899-12-30T00:02:42"/>
    <d v="1899-12-30T00:03:16"/>
    <n v="0.52400000000000002"/>
    <d v="1899-12-30T08:46:30"/>
    <d v="1900-01-20T22:30:00"/>
    <d v="1899-12-30T09:29:42"/>
    <d v="1900-01-22T17:42:00"/>
  </r>
  <r>
    <d v="2020-12-06T00:00:00"/>
    <x v="4"/>
    <x v="11"/>
    <x v="5"/>
    <x v="0"/>
    <n v="341"/>
    <n v="40"/>
    <n v="35"/>
    <n v="0.875"/>
    <n v="5"/>
    <d v="1899-12-30T00:00:40"/>
    <d v="1899-12-30T00:02:35"/>
    <d v="1899-12-30T00:03:12"/>
    <n v="0.47499999999999998"/>
    <d v="1899-12-30T01:30:25"/>
    <d v="1900-01-02T18:25:00"/>
    <d v="1899-12-30T01:43:20"/>
    <d v="1900-01-03T07:20:00"/>
  </r>
  <r>
    <d v="2020-12-07T00:00:00"/>
    <x v="5"/>
    <x v="11"/>
    <x v="6"/>
    <x v="0"/>
    <n v="342"/>
    <n v="192"/>
    <n v="174"/>
    <n v="0.90629999999999999"/>
    <n v="18"/>
    <d v="1899-12-30T00:00:32"/>
    <d v="1899-12-30T00:02:16"/>
    <d v="1899-12-30T00:03:40"/>
    <n v="0.55789999999999995"/>
    <d v="1899-12-30T06:34:24"/>
    <d v="1900-01-15T10:24:00"/>
    <d v="1899-12-30T07:15:12"/>
    <d v="1900-01-17T03:12:00"/>
  </r>
  <r>
    <d v="2020-12-08T00:00:00"/>
    <x v="6"/>
    <x v="11"/>
    <x v="7"/>
    <x v="0"/>
    <n v="343"/>
    <n v="201"/>
    <n v="179"/>
    <n v="0.89049999999999996"/>
    <n v="22"/>
    <d v="1899-12-30T00:00:35"/>
    <d v="1899-12-30T00:02:18"/>
    <d v="1899-12-30T00:03:40"/>
    <n v="0.57289999999999996"/>
    <d v="1899-12-30T06:51:42"/>
    <d v="1900-01-16T03:42:00"/>
    <d v="1899-12-30T07:42:18"/>
    <d v="1900-01-18T06:18:00"/>
  </r>
  <r>
    <d v="2020-12-09T00:00:00"/>
    <x v="0"/>
    <x v="11"/>
    <x v="8"/>
    <x v="0"/>
    <n v="344"/>
    <n v="274"/>
    <n v="247"/>
    <n v="0.90149999999999997"/>
    <n v="27"/>
    <d v="1899-12-30T00:00:28"/>
    <d v="1899-12-30T00:02:10"/>
    <d v="1899-12-30T00:04:04"/>
    <n v="0.63939999999999997"/>
    <d v="1899-12-30T08:55:10"/>
    <d v="1900-01-21T07:10:00"/>
    <d v="1899-12-30T09:53:40"/>
    <d v="1900-01-23T17:40:00"/>
  </r>
  <r>
    <d v="2020-12-10T00:00:00"/>
    <x v="1"/>
    <x v="11"/>
    <x v="9"/>
    <x v="0"/>
    <n v="345"/>
    <n v="205"/>
    <n v="176"/>
    <n v="0.85850000000000004"/>
    <n v="29"/>
    <d v="1899-12-30T00:00:41"/>
    <d v="1899-12-30T00:02:16"/>
    <d v="1899-12-30T00:05:11"/>
    <n v="0.46229999999999999"/>
    <d v="1899-12-30T06:38:56"/>
    <d v="1900-01-15T14:56:00"/>
    <d v="1899-12-30T07:44:40"/>
    <d v="1900-01-18T08:40:00"/>
  </r>
  <r>
    <d v="2020-12-11T00:00:00"/>
    <x v="2"/>
    <x v="11"/>
    <x v="10"/>
    <x v="0"/>
    <n v="346"/>
    <n v="177"/>
    <n v="160"/>
    <n v="0.90400000000000003"/>
    <n v="17"/>
    <d v="1899-12-30T00:00:28"/>
    <d v="1899-12-30T00:02:20"/>
    <d v="1899-12-30T00:03:59"/>
    <n v="0.59199999999999997"/>
    <d v="1899-12-30T06:13:20"/>
    <d v="1900-01-14T13:20:00"/>
    <d v="1899-12-30T06:53:00"/>
    <d v="1900-01-16T05:00:00"/>
  </r>
  <r>
    <d v="2020-12-12T00:00:00"/>
    <x v="3"/>
    <x v="11"/>
    <x v="11"/>
    <x v="0"/>
    <n v="347"/>
    <n v="159"/>
    <n v="151"/>
    <n v="0.94969999999999999"/>
    <n v="8"/>
    <d v="1899-12-30T00:00:22"/>
    <d v="1899-12-30T00:02:08"/>
    <d v="1899-12-30T00:07:22"/>
    <n v="0.73250000000000004"/>
    <d v="1899-12-30T05:22:08"/>
    <d v="1900-01-12T10:08:00"/>
    <d v="1899-12-30T05:39:12"/>
    <d v="1900-01-13T03:12:00"/>
  </r>
  <r>
    <d v="2020-12-13T00:00:00"/>
    <x v="4"/>
    <x v="11"/>
    <x v="12"/>
    <x v="0"/>
    <n v="348"/>
    <n v="33"/>
    <n v="28"/>
    <n v="0.84850000000000003"/>
    <n v="5"/>
    <d v="1899-12-30T00:00:13"/>
    <d v="1899-12-30T00:02:30"/>
    <d v="1899-12-30T00:01:02"/>
    <n v="0.66669999999999996"/>
    <d v="1899-12-30T01:10:00"/>
    <d v="1900-01-01T22:00:00"/>
    <d v="1899-12-30T01:22:30"/>
    <d v="1900-01-02T10:30:00"/>
  </r>
  <r>
    <d v="2020-12-14T00:00:00"/>
    <x v="5"/>
    <x v="11"/>
    <x v="13"/>
    <x v="0"/>
    <n v="349"/>
    <n v="228"/>
    <n v="210"/>
    <n v="0.92110000000000003"/>
    <n v="18"/>
    <d v="1899-12-30T00:00:23"/>
    <d v="1899-12-30T00:02:08"/>
    <d v="1899-12-30T00:03:09"/>
    <n v="0.66669999999999996"/>
    <d v="1899-12-30T07:28:00"/>
    <d v="1900-01-17T16:00:00"/>
    <d v="1899-12-30T08:06:24"/>
    <d v="1900-01-19T06:24:00"/>
  </r>
  <r>
    <d v="2020-12-15T00:00:00"/>
    <x v="6"/>
    <x v="11"/>
    <x v="14"/>
    <x v="0"/>
    <n v="350"/>
    <n v="177"/>
    <n v="172"/>
    <n v="0.9718"/>
    <n v="5"/>
    <d v="1899-12-30T00:00:25"/>
    <d v="1899-12-30T00:02:15"/>
    <d v="1899-12-30T00:02:52"/>
    <n v="0.69140000000000001"/>
    <d v="1899-12-30T06:27:00"/>
    <d v="1900-01-15T03:00:00"/>
    <d v="1899-12-30T06:38:15"/>
    <d v="1900-01-15T14:15:00"/>
  </r>
  <r>
    <d v="2020-12-16T00:00:00"/>
    <x v="0"/>
    <x v="11"/>
    <x v="15"/>
    <x v="0"/>
    <n v="351"/>
    <n v="197"/>
    <n v="169"/>
    <n v="0.8579"/>
    <n v="28"/>
    <d v="1899-12-30T00:00:34"/>
    <d v="1899-12-30T00:02:30"/>
    <d v="1899-12-30T00:07:41"/>
    <n v="0.55669999999999997"/>
    <d v="1899-12-30T07:02:30"/>
    <d v="1900-01-16T14:30:00"/>
    <d v="1899-12-30T08:12:30"/>
    <d v="1900-01-19T12:30:00"/>
  </r>
  <r>
    <d v="2020-12-17T00:00:00"/>
    <x v="1"/>
    <x v="11"/>
    <x v="16"/>
    <x v="0"/>
    <n v="352"/>
    <n v="721"/>
    <n v="616"/>
    <n v="0.85440000000000005"/>
    <n v="105"/>
    <d v="1899-12-30T00:00:57"/>
    <d v="1899-12-30T00:01:55"/>
    <d v="1899-12-30T00:05:48"/>
    <n v="0.28310000000000002"/>
    <d v="1899-12-30T19:40:40"/>
    <d v="1900-02-17T04:40:00"/>
    <d v="1899-12-30T23:01:55"/>
    <d v="1900-02-25T13:55:00"/>
  </r>
  <r>
    <d v="2020-12-18T00:00:00"/>
    <x v="2"/>
    <x v="11"/>
    <x v="17"/>
    <x v="0"/>
    <n v="353"/>
    <n v="301"/>
    <n v="270"/>
    <n v="0.89700000000000002"/>
    <n v="31"/>
    <d v="1899-12-30T00:00:42"/>
    <d v="1899-12-30T00:02:05"/>
    <d v="1899-12-30T00:10:06"/>
    <n v="0.42470000000000002"/>
    <d v="1899-12-30T09:22:30"/>
    <d v="1900-01-22T10:30:00"/>
    <d v="1899-12-30T10:27:05"/>
    <d v="1900-01-25T03:05:00"/>
  </r>
  <r>
    <d v="2020-12-19T00:00:00"/>
    <x v="3"/>
    <x v="11"/>
    <x v="18"/>
    <x v="0"/>
    <n v="354"/>
    <n v="179"/>
    <n v="175"/>
    <n v="0.97770000000000001"/>
    <n v="4"/>
    <d v="1899-12-30T00:00:24"/>
    <d v="1899-12-30T00:02:21"/>
    <d v="1899-12-30T00:03:12"/>
    <n v="0.71350000000000002"/>
    <d v="1899-12-30T06:51:15"/>
    <d v="1900-01-16T03:15:00"/>
    <d v="1899-12-30T07:00:39"/>
    <d v="1900-01-16T12:39:00"/>
  </r>
  <r>
    <d v="2020-12-20T00:00:00"/>
    <x v="4"/>
    <x v="11"/>
    <x v="19"/>
    <x v="0"/>
    <n v="355"/>
    <n v="45"/>
    <n v="45"/>
    <n v="1"/>
    <n v="0"/>
    <d v="1899-12-30T00:00:16"/>
    <d v="1899-12-30T00:02:11"/>
    <d v="1899-12-30T00:03:21"/>
    <n v="0.86670000000000003"/>
    <d v="1899-12-30T01:38:15"/>
    <d v="1900-01-03T02:15:00"/>
    <d v="1899-12-30T01:38:15"/>
    <d v="1900-01-03T02:15:00"/>
  </r>
  <r>
    <d v="2020-12-21T00:00:00"/>
    <x v="5"/>
    <x v="11"/>
    <x v="20"/>
    <x v="0"/>
    <n v="356"/>
    <n v="180"/>
    <n v="164"/>
    <n v="0.91110000000000002"/>
    <n v="16"/>
    <d v="1899-12-30T00:00:25"/>
    <d v="1899-12-30T00:02:22"/>
    <d v="1899-12-30T00:01:50"/>
    <n v="0.61799999999999999"/>
    <d v="1899-12-30T06:28:08"/>
    <d v="1900-01-15T04:08:00"/>
    <d v="1899-12-30T07:06:00"/>
    <d v="1900-01-16T18:00:00"/>
  </r>
  <r>
    <d v="2020-12-22T00:00:00"/>
    <x v="6"/>
    <x v="11"/>
    <x v="21"/>
    <x v="0"/>
    <n v="357"/>
    <n v="206"/>
    <n v="200"/>
    <n v="0.97089999999999999"/>
    <n v="6"/>
    <d v="1899-12-30T00:00:22"/>
    <d v="1899-12-30T00:02:19"/>
    <d v="1899-12-30T00:02:07"/>
    <n v="0.74629999999999996"/>
    <d v="1899-12-30T07:43:20"/>
    <d v="1900-01-18T07:20:00"/>
    <d v="1899-12-30T07:57:14"/>
    <d v="1900-01-18T21:14:00"/>
  </r>
  <r>
    <d v="2020-12-23T00:00:00"/>
    <x v="0"/>
    <x v="11"/>
    <x v="22"/>
    <x v="0"/>
    <n v="358"/>
    <n v="187"/>
    <n v="181"/>
    <n v="0.96789999999999998"/>
    <n v="6"/>
    <d v="1899-12-30T00:00:32"/>
    <d v="1899-12-30T00:02:30"/>
    <d v="1899-12-30T00:03:54"/>
    <n v="0.627"/>
    <d v="1899-12-30T07:32:30"/>
    <d v="1900-01-17T20:30:00"/>
    <d v="1899-12-30T07:47:30"/>
    <d v="1900-01-18T11:30:00"/>
  </r>
  <r>
    <d v="2020-12-24T00:00:00"/>
    <x v="1"/>
    <x v="11"/>
    <x v="23"/>
    <x v="0"/>
    <n v="359"/>
    <n v="186"/>
    <n v="177"/>
    <n v="0.9516"/>
    <n v="9"/>
    <d v="1899-12-30T00:00:28"/>
    <d v="1899-12-30T00:02:22"/>
    <d v="1899-12-30T00:05:30"/>
    <n v="0.67930000000000001"/>
    <d v="1899-12-30T06:58:54"/>
    <d v="1900-01-16T10:54:00"/>
    <d v="1899-12-30T07:20:12"/>
    <d v="1900-01-17T08:12:00"/>
  </r>
  <r>
    <d v="2020-12-25T00:00:00"/>
    <x v="2"/>
    <x v="11"/>
    <x v="24"/>
    <x v="0"/>
    <n v="360"/>
    <n v="189"/>
    <n v="180"/>
    <n v="0.95240000000000002"/>
    <n v="9"/>
    <d v="1899-12-30T00:00:35"/>
    <d v="1899-12-30T00:02:15"/>
    <d v="1899-12-30T00:03:24"/>
    <n v="0.5645"/>
    <d v="1899-12-30T06:45:00"/>
    <d v="1900-01-15T21:00:00"/>
    <d v="1899-12-30T07:05:15"/>
    <d v="1900-01-16T17:15:00"/>
  </r>
  <r>
    <d v="2020-12-26T00:00:00"/>
    <x v="3"/>
    <x v="11"/>
    <x v="25"/>
    <x v="0"/>
    <n v="361"/>
    <n v="127"/>
    <n v="116"/>
    <n v="0.91339999999999999"/>
    <n v="11"/>
    <d v="1899-12-30T00:00:34"/>
    <d v="1899-12-30T00:02:25"/>
    <d v="1899-12-30T00:02:46"/>
    <n v="0.5645"/>
    <d v="1899-12-30T04:40:20"/>
    <d v="1900-01-10T16:20:00"/>
    <d v="1899-12-30T05:06:55"/>
    <d v="1900-01-11T18:55:00"/>
  </r>
  <r>
    <d v="2020-12-27T00:00:00"/>
    <x v="4"/>
    <x v="11"/>
    <x v="26"/>
    <x v="0"/>
    <n v="362"/>
    <n v="93"/>
    <n v="90"/>
    <n v="0.9677"/>
    <n v="3"/>
    <d v="1899-12-30T00:00:26"/>
    <d v="1899-12-30T00:01:57"/>
    <d v="1899-12-30T00:02:57"/>
    <n v="0.63439999999999996"/>
    <d v="1899-12-30T02:55:30"/>
    <d v="1900-01-06T07:30:00"/>
    <d v="1899-12-30T03:01:21"/>
    <d v="1900-01-06T13:21:00"/>
  </r>
  <r>
    <d v="2020-12-28T00:00:00"/>
    <x v="5"/>
    <x v="11"/>
    <x v="27"/>
    <x v="0"/>
    <n v="363"/>
    <n v="328"/>
    <n v="292"/>
    <n v="0.89019999999999999"/>
    <n v="36"/>
    <d v="1899-12-30T00:00:37"/>
    <d v="1899-12-30T00:02:17"/>
    <d v="1899-12-30T00:06:25"/>
    <n v="0.49680000000000002"/>
    <d v="1899-12-30T11:06:44"/>
    <d v="1900-01-26T18:44:00"/>
    <d v="1899-12-30T12:28:56"/>
    <d v="1900-01-30T04:56:00"/>
  </r>
  <r>
    <d v="2020-12-29T00:00:00"/>
    <x v="6"/>
    <x v="11"/>
    <x v="28"/>
    <x v="0"/>
    <n v="364"/>
    <n v="238"/>
    <n v="223"/>
    <n v="0.93700000000000006"/>
    <n v="15"/>
    <d v="1899-12-30T00:00:33"/>
    <d v="1899-12-30T00:02:23"/>
    <d v="1899-12-30T00:03:40"/>
    <n v="0.59230000000000005"/>
    <d v="1899-12-30T08:51:29"/>
    <d v="1900-01-21T03:29:00"/>
    <d v="1899-12-30T09:27:14"/>
    <d v="1900-01-22T15:14:00"/>
  </r>
  <r>
    <d v="2020-12-30T00:00:00"/>
    <x v="0"/>
    <x v="11"/>
    <x v="29"/>
    <x v="0"/>
    <n v="365"/>
    <n v="237"/>
    <n v="222"/>
    <n v="0.93669999999999998"/>
    <n v="15"/>
    <d v="1899-12-30T00:00:34"/>
    <d v="1899-12-30T00:02:24"/>
    <d v="1899-12-30T00:02:52"/>
    <n v="0.53849999999999998"/>
    <d v="1899-12-30T08:52:48"/>
    <d v="1900-01-21T04:48:00"/>
    <d v="1899-12-30T09:28:48"/>
    <d v="1900-01-22T16:48:00"/>
  </r>
  <r>
    <d v="2020-12-31T00:00:00"/>
    <x v="1"/>
    <x v="11"/>
    <x v="30"/>
    <x v="0"/>
    <n v="366"/>
    <n v="257"/>
    <n v="235"/>
    <n v="0.91439999999999999"/>
    <n v="22"/>
    <d v="1899-12-30T00:00:45"/>
    <d v="1899-12-30T00:02:31"/>
    <d v="1899-12-30T00:04:24"/>
    <n v="0.4466"/>
    <d v="1899-12-30T09:51:25"/>
    <d v="1900-01-23T15:25:00"/>
    <d v="1899-12-30T10:46:47"/>
    <d v="1900-01-25T22:47:00"/>
  </r>
  <r>
    <d v="2021-01-01T00:00:00"/>
    <x v="2"/>
    <x v="0"/>
    <x v="0"/>
    <x v="1"/>
    <n v="367"/>
    <n v="238"/>
    <n v="223"/>
    <n v="0.93700000000000006"/>
    <n v="15"/>
    <d v="1899-12-30T00:00:32"/>
    <d v="1899-12-30T00:02:17"/>
    <d v="1899-12-30T00:03:22"/>
    <n v="0.54700000000000004"/>
    <d v="1899-12-30T08:29:11"/>
    <d v="1900-01-20T05:11:00"/>
    <d v="1899-12-30T09:03:26"/>
    <d v="1900-01-21T15:26:00"/>
  </r>
  <r>
    <d v="2021-01-02T00:00:00"/>
    <x v="3"/>
    <x v="0"/>
    <x v="1"/>
    <x v="1"/>
    <n v="368"/>
    <n v="199"/>
    <n v="164"/>
    <n v="0.82410000000000005"/>
    <n v="35"/>
    <d v="1899-12-30T00:00:32"/>
    <d v="1899-12-30T00:02:13"/>
    <d v="1899-12-30T00:06:56"/>
    <n v="0.59179999999999999"/>
    <d v="1899-12-30T06:03:32"/>
    <d v="1900-01-14T03:32:00"/>
    <d v="1899-12-30T07:21:07"/>
    <d v="1900-01-17T09:07:00"/>
  </r>
  <r>
    <d v="2021-01-03T00:00:00"/>
    <x v="4"/>
    <x v="0"/>
    <x v="2"/>
    <x v="1"/>
    <n v="369"/>
    <n v="30"/>
    <n v="27"/>
    <n v="0.9"/>
    <n v="3"/>
    <d v="1899-12-30T00:00:32"/>
    <d v="1899-12-30T00:02:34"/>
    <d v="1899-12-30T00:02:37"/>
    <n v="0.60709999999999997"/>
    <d v="1899-12-30T01:09:18"/>
    <d v="1900-01-01T21:18:00"/>
    <d v="1899-12-30T01:17:00"/>
    <d v="1900-01-02T05:00:00"/>
  </r>
  <r>
    <d v="2021-01-04T00:00:00"/>
    <x v="5"/>
    <x v="0"/>
    <x v="3"/>
    <x v="1"/>
    <n v="370"/>
    <n v="176"/>
    <n v="163"/>
    <n v="0.92610000000000003"/>
    <n v="13"/>
    <d v="1899-12-30T00:00:38"/>
    <d v="1899-12-30T00:02:05"/>
    <d v="1899-12-30T00:05:30"/>
    <n v="0.54290000000000005"/>
    <d v="1899-12-30T05:39:35"/>
    <d v="1900-01-13T03:35:00"/>
    <d v="1899-12-30T06:06:40"/>
    <d v="1900-01-14T06:40:00"/>
  </r>
  <r>
    <d v="2021-01-05T00:00:00"/>
    <x v="6"/>
    <x v="0"/>
    <x v="4"/>
    <x v="1"/>
    <n v="371"/>
    <n v="162"/>
    <n v="144"/>
    <n v="0.88890000000000002"/>
    <n v="18"/>
    <d v="1899-12-30T00:00:41"/>
    <d v="1899-12-30T00:02:25"/>
    <d v="1899-12-30T00:03:40"/>
    <n v="0.50309999999999999"/>
    <d v="1899-12-30T05:48:00"/>
    <d v="1900-01-13T12:00:00"/>
    <d v="1899-12-30T06:31:30"/>
    <d v="1900-01-15T07:30:00"/>
  </r>
  <r>
    <d v="2021-01-06T00:00:00"/>
    <x v="0"/>
    <x v="0"/>
    <x v="5"/>
    <x v="1"/>
    <n v="372"/>
    <n v="169"/>
    <n v="157"/>
    <n v="0.92900000000000005"/>
    <n v="12"/>
    <d v="1899-12-30T00:00:29"/>
    <d v="1899-12-30T00:02:29"/>
    <d v="1899-12-30T00:01:56"/>
    <n v="0.53890000000000005"/>
    <d v="1899-12-30T06:29:53"/>
    <d v="1900-01-15T05:53:00"/>
    <d v="1899-12-30T06:59:41"/>
    <d v="1900-01-16T11:41:00"/>
  </r>
  <r>
    <d v="2021-01-07T00:00:00"/>
    <x v="1"/>
    <x v="0"/>
    <x v="6"/>
    <x v="1"/>
    <n v="373"/>
    <n v="155"/>
    <n v="146"/>
    <n v="0.94189999999999996"/>
    <n v="9"/>
    <d v="1899-12-30T00:00:30"/>
    <d v="1899-12-30T00:02:18"/>
    <d v="1899-12-30T00:03:10"/>
    <n v="0.50980000000000003"/>
    <d v="1899-12-30T05:35:48"/>
    <d v="1900-01-12T23:48:00"/>
    <d v="1899-12-30T05:56:30"/>
    <d v="1900-01-13T20:30:00"/>
  </r>
  <r>
    <d v="2021-01-08T00:00:00"/>
    <x v="2"/>
    <x v="0"/>
    <x v="7"/>
    <x v="1"/>
    <n v="374"/>
    <n v="247"/>
    <n v="205"/>
    <n v="0.83"/>
    <n v="42"/>
    <d v="1899-12-30T00:00:49"/>
    <d v="1899-12-30T00:02:26"/>
    <d v="1899-12-30T00:07:36"/>
    <n v="0.38490000000000002"/>
    <d v="1899-12-30T08:18:50"/>
    <d v="1900-01-19T18:50:00"/>
    <d v="1899-12-30T10:01:02"/>
    <d v="1900-01-24T01:02:00"/>
  </r>
  <r>
    <d v="2021-01-09T00:00:00"/>
    <x v="3"/>
    <x v="0"/>
    <x v="8"/>
    <x v="1"/>
    <n v="375"/>
    <n v="191"/>
    <n v="186"/>
    <n v="0.9738"/>
    <n v="5"/>
    <d v="1899-12-30T00:00:24"/>
    <d v="1899-12-30T00:02:14"/>
    <d v="1899-12-30T00:01:54"/>
    <n v="0.70530000000000004"/>
    <d v="1899-12-30T06:55:24"/>
    <d v="1900-01-16T07:24:00"/>
    <d v="1899-12-30T07:06:34"/>
    <d v="1900-01-16T18:34:00"/>
  </r>
  <r>
    <d v="2021-01-10T00:00:00"/>
    <x v="4"/>
    <x v="0"/>
    <x v="9"/>
    <x v="1"/>
    <n v="376"/>
    <n v="30"/>
    <n v="29"/>
    <n v="0.9667"/>
    <n v="1"/>
    <d v="1899-12-30T00:00:06"/>
    <d v="1899-12-30T00:02:15"/>
    <d v="1899-12-30T00:00:46"/>
    <n v="0.93330000000000002"/>
    <d v="1899-12-30T01:05:15"/>
    <d v="1900-01-01T17:15:00"/>
    <d v="1899-12-30T01:07:30"/>
    <d v="1900-01-01T19:30:00"/>
  </r>
  <r>
    <d v="2021-01-11T00:00:00"/>
    <x v="5"/>
    <x v="0"/>
    <x v="10"/>
    <x v="1"/>
    <n v="377"/>
    <n v="316"/>
    <n v="290"/>
    <n v="0.91769999999999996"/>
    <n v="26"/>
    <d v="1899-12-30T00:00:31"/>
    <d v="1899-12-30T00:02:21"/>
    <d v="1899-12-30T00:04:02"/>
    <n v="0.59160000000000001"/>
    <d v="1899-12-30T11:21:30"/>
    <d v="1900-01-27T09:30:00"/>
    <d v="1899-12-30T12:22:36"/>
    <d v="1900-01-29T22:36:00"/>
  </r>
  <r>
    <d v="2021-01-12T00:00:00"/>
    <x v="6"/>
    <x v="0"/>
    <x v="11"/>
    <x v="1"/>
    <n v="378"/>
    <n v="211"/>
    <n v="195"/>
    <n v="0.92420000000000002"/>
    <n v="16"/>
    <d v="1899-12-30T00:00:34"/>
    <d v="1899-12-30T00:02:21"/>
    <d v="1899-12-30T00:06:25"/>
    <n v="0.55769999999999997"/>
    <d v="1899-12-30T07:38:15"/>
    <d v="1900-01-18T02:15:00"/>
    <d v="1899-12-30T08:15:51"/>
    <d v="1900-01-19T15:51:00"/>
  </r>
  <r>
    <d v="2021-01-13T00:00:00"/>
    <x v="0"/>
    <x v="0"/>
    <x v="12"/>
    <x v="1"/>
    <n v="379"/>
    <n v="208"/>
    <n v="169"/>
    <n v="0.8125"/>
    <n v="39"/>
    <d v="1899-12-30T00:00:45"/>
    <d v="1899-12-30T00:02:18"/>
    <d v="1899-12-30T00:07:15"/>
    <n v="0.45850000000000002"/>
    <d v="1899-12-30T06:28:42"/>
    <d v="1900-01-15T04:42:00"/>
    <d v="1899-12-30T07:58:24"/>
    <d v="1900-01-18T22:24:00"/>
  </r>
  <r>
    <d v="2021-01-14T00:00:00"/>
    <x v="1"/>
    <x v="0"/>
    <x v="13"/>
    <x v="1"/>
    <n v="380"/>
    <n v="130"/>
    <n v="124"/>
    <n v="0.95379999999999998"/>
    <n v="6"/>
    <d v="1899-12-30T00:00:22"/>
    <d v="1899-12-30T00:02:17"/>
    <d v="1899-12-30T00:02:15"/>
    <n v="0.68989999999999996"/>
    <d v="1899-12-30T04:43:08"/>
    <d v="1900-01-10T19:08:00"/>
    <d v="1899-12-30T04:56:50"/>
    <d v="1900-01-11T08:50:00"/>
  </r>
  <r>
    <d v="2021-01-15T00:00:00"/>
    <x v="2"/>
    <x v="0"/>
    <x v="14"/>
    <x v="1"/>
    <n v="381"/>
    <n v="134"/>
    <n v="129"/>
    <n v="0.9627"/>
    <n v="5"/>
    <d v="1899-12-30T00:00:24"/>
    <d v="1899-12-30T00:02:12"/>
    <d v="1899-12-30T00:03:28"/>
    <n v="0.70899999999999996"/>
    <d v="1899-12-30T04:43:48"/>
    <d v="1900-01-10T19:48:00"/>
    <d v="1899-12-30T04:54:48"/>
    <d v="1900-01-11T06:48:00"/>
  </r>
  <r>
    <d v="2021-01-16T00:00:00"/>
    <x v="3"/>
    <x v="0"/>
    <x v="15"/>
    <x v="1"/>
    <n v="382"/>
    <n v="124"/>
    <n v="121"/>
    <n v="0.9758"/>
    <n v="3"/>
    <d v="1899-12-30T00:00:27"/>
    <d v="1899-12-30T00:02:19"/>
    <d v="1899-12-30T00:03:19"/>
    <n v="0.70730000000000004"/>
    <d v="1899-12-30T04:40:19"/>
    <d v="1900-01-10T16:19:00"/>
    <d v="1899-12-30T04:47:16"/>
    <d v="1900-01-10T23:16:00"/>
  </r>
  <r>
    <d v="2021-01-17T00:00:00"/>
    <x v="4"/>
    <x v="0"/>
    <x v="16"/>
    <x v="1"/>
    <n v="383"/>
    <n v="47"/>
    <n v="43"/>
    <n v="0.91490000000000005"/>
    <n v="4"/>
    <d v="1899-12-30T00:00:37"/>
    <d v="1899-12-30T00:02:18"/>
    <d v="1899-12-30T00:03:16"/>
    <n v="0.54349999999999998"/>
    <d v="1899-12-30T01:38:54"/>
    <d v="1900-01-03T02:54:00"/>
    <d v="1899-12-30T01:48:06"/>
    <d v="1900-01-03T12:06:00"/>
  </r>
  <r>
    <d v="2021-01-18T00:00:00"/>
    <x v="5"/>
    <x v="0"/>
    <x v="17"/>
    <x v="1"/>
    <n v="384"/>
    <n v="197"/>
    <n v="186"/>
    <n v="0.94420000000000004"/>
    <n v="11"/>
    <d v="1899-12-30T00:00:28"/>
    <d v="1899-12-30T00:02:18"/>
    <d v="1899-12-30T00:02:27"/>
    <n v="0.63829999999999998"/>
    <d v="1899-12-30T07:07:48"/>
    <d v="1900-01-16T19:48:00"/>
    <d v="1899-12-30T07:33:06"/>
    <d v="1900-01-17T21:06:00"/>
  </r>
  <r>
    <d v="2021-01-19T00:00:00"/>
    <x v="6"/>
    <x v="0"/>
    <x v="18"/>
    <x v="1"/>
    <n v="385"/>
    <n v="158"/>
    <n v="146"/>
    <n v="0.92410000000000003"/>
    <n v="12"/>
    <d v="1899-12-30T00:00:31"/>
    <d v="1899-12-30T00:02:24"/>
    <d v="1899-12-30T00:03:40"/>
    <n v="0.5696"/>
    <d v="1899-12-30T05:50:24"/>
    <d v="1900-01-13T14:24:00"/>
    <d v="1899-12-30T06:19:12"/>
    <d v="1900-01-14T19:12:00"/>
  </r>
  <r>
    <d v="2021-01-20T00:00:00"/>
    <x v="0"/>
    <x v="0"/>
    <x v="19"/>
    <x v="1"/>
    <n v="386"/>
    <n v="163"/>
    <n v="151"/>
    <n v="0.9264"/>
    <n v="12"/>
    <d v="1899-12-30T00:00:28"/>
    <d v="1899-12-30T00:02:13"/>
    <d v="1899-12-30T00:04:53"/>
    <n v="0.63749999999999996"/>
    <d v="1899-12-30T05:34:43"/>
    <d v="1900-01-12T22:43:00"/>
    <d v="1899-12-30T06:01:19"/>
    <d v="1900-01-14T01:19:00"/>
  </r>
  <r>
    <d v="2021-01-21T00:00:00"/>
    <x v="1"/>
    <x v="0"/>
    <x v="20"/>
    <x v="1"/>
    <n v="387"/>
    <n v="178"/>
    <n v="160"/>
    <n v="0.89890000000000003"/>
    <n v="18"/>
    <d v="1899-12-30T00:00:35"/>
    <d v="1899-12-30T00:02:39"/>
    <d v="1899-12-30T00:04:41"/>
    <n v="0.54490000000000005"/>
    <d v="1899-12-30T07:04:00"/>
    <d v="1900-01-16T16:00:00"/>
    <d v="1899-12-30T07:51:42"/>
    <d v="1900-01-18T15:42:00"/>
  </r>
  <r>
    <d v="2021-01-22T00:00:00"/>
    <x v="2"/>
    <x v="0"/>
    <x v="21"/>
    <x v="1"/>
    <n v="388"/>
    <n v="151"/>
    <n v="128"/>
    <n v="0.84770000000000001"/>
    <n v="23"/>
    <d v="1899-12-30T00:00:35"/>
    <d v="1899-12-30T00:02:23"/>
    <d v="1899-12-30T00:05:38"/>
    <n v="0.53380000000000005"/>
    <d v="1899-12-30T05:05:04"/>
    <d v="1900-01-11T17:04:00"/>
    <d v="1899-12-30T05:59:53"/>
    <d v="1900-01-13T23:53:00"/>
  </r>
  <r>
    <d v="2021-01-23T00:00:00"/>
    <x v="3"/>
    <x v="0"/>
    <x v="22"/>
    <x v="1"/>
    <n v="389"/>
    <n v="118"/>
    <n v="106"/>
    <n v="0.89829999999999999"/>
    <n v="12"/>
    <d v="1899-12-30T00:00:33"/>
    <d v="1899-12-30T00:02:25"/>
    <d v="1899-12-30T00:04:32"/>
    <n v="0.55169999999999997"/>
    <d v="1899-12-30T04:16:10"/>
    <d v="1900-01-09T16:10:00"/>
    <d v="1899-12-30T04:45:10"/>
    <d v="1900-01-10T21:10:00"/>
  </r>
  <r>
    <d v="2021-01-24T00:00:00"/>
    <x v="4"/>
    <x v="0"/>
    <x v="23"/>
    <x v="1"/>
    <n v="390"/>
    <n v="31"/>
    <n v="28"/>
    <n v="0.9032"/>
    <n v="3"/>
    <d v="1899-12-30T00:00:40"/>
    <d v="1899-12-30T00:02:40"/>
    <d v="1899-12-30T00:03:12"/>
    <n v="0.43330000000000002"/>
    <d v="1899-12-30T01:14:40"/>
    <d v="1900-01-02T02:40:00"/>
    <d v="1899-12-30T01:22:40"/>
    <d v="1900-01-02T10:40:00"/>
  </r>
  <r>
    <d v="2021-01-25T00:00:00"/>
    <x v="5"/>
    <x v="0"/>
    <x v="24"/>
    <x v="1"/>
    <n v="391"/>
    <n v="139"/>
    <n v="134"/>
    <n v="0.96399999999999997"/>
    <n v="5"/>
    <d v="1899-12-30T00:00:31"/>
    <d v="1899-12-30T00:02:23"/>
    <d v="1899-12-30T00:02:50"/>
    <n v="0.59419999999999995"/>
    <d v="1899-12-30T05:19:22"/>
    <d v="1900-01-12T07:22:00"/>
    <d v="1899-12-30T05:31:17"/>
    <d v="1900-01-12T19:17:00"/>
  </r>
  <r>
    <d v="2021-01-26T00:00:00"/>
    <x v="6"/>
    <x v="0"/>
    <x v="25"/>
    <x v="1"/>
    <n v="392"/>
    <n v="171"/>
    <n v="154"/>
    <n v="0.90059999999999996"/>
    <n v="17"/>
    <d v="1899-12-30T00:00:27"/>
    <d v="1899-12-30T00:02:24"/>
    <d v="1899-12-30T00:06:28"/>
    <n v="0.65659999999999996"/>
    <d v="1899-12-30T06:09:36"/>
    <d v="1900-01-14T09:36:00"/>
    <d v="1899-12-30T06:50:24"/>
    <d v="1900-01-16T02:24:00"/>
  </r>
  <r>
    <d v="2021-01-27T00:00:00"/>
    <x v="0"/>
    <x v="0"/>
    <x v="26"/>
    <x v="1"/>
    <n v="393"/>
    <n v="160"/>
    <n v="156"/>
    <n v="0.97499999999999998"/>
    <n v="4"/>
    <d v="1899-12-30T00:00:27"/>
    <d v="1899-12-30T00:02:15"/>
    <d v="1899-12-30T00:01:47"/>
    <n v="0.64559999999999995"/>
    <d v="1899-12-30T05:51:00"/>
    <d v="1900-01-13T15:00:00"/>
    <d v="1899-12-30T06:00:00"/>
    <d v="1900-01-14T00:00:00"/>
  </r>
  <r>
    <d v="2021-01-28T00:00:00"/>
    <x v="1"/>
    <x v="0"/>
    <x v="27"/>
    <x v="1"/>
    <n v="394"/>
    <n v="177"/>
    <n v="169"/>
    <n v="0.95479999999999998"/>
    <n v="8"/>
    <d v="1899-12-30T00:00:29"/>
    <d v="1899-12-30T00:02:31"/>
    <d v="1899-12-30T00:03:40"/>
    <n v="0.64370000000000005"/>
    <d v="1899-12-30T07:05:19"/>
    <d v="1900-01-16T17:19:00"/>
    <d v="1899-12-30T07:25:27"/>
    <d v="1900-01-17T13:27:00"/>
  </r>
  <r>
    <d v="2021-01-29T00:00:00"/>
    <x v="2"/>
    <x v="0"/>
    <x v="28"/>
    <x v="1"/>
    <n v="395"/>
    <n v="187"/>
    <n v="180"/>
    <n v="0.96260000000000001"/>
    <n v="7"/>
    <d v="1899-12-30T00:00:26"/>
    <d v="1899-12-30T00:02:22"/>
    <d v="1899-12-30T00:05:56"/>
    <n v="0.65590000000000004"/>
    <d v="1899-12-30T07:06:00"/>
    <d v="1900-01-16T18:00:00"/>
    <d v="1899-12-30T07:22:34"/>
    <d v="1900-01-17T10:34:00"/>
  </r>
  <r>
    <d v="2021-01-30T00:00:00"/>
    <x v="3"/>
    <x v="0"/>
    <x v="29"/>
    <x v="1"/>
    <n v="396"/>
    <n v="147"/>
    <n v="138"/>
    <n v="0.93879999999999997"/>
    <n v="9"/>
    <d v="1899-12-30T00:00:26"/>
    <d v="1899-12-30T00:02:24"/>
    <d v="1899-12-30T00:05:19"/>
    <n v="0.61380000000000001"/>
    <d v="1899-12-30T05:31:12"/>
    <d v="1900-01-12T19:12:00"/>
    <d v="1899-12-30T05:52:48"/>
    <d v="1900-01-13T16:48:00"/>
  </r>
  <r>
    <d v="2021-01-31T00:00:00"/>
    <x v="4"/>
    <x v="0"/>
    <x v="30"/>
    <x v="1"/>
    <n v="397"/>
    <n v="35"/>
    <n v="35"/>
    <n v="1"/>
    <n v="0"/>
    <d v="1899-12-30T00:00:08"/>
    <d v="1899-12-30T00:02:10"/>
    <d v="1899-12-30T00:00:47"/>
    <n v="0.88570000000000004"/>
    <d v="1899-12-30T01:15:50"/>
    <d v="1900-01-02T03:50:00"/>
    <d v="1899-12-30T01:15:50"/>
    <d v="1900-01-02T03:50:00"/>
  </r>
  <r>
    <d v="2021-02-01T00:00:00"/>
    <x v="5"/>
    <x v="1"/>
    <x v="0"/>
    <x v="1"/>
    <n v="398"/>
    <n v="208"/>
    <n v="194"/>
    <n v="0.93269999999999997"/>
    <n v="14"/>
    <d v="1899-12-30T00:00:35"/>
    <d v="1899-12-30T00:02:26"/>
    <d v="1899-12-30T00:04:26"/>
    <n v="0.56930000000000003"/>
    <d v="1899-12-30T07:52:04"/>
    <d v="1900-01-18T16:04:00"/>
    <d v="1899-12-30T08:26:08"/>
    <d v="1900-01-20T02:08:00"/>
  </r>
  <r>
    <d v="2021-02-02T00:00:00"/>
    <x v="6"/>
    <x v="1"/>
    <x v="1"/>
    <x v="1"/>
    <n v="399"/>
    <n v="162"/>
    <n v="155"/>
    <n v="0.95679999999999998"/>
    <n v="7"/>
    <d v="1899-12-30T00:00:19"/>
    <d v="1899-12-30T00:02:17"/>
    <d v="1899-12-30T00:03:43"/>
    <n v="0.77990000000000004"/>
    <d v="1899-12-30T05:53:55"/>
    <d v="1900-01-13T17:55:00"/>
    <d v="1899-12-30T06:09:54"/>
    <d v="1900-01-14T09:54:00"/>
  </r>
  <r>
    <d v="2021-02-03T00:00:00"/>
    <x v="0"/>
    <x v="1"/>
    <x v="2"/>
    <x v="1"/>
    <n v="400"/>
    <n v="152"/>
    <n v="143"/>
    <n v="0.94079999999999997"/>
    <n v="9"/>
    <d v="1899-12-30T00:00:22"/>
    <d v="1899-12-30T00:02:28"/>
    <d v="1899-12-30T00:03:41"/>
    <n v="0.7"/>
    <d v="1899-12-30T05:52:44"/>
    <d v="1900-01-13T16:44:00"/>
    <d v="1899-12-30T06:14:56"/>
    <d v="1900-01-14T14:56:00"/>
  </r>
  <r>
    <d v="2021-02-04T00:00:00"/>
    <x v="1"/>
    <x v="1"/>
    <x v="3"/>
    <x v="1"/>
    <n v="401"/>
    <n v="132"/>
    <n v="125"/>
    <n v="0.94699999999999995"/>
    <n v="7"/>
    <d v="1899-12-30T00:00:26"/>
    <d v="1899-12-30T00:02:07"/>
    <d v="1899-12-30T00:03:52"/>
    <n v="0.68940000000000001"/>
    <d v="1899-12-30T04:24:35"/>
    <d v="1900-01-10T00:35:00"/>
    <d v="1899-12-30T04:39:24"/>
    <d v="1900-01-10T15:24:00"/>
  </r>
  <r>
    <d v="2021-02-05T00:00:00"/>
    <x v="2"/>
    <x v="1"/>
    <x v="4"/>
    <x v="1"/>
    <n v="402"/>
    <n v="133"/>
    <n v="131"/>
    <n v="0.98499999999999999"/>
    <n v="2"/>
    <d v="1899-12-30T00:00:12"/>
    <d v="1899-12-30T00:02:19"/>
    <d v="1899-12-30T00:01:19"/>
    <n v="0.87119999999999997"/>
    <d v="1899-12-30T05:03:29"/>
    <d v="1900-01-11T15:29:00"/>
    <d v="1899-12-30T05:08:07"/>
    <d v="1900-01-11T20:07:00"/>
  </r>
  <r>
    <d v="2021-02-06T00:00:00"/>
    <x v="3"/>
    <x v="1"/>
    <x v="5"/>
    <x v="1"/>
    <n v="403"/>
    <n v="129"/>
    <n v="121"/>
    <n v="0.93799999999999994"/>
    <n v="8"/>
    <d v="1899-12-30T00:00:33"/>
    <d v="1899-12-30T00:02:37"/>
    <d v="1899-12-30T00:04:01"/>
    <n v="0.61419999999999997"/>
    <d v="1899-12-30T05:16:37"/>
    <d v="1900-01-12T04:37:00"/>
    <d v="1899-12-30T05:37:33"/>
    <d v="1900-01-13T01:33:00"/>
  </r>
  <r>
    <d v="2021-02-07T00:00:00"/>
    <x v="4"/>
    <x v="1"/>
    <x v="6"/>
    <x v="1"/>
    <n v="404"/>
    <n v="37"/>
    <n v="35"/>
    <n v="0.94589999999999996"/>
    <n v="2"/>
    <d v="1899-12-30T00:00:19"/>
    <d v="1899-12-30T00:02:21"/>
    <d v="1899-12-30T00:01:32"/>
    <n v="0.75680000000000003"/>
    <d v="1899-12-30T01:22:15"/>
    <d v="1900-01-02T10:15:00"/>
    <d v="1899-12-30T01:26:57"/>
    <d v="1900-01-02T14:57:00"/>
  </r>
  <r>
    <d v="2021-02-08T00:00:00"/>
    <x v="5"/>
    <x v="1"/>
    <x v="7"/>
    <x v="1"/>
    <n v="405"/>
    <n v="56"/>
    <n v="54"/>
    <n v="0.96430000000000005"/>
    <n v="2"/>
    <d v="1899-12-30T00:00:13"/>
    <d v="1899-12-30T00:02:33"/>
    <d v="1899-12-30T00:02:13"/>
    <n v="0.87270000000000003"/>
    <d v="1899-12-30T02:17:42"/>
    <d v="1900-01-04T17:42:00"/>
    <d v="1899-12-30T02:22:48"/>
    <d v="1900-01-04T22:48:00"/>
  </r>
  <r>
    <d v="2021-02-09T00:00:00"/>
    <x v="6"/>
    <x v="1"/>
    <x v="8"/>
    <x v="1"/>
    <n v="406"/>
    <n v="215"/>
    <n v="210"/>
    <n v="0.97670000000000001"/>
    <n v="5"/>
    <d v="1899-12-30T00:00:12"/>
    <d v="1899-12-30T00:01:34"/>
    <d v="1899-12-30T00:01:42"/>
    <n v="0.87739999999999996"/>
    <d v="1899-12-30T05:29:00"/>
    <d v="1900-01-12T17:00:00"/>
    <d v="1899-12-30T05:36:50"/>
    <d v="1900-01-13T00:50:00"/>
  </r>
  <r>
    <d v="2021-02-10T00:00:00"/>
    <x v="0"/>
    <x v="1"/>
    <x v="9"/>
    <x v="1"/>
    <n v="407"/>
    <n v="50"/>
    <n v="46"/>
    <n v="0.92"/>
    <n v="4"/>
    <d v="1899-12-30T00:00:14"/>
    <d v="1899-12-30T00:02:42"/>
    <d v="1899-12-30T00:01:13"/>
    <n v="0.72"/>
    <d v="1899-12-30T02:04:12"/>
    <d v="1900-01-04T04:12:00"/>
    <d v="1899-12-30T02:15:00"/>
    <d v="1900-01-04T15:00:00"/>
  </r>
  <r>
    <d v="2021-02-11T00:00:00"/>
    <x v="1"/>
    <x v="1"/>
    <x v="10"/>
    <x v="1"/>
    <n v="408"/>
    <n v="136"/>
    <n v="129"/>
    <n v="0.94850000000000001"/>
    <n v="7"/>
    <d v="1899-12-30T00:00:22"/>
    <d v="1899-12-30T00:02:26"/>
    <d v="1899-12-30T00:02:30"/>
    <n v="0.66420000000000001"/>
    <d v="1899-12-30T05:13:54"/>
    <d v="1900-01-12T01:54:00"/>
    <d v="1899-12-30T05:30:56"/>
    <d v="1900-01-12T18:56:00"/>
  </r>
  <r>
    <d v="2021-02-12T00:00:00"/>
    <x v="2"/>
    <x v="1"/>
    <x v="11"/>
    <x v="1"/>
    <n v="409"/>
    <n v="160"/>
    <n v="142"/>
    <n v="0.88749999999999996"/>
    <n v="18"/>
    <d v="1899-12-30T00:00:35"/>
    <d v="1899-12-30T00:02:34"/>
    <d v="1899-12-30T00:03:10"/>
    <n v="0.55920000000000003"/>
    <d v="1899-12-30T06:04:28"/>
    <d v="1900-01-14T04:28:00"/>
    <d v="1899-12-30T06:50:40"/>
    <d v="1900-01-16T02:40:00"/>
  </r>
  <r>
    <d v="2021-02-13T00:00:00"/>
    <x v="3"/>
    <x v="1"/>
    <x v="12"/>
    <x v="1"/>
    <n v="410"/>
    <n v="132"/>
    <n v="115"/>
    <n v="0.87119999999999997"/>
    <n v="17"/>
    <d v="1899-12-30T00:00:36"/>
    <d v="1899-12-30T00:02:27"/>
    <d v="1899-12-30T00:04:35"/>
    <n v="0.4884"/>
    <d v="1899-12-30T04:41:45"/>
    <d v="1900-01-10T17:45:00"/>
    <d v="1899-12-30T05:23:24"/>
    <d v="1900-01-12T11:24:00"/>
  </r>
  <r>
    <d v="2021-02-14T00:00:00"/>
    <x v="4"/>
    <x v="1"/>
    <x v="13"/>
    <x v="1"/>
    <n v="411"/>
    <n v="30"/>
    <n v="28"/>
    <n v="0.93330000000000002"/>
    <n v="2"/>
    <d v="1899-12-30T00:00:47"/>
    <d v="1899-12-30T00:02:36"/>
    <d v="1899-12-30T00:02:22"/>
    <n v="0.4"/>
    <d v="1899-12-30T01:12:48"/>
    <d v="1900-01-02T00:48:00"/>
    <d v="1899-12-30T01:18:00"/>
    <d v="1900-01-02T06:00:00"/>
  </r>
  <r>
    <d v="2021-02-15T00:00:00"/>
    <x v="5"/>
    <x v="1"/>
    <x v="14"/>
    <x v="1"/>
    <n v="412"/>
    <n v="150"/>
    <n v="140"/>
    <n v="0.93330000000000002"/>
    <n v="10"/>
    <d v="1899-12-30T00:00:29"/>
    <d v="1899-12-30T00:02:32"/>
    <d v="1899-12-30T00:02:11"/>
    <n v="0.63090000000000002"/>
    <d v="1899-12-30T05:54:40"/>
    <d v="1900-01-13T18:40:00"/>
    <d v="1899-12-30T06:20:00"/>
    <d v="1900-01-14T20:00:00"/>
  </r>
  <r>
    <d v="2021-02-16T00:00:00"/>
    <x v="6"/>
    <x v="1"/>
    <x v="15"/>
    <x v="1"/>
    <n v="413"/>
    <n v="160"/>
    <n v="144"/>
    <n v="0.9"/>
    <n v="16"/>
    <d v="1899-12-30T00:00:46"/>
    <d v="1899-12-30T00:02:39"/>
    <d v="1899-12-30T00:04:25"/>
    <n v="0.49680000000000002"/>
    <d v="1899-12-30T06:21:36"/>
    <d v="1900-01-14T21:36:00"/>
    <d v="1899-12-30T07:04:00"/>
    <d v="1900-01-16T16:00:00"/>
  </r>
  <r>
    <d v="2021-02-17T00:00:00"/>
    <x v="0"/>
    <x v="1"/>
    <x v="16"/>
    <x v="1"/>
    <n v="414"/>
    <n v="132"/>
    <n v="122"/>
    <n v="0.92420000000000002"/>
    <n v="10"/>
    <d v="1899-12-30T00:00:37"/>
    <d v="1899-12-30T00:02:38"/>
    <d v="1899-12-30T00:03:51"/>
    <n v="0.5"/>
    <d v="1899-12-30T05:21:16"/>
    <d v="1900-01-12T09:16:00"/>
    <d v="1899-12-30T05:47:36"/>
    <d v="1900-01-13T11:36:00"/>
  </r>
  <r>
    <d v="2021-02-18T00:00:00"/>
    <x v="1"/>
    <x v="1"/>
    <x v="17"/>
    <x v="1"/>
    <n v="415"/>
    <n v="161"/>
    <n v="151"/>
    <n v="0.93789999999999996"/>
    <n v="10"/>
    <d v="1899-12-30T00:00:28"/>
    <d v="1899-12-30T00:02:07"/>
    <d v="1899-12-30T00:02:50"/>
    <n v="0.6139"/>
    <d v="1899-12-30T05:19:37"/>
    <d v="1900-01-12T07:37:00"/>
    <d v="1899-12-30T05:40:47"/>
    <d v="1900-01-13T04:47:00"/>
  </r>
  <r>
    <d v="2021-02-19T00:00:00"/>
    <x v="2"/>
    <x v="1"/>
    <x v="18"/>
    <x v="1"/>
    <n v="416"/>
    <n v="156"/>
    <n v="149"/>
    <n v="0.95509999999999995"/>
    <n v="7"/>
    <d v="1899-12-30T00:00:22"/>
    <d v="1899-12-30T00:02:28"/>
    <d v="1899-12-30T00:04:11"/>
    <n v="0.70320000000000005"/>
    <d v="1899-12-30T06:07:32"/>
    <d v="1900-01-14T07:32:00"/>
    <d v="1899-12-30T06:24:48"/>
    <d v="1900-01-15T00:48:00"/>
  </r>
  <r>
    <d v="2021-02-20T00:00:00"/>
    <x v="3"/>
    <x v="1"/>
    <x v="19"/>
    <x v="1"/>
    <n v="417"/>
    <n v="137"/>
    <n v="128"/>
    <n v="0.93430000000000002"/>
    <n v="9"/>
    <d v="1899-12-30T00:00:31"/>
    <d v="1899-12-30T00:02:30"/>
    <d v="1899-12-30T00:05:04"/>
    <n v="0.62690000000000001"/>
    <d v="1899-12-30T05:20:00"/>
    <d v="1900-01-12T08:00:00"/>
    <d v="1899-12-30T05:42:30"/>
    <d v="1900-01-13T06:30:00"/>
  </r>
  <r>
    <d v="2021-02-21T00:00:00"/>
    <x v="4"/>
    <x v="1"/>
    <x v="20"/>
    <x v="1"/>
    <n v="418"/>
    <n v="28"/>
    <n v="25"/>
    <n v="0.89290000000000003"/>
    <n v="3"/>
    <d v="1899-12-30T00:01:00"/>
    <d v="1899-12-30T00:02:47"/>
    <d v="1899-12-30T00:04:46"/>
    <n v="0.32140000000000002"/>
    <d v="1899-12-30T01:09:35"/>
    <d v="1900-01-01T21:35:00"/>
    <d v="1899-12-30T01:17:56"/>
    <d v="1900-01-02T05:56:00"/>
  </r>
  <r>
    <d v="2021-02-22T00:00:00"/>
    <x v="5"/>
    <x v="1"/>
    <x v="21"/>
    <x v="1"/>
    <n v="419"/>
    <n v="141"/>
    <n v="133"/>
    <n v="0.94330000000000003"/>
    <n v="8"/>
    <d v="1899-12-30T00:00:33"/>
    <d v="1899-12-30T00:02:42"/>
    <d v="1899-12-30T00:04:38"/>
    <n v="0.6331"/>
    <d v="1899-12-30T05:59:06"/>
    <d v="1900-01-13T23:06:00"/>
    <d v="1899-12-30T06:20:42"/>
    <d v="1900-01-14T20:42:00"/>
  </r>
  <r>
    <d v="2021-02-23T00:00:00"/>
    <x v="6"/>
    <x v="1"/>
    <x v="22"/>
    <x v="1"/>
    <n v="420"/>
    <n v="130"/>
    <n v="123"/>
    <n v="0.94620000000000004"/>
    <n v="7"/>
    <d v="1899-12-30T00:00:32"/>
    <d v="1899-12-30T00:02:40"/>
    <d v="1899-12-30T00:02:20"/>
    <n v="0.53490000000000004"/>
    <d v="1899-12-30T05:28:00"/>
    <d v="1900-01-12T16:00:00"/>
    <d v="1899-12-30T05:46:40"/>
    <d v="1900-01-13T10:40:00"/>
  </r>
  <r>
    <d v="2021-02-24T00:00:00"/>
    <x v="0"/>
    <x v="1"/>
    <x v="23"/>
    <x v="1"/>
    <n v="421"/>
    <n v="161"/>
    <n v="155"/>
    <n v="0.9627"/>
    <n v="6"/>
    <d v="1899-12-30T00:00:27"/>
    <d v="1899-12-30T00:02:43"/>
    <d v="1899-12-30T00:02:43"/>
    <n v="0.73580000000000001"/>
    <d v="1899-12-30T07:01:05"/>
    <d v="1900-01-16T13:05:00"/>
    <d v="1899-12-30T07:17:23"/>
    <d v="1900-01-17T05:23:00"/>
  </r>
  <r>
    <d v="2021-02-25T00:00:00"/>
    <x v="1"/>
    <x v="1"/>
    <x v="24"/>
    <x v="1"/>
    <n v="422"/>
    <n v="139"/>
    <n v="132"/>
    <n v="0.9496"/>
    <n v="7"/>
    <d v="1899-12-30T00:00:28"/>
    <d v="1899-12-30T00:02:40"/>
    <d v="1899-12-30T00:01:51"/>
    <n v="0.6331"/>
    <d v="1899-12-30T05:52:00"/>
    <d v="1900-01-13T16:00:00"/>
    <d v="1899-12-30T06:10:40"/>
    <d v="1900-01-14T10:40:00"/>
  </r>
  <r>
    <d v="2021-02-26T00:00:00"/>
    <x v="2"/>
    <x v="1"/>
    <x v="25"/>
    <x v="1"/>
    <n v="423"/>
    <n v="167"/>
    <n v="130"/>
    <n v="0.77839999999999998"/>
    <n v="37"/>
    <d v="1899-12-30T00:00:29"/>
    <d v="1899-12-30T00:02:34"/>
    <d v="1899-12-30T00:11:56"/>
    <n v="0.54600000000000004"/>
    <d v="1899-12-30T05:33:40"/>
    <d v="1900-01-12T21:40:00"/>
    <d v="1899-12-30T07:08:38"/>
    <d v="1900-01-16T20:38:00"/>
  </r>
  <r>
    <d v="2021-02-27T00:00:00"/>
    <x v="3"/>
    <x v="1"/>
    <x v="26"/>
    <x v="1"/>
    <n v="424"/>
    <n v="138"/>
    <n v="122"/>
    <n v="0.8841"/>
    <n v="16"/>
    <d v="1899-12-30T00:00:35"/>
    <d v="1899-12-30T00:02:49"/>
    <d v="1899-12-30T00:05:30"/>
    <n v="0.57779999999999998"/>
    <d v="1899-12-30T05:43:38"/>
    <d v="1900-01-13T07:38:00"/>
    <d v="1899-12-30T06:28:42"/>
    <d v="1900-01-15T04:42:00"/>
  </r>
  <r>
    <d v="2021-02-28T00:00:00"/>
    <x v="4"/>
    <x v="1"/>
    <x v="27"/>
    <x v="1"/>
    <n v="425"/>
    <n v="47"/>
    <n v="44"/>
    <n v="0.93620000000000003"/>
    <n v="3"/>
    <d v="1899-12-30T00:00:26"/>
    <d v="1899-12-30T00:03:11"/>
    <d v="1899-12-30T00:03:29"/>
    <n v="0.63039999999999996"/>
    <d v="1899-12-30T02:20:04"/>
    <d v="1900-01-04T20:04:00"/>
    <d v="1899-12-30T02:29:37"/>
    <d v="1900-01-05T05:37:00"/>
  </r>
  <r>
    <d v="2021-03-01T00:00:00"/>
    <x v="5"/>
    <x v="2"/>
    <x v="0"/>
    <x v="1"/>
    <n v="426"/>
    <n v="230"/>
    <n v="206"/>
    <n v="0.89570000000000005"/>
    <n v="24"/>
    <d v="1899-12-30T00:00:38"/>
    <d v="1899-12-30T00:02:34"/>
    <d v="1899-12-30T00:04:35"/>
    <n v="0.4672"/>
    <d v="1899-12-30T08:48:44"/>
    <d v="1900-01-21T00:44:00"/>
    <d v="1899-12-30T09:50:20"/>
    <d v="1900-01-23T14:20:00"/>
  </r>
  <r>
    <d v="2021-03-02T00:00:00"/>
    <x v="6"/>
    <x v="2"/>
    <x v="1"/>
    <x v="1"/>
    <n v="427"/>
    <n v="177"/>
    <n v="153"/>
    <n v="0.86439999999999995"/>
    <n v="24"/>
    <d v="1899-12-30T00:00:30"/>
    <d v="1899-12-30T00:02:53"/>
    <d v="1899-12-30T00:04:28"/>
    <n v="0.55489999999999995"/>
    <d v="1899-12-30T07:21:09"/>
    <d v="1900-01-17T09:09:00"/>
    <d v="1899-12-30T08:30:21"/>
    <d v="1900-01-20T06:21:00"/>
  </r>
  <r>
    <d v="2021-03-03T00:00:00"/>
    <x v="0"/>
    <x v="2"/>
    <x v="2"/>
    <x v="1"/>
    <n v="428"/>
    <n v="159"/>
    <n v="149"/>
    <n v="0.93710000000000004"/>
    <n v="10"/>
    <d v="1899-12-30T00:00:33"/>
    <d v="1899-12-30T00:02:40"/>
    <d v="1899-12-30T00:04:32"/>
    <n v="0.61040000000000005"/>
    <d v="1899-12-30T06:37:20"/>
    <d v="1900-01-15T13:20:00"/>
    <d v="1899-12-30T07:04:00"/>
    <d v="1900-01-16T16:00:00"/>
  </r>
  <r>
    <d v="2021-03-04T00:00:00"/>
    <x v="1"/>
    <x v="2"/>
    <x v="3"/>
    <x v="1"/>
    <n v="429"/>
    <n v="151"/>
    <n v="135"/>
    <n v="0.89400000000000002"/>
    <n v="16"/>
    <d v="1899-12-30T00:00:36"/>
    <d v="1899-12-30T00:02:32"/>
    <d v="1899-12-30T00:04:41"/>
    <n v="0.52739999999999998"/>
    <d v="1899-12-30T05:42:00"/>
    <d v="1900-01-13T06:00:00"/>
    <d v="1899-12-30T06:22:32"/>
    <d v="1900-01-14T22:32:00"/>
  </r>
  <r>
    <d v="2021-03-05T00:00:00"/>
    <x v="2"/>
    <x v="2"/>
    <x v="4"/>
    <x v="1"/>
    <n v="430"/>
    <n v="138"/>
    <n v="126"/>
    <n v="0.91300000000000003"/>
    <n v="12"/>
    <d v="1899-12-30T00:00:34"/>
    <d v="1899-12-30T00:02:17"/>
    <d v="1899-12-30T00:04:10"/>
    <n v="0.59699999999999998"/>
    <d v="1899-12-30T04:47:42"/>
    <d v="1900-01-10T23:42:00"/>
    <d v="1899-12-30T05:15:06"/>
    <d v="1900-01-12T03:06:00"/>
  </r>
  <r>
    <d v="2021-03-06T00:00:00"/>
    <x v="3"/>
    <x v="2"/>
    <x v="5"/>
    <x v="1"/>
    <n v="431"/>
    <n v="118"/>
    <n v="118"/>
    <n v="1"/>
    <n v="0"/>
    <d v="1899-12-30T00:00:26"/>
    <d v="1899-12-30T00:02:33"/>
    <d v="1899-12-30T00:01:38"/>
    <n v="0.66100000000000003"/>
    <d v="1899-12-30T05:00:54"/>
    <d v="1900-01-11T12:54:00"/>
    <d v="1899-12-30T05:00:54"/>
    <d v="1900-01-11T12:54:00"/>
  </r>
  <r>
    <d v="2021-03-07T00:00:00"/>
    <x v="4"/>
    <x v="2"/>
    <x v="6"/>
    <x v="1"/>
    <n v="432"/>
    <n v="22"/>
    <n v="21"/>
    <n v="0.95450000000000002"/>
    <n v="1"/>
    <d v="1899-12-30T00:00:42"/>
    <d v="1899-12-30T00:02:24"/>
    <d v="1899-12-30T00:02:56"/>
    <n v="0.52380000000000004"/>
    <d v="1899-12-30T00:50:24"/>
    <d v="1900-01-01T02:24:00"/>
    <d v="1899-12-30T00:52:48"/>
    <d v="1900-01-01T04:48:00"/>
  </r>
  <r>
    <d v="2021-03-08T00:00:00"/>
    <x v="5"/>
    <x v="2"/>
    <x v="7"/>
    <x v="1"/>
    <n v="433"/>
    <n v="177"/>
    <n v="156"/>
    <n v="0.88139999999999996"/>
    <n v="21"/>
    <d v="1899-12-30T00:00:42"/>
    <d v="1899-12-30T00:02:39"/>
    <d v="1899-12-30T00:03:16"/>
    <n v="0.42370000000000002"/>
    <d v="1899-12-30T06:53:24"/>
    <d v="1900-01-16T05:24:00"/>
    <d v="1899-12-30T07:49:03"/>
    <d v="1900-01-18T13:03:00"/>
  </r>
  <r>
    <d v="2021-03-09T00:00:00"/>
    <x v="6"/>
    <x v="2"/>
    <x v="8"/>
    <x v="1"/>
    <n v="434"/>
    <n v="156"/>
    <n v="147"/>
    <n v="0.94230000000000003"/>
    <n v="9"/>
    <d v="1899-12-30T00:00:29"/>
    <d v="1899-12-30T00:02:31"/>
    <d v="1899-12-30T00:03:41"/>
    <n v="0.63639999999999997"/>
    <d v="1899-12-30T06:09:57"/>
    <d v="1900-01-14T09:57:00"/>
    <d v="1899-12-30T06:32:36"/>
    <d v="1900-01-15T08:36:00"/>
  </r>
  <r>
    <d v="2021-03-10T00:00:00"/>
    <x v="0"/>
    <x v="2"/>
    <x v="9"/>
    <x v="1"/>
    <n v="435"/>
    <n v="123"/>
    <n v="121"/>
    <n v="0.98370000000000002"/>
    <n v="2"/>
    <d v="1899-12-30T00:00:26"/>
    <d v="1899-12-30T00:02:28"/>
    <d v="1899-12-30T00:03:29"/>
    <n v="0.64229999999999998"/>
    <d v="1899-12-30T04:58:28"/>
    <d v="1900-01-11T10:28:00"/>
    <d v="1899-12-30T05:03:24"/>
    <d v="1900-01-11T15:24:00"/>
  </r>
  <r>
    <d v="2021-03-11T00:00:00"/>
    <x v="1"/>
    <x v="2"/>
    <x v="10"/>
    <x v="1"/>
    <n v="436"/>
    <n v="130"/>
    <n v="125"/>
    <n v="0.96150000000000002"/>
    <n v="5"/>
    <d v="1899-12-30T00:00:26"/>
    <d v="1899-12-30T00:02:29"/>
    <d v="1899-12-30T00:03:28"/>
    <n v="0.66930000000000001"/>
    <d v="1899-12-30T05:10:25"/>
    <d v="1900-01-11T22:25:00"/>
    <d v="1899-12-30T05:22:50"/>
    <d v="1900-01-12T10:50:00"/>
  </r>
  <r>
    <d v="2021-03-12T00:00:00"/>
    <x v="2"/>
    <x v="2"/>
    <x v="11"/>
    <x v="1"/>
    <n v="437"/>
    <n v="141"/>
    <n v="134"/>
    <n v="0.95040000000000002"/>
    <n v="7"/>
    <d v="1899-12-30T00:00:39"/>
    <d v="1899-12-30T00:02:33"/>
    <d v="1899-12-30T00:03:08"/>
    <n v="0.56430000000000002"/>
    <d v="1899-12-30T05:41:42"/>
    <d v="1900-01-13T05:42:00"/>
    <d v="1899-12-30T05:59:33"/>
    <d v="1900-01-13T23:33:00"/>
  </r>
  <r>
    <d v="2021-03-13T00:00:00"/>
    <x v="3"/>
    <x v="2"/>
    <x v="12"/>
    <x v="1"/>
    <n v="438"/>
    <n v="121"/>
    <n v="113"/>
    <n v="0.93389999999999995"/>
    <n v="8"/>
    <d v="1899-12-30T00:00:38"/>
    <d v="1899-12-30T00:02:38"/>
    <d v="1899-12-30T00:04:18"/>
    <n v="0.50829999999999997"/>
    <d v="1899-12-30T04:57:34"/>
    <d v="1900-01-11T09:34:00"/>
    <d v="1899-12-30T05:18:38"/>
    <d v="1900-01-12T06:38:00"/>
  </r>
  <r>
    <d v="2021-03-14T00:00:00"/>
    <x v="4"/>
    <x v="2"/>
    <x v="13"/>
    <x v="1"/>
    <n v="439"/>
    <n v="35"/>
    <n v="31"/>
    <n v="0.88570000000000004"/>
    <n v="4"/>
    <d v="1899-12-30T00:00:34"/>
    <d v="1899-12-30T00:02:05"/>
    <d v="1899-12-30T00:04:29"/>
    <n v="0.47060000000000002"/>
    <d v="1899-12-30T01:04:35"/>
    <d v="1900-01-01T16:35:00"/>
    <d v="1899-12-30T01:12:55"/>
    <d v="1900-01-02T00:55:00"/>
  </r>
  <r>
    <d v="2021-03-15T00:00:00"/>
    <x v="5"/>
    <x v="2"/>
    <x v="14"/>
    <x v="1"/>
    <n v="440"/>
    <n v="240"/>
    <n v="226"/>
    <n v="0.94169999999999998"/>
    <n v="14"/>
    <d v="1899-12-30T00:00:36"/>
    <d v="1899-12-30T00:02:15"/>
    <d v="1899-12-30T00:04:06"/>
    <n v="0.57020000000000004"/>
    <d v="1899-12-30T08:28:30"/>
    <d v="1900-01-20T04:30:00"/>
    <d v="1899-12-30T09:00:00"/>
    <d v="1900-01-21T12:00:00"/>
  </r>
  <r>
    <d v="2021-03-16T00:00:00"/>
    <x v="6"/>
    <x v="2"/>
    <x v="15"/>
    <x v="1"/>
    <n v="441"/>
    <n v="130"/>
    <n v="118"/>
    <n v="0.90769999999999995"/>
    <n v="12"/>
    <d v="1899-12-30T00:00:32"/>
    <d v="1899-12-30T00:02:23"/>
    <d v="1899-12-30T00:03:40"/>
    <n v="0.57809999999999995"/>
    <d v="1899-12-30T04:41:14"/>
    <d v="1900-01-10T17:14:00"/>
    <d v="1899-12-30T05:09:50"/>
    <d v="1900-01-11T21:50:00"/>
  </r>
  <r>
    <d v="2021-03-17T00:00:00"/>
    <x v="0"/>
    <x v="2"/>
    <x v="16"/>
    <x v="1"/>
    <n v="442"/>
    <n v="140"/>
    <n v="130"/>
    <n v="0.92859999999999998"/>
    <n v="10"/>
    <d v="1899-12-30T00:00:29"/>
    <d v="1899-12-30T00:02:31"/>
    <d v="1899-12-30T00:07:35"/>
    <n v="0.62319999999999998"/>
    <d v="1899-12-30T05:27:10"/>
    <d v="1900-01-12T15:10:00"/>
    <d v="1899-12-30T05:52:20"/>
    <d v="1900-01-13T16:20:00"/>
  </r>
  <r>
    <d v="2021-03-18T00:00:00"/>
    <x v="1"/>
    <x v="2"/>
    <x v="17"/>
    <x v="1"/>
    <n v="443"/>
    <n v="131"/>
    <n v="111"/>
    <n v="0.84730000000000005"/>
    <n v="20"/>
    <d v="1899-12-30T00:00:38"/>
    <d v="1899-12-30T00:03:16"/>
    <d v="1899-12-30T00:09:59"/>
    <n v="0.59689999999999999"/>
    <d v="1899-12-30T06:02:36"/>
    <d v="1900-01-14T02:36:00"/>
    <d v="1899-12-30T07:07:56"/>
    <d v="1900-01-16T19:56:00"/>
  </r>
  <r>
    <d v="2021-03-19T00:00:00"/>
    <x v="2"/>
    <x v="2"/>
    <x v="18"/>
    <x v="1"/>
    <n v="444"/>
    <n v="74"/>
    <n v="74"/>
    <n v="1"/>
    <n v="0"/>
    <d v="1899-12-30T00:00:13"/>
    <d v="1899-12-30T00:02:55"/>
    <d v="1899-12-30T00:01:53"/>
    <n v="0.89190000000000003"/>
    <d v="1899-12-30T03:35:50"/>
    <d v="1900-01-07T23:50:00"/>
    <d v="1899-12-30T03:35:50"/>
    <d v="1900-01-07T23:50:00"/>
  </r>
  <r>
    <d v="2021-03-20T00:00:00"/>
    <x v="3"/>
    <x v="2"/>
    <x v="19"/>
    <x v="1"/>
    <n v="445"/>
    <n v="24"/>
    <n v="24"/>
    <n v="1"/>
    <n v="0"/>
    <d v="1899-12-30T00:00:12"/>
    <d v="1899-12-30T00:02:47"/>
    <d v="1899-12-30T00:00:57"/>
    <n v="0.83330000000000004"/>
    <d v="1899-12-30T01:06:48"/>
    <d v="1900-01-01T18:48:00"/>
    <d v="1899-12-30T01:06:48"/>
    <d v="1900-01-01T18:48:00"/>
  </r>
  <r>
    <d v="2021-03-21T00:00:00"/>
    <x v="4"/>
    <x v="2"/>
    <x v="20"/>
    <x v="1"/>
    <n v="446"/>
    <n v="11"/>
    <n v="10"/>
    <n v="0.90910000000000002"/>
    <n v="1"/>
    <d v="1899-12-30T00:00:13"/>
    <d v="1899-12-30T00:02:24"/>
    <d v="1899-12-30T00:00:55"/>
    <n v="0.81820000000000004"/>
    <d v="1899-12-30T00:24:00"/>
    <d v="1899-12-31T00:00:00"/>
    <d v="1899-12-30T00:26:24"/>
    <d v="1899-12-31T02:24:00"/>
  </r>
  <r>
    <d v="2021-03-22T00:00:00"/>
    <x v="5"/>
    <x v="2"/>
    <x v="21"/>
    <x v="1"/>
    <n v="447"/>
    <n v="28"/>
    <n v="26"/>
    <n v="0.92859999999999998"/>
    <n v="2"/>
    <d v="1899-12-30T00:00:10"/>
    <d v="1899-12-30T00:02:30"/>
    <d v="1899-12-30T00:01:26"/>
    <n v="0.81479999999999997"/>
    <d v="1899-12-30T01:05:00"/>
    <d v="1900-01-01T17:00:00"/>
    <d v="1899-12-30T01:10:00"/>
    <d v="1900-01-01T22:00:00"/>
  </r>
  <r>
    <d v="2021-03-23T00:00:00"/>
    <x v="6"/>
    <x v="2"/>
    <x v="22"/>
    <x v="1"/>
    <n v="448"/>
    <n v="43"/>
    <n v="43"/>
    <n v="1"/>
    <n v="0"/>
    <d v="1899-12-30T00:00:08"/>
    <d v="1899-12-30T00:02:23"/>
    <d v="1899-12-30T00:00:52"/>
    <n v="0.88370000000000004"/>
    <d v="1899-12-30T01:42:29"/>
    <d v="1900-01-03T06:29:00"/>
    <d v="1899-12-30T01:42:29"/>
    <d v="1900-01-03T06:29:00"/>
  </r>
  <r>
    <d v="2021-03-24T00:00:00"/>
    <x v="0"/>
    <x v="2"/>
    <x v="23"/>
    <x v="1"/>
    <n v="449"/>
    <n v="62"/>
    <n v="62"/>
    <n v="1"/>
    <n v="0"/>
    <d v="1899-12-30T00:00:17"/>
    <d v="1899-12-30T00:02:12"/>
    <d v="1899-12-30T00:01:26"/>
    <n v="0.8226"/>
    <d v="1899-12-30T02:16:24"/>
    <d v="1900-01-04T16:24:00"/>
    <d v="1899-12-30T02:16:24"/>
    <d v="1900-01-04T16:24:00"/>
  </r>
  <r>
    <d v="2021-03-25T00:00:00"/>
    <x v="1"/>
    <x v="2"/>
    <x v="24"/>
    <x v="1"/>
    <n v="450"/>
    <n v="70"/>
    <n v="69"/>
    <n v="0.98570000000000002"/>
    <n v="1"/>
    <d v="1899-12-30T00:00:22"/>
    <d v="1899-12-30T00:02:06"/>
    <d v="1899-12-30T00:08:40"/>
    <n v="0.81430000000000002"/>
    <d v="1899-12-30T02:24:54"/>
    <d v="1900-01-05T00:54:00"/>
    <d v="1899-12-30T02:27:00"/>
    <d v="1900-01-05T03:00:00"/>
  </r>
  <r>
    <d v="2021-03-26T00:00:00"/>
    <x v="2"/>
    <x v="2"/>
    <x v="25"/>
    <x v="1"/>
    <n v="451"/>
    <n v="107"/>
    <n v="97"/>
    <n v="0.90649999999999997"/>
    <n v="10"/>
    <d v="1899-12-30T00:00:21"/>
    <d v="1899-12-30T00:02:26"/>
    <d v="1899-12-30T00:02:40"/>
    <n v="0.68869999999999998"/>
    <d v="1899-12-30T03:56:02"/>
    <d v="1900-01-08T20:02:00"/>
    <d v="1899-12-30T04:20:22"/>
    <d v="1900-01-09T20:22:00"/>
  </r>
  <r>
    <d v="2021-03-27T00:00:00"/>
    <x v="3"/>
    <x v="2"/>
    <x v="26"/>
    <x v="1"/>
    <n v="452"/>
    <n v="91"/>
    <n v="85"/>
    <n v="0.93410000000000004"/>
    <n v="6"/>
    <d v="1899-12-30T00:00:30"/>
    <d v="1899-12-30T00:02:27"/>
    <d v="1899-12-30T00:05:49"/>
    <n v="0.62639999999999996"/>
    <d v="1899-12-30T03:28:15"/>
    <d v="1900-01-07T16:15:00"/>
    <d v="1899-12-30T03:42:57"/>
    <d v="1900-01-08T06:57:00"/>
  </r>
  <r>
    <d v="2021-03-28T00:00:00"/>
    <x v="4"/>
    <x v="2"/>
    <x v="27"/>
    <x v="1"/>
    <n v="453"/>
    <n v="25"/>
    <n v="25"/>
    <n v="1"/>
    <n v="0"/>
    <d v="1899-12-30T00:00:11"/>
    <d v="1899-12-30T00:02:40"/>
    <d v="1899-12-30T00:00:55"/>
    <n v="0.84"/>
    <d v="1899-12-30T01:06:40"/>
    <d v="1900-01-01T18:40:00"/>
    <d v="1899-12-30T01:06:40"/>
    <d v="1900-01-01T18:40:00"/>
  </r>
  <r>
    <d v="2021-03-29T00:00:00"/>
    <x v="5"/>
    <x v="2"/>
    <x v="28"/>
    <x v="1"/>
    <n v="454"/>
    <n v="85"/>
    <n v="79"/>
    <n v="0.9294"/>
    <n v="6"/>
    <d v="1899-12-30T00:00:24"/>
    <d v="1899-12-30T00:02:31"/>
    <d v="1899-12-30T00:03:07"/>
    <n v="0.72289999999999999"/>
    <d v="1899-12-30T03:18:49"/>
    <d v="1900-01-07T06:49:00"/>
    <d v="1899-12-30T03:33:55"/>
    <d v="1900-01-07T21:55:00"/>
  </r>
  <r>
    <d v="2021-03-30T00:00:00"/>
    <x v="6"/>
    <x v="2"/>
    <x v="29"/>
    <x v="1"/>
    <n v="455"/>
    <n v="91"/>
    <n v="83"/>
    <n v="0.91210000000000002"/>
    <n v="8"/>
    <d v="1899-12-30T00:00:26"/>
    <d v="1899-12-30T00:02:37"/>
    <d v="1899-12-30T00:03:40"/>
    <n v="0.62639999999999996"/>
    <d v="1899-12-30T03:37:11"/>
    <d v="1900-01-08T01:11:00"/>
    <d v="1899-12-30T03:58:07"/>
    <d v="1900-01-08T22:07:00"/>
  </r>
  <r>
    <d v="2021-03-31T00:00:00"/>
    <x v="0"/>
    <x v="2"/>
    <x v="30"/>
    <x v="1"/>
    <n v="456"/>
    <n v="48"/>
    <n v="46"/>
    <n v="0.95830000000000004"/>
    <n v="2"/>
    <d v="1899-12-30T00:00:11"/>
    <d v="1899-12-30T00:02:13"/>
    <d v="1899-12-30T00:01:22"/>
    <n v="0.82979999999999998"/>
    <d v="1899-12-30T01:41:58"/>
    <d v="1900-01-03T05:58:00"/>
    <d v="1899-12-30T01:46:24"/>
    <d v="1900-01-03T10:24:00"/>
  </r>
  <r>
    <d v="2021-04-01T00:00:00"/>
    <x v="1"/>
    <x v="3"/>
    <x v="0"/>
    <x v="1"/>
    <n v="457"/>
    <n v="14"/>
    <n v="11"/>
    <n v="0.78569999999999995"/>
    <n v="3"/>
    <d v="1899-12-30T00:00:18"/>
    <d v="1899-12-30T00:02:27"/>
    <d v="1899-12-30T00:02:45"/>
    <n v="0.61539999999999995"/>
    <d v="1899-12-30T00:26:57"/>
    <d v="1899-12-31T02:57:00"/>
    <d v="1899-12-30T00:34:18"/>
    <d v="1899-12-31T10:18:00"/>
  </r>
  <r>
    <d v="2021-04-02T00:00:00"/>
    <x v="2"/>
    <x v="3"/>
    <x v="1"/>
    <x v="1"/>
    <n v="458"/>
    <n v="43"/>
    <n v="42"/>
    <n v="0.97670000000000001"/>
    <n v="1"/>
    <d v="1899-12-30T00:00:22"/>
    <d v="1899-12-30T00:02:47"/>
    <d v="1899-12-30T00:03:15"/>
    <n v="0.73809999999999998"/>
    <d v="1899-12-30T01:56:54"/>
    <d v="1900-01-03T20:54:00"/>
    <d v="1899-12-30T01:59:41"/>
    <d v="1900-01-03T23:41:00"/>
  </r>
  <r>
    <d v="2021-04-03T00:00:00"/>
    <x v="3"/>
    <x v="3"/>
    <x v="2"/>
    <x v="1"/>
    <n v="459"/>
    <n v="74"/>
    <n v="69"/>
    <n v="0.93240000000000001"/>
    <n v="5"/>
    <d v="1899-12-30T00:00:23"/>
    <d v="1899-12-30T00:02:31"/>
    <d v="1899-12-30T00:04:48"/>
    <n v="0.7671"/>
    <d v="1899-12-30T02:53:39"/>
    <d v="1900-01-06T05:39:00"/>
    <d v="1899-12-30T03:06:14"/>
    <d v="1900-01-06T18:14:00"/>
  </r>
  <r>
    <d v="2021-04-04T00:00:00"/>
    <x v="4"/>
    <x v="3"/>
    <x v="3"/>
    <x v="1"/>
    <n v="460"/>
    <n v="33"/>
    <n v="33"/>
    <n v="1"/>
    <n v="0"/>
    <d v="1899-12-30T00:00:14"/>
    <d v="1899-12-30T00:02:25"/>
    <d v="1899-12-30T00:01:29"/>
    <n v="0.81820000000000004"/>
    <d v="1899-12-30T01:19:45"/>
    <d v="1900-01-02T07:45:00"/>
    <d v="1899-12-30T01:19:45"/>
    <d v="1900-01-02T07:45:00"/>
  </r>
  <r>
    <d v="2021-04-05T00:00:00"/>
    <x v="5"/>
    <x v="3"/>
    <x v="4"/>
    <x v="1"/>
    <n v="461"/>
    <n v="124"/>
    <n v="112"/>
    <n v="0.9032"/>
    <n v="12"/>
    <d v="1899-12-30T00:00:26"/>
    <d v="1899-12-30T00:02:36"/>
    <d v="1899-12-30T00:05:30"/>
    <n v="0.64749999999999996"/>
    <d v="1899-12-30T04:51:12"/>
    <d v="1900-01-11T03:12:00"/>
    <d v="1899-12-30T05:22:24"/>
    <d v="1900-01-12T10:24:00"/>
  </r>
  <r>
    <d v="2021-04-06T00:00:00"/>
    <x v="6"/>
    <x v="3"/>
    <x v="5"/>
    <x v="1"/>
    <n v="462"/>
    <n v="130"/>
    <n v="126"/>
    <n v="0.96919999999999995"/>
    <n v="4"/>
    <d v="1899-12-30T00:00:25"/>
    <d v="1899-12-30T00:02:30"/>
    <d v="1899-12-30T00:02:58"/>
    <n v="0.65890000000000004"/>
    <d v="1899-12-30T05:15:00"/>
    <d v="1900-01-12T03:00:00"/>
    <d v="1899-12-30T05:25:00"/>
    <d v="1900-01-12T13:00:00"/>
  </r>
  <r>
    <d v="2021-04-07T00:00:00"/>
    <x v="0"/>
    <x v="3"/>
    <x v="6"/>
    <x v="1"/>
    <n v="463"/>
    <n v="139"/>
    <n v="139"/>
    <n v="1"/>
    <n v="0"/>
    <d v="1899-12-30T00:00:18"/>
    <d v="1899-12-30T00:02:40"/>
    <d v="1899-12-30T00:03:03"/>
    <n v="0.77539999999999998"/>
    <d v="1899-12-30T06:10:40"/>
    <d v="1900-01-14T10:40:00"/>
    <d v="1899-12-30T06:10:40"/>
    <d v="1900-01-14T10:40:00"/>
  </r>
  <r>
    <d v="2021-04-08T00:00:00"/>
    <x v="1"/>
    <x v="3"/>
    <x v="7"/>
    <x v="1"/>
    <n v="464"/>
    <n v="138"/>
    <n v="130"/>
    <n v="0.94199999999999995"/>
    <n v="8"/>
    <d v="1899-12-30T00:00:26"/>
    <d v="1899-12-30T00:02:27"/>
    <d v="1899-12-30T00:01:52"/>
    <n v="0.61480000000000001"/>
    <d v="1899-12-30T05:18:30"/>
    <d v="1900-01-12T06:30:00"/>
    <d v="1899-12-30T05:38:06"/>
    <d v="1900-01-13T02:06:00"/>
  </r>
  <r>
    <d v="2021-04-09T00:00:00"/>
    <x v="2"/>
    <x v="3"/>
    <x v="8"/>
    <x v="1"/>
    <n v="465"/>
    <n v="125"/>
    <n v="119"/>
    <n v="0.95199999999999996"/>
    <n v="6"/>
    <d v="1899-12-30T00:00:22"/>
    <d v="1899-12-30T00:02:29"/>
    <d v="1899-12-30T00:03:40"/>
    <n v="0.68"/>
    <d v="1899-12-30T04:55:31"/>
    <d v="1900-01-11T07:31:00"/>
    <d v="1899-12-30T05:10:25"/>
    <d v="1900-01-11T22:25:00"/>
  </r>
  <r>
    <d v="2021-04-10T00:00:00"/>
    <x v="3"/>
    <x v="3"/>
    <x v="9"/>
    <x v="1"/>
    <n v="466"/>
    <n v="98"/>
    <n v="96"/>
    <n v="0.97960000000000003"/>
    <n v="2"/>
    <d v="1899-12-30T00:00:20"/>
    <d v="1899-12-30T00:02:36"/>
    <d v="1899-12-30T00:02:53"/>
    <n v="0.7732"/>
    <d v="1899-12-30T04:09:36"/>
    <d v="1900-01-09T09:36:00"/>
    <d v="1899-12-30T04:14:48"/>
    <d v="1900-01-09T14:48:00"/>
  </r>
  <r>
    <d v="2021-04-11T00:00:00"/>
    <x v="4"/>
    <x v="3"/>
    <x v="10"/>
    <x v="1"/>
    <n v="467"/>
    <n v="12"/>
    <n v="12"/>
    <n v="1"/>
    <n v="0"/>
    <d v="1899-12-30T00:00:18"/>
    <d v="1899-12-30T00:03:07"/>
    <d v="1899-12-30T00:01:36"/>
    <n v="0.83330000000000004"/>
    <d v="1899-12-30T00:37:24"/>
    <d v="1899-12-31T13:24:00"/>
    <d v="1899-12-30T00:37:24"/>
    <d v="1899-12-31T13:24:00"/>
  </r>
  <r>
    <d v="2021-04-12T00:00:00"/>
    <x v="5"/>
    <x v="3"/>
    <x v="11"/>
    <x v="1"/>
    <n v="468"/>
    <n v="119"/>
    <n v="117"/>
    <n v="0.98319999999999996"/>
    <n v="2"/>
    <d v="1899-12-30T00:00:18"/>
    <d v="1899-12-30T00:02:39"/>
    <d v="1899-12-30T00:02:43"/>
    <n v="0.78149999999999997"/>
    <d v="1899-12-30T05:10:03"/>
    <d v="1900-01-11T22:03:00"/>
    <d v="1899-12-30T05:15:21"/>
    <d v="1900-01-12T03:21:00"/>
  </r>
  <r>
    <d v="2021-04-13T00:00:00"/>
    <x v="6"/>
    <x v="3"/>
    <x v="12"/>
    <x v="1"/>
    <n v="469"/>
    <n v="100"/>
    <n v="96"/>
    <n v="0.96"/>
    <n v="4"/>
    <d v="1899-12-30T00:00:21"/>
    <d v="1899-12-30T00:02:37"/>
    <d v="1899-12-30T00:02:45"/>
    <n v="0.76"/>
    <d v="1899-12-30T04:11:12"/>
    <d v="1900-01-09T11:12:00"/>
    <d v="1899-12-30T04:21:40"/>
    <d v="1900-01-09T21:40:00"/>
  </r>
  <r>
    <d v="2021-04-14T00:00:00"/>
    <x v="0"/>
    <x v="3"/>
    <x v="13"/>
    <x v="1"/>
    <n v="470"/>
    <n v="146"/>
    <n v="133"/>
    <n v="0.91100000000000003"/>
    <n v="13"/>
    <d v="1899-12-30T00:00:31"/>
    <d v="1899-12-30T00:02:30"/>
    <d v="1899-12-30T00:03:40"/>
    <n v="0.57750000000000001"/>
    <d v="1899-12-30T05:32:30"/>
    <d v="1900-01-12T20:30:00"/>
    <d v="1899-12-30T06:05:00"/>
    <d v="1900-01-14T05:00:00"/>
  </r>
  <r>
    <d v="2021-04-15T00:00:00"/>
    <x v="1"/>
    <x v="3"/>
    <x v="14"/>
    <x v="1"/>
    <n v="471"/>
    <n v="131"/>
    <n v="127"/>
    <n v="0.96950000000000003"/>
    <n v="4"/>
    <d v="1899-12-30T00:00:22"/>
    <d v="1899-12-30T00:02:25"/>
    <d v="1899-12-30T00:02:28"/>
    <n v="0.72660000000000002"/>
    <d v="1899-12-30T05:06:55"/>
    <d v="1900-01-11T18:55:00"/>
    <d v="1899-12-30T05:16:35"/>
    <d v="1900-01-12T04:35:00"/>
  </r>
  <r>
    <d v="2021-04-16T00:00:00"/>
    <x v="2"/>
    <x v="3"/>
    <x v="15"/>
    <x v="1"/>
    <n v="472"/>
    <n v="107"/>
    <n v="104"/>
    <n v="0.97199999999999998"/>
    <n v="3"/>
    <d v="1899-12-30T00:00:08"/>
    <d v="1899-12-30T00:02:27"/>
    <d v="1899-12-30T00:01:36"/>
    <n v="0.92449999999999999"/>
    <d v="1899-12-30T04:14:48"/>
    <d v="1900-01-09T14:48:00"/>
    <d v="1899-12-30T04:22:09"/>
    <d v="1900-01-09T22:09:00"/>
  </r>
  <r>
    <d v="2021-04-17T00:00:00"/>
    <x v="3"/>
    <x v="3"/>
    <x v="16"/>
    <x v="1"/>
    <n v="473"/>
    <n v="112"/>
    <n v="105"/>
    <n v="0.9375"/>
    <n v="7"/>
    <d v="1899-12-30T00:00:24"/>
    <d v="1899-12-30T00:02:38"/>
    <d v="1899-12-30T00:04:28"/>
    <n v="0.67269999999999996"/>
    <d v="1899-12-30T04:36:30"/>
    <d v="1900-01-10T12:30:00"/>
    <d v="1899-12-30T04:54:56"/>
    <d v="1900-01-11T06:56:00"/>
  </r>
  <r>
    <d v="2021-04-18T00:00:00"/>
    <x v="4"/>
    <x v="3"/>
    <x v="17"/>
    <x v="1"/>
    <n v="474"/>
    <n v="21"/>
    <n v="21"/>
    <n v="1"/>
    <n v="0"/>
    <d v="1899-12-30T00:00:32"/>
    <d v="1899-12-30T00:02:31"/>
    <d v="1899-12-30T00:01:25"/>
    <n v="0.52380000000000004"/>
    <d v="1899-12-30T00:52:51"/>
    <d v="1900-01-01T04:51:00"/>
    <d v="1899-12-30T00:52:51"/>
    <d v="1900-01-01T04:51:00"/>
  </r>
  <r>
    <d v="2021-04-19T00:00:00"/>
    <x v="5"/>
    <x v="3"/>
    <x v="18"/>
    <x v="1"/>
    <n v="475"/>
    <n v="125"/>
    <n v="104"/>
    <n v="0.83199999999999996"/>
    <n v="21"/>
    <d v="1899-12-30T00:00:37"/>
    <d v="1899-12-30T00:02:44"/>
    <d v="1899-12-30T00:02:45"/>
    <n v="0.44629999999999997"/>
    <d v="1899-12-30T04:44:16"/>
    <d v="1900-01-10T20:16:00"/>
    <d v="1899-12-30T05:41:40"/>
    <d v="1900-01-13T05:40:00"/>
  </r>
  <r>
    <d v="2021-04-20T00:00:00"/>
    <x v="6"/>
    <x v="3"/>
    <x v="19"/>
    <x v="1"/>
    <n v="476"/>
    <n v="35"/>
    <n v="34"/>
    <n v="0.97140000000000004"/>
    <n v="1"/>
    <d v="1899-12-30T00:00:24"/>
    <d v="1899-12-30T00:02:12"/>
    <d v="1899-12-30T00:02:16"/>
    <n v="0.7429"/>
    <d v="1899-12-30T01:14:48"/>
    <d v="1900-01-02T02:48:00"/>
    <d v="1899-12-30T01:17:00"/>
    <d v="1900-01-02T05:00:00"/>
  </r>
  <r>
    <d v="2021-04-21T00:00:00"/>
    <x v="0"/>
    <x v="3"/>
    <x v="20"/>
    <x v="1"/>
    <n v="477"/>
    <n v="121"/>
    <n v="109"/>
    <n v="0.90080000000000005"/>
    <n v="12"/>
    <d v="1899-12-30T00:00:38"/>
    <d v="1899-12-30T00:02:32"/>
    <d v="1899-12-30T00:05:21"/>
    <n v="0.53779999999999994"/>
    <d v="1899-12-30T04:36:08"/>
    <d v="1900-01-10T12:08:00"/>
    <d v="1899-12-30T05:06:32"/>
    <d v="1900-01-11T18:32:00"/>
  </r>
  <r>
    <d v="2021-04-22T00:00:00"/>
    <x v="1"/>
    <x v="3"/>
    <x v="21"/>
    <x v="1"/>
    <n v="478"/>
    <n v="135"/>
    <n v="122"/>
    <n v="0.90369999999999995"/>
    <n v="13"/>
    <d v="1899-12-30T00:00:32"/>
    <d v="1899-12-30T00:02:34"/>
    <d v="1899-12-30T00:03:08"/>
    <n v="0.57579999999999998"/>
    <d v="1899-12-30T05:13:08"/>
    <d v="1900-01-12T01:08:00"/>
    <d v="1899-12-30T05:46:30"/>
    <d v="1900-01-13T10:30:00"/>
  </r>
  <r>
    <d v="2021-04-23T00:00:00"/>
    <x v="2"/>
    <x v="3"/>
    <x v="22"/>
    <x v="1"/>
    <n v="479"/>
    <n v="117"/>
    <n v="114"/>
    <n v="0.97440000000000004"/>
    <n v="3"/>
    <d v="1899-12-30T00:00:22"/>
    <d v="1899-12-30T00:02:38"/>
    <d v="1899-12-30T00:02:27"/>
    <n v="0.75860000000000005"/>
    <d v="1899-12-30T05:00:12"/>
    <d v="1900-01-11T12:12:00"/>
    <d v="1899-12-30T05:08:06"/>
    <d v="1900-01-11T20:06:00"/>
  </r>
  <r>
    <d v="2021-04-24T00:00:00"/>
    <x v="3"/>
    <x v="3"/>
    <x v="23"/>
    <x v="1"/>
    <n v="480"/>
    <n v="114"/>
    <n v="97"/>
    <n v="0.85089999999999999"/>
    <n v="17"/>
    <d v="1899-12-30T00:00:39"/>
    <d v="1899-12-30T00:02:50"/>
    <d v="1899-12-30T00:08:16"/>
    <n v="0.45129999999999998"/>
    <d v="1899-12-30T04:34:50"/>
    <d v="1900-01-10T10:50:00"/>
    <d v="1899-12-30T05:23:00"/>
    <d v="1900-01-12T11:00:00"/>
  </r>
  <r>
    <d v="2021-04-25T00:00:00"/>
    <x v="4"/>
    <x v="3"/>
    <x v="24"/>
    <x v="1"/>
    <n v="481"/>
    <n v="50"/>
    <n v="49"/>
    <n v="0.98"/>
    <n v="1"/>
    <d v="1899-12-30T00:00:35"/>
    <d v="1899-12-30T00:02:55"/>
    <d v="1899-12-30T00:02:22"/>
    <n v="0.52"/>
    <d v="1899-12-30T02:22:55"/>
    <d v="1900-01-04T22:55:00"/>
    <d v="1899-12-30T02:25:50"/>
    <d v="1900-01-05T01:50:00"/>
  </r>
  <r>
    <d v="2021-04-26T00:00:00"/>
    <x v="5"/>
    <x v="3"/>
    <x v="25"/>
    <x v="1"/>
    <n v="482"/>
    <n v="207"/>
    <n v="198"/>
    <n v="0.95650000000000002"/>
    <n v="9"/>
    <d v="1899-12-30T00:00:16"/>
    <d v="1899-12-30T00:02:43"/>
    <d v="1899-12-30T00:03:51"/>
    <n v="0.80489999999999995"/>
    <d v="1899-12-30T08:57:54"/>
    <d v="1900-01-21T09:54:00"/>
    <d v="1899-12-30T09:22:21"/>
    <d v="1900-01-22T10:21:00"/>
  </r>
  <r>
    <d v="2021-04-27T00:00:00"/>
    <x v="6"/>
    <x v="3"/>
    <x v="26"/>
    <x v="1"/>
    <n v="483"/>
    <n v="189"/>
    <n v="183"/>
    <n v="0.96830000000000005"/>
    <n v="6"/>
    <d v="1899-12-30T00:00:21"/>
    <d v="1899-12-30T00:02:31"/>
    <d v="1899-12-30T00:03:58"/>
    <n v="0.7419"/>
    <d v="1899-12-30T07:40:33"/>
    <d v="1900-01-18T04:33:00"/>
    <d v="1899-12-30T07:55:39"/>
    <d v="1900-01-18T19:39:00"/>
  </r>
  <r>
    <d v="2021-04-28T00:00:00"/>
    <x v="0"/>
    <x v="3"/>
    <x v="27"/>
    <x v="1"/>
    <n v="484"/>
    <n v="162"/>
    <n v="156"/>
    <n v="0.96299999999999997"/>
    <n v="6"/>
    <d v="1899-12-30T00:00:24"/>
    <d v="1899-12-30T00:02:22"/>
    <d v="1899-12-30T00:02:08"/>
    <n v="0.66459999999999997"/>
    <d v="1899-12-30T06:09:12"/>
    <d v="1900-01-14T09:12:00"/>
    <d v="1899-12-30T06:23:24"/>
    <d v="1900-01-14T23:24:00"/>
  </r>
  <r>
    <d v="2021-04-29T00:00:00"/>
    <x v="1"/>
    <x v="3"/>
    <x v="28"/>
    <x v="1"/>
    <n v="485"/>
    <n v="177"/>
    <n v="165"/>
    <n v="0.93220000000000003"/>
    <n v="12"/>
    <d v="1899-12-30T00:00:26"/>
    <d v="1899-12-30T00:02:31"/>
    <d v="1899-12-30T00:03:50"/>
    <n v="0.66469999999999996"/>
    <d v="1899-12-30T06:55:15"/>
    <d v="1900-01-16T07:15:00"/>
    <d v="1899-12-30T07:25:27"/>
    <d v="1900-01-17T13:27:00"/>
  </r>
  <r>
    <d v="2021-04-30T00:00:00"/>
    <x v="2"/>
    <x v="3"/>
    <x v="29"/>
    <x v="1"/>
    <n v="486"/>
    <n v="177"/>
    <n v="167"/>
    <n v="0.94350000000000001"/>
    <n v="10"/>
    <d v="1899-12-30T00:00:23"/>
    <d v="1899-12-30T00:02:35"/>
    <d v="1899-12-30T00:02:45"/>
    <n v="0.68969999999999998"/>
    <d v="1899-12-30T07:11:25"/>
    <d v="1900-01-16T23:25:00"/>
    <d v="1899-12-30T07:37:15"/>
    <d v="1900-01-18T01:15:00"/>
  </r>
  <r>
    <d v="2021-05-01T00:00:00"/>
    <x v="3"/>
    <x v="4"/>
    <x v="0"/>
    <x v="1"/>
    <n v="487"/>
    <n v="163"/>
    <n v="134"/>
    <n v="0.82210000000000005"/>
    <n v="29"/>
    <d v="1899-12-30T00:00:38"/>
    <d v="1899-12-30T00:02:42"/>
    <d v="1899-12-30T00:07:16"/>
    <n v="0.47199999999999998"/>
    <d v="1899-12-30T06:01:48"/>
    <d v="1900-01-14T01:48:00"/>
    <d v="1899-12-30T07:20:06"/>
    <d v="1900-01-17T08:06:00"/>
  </r>
  <r>
    <d v="2021-05-02T00:00:00"/>
    <x v="4"/>
    <x v="4"/>
    <x v="1"/>
    <x v="1"/>
    <n v="488"/>
    <n v="24"/>
    <n v="20"/>
    <n v="0.83330000000000004"/>
    <n v="4"/>
    <d v="1899-12-30T00:00:26"/>
    <d v="1899-12-30T00:03:23"/>
    <d v="1899-12-30T00:02:16"/>
    <n v="0.6522"/>
    <d v="1899-12-30T01:07:40"/>
    <d v="1900-01-01T19:40:00"/>
    <d v="1899-12-30T01:21:12"/>
    <d v="1900-01-02T09:12:00"/>
  </r>
  <r>
    <d v="2021-05-03T00:00:00"/>
    <x v="5"/>
    <x v="4"/>
    <x v="2"/>
    <x v="1"/>
    <n v="489"/>
    <n v="146"/>
    <n v="139"/>
    <n v="0.95209999999999995"/>
    <n v="7"/>
    <d v="1899-12-30T00:00:18"/>
    <d v="1899-12-30T00:02:34"/>
    <d v="1899-12-30T00:06:21"/>
    <n v="0.75860000000000005"/>
    <d v="1899-12-30T05:56:46"/>
    <d v="1900-01-13T20:46:00"/>
    <d v="1899-12-30T06:14:44"/>
    <d v="1900-01-14T14:44:00"/>
  </r>
  <r>
    <d v="2021-05-04T00:00:00"/>
    <x v="6"/>
    <x v="4"/>
    <x v="3"/>
    <x v="1"/>
    <n v="490"/>
    <n v="143"/>
    <n v="141"/>
    <n v="0.98599999999999999"/>
    <n v="2"/>
    <d v="1899-12-30T00:00:22"/>
    <d v="1899-12-30T00:02:45"/>
    <d v="1899-12-30T00:02:45"/>
    <n v="0.72030000000000005"/>
    <d v="1899-12-30T06:27:45"/>
    <d v="1900-01-15T03:45:00"/>
    <d v="1899-12-30T06:33:15"/>
    <d v="1900-01-15T09:15:00"/>
  </r>
  <r>
    <d v="2021-05-05T00:00:00"/>
    <x v="0"/>
    <x v="4"/>
    <x v="4"/>
    <x v="1"/>
    <n v="491"/>
    <n v="132"/>
    <n v="122"/>
    <n v="0.92420000000000002"/>
    <n v="10"/>
    <d v="1899-12-30T00:00:31"/>
    <d v="1899-12-30T00:02:28"/>
    <d v="1899-12-30T00:04:36"/>
    <n v="0.56489999999999996"/>
    <d v="1899-12-30T05:00:56"/>
    <d v="1900-01-11T12:56:00"/>
    <d v="1899-12-30T05:25:36"/>
    <d v="1900-01-12T13:36:00"/>
  </r>
  <r>
    <d v="2021-05-06T00:00:00"/>
    <x v="1"/>
    <x v="4"/>
    <x v="5"/>
    <x v="1"/>
    <n v="492"/>
    <n v="137"/>
    <n v="130"/>
    <n v="0.94889999999999997"/>
    <n v="7"/>
    <d v="1899-12-30T00:00:26"/>
    <d v="1899-12-30T00:02:25"/>
    <d v="1899-12-30T00:02:06"/>
    <n v="0.64439999999999997"/>
    <d v="1899-12-30T05:14:10"/>
    <d v="1900-01-12T02:10:00"/>
    <d v="1899-12-30T05:31:05"/>
    <d v="1900-01-12T19:05:00"/>
  </r>
  <r>
    <d v="2021-05-07T00:00:00"/>
    <x v="2"/>
    <x v="4"/>
    <x v="6"/>
    <x v="1"/>
    <n v="493"/>
    <n v="112"/>
    <n v="104"/>
    <n v="0.92859999999999998"/>
    <n v="8"/>
    <d v="1899-12-30T00:00:43"/>
    <d v="1899-12-30T00:02:37"/>
    <d v="1899-12-30T00:04:07"/>
    <n v="0.40910000000000002"/>
    <d v="1899-12-30T04:32:08"/>
    <d v="1900-01-10T08:08:00"/>
    <d v="1899-12-30T04:53:04"/>
    <d v="1900-01-11T05:04:00"/>
  </r>
  <r>
    <d v="2021-05-08T00:00:00"/>
    <x v="3"/>
    <x v="4"/>
    <x v="7"/>
    <x v="1"/>
    <n v="494"/>
    <n v="110"/>
    <n v="91"/>
    <n v="0.82730000000000004"/>
    <n v="19"/>
    <d v="1899-12-30T00:00:50"/>
    <d v="1899-12-30T00:02:38"/>
    <d v="1899-12-30T00:05:12"/>
    <n v="0.36699999999999999"/>
    <d v="1899-12-30T03:59:38"/>
    <d v="1900-01-08T23:38:00"/>
    <d v="1899-12-30T04:49:40"/>
    <d v="1900-01-11T01:40:00"/>
  </r>
  <r>
    <d v="2021-05-09T00:00:00"/>
    <x v="4"/>
    <x v="4"/>
    <x v="8"/>
    <x v="1"/>
    <n v="495"/>
    <n v="24"/>
    <n v="22"/>
    <n v="0.91669999999999996"/>
    <n v="2"/>
    <d v="1899-12-30T00:00:32"/>
    <d v="1899-12-30T00:02:14"/>
    <d v="1899-12-30T00:04:46"/>
    <n v="0.58330000000000004"/>
    <d v="1899-12-30T00:49:08"/>
    <d v="1900-01-01T01:08:00"/>
    <d v="1899-12-30T00:53:36"/>
    <d v="1900-01-01T05:36:00"/>
  </r>
  <r>
    <d v="2021-05-10T00:00:00"/>
    <x v="5"/>
    <x v="4"/>
    <x v="9"/>
    <x v="1"/>
    <n v="496"/>
    <n v="168"/>
    <n v="154"/>
    <n v="0.91669999999999996"/>
    <n v="14"/>
    <d v="1899-12-30T00:00:36"/>
    <d v="1899-12-30T00:02:44"/>
    <d v="1899-12-30T00:03:52"/>
    <n v="0.49399999999999999"/>
    <d v="1899-12-30T07:00:56"/>
    <d v="1900-01-16T12:56:00"/>
    <d v="1899-12-30T07:39:12"/>
    <d v="1900-01-18T03:12:00"/>
  </r>
  <r>
    <d v="2021-05-11T00:00:00"/>
    <x v="6"/>
    <x v="4"/>
    <x v="10"/>
    <x v="1"/>
    <n v="497"/>
    <n v="146"/>
    <n v="116"/>
    <n v="0.79449999999999998"/>
    <n v="30"/>
    <d v="1899-12-30T00:00:42"/>
    <d v="1899-12-30T00:02:28"/>
    <d v="1899-12-30T00:15:00"/>
    <n v="0.54930000000000001"/>
    <d v="1899-12-30T04:46:08"/>
    <d v="1900-01-10T22:08:00"/>
    <d v="1899-12-30T06:00:08"/>
    <d v="1900-01-14T00:08:00"/>
  </r>
  <r>
    <d v="2021-05-12T00:00:00"/>
    <x v="0"/>
    <x v="4"/>
    <x v="11"/>
    <x v="1"/>
    <n v="498"/>
    <n v="100"/>
    <n v="95"/>
    <n v="0.95"/>
    <n v="5"/>
    <d v="1899-12-30T00:00:31"/>
    <d v="1899-12-30T00:02:38"/>
    <d v="1899-12-30T00:02:53"/>
    <n v="0.56999999999999995"/>
    <d v="1899-12-30T04:10:10"/>
    <d v="1900-01-09T10:10:00"/>
    <d v="1899-12-30T04:23:20"/>
    <d v="1900-01-09T23:20:00"/>
  </r>
  <r>
    <d v="2021-05-13T00:00:00"/>
    <x v="1"/>
    <x v="4"/>
    <x v="12"/>
    <x v="1"/>
    <n v="499"/>
    <n v="144"/>
    <n v="131"/>
    <n v="0.90969999999999995"/>
    <n v="13"/>
    <d v="1899-12-30T00:00:26"/>
    <d v="1899-12-30T00:02:27"/>
    <d v="1899-12-30T00:02:37"/>
    <n v="0.63570000000000004"/>
    <d v="1899-12-30T05:20:57"/>
    <d v="1900-01-12T08:57:00"/>
    <d v="1899-12-30T05:52:48"/>
    <d v="1900-01-13T16:48:00"/>
  </r>
  <r>
    <d v="2021-05-14T00:00:00"/>
    <x v="2"/>
    <x v="4"/>
    <x v="13"/>
    <x v="1"/>
    <n v="500"/>
    <n v="110"/>
    <n v="104"/>
    <n v="0.94550000000000001"/>
    <n v="6"/>
    <d v="1899-12-30T00:00:24"/>
    <d v="1899-12-30T00:02:26"/>
    <d v="1899-12-30T00:02:22"/>
    <n v="0.64219999999999999"/>
    <d v="1899-12-30T04:13:04"/>
    <d v="1900-01-09T13:04:00"/>
    <d v="1899-12-30T04:27:40"/>
    <d v="1900-01-10T03:40:00"/>
  </r>
  <r>
    <d v="2021-05-15T00:00:00"/>
    <x v="3"/>
    <x v="4"/>
    <x v="14"/>
    <x v="1"/>
    <n v="501"/>
    <n v="126"/>
    <n v="111"/>
    <n v="0.88100000000000001"/>
    <n v="15"/>
    <d v="1899-12-30T00:00:31"/>
    <d v="1899-12-30T00:02:38"/>
    <d v="1899-12-30T00:04:36"/>
    <n v="0.52800000000000002"/>
    <d v="1899-12-30T04:52:18"/>
    <d v="1900-01-11T04:18:00"/>
    <d v="1899-12-30T05:31:48"/>
    <d v="1900-01-12T19:48:00"/>
  </r>
  <r>
    <d v="2021-05-16T00:00:00"/>
    <x v="4"/>
    <x v="4"/>
    <x v="15"/>
    <x v="1"/>
    <n v="502"/>
    <n v="24"/>
    <n v="24"/>
    <n v="1"/>
    <n v="0"/>
    <d v="1899-12-30T00:00:48"/>
    <d v="1899-12-30T00:02:54"/>
    <d v="1899-12-30T00:04:44"/>
    <n v="0.41670000000000001"/>
    <d v="1899-12-30T01:09:36"/>
    <d v="1900-01-01T21:36:00"/>
    <d v="1899-12-30T01:09:36"/>
    <d v="1900-01-01T21:36:00"/>
  </r>
  <r>
    <d v="2021-05-17T00:00:00"/>
    <x v="5"/>
    <x v="4"/>
    <x v="16"/>
    <x v="1"/>
    <n v="503"/>
    <n v="128"/>
    <n v="122"/>
    <n v="0.95309999999999995"/>
    <n v="6"/>
    <d v="1899-12-30T00:00:35"/>
    <d v="1899-12-30T00:02:59"/>
    <d v="1899-12-30T00:02:42"/>
    <n v="0.51559999999999995"/>
    <d v="1899-12-30T06:03:58"/>
    <d v="1900-01-14T03:58:00"/>
    <d v="1899-12-30T06:21:52"/>
    <d v="1900-01-14T21:52:00"/>
  </r>
  <r>
    <d v="2021-05-18T00:00:00"/>
    <x v="6"/>
    <x v="4"/>
    <x v="17"/>
    <x v="1"/>
    <n v="504"/>
    <n v="185"/>
    <n v="176"/>
    <n v="0.95140000000000002"/>
    <n v="9"/>
    <d v="1899-12-30T00:00:27"/>
    <d v="1899-12-30T00:02:23"/>
    <d v="1899-12-30T00:05:05"/>
    <n v="0.67930000000000001"/>
    <d v="1899-12-30T06:59:28"/>
    <d v="1900-01-16T11:28:00"/>
    <d v="1899-12-30T07:20:55"/>
    <d v="1900-01-17T08:55:00"/>
  </r>
  <r>
    <d v="2021-05-19T00:00:00"/>
    <x v="0"/>
    <x v="4"/>
    <x v="18"/>
    <x v="1"/>
    <n v="505"/>
    <n v="136"/>
    <n v="114"/>
    <n v="0.83819999999999995"/>
    <n v="22"/>
    <d v="1899-12-30T00:00:57"/>
    <d v="1899-12-30T00:02:25"/>
    <d v="1899-12-30T00:05:31"/>
    <n v="0.28789999999999999"/>
    <d v="1899-12-30T04:35:30"/>
    <d v="1900-01-10T11:30:00"/>
    <d v="1899-12-30T05:28:40"/>
    <d v="1900-01-12T16:40:00"/>
  </r>
  <r>
    <d v="2021-05-20T00:00:00"/>
    <x v="1"/>
    <x v="4"/>
    <x v="19"/>
    <x v="1"/>
    <n v="506"/>
    <n v="130"/>
    <n v="116"/>
    <n v="0.89229999999999998"/>
    <n v="14"/>
    <d v="1899-12-30T00:00:44"/>
    <d v="1899-12-30T00:02:41"/>
    <d v="1899-12-30T00:06:00"/>
    <n v="0.44440000000000002"/>
    <d v="1899-12-30T05:11:16"/>
    <d v="1900-01-11T23:16:00"/>
    <d v="1899-12-30T05:48:50"/>
    <d v="1900-01-13T12:50:00"/>
  </r>
  <r>
    <d v="2021-05-21T00:00:00"/>
    <x v="2"/>
    <x v="4"/>
    <x v="20"/>
    <x v="1"/>
    <n v="507"/>
    <n v="103"/>
    <n v="101"/>
    <n v="0.98060000000000003"/>
    <n v="2"/>
    <d v="1899-12-30T00:00:18"/>
    <d v="1899-12-30T00:02:42"/>
    <d v="1899-12-30T00:02:23"/>
    <n v="0.77449999999999997"/>
    <d v="1899-12-30T04:32:42"/>
    <d v="1900-01-10T08:42:00"/>
    <d v="1899-12-30T04:38:06"/>
    <d v="1900-01-10T14:06:00"/>
  </r>
  <r>
    <d v="2021-05-22T00:00:00"/>
    <x v="3"/>
    <x v="4"/>
    <x v="21"/>
    <x v="1"/>
    <n v="508"/>
    <n v="99"/>
    <n v="89"/>
    <n v="0.89900000000000002"/>
    <n v="10"/>
    <d v="1899-12-30T00:00:20"/>
    <d v="1899-12-30T00:02:27"/>
    <d v="1899-12-30T00:01:30"/>
    <n v="0.73680000000000001"/>
    <d v="1899-12-30T03:38:03"/>
    <d v="1900-01-08T02:03:00"/>
    <d v="1899-12-30T04:02:33"/>
    <d v="1900-01-09T02:33:00"/>
  </r>
  <r>
    <d v="2021-05-23T00:00:00"/>
    <x v="4"/>
    <x v="4"/>
    <x v="22"/>
    <x v="1"/>
    <n v="509"/>
    <n v="26"/>
    <n v="24"/>
    <n v="0.92310000000000003"/>
    <n v="2"/>
    <d v="1899-12-30T00:00:23"/>
    <d v="1899-12-30T00:02:00"/>
    <d v="1899-12-30T00:01:53"/>
    <n v="0.68"/>
    <d v="1899-12-30T00:48:00"/>
    <d v="1900-01-01T00:00:00"/>
    <d v="1899-12-30T00:52:00"/>
    <d v="1900-01-01T04:00:00"/>
  </r>
  <r>
    <d v="2021-05-24T00:00:00"/>
    <x v="5"/>
    <x v="4"/>
    <x v="23"/>
    <x v="1"/>
    <n v="510"/>
    <n v="95"/>
    <n v="94"/>
    <n v="0.98950000000000005"/>
    <n v="1"/>
    <d v="1899-12-30T00:00:21"/>
    <d v="1899-12-30T00:02:31"/>
    <d v="1899-12-30T00:03:34"/>
    <n v="0.75529999999999997"/>
    <d v="1899-12-30T03:56:34"/>
    <d v="1900-01-08T20:34:00"/>
    <d v="1899-12-30T03:59:05"/>
    <d v="1900-01-08T23:05:00"/>
  </r>
  <r>
    <d v="2021-05-25T00:00:00"/>
    <x v="6"/>
    <x v="4"/>
    <x v="24"/>
    <x v="1"/>
    <n v="511"/>
    <n v="136"/>
    <n v="131"/>
    <n v="0.96319999999999995"/>
    <n v="5"/>
    <d v="1899-12-30T00:00:17"/>
    <d v="1899-12-30T00:02:29"/>
    <d v="1899-12-30T00:02:21"/>
    <n v="0.81059999999999999"/>
    <d v="1899-12-30T05:25:19"/>
    <d v="1900-01-12T13:19:00"/>
    <d v="1899-12-30T05:37:44"/>
    <d v="1900-01-13T01:44:00"/>
  </r>
  <r>
    <d v="2021-05-26T00:00:00"/>
    <x v="0"/>
    <x v="4"/>
    <x v="25"/>
    <x v="1"/>
    <n v="512"/>
    <n v="37"/>
    <n v="34"/>
    <n v="0.91890000000000005"/>
    <n v="3"/>
    <d v="1899-12-30T00:00:41"/>
    <d v="1899-12-30T00:02:11"/>
    <d v="1899-12-30T00:05:46"/>
    <n v="0.64859999999999995"/>
    <d v="1899-12-30T01:14:14"/>
    <d v="1900-01-02T02:14:00"/>
    <d v="1899-12-30T01:20:47"/>
    <d v="1900-01-02T08:47:00"/>
  </r>
  <r>
    <d v="2021-05-27T00:00:00"/>
    <x v="1"/>
    <x v="4"/>
    <x v="26"/>
    <x v="1"/>
    <n v="513"/>
    <n v="105"/>
    <n v="100"/>
    <n v="0.95240000000000002"/>
    <n v="5"/>
    <d v="1899-12-30T00:00:22"/>
    <d v="1899-12-30T00:02:30"/>
    <d v="1899-12-30T00:02:12"/>
    <n v="0.7228"/>
    <d v="1899-12-30T04:10:00"/>
    <d v="1900-01-09T10:00:00"/>
    <d v="1899-12-30T04:22:30"/>
    <d v="1900-01-09T22:30:00"/>
  </r>
  <r>
    <d v="2021-05-28T00:00:00"/>
    <x v="2"/>
    <x v="4"/>
    <x v="27"/>
    <x v="1"/>
    <n v="514"/>
    <n v="100"/>
    <n v="92"/>
    <n v="0.92"/>
    <n v="8"/>
    <d v="1899-12-30T00:00:30"/>
    <d v="1899-12-30T00:02:27"/>
    <d v="1899-12-30T00:04:35"/>
    <n v="0.63270000000000004"/>
    <d v="1899-12-30T03:45:24"/>
    <d v="1900-01-08T09:24:00"/>
    <d v="1899-12-30T04:05:00"/>
    <d v="1900-01-09T05:00:00"/>
  </r>
  <r>
    <d v="2021-05-29T00:00:00"/>
    <x v="3"/>
    <x v="4"/>
    <x v="28"/>
    <x v="1"/>
    <n v="515"/>
    <n v="115"/>
    <n v="103"/>
    <n v="0.89570000000000005"/>
    <n v="12"/>
    <d v="1899-12-30T00:00:44"/>
    <d v="1899-12-30T00:02:46"/>
    <d v="1899-12-30T00:04:35"/>
    <n v="0.37169999999999997"/>
    <d v="1899-12-30T04:44:58"/>
    <d v="1900-01-10T20:58:00"/>
    <d v="1899-12-30T05:18:10"/>
    <d v="1900-01-12T06:10:00"/>
  </r>
  <r>
    <d v="2021-05-30T00:00:00"/>
    <x v="4"/>
    <x v="4"/>
    <x v="29"/>
    <x v="1"/>
    <n v="516"/>
    <n v="38"/>
    <n v="36"/>
    <n v="0.94740000000000002"/>
    <n v="2"/>
    <d v="1899-12-30T00:00:39"/>
    <d v="1899-12-30T00:02:56"/>
    <d v="1899-12-30T00:02:54"/>
    <n v="0.52629999999999999"/>
    <d v="1899-12-30T01:45:36"/>
    <d v="1900-01-03T09:36:00"/>
    <d v="1899-12-30T01:51:28"/>
    <d v="1900-01-03T15:28:00"/>
  </r>
  <r>
    <d v="2021-05-31T00:00:00"/>
    <x v="5"/>
    <x v="4"/>
    <x v="30"/>
    <x v="1"/>
    <n v="517"/>
    <n v="108"/>
    <n v="95"/>
    <n v="0.87960000000000005"/>
    <n v="13"/>
    <d v="1899-12-30T00:00:26"/>
    <d v="1899-12-30T00:02:49"/>
    <d v="1899-12-30T00:02:46"/>
    <n v="0.6381"/>
    <d v="1899-12-30T04:27:35"/>
    <d v="1900-01-10T03:35:00"/>
    <d v="1899-12-30T05:04:12"/>
    <d v="1900-01-11T16:12:00"/>
  </r>
  <r>
    <d v="2021-06-01T00:00:00"/>
    <x v="6"/>
    <x v="5"/>
    <x v="0"/>
    <x v="1"/>
    <n v="518"/>
    <n v="124"/>
    <n v="118"/>
    <n v="0.9516"/>
    <n v="6"/>
    <d v="1899-12-30T00:00:23"/>
    <d v="1899-12-30T00:02:31"/>
    <d v="1899-12-30T00:03:01"/>
    <n v="0.73770000000000002"/>
    <d v="1899-12-30T04:56:58"/>
    <d v="1900-01-11T08:58:00"/>
    <d v="1899-12-30T05:12:04"/>
    <d v="1900-01-12T00:04:00"/>
  </r>
  <r>
    <d v="2021-06-02T00:00:00"/>
    <x v="0"/>
    <x v="5"/>
    <x v="1"/>
    <x v="1"/>
    <n v="519"/>
    <n v="97"/>
    <n v="92"/>
    <n v="0.94850000000000001"/>
    <n v="5"/>
    <d v="1899-12-30T00:00:25"/>
    <d v="1899-12-30T00:02:36"/>
    <d v="1899-12-30T00:02:23"/>
    <n v="0.67710000000000004"/>
    <d v="1899-12-30T03:59:12"/>
    <d v="1900-01-08T23:12:00"/>
    <d v="1899-12-30T04:12:12"/>
    <d v="1900-01-09T12:12:00"/>
  </r>
  <r>
    <d v="2021-06-03T00:00:00"/>
    <x v="1"/>
    <x v="5"/>
    <x v="2"/>
    <x v="1"/>
    <n v="520"/>
    <n v="117"/>
    <n v="108"/>
    <n v="0.92310000000000003"/>
    <n v="9"/>
    <d v="1899-12-30T00:00:37"/>
    <d v="1899-12-30T00:01:46"/>
    <d v="1899-12-30T00:04:03"/>
    <n v="0.48670000000000002"/>
    <d v="1899-12-30T03:10:48"/>
    <d v="1900-01-06T22:48:00"/>
    <d v="1899-12-30T03:26:42"/>
    <d v="1900-01-07T14:42:00"/>
  </r>
  <r>
    <d v="2021-06-04T00:00:00"/>
    <x v="2"/>
    <x v="5"/>
    <x v="3"/>
    <x v="1"/>
    <n v="521"/>
    <n v="34"/>
    <n v="31"/>
    <n v="0.91180000000000005"/>
    <n v="3"/>
    <d v="1899-12-30T00:00:27"/>
    <d v="1899-12-30T00:02:37"/>
    <d v="1899-12-30T00:02:32"/>
    <n v="0.64710000000000001"/>
    <d v="1899-12-30T01:21:07"/>
    <d v="1900-01-02T09:07:00"/>
    <d v="1899-12-30T01:28:58"/>
    <d v="1900-01-02T16:58:00"/>
  </r>
  <r>
    <d v="2021-06-05T00:00:00"/>
    <x v="3"/>
    <x v="5"/>
    <x v="4"/>
    <x v="1"/>
    <n v="522"/>
    <n v="53"/>
    <n v="50"/>
    <n v="0.94340000000000002"/>
    <n v="3"/>
    <d v="1899-12-30T00:00:28"/>
    <d v="1899-12-30T00:02:11"/>
    <d v="1899-12-30T00:03:16"/>
    <n v="0.66039999999999999"/>
    <d v="1899-12-30T01:49:10"/>
    <d v="1900-01-03T13:10:00"/>
    <d v="1899-12-30T01:55:43"/>
    <d v="1900-01-03T19:43:00"/>
  </r>
  <r>
    <d v="2021-06-06T00:00:00"/>
    <x v="4"/>
    <x v="5"/>
    <x v="5"/>
    <x v="1"/>
    <n v="523"/>
    <n v="29"/>
    <n v="23"/>
    <n v="0.79310000000000003"/>
    <n v="6"/>
    <d v="1899-12-30T00:00:42"/>
    <d v="1899-12-30T00:02:47"/>
    <d v="1899-12-30T00:03:40"/>
    <n v="0.32140000000000002"/>
    <d v="1899-12-30T01:04:01"/>
    <d v="1900-01-01T16:01:00"/>
    <d v="1899-12-30T01:20:43"/>
    <d v="1900-01-02T08:43:00"/>
  </r>
  <r>
    <d v="2021-06-07T00:00:00"/>
    <x v="5"/>
    <x v="5"/>
    <x v="6"/>
    <x v="1"/>
    <n v="524"/>
    <n v="120"/>
    <n v="107"/>
    <n v="0.89170000000000005"/>
    <n v="13"/>
    <d v="1899-12-30T00:00:34"/>
    <d v="1899-12-30T00:02:39"/>
    <d v="1899-12-30T00:03:21"/>
    <n v="0.44069999999999998"/>
    <d v="1899-12-30T04:43:33"/>
    <d v="1900-01-10T19:33:00"/>
    <d v="1899-12-30T05:18:00"/>
    <d v="1900-01-12T06:00:00"/>
  </r>
  <r>
    <d v="2021-06-08T00:00:00"/>
    <x v="6"/>
    <x v="5"/>
    <x v="7"/>
    <x v="1"/>
    <n v="525"/>
    <n v="107"/>
    <n v="100"/>
    <n v="0.93459999999999999"/>
    <n v="7"/>
    <d v="1899-12-30T00:00:33"/>
    <d v="1899-12-30T00:02:33"/>
    <d v="1899-12-30T00:02:08"/>
    <n v="0.51429999999999998"/>
    <d v="1899-12-30T04:15:00"/>
    <d v="1900-01-09T15:00:00"/>
    <d v="1899-12-30T04:32:51"/>
    <d v="1900-01-10T08:51:00"/>
  </r>
  <r>
    <d v="2021-06-09T00:00:00"/>
    <x v="0"/>
    <x v="5"/>
    <x v="8"/>
    <x v="1"/>
    <n v="526"/>
    <n v="173"/>
    <n v="159"/>
    <n v="0.91910000000000003"/>
    <n v="14"/>
    <d v="1899-12-30T00:00:47"/>
    <d v="1899-12-30T00:02:44"/>
    <d v="1899-12-30T00:05:30"/>
    <n v="0.39410000000000001"/>
    <d v="1899-12-30T07:14:36"/>
    <d v="1900-01-17T02:36:00"/>
    <d v="1899-12-30T07:52:52"/>
    <d v="1900-01-18T16:52:00"/>
  </r>
  <r>
    <d v="2021-06-10T00:00:00"/>
    <x v="1"/>
    <x v="5"/>
    <x v="9"/>
    <x v="1"/>
    <n v="527"/>
    <n v="256"/>
    <n v="213"/>
    <n v="0.83199999999999996"/>
    <n v="43"/>
    <d v="1899-12-30T00:00:44"/>
    <d v="1899-12-30T00:02:45"/>
    <d v="1899-12-30T00:05:18"/>
    <n v="0.41699999999999998"/>
    <d v="1899-12-30T09:45:45"/>
    <d v="1900-01-23T09:45:00"/>
    <d v="1899-12-30T11:44:00"/>
    <d v="1900-01-28T08:00:00"/>
  </r>
  <r>
    <d v="2021-06-11T00:00:00"/>
    <x v="2"/>
    <x v="5"/>
    <x v="10"/>
    <x v="1"/>
    <n v="528"/>
    <n v="199"/>
    <n v="174"/>
    <n v="0.87439999999999996"/>
    <n v="25"/>
    <d v="1899-12-30T00:00:36"/>
    <d v="1899-12-30T00:02:35"/>
    <d v="1899-12-30T00:04:35"/>
    <n v="0.53059999999999996"/>
    <d v="1899-12-30T07:29:30"/>
    <d v="1900-01-17T17:30:00"/>
    <d v="1899-12-30T08:34:05"/>
    <d v="1900-01-20T10:05:00"/>
  </r>
  <r>
    <d v="2021-06-12T00:00:00"/>
    <x v="3"/>
    <x v="5"/>
    <x v="11"/>
    <x v="1"/>
    <n v="529"/>
    <n v="182"/>
    <n v="170"/>
    <n v="0.93410000000000004"/>
    <n v="12"/>
    <d v="1899-12-30T00:00:40"/>
    <d v="1899-12-30T00:02:44"/>
    <d v="1899-12-30T00:03:27"/>
    <n v="0.45810000000000001"/>
    <d v="1899-12-30T07:44:40"/>
    <d v="1900-01-18T08:40:00"/>
    <d v="1899-12-30T08:17:28"/>
    <d v="1900-01-19T17:28:00"/>
  </r>
  <r>
    <d v="2021-06-13T00:00:00"/>
    <x v="4"/>
    <x v="5"/>
    <x v="12"/>
    <x v="1"/>
    <n v="530"/>
    <n v="42"/>
    <n v="41"/>
    <n v="0.97619999999999996"/>
    <n v="1"/>
    <d v="1899-12-30T00:00:42"/>
    <d v="1899-12-30T00:02:53"/>
    <d v="1899-12-30T00:03:40"/>
    <n v="0.56100000000000005"/>
    <d v="1899-12-30T01:58:13"/>
    <d v="1900-01-03T22:13:00"/>
    <d v="1899-12-30T02:01:06"/>
    <d v="1900-01-04T01:06:00"/>
  </r>
  <r>
    <d v="2021-06-14T00:00:00"/>
    <x v="5"/>
    <x v="5"/>
    <x v="13"/>
    <x v="1"/>
    <n v="531"/>
    <n v="181"/>
    <n v="168"/>
    <n v="0.92820000000000003"/>
    <n v="13"/>
    <d v="1899-12-30T00:00:34"/>
    <d v="1899-12-30T00:02:35"/>
    <d v="1899-12-30T00:02:43"/>
    <n v="0.51690000000000003"/>
    <d v="1899-12-30T07:14:00"/>
    <d v="1900-01-17T02:00:00"/>
    <d v="1899-12-30T07:47:35"/>
    <d v="1900-01-18T11:35:00"/>
  </r>
  <r>
    <d v="2021-06-15T00:00:00"/>
    <x v="6"/>
    <x v="5"/>
    <x v="14"/>
    <x v="1"/>
    <n v="532"/>
    <n v="159"/>
    <n v="147"/>
    <n v="0.92449999999999999"/>
    <n v="12"/>
    <d v="1899-12-30T00:00:30"/>
    <d v="1899-12-30T00:02:36"/>
    <d v="1899-12-30T00:04:39"/>
    <n v="0.58709999999999996"/>
    <d v="1899-12-30T06:22:12"/>
    <d v="1900-01-14T22:12:00"/>
    <d v="1899-12-30T06:53:24"/>
    <d v="1900-01-16T05:24:00"/>
  </r>
  <r>
    <d v="2021-06-16T00:00:00"/>
    <x v="0"/>
    <x v="5"/>
    <x v="15"/>
    <x v="1"/>
    <n v="533"/>
    <n v="142"/>
    <n v="134"/>
    <n v="0.94369999999999998"/>
    <n v="8"/>
    <d v="1899-12-30T00:00:26"/>
    <d v="1899-12-30T00:02:50"/>
    <d v="1899-12-30T00:01:50"/>
    <n v="0.61870000000000003"/>
    <d v="1899-12-30T06:19:40"/>
    <d v="1900-01-14T19:40:00"/>
    <d v="1899-12-30T06:42:20"/>
    <d v="1900-01-15T18:20:00"/>
  </r>
  <r>
    <d v="2021-06-17T00:00:00"/>
    <x v="1"/>
    <x v="5"/>
    <x v="16"/>
    <x v="1"/>
    <n v="534"/>
    <n v="194"/>
    <n v="163"/>
    <n v="0.84019999999999995"/>
    <n v="31"/>
    <d v="1899-12-30T00:00:30"/>
    <d v="1899-12-30T00:02:38"/>
    <d v="1899-12-30T00:05:31"/>
    <n v="0.51039999999999996"/>
    <d v="1899-12-30T07:09:14"/>
    <d v="1900-01-16T21:14:00"/>
    <d v="1899-12-30T08:30:52"/>
    <d v="1900-01-20T06:52:00"/>
  </r>
  <r>
    <d v="2021-06-18T00:00:00"/>
    <x v="2"/>
    <x v="5"/>
    <x v="17"/>
    <x v="1"/>
    <n v="535"/>
    <n v="235"/>
    <n v="210"/>
    <n v="0.89359999999999995"/>
    <n v="25"/>
    <d v="1899-12-30T00:00:38"/>
    <d v="1899-12-30T00:02:53"/>
    <d v="1899-12-30T00:04:35"/>
    <n v="0.48899999999999999"/>
    <d v="1899-12-30T10:05:30"/>
    <d v="1900-01-24T05:30:00"/>
    <d v="1899-12-30T11:17:35"/>
    <d v="1900-01-27T05:35:00"/>
  </r>
  <r>
    <d v="2021-06-19T00:00:00"/>
    <x v="3"/>
    <x v="5"/>
    <x v="18"/>
    <x v="1"/>
    <n v="536"/>
    <n v="206"/>
    <n v="180"/>
    <n v="0.87380000000000002"/>
    <n v="26"/>
    <d v="1899-12-30T00:00:51"/>
    <d v="1899-12-30T00:02:47"/>
    <d v="1899-12-30T00:07:03"/>
    <n v="0.3861"/>
    <d v="1899-12-30T08:21:00"/>
    <d v="1900-01-19T21:00:00"/>
    <d v="1899-12-30T09:33:22"/>
    <d v="1900-01-22T21:22:00"/>
  </r>
  <r>
    <d v="2021-06-20T00:00:00"/>
    <x v="4"/>
    <x v="5"/>
    <x v="19"/>
    <x v="1"/>
    <n v="537"/>
    <n v="58"/>
    <n v="47"/>
    <n v="0.81030000000000002"/>
    <n v="11"/>
    <d v="1899-12-30T00:00:48"/>
    <d v="1899-12-30T00:02:36"/>
    <d v="1899-12-30T00:04:35"/>
    <n v="0.42109999999999997"/>
    <d v="1899-12-30T02:02:12"/>
    <d v="1900-01-04T02:12:00"/>
    <d v="1899-12-30T02:30:48"/>
    <d v="1900-01-05T06:48:00"/>
  </r>
  <r>
    <d v="2021-06-21T00:00:00"/>
    <x v="5"/>
    <x v="5"/>
    <x v="20"/>
    <x v="1"/>
    <n v="538"/>
    <n v="212"/>
    <n v="194"/>
    <n v="0.91510000000000002"/>
    <n v="18"/>
    <d v="1899-12-30T00:00:38"/>
    <d v="1899-12-30T00:02:33"/>
    <d v="1899-12-30T00:04:21"/>
    <n v="0.51200000000000001"/>
    <d v="1899-12-30T08:14:42"/>
    <d v="1900-01-19T14:42:00"/>
    <d v="1899-12-30T09:00:36"/>
    <d v="1900-01-21T12:36:00"/>
  </r>
  <r>
    <d v="2021-06-22T00:00:00"/>
    <x v="6"/>
    <x v="5"/>
    <x v="21"/>
    <x v="1"/>
    <n v="539"/>
    <n v="232"/>
    <n v="214"/>
    <n v="0.9224"/>
    <n v="18"/>
    <d v="1899-12-30T00:00:34"/>
    <d v="1899-12-30T00:02:36"/>
    <d v="1899-12-30T00:05:30"/>
    <n v="0.55900000000000005"/>
    <d v="1899-12-30T09:16:24"/>
    <d v="1900-01-22T04:24:00"/>
    <d v="1899-12-30T10:03:12"/>
    <d v="1900-01-24T03:12:00"/>
  </r>
  <r>
    <d v="2021-06-23T00:00:00"/>
    <x v="0"/>
    <x v="5"/>
    <x v="22"/>
    <x v="1"/>
    <n v="540"/>
    <n v="348"/>
    <n v="327"/>
    <n v="0.93969999999999998"/>
    <n v="21"/>
    <d v="1899-12-30T00:00:32"/>
    <d v="1899-12-30T00:02:28"/>
    <d v="1899-12-30T00:07:20"/>
    <n v="0.54620000000000002"/>
    <d v="1899-12-30T13:26:36"/>
    <d v="1900-02-01T14:36:00"/>
    <d v="1899-12-30T14:18:24"/>
    <d v="1900-02-03T18:24:00"/>
  </r>
  <r>
    <d v="2021-06-24T00:00:00"/>
    <x v="1"/>
    <x v="5"/>
    <x v="23"/>
    <x v="1"/>
    <n v="541"/>
    <n v="167"/>
    <n v="156"/>
    <n v="0.93410000000000004"/>
    <n v="11"/>
    <d v="1899-12-30T00:00:32"/>
    <d v="1899-12-30T00:02:43"/>
    <d v="1899-12-30T00:02:57"/>
    <n v="0.56789999999999996"/>
    <d v="1899-12-30T07:03:48"/>
    <d v="1900-01-16T15:48:00"/>
    <d v="1899-12-30T07:33:41"/>
    <d v="1900-01-17T21:41:00"/>
  </r>
  <r>
    <d v="2021-06-25T00:00:00"/>
    <x v="2"/>
    <x v="5"/>
    <x v="24"/>
    <x v="1"/>
    <n v="542"/>
    <n v="167"/>
    <n v="157"/>
    <n v="0.94010000000000005"/>
    <n v="10"/>
    <d v="1899-12-30T00:00:27"/>
    <d v="1899-12-30T00:02:57"/>
    <d v="1899-12-30T00:05:19"/>
    <n v="0.67479999999999996"/>
    <d v="1899-12-30T07:43:09"/>
    <d v="1900-01-18T07:09:00"/>
    <d v="1899-12-30T08:12:39"/>
    <d v="1900-01-19T12:39:00"/>
  </r>
  <r>
    <d v="2021-06-26T00:00:00"/>
    <x v="3"/>
    <x v="5"/>
    <x v="25"/>
    <x v="1"/>
    <n v="543"/>
    <n v="166"/>
    <n v="161"/>
    <n v="0.96989999999999998"/>
    <n v="5"/>
    <d v="1899-12-30T00:00:21"/>
    <d v="1899-12-30T00:02:45"/>
    <d v="1899-12-30T00:01:32"/>
    <n v="0.73329999999999995"/>
    <d v="1899-12-30T07:22:45"/>
    <d v="1900-01-17T10:45:00"/>
    <d v="1899-12-30T07:36:30"/>
    <d v="1900-01-18T00:30:00"/>
  </r>
  <r>
    <d v="2021-06-27T00:00:00"/>
    <x v="4"/>
    <x v="5"/>
    <x v="26"/>
    <x v="1"/>
    <n v="544"/>
    <n v="32"/>
    <n v="28"/>
    <n v="0.875"/>
    <n v="4"/>
    <d v="1899-12-30T00:00:22"/>
    <d v="1899-12-30T00:02:43"/>
    <d v="1899-12-30T00:07:35"/>
    <n v="0.6452"/>
    <d v="1899-12-30T01:16:04"/>
    <d v="1900-01-02T04:04:00"/>
    <d v="1899-12-30T01:26:56"/>
    <d v="1900-01-02T14:56:00"/>
  </r>
  <r>
    <d v="2021-06-28T00:00:00"/>
    <x v="5"/>
    <x v="5"/>
    <x v="27"/>
    <x v="1"/>
    <n v="545"/>
    <n v="52"/>
    <n v="49"/>
    <n v="0.94230000000000003"/>
    <n v="3"/>
    <d v="1899-12-30T00:00:32"/>
    <d v="1899-12-30T00:02:58"/>
    <d v="1899-12-30T00:03:02"/>
    <n v="0.63460000000000005"/>
    <d v="1899-12-30T02:25:22"/>
    <d v="1900-01-05T01:22:00"/>
    <d v="1899-12-30T02:34:16"/>
    <d v="1900-01-05T10:16:00"/>
  </r>
  <r>
    <d v="2021-06-29T00:00:00"/>
    <x v="6"/>
    <x v="5"/>
    <x v="28"/>
    <x v="1"/>
    <n v="546"/>
    <n v="154"/>
    <n v="149"/>
    <n v="0.96750000000000003"/>
    <n v="5"/>
    <d v="1899-12-30T00:00:26"/>
    <d v="1899-12-30T00:02:52"/>
    <d v="1899-12-30T00:01:50"/>
    <n v="0.64900000000000002"/>
    <d v="1899-12-30T07:07:08"/>
    <d v="1900-01-16T19:08:00"/>
    <d v="1899-12-30T07:21:28"/>
    <d v="1900-01-17T09:28:00"/>
  </r>
  <r>
    <d v="2021-06-30T00:00:00"/>
    <x v="0"/>
    <x v="5"/>
    <x v="29"/>
    <x v="1"/>
    <n v="547"/>
    <n v="223"/>
    <n v="218"/>
    <n v="0.97760000000000002"/>
    <n v="5"/>
    <d v="1899-12-30T00:00:18"/>
    <d v="1899-12-30T00:02:07"/>
    <d v="1899-12-30T00:02:00"/>
    <n v="0.80089999999999995"/>
    <d v="1899-12-30T07:41:26"/>
    <d v="1900-01-18T05:26:00"/>
    <d v="1899-12-30T07:52:01"/>
    <d v="1900-01-18T16:01:00"/>
  </r>
  <r>
    <d v="2021-07-01T00:00:00"/>
    <x v="1"/>
    <x v="6"/>
    <x v="0"/>
    <x v="1"/>
    <n v="548"/>
    <n v="170"/>
    <n v="157"/>
    <n v="0.92349999999999999"/>
    <n v="13"/>
    <d v="1899-12-30T00:00:17"/>
    <d v="1899-12-30T00:03:04"/>
    <d v="1899-12-30T00:06:25"/>
    <n v="0.78439999999999999"/>
    <d v="1899-12-30T08:01:28"/>
    <d v="1900-01-19T01:28:00"/>
    <d v="1899-12-30T08:41:20"/>
    <d v="1900-01-20T17:20:00"/>
  </r>
  <r>
    <d v="2021-07-02T00:00:00"/>
    <x v="2"/>
    <x v="6"/>
    <x v="1"/>
    <x v="1"/>
    <n v="549"/>
    <n v="145"/>
    <n v="133"/>
    <n v="0.91720000000000002"/>
    <n v="12"/>
    <d v="1899-12-30T00:00:26"/>
    <d v="1899-12-30T00:02:56"/>
    <d v="1899-12-30T00:03:39"/>
    <n v="0.69230000000000003"/>
    <d v="1899-12-30T06:30:08"/>
    <d v="1900-01-15T06:08:00"/>
    <d v="1899-12-30T07:05:20"/>
    <d v="1900-01-16T17:20:00"/>
  </r>
  <r>
    <d v="2021-07-03T00:00:00"/>
    <x v="3"/>
    <x v="6"/>
    <x v="2"/>
    <x v="1"/>
    <n v="550"/>
    <n v="144"/>
    <n v="138"/>
    <n v="0.95830000000000004"/>
    <n v="6"/>
    <d v="1899-12-30T00:00:17"/>
    <d v="1899-12-30T00:02:53"/>
    <d v="1899-12-30T00:02:45"/>
    <n v="0.83799999999999997"/>
    <d v="1899-12-30T06:37:54"/>
    <d v="1900-01-15T13:54:00"/>
    <d v="1899-12-30T06:55:12"/>
    <d v="1900-01-16T07:12:00"/>
  </r>
  <r>
    <d v="2021-07-04T00:00:00"/>
    <x v="4"/>
    <x v="6"/>
    <x v="3"/>
    <x v="1"/>
    <n v="551"/>
    <n v="16"/>
    <n v="15"/>
    <n v="0.9375"/>
    <n v="1"/>
    <d v="1899-12-30T00:00:17"/>
    <d v="1899-12-30T00:03:00"/>
    <d v="1899-12-30T00:02:45"/>
    <n v="0.6875"/>
    <d v="1899-12-30T00:45:00"/>
    <d v="1899-12-31T21:00:00"/>
    <d v="1899-12-30T00:48:00"/>
    <d v="1900-01-01T00:00:00"/>
  </r>
  <r>
    <d v="2021-07-05T00:00:00"/>
    <x v="5"/>
    <x v="6"/>
    <x v="4"/>
    <x v="1"/>
    <n v="552"/>
    <n v="135"/>
    <n v="131"/>
    <n v="0.97040000000000004"/>
    <n v="4"/>
    <d v="1899-12-30T00:00:20"/>
    <d v="1899-12-30T00:02:37"/>
    <d v="1899-12-30T00:02:00"/>
    <n v="0.76119999999999999"/>
    <d v="1899-12-30T05:42:47"/>
    <d v="1900-01-13T06:47:00"/>
    <d v="1899-12-30T05:53:15"/>
    <d v="1900-01-13T17:15:00"/>
  </r>
  <r>
    <d v="2021-07-06T00:00:00"/>
    <x v="6"/>
    <x v="6"/>
    <x v="5"/>
    <x v="1"/>
    <n v="553"/>
    <n v="137"/>
    <n v="133"/>
    <n v="0.9708"/>
    <n v="4"/>
    <d v="1899-12-30T00:00:24"/>
    <d v="1899-12-30T00:02:49"/>
    <d v="1899-12-30T00:02:46"/>
    <n v="0.69120000000000004"/>
    <d v="1899-12-30T06:14:37"/>
    <d v="1900-01-14T14:37:00"/>
    <d v="1899-12-30T06:25:53"/>
    <d v="1900-01-15T01:53:00"/>
  </r>
  <r>
    <d v="2021-07-07T00:00:00"/>
    <x v="0"/>
    <x v="6"/>
    <x v="6"/>
    <x v="1"/>
    <n v="554"/>
    <n v="149"/>
    <n v="144"/>
    <n v="0.96640000000000004"/>
    <n v="5"/>
    <d v="1899-12-30T00:00:17"/>
    <d v="1899-12-30T00:02:39"/>
    <d v="1899-12-30T00:02:02"/>
    <n v="0.8276"/>
    <d v="1899-12-30T06:21:36"/>
    <d v="1900-01-14T21:36:00"/>
    <d v="1899-12-30T06:34:51"/>
    <d v="1900-01-15T10:51:00"/>
  </r>
  <r>
    <d v="2021-07-08T00:00:00"/>
    <x v="1"/>
    <x v="6"/>
    <x v="7"/>
    <x v="1"/>
    <n v="555"/>
    <n v="155"/>
    <n v="143"/>
    <n v="0.92259999999999998"/>
    <n v="12"/>
    <d v="1899-12-30T00:00:16"/>
    <d v="1899-12-30T00:02:41"/>
    <d v="1899-12-30T00:06:25"/>
    <n v="0.8014"/>
    <d v="1899-12-30T06:23:43"/>
    <d v="1900-01-14T23:43:00"/>
    <d v="1899-12-30T06:55:55"/>
    <d v="1900-01-16T07:55:00"/>
  </r>
  <r>
    <d v="2021-07-09T00:00:00"/>
    <x v="2"/>
    <x v="6"/>
    <x v="8"/>
    <x v="1"/>
    <n v="556"/>
    <n v="128"/>
    <n v="121"/>
    <n v="0.94530000000000003"/>
    <n v="7"/>
    <d v="1899-12-30T00:00:19"/>
    <d v="1899-12-30T00:02:55"/>
    <d v="1899-12-30T00:04:35"/>
    <n v="0.77780000000000005"/>
    <d v="1899-12-30T05:52:55"/>
    <d v="1900-01-13T16:55:00"/>
    <d v="1899-12-30T06:13:20"/>
    <d v="1900-01-14T13:20:00"/>
  </r>
  <r>
    <d v="2021-07-10T00:00:00"/>
    <x v="3"/>
    <x v="6"/>
    <x v="9"/>
    <x v="1"/>
    <n v="557"/>
    <n v="134"/>
    <n v="125"/>
    <n v="0.93279999999999996"/>
    <n v="9"/>
    <d v="1899-12-30T00:00:21"/>
    <d v="1899-12-30T00:02:38"/>
    <d v="1899-12-30T00:03:18"/>
    <n v="0.72519999999999996"/>
    <d v="1899-12-30T05:29:10"/>
    <d v="1900-01-12T17:10:00"/>
    <d v="1899-12-30T05:52:52"/>
    <d v="1900-01-13T16:52:00"/>
  </r>
  <r>
    <d v="2021-07-11T00:00:00"/>
    <x v="4"/>
    <x v="6"/>
    <x v="10"/>
    <x v="1"/>
    <n v="558"/>
    <n v="21"/>
    <n v="21"/>
    <n v="1"/>
    <n v="0"/>
    <d v="1899-12-30T00:00:23"/>
    <d v="1899-12-30T00:02:37"/>
    <d v="1899-12-30T00:02:50"/>
    <n v="0.76190000000000002"/>
    <d v="1899-12-30T00:54:57"/>
    <d v="1900-01-01T06:57:00"/>
    <d v="1899-12-30T00:54:57"/>
    <d v="1900-01-01T06:57:00"/>
  </r>
  <r>
    <d v="2021-07-12T00:00:00"/>
    <x v="5"/>
    <x v="6"/>
    <x v="11"/>
    <x v="1"/>
    <n v="559"/>
    <n v="150"/>
    <n v="138"/>
    <n v="0.92"/>
    <n v="12"/>
    <d v="1899-12-30T00:00:30"/>
    <d v="1899-12-30T00:02:52"/>
    <d v="1899-12-30T00:04:16"/>
    <n v="0.5867"/>
    <d v="1899-12-30T06:35:36"/>
    <d v="1900-01-15T11:36:00"/>
    <d v="1899-12-30T07:10:00"/>
    <d v="1900-01-16T22:00:00"/>
  </r>
  <r>
    <d v="2021-07-13T00:00:00"/>
    <x v="6"/>
    <x v="6"/>
    <x v="12"/>
    <x v="1"/>
    <n v="560"/>
    <n v="163"/>
    <n v="158"/>
    <n v="0.96930000000000005"/>
    <n v="5"/>
    <d v="1899-12-30T00:00:14"/>
    <d v="1899-12-30T00:02:28"/>
    <d v="1899-12-30T00:02:01"/>
    <n v="0.81989999999999996"/>
    <d v="1899-12-30T06:29:44"/>
    <d v="1900-01-15T05:44:00"/>
    <d v="1899-12-30T06:42:04"/>
    <d v="1900-01-15T18:04:00"/>
  </r>
  <r>
    <d v="2021-07-14T00:00:00"/>
    <x v="0"/>
    <x v="6"/>
    <x v="13"/>
    <x v="1"/>
    <n v="561"/>
    <n v="160"/>
    <n v="151"/>
    <n v="0.94379999999999997"/>
    <n v="9"/>
    <d v="1899-12-30T00:00:12"/>
    <d v="1899-12-30T00:02:39"/>
    <d v="1899-12-30T00:02:57"/>
    <n v="0.87180000000000002"/>
    <d v="1899-12-30T06:40:09"/>
    <d v="1900-01-15T16:09:00"/>
    <d v="1899-12-30T07:04:00"/>
    <d v="1900-01-16T16:00:00"/>
  </r>
  <r>
    <d v="2021-07-15T00:00:00"/>
    <x v="1"/>
    <x v="6"/>
    <x v="14"/>
    <x v="1"/>
    <n v="562"/>
    <n v="132"/>
    <n v="125"/>
    <n v="0.94699999999999995"/>
    <n v="7"/>
    <d v="1899-12-30T00:00:30"/>
    <d v="1899-12-30T00:02:46"/>
    <d v="1899-12-30T00:03:47"/>
    <n v="0.6462"/>
    <d v="1899-12-30T05:45:50"/>
    <d v="1900-01-13T09:50:00"/>
    <d v="1899-12-30T06:05:12"/>
    <d v="1900-01-14T05:12:00"/>
  </r>
  <r>
    <d v="2021-07-16T00:00:00"/>
    <x v="2"/>
    <x v="6"/>
    <x v="15"/>
    <x v="1"/>
    <n v="563"/>
    <n v="131"/>
    <n v="126"/>
    <n v="0.96179999999999999"/>
    <n v="5"/>
    <d v="1899-12-30T00:00:17"/>
    <d v="1899-12-30T00:02:47"/>
    <d v="1899-12-30T00:02:35"/>
    <n v="0.78290000000000004"/>
    <d v="1899-12-30T05:50:42"/>
    <d v="1900-01-13T14:42:00"/>
    <d v="1899-12-30T06:04:37"/>
    <d v="1900-01-14T04:37:00"/>
  </r>
  <r>
    <d v="2021-07-17T00:00:00"/>
    <x v="3"/>
    <x v="6"/>
    <x v="16"/>
    <x v="1"/>
    <n v="564"/>
    <n v="158"/>
    <n v="146"/>
    <n v="0.92410000000000003"/>
    <n v="12"/>
    <d v="1899-12-30T00:00:21"/>
    <d v="1899-12-30T00:02:42"/>
    <d v="1899-12-30T00:03:40"/>
    <n v="0.75319999999999998"/>
    <d v="1899-12-30T06:34:12"/>
    <d v="1900-01-15T10:12:00"/>
    <d v="1899-12-30T07:06:36"/>
    <d v="1900-01-16T18:36:00"/>
  </r>
  <r>
    <d v="2021-07-18T00:00:00"/>
    <x v="4"/>
    <x v="6"/>
    <x v="17"/>
    <x v="1"/>
    <n v="565"/>
    <n v="19"/>
    <n v="16"/>
    <n v="0.84209999999999996"/>
    <n v="3"/>
    <d v="1899-12-30T00:00:51"/>
    <d v="1899-12-30T00:02:46"/>
    <d v="1899-12-30T00:04:14"/>
    <n v="0.47370000000000001"/>
    <d v="1899-12-30T00:44:16"/>
    <d v="1899-12-31T20:16:00"/>
    <d v="1899-12-30T00:52:34"/>
    <d v="1900-01-01T04:34:00"/>
  </r>
  <r>
    <d v="2021-07-19T00:00:00"/>
    <x v="5"/>
    <x v="6"/>
    <x v="18"/>
    <x v="1"/>
    <n v="566"/>
    <n v="151"/>
    <n v="128"/>
    <n v="0.84770000000000001"/>
    <n v="23"/>
    <d v="1899-12-30T00:00:52"/>
    <d v="1899-12-30T00:02:30"/>
    <d v="1899-12-30T00:05:38"/>
    <n v="0.37930000000000003"/>
    <d v="1899-12-30T05:20:00"/>
    <d v="1900-01-12T08:00:00"/>
    <d v="1899-12-30T06:17:30"/>
    <d v="1900-01-14T17:30:00"/>
  </r>
  <r>
    <d v="2021-07-20T00:00:00"/>
    <x v="6"/>
    <x v="6"/>
    <x v="19"/>
    <x v="1"/>
    <n v="567"/>
    <n v="139"/>
    <n v="128"/>
    <n v="0.92090000000000005"/>
    <n v="11"/>
    <d v="1899-12-30T00:00:32"/>
    <d v="1899-12-30T00:02:44"/>
    <d v="1899-12-30T00:03:34"/>
    <n v="0.51800000000000002"/>
    <d v="1899-12-30T05:49:52"/>
    <d v="1900-01-13T13:52:00"/>
    <d v="1899-12-30T06:19:56"/>
    <d v="1900-01-14T19:56:00"/>
  </r>
  <r>
    <d v="2021-07-21T00:00:00"/>
    <x v="0"/>
    <x v="6"/>
    <x v="20"/>
    <x v="1"/>
    <n v="568"/>
    <n v="166"/>
    <n v="135"/>
    <n v="0.81330000000000002"/>
    <n v="31"/>
    <d v="1899-12-30T00:00:41"/>
    <d v="1899-12-30T00:02:40"/>
    <d v="1899-12-30T00:05:09"/>
    <n v="0.46500000000000002"/>
    <d v="1899-12-30T06:00:00"/>
    <d v="1900-01-14T00:00:00"/>
    <d v="1899-12-30T07:22:40"/>
    <d v="1900-01-17T10:40:00"/>
  </r>
  <r>
    <d v="2021-07-22T00:00:00"/>
    <x v="1"/>
    <x v="6"/>
    <x v="21"/>
    <x v="1"/>
    <n v="569"/>
    <n v="258"/>
    <n v="196"/>
    <n v="0.75970000000000004"/>
    <n v="62"/>
    <d v="1899-12-30T00:01:10"/>
    <d v="1899-12-30T00:02:30"/>
    <d v="1899-12-30T00:07:51"/>
    <n v="0.2429"/>
    <d v="1899-12-30T08:10:00"/>
    <d v="1900-01-19T10:00:00"/>
    <d v="1899-12-30T10:45:00"/>
    <d v="1900-01-25T21:00:00"/>
  </r>
  <r>
    <d v="2021-07-23T00:00:00"/>
    <x v="2"/>
    <x v="6"/>
    <x v="22"/>
    <x v="1"/>
    <n v="570"/>
    <n v="203"/>
    <n v="176"/>
    <n v="0.86699999999999999"/>
    <n v="27"/>
    <d v="1899-12-30T00:00:40"/>
    <d v="1899-12-30T00:02:30"/>
    <d v="1899-12-30T00:09:09"/>
    <n v="0.44779999999999998"/>
    <d v="1899-12-30T07:20:00"/>
    <d v="1900-01-17T08:00:00"/>
    <d v="1899-12-30T08:27:30"/>
    <d v="1900-01-20T03:30:00"/>
  </r>
  <r>
    <d v="2021-07-24T00:00:00"/>
    <x v="3"/>
    <x v="6"/>
    <x v="23"/>
    <x v="1"/>
    <n v="571"/>
    <n v="182"/>
    <n v="162"/>
    <n v="0.8901"/>
    <n v="20"/>
    <d v="1899-12-30T00:00:25"/>
    <d v="1899-12-30T00:02:48"/>
    <d v="1899-12-30T00:03:40"/>
    <n v="0.59430000000000005"/>
    <d v="1899-12-30T07:33:36"/>
    <d v="1900-01-17T21:36:00"/>
    <d v="1899-12-30T08:29:36"/>
    <d v="1900-01-20T05:36:00"/>
  </r>
  <r>
    <d v="2021-07-25T00:00:00"/>
    <x v="4"/>
    <x v="6"/>
    <x v="24"/>
    <x v="1"/>
    <n v="572"/>
    <n v="18"/>
    <n v="17"/>
    <n v="0.94440000000000002"/>
    <n v="1"/>
    <d v="1899-12-30T00:00:55"/>
    <d v="1899-12-30T00:04:01"/>
    <d v="1899-12-30T00:05:46"/>
    <n v="0.5"/>
    <d v="1899-12-30T01:08:17"/>
    <d v="1900-01-01T20:17:00"/>
    <d v="1899-12-30T01:12:18"/>
    <d v="1900-01-02T00:18:00"/>
  </r>
  <r>
    <d v="2021-07-26T00:00:00"/>
    <x v="5"/>
    <x v="6"/>
    <x v="25"/>
    <x v="1"/>
    <n v="573"/>
    <n v="215"/>
    <n v="170"/>
    <n v="0.79069999999999996"/>
    <n v="45"/>
    <d v="1899-12-30T00:00:55"/>
    <d v="1899-12-30T00:02:49"/>
    <d v="1899-12-30T00:07:26"/>
    <n v="0.43059999999999998"/>
    <d v="1899-12-30T07:58:50"/>
    <d v="1900-01-18T22:50:00"/>
    <d v="1899-12-30T10:05:35"/>
    <d v="1900-01-24T05:35:00"/>
  </r>
  <r>
    <d v="2021-07-27T00:00:00"/>
    <x v="6"/>
    <x v="6"/>
    <x v="26"/>
    <x v="1"/>
    <n v="574"/>
    <n v="209"/>
    <n v="203"/>
    <n v="0.97130000000000005"/>
    <n v="6"/>
    <d v="1899-12-30T00:00:25"/>
    <d v="1899-12-30T00:02:42"/>
    <d v="1899-12-30T00:03:40"/>
    <n v="0.74880000000000002"/>
    <d v="1899-12-30T09:08:06"/>
    <d v="1900-01-21T20:06:00"/>
    <d v="1899-12-30T09:24:18"/>
    <d v="1900-01-22T12:18:00"/>
  </r>
  <r>
    <d v="2021-07-28T00:00:00"/>
    <x v="0"/>
    <x v="6"/>
    <x v="27"/>
    <x v="1"/>
    <n v="575"/>
    <n v="140"/>
    <n v="134"/>
    <n v="0.95709999999999995"/>
    <n v="6"/>
    <d v="1899-12-30T00:00:20"/>
    <d v="1899-12-30T00:02:59"/>
    <d v="1899-12-30T00:03:21"/>
    <n v="0.76259999999999994"/>
    <d v="1899-12-30T06:39:46"/>
    <d v="1900-01-15T15:46:00"/>
    <d v="1899-12-30T06:57:40"/>
    <d v="1900-01-16T09:40:00"/>
  </r>
  <r>
    <d v="2021-07-29T00:00:00"/>
    <x v="1"/>
    <x v="6"/>
    <x v="28"/>
    <x v="1"/>
    <n v="576"/>
    <n v="124"/>
    <n v="110"/>
    <n v="0.8871"/>
    <n v="14"/>
    <d v="1899-12-30T00:00:15"/>
    <d v="1899-12-30T00:02:56"/>
    <d v="1899-12-30T00:08:16"/>
    <n v="0.81820000000000004"/>
    <d v="1899-12-30T05:22:40"/>
    <d v="1900-01-12T10:40:00"/>
    <d v="1899-12-30T06:03:44"/>
    <d v="1900-01-14T03:44:00"/>
  </r>
  <r>
    <d v="2021-07-30T00:00:00"/>
    <x v="2"/>
    <x v="6"/>
    <x v="29"/>
    <x v="1"/>
    <n v="577"/>
    <n v="179"/>
    <n v="163"/>
    <n v="0.91059999999999997"/>
    <n v="16"/>
    <d v="1899-12-30T00:00:23"/>
    <d v="1899-12-30T00:02:44"/>
    <d v="1899-12-30T00:04:17"/>
    <n v="0.71589999999999998"/>
    <d v="1899-12-30T07:25:32"/>
    <d v="1900-01-17T13:32:00"/>
    <d v="1899-12-30T08:09:16"/>
    <d v="1900-01-19T09:16:00"/>
  </r>
  <r>
    <d v="2021-07-31T00:00:00"/>
    <x v="3"/>
    <x v="6"/>
    <x v="30"/>
    <x v="1"/>
    <n v="578"/>
    <n v="163"/>
    <n v="161"/>
    <n v="0.98770000000000002"/>
    <n v="2"/>
    <d v="1899-12-30T00:00:10"/>
    <d v="1899-12-30T00:02:40"/>
    <d v="1899-12-30T00:01:51"/>
    <n v="0.94410000000000005"/>
    <d v="1899-12-30T07:09:20"/>
    <d v="1900-01-16T21:20:00"/>
    <d v="1899-12-30T07:14:40"/>
    <d v="1900-01-17T02:40:00"/>
  </r>
  <r>
    <d v="2021-08-01T00:00:00"/>
    <x v="4"/>
    <x v="7"/>
    <x v="0"/>
    <x v="1"/>
    <n v="579"/>
    <n v="27"/>
    <n v="27"/>
    <n v="1"/>
    <n v="0"/>
    <d v="1899-12-30T00:00:05"/>
    <d v="1899-12-30T00:02:48"/>
    <d v="1899-12-30T00:00:19"/>
    <n v="1"/>
    <d v="1899-12-30T01:15:36"/>
    <d v="1900-01-02T03:36:00"/>
    <d v="1899-12-30T01:15:36"/>
    <d v="1900-01-02T03:36:00"/>
  </r>
  <r>
    <d v="2021-08-02T00:00:00"/>
    <x v="5"/>
    <x v="7"/>
    <x v="1"/>
    <x v="1"/>
    <n v="580"/>
    <n v="182"/>
    <n v="175"/>
    <n v="0.96150000000000002"/>
    <n v="7"/>
    <d v="1899-12-30T00:00:19"/>
    <d v="1899-12-30T00:02:38"/>
    <d v="1899-12-30T00:03:08"/>
    <n v="0.79890000000000005"/>
    <d v="1899-12-30T07:40:50"/>
    <d v="1900-01-18T04:50:00"/>
    <d v="1899-12-30T07:59:16"/>
    <d v="1900-01-18T23:16:00"/>
  </r>
  <r>
    <d v="2021-08-03T00:00:00"/>
    <x v="6"/>
    <x v="7"/>
    <x v="2"/>
    <x v="1"/>
    <n v="581"/>
    <n v="164"/>
    <n v="159"/>
    <n v="0.96950000000000003"/>
    <n v="5"/>
    <d v="1899-12-30T00:00:11"/>
    <d v="1899-12-30T00:02:23"/>
    <d v="1899-12-30T00:06:28"/>
    <n v="0.90180000000000005"/>
    <d v="1899-12-30T06:18:57"/>
    <d v="1900-01-14T18:57:00"/>
    <d v="1899-12-30T06:30:52"/>
    <d v="1900-01-15T06:52:00"/>
  </r>
  <r>
    <d v="2021-08-04T00:00:00"/>
    <x v="0"/>
    <x v="7"/>
    <x v="3"/>
    <x v="1"/>
    <n v="582"/>
    <n v="160"/>
    <n v="159"/>
    <n v="0.99380000000000002"/>
    <n v="1"/>
    <d v="1899-12-30T00:00:05"/>
    <d v="1899-12-30T00:02:40"/>
    <d v="1899-12-30T00:00:58"/>
    <n v="0.98740000000000006"/>
    <d v="1899-12-30T07:04:00"/>
    <d v="1900-01-16T16:00:00"/>
    <d v="1899-12-30T07:06:40"/>
    <d v="1900-01-16T18:40:00"/>
  </r>
  <r>
    <d v="2021-08-05T00:00:00"/>
    <x v="1"/>
    <x v="7"/>
    <x v="4"/>
    <x v="1"/>
    <n v="583"/>
    <n v="174"/>
    <n v="155"/>
    <n v="0.89080000000000004"/>
    <n v="19"/>
    <d v="1899-12-30T00:00:16"/>
    <d v="1899-12-30T00:02:41"/>
    <d v="1899-12-30T00:06:39"/>
    <n v="0.77059999999999995"/>
    <d v="1899-12-30T06:55:55"/>
    <d v="1900-01-16T07:55:00"/>
    <d v="1899-12-30T07:46:54"/>
    <d v="1900-01-18T10:54:00"/>
  </r>
  <r>
    <d v="2021-08-06T00:00:00"/>
    <x v="2"/>
    <x v="7"/>
    <x v="5"/>
    <x v="1"/>
    <n v="584"/>
    <n v="235"/>
    <n v="230"/>
    <n v="0.97870000000000001"/>
    <n v="5"/>
    <d v="1899-12-30T00:00:05"/>
    <d v="1899-12-30T00:02:27"/>
    <d v="1899-12-30T00:01:50"/>
    <n v="0.95740000000000003"/>
    <d v="1899-12-30T09:23:30"/>
    <d v="1900-01-22T11:30:00"/>
    <d v="1899-12-30T09:35:45"/>
    <d v="1900-01-22T23:45:00"/>
  </r>
  <r>
    <d v="2021-08-07T00:00:00"/>
    <x v="3"/>
    <x v="7"/>
    <x v="6"/>
    <x v="1"/>
    <n v="585"/>
    <n v="175"/>
    <n v="174"/>
    <n v="0.99429999999999996"/>
    <n v="1"/>
    <d v="1899-12-30T00:00:04"/>
    <d v="1899-12-30T00:02:26"/>
    <d v="1899-12-30T00:01:53"/>
    <n v="0.98860000000000003"/>
    <d v="1899-12-30T07:03:24"/>
    <d v="1900-01-16T15:24:00"/>
    <d v="1899-12-30T07:05:50"/>
    <d v="1900-01-16T17:50:00"/>
  </r>
  <r>
    <d v="2021-08-08T00:00:00"/>
    <x v="4"/>
    <x v="7"/>
    <x v="7"/>
    <x v="1"/>
    <n v="586"/>
    <n v="25"/>
    <n v="25"/>
    <n v="1"/>
    <n v="0"/>
    <d v="1899-12-30T00:00:04"/>
    <d v="1899-12-30T00:03:15"/>
    <d v="1899-12-30T00:00:55"/>
    <n v="0.96"/>
    <d v="1899-12-30T01:21:15"/>
    <d v="1900-01-02T09:15:00"/>
    <d v="1899-12-30T01:21:15"/>
    <d v="1900-01-02T09:15:00"/>
  </r>
  <r>
    <d v="2021-08-09T00:00:00"/>
    <x v="5"/>
    <x v="7"/>
    <x v="8"/>
    <x v="1"/>
    <n v="587"/>
    <n v="170"/>
    <n v="167"/>
    <n v="0.98240000000000005"/>
    <n v="3"/>
    <d v="1899-12-30T00:00:06"/>
    <d v="1899-12-30T00:02:35"/>
    <d v="1899-12-30T00:03:40"/>
    <n v="0.94079999999999997"/>
    <d v="1899-12-30T07:11:25"/>
    <d v="1900-01-16T23:25:00"/>
    <d v="1899-12-30T07:19:10"/>
    <d v="1900-01-17T07:10:00"/>
  </r>
  <r>
    <d v="2021-08-10T00:00:00"/>
    <x v="6"/>
    <x v="7"/>
    <x v="9"/>
    <x v="1"/>
    <n v="588"/>
    <n v="187"/>
    <n v="168"/>
    <n v="0.89839999999999998"/>
    <n v="19"/>
    <d v="1899-12-30T00:00:26"/>
    <d v="1899-12-30T00:02:20"/>
    <d v="1899-12-30T00:04:49"/>
    <n v="0.70430000000000004"/>
    <d v="1899-12-30T06:32:00"/>
    <d v="1900-01-15T08:00:00"/>
    <d v="1899-12-30T07:16:20"/>
    <d v="1900-01-17T04:20:00"/>
  </r>
  <r>
    <d v="2021-08-11T00:00:00"/>
    <x v="0"/>
    <x v="7"/>
    <x v="10"/>
    <x v="1"/>
    <n v="589"/>
    <n v="53"/>
    <n v="51"/>
    <n v="0.96230000000000004"/>
    <n v="2"/>
    <d v="1899-12-30T00:00:06"/>
    <d v="1899-12-30T00:02:29"/>
    <d v="1899-12-30T00:01:50"/>
    <n v="0.88680000000000003"/>
    <d v="1899-12-30T02:06:39"/>
    <d v="1900-01-04T06:39:00"/>
    <d v="1899-12-30T02:11:37"/>
    <d v="1900-01-04T11:37:00"/>
  </r>
  <r>
    <d v="2021-08-12T00:00:00"/>
    <x v="1"/>
    <x v="7"/>
    <x v="11"/>
    <x v="1"/>
    <n v="590"/>
    <n v="121"/>
    <n v="117"/>
    <n v="0.96689999999999998"/>
    <n v="4"/>
    <d v="1899-12-30T00:00:13"/>
    <d v="1899-12-30T00:02:36"/>
    <d v="1899-12-30T00:02:41"/>
    <n v="0.85829999999999995"/>
    <d v="1899-12-30T05:04:12"/>
    <d v="1900-01-11T16:12:00"/>
    <d v="1899-12-30T05:14:36"/>
    <d v="1900-01-12T02:36:00"/>
  </r>
  <r>
    <d v="2021-08-13T00:00:00"/>
    <x v="2"/>
    <x v="7"/>
    <x v="12"/>
    <x v="1"/>
    <n v="591"/>
    <n v="143"/>
    <n v="139"/>
    <n v="0.97199999999999998"/>
    <n v="4"/>
    <d v="1899-12-30T00:00:05"/>
    <d v="1899-12-30T00:02:26"/>
    <d v="1899-12-30T00:01:56"/>
    <n v="0.94410000000000005"/>
    <d v="1899-12-30T05:38:14"/>
    <d v="1900-01-13T02:14:00"/>
    <d v="1899-12-30T05:47:58"/>
    <d v="1900-01-13T11:58:00"/>
  </r>
  <r>
    <d v="2021-08-14T00:00:00"/>
    <x v="3"/>
    <x v="7"/>
    <x v="13"/>
    <x v="1"/>
    <n v="592"/>
    <n v="100"/>
    <n v="96"/>
    <n v="0.96"/>
    <n v="4"/>
    <d v="1899-12-30T00:00:06"/>
    <d v="1899-12-30T00:02:28"/>
    <d v="1899-12-30T00:01:50"/>
    <n v="0.91920000000000002"/>
    <d v="1899-12-30T03:56:48"/>
    <d v="1900-01-08T20:48:00"/>
    <d v="1899-12-30T04:06:40"/>
    <d v="1900-01-09T06:40:00"/>
  </r>
  <r>
    <d v="2021-08-15T00:00:00"/>
    <x v="4"/>
    <x v="7"/>
    <x v="14"/>
    <x v="1"/>
    <n v="593"/>
    <n v="17"/>
    <n v="17"/>
    <n v="1"/>
    <n v="0"/>
    <d v="1899-12-30T00:00:08"/>
    <d v="1899-12-30T00:02:55"/>
    <d v="1899-12-30T00:00:59"/>
    <n v="0.88239999999999996"/>
    <d v="1899-12-30T00:49:35"/>
    <d v="1900-01-01T01:35:00"/>
    <d v="1899-12-30T00:49:35"/>
    <d v="1900-01-01T01:35:00"/>
  </r>
  <r>
    <d v="2021-08-16T00:00:00"/>
    <x v="5"/>
    <x v="7"/>
    <x v="15"/>
    <x v="1"/>
    <n v="594"/>
    <n v="113"/>
    <n v="110"/>
    <n v="0.97350000000000003"/>
    <n v="3"/>
    <d v="1899-12-30T00:00:08"/>
    <d v="1899-12-30T00:02:33"/>
    <d v="1899-12-30T00:01:18"/>
    <n v="0.90180000000000005"/>
    <d v="1899-12-30T04:40:30"/>
    <d v="1900-01-10T16:30:00"/>
    <d v="1899-12-30T04:48:09"/>
    <d v="1900-01-11T00:09:00"/>
  </r>
  <r>
    <d v="2021-08-17T00:00:00"/>
    <x v="6"/>
    <x v="7"/>
    <x v="16"/>
    <x v="1"/>
    <n v="595"/>
    <n v="139"/>
    <n v="128"/>
    <n v="0.92090000000000005"/>
    <n v="11"/>
    <d v="1899-12-30T00:00:13"/>
    <d v="1899-12-30T00:02:38"/>
    <d v="1899-12-30T00:03:40"/>
    <n v="0.82010000000000005"/>
    <d v="1899-12-30T05:37:04"/>
    <d v="1900-01-13T01:04:00"/>
    <d v="1899-12-30T06:06:02"/>
    <d v="1900-01-14T06:02:00"/>
  </r>
  <r>
    <d v="2021-08-18T00:00:00"/>
    <x v="0"/>
    <x v="7"/>
    <x v="17"/>
    <x v="1"/>
    <n v="596"/>
    <n v="135"/>
    <n v="134"/>
    <n v="0.99260000000000004"/>
    <n v="1"/>
    <d v="1899-12-30T00:00:04"/>
    <d v="1899-12-30T00:02:34"/>
    <d v="1899-12-30T00:01:50"/>
    <n v="0.98519999999999996"/>
    <d v="1899-12-30T05:43:56"/>
    <d v="1900-01-13T07:56:00"/>
    <d v="1899-12-30T05:46:30"/>
    <d v="1900-01-13T10:30:00"/>
  </r>
  <r>
    <d v="2021-08-19T00:00:00"/>
    <x v="1"/>
    <x v="7"/>
    <x v="18"/>
    <x v="1"/>
    <n v="597"/>
    <n v="29"/>
    <n v="29"/>
    <n v="1"/>
    <n v="0"/>
    <d v="1899-12-30T00:00:15"/>
    <d v="1899-12-30T00:03:13"/>
    <d v="1899-12-30T00:01:29"/>
    <n v="0.79310000000000003"/>
    <d v="1899-12-30T01:33:17"/>
    <d v="1900-01-02T21:17:00"/>
    <d v="1899-12-30T01:33:17"/>
    <d v="1900-01-02T21:17:00"/>
  </r>
  <r>
    <d v="2021-08-20T00:00:00"/>
    <x v="2"/>
    <x v="7"/>
    <x v="19"/>
    <x v="1"/>
    <n v="598"/>
    <n v="120"/>
    <n v="116"/>
    <n v="0.9667"/>
    <n v="4"/>
    <d v="1899-12-30T00:00:05"/>
    <d v="1899-12-30T00:02:43"/>
    <d v="1899-12-30T00:02:45"/>
    <n v="0.95830000000000004"/>
    <d v="1899-12-30T05:15:08"/>
    <d v="1900-01-12T03:08:00"/>
    <d v="1899-12-30T05:26:00"/>
    <d v="1900-01-12T14:00:00"/>
  </r>
  <r>
    <d v="2021-08-21T00:00:00"/>
    <x v="3"/>
    <x v="7"/>
    <x v="20"/>
    <x v="1"/>
    <n v="599"/>
    <n v="115"/>
    <n v="108"/>
    <n v="0.93910000000000005"/>
    <n v="7"/>
    <d v="1899-12-30T00:00:09"/>
    <d v="1899-12-30T00:02:50"/>
    <d v="1899-12-30T00:04:25"/>
    <n v="0.88700000000000001"/>
    <d v="1899-12-30T05:06:00"/>
    <d v="1900-01-11T18:00:00"/>
    <d v="1899-12-30T05:25:50"/>
    <d v="1900-01-12T13:50:00"/>
  </r>
  <r>
    <d v="2021-08-22T00:00:00"/>
    <x v="4"/>
    <x v="7"/>
    <x v="21"/>
    <x v="1"/>
    <n v="600"/>
    <n v="14"/>
    <n v="14"/>
    <n v="1"/>
    <n v="0"/>
    <d v="1899-12-30T00:00:14"/>
    <d v="1899-12-30T00:02:17"/>
    <d v="1899-12-30T00:01:14"/>
    <n v="0.78569999999999995"/>
    <d v="1899-12-30T00:31:58"/>
    <d v="1899-12-31T07:58:00"/>
    <d v="1899-12-30T00:31:58"/>
    <d v="1899-12-31T07:58:00"/>
  </r>
  <r>
    <d v="2021-08-23T00:00:00"/>
    <x v="5"/>
    <x v="7"/>
    <x v="22"/>
    <x v="1"/>
    <n v="601"/>
    <n v="107"/>
    <n v="104"/>
    <n v="0.97199999999999998"/>
    <n v="3"/>
    <d v="1899-12-30T00:00:07"/>
    <d v="1899-12-30T00:02:29"/>
    <d v="1899-12-30T00:00:58"/>
    <n v="0.90569999999999995"/>
    <d v="1899-12-30T04:18:16"/>
    <d v="1900-01-09T18:16:00"/>
    <d v="1899-12-30T04:25:43"/>
    <d v="1900-01-10T01:43:00"/>
  </r>
  <r>
    <d v="2021-08-24T00:00:00"/>
    <x v="6"/>
    <x v="7"/>
    <x v="23"/>
    <x v="1"/>
    <n v="602"/>
    <n v="137"/>
    <n v="128"/>
    <n v="0.93430000000000002"/>
    <n v="9"/>
    <d v="1899-12-30T00:00:10"/>
    <d v="1899-12-30T00:02:30"/>
    <d v="1899-12-30T00:02:03"/>
    <n v="0.85289999999999999"/>
    <d v="1899-12-30T05:20:00"/>
    <d v="1900-01-12T08:00:00"/>
    <d v="1899-12-30T05:42:30"/>
    <d v="1900-01-13T06:30:00"/>
  </r>
  <r>
    <d v="2021-08-25T00:00:00"/>
    <x v="0"/>
    <x v="7"/>
    <x v="24"/>
    <x v="1"/>
    <n v="603"/>
    <n v="106"/>
    <n v="105"/>
    <n v="0.99060000000000004"/>
    <n v="1"/>
    <d v="1899-12-30T00:00:11"/>
    <d v="1899-12-30T00:02:47"/>
    <d v="1899-12-30T00:01:53"/>
    <n v="0.85850000000000004"/>
    <d v="1899-12-30T04:52:15"/>
    <d v="1900-01-11T04:15:00"/>
    <d v="1899-12-30T04:55:02"/>
    <d v="1900-01-11T07:02:00"/>
  </r>
  <r>
    <d v="2021-08-26T00:00:00"/>
    <x v="1"/>
    <x v="7"/>
    <x v="25"/>
    <x v="1"/>
    <n v="604"/>
    <n v="116"/>
    <n v="108"/>
    <n v="0.93100000000000005"/>
    <n v="8"/>
    <d v="1899-12-30T00:00:19"/>
    <d v="1899-12-30T00:02:26"/>
    <d v="1899-12-30T00:02:33"/>
    <n v="0.8407"/>
    <d v="1899-12-30T04:22:48"/>
    <d v="1900-01-09T22:48:00"/>
    <d v="1899-12-30T04:42:16"/>
    <d v="1900-01-10T18:16:00"/>
  </r>
  <r>
    <d v="2021-08-27T00:00:00"/>
    <x v="2"/>
    <x v="7"/>
    <x v="26"/>
    <x v="1"/>
    <n v="605"/>
    <n v="120"/>
    <n v="117"/>
    <n v="0.97499999999999998"/>
    <n v="3"/>
    <d v="1899-12-30T00:00:09"/>
    <d v="1899-12-30T00:02:37"/>
    <d v="1899-12-30T00:01:05"/>
    <n v="0.90759999999999996"/>
    <d v="1899-12-30T05:06:09"/>
    <d v="1900-01-11T18:09:00"/>
    <d v="1899-12-30T05:14:00"/>
    <d v="1900-01-12T02:00:00"/>
  </r>
  <r>
    <d v="2021-08-28T00:00:00"/>
    <x v="3"/>
    <x v="7"/>
    <x v="27"/>
    <x v="1"/>
    <n v="606"/>
    <n v="123"/>
    <n v="121"/>
    <n v="0.98370000000000002"/>
    <n v="2"/>
    <d v="1899-12-30T00:00:07"/>
    <d v="1899-12-30T00:02:27"/>
    <d v="1899-12-30T00:01:55"/>
    <n v="0.91059999999999997"/>
    <d v="1899-12-30T04:56:27"/>
    <d v="1900-01-11T08:27:00"/>
    <d v="1899-12-30T05:01:21"/>
    <d v="1900-01-11T13:21:00"/>
  </r>
  <r>
    <d v="2021-08-29T00:00:00"/>
    <x v="4"/>
    <x v="7"/>
    <x v="28"/>
    <x v="1"/>
    <n v="607"/>
    <n v="31"/>
    <n v="31"/>
    <n v="1"/>
    <n v="0"/>
    <d v="1899-12-30T00:00:03"/>
    <d v="1899-12-30T00:02:18"/>
    <d v="1899-12-30T00:00:03"/>
    <n v="1"/>
    <d v="1899-12-30T01:11:18"/>
    <d v="1900-01-01T23:18:00"/>
    <d v="1899-12-30T01:11:18"/>
    <d v="1900-01-01T23:18:00"/>
  </r>
  <r>
    <d v="2021-08-30T00:00:00"/>
    <x v="5"/>
    <x v="7"/>
    <x v="29"/>
    <x v="1"/>
    <n v="608"/>
    <n v="140"/>
    <n v="139"/>
    <n v="0.9929"/>
    <n v="1"/>
    <d v="1899-12-30T00:00:08"/>
    <d v="1899-12-30T00:02:39"/>
    <d v="1899-12-30T00:01:11"/>
    <n v="0.9214"/>
    <d v="1899-12-30T06:08:21"/>
    <d v="1900-01-14T08:21:00"/>
    <d v="1899-12-30T06:11:00"/>
    <d v="1900-01-14T11:00:00"/>
  </r>
  <r>
    <d v="2021-08-31T00:00:00"/>
    <x v="6"/>
    <x v="7"/>
    <x v="30"/>
    <x v="1"/>
    <n v="609"/>
    <n v="168"/>
    <n v="161"/>
    <n v="0.95830000000000004"/>
    <n v="7"/>
    <d v="1899-12-30T00:00:18"/>
    <d v="1899-12-30T00:02:24"/>
    <d v="1899-12-30T00:02:24"/>
    <n v="0.73650000000000004"/>
    <d v="1899-12-30T06:26:24"/>
    <d v="1900-01-15T02:24:00"/>
    <d v="1899-12-30T06:43:12"/>
    <d v="1900-01-15T19:12:00"/>
  </r>
  <r>
    <d v="2021-09-01T00:00:00"/>
    <x v="0"/>
    <x v="8"/>
    <x v="0"/>
    <x v="1"/>
    <n v="610"/>
    <n v="146"/>
    <n v="144"/>
    <n v="0.98629999999999995"/>
    <n v="2"/>
    <d v="1899-12-30T00:00:06"/>
    <d v="1899-12-30T00:02:38"/>
    <d v="1899-12-30T00:00:58"/>
    <n v="0.94479999999999997"/>
    <d v="1899-12-30T06:19:12"/>
    <d v="1900-01-14T19:12:00"/>
    <d v="1899-12-30T06:24:28"/>
    <d v="1900-01-15T00:28:00"/>
  </r>
  <r>
    <d v="2021-09-02T00:00:00"/>
    <x v="1"/>
    <x v="8"/>
    <x v="1"/>
    <x v="1"/>
    <n v="611"/>
    <n v="110"/>
    <n v="106"/>
    <n v="0.96360000000000001"/>
    <n v="4"/>
    <d v="1899-12-30T00:00:15"/>
    <d v="1899-12-30T00:02:50"/>
    <d v="1899-12-30T00:02:30"/>
    <n v="0.8"/>
    <d v="1899-12-30T05:00:20"/>
    <d v="1900-01-11T12:20:00"/>
    <d v="1899-12-30T05:11:40"/>
    <d v="1900-01-11T23:40:00"/>
  </r>
  <r>
    <d v="2021-09-03T00:00:00"/>
    <x v="2"/>
    <x v="8"/>
    <x v="2"/>
    <x v="1"/>
    <n v="612"/>
    <n v="342"/>
    <n v="333"/>
    <n v="0.97370000000000001"/>
    <n v="9"/>
    <d v="1899-12-30T00:00:15"/>
    <d v="1899-12-30T00:02:10"/>
    <d v="1899-12-30T00:02:39"/>
    <n v="0.81420000000000003"/>
    <d v="1899-12-30T12:01:30"/>
    <d v="1900-01-29T01:30:00"/>
    <d v="1899-12-30T12:21:00"/>
    <d v="1900-01-29T21:00:00"/>
  </r>
  <r>
    <d v="2021-09-04T00:00:00"/>
    <x v="3"/>
    <x v="8"/>
    <x v="3"/>
    <x v="1"/>
    <n v="613"/>
    <n v="190"/>
    <n v="183"/>
    <n v="0.96319999999999995"/>
    <n v="7"/>
    <d v="1899-12-30T00:00:16"/>
    <d v="1899-12-30T00:02:32"/>
    <d v="1899-12-30T00:01:59"/>
    <n v="0.78949999999999998"/>
    <d v="1899-12-30T07:43:36"/>
    <d v="1900-01-18T07:36:00"/>
    <d v="1899-12-30T08:01:20"/>
    <d v="1900-01-19T01:20:00"/>
  </r>
  <r>
    <d v="2021-09-05T00:00:00"/>
    <x v="4"/>
    <x v="8"/>
    <x v="4"/>
    <x v="1"/>
    <n v="614"/>
    <n v="25"/>
    <n v="24"/>
    <n v="0.96"/>
    <n v="1"/>
    <d v="1899-12-30T00:00:06"/>
    <d v="1899-12-30T00:02:22"/>
    <d v="1899-12-30T00:00:48"/>
    <n v="0.91669999999999996"/>
    <d v="1899-12-30T00:56:48"/>
    <d v="1900-01-01T08:48:00"/>
    <d v="1899-12-30T00:59:10"/>
    <d v="1900-01-01T11:10:00"/>
  </r>
  <r>
    <d v="2021-09-06T00:00:00"/>
    <x v="5"/>
    <x v="8"/>
    <x v="5"/>
    <x v="1"/>
    <n v="615"/>
    <n v="169"/>
    <n v="162"/>
    <n v="0.95860000000000001"/>
    <n v="7"/>
    <d v="1899-12-30T00:00:09"/>
    <d v="1899-12-30T00:02:31"/>
    <d v="1899-12-30T00:04:36"/>
    <n v="0.89159999999999995"/>
    <d v="1899-12-30T06:47:42"/>
    <d v="1900-01-15T23:42:00"/>
    <d v="1899-12-30T07:05:19"/>
    <d v="1900-01-16T17:19:00"/>
  </r>
  <r>
    <d v="2021-09-07T00:00:00"/>
    <x v="6"/>
    <x v="8"/>
    <x v="6"/>
    <x v="1"/>
    <n v="616"/>
    <n v="130"/>
    <n v="129"/>
    <n v="0.99229999999999996"/>
    <n v="1"/>
    <d v="1899-12-30T00:00:11"/>
    <d v="1899-12-30T00:02:30"/>
    <d v="1899-12-30T00:01:52"/>
    <n v="0.86919999999999997"/>
    <d v="1899-12-30T05:22:30"/>
    <d v="1900-01-12T10:30:00"/>
    <d v="1899-12-30T05:25:00"/>
    <d v="1900-01-12T13:00:00"/>
  </r>
  <r>
    <d v="2021-09-08T00:00:00"/>
    <x v="0"/>
    <x v="8"/>
    <x v="7"/>
    <x v="1"/>
    <n v="617"/>
    <n v="22"/>
    <n v="20"/>
    <n v="0.90910000000000002"/>
    <n v="2"/>
    <d v="1899-12-30T00:00:09"/>
    <d v="1899-12-30T00:03:15"/>
    <d v="1899-12-30T00:01:50"/>
    <n v="0.90480000000000005"/>
    <d v="1899-12-30T01:05:00"/>
    <d v="1900-01-01T17:00:00"/>
    <d v="1899-12-30T01:11:30"/>
    <d v="1900-01-01T23:30:00"/>
  </r>
  <r>
    <d v="2021-09-09T00:00:00"/>
    <x v="1"/>
    <x v="8"/>
    <x v="8"/>
    <x v="1"/>
    <n v="618"/>
    <n v="5"/>
    <n v="5"/>
    <n v="1"/>
    <n v="0"/>
    <d v="1899-12-30T00:00:28"/>
    <d v="1899-12-30T00:02:25"/>
    <d v="1899-12-30T00:01:14"/>
    <n v="0.6"/>
    <d v="1899-12-30T00:12:05"/>
    <d v="1899-12-30T12:05:00"/>
    <d v="1899-12-30T00:12:05"/>
    <d v="1899-12-30T12:05:00"/>
  </r>
  <r>
    <d v="2021-09-10T00:00:00"/>
    <x v="2"/>
    <x v="8"/>
    <x v="9"/>
    <x v="1"/>
    <n v="619"/>
    <n v="119"/>
    <n v="115"/>
    <n v="0.96640000000000004"/>
    <n v="4"/>
    <d v="1899-12-30T00:00:11"/>
    <d v="1899-12-30T00:02:28"/>
    <d v="1899-12-30T00:01:50"/>
    <n v="0.86439999999999995"/>
    <d v="1899-12-30T04:43:40"/>
    <d v="1900-01-10T19:40:00"/>
    <d v="1899-12-30T04:53:32"/>
    <d v="1900-01-11T05:32:00"/>
  </r>
  <r>
    <d v="2021-09-11T00:00:00"/>
    <x v="3"/>
    <x v="8"/>
    <x v="10"/>
    <x v="1"/>
    <n v="620"/>
    <n v="140"/>
    <n v="138"/>
    <n v="0.98570000000000002"/>
    <n v="2"/>
    <d v="1899-12-30T00:00:09"/>
    <d v="1899-12-30T00:02:17"/>
    <d v="1899-12-30T00:02:11"/>
    <n v="0.9214"/>
    <d v="1899-12-30T05:15:06"/>
    <d v="1900-01-12T03:06:00"/>
    <d v="1899-12-30T05:19:40"/>
    <d v="1900-01-12T07:40:00"/>
  </r>
  <r>
    <d v="2021-09-12T00:00:00"/>
    <x v="4"/>
    <x v="8"/>
    <x v="11"/>
    <x v="1"/>
    <n v="621"/>
    <n v="22"/>
    <n v="22"/>
    <n v="1"/>
    <n v="0"/>
    <d v="1899-12-30T00:00:06"/>
    <d v="1899-12-30T00:02:21"/>
    <d v="1899-12-30T00:00:48"/>
    <n v="0.90910000000000002"/>
    <d v="1899-12-30T00:51:42"/>
    <d v="1900-01-01T03:42:00"/>
    <d v="1899-12-30T00:51:42"/>
    <d v="1900-01-01T03:42:00"/>
  </r>
  <r>
    <d v="2021-09-13T00:00:00"/>
    <x v="5"/>
    <x v="8"/>
    <x v="12"/>
    <x v="1"/>
    <n v="622"/>
    <n v="126"/>
    <n v="124"/>
    <n v="0.98409999999999997"/>
    <n v="2"/>
    <d v="1899-12-30T00:00:08"/>
    <d v="1899-12-30T00:02:35"/>
    <d v="1899-12-30T00:00:58"/>
    <n v="0.94399999999999995"/>
    <d v="1899-12-30T05:20:20"/>
    <d v="1900-01-12T08:20:00"/>
    <d v="1899-12-30T05:25:30"/>
    <d v="1900-01-12T13:30:00"/>
  </r>
  <r>
    <d v="2021-09-14T00:00:00"/>
    <x v="6"/>
    <x v="8"/>
    <x v="13"/>
    <x v="1"/>
    <n v="623"/>
    <n v="122"/>
    <n v="111"/>
    <n v="0.90980000000000005"/>
    <n v="11"/>
    <d v="1899-12-30T00:00:13"/>
    <d v="1899-12-30T00:02:43"/>
    <d v="1899-12-30T00:02:13"/>
    <n v="0.77690000000000003"/>
    <d v="1899-12-30T05:01:33"/>
    <d v="1900-01-11T13:33:00"/>
    <d v="1899-12-30T05:31:26"/>
    <d v="1900-01-12T19:26:00"/>
  </r>
  <r>
    <d v="2021-09-15T00:00:00"/>
    <x v="0"/>
    <x v="8"/>
    <x v="14"/>
    <x v="1"/>
    <n v="624"/>
    <n v="113"/>
    <n v="108"/>
    <n v="0.95579999999999998"/>
    <n v="5"/>
    <d v="1899-12-30T00:00:13"/>
    <d v="1899-12-30T00:02:31"/>
    <d v="1899-12-30T00:01:27"/>
    <n v="0.82879999999999998"/>
    <d v="1899-12-30T04:31:48"/>
    <d v="1900-01-10T07:48:00"/>
    <d v="1899-12-30T04:44:23"/>
    <d v="1900-01-10T20:23:00"/>
  </r>
  <r>
    <d v="2021-09-16T00:00:00"/>
    <x v="1"/>
    <x v="8"/>
    <x v="15"/>
    <x v="1"/>
    <n v="625"/>
    <n v="119"/>
    <n v="109"/>
    <n v="0.91600000000000004"/>
    <n v="10"/>
    <d v="1899-12-30T00:00:17"/>
    <d v="1899-12-30T00:02:36"/>
    <d v="1899-12-30T00:05:15"/>
    <n v="0.83620000000000005"/>
    <d v="1899-12-30T04:43:24"/>
    <d v="1900-01-10T19:24:00"/>
    <d v="1899-12-30T05:09:24"/>
    <d v="1900-01-11T21:24:00"/>
  </r>
  <r>
    <d v="2021-09-17T00:00:00"/>
    <x v="2"/>
    <x v="8"/>
    <x v="16"/>
    <x v="1"/>
    <n v="626"/>
    <n v="134"/>
    <n v="119"/>
    <n v="0.8881"/>
    <n v="15"/>
    <d v="1899-12-30T00:00:24"/>
    <d v="1899-12-30T00:02:46"/>
    <d v="1899-12-30T00:02:45"/>
    <n v="0.63429999999999997"/>
    <d v="1899-12-30T05:29:14"/>
    <d v="1900-01-12T17:14:00"/>
    <d v="1899-12-30T06:10:44"/>
    <d v="1900-01-14T10:44:00"/>
  </r>
  <r>
    <d v="2021-09-18T00:00:00"/>
    <x v="3"/>
    <x v="8"/>
    <x v="17"/>
    <x v="1"/>
    <n v="627"/>
    <n v="101"/>
    <n v="97"/>
    <n v="0.96040000000000003"/>
    <n v="4"/>
    <d v="1899-12-30T00:00:16"/>
    <d v="1899-12-30T00:02:33"/>
    <d v="1899-12-30T00:01:38"/>
    <n v="0.77"/>
    <d v="1899-12-30T04:07:21"/>
    <d v="1900-01-09T07:21:00"/>
    <d v="1899-12-30T04:17:33"/>
    <d v="1900-01-09T17:33:00"/>
  </r>
  <r>
    <d v="2021-09-19T00:00:00"/>
    <x v="4"/>
    <x v="8"/>
    <x v="18"/>
    <x v="1"/>
    <n v="628"/>
    <n v="20"/>
    <n v="20"/>
    <n v="1"/>
    <n v="0"/>
    <d v="1899-12-30T00:00:04"/>
    <d v="1899-12-30T00:02:24"/>
    <d v="1899-12-30T00:00:18"/>
    <n v="1"/>
    <d v="1899-12-30T00:48:00"/>
    <d v="1900-01-01T00:00:00"/>
    <d v="1899-12-30T00:48:00"/>
    <d v="1900-01-01T00:00:00"/>
  </r>
  <r>
    <d v="2021-09-20T00:00:00"/>
    <x v="5"/>
    <x v="8"/>
    <x v="19"/>
    <x v="1"/>
    <n v="629"/>
    <n v="169"/>
    <n v="162"/>
    <n v="0.95860000000000001"/>
    <n v="7"/>
    <d v="1899-12-30T00:00:17"/>
    <d v="1899-12-30T00:02:32"/>
    <d v="1899-12-30T00:05:31"/>
    <n v="0.80120000000000002"/>
    <d v="1899-12-30T06:50:24"/>
    <d v="1900-01-16T02:24:00"/>
    <d v="1899-12-30T07:08:08"/>
    <d v="1900-01-16T20:08:00"/>
  </r>
  <r>
    <d v="2021-09-21T00:00:00"/>
    <x v="6"/>
    <x v="8"/>
    <x v="20"/>
    <x v="1"/>
    <n v="630"/>
    <n v="137"/>
    <n v="133"/>
    <n v="0.9708"/>
    <n v="4"/>
    <d v="1899-12-30T00:00:29"/>
    <d v="1899-12-30T00:02:37"/>
    <d v="1899-12-30T00:02:42"/>
    <n v="0.62039999999999995"/>
    <d v="1899-12-30T05:48:01"/>
    <d v="1900-01-13T12:01:00"/>
    <d v="1899-12-30T05:58:29"/>
    <d v="1900-01-13T22:29:00"/>
  </r>
  <r>
    <d v="2021-09-22T00:00:00"/>
    <x v="0"/>
    <x v="8"/>
    <x v="21"/>
    <x v="1"/>
    <n v="631"/>
    <n v="133"/>
    <n v="127"/>
    <n v="0.95489999999999997"/>
    <n v="6"/>
    <d v="1899-12-30T00:00:18"/>
    <d v="1899-12-30T00:02:39"/>
    <d v="1899-12-30T00:04:36"/>
    <n v="0.81950000000000001"/>
    <d v="1899-12-30T05:36:33"/>
    <d v="1900-01-13T00:33:00"/>
    <d v="1899-12-30T05:52:27"/>
    <d v="1900-01-13T16:27:00"/>
  </r>
  <r>
    <d v="2021-09-23T00:00:00"/>
    <x v="1"/>
    <x v="8"/>
    <x v="22"/>
    <x v="1"/>
    <n v="632"/>
    <n v="184"/>
    <n v="179"/>
    <n v="0.9728"/>
    <n v="5"/>
    <d v="1899-12-30T00:00:10"/>
    <d v="1899-12-30T00:02:03"/>
    <d v="1899-12-30T00:02:44"/>
    <n v="0.90559999999999996"/>
    <d v="1899-12-30T06:06:57"/>
    <d v="1900-01-14T06:57:00"/>
    <d v="1899-12-30T06:17:12"/>
    <d v="1900-01-14T17:12:00"/>
  </r>
  <r>
    <d v="2021-09-24T00:00:00"/>
    <x v="2"/>
    <x v="8"/>
    <x v="23"/>
    <x v="1"/>
    <n v="633"/>
    <n v="145"/>
    <n v="135"/>
    <n v="0.93100000000000005"/>
    <n v="10"/>
    <d v="1899-12-30T00:00:21"/>
    <d v="1899-12-30T00:02:35"/>
    <d v="1899-12-30T00:03:10"/>
    <n v="0.74129999999999996"/>
    <d v="1899-12-30T05:48:45"/>
    <d v="1900-01-13T12:45:00"/>
    <d v="1899-12-30T06:14:35"/>
    <d v="1900-01-14T14:35:00"/>
  </r>
  <r>
    <d v="2021-09-25T00:00:00"/>
    <x v="3"/>
    <x v="8"/>
    <x v="24"/>
    <x v="1"/>
    <n v="634"/>
    <n v="114"/>
    <n v="108"/>
    <n v="0.94740000000000002"/>
    <n v="6"/>
    <d v="1899-12-30T00:00:14"/>
    <d v="1899-12-30T00:02:31"/>
    <d v="1899-12-30T00:02:33"/>
    <n v="0.82879999999999998"/>
    <d v="1899-12-30T04:31:48"/>
    <d v="1900-01-10T07:48:00"/>
    <d v="1899-12-30T04:46:54"/>
    <d v="1900-01-10T22:54:00"/>
  </r>
  <r>
    <d v="2021-09-26T00:00:00"/>
    <x v="4"/>
    <x v="8"/>
    <x v="25"/>
    <x v="1"/>
    <n v="635"/>
    <n v="24"/>
    <n v="23"/>
    <n v="0.95830000000000004"/>
    <n v="1"/>
    <d v="1899-12-30T00:00:05"/>
    <d v="1899-12-30T00:02:12"/>
    <d v="1899-12-30T00:00:55"/>
    <n v="0.95830000000000004"/>
    <d v="1899-12-30T00:50:36"/>
    <d v="1900-01-01T02:36:00"/>
    <d v="1899-12-30T00:52:48"/>
    <d v="1900-01-01T04:48:00"/>
  </r>
  <r>
    <d v="2021-09-27T00:00:00"/>
    <x v="5"/>
    <x v="8"/>
    <x v="26"/>
    <x v="1"/>
    <n v="636"/>
    <n v="143"/>
    <n v="136"/>
    <n v="0.95099999999999996"/>
    <n v="7"/>
    <d v="1899-12-30T00:00:09"/>
    <d v="1899-12-30T00:02:32"/>
    <d v="1899-12-30T00:05:30"/>
    <n v="0.84509999999999996"/>
    <d v="1899-12-30T05:44:32"/>
    <d v="1900-01-13T08:32:00"/>
    <d v="1899-12-30T06:02:16"/>
    <d v="1900-01-14T02:16:00"/>
  </r>
  <r>
    <d v="2021-09-28T00:00:00"/>
    <x v="6"/>
    <x v="8"/>
    <x v="27"/>
    <x v="1"/>
    <n v="637"/>
    <n v="119"/>
    <n v="114"/>
    <n v="0.95799999999999996"/>
    <n v="5"/>
    <d v="1899-12-30T00:00:08"/>
    <d v="1899-12-30T00:02:22"/>
    <d v="1899-12-30T00:01:19"/>
    <n v="0.90600000000000003"/>
    <d v="1899-12-30T04:29:48"/>
    <d v="1900-01-10T05:48:00"/>
    <d v="1899-12-30T04:41:38"/>
    <d v="1900-01-10T17:38:00"/>
  </r>
  <r>
    <d v="2021-09-29T00:00:00"/>
    <x v="0"/>
    <x v="8"/>
    <x v="28"/>
    <x v="1"/>
    <n v="638"/>
    <n v="123"/>
    <n v="118"/>
    <n v="0.95930000000000004"/>
    <n v="5"/>
    <d v="1899-12-30T00:00:21"/>
    <d v="1899-12-30T00:02:46"/>
    <d v="1899-12-30T00:02:44"/>
    <n v="0.70730000000000004"/>
    <d v="1899-12-30T05:26:28"/>
    <d v="1900-01-12T14:28:00"/>
    <d v="1899-12-30T05:40:18"/>
    <d v="1900-01-13T04:18:00"/>
  </r>
  <r>
    <d v="2021-09-30T00:00:00"/>
    <x v="1"/>
    <x v="8"/>
    <x v="29"/>
    <x v="1"/>
    <n v="639"/>
    <n v="145"/>
    <n v="141"/>
    <n v="0.97240000000000004"/>
    <n v="4"/>
    <d v="1899-12-30T00:00:14"/>
    <d v="1899-12-30T00:02:36"/>
    <d v="1899-12-30T00:01:50"/>
    <n v="0.83330000000000004"/>
    <d v="1899-12-30T06:06:36"/>
    <d v="1900-01-14T06:36:00"/>
    <d v="1899-12-30T06:17:00"/>
    <d v="1900-01-14T17:00:00"/>
  </r>
  <r>
    <d v="2021-10-01T00:00:00"/>
    <x v="2"/>
    <x v="9"/>
    <x v="0"/>
    <x v="1"/>
    <n v="640"/>
    <n v="108"/>
    <n v="106"/>
    <n v="0.98150000000000004"/>
    <n v="2"/>
    <d v="1899-12-30T00:00:26"/>
    <d v="1899-12-30T00:02:50"/>
    <d v="1899-12-30T00:04:57"/>
    <n v="0.68220000000000003"/>
    <d v="1899-12-30T05:00:20"/>
    <d v="1900-01-11T12:20:00"/>
    <d v="1899-12-30T05:06:00"/>
    <d v="1900-01-11T18:00:00"/>
  </r>
  <r>
    <d v="2021-10-02T00:00:00"/>
    <x v="3"/>
    <x v="9"/>
    <x v="1"/>
    <x v="1"/>
    <n v="641"/>
    <n v="128"/>
    <n v="125"/>
    <n v="0.97660000000000002"/>
    <n v="3"/>
    <d v="1899-12-30T00:00:13"/>
    <d v="1899-12-30T00:02:45"/>
    <d v="1899-12-30T00:01:42"/>
    <n v="0.82679999999999998"/>
    <d v="1899-12-30T05:43:45"/>
    <d v="1900-01-13T07:45:00"/>
    <d v="1899-12-30T05:52:00"/>
    <d v="1900-01-13T16:00:00"/>
  </r>
  <r>
    <d v="2021-10-03T00:00:00"/>
    <x v="4"/>
    <x v="9"/>
    <x v="2"/>
    <x v="1"/>
    <n v="642"/>
    <n v="27"/>
    <n v="26"/>
    <n v="0.96299999999999997"/>
    <n v="1"/>
    <d v="1899-12-30T00:00:20"/>
    <d v="1899-12-30T00:02:51"/>
    <d v="1899-12-30T00:02:40"/>
    <n v="0.84619999999999995"/>
    <d v="1899-12-30T01:14:06"/>
    <d v="1900-01-02T02:06:00"/>
    <d v="1899-12-30T01:16:57"/>
    <d v="1900-01-02T04:57:00"/>
  </r>
  <r>
    <d v="2021-10-04T00:00:00"/>
    <x v="5"/>
    <x v="9"/>
    <x v="3"/>
    <x v="1"/>
    <n v="643"/>
    <n v="155"/>
    <n v="151"/>
    <n v="0.97419999999999995"/>
    <n v="4"/>
    <d v="1899-12-30T00:00:11"/>
    <d v="1899-12-30T00:02:32"/>
    <d v="1899-12-30T00:02:18"/>
    <n v="0.89610000000000001"/>
    <d v="1899-12-30T06:22:32"/>
    <d v="1900-01-14T22:32:00"/>
    <d v="1899-12-30T06:32:40"/>
    <d v="1900-01-15T08:40:00"/>
  </r>
  <r>
    <d v="2021-10-05T00:00:00"/>
    <x v="6"/>
    <x v="9"/>
    <x v="4"/>
    <x v="1"/>
    <n v="644"/>
    <n v="116"/>
    <n v="110"/>
    <n v="0.94830000000000003"/>
    <n v="6"/>
    <d v="1899-12-30T00:00:18"/>
    <d v="1899-12-30T00:02:23"/>
    <d v="1899-12-30T00:02:47"/>
    <n v="0.75"/>
    <d v="1899-12-30T04:22:10"/>
    <d v="1900-01-09T22:10:00"/>
    <d v="1899-12-30T04:36:28"/>
    <d v="1900-01-10T12:28:00"/>
  </r>
  <r>
    <d v="2021-10-06T00:00:00"/>
    <x v="0"/>
    <x v="9"/>
    <x v="5"/>
    <x v="1"/>
    <n v="645"/>
    <n v="117"/>
    <n v="111"/>
    <n v="0.94869999999999999"/>
    <n v="6"/>
    <d v="1899-12-30T00:00:18"/>
    <d v="1899-12-30T00:02:43"/>
    <d v="1899-12-30T00:02:06"/>
    <n v="0.76519999999999999"/>
    <d v="1899-12-30T05:01:33"/>
    <d v="1900-01-11T13:33:00"/>
    <d v="1899-12-30T05:17:51"/>
    <d v="1900-01-12T05:51:00"/>
  </r>
  <r>
    <d v="2021-10-07T00:00:00"/>
    <x v="1"/>
    <x v="9"/>
    <x v="6"/>
    <x v="1"/>
    <n v="646"/>
    <n v="113"/>
    <n v="105"/>
    <n v="0.92920000000000003"/>
    <n v="8"/>
    <d v="1899-12-30T00:00:31"/>
    <d v="1899-12-30T00:02:37"/>
    <d v="1899-12-30T00:03:40"/>
    <n v="0.53979999999999995"/>
    <d v="1899-12-30T04:34:45"/>
    <d v="1900-01-10T10:45:00"/>
    <d v="1899-12-30T04:55:41"/>
    <d v="1900-01-11T07:41:00"/>
  </r>
  <r>
    <d v="2021-10-08T00:00:00"/>
    <x v="2"/>
    <x v="9"/>
    <x v="7"/>
    <x v="1"/>
    <n v="647"/>
    <n v="107"/>
    <n v="101"/>
    <n v="0.94389999999999996"/>
    <n v="6"/>
    <d v="1899-12-30T00:00:23"/>
    <d v="1899-12-30T00:02:44"/>
    <d v="1899-12-30T00:03:11"/>
    <n v="0.73580000000000001"/>
    <d v="1899-12-30T04:36:04"/>
    <d v="1900-01-10T12:04:00"/>
    <d v="1899-12-30T04:52:28"/>
    <d v="1900-01-11T04:28:00"/>
  </r>
  <r>
    <d v="2021-10-09T00:00:00"/>
    <x v="3"/>
    <x v="9"/>
    <x v="8"/>
    <x v="1"/>
    <n v="648"/>
    <n v="146"/>
    <n v="141"/>
    <n v="0.96579999999999999"/>
    <n v="5"/>
    <d v="1899-12-30T00:00:25"/>
    <d v="1899-12-30T00:02:22"/>
    <d v="1899-12-30T00:02:46"/>
    <n v="0.65749999999999997"/>
    <d v="1899-12-30T05:33:42"/>
    <d v="1900-01-12T21:42:00"/>
    <d v="1899-12-30T05:45:32"/>
    <d v="1900-01-13T09:32:00"/>
  </r>
  <r>
    <d v="2021-10-10T00:00:00"/>
    <x v="4"/>
    <x v="9"/>
    <x v="9"/>
    <x v="1"/>
    <n v="649"/>
    <n v="29"/>
    <n v="26"/>
    <n v="0.89659999999999995"/>
    <n v="3"/>
    <d v="1899-12-30T00:00:09"/>
    <d v="1899-12-30T00:02:37"/>
    <d v="1899-12-30T00:01:50"/>
    <n v="0.85709999999999997"/>
    <d v="1899-12-30T01:08:02"/>
    <d v="1900-01-01T20:02:00"/>
    <d v="1899-12-30T01:15:53"/>
    <d v="1900-01-02T03:53:00"/>
  </r>
  <r>
    <d v="2021-10-11T00:00:00"/>
    <x v="5"/>
    <x v="9"/>
    <x v="10"/>
    <x v="1"/>
    <n v="650"/>
    <n v="231"/>
    <n v="228"/>
    <n v="0.98699999999999999"/>
    <n v="3"/>
    <d v="1899-12-30T00:00:15"/>
    <d v="1899-12-30T00:02:09"/>
    <d v="1899-12-30T00:03:26"/>
    <n v="0.81389999999999996"/>
    <d v="1899-12-30T08:10:12"/>
    <d v="1900-01-19T10:12:00"/>
    <d v="1899-12-30T08:16:39"/>
    <d v="1900-01-19T16:39:00"/>
  </r>
  <r>
    <d v="2021-10-12T00:00:00"/>
    <x v="6"/>
    <x v="9"/>
    <x v="11"/>
    <x v="1"/>
    <n v="651"/>
    <n v="239"/>
    <n v="215"/>
    <n v="0.89959999999999996"/>
    <n v="24"/>
    <d v="1899-12-30T00:00:23"/>
    <d v="1899-12-30T00:02:36"/>
    <d v="1899-12-30T00:04:35"/>
    <n v="0.66669999999999996"/>
    <d v="1899-12-30T09:19:00"/>
    <d v="1900-01-22T07:00:00"/>
    <d v="1899-12-30T10:21:24"/>
    <d v="1900-01-24T21:24:00"/>
  </r>
  <r>
    <d v="2021-10-13T00:00:00"/>
    <x v="0"/>
    <x v="9"/>
    <x v="12"/>
    <x v="1"/>
    <n v="652"/>
    <n v="174"/>
    <n v="154"/>
    <n v="0.8851"/>
    <n v="20"/>
    <d v="1899-12-30T00:00:29"/>
    <d v="1899-12-30T00:02:40"/>
    <d v="1899-12-30T00:05:08"/>
    <n v="0.61309999999999998"/>
    <d v="1899-12-30T06:50:40"/>
    <d v="1900-01-16T02:40:00"/>
    <d v="1899-12-30T07:44:00"/>
    <d v="1900-01-18T08:00:00"/>
  </r>
  <r>
    <d v="2021-10-14T00:00:00"/>
    <x v="1"/>
    <x v="9"/>
    <x v="13"/>
    <x v="1"/>
    <n v="653"/>
    <n v="168"/>
    <n v="163"/>
    <n v="0.97019999999999995"/>
    <n v="5"/>
    <d v="1899-12-30T00:00:21"/>
    <d v="1899-12-30T00:02:49"/>
    <d v="1899-12-30T00:02:45"/>
    <n v="0.70660000000000001"/>
    <d v="1899-12-30T07:39:07"/>
    <d v="1900-01-18T03:07:00"/>
    <d v="1899-12-30T07:53:12"/>
    <d v="1900-01-18T17:12:00"/>
  </r>
  <r>
    <d v="2021-10-15T00:00:00"/>
    <x v="2"/>
    <x v="9"/>
    <x v="14"/>
    <x v="1"/>
    <n v="654"/>
    <n v="135"/>
    <n v="128"/>
    <n v="0.94810000000000005"/>
    <n v="7"/>
    <d v="1899-12-30T00:00:18"/>
    <d v="1899-12-30T00:02:36"/>
    <d v="1899-12-30T00:05:30"/>
    <n v="0.72589999999999999"/>
    <d v="1899-12-30T05:32:48"/>
    <d v="1900-01-12T20:48:00"/>
    <d v="1899-12-30T05:51:00"/>
    <d v="1900-01-13T15:00:00"/>
  </r>
  <r>
    <d v="2021-10-16T00:00:00"/>
    <x v="3"/>
    <x v="9"/>
    <x v="15"/>
    <x v="1"/>
    <n v="655"/>
    <n v="122"/>
    <n v="113"/>
    <n v="0.92620000000000002"/>
    <n v="9"/>
    <d v="1899-12-30T00:00:30"/>
    <d v="1899-12-30T00:02:49"/>
    <d v="1899-12-30T00:03:40"/>
    <n v="0.61160000000000003"/>
    <d v="1899-12-30T05:18:17"/>
    <d v="1900-01-12T06:17:00"/>
    <d v="1899-12-30T05:43:38"/>
    <d v="1900-01-13T07:38:00"/>
  </r>
  <r>
    <d v="2021-10-17T00:00:00"/>
    <x v="4"/>
    <x v="9"/>
    <x v="16"/>
    <x v="1"/>
    <n v="656"/>
    <n v="13"/>
    <n v="12"/>
    <n v="0.92310000000000003"/>
    <n v="1"/>
    <d v="1899-12-30T00:00:24"/>
    <d v="1899-12-30T00:02:45"/>
    <d v="1899-12-30T00:01:12"/>
    <n v="0.66669999999999996"/>
    <d v="1899-12-30T00:33:00"/>
    <d v="1899-12-31T09:00:00"/>
    <d v="1899-12-30T00:35:45"/>
    <d v="1899-12-31T11:45:00"/>
  </r>
  <r>
    <d v="2021-10-18T00:00:00"/>
    <x v="5"/>
    <x v="9"/>
    <x v="17"/>
    <x v="1"/>
    <n v="657"/>
    <n v="20"/>
    <n v="18"/>
    <n v="0.9"/>
    <n v="2"/>
    <d v="1899-12-30T00:00:23"/>
    <d v="1899-12-30T00:02:43"/>
    <d v="1899-12-30T00:02:44"/>
    <n v="0.73680000000000001"/>
    <d v="1899-12-30T00:48:54"/>
    <d v="1900-01-01T00:54:00"/>
    <d v="1899-12-30T00:54:20"/>
    <d v="1900-01-01T06:20:00"/>
  </r>
  <r>
    <d v="2021-10-19T00:00:00"/>
    <x v="6"/>
    <x v="9"/>
    <x v="18"/>
    <x v="1"/>
    <n v="658"/>
    <n v="152"/>
    <n v="141"/>
    <n v="0.92759999999999998"/>
    <n v="11"/>
    <d v="1899-12-30T00:00:22"/>
    <d v="1899-12-30T00:02:41"/>
    <d v="1899-12-30T00:04:29"/>
    <n v="0.7"/>
    <d v="1899-12-30T06:18:21"/>
    <d v="1900-01-14T18:21:00"/>
    <d v="1899-12-30T06:47:52"/>
    <d v="1900-01-15T23:52:00"/>
  </r>
  <r>
    <d v="2021-10-20T00:00:00"/>
    <x v="0"/>
    <x v="9"/>
    <x v="19"/>
    <x v="1"/>
    <n v="659"/>
    <n v="132"/>
    <n v="131"/>
    <n v="0.99239999999999995"/>
    <n v="1"/>
    <d v="1899-12-30T00:00:12"/>
    <d v="1899-12-30T00:02:39"/>
    <d v="1899-12-30T00:02:00"/>
    <n v="0.87019999999999997"/>
    <d v="1899-12-30T05:47:09"/>
    <d v="1900-01-13T11:09:00"/>
    <d v="1899-12-30T05:49:48"/>
    <d v="1900-01-13T13:48:00"/>
  </r>
  <r>
    <d v="2021-10-21T00:00:00"/>
    <x v="1"/>
    <x v="9"/>
    <x v="20"/>
    <x v="1"/>
    <n v="660"/>
    <n v="180"/>
    <n v="171"/>
    <n v="0.95"/>
    <n v="9"/>
    <d v="1899-12-30T00:00:21"/>
    <d v="1899-12-30T00:02:51"/>
    <d v="1899-12-30T00:02:39"/>
    <n v="0.71909999999999996"/>
    <d v="1899-12-30T08:07:21"/>
    <d v="1900-01-19T07:21:00"/>
    <d v="1899-12-30T08:33:00"/>
    <d v="1900-01-20T09:00:00"/>
  </r>
  <r>
    <d v="2021-10-22T00:00:00"/>
    <x v="2"/>
    <x v="9"/>
    <x v="21"/>
    <x v="1"/>
    <n v="661"/>
    <n v="193"/>
    <n v="189"/>
    <n v="0.97929999999999995"/>
    <n v="4"/>
    <d v="1899-12-30T00:00:13"/>
    <d v="1899-12-30T00:02:35"/>
    <d v="1899-12-30T00:02:26"/>
    <n v="0.82899999999999996"/>
    <d v="1899-12-30T08:08:15"/>
    <d v="1900-01-19T08:15:00"/>
    <d v="1899-12-30T08:18:35"/>
    <d v="1900-01-19T18:35:00"/>
  </r>
  <r>
    <d v="2021-10-23T00:00:00"/>
    <x v="3"/>
    <x v="9"/>
    <x v="22"/>
    <x v="1"/>
    <n v="662"/>
    <n v="245"/>
    <n v="236"/>
    <n v="0.96330000000000005"/>
    <n v="9"/>
    <d v="1899-12-30T00:00:13"/>
    <d v="1899-12-30T00:02:44"/>
    <d v="1899-12-30T00:02:20"/>
    <n v="0.82789999999999997"/>
    <d v="1899-12-30T10:45:04"/>
    <d v="1900-01-25T21:04:00"/>
    <d v="1899-12-30T11:09:40"/>
    <d v="1900-01-26T21:40:00"/>
  </r>
  <r>
    <d v="2021-10-24T00:00:00"/>
    <x v="4"/>
    <x v="9"/>
    <x v="23"/>
    <x v="1"/>
    <n v="663"/>
    <n v="35"/>
    <n v="34"/>
    <n v="0.97140000000000004"/>
    <n v="1"/>
    <d v="1899-12-30T00:00:11"/>
    <d v="1899-12-30T00:02:11"/>
    <d v="1899-12-30T00:01:44"/>
    <n v="0.88239999999999996"/>
    <d v="1899-12-30T01:14:14"/>
    <d v="1900-01-02T02:14:00"/>
    <d v="1899-12-30T01:16:25"/>
    <d v="1900-01-02T04:25:00"/>
  </r>
  <r>
    <d v="2021-10-25T00:00:00"/>
    <x v="5"/>
    <x v="9"/>
    <x v="24"/>
    <x v="1"/>
    <n v="664"/>
    <n v="198"/>
    <n v="190"/>
    <n v="0.95960000000000001"/>
    <n v="8"/>
    <d v="1899-12-30T00:00:12"/>
    <d v="1899-12-30T00:02:38"/>
    <d v="1899-12-30T00:01:22"/>
    <n v="0.84689999999999999"/>
    <d v="1899-12-30T08:20:20"/>
    <d v="1900-01-19T20:20:00"/>
    <d v="1899-12-30T08:41:24"/>
    <d v="1900-01-20T17:24:00"/>
  </r>
  <r>
    <d v="2021-10-26T00:00:00"/>
    <x v="6"/>
    <x v="9"/>
    <x v="25"/>
    <x v="1"/>
    <n v="665"/>
    <n v="47"/>
    <n v="47"/>
    <n v="1"/>
    <n v="0"/>
    <d v="1899-12-30T00:00:06"/>
    <d v="1899-12-30T00:02:09"/>
    <d v="1899-12-30T00:00:57"/>
    <n v="0.93620000000000003"/>
    <d v="1899-12-30T01:41:03"/>
    <d v="1900-01-03T05:03:00"/>
    <d v="1899-12-30T01:41:03"/>
    <d v="1900-01-03T05:03:00"/>
  </r>
  <r>
    <d v="2021-10-27T00:00:00"/>
    <x v="0"/>
    <x v="9"/>
    <x v="26"/>
    <x v="1"/>
    <n v="666"/>
    <n v="187"/>
    <n v="186"/>
    <n v="0.99470000000000003"/>
    <n v="1"/>
    <d v="1899-12-30T00:00:07"/>
    <d v="1899-12-30T00:02:30"/>
    <d v="1899-12-30T00:02:45"/>
    <n v="0.93579999999999997"/>
    <d v="1899-12-30T07:45:00"/>
    <d v="1900-01-18T09:00:00"/>
    <d v="1899-12-30T07:47:30"/>
    <d v="1900-01-18T11:30:00"/>
  </r>
  <r>
    <d v="2021-10-28T00:00:00"/>
    <x v="1"/>
    <x v="9"/>
    <x v="27"/>
    <x v="1"/>
    <n v="667"/>
    <n v="57"/>
    <n v="54"/>
    <n v="0.94740000000000002"/>
    <n v="3"/>
    <d v="1899-12-30T00:00:07"/>
    <d v="1899-12-30T00:02:37"/>
    <d v="1899-12-30T00:00:55"/>
    <n v="0.91069999999999995"/>
    <d v="1899-12-30T02:21:18"/>
    <d v="1900-01-04T21:18:00"/>
    <d v="1899-12-30T02:29:09"/>
    <d v="1900-01-05T05:09:00"/>
  </r>
  <r>
    <d v="2021-10-29T00:00:00"/>
    <x v="2"/>
    <x v="9"/>
    <x v="28"/>
    <x v="1"/>
    <n v="668"/>
    <n v="169"/>
    <n v="162"/>
    <n v="0.95860000000000001"/>
    <n v="7"/>
    <d v="1899-12-30T00:00:09"/>
    <d v="1899-12-30T00:02:39"/>
    <d v="1899-12-30T00:01:50"/>
    <n v="0.88170000000000004"/>
    <d v="1899-12-30T07:09:18"/>
    <d v="1900-01-16T21:18:00"/>
    <d v="1899-12-30T07:27:51"/>
    <d v="1900-01-17T15:51:00"/>
  </r>
  <r>
    <d v="2021-10-30T00:00:00"/>
    <x v="3"/>
    <x v="9"/>
    <x v="29"/>
    <x v="1"/>
    <n v="669"/>
    <n v="337"/>
    <n v="316"/>
    <n v="0.93769999999999998"/>
    <n v="21"/>
    <d v="1899-12-30T00:00:23"/>
    <d v="1899-12-30T00:02:13"/>
    <d v="1899-12-30T00:05:17"/>
    <n v="0.72919999999999996"/>
    <d v="1899-12-30T11:40:28"/>
    <d v="1900-01-28T04:28:00"/>
    <d v="1899-12-30T12:27:01"/>
    <d v="1900-01-30T03:01:00"/>
  </r>
  <r>
    <d v="2021-10-31T00:00:00"/>
    <x v="4"/>
    <x v="9"/>
    <x v="30"/>
    <x v="1"/>
    <n v="670"/>
    <n v="44"/>
    <n v="43"/>
    <n v="0.97729999999999995"/>
    <n v="1"/>
    <d v="1899-12-30T00:00:09"/>
    <d v="1899-12-30T00:02:35"/>
    <d v="1899-12-30T00:01:50"/>
    <n v="0.84089999999999998"/>
    <d v="1899-12-30T01:51:05"/>
    <d v="1900-01-03T15:05:00"/>
    <d v="1899-12-30T01:53:40"/>
    <d v="1900-01-03T17:40:00"/>
  </r>
  <r>
    <d v="2021-11-01T00:00:00"/>
    <x v="5"/>
    <x v="10"/>
    <x v="0"/>
    <x v="1"/>
    <n v="671"/>
    <n v="210"/>
    <n v="206"/>
    <n v="0.98099999999999998"/>
    <n v="4"/>
    <d v="1899-12-30T00:00:12"/>
    <d v="1899-12-30T00:02:39"/>
    <d v="1899-12-30T00:02:32"/>
    <n v="0.87080000000000002"/>
    <d v="1899-12-30T09:05:54"/>
    <d v="1900-01-21T17:54:00"/>
    <d v="1899-12-30T09:16:30"/>
    <d v="1900-01-22T04:30:00"/>
  </r>
  <r>
    <d v="2021-11-02T00:00:00"/>
    <x v="6"/>
    <x v="10"/>
    <x v="1"/>
    <x v="1"/>
    <n v="672"/>
    <n v="190"/>
    <n v="186"/>
    <n v="0.97889999999999999"/>
    <n v="4"/>
    <d v="1899-12-30T00:00:17"/>
    <d v="1899-12-30T00:02:22"/>
    <d v="1899-12-30T00:04:53"/>
    <n v="0.84130000000000005"/>
    <d v="1899-12-30T07:20:12"/>
    <d v="1900-01-17T08:12:00"/>
    <d v="1899-12-30T07:29:40"/>
    <d v="1900-01-17T17:40:00"/>
  </r>
  <r>
    <d v="2021-11-03T00:00:00"/>
    <x v="0"/>
    <x v="10"/>
    <x v="2"/>
    <x v="1"/>
    <n v="673"/>
    <n v="190"/>
    <n v="182"/>
    <n v="0.95789999999999997"/>
    <n v="8"/>
    <d v="1899-12-30T00:00:10"/>
    <d v="1899-12-30T00:02:40"/>
    <d v="1899-12-30T00:01:38"/>
    <n v="0.87029999999999996"/>
    <d v="1899-12-30T08:05:20"/>
    <d v="1900-01-19T05:20:00"/>
    <d v="1899-12-30T08:26:40"/>
    <d v="1900-01-20T02:40:00"/>
  </r>
  <r>
    <d v="2021-11-04T00:00:00"/>
    <x v="1"/>
    <x v="10"/>
    <x v="3"/>
    <x v="1"/>
    <n v="674"/>
    <n v="169"/>
    <n v="168"/>
    <n v="0.99409999999999998"/>
    <n v="1"/>
    <d v="1899-12-30T00:00:11"/>
    <d v="1899-12-30T00:02:25"/>
    <d v="1899-12-30T00:01:48"/>
    <n v="0.88170000000000004"/>
    <d v="1899-12-30T06:46:00"/>
    <d v="1900-01-15T22:00:00"/>
    <d v="1899-12-30T06:48:25"/>
    <d v="1900-01-16T00:25:00"/>
  </r>
  <r>
    <d v="2021-11-05T00:00:00"/>
    <x v="2"/>
    <x v="10"/>
    <x v="4"/>
    <x v="1"/>
    <n v="675"/>
    <n v="52"/>
    <n v="50"/>
    <n v="0.96150000000000002"/>
    <n v="2"/>
    <d v="1899-12-30T00:00:06"/>
    <d v="1899-12-30T00:02:34"/>
    <d v="1899-12-30T00:00:58"/>
    <n v="0.92159999999999997"/>
    <d v="1899-12-30T02:08:20"/>
    <d v="1900-01-04T08:20:00"/>
    <d v="1899-12-30T02:13:28"/>
    <d v="1900-01-04T13:28:00"/>
  </r>
  <r>
    <d v="2021-11-06T00:00:00"/>
    <x v="3"/>
    <x v="10"/>
    <x v="5"/>
    <x v="1"/>
    <n v="676"/>
    <n v="144"/>
    <n v="137"/>
    <n v="0.95140000000000002"/>
    <n v="7"/>
    <d v="1899-12-30T00:00:14"/>
    <d v="1899-12-30T00:02:36"/>
    <d v="1899-12-30T00:02:56"/>
    <n v="0.77080000000000004"/>
    <d v="1899-12-30T05:56:12"/>
    <d v="1900-01-13T20:12:00"/>
    <d v="1899-12-30T06:14:24"/>
    <d v="1900-01-14T14:24:00"/>
  </r>
  <r>
    <d v="2021-11-07T00:00:00"/>
    <x v="4"/>
    <x v="10"/>
    <x v="6"/>
    <x v="1"/>
    <n v="677"/>
    <n v="36"/>
    <n v="36"/>
    <n v="1"/>
    <n v="0"/>
    <d v="1899-12-30T00:00:15"/>
    <d v="1899-12-30T00:02:53"/>
    <d v="1899-12-30T00:01:41"/>
    <n v="0.80559999999999998"/>
    <d v="1899-12-30T01:43:48"/>
    <d v="1900-01-03T07:48:00"/>
    <d v="1899-12-30T01:43:48"/>
    <d v="1900-01-03T07:48:00"/>
  </r>
  <r>
    <d v="2021-11-08T00:00:00"/>
    <x v="5"/>
    <x v="10"/>
    <x v="7"/>
    <x v="1"/>
    <n v="678"/>
    <n v="155"/>
    <n v="148"/>
    <n v="0.95479999999999998"/>
    <n v="7"/>
    <d v="1899-12-30T00:00:14"/>
    <d v="1899-12-30T00:02:26"/>
    <d v="1899-12-30T00:03:23"/>
    <n v="0.81289999999999996"/>
    <d v="1899-12-30T06:00:08"/>
    <d v="1900-01-14T00:08:00"/>
    <d v="1899-12-30T06:17:10"/>
    <d v="1900-01-14T17:10:00"/>
  </r>
  <r>
    <d v="2021-11-09T00:00:00"/>
    <x v="6"/>
    <x v="10"/>
    <x v="8"/>
    <x v="1"/>
    <n v="679"/>
    <n v="159"/>
    <n v="154"/>
    <n v="0.96860000000000002"/>
    <n v="5"/>
    <d v="1899-12-30T00:00:16"/>
    <d v="1899-12-30T00:02:41"/>
    <d v="1899-12-30T00:02:12"/>
    <n v="0.78620000000000001"/>
    <d v="1899-12-30T06:53:14"/>
    <d v="1900-01-16T05:14:00"/>
    <d v="1899-12-30T07:06:39"/>
    <d v="1900-01-16T18:39:00"/>
  </r>
  <r>
    <d v="2021-11-10T00:00:00"/>
    <x v="0"/>
    <x v="10"/>
    <x v="9"/>
    <x v="1"/>
    <n v="680"/>
    <n v="115"/>
    <n v="110"/>
    <n v="0.95650000000000002"/>
    <n v="5"/>
    <d v="1899-12-30T00:00:14"/>
    <d v="1899-12-30T00:02:28"/>
    <d v="1899-12-30T00:02:17"/>
    <n v="0.83189999999999997"/>
    <d v="1899-12-30T04:31:20"/>
    <d v="1900-01-10T07:20:00"/>
    <d v="1899-12-30T04:43:40"/>
    <d v="1900-01-10T19:40:00"/>
  </r>
  <r>
    <d v="2021-11-11T00:00:00"/>
    <x v="1"/>
    <x v="10"/>
    <x v="10"/>
    <x v="1"/>
    <n v="681"/>
    <n v="186"/>
    <n v="173"/>
    <n v="0.93010000000000004"/>
    <n v="13"/>
    <d v="1899-12-30T00:00:19"/>
    <d v="1899-12-30T00:02:39"/>
    <d v="1899-12-30T00:02:44"/>
    <n v="0.73509999999999998"/>
    <d v="1899-12-30T07:38:27"/>
    <d v="1900-01-18T02:27:00"/>
    <d v="1899-12-30T08:12:54"/>
    <d v="1900-01-19T12:54:00"/>
  </r>
  <r>
    <d v="2021-11-12T00:00:00"/>
    <x v="2"/>
    <x v="10"/>
    <x v="11"/>
    <x v="1"/>
    <n v="682"/>
    <n v="167"/>
    <n v="157"/>
    <n v="0.94010000000000005"/>
    <n v="10"/>
    <d v="1899-12-30T00:00:23"/>
    <d v="1899-12-30T00:02:32"/>
    <d v="1899-12-30T00:02:49"/>
    <n v="0.67679999999999996"/>
    <d v="1899-12-30T06:37:44"/>
    <d v="1900-01-15T13:44:00"/>
    <d v="1899-12-30T07:03:04"/>
    <d v="1900-01-16T15:04:00"/>
  </r>
  <r>
    <d v="2021-11-13T00:00:00"/>
    <x v="3"/>
    <x v="10"/>
    <x v="12"/>
    <x v="1"/>
    <n v="683"/>
    <n v="146"/>
    <n v="142"/>
    <n v="0.97260000000000002"/>
    <n v="4"/>
    <d v="1899-12-30T00:00:22"/>
    <d v="1899-12-30T00:02:42"/>
    <d v="1899-12-30T00:01:59"/>
    <n v="0.66900000000000004"/>
    <d v="1899-12-30T06:23:24"/>
    <d v="1900-01-14T23:24:00"/>
    <d v="1899-12-30T06:34:12"/>
    <d v="1900-01-15T10:12:00"/>
  </r>
  <r>
    <d v="2021-11-14T00:00:00"/>
    <x v="4"/>
    <x v="10"/>
    <x v="13"/>
    <x v="1"/>
    <n v="684"/>
    <n v="41"/>
    <n v="31"/>
    <n v="0.75609999999999999"/>
    <n v="10"/>
    <d v="1899-12-30T00:00:39"/>
    <d v="1899-12-30T00:03:43"/>
    <d v="1899-12-30T00:03:40"/>
    <n v="0.48780000000000001"/>
    <d v="1899-12-30T01:55:13"/>
    <d v="1900-01-03T19:13:00"/>
    <d v="1899-12-30T02:32:23"/>
    <d v="1900-01-05T08:23:00"/>
  </r>
  <r>
    <d v="2021-11-15T00:00:00"/>
    <x v="5"/>
    <x v="10"/>
    <x v="14"/>
    <x v="1"/>
    <n v="685"/>
    <n v="185"/>
    <n v="85"/>
    <n v="0.45950000000000002"/>
    <n v="100"/>
    <d v="1899-12-30T00:01:49"/>
    <d v="1899-12-30T00:02:46"/>
    <d v="1899-12-30T00:11:01"/>
    <n v="3.7999999999999999E-2"/>
    <d v="1899-12-30T03:55:10"/>
    <d v="1900-01-08T19:10:00"/>
    <d v="1899-12-30T08:31:50"/>
    <d v="1900-01-20T07:50:00"/>
  </r>
  <r>
    <d v="2021-11-16T00:00:00"/>
    <x v="6"/>
    <x v="10"/>
    <x v="15"/>
    <x v="1"/>
    <n v="686"/>
    <n v="149"/>
    <n v="83"/>
    <n v="0.55700000000000005"/>
    <n v="66"/>
    <d v="1899-12-30T00:01:38"/>
    <d v="1899-12-30T00:02:18"/>
    <d v="1899-12-30T00:10:06"/>
    <n v="4.8300000000000003E-2"/>
    <d v="1899-12-30T03:10:54"/>
    <d v="1900-01-06T22:54:00"/>
    <d v="1899-12-30T05:42:42"/>
    <d v="1900-01-13T06:42:00"/>
  </r>
  <r>
    <d v="2021-11-17T00:00:00"/>
    <x v="0"/>
    <x v="10"/>
    <x v="16"/>
    <x v="1"/>
    <n v="687"/>
    <n v="180"/>
    <n v="115"/>
    <n v="0.63890000000000002"/>
    <n v="65"/>
    <d v="1899-12-30T00:01:04"/>
    <d v="1899-12-30T00:02:33"/>
    <d v="1899-12-30T00:12:50"/>
    <n v="0.23860000000000001"/>
    <d v="1899-12-30T04:53:15"/>
    <d v="1900-01-11T05:15:00"/>
    <d v="1899-12-30T07:39:00"/>
    <d v="1900-01-18T03:00:00"/>
  </r>
  <r>
    <d v="2021-11-18T00:00:00"/>
    <x v="1"/>
    <x v="10"/>
    <x v="17"/>
    <x v="1"/>
    <n v="688"/>
    <n v="173"/>
    <n v="144"/>
    <n v="0.83240000000000003"/>
    <n v="29"/>
    <d v="1899-12-30T00:00:38"/>
    <d v="1899-12-30T00:03:00"/>
    <d v="1899-12-30T00:05:32"/>
    <n v="0.4647"/>
    <d v="1899-12-30T07:12:00"/>
    <d v="1900-01-17T00:00:00"/>
    <d v="1899-12-30T08:39:00"/>
    <d v="1900-01-20T15:00:00"/>
  </r>
  <r>
    <d v="2021-11-19T00:00:00"/>
    <x v="2"/>
    <x v="10"/>
    <x v="18"/>
    <x v="1"/>
    <n v="689"/>
    <n v="176"/>
    <n v="158"/>
    <n v="0.89770000000000005"/>
    <n v="18"/>
    <d v="1899-12-30T00:00:20"/>
    <d v="1899-12-30T00:02:33"/>
    <d v="1899-12-30T00:05:15"/>
    <n v="0.70350000000000001"/>
    <d v="1899-12-30T06:42:54"/>
    <d v="1900-01-15T18:54:00"/>
    <d v="1899-12-30T07:28:48"/>
    <d v="1900-01-17T16:48:00"/>
  </r>
  <r>
    <d v="2021-11-20T00:00:00"/>
    <x v="3"/>
    <x v="10"/>
    <x v="19"/>
    <x v="1"/>
    <n v="690"/>
    <n v="147"/>
    <n v="120"/>
    <n v="0.81630000000000003"/>
    <n v="27"/>
    <d v="1899-12-30T00:00:46"/>
    <d v="1899-12-30T00:02:39"/>
    <d v="1899-12-30T00:04:16"/>
    <n v="0.39729999999999999"/>
    <d v="1899-12-30T05:18:00"/>
    <d v="1900-01-12T06:00:00"/>
    <d v="1899-12-30T06:29:33"/>
    <d v="1900-01-15T05:33:00"/>
  </r>
  <r>
    <d v="2021-11-21T00:00:00"/>
    <x v="4"/>
    <x v="10"/>
    <x v="20"/>
    <x v="1"/>
    <n v="691"/>
    <n v="84"/>
    <n v="77"/>
    <n v="0.91669999999999996"/>
    <n v="7"/>
    <d v="1899-12-30T00:00:17"/>
    <d v="1899-12-30T00:02:07"/>
    <d v="1899-12-30T00:04:30"/>
    <n v="0.7349"/>
    <d v="1899-12-30T02:42:59"/>
    <d v="1900-01-05T18:59:00"/>
    <d v="1899-12-30T02:57:48"/>
    <d v="1900-01-06T09:48:00"/>
  </r>
  <r>
    <d v="2021-11-22T00:00:00"/>
    <x v="5"/>
    <x v="10"/>
    <x v="21"/>
    <x v="1"/>
    <n v="692"/>
    <n v="325"/>
    <n v="78"/>
    <n v="0.24"/>
    <n v="247"/>
    <d v="1899-12-30T00:03:13"/>
    <d v="1899-12-30T00:03:01"/>
    <d v="1899-12-30T00:17:27"/>
    <n v="0"/>
    <d v="1899-12-30T03:55:18"/>
    <d v="1900-01-08T19:18:00"/>
    <d v="1899-12-30T16:20:25"/>
    <d v="1900-02-08T20:25:00"/>
  </r>
  <r>
    <d v="2021-11-23T00:00:00"/>
    <x v="6"/>
    <x v="10"/>
    <x v="22"/>
    <x v="1"/>
    <n v="693"/>
    <n v="441"/>
    <n v="103"/>
    <n v="0.2336"/>
    <n v="338"/>
    <d v="1899-12-30T00:04:04"/>
    <d v="1899-12-30T00:02:43"/>
    <d v="1899-12-30T00:15:38"/>
    <n v="2.3E-3"/>
    <d v="1899-12-30T04:39:49"/>
    <d v="1900-01-10T15:49:00"/>
    <d v="1899-12-30T19:58:03"/>
    <d v="1900-02-17T22:03:00"/>
  </r>
  <r>
    <d v="2021-11-24T00:00:00"/>
    <x v="0"/>
    <x v="10"/>
    <x v="23"/>
    <x v="1"/>
    <n v="694"/>
    <n v="525"/>
    <n v="116"/>
    <n v="0.221"/>
    <n v="409"/>
    <d v="1899-12-30T00:05:08"/>
    <d v="1899-12-30T00:03:08"/>
    <d v="1899-12-30T00:22:56"/>
    <n v="0"/>
    <d v="1899-12-30T06:03:28"/>
    <d v="1900-01-14T03:28:00"/>
    <d v="1899-12-31T03:25:00"/>
    <d v="1900-03-08T13:00:00"/>
  </r>
  <r>
    <d v="2021-11-25T00:00:00"/>
    <x v="1"/>
    <x v="10"/>
    <x v="24"/>
    <x v="1"/>
    <n v="695"/>
    <n v="610"/>
    <n v="201"/>
    <n v="0.32950000000000002"/>
    <n v="409"/>
    <d v="1899-12-30T00:03:13"/>
    <d v="1899-12-30T00:02:52"/>
    <d v="1899-12-30T00:19:15"/>
    <n v="3.5200000000000002E-2"/>
    <d v="1899-12-30T09:36:12"/>
    <d v="1900-01-23T00:12:00"/>
    <d v="1899-12-31T05:08:40"/>
    <d v="1900-03-12T20:40:00"/>
  </r>
  <r>
    <d v="2021-11-26T00:00:00"/>
    <x v="2"/>
    <x v="10"/>
    <x v="25"/>
    <x v="1"/>
    <n v="696"/>
    <n v="427"/>
    <n v="282"/>
    <n v="0.66039999999999999"/>
    <n v="145"/>
    <d v="1899-12-30T00:01:02"/>
    <d v="1899-12-30T00:02:49"/>
    <d v="1899-12-30T00:14:42"/>
    <n v="0.24879999999999999"/>
    <d v="1899-12-30T13:14:18"/>
    <d v="1900-02-01T02:18:00"/>
    <d v="1899-12-30T20:02:43"/>
    <d v="1900-02-18T02:43:00"/>
  </r>
  <r>
    <d v="2021-11-27T00:00:00"/>
    <x v="3"/>
    <x v="10"/>
    <x v="26"/>
    <x v="1"/>
    <n v="697"/>
    <n v="378"/>
    <n v="331"/>
    <n v="0.87570000000000003"/>
    <n v="47"/>
    <d v="1899-12-30T00:00:43"/>
    <d v="1899-12-30T00:02:37"/>
    <d v="1899-12-30T00:05:30"/>
    <n v="0.40329999999999999"/>
    <d v="1899-12-30T14:26:07"/>
    <d v="1900-02-04T02:07:00"/>
    <d v="1899-12-30T16:29:06"/>
    <d v="1900-02-09T05:06:00"/>
  </r>
  <r>
    <d v="2021-11-28T00:00:00"/>
    <x v="4"/>
    <x v="10"/>
    <x v="27"/>
    <x v="1"/>
    <n v="698"/>
    <n v="80"/>
    <n v="67"/>
    <n v="0.83750000000000002"/>
    <n v="13"/>
    <d v="1899-12-30T00:00:38"/>
    <d v="1899-12-30T00:03:12"/>
    <d v="1899-12-30T00:05:30"/>
    <n v="0.46250000000000002"/>
    <d v="1899-12-30T03:34:24"/>
    <d v="1900-01-07T22:24:00"/>
    <d v="1899-12-30T04:16:00"/>
    <d v="1900-01-09T16:00:00"/>
  </r>
  <r>
    <d v="2021-11-29T00:00:00"/>
    <x v="5"/>
    <x v="10"/>
    <x v="28"/>
    <x v="1"/>
    <n v="699"/>
    <n v="356"/>
    <n v="320"/>
    <n v="0.89890000000000003"/>
    <n v="36"/>
    <d v="1899-12-30T00:00:34"/>
    <d v="1899-12-30T00:02:52"/>
    <d v="1899-12-30T00:05:30"/>
    <n v="0.52559999999999996"/>
    <d v="1899-12-30T15:17:20"/>
    <d v="1900-02-06T05:20:00"/>
    <d v="1899-12-30T17:00:32"/>
    <d v="1900-02-10T12:32:00"/>
  </r>
  <r>
    <d v="2021-11-30T00:00:00"/>
    <x v="6"/>
    <x v="10"/>
    <x v="29"/>
    <x v="1"/>
    <n v="700"/>
    <n v="409"/>
    <n v="355"/>
    <n v="0.86799999999999999"/>
    <n v="54"/>
    <d v="1899-12-30T00:00:44"/>
    <d v="1899-12-30T00:02:55"/>
    <d v="1899-12-30T00:04:21"/>
    <n v="0.39700000000000002"/>
    <d v="1899-12-30T17:15:25"/>
    <d v="1900-02-11T03:25:00"/>
    <d v="1899-12-30T19:52:55"/>
    <d v="1900-02-17T16:55:00"/>
  </r>
  <r>
    <d v="2021-12-01T00:00:00"/>
    <x v="0"/>
    <x v="11"/>
    <x v="0"/>
    <x v="1"/>
    <n v="701"/>
    <n v="352"/>
    <n v="302"/>
    <n v="0.85799999999999998"/>
    <n v="50"/>
    <d v="1899-12-30T00:00:41"/>
    <d v="1899-12-30T00:03:03"/>
    <d v="1899-12-30T00:05:49"/>
    <n v="0.47399999999999998"/>
    <d v="1899-12-30T15:21:06"/>
    <d v="1900-02-06T09:06:00"/>
    <d v="1899-12-30T17:53:36"/>
    <d v="1900-02-12T17:36:00"/>
  </r>
  <r>
    <d v="2021-12-02T00:00:00"/>
    <x v="1"/>
    <x v="11"/>
    <x v="1"/>
    <x v="1"/>
    <n v="702"/>
    <n v="282"/>
    <n v="239"/>
    <n v="0.84750000000000003"/>
    <n v="43"/>
    <d v="1899-12-30T00:00:39"/>
    <d v="1899-12-30T00:03:06"/>
    <d v="1899-12-30T00:08:26"/>
    <n v="0.51070000000000004"/>
    <d v="1899-12-30T12:20:54"/>
    <d v="1900-01-29T20:54:00"/>
    <d v="1899-12-30T14:34:12"/>
    <d v="1900-02-04T10:12:00"/>
  </r>
  <r>
    <d v="2021-12-03T00:00:00"/>
    <x v="2"/>
    <x v="11"/>
    <x v="2"/>
    <x v="1"/>
    <n v="703"/>
    <n v="429"/>
    <n v="390"/>
    <n v="0.90910000000000002"/>
    <n v="39"/>
    <d v="1899-12-30T00:00:38"/>
    <d v="1899-12-30T00:02:41"/>
    <d v="1899-12-30T00:03:40"/>
    <n v="0.4466"/>
    <d v="1899-12-30T17:26:30"/>
    <d v="1900-02-11T14:30:00"/>
    <d v="1899-12-30T19:11:09"/>
    <d v="1900-02-15T23:09:00"/>
  </r>
  <r>
    <d v="2021-12-04T00:00:00"/>
    <x v="3"/>
    <x v="11"/>
    <x v="3"/>
    <x v="1"/>
    <n v="704"/>
    <n v="310"/>
    <n v="285"/>
    <n v="0.9194"/>
    <n v="25"/>
    <d v="1899-12-30T00:00:33"/>
    <d v="1899-12-30T00:02:45"/>
    <d v="1899-12-30T00:04:12"/>
    <n v="0.56110000000000004"/>
    <d v="1899-12-30T13:03:45"/>
    <d v="1900-01-31T15:45:00"/>
    <d v="1899-12-30T14:12:30"/>
    <d v="1900-02-03T12:30:00"/>
  </r>
  <r>
    <d v="2021-12-05T00:00:00"/>
    <x v="4"/>
    <x v="11"/>
    <x v="4"/>
    <x v="1"/>
    <n v="705"/>
    <n v="102"/>
    <n v="94"/>
    <n v="0.92159999999999997"/>
    <n v="8"/>
    <d v="1899-12-30T00:00:29"/>
    <d v="1899-12-30T00:02:40"/>
    <d v="1899-12-30T00:02:48"/>
    <n v="0.63729999999999998"/>
    <d v="1899-12-30T04:10:40"/>
    <d v="1900-01-09T10:40:00"/>
    <d v="1899-12-30T04:32:00"/>
    <d v="1900-01-10T08:00:00"/>
  </r>
  <r>
    <d v="2021-12-06T00:00:00"/>
    <x v="5"/>
    <x v="11"/>
    <x v="5"/>
    <x v="1"/>
    <n v="706"/>
    <n v="335"/>
    <n v="297"/>
    <n v="0.88660000000000005"/>
    <n v="38"/>
    <d v="1899-12-30T00:00:39"/>
    <d v="1899-12-30T00:02:33"/>
    <d v="1899-12-30T00:03:42"/>
    <n v="0.43640000000000001"/>
    <d v="1899-12-30T12:37:21"/>
    <d v="1900-01-30T13:21:00"/>
    <d v="1899-12-30T14:14:15"/>
    <d v="1900-02-03T14:15:00"/>
  </r>
  <r>
    <d v="2021-12-07T00:00:00"/>
    <x v="6"/>
    <x v="11"/>
    <x v="6"/>
    <x v="1"/>
    <n v="707"/>
    <n v="313"/>
    <n v="291"/>
    <n v="0.92969999999999997"/>
    <n v="22"/>
    <d v="1899-12-30T00:00:26"/>
    <d v="1899-12-30T00:02:25"/>
    <d v="1899-12-30T00:03:42"/>
    <n v="0.64290000000000003"/>
    <d v="1899-12-30T11:43:15"/>
    <d v="1900-01-28T07:15:00"/>
    <d v="1899-12-30T12:36:25"/>
    <d v="1900-01-30T12:25:00"/>
  </r>
  <r>
    <d v="2021-12-08T00:00:00"/>
    <x v="0"/>
    <x v="11"/>
    <x v="7"/>
    <x v="1"/>
    <n v="708"/>
    <n v="251"/>
    <n v="240"/>
    <n v="0.95620000000000005"/>
    <n v="11"/>
    <d v="1899-12-30T00:00:24"/>
    <d v="1899-12-30T00:02:42"/>
    <d v="1899-12-30T00:02:45"/>
    <n v="0.67200000000000004"/>
    <d v="1899-12-30T10:48:00"/>
    <d v="1900-01-26T00:00:00"/>
    <d v="1899-12-30T11:17:42"/>
    <d v="1900-01-27T05:42:00"/>
  </r>
  <r>
    <d v="2021-12-09T00:00:00"/>
    <x v="1"/>
    <x v="11"/>
    <x v="8"/>
    <x v="1"/>
    <n v="709"/>
    <n v="190"/>
    <n v="176"/>
    <n v="0.92630000000000001"/>
    <n v="14"/>
    <d v="1899-12-30T00:00:24"/>
    <d v="1899-12-30T00:02:31"/>
    <d v="1899-12-30T00:03:53"/>
    <n v="0.67720000000000002"/>
    <d v="1899-12-30T07:22:56"/>
    <d v="1900-01-17T10:56:00"/>
    <d v="1899-12-30T07:58:10"/>
    <d v="1900-01-18T22:10:00"/>
  </r>
  <r>
    <d v="2021-12-10T00:00:00"/>
    <x v="2"/>
    <x v="11"/>
    <x v="9"/>
    <x v="1"/>
    <n v="710"/>
    <n v="188"/>
    <n v="170"/>
    <n v="0.90429999999999999"/>
    <n v="18"/>
    <d v="1899-12-30T00:00:34"/>
    <d v="1899-12-30T00:02:49"/>
    <d v="1899-12-30T00:06:25"/>
    <n v="0.5323"/>
    <d v="1899-12-30T07:58:50"/>
    <d v="1900-01-18T22:50:00"/>
    <d v="1899-12-30T08:49:32"/>
    <d v="1900-01-21T01:32:00"/>
  </r>
  <r>
    <d v="2021-12-11T00:00:00"/>
    <x v="3"/>
    <x v="11"/>
    <x v="10"/>
    <x v="1"/>
    <n v="711"/>
    <n v="166"/>
    <n v="160"/>
    <n v="0.96389999999999998"/>
    <n v="6"/>
    <d v="1899-12-30T00:00:15"/>
    <d v="1899-12-30T00:02:40"/>
    <d v="1899-12-30T00:02:45"/>
    <n v="0.81820000000000004"/>
    <d v="1899-12-30T07:06:40"/>
    <d v="1900-01-16T18:40:00"/>
    <d v="1899-12-30T07:22:40"/>
    <d v="1900-01-17T10:40:00"/>
  </r>
  <r>
    <d v="2021-12-12T00:00:00"/>
    <x v="4"/>
    <x v="11"/>
    <x v="11"/>
    <x v="1"/>
    <n v="712"/>
    <n v="73"/>
    <n v="68"/>
    <n v="0.93149999999999999"/>
    <n v="5"/>
    <d v="1899-12-30T00:00:15"/>
    <d v="1899-12-30T00:02:13"/>
    <d v="1899-12-30T00:02:28"/>
    <n v="0.78869999999999996"/>
    <d v="1899-12-30T02:30:44"/>
    <d v="1900-01-05T06:44:00"/>
    <d v="1899-12-30T02:41:49"/>
    <d v="1900-01-05T17:49:00"/>
  </r>
  <r>
    <d v="2021-12-13T00:00:00"/>
    <x v="5"/>
    <x v="11"/>
    <x v="12"/>
    <x v="1"/>
    <n v="713"/>
    <n v="170"/>
    <n v="159"/>
    <n v="0.93530000000000002"/>
    <n v="11"/>
    <d v="1899-12-30T00:00:20"/>
    <d v="1899-12-30T00:02:40"/>
    <d v="1899-12-30T00:04:51"/>
    <n v="0.73209999999999997"/>
    <d v="1899-12-30T07:04:00"/>
    <d v="1900-01-16T16:00:00"/>
    <d v="1899-12-30T07:33:20"/>
    <d v="1900-01-17T21:20:00"/>
  </r>
  <r>
    <d v="2021-12-14T00:00:00"/>
    <x v="6"/>
    <x v="11"/>
    <x v="13"/>
    <x v="1"/>
    <n v="714"/>
    <n v="188"/>
    <n v="181"/>
    <n v="0.96279999999999999"/>
    <n v="7"/>
    <d v="1899-12-30T00:00:23"/>
    <d v="1899-12-30T00:02:39"/>
    <d v="1899-12-30T00:03:01"/>
    <n v="0.68279999999999996"/>
    <d v="1899-12-30T07:59:39"/>
    <d v="1900-01-18T23:39:00"/>
    <d v="1899-12-30T08:18:12"/>
    <d v="1900-01-19T18:12:00"/>
  </r>
  <r>
    <d v="2021-12-15T00:00:00"/>
    <x v="0"/>
    <x v="11"/>
    <x v="14"/>
    <x v="1"/>
    <n v="715"/>
    <n v="306"/>
    <n v="262"/>
    <n v="0.85619999999999996"/>
    <n v="44"/>
    <d v="1899-12-30T00:00:44"/>
    <d v="1899-12-30T00:02:48"/>
    <d v="1899-12-30T00:07:37"/>
    <n v="0.46329999999999999"/>
    <d v="1899-12-30T12:13:36"/>
    <d v="1900-01-29T13:36:00"/>
    <d v="1899-12-30T14:16:48"/>
    <d v="1900-02-03T16:48:00"/>
  </r>
  <r>
    <d v="2021-12-16T00:00:00"/>
    <x v="1"/>
    <x v="11"/>
    <x v="15"/>
    <x v="1"/>
    <n v="716"/>
    <n v="201"/>
    <n v="185"/>
    <n v="0.9204"/>
    <n v="16"/>
    <d v="1899-12-30T00:00:23"/>
    <d v="1899-12-30T00:02:38"/>
    <d v="1899-12-30T00:02:46"/>
    <n v="0.6734"/>
    <d v="1899-12-30T08:07:10"/>
    <d v="1900-01-19T07:10:00"/>
    <d v="1899-12-30T08:49:18"/>
    <d v="1900-01-21T01:18:00"/>
  </r>
  <r>
    <d v="2021-12-17T00:00:00"/>
    <x v="2"/>
    <x v="11"/>
    <x v="16"/>
    <x v="1"/>
    <n v="717"/>
    <n v="188"/>
    <n v="184"/>
    <n v="0.97870000000000001"/>
    <n v="4"/>
    <d v="1899-12-30T00:00:17"/>
    <d v="1899-12-30T00:02:36"/>
    <d v="1899-12-30T00:02:22"/>
    <n v="0.79259999999999997"/>
    <d v="1899-12-30T07:58:24"/>
    <d v="1900-01-18T22:24:00"/>
    <d v="1899-12-30T08:08:48"/>
    <d v="1900-01-19T08:48:00"/>
  </r>
  <r>
    <d v="2021-12-18T00:00:00"/>
    <x v="3"/>
    <x v="11"/>
    <x v="17"/>
    <x v="1"/>
    <n v="718"/>
    <n v="148"/>
    <n v="131"/>
    <n v="0.8851"/>
    <n v="17"/>
    <d v="1899-12-30T00:00:31"/>
    <d v="1899-12-30T00:02:51"/>
    <d v="1899-12-30T00:03:36"/>
    <n v="0.53059999999999996"/>
    <d v="1899-12-30T06:13:21"/>
    <d v="1900-01-14T13:21:00"/>
    <d v="1899-12-30T07:01:48"/>
    <d v="1900-01-16T13:48:00"/>
  </r>
  <r>
    <d v="2021-12-19T00:00:00"/>
    <x v="4"/>
    <x v="11"/>
    <x v="18"/>
    <x v="1"/>
    <n v="719"/>
    <n v="21"/>
    <n v="17"/>
    <n v="0.8095"/>
    <n v="4"/>
    <d v="1899-12-30T00:00:52"/>
    <d v="1899-12-30T00:03:29"/>
    <d v="1899-12-30T00:11:00"/>
    <n v="0.52380000000000004"/>
    <d v="1899-12-30T00:59:13"/>
    <d v="1900-01-01T11:13:00"/>
    <d v="1899-12-30T01:13:09"/>
    <d v="1900-01-02T01:09:00"/>
  </r>
  <r>
    <d v="2021-12-20T00:00:00"/>
    <x v="5"/>
    <x v="11"/>
    <x v="19"/>
    <x v="1"/>
    <n v="720"/>
    <n v="148"/>
    <n v="129"/>
    <n v="0.87160000000000004"/>
    <n v="19"/>
    <d v="1899-12-30T00:00:40"/>
    <d v="1899-12-30T00:03:01"/>
    <d v="1899-12-30T00:06:56"/>
    <n v="0.45519999999999999"/>
    <d v="1899-12-30T06:29:09"/>
    <d v="1900-01-15T05:09:00"/>
    <d v="1899-12-30T07:26:28"/>
    <d v="1900-01-17T14:28:00"/>
  </r>
  <r>
    <d v="2021-12-21T00:00:00"/>
    <x v="6"/>
    <x v="11"/>
    <x v="20"/>
    <x v="1"/>
    <n v="721"/>
    <n v="167"/>
    <n v="154"/>
    <n v="0.92220000000000002"/>
    <n v="13"/>
    <d v="1899-12-30T00:00:17"/>
    <d v="1899-12-30T00:02:43"/>
    <d v="1899-12-30T00:02:49"/>
    <n v="0.7349"/>
    <d v="1899-12-30T06:58:22"/>
    <d v="1900-01-16T10:22:00"/>
    <d v="1899-12-30T07:33:41"/>
    <d v="1900-01-17T21:41:00"/>
  </r>
  <r>
    <d v="2021-12-22T00:00:00"/>
    <x v="0"/>
    <x v="11"/>
    <x v="21"/>
    <x v="1"/>
    <n v="722"/>
    <n v="169"/>
    <n v="158"/>
    <n v="0.93489999999999995"/>
    <n v="11"/>
    <d v="1899-12-30T00:00:16"/>
    <d v="1899-12-30T00:02:36"/>
    <d v="1899-12-30T00:01:44"/>
    <n v="0.75"/>
    <d v="1899-12-30T06:50:48"/>
    <d v="1900-01-16T02:48:00"/>
    <d v="1899-12-30T07:19:24"/>
    <d v="1900-01-17T07:24:00"/>
  </r>
  <r>
    <d v="2021-12-23T00:00:00"/>
    <x v="1"/>
    <x v="11"/>
    <x v="22"/>
    <x v="1"/>
    <n v="723"/>
    <n v="175"/>
    <n v="163"/>
    <n v="0.93140000000000001"/>
    <n v="12"/>
    <d v="1899-12-30T00:00:22"/>
    <d v="1899-12-30T00:02:37"/>
    <d v="1899-12-30T00:02:18"/>
    <n v="0.71099999999999997"/>
    <d v="1899-12-30T07:06:31"/>
    <d v="1900-01-16T18:31:00"/>
    <d v="1899-12-30T07:37:55"/>
    <d v="1900-01-18T01:55:00"/>
  </r>
  <r>
    <d v="2021-12-24T00:00:00"/>
    <x v="2"/>
    <x v="11"/>
    <x v="23"/>
    <x v="1"/>
    <n v="724"/>
    <n v="193"/>
    <n v="183"/>
    <n v="0.94820000000000004"/>
    <n v="10"/>
    <d v="1899-12-30T00:00:16"/>
    <d v="1899-12-30T00:02:49"/>
    <d v="1899-12-30T00:02:48"/>
    <n v="0.80210000000000004"/>
    <d v="1899-12-30T08:35:27"/>
    <d v="1900-01-20T11:27:00"/>
    <d v="1899-12-30T09:03:37"/>
    <d v="1900-01-21T15:37:00"/>
  </r>
  <r>
    <d v="2021-12-25T00:00:00"/>
    <x v="3"/>
    <x v="11"/>
    <x v="24"/>
    <x v="1"/>
    <n v="725"/>
    <n v="154"/>
    <n v="144"/>
    <n v="0.93510000000000004"/>
    <n v="10"/>
    <d v="1899-12-30T00:00:20"/>
    <d v="1899-12-30T00:02:41"/>
    <d v="1899-12-30T00:02:54"/>
    <n v="0.73509999999999998"/>
    <d v="1899-12-30T06:26:24"/>
    <d v="1900-01-15T02:24:00"/>
    <d v="1899-12-30T06:53:14"/>
    <d v="1900-01-16T05:14:00"/>
  </r>
  <r>
    <d v="2021-12-26T00:00:00"/>
    <x v="4"/>
    <x v="11"/>
    <x v="25"/>
    <x v="1"/>
    <n v="726"/>
    <n v="35"/>
    <n v="34"/>
    <n v="0.97140000000000004"/>
    <n v="1"/>
    <d v="1899-12-30T00:00:14"/>
    <d v="1899-12-30T00:03:06"/>
    <d v="1899-12-30T00:00:58"/>
    <n v="0.77139999999999997"/>
    <d v="1899-12-30T01:45:24"/>
    <d v="1900-01-03T09:24:00"/>
    <d v="1899-12-30T01:48:30"/>
    <d v="1900-01-03T12:30:00"/>
  </r>
  <r>
    <d v="2021-12-27T00:00:00"/>
    <x v="5"/>
    <x v="11"/>
    <x v="26"/>
    <x v="1"/>
    <n v="727"/>
    <n v="172"/>
    <n v="161"/>
    <n v="0.93600000000000005"/>
    <n v="11"/>
    <d v="1899-12-30T00:00:20"/>
    <d v="1899-12-30T00:02:48"/>
    <d v="1899-12-30T00:02:32"/>
    <n v="0.72089999999999999"/>
    <d v="1899-12-30T07:30:48"/>
    <d v="1900-01-17T18:48:00"/>
    <d v="1899-12-30T08:01:36"/>
    <d v="1900-01-19T01:36:00"/>
  </r>
  <r>
    <d v="2021-12-28T00:00:00"/>
    <x v="6"/>
    <x v="11"/>
    <x v="27"/>
    <x v="1"/>
    <n v="728"/>
    <n v="195"/>
    <n v="182"/>
    <n v="0.93330000000000002"/>
    <n v="13"/>
    <d v="1899-12-30T00:00:24"/>
    <d v="1899-12-30T00:02:51"/>
    <d v="1899-12-30T00:03:10"/>
    <n v="0.66839999999999999"/>
    <d v="1899-12-30T08:38:42"/>
    <d v="1900-01-20T14:42:00"/>
    <d v="1899-12-30T09:15:45"/>
    <d v="1900-01-22T03:45:00"/>
  </r>
  <r>
    <d v="2021-12-29T00:00:00"/>
    <x v="0"/>
    <x v="11"/>
    <x v="28"/>
    <x v="1"/>
    <n v="729"/>
    <n v="163"/>
    <n v="157"/>
    <n v="0.96319999999999995"/>
    <n v="6"/>
    <d v="1899-12-30T00:00:17"/>
    <d v="1899-12-30T00:02:46"/>
    <d v="1899-12-30T00:05:33"/>
    <n v="0.82210000000000005"/>
    <d v="1899-12-30T07:14:22"/>
    <d v="1900-01-17T02:22:00"/>
    <d v="1899-12-30T07:30:58"/>
    <d v="1900-01-17T18:58:00"/>
  </r>
  <r>
    <d v="2021-12-30T00:00:00"/>
    <x v="1"/>
    <x v="11"/>
    <x v="29"/>
    <x v="1"/>
    <n v="730"/>
    <n v="134"/>
    <n v="126"/>
    <n v="0.94030000000000002"/>
    <n v="8"/>
    <d v="1899-12-30T00:00:30"/>
    <d v="1899-12-30T00:02:58"/>
    <d v="1899-12-30T00:04:59"/>
    <n v="0.63570000000000004"/>
    <d v="1899-12-30T06:13:48"/>
    <d v="1900-01-14T13:48:00"/>
    <d v="1899-12-30T06:37:32"/>
    <d v="1900-01-15T13:32:00"/>
  </r>
  <r>
    <d v="2021-12-31T00:00:00"/>
    <x v="2"/>
    <x v="11"/>
    <x v="30"/>
    <x v="1"/>
    <n v="731"/>
    <n v="158"/>
    <n v="142"/>
    <n v="0.89870000000000005"/>
    <n v="16"/>
    <d v="1899-12-30T00:00:25"/>
    <d v="1899-12-30T00:02:45"/>
    <d v="1899-12-30T00:02:56"/>
    <n v="0.59350000000000003"/>
    <d v="1899-12-30T06:30:30"/>
    <d v="1900-01-15T06:30:00"/>
    <d v="1899-12-30T07:14:30"/>
    <d v="1900-01-17T02:30:00"/>
  </r>
  <r>
    <d v="2022-01-01T00:00:00"/>
    <x v="3"/>
    <x v="0"/>
    <x v="0"/>
    <x v="2"/>
    <n v="732"/>
    <n v="161"/>
    <n v="144"/>
    <n v="0.89439999999999997"/>
    <n v="17"/>
    <d v="1899-12-30T00:00:34"/>
    <d v="1899-12-30T00:02:49"/>
    <d v="1899-12-30T00:05:00"/>
    <n v="0.53129999999999999"/>
    <d v="1899-12-30T06:45:36"/>
    <d v="1900-01-15T21:36:00"/>
    <d v="1899-12-30T07:33:29"/>
    <d v="1900-01-17T21:29:00"/>
  </r>
  <r>
    <d v="2022-01-02T00:00:00"/>
    <x v="4"/>
    <x v="0"/>
    <x v="1"/>
    <x v="2"/>
    <n v="733"/>
    <n v="36"/>
    <n v="34"/>
    <n v="0.94440000000000002"/>
    <n v="2"/>
    <d v="1899-12-30T00:00:20"/>
    <d v="1899-12-30T00:02:05"/>
    <d v="1899-12-30T00:01:57"/>
    <n v="0.72219999999999995"/>
    <d v="1899-12-30T01:10:50"/>
    <d v="1900-01-01T22:50:00"/>
    <d v="1899-12-30T01:15:00"/>
    <d v="1900-01-02T03:00:00"/>
  </r>
  <r>
    <d v="2022-01-03T00:00:00"/>
    <x v="5"/>
    <x v="0"/>
    <x v="2"/>
    <x v="2"/>
    <n v="734"/>
    <n v="147"/>
    <n v="136"/>
    <n v="0.92520000000000002"/>
    <n v="11"/>
    <d v="1899-12-30T00:00:17"/>
    <d v="1899-12-30T00:02:55"/>
    <d v="1899-12-30T00:03:15"/>
    <n v="0.7671"/>
    <d v="1899-12-30T06:36:40"/>
    <d v="1900-01-15T12:40:00"/>
    <d v="1899-12-30T07:08:45"/>
    <d v="1900-01-16T20:45:00"/>
  </r>
  <r>
    <d v="2022-01-04T00:00:00"/>
    <x v="6"/>
    <x v="0"/>
    <x v="3"/>
    <x v="2"/>
    <n v="735"/>
    <n v="131"/>
    <n v="130"/>
    <n v="0.99239999999999995"/>
    <n v="1"/>
    <d v="1899-12-30T00:00:18"/>
    <d v="1899-12-30T00:02:47"/>
    <d v="1899-12-30T00:03:18"/>
    <n v="0.76919999999999999"/>
    <d v="1899-12-30T06:01:50"/>
    <d v="1900-01-14T01:50:00"/>
    <d v="1899-12-30T06:04:37"/>
    <d v="1900-01-14T04:37:00"/>
  </r>
  <r>
    <d v="2022-01-05T00:00:00"/>
    <x v="0"/>
    <x v="0"/>
    <x v="4"/>
    <x v="2"/>
    <n v="736"/>
    <n v="128"/>
    <n v="120"/>
    <n v="0.9375"/>
    <n v="8"/>
    <d v="1899-12-30T00:00:22"/>
    <d v="1899-12-30T00:02:47"/>
    <d v="1899-12-30T00:01:54"/>
    <n v="0.6825"/>
    <d v="1899-12-30T05:34:00"/>
    <d v="1900-01-12T22:00:00"/>
    <d v="1899-12-30T05:56:16"/>
    <d v="1900-01-13T20:16:00"/>
  </r>
  <r>
    <d v="2022-01-06T00:00:00"/>
    <x v="1"/>
    <x v="0"/>
    <x v="5"/>
    <x v="2"/>
    <n v="737"/>
    <n v="136"/>
    <n v="119"/>
    <n v="0.875"/>
    <n v="17"/>
    <d v="1899-12-30T00:00:26"/>
    <d v="1899-12-30T00:02:52"/>
    <d v="1899-12-30T00:04:35"/>
    <n v="0.60150000000000003"/>
    <d v="1899-12-30T05:41:08"/>
    <d v="1900-01-13T05:08:00"/>
    <d v="1899-12-30T06:29:52"/>
    <d v="1900-01-15T05:52:00"/>
  </r>
  <r>
    <d v="2022-01-07T00:00:00"/>
    <x v="2"/>
    <x v="0"/>
    <x v="6"/>
    <x v="2"/>
    <n v="738"/>
    <n v="225"/>
    <n v="209"/>
    <n v="0.92889999999999995"/>
    <n v="16"/>
    <d v="1899-12-30T00:00:19"/>
    <d v="1899-12-30T00:02:29"/>
    <d v="1899-12-30T00:04:06"/>
    <n v="0.76019999999999999"/>
    <d v="1899-12-30T08:39:01"/>
    <d v="1900-01-20T15:01:00"/>
    <d v="1899-12-30T09:18:45"/>
    <d v="1900-01-22T06:45:00"/>
  </r>
  <r>
    <d v="2022-01-08T00:00:00"/>
    <x v="3"/>
    <x v="0"/>
    <x v="7"/>
    <x v="2"/>
    <n v="739"/>
    <n v="167"/>
    <n v="151"/>
    <n v="0.9042"/>
    <n v="16"/>
    <d v="1899-12-30T00:00:19"/>
    <d v="1899-12-30T00:02:27"/>
    <d v="1899-12-30T00:02:44"/>
    <n v="0.73329999999999995"/>
    <d v="1899-12-30T06:09:57"/>
    <d v="1900-01-14T09:57:00"/>
    <d v="1899-12-30T06:49:09"/>
    <d v="1900-01-16T01:09:00"/>
  </r>
  <r>
    <d v="2022-01-09T00:00:00"/>
    <x v="4"/>
    <x v="0"/>
    <x v="8"/>
    <x v="2"/>
    <n v="740"/>
    <n v="48"/>
    <n v="46"/>
    <n v="0.95830000000000004"/>
    <n v="2"/>
    <d v="1899-12-30T00:00:16"/>
    <d v="1899-12-30T00:02:26"/>
    <d v="1899-12-30T00:02:38"/>
    <n v="0.78720000000000001"/>
    <d v="1899-12-30T01:51:56"/>
    <d v="1900-01-03T15:56:00"/>
    <d v="1899-12-30T01:56:48"/>
    <d v="1900-01-03T20:48:00"/>
  </r>
  <r>
    <d v="2022-01-10T00:00:00"/>
    <x v="5"/>
    <x v="0"/>
    <x v="9"/>
    <x v="2"/>
    <n v="741"/>
    <n v="232"/>
    <n v="204"/>
    <n v="0.87929999999999997"/>
    <n v="28"/>
    <d v="1899-12-30T00:00:32"/>
    <d v="1899-12-30T00:02:22"/>
    <d v="1899-12-30T00:03:56"/>
    <n v="0.55410000000000004"/>
    <d v="1899-12-30T08:02:48"/>
    <d v="1900-01-19T02:48:00"/>
    <d v="1899-12-30T09:09:04"/>
    <d v="1900-01-21T21:04:00"/>
  </r>
  <r>
    <d v="2022-01-11T00:00:00"/>
    <x v="6"/>
    <x v="0"/>
    <x v="10"/>
    <x v="2"/>
    <n v="742"/>
    <n v="198"/>
    <n v="187"/>
    <n v="0.94440000000000002"/>
    <n v="11"/>
    <d v="1899-12-30T00:00:27"/>
    <d v="1899-12-30T00:02:48"/>
    <d v="1899-12-30T00:03:13"/>
    <n v="0.60199999999999998"/>
    <d v="1899-12-30T08:43:36"/>
    <d v="1900-01-20T19:36:00"/>
    <d v="1899-12-30T09:14:24"/>
    <d v="1900-01-22T02:24:00"/>
  </r>
  <r>
    <d v="2022-01-12T00:00:00"/>
    <x v="0"/>
    <x v="0"/>
    <x v="11"/>
    <x v="2"/>
    <n v="743"/>
    <n v="171"/>
    <n v="163"/>
    <n v="0.95320000000000005"/>
    <n v="8"/>
    <d v="1899-12-30T00:00:19"/>
    <d v="1899-12-30T00:02:41"/>
    <d v="1899-12-30T00:02:48"/>
    <n v="0.69410000000000005"/>
    <d v="1899-12-30T07:17:23"/>
    <d v="1900-01-17T05:23:00"/>
    <d v="1899-12-30T07:38:51"/>
    <d v="1900-01-18T02:51:00"/>
  </r>
  <r>
    <d v="2022-01-13T00:00:00"/>
    <x v="1"/>
    <x v="0"/>
    <x v="12"/>
    <x v="2"/>
    <n v="744"/>
    <n v="180"/>
    <n v="173"/>
    <n v="0.96109999999999995"/>
    <n v="7"/>
    <d v="1899-12-30T00:00:31"/>
    <d v="1899-12-30T00:02:49"/>
    <d v="1899-12-30T00:08:13"/>
    <n v="0.72219999999999995"/>
    <d v="1899-12-30T08:07:17"/>
    <d v="1900-01-19T07:17:00"/>
    <d v="1899-12-30T08:27:00"/>
    <d v="1900-01-20T03:00:00"/>
  </r>
  <r>
    <d v="2022-01-14T00:00:00"/>
    <x v="2"/>
    <x v="0"/>
    <x v="13"/>
    <x v="2"/>
    <n v="745"/>
    <n v="192"/>
    <n v="175"/>
    <n v="0.91149999999999998"/>
    <n v="17"/>
    <d v="1899-12-30T00:00:26"/>
    <d v="1899-12-30T00:03:01"/>
    <d v="1899-12-30T00:03:40"/>
    <n v="0.61580000000000001"/>
    <d v="1899-12-30T08:47:55"/>
    <d v="1900-01-20T23:55:00"/>
    <d v="1899-12-30T09:39:12"/>
    <d v="1900-01-23T03:12:00"/>
  </r>
  <r>
    <d v="2022-01-15T00:00:00"/>
    <x v="3"/>
    <x v="0"/>
    <x v="14"/>
    <x v="2"/>
    <n v="746"/>
    <n v="194"/>
    <n v="180"/>
    <n v="0.92779999999999996"/>
    <n v="14"/>
    <d v="1899-12-30T00:00:25"/>
    <d v="1899-12-30T00:02:50"/>
    <d v="1899-12-30T00:04:03"/>
    <n v="0.68389999999999995"/>
    <d v="1899-12-30T08:30:00"/>
    <d v="1900-01-20T06:00:00"/>
    <d v="1899-12-30T09:09:40"/>
    <d v="1900-01-21T21:40:00"/>
  </r>
  <r>
    <d v="2022-01-16T00:00:00"/>
    <x v="4"/>
    <x v="0"/>
    <x v="15"/>
    <x v="2"/>
    <n v="747"/>
    <n v="37"/>
    <n v="27"/>
    <n v="0.72970000000000002"/>
    <n v="10"/>
    <d v="1899-12-30T00:00:35"/>
    <d v="1899-12-30T00:02:53"/>
    <d v="1899-12-30T00:02:58"/>
    <n v="0.5"/>
    <d v="1899-12-30T01:17:51"/>
    <d v="1900-01-02T05:51:00"/>
    <d v="1899-12-30T01:46:41"/>
    <d v="1900-01-03T10:41:00"/>
  </r>
  <r>
    <d v="2022-01-17T00:00:00"/>
    <x v="5"/>
    <x v="0"/>
    <x v="16"/>
    <x v="2"/>
    <n v="748"/>
    <n v="180"/>
    <n v="169"/>
    <n v="0.93889999999999996"/>
    <n v="11"/>
    <d v="1899-12-30T00:00:23"/>
    <d v="1899-12-30T00:02:44"/>
    <d v="1899-12-30T00:02:05"/>
    <n v="0.67979999999999996"/>
    <d v="1899-12-30T07:41:56"/>
    <d v="1900-01-18T05:56:00"/>
    <d v="1899-12-30T08:12:00"/>
    <d v="1900-01-19T12:00:00"/>
  </r>
  <r>
    <d v="2022-01-18T00:00:00"/>
    <x v="6"/>
    <x v="0"/>
    <x v="17"/>
    <x v="2"/>
    <n v="749"/>
    <n v="213"/>
    <n v="198"/>
    <n v="0.92959999999999998"/>
    <n v="15"/>
    <d v="1899-12-30T00:00:16"/>
    <d v="1899-12-30T00:02:47"/>
    <d v="1899-12-30T00:06:21"/>
    <n v="0.77249999999999996"/>
    <d v="1899-12-30T09:11:06"/>
    <d v="1900-01-21T23:06:00"/>
    <d v="1899-12-30T09:52:51"/>
    <d v="1900-01-23T16:51:00"/>
  </r>
  <r>
    <d v="2022-01-19T00:00:00"/>
    <x v="0"/>
    <x v="0"/>
    <x v="18"/>
    <x v="2"/>
    <n v="750"/>
    <n v="251"/>
    <n v="239"/>
    <n v="0.95220000000000005"/>
    <n v="12"/>
    <d v="1899-12-30T00:00:21"/>
    <d v="1899-12-30T00:02:18"/>
    <d v="1899-12-30T00:02:48"/>
    <n v="0.7177"/>
    <d v="1899-12-30T09:09:42"/>
    <d v="1900-01-21T21:42:00"/>
    <d v="1899-12-30T09:37:18"/>
    <d v="1900-01-23T01:18:00"/>
  </r>
  <r>
    <d v="2022-01-20T00:00:00"/>
    <x v="1"/>
    <x v="0"/>
    <x v="19"/>
    <x v="2"/>
    <n v="751"/>
    <n v="200"/>
    <n v="189"/>
    <n v="0.94499999999999995"/>
    <n v="11"/>
    <d v="1899-12-30T00:00:19"/>
    <d v="1899-12-30T00:02:53"/>
    <d v="1899-12-30T00:04:36"/>
    <n v="0.76259999999999994"/>
    <d v="1899-12-30T09:04:57"/>
    <d v="1900-01-21T16:57:00"/>
    <d v="1899-12-30T09:36:40"/>
    <d v="1900-01-23T00:40:00"/>
  </r>
  <r>
    <d v="2022-01-21T00:00:00"/>
    <x v="2"/>
    <x v="0"/>
    <x v="20"/>
    <x v="2"/>
    <n v="752"/>
    <n v="214"/>
    <n v="205"/>
    <n v="0.95789999999999997"/>
    <n v="9"/>
    <d v="1899-12-30T00:00:25"/>
    <d v="1899-12-30T00:02:48"/>
    <d v="1899-12-30T00:07:17"/>
    <n v="0.71960000000000002"/>
    <d v="1899-12-30T09:34:00"/>
    <d v="1900-01-22T22:00:00"/>
    <d v="1899-12-30T09:59:12"/>
    <d v="1900-01-23T23:12:00"/>
  </r>
  <r>
    <d v="2022-01-22T00:00:00"/>
    <x v="3"/>
    <x v="0"/>
    <x v="21"/>
    <x v="2"/>
    <n v="753"/>
    <n v="185"/>
    <n v="154"/>
    <n v="0.83240000000000003"/>
    <n v="31"/>
    <d v="1899-12-30T00:00:47"/>
    <d v="1899-12-30T00:02:56"/>
    <d v="1899-12-30T00:03:16"/>
    <n v="0.35909999999999997"/>
    <d v="1899-12-30T07:31:44"/>
    <d v="1900-01-17T19:44:00"/>
    <d v="1899-12-30T09:02:40"/>
    <d v="1900-01-21T14:40:00"/>
  </r>
  <r>
    <d v="2022-01-23T00:00:00"/>
    <x v="4"/>
    <x v="0"/>
    <x v="22"/>
    <x v="2"/>
    <n v="754"/>
    <n v="49"/>
    <n v="46"/>
    <n v="0.93879999999999997"/>
    <n v="3"/>
    <d v="1899-12-30T00:00:38"/>
    <d v="1899-12-30T00:02:21"/>
    <d v="1899-12-30T00:02:16"/>
    <n v="0.52080000000000004"/>
    <d v="1899-12-30T01:48:06"/>
    <d v="1900-01-03T12:06:00"/>
    <d v="1899-12-30T01:55:09"/>
    <d v="1900-01-03T19:09:00"/>
  </r>
  <r>
    <d v="2022-01-24T00:00:00"/>
    <x v="5"/>
    <x v="0"/>
    <x v="23"/>
    <x v="2"/>
    <n v="755"/>
    <n v="193"/>
    <n v="185"/>
    <n v="0.95850000000000002"/>
    <n v="8"/>
    <d v="1899-12-30T00:00:21"/>
    <d v="1899-12-30T00:02:51"/>
    <d v="1899-12-30T00:03:57"/>
    <n v="0.75790000000000002"/>
    <d v="1899-12-30T08:47:15"/>
    <d v="1900-01-20T23:15:00"/>
    <d v="1899-12-30T09:10:03"/>
    <d v="1900-01-21T22:03:00"/>
  </r>
  <r>
    <d v="2022-01-25T00:00:00"/>
    <x v="6"/>
    <x v="0"/>
    <x v="24"/>
    <x v="2"/>
    <n v="756"/>
    <n v="195"/>
    <n v="184"/>
    <n v="0.94359999999999999"/>
    <n v="11"/>
    <d v="1899-12-30T00:00:22"/>
    <d v="1899-12-30T00:02:39"/>
    <d v="1899-12-30T00:02:38"/>
    <n v="0.7"/>
    <d v="1899-12-30T08:07:36"/>
    <d v="1900-01-19T07:36:00"/>
    <d v="1899-12-30T08:36:45"/>
    <d v="1900-01-20T12:45:00"/>
  </r>
  <r>
    <d v="2022-01-26T00:00:00"/>
    <x v="0"/>
    <x v="0"/>
    <x v="25"/>
    <x v="2"/>
    <n v="757"/>
    <n v="211"/>
    <n v="195"/>
    <n v="0.92420000000000002"/>
    <n v="16"/>
    <d v="1899-12-30T00:00:34"/>
    <d v="1899-12-30T00:02:51"/>
    <d v="1899-12-30T00:04:31"/>
    <n v="0.56940000000000002"/>
    <d v="1899-12-30T09:15:45"/>
    <d v="1900-01-22T03:45:00"/>
    <d v="1899-12-30T10:01:21"/>
    <d v="1900-01-24T01:21:00"/>
  </r>
  <r>
    <d v="2022-01-27T00:00:00"/>
    <x v="1"/>
    <x v="0"/>
    <x v="26"/>
    <x v="2"/>
    <n v="758"/>
    <n v="200"/>
    <n v="190"/>
    <n v="0.95"/>
    <n v="10"/>
    <d v="1899-12-30T00:00:15"/>
    <d v="1899-12-30T00:02:56"/>
    <d v="1899-12-30T00:03:06"/>
    <n v="0.80930000000000002"/>
    <d v="1899-12-30T09:17:20"/>
    <d v="1900-01-22T05:20:00"/>
    <d v="1899-12-30T09:46:40"/>
    <d v="1900-01-23T10:40:00"/>
  </r>
  <r>
    <d v="2022-01-28T00:00:00"/>
    <x v="2"/>
    <x v="0"/>
    <x v="27"/>
    <x v="2"/>
    <n v="759"/>
    <n v="48"/>
    <n v="47"/>
    <n v="0.97919999999999996"/>
    <n v="1"/>
    <d v="1899-12-30T00:00:15"/>
    <d v="1899-12-30T00:03:13"/>
    <d v="1899-12-30T00:02:58"/>
    <n v="0.8125"/>
    <d v="1899-12-30T02:31:11"/>
    <d v="1900-01-05T07:11:00"/>
    <d v="1899-12-30T02:34:24"/>
    <d v="1900-01-05T10:24:00"/>
  </r>
  <r>
    <d v="2022-01-29T00:00:00"/>
    <x v="3"/>
    <x v="0"/>
    <x v="28"/>
    <x v="2"/>
    <n v="760"/>
    <n v="164"/>
    <n v="159"/>
    <n v="0.96950000000000003"/>
    <n v="5"/>
    <d v="1899-12-30T00:00:20"/>
    <d v="1899-12-30T00:02:51"/>
    <d v="1899-12-30T00:04:47"/>
    <n v="0.77780000000000005"/>
    <d v="1899-12-30T07:33:09"/>
    <d v="1900-01-17T21:09:00"/>
    <d v="1899-12-30T07:47:24"/>
    <d v="1900-01-18T11:24:00"/>
  </r>
  <r>
    <d v="2022-01-30T00:00:00"/>
    <x v="4"/>
    <x v="0"/>
    <x v="29"/>
    <x v="2"/>
    <n v="761"/>
    <n v="43"/>
    <n v="42"/>
    <n v="0.97670000000000001"/>
    <n v="1"/>
    <d v="1899-12-30T00:00:14"/>
    <d v="1899-12-30T00:02:32"/>
    <d v="1899-12-30T00:02:34"/>
    <n v="0.83720000000000006"/>
    <d v="1899-12-30T01:46:24"/>
    <d v="1900-01-03T10:24:00"/>
    <d v="1899-12-30T01:48:56"/>
    <d v="1900-01-03T12:56:00"/>
  </r>
  <r>
    <d v="2022-01-31T00:00:00"/>
    <x v="5"/>
    <x v="0"/>
    <x v="30"/>
    <x v="2"/>
    <n v="762"/>
    <n v="236"/>
    <n v="223"/>
    <n v="0.94489999999999996"/>
    <n v="13"/>
    <d v="1899-12-30T00:00:26"/>
    <d v="1899-12-30T00:02:46"/>
    <d v="1899-12-30T00:03:38"/>
    <n v="0.64829999999999999"/>
    <d v="1899-12-30T10:16:58"/>
    <d v="1900-01-24T16:58:00"/>
    <d v="1899-12-30T10:52:56"/>
    <d v="1900-01-26T04:56:00"/>
  </r>
  <r>
    <d v="2022-02-01T00:00:00"/>
    <x v="6"/>
    <x v="1"/>
    <x v="0"/>
    <x v="2"/>
    <n v="763"/>
    <n v="270"/>
    <n v="262"/>
    <n v="0.97040000000000004"/>
    <n v="8"/>
    <d v="1899-12-30T00:00:15"/>
    <d v="1899-12-30T00:02:36"/>
    <d v="1899-12-30T00:02:08"/>
    <n v="0.83209999999999995"/>
    <d v="1899-12-30T11:21:12"/>
    <d v="1900-01-27T09:12:00"/>
    <d v="1899-12-30T11:42:00"/>
    <d v="1900-01-28T06:00:00"/>
  </r>
  <r>
    <d v="2022-02-02T00:00:00"/>
    <x v="0"/>
    <x v="1"/>
    <x v="1"/>
    <x v="2"/>
    <n v="764"/>
    <n v="304"/>
    <n v="262"/>
    <n v="0.86180000000000001"/>
    <n v="42"/>
    <d v="1899-12-30T00:00:34"/>
    <d v="1899-12-30T00:02:56"/>
    <d v="1899-12-30T00:07:01"/>
    <n v="0.56620000000000004"/>
    <d v="1899-12-30T12:48:32"/>
    <d v="1900-01-31T00:32:00"/>
    <d v="1899-12-30T14:51:44"/>
    <d v="1900-02-05T03:44:00"/>
  </r>
  <r>
    <d v="2022-02-03T00:00:00"/>
    <x v="1"/>
    <x v="1"/>
    <x v="2"/>
    <x v="2"/>
    <n v="765"/>
    <n v="286"/>
    <n v="270"/>
    <n v="0.94410000000000005"/>
    <n v="16"/>
    <d v="1899-12-30T00:00:20"/>
    <d v="1899-12-30T00:02:48"/>
    <d v="1899-12-30T00:03:06"/>
    <n v="0.71479999999999999"/>
    <d v="1899-12-30T12:36:00"/>
    <d v="1900-01-30T12:00:00"/>
    <d v="1899-12-30T13:20:48"/>
    <d v="1900-02-01T08:48:00"/>
  </r>
  <r>
    <d v="2022-02-04T00:00:00"/>
    <x v="2"/>
    <x v="1"/>
    <x v="3"/>
    <x v="2"/>
    <n v="766"/>
    <n v="317"/>
    <n v="284"/>
    <n v="0.89590000000000003"/>
    <n v="33"/>
    <d v="1899-12-30T00:00:30"/>
    <d v="1899-12-30T00:02:48"/>
    <d v="1899-12-30T00:08:16"/>
    <n v="0.6603"/>
    <d v="1899-12-30T13:15:12"/>
    <d v="1900-02-01T03:12:00"/>
    <d v="1899-12-30T14:47:36"/>
    <d v="1900-02-04T23:36:00"/>
  </r>
  <r>
    <d v="2022-02-05T00:00:00"/>
    <x v="3"/>
    <x v="1"/>
    <x v="4"/>
    <x v="2"/>
    <n v="767"/>
    <n v="471"/>
    <n v="396"/>
    <n v="0.84079999999999999"/>
    <n v="75"/>
    <d v="1899-12-30T00:00:59"/>
    <d v="1899-12-30T00:02:41"/>
    <d v="1899-12-30T00:05:29"/>
    <n v="0.308"/>
    <d v="1899-12-30T17:42:36"/>
    <d v="1900-02-12T06:36:00"/>
    <d v="1899-12-30T21:03:51"/>
    <d v="1900-02-20T15:51:00"/>
  </r>
  <r>
    <d v="2022-02-06T00:00:00"/>
    <x v="4"/>
    <x v="1"/>
    <x v="5"/>
    <x v="2"/>
    <n v="768"/>
    <n v="48"/>
    <n v="44"/>
    <n v="0.91669999999999996"/>
    <n v="4"/>
    <d v="1899-12-30T00:00:29"/>
    <d v="1899-12-30T00:02:31"/>
    <d v="1899-12-30T00:03:07"/>
    <n v="0.65959999999999996"/>
    <d v="1899-12-30T01:50:44"/>
    <d v="1900-01-03T14:44:00"/>
    <d v="1899-12-30T02:00:48"/>
    <d v="1900-01-04T00:48:00"/>
  </r>
  <r>
    <d v="2022-02-07T00:00:00"/>
    <x v="5"/>
    <x v="1"/>
    <x v="6"/>
    <x v="2"/>
    <n v="769"/>
    <n v="375"/>
    <n v="317"/>
    <n v="0.84530000000000005"/>
    <n v="58"/>
    <d v="1899-12-30T00:00:43"/>
    <d v="1899-12-30T00:02:52"/>
    <d v="1899-12-30T00:05:06"/>
    <n v="0.40870000000000001"/>
    <d v="1899-12-30T15:08:44"/>
    <d v="1900-02-05T20:44:00"/>
    <d v="1899-12-30T17:55:00"/>
    <d v="1900-02-12T19:00:00"/>
  </r>
  <r>
    <d v="2022-02-08T00:00:00"/>
    <x v="6"/>
    <x v="1"/>
    <x v="7"/>
    <x v="2"/>
    <n v="770"/>
    <n v="327"/>
    <n v="309"/>
    <n v="0.94499999999999995"/>
    <n v="18"/>
    <d v="1899-12-30T00:00:22"/>
    <d v="1899-12-30T00:02:48"/>
    <d v="1899-12-30T00:03:46"/>
    <n v="0.68210000000000004"/>
    <d v="1899-12-30T14:25:12"/>
    <d v="1900-02-04T01:12:00"/>
    <d v="1899-12-30T15:15:36"/>
    <d v="1900-02-06T03:36:00"/>
  </r>
  <r>
    <d v="2022-02-09T00:00:00"/>
    <x v="0"/>
    <x v="1"/>
    <x v="8"/>
    <x v="2"/>
    <n v="771"/>
    <n v="366"/>
    <n v="316"/>
    <n v="0.86339999999999995"/>
    <n v="50"/>
    <d v="1899-12-30T00:00:37"/>
    <d v="1899-12-30T00:02:44"/>
    <d v="1899-12-30T00:05:11"/>
    <n v="0.53739999999999999"/>
    <d v="1899-12-30T14:23:44"/>
    <d v="1900-02-03T23:44:00"/>
    <d v="1899-12-30T16:40:24"/>
    <d v="1900-02-09T16:24:00"/>
  </r>
  <r>
    <d v="2022-02-10T00:00:00"/>
    <x v="1"/>
    <x v="1"/>
    <x v="9"/>
    <x v="2"/>
    <n v="772"/>
    <n v="121"/>
    <n v="105"/>
    <n v="0.86780000000000002"/>
    <n v="16"/>
    <d v="1899-12-30T00:00:47"/>
    <d v="1899-12-30T00:03:00"/>
    <d v="1899-12-30T00:08:41"/>
    <n v="0.6"/>
    <d v="1899-12-30T05:15:00"/>
    <d v="1900-01-12T03:00:00"/>
    <d v="1899-12-30T06:03:00"/>
    <d v="1900-01-14T03:00:00"/>
  </r>
  <r>
    <d v="2022-02-11T00:00:00"/>
    <x v="2"/>
    <x v="1"/>
    <x v="10"/>
    <x v="2"/>
    <n v="773"/>
    <n v="287"/>
    <n v="266"/>
    <n v="0.92679999999999996"/>
    <n v="21"/>
    <d v="1899-12-30T00:00:34"/>
    <d v="1899-12-30T00:03:06"/>
    <d v="1899-12-30T00:04:08"/>
    <n v="0.59719999999999995"/>
    <d v="1899-12-30T13:44:36"/>
    <d v="1900-02-02T08:36:00"/>
    <d v="1899-12-30T14:49:42"/>
    <d v="1900-02-05T01:42:00"/>
  </r>
  <r>
    <d v="2022-02-12T00:00:00"/>
    <x v="3"/>
    <x v="1"/>
    <x v="11"/>
    <x v="2"/>
    <n v="774"/>
    <n v="298"/>
    <n v="277"/>
    <n v="0.92949999999999999"/>
    <n v="21"/>
    <d v="1899-12-30T00:00:39"/>
    <d v="1899-12-30T00:03:08"/>
    <d v="1899-12-30T00:03:35"/>
    <n v="0.51180000000000003"/>
    <d v="1899-12-30T14:27:56"/>
    <d v="1900-02-04T03:56:00"/>
    <d v="1899-12-30T15:33:44"/>
    <d v="1900-02-06T21:44:00"/>
  </r>
  <r>
    <d v="2022-02-13T00:00:00"/>
    <x v="4"/>
    <x v="1"/>
    <x v="12"/>
    <x v="2"/>
    <n v="775"/>
    <n v="70"/>
    <n v="56"/>
    <n v="0.8"/>
    <n v="14"/>
    <d v="1899-12-30T00:00:46"/>
    <d v="1899-12-30T00:03:23"/>
    <d v="1899-12-30T00:05:08"/>
    <n v="0.45710000000000001"/>
    <d v="1899-12-30T03:09:28"/>
    <d v="1900-01-06T21:28:00"/>
    <d v="1899-12-30T03:56:50"/>
    <d v="1900-01-08T20:50:00"/>
  </r>
  <r>
    <d v="2022-02-14T00:00:00"/>
    <x v="5"/>
    <x v="1"/>
    <x v="13"/>
    <x v="2"/>
    <n v="776"/>
    <n v="287"/>
    <n v="255"/>
    <n v="0.88849999999999996"/>
    <n v="32"/>
    <d v="1899-12-30T00:00:40"/>
    <d v="1899-12-30T00:03:30"/>
    <d v="1899-12-30T00:04:09"/>
    <n v="0.46810000000000002"/>
    <d v="1899-12-30T14:52:30"/>
    <d v="1900-02-05T04:30:00"/>
    <d v="1899-12-30T16:44:30"/>
    <d v="1900-02-09T20:30:00"/>
  </r>
  <r>
    <d v="2022-02-15T00:00:00"/>
    <x v="6"/>
    <x v="1"/>
    <x v="14"/>
    <x v="2"/>
    <n v="777"/>
    <n v="298"/>
    <n v="259"/>
    <n v="0.86909999999999998"/>
    <n v="39"/>
    <d v="1899-12-30T00:00:30"/>
    <d v="1899-12-30T00:03:14"/>
    <d v="1899-12-30T00:07:15"/>
    <n v="0.57969999999999999"/>
    <d v="1899-12-30T13:57:26"/>
    <d v="1900-02-02T21:26:00"/>
    <d v="1899-12-30T16:03:32"/>
    <d v="1900-02-08T03:32:00"/>
  </r>
  <r>
    <d v="2022-02-16T00:00:00"/>
    <x v="0"/>
    <x v="1"/>
    <x v="15"/>
    <x v="2"/>
    <n v="778"/>
    <n v="347"/>
    <n v="317"/>
    <n v="0.91349999999999998"/>
    <n v="30"/>
    <d v="1899-12-30T00:00:30"/>
    <d v="1899-12-30T00:03:11"/>
    <d v="1899-12-30T00:05:52"/>
    <n v="0.59770000000000001"/>
    <d v="1899-12-30T16:49:07"/>
    <d v="1900-02-10T01:07:00"/>
    <d v="1899-12-30T18:24:37"/>
    <d v="1900-02-14T00:37:00"/>
  </r>
  <r>
    <d v="2022-02-17T00:00:00"/>
    <x v="1"/>
    <x v="1"/>
    <x v="16"/>
    <x v="2"/>
    <n v="779"/>
    <n v="414"/>
    <n v="356"/>
    <n v="0.8599"/>
    <n v="58"/>
    <d v="1899-12-30T00:00:43"/>
    <d v="1899-12-30T00:03:27"/>
    <d v="1899-12-30T00:15:32"/>
    <n v="0.47149999999999997"/>
    <d v="1899-12-30T20:28:12"/>
    <d v="1900-02-19T04:12:00"/>
    <d v="1899-12-30T23:48:18"/>
    <d v="1900-02-27T12:18:00"/>
  </r>
  <r>
    <d v="2022-02-18T00:00:00"/>
    <x v="2"/>
    <x v="1"/>
    <x v="17"/>
    <x v="2"/>
    <n v="780"/>
    <n v="406"/>
    <n v="362"/>
    <n v="0.89159999999999995"/>
    <n v="44"/>
    <d v="1899-12-30T00:00:37"/>
    <d v="1899-12-30T00:03:02"/>
    <d v="1899-12-30T00:05:17"/>
    <n v="0.53480000000000005"/>
    <d v="1899-12-30T18:18:04"/>
    <d v="1900-02-13T18:04:00"/>
    <d v="1899-12-30T20:31:32"/>
    <d v="1900-02-19T07:32:00"/>
  </r>
  <r>
    <d v="2022-02-19T00:00:00"/>
    <x v="3"/>
    <x v="1"/>
    <x v="18"/>
    <x v="2"/>
    <n v="781"/>
    <n v="366"/>
    <n v="322"/>
    <n v="0.87980000000000003"/>
    <n v="44"/>
    <d v="1899-12-30T00:00:35"/>
    <d v="1899-12-30T00:03:03"/>
    <d v="1899-12-30T00:11:12"/>
    <n v="0.5706"/>
    <d v="1899-12-30T16:22:06"/>
    <d v="1900-02-08T22:06:00"/>
    <d v="1899-12-30T18:36:18"/>
    <d v="1900-02-14T12:18:00"/>
  </r>
  <r>
    <d v="2022-02-20T00:00:00"/>
    <x v="4"/>
    <x v="1"/>
    <x v="19"/>
    <x v="2"/>
    <n v="782"/>
    <n v="68"/>
    <n v="64"/>
    <n v="0.94120000000000004"/>
    <n v="4"/>
    <d v="1899-12-30T00:00:14"/>
    <d v="1899-12-30T00:02:58"/>
    <d v="1899-12-30T00:02:04"/>
    <n v="0.82350000000000001"/>
    <d v="1899-12-30T03:09:52"/>
    <d v="1900-01-06T21:52:00"/>
    <d v="1899-12-30T03:21:44"/>
    <d v="1900-01-07T09:44:00"/>
  </r>
  <r>
    <d v="2022-02-21T00:00:00"/>
    <x v="5"/>
    <x v="1"/>
    <x v="20"/>
    <x v="2"/>
    <n v="783"/>
    <n v="350"/>
    <n v="320"/>
    <n v="0.9143"/>
    <n v="30"/>
    <d v="1899-12-30T00:00:37"/>
    <d v="1899-12-30T00:03:13"/>
    <d v="1899-12-30T00:05:39"/>
    <n v="0.54179999999999995"/>
    <d v="1899-12-30T17:09:20"/>
    <d v="1900-02-10T21:20:00"/>
    <d v="1899-12-30T18:45:50"/>
    <d v="1900-02-14T21:50:00"/>
  </r>
  <r>
    <d v="2022-02-22T00:00:00"/>
    <x v="6"/>
    <x v="1"/>
    <x v="21"/>
    <x v="2"/>
    <n v="784"/>
    <n v="437"/>
    <n v="352"/>
    <n v="0.80549999999999999"/>
    <n v="85"/>
    <d v="1899-12-30T00:00:52"/>
    <d v="1899-12-30T00:03:01"/>
    <d v="1899-12-30T00:09:33"/>
    <n v="0.41260000000000002"/>
    <d v="1899-12-30T17:41:52"/>
    <d v="1900-02-12T05:52:00"/>
    <d v="1899-12-30T21:58:17"/>
    <d v="1900-02-22T22:17:00"/>
  </r>
  <r>
    <d v="2022-02-23T00:00:00"/>
    <x v="0"/>
    <x v="1"/>
    <x v="22"/>
    <x v="2"/>
    <n v="785"/>
    <n v="484"/>
    <n v="438"/>
    <n v="0.90500000000000003"/>
    <n v="46"/>
    <d v="1899-12-30T00:00:45"/>
    <d v="1899-12-30T00:02:57"/>
    <d v="1899-12-30T00:05:47"/>
    <n v="0.44790000000000002"/>
    <d v="1899-12-30T21:32:06"/>
    <d v="1900-02-21T20:06:00"/>
    <d v="1899-12-30T23:47:48"/>
    <d v="1900-02-27T11:48:00"/>
  </r>
  <r>
    <d v="2022-02-24T00:00:00"/>
    <x v="1"/>
    <x v="1"/>
    <x v="23"/>
    <x v="2"/>
    <n v="786"/>
    <n v="405"/>
    <n v="368"/>
    <n v="0.90859999999999996"/>
    <n v="37"/>
    <d v="1899-12-30T00:00:35"/>
    <d v="1899-12-30T00:03:09"/>
    <d v="1899-12-30T00:05:41"/>
    <n v="0.58099999999999996"/>
    <d v="1899-12-30T19:19:12"/>
    <d v="1900-02-16T07:12:00"/>
    <d v="1899-12-30T21:15:45"/>
    <d v="1900-02-21T03:45:00"/>
  </r>
  <r>
    <d v="2022-02-25T00:00:00"/>
    <x v="2"/>
    <x v="1"/>
    <x v="24"/>
    <x v="2"/>
    <n v="787"/>
    <n v="570"/>
    <n v="368"/>
    <n v="0.64559999999999995"/>
    <n v="202"/>
    <d v="1899-12-30T00:01:11"/>
    <d v="1899-12-30T00:03:24"/>
    <d v="1899-12-30T00:25:51"/>
    <n v="0.2354"/>
    <d v="1899-12-30T20:51:12"/>
    <d v="1900-02-20T03:12:00"/>
    <d v="1899-12-31T08:18:00"/>
    <d v="1900-03-20T18:00:00"/>
  </r>
  <r>
    <d v="2022-02-26T00:00:00"/>
    <x v="3"/>
    <x v="1"/>
    <x v="25"/>
    <x v="2"/>
    <n v="788"/>
    <n v="424"/>
    <n v="384"/>
    <n v="0.90569999999999995"/>
    <n v="40"/>
    <d v="1899-12-30T00:00:49"/>
    <d v="1899-12-30T00:03:14"/>
    <d v="1899-12-30T00:08:56"/>
    <n v="0.3952"/>
    <d v="1899-12-30T20:41:36"/>
    <d v="1900-02-19T17:36:00"/>
    <d v="1899-12-30T22:50:56"/>
    <d v="1900-02-25T02:56:00"/>
  </r>
  <r>
    <d v="2022-02-27T00:00:00"/>
    <x v="4"/>
    <x v="1"/>
    <x v="26"/>
    <x v="2"/>
    <n v="789"/>
    <n v="60"/>
    <n v="57"/>
    <n v="0.95"/>
    <n v="3"/>
    <d v="1899-12-30T00:00:32"/>
    <d v="1899-12-30T00:03:19"/>
    <d v="1899-12-30T00:03:00"/>
    <n v="0.55930000000000002"/>
    <d v="1899-12-30T03:09:03"/>
    <d v="1900-01-06T21:03:00"/>
    <d v="1899-12-30T03:19:00"/>
    <d v="1900-01-07T07:00:00"/>
  </r>
  <r>
    <d v="2022-02-28T00:00:00"/>
    <x v="5"/>
    <x v="1"/>
    <x v="27"/>
    <x v="2"/>
    <n v="790"/>
    <n v="497"/>
    <n v="442"/>
    <n v="0.88929999999999998"/>
    <n v="55"/>
    <d v="1899-12-30T00:00:48"/>
    <d v="1899-12-30T00:01:36"/>
    <d v="1899-12-30T00:10:45"/>
    <n v="0.57579999999999998"/>
    <d v="1899-12-30T11:47:12"/>
    <d v="1900-01-28T11:12:00"/>
    <d v="1899-12-30T13:15:12"/>
    <d v="1900-02-01T03:12:00"/>
  </r>
  <r>
    <d v="2022-03-01T00:00:00"/>
    <x v="6"/>
    <x v="2"/>
    <x v="0"/>
    <x v="2"/>
    <n v="791"/>
    <n v="429"/>
    <n v="378"/>
    <n v="0.88109999999999999"/>
    <n v="51"/>
    <d v="1899-12-30T00:00:37"/>
    <d v="1899-12-30T00:02:05"/>
    <d v="1899-12-30T00:10:55"/>
    <n v="0.55289999999999995"/>
    <d v="1899-12-30T13:07:30"/>
    <d v="1900-01-31T19:30:00"/>
    <d v="1899-12-30T14:53:45"/>
    <d v="1900-02-05T05:45:00"/>
  </r>
  <r>
    <d v="2022-03-02T00:00:00"/>
    <x v="0"/>
    <x v="2"/>
    <x v="1"/>
    <x v="2"/>
    <n v="792"/>
    <n v="499"/>
    <n v="388"/>
    <n v="0.77759999999999996"/>
    <n v="111"/>
    <d v="1899-12-30T00:00:54"/>
    <d v="1899-12-30T00:02:15"/>
    <d v="1899-12-30T00:16:59"/>
    <n v="0.47760000000000002"/>
    <d v="1899-12-30T14:33:00"/>
    <d v="1900-02-04T09:00:00"/>
    <d v="1899-12-30T18:42:45"/>
    <d v="1900-02-14T18:45:00"/>
  </r>
  <r>
    <d v="2022-03-03T00:00:00"/>
    <x v="1"/>
    <x v="2"/>
    <x v="2"/>
    <x v="2"/>
    <n v="793"/>
    <n v="510"/>
    <n v="434"/>
    <n v="0.85099999999999998"/>
    <n v="76"/>
    <d v="1899-12-30T00:00:48"/>
    <d v="1899-12-30T00:03:29"/>
    <d v="1899-12-30T00:10:21"/>
    <n v="0.4219"/>
    <d v="1899-12-31T01:11:46"/>
    <d v="1900-03-02T23:46:00"/>
    <d v="1899-12-31T05:36:30"/>
    <d v="1900-03-14T00:30:00"/>
  </r>
  <r>
    <d v="2022-03-04T00:00:00"/>
    <x v="2"/>
    <x v="2"/>
    <x v="3"/>
    <x v="2"/>
    <n v="794"/>
    <n v="549"/>
    <n v="458"/>
    <n v="0.83420000000000005"/>
    <n v="91"/>
    <d v="1899-12-30T00:01:13"/>
    <d v="1899-12-30T00:03:35"/>
    <d v="1899-12-30T00:09:12"/>
    <n v="0.29070000000000001"/>
    <d v="1899-12-31T03:21:10"/>
    <d v="1900-03-08T09:10:00"/>
    <d v="1899-12-31T08:47:15"/>
    <d v="1900-03-21T23:15:00"/>
  </r>
  <r>
    <d v="2022-03-05T00:00:00"/>
    <x v="3"/>
    <x v="2"/>
    <x v="4"/>
    <x v="2"/>
    <n v="795"/>
    <n v="590"/>
    <n v="444"/>
    <n v="0.75249999999999995"/>
    <n v="146"/>
    <d v="1899-12-30T00:01:23"/>
    <d v="1899-12-30T00:03:34"/>
    <d v="1899-12-30T00:08:58"/>
    <n v="0.1903"/>
    <d v="1899-12-31T02:23:36"/>
    <d v="1900-03-05T23:36:00"/>
    <d v="1899-12-31T11:04:20"/>
    <d v="1900-03-27T16:20:00"/>
  </r>
  <r>
    <d v="2022-03-06T00:00:00"/>
    <x v="4"/>
    <x v="2"/>
    <x v="5"/>
    <x v="2"/>
    <n v="796"/>
    <n v="137"/>
    <n v="120"/>
    <n v="0.87590000000000001"/>
    <n v="17"/>
    <d v="1899-12-30T00:00:58"/>
    <d v="1899-12-30T00:03:11"/>
    <d v="1899-12-30T00:05:22"/>
    <n v="0.33090000000000003"/>
    <d v="1899-12-30T06:22:00"/>
    <d v="1900-01-14T22:00:00"/>
    <d v="1899-12-30T07:16:07"/>
    <d v="1900-01-17T04:07:00"/>
  </r>
  <r>
    <d v="2022-03-07T00:00:00"/>
    <x v="5"/>
    <x v="2"/>
    <x v="6"/>
    <x v="2"/>
    <n v="797"/>
    <n v="598"/>
    <n v="476"/>
    <n v="0.79600000000000004"/>
    <n v="122"/>
    <d v="1899-12-30T00:00:58"/>
    <d v="1899-12-30T00:03:39"/>
    <d v="1899-12-30T00:08:45"/>
    <n v="0.32029999999999997"/>
    <d v="1899-12-31T04:57:24"/>
    <d v="1900-03-12T09:24:00"/>
    <d v="1899-12-31T12:22:42"/>
    <d v="1900-03-30T22:42:00"/>
  </r>
  <r>
    <d v="2022-03-08T00:00:00"/>
    <x v="6"/>
    <x v="2"/>
    <x v="7"/>
    <x v="2"/>
    <n v="798"/>
    <n v="231"/>
    <n v="180"/>
    <n v="0.7792"/>
    <n v="51"/>
    <d v="1899-12-30T00:01:04"/>
    <d v="1899-12-30T00:03:33"/>
    <d v="1899-12-30T00:09:07"/>
    <n v="0.33779999999999999"/>
    <d v="1899-12-30T10:39:00"/>
    <d v="1900-01-25T15:00:00"/>
    <d v="1899-12-30T13:40:03"/>
    <d v="1900-02-02T04:03:00"/>
  </r>
  <r>
    <d v="2022-03-09T00:00:00"/>
    <x v="0"/>
    <x v="2"/>
    <x v="8"/>
    <x v="2"/>
    <n v="799"/>
    <n v="724"/>
    <n v="362"/>
    <n v="0.5"/>
    <n v="362"/>
    <d v="1899-12-30T00:02:01"/>
    <d v="1899-12-30T00:03:55"/>
    <d v="1899-12-30T00:12:18"/>
    <n v="0.1166"/>
    <d v="1899-12-30T23:37:50"/>
    <d v="1900-02-27T01:50:00"/>
    <d v="1899-12-31T23:15:40"/>
    <d v="1900-04-27T03:40:00"/>
  </r>
  <r>
    <d v="2022-03-10T00:00:00"/>
    <x v="1"/>
    <x v="2"/>
    <x v="9"/>
    <x v="2"/>
    <n v="800"/>
    <n v="732"/>
    <n v="367"/>
    <n v="0.50139999999999996"/>
    <n v="365"/>
    <d v="1899-12-30T00:02:48"/>
    <d v="1899-12-30T00:02:52"/>
    <d v="1899-12-30T00:16:38"/>
    <n v="8.09E-2"/>
    <d v="1899-12-30T17:32:04"/>
    <d v="1900-02-11T20:04:00"/>
    <d v="1899-12-31T10:58:24"/>
    <d v="1900-03-27T10:24:00"/>
  </r>
  <r>
    <d v="2022-03-11T00:00:00"/>
    <x v="2"/>
    <x v="2"/>
    <x v="10"/>
    <x v="2"/>
    <n v="801"/>
    <n v="582"/>
    <n v="301"/>
    <n v="0.51719999999999999"/>
    <n v="281"/>
    <d v="1899-12-30T00:02:41"/>
    <d v="1899-12-30T00:04:13"/>
    <d v="1899-12-30T00:21:42"/>
    <n v="0.1208"/>
    <d v="1899-12-30T21:09:13"/>
    <d v="1900-02-20T21:13:00"/>
    <d v="1899-12-31T16:54:06"/>
    <d v="1900-04-11T06:06:00"/>
  </r>
  <r>
    <d v="2022-03-12T00:00:00"/>
    <x v="3"/>
    <x v="2"/>
    <x v="11"/>
    <x v="2"/>
    <n v="802"/>
    <n v="621"/>
    <n v="344"/>
    <n v="0.55389999999999995"/>
    <n v="277"/>
    <d v="1899-12-30T00:02:07"/>
    <d v="1899-12-30T00:03:29"/>
    <d v="1899-12-30T00:12:24"/>
    <n v="0.1447"/>
    <d v="1899-12-30T19:58:16"/>
    <d v="1900-02-17T22:16:00"/>
    <d v="1899-12-31T12:03:09"/>
    <d v="1900-03-30T03:09:00"/>
  </r>
  <r>
    <d v="2022-03-13T00:00:00"/>
    <x v="4"/>
    <x v="2"/>
    <x v="12"/>
    <x v="2"/>
    <n v="803"/>
    <n v="116"/>
    <n v="106"/>
    <n v="0.91379999999999995"/>
    <n v="10"/>
    <d v="1899-12-30T00:00:34"/>
    <d v="1899-12-30T00:04:23"/>
    <d v="1899-12-30T00:04:44"/>
    <n v="0.62929999999999997"/>
    <d v="1899-12-30T07:44:38"/>
    <d v="1900-01-18T08:38:00"/>
    <d v="1899-12-30T08:28:28"/>
    <d v="1900-01-20T04:28:00"/>
  </r>
  <r>
    <d v="2022-03-14T00:00:00"/>
    <x v="5"/>
    <x v="2"/>
    <x v="13"/>
    <x v="2"/>
    <n v="804"/>
    <n v="533"/>
    <n v="300"/>
    <n v="0.56289999999999996"/>
    <n v="233"/>
    <d v="1899-12-30T00:02:12"/>
    <d v="1899-12-30T00:04:03"/>
    <d v="1899-12-30T00:12:24"/>
    <n v="0.1255"/>
    <d v="1899-12-30T20:15:00"/>
    <d v="1900-02-18T15:00:00"/>
    <d v="1899-12-31T11:58:39"/>
    <d v="1900-03-29T22:39:00"/>
  </r>
  <r>
    <d v="2022-03-15T00:00:00"/>
    <x v="6"/>
    <x v="2"/>
    <x v="14"/>
    <x v="2"/>
    <n v="805"/>
    <n v="416"/>
    <n v="322"/>
    <n v="0.77400000000000002"/>
    <n v="94"/>
    <d v="1899-12-30T00:01:04"/>
    <d v="1899-12-30T00:03:34"/>
    <d v="1899-12-30T00:06:12"/>
    <n v="0.38590000000000002"/>
    <d v="1899-12-30T19:08:28"/>
    <d v="1900-02-15T20:28:00"/>
    <d v="1899-12-31T00:43:44"/>
    <d v="1900-03-01T19:44:00"/>
  </r>
  <r>
    <d v="2022-03-16T00:00:00"/>
    <x v="0"/>
    <x v="2"/>
    <x v="15"/>
    <x v="2"/>
    <n v="806"/>
    <n v="415"/>
    <n v="259"/>
    <n v="0.62409999999999999"/>
    <n v="156"/>
    <d v="1899-12-30T00:02:10"/>
    <d v="1899-12-30T00:03:57"/>
    <d v="1899-12-30T00:13:38"/>
    <n v="0.1789"/>
    <d v="1899-12-30T17:03:03"/>
    <d v="1900-02-10T15:03:00"/>
    <d v="1899-12-31T03:19:15"/>
    <d v="1900-03-08T07:15:00"/>
  </r>
  <r>
    <d v="2022-03-17T00:00:00"/>
    <x v="1"/>
    <x v="2"/>
    <x v="16"/>
    <x v="2"/>
    <n v="807"/>
    <n v="433"/>
    <n v="289"/>
    <n v="0.66739999999999999"/>
    <n v="144"/>
    <d v="1899-12-30T00:01:42"/>
    <d v="1899-12-30T00:03:28"/>
    <d v="1899-12-30T00:13:12"/>
    <n v="0.22950000000000001"/>
    <d v="1899-12-30T16:41:52"/>
    <d v="1900-02-09T17:52:00"/>
    <d v="1899-12-31T01:01:04"/>
    <d v="1900-03-02T13:04:00"/>
  </r>
  <r>
    <d v="2022-03-18T00:00:00"/>
    <x v="2"/>
    <x v="2"/>
    <x v="17"/>
    <x v="2"/>
    <n v="808"/>
    <n v="454"/>
    <n v="284"/>
    <n v="0.62560000000000004"/>
    <n v="170"/>
    <d v="1899-12-30T00:01:53"/>
    <d v="1899-12-30T00:03:34"/>
    <d v="1899-12-30T00:19:22"/>
    <n v="0.24440000000000001"/>
    <d v="1899-12-30T16:52:56"/>
    <d v="1900-02-10T04:56:00"/>
    <d v="1899-12-31T02:59:16"/>
    <d v="1900-03-07T11:16:00"/>
  </r>
  <r>
    <d v="2022-03-19T00:00:00"/>
    <x v="3"/>
    <x v="2"/>
    <x v="18"/>
    <x v="2"/>
    <n v="809"/>
    <n v="244"/>
    <n v="195"/>
    <n v="0.79920000000000002"/>
    <n v="49"/>
    <d v="1899-12-30T00:01:25"/>
    <d v="1899-12-30T00:03:51"/>
    <d v="1899-12-30T00:11:22"/>
    <n v="0.36670000000000003"/>
    <d v="1899-12-30T12:30:45"/>
    <d v="1900-01-30T06:45:00"/>
    <d v="1899-12-30T15:39:24"/>
    <d v="1900-02-07T03:24:00"/>
  </r>
  <r>
    <d v="2022-03-20T00:00:00"/>
    <x v="4"/>
    <x v="2"/>
    <x v="19"/>
    <x v="2"/>
    <n v="810"/>
    <n v="51"/>
    <n v="48"/>
    <n v="0.94120000000000004"/>
    <n v="3"/>
    <d v="1899-12-30T00:00:14"/>
    <d v="1899-12-30T00:03:26"/>
    <d v="1899-12-30T00:03:21"/>
    <n v="0.84309999999999996"/>
    <d v="1899-12-30T02:44:48"/>
    <d v="1900-01-05T20:48:00"/>
    <d v="1899-12-30T02:55:06"/>
    <d v="1900-01-06T07:06:00"/>
  </r>
  <r>
    <d v="2022-03-21T00:00:00"/>
    <x v="5"/>
    <x v="2"/>
    <x v="20"/>
    <x v="2"/>
    <n v="811"/>
    <n v="202"/>
    <n v="176"/>
    <n v="0.87129999999999996"/>
    <n v="26"/>
    <d v="1899-12-30T00:00:24"/>
    <d v="1899-12-30T00:03:42"/>
    <d v="1899-12-30T00:05:28"/>
    <n v="0.67159999999999997"/>
    <d v="1899-12-30T10:51:12"/>
    <d v="1900-01-26T03:12:00"/>
    <d v="1899-12-30T12:27:24"/>
    <d v="1900-01-30T03:24:00"/>
  </r>
  <r>
    <d v="2022-03-22T00:00:00"/>
    <x v="6"/>
    <x v="2"/>
    <x v="21"/>
    <x v="2"/>
    <n v="812"/>
    <n v="128"/>
    <n v="118"/>
    <n v="0.92190000000000005"/>
    <n v="10"/>
    <d v="1899-12-30T00:00:30"/>
    <d v="1899-12-30T00:03:42"/>
    <d v="1899-12-30T00:07:53"/>
    <n v="0.74019999999999997"/>
    <d v="1899-12-30T07:16:36"/>
    <d v="1900-01-17T04:36:00"/>
    <d v="1899-12-30T07:53:36"/>
    <d v="1900-01-18T17:36:00"/>
  </r>
  <r>
    <d v="2022-03-23T00:00:00"/>
    <x v="0"/>
    <x v="2"/>
    <x v="22"/>
    <x v="2"/>
    <n v="813"/>
    <n v="102"/>
    <n v="100"/>
    <n v="0.98040000000000005"/>
    <n v="2"/>
    <d v="1899-12-30T00:00:14"/>
    <d v="1899-12-30T00:03:32"/>
    <d v="1899-12-30T00:03:09"/>
    <n v="0.85289999999999999"/>
    <d v="1899-12-30T05:53:20"/>
    <d v="1900-01-13T17:20:00"/>
    <d v="1899-12-30T06:00:24"/>
    <d v="1900-01-14T00:24:00"/>
  </r>
  <r>
    <d v="2022-03-24T00:00:00"/>
    <x v="1"/>
    <x v="2"/>
    <x v="23"/>
    <x v="2"/>
    <n v="814"/>
    <n v="201"/>
    <n v="169"/>
    <n v="0.84079999999999999"/>
    <n v="32"/>
    <d v="1899-12-30T00:00:32"/>
    <d v="1899-12-30T00:03:25"/>
    <d v="1899-12-30T00:06:12"/>
    <n v="0.58079999999999998"/>
    <d v="1899-12-30T09:37:25"/>
    <d v="1900-01-23T01:25:00"/>
    <d v="1899-12-30T11:26:45"/>
    <d v="1900-01-27T14:45:00"/>
  </r>
  <r>
    <d v="2022-03-25T00:00:00"/>
    <x v="2"/>
    <x v="2"/>
    <x v="24"/>
    <x v="2"/>
    <n v="815"/>
    <n v="261"/>
    <n v="195"/>
    <n v="0.74709999999999999"/>
    <n v="66"/>
    <d v="1899-12-30T00:01:01"/>
    <d v="1899-12-30T00:03:27"/>
    <d v="1899-12-30T00:07:55"/>
    <n v="0.37980000000000003"/>
    <d v="1899-12-30T11:12:45"/>
    <d v="1900-01-27T00:45:00"/>
    <d v="1899-12-30T15:00:27"/>
    <d v="1900-02-05T12:27:00"/>
  </r>
  <r>
    <d v="2022-03-26T00:00:00"/>
    <x v="3"/>
    <x v="2"/>
    <x v="25"/>
    <x v="2"/>
    <n v="816"/>
    <n v="201"/>
    <n v="173"/>
    <n v="0.86070000000000002"/>
    <n v="28"/>
    <d v="1899-12-30T00:00:41"/>
    <d v="1899-12-30T00:03:15"/>
    <d v="1899-12-30T00:06:50"/>
    <n v="0.59499999999999997"/>
    <d v="1899-12-30T09:22:15"/>
    <d v="1900-01-22T10:15:00"/>
    <d v="1899-12-30T10:53:15"/>
    <d v="1900-01-26T05:15:00"/>
  </r>
  <r>
    <d v="2022-03-27T00:00:00"/>
    <x v="4"/>
    <x v="2"/>
    <x v="26"/>
    <x v="2"/>
    <n v="817"/>
    <n v="64"/>
    <n v="61"/>
    <n v="0.95309999999999995"/>
    <n v="3"/>
    <d v="1899-12-30T00:00:09"/>
    <d v="1899-12-30T00:03:15"/>
    <d v="1899-12-30T00:02:23"/>
    <n v="0.92059999999999997"/>
    <d v="1899-12-30T03:18:15"/>
    <d v="1900-01-07T06:15:00"/>
    <d v="1899-12-30T03:28:00"/>
    <d v="1900-01-07T16:00:00"/>
  </r>
  <r>
    <d v="2022-03-28T00:00:00"/>
    <x v="5"/>
    <x v="2"/>
    <x v="27"/>
    <x v="2"/>
    <n v="818"/>
    <n v="200"/>
    <n v="168"/>
    <n v="0.84"/>
    <n v="32"/>
    <d v="1899-12-30T00:00:51"/>
    <d v="1899-12-30T00:03:23"/>
    <d v="1899-12-30T00:06:46"/>
    <n v="0.4874"/>
    <d v="1899-12-30T09:28:24"/>
    <d v="1900-01-22T16:24:00"/>
    <d v="1899-12-30T11:16:40"/>
    <d v="1900-01-27T04:40:00"/>
  </r>
  <r>
    <d v="2022-03-29T00:00:00"/>
    <x v="6"/>
    <x v="2"/>
    <x v="28"/>
    <x v="2"/>
    <n v="819"/>
    <n v="158"/>
    <n v="148"/>
    <n v="0.93669999999999998"/>
    <n v="10"/>
    <d v="1899-12-30T00:00:30"/>
    <d v="1899-12-30T00:03:17"/>
    <d v="1899-12-30T00:04:08"/>
    <n v="0.56689999999999996"/>
    <d v="1899-12-30T08:05:56"/>
    <d v="1900-01-19T05:56:00"/>
    <d v="1899-12-30T08:38:46"/>
    <d v="1900-01-20T14:46:00"/>
  </r>
  <r>
    <d v="2022-03-30T00:00:00"/>
    <x v="0"/>
    <x v="2"/>
    <x v="29"/>
    <x v="2"/>
    <n v="820"/>
    <n v="174"/>
    <n v="155"/>
    <n v="0.89080000000000004"/>
    <n v="19"/>
    <d v="1899-12-30T00:00:26"/>
    <d v="1899-12-30T00:03:01"/>
    <d v="1899-12-30T00:05:10"/>
    <n v="0.62350000000000005"/>
    <d v="1899-12-30T07:47:35"/>
    <d v="1900-01-18T11:35:00"/>
    <d v="1899-12-30T08:44:54"/>
    <d v="1900-01-20T20:54:00"/>
  </r>
  <r>
    <d v="2022-03-31T00:00:00"/>
    <x v="1"/>
    <x v="2"/>
    <x v="30"/>
    <x v="2"/>
    <n v="821"/>
    <n v="67"/>
    <n v="64"/>
    <n v="0.95520000000000005"/>
    <n v="3"/>
    <d v="1899-12-30T00:00:26"/>
    <d v="1899-12-30T00:03:31"/>
    <d v="1899-12-30T00:04:58"/>
    <n v="0.71209999999999996"/>
    <d v="1899-12-30T03:45:04"/>
    <d v="1900-01-08T09:04:00"/>
    <d v="1899-12-30T03:55:37"/>
    <d v="1900-01-08T19:37:00"/>
  </r>
  <r>
    <d v="2022-04-01T00:00:00"/>
    <x v="2"/>
    <x v="3"/>
    <x v="0"/>
    <x v="2"/>
    <n v="822"/>
    <n v="24"/>
    <n v="23"/>
    <n v="0.95830000000000004"/>
    <n v="1"/>
    <d v="1899-12-30T00:00:23"/>
    <d v="1899-12-30T00:02:50"/>
    <d v="1899-12-30T00:02:01"/>
    <n v="0.75"/>
    <d v="1899-12-30T01:05:10"/>
    <d v="1900-01-01T17:10:00"/>
    <d v="1899-12-30T01:08:00"/>
    <d v="1900-01-01T20:00:00"/>
  </r>
  <r>
    <d v="2022-04-02T00:00:00"/>
    <x v="3"/>
    <x v="3"/>
    <x v="1"/>
    <x v="2"/>
    <n v="823"/>
    <n v="106"/>
    <n v="92"/>
    <n v="0.8679"/>
    <n v="14"/>
    <d v="1899-12-30T00:00:44"/>
    <d v="1899-12-30T00:03:03"/>
    <d v="1899-12-30T00:05:04"/>
    <n v="0.45629999999999998"/>
    <d v="1899-12-30T04:40:36"/>
    <d v="1900-01-10T16:36:00"/>
    <d v="1899-12-30T05:23:18"/>
    <d v="1900-01-12T11:18:00"/>
  </r>
  <r>
    <d v="2022-04-03T00:00:00"/>
    <x v="4"/>
    <x v="3"/>
    <x v="2"/>
    <x v="2"/>
    <n v="824"/>
    <n v="52"/>
    <n v="50"/>
    <n v="0.96150000000000002"/>
    <n v="2"/>
    <d v="1899-12-30T00:00:11"/>
    <d v="1899-12-30T00:03:19"/>
    <d v="1899-12-30T00:01:24"/>
    <n v="0.88460000000000005"/>
    <d v="1899-12-30T02:45:50"/>
    <d v="1900-01-05T21:50:00"/>
    <d v="1899-12-30T02:52:28"/>
    <d v="1900-01-06T04:28:00"/>
  </r>
  <r>
    <d v="2022-04-04T00:00:00"/>
    <x v="5"/>
    <x v="3"/>
    <x v="3"/>
    <x v="2"/>
    <n v="825"/>
    <n v="223"/>
    <n v="203"/>
    <n v="0.9103"/>
    <n v="20"/>
    <d v="1899-12-30T00:00:31"/>
    <d v="1899-12-30T00:03:18"/>
    <d v="1899-12-30T00:04:11"/>
    <n v="0.621"/>
    <d v="1899-12-30T11:09:54"/>
    <d v="1900-01-26T21:54:00"/>
    <d v="1899-12-30T12:15:54"/>
    <d v="1900-01-29T15:54:00"/>
  </r>
  <r>
    <d v="2022-04-05T00:00:00"/>
    <x v="6"/>
    <x v="3"/>
    <x v="4"/>
    <x v="2"/>
    <n v="826"/>
    <n v="274"/>
    <n v="233"/>
    <n v="0.85040000000000004"/>
    <n v="41"/>
    <d v="1899-12-30T00:00:48"/>
    <d v="1899-12-30T00:03:27"/>
    <d v="1899-12-30T00:05:10"/>
    <n v="0.36059999999999998"/>
    <d v="1899-12-30T13:23:51"/>
    <d v="1900-02-01T11:51:00"/>
    <d v="1899-12-30T15:45:18"/>
    <d v="1900-02-07T09:18:00"/>
  </r>
  <r>
    <d v="2022-04-06T00:00:00"/>
    <x v="0"/>
    <x v="3"/>
    <x v="5"/>
    <x v="2"/>
    <n v="827"/>
    <n v="280"/>
    <n v="263"/>
    <n v="0.93930000000000002"/>
    <n v="17"/>
    <d v="1899-12-30T00:00:23"/>
    <d v="1899-12-30T00:03:13"/>
    <d v="1899-12-30T00:03:50"/>
    <n v="0.6764"/>
    <d v="1899-12-30T14:05:59"/>
    <d v="1900-02-03T05:59:00"/>
    <d v="1899-12-30T15:00:40"/>
    <d v="1900-02-05T12:40:00"/>
  </r>
  <r>
    <d v="2022-04-07T00:00:00"/>
    <x v="1"/>
    <x v="3"/>
    <x v="6"/>
    <x v="2"/>
    <n v="828"/>
    <n v="534"/>
    <n v="468"/>
    <n v="0.87639999999999996"/>
    <n v="66"/>
    <d v="1899-12-30T00:00:30"/>
    <d v="1899-12-30T00:02:46"/>
    <d v="1899-12-30T00:04:39"/>
    <n v="0.57469999999999999"/>
    <d v="1899-12-30T21:34:48"/>
    <d v="1900-02-21T22:48:00"/>
    <d v="1899-12-31T00:37:24"/>
    <d v="1900-03-01T13:24:00"/>
  </r>
  <r>
    <d v="2022-04-08T00:00:00"/>
    <x v="2"/>
    <x v="3"/>
    <x v="7"/>
    <x v="2"/>
    <n v="829"/>
    <n v="315"/>
    <n v="300"/>
    <n v="0.95240000000000002"/>
    <n v="15"/>
    <d v="1899-12-30T00:00:24"/>
    <d v="1899-12-30T00:03:11"/>
    <d v="1899-12-30T00:02:50"/>
    <n v="0.70230000000000004"/>
    <d v="1899-12-30T15:55:00"/>
    <d v="1900-02-07T19:00:00"/>
    <d v="1899-12-30T16:42:45"/>
    <d v="1900-02-09T18:45:00"/>
  </r>
  <r>
    <d v="2022-04-09T00:00:00"/>
    <x v="3"/>
    <x v="3"/>
    <x v="8"/>
    <x v="2"/>
    <n v="830"/>
    <n v="122"/>
    <n v="113"/>
    <n v="0.92620000000000002"/>
    <n v="9"/>
    <d v="1899-12-30T00:00:20"/>
    <d v="1899-12-30T00:02:58"/>
    <d v="1899-12-30T00:02:19"/>
    <n v="0.76670000000000005"/>
    <d v="1899-12-30T05:35:14"/>
    <d v="1900-01-12T23:14:00"/>
    <d v="1899-12-30T06:01:56"/>
    <d v="1900-01-14T01:56:00"/>
  </r>
  <r>
    <d v="2022-04-10T00:00:00"/>
    <x v="4"/>
    <x v="3"/>
    <x v="9"/>
    <x v="2"/>
    <n v="831"/>
    <n v="63"/>
    <n v="60"/>
    <n v="0.95240000000000002"/>
    <n v="3"/>
    <d v="1899-12-30T00:00:21"/>
    <d v="1899-12-30T00:02:51"/>
    <d v="1899-12-30T00:02:52"/>
    <n v="0.7419"/>
    <d v="1899-12-30T02:51:00"/>
    <d v="1900-01-06T03:00:00"/>
    <d v="1899-12-30T02:59:33"/>
    <d v="1900-01-06T11:33:00"/>
  </r>
  <r>
    <d v="2022-04-11T00:00:00"/>
    <x v="5"/>
    <x v="3"/>
    <x v="10"/>
    <x v="2"/>
    <n v="832"/>
    <n v="402"/>
    <n v="368"/>
    <n v="0.91539999999999999"/>
    <n v="34"/>
    <d v="1899-12-30T00:00:32"/>
    <d v="1899-12-30T00:03:07"/>
    <d v="1899-12-30T00:03:06"/>
    <n v="0.54179999999999995"/>
    <d v="1899-12-30T19:06:56"/>
    <d v="1900-02-15T18:56:00"/>
    <d v="1899-12-30T20:52:54"/>
    <d v="1900-02-20T04:54:00"/>
  </r>
  <r>
    <d v="2022-04-12T00:00:00"/>
    <x v="6"/>
    <x v="3"/>
    <x v="11"/>
    <x v="2"/>
    <n v="833"/>
    <n v="413"/>
    <n v="370"/>
    <n v="0.89590000000000003"/>
    <n v="43"/>
    <d v="1899-12-30T00:00:29"/>
    <d v="1899-12-30T00:03:10"/>
    <d v="1899-12-30T00:03:22"/>
    <n v="0.58420000000000005"/>
    <d v="1899-12-30T19:31:40"/>
    <d v="1900-02-16T19:40:00"/>
    <d v="1899-12-30T21:47:50"/>
    <d v="1900-02-22T11:50:00"/>
  </r>
  <r>
    <d v="2022-04-13T00:00:00"/>
    <x v="0"/>
    <x v="3"/>
    <x v="12"/>
    <x v="2"/>
    <n v="834"/>
    <n v="389"/>
    <n v="346"/>
    <n v="0.88949999999999996"/>
    <n v="43"/>
    <d v="1899-12-30T00:00:36"/>
    <d v="1899-12-30T00:03:21"/>
    <d v="1899-12-30T00:05:10"/>
    <n v="0.49869999999999998"/>
    <d v="1899-12-30T19:19:06"/>
    <d v="1900-02-16T07:06:00"/>
    <d v="1899-12-30T21:43:09"/>
    <d v="1900-02-22T07:09:00"/>
  </r>
  <r>
    <d v="2022-04-14T00:00:00"/>
    <x v="1"/>
    <x v="3"/>
    <x v="13"/>
    <x v="2"/>
    <n v="835"/>
    <n v="495"/>
    <n v="308"/>
    <n v="0.62219999999999998"/>
    <n v="187"/>
    <d v="1899-12-30T00:01:31"/>
    <d v="1899-12-30T00:03:25"/>
    <d v="1899-12-30T00:16:35"/>
    <n v="0.18559999999999999"/>
    <d v="1899-12-30T17:32:20"/>
    <d v="1900-02-11T20:20:00"/>
    <d v="1899-12-31T04:11:15"/>
    <d v="1900-03-10T11:15:00"/>
  </r>
  <r>
    <d v="2022-04-15T00:00:00"/>
    <x v="2"/>
    <x v="3"/>
    <x v="14"/>
    <x v="2"/>
    <n v="836"/>
    <n v="712"/>
    <n v="340"/>
    <n v="0.47749999999999998"/>
    <n v="372"/>
    <d v="1899-12-30T00:02:00"/>
    <d v="1899-12-30T00:03:26"/>
    <d v="1899-12-30T00:16:25"/>
    <n v="0.1226"/>
    <d v="1899-12-30T19:27:20"/>
    <d v="1900-02-16T15:20:00"/>
    <d v="1899-12-31T16:44:32"/>
    <d v="1900-04-10T20:32:00"/>
  </r>
  <r>
    <d v="2022-04-16T00:00:00"/>
    <x v="3"/>
    <x v="3"/>
    <x v="15"/>
    <x v="2"/>
    <n v="837"/>
    <n v="1057"/>
    <n v="602"/>
    <n v="0.56950000000000001"/>
    <n v="455"/>
    <d v="1899-12-30T00:01:44"/>
    <d v="1899-12-30T00:02:33"/>
    <d v="1899-12-30T00:12:24"/>
    <n v="0.1149"/>
    <d v="1899-12-31T01:35:06"/>
    <d v="1900-03-03T23:06:00"/>
    <d v="1899-12-31T20:55:21"/>
    <d v="1900-04-21T07:21:00"/>
  </r>
  <r>
    <d v="2022-04-17T00:00:00"/>
    <x v="4"/>
    <x v="3"/>
    <x v="16"/>
    <x v="2"/>
    <n v="838"/>
    <n v="620"/>
    <n v="321"/>
    <n v="0.51770000000000005"/>
    <n v="299"/>
    <d v="1899-12-30T00:02:42"/>
    <d v="1899-12-30T00:03:13"/>
    <d v="1899-12-30T00:16:34"/>
    <n v="0.1087"/>
    <d v="1899-12-30T17:12:33"/>
    <d v="1900-02-11T00:33:00"/>
    <d v="1899-12-31T09:14:20"/>
    <d v="1900-03-23T02:20:00"/>
  </r>
  <r>
    <d v="2022-04-18T00:00:00"/>
    <x v="5"/>
    <x v="3"/>
    <x v="17"/>
    <x v="2"/>
    <n v="839"/>
    <n v="1575"/>
    <n v="871"/>
    <n v="0.55300000000000005"/>
    <n v="704"/>
    <d v="1899-12-30T00:01:32"/>
    <d v="1899-12-30T00:02:33"/>
    <d v="1899-12-30T00:22:45"/>
    <n v="0.13930000000000001"/>
    <d v="1899-12-31T13:01:03"/>
    <d v="1900-04-01T13:03:00"/>
    <d v="1900-01-01T18:56:15"/>
    <d v="1900-06-15T08:15:00"/>
  </r>
  <r>
    <d v="2022-04-19T00:00:00"/>
    <x v="6"/>
    <x v="3"/>
    <x v="18"/>
    <x v="2"/>
    <n v="840"/>
    <n v="1349"/>
    <n v="775"/>
    <n v="0.57450000000000001"/>
    <n v="574"/>
    <d v="1899-12-30T00:01:46"/>
    <d v="1899-12-30T00:03:10"/>
    <d v="1899-12-30T00:15:53"/>
    <n v="0.1216"/>
    <d v="1899-12-31T16:54:10"/>
    <d v="1900-04-11T06:10:00"/>
    <d v="1900-01-01T23:11:50"/>
    <d v="1900-06-25T23:50:00"/>
  </r>
  <r>
    <d v="2022-04-20T00:00:00"/>
    <x v="0"/>
    <x v="3"/>
    <x v="19"/>
    <x v="2"/>
    <n v="841"/>
    <n v="999"/>
    <n v="454"/>
    <n v="0.45450000000000002"/>
    <n v="545"/>
    <d v="1899-12-30T00:02:48"/>
    <d v="1899-12-30T00:03:14"/>
    <d v="1899-12-30T00:13:24"/>
    <n v="4.07E-2"/>
    <d v="1899-12-31T00:27:56"/>
    <d v="1900-03-01T03:56:00"/>
    <d v="1900-01-01T05:50:06"/>
    <d v="1900-05-13T14:06:00"/>
  </r>
  <r>
    <d v="2022-04-21T00:00:00"/>
    <x v="1"/>
    <x v="3"/>
    <x v="20"/>
    <x v="2"/>
    <n v="842"/>
    <n v="968"/>
    <n v="547"/>
    <n v="0.56510000000000005"/>
    <n v="421"/>
    <d v="1899-12-30T00:02:26"/>
    <d v="1899-12-30T00:03:18"/>
    <d v="1899-12-30T00:14:13"/>
    <n v="0.1171"/>
    <d v="1899-12-31T06:05:06"/>
    <d v="1900-03-15T05:06:00"/>
    <d v="1900-01-01T05:14:24"/>
    <d v="1900-05-12T02:24:00"/>
  </r>
  <r>
    <d v="2022-04-22T00:00:00"/>
    <x v="2"/>
    <x v="3"/>
    <x v="21"/>
    <x v="2"/>
    <n v="843"/>
    <n v="1066"/>
    <n v="453"/>
    <n v="0.42499999999999999"/>
    <n v="613"/>
    <d v="1899-12-30T00:05:04"/>
    <d v="1899-12-30T00:03:39"/>
    <d v="1899-12-30T00:22:37"/>
    <n v="2.24E-2"/>
    <d v="1899-12-31T03:33:27"/>
    <d v="1900-03-08T21:27:00"/>
    <d v="1900-01-01T16:50:54"/>
    <d v="1900-06-10T02:54:00"/>
  </r>
  <r>
    <d v="2022-04-23T00:00:00"/>
    <x v="3"/>
    <x v="3"/>
    <x v="22"/>
    <x v="2"/>
    <n v="844"/>
    <n v="788"/>
    <n v="633"/>
    <n v="0.80330000000000001"/>
    <n v="155"/>
    <d v="1899-12-30T00:01:13"/>
    <d v="1899-12-30T00:03:23"/>
    <d v="1899-12-30T00:12:26"/>
    <n v="0.20880000000000001"/>
    <d v="1899-12-31T11:41:39"/>
    <d v="1900-03-29T05:39:00"/>
    <d v="1899-12-31T20:26:04"/>
    <d v="1900-04-20T02:04:00"/>
  </r>
  <r>
    <d v="2022-04-24T00:00:00"/>
    <x v="4"/>
    <x v="3"/>
    <x v="23"/>
    <x v="2"/>
    <n v="845"/>
    <n v="252"/>
    <n v="213"/>
    <n v="0.84519999999999995"/>
    <n v="39"/>
    <d v="1899-12-30T00:00:53"/>
    <d v="1899-12-30T00:03:31"/>
    <d v="1899-12-30T00:08:17"/>
    <n v="0.44080000000000003"/>
    <d v="1899-12-30T12:29:03"/>
    <d v="1900-01-30T05:03:00"/>
    <d v="1899-12-30T14:46:12"/>
    <d v="1900-02-04T22:12:00"/>
  </r>
  <r>
    <d v="2022-04-25T00:00:00"/>
    <x v="5"/>
    <x v="3"/>
    <x v="24"/>
    <x v="2"/>
    <n v="846"/>
    <n v="842"/>
    <n v="625"/>
    <n v="0.74229999999999996"/>
    <n v="217"/>
    <d v="1899-12-30T00:01:11"/>
    <d v="1899-12-30T00:03:10"/>
    <d v="1899-12-30T00:14:28"/>
    <n v="0.26929999999999998"/>
    <d v="1899-12-31T08:59:10"/>
    <d v="1900-03-22T11:10:00"/>
    <d v="1899-12-31T20:26:20"/>
    <d v="1900-04-20T02:20:00"/>
  </r>
  <r>
    <d v="2022-04-26T00:00:00"/>
    <x v="6"/>
    <x v="3"/>
    <x v="25"/>
    <x v="2"/>
    <n v="847"/>
    <n v="847"/>
    <n v="722"/>
    <n v="0.85240000000000005"/>
    <n v="125"/>
    <d v="1899-12-30T00:00:54"/>
    <d v="1899-12-30T00:03:04"/>
    <d v="1899-12-30T00:08:05"/>
    <n v="0.33489999999999998"/>
    <d v="1899-12-31T12:54:08"/>
    <d v="1900-04-01T06:08:00"/>
    <d v="1899-12-31T19:17:28"/>
    <d v="1900-04-17T05:28:00"/>
  </r>
  <r>
    <d v="2022-04-27T00:00:00"/>
    <x v="0"/>
    <x v="3"/>
    <x v="26"/>
    <x v="2"/>
    <n v="848"/>
    <n v="800"/>
    <n v="615"/>
    <n v="0.76880000000000004"/>
    <n v="185"/>
    <d v="1899-12-30T00:01:07"/>
    <d v="1899-12-30T00:03:25"/>
    <d v="1899-12-30T00:07:24"/>
    <n v="0.23980000000000001"/>
    <d v="1899-12-31T11:01:15"/>
    <d v="1900-03-27T13:15:00"/>
    <d v="1899-12-31T21:33:20"/>
    <d v="1900-04-22T21:20:00"/>
  </r>
  <r>
    <d v="2022-04-28T00:00:00"/>
    <x v="1"/>
    <x v="3"/>
    <x v="27"/>
    <x v="2"/>
    <n v="849"/>
    <n v="1100"/>
    <n v="823"/>
    <n v="0.74819999999999998"/>
    <n v="277"/>
    <d v="1899-12-30T00:01:08"/>
    <d v="1899-12-30T00:03:18"/>
    <d v="1899-12-30T00:15:31"/>
    <n v="0.29649999999999999"/>
    <d v="1899-12-31T21:15:54"/>
    <d v="1900-04-22T03:54:00"/>
    <d v="1900-01-01T12:30:00"/>
    <d v="1900-05-30T06:00:00"/>
  </r>
  <r>
    <d v="2022-04-29T00:00:00"/>
    <x v="2"/>
    <x v="3"/>
    <x v="28"/>
    <x v="2"/>
    <n v="850"/>
    <n v="1242"/>
    <n v="909"/>
    <n v="0.7319"/>
    <n v="333"/>
    <d v="1899-12-30T00:01:23"/>
    <d v="1899-12-30T00:03:04"/>
    <d v="1899-12-30T00:11:11"/>
    <n v="0.19"/>
    <d v="1899-12-31T22:27:36"/>
    <d v="1900-04-25T03:36:00"/>
    <d v="1900-01-01T15:28:48"/>
    <d v="1900-06-06T16:48:00"/>
  </r>
  <r>
    <d v="2022-04-30T00:00:00"/>
    <x v="3"/>
    <x v="3"/>
    <x v="29"/>
    <x v="2"/>
    <n v="851"/>
    <n v="732"/>
    <n v="460"/>
    <n v="0.62839999999999996"/>
    <n v="272"/>
    <d v="1899-12-30T00:01:31"/>
    <d v="1899-12-30T00:03:12"/>
    <d v="1899-12-30T00:10:29"/>
    <n v="0.1792"/>
    <d v="1899-12-31T00:32:00"/>
    <d v="1900-03-01T08:00:00"/>
    <d v="1899-12-31T15:02:24"/>
    <d v="1900-04-06T14:24:00"/>
  </r>
  <r>
    <d v="2022-05-01T00:00:00"/>
    <x v="4"/>
    <x v="4"/>
    <x v="0"/>
    <x v="2"/>
    <n v="852"/>
    <n v="112"/>
    <n v="104"/>
    <n v="0.92859999999999998"/>
    <n v="8"/>
    <d v="1899-12-30T00:00:34"/>
    <d v="1899-12-30T00:03:21"/>
    <d v="1899-12-30T00:04:13"/>
    <n v="0.56359999999999999"/>
    <d v="1899-12-30T05:48:24"/>
    <d v="1900-01-13T12:24:00"/>
    <d v="1899-12-30T06:15:12"/>
    <d v="1900-01-14T15:12:00"/>
  </r>
  <r>
    <d v="2022-05-02T00:00:00"/>
    <x v="5"/>
    <x v="4"/>
    <x v="1"/>
    <x v="2"/>
    <n v="853"/>
    <n v="482"/>
    <n v="434"/>
    <n v="0.90039999999999998"/>
    <n v="48"/>
    <d v="1899-12-30T00:00:41"/>
    <d v="1899-12-30T00:03:01"/>
    <d v="1899-12-30T00:11:01"/>
    <n v="0.47439999999999999"/>
    <d v="1899-12-30T21:49:14"/>
    <d v="1900-02-22T13:14:00"/>
    <d v="1899-12-31T00:14:02"/>
    <d v="1900-02-28T14:02:00"/>
  </r>
  <r>
    <d v="2022-05-03T00:00:00"/>
    <x v="6"/>
    <x v="4"/>
    <x v="2"/>
    <x v="2"/>
    <n v="854"/>
    <n v="570"/>
    <n v="484"/>
    <n v="0.84909999999999997"/>
    <n v="86"/>
    <d v="1899-12-30T00:00:51"/>
    <d v="1899-12-30T00:03:07"/>
    <d v="1899-12-30T00:11:48"/>
    <n v="0.36899999999999999"/>
    <d v="1899-12-31T01:08:28"/>
    <d v="1900-03-02T20:28:00"/>
    <d v="1899-12-31T05:36:30"/>
    <d v="1900-03-14T00:30:00"/>
  </r>
  <r>
    <d v="2022-05-04T00:00:00"/>
    <x v="0"/>
    <x v="4"/>
    <x v="3"/>
    <x v="2"/>
    <n v="855"/>
    <n v="490"/>
    <n v="398"/>
    <n v="0.81220000000000003"/>
    <n v="92"/>
    <d v="1899-12-30T00:00:50"/>
    <d v="1899-12-30T00:03:17"/>
    <d v="1899-12-30T00:21:44"/>
    <n v="0.36099999999999999"/>
    <d v="1899-12-30T21:46:46"/>
    <d v="1900-02-22T10:46:00"/>
    <d v="1899-12-31T02:48:50"/>
    <d v="1900-03-07T00:50:00"/>
  </r>
  <r>
    <d v="2022-05-05T00:00:00"/>
    <x v="1"/>
    <x v="4"/>
    <x v="4"/>
    <x v="2"/>
    <n v="856"/>
    <n v="462"/>
    <n v="311"/>
    <n v="0.67320000000000002"/>
    <n v="151"/>
    <d v="1899-12-30T00:01:11"/>
    <d v="1899-12-30T00:03:17"/>
    <d v="1899-12-30T00:08:50"/>
    <n v="0.26340000000000002"/>
    <d v="1899-12-30T17:01:07"/>
    <d v="1900-02-10T13:07:00"/>
    <d v="1899-12-31T01:16:54"/>
    <d v="1900-03-03T04:54:00"/>
  </r>
  <r>
    <d v="2022-05-06T00:00:00"/>
    <x v="2"/>
    <x v="4"/>
    <x v="5"/>
    <x v="2"/>
    <n v="857"/>
    <n v="428"/>
    <n v="373"/>
    <n v="0.87150000000000005"/>
    <n v="55"/>
    <d v="1899-12-30T00:00:40"/>
    <d v="1899-12-30T00:02:58"/>
    <d v="1899-12-30T00:07:01"/>
    <n v="0.50600000000000001"/>
    <d v="1899-12-30T18:26:34"/>
    <d v="1900-02-14T02:34:00"/>
    <d v="1899-12-30T21:09:44"/>
    <d v="1900-02-20T21:44:00"/>
  </r>
  <r>
    <d v="2022-05-07T00:00:00"/>
    <x v="3"/>
    <x v="4"/>
    <x v="6"/>
    <x v="2"/>
    <n v="858"/>
    <n v="393"/>
    <n v="312"/>
    <n v="0.79390000000000005"/>
    <n v="81"/>
    <d v="1899-12-30T00:01:02"/>
    <d v="1899-12-30T00:03:16"/>
    <d v="1899-12-30T00:08:16"/>
    <n v="0.314"/>
    <d v="1899-12-30T16:59:12"/>
    <d v="1900-02-10T11:12:00"/>
    <d v="1899-12-30T21:23:48"/>
    <d v="1900-02-21T11:48:00"/>
  </r>
  <r>
    <d v="2022-05-08T00:00:00"/>
    <x v="4"/>
    <x v="4"/>
    <x v="7"/>
    <x v="2"/>
    <n v="859"/>
    <n v="58"/>
    <n v="50"/>
    <n v="0.86209999999999998"/>
    <n v="8"/>
    <d v="1899-12-30T00:00:29"/>
    <d v="1899-12-30T00:03:04"/>
    <d v="1899-12-30T00:03:06"/>
    <n v="0.6724"/>
    <d v="1899-12-30T02:33:20"/>
    <d v="1900-01-05T09:20:00"/>
    <d v="1899-12-30T02:57:52"/>
    <d v="1900-01-06T09:52:00"/>
  </r>
  <r>
    <d v="2022-05-09T00:00:00"/>
    <x v="5"/>
    <x v="4"/>
    <x v="8"/>
    <x v="2"/>
    <n v="860"/>
    <n v="316"/>
    <n v="279"/>
    <n v="0.88290000000000002"/>
    <n v="37"/>
    <d v="1899-12-30T00:00:40"/>
    <d v="1899-12-30T00:02:58"/>
    <d v="1899-12-30T00:03:31"/>
    <n v="0.44159999999999999"/>
    <d v="1899-12-30T13:47:42"/>
    <d v="1900-02-02T11:42:00"/>
    <d v="1899-12-30T15:37:28"/>
    <d v="1900-02-07T01:28:00"/>
  </r>
  <r>
    <d v="2022-05-10T00:00:00"/>
    <x v="6"/>
    <x v="4"/>
    <x v="9"/>
    <x v="2"/>
    <n v="861"/>
    <n v="298"/>
    <n v="274"/>
    <n v="0.91949999999999998"/>
    <n v="24"/>
    <d v="1899-12-30T00:00:30"/>
    <d v="1899-12-30T00:02:59"/>
    <d v="1899-12-30T00:03:02"/>
    <n v="0.55779999999999996"/>
    <d v="1899-12-30T13:37:26"/>
    <d v="1900-02-02T01:26:00"/>
    <d v="1899-12-30T14:49:02"/>
    <d v="1900-02-05T01:02:00"/>
  </r>
  <r>
    <d v="2022-05-11T00:00:00"/>
    <x v="0"/>
    <x v="4"/>
    <x v="10"/>
    <x v="2"/>
    <n v="862"/>
    <n v="308"/>
    <n v="275"/>
    <n v="0.89290000000000003"/>
    <n v="33"/>
    <d v="1899-12-30T00:00:40"/>
    <d v="1899-12-30T00:02:56"/>
    <d v="1899-12-30T00:06:54"/>
    <n v="0.51629999999999998"/>
    <d v="1899-12-30T13:26:40"/>
    <d v="1900-02-01T14:40:00"/>
    <d v="1899-12-30T15:03:28"/>
    <d v="1900-02-05T15:28:00"/>
  </r>
  <r>
    <d v="2022-05-12T00:00:00"/>
    <x v="1"/>
    <x v="4"/>
    <x v="11"/>
    <x v="2"/>
    <n v="863"/>
    <n v="259"/>
    <n v="242"/>
    <n v="0.93440000000000001"/>
    <n v="17"/>
    <d v="1899-12-30T00:00:16"/>
    <d v="1899-12-30T00:02:54"/>
    <d v="1899-12-30T00:04:09"/>
    <n v="0.78259999999999996"/>
    <d v="1899-12-30T11:41:48"/>
    <d v="1900-01-28T05:48:00"/>
    <d v="1899-12-30T12:31:06"/>
    <d v="1900-01-30T07:06:00"/>
  </r>
  <r>
    <d v="2022-05-13T00:00:00"/>
    <x v="2"/>
    <x v="4"/>
    <x v="12"/>
    <x v="2"/>
    <n v="864"/>
    <n v="464"/>
    <n v="391"/>
    <n v="0.8427"/>
    <n v="73"/>
    <d v="1899-12-30T00:00:55"/>
    <d v="1899-12-30T00:03:31"/>
    <d v="1899-12-30T00:05:13"/>
    <n v="0.35449999999999998"/>
    <d v="1899-12-30T22:55:01"/>
    <d v="1900-02-25T07:01:00"/>
    <d v="1899-12-31T03:11:44"/>
    <d v="1900-03-07T23:44:00"/>
  </r>
  <r>
    <d v="2022-05-14T00:00:00"/>
    <x v="3"/>
    <x v="4"/>
    <x v="13"/>
    <x v="2"/>
    <n v="865"/>
    <n v="302"/>
    <n v="275"/>
    <n v="0.91059999999999997"/>
    <n v="27"/>
    <d v="1899-12-30T00:00:30"/>
    <d v="1899-12-30T00:03:02"/>
    <d v="1899-12-30T00:09:54"/>
    <n v="0.56040000000000001"/>
    <d v="1899-12-30T13:54:10"/>
    <d v="1900-02-02T18:10:00"/>
    <d v="1899-12-30T15:16:04"/>
    <d v="1900-02-06T04:04:00"/>
  </r>
  <r>
    <d v="2022-05-15T00:00:00"/>
    <x v="4"/>
    <x v="4"/>
    <x v="14"/>
    <x v="2"/>
    <n v="866"/>
    <n v="47"/>
    <n v="45"/>
    <n v="0.95740000000000003"/>
    <n v="2"/>
    <d v="1899-12-30T00:00:12"/>
    <d v="1899-12-30T00:02:41"/>
    <d v="1899-12-30T00:02:37"/>
    <n v="0.85109999999999997"/>
    <d v="1899-12-30T02:00:45"/>
    <d v="1900-01-04T00:45:00"/>
    <d v="1899-12-30T02:06:07"/>
    <d v="1900-01-04T06:07:00"/>
  </r>
  <r>
    <d v="2022-05-16T00:00:00"/>
    <x v="5"/>
    <x v="4"/>
    <x v="15"/>
    <x v="2"/>
    <n v="867"/>
    <n v="293"/>
    <n v="279"/>
    <n v="0.95220000000000005"/>
    <n v="14"/>
    <d v="1899-12-30T00:00:22"/>
    <d v="1899-12-30T00:02:53"/>
    <d v="1899-12-30T00:02:57"/>
    <n v="0.67469999999999997"/>
    <d v="1899-12-30T13:24:27"/>
    <d v="1900-02-01T12:27:00"/>
    <d v="1899-12-30T14:04:49"/>
    <d v="1900-02-03T04:49:00"/>
  </r>
  <r>
    <d v="2022-05-17T00:00:00"/>
    <x v="6"/>
    <x v="4"/>
    <x v="16"/>
    <x v="2"/>
    <n v="868"/>
    <n v="245"/>
    <n v="225"/>
    <n v="0.91839999999999999"/>
    <n v="20"/>
    <d v="1899-12-30T00:00:18"/>
    <d v="1899-12-30T00:02:55"/>
    <d v="1899-12-30T00:04:11"/>
    <n v="0.73550000000000004"/>
    <d v="1899-12-30T10:56:15"/>
    <d v="1900-01-26T08:15:00"/>
    <d v="1899-12-30T11:54:35"/>
    <d v="1900-01-28T18:35:00"/>
  </r>
  <r>
    <d v="2022-05-18T00:00:00"/>
    <x v="0"/>
    <x v="4"/>
    <x v="17"/>
    <x v="2"/>
    <n v="869"/>
    <n v="295"/>
    <n v="227"/>
    <n v="0.76949999999999996"/>
    <n v="68"/>
    <d v="1899-12-30T00:00:48"/>
    <d v="1899-12-30T00:03:19"/>
    <d v="1899-12-30T00:05:42"/>
    <n v="0.44790000000000002"/>
    <d v="1899-12-30T12:32:53"/>
    <d v="1900-01-30T08:53:00"/>
    <d v="1899-12-30T16:18:25"/>
    <d v="1900-02-08T18:25:00"/>
  </r>
  <r>
    <d v="2022-05-19T00:00:00"/>
    <x v="1"/>
    <x v="4"/>
    <x v="18"/>
    <x v="2"/>
    <n v="870"/>
    <n v="205"/>
    <n v="196"/>
    <n v="0.95609999999999995"/>
    <n v="9"/>
    <d v="1899-12-30T00:00:20"/>
    <d v="1899-12-30T00:03:06"/>
    <d v="1899-12-30T00:05:10"/>
    <n v="0.73660000000000003"/>
    <d v="1899-12-30T10:07:36"/>
    <d v="1900-01-24T07:36:00"/>
    <d v="1899-12-30T10:35:30"/>
    <d v="1900-01-25T11:30:00"/>
  </r>
  <r>
    <d v="2022-05-20T00:00:00"/>
    <x v="2"/>
    <x v="4"/>
    <x v="19"/>
    <x v="2"/>
    <n v="871"/>
    <n v="249"/>
    <n v="215"/>
    <n v="0.86350000000000005"/>
    <n v="34"/>
    <d v="1899-12-30T00:00:40"/>
    <d v="1899-12-30T00:02:58"/>
    <d v="1899-12-30T00:24:51"/>
    <n v="0.46089999999999998"/>
    <d v="1899-12-30T10:37:50"/>
    <d v="1900-01-25T13:50:00"/>
    <d v="1899-12-30T12:18:42"/>
    <d v="1900-01-29T18:42:00"/>
  </r>
  <r>
    <d v="2022-05-21T00:00:00"/>
    <x v="3"/>
    <x v="4"/>
    <x v="20"/>
    <x v="2"/>
    <n v="872"/>
    <n v="236"/>
    <n v="213"/>
    <n v="0.90249999999999997"/>
    <n v="23"/>
    <d v="1899-12-30T00:00:26"/>
    <d v="1899-12-30T00:03:14"/>
    <d v="1899-12-30T00:03:54"/>
    <n v="0.63360000000000005"/>
    <d v="1899-12-30T11:28:42"/>
    <d v="1900-01-27T16:42:00"/>
    <d v="1899-12-30T12:43:04"/>
    <d v="1900-01-30T19:04:00"/>
  </r>
  <r>
    <d v="2022-05-22T00:00:00"/>
    <x v="4"/>
    <x v="4"/>
    <x v="21"/>
    <x v="2"/>
    <n v="873"/>
    <n v="39"/>
    <n v="39"/>
    <n v="1"/>
    <n v="0"/>
    <d v="1899-12-30T00:00:14"/>
    <d v="1899-12-30T00:02:30"/>
    <d v="1899-12-30T00:02:27"/>
    <n v="0.87180000000000002"/>
    <d v="1899-12-30T01:37:30"/>
    <d v="1900-01-03T01:30:00"/>
    <d v="1899-12-30T01:37:30"/>
    <d v="1900-01-03T01:30:00"/>
  </r>
  <r>
    <d v="2022-05-23T00:00:00"/>
    <x v="5"/>
    <x v="4"/>
    <x v="22"/>
    <x v="2"/>
    <n v="874"/>
    <n v="208"/>
    <n v="194"/>
    <n v="0.93269999999999997"/>
    <n v="14"/>
    <d v="1899-12-30T00:00:17"/>
    <d v="1899-12-30T00:02:54"/>
    <d v="1899-12-30T00:02:59"/>
    <n v="0.76959999999999995"/>
    <d v="1899-12-30T09:22:36"/>
    <d v="1900-01-22T10:36:00"/>
    <d v="1899-12-30T10:03:12"/>
    <d v="1900-01-24T03:12:00"/>
  </r>
  <r>
    <d v="2022-05-24T00:00:00"/>
    <x v="6"/>
    <x v="4"/>
    <x v="23"/>
    <x v="2"/>
    <n v="875"/>
    <n v="39"/>
    <n v="38"/>
    <n v="0.97440000000000004"/>
    <n v="1"/>
    <d v="1899-12-30T00:00:04"/>
    <d v="1899-12-30T00:02:21"/>
    <d v="1899-12-30T00:01:02"/>
    <n v="0.94869999999999999"/>
    <d v="1899-12-30T01:29:18"/>
    <d v="1900-01-02T17:18:00"/>
    <d v="1899-12-30T01:31:39"/>
    <d v="1900-01-02T19:39:00"/>
  </r>
  <r>
    <d v="2022-05-25T00:00:00"/>
    <x v="0"/>
    <x v="4"/>
    <x v="24"/>
    <x v="2"/>
    <n v="876"/>
    <n v="115"/>
    <n v="110"/>
    <n v="0.95650000000000002"/>
    <n v="5"/>
    <d v="1899-12-30T00:00:08"/>
    <d v="1899-12-30T00:02:46"/>
    <d v="1899-12-30T00:04:12"/>
    <n v="0.90429999999999999"/>
    <d v="1899-12-30T05:04:20"/>
    <d v="1900-01-11T16:20:00"/>
    <d v="1899-12-30T05:18:10"/>
    <d v="1900-01-12T06:10:00"/>
  </r>
  <r>
    <d v="2022-05-26T00:00:00"/>
    <x v="1"/>
    <x v="4"/>
    <x v="25"/>
    <x v="2"/>
    <n v="877"/>
    <n v="338"/>
    <n v="308"/>
    <n v="0.91120000000000001"/>
    <n v="30"/>
    <d v="1899-12-30T00:00:27"/>
    <d v="1899-12-30T00:02:50"/>
    <d v="1899-12-30T00:04:11"/>
    <n v="0.63100000000000001"/>
    <d v="1899-12-30T14:32:40"/>
    <d v="1900-02-04T08:40:00"/>
    <d v="1899-12-30T15:57:40"/>
    <d v="1900-02-07T21:40:00"/>
  </r>
  <r>
    <d v="2022-05-27T00:00:00"/>
    <x v="2"/>
    <x v="4"/>
    <x v="26"/>
    <x v="2"/>
    <n v="878"/>
    <n v="404"/>
    <n v="320"/>
    <n v="0.79210000000000003"/>
    <n v="84"/>
    <d v="1899-12-30T00:00:45"/>
    <d v="1899-12-30T00:02:58"/>
    <d v="1899-12-30T00:11:53"/>
    <n v="0.51390000000000002"/>
    <d v="1899-12-30T15:49:20"/>
    <d v="1900-02-07T13:20:00"/>
    <d v="1899-12-30T19:58:32"/>
    <d v="1900-02-17T22:32:00"/>
  </r>
  <r>
    <d v="2022-05-28T00:00:00"/>
    <x v="3"/>
    <x v="4"/>
    <x v="27"/>
    <x v="2"/>
    <n v="879"/>
    <n v="436"/>
    <n v="393"/>
    <n v="0.90139999999999998"/>
    <n v="43"/>
    <d v="1899-12-30T00:00:26"/>
    <d v="1899-12-30T00:02:51"/>
    <d v="1899-12-30T00:06:13"/>
    <n v="0.65259999999999996"/>
    <d v="1899-12-30T18:40:03"/>
    <d v="1900-02-14T16:03:00"/>
    <d v="1899-12-30T20:42:36"/>
    <d v="1900-02-19T18:36:00"/>
  </r>
  <r>
    <d v="2022-05-29T00:00:00"/>
    <x v="4"/>
    <x v="4"/>
    <x v="28"/>
    <x v="2"/>
    <n v="880"/>
    <n v="73"/>
    <n v="72"/>
    <n v="0.98629999999999995"/>
    <n v="1"/>
    <d v="1899-12-30T00:00:07"/>
    <d v="1899-12-30T00:02:46"/>
    <d v="1899-12-30T00:01:43"/>
    <n v="0.93149999999999999"/>
    <d v="1899-12-30T03:19:12"/>
    <d v="1900-01-07T07:12:00"/>
    <d v="1899-12-30T03:21:58"/>
    <d v="1900-01-07T09:58:00"/>
  </r>
  <r>
    <d v="2022-05-30T00:00:00"/>
    <x v="5"/>
    <x v="4"/>
    <x v="29"/>
    <x v="2"/>
    <n v="881"/>
    <n v="521"/>
    <n v="492"/>
    <n v="0.94430000000000003"/>
    <n v="29"/>
    <d v="1899-12-30T00:00:17"/>
    <d v="1899-12-30T00:02:45"/>
    <d v="1899-12-30T00:03:23"/>
    <n v="0.78939999999999999"/>
    <d v="1899-12-30T22:33:00"/>
    <d v="1900-02-24T09:00:00"/>
    <d v="1899-12-30T23:52:45"/>
    <d v="1900-02-27T16:45:00"/>
  </r>
  <r>
    <d v="2022-05-31T00:00:00"/>
    <x v="6"/>
    <x v="4"/>
    <x v="30"/>
    <x v="2"/>
    <n v="882"/>
    <n v="648"/>
    <n v="564"/>
    <n v="0.87039999999999995"/>
    <n v="84"/>
    <d v="1899-12-30T00:00:27"/>
    <d v="1899-12-30T00:02:46"/>
    <d v="1899-12-30T00:05:25"/>
    <n v="0.61360000000000003"/>
    <d v="1899-12-31T02:00:24"/>
    <d v="1900-03-05T00:24:00"/>
    <d v="1899-12-31T05:52:48"/>
    <d v="1900-03-14T16:48:00"/>
  </r>
  <r>
    <d v="2022-06-01T00:00:00"/>
    <x v="0"/>
    <x v="5"/>
    <x v="0"/>
    <x v="2"/>
    <n v="883"/>
    <n v="729"/>
    <n v="592"/>
    <n v="0.81210000000000004"/>
    <n v="137"/>
    <d v="1899-12-30T00:00:55"/>
    <d v="1899-12-30T00:02:53"/>
    <d v="1899-12-30T00:07:29"/>
    <n v="0.35830000000000001"/>
    <d v="1899-12-31T04:26:56"/>
    <d v="1900-03-11T02:56:00"/>
    <d v="1899-12-31T11:01:57"/>
    <d v="1900-03-27T13:57:00"/>
  </r>
  <r>
    <d v="2022-06-02T00:00:00"/>
    <x v="1"/>
    <x v="5"/>
    <x v="1"/>
    <x v="2"/>
    <n v="884"/>
    <n v="1196"/>
    <n v="718"/>
    <n v="0.60029999999999994"/>
    <n v="478"/>
    <d v="1899-12-30T00:01:52"/>
    <d v="1899-12-30T00:03:09"/>
    <d v="1899-12-30T00:11:06"/>
    <n v="0.1462"/>
    <d v="1899-12-31T13:41:42"/>
    <d v="1900-04-03T05:42:00"/>
    <d v="1900-01-01T14:47:24"/>
    <d v="1900-06-04T23:24:00"/>
  </r>
  <r>
    <d v="2022-06-03T00:00:00"/>
    <x v="2"/>
    <x v="5"/>
    <x v="2"/>
    <x v="2"/>
    <n v="885"/>
    <n v="436"/>
    <n v="323"/>
    <n v="0.74080000000000001"/>
    <n v="113"/>
    <d v="1899-12-30T00:00:44"/>
    <d v="1899-12-30T00:03:02"/>
    <d v="1899-12-30T00:06:12"/>
    <n v="0.4375"/>
    <d v="1899-12-30T16:19:46"/>
    <d v="1900-02-08T19:46:00"/>
    <d v="1899-12-30T22:02:32"/>
    <d v="1900-02-23T02:32:00"/>
  </r>
  <r>
    <d v="2022-06-04T00:00:00"/>
    <x v="3"/>
    <x v="5"/>
    <x v="3"/>
    <x v="2"/>
    <n v="886"/>
    <n v="191"/>
    <n v="178"/>
    <n v="0.93189999999999995"/>
    <n v="13"/>
    <d v="1899-12-30T00:00:16"/>
    <d v="1899-12-30T00:02:51"/>
    <d v="1899-12-30T00:04:08"/>
    <n v="0.80530000000000002"/>
    <d v="1899-12-30T08:27:18"/>
    <d v="1900-01-20T03:18:00"/>
    <d v="1899-12-30T09:04:21"/>
    <d v="1900-01-21T16:21:00"/>
  </r>
  <r>
    <d v="2022-06-05T00:00:00"/>
    <x v="4"/>
    <x v="5"/>
    <x v="4"/>
    <x v="2"/>
    <n v="887"/>
    <n v="68"/>
    <n v="68"/>
    <n v="1"/>
    <n v="0"/>
    <d v="1899-12-30T00:00:05"/>
    <d v="1899-12-30T00:02:56"/>
    <d v="1899-12-30T00:01:39"/>
    <n v="0.98529999999999995"/>
    <d v="1899-12-30T03:19:28"/>
    <d v="1900-01-07T07:28:00"/>
    <d v="1899-12-30T03:19:28"/>
    <d v="1900-01-07T07:28:00"/>
  </r>
  <r>
    <d v="2022-06-06T00:00:00"/>
    <x v="5"/>
    <x v="5"/>
    <x v="5"/>
    <x v="2"/>
    <n v="888"/>
    <n v="498"/>
    <n v="429"/>
    <n v="0.86140000000000005"/>
    <n v="69"/>
    <d v="1899-12-30T00:00:34"/>
    <d v="1899-12-30T00:03:09"/>
    <d v="1899-12-30T00:04:12"/>
    <n v="0.5071"/>
    <d v="1899-12-30T22:31:21"/>
    <d v="1900-02-24T07:21:00"/>
    <d v="1899-12-31T02:08:42"/>
    <d v="1900-03-05T08:42:00"/>
  </r>
  <r>
    <d v="2022-06-07T00:00:00"/>
    <x v="6"/>
    <x v="5"/>
    <x v="6"/>
    <x v="2"/>
    <n v="889"/>
    <n v="358"/>
    <n v="329"/>
    <n v="0.91900000000000004"/>
    <n v="29"/>
    <d v="1899-12-30T00:00:21"/>
    <d v="1899-12-30T00:03:03"/>
    <d v="1899-12-30T00:02:15"/>
    <n v="0.66949999999999998"/>
    <d v="1899-12-30T16:43:27"/>
    <d v="1900-02-09T19:27:00"/>
    <d v="1899-12-30T18:11:54"/>
    <d v="1900-02-13T11:54:00"/>
  </r>
  <r>
    <d v="2022-06-08T00:00:00"/>
    <x v="0"/>
    <x v="5"/>
    <x v="7"/>
    <x v="2"/>
    <n v="890"/>
    <n v="340"/>
    <n v="302"/>
    <n v="0.88819999999999999"/>
    <n v="38"/>
    <d v="1899-12-30T00:00:24"/>
    <d v="1899-12-30T00:02:50"/>
    <d v="1899-12-30T00:05:10"/>
    <n v="0.65669999999999995"/>
    <d v="1899-12-30T14:15:40"/>
    <d v="1900-02-03T15:40:00"/>
    <d v="1899-12-30T16:03:20"/>
    <d v="1900-02-08T03:20:00"/>
  </r>
  <r>
    <d v="2022-06-09T00:00:00"/>
    <x v="1"/>
    <x v="5"/>
    <x v="8"/>
    <x v="2"/>
    <n v="891"/>
    <n v="322"/>
    <n v="306"/>
    <n v="0.95030000000000003"/>
    <n v="16"/>
    <d v="1899-12-30T00:00:16"/>
    <d v="1899-12-30T00:02:39"/>
    <d v="1899-12-30T00:06:17"/>
    <n v="0.77739999999999998"/>
    <d v="1899-12-30T13:30:54"/>
    <d v="1900-02-01T18:54:00"/>
    <d v="1899-12-30T14:13:18"/>
    <d v="1900-02-03T13:18:00"/>
  </r>
  <r>
    <d v="2022-06-10T00:00:00"/>
    <x v="2"/>
    <x v="5"/>
    <x v="9"/>
    <x v="2"/>
    <n v="892"/>
    <n v="296"/>
    <n v="282"/>
    <n v="0.95269999999999999"/>
    <n v="14"/>
    <d v="1899-12-30T00:00:18"/>
    <d v="1899-12-30T00:02:37"/>
    <d v="1899-12-30T00:02:45"/>
    <n v="0.76529999999999998"/>
    <d v="1899-12-30T12:17:54"/>
    <d v="1900-01-29T17:54:00"/>
    <d v="1899-12-30T12:54:32"/>
    <d v="1900-01-31T06:32:00"/>
  </r>
  <r>
    <d v="2022-06-11T00:00:00"/>
    <x v="3"/>
    <x v="5"/>
    <x v="10"/>
    <x v="2"/>
    <n v="893"/>
    <n v="264"/>
    <n v="234"/>
    <n v="0.88639999999999997"/>
    <n v="30"/>
    <d v="1899-12-30T00:00:20"/>
    <d v="1899-12-30T00:02:34"/>
    <d v="1899-12-30T00:04:54"/>
    <n v="0.69879999999999998"/>
    <d v="1899-12-30T10:00:36"/>
    <d v="1900-01-24T00:36:00"/>
    <d v="1899-12-30T11:17:36"/>
    <d v="1900-01-27T05:36:00"/>
  </r>
  <r>
    <d v="2022-06-12T00:00:00"/>
    <x v="4"/>
    <x v="5"/>
    <x v="11"/>
    <x v="2"/>
    <n v="894"/>
    <n v="52"/>
    <n v="51"/>
    <n v="0.98080000000000001"/>
    <n v="1"/>
    <d v="1899-12-30T00:00:06"/>
    <d v="1899-12-30T00:02:36"/>
    <d v="1899-12-30T00:01:05"/>
    <n v="0.94120000000000004"/>
    <d v="1899-12-30T02:12:36"/>
    <d v="1900-01-04T12:36:00"/>
    <d v="1899-12-30T02:15:12"/>
    <d v="1900-01-04T15:12:00"/>
  </r>
  <r>
    <d v="2022-06-13T00:00:00"/>
    <x v="5"/>
    <x v="5"/>
    <x v="12"/>
    <x v="2"/>
    <n v="895"/>
    <n v="266"/>
    <n v="264"/>
    <n v="0.99250000000000005"/>
    <n v="2"/>
    <d v="1899-12-30T00:00:09"/>
    <d v="1899-12-30T00:02:39"/>
    <d v="1899-12-30T00:02:01"/>
    <n v="0.90980000000000005"/>
    <d v="1899-12-30T11:39:36"/>
    <d v="1900-01-28T03:36:00"/>
    <d v="1899-12-30T11:44:54"/>
    <d v="1900-01-28T08:54:00"/>
  </r>
  <r>
    <d v="2022-06-14T00:00:00"/>
    <x v="6"/>
    <x v="5"/>
    <x v="13"/>
    <x v="2"/>
    <n v="896"/>
    <n v="242"/>
    <n v="238"/>
    <n v="0.98350000000000004"/>
    <n v="4"/>
    <d v="1899-12-30T00:00:09"/>
    <d v="1899-12-30T00:02:45"/>
    <d v="1899-12-30T00:02:30"/>
    <n v="0.90459999999999996"/>
    <d v="1899-12-30T10:54:30"/>
    <d v="1900-01-26T06:30:00"/>
    <d v="1899-12-30T11:05:30"/>
    <d v="1900-01-26T17:30:00"/>
  </r>
  <r>
    <d v="2022-06-15T00:00:00"/>
    <x v="0"/>
    <x v="5"/>
    <x v="14"/>
    <x v="2"/>
    <n v="897"/>
    <n v="241"/>
    <n v="228"/>
    <n v="0.94610000000000005"/>
    <n v="13"/>
    <d v="1899-12-30T00:00:19"/>
    <d v="1899-12-30T00:02:48"/>
    <d v="1899-12-30T00:06:08"/>
    <n v="0.79579999999999995"/>
    <d v="1899-12-30T10:38:24"/>
    <d v="1900-01-25T14:24:00"/>
    <d v="1899-12-30T11:14:48"/>
    <d v="1900-01-27T02:48:00"/>
  </r>
  <r>
    <d v="2022-06-16T00:00:00"/>
    <x v="1"/>
    <x v="5"/>
    <x v="15"/>
    <x v="2"/>
    <n v="898"/>
    <n v="279"/>
    <n v="269"/>
    <n v="0.96419999999999995"/>
    <n v="10"/>
    <d v="1899-12-30T00:00:08"/>
    <d v="1899-12-30T00:02:43"/>
    <d v="1899-12-30T00:03:07"/>
    <n v="0.91300000000000003"/>
    <d v="1899-12-30T12:10:47"/>
    <d v="1900-01-29T10:47:00"/>
    <d v="1899-12-30T12:37:57"/>
    <d v="1900-01-30T13:57:00"/>
  </r>
  <r>
    <d v="2022-06-17T00:00:00"/>
    <x v="2"/>
    <x v="5"/>
    <x v="16"/>
    <x v="2"/>
    <n v="899"/>
    <n v="73"/>
    <n v="72"/>
    <n v="0.98629999999999995"/>
    <n v="1"/>
    <d v="1899-12-30T00:00:08"/>
    <d v="1899-12-30T00:03:04"/>
    <d v="1899-12-30T00:02:10"/>
    <n v="0.91779999999999995"/>
    <d v="1899-12-30T03:40:48"/>
    <d v="1900-01-08T04:48:00"/>
    <d v="1899-12-30T03:43:52"/>
    <d v="1900-01-08T07:52:00"/>
  </r>
  <r>
    <d v="2022-06-18T00:00:00"/>
    <x v="3"/>
    <x v="5"/>
    <x v="17"/>
    <x v="2"/>
    <n v="900"/>
    <n v="226"/>
    <n v="218"/>
    <n v="0.96460000000000001"/>
    <n v="8"/>
    <d v="1899-12-30T00:00:08"/>
    <d v="1899-12-30T00:02:54"/>
    <d v="1899-12-30T00:02:47"/>
    <n v="0.91859999999999997"/>
    <d v="1899-12-30T10:32:12"/>
    <d v="1900-01-25T08:12:00"/>
    <d v="1899-12-30T10:55:24"/>
    <d v="1900-01-26T07:24:00"/>
  </r>
  <r>
    <d v="2022-06-19T00:00:00"/>
    <x v="4"/>
    <x v="5"/>
    <x v="18"/>
    <x v="2"/>
    <n v="901"/>
    <n v="43"/>
    <n v="42"/>
    <n v="0.97670000000000001"/>
    <n v="1"/>
    <d v="1899-12-30T00:00:11"/>
    <d v="1899-12-30T00:02:38"/>
    <d v="1899-12-30T00:01:17"/>
    <n v="0.83720000000000006"/>
    <d v="1899-12-30T01:50:36"/>
    <d v="1900-01-03T14:36:00"/>
    <d v="1899-12-30T01:53:14"/>
    <d v="1900-01-03T17:14:00"/>
  </r>
  <r>
    <d v="2022-06-20T00:00:00"/>
    <x v="5"/>
    <x v="5"/>
    <x v="19"/>
    <x v="2"/>
    <n v="902"/>
    <n v="311"/>
    <n v="255"/>
    <n v="0.81989999999999996"/>
    <n v="56"/>
    <d v="1899-12-30T00:00:45"/>
    <d v="1899-12-30T00:02:55"/>
    <d v="1899-12-30T00:04:50"/>
    <n v="0.4718"/>
    <d v="1899-12-30T12:23:45"/>
    <d v="1900-01-29T23:45:00"/>
    <d v="1899-12-30T15:07:05"/>
    <d v="1900-02-05T19:05:00"/>
  </r>
  <r>
    <d v="2022-06-21T00:00:00"/>
    <x v="6"/>
    <x v="5"/>
    <x v="20"/>
    <x v="2"/>
    <n v="903"/>
    <n v="251"/>
    <n v="210"/>
    <n v="0.8367"/>
    <n v="41"/>
    <d v="1899-12-30T00:00:26"/>
    <d v="1899-12-30T00:02:54"/>
    <d v="1899-12-30T00:09:18"/>
    <n v="0.63519999999999999"/>
    <d v="1899-12-30T10:09:00"/>
    <d v="1900-01-24T09:00:00"/>
    <d v="1899-12-30T12:07:54"/>
    <d v="1900-01-29T07:54:00"/>
  </r>
  <r>
    <d v="2022-06-22T00:00:00"/>
    <x v="0"/>
    <x v="5"/>
    <x v="21"/>
    <x v="2"/>
    <n v="904"/>
    <n v="339"/>
    <n v="313"/>
    <n v="0.92330000000000001"/>
    <n v="26"/>
    <d v="1899-12-30T00:00:12"/>
    <d v="1899-12-30T00:02:02"/>
    <d v="1899-12-30T00:06:41"/>
    <n v="0.82089999999999996"/>
    <d v="1899-12-30T10:36:26"/>
    <d v="1900-01-25T12:26:00"/>
    <d v="1899-12-30T11:29:18"/>
    <d v="1900-01-27T17:18:00"/>
  </r>
  <r>
    <d v="2022-06-23T00:00:00"/>
    <x v="1"/>
    <x v="5"/>
    <x v="22"/>
    <x v="2"/>
    <n v="905"/>
    <n v="323"/>
    <n v="261"/>
    <n v="0.80800000000000005"/>
    <n v="62"/>
    <d v="1899-12-30T00:00:41"/>
    <d v="1899-12-30T00:02:57"/>
    <d v="1899-12-30T00:09:27"/>
    <n v="0.53990000000000005"/>
    <d v="1899-12-30T12:49:57"/>
    <d v="1900-01-31T01:57:00"/>
    <d v="1899-12-30T15:52:51"/>
    <d v="1900-02-07T16:51:00"/>
  </r>
  <r>
    <d v="2022-06-24T00:00:00"/>
    <x v="2"/>
    <x v="5"/>
    <x v="23"/>
    <x v="2"/>
    <n v="906"/>
    <n v="289"/>
    <n v="265"/>
    <n v="0.91700000000000004"/>
    <n v="24"/>
    <d v="1899-12-30T00:00:11"/>
    <d v="1899-12-30T00:03:00"/>
    <d v="1899-12-30T00:05:42"/>
    <n v="0.8327"/>
    <d v="1899-12-30T13:15:00"/>
    <d v="1900-02-01T03:00:00"/>
    <d v="1899-12-30T14:27:00"/>
    <d v="1900-02-04T03:00:00"/>
  </r>
  <r>
    <d v="2022-06-25T00:00:00"/>
    <x v="3"/>
    <x v="5"/>
    <x v="24"/>
    <x v="2"/>
    <n v="907"/>
    <n v="310"/>
    <n v="281"/>
    <n v="0.90649999999999997"/>
    <n v="29"/>
    <d v="1899-12-30T00:00:15"/>
    <d v="1899-12-30T00:02:41"/>
    <d v="1899-12-30T00:02:57"/>
    <n v="0.79120000000000001"/>
    <d v="1899-12-30T12:34:01"/>
    <d v="1900-01-30T10:01:00"/>
    <d v="1899-12-30T13:51:50"/>
    <d v="1900-02-02T15:50:00"/>
  </r>
  <r>
    <d v="2022-06-26T00:00:00"/>
    <x v="4"/>
    <x v="5"/>
    <x v="25"/>
    <x v="2"/>
    <n v="908"/>
    <n v="33"/>
    <n v="31"/>
    <n v="0.93940000000000001"/>
    <n v="2"/>
    <d v="1899-12-30T00:00:14"/>
    <d v="1899-12-30T00:02:53"/>
    <d v="1899-12-30T00:02:07"/>
    <n v="0.84850000000000003"/>
    <d v="1899-12-30T01:29:23"/>
    <d v="1900-01-02T17:23:00"/>
    <d v="1899-12-30T01:35:09"/>
    <d v="1900-01-02T23:09:00"/>
  </r>
  <r>
    <d v="2022-06-27T00:00:00"/>
    <x v="5"/>
    <x v="5"/>
    <x v="26"/>
    <x v="2"/>
    <n v="909"/>
    <n v="346"/>
    <n v="318"/>
    <n v="0.91910000000000003"/>
    <n v="28"/>
    <d v="1899-12-30T00:00:12"/>
    <d v="1899-12-30T00:02:36"/>
    <d v="1899-12-30T00:03:32"/>
    <n v="0.82489999999999997"/>
    <d v="1899-12-30T13:46:48"/>
    <d v="1900-02-02T10:48:00"/>
    <d v="1899-12-30T14:59:36"/>
    <d v="1900-02-05T11:36:00"/>
  </r>
  <r>
    <d v="2022-06-28T00:00:00"/>
    <x v="6"/>
    <x v="5"/>
    <x v="27"/>
    <x v="2"/>
    <n v="910"/>
    <n v="325"/>
    <n v="285"/>
    <n v="0.87690000000000001"/>
    <n v="40"/>
    <d v="1899-12-30T00:00:32"/>
    <d v="1899-12-30T00:02:45"/>
    <d v="1899-12-30T00:09:39"/>
    <n v="0.60819999999999996"/>
    <d v="1899-12-30T13:03:45"/>
    <d v="1900-01-31T15:45:00"/>
    <d v="1899-12-30T14:53:45"/>
    <d v="1900-02-05T05:45:00"/>
  </r>
  <r>
    <d v="2022-06-29T00:00:00"/>
    <x v="0"/>
    <x v="5"/>
    <x v="28"/>
    <x v="2"/>
    <n v="911"/>
    <n v="627"/>
    <n v="504"/>
    <n v="0.80379999999999996"/>
    <n v="123"/>
    <d v="1899-12-30T00:00:37"/>
    <d v="1899-12-30T00:03:20"/>
    <d v="1899-12-30T00:19:42"/>
    <n v="0.56930000000000003"/>
    <d v="1899-12-31T04:00:00"/>
    <d v="1900-03-10T00:00:00"/>
    <d v="1899-12-31T10:50:00"/>
    <d v="1900-03-27T02:00:00"/>
  </r>
  <r>
    <d v="2022-06-30T00:00:00"/>
    <x v="1"/>
    <x v="5"/>
    <x v="29"/>
    <x v="2"/>
    <n v="912"/>
    <n v="905"/>
    <n v="631"/>
    <n v="0.69720000000000004"/>
    <n v="274"/>
    <d v="1899-12-30T00:01:23"/>
    <d v="1899-12-30T00:03:42"/>
    <d v="1899-12-30T00:12:04"/>
    <n v="0.25679999999999997"/>
    <d v="1899-12-31T14:54:42"/>
    <d v="1900-04-06T06:42:00"/>
    <d v="1900-01-01T07:48:30"/>
    <d v="1900-05-18T12:30:00"/>
  </r>
  <r>
    <d v="2022-07-01T00:00:00"/>
    <x v="2"/>
    <x v="6"/>
    <x v="0"/>
    <x v="2"/>
    <n v="913"/>
    <n v="1141"/>
    <n v="610"/>
    <n v="0.53459999999999996"/>
    <n v="531"/>
    <d v="1899-12-30T00:01:46"/>
    <d v="1899-12-30T00:03:12"/>
    <d v="1899-12-30T00:25:51"/>
    <n v="0.14549999999999999"/>
    <d v="1899-12-31T08:32:00"/>
    <d v="1900-03-21T08:00:00"/>
    <d v="1900-01-01T12:51:12"/>
    <d v="1900-05-31T03:12:00"/>
  </r>
  <r>
    <d v="2022-07-02T00:00:00"/>
    <x v="3"/>
    <x v="6"/>
    <x v="1"/>
    <x v="2"/>
    <n v="914"/>
    <n v="863"/>
    <n v="511"/>
    <n v="0.59209999999999996"/>
    <n v="352"/>
    <d v="1899-12-30T00:02:07"/>
    <d v="1899-12-30T00:03:03"/>
    <d v="1899-12-30T00:15:43"/>
    <n v="0.12130000000000001"/>
    <d v="1899-12-31T01:58:33"/>
    <d v="1900-03-04T22:33:00"/>
    <d v="1899-12-31T19:52:09"/>
    <d v="1900-04-18T16:09:00"/>
  </r>
  <r>
    <d v="2022-07-03T00:00:00"/>
    <x v="4"/>
    <x v="6"/>
    <x v="2"/>
    <x v="2"/>
    <n v="915"/>
    <n v="63"/>
    <n v="56"/>
    <n v="0.88890000000000002"/>
    <n v="7"/>
    <d v="1899-12-30T00:00:16"/>
    <d v="1899-12-30T00:02:31"/>
    <d v="1899-12-30T00:04:08"/>
    <n v="0.7097"/>
    <d v="1899-12-30T02:20:56"/>
    <d v="1900-01-04T20:56:00"/>
    <d v="1899-12-30T02:38:33"/>
    <d v="1900-01-05T14:33:00"/>
  </r>
  <r>
    <d v="2022-07-04T00:00:00"/>
    <x v="5"/>
    <x v="6"/>
    <x v="3"/>
    <x v="2"/>
    <n v="916"/>
    <n v="573"/>
    <n v="487"/>
    <n v="0.84989999999999999"/>
    <n v="86"/>
    <d v="1899-12-30T00:00:56"/>
    <d v="1899-12-30T00:02:45"/>
    <d v="1899-12-30T00:05:43"/>
    <n v="0.34989999999999999"/>
    <d v="1899-12-30T22:19:15"/>
    <d v="1900-02-23T19:15:00"/>
    <d v="1899-12-31T02:15:45"/>
    <d v="1900-03-05T15:45:00"/>
  </r>
  <r>
    <d v="2022-07-05T00:00:00"/>
    <x v="6"/>
    <x v="6"/>
    <x v="4"/>
    <x v="2"/>
    <n v="917"/>
    <n v="391"/>
    <n v="323"/>
    <n v="0.82609999999999995"/>
    <n v="68"/>
    <d v="1899-12-30T00:00:46"/>
    <d v="1899-12-30T00:03:08"/>
    <d v="1899-12-30T00:08:16"/>
    <n v="0.42709999999999998"/>
    <d v="1899-12-30T16:52:04"/>
    <d v="1900-02-10T04:04:00"/>
    <d v="1899-12-30T20:25:08"/>
    <d v="1900-02-19T01:08:00"/>
  </r>
  <r>
    <d v="2022-07-06T00:00:00"/>
    <x v="0"/>
    <x v="6"/>
    <x v="5"/>
    <x v="2"/>
    <n v="918"/>
    <n v="526"/>
    <n v="355"/>
    <n v="0.67490000000000006"/>
    <n v="171"/>
    <d v="1899-12-30T00:01:29"/>
    <d v="1899-12-30T00:03:50"/>
    <d v="1899-12-30T00:18:47"/>
    <n v="0.224"/>
    <d v="1899-12-30T22:40:50"/>
    <d v="1900-02-24T16:50:00"/>
    <d v="1899-12-31T09:36:20"/>
    <d v="1900-03-24T00:20:00"/>
  </r>
  <r>
    <d v="2022-07-07T00:00:00"/>
    <x v="1"/>
    <x v="6"/>
    <x v="6"/>
    <x v="2"/>
    <n v="919"/>
    <n v="343"/>
    <n v="309"/>
    <n v="0.90090000000000003"/>
    <n v="34"/>
    <d v="1899-12-30T00:00:39"/>
    <d v="1899-12-30T00:03:24"/>
    <d v="1899-12-30T00:05:10"/>
    <n v="0.48820000000000002"/>
    <d v="1899-12-30T17:30:36"/>
    <d v="1900-02-11T18:36:00"/>
    <d v="1899-12-30T19:26:12"/>
    <d v="1900-02-16T14:12:00"/>
  </r>
  <r>
    <d v="2022-07-08T00:00:00"/>
    <x v="2"/>
    <x v="6"/>
    <x v="7"/>
    <x v="2"/>
    <n v="920"/>
    <n v="401"/>
    <n v="346"/>
    <n v="0.86280000000000001"/>
    <n v="55"/>
    <d v="1899-12-30T00:00:41"/>
    <d v="1899-12-30T00:03:13"/>
    <d v="1899-12-30T00:05:10"/>
    <n v="0.44269999999999998"/>
    <d v="1899-12-30T18:32:58"/>
    <d v="1900-02-14T08:58:00"/>
    <d v="1899-12-30T21:29:53"/>
    <d v="1900-02-21T17:53:00"/>
  </r>
  <r>
    <d v="2022-07-09T00:00:00"/>
    <x v="3"/>
    <x v="6"/>
    <x v="8"/>
    <x v="2"/>
    <n v="921"/>
    <n v="281"/>
    <n v="239"/>
    <n v="0.85050000000000003"/>
    <n v="42"/>
    <d v="1899-12-30T00:00:41"/>
    <d v="1899-12-30T00:03:07"/>
    <d v="1899-12-30T00:03:20"/>
    <n v="0.42549999999999999"/>
    <d v="1899-12-30T12:24:53"/>
    <d v="1900-01-30T00:53:00"/>
    <d v="1899-12-30T14:35:47"/>
    <d v="1900-02-04T11:47:00"/>
  </r>
  <r>
    <d v="2022-07-10T00:00:00"/>
    <x v="4"/>
    <x v="6"/>
    <x v="9"/>
    <x v="2"/>
    <n v="922"/>
    <n v="46"/>
    <n v="39"/>
    <n v="0.8478"/>
    <n v="7"/>
    <d v="1899-12-30T00:00:11"/>
    <d v="1899-12-30T00:03:09"/>
    <d v="1899-12-30T00:04:09"/>
    <n v="0.80430000000000001"/>
    <d v="1899-12-30T02:02:51"/>
    <d v="1900-01-04T02:51:00"/>
    <d v="1899-12-30T02:24:54"/>
    <d v="1900-01-05T00:54:00"/>
  </r>
  <r>
    <d v="2022-07-11T00:00:00"/>
    <x v="5"/>
    <x v="6"/>
    <x v="10"/>
    <x v="2"/>
    <n v="923"/>
    <n v="357"/>
    <n v="323"/>
    <n v="0.90480000000000005"/>
    <n v="34"/>
    <d v="1899-12-30T00:00:32"/>
    <d v="1899-12-30T00:03:08"/>
    <d v="1899-12-30T00:07:14"/>
    <n v="0.60909999999999997"/>
    <d v="1899-12-30T16:52:04"/>
    <d v="1900-02-10T04:04:00"/>
    <d v="1899-12-30T18:38:36"/>
    <d v="1900-02-14T14:36:00"/>
  </r>
  <r>
    <d v="2022-07-12T00:00:00"/>
    <x v="6"/>
    <x v="6"/>
    <x v="11"/>
    <x v="2"/>
    <n v="924"/>
    <n v="280"/>
    <n v="255"/>
    <n v="0.91069999999999995"/>
    <n v="25"/>
    <d v="1899-12-30T00:00:34"/>
    <d v="1899-12-30T00:03:02"/>
    <d v="1899-12-30T00:03:31"/>
    <n v="0.52900000000000003"/>
    <d v="1899-12-30T12:53:30"/>
    <d v="1900-01-31T05:30:00"/>
    <d v="1899-12-30T14:09:20"/>
    <d v="1900-02-03T09:20:00"/>
  </r>
  <r>
    <d v="2022-07-13T00:00:00"/>
    <x v="0"/>
    <x v="6"/>
    <x v="12"/>
    <x v="2"/>
    <n v="925"/>
    <n v="258"/>
    <n v="247"/>
    <n v="0.95740000000000003"/>
    <n v="11"/>
    <d v="1899-12-30T00:00:25"/>
    <d v="1899-12-30T00:02:57"/>
    <d v="1899-12-30T00:04:12"/>
    <n v="0.70199999999999996"/>
    <d v="1899-12-30T12:08:39"/>
    <d v="1900-01-29T08:39:00"/>
    <d v="1899-12-30T12:41:06"/>
    <d v="1900-01-30T17:06:00"/>
  </r>
  <r>
    <d v="2022-07-14T00:00:00"/>
    <x v="1"/>
    <x v="6"/>
    <x v="13"/>
    <x v="2"/>
    <n v="926"/>
    <n v="282"/>
    <n v="255"/>
    <n v="0.90429999999999999"/>
    <n v="27"/>
    <d v="1899-12-30T00:00:18"/>
    <d v="1899-12-30T00:02:47"/>
    <d v="1899-12-30T00:04:09"/>
    <n v="0.74729999999999996"/>
    <d v="1899-12-30T11:49:45"/>
    <d v="1900-01-28T13:45:00"/>
    <d v="1899-12-30T13:04:54"/>
    <d v="1900-01-31T16:54:00"/>
  </r>
  <r>
    <d v="2022-07-15T00:00:00"/>
    <x v="2"/>
    <x v="6"/>
    <x v="14"/>
    <x v="2"/>
    <n v="927"/>
    <n v="253"/>
    <n v="240"/>
    <n v="0.9486"/>
    <n v="13"/>
    <d v="1899-12-30T00:00:18"/>
    <d v="1899-12-30T00:02:41"/>
    <d v="1899-12-30T00:06:11"/>
    <n v="0.752"/>
    <d v="1899-12-30T10:44:00"/>
    <d v="1900-01-25T20:00:00"/>
    <d v="1899-12-30T11:18:53"/>
    <d v="1900-01-27T06:53:00"/>
  </r>
  <r>
    <d v="2022-07-16T00:00:00"/>
    <x v="3"/>
    <x v="6"/>
    <x v="15"/>
    <x v="2"/>
    <n v="928"/>
    <n v="266"/>
    <n v="232"/>
    <n v="0.87219999999999998"/>
    <n v="34"/>
    <d v="1899-12-30T00:00:37"/>
    <d v="1899-12-30T00:02:49"/>
    <d v="1899-12-30T00:06:11"/>
    <n v="0.57589999999999997"/>
    <d v="1899-12-30T10:53:28"/>
    <d v="1900-01-26T05:28:00"/>
    <d v="1899-12-30T12:29:14"/>
    <d v="1900-01-30T05:14:00"/>
  </r>
  <r>
    <d v="2022-07-17T00:00:00"/>
    <x v="4"/>
    <x v="6"/>
    <x v="16"/>
    <x v="2"/>
    <n v="929"/>
    <n v="30"/>
    <n v="29"/>
    <n v="0.9667"/>
    <n v="1"/>
    <d v="1899-12-30T00:00:10"/>
    <d v="1899-12-30T00:03:21"/>
    <d v="1899-12-30T00:00:49"/>
    <n v="0.9"/>
    <d v="1899-12-30T01:37:09"/>
    <d v="1900-01-03T01:09:00"/>
    <d v="1899-12-30T01:40:30"/>
    <d v="1900-01-03T04:30:00"/>
  </r>
  <r>
    <d v="2022-07-18T00:00:00"/>
    <x v="5"/>
    <x v="6"/>
    <x v="17"/>
    <x v="2"/>
    <n v="930"/>
    <n v="258"/>
    <n v="230"/>
    <n v="0.89149999999999996"/>
    <n v="28"/>
    <d v="1899-12-30T00:00:33"/>
    <d v="1899-12-30T00:03:01"/>
    <d v="1899-12-30T00:04:14"/>
    <n v="0.53539999999999999"/>
    <d v="1899-12-30T11:33:50"/>
    <d v="1900-01-27T21:50:00"/>
    <d v="1899-12-30T12:58:18"/>
    <d v="1900-01-31T10:18:00"/>
  </r>
  <r>
    <d v="2022-07-19T00:00:00"/>
    <x v="6"/>
    <x v="6"/>
    <x v="18"/>
    <x v="2"/>
    <n v="931"/>
    <n v="293"/>
    <n v="282"/>
    <n v="0.96250000000000002"/>
    <n v="11"/>
    <d v="1899-12-30T00:00:23"/>
    <d v="1899-12-30T00:02:39"/>
    <d v="1899-12-30T00:02:38"/>
    <n v="0.70240000000000002"/>
    <d v="1899-12-30T12:27:18"/>
    <d v="1900-01-30T03:18:00"/>
    <d v="1899-12-30T12:56:27"/>
    <d v="1900-01-31T08:27:00"/>
  </r>
  <r>
    <d v="2022-07-20T00:00:00"/>
    <x v="0"/>
    <x v="6"/>
    <x v="19"/>
    <x v="2"/>
    <n v="932"/>
    <n v="377"/>
    <n v="341"/>
    <n v="0.90449999999999997"/>
    <n v="36"/>
    <d v="1899-12-30T00:00:20"/>
    <d v="1899-12-30T00:02:21"/>
    <d v="1899-12-30T00:03:09"/>
    <n v="0.68279999999999996"/>
    <d v="1899-12-30T13:21:21"/>
    <d v="1900-02-01T09:21:00"/>
    <d v="1899-12-30T14:45:57"/>
    <d v="1900-02-04T21:57:00"/>
  </r>
  <r>
    <d v="2022-07-21T00:00:00"/>
    <x v="1"/>
    <x v="6"/>
    <x v="20"/>
    <x v="2"/>
    <n v="933"/>
    <n v="196"/>
    <n v="182"/>
    <n v="0.92859999999999998"/>
    <n v="14"/>
    <d v="1899-12-30T00:00:28"/>
    <d v="1899-12-30T00:02:37"/>
    <d v="1899-12-30T00:02:54"/>
    <n v="0.61860000000000004"/>
    <d v="1899-12-30T07:56:14"/>
    <d v="1900-01-18T20:14:00"/>
    <d v="1899-12-30T08:32:52"/>
    <d v="1900-01-20T08:52:00"/>
  </r>
  <r>
    <d v="2022-07-22T00:00:00"/>
    <x v="2"/>
    <x v="6"/>
    <x v="21"/>
    <x v="2"/>
    <n v="934"/>
    <n v="192"/>
    <n v="173"/>
    <n v="0.90100000000000002"/>
    <n v="19"/>
    <d v="1899-12-30T00:00:33"/>
    <d v="1899-12-30T00:02:44"/>
    <d v="1899-12-30T00:06:39"/>
    <n v="0.61780000000000002"/>
    <d v="1899-12-30T07:52:52"/>
    <d v="1900-01-18T16:52:00"/>
    <d v="1899-12-30T08:44:48"/>
    <d v="1900-01-20T20:48:00"/>
  </r>
  <r>
    <d v="2022-07-23T00:00:00"/>
    <x v="3"/>
    <x v="6"/>
    <x v="22"/>
    <x v="2"/>
    <n v="935"/>
    <n v="185"/>
    <n v="178"/>
    <n v="0.96220000000000006"/>
    <n v="7"/>
    <d v="1899-12-30T00:00:17"/>
    <d v="1899-12-30T00:02:46"/>
    <d v="1899-12-30T00:03:09"/>
    <n v="0.7772"/>
    <d v="1899-12-30T08:12:28"/>
    <d v="1900-01-19T12:28:00"/>
    <d v="1899-12-30T08:31:50"/>
    <d v="1900-01-20T07:50:00"/>
  </r>
  <r>
    <d v="2022-07-24T00:00:00"/>
    <x v="4"/>
    <x v="6"/>
    <x v="23"/>
    <x v="2"/>
    <n v="936"/>
    <n v="27"/>
    <n v="25"/>
    <n v="0.92589999999999995"/>
    <n v="2"/>
    <d v="1899-12-30T00:00:18"/>
    <d v="1899-12-30T00:02:09"/>
    <d v="1899-12-30T00:03:07"/>
    <n v="0.74070000000000003"/>
    <d v="1899-12-30T00:53:45"/>
    <d v="1900-01-01T05:45:00"/>
    <d v="1899-12-30T00:58:03"/>
    <d v="1900-01-01T10:03:00"/>
  </r>
  <r>
    <d v="2022-07-25T00:00:00"/>
    <x v="5"/>
    <x v="6"/>
    <x v="24"/>
    <x v="2"/>
    <n v="937"/>
    <n v="222"/>
    <n v="214"/>
    <n v="0.96399999999999997"/>
    <n v="8"/>
    <d v="1899-12-30T00:00:18"/>
    <d v="1899-12-30T00:02:57"/>
    <d v="1899-12-30T00:06:12"/>
    <n v="0.74660000000000004"/>
    <d v="1899-12-30T10:31:18"/>
    <d v="1900-01-25T07:18:00"/>
    <d v="1899-12-30T10:54:54"/>
    <d v="1900-01-26T06:54:00"/>
  </r>
  <r>
    <d v="2022-07-26T00:00:00"/>
    <x v="6"/>
    <x v="6"/>
    <x v="25"/>
    <x v="2"/>
    <n v="938"/>
    <n v="217"/>
    <n v="198"/>
    <n v="0.91239999999999999"/>
    <n v="19"/>
    <d v="1899-12-30T00:00:09"/>
    <d v="1899-12-30T00:02:43"/>
    <d v="1899-12-30T00:02:57"/>
    <n v="0.88829999999999998"/>
    <d v="1899-12-30T08:57:54"/>
    <d v="1900-01-21T09:54:00"/>
    <d v="1899-12-30T09:49:31"/>
    <d v="1900-01-23T13:31:00"/>
  </r>
  <r>
    <d v="2022-07-27T00:00:00"/>
    <x v="0"/>
    <x v="6"/>
    <x v="26"/>
    <x v="2"/>
    <n v="939"/>
    <n v="204"/>
    <n v="197"/>
    <n v="0.9657"/>
    <n v="7"/>
    <d v="1899-12-30T00:00:17"/>
    <d v="1899-12-30T00:02:40"/>
    <d v="1899-12-30T00:03:50"/>
    <n v="0.79700000000000004"/>
    <d v="1899-12-30T08:45:20"/>
    <d v="1900-01-20T21:20:00"/>
    <d v="1899-12-30T09:04:00"/>
    <d v="1900-01-21T16:00:00"/>
  </r>
  <r>
    <d v="2022-07-28T00:00:00"/>
    <x v="1"/>
    <x v="6"/>
    <x v="27"/>
    <x v="2"/>
    <n v="940"/>
    <n v="191"/>
    <n v="181"/>
    <n v="0.9476"/>
    <n v="10"/>
    <d v="1899-12-30T00:00:12"/>
    <d v="1899-12-30T00:02:46"/>
    <d v="1899-12-30T00:04:44"/>
    <n v="0.87229999999999996"/>
    <d v="1899-12-30T08:20:46"/>
    <d v="1900-01-19T20:46:00"/>
    <d v="1899-12-30T08:48:26"/>
    <d v="1900-01-21T00:26:00"/>
  </r>
  <r>
    <d v="2022-07-29T00:00:00"/>
    <x v="2"/>
    <x v="6"/>
    <x v="28"/>
    <x v="2"/>
    <n v="941"/>
    <n v="176"/>
    <n v="157"/>
    <n v="0.89200000000000002"/>
    <n v="19"/>
    <d v="1899-12-30T00:00:17"/>
    <d v="1899-12-30T00:02:51"/>
    <d v="1899-12-30T00:04:08"/>
    <n v="0.73529999999999995"/>
    <d v="1899-12-30T07:27:27"/>
    <d v="1900-01-17T15:27:00"/>
    <d v="1899-12-30T08:21:36"/>
    <d v="1900-01-19T21:36:00"/>
  </r>
  <r>
    <d v="2022-07-30T00:00:00"/>
    <x v="3"/>
    <x v="6"/>
    <x v="29"/>
    <x v="2"/>
    <n v="942"/>
    <n v="176"/>
    <n v="163"/>
    <n v="0.92610000000000003"/>
    <n v="13"/>
    <d v="1899-12-30T00:00:24"/>
    <d v="1899-12-30T00:03:11"/>
    <d v="1899-12-30T00:03:07"/>
    <n v="0.64159999999999995"/>
    <d v="1899-12-30T08:38:53"/>
    <d v="1900-01-20T14:53:00"/>
    <d v="1899-12-30T09:20:16"/>
    <d v="1900-01-22T08:16:00"/>
  </r>
  <r>
    <d v="2022-07-31T00:00:00"/>
    <x v="4"/>
    <x v="6"/>
    <x v="30"/>
    <x v="2"/>
    <n v="943"/>
    <n v="26"/>
    <n v="26"/>
    <n v="1"/>
    <n v="0"/>
    <d v="1899-12-30T00:00:24"/>
    <d v="1899-12-30T00:03:03"/>
    <d v="1899-12-30T00:01:57"/>
    <n v="0.69230000000000003"/>
    <d v="1899-12-30T01:19:18"/>
    <d v="1900-01-02T07:18:00"/>
    <d v="1899-12-30T01:19:18"/>
    <d v="1900-01-02T07:18:00"/>
  </r>
  <r>
    <d v="2022-08-01T00:00:00"/>
    <x v="5"/>
    <x v="7"/>
    <x v="0"/>
    <x v="2"/>
    <n v="944"/>
    <n v="170"/>
    <n v="167"/>
    <n v="0.98240000000000005"/>
    <n v="3"/>
    <d v="1899-12-30T00:00:16"/>
    <d v="1899-12-30T00:02:47"/>
    <d v="1899-12-30T00:02:08"/>
    <n v="0.79410000000000003"/>
    <d v="1899-12-30T07:44:49"/>
    <d v="1900-01-18T08:49:00"/>
    <d v="1899-12-30T07:53:10"/>
    <d v="1900-01-18T17:10:00"/>
  </r>
  <r>
    <d v="2022-08-02T00:00:00"/>
    <x v="6"/>
    <x v="7"/>
    <x v="1"/>
    <x v="2"/>
    <n v="945"/>
    <n v="154"/>
    <n v="147"/>
    <n v="0.95450000000000002"/>
    <n v="7"/>
    <d v="1899-12-30T00:00:21"/>
    <d v="1899-12-30T00:03:02"/>
    <d v="1899-12-30T00:03:47"/>
    <n v="0.75160000000000005"/>
    <d v="1899-12-30T07:25:54"/>
    <d v="1900-01-17T13:54:00"/>
    <d v="1899-12-30T07:47:08"/>
    <d v="1900-01-18T11:08:00"/>
  </r>
  <r>
    <d v="2022-08-03T00:00:00"/>
    <x v="0"/>
    <x v="7"/>
    <x v="2"/>
    <x v="2"/>
    <n v="946"/>
    <n v="165"/>
    <n v="152"/>
    <n v="0.92120000000000002"/>
    <n v="13"/>
    <d v="1899-12-30T00:00:17"/>
    <d v="1899-12-30T00:02:58"/>
    <d v="1899-12-30T00:03:40"/>
    <n v="0.8075"/>
    <d v="1899-12-30T07:30:56"/>
    <d v="1900-01-17T18:56:00"/>
    <d v="1899-12-30T08:09:30"/>
    <d v="1900-01-19T09:30:00"/>
  </r>
  <r>
    <d v="2022-08-04T00:00:00"/>
    <x v="1"/>
    <x v="7"/>
    <x v="3"/>
    <x v="2"/>
    <n v="947"/>
    <n v="153"/>
    <n v="143"/>
    <n v="0.93459999999999999"/>
    <n v="10"/>
    <d v="1899-12-30T00:00:19"/>
    <d v="1899-12-30T00:03:05"/>
    <d v="1899-12-30T00:03:15"/>
    <n v="0.77629999999999999"/>
    <d v="1899-12-30T07:20:55"/>
    <d v="1900-01-17T08:55:00"/>
    <d v="1899-12-30T07:51:45"/>
    <d v="1900-01-18T15:45:00"/>
  </r>
  <r>
    <d v="2022-08-05T00:00:00"/>
    <x v="2"/>
    <x v="7"/>
    <x v="4"/>
    <x v="2"/>
    <n v="948"/>
    <n v="175"/>
    <n v="169"/>
    <n v="0.9657"/>
    <n v="6"/>
    <d v="1899-12-30T00:00:11"/>
    <d v="1899-12-30T00:02:17"/>
    <d v="1899-12-30T00:02:12"/>
    <n v="0.85629999999999995"/>
    <d v="1899-12-30T06:25:53"/>
    <d v="1900-01-15T01:53:00"/>
    <d v="1899-12-30T06:39:35"/>
    <d v="1900-01-15T15:35:00"/>
  </r>
  <r>
    <d v="2022-08-06T00:00:00"/>
    <x v="3"/>
    <x v="7"/>
    <x v="5"/>
    <x v="2"/>
    <n v="949"/>
    <n v="241"/>
    <n v="214"/>
    <n v="0.88800000000000001"/>
    <n v="27"/>
    <d v="1899-12-30T00:00:29"/>
    <d v="1899-12-30T00:03:00"/>
    <d v="1899-12-30T00:14:33"/>
    <n v="0.6623"/>
    <d v="1899-12-30T10:42:00"/>
    <d v="1900-01-25T18:00:00"/>
    <d v="1899-12-30T12:03:00"/>
    <d v="1900-01-29T03:00:00"/>
  </r>
  <r>
    <d v="2022-08-07T00:00:00"/>
    <x v="4"/>
    <x v="7"/>
    <x v="6"/>
    <x v="2"/>
    <n v="950"/>
    <n v="14"/>
    <n v="14"/>
    <n v="1"/>
    <n v="0"/>
    <d v="1899-12-30T00:00:16"/>
    <d v="1899-12-30T00:02:46"/>
    <d v="1899-12-30T00:01:27"/>
    <n v="0.85709999999999997"/>
    <d v="1899-12-30T00:38:44"/>
    <d v="1899-12-31T14:44:00"/>
    <d v="1899-12-30T00:38:44"/>
    <d v="1899-12-31T14:44:00"/>
  </r>
  <r>
    <d v="2022-08-08T00:00:00"/>
    <x v="5"/>
    <x v="7"/>
    <x v="7"/>
    <x v="2"/>
    <n v="951"/>
    <n v="57"/>
    <n v="55"/>
    <n v="0.96489999999999998"/>
    <n v="2"/>
    <d v="1899-12-30T00:00:12"/>
    <d v="1899-12-30T00:02:35"/>
    <d v="1899-12-30T00:02:07"/>
    <n v="0.85960000000000003"/>
    <d v="1899-12-30T02:22:05"/>
    <d v="1900-01-04T22:05:00"/>
    <d v="1899-12-30T02:27:15"/>
    <d v="1900-01-05T03:15:00"/>
  </r>
  <r>
    <d v="2022-08-09T00:00:00"/>
    <x v="6"/>
    <x v="7"/>
    <x v="8"/>
    <x v="2"/>
    <n v="952"/>
    <n v="954"/>
    <n v="644"/>
    <n v="0.67510000000000003"/>
    <n v="310"/>
    <d v="1899-12-30T00:01:14"/>
    <d v="1899-12-30T00:02:05"/>
    <d v="1899-12-30T00:11:12"/>
    <n v="0.26329999999999998"/>
    <d v="1899-12-30T22:21:40"/>
    <d v="1900-02-23T21:40:00"/>
    <d v="1899-12-31T09:07:30"/>
    <d v="1900-03-22T19:30:00"/>
  </r>
  <r>
    <d v="2022-08-10T00:00:00"/>
    <x v="0"/>
    <x v="7"/>
    <x v="9"/>
    <x v="2"/>
    <n v="953"/>
    <n v="374"/>
    <n v="344"/>
    <n v="0.91979999999999995"/>
    <n v="30"/>
    <d v="1899-12-30T00:00:28"/>
    <d v="1899-12-30T00:03:03"/>
    <d v="1899-12-30T00:08:52"/>
    <n v="0.61850000000000005"/>
    <d v="1899-12-30T17:29:12"/>
    <d v="1900-02-11T17:12:00"/>
    <d v="1899-12-30T19:00:42"/>
    <d v="1900-02-15T12:42:00"/>
  </r>
  <r>
    <d v="2022-08-11T00:00:00"/>
    <x v="1"/>
    <x v="7"/>
    <x v="10"/>
    <x v="2"/>
    <n v="954"/>
    <n v="265"/>
    <n v="245"/>
    <n v="0.92449999999999999"/>
    <n v="20"/>
    <d v="1899-12-30T00:00:31"/>
    <d v="1899-12-30T00:03:05"/>
    <d v="1899-12-30T00:03:21"/>
    <n v="0.56699999999999995"/>
    <d v="1899-12-30T12:35:25"/>
    <d v="1900-01-30T11:25:00"/>
    <d v="1899-12-30T13:37:05"/>
    <d v="1900-02-02T01:05:00"/>
  </r>
  <r>
    <d v="2022-08-12T00:00:00"/>
    <x v="2"/>
    <x v="7"/>
    <x v="11"/>
    <x v="2"/>
    <n v="955"/>
    <n v="222"/>
    <n v="205"/>
    <n v="0.9234"/>
    <n v="17"/>
    <d v="1899-12-30T00:00:20"/>
    <d v="1899-12-30T00:03:12"/>
    <d v="1899-12-30T00:02:10"/>
    <n v="0.72689999999999999"/>
    <d v="1899-12-30T10:56:00"/>
    <d v="1900-01-26T08:00:00"/>
    <d v="1899-12-30T11:50:24"/>
    <d v="1900-01-28T14:24:00"/>
  </r>
  <r>
    <d v="2022-08-13T00:00:00"/>
    <x v="3"/>
    <x v="7"/>
    <x v="12"/>
    <x v="2"/>
    <n v="956"/>
    <n v="203"/>
    <n v="192"/>
    <n v="0.94579999999999997"/>
    <n v="11"/>
    <d v="1899-12-30T00:00:27"/>
    <d v="1899-12-30T00:03:04"/>
    <d v="1899-12-30T00:04:07"/>
    <n v="0.68659999999999999"/>
    <d v="1899-12-30T09:48:48"/>
    <d v="1900-01-23T12:48:00"/>
    <d v="1899-12-30T10:22:32"/>
    <d v="1900-01-24T22:32:00"/>
  </r>
  <r>
    <d v="2022-08-14T00:00:00"/>
    <x v="4"/>
    <x v="7"/>
    <x v="13"/>
    <x v="2"/>
    <n v="957"/>
    <n v="33"/>
    <n v="31"/>
    <n v="0.93940000000000001"/>
    <n v="2"/>
    <d v="1899-12-30T00:00:29"/>
    <d v="1899-12-30T00:02:15"/>
    <d v="1899-12-30T00:05:43"/>
    <n v="0.78129999999999999"/>
    <d v="1899-12-30T01:09:45"/>
    <d v="1900-01-01T21:45:00"/>
    <d v="1899-12-30T01:14:15"/>
    <d v="1900-01-02T02:15:00"/>
  </r>
  <r>
    <d v="2022-08-15T00:00:00"/>
    <x v="5"/>
    <x v="7"/>
    <x v="14"/>
    <x v="2"/>
    <n v="958"/>
    <n v="220"/>
    <n v="195"/>
    <n v="0.88639999999999997"/>
    <n v="25"/>
    <d v="1899-12-30T00:00:28"/>
    <d v="1899-12-30T00:02:45"/>
    <d v="1899-12-30T00:03:06"/>
    <n v="0.59619999999999995"/>
    <d v="1899-12-30T08:56:15"/>
    <d v="1900-01-21T08:15:00"/>
    <d v="1899-12-30T10:05:00"/>
    <d v="1900-01-24T05:00:00"/>
  </r>
  <r>
    <d v="2022-08-16T00:00:00"/>
    <x v="6"/>
    <x v="7"/>
    <x v="15"/>
    <x v="2"/>
    <n v="959"/>
    <n v="185"/>
    <n v="177"/>
    <n v="0.95679999999999998"/>
    <n v="8"/>
    <d v="1899-12-30T00:00:16"/>
    <d v="1899-12-30T00:02:33"/>
    <d v="1899-12-30T00:03:08"/>
    <n v="0.80110000000000003"/>
    <d v="1899-12-30T07:31:21"/>
    <d v="1900-01-17T19:21:00"/>
    <d v="1899-12-30T07:51:45"/>
    <d v="1900-01-18T15:45:00"/>
  </r>
  <r>
    <d v="2022-08-17T00:00:00"/>
    <x v="0"/>
    <x v="7"/>
    <x v="16"/>
    <x v="2"/>
    <n v="960"/>
    <n v="203"/>
    <n v="172"/>
    <n v="0.84730000000000005"/>
    <n v="31"/>
    <d v="1899-12-30T00:00:34"/>
    <d v="1899-12-30T00:02:53"/>
    <d v="1899-12-30T00:05:06"/>
    <n v="0.52790000000000004"/>
    <d v="1899-12-30T08:15:56"/>
    <d v="1900-01-19T15:56:00"/>
    <d v="1899-12-30T09:45:19"/>
    <d v="1900-01-23T09:19:00"/>
  </r>
  <r>
    <d v="2022-08-18T00:00:00"/>
    <x v="1"/>
    <x v="7"/>
    <x v="17"/>
    <x v="2"/>
    <n v="961"/>
    <n v="218"/>
    <n v="193"/>
    <n v="0.88529999999999998"/>
    <n v="25"/>
    <d v="1899-12-30T00:00:34"/>
    <d v="1899-12-30T00:02:58"/>
    <d v="1899-12-30T00:07:34"/>
    <n v="0.61970000000000003"/>
    <d v="1899-12-30T09:32:34"/>
    <d v="1900-01-22T20:34:00"/>
    <d v="1899-12-30T10:46:44"/>
    <d v="1900-01-25T22:44:00"/>
  </r>
  <r>
    <d v="2022-08-19T00:00:00"/>
    <x v="2"/>
    <x v="7"/>
    <x v="18"/>
    <x v="2"/>
    <n v="962"/>
    <n v="204"/>
    <n v="194"/>
    <n v="0.95099999999999996"/>
    <n v="10"/>
    <d v="1899-12-30T00:00:16"/>
    <d v="1899-12-30T00:02:52"/>
    <d v="1899-12-30T00:03:06"/>
    <n v="0.81310000000000004"/>
    <d v="1899-12-30T09:16:08"/>
    <d v="1900-01-22T04:08:00"/>
    <d v="1899-12-30T09:44:48"/>
    <d v="1900-01-23T08:48:00"/>
  </r>
  <r>
    <d v="2022-08-20T00:00:00"/>
    <x v="3"/>
    <x v="7"/>
    <x v="19"/>
    <x v="2"/>
    <n v="963"/>
    <n v="242"/>
    <n v="211"/>
    <n v="0.87190000000000001"/>
    <n v="31"/>
    <d v="1899-12-30T00:00:44"/>
    <d v="1899-12-30T00:02:57"/>
    <d v="1899-12-30T00:06:08"/>
    <n v="0.47699999999999998"/>
    <d v="1899-12-30T10:22:27"/>
    <d v="1900-01-24T22:27:00"/>
    <d v="1899-12-30T11:53:54"/>
    <d v="1900-01-28T17:54:00"/>
  </r>
  <r>
    <d v="2022-08-21T00:00:00"/>
    <x v="4"/>
    <x v="7"/>
    <x v="20"/>
    <x v="2"/>
    <n v="964"/>
    <n v="29"/>
    <n v="29"/>
    <n v="1"/>
    <n v="0"/>
    <d v="1899-12-30T00:00:08"/>
    <d v="1899-12-30T00:02:40"/>
    <d v="1899-12-30T00:00:44"/>
    <n v="0.89659999999999995"/>
    <d v="1899-12-30T01:17:20"/>
    <d v="1900-01-02T05:20:00"/>
    <d v="1899-12-30T01:17:20"/>
    <d v="1900-01-02T05:20:00"/>
  </r>
  <r>
    <d v="2022-08-22T00:00:00"/>
    <x v="5"/>
    <x v="7"/>
    <x v="21"/>
    <x v="2"/>
    <n v="965"/>
    <n v="171"/>
    <n v="163"/>
    <n v="0.95320000000000005"/>
    <n v="8"/>
    <d v="1899-12-30T00:00:24"/>
    <d v="1899-12-30T00:02:58"/>
    <d v="1899-12-30T00:03:19"/>
    <n v="0.69230000000000003"/>
    <d v="1899-12-30T08:03:34"/>
    <d v="1900-01-19T03:34:00"/>
    <d v="1899-12-30T08:27:18"/>
    <d v="1900-01-20T03:18:00"/>
  </r>
  <r>
    <d v="2022-08-23T00:00:00"/>
    <x v="6"/>
    <x v="7"/>
    <x v="22"/>
    <x v="2"/>
    <n v="966"/>
    <n v="190"/>
    <n v="166"/>
    <n v="0.87370000000000003"/>
    <n v="24"/>
    <d v="1899-12-30T00:00:46"/>
    <d v="1899-12-30T00:02:59"/>
    <d v="1899-12-30T00:09:20"/>
    <n v="0.42249999999999999"/>
    <d v="1899-12-30T08:15:14"/>
    <d v="1900-01-19T15:14:00"/>
    <d v="1899-12-30T09:26:50"/>
    <d v="1900-01-22T14:50:00"/>
  </r>
  <r>
    <d v="2022-08-24T00:00:00"/>
    <x v="0"/>
    <x v="7"/>
    <x v="23"/>
    <x v="2"/>
    <n v="967"/>
    <n v="221"/>
    <n v="196"/>
    <n v="0.88690000000000002"/>
    <n v="25"/>
    <d v="1899-12-30T00:00:33"/>
    <d v="1899-12-30T00:02:57"/>
    <d v="1899-12-30T00:05:25"/>
    <n v="0.53669999999999995"/>
    <d v="1899-12-30T09:38:12"/>
    <d v="1900-01-23T02:12:00"/>
    <d v="1899-12-30T10:51:57"/>
    <d v="1900-01-26T03:57:00"/>
  </r>
  <r>
    <d v="2022-08-25T00:00:00"/>
    <x v="1"/>
    <x v="7"/>
    <x v="24"/>
    <x v="2"/>
    <n v="968"/>
    <n v="297"/>
    <n v="241"/>
    <n v="0.81140000000000001"/>
    <n v="56"/>
    <d v="1899-12-30T00:00:49"/>
    <d v="1899-12-30T00:03:11"/>
    <d v="1899-12-30T00:06:52"/>
    <n v="0.44829999999999998"/>
    <d v="1899-12-30T12:47:11"/>
    <d v="1900-01-30T23:11:00"/>
    <d v="1899-12-30T15:45:27"/>
    <d v="1900-02-07T09:27:00"/>
  </r>
  <r>
    <d v="2022-08-26T00:00:00"/>
    <x v="2"/>
    <x v="7"/>
    <x v="25"/>
    <x v="2"/>
    <n v="969"/>
    <n v="233"/>
    <n v="214"/>
    <n v="0.91849999999999998"/>
    <n v="19"/>
    <d v="1899-12-30T00:00:26"/>
    <d v="1899-12-30T00:02:49"/>
    <d v="1899-12-30T00:03:53"/>
    <n v="0.625"/>
    <d v="1899-12-30T10:02:46"/>
    <d v="1900-01-24T02:46:00"/>
    <d v="1899-12-30T10:56:17"/>
    <d v="1900-01-26T08:17:00"/>
  </r>
  <r>
    <d v="2022-08-27T00:00:00"/>
    <x v="3"/>
    <x v="7"/>
    <x v="26"/>
    <x v="2"/>
    <n v="970"/>
    <n v="198"/>
    <n v="191"/>
    <n v="0.96460000000000001"/>
    <n v="7"/>
    <d v="1899-12-30T00:00:14"/>
    <d v="1899-12-30T00:03:01"/>
    <d v="1899-12-30T00:02:09"/>
    <n v="0.82740000000000002"/>
    <d v="1899-12-30T09:36:11"/>
    <d v="1900-01-23T00:11:00"/>
    <d v="1899-12-30T09:57:18"/>
    <d v="1900-01-23T21:18:00"/>
  </r>
  <r>
    <d v="2022-08-28T00:00:00"/>
    <x v="4"/>
    <x v="7"/>
    <x v="27"/>
    <x v="2"/>
    <n v="971"/>
    <n v="15"/>
    <n v="15"/>
    <n v="1"/>
    <n v="0"/>
    <d v="1899-12-30T00:00:04"/>
    <d v="1899-12-30T00:03:19"/>
    <d v="1899-12-30T00:00:14"/>
    <n v="1"/>
    <d v="1899-12-30T00:49:45"/>
    <d v="1900-01-01T01:45:00"/>
    <d v="1899-12-30T00:49:45"/>
    <d v="1900-01-01T01:45:00"/>
  </r>
  <r>
    <d v="2022-08-29T00:00:00"/>
    <x v="5"/>
    <x v="7"/>
    <x v="28"/>
    <x v="2"/>
    <n v="972"/>
    <n v="27"/>
    <n v="25"/>
    <n v="0.92589999999999995"/>
    <n v="2"/>
    <d v="1899-12-30T00:00:08"/>
    <d v="1899-12-30T00:02:34"/>
    <d v="1899-12-30T00:02:04"/>
    <n v="0.88890000000000002"/>
    <d v="1899-12-30T01:04:10"/>
    <d v="1900-01-01T16:10:00"/>
    <d v="1899-12-30T01:09:18"/>
    <d v="1900-01-01T21:18:00"/>
  </r>
  <r>
    <d v="2022-08-30T00:00:00"/>
    <x v="6"/>
    <x v="7"/>
    <x v="29"/>
    <x v="2"/>
    <n v="973"/>
    <n v="7"/>
    <n v="6"/>
    <n v="0.85709999999999997"/>
    <n v="1"/>
    <d v="1899-12-30T00:00:03"/>
    <d v="1899-12-30T00:04:48"/>
    <d v="1899-12-30T00:00:31"/>
    <n v="0.85709999999999997"/>
    <d v="1899-12-30T00:28:48"/>
    <d v="1899-12-31T04:48:00"/>
    <d v="1899-12-30T00:33:36"/>
    <d v="1899-12-31T09:36:00"/>
  </r>
  <r>
    <d v="2022-08-31T00:00:00"/>
    <x v="0"/>
    <x v="7"/>
    <x v="30"/>
    <x v="2"/>
    <n v="974"/>
    <n v="169"/>
    <n v="144"/>
    <n v="0.85209999999999997"/>
    <n v="25"/>
    <d v="1899-12-30T00:00:33"/>
    <d v="1899-12-30T00:02:36"/>
    <d v="1899-12-30T00:08:31"/>
    <n v="0.56359999999999999"/>
    <d v="1899-12-30T06:14:24"/>
    <d v="1900-01-14T14:24:00"/>
    <d v="1899-12-30T07:19:24"/>
    <d v="1900-01-17T07:24:00"/>
  </r>
  <r>
    <d v="2022-09-01T00:00:00"/>
    <x v="1"/>
    <x v="8"/>
    <x v="0"/>
    <x v="2"/>
    <n v="975"/>
    <n v="224"/>
    <n v="206"/>
    <n v="0.91959999999999997"/>
    <n v="18"/>
    <d v="1899-12-30T00:00:20"/>
    <d v="1899-12-30T00:02:35"/>
    <d v="1899-12-30T00:02:26"/>
    <n v="0.70720000000000005"/>
    <d v="1899-12-30T08:52:10"/>
    <d v="1900-01-21T04:10:00"/>
    <d v="1899-12-30T09:38:40"/>
    <d v="1900-01-23T02:40:00"/>
  </r>
  <r>
    <d v="2022-09-02T00:00:00"/>
    <x v="2"/>
    <x v="8"/>
    <x v="1"/>
    <x v="2"/>
    <n v="976"/>
    <n v="170"/>
    <n v="160"/>
    <n v="0.94120000000000004"/>
    <n v="10"/>
    <d v="1899-12-30T00:00:28"/>
    <d v="1899-12-30T00:03:01"/>
    <d v="1899-12-30T00:05:10"/>
    <n v="0.62350000000000005"/>
    <d v="1899-12-30T08:02:40"/>
    <d v="1900-01-19T02:40:00"/>
    <d v="1899-12-30T08:32:50"/>
    <d v="1900-01-20T08:50:00"/>
  </r>
  <r>
    <d v="2022-09-03T00:00:00"/>
    <x v="3"/>
    <x v="8"/>
    <x v="2"/>
    <x v="2"/>
    <n v="977"/>
    <n v="161"/>
    <n v="149"/>
    <n v="0.92549999999999999"/>
    <n v="12"/>
    <d v="1899-12-30T00:00:24"/>
    <d v="1899-12-30T00:03:08"/>
    <d v="1899-12-30T00:02:34"/>
    <n v="0.68130000000000002"/>
    <d v="1899-12-30T07:46:52"/>
    <d v="1900-01-18T10:52:00"/>
    <d v="1899-12-30T08:24:28"/>
    <d v="1900-01-20T00:28:00"/>
  </r>
  <r>
    <d v="2022-09-04T00:00:00"/>
    <x v="4"/>
    <x v="8"/>
    <x v="3"/>
    <x v="2"/>
    <n v="978"/>
    <n v="37"/>
    <n v="35"/>
    <n v="0.94589999999999996"/>
    <n v="2"/>
    <d v="1899-12-30T00:00:12"/>
    <d v="1899-12-30T00:02:48"/>
    <d v="1899-12-30T00:01:03"/>
    <n v="0.80559999999999998"/>
    <d v="1899-12-30T01:38:00"/>
    <d v="1900-01-03T02:00:00"/>
    <d v="1899-12-30T01:43:36"/>
    <d v="1900-01-03T07:36:00"/>
  </r>
  <r>
    <d v="2022-09-05T00:00:00"/>
    <x v="5"/>
    <x v="8"/>
    <x v="4"/>
    <x v="2"/>
    <n v="979"/>
    <n v="183"/>
    <n v="169"/>
    <n v="0.92349999999999999"/>
    <n v="14"/>
    <d v="1899-12-30T00:00:32"/>
    <d v="1899-12-30T00:02:58"/>
    <d v="1899-12-30T00:04:28"/>
    <n v="0.59889999999999999"/>
    <d v="1899-12-30T08:21:22"/>
    <d v="1900-01-19T21:22:00"/>
    <d v="1899-12-30T09:02:54"/>
    <d v="1900-01-21T14:54:00"/>
  </r>
  <r>
    <d v="2022-09-06T00:00:00"/>
    <x v="6"/>
    <x v="8"/>
    <x v="5"/>
    <x v="2"/>
    <n v="980"/>
    <n v="221"/>
    <n v="206"/>
    <n v="0.93210000000000004"/>
    <n v="15"/>
    <d v="1899-12-30T00:00:30"/>
    <d v="1899-12-30T00:02:54"/>
    <d v="1899-12-30T00:04:23"/>
    <n v="0.58179999999999998"/>
    <d v="1899-12-30T09:57:24"/>
    <d v="1900-01-23T21:24:00"/>
    <d v="1899-12-30T10:40:54"/>
    <d v="1900-01-25T16:54:00"/>
  </r>
  <r>
    <d v="2022-09-07T00:00:00"/>
    <x v="0"/>
    <x v="8"/>
    <x v="6"/>
    <x v="2"/>
    <n v="981"/>
    <n v="202"/>
    <n v="193"/>
    <n v="0.95540000000000003"/>
    <n v="9"/>
    <d v="1899-12-30T00:00:18"/>
    <d v="1899-12-30T00:02:53"/>
    <d v="1899-12-30T00:02:48"/>
    <n v="0.75380000000000003"/>
    <d v="1899-12-30T09:16:29"/>
    <d v="1900-01-22T04:29:00"/>
    <d v="1899-12-30T09:42:26"/>
    <d v="1900-01-23T06:26:00"/>
  </r>
  <r>
    <d v="2022-09-08T00:00:00"/>
    <x v="1"/>
    <x v="8"/>
    <x v="7"/>
    <x v="2"/>
    <n v="982"/>
    <n v="193"/>
    <n v="163"/>
    <n v="0.84460000000000002"/>
    <n v="30"/>
    <d v="1899-12-30T00:00:36"/>
    <d v="1899-12-30T00:03:12"/>
    <d v="1899-12-30T00:05:12"/>
    <n v="0.53400000000000003"/>
    <d v="1899-12-30T08:41:36"/>
    <d v="1900-01-20T17:36:00"/>
    <d v="1899-12-30T10:17:36"/>
    <d v="1900-01-24T17:36:00"/>
  </r>
  <r>
    <d v="2022-09-09T00:00:00"/>
    <x v="2"/>
    <x v="8"/>
    <x v="8"/>
    <x v="2"/>
    <n v="983"/>
    <n v="201"/>
    <n v="196"/>
    <n v="0.97509999999999997"/>
    <n v="5"/>
    <d v="1899-12-30T00:00:10"/>
    <d v="1899-12-30T00:02:43"/>
    <d v="1899-12-30T00:02:32"/>
    <n v="0.89"/>
    <d v="1899-12-30T08:52:28"/>
    <d v="1900-01-21T04:28:00"/>
    <d v="1899-12-30T09:06:03"/>
    <d v="1900-01-21T18:03:00"/>
  </r>
  <r>
    <d v="2022-09-10T00:00:00"/>
    <x v="3"/>
    <x v="8"/>
    <x v="9"/>
    <x v="2"/>
    <n v="984"/>
    <n v="193"/>
    <n v="180"/>
    <n v="0.93259999999999998"/>
    <n v="13"/>
    <d v="1899-12-30T00:00:21"/>
    <d v="1899-12-30T00:02:42"/>
    <d v="1899-12-30T00:03:17"/>
    <n v="0.73160000000000003"/>
    <d v="1899-12-30T08:06:00"/>
    <d v="1900-01-19T06:00:00"/>
    <d v="1899-12-30T08:41:06"/>
    <d v="1900-01-20T17:06:00"/>
  </r>
  <r>
    <d v="2022-09-11T00:00:00"/>
    <x v="4"/>
    <x v="8"/>
    <x v="10"/>
    <x v="2"/>
    <n v="985"/>
    <n v="27"/>
    <n v="25"/>
    <n v="0.92589999999999995"/>
    <n v="2"/>
    <d v="1899-12-30T00:00:25"/>
    <d v="1899-12-30T00:02:03"/>
    <d v="1899-12-30T00:02:07"/>
    <n v="0.66669999999999996"/>
    <d v="1899-12-30T00:51:15"/>
    <d v="1900-01-01T03:15:00"/>
    <d v="1899-12-30T00:55:21"/>
    <d v="1900-01-01T07:21:00"/>
  </r>
  <r>
    <d v="2022-09-12T00:00:00"/>
    <x v="5"/>
    <x v="8"/>
    <x v="11"/>
    <x v="2"/>
    <n v="986"/>
    <n v="227"/>
    <n v="206"/>
    <n v="0.90749999999999997"/>
    <n v="21"/>
    <d v="1899-12-30T00:00:29"/>
    <d v="1899-12-30T00:03:01"/>
    <d v="1899-12-30T00:04:26"/>
    <n v="0.66669999999999996"/>
    <d v="1899-12-30T10:21:26"/>
    <d v="1900-01-24T21:26:00"/>
    <d v="1899-12-30T11:24:47"/>
    <d v="1900-01-27T12:47:00"/>
  </r>
  <r>
    <d v="2022-09-13T00:00:00"/>
    <x v="6"/>
    <x v="8"/>
    <x v="12"/>
    <x v="2"/>
    <n v="987"/>
    <n v="225"/>
    <n v="199"/>
    <n v="0.88439999999999996"/>
    <n v="26"/>
    <d v="1899-12-30T00:00:35"/>
    <d v="1899-12-30T00:02:58"/>
    <d v="1899-12-30T00:05:19"/>
    <n v="0.52680000000000005"/>
    <d v="1899-12-30T09:50:22"/>
    <d v="1900-01-23T14:22:00"/>
    <d v="1899-12-30T11:07:30"/>
    <d v="1900-01-26T19:30:00"/>
  </r>
  <r>
    <d v="2022-09-14T00:00:00"/>
    <x v="0"/>
    <x v="8"/>
    <x v="13"/>
    <x v="2"/>
    <n v="988"/>
    <n v="204"/>
    <n v="193"/>
    <n v="0.94610000000000005"/>
    <n v="11"/>
    <d v="1899-12-30T00:00:33"/>
    <d v="1899-12-30T00:02:39"/>
    <d v="1899-12-30T00:05:21"/>
    <n v="0.58819999999999995"/>
    <d v="1899-12-30T08:31:27"/>
    <d v="1900-01-20T07:27:00"/>
    <d v="1899-12-30T09:00:36"/>
    <d v="1900-01-21T12:36:00"/>
  </r>
  <r>
    <d v="2022-09-15T00:00:00"/>
    <x v="1"/>
    <x v="8"/>
    <x v="14"/>
    <x v="2"/>
    <n v="989"/>
    <n v="221"/>
    <n v="194"/>
    <n v="0.87780000000000002"/>
    <n v="27"/>
    <d v="1899-12-30T00:00:29"/>
    <d v="1899-12-30T00:02:48"/>
    <d v="1899-12-30T00:05:05"/>
    <n v="0.60729999999999995"/>
    <d v="1899-12-30T09:03:12"/>
    <d v="1900-01-21T15:12:00"/>
    <d v="1899-12-30T10:18:48"/>
    <d v="1900-01-24T18:48:00"/>
  </r>
  <r>
    <d v="2022-09-16T00:00:00"/>
    <x v="2"/>
    <x v="8"/>
    <x v="15"/>
    <x v="2"/>
    <n v="990"/>
    <n v="172"/>
    <n v="154"/>
    <n v="0.89529999999999998"/>
    <n v="18"/>
    <d v="1899-12-30T00:00:34"/>
    <d v="1899-12-30T00:03:09"/>
    <d v="1899-12-30T00:03:06"/>
    <n v="0.54169999999999996"/>
    <d v="1899-12-30T08:05:06"/>
    <d v="1900-01-19T05:06:00"/>
    <d v="1899-12-30T09:01:48"/>
    <d v="1900-01-21T13:48:00"/>
  </r>
  <r>
    <d v="2022-09-17T00:00:00"/>
    <x v="3"/>
    <x v="8"/>
    <x v="16"/>
    <x v="2"/>
    <n v="991"/>
    <n v="161"/>
    <n v="150"/>
    <n v="0.93169999999999997"/>
    <n v="11"/>
    <d v="1899-12-30T00:00:36"/>
    <d v="1899-12-30T00:02:51"/>
    <d v="1899-12-30T00:05:53"/>
    <n v="0.52800000000000002"/>
    <d v="1899-12-30T07:07:30"/>
    <d v="1900-01-16T19:30:00"/>
    <d v="1899-12-30T07:38:51"/>
    <d v="1900-01-18T02:51:00"/>
  </r>
  <r>
    <d v="2022-09-18T00:00:00"/>
    <x v="4"/>
    <x v="8"/>
    <x v="17"/>
    <x v="2"/>
    <n v="992"/>
    <n v="17"/>
    <n v="14"/>
    <n v="0.82350000000000001"/>
    <n v="3"/>
    <d v="1899-12-30T00:00:47"/>
    <d v="1899-12-30T00:03:08"/>
    <d v="1899-12-30T00:02:52"/>
    <n v="0.4118"/>
    <d v="1899-12-30T00:43:52"/>
    <d v="1899-12-31T19:52:00"/>
    <d v="1899-12-30T00:53:16"/>
    <d v="1900-01-01T05:16:00"/>
  </r>
  <r>
    <d v="2022-09-19T00:00:00"/>
    <x v="5"/>
    <x v="8"/>
    <x v="18"/>
    <x v="2"/>
    <n v="993"/>
    <n v="168"/>
    <n v="145"/>
    <n v="0.86309999999999998"/>
    <n v="23"/>
    <d v="1899-12-30T00:00:38"/>
    <d v="1899-12-30T00:02:57"/>
    <d v="1899-12-30T00:04:08"/>
    <n v="0.50609999999999999"/>
    <d v="1899-12-30T07:07:45"/>
    <d v="1900-01-16T19:45:00"/>
    <d v="1899-12-30T08:15:36"/>
    <d v="1900-01-19T15:36:00"/>
  </r>
  <r>
    <d v="2022-09-20T00:00:00"/>
    <x v="6"/>
    <x v="8"/>
    <x v="19"/>
    <x v="2"/>
    <n v="994"/>
    <n v="160"/>
    <n v="142"/>
    <n v="0.88749999999999996"/>
    <n v="18"/>
    <d v="1899-12-30T00:00:33"/>
    <d v="1899-12-30T00:02:44"/>
    <d v="1899-12-30T00:09:18"/>
    <n v="0.54139999999999999"/>
    <d v="1899-12-30T06:28:08"/>
    <d v="1900-01-15T04:08:00"/>
    <d v="1899-12-30T07:17:20"/>
    <d v="1900-01-17T05:20:00"/>
  </r>
  <r>
    <d v="2022-09-21T00:00:00"/>
    <x v="0"/>
    <x v="8"/>
    <x v="20"/>
    <x v="2"/>
    <n v="995"/>
    <n v="185"/>
    <n v="159"/>
    <n v="0.85950000000000004"/>
    <n v="26"/>
    <d v="1899-12-30T00:00:41"/>
    <d v="1899-12-30T00:02:56"/>
    <d v="1899-12-30T00:05:43"/>
    <n v="0.42699999999999999"/>
    <d v="1899-12-30T07:46:24"/>
    <d v="1900-01-18T10:24:00"/>
    <d v="1899-12-30T09:02:40"/>
    <d v="1900-01-21T14:40:00"/>
  </r>
  <r>
    <d v="2022-09-22T00:00:00"/>
    <x v="1"/>
    <x v="8"/>
    <x v="21"/>
    <x v="2"/>
    <n v="996"/>
    <n v="155"/>
    <n v="146"/>
    <n v="0.94189999999999996"/>
    <n v="9"/>
    <d v="1899-12-30T00:00:28"/>
    <d v="1899-12-30T00:02:49"/>
    <d v="1899-12-30T00:03:27"/>
    <n v="0.65159999999999996"/>
    <d v="1899-12-30T06:51:14"/>
    <d v="1900-01-16T03:14:00"/>
    <d v="1899-12-30T07:16:35"/>
    <d v="1900-01-17T04:35:00"/>
  </r>
  <r>
    <d v="2022-09-23T00:00:00"/>
    <x v="2"/>
    <x v="8"/>
    <x v="22"/>
    <x v="2"/>
    <n v="997"/>
    <n v="188"/>
    <n v="172"/>
    <n v="0.91490000000000005"/>
    <n v="16"/>
    <d v="1899-12-30T00:00:28"/>
    <d v="1899-12-30T00:02:39"/>
    <d v="1899-12-30T00:03:04"/>
    <n v="0.5978"/>
    <d v="1899-12-30T07:35:48"/>
    <d v="1900-01-17T23:48:00"/>
    <d v="1899-12-30T08:18:12"/>
    <d v="1900-01-19T18:12:00"/>
  </r>
  <r>
    <d v="2022-09-24T00:00:00"/>
    <x v="3"/>
    <x v="8"/>
    <x v="23"/>
    <x v="2"/>
    <n v="998"/>
    <n v="152"/>
    <n v="120"/>
    <n v="0.78949999999999998"/>
    <n v="32"/>
    <d v="1899-12-30T00:00:29"/>
    <d v="1899-12-30T00:02:54"/>
    <d v="1899-12-30T00:06:35"/>
    <n v="0.53059999999999996"/>
    <d v="1899-12-30T05:48:00"/>
    <d v="1900-01-13T12:00:00"/>
    <d v="1899-12-30T07:20:48"/>
    <d v="1900-01-17T08:48:00"/>
  </r>
  <r>
    <d v="2022-09-25T00:00:00"/>
    <x v="4"/>
    <x v="8"/>
    <x v="24"/>
    <x v="2"/>
    <n v="999"/>
    <n v="26"/>
    <n v="26"/>
    <n v="1"/>
    <n v="0"/>
    <d v="1899-12-30T00:00:17"/>
    <d v="1899-12-30T00:03:01"/>
    <d v="1899-12-30T00:01:18"/>
    <n v="0.80769999999999997"/>
    <d v="1899-12-30T01:18:26"/>
    <d v="1900-01-02T06:26:00"/>
    <d v="1899-12-30T01:18:26"/>
    <d v="1900-01-02T06:26:00"/>
  </r>
  <r>
    <d v="2022-09-26T00:00:00"/>
    <x v="5"/>
    <x v="8"/>
    <x v="25"/>
    <x v="2"/>
    <n v="1000"/>
    <n v="152"/>
    <n v="140"/>
    <n v="0.92110000000000003"/>
    <n v="12"/>
    <d v="1899-12-30T00:00:21"/>
    <d v="1899-12-30T00:02:58"/>
    <d v="1899-12-30T00:06:40"/>
    <n v="0.70669999999999999"/>
    <d v="1899-12-30T06:55:20"/>
    <d v="1900-01-16T07:20:00"/>
    <d v="1899-12-30T07:30:56"/>
    <d v="1900-01-17T18:56:00"/>
  </r>
  <r>
    <d v="2022-09-27T00:00:00"/>
    <x v="6"/>
    <x v="8"/>
    <x v="26"/>
    <x v="2"/>
    <n v="1001"/>
    <n v="130"/>
    <n v="125"/>
    <n v="0.96150000000000002"/>
    <n v="5"/>
    <d v="1899-12-30T00:00:08"/>
    <d v="1899-12-30T00:02:39"/>
    <d v="1899-12-30T00:01:02"/>
    <n v="0.92"/>
    <d v="1899-12-30T05:31:15"/>
    <d v="1900-01-12T19:15:00"/>
    <d v="1899-12-30T05:44:30"/>
    <d v="1900-01-13T08:30:00"/>
  </r>
  <r>
    <d v="2022-09-28T00:00:00"/>
    <x v="0"/>
    <x v="8"/>
    <x v="27"/>
    <x v="2"/>
    <n v="1002"/>
    <n v="191"/>
    <n v="187"/>
    <n v="0.97909999999999997"/>
    <n v="4"/>
    <d v="1899-12-30T00:00:18"/>
    <d v="1899-12-30T00:02:33"/>
    <d v="1899-12-30T00:02:53"/>
    <n v="0.83069999999999999"/>
    <d v="1899-12-30T07:56:51"/>
    <d v="1900-01-18T20:51:00"/>
    <d v="1899-12-30T08:07:03"/>
    <d v="1900-01-19T07:03:00"/>
  </r>
  <r>
    <d v="2022-09-29T00:00:00"/>
    <x v="1"/>
    <x v="8"/>
    <x v="28"/>
    <x v="2"/>
    <n v="1003"/>
    <n v="254"/>
    <n v="227"/>
    <n v="0.89370000000000005"/>
    <n v="27"/>
    <d v="1899-12-30T00:00:33"/>
    <d v="1899-12-30T00:02:57"/>
    <d v="1899-12-30T00:04:35"/>
    <n v="0.56569999999999998"/>
    <d v="1899-12-30T11:09:39"/>
    <d v="1900-01-26T21:39:00"/>
    <d v="1899-12-30T12:29:18"/>
    <d v="1900-01-30T05:18:00"/>
  </r>
  <r>
    <d v="2022-09-30T00:00:00"/>
    <x v="2"/>
    <x v="8"/>
    <x v="29"/>
    <x v="2"/>
    <n v="1004"/>
    <n v="213"/>
    <n v="188"/>
    <n v="0.88260000000000005"/>
    <n v="25"/>
    <d v="1899-12-30T00:00:30"/>
    <d v="1899-12-30T00:02:52"/>
    <d v="1899-12-30T00:05:10"/>
    <n v="0.54810000000000003"/>
    <d v="1899-12-30T08:58:56"/>
    <d v="1900-01-21T10:56:00"/>
    <d v="1899-12-30T10:10:36"/>
    <d v="1900-01-24T10:36:00"/>
  </r>
  <r>
    <d v="2022-10-01T00:00:00"/>
    <x v="3"/>
    <x v="9"/>
    <x v="0"/>
    <x v="2"/>
    <n v="1005"/>
    <n v="176"/>
    <n v="151"/>
    <n v="0.85799999999999998"/>
    <n v="25"/>
    <d v="1899-12-30T00:00:32"/>
    <d v="1899-12-30T00:02:45"/>
    <d v="1899-12-30T00:06:12"/>
    <n v="0.5575"/>
    <d v="1899-12-30T06:55:15"/>
    <d v="1900-01-16T07:15:00"/>
    <d v="1899-12-30T08:04:00"/>
    <d v="1900-01-19T04:00:00"/>
  </r>
  <r>
    <d v="2022-10-02T00:00:00"/>
    <x v="4"/>
    <x v="9"/>
    <x v="1"/>
    <x v="2"/>
    <n v="1006"/>
    <n v="61"/>
    <n v="59"/>
    <n v="0.96719999999999995"/>
    <n v="2"/>
    <d v="1899-12-30T00:00:16"/>
    <d v="1899-12-30T00:01:31"/>
    <d v="1899-12-30T00:03:06"/>
    <n v="0.80330000000000001"/>
    <d v="1899-12-30T01:29:29"/>
    <d v="1900-01-02T17:29:00"/>
    <d v="1899-12-30T01:32:31"/>
    <d v="1900-01-02T20:31:00"/>
  </r>
  <r>
    <d v="2022-10-03T00:00:00"/>
    <x v="5"/>
    <x v="9"/>
    <x v="2"/>
    <x v="2"/>
    <n v="1007"/>
    <n v="166"/>
    <n v="154"/>
    <n v="0.92769999999999997"/>
    <n v="12"/>
    <d v="1899-12-30T00:00:28"/>
    <d v="1899-12-30T00:02:56"/>
    <d v="1899-12-30T00:03:16"/>
    <n v="0.61819999999999997"/>
    <d v="1899-12-30T07:31:44"/>
    <d v="1900-01-17T19:44:00"/>
    <d v="1899-12-30T08:06:56"/>
    <d v="1900-01-19T06:56:00"/>
  </r>
  <r>
    <d v="2022-10-04T00:00:00"/>
    <x v="6"/>
    <x v="9"/>
    <x v="3"/>
    <x v="2"/>
    <n v="1008"/>
    <n v="191"/>
    <n v="172"/>
    <n v="0.90049999999999997"/>
    <n v="19"/>
    <d v="1899-12-30T00:00:21"/>
    <d v="1899-12-30T00:02:40"/>
    <d v="1899-12-30T00:03:23"/>
    <n v="0.73770000000000002"/>
    <d v="1899-12-30T07:38:40"/>
    <d v="1900-01-18T02:40:00"/>
    <d v="1899-12-30T08:29:20"/>
    <d v="1900-01-20T05:20:00"/>
  </r>
  <r>
    <d v="2022-10-05T00:00:00"/>
    <x v="0"/>
    <x v="9"/>
    <x v="4"/>
    <x v="2"/>
    <n v="1009"/>
    <n v="171"/>
    <n v="157"/>
    <n v="0.91810000000000003"/>
    <n v="14"/>
    <d v="1899-12-30T00:00:19"/>
    <d v="1899-12-30T00:02:34"/>
    <d v="1899-12-30T00:02:07"/>
    <n v="0.72619999999999996"/>
    <d v="1899-12-30T06:42:58"/>
    <d v="1900-01-15T18:58:00"/>
    <d v="1899-12-30T07:18:54"/>
    <d v="1900-01-17T06:54:00"/>
  </r>
  <r>
    <d v="2022-10-06T00:00:00"/>
    <x v="1"/>
    <x v="9"/>
    <x v="5"/>
    <x v="2"/>
    <n v="1010"/>
    <n v="153"/>
    <n v="124"/>
    <n v="0.8105"/>
    <n v="29"/>
    <d v="1899-12-30T00:00:50"/>
    <d v="1899-12-30T00:03:04"/>
    <d v="1899-12-30T00:06:01"/>
    <n v="0.45329999999999998"/>
    <d v="1899-12-30T06:20:16"/>
    <d v="1900-01-14T20:16:00"/>
    <d v="1899-12-30T07:49:12"/>
    <d v="1900-01-18T13:12:00"/>
  </r>
  <r>
    <d v="2022-10-07T00:00:00"/>
    <x v="2"/>
    <x v="9"/>
    <x v="6"/>
    <x v="2"/>
    <n v="1011"/>
    <n v="183"/>
    <n v="158"/>
    <n v="0.86339999999999995"/>
    <n v="25"/>
    <d v="1899-12-30T00:00:33"/>
    <d v="1899-12-30T00:02:52"/>
    <d v="1899-12-30T00:05:10"/>
    <n v="0.51910000000000001"/>
    <d v="1899-12-30T07:32:56"/>
    <d v="1900-01-17T20:56:00"/>
    <d v="1899-12-30T08:44:36"/>
    <d v="1900-01-20T20:36:00"/>
  </r>
  <r>
    <d v="2022-10-08T00:00:00"/>
    <x v="3"/>
    <x v="9"/>
    <x v="7"/>
    <x v="2"/>
    <n v="1012"/>
    <n v="14"/>
    <n v="14"/>
    <n v="1"/>
    <n v="0"/>
    <d v="1899-12-30T00:00:15"/>
    <d v="1899-12-30T00:03:43"/>
    <d v="1899-12-30T00:01:32"/>
    <n v="0.85709999999999997"/>
    <d v="1899-12-30T00:52:02"/>
    <d v="1900-01-01T04:02:00"/>
    <d v="1899-12-30T00:52:02"/>
    <d v="1900-01-01T04:02:00"/>
  </r>
  <r>
    <d v="2022-10-09T00:00:00"/>
    <x v="4"/>
    <x v="9"/>
    <x v="8"/>
    <x v="2"/>
    <n v="1013"/>
    <n v="18"/>
    <n v="18"/>
    <n v="1"/>
    <n v="0"/>
    <d v="1899-12-30T00:00:03"/>
    <d v="1899-12-30T00:02:56"/>
    <d v="1899-12-30T00:00:06"/>
    <n v="1"/>
    <d v="1899-12-30T00:52:48"/>
    <d v="1900-01-01T04:48:00"/>
    <d v="1899-12-30T00:52:48"/>
    <d v="1900-01-01T04:48:00"/>
  </r>
  <r>
    <d v="2022-10-10T00:00:00"/>
    <x v="5"/>
    <x v="9"/>
    <x v="9"/>
    <x v="2"/>
    <n v="1014"/>
    <n v="159"/>
    <n v="148"/>
    <n v="0.93079999999999996"/>
    <n v="11"/>
    <d v="1899-12-30T00:00:22"/>
    <d v="1899-12-30T00:02:36"/>
    <d v="1899-12-30T00:03:15"/>
    <n v="0.69430000000000003"/>
    <d v="1899-12-30T06:24:48"/>
    <d v="1900-01-15T00:48:00"/>
    <d v="1899-12-30T06:53:24"/>
    <d v="1900-01-16T05:24:00"/>
  </r>
  <r>
    <d v="2022-10-11T00:00:00"/>
    <x v="6"/>
    <x v="9"/>
    <x v="10"/>
    <x v="2"/>
    <n v="1015"/>
    <n v="143"/>
    <n v="134"/>
    <n v="0.93710000000000004"/>
    <n v="9"/>
    <d v="1899-12-30T00:00:22"/>
    <d v="1899-12-30T00:02:51"/>
    <d v="1899-12-30T00:05:10"/>
    <n v="0.74099999999999999"/>
    <d v="1899-12-30T06:21:54"/>
    <d v="1900-01-14T21:54:00"/>
    <d v="1899-12-30T06:47:33"/>
    <d v="1900-01-15T23:33:00"/>
  </r>
  <r>
    <d v="2022-10-12T00:00:00"/>
    <x v="0"/>
    <x v="9"/>
    <x v="11"/>
    <x v="2"/>
    <n v="1016"/>
    <n v="195"/>
    <n v="175"/>
    <n v="0.89739999999999998"/>
    <n v="20"/>
    <d v="1899-12-30T00:00:29"/>
    <d v="1899-12-30T00:02:47"/>
    <d v="1899-12-30T00:04:11"/>
    <n v="0.61580000000000001"/>
    <d v="1899-12-30T08:07:05"/>
    <d v="1900-01-19T07:05:00"/>
    <d v="1899-12-30T09:02:45"/>
    <d v="1900-01-21T14:45:00"/>
  </r>
  <r>
    <d v="2022-10-13T00:00:00"/>
    <x v="1"/>
    <x v="9"/>
    <x v="12"/>
    <x v="2"/>
    <n v="1017"/>
    <n v="194"/>
    <n v="150"/>
    <n v="0.7732"/>
    <n v="44"/>
    <d v="1899-12-30T00:00:37"/>
    <d v="1899-12-30T00:02:47"/>
    <d v="1899-12-30T00:04:17"/>
    <n v="0.47339999999999999"/>
    <d v="1899-12-30T06:57:30"/>
    <d v="1900-01-16T09:30:00"/>
    <d v="1899-12-30T08:59:58"/>
    <d v="1900-01-21T11:58:00"/>
  </r>
  <r>
    <d v="2022-10-14T00:00:00"/>
    <x v="2"/>
    <x v="9"/>
    <x v="13"/>
    <x v="2"/>
    <n v="1018"/>
    <n v="390"/>
    <n v="362"/>
    <n v="0.92820000000000003"/>
    <n v="28"/>
    <d v="1899-12-30T00:00:31"/>
    <d v="1899-12-30T00:02:50"/>
    <d v="1899-12-30T00:05:46"/>
    <n v="0.5948"/>
    <d v="1899-12-30T17:05:40"/>
    <d v="1900-02-10T17:40:00"/>
    <d v="1899-12-30T18:25:00"/>
    <d v="1900-02-14T01:00:00"/>
  </r>
  <r>
    <d v="2022-10-15T00:00:00"/>
    <x v="3"/>
    <x v="9"/>
    <x v="14"/>
    <x v="2"/>
    <n v="1019"/>
    <n v="238"/>
    <n v="205"/>
    <n v="0.86129999999999995"/>
    <n v="33"/>
    <d v="1899-12-30T00:00:29"/>
    <d v="1899-12-30T00:02:18"/>
    <d v="1899-12-30T00:05:10"/>
    <n v="0.60870000000000002"/>
    <d v="1899-12-30T07:51:30"/>
    <d v="1900-01-18T15:30:00"/>
    <d v="1899-12-30T09:07:24"/>
    <d v="1900-01-21T19:24:00"/>
  </r>
  <r>
    <d v="2022-10-16T00:00:00"/>
    <x v="4"/>
    <x v="9"/>
    <x v="15"/>
    <x v="2"/>
    <n v="1020"/>
    <n v="29"/>
    <n v="28"/>
    <n v="0.96550000000000002"/>
    <n v="1"/>
    <d v="1899-12-30T00:00:09"/>
    <d v="1899-12-30T00:02:28"/>
    <d v="1899-12-30T00:01:05"/>
    <n v="0.89290000000000003"/>
    <d v="1899-12-30T01:09:04"/>
    <d v="1900-01-01T21:04:00"/>
    <d v="1899-12-30T01:11:32"/>
    <d v="1900-01-01T23:32:00"/>
  </r>
  <r>
    <d v="2022-10-17T00:00:00"/>
    <x v="5"/>
    <x v="9"/>
    <x v="16"/>
    <x v="2"/>
    <n v="1021"/>
    <n v="30"/>
    <n v="29"/>
    <n v="0.9667"/>
    <n v="1"/>
    <d v="1899-12-30T00:00:19"/>
    <d v="1899-12-30T00:02:30"/>
    <d v="1899-12-30T00:02:31"/>
    <n v="0.83330000000000004"/>
    <d v="1899-12-30T01:12:30"/>
    <d v="1900-01-02T00:30:00"/>
    <d v="1899-12-30T01:15:00"/>
    <d v="1900-01-02T03:00:00"/>
  </r>
  <r>
    <d v="2022-10-18T00:00:00"/>
    <x v="6"/>
    <x v="9"/>
    <x v="17"/>
    <x v="2"/>
    <n v="1022"/>
    <n v="287"/>
    <n v="273"/>
    <n v="0.95120000000000005"/>
    <n v="14"/>
    <d v="1899-12-30T00:00:16"/>
    <d v="1899-12-30T00:02:20"/>
    <d v="1899-12-30T00:03:06"/>
    <n v="0.79"/>
    <d v="1899-12-30T10:37:00"/>
    <d v="1900-01-25T13:00:00"/>
    <d v="1899-12-30T11:09:40"/>
    <d v="1900-01-26T21:40:00"/>
  </r>
  <r>
    <d v="2022-10-19T00:00:00"/>
    <x v="0"/>
    <x v="9"/>
    <x v="18"/>
    <x v="2"/>
    <n v="1023"/>
    <n v="474"/>
    <n v="380"/>
    <n v="0.80169999999999997"/>
    <n v="94"/>
    <d v="1899-12-30T00:00:39"/>
    <d v="1899-12-30T00:02:08"/>
    <d v="1899-12-30T00:07:58"/>
    <n v="0.47420000000000001"/>
    <d v="1899-12-30T13:30:40"/>
    <d v="1900-02-01T18:40:00"/>
    <d v="1899-12-30T16:51:12"/>
    <d v="1900-02-10T03:12:00"/>
  </r>
  <r>
    <d v="2022-10-20T00:00:00"/>
    <x v="1"/>
    <x v="9"/>
    <x v="19"/>
    <x v="2"/>
    <n v="1024"/>
    <n v="277"/>
    <n v="230"/>
    <n v="0.83030000000000004"/>
    <n v="47"/>
    <d v="1899-12-30T00:00:40"/>
    <d v="1899-12-30T00:02:52"/>
    <d v="1899-12-30T00:06:13"/>
    <n v="0.46179999999999999"/>
    <d v="1899-12-30T10:59:20"/>
    <d v="1900-01-26T11:20:00"/>
    <d v="1899-12-30T13:14:04"/>
    <d v="1900-02-01T02:04:00"/>
  </r>
  <r>
    <d v="2022-10-21T00:00:00"/>
    <x v="2"/>
    <x v="9"/>
    <x v="20"/>
    <x v="2"/>
    <n v="1025"/>
    <n v="173"/>
    <n v="163"/>
    <n v="0.94220000000000004"/>
    <n v="10"/>
    <d v="1899-12-30T00:00:17"/>
    <d v="1899-12-30T00:02:46"/>
    <d v="1899-12-30T00:02:44"/>
    <n v="0.77190000000000003"/>
    <d v="1899-12-30T07:30:58"/>
    <d v="1900-01-17T18:58:00"/>
    <d v="1899-12-30T07:58:38"/>
    <d v="1900-01-18T22:38:00"/>
  </r>
  <r>
    <d v="2022-10-22T00:00:00"/>
    <x v="3"/>
    <x v="9"/>
    <x v="21"/>
    <x v="2"/>
    <n v="1026"/>
    <n v="167"/>
    <n v="152"/>
    <n v="0.91020000000000001"/>
    <n v="15"/>
    <d v="1899-12-30T00:00:13"/>
    <d v="1899-12-30T00:02:37"/>
    <d v="1899-12-30T00:05:10"/>
    <n v="0.84150000000000003"/>
    <d v="1899-12-30T06:37:44"/>
    <d v="1900-01-15T13:44:00"/>
    <d v="1899-12-30T07:16:59"/>
    <d v="1900-01-17T04:59:00"/>
  </r>
  <r>
    <d v="2022-10-23T00:00:00"/>
    <x v="4"/>
    <x v="9"/>
    <x v="22"/>
    <x v="2"/>
    <n v="1027"/>
    <n v="27"/>
    <n v="24"/>
    <n v="0.88890000000000002"/>
    <n v="3"/>
    <d v="1899-12-30T00:00:20"/>
    <d v="1899-12-30T00:02:05"/>
    <d v="1899-12-30T00:03:43"/>
    <n v="0.76919999999999999"/>
    <d v="1899-12-30T00:50:00"/>
    <d v="1900-01-01T02:00:00"/>
    <d v="1899-12-30T00:56:15"/>
    <d v="1900-01-01T08:15:00"/>
  </r>
  <r>
    <d v="2022-10-24T00:00:00"/>
    <x v="5"/>
    <x v="9"/>
    <x v="23"/>
    <x v="2"/>
    <n v="1028"/>
    <n v="173"/>
    <n v="153"/>
    <n v="0.88439999999999996"/>
    <n v="20"/>
    <d v="1899-12-30T00:00:29"/>
    <d v="1899-12-30T00:02:46"/>
    <d v="1899-12-30T00:03:06"/>
    <n v="0.57989999999999997"/>
    <d v="1899-12-30T07:03:18"/>
    <d v="1900-01-16T15:18:00"/>
    <d v="1899-12-30T07:58:38"/>
    <d v="1900-01-18T22:38:00"/>
  </r>
  <r>
    <d v="2022-10-25T00:00:00"/>
    <x v="6"/>
    <x v="9"/>
    <x v="24"/>
    <x v="2"/>
    <n v="1029"/>
    <n v="36"/>
    <n v="27"/>
    <n v="0.75"/>
    <n v="9"/>
    <d v="1899-12-30T00:00:36"/>
    <d v="1899-12-30T00:02:55"/>
    <d v="1899-12-30T00:03:57"/>
    <n v="0.41670000000000001"/>
    <d v="1899-12-30T01:18:45"/>
    <d v="1900-01-02T06:45:00"/>
    <d v="1899-12-30T01:45:00"/>
    <d v="1900-01-03T09:00:00"/>
  </r>
  <r>
    <d v="2022-10-26T00:00:00"/>
    <x v="0"/>
    <x v="9"/>
    <x v="25"/>
    <x v="2"/>
    <n v="1030"/>
    <n v="186"/>
    <n v="171"/>
    <n v="0.9194"/>
    <n v="15"/>
    <d v="1899-12-30T00:00:27"/>
    <d v="1899-12-30T00:02:49"/>
    <d v="1899-12-30T00:03:28"/>
    <n v="0.64480000000000004"/>
    <d v="1899-12-30T08:01:39"/>
    <d v="1900-01-19T01:39:00"/>
    <d v="1899-12-30T08:43:54"/>
    <d v="1900-01-20T19:54:00"/>
  </r>
  <r>
    <d v="2022-10-27T00:00:00"/>
    <x v="1"/>
    <x v="9"/>
    <x v="26"/>
    <x v="2"/>
    <n v="1031"/>
    <n v="160"/>
    <n v="149"/>
    <n v="0.93130000000000002"/>
    <n v="11"/>
    <d v="1899-12-30T00:00:23"/>
    <d v="1899-12-30T00:02:47"/>
    <d v="1899-12-30T00:04:52"/>
    <n v="0.74050000000000005"/>
    <d v="1899-12-30T06:54:43"/>
    <d v="1900-01-16T06:43:00"/>
    <d v="1899-12-30T07:25:20"/>
    <d v="1900-01-17T13:20:00"/>
  </r>
  <r>
    <d v="2022-10-28T00:00:00"/>
    <x v="2"/>
    <x v="9"/>
    <x v="27"/>
    <x v="2"/>
    <n v="1032"/>
    <n v="233"/>
    <n v="215"/>
    <n v="0.92269999999999996"/>
    <n v="18"/>
    <d v="1899-12-30T00:00:22"/>
    <d v="1899-12-30T00:02:34"/>
    <d v="1899-12-30T00:08:08"/>
    <n v="0.74119999999999997"/>
    <d v="1899-12-30T09:11:50"/>
    <d v="1900-01-21T23:50:00"/>
    <d v="1899-12-30T09:58:02"/>
    <d v="1900-01-23T22:02:00"/>
  </r>
  <r>
    <d v="2022-10-29T00:00:00"/>
    <x v="3"/>
    <x v="9"/>
    <x v="28"/>
    <x v="2"/>
    <n v="1033"/>
    <n v="162"/>
    <n v="157"/>
    <n v="0.96909999999999996"/>
    <n v="5"/>
    <d v="1899-12-30T00:00:13"/>
    <d v="1899-12-30T00:02:32"/>
    <d v="1899-12-30T00:05:10"/>
    <n v="0.82720000000000005"/>
    <d v="1899-12-30T06:37:44"/>
    <d v="1900-01-15T13:44:00"/>
    <d v="1899-12-30T06:50:24"/>
    <d v="1900-01-16T02:24:00"/>
  </r>
  <r>
    <d v="2022-10-30T00:00:00"/>
    <x v="4"/>
    <x v="9"/>
    <x v="29"/>
    <x v="2"/>
    <n v="1034"/>
    <n v="27"/>
    <n v="24"/>
    <n v="0.88890000000000002"/>
    <n v="3"/>
    <d v="1899-12-30T00:00:18"/>
    <d v="1899-12-30T00:02:10"/>
    <d v="1899-12-30T00:03:51"/>
    <n v="0.70369999999999999"/>
    <d v="1899-12-30T00:52:00"/>
    <d v="1900-01-01T04:00:00"/>
    <d v="1899-12-30T00:58:30"/>
    <d v="1900-01-01T10:30:00"/>
  </r>
  <r>
    <d v="2022-10-31T00:00:00"/>
    <x v="5"/>
    <x v="9"/>
    <x v="30"/>
    <x v="2"/>
    <n v="1035"/>
    <n v="168"/>
    <n v="155"/>
    <n v="0.92259999999999998"/>
    <n v="13"/>
    <d v="1899-12-30T00:00:26"/>
    <d v="1899-12-30T00:03:18"/>
    <d v="1899-12-30T00:03:08"/>
    <n v="0.64880000000000004"/>
    <d v="1899-12-30T08:31:30"/>
    <d v="1900-01-20T07:30:00"/>
    <d v="1899-12-30T09:14:24"/>
    <d v="1900-01-22T02:24:00"/>
  </r>
  <r>
    <d v="2022-11-01T00:00:00"/>
    <x v="6"/>
    <x v="10"/>
    <x v="0"/>
    <x v="2"/>
    <n v="1036"/>
    <n v="328"/>
    <n v="301"/>
    <n v="0.91769999999999996"/>
    <n v="27"/>
    <d v="1899-12-30T00:00:23"/>
    <d v="1899-12-30T00:02:29"/>
    <d v="1899-12-30T00:06:59"/>
    <n v="0.67910000000000004"/>
    <d v="1899-12-30T12:27:29"/>
    <d v="1900-01-30T03:29:00"/>
    <d v="1899-12-30T13:34:32"/>
    <d v="1900-02-01T22:32:00"/>
  </r>
  <r>
    <d v="2022-11-02T00:00:00"/>
    <x v="0"/>
    <x v="10"/>
    <x v="1"/>
    <x v="2"/>
    <n v="1037"/>
    <n v="234"/>
    <n v="208"/>
    <n v="0.88890000000000002"/>
    <n v="26"/>
    <d v="1899-12-30T00:00:20"/>
    <d v="1899-12-30T00:02:44"/>
    <d v="1899-12-30T00:05:18"/>
    <n v="0.72250000000000003"/>
    <d v="1899-12-30T09:28:32"/>
    <d v="1900-01-22T16:32:00"/>
    <d v="1899-12-30T10:39:36"/>
    <d v="1900-01-25T15:36:00"/>
  </r>
  <r>
    <d v="2022-11-03T00:00:00"/>
    <x v="1"/>
    <x v="10"/>
    <x v="2"/>
    <x v="2"/>
    <n v="1038"/>
    <n v="37"/>
    <n v="34"/>
    <n v="0.91890000000000005"/>
    <n v="3"/>
    <d v="1899-12-30T00:00:14"/>
    <d v="1899-12-30T00:02:16"/>
    <d v="1899-12-30T00:03:44"/>
    <n v="0.83779999999999999"/>
    <d v="1899-12-30T01:17:04"/>
    <d v="1900-01-02T05:04:00"/>
    <d v="1899-12-30T01:23:52"/>
    <d v="1900-01-02T11:52:00"/>
  </r>
  <r>
    <d v="2022-11-04T00:00:00"/>
    <x v="2"/>
    <x v="10"/>
    <x v="3"/>
    <x v="2"/>
    <n v="1039"/>
    <n v="185"/>
    <n v="167"/>
    <n v="0.90269999999999995"/>
    <n v="18"/>
    <d v="1899-12-30T00:00:18"/>
    <d v="1899-12-30T00:02:43"/>
    <d v="1899-12-30T00:06:12"/>
    <n v="0.73509999999999998"/>
    <d v="1899-12-30T07:33:41"/>
    <d v="1900-01-17T21:41:00"/>
    <d v="1899-12-30T08:22:35"/>
    <d v="1900-01-19T22:35:00"/>
  </r>
  <r>
    <d v="2022-11-05T00:00:00"/>
    <x v="3"/>
    <x v="10"/>
    <x v="4"/>
    <x v="2"/>
    <n v="1040"/>
    <n v="139"/>
    <n v="132"/>
    <n v="0.9496"/>
    <n v="7"/>
    <d v="1899-12-30T00:00:10"/>
    <d v="1899-12-30T00:02:57"/>
    <d v="1899-12-30T00:03:28"/>
    <n v="0.88319999999999999"/>
    <d v="1899-12-30T06:29:24"/>
    <d v="1900-01-15T05:24:00"/>
    <d v="1899-12-30T06:50:03"/>
    <d v="1900-01-16T02:03:00"/>
  </r>
  <r>
    <d v="2022-11-06T00:00:00"/>
    <x v="4"/>
    <x v="10"/>
    <x v="5"/>
    <x v="2"/>
    <n v="1041"/>
    <n v="13"/>
    <n v="11"/>
    <n v="0.84619999999999995"/>
    <n v="2"/>
    <d v="1899-12-30T00:00:46"/>
    <d v="1899-12-30T00:02:07"/>
    <d v="1899-12-30T00:02:35"/>
    <n v="0.41670000000000001"/>
    <d v="1899-12-30T00:23:17"/>
    <d v="1899-12-30T23:17:00"/>
    <d v="1899-12-30T00:27:31"/>
    <d v="1899-12-31T03:31:00"/>
  </r>
  <r>
    <d v="2022-11-07T00:00:00"/>
    <x v="5"/>
    <x v="10"/>
    <x v="6"/>
    <x v="2"/>
    <n v="1042"/>
    <n v="161"/>
    <n v="152"/>
    <n v="0.94410000000000005"/>
    <n v="9"/>
    <d v="1899-12-30T00:00:23"/>
    <d v="1899-12-30T00:02:28"/>
    <d v="1899-12-30T00:02:52"/>
    <n v="0.69620000000000004"/>
    <d v="1899-12-30T06:14:56"/>
    <d v="1900-01-14T14:56:00"/>
    <d v="1899-12-30T06:37:08"/>
    <d v="1900-01-15T13:08:00"/>
  </r>
  <r>
    <d v="2022-11-08T00:00:00"/>
    <x v="6"/>
    <x v="10"/>
    <x v="7"/>
    <x v="2"/>
    <n v="1043"/>
    <n v="149"/>
    <n v="144"/>
    <n v="0.96640000000000004"/>
    <n v="5"/>
    <d v="1899-12-30T00:00:15"/>
    <d v="1899-12-30T00:02:46"/>
    <d v="1899-12-30T00:03:01"/>
    <n v="0.83109999999999995"/>
    <d v="1899-12-30T06:38:24"/>
    <d v="1900-01-15T14:24:00"/>
    <d v="1899-12-30T06:52:14"/>
    <d v="1900-01-16T04:14:00"/>
  </r>
  <r>
    <d v="2022-11-09T00:00:00"/>
    <x v="0"/>
    <x v="10"/>
    <x v="8"/>
    <x v="2"/>
    <n v="1044"/>
    <n v="178"/>
    <n v="167"/>
    <n v="0.93820000000000003"/>
    <n v="11"/>
    <d v="1899-12-30T00:00:22"/>
    <d v="1899-12-30T00:02:42"/>
    <d v="1899-12-30T00:05:24"/>
    <n v="0.74860000000000004"/>
    <d v="1899-12-30T07:30:54"/>
    <d v="1900-01-17T18:54:00"/>
    <d v="1899-12-30T08:00:36"/>
    <d v="1900-01-19T00:36:00"/>
  </r>
  <r>
    <d v="2022-11-10T00:00:00"/>
    <x v="1"/>
    <x v="10"/>
    <x v="9"/>
    <x v="2"/>
    <n v="1045"/>
    <n v="224"/>
    <n v="210"/>
    <n v="0.9375"/>
    <n v="14"/>
    <d v="1899-12-30T00:00:21"/>
    <d v="1899-12-30T00:03:00"/>
    <d v="1899-12-30T00:04:47"/>
    <n v="0.72519999999999996"/>
    <d v="1899-12-30T10:30:00"/>
    <d v="1900-01-25T06:00:00"/>
    <d v="1899-12-30T11:12:00"/>
    <d v="1900-01-27T00:00:00"/>
  </r>
  <r>
    <d v="2022-11-11T00:00:00"/>
    <x v="2"/>
    <x v="10"/>
    <x v="10"/>
    <x v="2"/>
    <n v="1046"/>
    <n v="277"/>
    <n v="273"/>
    <n v="0.98560000000000003"/>
    <n v="4"/>
    <d v="1899-12-30T00:00:10"/>
    <d v="1899-12-30T00:02:00"/>
    <d v="1899-12-30T00:02:03"/>
    <n v="0.89739999999999998"/>
    <d v="1899-12-30T09:06:00"/>
    <d v="1900-01-21T18:00:00"/>
    <d v="1899-12-30T09:14:00"/>
    <d v="1900-01-22T02:00:00"/>
  </r>
  <r>
    <d v="2022-11-12T00:00:00"/>
    <x v="3"/>
    <x v="10"/>
    <x v="11"/>
    <x v="2"/>
    <n v="1047"/>
    <n v="188"/>
    <n v="172"/>
    <n v="0.91490000000000005"/>
    <n v="16"/>
    <d v="1899-12-30T00:00:20"/>
    <d v="1899-12-30T00:02:41"/>
    <d v="1899-12-30T00:03:36"/>
    <n v="0.72189999999999999"/>
    <d v="1899-12-30T07:41:32"/>
    <d v="1900-01-18T05:32:00"/>
    <d v="1899-12-30T08:24:28"/>
    <d v="1900-01-20T00:28:00"/>
  </r>
  <r>
    <d v="2022-11-13T00:00:00"/>
    <x v="4"/>
    <x v="10"/>
    <x v="12"/>
    <x v="2"/>
    <n v="1048"/>
    <n v="26"/>
    <n v="22"/>
    <n v="0.84619999999999995"/>
    <n v="4"/>
    <d v="1899-12-30T00:00:34"/>
    <d v="1899-12-30T00:02:23"/>
    <d v="1899-12-30T00:06:18"/>
    <n v="0.68"/>
    <d v="1899-12-30T00:52:26"/>
    <d v="1900-01-01T04:26:00"/>
    <d v="1899-12-30T01:01:58"/>
    <d v="1900-01-01T13:58:00"/>
  </r>
  <r>
    <d v="2022-11-14T00:00:00"/>
    <x v="5"/>
    <x v="10"/>
    <x v="13"/>
    <x v="2"/>
    <n v="1049"/>
    <n v="177"/>
    <n v="167"/>
    <n v="0.94350000000000001"/>
    <n v="10"/>
    <d v="1899-12-30T00:00:35"/>
    <d v="1899-12-30T00:02:56"/>
    <d v="1899-12-30T00:03:15"/>
    <n v="0.5625"/>
    <d v="1899-12-30T08:09:52"/>
    <d v="1900-01-19T09:52:00"/>
    <d v="1899-12-30T08:39:12"/>
    <d v="1900-01-20T15:12:00"/>
  </r>
  <r>
    <d v="2022-11-15T00:00:00"/>
    <x v="6"/>
    <x v="10"/>
    <x v="14"/>
    <x v="2"/>
    <n v="1050"/>
    <n v="149"/>
    <n v="144"/>
    <n v="0.96640000000000004"/>
    <n v="5"/>
    <d v="1899-12-30T00:00:28"/>
    <d v="1899-12-30T00:02:47"/>
    <d v="1899-12-30T00:03:48"/>
    <n v="0.66220000000000001"/>
    <d v="1899-12-30T06:40:48"/>
    <d v="1900-01-15T16:48:00"/>
    <d v="1899-12-30T06:54:43"/>
    <d v="1900-01-16T06:43:00"/>
  </r>
  <r>
    <d v="2022-11-16T00:00:00"/>
    <x v="0"/>
    <x v="10"/>
    <x v="15"/>
    <x v="2"/>
    <n v="1051"/>
    <n v="147"/>
    <n v="147"/>
    <n v="1"/>
    <n v="0"/>
    <d v="1899-12-30T00:00:11"/>
    <d v="1899-12-30T00:02:51"/>
    <d v="1899-12-30T00:02:03"/>
    <n v="0.85709999999999997"/>
    <d v="1899-12-30T06:58:57"/>
    <d v="1900-01-16T10:57:00"/>
    <d v="1899-12-30T06:58:57"/>
    <d v="1900-01-16T10:57:00"/>
  </r>
  <r>
    <d v="2022-11-17T00:00:00"/>
    <x v="1"/>
    <x v="10"/>
    <x v="16"/>
    <x v="2"/>
    <n v="1052"/>
    <n v="140"/>
    <n v="134"/>
    <n v="0.95709999999999995"/>
    <n v="6"/>
    <d v="1899-12-30T00:00:19"/>
    <d v="1899-12-30T00:02:44"/>
    <d v="1899-12-30T00:08:19"/>
    <n v="0.78569999999999995"/>
    <d v="1899-12-30T06:06:16"/>
    <d v="1900-01-14T06:16:00"/>
    <d v="1899-12-30T06:22:40"/>
    <d v="1900-01-14T22:40:00"/>
  </r>
  <r>
    <d v="2022-11-18T00:00:00"/>
    <x v="2"/>
    <x v="10"/>
    <x v="17"/>
    <x v="2"/>
    <n v="1053"/>
    <n v="177"/>
    <n v="163"/>
    <n v="0.92090000000000005"/>
    <n v="14"/>
    <d v="1899-12-30T00:00:19"/>
    <d v="1899-12-30T00:02:35"/>
    <d v="1899-12-30T00:07:16"/>
    <n v="0.7571"/>
    <d v="1899-12-30T07:01:05"/>
    <d v="1900-01-16T13:05:00"/>
    <d v="1899-12-30T07:37:15"/>
    <d v="1900-01-18T01:15:00"/>
  </r>
  <r>
    <d v="2022-11-19T00:00:00"/>
    <x v="3"/>
    <x v="10"/>
    <x v="18"/>
    <x v="2"/>
    <n v="1054"/>
    <n v="169"/>
    <n v="169"/>
    <n v="1"/>
    <n v="0"/>
    <d v="1899-12-30T00:00:09"/>
    <d v="1899-12-30T00:02:45"/>
    <d v="1899-12-30T00:01:05"/>
    <n v="0.89939999999999998"/>
    <d v="1899-12-30T07:44:45"/>
    <d v="1900-01-18T08:45:00"/>
    <d v="1899-12-30T07:44:45"/>
    <d v="1900-01-18T08:45:00"/>
  </r>
  <r>
    <d v="2022-11-20T00:00:00"/>
    <x v="4"/>
    <x v="10"/>
    <x v="19"/>
    <x v="2"/>
    <n v="1055"/>
    <n v="26"/>
    <n v="21"/>
    <n v="0.80769999999999997"/>
    <n v="5"/>
    <d v="1899-12-30T00:00:27"/>
    <d v="1899-12-30T00:02:28"/>
    <d v="1899-12-30T00:02:04"/>
    <n v="0.48"/>
    <d v="1899-12-30T00:51:48"/>
    <d v="1900-01-01T03:48:00"/>
    <d v="1899-12-30T01:04:08"/>
    <d v="1900-01-01T16:08:00"/>
  </r>
  <r>
    <d v="2022-11-21T00:00:00"/>
    <x v="5"/>
    <x v="10"/>
    <x v="20"/>
    <x v="2"/>
    <n v="1056"/>
    <n v="147"/>
    <n v="140"/>
    <n v="0.95240000000000002"/>
    <n v="7"/>
    <d v="1899-12-30T00:00:12"/>
    <d v="1899-12-30T00:02:48"/>
    <d v="1899-12-30T00:02:11"/>
    <n v="0.85519999999999996"/>
    <d v="1899-12-30T06:32:00"/>
    <d v="1900-01-15T08:00:00"/>
    <d v="1899-12-30T06:51:36"/>
    <d v="1900-01-16T03:36:00"/>
  </r>
  <r>
    <d v="2022-11-22T00:00:00"/>
    <x v="6"/>
    <x v="10"/>
    <x v="21"/>
    <x v="2"/>
    <n v="1057"/>
    <n v="127"/>
    <n v="122"/>
    <n v="0.96060000000000001"/>
    <n v="5"/>
    <d v="1899-12-30T00:00:21"/>
    <d v="1899-12-30T00:02:48"/>
    <d v="1899-12-30T00:02:07"/>
    <n v="0.7087"/>
    <d v="1899-12-30T05:41:36"/>
    <d v="1900-01-13T05:36:00"/>
    <d v="1899-12-30T05:55:36"/>
    <d v="1900-01-13T19:36:00"/>
  </r>
  <r>
    <d v="2022-11-23T00:00:00"/>
    <x v="0"/>
    <x v="10"/>
    <x v="22"/>
    <x v="2"/>
    <n v="1058"/>
    <n v="141"/>
    <n v="135"/>
    <n v="0.95740000000000003"/>
    <n v="6"/>
    <d v="1899-12-30T00:00:17"/>
    <d v="1899-12-30T00:02:27"/>
    <d v="1899-12-30T00:04:08"/>
    <n v="0.78010000000000002"/>
    <d v="1899-12-30T05:30:45"/>
    <d v="1900-01-12T18:45:00"/>
    <d v="1899-12-30T05:45:27"/>
    <d v="1900-01-13T09:27:00"/>
  </r>
  <r>
    <d v="2022-11-24T00:00:00"/>
    <x v="1"/>
    <x v="10"/>
    <x v="23"/>
    <x v="2"/>
    <n v="1059"/>
    <n v="208"/>
    <n v="181"/>
    <n v="0.87019999999999997"/>
    <n v="27"/>
    <d v="1899-12-30T00:00:38"/>
    <d v="1899-12-30T00:02:39"/>
    <d v="1899-12-30T00:04:08"/>
    <n v="0.49020000000000002"/>
    <d v="1899-12-30T07:59:39"/>
    <d v="1900-01-18T23:39:00"/>
    <d v="1899-12-30T09:11:12"/>
    <d v="1900-01-21T23:12:00"/>
  </r>
  <r>
    <d v="2022-11-25T00:00:00"/>
    <x v="2"/>
    <x v="10"/>
    <x v="24"/>
    <x v="2"/>
    <n v="1060"/>
    <n v="178"/>
    <n v="163"/>
    <n v="0.91569999999999996"/>
    <n v="15"/>
    <d v="1899-12-30T00:00:33"/>
    <d v="1899-12-30T00:02:54"/>
    <d v="1899-12-30T00:04:58"/>
    <n v="0.54800000000000004"/>
    <d v="1899-12-30T07:52:42"/>
    <d v="1900-01-18T16:42:00"/>
    <d v="1899-12-30T08:36:12"/>
    <d v="1900-01-20T12:12:00"/>
  </r>
  <r>
    <d v="2022-11-26T00:00:00"/>
    <x v="3"/>
    <x v="10"/>
    <x v="25"/>
    <x v="2"/>
    <n v="1061"/>
    <n v="198"/>
    <n v="190"/>
    <n v="0.95960000000000001"/>
    <n v="8"/>
    <d v="1899-12-30T00:00:25"/>
    <d v="1899-12-30T00:02:32"/>
    <d v="1899-12-30T00:02:22"/>
    <n v="0.67010000000000003"/>
    <d v="1899-12-30T08:01:20"/>
    <d v="1900-01-19T01:20:00"/>
    <d v="1899-12-30T08:21:36"/>
    <d v="1900-01-19T21:36:00"/>
  </r>
  <r>
    <d v="2022-11-27T00:00:00"/>
    <x v="4"/>
    <x v="10"/>
    <x v="26"/>
    <x v="2"/>
    <n v="1062"/>
    <n v="21"/>
    <n v="17"/>
    <n v="0.8095"/>
    <n v="4"/>
    <d v="1899-12-30T00:00:44"/>
    <d v="1899-12-30T00:03:31"/>
    <d v="1899-12-30T00:04:37"/>
    <n v="0.47620000000000001"/>
    <d v="1899-12-30T00:59:47"/>
    <d v="1900-01-01T11:47:00"/>
    <d v="1899-12-30T01:13:51"/>
    <d v="1900-01-02T01:51:00"/>
  </r>
  <r>
    <d v="2022-11-28T00:00:00"/>
    <x v="5"/>
    <x v="10"/>
    <x v="27"/>
    <x v="2"/>
    <n v="1063"/>
    <n v="171"/>
    <n v="161"/>
    <n v="0.9415"/>
    <n v="10"/>
    <d v="1899-12-30T00:00:16"/>
    <d v="1899-12-30T00:02:35"/>
    <d v="1899-12-30T00:06:14"/>
    <n v="0.81440000000000001"/>
    <d v="1899-12-30T06:55:55"/>
    <d v="1900-01-16T07:55:00"/>
    <d v="1899-12-30T07:21:45"/>
    <d v="1900-01-17T09:45:00"/>
  </r>
  <r>
    <d v="2022-11-29T00:00:00"/>
    <x v="6"/>
    <x v="10"/>
    <x v="28"/>
    <x v="2"/>
    <n v="1064"/>
    <n v="200"/>
    <n v="196"/>
    <n v="0.98"/>
    <n v="4"/>
    <d v="1899-12-30T00:00:09"/>
    <d v="1899-12-30T00:02:51"/>
    <d v="1899-12-30T00:02:01"/>
    <n v="0.91920000000000002"/>
    <d v="1899-12-30T09:18:36"/>
    <d v="1900-01-22T06:36:00"/>
    <d v="1899-12-30T09:30:00"/>
    <d v="1900-01-22T18:00:00"/>
  </r>
  <r>
    <d v="2022-11-30T00:00:00"/>
    <x v="0"/>
    <x v="10"/>
    <x v="29"/>
    <x v="2"/>
    <n v="1065"/>
    <n v="166"/>
    <n v="157"/>
    <n v="0.94579999999999997"/>
    <n v="9"/>
    <d v="1899-12-30T00:00:24"/>
    <d v="1899-12-30T00:02:40"/>
    <d v="1899-12-30T00:01:54"/>
    <n v="0.64629999999999999"/>
    <d v="1899-12-30T06:58:40"/>
    <d v="1900-01-16T10:40:00"/>
    <d v="1899-12-30T07:22:40"/>
    <d v="1900-01-17T10:40:00"/>
  </r>
  <r>
    <d v="2022-12-01T00:00:00"/>
    <x v="1"/>
    <x v="11"/>
    <x v="0"/>
    <x v="2"/>
    <n v="1066"/>
    <n v="230"/>
    <n v="217"/>
    <n v="0.94350000000000001"/>
    <n v="13"/>
    <d v="1899-12-30T00:00:27"/>
    <d v="1899-12-30T00:02:39"/>
    <d v="1899-12-30T00:02:03"/>
    <n v="0.57210000000000005"/>
    <d v="1899-12-30T09:35:03"/>
    <d v="1900-01-22T23:03:00"/>
    <d v="1899-12-30T10:09:30"/>
    <d v="1900-01-24T09:30:00"/>
  </r>
  <r>
    <d v="2022-12-02T00:00:00"/>
    <x v="2"/>
    <x v="11"/>
    <x v="1"/>
    <x v="2"/>
    <n v="1067"/>
    <n v="174"/>
    <n v="168"/>
    <n v="0.96550000000000002"/>
    <n v="6"/>
    <d v="1899-12-30T00:00:24"/>
    <d v="1899-12-30T00:02:57"/>
    <d v="1899-12-30T00:02:54"/>
    <n v="0.69589999999999996"/>
    <d v="1899-12-30T08:15:36"/>
    <d v="1900-01-19T15:36:00"/>
    <d v="1899-12-30T08:33:18"/>
    <d v="1900-01-20T09:18:00"/>
  </r>
  <r>
    <d v="2022-12-03T00:00:00"/>
    <x v="3"/>
    <x v="11"/>
    <x v="2"/>
    <x v="2"/>
    <n v="1068"/>
    <n v="240"/>
    <n v="185"/>
    <n v="0.77080000000000004"/>
    <n v="55"/>
    <d v="1899-12-30T00:01:00"/>
    <d v="1899-12-30T00:03:02"/>
    <d v="1899-12-30T00:05:00"/>
    <n v="0.2979"/>
    <d v="1899-12-30T09:21:10"/>
    <d v="1900-01-22T09:10:00"/>
    <d v="1899-12-30T12:08:00"/>
    <d v="1900-01-29T08:00:00"/>
  </r>
  <r>
    <d v="2022-12-04T00:00:00"/>
    <x v="4"/>
    <x v="11"/>
    <x v="3"/>
    <x v="2"/>
    <n v="1069"/>
    <n v="35"/>
    <n v="27"/>
    <n v="0.77139999999999997"/>
    <n v="8"/>
    <d v="1899-12-30T00:00:48"/>
    <d v="1899-12-30T00:02:56"/>
    <d v="1899-12-30T00:03:53"/>
    <n v="0.43330000000000002"/>
    <d v="1899-12-30T01:19:12"/>
    <d v="1900-01-02T07:12:00"/>
    <d v="1899-12-30T01:42:40"/>
    <d v="1900-01-03T06:40:00"/>
  </r>
  <r>
    <d v="2022-12-05T00:00:00"/>
    <x v="5"/>
    <x v="11"/>
    <x v="4"/>
    <x v="2"/>
    <n v="1070"/>
    <n v="198"/>
    <n v="179"/>
    <n v="0.90400000000000003"/>
    <n v="19"/>
    <d v="1899-12-30T00:00:27"/>
    <d v="1899-12-30T00:02:41"/>
    <d v="1899-12-30T00:09:40"/>
    <n v="0.60099999999999998"/>
    <d v="1899-12-30T08:00:19"/>
    <d v="1900-01-19T00:19:00"/>
    <d v="1899-12-30T08:51:18"/>
    <d v="1900-01-21T03:18:00"/>
  </r>
  <r>
    <d v="2022-12-06T00:00:00"/>
    <x v="6"/>
    <x v="11"/>
    <x v="5"/>
    <x v="2"/>
    <n v="1071"/>
    <n v="189"/>
    <n v="181"/>
    <n v="0.9577"/>
    <n v="8"/>
    <d v="1899-12-30T00:00:19"/>
    <d v="1899-12-30T00:02:59"/>
    <d v="1899-12-30T00:02:44"/>
    <n v="0.71430000000000005"/>
    <d v="1899-12-30T08:59:59"/>
    <d v="1900-01-21T11:59:00"/>
    <d v="1899-12-30T09:23:51"/>
    <d v="1900-01-22T11:51:00"/>
  </r>
  <r>
    <d v="2022-12-07T00:00:00"/>
    <x v="0"/>
    <x v="11"/>
    <x v="6"/>
    <x v="2"/>
    <n v="1072"/>
    <n v="229"/>
    <n v="219"/>
    <n v="0.95630000000000004"/>
    <n v="10"/>
    <d v="1899-12-30T00:00:30"/>
    <d v="1899-12-30T00:03:15"/>
    <d v="1899-12-30T00:06:25"/>
    <n v="0.59209999999999996"/>
    <d v="1899-12-30T11:51:45"/>
    <d v="1900-01-28T15:45:00"/>
    <d v="1899-12-30T12:24:15"/>
    <d v="1900-01-30T00:15:00"/>
  </r>
  <r>
    <d v="2022-12-08T00:00:00"/>
    <x v="1"/>
    <x v="11"/>
    <x v="7"/>
    <x v="2"/>
    <n v="1073"/>
    <n v="254"/>
    <n v="235"/>
    <n v="0.92520000000000002"/>
    <n v="19"/>
    <d v="1899-12-30T00:00:27"/>
    <d v="1899-12-30T00:02:56"/>
    <d v="1899-12-30T00:03:52"/>
    <n v="0.5968"/>
    <d v="1899-12-30T11:29:20"/>
    <d v="1900-01-27T17:20:00"/>
    <d v="1899-12-30T12:25:04"/>
    <d v="1900-01-30T01:04:00"/>
  </r>
  <r>
    <d v="2022-12-09T00:00:00"/>
    <x v="2"/>
    <x v="11"/>
    <x v="8"/>
    <x v="2"/>
    <n v="1074"/>
    <n v="584"/>
    <n v="521"/>
    <n v="0.8921"/>
    <n v="63"/>
    <d v="1899-12-30T00:00:29"/>
    <d v="1899-12-30T00:02:16"/>
    <d v="1899-12-30T00:04:21"/>
    <n v="0.58299999999999996"/>
    <d v="1899-12-30T19:40:56"/>
    <d v="1900-02-17T04:56:00"/>
    <d v="1899-12-30T22:03:44"/>
    <d v="1900-02-23T03:44:00"/>
  </r>
  <r>
    <d v="2022-12-10T00:00:00"/>
    <x v="3"/>
    <x v="11"/>
    <x v="9"/>
    <x v="2"/>
    <n v="1075"/>
    <n v="564"/>
    <n v="551"/>
    <n v="0.97699999999999998"/>
    <n v="13"/>
    <d v="1899-12-30T00:00:12"/>
    <d v="1899-12-30T00:01:40"/>
    <d v="1899-12-30T00:01:46"/>
    <n v="0.83960000000000001"/>
    <d v="1899-12-30T15:18:20"/>
    <d v="1900-02-06T06:20:00"/>
    <d v="1899-12-30T15:40:00"/>
    <d v="1900-02-07T04:00:00"/>
  </r>
  <r>
    <d v="2022-12-11T00:00:00"/>
    <x v="4"/>
    <x v="11"/>
    <x v="10"/>
    <x v="2"/>
    <n v="1076"/>
    <n v="150"/>
    <n v="149"/>
    <n v="0.99329999999999996"/>
    <n v="1"/>
    <d v="1899-12-30T00:00:10"/>
    <d v="1899-12-30T00:01:40"/>
    <d v="1899-12-30T00:02:11"/>
    <n v="0.89329999999999998"/>
    <d v="1899-12-30T04:08:20"/>
    <d v="1900-01-09T08:20:00"/>
    <d v="1899-12-30T04:10:00"/>
    <d v="1900-01-09T10:00:00"/>
  </r>
  <r>
    <d v="2022-12-12T00:00:00"/>
    <x v="5"/>
    <x v="11"/>
    <x v="11"/>
    <x v="2"/>
    <n v="1077"/>
    <n v="521"/>
    <n v="499"/>
    <n v="0.95779999999999998"/>
    <n v="22"/>
    <d v="1899-12-30T00:00:23"/>
    <d v="1899-12-30T00:01:36"/>
    <d v="1899-12-30T00:03:04"/>
    <n v="0.70930000000000004"/>
    <d v="1899-12-30T13:18:24"/>
    <d v="1900-02-01T06:24:00"/>
    <d v="1899-12-30T13:53:36"/>
    <d v="1900-02-02T17:36:00"/>
  </r>
  <r>
    <d v="2022-12-13T00:00:00"/>
    <x v="6"/>
    <x v="11"/>
    <x v="12"/>
    <x v="2"/>
    <n v="1078"/>
    <n v="330"/>
    <n v="309"/>
    <n v="0.93640000000000001"/>
    <n v="21"/>
    <d v="1899-12-30T00:00:21"/>
    <d v="1899-12-30T00:03:19"/>
    <d v="1899-12-30T00:06:32"/>
    <n v="0.69540000000000002"/>
    <d v="1899-12-30T17:04:51"/>
    <d v="1900-02-10T16:51:00"/>
    <d v="1899-12-30T18:14:30"/>
    <d v="1900-02-13T14:30:00"/>
  </r>
  <r>
    <d v="2022-12-14T00:00:00"/>
    <x v="0"/>
    <x v="11"/>
    <x v="13"/>
    <x v="2"/>
    <n v="1079"/>
    <n v="298"/>
    <n v="288"/>
    <n v="0.96640000000000004"/>
    <n v="10"/>
    <d v="1899-12-30T00:00:13"/>
    <d v="1899-12-30T00:03:20"/>
    <d v="1899-12-30T00:04:03"/>
    <n v="0.84750000000000003"/>
    <d v="1899-12-30T16:00:00"/>
    <d v="1900-02-08T00:00:00"/>
    <d v="1899-12-30T16:33:20"/>
    <d v="1900-02-09T09:20:00"/>
  </r>
  <r>
    <d v="2022-12-15T00:00:00"/>
    <x v="1"/>
    <x v="11"/>
    <x v="14"/>
    <x v="2"/>
    <n v="1080"/>
    <n v="294"/>
    <n v="287"/>
    <n v="0.97619999999999996"/>
    <n v="7"/>
    <d v="1899-12-30T00:00:14"/>
    <d v="1899-12-30T00:03:28"/>
    <d v="1899-12-30T00:03:19"/>
    <n v="0.82250000000000001"/>
    <d v="1899-12-30T16:34:56"/>
    <d v="1900-02-09T10:56:00"/>
    <d v="1899-12-30T16:59:12"/>
    <d v="1900-02-10T11:12:00"/>
  </r>
  <r>
    <d v="2022-12-16T00:00:00"/>
    <x v="2"/>
    <x v="11"/>
    <x v="15"/>
    <x v="2"/>
    <n v="1081"/>
    <n v="261"/>
    <n v="253"/>
    <n v="0.96930000000000005"/>
    <n v="8"/>
    <d v="1899-12-30T00:00:10"/>
    <d v="1899-12-30T00:03:03"/>
    <d v="1899-12-30T00:05:48"/>
    <n v="0.89959999999999996"/>
    <d v="1899-12-30T12:51:39"/>
    <d v="1900-01-31T03:39:00"/>
    <d v="1899-12-30T13:16:03"/>
    <d v="1900-02-01T04:03:00"/>
  </r>
  <r>
    <d v="2022-12-17T00:00:00"/>
    <x v="3"/>
    <x v="11"/>
    <x v="16"/>
    <x v="2"/>
    <n v="1082"/>
    <n v="223"/>
    <n v="210"/>
    <n v="0.94169999999999998"/>
    <n v="13"/>
    <d v="1899-12-30T00:00:16"/>
    <d v="1899-12-30T00:03:07"/>
    <d v="1899-12-30T00:05:23"/>
    <n v="0.80089999999999995"/>
    <d v="1899-12-30T10:54:30"/>
    <d v="1900-01-26T06:30:00"/>
    <d v="1899-12-30T11:35:01"/>
    <d v="1900-01-27T23:01:00"/>
  </r>
  <r>
    <d v="2022-12-18T00:00:00"/>
    <x v="4"/>
    <x v="11"/>
    <x v="17"/>
    <x v="2"/>
    <n v="1083"/>
    <n v="59"/>
    <n v="58"/>
    <n v="0.98309999999999997"/>
    <n v="1"/>
    <d v="1899-12-30T00:00:21"/>
    <d v="1899-12-30T00:03:41"/>
    <d v="1899-12-30T00:03:12"/>
    <n v="0.74580000000000002"/>
    <d v="1899-12-30T03:33:38"/>
    <d v="1900-01-07T21:38:00"/>
    <d v="1899-12-30T03:37:19"/>
    <d v="1900-01-08T01:19:00"/>
  </r>
  <r>
    <d v="2022-12-19T00:00:00"/>
    <x v="5"/>
    <x v="11"/>
    <x v="18"/>
    <x v="2"/>
    <n v="1084"/>
    <n v="340"/>
    <n v="327"/>
    <n v="0.96179999999999999"/>
    <n v="13"/>
    <d v="1899-12-30T00:00:21"/>
    <d v="1899-12-30T00:01:55"/>
    <d v="1899-12-30T00:03:46"/>
    <n v="0.77610000000000001"/>
    <d v="1899-12-30T10:26:45"/>
    <d v="1900-01-25T02:45:00"/>
    <d v="1899-12-30T10:51:40"/>
    <d v="1900-01-26T03:40:00"/>
  </r>
  <r>
    <d v="2022-12-20T00:00:00"/>
    <x v="6"/>
    <x v="11"/>
    <x v="19"/>
    <x v="2"/>
    <n v="1085"/>
    <n v="287"/>
    <n v="280"/>
    <n v="0.97560000000000002"/>
    <n v="7"/>
    <d v="1899-12-30T00:00:13"/>
    <d v="1899-12-30T00:03:05"/>
    <d v="1899-12-30T00:01:56"/>
    <n v="0.84319999999999995"/>
    <d v="1899-12-30T14:23:20"/>
    <d v="1900-02-03T23:20:00"/>
    <d v="1899-12-30T14:44:55"/>
    <d v="1900-02-04T20:55:00"/>
  </r>
  <r>
    <d v="2022-12-21T00:00:00"/>
    <x v="0"/>
    <x v="11"/>
    <x v="20"/>
    <x v="2"/>
    <n v="1086"/>
    <n v="269"/>
    <n v="257"/>
    <n v="0.95540000000000003"/>
    <n v="12"/>
    <d v="1899-12-30T00:00:16"/>
    <d v="1899-12-30T00:03:04"/>
    <d v="1899-12-30T00:03:49"/>
    <n v="0.82020000000000004"/>
    <d v="1899-12-30T13:08:08"/>
    <d v="1900-01-31T20:08:00"/>
    <d v="1899-12-30T13:44:56"/>
    <d v="1900-02-02T08:56:00"/>
  </r>
  <r>
    <d v="2022-12-22T00:00:00"/>
    <x v="1"/>
    <x v="11"/>
    <x v="21"/>
    <x v="2"/>
    <n v="1087"/>
    <n v="270"/>
    <n v="261"/>
    <n v="0.9667"/>
    <n v="9"/>
    <d v="1899-12-30T00:00:12"/>
    <d v="1899-12-30T00:03:06"/>
    <d v="1899-12-30T00:04:29"/>
    <n v="0.85870000000000002"/>
    <d v="1899-12-30T13:29:06"/>
    <d v="1900-02-01T17:06:00"/>
    <d v="1899-12-30T13:57:00"/>
    <d v="1900-02-02T21:00:00"/>
  </r>
  <r>
    <d v="2022-12-23T00:00:00"/>
    <x v="2"/>
    <x v="11"/>
    <x v="22"/>
    <x v="2"/>
    <n v="1088"/>
    <n v="285"/>
    <n v="273"/>
    <n v="0.95789999999999997"/>
    <n v="12"/>
    <d v="1899-12-30T00:00:12"/>
    <d v="1899-12-30T00:03:14"/>
    <d v="1899-12-30T00:02:53"/>
    <n v="0.85360000000000003"/>
    <d v="1899-12-30T14:42:42"/>
    <d v="1900-02-04T18:42:00"/>
    <d v="1899-12-30T15:21:30"/>
    <d v="1900-02-06T09:30:00"/>
  </r>
  <r>
    <d v="2022-12-24T00:00:00"/>
    <x v="3"/>
    <x v="11"/>
    <x v="23"/>
    <x v="2"/>
    <n v="1089"/>
    <n v="251"/>
    <n v="229"/>
    <n v="0.91239999999999999"/>
    <n v="22"/>
    <d v="1899-12-30T00:00:22"/>
    <d v="1899-12-30T00:02:59"/>
    <d v="1899-12-30T00:03:06"/>
    <n v="0.73060000000000003"/>
    <d v="1899-12-30T11:23:11"/>
    <d v="1900-01-27T11:11:00"/>
    <d v="1899-12-30T12:28:49"/>
    <d v="1900-01-30T04:49:00"/>
  </r>
  <r>
    <d v="2022-12-25T00:00:00"/>
    <x v="4"/>
    <x v="11"/>
    <x v="24"/>
    <x v="2"/>
    <n v="1090"/>
    <n v="47"/>
    <n v="47"/>
    <n v="1"/>
    <n v="0"/>
    <d v="1899-12-30T00:00:13"/>
    <d v="1899-12-30T00:03:03"/>
    <d v="1899-12-30T00:01:29"/>
    <n v="0.87229999999999996"/>
    <d v="1899-12-30T02:23:21"/>
    <d v="1900-01-04T23:21:00"/>
    <d v="1899-12-30T02:23:21"/>
    <d v="1900-01-04T23:21:00"/>
  </r>
  <r>
    <d v="2022-12-26T00:00:00"/>
    <x v="5"/>
    <x v="11"/>
    <x v="25"/>
    <x v="2"/>
    <n v="1091"/>
    <n v="233"/>
    <n v="225"/>
    <n v="0.9657"/>
    <n v="8"/>
    <d v="1899-12-30T00:00:13"/>
    <d v="1899-12-30T00:03:02"/>
    <d v="1899-12-30T00:01:57"/>
    <n v="0.84719999999999995"/>
    <d v="1899-12-30T11:22:30"/>
    <d v="1900-01-27T10:30:00"/>
    <d v="1899-12-30T11:46:46"/>
    <d v="1900-01-28T10:46:00"/>
  </r>
  <r>
    <d v="2022-12-27T00:00:00"/>
    <x v="6"/>
    <x v="11"/>
    <x v="26"/>
    <x v="2"/>
    <n v="1092"/>
    <n v="257"/>
    <n v="248"/>
    <n v="0.96499999999999997"/>
    <n v="9"/>
    <d v="1899-12-30T00:00:14"/>
    <d v="1899-12-30T00:03:14"/>
    <d v="1899-12-30T00:03:42"/>
    <n v="0.83399999999999996"/>
    <d v="1899-12-30T13:21:52"/>
    <d v="1900-02-01T09:52:00"/>
    <d v="1899-12-30T13:50:58"/>
    <d v="1900-02-02T14:58:00"/>
  </r>
  <r>
    <d v="2022-12-28T00:00:00"/>
    <x v="0"/>
    <x v="11"/>
    <x v="27"/>
    <x v="2"/>
    <n v="1093"/>
    <n v="245"/>
    <n v="234"/>
    <n v="0.95509999999999995"/>
    <n v="11"/>
    <d v="1899-12-30T00:00:11"/>
    <d v="1899-12-30T00:03:01"/>
    <d v="1899-12-30T00:01:56"/>
    <n v="0.85950000000000004"/>
    <d v="1899-12-30T11:45:54"/>
    <d v="1900-01-28T09:54:00"/>
    <d v="1899-12-30T12:19:05"/>
    <d v="1900-01-29T19:05:00"/>
  </r>
  <r>
    <d v="2022-12-29T00:00:00"/>
    <x v="1"/>
    <x v="11"/>
    <x v="28"/>
    <x v="2"/>
    <n v="1094"/>
    <n v="267"/>
    <n v="265"/>
    <n v="0.99250000000000005"/>
    <n v="2"/>
    <d v="1899-12-30T00:00:05"/>
    <d v="1899-12-30T00:02:59"/>
    <d v="1899-12-30T00:01:13"/>
    <n v="0.97360000000000002"/>
    <d v="1899-12-30T13:10:35"/>
    <d v="1900-01-31T22:35:00"/>
    <d v="1899-12-30T13:16:33"/>
    <d v="1900-02-01T04:33:00"/>
  </r>
  <r>
    <d v="2022-12-30T00:00:00"/>
    <x v="2"/>
    <x v="11"/>
    <x v="29"/>
    <x v="2"/>
    <n v="1095"/>
    <n v="231"/>
    <n v="224"/>
    <n v="0.96970000000000001"/>
    <n v="7"/>
    <d v="1899-12-30T00:00:11"/>
    <d v="1899-12-30T00:02:56"/>
    <d v="1899-12-30T00:02:54"/>
    <n v="0.86580000000000001"/>
    <d v="1899-12-30T10:57:04"/>
    <d v="1900-01-26T09:04:00"/>
    <d v="1899-12-30T11:17:36"/>
    <d v="1900-01-27T05:36:00"/>
  </r>
  <r>
    <d v="2022-12-31T00:00:00"/>
    <x v="3"/>
    <x v="11"/>
    <x v="30"/>
    <x v="2"/>
    <n v="1096"/>
    <n v="236"/>
    <n v="226"/>
    <n v="0.95760000000000001"/>
    <n v="10"/>
    <d v="1899-12-30T00:00:19"/>
    <d v="1899-12-30T00:03:04"/>
    <d v="1899-12-30T00:03:06"/>
    <n v="0.75"/>
    <d v="1899-12-30T11:33:04"/>
    <d v="1900-01-27T21:04:00"/>
    <d v="1899-12-30T12:03:44"/>
    <d v="1900-01-29T03:44:00"/>
  </r>
  <r>
    <d v="2023-01-01T00:00:00"/>
    <x v="4"/>
    <x v="0"/>
    <x v="0"/>
    <x v="3"/>
    <n v="1097"/>
    <n v="81"/>
    <n v="78"/>
    <n v="0.96299999999999997"/>
    <n v="3"/>
    <d v="1899-12-30T00:00:11"/>
    <d v="1899-12-30T00:02:57"/>
    <d v="1899-12-30T00:00:58"/>
    <n v="0.8125"/>
    <d v="1899-12-30T03:50:06"/>
    <d v="1900-01-08T14:06:00"/>
    <d v="1899-12-30T03:58:57"/>
    <d v="1900-01-08T22:57:00"/>
  </r>
  <r>
    <d v="2023-01-02T00:00:00"/>
    <x v="5"/>
    <x v="0"/>
    <x v="1"/>
    <x v="3"/>
    <n v="1098"/>
    <n v="281"/>
    <n v="273"/>
    <n v="0.97150000000000003"/>
    <n v="8"/>
    <d v="1899-12-30T00:00:11"/>
    <d v="1899-12-30T00:03:02"/>
    <d v="1899-12-30T00:03:21"/>
    <n v="0.88490000000000002"/>
    <d v="1899-12-30T13:48:06"/>
    <d v="1900-02-02T12:06:00"/>
    <d v="1899-12-30T14:12:22"/>
    <d v="1900-02-03T12:22:00"/>
  </r>
  <r>
    <d v="2023-01-03T00:00:00"/>
    <x v="6"/>
    <x v="0"/>
    <x v="2"/>
    <x v="3"/>
    <n v="1099"/>
    <n v="399"/>
    <n v="387"/>
    <n v="0.96989999999999998"/>
    <n v="12"/>
    <d v="1899-12-30T00:00:11"/>
    <d v="1899-12-30T00:02:51"/>
    <d v="1899-12-30T00:02:25"/>
    <n v="0.86360000000000003"/>
    <d v="1899-12-30T18:22:57"/>
    <d v="1900-02-13T22:57:00"/>
    <d v="1899-12-30T18:57:09"/>
    <d v="1900-02-15T09:09:00"/>
  </r>
  <r>
    <d v="2023-01-04T00:00:00"/>
    <x v="0"/>
    <x v="0"/>
    <x v="3"/>
    <x v="3"/>
    <n v="1100"/>
    <n v="291"/>
    <n v="287"/>
    <n v="0.98629999999999995"/>
    <n v="4"/>
    <d v="1899-12-30T00:00:11"/>
    <d v="1899-12-30T00:02:36"/>
    <d v="1899-12-30T00:03:38"/>
    <n v="0.87970000000000004"/>
    <d v="1899-12-30T12:26:12"/>
    <d v="1900-01-30T02:12:00"/>
    <d v="1899-12-30T12:36:36"/>
    <d v="1900-01-30T12:36:00"/>
  </r>
  <r>
    <d v="2023-01-05T00:00:00"/>
    <x v="1"/>
    <x v="0"/>
    <x v="4"/>
    <x v="3"/>
    <n v="1101"/>
    <n v="290"/>
    <n v="281"/>
    <n v="0.96899999999999997"/>
    <n v="9"/>
    <d v="1899-12-30T00:00:07"/>
    <d v="1899-12-30T00:03:03"/>
    <d v="1899-12-30T00:01:00"/>
    <n v="0.91639999999999999"/>
    <d v="1899-12-30T14:17:03"/>
    <d v="1900-02-03T17:03:00"/>
    <d v="1899-12-30T14:44:30"/>
    <d v="1900-02-04T20:30:00"/>
  </r>
  <r>
    <d v="2023-01-06T00:00:00"/>
    <x v="2"/>
    <x v="0"/>
    <x v="5"/>
    <x v="3"/>
    <n v="1102"/>
    <n v="230"/>
    <n v="227"/>
    <n v="0.98699999999999999"/>
    <n v="3"/>
    <d v="1899-12-30T00:00:08"/>
    <d v="1899-12-30T00:03:06"/>
    <d v="1899-12-30T00:01:12"/>
    <n v="0.91669999999999996"/>
    <d v="1899-12-30T11:43:42"/>
    <d v="1900-01-28T07:42:00"/>
    <d v="1899-12-30T11:53:00"/>
    <d v="1900-01-28T17:00:00"/>
  </r>
  <r>
    <d v="2023-01-07T00:00:00"/>
    <x v="3"/>
    <x v="0"/>
    <x v="6"/>
    <x v="3"/>
    <n v="1103"/>
    <n v="236"/>
    <n v="216"/>
    <n v="0.9153"/>
    <n v="20"/>
    <d v="1899-12-30T00:00:17"/>
    <d v="1899-12-30T00:03:09"/>
    <d v="1899-12-30T00:02:54"/>
    <n v="0.70689999999999997"/>
    <d v="1899-12-30T11:20:24"/>
    <d v="1900-01-27T08:24:00"/>
    <d v="1899-12-30T12:23:24"/>
    <d v="1900-01-29T23:24:00"/>
  </r>
  <r>
    <d v="2023-01-08T00:00:00"/>
    <x v="4"/>
    <x v="0"/>
    <x v="7"/>
    <x v="3"/>
    <n v="1104"/>
    <n v="45"/>
    <n v="44"/>
    <n v="0.9778"/>
    <n v="1"/>
    <d v="1899-12-30T00:00:05"/>
    <d v="1899-12-30T00:02:45"/>
    <d v="1899-12-30T00:01:56"/>
    <n v="0.93330000000000002"/>
    <d v="1899-12-30T02:01:00"/>
    <d v="1900-01-04T01:00:00"/>
    <d v="1899-12-30T02:03:45"/>
    <d v="1900-01-04T03:45:00"/>
  </r>
  <r>
    <d v="2023-01-09T00:00:00"/>
    <x v="5"/>
    <x v="0"/>
    <x v="8"/>
    <x v="3"/>
    <n v="1105"/>
    <n v="249"/>
    <n v="238"/>
    <n v="0.95579999999999998"/>
    <n v="11"/>
    <d v="1899-12-30T00:00:11"/>
    <d v="1899-12-30T00:02:42"/>
    <d v="1899-12-30T00:01:58"/>
    <n v="0.86529999999999996"/>
    <d v="1899-12-30T10:42:36"/>
    <d v="1900-01-25T18:36:00"/>
    <d v="1899-12-30T11:12:18"/>
    <d v="1900-01-27T00:18:00"/>
  </r>
  <r>
    <d v="2023-01-10T00:00:00"/>
    <x v="6"/>
    <x v="0"/>
    <x v="9"/>
    <x v="3"/>
    <n v="1106"/>
    <n v="350"/>
    <n v="328"/>
    <n v="0.93710000000000004"/>
    <n v="22"/>
    <d v="1899-12-30T00:00:28"/>
    <d v="1899-12-30T00:02:31"/>
    <d v="1899-12-30T00:02:28"/>
    <n v="0.58260000000000001"/>
    <d v="1899-12-30T13:45:28"/>
    <d v="1900-02-02T09:28:00"/>
    <d v="1899-12-30T14:40:50"/>
    <d v="1900-02-04T16:50:00"/>
  </r>
  <r>
    <d v="2023-01-11T00:00:00"/>
    <x v="0"/>
    <x v="0"/>
    <x v="10"/>
    <x v="3"/>
    <n v="1107"/>
    <n v="361"/>
    <n v="306"/>
    <n v="0.84760000000000002"/>
    <n v="55"/>
    <d v="1899-12-30T00:00:27"/>
    <d v="1899-12-30T00:02:26"/>
    <d v="1899-12-30T00:06:41"/>
    <n v="0.60170000000000001"/>
    <d v="1899-12-30T12:24:36"/>
    <d v="1900-01-30T00:36:00"/>
    <d v="1899-12-30T14:38:26"/>
    <d v="1900-02-04T14:26:00"/>
  </r>
  <r>
    <d v="2023-01-12T00:00:00"/>
    <x v="1"/>
    <x v="0"/>
    <x v="11"/>
    <x v="3"/>
    <n v="1108"/>
    <n v="262"/>
    <n v="256"/>
    <n v="0.97709999999999997"/>
    <n v="6"/>
    <d v="1899-12-30T00:00:13"/>
    <d v="1899-12-30T00:02:50"/>
    <d v="1899-12-30T00:02:54"/>
    <n v="0.86150000000000004"/>
    <d v="1899-12-30T12:05:20"/>
    <d v="1900-01-29T05:20:00"/>
    <d v="1899-12-30T12:22:20"/>
    <d v="1900-01-29T22:20:00"/>
  </r>
  <r>
    <d v="2023-01-13T00:00:00"/>
    <x v="2"/>
    <x v="0"/>
    <x v="12"/>
    <x v="3"/>
    <n v="1109"/>
    <n v="302"/>
    <n v="288"/>
    <n v="0.9536"/>
    <n v="14"/>
    <d v="1899-12-30T00:00:21"/>
    <d v="1899-12-30T00:02:56"/>
    <d v="1899-12-30T00:02:59"/>
    <n v="0.71099999999999997"/>
    <d v="1899-12-30T14:04:48"/>
    <d v="1900-02-03T04:48:00"/>
    <d v="1899-12-30T14:45:52"/>
    <d v="1900-02-04T21:52:00"/>
  </r>
  <r>
    <d v="2023-01-14T00:00:00"/>
    <x v="3"/>
    <x v="0"/>
    <x v="13"/>
    <x v="3"/>
    <n v="1110"/>
    <n v="299"/>
    <n v="268"/>
    <n v="0.89629999999999999"/>
    <n v="31"/>
    <d v="1899-12-30T00:00:28"/>
    <d v="1899-12-30T00:02:49"/>
    <d v="1899-12-30T00:02:58"/>
    <n v="0.55410000000000004"/>
    <d v="1899-12-30T12:34:52"/>
    <d v="1900-01-30T10:52:00"/>
    <d v="1899-12-30T14:02:11"/>
    <d v="1900-02-03T02:11:00"/>
  </r>
  <r>
    <d v="2023-01-15T00:00:00"/>
    <x v="4"/>
    <x v="0"/>
    <x v="14"/>
    <x v="3"/>
    <n v="1111"/>
    <n v="50"/>
    <n v="49"/>
    <n v="0.98"/>
    <n v="1"/>
    <d v="1899-12-30T00:00:24"/>
    <d v="1899-12-30T00:02:55"/>
    <d v="1899-12-30T00:02:08"/>
    <n v="0.76"/>
    <d v="1899-12-30T02:22:55"/>
    <d v="1900-01-04T22:55:00"/>
    <d v="1899-12-30T02:25:50"/>
    <d v="1900-01-05T01:50:00"/>
  </r>
  <r>
    <d v="2023-01-16T00:00:00"/>
    <x v="5"/>
    <x v="0"/>
    <x v="15"/>
    <x v="3"/>
    <n v="1112"/>
    <n v="285"/>
    <n v="273"/>
    <n v="0.95789999999999997"/>
    <n v="12"/>
    <d v="1899-12-30T00:00:21"/>
    <d v="1899-12-30T00:02:49"/>
    <d v="1899-12-30T00:03:30"/>
    <n v="0.76160000000000005"/>
    <d v="1899-12-30T12:48:57"/>
    <d v="1900-01-31T00:57:00"/>
    <d v="1899-12-30T13:22:45"/>
    <d v="1900-02-01T10:45:00"/>
  </r>
  <r>
    <d v="2023-01-17T00:00:00"/>
    <x v="6"/>
    <x v="0"/>
    <x v="16"/>
    <x v="3"/>
    <n v="1113"/>
    <n v="77"/>
    <n v="75"/>
    <n v="0.97399999999999998"/>
    <n v="2"/>
    <d v="1899-12-30T00:00:09"/>
    <d v="1899-12-30T00:02:43"/>
    <d v="1899-12-30T00:02:10"/>
    <n v="0.92110000000000003"/>
    <d v="1899-12-30T03:23:45"/>
    <d v="1900-01-07T11:45:00"/>
    <d v="1899-12-30T03:29:11"/>
    <d v="1900-01-07T17:11:00"/>
  </r>
  <r>
    <d v="2023-01-18T00:00:00"/>
    <x v="0"/>
    <x v="0"/>
    <x v="17"/>
    <x v="3"/>
    <n v="1114"/>
    <n v="332"/>
    <n v="321"/>
    <n v="0.96689999999999998"/>
    <n v="11"/>
    <d v="1899-12-30T00:00:17"/>
    <d v="1899-12-30T00:02:58"/>
    <d v="1899-12-30T00:03:34"/>
    <n v="0.80659999999999998"/>
    <d v="1899-12-30T15:52:18"/>
    <d v="1900-02-07T16:18:00"/>
    <d v="1899-12-30T16:24:56"/>
    <d v="1900-02-09T00:56:00"/>
  </r>
  <r>
    <d v="2023-01-19T00:00:00"/>
    <x v="1"/>
    <x v="0"/>
    <x v="18"/>
    <x v="3"/>
    <n v="1115"/>
    <n v="282"/>
    <n v="266"/>
    <n v="0.94330000000000003"/>
    <n v="16"/>
    <d v="1899-12-30T00:00:22"/>
    <d v="1899-12-30T00:03:10"/>
    <d v="1899-12-30T00:08:12"/>
    <n v="0.7429"/>
    <d v="1899-12-30T14:02:20"/>
    <d v="1900-02-03T02:20:00"/>
    <d v="1899-12-30T14:53:00"/>
    <d v="1900-02-05T05:00:00"/>
  </r>
  <r>
    <d v="2023-01-20T00:00:00"/>
    <x v="2"/>
    <x v="0"/>
    <x v="19"/>
    <x v="3"/>
    <n v="1116"/>
    <n v="256"/>
    <n v="248"/>
    <n v="0.96879999999999999"/>
    <n v="8"/>
    <d v="1899-12-30T00:00:14"/>
    <d v="1899-12-30T00:03:00"/>
    <d v="1899-12-30T00:03:52"/>
    <n v="0.82350000000000001"/>
    <d v="1899-12-30T12:24:00"/>
    <d v="1900-01-30T00:00:00"/>
    <d v="1899-12-30T12:48:00"/>
    <d v="1900-01-31T00:00:00"/>
  </r>
  <r>
    <d v="2023-01-21T00:00:00"/>
    <x v="3"/>
    <x v="0"/>
    <x v="20"/>
    <x v="3"/>
    <n v="1117"/>
    <n v="177"/>
    <n v="176"/>
    <n v="0.99439999999999995"/>
    <n v="1"/>
    <d v="1899-12-30T00:00:12"/>
    <d v="1899-12-30T00:02:37"/>
    <d v="1899-12-30T00:01:45"/>
    <n v="0.83520000000000005"/>
    <d v="1899-12-30T07:40:32"/>
    <d v="1900-01-18T04:32:00"/>
    <d v="1899-12-30T07:43:09"/>
    <d v="1900-01-18T07:09:00"/>
  </r>
  <r>
    <d v="2023-01-22T00:00:00"/>
    <x v="4"/>
    <x v="0"/>
    <x v="21"/>
    <x v="3"/>
    <n v="1118"/>
    <n v="27"/>
    <n v="24"/>
    <n v="0.88890000000000002"/>
    <n v="3"/>
    <d v="1899-12-30T00:00:13"/>
    <d v="1899-12-30T00:02:15"/>
    <d v="1899-12-30T00:01:08"/>
    <n v="0.74070000000000003"/>
    <d v="1899-12-30T00:54:00"/>
    <d v="1900-01-01T06:00:00"/>
    <d v="1899-12-30T01:00:45"/>
    <d v="1900-01-01T12:45:00"/>
  </r>
  <r>
    <d v="2023-01-23T00:00:00"/>
    <x v="5"/>
    <x v="0"/>
    <x v="22"/>
    <x v="3"/>
    <n v="1119"/>
    <n v="307"/>
    <n v="305"/>
    <n v="0.99350000000000005"/>
    <n v="2"/>
    <d v="1899-12-30T00:00:09"/>
    <d v="1899-12-30T00:03:01"/>
    <d v="1899-12-30T00:01:42"/>
    <n v="0.91800000000000004"/>
    <d v="1899-12-30T15:20:05"/>
    <d v="1900-02-06T08:05:00"/>
    <d v="1899-12-30T15:26:07"/>
    <d v="1900-02-06T14:07:00"/>
  </r>
  <r>
    <d v="2023-01-24T00:00:00"/>
    <x v="6"/>
    <x v="0"/>
    <x v="23"/>
    <x v="3"/>
    <n v="1120"/>
    <n v="587"/>
    <n v="577"/>
    <n v="0.98299999999999998"/>
    <n v="10"/>
    <d v="1899-12-30T00:00:10"/>
    <d v="1899-12-30T00:02:08"/>
    <d v="1899-12-30T00:01:56"/>
    <n v="0.9194"/>
    <d v="1899-12-30T20:30:56"/>
    <d v="1900-02-19T06:56:00"/>
    <d v="1899-12-30T20:52:16"/>
    <d v="1900-02-20T04:16:00"/>
  </r>
  <r>
    <d v="2023-01-25T00:00:00"/>
    <x v="0"/>
    <x v="0"/>
    <x v="24"/>
    <x v="3"/>
    <n v="1121"/>
    <n v="270"/>
    <n v="265"/>
    <n v="0.98150000000000004"/>
    <n v="5"/>
    <d v="1899-12-30T00:00:07"/>
    <d v="1899-12-30T00:02:44"/>
    <d v="1899-12-30T00:01:56"/>
    <n v="0.91790000000000005"/>
    <d v="1899-12-30T12:04:20"/>
    <d v="1900-01-29T04:20:00"/>
    <d v="1899-12-30T12:18:00"/>
    <d v="1900-01-29T18:00:00"/>
  </r>
  <r>
    <d v="2023-01-26T00:00:00"/>
    <x v="1"/>
    <x v="0"/>
    <x v="25"/>
    <x v="3"/>
    <n v="1122"/>
    <n v="307"/>
    <n v="297"/>
    <n v="0.96740000000000004"/>
    <n v="10"/>
    <d v="1899-12-30T00:00:14"/>
    <d v="1899-12-30T00:02:59"/>
    <d v="1899-12-30T00:02:55"/>
    <n v="0.82240000000000002"/>
    <d v="1899-12-30T14:46:03"/>
    <d v="1900-02-04T22:03:00"/>
    <d v="1899-12-30T15:15:53"/>
    <d v="1900-02-06T03:53:00"/>
  </r>
  <r>
    <d v="2023-01-27T00:00:00"/>
    <x v="2"/>
    <x v="0"/>
    <x v="26"/>
    <x v="3"/>
    <n v="1123"/>
    <n v="242"/>
    <n v="238"/>
    <n v="0.98350000000000004"/>
    <n v="4"/>
    <d v="1899-12-30T00:00:06"/>
    <d v="1899-12-30T00:02:42"/>
    <d v="1899-12-30T00:01:55"/>
    <n v="0.94630000000000003"/>
    <d v="1899-12-30T10:42:36"/>
    <d v="1900-01-25T18:36:00"/>
    <d v="1899-12-30T10:53:24"/>
    <d v="1900-01-26T05:24:00"/>
  </r>
  <r>
    <d v="2023-01-28T00:00:00"/>
    <x v="3"/>
    <x v="0"/>
    <x v="27"/>
    <x v="3"/>
    <n v="1124"/>
    <n v="194"/>
    <n v="182"/>
    <n v="0.93810000000000004"/>
    <n v="12"/>
    <d v="1899-12-30T00:00:12"/>
    <d v="1899-12-30T00:02:57"/>
    <d v="1899-12-30T00:01:36"/>
    <n v="0.8115"/>
    <d v="1899-12-30T08:56:54"/>
    <d v="1900-01-21T08:54:00"/>
    <d v="1899-12-30T09:32:18"/>
    <d v="1900-01-22T20:18:00"/>
  </r>
  <r>
    <d v="2023-01-29T00:00:00"/>
    <x v="4"/>
    <x v="0"/>
    <x v="28"/>
    <x v="3"/>
    <n v="1125"/>
    <n v="21"/>
    <n v="21"/>
    <n v="1"/>
    <n v="0"/>
    <d v="1899-12-30T00:00:12"/>
    <d v="1899-12-30T00:03:07"/>
    <d v="1899-12-30T00:01:34"/>
    <n v="0.90480000000000005"/>
    <d v="1899-12-30T01:05:27"/>
    <d v="1900-01-01T17:27:00"/>
    <d v="1899-12-30T01:05:27"/>
    <d v="1900-01-01T17:27:00"/>
  </r>
  <r>
    <d v="2023-01-30T00:00:00"/>
    <x v="5"/>
    <x v="0"/>
    <x v="29"/>
    <x v="3"/>
    <n v="1126"/>
    <n v="291"/>
    <n v="288"/>
    <n v="0.98970000000000002"/>
    <n v="3"/>
    <d v="1899-12-30T00:00:07"/>
    <d v="1899-12-30T00:02:46"/>
    <d v="1899-12-30T00:01:24"/>
    <n v="0.93789999999999996"/>
    <d v="1899-12-30T13:16:48"/>
    <d v="1900-02-01T04:48:00"/>
    <d v="1899-12-30T13:25:06"/>
    <d v="1900-02-01T13:06:00"/>
  </r>
  <r>
    <d v="2023-01-31T00:00:00"/>
    <x v="6"/>
    <x v="0"/>
    <x v="30"/>
    <x v="3"/>
    <n v="1127"/>
    <n v="516"/>
    <n v="479"/>
    <n v="0.92830000000000001"/>
    <n v="37"/>
    <d v="1899-12-30T00:00:26"/>
    <d v="1899-12-30T00:02:40"/>
    <d v="1899-12-30T00:03:31"/>
    <n v="0.63800000000000001"/>
    <d v="1899-12-30T21:17:20"/>
    <d v="1900-02-21T05:20:00"/>
    <d v="1899-12-30T22:56:00"/>
    <d v="1900-02-25T08:00:00"/>
  </r>
  <r>
    <d v="2023-02-01T00:00:00"/>
    <x v="0"/>
    <x v="1"/>
    <x v="0"/>
    <x v="3"/>
    <n v="1128"/>
    <n v="452"/>
    <n v="447"/>
    <n v="0.9889"/>
    <n v="5"/>
    <d v="1899-12-30T00:00:06"/>
    <d v="1899-12-30T00:02:04"/>
    <d v="1899-12-30T00:03:52"/>
    <n v="0.94440000000000002"/>
    <d v="1899-12-30T15:23:48"/>
    <d v="1900-02-06T11:48:00"/>
    <d v="1899-12-30T15:34:08"/>
    <d v="1900-02-06T22:08:00"/>
  </r>
  <r>
    <d v="2023-02-02T00:00:00"/>
    <x v="1"/>
    <x v="1"/>
    <x v="1"/>
    <x v="3"/>
    <n v="1129"/>
    <n v="375"/>
    <n v="375"/>
    <n v="1"/>
    <n v="0"/>
    <d v="1899-12-30T00:00:05"/>
    <d v="1899-12-30T00:02:13"/>
    <d v="1899-12-30T00:01:05"/>
    <n v="0.96530000000000005"/>
    <d v="1899-12-30T13:51:15"/>
    <d v="1900-02-02T15:15:00"/>
    <d v="1899-12-30T13:51:15"/>
    <d v="1900-02-02T15:15:00"/>
  </r>
  <r>
    <d v="2023-02-03T00:00:00"/>
    <x v="2"/>
    <x v="1"/>
    <x v="2"/>
    <x v="3"/>
    <n v="1130"/>
    <n v="306"/>
    <n v="287"/>
    <n v="0.93789999999999996"/>
    <n v="19"/>
    <d v="1899-12-30T00:00:19"/>
    <d v="1899-12-30T00:02:15"/>
    <d v="1899-12-30T00:04:50"/>
    <n v="0.76319999999999999"/>
    <d v="1899-12-30T10:45:45"/>
    <d v="1900-01-25T21:45:00"/>
    <d v="1899-12-30T11:28:30"/>
    <d v="1900-01-27T16:30:00"/>
  </r>
  <r>
    <d v="2023-02-04T00:00:00"/>
    <x v="3"/>
    <x v="1"/>
    <x v="3"/>
    <x v="3"/>
    <n v="1131"/>
    <n v="241"/>
    <n v="235"/>
    <n v="0.97509999999999997"/>
    <n v="6"/>
    <d v="1899-12-30T00:00:15"/>
    <d v="1899-12-30T00:02:40"/>
    <d v="1899-12-30T00:01:57"/>
    <n v="0.80330000000000001"/>
    <d v="1899-12-30T10:26:40"/>
    <d v="1900-01-25T02:40:00"/>
    <d v="1899-12-30T10:42:40"/>
    <d v="1900-01-25T18:40:00"/>
  </r>
  <r>
    <d v="2023-02-05T00:00:00"/>
    <x v="4"/>
    <x v="1"/>
    <x v="4"/>
    <x v="3"/>
    <n v="1132"/>
    <n v="34"/>
    <n v="34"/>
    <n v="1"/>
    <n v="0"/>
    <d v="1899-12-30T00:00:18"/>
    <d v="1899-12-30T00:03:01"/>
    <d v="1899-12-30T00:02:08"/>
    <n v="0.85289999999999999"/>
    <d v="1899-12-30T01:42:34"/>
    <d v="1900-01-03T06:34:00"/>
    <d v="1899-12-30T01:42:34"/>
    <d v="1900-01-03T06:34:00"/>
  </r>
  <r>
    <d v="2023-02-06T00:00:00"/>
    <x v="5"/>
    <x v="1"/>
    <x v="5"/>
    <x v="3"/>
    <n v="1133"/>
    <n v="248"/>
    <n v="238"/>
    <n v="0.9597"/>
    <n v="10"/>
    <d v="1899-12-30T00:00:19"/>
    <d v="1899-12-30T00:02:43"/>
    <d v="1899-12-30T00:04:33"/>
    <n v="0.7409"/>
    <d v="1899-12-30T10:46:34"/>
    <d v="1900-01-25T22:34:00"/>
    <d v="1899-12-30T11:13:44"/>
    <d v="1900-01-27T01:44:00"/>
  </r>
  <r>
    <d v="2023-02-07T00:00:00"/>
    <x v="6"/>
    <x v="1"/>
    <x v="6"/>
    <x v="3"/>
    <n v="1134"/>
    <n v="323"/>
    <n v="307"/>
    <n v="0.95050000000000001"/>
    <n v="16"/>
    <d v="1899-12-30T00:00:13"/>
    <d v="1899-12-30T00:02:42"/>
    <d v="1899-12-30T00:03:28"/>
    <n v="0.82699999999999996"/>
    <d v="1899-12-30T13:48:54"/>
    <d v="1900-02-02T12:54:00"/>
    <d v="1899-12-30T14:32:06"/>
    <d v="1900-02-04T08:06:00"/>
  </r>
  <r>
    <d v="2023-02-08T00:00:00"/>
    <x v="0"/>
    <x v="1"/>
    <x v="7"/>
    <x v="3"/>
    <n v="1135"/>
    <n v="260"/>
    <n v="257"/>
    <n v="0.98850000000000005"/>
    <n v="3"/>
    <d v="1899-12-30T00:00:10"/>
    <d v="1899-12-30T00:02:29"/>
    <d v="1899-12-30T00:01:42"/>
    <n v="0.91120000000000001"/>
    <d v="1899-12-30T10:38:13"/>
    <d v="1900-01-25T14:13:00"/>
    <d v="1899-12-30T10:45:40"/>
    <d v="1900-01-25T21:40:00"/>
  </r>
  <r>
    <d v="2023-02-09T00:00:00"/>
    <x v="1"/>
    <x v="1"/>
    <x v="8"/>
    <x v="3"/>
    <n v="1136"/>
    <n v="316"/>
    <n v="311"/>
    <n v="0.98419999999999996"/>
    <n v="5"/>
    <d v="1899-12-30T00:00:10"/>
    <d v="1899-12-30T00:02:41"/>
    <d v="1899-12-30T00:02:54"/>
    <n v="0.87539999999999996"/>
    <d v="1899-12-30T13:54:31"/>
    <d v="1900-02-02T18:31:00"/>
    <d v="1899-12-30T14:07:56"/>
    <d v="1900-02-03T07:56:00"/>
  </r>
  <r>
    <d v="2023-02-10T00:00:00"/>
    <x v="2"/>
    <x v="1"/>
    <x v="9"/>
    <x v="3"/>
    <n v="1137"/>
    <n v="60"/>
    <n v="59"/>
    <n v="0.98329999999999995"/>
    <n v="1"/>
    <d v="1899-12-30T00:00:03"/>
    <d v="1899-12-30T00:02:41"/>
    <d v="1899-12-30T00:01:55"/>
    <n v="0.98329999999999995"/>
    <d v="1899-12-30T02:38:19"/>
    <d v="1900-01-05T14:19:00"/>
    <d v="1899-12-30T02:41:00"/>
    <d v="1900-01-05T17:00:00"/>
  </r>
  <r>
    <d v="2023-02-11T00:00:00"/>
    <x v="3"/>
    <x v="1"/>
    <x v="10"/>
    <x v="3"/>
    <n v="1138"/>
    <n v="267"/>
    <n v="251"/>
    <n v="0.94010000000000005"/>
    <n v="16"/>
    <d v="1899-12-30T00:00:19"/>
    <d v="1899-12-30T00:02:27"/>
    <d v="1899-12-30T00:07:44"/>
    <n v="0.75560000000000005"/>
    <d v="1899-12-30T10:14:57"/>
    <d v="1900-01-24T14:57:00"/>
    <d v="1899-12-30T10:54:09"/>
    <d v="1900-01-26T06:09:00"/>
  </r>
  <r>
    <d v="2023-02-12T00:00:00"/>
    <x v="4"/>
    <x v="1"/>
    <x v="11"/>
    <x v="3"/>
    <n v="1139"/>
    <n v="30"/>
    <n v="29"/>
    <n v="0.9667"/>
    <n v="1"/>
    <d v="1899-12-30T00:00:08"/>
    <d v="1899-12-30T00:02:00"/>
    <d v="1899-12-30T00:00:46"/>
    <n v="0.93100000000000005"/>
    <d v="1899-12-30T00:58:00"/>
    <d v="1900-01-01T10:00:00"/>
    <d v="1899-12-30T01:00:00"/>
    <d v="1900-01-01T12:00:00"/>
  </r>
  <r>
    <d v="2023-02-13T00:00:00"/>
    <x v="5"/>
    <x v="1"/>
    <x v="12"/>
    <x v="3"/>
    <n v="1140"/>
    <n v="247"/>
    <n v="238"/>
    <n v="0.96360000000000001"/>
    <n v="9"/>
    <d v="1899-12-30T00:00:13"/>
    <d v="1899-12-30T00:02:35"/>
    <d v="1899-12-30T00:02:54"/>
    <n v="0.83330000000000004"/>
    <d v="1899-12-30T10:14:50"/>
    <d v="1900-01-24T14:50:00"/>
    <d v="1899-12-30T10:38:05"/>
    <d v="1900-01-25T14:05:00"/>
  </r>
  <r>
    <d v="2023-02-14T00:00:00"/>
    <x v="6"/>
    <x v="1"/>
    <x v="13"/>
    <x v="3"/>
    <n v="1141"/>
    <n v="376"/>
    <n v="365"/>
    <n v="0.97070000000000001"/>
    <n v="11"/>
    <d v="1899-12-30T00:00:15"/>
    <d v="1899-12-30T00:03:00"/>
    <d v="1899-12-30T00:03:30"/>
    <n v="0.81769999999999998"/>
    <d v="1899-12-30T18:15:00"/>
    <d v="1900-02-13T15:00:00"/>
    <d v="1899-12-30T18:48:00"/>
    <d v="1900-02-15T00:00:00"/>
  </r>
  <r>
    <d v="2023-02-15T00:00:00"/>
    <x v="0"/>
    <x v="1"/>
    <x v="14"/>
    <x v="3"/>
    <n v="1142"/>
    <n v="316"/>
    <n v="306"/>
    <n v="0.96840000000000004"/>
    <n v="10"/>
    <d v="1899-12-30T00:00:13"/>
    <d v="1899-12-30T00:02:55"/>
    <d v="1899-12-30T00:01:58"/>
    <n v="0.82799999999999996"/>
    <d v="1899-12-30T14:52:30"/>
    <d v="1900-02-05T04:30:00"/>
    <d v="1899-12-30T15:21:40"/>
    <d v="1900-02-06T09:40:00"/>
  </r>
  <r>
    <d v="2023-02-16T00:00:00"/>
    <x v="1"/>
    <x v="1"/>
    <x v="15"/>
    <x v="3"/>
    <n v="1143"/>
    <n v="310"/>
    <n v="304"/>
    <n v="0.98060000000000003"/>
    <n v="6"/>
    <d v="1899-12-30T00:00:07"/>
    <d v="1899-12-30T00:02:51"/>
    <d v="1899-12-30T00:01:40"/>
    <n v="0.92159999999999997"/>
    <d v="1899-12-30T14:26:24"/>
    <d v="1900-02-04T02:24:00"/>
    <d v="1899-12-30T14:43:30"/>
    <d v="1900-02-04T19:30:00"/>
  </r>
  <r>
    <d v="2023-02-17T00:00:00"/>
    <x v="2"/>
    <x v="1"/>
    <x v="16"/>
    <x v="3"/>
    <n v="1144"/>
    <n v="340"/>
    <n v="327"/>
    <n v="0.96179999999999999"/>
    <n v="13"/>
    <d v="1899-12-30T00:00:23"/>
    <d v="1899-12-30T00:02:55"/>
    <d v="1899-12-30T00:02:34"/>
    <n v="0.71340000000000003"/>
    <d v="1899-12-30T15:53:45"/>
    <d v="1900-02-07T17:45:00"/>
    <d v="1899-12-30T16:31:40"/>
    <d v="1900-02-09T07:40:00"/>
  </r>
  <r>
    <d v="2023-02-18T00:00:00"/>
    <x v="3"/>
    <x v="1"/>
    <x v="17"/>
    <x v="3"/>
    <n v="1145"/>
    <n v="306"/>
    <n v="289"/>
    <n v="0.94440000000000002"/>
    <n v="17"/>
    <d v="1899-12-30T00:00:24"/>
    <d v="1899-12-30T00:02:43"/>
    <d v="1899-12-30T00:05:04"/>
    <n v="0.69740000000000002"/>
    <d v="1899-12-30T13:05:07"/>
    <d v="1900-01-31T17:07:00"/>
    <d v="1899-12-30T13:51:18"/>
    <d v="1900-02-02T15:18:00"/>
  </r>
  <r>
    <d v="2023-02-19T00:00:00"/>
    <x v="4"/>
    <x v="1"/>
    <x v="18"/>
    <x v="3"/>
    <n v="1146"/>
    <n v="40"/>
    <n v="40"/>
    <n v="1"/>
    <n v="0"/>
    <d v="1899-12-30T00:00:05"/>
    <d v="1899-12-30T00:02:46"/>
    <d v="1899-12-30T00:00:51"/>
    <n v="0.97499999999999998"/>
    <d v="1899-12-30T01:50:40"/>
    <d v="1900-01-03T14:40:00"/>
    <d v="1899-12-30T01:50:40"/>
    <d v="1900-01-03T14:40:00"/>
  </r>
  <r>
    <d v="2023-02-20T00:00:00"/>
    <x v="5"/>
    <x v="1"/>
    <x v="19"/>
    <x v="3"/>
    <n v="1147"/>
    <n v="378"/>
    <n v="370"/>
    <n v="0.9788"/>
    <n v="8"/>
    <d v="1899-12-30T00:00:11"/>
    <d v="1899-12-30T00:02:52"/>
    <d v="1899-12-30T00:02:36"/>
    <n v="0.86699999999999999"/>
    <d v="1899-12-30T17:40:40"/>
    <d v="1900-02-12T04:40:00"/>
    <d v="1899-12-30T18:03:36"/>
    <d v="1900-02-13T03:36:00"/>
  </r>
  <r>
    <d v="2023-02-21T00:00:00"/>
    <x v="6"/>
    <x v="1"/>
    <x v="20"/>
    <x v="3"/>
    <n v="1148"/>
    <n v="424"/>
    <n v="416"/>
    <n v="0.98109999999999997"/>
    <n v="8"/>
    <d v="1899-12-30T00:00:14"/>
    <d v="1899-12-30T00:02:54"/>
    <d v="1899-12-30T00:03:41"/>
    <n v="0.83889999999999998"/>
    <d v="1899-12-30T20:06:24"/>
    <d v="1900-02-18T06:24:00"/>
    <d v="1899-12-30T20:29:36"/>
    <d v="1900-02-19T05:36:00"/>
  </r>
  <r>
    <d v="2023-02-22T00:00:00"/>
    <x v="0"/>
    <x v="1"/>
    <x v="21"/>
    <x v="3"/>
    <n v="1149"/>
    <n v="356"/>
    <n v="353"/>
    <n v="0.99160000000000004"/>
    <n v="3"/>
    <d v="1899-12-30T00:00:05"/>
    <d v="1899-12-30T00:02:48"/>
    <d v="1899-12-30T00:01:04"/>
    <n v="0.97170000000000001"/>
    <d v="1899-12-30T16:28:24"/>
    <d v="1900-02-09T04:24:00"/>
    <d v="1899-12-30T16:36:48"/>
    <d v="1900-02-09T12:48:00"/>
  </r>
  <r>
    <d v="2023-02-23T00:00:00"/>
    <x v="1"/>
    <x v="1"/>
    <x v="22"/>
    <x v="3"/>
    <n v="1150"/>
    <n v="320"/>
    <n v="308"/>
    <n v="0.96250000000000002"/>
    <n v="12"/>
    <d v="1899-12-30T00:00:10"/>
    <d v="1899-12-30T00:02:33"/>
    <d v="1899-12-30T00:03:24"/>
    <n v="0.88990000000000002"/>
    <d v="1899-12-30T13:05:24"/>
    <d v="1900-01-31T17:24:00"/>
    <d v="1899-12-30T13:36:00"/>
    <d v="1900-02-02T00:00:00"/>
  </r>
  <r>
    <d v="2023-02-24T00:00:00"/>
    <x v="2"/>
    <x v="1"/>
    <x v="23"/>
    <x v="3"/>
    <n v="1151"/>
    <n v="351"/>
    <n v="341"/>
    <n v="0.97150000000000003"/>
    <n v="10"/>
    <d v="1899-12-30T00:00:11"/>
    <d v="1899-12-30T00:02:50"/>
    <d v="1899-12-30T00:01:49"/>
    <n v="0.86250000000000004"/>
    <d v="1899-12-30T16:06:10"/>
    <d v="1900-02-08T06:10:00"/>
    <d v="1899-12-30T16:34:30"/>
    <d v="1900-02-09T10:30:00"/>
  </r>
  <r>
    <d v="2023-02-25T00:00:00"/>
    <x v="3"/>
    <x v="1"/>
    <x v="24"/>
    <x v="3"/>
    <n v="1152"/>
    <n v="85"/>
    <n v="83"/>
    <n v="0.97650000000000003"/>
    <n v="2"/>
    <d v="1899-12-30T00:00:13"/>
    <d v="1899-12-30T00:02:47"/>
    <d v="1899-12-30T00:03:44"/>
    <n v="0.85880000000000001"/>
    <d v="1899-12-30T03:51:01"/>
    <d v="1900-01-08T15:01:00"/>
    <d v="1899-12-30T03:56:35"/>
    <d v="1900-01-08T20:35:00"/>
  </r>
  <r>
    <d v="2023-02-26T00:00:00"/>
    <x v="4"/>
    <x v="1"/>
    <x v="25"/>
    <x v="3"/>
    <n v="1153"/>
    <n v="44"/>
    <n v="43"/>
    <n v="0.97729999999999995"/>
    <n v="1"/>
    <d v="1899-12-30T00:00:09"/>
    <d v="1899-12-30T00:02:33"/>
    <d v="1899-12-30T00:03:52"/>
    <n v="0.84089999999999998"/>
    <d v="1899-12-30T01:49:39"/>
    <d v="1900-01-03T13:39:00"/>
    <d v="1899-12-30T01:52:12"/>
    <d v="1900-01-03T16:12:00"/>
  </r>
  <r>
    <d v="2023-02-27T00:00:00"/>
    <x v="5"/>
    <x v="1"/>
    <x v="26"/>
    <x v="3"/>
    <n v="1154"/>
    <n v="388"/>
    <n v="363"/>
    <n v="0.93559999999999999"/>
    <n v="25"/>
    <d v="1899-12-30T00:00:19"/>
    <d v="1899-12-30T00:03:06"/>
    <d v="1899-12-30T00:02:54"/>
    <n v="0.752"/>
    <d v="1899-12-30T18:45:18"/>
    <d v="1900-02-14T21:18:00"/>
    <d v="1899-12-30T20:02:48"/>
    <d v="1900-02-18T02:48:00"/>
  </r>
  <r>
    <d v="2023-02-28T00:00:00"/>
    <x v="6"/>
    <x v="1"/>
    <x v="27"/>
    <x v="3"/>
    <n v="1155"/>
    <n v="283"/>
    <n v="280"/>
    <n v="0.98939999999999995"/>
    <n v="3"/>
    <d v="1899-12-30T00:00:06"/>
    <d v="1899-12-30T00:03:05"/>
    <d v="1899-12-30T00:01:49"/>
    <n v="0.95730000000000004"/>
    <d v="1899-12-30T14:23:20"/>
    <d v="1900-02-03T23:20:00"/>
    <d v="1899-12-30T14:32:35"/>
    <d v="1900-02-04T08:35:00"/>
  </r>
  <r>
    <d v="2023-03-01T00:00:00"/>
    <x v="0"/>
    <x v="2"/>
    <x v="0"/>
    <x v="3"/>
    <n v="1156"/>
    <n v="241"/>
    <n v="238"/>
    <n v="0.98760000000000003"/>
    <n v="3"/>
    <d v="1899-12-30T00:00:05"/>
    <d v="1899-12-30T00:02:55"/>
    <d v="1899-12-30T00:03:16"/>
    <n v="0.9667"/>
    <d v="1899-12-30T11:34:10"/>
    <d v="1900-01-27T22:10:00"/>
    <d v="1899-12-30T11:42:55"/>
    <d v="1900-01-28T06:55:00"/>
  </r>
  <r>
    <d v="2023-03-02T00:00:00"/>
    <x v="1"/>
    <x v="2"/>
    <x v="1"/>
    <x v="3"/>
    <n v="1157"/>
    <n v="280"/>
    <n v="273"/>
    <n v="0.97499999999999998"/>
    <n v="7"/>
    <d v="1899-12-30T00:00:09"/>
    <d v="1899-12-30T00:02:46"/>
    <d v="1899-12-30T00:03:38"/>
    <n v="0.8821"/>
    <d v="1899-12-30T12:35:18"/>
    <d v="1900-01-30T11:18:00"/>
    <d v="1899-12-30T12:54:40"/>
    <d v="1900-01-31T06:40:00"/>
  </r>
  <r>
    <d v="2023-03-03T00:00:00"/>
    <x v="2"/>
    <x v="2"/>
    <x v="2"/>
    <x v="3"/>
    <n v="1158"/>
    <n v="294"/>
    <n v="273"/>
    <n v="0.92859999999999998"/>
    <n v="21"/>
    <d v="1899-12-30T00:00:26"/>
    <d v="1899-12-30T00:03:16"/>
    <d v="1899-12-30T00:02:44"/>
    <n v="0.61770000000000003"/>
    <d v="1899-12-30T14:51:48"/>
    <d v="1900-02-05T03:48:00"/>
    <d v="1899-12-30T16:00:24"/>
    <d v="1900-02-08T00:24:00"/>
  </r>
  <r>
    <d v="2023-03-04T00:00:00"/>
    <x v="3"/>
    <x v="2"/>
    <x v="3"/>
    <x v="3"/>
    <n v="1159"/>
    <n v="290"/>
    <n v="246"/>
    <n v="0.84830000000000005"/>
    <n v="44"/>
    <d v="1899-12-30T00:00:27"/>
    <d v="1899-12-30T00:03:04"/>
    <d v="1899-12-30T00:04:44"/>
    <n v="0.63859999999999995"/>
    <d v="1899-12-30T12:34:24"/>
    <d v="1900-01-30T10:24:00"/>
    <d v="1899-12-30T14:49:20"/>
    <d v="1900-02-05T01:20:00"/>
  </r>
  <r>
    <d v="2023-03-05T00:00:00"/>
    <x v="4"/>
    <x v="2"/>
    <x v="4"/>
    <x v="3"/>
    <n v="1160"/>
    <n v="32"/>
    <n v="32"/>
    <n v="1"/>
    <n v="0"/>
    <d v="1899-12-30T00:00:06"/>
    <d v="1899-12-30T00:02:43"/>
    <d v="1899-12-30T00:01:10"/>
    <n v="0.96879999999999999"/>
    <d v="1899-12-30T01:26:56"/>
    <d v="1900-01-02T14:56:00"/>
    <d v="1899-12-30T01:26:56"/>
    <d v="1900-01-02T14:56:00"/>
  </r>
  <r>
    <d v="2023-03-06T00:00:00"/>
    <x v="5"/>
    <x v="2"/>
    <x v="5"/>
    <x v="3"/>
    <n v="1161"/>
    <n v="270"/>
    <n v="263"/>
    <n v="0.97409999999999997"/>
    <n v="7"/>
    <d v="1899-12-30T00:00:12"/>
    <d v="1899-12-30T00:02:52"/>
    <d v="1899-12-30T00:02:00"/>
    <n v="0.85450000000000004"/>
    <d v="1899-12-30T12:33:56"/>
    <d v="1900-01-30T09:56:00"/>
    <d v="1899-12-30T12:54:00"/>
    <d v="1900-01-31T06:00:00"/>
  </r>
  <r>
    <d v="2023-03-07T00:00:00"/>
    <x v="6"/>
    <x v="2"/>
    <x v="6"/>
    <x v="3"/>
    <n v="1162"/>
    <n v="212"/>
    <n v="208"/>
    <n v="0.98109999999999997"/>
    <n v="4"/>
    <d v="1899-12-30T00:00:08"/>
    <d v="1899-12-30T00:02:43"/>
    <d v="1899-12-30T00:02:34"/>
    <n v="0.91"/>
    <d v="1899-12-30T09:25:04"/>
    <d v="1900-01-22T13:04:00"/>
    <d v="1899-12-30T09:35:56"/>
    <d v="1900-01-22T23:56:00"/>
  </r>
  <r>
    <d v="2023-03-08T00:00:00"/>
    <x v="0"/>
    <x v="2"/>
    <x v="7"/>
    <x v="3"/>
    <n v="1163"/>
    <n v="246"/>
    <n v="238"/>
    <n v="0.96750000000000003"/>
    <n v="8"/>
    <d v="1899-12-30T00:00:07"/>
    <d v="1899-12-30T00:02:53"/>
    <d v="1899-12-30T00:03:48"/>
    <n v="0.91839999999999999"/>
    <d v="1899-12-30T11:26:14"/>
    <d v="1900-01-27T14:14:00"/>
    <d v="1899-12-30T11:49:18"/>
    <d v="1900-01-28T13:18:00"/>
  </r>
  <r>
    <d v="2023-03-09T00:00:00"/>
    <x v="1"/>
    <x v="2"/>
    <x v="8"/>
    <x v="3"/>
    <n v="1164"/>
    <n v="194"/>
    <n v="190"/>
    <n v="0.97940000000000005"/>
    <n v="4"/>
    <d v="1899-12-30T00:00:08"/>
    <d v="1899-12-30T00:02:43"/>
    <d v="1899-12-30T00:03:34"/>
    <n v="0.92779999999999996"/>
    <d v="1899-12-30T08:36:10"/>
    <d v="1900-01-20T12:10:00"/>
    <d v="1899-12-30T08:47:02"/>
    <d v="1900-01-20T23:02:00"/>
  </r>
  <r>
    <d v="2023-03-10T00:00:00"/>
    <x v="2"/>
    <x v="2"/>
    <x v="9"/>
    <x v="3"/>
    <n v="1165"/>
    <n v="179"/>
    <n v="176"/>
    <n v="0.98319999999999996"/>
    <n v="3"/>
    <d v="1899-12-30T00:00:06"/>
    <d v="1899-12-30T00:02:44"/>
    <d v="1899-12-30T00:01:43"/>
    <n v="0.96050000000000002"/>
    <d v="1899-12-30T08:01:04"/>
    <d v="1900-01-19T01:04:00"/>
    <d v="1899-12-30T08:09:16"/>
    <d v="1900-01-19T09:16:00"/>
  </r>
  <r>
    <d v="2023-03-11T00:00:00"/>
    <x v="3"/>
    <x v="2"/>
    <x v="10"/>
    <x v="3"/>
    <n v="1166"/>
    <n v="67"/>
    <n v="65"/>
    <n v="0.97009999999999996"/>
    <n v="2"/>
    <d v="1899-12-30T00:00:09"/>
    <d v="1899-12-30T00:02:36"/>
    <d v="1899-12-30T00:01:59"/>
    <n v="0.89549999999999996"/>
    <d v="1899-12-30T02:49:00"/>
    <d v="1900-01-06T01:00:00"/>
    <d v="1899-12-30T02:54:12"/>
    <d v="1900-01-06T06:12:00"/>
  </r>
  <r>
    <d v="2023-03-12T00:00:00"/>
    <x v="4"/>
    <x v="2"/>
    <x v="11"/>
    <x v="3"/>
    <n v="1167"/>
    <n v="27"/>
    <n v="27"/>
    <n v="1"/>
    <n v="0"/>
    <d v="1899-12-30T00:00:09"/>
    <d v="1899-12-30T00:02:27"/>
    <d v="1899-12-30T00:01:33"/>
    <n v="0.88890000000000002"/>
    <d v="1899-12-30T01:06:09"/>
    <d v="1900-01-01T18:09:00"/>
    <d v="1899-12-30T01:06:09"/>
    <d v="1900-01-01T18:09:00"/>
  </r>
  <r>
    <d v="2023-03-13T00:00:00"/>
    <x v="5"/>
    <x v="2"/>
    <x v="12"/>
    <x v="3"/>
    <n v="1168"/>
    <n v="190"/>
    <n v="183"/>
    <n v="0.96319999999999995"/>
    <n v="7"/>
    <d v="1899-12-30T00:00:09"/>
    <d v="1899-12-30T00:02:38"/>
    <d v="1899-12-30T00:02:54"/>
    <n v="0.87829999999999997"/>
    <d v="1899-12-30T08:01:54"/>
    <d v="1900-01-19T01:54:00"/>
    <d v="1899-12-30T08:20:20"/>
    <d v="1900-01-19T20:20:00"/>
  </r>
  <r>
    <d v="2023-03-14T00:00:00"/>
    <x v="6"/>
    <x v="2"/>
    <x v="13"/>
    <x v="3"/>
    <n v="1169"/>
    <n v="213"/>
    <n v="205"/>
    <n v="0.96240000000000003"/>
    <n v="8"/>
    <d v="1899-12-30T00:00:10"/>
    <d v="1899-12-30T00:02:38"/>
    <d v="1899-12-30T00:05:02"/>
    <n v="0.88149999999999995"/>
    <d v="1899-12-30T08:59:50"/>
    <d v="1900-01-21T11:50:00"/>
    <d v="1899-12-30T09:20:54"/>
    <d v="1900-01-22T08:54:00"/>
  </r>
  <r>
    <d v="2023-03-15T00:00:00"/>
    <x v="0"/>
    <x v="2"/>
    <x v="14"/>
    <x v="3"/>
    <n v="1170"/>
    <n v="208"/>
    <n v="205"/>
    <n v="0.98560000000000003"/>
    <n v="3"/>
    <d v="1899-12-30T00:00:04"/>
    <d v="1899-12-30T00:02:36"/>
    <d v="1899-12-30T00:02:53"/>
    <n v="0.97089999999999999"/>
    <d v="1899-12-30T08:53:00"/>
    <d v="1900-01-21T05:00:00"/>
    <d v="1899-12-30T09:00:48"/>
    <d v="1900-01-21T12:48:00"/>
  </r>
  <r>
    <d v="2023-03-16T00:00:00"/>
    <x v="1"/>
    <x v="2"/>
    <x v="15"/>
    <x v="3"/>
    <n v="1171"/>
    <n v="166"/>
    <n v="165"/>
    <n v="0.99399999999999999"/>
    <n v="1"/>
    <d v="1899-12-30T00:00:08"/>
    <d v="1899-12-30T00:02:41"/>
    <d v="1899-12-30T00:03:31"/>
    <n v="0.92769999999999997"/>
    <d v="1899-12-30T07:22:45"/>
    <d v="1900-01-17T10:45:00"/>
    <d v="1899-12-30T07:25:26"/>
    <d v="1900-01-17T13:26:00"/>
  </r>
  <r>
    <d v="2023-03-17T00:00:00"/>
    <x v="2"/>
    <x v="2"/>
    <x v="16"/>
    <x v="3"/>
    <n v="1172"/>
    <n v="169"/>
    <n v="161"/>
    <n v="0.95269999999999999"/>
    <n v="8"/>
    <d v="1899-12-30T00:00:18"/>
    <d v="1899-12-30T00:02:52"/>
    <d v="1899-12-30T00:03:37"/>
    <n v="0.73960000000000004"/>
    <d v="1899-12-30T07:41:32"/>
    <d v="1900-01-18T05:32:00"/>
    <d v="1899-12-30T08:04:28"/>
    <d v="1900-01-19T04:28:00"/>
  </r>
  <r>
    <d v="2023-03-18T00:00:00"/>
    <x v="3"/>
    <x v="2"/>
    <x v="17"/>
    <x v="3"/>
    <n v="1173"/>
    <n v="175"/>
    <n v="167"/>
    <n v="0.95430000000000004"/>
    <n v="8"/>
    <d v="1899-12-30T00:00:10"/>
    <d v="1899-12-30T00:02:29"/>
    <d v="1899-12-30T00:03:52"/>
    <n v="0.8629"/>
    <d v="1899-12-30T06:54:43"/>
    <d v="1900-01-16T06:43:00"/>
    <d v="1899-12-30T07:14:35"/>
    <d v="1900-01-17T02:35:00"/>
  </r>
  <r>
    <d v="2023-03-19T00:00:00"/>
    <x v="4"/>
    <x v="2"/>
    <x v="18"/>
    <x v="3"/>
    <n v="1174"/>
    <n v="43"/>
    <n v="43"/>
    <n v="1"/>
    <n v="0"/>
    <d v="1899-12-30T00:00:04"/>
    <d v="1899-12-30T00:02:42"/>
    <d v="1899-12-30T00:00:29"/>
    <n v="1"/>
    <d v="1899-12-30T01:56:06"/>
    <d v="1900-01-03T20:06:00"/>
    <d v="1899-12-30T01:56:06"/>
    <d v="1900-01-03T20:06:00"/>
  </r>
  <r>
    <d v="2023-03-20T00:00:00"/>
    <x v="5"/>
    <x v="2"/>
    <x v="19"/>
    <x v="3"/>
    <n v="1175"/>
    <n v="24"/>
    <n v="24"/>
    <n v="1"/>
    <n v="0"/>
    <d v="1899-12-30T00:00:03"/>
    <d v="1899-12-30T00:02:46"/>
    <d v="1899-12-30T00:00:03"/>
    <n v="1"/>
    <d v="1899-12-30T01:06:24"/>
    <d v="1900-01-01T18:24:00"/>
    <d v="1899-12-30T01:06:24"/>
    <d v="1900-01-01T18:24:00"/>
  </r>
  <r>
    <d v="2023-03-21T00:00:00"/>
    <x v="6"/>
    <x v="2"/>
    <x v="20"/>
    <x v="3"/>
    <n v="1176"/>
    <n v="26"/>
    <n v="26"/>
    <n v="1"/>
    <n v="0"/>
    <d v="1899-12-30T00:00:05"/>
    <d v="1899-12-30T00:02:52"/>
    <d v="1899-12-30T00:00:58"/>
    <n v="0.92310000000000003"/>
    <d v="1899-12-30T01:14:32"/>
    <d v="1900-01-02T02:32:00"/>
    <d v="1899-12-30T01:14:32"/>
    <d v="1900-01-02T02:32:00"/>
  </r>
  <r>
    <d v="2023-03-22T00:00:00"/>
    <x v="0"/>
    <x v="2"/>
    <x v="21"/>
    <x v="3"/>
    <n v="1177"/>
    <n v="42"/>
    <n v="41"/>
    <n v="0.97619999999999996"/>
    <n v="1"/>
    <d v="1899-12-30T00:00:03"/>
    <d v="1899-12-30T00:02:41"/>
    <d v="1899-12-30T00:00:03"/>
    <n v="1"/>
    <d v="1899-12-30T01:50:01"/>
    <d v="1900-01-03T14:01:00"/>
    <d v="1899-12-30T01:52:42"/>
    <d v="1900-01-03T16:42:00"/>
  </r>
  <r>
    <d v="2023-03-23T00:00:00"/>
    <x v="1"/>
    <x v="2"/>
    <x v="22"/>
    <x v="3"/>
    <n v="1178"/>
    <n v="37"/>
    <n v="36"/>
    <n v="0.97299999999999998"/>
    <n v="1"/>
    <d v="1899-12-30T00:00:05"/>
    <d v="1899-12-30T00:02:24"/>
    <d v="1899-12-30T00:04:50"/>
    <n v="0.94589999999999996"/>
    <d v="1899-12-30T01:26:24"/>
    <d v="1900-01-02T14:24:00"/>
    <d v="1899-12-30T01:28:48"/>
    <d v="1900-01-02T16:48:00"/>
  </r>
  <r>
    <d v="2023-03-24T00:00:00"/>
    <x v="2"/>
    <x v="2"/>
    <x v="23"/>
    <x v="3"/>
    <n v="1179"/>
    <n v="60"/>
    <n v="60"/>
    <n v="1"/>
    <n v="0"/>
    <d v="1899-12-30T00:00:05"/>
    <d v="1899-12-30T00:03:07"/>
    <d v="1899-12-30T00:01:01"/>
    <n v="0.9667"/>
    <d v="1899-12-30T03:07:00"/>
    <d v="1900-01-06T19:00:00"/>
    <d v="1899-12-30T03:07:00"/>
    <d v="1900-01-06T19:00:00"/>
  </r>
  <r>
    <d v="2023-03-25T00:00:00"/>
    <x v="3"/>
    <x v="2"/>
    <x v="24"/>
    <x v="3"/>
    <n v="1180"/>
    <n v="82"/>
    <n v="81"/>
    <n v="0.98780000000000001"/>
    <n v="1"/>
    <d v="1899-12-30T00:00:03"/>
    <d v="1899-12-30T00:02:24"/>
    <d v="1899-12-30T00:00:58"/>
    <n v="0.97560000000000002"/>
    <d v="1899-12-30T03:14:24"/>
    <d v="1900-01-07T02:24:00"/>
    <d v="1899-12-30T03:16:48"/>
    <d v="1900-01-07T04:48:00"/>
  </r>
  <r>
    <d v="2023-03-26T00:00:00"/>
    <x v="4"/>
    <x v="2"/>
    <x v="25"/>
    <x v="3"/>
    <n v="1181"/>
    <n v="31"/>
    <n v="31"/>
    <n v="1"/>
    <n v="0"/>
    <d v="1899-12-30T00:00:06"/>
    <d v="1899-12-30T00:02:20"/>
    <d v="1899-12-30T00:01:01"/>
    <n v="0.9355"/>
    <d v="1899-12-30T01:12:20"/>
    <d v="1900-01-02T00:20:00"/>
    <d v="1899-12-30T01:12:20"/>
    <d v="1900-01-02T00:20:00"/>
  </r>
  <r>
    <d v="2023-03-27T00:00:00"/>
    <x v="5"/>
    <x v="2"/>
    <x v="26"/>
    <x v="3"/>
    <n v="1182"/>
    <n v="178"/>
    <n v="171"/>
    <n v="0.9607"/>
    <n v="7"/>
    <d v="1899-12-30T00:00:16"/>
    <d v="1899-12-30T00:02:43"/>
    <d v="1899-12-30T00:02:06"/>
    <n v="0.76139999999999997"/>
    <d v="1899-12-30T07:44:33"/>
    <d v="1900-01-18T08:33:00"/>
    <d v="1899-12-30T08:03:34"/>
    <d v="1900-01-19T03:34:00"/>
  </r>
  <r>
    <d v="2023-03-28T00:00:00"/>
    <x v="6"/>
    <x v="2"/>
    <x v="27"/>
    <x v="3"/>
    <n v="1183"/>
    <n v="183"/>
    <n v="175"/>
    <n v="0.95630000000000004"/>
    <n v="8"/>
    <d v="1899-12-30T00:00:13"/>
    <d v="1899-12-30T00:02:27"/>
    <d v="1899-12-30T00:04:38"/>
    <n v="0.85560000000000003"/>
    <d v="1899-12-30T07:08:45"/>
    <d v="1900-01-16T20:45:00"/>
    <d v="1899-12-30T07:28:21"/>
    <d v="1900-01-17T16:21:00"/>
  </r>
  <r>
    <d v="2023-03-29T00:00:00"/>
    <x v="0"/>
    <x v="2"/>
    <x v="28"/>
    <x v="3"/>
    <n v="1184"/>
    <n v="39"/>
    <n v="37"/>
    <n v="0.94869999999999999"/>
    <n v="2"/>
    <d v="1899-12-30T00:00:03"/>
    <d v="1899-12-30T00:02:53"/>
    <d v="1899-12-30T00:00:58"/>
    <n v="0.97370000000000001"/>
    <d v="1899-12-30T01:46:41"/>
    <d v="1900-01-03T10:41:00"/>
    <d v="1899-12-30T01:52:27"/>
    <d v="1900-01-03T16:27:00"/>
  </r>
  <r>
    <d v="2023-03-30T00:00:00"/>
    <x v="1"/>
    <x v="2"/>
    <x v="29"/>
    <x v="3"/>
    <n v="1185"/>
    <n v="170"/>
    <n v="167"/>
    <n v="0.98240000000000005"/>
    <n v="3"/>
    <d v="1899-12-30T00:00:12"/>
    <d v="1899-12-30T00:02:24"/>
    <d v="1899-12-30T00:02:50"/>
    <n v="0.85289999999999999"/>
    <d v="1899-12-30T06:40:48"/>
    <d v="1900-01-15T16:48:00"/>
    <d v="1899-12-30T06:48:00"/>
    <d v="1900-01-16T00:00:00"/>
  </r>
  <r>
    <d v="2023-03-31T00:00:00"/>
    <x v="2"/>
    <x v="2"/>
    <x v="30"/>
    <x v="3"/>
    <n v="1186"/>
    <n v="180"/>
    <n v="168"/>
    <n v="0.93330000000000002"/>
    <n v="12"/>
    <d v="1899-12-30T00:00:12"/>
    <d v="1899-12-30T00:02:46"/>
    <d v="1899-12-30T00:04:29"/>
    <n v="0.83150000000000002"/>
    <d v="1899-12-30T07:44:48"/>
    <d v="1900-01-18T08:48:00"/>
    <d v="1899-12-30T08:18:00"/>
    <d v="1900-01-19T18:00:00"/>
  </r>
  <r>
    <d v="2023-04-01T00:00:00"/>
    <x v="3"/>
    <x v="3"/>
    <x v="0"/>
    <x v="3"/>
    <n v="1187"/>
    <n v="24"/>
    <n v="24"/>
    <n v="1"/>
    <n v="0"/>
    <d v="1899-12-30T00:00:04"/>
    <d v="1899-12-30T00:02:36"/>
    <d v="1899-12-30T00:00:21"/>
    <n v="1"/>
    <d v="1899-12-30T01:02:24"/>
    <d v="1900-01-01T14:24:00"/>
    <d v="1899-12-30T01:02:24"/>
    <d v="1900-01-01T14:24:00"/>
  </r>
  <r>
    <d v="2023-04-02T00:00:00"/>
    <x v="4"/>
    <x v="3"/>
    <x v="1"/>
    <x v="3"/>
    <n v="1188"/>
    <n v="7"/>
    <n v="7"/>
    <n v="1"/>
    <n v="0"/>
    <d v="1899-12-30T00:00:33"/>
    <d v="1899-12-30T00:02:39"/>
    <d v="1899-12-30T00:01:33"/>
    <n v="0.42859999999999998"/>
    <d v="1899-12-30T00:18:33"/>
    <d v="1899-12-30T18:33:00"/>
    <d v="1899-12-30T00:18:33"/>
    <d v="1899-12-30T18:33:00"/>
  </r>
  <r>
    <d v="2023-04-03T00:00:00"/>
    <x v="5"/>
    <x v="3"/>
    <x v="2"/>
    <x v="3"/>
    <n v="1189"/>
    <n v="181"/>
    <n v="181"/>
    <n v="1"/>
    <n v="0"/>
    <d v="1899-12-30T00:00:12"/>
    <d v="1899-12-30T00:02:47"/>
    <d v="1899-12-30T00:01:29"/>
    <n v="0.87849999999999995"/>
    <d v="1899-12-30T08:23:47"/>
    <d v="1900-01-19T23:47:00"/>
    <d v="1899-12-30T08:23:47"/>
    <d v="1900-01-19T23:47:00"/>
  </r>
  <r>
    <d v="2023-04-04T00:00:00"/>
    <x v="6"/>
    <x v="3"/>
    <x v="3"/>
    <x v="3"/>
    <n v="1190"/>
    <n v="209"/>
    <n v="206"/>
    <n v="0.98560000000000003"/>
    <n v="3"/>
    <d v="1899-12-30T00:00:05"/>
    <d v="1899-12-30T00:02:42"/>
    <d v="1899-12-30T00:00:58"/>
    <n v="0.95169999999999999"/>
    <d v="1899-12-30T09:16:12"/>
    <d v="1900-01-22T04:12:00"/>
    <d v="1899-12-30T09:24:18"/>
    <d v="1900-01-22T12:18:00"/>
  </r>
  <r>
    <d v="2023-04-05T00:00:00"/>
    <x v="0"/>
    <x v="3"/>
    <x v="4"/>
    <x v="3"/>
    <n v="1191"/>
    <n v="180"/>
    <n v="179"/>
    <n v="0.99439999999999995"/>
    <n v="1"/>
    <d v="1899-12-30T00:00:04"/>
    <d v="1899-12-30T00:02:28"/>
    <d v="1899-12-30T00:01:02"/>
    <n v="0.97209999999999996"/>
    <d v="1899-12-30T07:21:32"/>
    <d v="1900-01-17T09:32:00"/>
    <d v="1899-12-30T07:24:00"/>
    <d v="1900-01-17T12:00:00"/>
  </r>
  <r>
    <d v="2023-04-06T00:00:00"/>
    <x v="1"/>
    <x v="3"/>
    <x v="5"/>
    <x v="3"/>
    <n v="1192"/>
    <n v="221"/>
    <n v="203"/>
    <n v="0.91859999999999997"/>
    <n v="18"/>
    <d v="1899-12-30T00:00:12"/>
    <d v="1899-12-30T00:02:43"/>
    <d v="1899-12-30T00:02:55"/>
    <n v="0.87319999999999998"/>
    <d v="1899-12-30T09:11:29"/>
    <d v="1900-01-21T23:29:00"/>
    <d v="1899-12-30T10:00:23"/>
    <d v="1900-01-24T00:23:00"/>
  </r>
  <r>
    <d v="2023-04-07T00:00:00"/>
    <x v="2"/>
    <x v="3"/>
    <x v="6"/>
    <x v="3"/>
    <n v="1193"/>
    <n v="254"/>
    <n v="248"/>
    <n v="0.97640000000000005"/>
    <n v="6"/>
    <d v="1899-12-30T00:00:10"/>
    <d v="1899-12-30T00:02:48"/>
    <d v="1899-12-30T00:03:07"/>
    <n v="0.90869999999999995"/>
    <d v="1899-12-30T11:34:24"/>
    <d v="1900-01-27T22:24:00"/>
    <d v="1899-12-30T11:51:12"/>
    <d v="1900-01-28T15:12:00"/>
  </r>
  <r>
    <d v="2023-04-08T00:00:00"/>
    <x v="3"/>
    <x v="3"/>
    <x v="7"/>
    <x v="3"/>
    <n v="1194"/>
    <n v="627"/>
    <n v="577"/>
    <n v="0.92030000000000001"/>
    <n v="50"/>
    <d v="1899-12-30T00:00:41"/>
    <d v="1899-12-30T00:02:39"/>
    <d v="1899-12-30T00:05:20"/>
    <n v="0.47810000000000002"/>
    <d v="1899-12-31T01:29:03"/>
    <d v="1900-03-03T17:03:00"/>
    <d v="1899-12-31T03:41:33"/>
    <d v="1900-03-09T05:33:00"/>
  </r>
  <r>
    <d v="2023-04-09T00:00:00"/>
    <x v="4"/>
    <x v="3"/>
    <x v="8"/>
    <x v="3"/>
    <n v="1195"/>
    <n v="167"/>
    <n v="159"/>
    <n v="0.95209999999999995"/>
    <n v="8"/>
    <d v="1899-12-30T00:00:18"/>
    <d v="1899-12-30T00:03:10"/>
    <d v="1899-12-30T00:03:55"/>
    <n v="0.76049999999999995"/>
    <d v="1899-12-30T08:23:30"/>
    <d v="1900-01-19T23:30:00"/>
    <d v="1899-12-30T08:48:50"/>
    <d v="1900-01-21T00:50:00"/>
  </r>
  <r>
    <d v="2023-04-10T00:00:00"/>
    <x v="5"/>
    <x v="3"/>
    <x v="9"/>
    <x v="3"/>
    <n v="1196"/>
    <n v="599"/>
    <n v="554"/>
    <n v="0.92490000000000006"/>
    <n v="45"/>
    <d v="1899-12-30T00:00:25"/>
    <d v="1899-12-30T00:02:35"/>
    <d v="1899-12-30T00:04:50"/>
    <n v="0.63560000000000005"/>
    <d v="1899-12-30T23:51:10"/>
    <d v="1900-02-27T15:10:00"/>
    <d v="1899-12-31T01:47:25"/>
    <d v="1900-03-04T11:25:00"/>
  </r>
  <r>
    <d v="2023-04-11T00:00:00"/>
    <x v="6"/>
    <x v="3"/>
    <x v="10"/>
    <x v="3"/>
    <n v="1197"/>
    <n v="304"/>
    <n v="300"/>
    <n v="0.98680000000000001"/>
    <n v="4"/>
    <d v="1899-12-30T00:00:07"/>
    <d v="1899-12-30T00:02:35"/>
    <d v="1899-12-30T00:02:55"/>
    <n v="0.92410000000000003"/>
    <d v="1899-12-30T12:55:00"/>
    <d v="1900-01-31T07:00:00"/>
    <d v="1899-12-30T13:05:20"/>
    <d v="1900-01-31T17:20:00"/>
  </r>
  <r>
    <d v="2023-04-12T00:00:00"/>
    <x v="0"/>
    <x v="3"/>
    <x v="11"/>
    <x v="3"/>
    <n v="1198"/>
    <n v="267"/>
    <n v="260"/>
    <n v="0.9738"/>
    <n v="7"/>
    <d v="1899-12-30T00:00:08"/>
    <d v="1899-12-30T00:02:56"/>
    <d v="1899-12-30T00:01:54"/>
    <n v="0.90910000000000002"/>
    <d v="1899-12-30T12:42:40"/>
    <d v="1900-01-30T18:40:00"/>
    <d v="1899-12-30T13:03:12"/>
    <d v="1900-01-31T15:12:00"/>
  </r>
  <r>
    <d v="2023-04-13T00:00:00"/>
    <x v="1"/>
    <x v="3"/>
    <x v="12"/>
    <x v="3"/>
    <n v="1199"/>
    <n v="286"/>
    <n v="281"/>
    <n v="0.98250000000000004"/>
    <n v="5"/>
    <d v="1899-12-30T00:00:11"/>
    <d v="1899-12-30T00:02:40"/>
    <d v="1899-12-30T00:02:54"/>
    <n v="0.86970000000000003"/>
    <d v="1899-12-30T12:29:20"/>
    <d v="1900-01-30T05:20:00"/>
    <d v="1899-12-30T12:42:40"/>
    <d v="1900-01-30T18:40:00"/>
  </r>
  <r>
    <d v="2023-04-14T00:00:00"/>
    <x v="2"/>
    <x v="3"/>
    <x v="13"/>
    <x v="3"/>
    <n v="1200"/>
    <n v="196"/>
    <n v="192"/>
    <n v="0.97960000000000003"/>
    <n v="4"/>
    <d v="1899-12-30T00:00:13"/>
    <d v="1899-12-30T00:02:43"/>
    <d v="1899-12-30T00:02:06"/>
    <n v="0.85640000000000005"/>
    <d v="1899-12-30T08:41:36"/>
    <d v="1900-01-20T17:36:00"/>
    <d v="1899-12-30T08:52:28"/>
    <d v="1900-01-21T04:28:00"/>
  </r>
  <r>
    <d v="2023-04-15T00:00:00"/>
    <x v="3"/>
    <x v="3"/>
    <x v="14"/>
    <x v="3"/>
    <n v="1201"/>
    <n v="191"/>
    <n v="189"/>
    <n v="0.98950000000000005"/>
    <n v="2"/>
    <d v="1899-12-30T00:00:11"/>
    <d v="1899-12-30T00:03:00"/>
    <d v="1899-12-30T00:02:34"/>
    <n v="0.88419999999999999"/>
    <d v="1899-12-30T09:27:00"/>
    <d v="1900-01-22T15:00:00"/>
    <d v="1899-12-30T09:33:00"/>
    <d v="1900-01-22T21:00:00"/>
  </r>
  <r>
    <d v="2023-04-16T00:00:00"/>
    <x v="4"/>
    <x v="3"/>
    <x v="15"/>
    <x v="3"/>
    <n v="1202"/>
    <n v="60"/>
    <n v="60"/>
    <n v="1"/>
    <n v="0"/>
    <d v="1899-12-30T00:00:06"/>
    <d v="1899-12-30T00:01:58"/>
    <d v="1899-12-30T00:00:59"/>
    <n v="0.9667"/>
    <d v="1899-12-30T01:58:00"/>
    <d v="1900-01-03T22:00:00"/>
    <d v="1899-12-30T01:58:00"/>
    <d v="1900-01-03T22:00:00"/>
  </r>
  <r>
    <d v="2023-04-17T00:00:00"/>
    <x v="5"/>
    <x v="3"/>
    <x v="16"/>
    <x v="3"/>
    <n v="1203"/>
    <n v="215"/>
    <n v="207"/>
    <n v="0.96279999999999999"/>
    <n v="8"/>
    <d v="1899-12-30T00:00:10"/>
    <d v="1899-12-30T00:02:40"/>
    <d v="1899-12-30T00:01:44"/>
    <n v="0.90429999999999999"/>
    <d v="1899-12-30T09:12:00"/>
    <d v="1900-01-22T00:00:00"/>
    <d v="1899-12-30T09:33:20"/>
    <d v="1900-01-22T21:20:00"/>
  </r>
  <r>
    <d v="2023-04-18T00:00:00"/>
    <x v="6"/>
    <x v="3"/>
    <x v="17"/>
    <x v="3"/>
    <n v="1204"/>
    <n v="221"/>
    <n v="213"/>
    <n v="0.96379999999999999"/>
    <n v="8"/>
    <d v="1899-12-30T00:00:08"/>
    <d v="1899-12-30T00:02:35"/>
    <d v="1899-12-30T00:01:47"/>
    <n v="0.90449999999999997"/>
    <d v="1899-12-30T09:10:15"/>
    <d v="1900-01-21T22:15:00"/>
    <d v="1899-12-30T09:30:55"/>
    <d v="1900-01-22T18:55:00"/>
  </r>
  <r>
    <d v="2023-04-19T00:00:00"/>
    <x v="0"/>
    <x v="3"/>
    <x v="18"/>
    <x v="3"/>
    <n v="1205"/>
    <n v="201"/>
    <n v="193"/>
    <n v="0.96020000000000005"/>
    <n v="8"/>
    <d v="1899-12-30T00:00:03"/>
    <d v="1899-12-30T00:02:46"/>
    <d v="1899-12-30T00:00:58"/>
    <n v="0.98450000000000004"/>
    <d v="1899-12-30T08:53:58"/>
    <d v="1900-01-21T05:58:00"/>
    <d v="1899-12-30T09:16:06"/>
    <d v="1900-01-22T04:06:00"/>
  </r>
  <r>
    <d v="2023-04-20T00:00:00"/>
    <x v="1"/>
    <x v="3"/>
    <x v="19"/>
    <x v="3"/>
    <n v="1206"/>
    <n v="205"/>
    <n v="202"/>
    <n v="0.98540000000000005"/>
    <n v="3"/>
    <d v="1899-12-30T00:00:05"/>
    <d v="1899-12-30T00:02:48"/>
    <d v="1899-12-30T00:01:09"/>
    <n v="0.96060000000000001"/>
    <d v="1899-12-30T09:25:36"/>
    <d v="1900-01-22T13:36:00"/>
    <d v="1899-12-30T09:34:00"/>
    <d v="1900-01-22T22:00:00"/>
  </r>
  <r>
    <d v="2023-04-21T00:00:00"/>
    <x v="2"/>
    <x v="3"/>
    <x v="20"/>
    <x v="3"/>
    <n v="1207"/>
    <n v="201"/>
    <n v="194"/>
    <n v="0.96519999999999995"/>
    <n v="7"/>
    <d v="1899-12-30T00:00:14"/>
    <d v="1899-12-30T00:02:44"/>
    <d v="1899-12-30T00:02:29"/>
    <n v="0.84260000000000002"/>
    <d v="1899-12-30T08:50:16"/>
    <d v="1900-01-21T02:16:00"/>
    <d v="1899-12-30T09:09:24"/>
    <d v="1900-01-21T21:24:00"/>
  </r>
  <r>
    <d v="2023-04-22T00:00:00"/>
    <x v="3"/>
    <x v="3"/>
    <x v="21"/>
    <x v="3"/>
    <n v="1208"/>
    <n v="140"/>
    <n v="132"/>
    <n v="0.94289999999999996"/>
    <n v="8"/>
    <d v="1899-12-30T00:00:07"/>
    <d v="1899-12-30T00:01:51"/>
    <d v="1899-12-30T00:01:56"/>
    <n v="0.92479999999999996"/>
    <d v="1899-12-30T04:04:12"/>
    <d v="1900-01-09T04:12:00"/>
    <d v="1899-12-30T04:19:00"/>
    <d v="1900-01-09T19:00:00"/>
  </r>
  <r>
    <d v="2023-04-23T00:00:00"/>
    <x v="4"/>
    <x v="3"/>
    <x v="22"/>
    <x v="3"/>
    <n v="1209"/>
    <n v="29"/>
    <n v="28"/>
    <n v="0.96550000000000002"/>
    <n v="1"/>
    <d v="1899-12-30T00:00:13"/>
    <d v="1899-12-30T00:03:09"/>
    <d v="1899-12-30T00:01:47"/>
    <n v="0.8276"/>
    <d v="1899-12-30T01:28:12"/>
    <d v="1900-01-02T16:12:00"/>
    <d v="1899-12-30T01:31:21"/>
    <d v="1900-01-02T19:21:00"/>
  </r>
  <r>
    <d v="2023-04-24T00:00:00"/>
    <x v="5"/>
    <x v="3"/>
    <x v="23"/>
    <x v="3"/>
    <n v="1210"/>
    <n v="398"/>
    <n v="372"/>
    <n v="0.93469999999999998"/>
    <n v="26"/>
    <d v="1899-12-30T00:00:21"/>
    <d v="1899-12-30T00:02:51"/>
    <d v="1899-12-30T00:04:13"/>
    <n v="0.72519999999999996"/>
    <d v="1899-12-30T17:40:12"/>
    <d v="1900-02-12T04:12:00"/>
    <d v="1899-12-30T18:54:18"/>
    <d v="1900-02-15T06:18:00"/>
  </r>
  <r>
    <d v="2023-04-25T00:00:00"/>
    <x v="6"/>
    <x v="3"/>
    <x v="24"/>
    <x v="3"/>
    <n v="1211"/>
    <n v="255"/>
    <n v="249"/>
    <n v="0.97650000000000003"/>
    <n v="6"/>
    <d v="1899-12-30T00:00:15"/>
    <d v="1899-12-30T00:03:01"/>
    <d v="1899-12-30T00:02:09"/>
    <n v="0.83330000000000004"/>
    <d v="1899-12-30T12:31:09"/>
    <d v="1900-01-30T07:09:00"/>
    <d v="1899-12-30T12:49:15"/>
    <d v="1900-01-31T01:15:00"/>
  </r>
  <r>
    <d v="2023-04-26T00:00:00"/>
    <x v="0"/>
    <x v="3"/>
    <x v="25"/>
    <x v="3"/>
    <n v="1212"/>
    <n v="283"/>
    <n v="278"/>
    <n v="0.98229999999999995"/>
    <n v="5"/>
    <d v="1899-12-30T00:00:17"/>
    <d v="1899-12-30T00:02:38"/>
    <d v="1899-12-30T00:01:59"/>
    <n v="0.79569999999999996"/>
    <d v="1899-12-30T12:12:04"/>
    <d v="1900-01-29T12:04:00"/>
    <d v="1899-12-30T12:25:14"/>
    <d v="1900-01-30T01:14:00"/>
  </r>
  <r>
    <d v="2023-04-27T00:00:00"/>
    <x v="1"/>
    <x v="3"/>
    <x v="26"/>
    <x v="3"/>
    <n v="1213"/>
    <n v="230"/>
    <n v="222"/>
    <n v="0.96519999999999995"/>
    <n v="8"/>
    <d v="1899-12-30T00:00:21"/>
    <d v="1899-12-30T00:02:46"/>
    <d v="1899-12-30T00:02:45"/>
    <n v="0.72250000000000003"/>
    <d v="1899-12-30T10:14:12"/>
    <d v="1900-01-24T14:12:00"/>
    <d v="1899-12-30T10:36:20"/>
    <d v="1900-01-25T12:20:00"/>
  </r>
  <r>
    <d v="2023-04-28T00:00:00"/>
    <x v="2"/>
    <x v="3"/>
    <x v="27"/>
    <x v="3"/>
    <n v="1214"/>
    <n v="185"/>
    <n v="183"/>
    <n v="0.98919999999999997"/>
    <n v="2"/>
    <d v="1899-12-30T00:00:10"/>
    <d v="1899-12-30T00:03:15"/>
    <d v="1899-12-30T00:01:20"/>
    <n v="0.89729999999999999"/>
    <d v="1899-12-30T09:54:45"/>
    <d v="1900-01-23T18:45:00"/>
    <d v="1899-12-30T10:01:15"/>
    <d v="1900-01-24T01:15:00"/>
  </r>
  <r>
    <d v="2023-04-29T00:00:00"/>
    <x v="3"/>
    <x v="3"/>
    <x v="28"/>
    <x v="3"/>
    <n v="1215"/>
    <n v="197"/>
    <n v="194"/>
    <n v="0.98480000000000001"/>
    <n v="3"/>
    <d v="1899-12-30T00:00:13"/>
    <d v="1899-12-30T00:02:49"/>
    <d v="1899-12-30T00:02:01"/>
    <n v="0.82650000000000001"/>
    <d v="1899-12-30T09:06:26"/>
    <d v="1900-01-21T18:26:00"/>
    <d v="1899-12-30T09:14:53"/>
    <d v="1900-01-22T02:53:00"/>
  </r>
  <r>
    <d v="2023-04-30T00:00:00"/>
    <x v="4"/>
    <x v="3"/>
    <x v="29"/>
    <x v="3"/>
    <n v="1216"/>
    <n v="15"/>
    <n v="14"/>
    <n v="0.93330000000000002"/>
    <n v="1"/>
    <d v="1899-12-30T00:00:12"/>
    <d v="1899-12-30T00:03:14"/>
    <d v="1899-12-30T00:01:48"/>
    <n v="0.86670000000000003"/>
    <d v="1899-12-30T00:45:16"/>
    <d v="1899-12-31T21:16:00"/>
    <d v="1899-12-30T00:48:30"/>
    <d v="1900-01-01T00:30:00"/>
  </r>
  <r>
    <d v="2023-05-01T00:00:00"/>
    <x v="5"/>
    <x v="4"/>
    <x v="0"/>
    <x v="3"/>
    <n v="1217"/>
    <n v="230"/>
    <n v="228"/>
    <n v="0.99129999999999996"/>
    <n v="2"/>
    <d v="1899-12-30T00:00:07"/>
    <d v="1899-12-30T00:02:47"/>
    <d v="1899-12-30T00:01:01"/>
    <n v="0.93889999999999996"/>
    <d v="1899-12-30T10:34:36"/>
    <d v="1900-01-25T10:36:00"/>
    <d v="1899-12-30T10:40:10"/>
    <d v="1900-01-25T16:10:00"/>
  </r>
  <r>
    <d v="2023-05-02T00:00:00"/>
    <x v="6"/>
    <x v="4"/>
    <x v="1"/>
    <x v="3"/>
    <n v="1218"/>
    <n v="232"/>
    <n v="224"/>
    <n v="0.96550000000000002"/>
    <n v="8"/>
    <d v="1899-12-30T00:00:12"/>
    <d v="1899-12-30T00:02:51"/>
    <d v="1899-12-30T00:01:34"/>
    <n v="0.86460000000000004"/>
    <d v="1899-12-30T10:38:24"/>
    <d v="1900-01-25T14:24:00"/>
    <d v="1899-12-30T11:01:12"/>
    <d v="1900-01-26T13:12:00"/>
  </r>
  <r>
    <d v="2023-05-03T00:00:00"/>
    <x v="0"/>
    <x v="4"/>
    <x v="2"/>
    <x v="3"/>
    <n v="1219"/>
    <n v="237"/>
    <n v="231"/>
    <n v="0.97470000000000001"/>
    <n v="6"/>
    <d v="1899-12-30T00:00:11"/>
    <d v="1899-12-30T00:03:01"/>
    <d v="1899-12-30T00:01:59"/>
    <n v="0.87709999999999999"/>
    <d v="1899-12-30T11:36:51"/>
    <d v="1900-01-28T00:51:00"/>
    <d v="1899-12-30T11:54:57"/>
    <d v="1900-01-28T18:57:00"/>
  </r>
  <r>
    <d v="2023-05-04T00:00:00"/>
    <x v="1"/>
    <x v="4"/>
    <x v="3"/>
    <x v="3"/>
    <n v="1220"/>
    <n v="42"/>
    <n v="39"/>
    <n v="0.92859999999999998"/>
    <n v="3"/>
    <d v="1899-12-30T00:00:17"/>
    <d v="1899-12-30T00:02:51"/>
    <d v="1899-12-30T00:01:40"/>
    <n v="0.78569999999999995"/>
    <d v="1899-12-30T01:51:09"/>
    <d v="1900-01-03T15:09:00"/>
    <d v="1899-12-30T01:59:42"/>
    <d v="1900-01-03T23:42:00"/>
  </r>
  <r>
    <d v="2023-05-05T00:00:00"/>
    <x v="2"/>
    <x v="4"/>
    <x v="4"/>
    <x v="3"/>
    <n v="1221"/>
    <n v="215"/>
    <n v="211"/>
    <n v="0.98140000000000005"/>
    <n v="4"/>
    <d v="1899-12-30T00:00:06"/>
    <d v="1899-12-30T00:03:06"/>
    <d v="1899-12-30T00:02:54"/>
    <n v="0.94810000000000005"/>
    <d v="1899-12-30T10:54:06"/>
    <d v="1900-01-26T06:06:00"/>
    <d v="1899-12-30T11:06:30"/>
    <d v="1900-01-26T18:30:00"/>
  </r>
  <r>
    <d v="2023-05-06T00:00:00"/>
    <x v="3"/>
    <x v="4"/>
    <x v="5"/>
    <x v="3"/>
    <n v="1222"/>
    <n v="153"/>
    <n v="152"/>
    <n v="0.99350000000000005"/>
    <n v="1"/>
    <d v="1899-12-30T00:00:04"/>
    <d v="1899-12-30T00:02:35"/>
    <d v="1899-12-30T00:00:55"/>
    <n v="0.9869"/>
    <d v="1899-12-30T06:32:40"/>
    <d v="1900-01-15T08:40:00"/>
    <d v="1899-12-30T06:35:15"/>
    <d v="1900-01-15T11:15:00"/>
  </r>
  <r>
    <d v="2023-05-07T00:00:00"/>
    <x v="4"/>
    <x v="4"/>
    <x v="6"/>
    <x v="3"/>
    <n v="1223"/>
    <n v="39"/>
    <n v="39"/>
    <n v="1"/>
    <n v="0"/>
    <d v="1899-12-30T00:00:14"/>
    <d v="1899-12-30T00:03:42"/>
    <d v="1899-12-30T00:01:37"/>
    <n v="0.84619999999999995"/>
    <d v="1899-12-30T02:24:18"/>
    <d v="1900-01-05T00:18:00"/>
    <d v="1899-12-30T02:24:18"/>
    <d v="1900-01-05T00:18:00"/>
  </r>
  <r>
    <d v="2023-05-08T00:00:00"/>
    <x v="5"/>
    <x v="4"/>
    <x v="7"/>
    <x v="3"/>
    <n v="1224"/>
    <n v="334"/>
    <n v="322"/>
    <n v="0.96409999999999996"/>
    <n v="12"/>
    <d v="1899-12-30T00:00:17"/>
    <d v="1899-12-30T00:02:56"/>
    <d v="1899-12-30T00:02:18"/>
    <n v="0.77129999999999999"/>
    <d v="1899-12-30T15:44:32"/>
    <d v="1900-02-07T08:32:00"/>
    <d v="1899-12-30T16:19:44"/>
    <d v="1900-02-08T19:44:00"/>
  </r>
  <r>
    <d v="2023-05-09T00:00:00"/>
    <x v="6"/>
    <x v="4"/>
    <x v="8"/>
    <x v="3"/>
    <n v="1225"/>
    <n v="236"/>
    <n v="225"/>
    <n v="0.95340000000000003"/>
    <n v="11"/>
    <d v="1899-12-30T00:00:13"/>
    <d v="1899-12-30T00:02:53"/>
    <d v="1899-12-30T00:01:56"/>
    <n v="0.85089999999999999"/>
    <d v="1899-12-30T10:48:45"/>
    <d v="1900-01-26T00:45:00"/>
    <d v="1899-12-30T11:20:28"/>
    <d v="1900-01-27T08:28:00"/>
  </r>
  <r>
    <d v="2023-05-10T00:00:00"/>
    <x v="0"/>
    <x v="4"/>
    <x v="9"/>
    <x v="3"/>
    <n v="1226"/>
    <n v="186"/>
    <n v="182"/>
    <n v="0.97850000000000004"/>
    <n v="4"/>
    <d v="1899-12-30T00:00:08"/>
    <d v="1899-12-30T00:02:38"/>
    <d v="1899-12-30T00:02:10"/>
    <n v="0.95109999999999995"/>
    <d v="1899-12-30T07:59:16"/>
    <d v="1900-01-18T23:16:00"/>
    <d v="1899-12-30T08:09:48"/>
    <d v="1900-01-19T09:48:00"/>
  </r>
  <r>
    <d v="2023-05-11T00:00:00"/>
    <x v="1"/>
    <x v="4"/>
    <x v="10"/>
    <x v="3"/>
    <n v="1227"/>
    <n v="202"/>
    <n v="197"/>
    <n v="0.97519999999999996"/>
    <n v="5"/>
    <d v="1899-12-30T00:00:13"/>
    <d v="1899-12-30T00:02:33"/>
    <d v="1899-12-30T00:01:56"/>
    <n v="0.87"/>
    <d v="1899-12-30T08:22:21"/>
    <d v="1900-01-19T22:21:00"/>
    <d v="1899-12-30T08:35:06"/>
    <d v="1900-01-20T11:06:00"/>
  </r>
  <r>
    <d v="2023-05-12T00:00:00"/>
    <x v="2"/>
    <x v="4"/>
    <x v="11"/>
    <x v="3"/>
    <n v="1228"/>
    <n v="185"/>
    <n v="182"/>
    <n v="0.98380000000000001"/>
    <n v="3"/>
    <d v="1899-12-30T00:00:08"/>
    <d v="1899-12-30T00:02:49"/>
    <d v="1899-12-30T00:02:33"/>
    <n v="0.90269999999999995"/>
    <d v="1899-12-30T08:32:38"/>
    <d v="1900-01-20T08:38:00"/>
    <d v="1899-12-30T08:41:05"/>
    <d v="1900-01-20T17:05:00"/>
  </r>
  <r>
    <d v="2023-05-13T00:00:00"/>
    <x v="3"/>
    <x v="4"/>
    <x v="12"/>
    <x v="3"/>
    <n v="1229"/>
    <n v="38"/>
    <n v="38"/>
    <n v="1"/>
    <n v="0"/>
    <d v="1899-12-30T00:00:04"/>
    <d v="1899-12-30T00:03:26"/>
    <d v="1899-12-30T00:00:57"/>
    <n v="0.97370000000000001"/>
    <d v="1899-12-30T02:10:28"/>
    <d v="1900-01-04T10:28:00"/>
    <d v="1899-12-30T02:10:28"/>
    <d v="1900-01-04T10:28:00"/>
  </r>
  <r>
    <d v="2023-05-14T00:00:00"/>
    <x v="4"/>
    <x v="4"/>
    <x v="13"/>
    <x v="3"/>
    <n v="1230"/>
    <n v="25"/>
    <n v="24"/>
    <n v="0.96"/>
    <n v="1"/>
    <d v="1899-12-30T00:00:03"/>
    <d v="1899-12-30T00:02:44"/>
    <d v="1899-12-30T00:00:46"/>
    <n v="0.96"/>
    <d v="1899-12-30T01:05:36"/>
    <d v="1900-01-01T17:36:00"/>
    <d v="1899-12-30T01:08:20"/>
    <d v="1900-01-01T20:20:00"/>
  </r>
  <r>
    <d v="2023-05-15T00:00:00"/>
    <x v="5"/>
    <x v="4"/>
    <x v="14"/>
    <x v="3"/>
    <n v="1231"/>
    <n v="203"/>
    <n v="195"/>
    <n v="0.96060000000000001"/>
    <n v="8"/>
    <d v="1899-12-30T00:00:08"/>
    <d v="1899-12-30T00:02:38"/>
    <d v="1899-12-30T00:08:34"/>
    <n v="0.88560000000000005"/>
    <d v="1899-12-30T08:33:30"/>
    <d v="1900-01-20T09:30:00"/>
    <d v="1899-12-30T08:54:34"/>
    <d v="1900-01-21T06:34:00"/>
  </r>
  <r>
    <d v="2023-05-16T00:00:00"/>
    <x v="6"/>
    <x v="4"/>
    <x v="15"/>
    <x v="3"/>
    <n v="1232"/>
    <n v="296"/>
    <n v="292"/>
    <n v="0.98650000000000004"/>
    <n v="4"/>
    <d v="1899-12-30T00:00:04"/>
    <d v="1899-12-30T00:02:40"/>
    <d v="1899-12-30T00:00:58"/>
    <n v="0.98629999999999995"/>
    <d v="1899-12-30T12:58:40"/>
    <d v="1900-01-31T10:40:00"/>
    <d v="1899-12-30T13:09:20"/>
    <d v="1900-01-31T21:20:00"/>
  </r>
  <r>
    <d v="2023-05-17T00:00:00"/>
    <x v="0"/>
    <x v="4"/>
    <x v="16"/>
    <x v="3"/>
    <n v="1233"/>
    <n v="233"/>
    <n v="223"/>
    <n v="0.95709999999999995"/>
    <n v="10"/>
    <d v="1899-12-30T00:00:09"/>
    <d v="1899-12-30T00:02:47"/>
    <d v="1899-12-30T00:01:46"/>
    <n v="0.87829999999999997"/>
    <d v="1899-12-30T10:20:41"/>
    <d v="1900-01-24T20:41:00"/>
    <d v="1899-12-30T10:48:31"/>
    <d v="1900-01-26T00:31:00"/>
  </r>
  <r>
    <d v="2023-05-18T00:00:00"/>
    <x v="1"/>
    <x v="4"/>
    <x v="17"/>
    <x v="3"/>
    <n v="1234"/>
    <n v="198"/>
    <n v="194"/>
    <n v="0.9798"/>
    <n v="4"/>
    <d v="1899-12-30T00:00:08"/>
    <d v="1899-12-30T00:02:42"/>
    <d v="1899-12-30T00:01:43"/>
    <n v="0.91790000000000005"/>
    <d v="1899-12-30T08:43:48"/>
    <d v="1900-01-20T19:48:00"/>
    <d v="1899-12-30T08:54:36"/>
    <d v="1900-01-21T06:36:00"/>
  </r>
  <r>
    <d v="2023-05-19T00:00:00"/>
    <x v="2"/>
    <x v="4"/>
    <x v="18"/>
    <x v="3"/>
    <n v="1235"/>
    <n v="181"/>
    <n v="179"/>
    <n v="0.98899999999999999"/>
    <n v="2"/>
    <d v="1899-12-30T00:00:04"/>
    <d v="1899-12-30T00:02:39"/>
    <d v="1899-12-30T00:00:48"/>
    <n v="0.99439999999999995"/>
    <d v="1899-12-30T07:54:21"/>
    <d v="1900-01-18T18:21:00"/>
    <d v="1899-12-30T07:59:39"/>
    <d v="1900-01-18T23:39:00"/>
  </r>
  <r>
    <d v="2023-05-20T00:00:00"/>
    <x v="3"/>
    <x v="4"/>
    <x v="19"/>
    <x v="3"/>
    <n v="1236"/>
    <n v="166"/>
    <n v="162"/>
    <n v="0.97589999999999999"/>
    <n v="4"/>
    <d v="1899-12-30T00:00:06"/>
    <d v="1899-12-30T00:02:39"/>
    <d v="1899-12-30T00:01:01"/>
    <n v="0.93869999999999998"/>
    <d v="1899-12-30T07:09:18"/>
    <d v="1900-01-16T21:18:00"/>
    <d v="1899-12-30T07:19:54"/>
    <d v="1900-01-17T07:54:00"/>
  </r>
  <r>
    <d v="2023-05-21T00:00:00"/>
    <x v="4"/>
    <x v="4"/>
    <x v="20"/>
    <x v="3"/>
    <n v="1237"/>
    <n v="19"/>
    <n v="19"/>
    <n v="1"/>
    <n v="0"/>
    <d v="1899-12-30T00:00:03"/>
    <d v="1899-12-30T00:02:27"/>
    <d v="1899-12-30T00:00:03"/>
    <n v="1"/>
    <d v="1899-12-30T00:46:33"/>
    <d v="1899-12-31T22:33:00"/>
    <d v="1899-12-30T00:46:33"/>
    <d v="1899-12-31T22:33:00"/>
  </r>
  <r>
    <d v="2023-05-22T00:00:00"/>
    <x v="5"/>
    <x v="4"/>
    <x v="21"/>
    <x v="3"/>
    <n v="1238"/>
    <n v="196"/>
    <n v="181"/>
    <n v="0.92349999999999999"/>
    <n v="15"/>
    <d v="1899-12-30T00:00:14"/>
    <d v="1899-12-30T00:02:37"/>
    <d v="1899-12-30T00:02:36"/>
    <n v="0.78129999999999999"/>
    <d v="1899-12-30T07:53:37"/>
    <d v="1900-01-18T17:37:00"/>
    <d v="1899-12-30T08:32:52"/>
    <d v="1900-01-20T08:52:00"/>
  </r>
  <r>
    <d v="2023-05-23T00:00:00"/>
    <x v="6"/>
    <x v="4"/>
    <x v="22"/>
    <x v="3"/>
    <n v="1239"/>
    <n v="176"/>
    <n v="172"/>
    <n v="0.97729999999999995"/>
    <n v="4"/>
    <d v="1899-12-30T00:00:16"/>
    <d v="1899-12-30T00:02:30"/>
    <d v="1899-12-30T00:02:56"/>
    <n v="0.79430000000000001"/>
    <d v="1899-12-30T07:10:00"/>
    <d v="1900-01-16T22:00:00"/>
    <d v="1899-12-30T07:20:00"/>
    <d v="1900-01-17T08:00:00"/>
  </r>
  <r>
    <d v="2023-05-24T00:00:00"/>
    <x v="0"/>
    <x v="4"/>
    <x v="23"/>
    <x v="3"/>
    <n v="1240"/>
    <n v="221"/>
    <n v="209"/>
    <n v="0.94569999999999999"/>
    <n v="12"/>
    <d v="1899-12-30T00:00:12"/>
    <d v="1899-12-30T00:02:42"/>
    <d v="1899-12-30T00:02:50"/>
    <n v="0.8387"/>
    <d v="1899-12-30T09:24:18"/>
    <d v="1900-01-22T12:18:00"/>
    <d v="1899-12-30T09:56:42"/>
    <d v="1900-01-23T20:42:00"/>
  </r>
  <r>
    <d v="2023-05-25T00:00:00"/>
    <x v="1"/>
    <x v="4"/>
    <x v="24"/>
    <x v="3"/>
    <n v="1241"/>
    <n v="196"/>
    <n v="191"/>
    <n v="0.97450000000000003"/>
    <n v="5"/>
    <d v="1899-12-30T00:00:14"/>
    <d v="1899-12-30T00:02:51"/>
    <d v="1899-12-30T00:05:54"/>
    <n v="0.86009999999999998"/>
    <d v="1899-12-30T09:04:21"/>
    <d v="1900-01-21T16:21:00"/>
    <d v="1899-12-30T09:18:36"/>
    <d v="1900-01-22T06:36:00"/>
  </r>
  <r>
    <d v="2023-05-26T00:00:00"/>
    <x v="2"/>
    <x v="4"/>
    <x v="25"/>
    <x v="3"/>
    <n v="1242"/>
    <n v="211"/>
    <n v="202"/>
    <n v="0.95730000000000004"/>
    <n v="9"/>
    <d v="1899-12-30T00:00:15"/>
    <d v="1899-12-30T00:02:46"/>
    <d v="1899-12-30T00:02:54"/>
    <n v="0.79330000000000001"/>
    <d v="1899-12-30T09:18:52"/>
    <d v="1900-01-22T06:52:00"/>
    <d v="1899-12-30T09:43:46"/>
    <d v="1900-01-23T07:46:00"/>
  </r>
  <r>
    <d v="2023-05-27T00:00:00"/>
    <x v="3"/>
    <x v="4"/>
    <x v="26"/>
    <x v="3"/>
    <n v="1243"/>
    <n v="201"/>
    <n v="194"/>
    <n v="0.96519999999999995"/>
    <n v="7"/>
    <d v="1899-12-30T00:00:16"/>
    <d v="1899-12-30T00:02:49"/>
    <d v="1899-12-30T00:03:28"/>
    <n v="0.81410000000000005"/>
    <d v="1899-12-30T09:06:26"/>
    <d v="1900-01-21T18:26:00"/>
    <d v="1899-12-30T09:26:09"/>
    <d v="1900-01-22T14:09:00"/>
  </r>
  <r>
    <d v="2023-05-28T00:00:00"/>
    <x v="4"/>
    <x v="4"/>
    <x v="27"/>
    <x v="3"/>
    <n v="1244"/>
    <n v="23"/>
    <n v="22"/>
    <n v="0.95650000000000002"/>
    <n v="1"/>
    <d v="1899-12-30T00:00:10"/>
    <d v="1899-12-30T00:03:02"/>
    <d v="1899-12-30T00:01:02"/>
    <n v="0.82609999999999995"/>
    <d v="1899-12-30T01:06:44"/>
    <d v="1900-01-01T18:44:00"/>
    <d v="1899-12-30T01:09:46"/>
    <d v="1900-01-01T21:46:00"/>
  </r>
  <r>
    <d v="2023-05-29T00:00:00"/>
    <x v="5"/>
    <x v="4"/>
    <x v="28"/>
    <x v="3"/>
    <n v="1245"/>
    <n v="225"/>
    <n v="210"/>
    <n v="0.93330000000000002"/>
    <n v="15"/>
    <d v="1899-12-30T00:00:10"/>
    <d v="1899-12-30T00:02:37"/>
    <d v="1899-12-30T00:03:37"/>
    <n v="0.85909999999999997"/>
    <d v="1899-12-30T09:09:30"/>
    <d v="1900-01-21T21:30:00"/>
    <d v="1899-12-30T09:48:45"/>
    <d v="1900-01-23T12:45:00"/>
  </r>
  <r>
    <d v="2023-05-30T00:00:00"/>
    <x v="6"/>
    <x v="4"/>
    <x v="29"/>
    <x v="3"/>
    <n v="1246"/>
    <n v="202"/>
    <n v="195"/>
    <n v="0.96530000000000005"/>
    <n v="7"/>
    <d v="1899-12-30T00:00:11"/>
    <d v="1899-12-30T00:02:47"/>
    <d v="1899-12-30T00:01:52"/>
    <n v="0.86799999999999999"/>
    <d v="1899-12-30T09:02:45"/>
    <d v="1900-01-21T14:45:00"/>
    <d v="1899-12-30T09:22:14"/>
    <d v="1900-01-22T10:14:00"/>
  </r>
  <r>
    <d v="2023-05-31T00:00:00"/>
    <x v="0"/>
    <x v="4"/>
    <x v="30"/>
    <x v="3"/>
    <n v="1247"/>
    <n v="191"/>
    <n v="184"/>
    <n v="0.96340000000000003"/>
    <n v="7"/>
    <d v="1899-12-30T00:00:07"/>
    <d v="1899-12-30T00:02:50"/>
    <d v="1899-12-30T00:01:56"/>
    <n v="0.92549999999999999"/>
    <d v="1899-12-30T08:41:20"/>
    <d v="1900-01-20T17:20:00"/>
    <d v="1899-12-30T09:01:10"/>
    <d v="1900-01-21T13:10:00"/>
  </r>
  <r>
    <d v="2023-06-01T00:00:00"/>
    <x v="1"/>
    <x v="5"/>
    <x v="0"/>
    <x v="3"/>
    <n v="1248"/>
    <n v="212"/>
    <n v="209"/>
    <n v="0.98580000000000001"/>
    <n v="3"/>
    <d v="1899-12-30T00:00:10"/>
    <d v="1899-12-30T00:02:51"/>
    <d v="1899-12-30T00:01:45"/>
    <n v="0.89100000000000001"/>
    <d v="1899-12-30T09:55:39"/>
    <d v="1900-01-23T19:39:00"/>
    <d v="1899-12-30T10:04:12"/>
    <d v="1900-01-24T04:12:00"/>
  </r>
  <r>
    <d v="2023-06-02T00:00:00"/>
    <x v="2"/>
    <x v="5"/>
    <x v="1"/>
    <x v="3"/>
    <n v="1249"/>
    <n v="210"/>
    <n v="203"/>
    <n v="0.9667"/>
    <n v="7"/>
    <d v="1899-12-30T00:00:12"/>
    <d v="1899-12-30T00:03:22"/>
    <d v="1899-12-30T00:03:52"/>
    <n v="0.85240000000000005"/>
    <d v="1899-12-30T11:23:26"/>
    <d v="1900-01-27T11:26:00"/>
    <d v="1899-12-30T11:47:00"/>
    <d v="1900-01-28T11:00:00"/>
  </r>
  <r>
    <d v="2023-06-03T00:00:00"/>
    <x v="3"/>
    <x v="5"/>
    <x v="2"/>
    <x v="3"/>
    <n v="1250"/>
    <n v="167"/>
    <n v="159"/>
    <n v="0.95209999999999995"/>
    <n v="8"/>
    <d v="1899-12-30T00:00:16"/>
    <d v="1899-12-30T00:03:16"/>
    <d v="1899-12-30T00:02:42"/>
    <n v="0.83030000000000004"/>
    <d v="1899-12-30T08:39:24"/>
    <d v="1900-01-20T15:24:00"/>
    <d v="1899-12-30T09:05:32"/>
    <d v="1900-01-21T17:32:00"/>
  </r>
  <r>
    <d v="2023-06-04T00:00:00"/>
    <x v="4"/>
    <x v="5"/>
    <x v="3"/>
    <x v="3"/>
    <n v="1251"/>
    <n v="12"/>
    <n v="11"/>
    <n v="0.91669999999999996"/>
    <n v="1"/>
    <d v="1899-12-30T00:00:03"/>
    <d v="1899-12-30T00:02:12"/>
    <d v="1899-12-30T00:00:58"/>
    <n v="0.91669999999999996"/>
    <d v="1899-12-30T00:24:12"/>
    <d v="1899-12-31T00:12:00"/>
    <d v="1899-12-30T00:26:24"/>
    <d v="1899-12-31T02:2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17111-1750-424B-9A33-B0F7A5C18A0C}" name="PivotTable2" cacheId="1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1" firstHeaderRow="0" firstDataRow="1" firstDataCol="1"/>
  <pivotFields count="18">
    <pivotField compact="0" numFmtId="165" outline="0" showAll="0"/>
    <pivotField axis="axisRow" compact="0" outline="0" showAll="0">
      <items count="8">
        <item x="4"/>
        <item x="5"/>
        <item x="6"/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0" outline="0" showAll="0"/>
    <pivotField compact="0" numFmtId="46" outline="0" showAll="0"/>
    <pivotField compact="0" numFmtId="46" outline="0" showAll="0"/>
    <pivotField compact="0" numFmtId="46" outline="0" showAll="0"/>
    <pivotField compact="0" numFmtId="46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coming Calls" fld="6" baseField="0" baseItem="0"/>
    <dataField name="Sum of Answered Call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0CC8B-46C1-467B-BC91-503882859B9C}" name="PivotTable1" cacheId="1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8">
    <pivotField compact="0" numFmtId="165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0" outline="0" showAll="0"/>
    <pivotField compact="0" numFmtId="46" outline="0" showAll="0"/>
    <pivotField compact="0" numFmtId="46" outline="0" showAll="0"/>
    <pivotField compact="0" numFmtId="46" outline="0" showAll="0"/>
    <pivotField compact="0" numFmtId="46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Incoming Call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FCA70-F0A5-475C-B27B-CF875DCD1402}" name="PivotTable2" cacheId="1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50" firstHeaderRow="1" firstDataRow="1" firstDataCol="2"/>
  <pivotFields count="18">
    <pivotField compact="0" numFmtId="165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0" outline="0" showAll="0"/>
    <pivotField compact="0" numFmtId="46" outline="0" showAll="0"/>
    <pivotField compact="0" numFmtId="46" outline="0" showAll="0"/>
    <pivotField compact="0" numFmtId="46" outline="0" showAll="0"/>
    <pivotField compact="0" numFmtId="46" outline="0" showAll="0"/>
  </pivotFields>
  <rowFields count="2">
    <field x="4"/>
    <field x="2"/>
  </rowFields>
  <rowItems count="4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t="default">
      <x v="3"/>
    </i>
    <i t="grand">
      <x/>
    </i>
  </rowItems>
  <colItems count="1">
    <i/>
  </colItems>
  <dataFields count="1">
    <dataField name="Sum of Incoming Call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D8B69-C0DD-4CA4-97A3-46BB82FF6295}" name="PivotTable3" cacheId="10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36" firstHeaderRow="1" firstDataRow="2" firstDataCol="2"/>
  <pivotFields count="18">
    <pivotField compact="0" numFmtId="165" outline="0" showAll="0"/>
    <pivotField compact="0" outline="0" showAll="0">
      <items count="8">
        <item x="4"/>
        <item x="5"/>
        <item x="6"/>
        <item x="0"/>
        <item x="1"/>
        <item x="2"/>
        <item x="3"/>
        <item t="default"/>
      </items>
    </pivotField>
    <pivotField axis="axisRow" compact="0" outline="0"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Row" compact="0" outline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compact="0" outline="0" showAll="0">
      <items count="5">
        <item x="0"/>
        <item x="1"/>
        <item x="2"/>
        <item h="1" x="3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0" outline="0" showAll="0"/>
    <pivotField compact="0" numFmtId="46" outline="0" showAll="0"/>
    <pivotField compact="0" numFmtId="46" outline="0" showAll="0"/>
    <pivotField compact="0" numFmtId="46" outline="0" showAll="0"/>
    <pivotField compact="0" numFmtId="46" outline="0" showAll="0"/>
  </pivotFields>
  <rowFields count="2">
    <field x="2"/>
    <field x="3"/>
  </rowFields>
  <rowItems count="32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default">
      <x v="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Incoming Calls" fld="6" baseField="0" baseItem="0"/>
  </dataFields>
  <chartFormats count="4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3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3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3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3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3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3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3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3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3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3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3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3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3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3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3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3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3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3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3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3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3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3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3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3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3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3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6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36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B1BA5-8ED5-4B6D-8715-750CAB35E2D9}" name="Table1" displayName="Table1" ref="A1:I1252" totalsRowShown="0" headerRowDxfId="10" dataDxfId="9">
  <autoFilter ref="A1:I1252" xr:uid="{311B1BA5-8ED5-4B6D-8715-750CAB35E2D9}"/>
  <tableColumns count="9">
    <tableColumn id="1" xr3:uid="{51AE7A42-96AF-488F-8B31-1EABF6F77989}" name="Index" dataDxfId="8"/>
    <tableColumn id="2" xr3:uid="{408F0B7B-862E-4DF2-A7FB-A82D4D62D5D6}" name="Incoming Calls" dataDxfId="7"/>
    <tableColumn id="3" xr3:uid="{1C59B8B1-B4C5-42F7-BB0F-B5B3C0C93462}" name="Answered Calls" dataDxfId="6"/>
    <tableColumn id="4" xr3:uid="{8F562570-6305-4290-834B-1646F8A4291A}" name="Answer Rate" dataDxfId="5"/>
    <tableColumn id="5" xr3:uid="{3173D80E-A8CD-4552-8FA4-F28A0D999A01}" name="Abandoned Calls" dataDxfId="4"/>
    <tableColumn id="6" xr3:uid="{76DFDD1B-1019-4255-94C4-E3E7DD01174F}" name="Answer Speed (AVG)" dataDxfId="3"/>
    <tableColumn id="7" xr3:uid="{2E0F6062-A737-4C58-B425-3FF45488DDB0}" name="Talk Duration (AVG)" dataDxfId="2"/>
    <tableColumn id="8" xr3:uid="{33DAE433-A040-42FF-BD5E-137B382A5090}" name="Waiting Time (AVG)" dataDxfId="1"/>
    <tableColumn id="9" xr3:uid="{891E3A40-79E1-4586-9027-28F39AE0EC77}" name="Service Level (20 Seconds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52"/>
  <sheetViews>
    <sheetView workbookViewId="0">
      <selection activeCell="T25" sqref="T25"/>
    </sheetView>
  </sheetViews>
  <sheetFormatPr defaultColWidth="12.5703125" defaultRowHeight="15.75" customHeight="1"/>
  <cols>
    <col min="1" max="1" width="7.7109375" bestFit="1" customWidth="1"/>
    <col min="2" max="2" width="15.28515625" bestFit="1" customWidth="1"/>
    <col min="3" max="3" width="16" bestFit="1" customWidth="1"/>
    <col min="4" max="4" width="13.7109375" bestFit="1" customWidth="1"/>
    <col min="5" max="5" width="17.28515625" bestFit="1" customWidth="1"/>
    <col min="6" max="6" width="20.85546875" bestFit="1" customWidth="1"/>
    <col min="7" max="7" width="19.85546875" bestFit="1" customWidth="1"/>
    <col min="8" max="8" width="19.7109375" bestFit="1" customWidth="1"/>
    <col min="9" max="9" width="25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>
        <v>217</v>
      </c>
      <c r="C2" s="1">
        <v>204</v>
      </c>
      <c r="D2" s="2">
        <v>0.94010000000000005</v>
      </c>
      <c r="E2" s="1">
        <v>13</v>
      </c>
      <c r="F2" s="3">
        <v>1.9675925925925926E-4</v>
      </c>
      <c r="G2" s="3">
        <v>1.5509259259259259E-3</v>
      </c>
      <c r="H2" s="3">
        <v>1.9097222222222222E-3</v>
      </c>
      <c r="I2" s="2">
        <v>0.76280000000000003</v>
      </c>
    </row>
    <row r="3" spans="1:9">
      <c r="A3" s="1">
        <v>2</v>
      </c>
      <c r="B3" s="1">
        <v>200</v>
      </c>
      <c r="C3" s="1">
        <v>182</v>
      </c>
      <c r="D3" s="2">
        <v>0.91</v>
      </c>
      <c r="E3" s="1">
        <v>18</v>
      </c>
      <c r="F3" s="3">
        <v>2.3148148148148149E-4</v>
      </c>
      <c r="G3" s="3">
        <v>1.6435185185185185E-3</v>
      </c>
      <c r="H3" s="3">
        <v>4.8032407407407407E-3</v>
      </c>
      <c r="I3" s="2">
        <v>0.72729999999999995</v>
      </c>
    </row>
    <row r="4" spans="1:9">
      <c r="A4" s="1">
        <v>3</v>
      </c>
      <c r="B4" s="1">
        <v>216</v>
      </c>
      <c r="C4" s="1">
        <v>198</v>
      </c>
      <c r="D4" s="2">
        <v>0.91669999999999996</v>
      </c>
      <c r="E4" s="1">
        <v>18</v>
      </c>
      <c r="F4" s="3">
        <v>2.0833333333333335E-4</v>
      </c>
      <c r="G4" s="3">
        <v>1.8287037037037037E-3</v>
      </c>
      <c r="H4" s="3">
        <v>2.662037037037037E-3</v>
      </c>
      <c r="I4" s="2">
        <v>0.74299999999999999</v>
      </c>
    </row>
    <row r="5" spans="1:9">
      <c r="A5" s="1">
        <v>4</v>
      </c>
      <c r="B5" s="1">
        <v>155</v>
      </c>
      <c r="C5" s="1">
        <v>145</v>
      </c>
      <c r="D5" s="2">
        <v>0.9355</v>
      </c>
      <c r="E5" s="1">
        <v>10</v>
      </c>
      <c r="F5" s="3">
        <v>1.7361111111111112E-4</v>
      </c>
      <c r="G5" s="3">
        <v>1.724537037037037E-3</v>
      </c>
      <c r="H5" s="3">
        <v>2.2222222222222222E-3</v>
      </c>
      <c r="I5" s="2">
        <v>0.79610000000000003</v>
      </c>
    </row>
    <row r="6" spans="1:9">
      <c r="A6" s="1">
        <v>5</v>
      </c>
      <c r="B6" s="1">
        <v>37</v>
      </c>
      <c r="C6" s="1">
        <v>37</v>
      </c>
      <c r="D6" s="2">
        <v>1</v>
      </c>
      <c r="E6" s="1">
        <v>0</v>
      </c>
      <c r="F6" s="3">
        <v>3.4722222222222222E-5</v>
      </c>
      <c r="G6" s="3">
        <v>1.4583333333333334E-3</v>
      </c>
      <c r="H6" s="3">
        <v>4.0509259259259258E-4</v>
      </c>
      <c r="I6" s="2">
        <v>0.97299999999999998</v>
      </c>
    </row>
    <row r="7" spans="1:9">
      <c r="A7" s="1">
        <v>6</v>
      </c>
      <c r="B7" s="1">
        <v>315</v>
      </c>
      <c r="C7" s="1">
        <v>304</v>
      </c>
      <c r="D7" s="2">
        <v>0.96509999999999996</v>
      </c>
      <c r="E7" s="1">
        <v>11</v>
      </c>
      <c r="F7" s="3">
        <v>2.0833333333333335E-4</v>
      </c>
      <c r="G7" s="3">
        <v>1.0995370370370371E-3</v>
      </c>
      <c r="H7" s="3">
        <v>1.8171296296296297E-3</v>
      </c>
      <c r="I7" s="2">
        <v>0.77170000000000005</v>
      </c>
    </row>
    <row r="8" spans="1:9">
      <c r="A8" s="1">
        <v>7</v>
      </c>
      <c r="B8" s="1">
        <v>252</v>
      </c>
      <c r="C8" s="1">
        <v>244</v>
      </c>
      <c r="D8" s="2">
        <v>0.96830000000000005</v>
      </c>
      <c r="E8" s="1">
        <v>8</v>
      </c>
      <c r="F8" s="3">
        <v>1.5046296296296297E-4</v>
      </c>
      <c r="G8" s="3">
        <v>1.2731481481481483E-3</v>
      </c>
      <c r="H8" s="3">
        <v>1.4120370370370369E-3</v>
      </c>
      <c r="I8" s="2">
        <v>0.82</v>
      </c>
    </row>
    <row r="9" spans="1:9">
      <c r="A9" s="1">
        <v>8</v>
      </c>
      <c r="B9" s="1">
        <v>213</v>
      </c>
      <c r="C9" s="1">
        <v>205</v>
      </c>
      <c r="D9" s="2">
        <v>0.96240000000000003</v>
      </c>
      <c r="E9" s="1">
        <v>8</v>
      </c>
      <c r="F9" s="3">
        <v>1.1574074074074075E-4</v>
      </c>
      <c r="G9" s="3">
        <v>1.5046296296296296E-3</v>
      </c>
      <c r="H9" s="3">
        <v>2.3379629629629631E-3</v>
      </c>
      <c r="I9" s="2">
        <v>0.88100000000000001</v>
      </c>
    </row>
    <row r="10" spans="1:9">
      <c r="A10" s="1">
        <v>9</v>
      </c>
      <c r="B10" s="1">
        <v>219</v>
      </c>
      <c r="C10" s="1">
        <v>200</v>
      </c>
      <c r="D10" s="2">
        <v>0.91320000000000001</v>
      </c>
      <c r="E10" s="1">
        <v>19</v>
      </c>
      <c r="F10" s="3">
        <v>1.7361111111111112E-4</v>
      </c>
      <c r="G10" s="3">
        <v>1.5972222222222223E-3</v>
      </c>
      <c r="H10" s="3">
        <v>4.3055555555555555E-3</v>
      </c>
      <c r="I10" s="2">
        <v>0.79449999999999998</v>
      </c>
    </row>
    <row r="11" spans="1:9">
      <c r="A11" s="1">
        <v>10</v>
      </c>
      <c r="B11" s="1">
        <v>371</v>
      </c>
      <c r="C11" s="1">
        <v>348</v>
      </c>
      <c r="D11" s="2">
        <v>0.93799999999999994</v>
      </c>
      <c r="E11" s="1">
        <v>23</v>
      </c>
      <c r="F11" s="3">
        <v>2.199074074074074E-4</v>
      </c>
      <c r="G11" s="3">
        <v>1.1574074074074073E-3</v>
      </c>
      <c r="H11" s="3">
        <v>2.4189814814814816E-3</v>
      </c>
      <c r="I11" s="2">
        <v>0.73629999999999995</v>
      </c>
    </row>
    <row r="12" spans="1:9">
      <c r="A12" s="1">
        <v>11</v>
      </c>
      <c r="B12" s="1">
        <v>166</v>
      </c>
      <c r="C12" s="1">
        <v>164</v>
      </c>
      <c r="D12" s="2">
        <v>0.98799999999999999</v>
      </c>
      <c r="E12" s="1">
        <v>2</v>
      </c>
      <c r="F12" s="3">
        <v>1.3888888888888889E-4</v>
      </c>
      <c r="G12" s="3">
        <v>1.5046296296296296E-3</v>
      </c>
      <c r="H12" s="3">
        <v>1.9212962962962964E-3</v>
      </c>
      <c r="I12" s="2">
        <v>0.81330000000000002</v>
      </c>
    </row>
    <row r="13" spans="1:9">
      <c r="A13" s="1">
        <v>12</v>
      </c>
      <c r="B13" s="1">
        <v>32</v>
      </c>
      <c r="C13" s="1">
        <v>32</v>
      </c>
      <c r="D13" s="2">
        <v>1</v>
      </c>
      <c r="E13" s="1">
        <v>0</v>
      </c>
      <c r="F13" s="3">
        <v>2.3148148148148147E-5</v>
      </c>
      <c r="G13" s="3">
        <v>1.4236111111111112E-3</v>
      </c>
      <c r="H13" s="3">
        <v>3.4722222222222222E-5</v>
      </c>
      <c r="I13" s="2">
        <v>1</v>
      </c>
    </row>
    <row r="14" spans="1:9">
      <c r="A14" s="1">
        <v>13</v>
      </c>
      <c r="B14" s="1">
        <v>231</v>
      </c>
      <c r="C14" s="1">
        <v>222</v>
      </c>
      <c r="D14" s="2">
        <v>0.96099999999999997</v>
      </c>
      <c r="E14" s="1">
        <v>9</v>
      </c>
      <c r="F14" s="3">
        <v>9.2592592592592588E-5</v>
      </c>
      <c r="G14" s="3">
        <v>1.261574074074074E-3</v>
      </c>
      <c r="H14" s="3">
        <v>1.5972222222222223E-3</v>
      </c>
      <c r="I14" s="2">
        <v>0.86460000000000004</v>
      </c>
    </row>
    <row r="15" spans="1:9">
      <c r="A15" s="1">
        <v>14</v>
      </c>
      <c r="B15" s="1">
        <v>205</v>
      </c>
      <c r="C15" s="1">
        <v>197</v>
      </c>
      <c r="D15" s="2">
        <v>0.96099999999999997</v>
      </c>
      <c r="E15" s="1">
        <v>8</v>
      </c>
      <c r="F15" s="3">
        <v>8.1018518518518516E-5</v>
      </c>
      <c r="G15" s="3">
        <v>1.2962962962962963E-3</v>
      </c>
      <c r="H15" s="3">
        <v>1.9444444444444444E-3</v>
      </c>
      <c r="I15" s="2">
        <v>0.92610000000000003</v>
      </c>
    </row>
    <row r="16" spans="1:9">
      <c r="A16" s="1">
        <v>15</v>
      </c>
      <c r="B16" s="1">
        <v>338</v>
      </c>
      <c r="C16" s="1">
        <v>313</v>
      </c>
      <c r="D16" s="2">
        <v>0.92600000000000005</v>
      </c>
      <c r="E16" s="1">
        <v>25</v>
      </c>
      <c r="F16" s="3">
        <v>1.5046296296296297E-4</v>
      </c>
      <c r="G16" s="3">
        <v>1.2847222222222223E-3</v>
      </c>
      <c r="H16" s="3">
        <v>2.5462962962962965E-3</v>
      </c>
      <c r="I16" s="2">
        <v>0.80059999999999998</v>
      </c>
    </row>
    <row r="17" spans="1:9">
      <c r="A17" s="1">
        <v>16</v>
      </c>
      <c r="B17" s="1">
        <v>180</v>
      </c>
      <c r="C17" s="1">
        <v>174</v>
      </c>
      <c r="D17" s="2">
        <v>0.9667</v>
      </c>
      <c r="E17" s="1">
        <v>6</v>
      </c>
      <c r="F17" s="3">
        <v>1.5046296296296297E-4</v>
      </c>
      <c r="G17" s="3">
        <v>1.5972222222222223E-3</v>
      </c>
      <c r="H17" s="3">
        <v>2.3842592592592591E-3</v>
      </c>
      <c r="I17" s="2">
        <v>0.83799999999999997</v>
      </c>
    </row>
    <row r="18" spans="1:9">
      <c r="A18" s="1">
        <v>17</v>
      </c>
      <c r="B18" s="1">
        <v>226</v>
      </c>
      <c r="C18" s="1">
        <v>211</v>
      </c>
      <c r="D18" s="2">
        <v>0.93359999999999999</v>
      </c>
      <c r="E18" s="1">
        <v>15</v>
      </c>
      <c r="F18" s="3">
        <v>2.3148148148148149E-4</v>
      </c>
      <c r="G18" s="3">
        <v>1.4351851851851852E-3</v>
      </c>
      <c r="H18" s="3">
        <v>3.3912037037037036E-3</v>
      </c>
      <c r="I18" s="2">
        <v>0.76229999999999998</v>
      </c>
    </row>
    <row r="19" spans="1:9">
      <c r="A19" s="1">
        <v>18</v>
      </c>
      <c r="B19" s="1">
        <v>226</v>
      </c>
      <c r="C19" s="1">
        <v>212</v>
      </c>
      <c r="D19" s="2">
        <v>0.93810000000000004</v>
      </c>
      <c r="E19" s="1">
        <v>14</v>
      </c>
      <c r="F19" s="3">
        <v>1.1574074074074075E-4</v>
      </c>
      <c r="G19" s="3">
        <v>1.4236111111111112E-3</v>
      </c>
      <c r="H19" s="3">
        <v>1.9097222222222222E-3</v>
      </c>
      <c r="I19" s="2">
        <v>0.84440000000000004</v>
      </c>
    </row>
    <row r="20" spans="1:9">
      <c r="A20" s="1">
        <v>19</v>
      </c>
      <c r="B20" s="1">
        <v>45</v>
      </c>
      <c r="C20" s="1">
        <v>44</v>
      </c>
      <c r="D20" s="2">
        <v>0.9778</v>
      </c>
      <c r="E20" s="1">
        <v>1</v>
      </c>
      <c r="F20" s="3">
        <v>2.3148148148148147E-5</v>
      </c>
      <c r="G20" s="3">
        <v>1.4351851851851852E-3</v>
      </c>
      <c r="H20" s="3">
        <v>6.3657407407407413E-4</v>
      </c>
      <c r="I20" s="2">
        <v>0.9778</v>
      </c>
    </row>
    <row r="21" spans="1:9">
      <c r="A21" s="1">
        <v>20</v>
      </c>
      <c r="B21" s="1">
        <v>218</v>
      </c>
      <c r="C21" s="1">
        <v>194</v>
      </c>
      <c r="D21" s="2">
        <v>0.88990000000000002</v>
      </c>
      <c r="E21" s="1">
        <v>24</v>
      </c>
      <c r="F21" s="3">
        <v>3.0092592592592595E-4</v>
      </c>
      <c r="G21" s="3">
        <v>1.8865740740740742E-3</v>
      </c>
      <c r="H21" s="3">
        <v>4.4907407407407405E-3</v>
      </c>
      <c r="I21" s="2">
        <v>0.68979999999999997</v>
      </c>
    </row>
    <row r="22" spans="1:9">
      <c r="A22" s="1">
        <v>21</v>
      </c>
      <c r="B22" s="1">
        <v>187</v>
      </c>
      <c r="C22" s="1">
        <v>174</v>
      </c>
      <c r="D22" s="2">
        <v>0.93049999999999999</v>
      </c>
      <c r="E22" s="1">
        <v>13</v>
      </c>
      <c r="F22" s="3">
        <v>1.7361111111111112E-4</v>
      </c>
      <c r="G22" s="3">
        <v>1.5740740740740741E-3</v>
      </c>
      <c r="H22" s="3">
        <v>3.2291666666666666E-3</v>
      </c>
      <c r="I22" s="2">
        <v>0.81520000000000004</v>
      </c>
    </row>
    <row r="23" spans="1:9">
      <c r="A23" s="1">
        <v>22</v>
      </c>
      <c r="B23" s="1">
        <v>191</v>
      </c>
      <c r="C23" s="1">
        <v>184</v>
      </c>
      <c r="D23" s="2">
        <v>0.96340000000000003</v>
      </c>
      <c r="E23" s="1">
        <v>7</v>
      </c>
      <c r="F23" s="3">
        <v>1.1574074074074075E-4</v>
      </c>
      <c r="G23" s="3">
        <v>1.4930555555555556E-3</v>
      </c>
      <c r="H23" s="3">
        <v>2.5462962962962965E-3</v>
      </c>
      <c r="I23" s="2">
        <v>0.85640000000000005</v>
      </c>
    </row>
    <row r="24" spans="1:9">
      <c r="A24" s="1">
        <v>23</v>
      </c>
      <c r="B24" s="1">
        <v>188</v>
      </c>
      <c r="C24" s="1">
        <v>174</v>
      </c>
      <c r="D24" s="2">
        <v>0.92549999999999999</v>
      </c>
      <c r="E24" s="1">
        <v>14</v>
      </c>
      <c r="F24" s="3">
        <v>1.7361111111111112E-4</v>
      </c>
      <c r="G24" s="3">
        <v>1.6782407407407408E-3</v>
      </c>
      <c r="H24" s="3">
        <v>2.1875000000000002E-3</v>
      </c>
      <c r="I24" s="2">
        <v>0.76880000000000004</v>
      </c>
    </row>
    <row r="25" spans="1:9">
      <c r="A25" s="1">
        <v>24</v>
      </c>
      <c r="B25" s="1">
        <v>154</v>
      </c>
      <c r="C25" s="1">
        <v>148</v>
      </c>
      <c r="D25" s="2">
        <v>0.96099999999999997</v>
      </c>
      <c r="E25" s="1">
        <v>6</v>
      </c>
      <c r="F25" s="3">
        <v>1.1574074074074075E-4</v>
      </c>
      <c r="G25" s="3">
        <v>1.7013888888888888E-3</v>
      </c>
      <c r="H25" s="3">
        <v>2.5000000000000001E-3</v>
      </c>
      <c r="I25" s="2">
        <v>0.85060000000000002</v>
      </c>
    </row>
    <row r="26" spans="1:9">
      <c r="A26" s="1">
        <v>25</v>
      </c>
      <c r="B26" s="1">
        <v>166</v>
      </c>
      <c r="C26" s="1">
        <v>150</v>
      </c>
      <c r="D26" s="2">
        <v>0.90359999999999996</v>
      </c>
      <c r="E26" s="1">
        <v>16</v>
      </c>
      <c r="F26" s="3">
        <v>2.0833333333333335E-4</v>
      </c>
      <c r="G26" s="3">
        <v>1.6898148148148148E-3</v>
      </c>
      <c r="H26" s="3">
        <v>3.2175925925925926E-3</v>
      </c>
      <c r="I26" s="2">
        <v>0.76829999999999998</v>
      </c>
    </row>
    <row r="27" spans="1:9">
      <c r="A27" s="1">
        <v>26</v>
      </c>
      <c r="B27" s="1">
        <v>58</v>
      </c>
      <c r="C27" s="1">
        <v>57</v>
      </c>
      <c r="D27" s="2">
        <v>0.98280000000000001</v>
      </c>
      <c r="E27" s="1">
        <v>1</v>
      </c>
      <c r="F27" s="3">
        <v>4.6296296296296294E-5</v>
      </c>
      <c r="G27" s="3">
        <v>1.6898148148148148E-3</v>
      </c>
      <c r="H27" s="3">
        <v>6.7129629629629625E-4</v>
      </c>
      <c r="I27" s="2">
        <v>0.94830000000000003</v>
      </c>
    </row>
    <row r="28" spans="1:9">
      <c r="A28" s="1">
        <v>27</v>
      </c>
      <c r="B28" s="1">
        <v>160</v>
      </c>
      <c r="C28" s="1">
        <v>153</v>
      </c>
      <c r="D28" s="2">
        <v>0.95630000000000004</v>
      </c>
      <c r="E28" s="1">
        <v>7</v>
      </c>
      <c r="F28" s="3">
        <v>1.1574074074074075E-4</v>
      </c>
      <c r="G28" s="3">
        <v>1.6550925925925926E-3</v>
      </c>
      <c r="H28" s="3">
        <v>1.9097222222222222E-3</v>
      </c>
      <c r="I28" s="2">
        <v>0.84909999999999997</v>
      </c>
    </row>
    <row r="29" spans="1:9">
      <c r="A29" s="1">
        <v>28</v>
      </c>
      <c r="B29" s="1">
        <v>86</v>
      </c>
      <c r="C29" s="1">
        <v>79</v>
      </c>
      <c r="D29" s="2">
        <v>0.91859999999999997</v>
      </c>
      <c r="E29" s="1">
        <v>7</v>
      </c>
      <c r="F29" s="3">
        <v>3.7037037037037035E-4</v>
      </c>
      <c r="G29" s="3">
        <v>1.8865740740740742E-3</v>
      </c>
      <c r="H29" s="3">
        <v>3.2407407407407406E-3</v>
      </c>
      <c r="I29" s="2">
        <v>0.61629999999999996</v>
      </c>
    </row>
    <row r="30" spans="1:9">
      <c r="A30" s="1">
        <v>29</v>
      </c>
      <c r="B30" s="1">
        <v>180</v>
      </c>
      <c r="C30" s="1">
        <v>170</v>
      </c>
      <c r="D30" s="2">
        <v>0.94440000000000002</v>
      </c>
      <c r="E30" s="1">
        <v>10</v>
      </c>
      <c r="F30" s="3">
        <v>2.6620370370370372E-4</v>
      </c>
      <c r="G30" s="3">
        <v>1.7476851851851852E-3</v>
      </c>
      <c r="H30" s="3">
        <v>3.9930555555555552E-3</v>
      </c>
      <c r="I30" s="2">
        <v>0.77529999999999999</v>
      </c>
    </row>
    <row r="31" spans="1:9">
      <c r="A31" s="1">
        <v>30</v>
      </c>
      <c r="B31" s="1">
        <v>210</v>
      </c>
      <c r="C31" s="1">
        <v>192</v>
      </c>
      <c r="D31" s="2">
        <v>0.9143</v>
      </c>
      <c r="E31" s="1">
        <v>18</v>
      </c>
      <c r="F31" s="3">
        <v>3.0092592592592595E-4</v>
      </c>
      <c r="G31" s="3">
        <v>1.5740740740740741E-3</v>
      </c>
      <c r="H31" s="3">
        <v>3.8773148148148148E-3</v>
      </c>
      <c r="I31" s="2">
        <v>0.67459999999999998</v>
      </c>
    </row>
    <row r="32" spans="1:9">
      <c r="A32" s="1">
        <v>31</v>
      </c>
      <c r="B32" s="1">
        <v>163</v>
      </c>
      <c r="C32" s="1">
        <v>157</v>
      </c>
      <c r="D32" s="2">
        <v>0.96319999999999995</v>
      </c>
      <c r="E32" s="1">
        <v>6</v>
      </c>
      <c r="F32" s="3">
        <v>1.6203703703703703E-4</v>
      </c>
      <c r="G32" s="3">
        <v>1.6087962962962963E-3</v>
      </c>
      <c r="H32" s="3">
        <v>2.0254629629629629E-3</v>
      </c>
      <c r="I32" s="2">
        <v>0.81369999999999998</v>
      </c>
    </row>
    <row r="33" spans="1:9">
      <c r="A33" s="1">
        <v>32</v>
      </c>
      <c r="B33" s="1">
        <v>143</v>
      </c>
      <c r="C33" s="1">
        <v>140</v>
      </c>
      <c r="D33" s="2">
        <v>0.97899999999999998</v>
      </c>
      <c r="E33" s="1">
        <v>3</v>
      </c>
      <c r="F33" s="3">
        <v>1.7361111111111112E-4</v>
      </c>
      <c r="G33" s="3">
        <v>1.6203703703703703E-3</v>
      </c>
      <c r="H33" s="3">
        <v>3.2754629629629631E-3</v>
      </c>
      <c r="I33" s="2">
        <v>0.82520000000000004</v>
      </c>
    </row>
    <row r="34" spans="1:9">
      <c r="A34" s="1">
        <v>33</v>
      </c>
      <c r="B34" s="1">
        <v>57</v>
      </c>
      <c r="C34" s="1">
        <v>55</v>
      </c>
      <c r="D34" s="2">
        <v>0.96489999999999998</v>
      </c>
      <c r="E34" s="1">
        <v>2</v>
      </c>
      <c r="F34" s="3">
        <v>6.9444444444444444E-5</v>
      </c>
      <c r="G34" s="3">
        <v>1.4236111111111112E-3</v>
      </c>
      <c r="H34" s="3">
        <v>1.2731481481481483E-3</v>
      </c>
      <c r="I34" s="2">
        <v>0.9123</v>
      </c>
    </row>
    <row r="35" spans="1:9">
      <c r="A35" s="1">
        <v>34</v>
      </c>
      <c r="B35" s="1">
        <v>179</v>
      </c>
      <c r="C35" s="1">
        <v>172</v>
      </c>
      <c r="D35" s="2">
        <v>0.96089999999999998</v>
      </c>
      <c r="E35" s="1">
        <v>7</v>
      </c>
      <c r="F35" s="3">
        <v>1.5046296296296297E-4</v>
      </c>
      <c r="G35" s="3">
        <v>1.5856481481481481E-3</v>
      </c>
      <c r="H35" s="3">
        <v>2.3495370370370371E-3</v>
      </c>
      <c r="I35" s="2">
        <v>0.82489999999999997</v>
      </c>
    </row>
    <row r="36" spans="1:9">
      <c r="A36" s="1">
        <v>35</v>
      </c>
      <c r="B36" s="1">
        <v>194</v>
      </c>
      <c r="C36" s="1">
        <v>184</v>
      </c>
      <c r="D36" s="2">
        <v>0.94850000000000001</v>
      </c>
      <c r="E36" s="1">
        <v>10</v>
      </c>
      <c r="F36" s="3">
        <v>2.7777777777777778E-4</v>
      </c>
      <c r="G36" s="3">
        <v>1.6666666666666668E-3</v>
      </c>
      <c r="H36" s="3">
        <v>2.3032407407407407E-3</v>
      </c>
      <c r="I36" s="2">
        <v>0.70099999999999996</v>
      </c>
    </row>
    <row r="37" spans="1:9">
      <c r="A37" s="1">
        <v>36</v>
      </c>
      <c r="B37" s="1">
        <v>201</v>
      </c>
      <c r="C37" s="1">
        <v>196</v>
      </c>
      <c r="D37" s="2">
        <v>0.97509999999999997</v>
      </c>
      <c r="E37" s="1">
        <v>5</v>
      </c>
      <c r="F37" s="3">
        <v>1.7361111111111112E-4</v>
      </c>
      <c r="G37" s="3">
        <v>1.5740740740740741E-3</v>
      </c>
      <c r="H37" s="3">
        <v>3.3912037037037036E-3</v>
      </c>
      <c r="I37" s="2">
        <v>0.81589999999999996</v>
      </c>
    </row>
    <row r="38" spans="1:9">
      <c r="A38" s="1">
        <v>37</v>
      </c>
      <c r="B38" s="1">
        <v>218</v>
      </c>
      <c r="C38" s="1">
        <v>189</v>
      </c>
      <c r="D38" s="2">
        <v>0.86699999999999999</v>
      </c>
      <c r="E38" s="1">
        <v>29</v>
      </c>
      <c r="F38" s="3">
        <v>3.7037037037037035E-4</v>
      </c>
      <c r="G38" s="3">
        <v>1.8171296296296297E-3</v>
      </c>
      <c r="H38" s="3">
        <v>5.6018518518518518E-3</v>
      </c>
      <c r="I38" s="2">
        <v>0.57410000000000005</v>
      </c>
    </row>
    <row r="39" spans="1:9">
      <c r="A39" s="1">
        <v>38</v>
      </c>
      <c r="B39" s="1">
        <v>194</v>
      </c>
      <c r="C39" s="1">
        <v>190</v>
      </c>
      <c r="D39" s="2">
        <v>0.97940000000000005</v>
      </c>
      <c r="E39" s="1">
        <v>4</v>
      </c>
      <c r="F39" s="3">
        <v>1.8518518518518518E-4</v>
      </c>
      <c r="G39" s="3">
        <v>1.6435185185185185E-3</v>
      </c>
      <c r="H39" s="3">
        <v>1.4120370370370369E-3</v>
      </c>
      <c r="I39" s="2">
        <v>0.81769999999999998</v>
      </c>
    </row>
    <row r="40" spans="1:9">
      <c r="A40" s="1">
        <v>39</v>
      </c>
      <c r="B40" s="1">
        <v>227</v>
      </c>
      <c r="C40" s="1">
        <v>219</v>
      </c>
      <c r="D40" s="2">
        <v>0.96479999999999999</v>
      </c>
      <c r="E40" s="1">
        <v>8</v>
      </c>
      <c r="F40" s="3">
        <v>1.7361111111111112E-4</v>
      </c>
      <c r="G40" s="3">
        <v>1.8981481481481482E-3</v>
      </c>
      <c r="H40" s="3">
        <v>2.7199074074074074E-3</v>
      </c>
      <c r="I40" s="2">
        <v>0.83630000000000004</v>
      </c>
    </row>
    <row r="41" spans="1:9">
      <c r="A41" s="1">
        <v>40</v>
      </c>
      <c r="B41" s="1">
        <v>52</v>
      </c>
      <c r="C41" s="1">
        <v>52</v>
      </c>
      <c r="D41" s="2">
        <v>1</v>
      </c>
      <c r="E41" s="1">
        <v>0</v>
      </c>
      <c r="F41" s="3">
        <v>1.0416666666666667E-4</v>
      </c>
      <c r="G41" s="3">
        <v>1.5740740740740741E-3</v>
      </c>
      <c r="H41" s="3">
        <v>6.018518518518519E-4</v>
      </c>
      <c r="I41" s="2">
        <v>0.94230000000000003</v>
      </c>
    </row>
    <row r="42" spans="1:9">
      <c r="A42" s="1">
        <v>41</v>
      </c>
      <c r="B42" s="1">
        <v>385</v>
      </c>
      <c r="C42" s="1">
        <v>370</v>
      </c>
      <c r="D42" s="2">
        <v>0.96099999999999997</v>
      </c>
      <c r="E42" s="1">
        <v>15</v>
      </c>
      <c r="F42" s="3">
        <v>2.3148148148148149E-4</v>
      </c>
      <c r="G42" s="3">
        <v>1.5162037037037036E-3</v>
      </c>
      <c r="H42" s="3">
        <v>2.1990740740740742E-3</v>
      </c>
      <c r="I42" s="2">
        <v>0.76190000000000002</v>
      </c>
    </row>
    <row r="43" spans="1:9">
      <c r="A43" s="1">
        <v>42</v>
      </c>
      <c r="B43" s="1">
        <v>137</v>
      </c>
      <c r="C43" s="1">
        <v>130</v>
      </c>
      <c r="D43" s="2">
        <v>0.94889999999999997</v>
      </c>
      <c r="E43" s="1">
        <v>7</v>
      </c>
      <c r="F43" s="3">
        <v>1.8518518518518518E-4</v>
      </c>
      <c r="G43" s="3">
        <v>1.6898148148148148E-3</v>
      </c>
      <c r="H43" s="3">
        <v>6.7939814814814816E-3</v>
      </c>
      <c r="I43" s="2">
        <v>0.7591</v>
      </c>
    </row>
    <row r="44" spans="1:9">
      <c r="A44" s="1">
        <v>43</v>
      </c>
      <c r="B44" s="1">
        <v>254</v>
      </c>
      <c r="C44" s="1">
        <v>252</v>
      </c>
      <c r="D44" s="2">
        <v>0.99209999999999998</v>
      </c>
      <c r="E44" s="1">
        <v>2</v>
      </c>
      <c r="F44" s="3">
        <v>1.1574074074074075E-4</v>
      </c>
      <c r="G44" s="3">
        <v>1.4814814814814814E-3</v>
      </c>
      <c r="H44" s="3">
        <v>8.1018518518518516E-4</v>
      </c>
      <c r="I44" s="2">
        <v>0.91339999999999999</v>
      </c>
    </row>
    <row r="45" spans="1:9">
      <c r="A45" s="1">
        <v>44</v>
      </c>
      <c r="B45" s="1">
        <v>211</v>
      </c>
      <c r="C45" s="1">
        <v>206</v>
      </c>
      <c r="D45" s="2">
        <v>0.97629999999999995</v>
      </c>
      <c r="E45" s="1">
        <v>5</v>
      </c>
      <c r="F45" s="3">
        <v>1.273148148148148E-4</v>
      </c>
      <c r="G45" s="3">
        <v>1.6666666666666668E-3</v>
      </c>
      <c r="H45" s="3">
        <v>3.2060185185185186E-3</v>
      </c>
      <c r="I45" s="2">
        <v>0.87139999999999995</v>
      </c>
    </row>
    <row r="46" spans="1:9">
      <c r="A46" s="1">
        <v>45</v>
      </c>
      <c r="B46" s="1">
        <v>282</v>
      </c>
      <c r="C46" s="1">
        <v>279</v>
      </c>
      <c r="D46" s="2">
        <v>0.98939999999999995</v>
      </c>
      <c r="E46" s="1">
        <v>3</v>
      </c>
      <c r="F46" s="3">
        <v>8.1018518518518516E-5</v>
      </c>
      <c r="G46" s="3">
        <v>1.5972222222222223E-3</v>
      </c>
      <c r="H46" s="3">
        <v>8.2175925925925927E-4</v>
      </c>
      <c r="I46" s="2">
        <v>0.93210000000000004</v>
      </c>
    </row>
    <row r="47" spans="1:9">
      <c r="A47" s="1">
        <v>46</v>
      </c>
      <c r="B47" s="1">
        <v>262</v>
      </c>
      <c r="C47" s="1">
        <v>260</v>
      </c>
      <c r="D47" s="2">
        <v>0.99239999999999995</v>
      </c>
      <c r="E47" s="1">
        <v>2</v>
      </c>
      <c r="F47" s="3">
        <v>9.2592592592592588E-5</v>
      </c>
      <c r="G47" s="3">
        <v>1.7476851851851852E-3</v>
      </c>
      <c r="H47" s="3">
        <v>8.4490740740740739E-4</v>
      </c>
      <c r="I47" s="2">
        <v>0.90800000000000003</v>
      </c>
    </row>
    <row r="48" spans="1:9">
      <c r="A48" s="1">
        <v>47</v>
      </c>
      <c r="B48" s="1">
        <v>65</v>
      </c>
      <c r="C48" s="1">
        <v>63</v>
      </c>
      <c r="D48" s="2">
        <v>0.96919999999999995</v>
      </c>
      <c r="E48" s="1">
        <v>2</v>
      </c>
      <c r="F48" s="3">
        <v>1.3888888888888889E-4</v>
      </c>
      <c r="G48" s="3">
        <v>1.6435185185185185E-3</v>
      </c>
      <c r="H48" s="3">
        <v>1.5046296296296296E-3</v>
      </c>
      <c r="I48" s="2">
        <v>0.85940000000000005</v>
      </c>
    </row>
    <row r="49" spans="1:9">
      <c r="A49" s="1">
        <v>48</v>
      </c>
      <c r="B49" s="1">
        <v>325</v>
      </c>
      <c r="C49" s="1">
        <v>323</v>
      </c>
      <c r="D49" s="2">
        <v>0.99380000000000002</v>
      </c>
      <c r="E49" s="1">
        <v>2</v>
      </c>
      <c r="F49" s="3">
        <v>5.7870370370370373E-5</v>
      </c>
      <c r="G49" s="3">
        <v>1.5393518518518519E-3</v>
      </c>
      <c r="H49" s="3">
        <v>8.564814814814815E-4</v>
      </c>
      <c r="I49" s="2">
        <v>0.96899999999999997</v>
      </c>
    </row>
    <row r="50" spans="1:9">
      <c r="A50" s="1">
        <v>49</v>
      </c>
      <c r="B50" s="1">
        <v>235</v>
      </c>
      <c r="C50" s="1">
        <v>230</v>
      </c>
      <c r="D50" s="2">
        <v>0.97870000000000001</v>
      </c>
      <c r="E50" s="1">
        <v>5</v>
      </c>
      <c r="F50" s="3">
        <v>5.7870370370370373E-5</v>
      </c>
      <c r="G50" s="3">
        <v>1.6087962962962963E-3</v>
      </c>
      <c r="H50" s="3">
        <v>6.7129629629629625E-4</v>
      </c>
      <c r="I50" s="2">
        <v>0.96140000000000003</v>
      </c>
    </row>
    <row r="51" spans="1:9">
      <c r="A51" s="1">
        <v>50</v>
      </c>
      <c r="B51" s="1">
        <v>215</v>
      </c>
      <c r="C51" s="1">
        <v>212</v>
      </c>
      <c r="D51" s="2">
        <v>0.98599999999999999</v>
      </c>
      <c r="E51" s="1">
        <v>3</v>
      </c>
      <c r="F51" s="3">
        <v>5.7870370370370373E-5</v>
      </c>
      <c r="G51" s="3">
        <v>1.5509259259259259E-3</v>
      </c>
      <c r="H51" s="3">
        <v>6.7129629629629625E-4</v>
      </c>
      <c r="I51" s="2">
        <v>0.95809999999999995</v>
      </c>
    </row>
    <row r="52" spans="1:9">
      <c r="A52" s="1">
        <v>51</v>
      </c>
      <c r="B52" s="1">
        <v>85</v>
      </c>
      <c r="C52" s="1">
        <v>85</v>
      </c>
      <c r="D52" s="2">
        <v>1</v>
      </c>
      <c r="E52" s="1">
        <v>0</v>
      </c>
      <c r="F52" s="3">
        <v>3.4722222222222222E-5</v>
      </c>
      <c r="G52" s="3">
        <v>1.6898148148148148E-3</v>
      </c>
      <c r="H52" s="3">
        <v>6.3657407407407413E-4</v>
      </c>
      <c r="I52" s="2">
        <v>0.97650000000000003</v>
      </c>
    </row>
    <row r="53" spans="1:9">
      <c r="A53" s="1">
        <v>52</v>
      </c>
      <c r="B53" s="1">
        <v>195</v>
      </c>
      <c r="C53" s="1">
        <v>195</v>
      </c>
      <c r="D53" s="2">
        <v>1</v>
      </c>
      <c r="E53" s="1">
        <v>0</v>
      </c>
      <c r="F53" s="3">
        <v>5.7870370370370373E-5</v>
      </c>
      <c r="G53" s="3">
        <v>1.6666666666666668E-3</v>
      </c>
      <c r="H53" s="3">
        <v>1.5393518518518519E-3</v>
      </c>
      <c r="I53" s="2">
        <v>0.97440000000000004</v>
      </c>
    </row>
    <row r="54" spans="1:9">
      <c r="A54" s="1">
        <v>53</v>
      </c>
      <c r="B54" s="1">
        <v>188</v>
      </c>
      <c r="C54" s="1">
        <v>182</v>
      </c>
      <c r="D54" s="2">
        <v>0.96809999999999996</v>
      </c>
      <c r="E54" s="1">
        <v>6</v>
      </c>
      <c r="F54" s="3">
        <v>1.7361111111111112E-4</v>
      </c>
      <c r="G54" s="3">
        <v>1.5509259259259259E-3</v>
      </c>
      <c r="H54" s="3">
        <v>1.2847222222222223E-3</v>
      </c>
      <c r="I54" s="2">
        <v>0.83609999999999995</v>
      </c>
    </row>
    <row r="55" spans="1:9">
      <c r="A55" s="1">
        <v>54</v>
      </c>
      <c r="B55" s="1">
        <v>58</v>
      </c>
      <c r="C55" s="1">
        <v>58</v>
      </c>
      <c r="D55" s="2">
        <v>1</v>
      </c>
      <c r="E55" s="1">
        <v>0</v>
      </c>
      <c r="F55" s="3">
        <v>6.9444444444444444E-5</v>
      </c>
      <c r="G55" s="3">
        <v>1.6435185185185185E-3</v>
      </c>
      <c r="H55" s="3">
        <v>6.018518518518519E-4</v>
      </c>
      <c r="I55" s="2">
        <v>0.94830000000000003</v>
      </c>
    </row>
    <row r="56" spans="1:9">
      <c r="A56" s="1">
        <v>55</v>
      </c>
      <c r="B56" s="1">
        <v>251</v>
      </c>
      <c r="C56" s="1">
        <v>247</v>
      </c>
      <c r="D56" s="2">
        <v>0.98409999999999997</v>
      </c>
      <c r="E56" s="1">
        <v>4</v>
      </c>
      <c r="F56" s="3">
        <v>1.6203703703703703E-4</v>
      </c>
      <c r="G56" s="3">
        <v>1.5740740740740741E-3</v>
      </c>
      <c r="H56" s="3">
        <v>1.3078703703703703E-3</v>
      </c>
      <c r="I56" s="2">
        <v>0.83530000000000004</v>
      </c>
    </row>
    <row r="57" spans="1:9">
      <c r="A57" s="1">
        <v>56</v>
      </c>
      <c r="B57" s="1">
        <v>181</v>
      </c>
      <c r="C57" s="1">
        <v>178</v>
      </c>
      <c r="D57" s="2">
        <v>0.98340000000000005</v>
      </c>
      <c r="E57" s="1">
        <v>3</v>
      </c>
      <c r="F57" s="3">
        <v>1.3888888888888889E-4</v>
      </c>
      <c r="G57" s="3">
        <v>1.6666666666666668E-3</v>
      </c>
      <c r="H57" s="3">
        <v>1.3541666666666667E-3</v>
      </c>
      <c r="I57" s="2">
        <v>0.8619</v>
      </c>
    </row>
    <row r="58" spans="1:9">
      <c r="A58" s="1">
        <v>57</v>
      </c>
      <c r="B58" s="1">
        <v>228</v>
      </c>
      <c r="C58" s="1">
        <v>213</v>
      </c>
      <c r="D58" s="2">
        <v>0.93420000000000003</v>
      </c>
      <c r="E58" s="1">
        <v>15</v>
      </c>
      <c r="F58" s="3">
        <v>3.0092592592592595E-4</v>
      </c>
      <c r="G58" s="3">
        <v>1.5740740740740741E-3</v>
      </c>
      <c r="H58" s="3">
        <v>2.1643518518518518E-3</v>
      </c>
      <c r="I58" s="2">
        <v>0.63560000000000005</v>
      </c>
    </row>
    <row r="59" spans="1:9">
      <c r="A59" s="1">
        <v>58</v>
      </c>
      <c r="B59" s="1">
        <v>165</v>
      </c>
      <c r="C59" s="1">
        <v>163</v>
      </c>
      <c r="D59" s="2">
        <v>0.9879</v>
      </c>
      <c r="E59" s="1">
        <v>2</v>
      </c>
      <c r="F59" s="3">
        <v>1.0416666666666667E-4</v>
      </c>
      <c r="G59" s="3">
        <v>1.6782407407407408E-3</v>
      </c>
      <c r="H59" s="3">
        <v>1.6203703703703703E-3</v>
      </c>
      <c r="I59" s="2">
        <v>0.90239999999999998</v>
      </c>
    </row>
    <row r="60" spans="1:9">
      <c r="A60" s="1">
        <v>59</v>
      </c>
      <c r="B60" s="1">
        <v>185</v>
      </c>
      <c r="C60" s="1">
        <v>179</v>
      </c>
      <c r="D60" s="2">
        <v>0.96760000000000002</v>
      </c>
      <c r="E60" s="1">
        <v>6</v>
      </c>
      <c r="F60" s="3">
        <v>1.9675925925925926E-4</v>
      </c>
      <c r="G60" s="3">
        <v>1.5856481481481481E-3</v>
      </c>
      <c r="H60" s="3">
        <v>1.7708333333333332E-3</v>
      </c>
      <c r="I60" s="2">
        <v>0.78569999999999995</v>
      </c>
    </row>
    <row r="61" spans="1:9">
      <c r="A61" s="1">
        <v>60</v>
      </c>
      <c r="B61" s="1">
        <v>172</v>
      </c>
      <c r="C61" s="1">
        <v>164</v>
      </c>
      <c r="D61" s="2">
        <v>0.95350000000000001</v>
      </c>
      <c r="E61" s="1">
        <v>8</v>
      </c>
      <c r="F61" s="3">
        <v>2.0833333333333335E-4</v>
      </c>
      <c r="G61" s="3">
        <v>1.7013888888888888E-3</v>
      </c>
      <c r="H61" s="3">
        <v>2.8819444444444444E-3</v>
      </c>
      <c r="I61" s="2">
        <v>0.77059999999999995</v>
      </c>
    </row>
    <row r="62" spans="1:9">
      <c r="A62" s="1">
        <v>61</v>
      </c>
      <c r="B62" s="1">
        <v>57</v>
      </c>
      <c r="C62" s="1">
        <v>51</v>
      </c>
      <c r="D62" s="2">
        <v>0.89470000000000005</v>
      </c>
      <c r="E62" s="1">
        <v>6</v>
      </c>
      <c r="F62" s="3">
        <v>8.1018518518518516E-5</v>
      </c>
      <c r="G62" s="3">
        <v>1.238425925925926E-3</v>
      </c>
      <c r="H62" s="3">
        <v>2.5462962962962965E-3</v>
      </c>
      <c r="I62" s="2">
        <v>0.90569999999999995</v>
      </c>
    </row>
    <row r="63" spans="1:9">
      <c r="A63" s="1">
        <v>62</v>
      </c>
      <c r="B63" s="1">
        <v>200</v>
      </c>
      <c r="C63" s="1">
        <v>192</v>
      </c>
      <c r="D63" s="2">
        <v>0.96</v>
      </c>
      <c r="E63" s="1">
        <v>8</v>
      </c>
      <c r="F63" s="3">
        <v>1.1574074074074075E-4</v>
      </c>
      <c r="G63" s="3">
        <v>1.5972222222222223E-3</v>
      </c>
      <c r="H63" s="3">
        <v>1.9560185185185184E-3</v>
      </c>
      <c r="I63" s="2">
        <v>0.86429999999999996</v>
      </c>
    </row>
    <row r="64" spans="1:9">
      <c r="A64" s="1">
        <v>63</v>
      </c>
      <c r="B64" s="1">
        <v>202</v>
      </c>
      <c r="C64" s="1">
        <v>199</v>
      </c>
      <c r="D64" s="2">
        <v>0.98509999999999998</v>
      </c>
      <c r="E64" s="1">
        <v>3</v>
      </c>
      <c r="F64" s="3">
        <v>9.2592592592592588E-5</v>
      </c>
      <c r="G64" s="3">
        <v>1.4467592592592592E-3</v>
      </c>
      <c r="H64" s="3">
        <v>8.9120370370370373E-4</v>
      </c>
      <c r="I64" s="2">
        <v>0.91</v>
      </c>
    </row>
    <row r="65" spans="1:9">
      <c r="A65" s="1">
        <v>64</v>
      </c>
      <c r="B65" s="1">
        <v>217</v>
      </c>
      <c r="C65" s="1">
        <v>212</v>
      </c>
      <c r="D65" s="2">
        <v>0.97699999999999998</v>
      </c>
      <c r="E65" s="1">
        <v>5</v>
      </c>
      <c r="F65" s="3">
        <v>8.1018518518518516E-5</v>
      </c>
      <c r="G65" s="3">
        <v>1.3310185185185185E-3</v>
      </c>
      <c r="H65" s="3">
        <v>1.2731481481481483E-3</v>
      </c>
      <c r="I65" s="2">
        <v>0.94420000000000004</v>
      </c>
    </row>
    <row r="66" spans="1:9">
      <c r="A66" s="1">
        <v>65</v>
      </c>
      <c r="B66" s="1">
        <v>225</v>
      </c>
      <c r="C66" s="1">
        <v>223</v>
      </c>
      <c r="D66" s="2">
        <v>0.99109999999999998</v>
      </c>
      <c r="E66" s="1">
        <v>2</v>
      </c>
      <c r="F66" s="3">
        <v>1.0416666666666667E-4</v>
      </c>
      <c r="G66" s="3">
        <v>1.4930555555555556E-3</v>
      </c>
      <c r="H66" s="3">
        <v>7.6388888888888893E-4</v>
      </c>
      <c r="I66" s="2">
        <v>0.91930000000000001</v>
      </c>
    </row>
    <row r="67" spans="1:9">
      <c r="A67" s="1">
        <v>66</v>
      </c>
      <c r="B67" s="1">
        <v>235</v>
      </c>
      <c r="C67" s="1">
        <v>231</v>
      </c>
      <c r="D67" s="2">
        <v>0.98299999999999998</v>
      </c>
      <c r="E67" s="1">
        <v>4</v>
      </c>
      <c r="F67" s="3">
        <v>9.2592592592592588E-5</v>
      </c>
      <c r="G67" s="3">
        <v>1.6087962962962963E-3</v>
      </c>
      <c r="H67" s="3">
        <v>7.6388888888888893E-4</v>
      </c>
      <c r="I67" s="2">
        <v>0.95709999999999995</v>
      </c>
    </row>
    <row r="68" spans="1:9">
      <c r="A68" s="1">
        <v>67</v>
      </c>
      <c r="B68" s="1">
        <v>202</v>
      </c>
      <c r="C68" s="1">
        <v>201</v>
      </c>
      <c r="D68" s="2">
        <v>0.995</v>
      </c>
      <c r="E68" s="1">
        <v>1</v>
      </c>
      <c r="F68" s="3">
        <v>9.2592592592592588E-5</v>
      </c>
      <c r="G68" s="3">
        <v>1.6319444444444445E-3</v>
      </c>
      <c r="H68" s="3">
        <v>1.3078703703703703E-3</v>
      </c>
      <c r="I68" s="2">
        <v>0.94550000000000001</v>
      </c>
    </row>
    <row r="69" spans="1:9">
      <c r="A69" s="1">
        <v>68</v>
      </c>
      <c r="B69" s="1">
        <v>43</v>
      </c>
      <c r="C69" s="1">
        <v>39</v>
      </c>
      <c r="D69" s="2">
        <v>0.90700000000000003</v>
      </c>
      <c r="E69" s="1">
        <v>4</v>
      </c>
      <c r="F69" s="3">
        <v>1.273148148148148E-4</v>
      </c>
      <c r="G69" s="3">
        <v>1.5625000000000001E-3</v>
      </c>
      <c r="H69" s="3">
        <v>1.2731481481481483E-3</v>
      </c>
      <c r="I69" s="2">
        <v>0.76190000000000002</v>
      </c>
    </row>
    <row r="70" spans="1:9">
      <c r="A70" s="1">
        <v>69</v>
      </c>
      <c r="B70" s="1">
        <v>194</v>
      </c>
      <c r="C70" s="1">
        <v>187</v>
      </c>
      <c r="D70" s="2">
        <v>0.96389999999999998</v>
      </c>
      <c r="E70" s="1">
        <v>7</v>
      </c>
      <c r="F70" s="3">
        <v>1.1574074074074075E-4</v>
      </c>
      <c r="G70" s="3">
        <v>1.7013888888888888E-3</v>
      </c>
      <c r="H70" s="3">
        <v>1.736111111111111E-3</v>
      </c>
      <c r="I70" s="2">
        <v>0.87429999999999997</v>
      </c>
    </row>
    <row r="71" spans="1:9">
      <c r="A71" s="1">
        <v>70</v>
      </c>
      <c r="B71" s="1">
        <v>202</v>
      </c>
      <c r="C71" s="1">
        <v>199</v>
      </c>
      <c r="D71" s="2">
        <v>0.98509999999999998</v>
      </c>
      <c r="E71" s="1">
        <v>3</v>
      </c>
      <c r="F71" s="3">
        <v>1.5046296296296297E-4</v>
      </c>
      <c r="G71" s="3">
        <v>1.6550925925925926E-3</v>
      </c>
      <c r="H71" s="3">
        <v>1.3657407407407407E-3</v>
      </c>
      <c r="I71" s="2">
        <v>0.86070000000000002</v>
      </c>
    </row>
    <row r="72" spans="1:9">
      <c r="A72" s="1">
        <v>71</v>
      </c>
      <c r="B72" s="1">
        <v>146</v>
      </c>
      <c r="C72" s="1">
        <v>140</v>
      </c>
      <c r="D72" s="2">
        <v>0.95889999999999997</v>
      </c>
      <c r="E72" s="1">
        <v>6</v>
      </c>
      <c r="F72" s="3">
        <v>1.3888888888888889E-4</v>
      </c>
      <c r="G72" s="3">
        <v>1.5393518518518519E-3</v>
      </c>
      <c r="H72" s="3">
        <v>3.1828703703703702E-3</v>
      </c>
      <c r="I72" s="2">
        <v>0.83450000000000002</v>
      </c>
    </row>
    <row r="73" spans="1:9">
      <c r="A73" s="1">
        <v>72</v>
      </c>
      <c r="B73" s="1">
        <v>147</v>
      </c>
      <c r="C73" s="1">
        <v>145</v>
      </c>
      <c r="D73" s="2">
        <v>0.98640000000000005</v>
      </c>
      <c r="E73" s="1">
        <v>2</v>
      </c>
      <c r="F73" s="3">
        <v>1.0416666666666667E-4</v>
      </c>
      <c r="G73" s="3">
        <v>1.5625000000000001E-3</v>
      </c>
      <c r="H73" s="3">
        <v>6.7129629629629625E-4</v>
      </c>
      <c r="I73" s="2">
        <v>0.91159999999999997</v>
      </c>
    </row>
    <row r="74" spans="1:9">
      <c r="A74" s="1">
        <v>73</v>
      </c>
      <c r="B74" s="1">
        <v>155</v>
      </c>
      <c r="C74" s="1">
        <v>145</v>
      </c>
      <c r="D74" s="2">
        <v>0.9355</v>
      </c>
      <c r="E74" s="1">
        <v>10</v>
      </c>
      <c r="F74" s="3">
        <v>1.3888888888888889E-4</v>
      </c>
      <c r="G74" s="3">
        <v>1.7708333333333332E-3</v>
      </c>
      <c r="H74" s="3">
        <v>3.1597222222222222E-3</v>
      </c>
      <c r="I74" s="2">
        <v>0.82240000000000002</v>
      </c>
    </row>
    <row r="75" spans="1:9">
      <c r="A75" s="1">
        <v>74</v>
      </c>
      <c r="B75" s="1">
        <v>157</v>
      </c>
      <c r="C75" s="1">
        <v>156</v>
      </c>
      <c r="D75" s="2">
        <v>0.99360000000000004</v>
      </c>
      <c r="E75" s="1">
        <v>1</v>
      </c>
      <c r="F75" s="3">
        <v>1.0416666666666667E-4</v>
      </c>
      <c r="G75" s="3">
        <v>1.6666666666666668E-3</v>
      </c>
      <c r="H75" s="3">
        <v>6.134259259259259E-4</v>
      </c>
      <c r="I75" s="2">
        <v>0.92949999999999999</v>
      </c>
    </row>
    <row r="76" spans="1:9">
      <c r="A76" s="1">
        <v>75</v>
      </c>
      <c r="B76" s="1">
        <v>38</v>
      </c>
      <c r="C76" s="1">
        <v>36</v>
      </c>
      <c r="D76" s="2">
        <v>0.94740000000000002</v>
      </c>
      <c r="E76" s="1">
        <v>2</v>
      </c>
      <c r="F76" s="3">
        <v>1.5046296296296297E-4</v>
      </c>
      <c r="G76" s="3">
        <v>1.5162037037037036E-3</v>
      </c>
      <c r="H76" s="3">
        <v>6.8287037037037036E-4</v>
      </c>
      <c r="I76" s="2">
        <v>0.83779999999999999</v>
      </c>
    </row>
    <row r="77" spans="1:9">
      <c r="A77" s="1">
        <v>76</v>
      </c>
      <c r="B77" s="1">
        <v>166</v>
      </c>
      <c r="C77" s="1">
        <v>162</v>
      </c>
      <c r="D77" s="2">
        <v>0.97589999999999999</v>
      </c>
      <c r="E77" s="1">
        <v>4</v>
      </c>
      <c r="F77" s="3">
        <v>1.0416666666666667E-4</v>
      </c>
      <c r="G77" s="3">
        <v>1.724537037037037E-3</v>
      </c>
      <c r="H77" s="3">
        <v>1.9097222222222222E-3</v>
      </c>
      <c r="I77" s="2">
        <v>0.89090000000000003</v>
      </c>
    </row>
    <row r="78" spans="1:9">
      <c r="A78" s="1">
        <v>77</v>
      </c>
      <c r="B78" s="1">
        <v>226</v>
      </c>
      <c r="C78" s="1">
        <v>216</v>
      </c>
      <c r="D78" s="2">
        <v>0.95579999999999998</v>
      </c>
      <c r="E78" s="1">
        <v>10</v>
      </c>
      <c r="F78" s="3">
        <v>1.5046296296296297E-4</v>
      </c>
      <c r="G78" s="3">
        <v>1.5625000000000001E-3</v>
      </c>
      <c r="H78" s="3">
        <v>1.2268518518518518E-3</v>
      </c>
      <c r="I78" s="2">
        <v>0.8145</v>
      </c>
    </row>
    <row r="79" spans="1:9">
      <c r="A79" s="1">
        <v>78</v>
      </c>
      <c r="B79" s="1">
        <v>253</v>
      </c>
      <c r="C79" s="1">
        <v>247</v>
      </c>
      <c r="D79" s="2">
        <v>0.97629999999999995</v>
      </c>
      <c r="E79" s="1">
        <v>6</v>
      </c>
      <c r="F79" s="3">
        <v>1.1574074074074075E-4</v>
      </c>
      <c r="G79" s="3">
        <v>1.3194444444444445E-3</v>
      </c>
      <c r="H79" s="3">
        <v>8.9120370370370373E-4</v>
      </c>
      <c r="I79" s="2">
        <v>0.88490000000000002</v>
      </c>
    </row>
    <row r="80" spans="1:9">
      <c r="A80" s="1">
        <v>79</v>
      </c>
      <c r="B80" s="1">
        <v>134</v>
      </c>
      <c r="C80" s="1">
        <v>134</v>
      </c>
      <c r="D80" s="2">
        <v>1</v>
      </c>
      <c r="E80" s="1">
        <v>0</v>
      </c>
      <c r="F80" s="3">
        <v>3.4722222222222222E-5</v>
      </c>
      <c r="G80" s="3">
        <v>1.5393518518518519E-3</v>
      </c>
      <c r="H80" s="3">
        <v>3.0092592592592595E-4</v>
      </c>
      <c r="I80" s="2">
        <v>1</v>
      </c>
    </row>
    <row r="81" spans="1:9">
      <c r="A81" s="1">
        <v>80</v>
      </c>
      <c r="B81" s="1">
        <v>70</v>
      </c>
      <c r="C81" s="1">
        <v>67</v>
      </c>
      <c r="D81" s="2">
        <v>0.95709999999999995</v>
      </c>
      <c r="E81" s="1">
        <v>3</v>
      </c>
      <c r="F81" s="3">
        <v>1.3888888888888889E-4</v>
      </c>
      <c r="G81" s="3">
        <v>1.4004629629629629E-3</v>
      </c>
      <c r="H81" s="3">
        <v>8.7962962962962962E-4</v>
      </c>
      <c r="I81" s="2">
        <v>0.83819999999999995</v>
      </c>
    </row>
    <row r="82" spans="1:9">
      <c r="A82" s="1">
        <v>81</v>
      </c>
      <c r="B82" s="1">
        <v>83</v>
      </c>
      <c r="C82" s="1">
        <v>82</v>
      </c>
      <c r="D82" s="2">
        <v>0.98799999999999999</v>
      </c>
      <c r="E82" s="1">
        <v>1</v>
      </c>
      <c r="F82" s="3">
        <v>8.1018518518518516E-5</v>
      </c>
      <c r="G82" s="3">
        <v>1.4236111111111112E-3</v>
      </c>
      <c r="H82" s="3">
        <v>8.7962962962962962E-4</v>
      </c>
      <c r="I82" s="2">
        <v>0.95179999999999998</v>
      </c>
    </row>
    <row r="83" spans="1:9">
      <c r="A83" s="1">
        <v>82</v>
      </c>
      <c r="B83" s="1">
        <v>42</v>
      </c>
      <c r="C83" s="1">
        <v>40</v>
      </c>
      <c r="D83" s="2">
        <v>0.95240000000000002</v>
      </c>
      <c r="E83" s="1">
        <v>2</v>
      </c>
      <c r="F83" s="3">
        <v>9.2592592592592588E-5</v>
      </c>
      <c r="G83" s="3">
        <v>1.2847222222222223E-3</v>
      </c>
      <c r="H83" s="3">
        <v>1.1111111111111111E-3</v>
      </c>
      <c r="I83" s="2">
        <v>0.90239999999999998</v>
      </c>
    </row>
    <row r="84" spans="1:9">
      <c r="A84" s="1">
        <v>83</v>
      </c>
      <c r="B84" s="1">
        <v>66</v>
      </c>
      <c r="C84" s="1">
        <v>64</v>
      </c>
      <c r="D84" s="2">
        <v>0.96970000000000001</v>
      </c>
      <c r="E84" s="1">
        <v>2</v>
      </c>
      <c r="F84" s="3">
        <v>5.7870370370370373E-5</v>
      </c>
      <c r="G84" s="3">
        <v>1.3888888888888889E-3</v>
      </c>
      <c r="H84" s="3">
        <v>1.1458333333333333E-3</v>
      </c>
      <c r="I84" s="2">
        <v>0.95450000000000002</v>
      </c>
    </row>
    <row r="85" spans="1:9">
      <c r="A85" s="1">
        <v>84</v>
      </c>
      <c r="B85" s="1">
        <v>153</v>
      </c>
      <c r="C85" s="1">
        <v>146</v>
      </c>
      <c r="D85" s="2">
        <v>0.95420000000000005</v>
      </c>
      <c r="E85" s="1">
        <v>7</v>
      </c>
      <c r="F85" s="3">
        <v>2.3148148148148149E-4</v>
      </c>
      <c r="G85" s="3">
        <v>1.4814814814814814E-3</v>
      </c>
      <c r="H85" s="3">
        <v>3.1481481481481482E-3</v>
      </c>
      <c r="I85" s="2">
        <v>0.76</v>
      </c>
    </row>
    <row r="86" spans="1:9">
      <c r="A86" s="1">
        <v>85</v>
      </c>
      <c r="B86" s="1">
        <v>141</v>
      </c>
      <c r="C86" s="1">
        <v>135</v>
      </c>
      <c r="D86" s="2">
        <v>0.95740000000000003</v>
      </c>
      <c r="E86" s="1">
        <v>6</v>
      </c>
      <c r="F86" s="3">
        <v>2.6620370370370372E-4</v>
      </c>
      <c r="G86" s="3">
        <v>1.4583333333333334E-3</v>
      </c>
      <c r="H86" s="3">
        <v>1.5625000000000001E-3</v>
      </c>
      <c r="I86" s="2">
        <v>0.66910000000000003</v>
      </c>
    </row>
    <row r="87" spans="1:9">
      <c r="A87" s="1">
        <v>86</v>
      </c>
      <c r="B87" s="1">
        <v>146</v>
      </c>
      <c r="C87" s="1">
        <v>143</v>
      </c>
      <c r="D87" s="2">
        <v>0.97950000000000004</v>
      </c>
      <c r="E87" s="1">
        <v>3</v>
      </c>
      <c r="F87" s="3">
        <v>1.9675925925925926E-4</v>
      </c>
      <c r="G87" s="3">
        <v>1.3541666666666667E-3</v>
      </c>
      <c r="H87" s="3">
        <v>1.7013888888888888E-3</v>
      </c>
      <c r="I87" s="2">
        <v>0.78320000000000001</v>
      </c>
    </row>
    <row r="88" spans="1:9">
      <c r="A88" s="1">
        <v>87</v>
      </c>
      <c r="B88" s="1">
        <v>144</v>
      </c>
      <c r="C88" s="1">
        <v>140</v>
      </c>
      <c r="D88" s="2">
        <v>0.97219999999999995</v>
      </c>
      <c r="E88" s="1">
        <v>4</v>
      </c>
      <c r="F88" s="3">
        <v>1.3888888888888889E-4</v>
      </c>
      <c r="G88" s="3">
        <v>1.3078703703703703E-3</v>
      </c>
      <c r="H88" s="3">
        <v>1.4467592592592592E-3</v>
      </c>
      <c r="I88" s="2">
        <v>0.84030000000000005</v>
      </c>
    </row>
    <row r="89" spans="1:9">
      <c r="A89" s="1">
        <v>88</v>
      </c>
      <c r="B89" s="1">
        <v>105</v>
      </c>
      <c r="C89" s="1">
        <v>103</v>
      </c>
      <c r="D89" s="2">
        <v>0.98099999999999998</v>
      </c>
      <c r="E89" s="1">
        <v>2</v>
      </c>
      <c r="F89" s="3">
        <v>1.9675925925925926E-4</v>
      </c>
      <c r="G89" s="3">
        <v>1.3310185185185185E-3</v>
      </c>
      <c r="H89" s="3">
        <v>1.4004629629629629E-3</v>
      </c>
      <c r="I89" s="2">
        <v>0.76190000000000002</v>
      </c>
    </row>
    <row r="90" spans="1:9">
      <c r="A90" s="1">
        <v>89</v>
      </c>
      <c r="B90" s="1">
        <v>36</v>
      </c>
      <c r="C90" s="1">
        <v>35</v>
      </c>
      <c r="D90" s="2">
        <v>0.97219999999999995</v>
      </c>
      <c r="E90" s="1">
        <v>1</v>
      </c>
      <c r="F90" s="3">
        <v>1.8518518518518518E-4</v>
      </c>
      <c r="G90" s="3">
        <v>1.3194444444444445E-3</v>
      </c>
      <c r="H90" s="3">
        <v>1.0532407407407407E-3</v>
      </c>
      <c r="I90" s="2">
        <v>0.77139999999999997</v>
      </c>
    </row>
    <row r="91" spans="1:9">
      <c r="A91" s="1">
        <v>90</v>
      </c>
      <c r="B91" s="1">
        <v>61</v>
      </c>
      <c r="C91" s="1">
        <v>57</v>
      </c>
      <c r="D91" s="2">
        <v>0.93440000000000001</v>
      </c>
      <c r="E91" s="1">
        <v>4</v>
      </c>
      <c r="F91" s="3">
        <v>4.6296296296296294E-5</v>
      </c>
      <c r="G91" s="3">
        <v>1.3888888888888889E-3</v>
      </c>
      <c r="H91" s="3">
        <v>2.5578703703703705E-3</v>
      </c>
      <c r="I91" s="2">
        <v>0.91669999999999996</v>
      </c>
    </row>
    <row r="92" spans="1:9">
      <c r="A92" s="1">
        <v>91</v>
      </c>
      <c r="B92" s="1">
        <v>60</v>
      </c>
      <c r="C92" s="1">
        <v>58</v>
      </c>
      <c r="D92" s="2">
        <v>0.9667</v>
      </c>
      <c r="E92" s="1">
        <v>2</v>
      </c>
      <c r="F92" s="3">
        <v>1.273148148148148E-4</v>
      </c>
      <c r="G92" s="3">
        <v>1.4814814814814814E-3</v>
      </c>
      <c r="H92" s="3">
        <v>1.0879629629629629E-3</v>
      </c>
      <c r="I92" s="2">
        <v>0.85</v>
      </c>
    </row>
    <row r="93" spans="1:9">
      <c r="A93" s="1">
        <v>92</v>
      </c>
      <c r="B93" s="1">
        <v>18</v>
      </c>
      <c r="C93" s="1">
        <v>17</v>
      </c>
      <c r="D93" s="2">
        <v>0.94440000000000002</v>
      </c>
      <c r="E93" s="1">
        <v>1</v>
      </c>
      <c r="F93" s="3">
        <v>5.7870370370370373E-5</v>
      </c>
      <c r="G93" s="3">
        <v>1.8402777777777777E-3</v>
      </c>
      <c r="H93" s="3">
        <v>2.3148148148148149E-4</v>
      </c>
      <c r="I93" s="2">
        <v>1</v>
      </c>
    </row>
    <row r="94" spans="1:9">
      <c r="A94" s="1">
        <v>93</v>
      </c>
      <c r="B94" s="1">
        <v>206</v>
      </c>
      <c r="C94" s="1">
        <v>202</v>
      </c>
      <c r="D94" s="2">
        <v>0.98060000000000003</v>
      </c>
      <c r="E94" s="1">
        <v>4</v>
      </c>
      <c r="F94" s="3">
        <v>1.0416666666666667E-4</v>
      </c>
      <c r="G94" s="3">
        <v>1.3194444444444445E-3</v>
      </c>
      <c r="H94" s="3">
        <v>8.1018518518518516E-4</v>
      </c>
      <c r="I94" s="2">
        <v>0.89270000000000005</v>
      </c>
    </row>
    <row r="95" spans="1:9">
      <c r="A95" s="1">
        <v>94</v>
      </c>
      <c r="B95" s="1">
        <v>194</v>
      </c>
      <c r="C95" s="1">
        <v>193</v>
      </c>
      <c r="D95" s="2">
        <v>0.99480000000000002</v>
      </c>
      <c r="E95" s="1">
        <v>1</v>
      </c>
      <c r="F95" s="3">
        <v>1.273148148148148E-4</v>
      </c>
      <c r="G95" s="3">
        <v>1.3541666666666667E-3</v>
      </c>
      <c r="H95" s="3">
        <v>1.0879629629629629E-3</v>
      </c>
      <c r="I95" s="2">
        <v>0.84970000000000001</v>
      </c>
    </row>
    <row r="96" spans="1:9">
      <c r="A96" s="1">
        <v>95</v>
      </c>
      <c r="B96" s="1">
        <v>206</v>
      </c>
      <c r="C96" s="1">
        <v>200</v>
      </c>
      <c r="D96" s="2">
        <v>0.97089999999999999</v>
      </c>
      <c r="E96" s="1">
        <v>6</v>
      </c>
      <c r="F96" s="3">
        <v>1.1574074074074075E-4</v>
      </c>
      <c r="G96" s="3">
        <v>1.4814814814814814E-3</v>
      </c>
      <c r="H96" s="3">
        <v>1.3888888888888889E-3</v>
      </c>
      <c r="I96" s="2">
        <v>0.86270000000000002</v>
      </c>
    </row>
    <row r="97" spans="1:9">
      <c r="A97" s="1">
        <v>96</v>
      </c>
      <c r="B97" s="1">
        <v>53</v>
      </c>
      <c r="C97" s="1">
        <v>53</v>
      </c>
      <c r="D97" s="2">
        <v>1</v>
      </c>
      <c r="E97" s="1">
        <v>0</v>
      </c>
      <c r="F97" s="3">
        <v>2.0833333333333335E-4</v>
      </c>
      <c r="G97" s="3">
        <v>1.4814814814814814E-3</v>
      </c>
      <c r="H97" s="3">
        <v>1.5046296296296296E-3</v>
      </c>
      <c r="I97" s="2">
        <v>0.77359999999999995</v>
      </c>
    </row>
    <row r="98" spans="1:9">
      <c r="A98" s="1">
        <v>97</v>
      </c>
      <c r="B98" s="1">
        <v>147</v>
      </c>
      <c r="C98" s="1">
        <v>145</v>
      </c>
      <c r="D98" s="2">
        <v>0.98640000000000005</v>
      </c>
      <c r="E98" s="1">
        <v>2</v>
      </c>
      <c r="F98" s="3">
        <v>1.0416666666666667E-4</v>
      </c>
      <c r="G98" s="3">
        <v>1.2731481481481483E-3</v>
      </c>
      <c r="H98" s="3">
        <v>9.7222222222222219E-4</v>
      </c>
      <c r="I98" s="2">
        <v>0.88360000000000005</v>
      </c>
    </row>
    <row r="99" spans="1:9">
      <c r="A99" s="1">
        <v>98</v>
      </c>
      <c r="B99" s="1">
        <v>201</v>
      </c>
      <c r="C99" s="1">
        <v>197</v>
      </c>
      <c r="D99" s="2">
        <v>0.98009999999999997</v>
      </c>
      <c r="E99" s="1">
        <v>4</v>
      </c>
      <c r="F99" s="3">
        <v>1.0416666666666667E-4</v>
      </c>
      <c r="G99" s="3">
        <v>1.3773148148148147E-3</v>
      </c>
      <c r="H99" s="3">
        <v>1.6550925925925926E-3</v>
      </c>
      <c r="I99" s="2">
        <v>0.90949999999999998</v>
      </c>
    </row>
    <row r="100" spans="1:9">
      <c r="A100" s="1">
        <v>99</v>
      </c>
      <c r="B100" s="1">
        <v>202</v>
      </c>
      <c r="C100" s="1">
        <v>198</v>
      </c>
      <c r="D100" s="2">
        <v>0.98019999999999996</v>
      </c>
      <c r="E100" s="1">
        <v>4</v>
      </c>
      <c r="F100" s="3">
        <v>1.1574074074074075E-4</v>
      </c>
      <c r="G100" s="3">
        <v>1.4930555555555556E-3</v>
      </c>
      <c r="H100" s="3">
        <v>8.2175925925925927E-4</v>
      </c>
      <c r="I100" s="2">
        <v>0.88500000000000001</v>
      </c>
    </row>
    <row r="101" spans="1:9">
      <c r="A101" s="1">
        <v>100</v>
      </c>
      <c r="B101" s="1">
        <v>226</v>
      </c>
      <c r="C101" s="1">
        <v>219</v>
      </c>
      <c r="D101" s="2">
        <v>0.96899999999999997</v>
      </c>
      <c r="E101" s="1">
        <v>7</v>
      </c>
      <c r="F101" s="3">
        <v>1.1574074074074075E-4</v>
      </c>
      <c r="G101" s="3">
        <v>1.5277777777777779E-3</v>
      </c>
      <c r="H101" s="3">
        <v>1.9097222222222222E-3</v>
      </c>
      <c r="I101" s="2">
        <v>0.88</v>
      </c>
    </row>
    <row r="102" spans="1:9">
      <c r="A102" s="1">
        <v>101</v>
      </c>
      <c r="B102" s="1">
        <v>167</v>
      </c>
      <c r="C102" s="1">
        <v>163</v>
      </c>
      <c r="D102" s="2">
        <v>0.97599999999999998</v>
      </c>
      <c r="E102" s="1">
        <v>4</v>
      </c>
      <c r="F102" s="3">
        <v>8.1018518518518516E-5</v>
      </c>
      <c r="G102" s="3">
        <v>1.4930555555555556E-3</v>
      </c>
      <c r="H102" s="3">
        <v>1.2731481481481483E-3</v>
      </c>
      <c r="I102" s="2">
        <v>0.92769999999999997</v>
      </c>
    </row>
    <row r="103" spans="1:9">
      <c r="A103" s="1">
        <v>102</v>
      </c>
      <c r="B103" s="1">
        <v>164</v>
      </c>
      <c r="C103" s="1">
        <v>164</v>
      </c>
      <c r="D103" s="2">
        <v>1</v>
      </c>
      <c r="E103" s="1">
        <v>0</v>
      </c>
      <c r="F103" s="3">
        <v>1.273148148148148E-4</v>
      </c>
      <c r="G103" s="3">
        <v>1.5856481481481481E-3</v>
      </c>
      <c r="H103" s="3">
        <v>1.2152777777777778E-3</v>
      </c>
      <c r="I103" s="2">
        <v>0.89019999999999999</v>
      </c>
    </row>
    <row r="104" spans="1:9">
      <c r="A104" s="1">
        <v>103</v>
      </c>
      <c r="B104" s="1">
        <v>42</v>
      </c>
      <c r="C104" s="1">
        <v>41</v>
      </c>
      <c r="D104" s="2">
        <v>0.97619999999999996</v>
      </c>
      <c r="E104" s="1">
        <v>1</v>
      </c>
      <c r="F104" s="3">
        <v>1.273148148148148E-4</v>
      </c>
      <c r="G104" s="3">
        <v>1.4930555555555556E-3</v>
      </c>
      <c r="H104" s="3">
        <v>9.0277777777777774E-4</v>
      </c>
      <c r="I104" s="2">
        <v>0.878</v>
      </c>
    </row>
    <row r="105" spans="1:9">
      <c r="A105" s="1">
        <v>104</v>
      </c>
      <c r="B105" s="1">
        <v>79</v>
      </c>
      <c r="C105" s="1">
        <v>78</v>
      </c>
      <c r="D105" s="2">
        <v>0.98729999999999996</v>
      </c>
      <c r="E105" s="1">
        <v>1</v>
      </c>
      <c r="F105" s="3">
        <v>8.1018518518518516E-5</v>
      </c>
      <c r="G105" s="3">
        <v>1.6550925925925926E-3</v>
      </c>
      <c r="H105" s="3">
        <v>5.5555555555555556E-4</v>
      </c>
      <c r="I105" s="2">
        <v>0.94869999999999999</v>
      </c>
    </row>
    <row r="106" spans="1:9">
      <c r="A106" s="1">
        <v>105</v>
      </c>
      <c r="B106" s="1">
        <v>165</v>
      </c>
      <c r="C106" s="1">
        <v>162</v>
      </c>
      <c r="D106" s="2">
        <v>0.98180000000000001</v>
      </c>
      <c r="E106" s="1">
        <v>3</v>
      </c>
      <c r="F106" s="3">
        <v>1.0416666666666667E-4</v>
      </c>
      <c r="G106" s="3">
        <v>1.4930555555555556E-3</v>
      </c>
      <c r="H106" s="3">
        <v>1.2731481481481483E-3</v>
      </c>
      <c r="I106" s="2">
        <v>0.89700000000000002</v>
      </c>
    </row>
    <row r="107" spans="1:9">
      <c r="A107" s="1">
        <v>106</v>
      </c>
      <c r="B107" s="1">
        <v>180</v>
      </c>
      <c r="C107" s="1">
        <v>174</v>
      </c>
      <c r="D107" s="2">
        <v>0.9667</v>
      </c>
      <c r="E107" s="1">
        <v>6</v>
      </c>
      <c r="F107" s="3">
        <v>1.8518518518518518E-4</v>
      </c>
      <c r="G107" s="3">
        <v>1.5740740740740741E-3</v>
      </c>
      <c r="H107" s="3">
        <v>1.1921296296296296E-3</v>
      </c>
      <c r="I107" s="2">
        <v>0.77780000000000005</v>
      </c>
    </row>
    <row r="108" spans="1:9">
      <c r="A108" s="1">
        <v>107</v>
      </c>
      <c r="B108" s="1">
        <v>179</v>
      </c>
      <c r="C108" s="1">
        <v>176</v>
      </c>
      <c r="D108" s="2">
        <v>0.98319999999999996</v>
      </c>
      <c r="E108" s="1">
        <v>3</v>
      </c>
      <c r="F108" s="3">
        <v>1.1574074074074075E-4</v>
      </c>
      <c r="G108" s="3">
        <v>1.6898148148148148E-3</v>
      </c>
      <c r="H108" s="3">
        <v>1.2731481481481483E-3</v>
      </c>
      <c r="I108" s="2">
        <v>0.87639999999999996</v>
      </c>
    </row>
    <row r="109" spans="1:9">
      <c r="A109" s="1">
        <v>108</v>
      </c>
      <c r="B109" s="1">
        <v>217</v>
      </c>
      <c r="C109" s="1">
        <v>215</v>
      </c>
      <c r="D109" s="2">
        <v>0.99080000000000001</v>
      </c>
      <c r="E109" s="1">
        <v>2</v>
      </c>
      <c r="F109" s="3">
        <v>9.2592592592592588E-5</v>
      </c>
      <c r="G109" s="3">
        <v>1.4814814814814814E-3</v>
      </c>
      <c r="H109" s="3">
        <v>1.4699074074074074E-3</v>
      </c>
      <c r="I109" s="2">
        <v>0.91710000000000003</v>
      </c>
    </row>
    <row r="110" spans="1:9">
      <c r="A110" s="1">
        <v>109</v>
      </c>
      <c r="B110" s="1">
        <v>171</v>
      </c>
      <c r="C110" s="1">
        <v>167</v>
      </c>
      <c r="D110" s="2">
        <v>0.97660000000000002</v>
      </c>
      <c r="E110" s="1">
        <v>4</v>
      </c>
      <c r="F110" s="3">
        <v>1.1574074074074075E-4</v>
      </c>
      <c r="G110" s="3">
        <v>1.5625000000000001E-3</v>
      </c>
      <c r="H110" s="3">
        <v>1.2731481481481483E-3</v>
      </c>
      <c r="I110" s="2">
        <v>0.86470000000000002</v>
      </c>
    </row>
    <row r="111" spans="1:9">
      <c r="A111" s="1">
        <v>110</v>
      </c>
      <c r="B111" s="1">
        <v>37</v>
      </c>
      <c r="C111" s="1">
        <v>37</v>
      </c>
      <c r="D111" s="2">
        <v>1</v>
      </c>
      <c r="E111" s="1">
        <v>0</v>
      </c>
      <c r="F111" s="3">
        <v>1.0416666666666667E-4</v>
      </c>
      <c r="G111" s="3">
        <v>1.3541666666666667E-3</v>
      </c>
      <c r="H111" s="3">
        <v>9.4907407407407408E-4</v>
      </c>
      <c r="I111" s="2">
        <v>0.8649</v>
      </c>
    </row>
    <row r="112" spans="1:9">
      <c r="A112" s="1">
        <v>111</v>
      </c>
      <c r="B112" s="1">
        <v>215</v>
      </c>
      <c r="C112" s="1">
        <v>206</v>
      </c>
      <c r="D112" s="2">
        <v>0.95809999999999995</v>
      </c>
      <c r="E112" s="1">
        <v>9</v>
      </c>
      <c r="F112" s="3">
        <v>2.0833333333333335E-4</v>
      </c>
      <c r="G112" s="3">
        <v>1.4930555555555556E-3</v>
      </c>
      <c r="H112" s="3">
        <v>1.9097222222222222E-3</v>
      </c>
      <c r="I112" s="2">
        <v>0.8095</v>
      </c>
    </row>
    <row r="113" spans="1:9">
      <c r="A113" s="1">
        <v>112</v>
      </c>
      <c r="B113" s="1">
        <v>218</v>
      </c>
      <c r="C113" s="1">
        <v>212</v>
      </c>
      <c r="D113" s="2">
        <v>0.97250000000000003</v>
      </c>
      <c r="E113" s="1">
        <v>6</v>
      </c>
      <c r="F113" s="3">
        <v>1.8518518518518518E-4</v>
      </c>
      <c r="G113" s="3">
        <v>1.5856481481481481E-3</v>
      </c>
      <c r="H113" s="3">
        <v>1.4930555555555556E-3</v>
      </c>
      <c r="I113" s="2">
        <v>0.84260000000000002</v>
      </c>
    </row>
    <row r="114" spans="1:9">
      <c r="A114" s="1">
        <v>113</v>
      </c>
      <c r="B114" s="1">
        <v>205</v>
      </c>
      <c r="C114" s="1">
        <v>202</v>
      </c>
      <c r="D114" s="2">
        <v>0.98540000000000005</v>
      </c>
      <c r="E114" s="1">
        <v>3</v>
      </c>
      <c r="F114" s="3">
        <v>1.273148148148148E-4</v>
      </c>
      <c r="G114" s="3">
        <v>1.6782407407407408E-3</v>
      </c>
      <c r="H114" s="3">
        <v>1.1226851851851851E-3</v>
      </c>
      <c r="I114" s="2">
        <v>0.90690000000000004</v>
      </c>
    </row>
    <row r="115" spans="1:9">
      <c r="A115" s="1">
        <v>114</v>
      </c>
      <c r="B115" s="1">
        <v>195</v>
      </c>
      <c r="C115" s="1">
        <v>190</v>
      </c>
      <c r="D115" s="2">
        <v>0.97440000000000004</v>
      </c>
      <c r="E115" s="1">
        <v>5</v>
      </c>
      <c r="F115" s="3">
        <v>1.3888888888888889E-4</v>
      </c>
      <c r="G115" s="3">
        <v>1.6435185185185185E-3</v>
      </c>
      <c r="H115" s="3">
        <v>8.564814814814815E-4</v>
      </c>
      <c r="I115" s="2">
        <v>0.8901</v>
      </c>
    </row>
    <row r="116" spans="1:9">
      <c r="A116" s="1">
        <v>115</v>
      </c>
      <c r="B116" s="1">
        <v>181</v>
      </c>
      <c r="C116" s="1">
        <v>176</v>
      </c>
      <c r="D116" s="2">
        <v>0.97240000000000004</v>
      </c>
      <c r="E116" s="1">
        <v>5</v>
      </c>
      <c r="F116" s="3">
        <v>1.5046296296296297E-4</v>
      </c>
      <c r="G116" s="3">
        <v>1.5393518518518519E-3</v>
      </c>
      <c r="H116" s="3">
        <v>8.7962962962962962E-4</v>
      </c>
      <c r="I116" s="2">
        <v>0.82220000000000004</v>
      </c>
    </row>
    <row r="117" spans="1:9">
      <c r="A117" s="1">
        <v>116</v>
      </c>
      <c r="B117" s="1">
        <v>212</v>
      </c>
      <c r="C117" s="1">
        <v>206</v>
      </c>
      <c r="D117" s="2">
        <v>0.97170000000000001</v>
      </c>
      <c r="E117" s="1">
        <v>6</v>
      </c>
      <c r="F117" s="3">
        <v>1.273148148148148E-4</v>
      </c>
      <c r="G117" s="3">
        <v>1.6203703703703703E-3</v>
      </c>
      <c r="H117" s="3">
        <v>1.261574074074074E-3</v>
      </c>
      <c r="I117" s="2">
        <v>0.89419999999999999</v>
      </c>
    </row>
    <row r="118" spans="1:9">
      <c r="A118" s="1">
        <v>117</v>
      </c>
      <c r="B118" s="1">
        <v>33</v>
      </c>
      <c r="C118" s="1">
        <v>32</v>
      </c>
      <c r="D118" s="2">
        <v>0.96970000000000001</v>
      </c>
      <c r="E118" s="1">
        <v>1</v>
      </c>
      <c r="F118" s="3">
        <v>9.2592592592592588E-5</v>
      </c>
      <c r="G118" s="3">
        <v>1.712962962962963E-3</v>
      </c>
      <c r="H118" s="3">
        <v>6.3657407407407413E-4</v>
      </c>
      <c r="I118" s="2">
        <v>0.90910000000000002</v>
      </c>
    </row>
    <row r="119" spans="1:9">
      <c r="A119" s="1">
        <v>118</v>
      </c>
      <c r="B119" s="1">
        <v>298</v>
      </c>
      <c r="C119" s="1">
        <v>287</v>
      </c>
      <c r="D119" s="2">
        <v>0.96309999999999996</v>
      </c>
      <c r="E119" s="1">
        <v>11</v>
      </c>
      <c r="F119" s="3">
        <v>1.5046296296296297E-4</v>
      </c>
      <c r="G119" s="3">
        <v>1.0995370370370371E-3</v>
      </c>
      <c r="H119" s="3">
        <v>1.9791666666666668E-3</v>
      </c>
      <c r="I119" s="2">
        <v>0.83330000000000004</v>
      </c>
    </row>
    <row r="120" spans="1:9">
      <c r="A120" s="1">
        <v>119</v>
      </c>
      <c r="B120" s="1">
        <v>158</v>
      </c>
      <c r="C120" s="1">
        <v>156</v>
      </c>
      <c r="D120" s="2">
        <v>0.98729999999999996</v>
      </c>
      <c r="E120" s="1">
        <v>2</v>
      </c>
      <c r="F120" s="3">
        <v>1.273148148148148E-4</v>
      </c>
      <c r="G120" s="3">
        <v>1.6550925925925926E-3</v>
      </c>
      <c r="H120" s="3">
        <v>1.0648148148148149E-3</v>
      </c>
      <c r="I120" s="2">
        <v>0.89810000000000001</v>
      </c>
    </row>
    <row r="121" spans="1:9">
      <c r="A121" s="1">
        <v>120</v>
      </c>
      <c r="B121" s="1">
        <v>156</v>
      </c>
      <c r="C121" s="1">
        <v>154</v>
      </c>
      <c r="D121" s="2">
        <v>0.98719999999999997</v>
      </c>
      <c r="E121" s="1">
        <v>2</v>
      </c>
      <c r="F121" s="3">
        <v>1.3888888888888889E-4</v>
      </c>
      <c r="G121" s="3">
        <v>1.5393518518518519E-3</v>
      </c>
      <c r="H121" s="3">
        <v>7.0601851851851847E-4</v>
      </c>
      <c r="I121" s="2">
        <v>0.85809999999999997</v>
      </c>
    </row>
    <row r="122" spans="1:9">
      <c r="A122" s="1">
        <v>121</v>
      </c>
      <c r="B122" s="1">
        <v>163</v>
      </c>
      <c r="C122" s="1">
        <v>163</v>
      </c>
      <c r="D122" s="2">
        <v>1</v>
      </c>
      <c r="E122" s="1">
        <v>0</v>
      </c>
      <c r="F122" s="3">
        <v>1.1574074074074075E-4</v>
      </c>
      <c r="G122" s="3">
        <v>1.4120370370370369E-3</v>
      </c>
      <c r="H122" s="3">
        <v>1.9212962962962964E-3</v>
      </c>
      <c r="I122" s="2">
        <v>0.9264</v>
      </c>
    </row>
    <row r="123" spans="1:9">
      <c r="A123" s="1">
        <v>122</v>
      </c>
      <c r="B123" s="1">
        <v>98</v>
      </c>
      <c r="C123" s="1">
        <v>98</v>
      </c>
      <c r="D123" s="2">
        <v>1</v>
      </c>
      <c r="E123" s="1">
        <v>0</v>
      </c>
      <c r="F123" s="3">
        <v>8.1018518518518516E-5</v>
      </c>
      <c r="G123" s="3">
        <v>1.5046296296296296E-3</v>
      </c>
      <c r="H123" s="3">
        <v>8.1018518518518516E-4</v>
      </c>
      <c r="I123" s="2">
        <v>0.93879999999999997</v>
      </c>
    </row>
    <row r="124" spans="1:9">
      <c r="A124" s="1">
        <v>123</v>
      </c>
      <c r="B124" s="1">
        <v>255</v>
      </c>
      <c r="C124" s="1">
        <v>249</v>
      </c>
      <c r="D124" s="2">
        <v>0.97650000000000003</v>
      </c>
      <c r="E124" s="1">
        <v>6</v>
      </c>
      <c r="F124" s="3">
        <v>1.7361111111111112E-4</v>
      </c>
      <c r="G124" s="3">
        <v>1.6087962962962963E-3</v>
      </c>
      <c r="H124" s="3">
        <v>3.8310185185185183E-3</v>
      </c>
      <c r="I124" s="2">
        <v>0.82679999999999998</v>
      </c>
    </row>
    <row r="125" spans="1:9">
      <c r="A125" s="1">
        <v>124</v>
      </c>
      <c r="B125" s="1">
        <v>50</v>
      </c>
      <c r="C125" s="1">
        <v>49</v>
      </c>
      <c r="D125" s="2">
        <v>0.98</v>
      </c>
      <c r="E125" s="1">
        <v>1</v>
      </c>
      <c r="F125" s="3">
        <v>9.2592592592592588E-5</v>
      </c>
      <c r="G125" s="3">
        <v>1.4120370370370369E-3</v>
      </c>
      <c r="H125" s="3">
        <v>6.5972222222222224E-4</v>
      </c>
      <c r="I125" s="2">
        <v>0.92</v>
      </c>
    </row>
    <row r="126" spans="1:9">
      <c r="A126" s="1">
        <v>125</v>
      </c>
      <c r="B126" s="1">
        <v>290</v>
      </c>
      <c r="C126" s="1">
        <v>289</v>
      </c>
      <c r="D126" s="2">
        <v>0.99660000000000004</v>
      </c>
      <c r="E126" s="1">
        <v>1</v>
      </c>
      <c r="F126" s="3">
        <v>1.3888888888888889E-4</v>
      </c>
      <c r="G126" s="3">
        <v>1.4004629629629629E-3</v>
      </c>
      <c r="H126" s="3">
        <v>8.1018518518518516E-4</v>
      </c>
      <c r="I126" s="2">
        <v>0.89270000000000005</v>
      </c>
    </row>
    <row r="127" spans="1:9">
      <c r="A127" s="1">
        <v>126</v>
      </c>
      <c r="B127" s="1">
        <v>296</v>
      </c>
      <c r="C127" s="1">
        <v>281</v>
      </c>
      <c r="D127" s="2">
        <v>0.94930000000000003</v>
      </c>
      <c r="E127" s="1">
        <v>15</v>
      </c>
      <c r="F127" s="3">
        <v>2.5462962962962961E-4</v>
      </c>
      <c r="G127" s="3">
        <v>1.4814814814814814E-3</v>
      </c>
      <c r="H127" s="3">
        <v>3.1250000000000002E-3</v>
      </c>
      <c r="I127" s="2">
        <v>0.73540000000000005</v>
      </c>
    </row>
    <row r="128" spans="1:9">
      <c r="A128" s="1">
        <v>127</v>
      </c>
      <c r="B128" s="1">
        <v>260</v>
      </c>
      <c r="C128" s="1">
        <v>257</v>
      </c>
      <c r="D128" s="2">
        <v>0.98850000000000005</v>
      </c>
      <c r="E128" s="1">
        <v>3</v>
      </c>
      <c r="F128" s="3">
        <v>1.9675925925925926E-4</v>
      </c>
      <c r="G128" s="3">
        <v>1.5393518518518519E-3</v>
      </c>
      <c r="H128" s="3">
        <v>9.2592592592592596E-4</v>
      </c>
      <c r="I128" s="2">
        <v>0.87160000000000004</v>
      </c>
    </row>
    <row r="129" spans="1:9">
      <c r="A129" s="1">
        <v>128</v>
      </c>
      <c r="B129" s="1">
        <v>201</v>
      </c>
      <c r="C129" s="1">
        <v>193</v>
      </c>
      <c r="D129" s="2">
        <v>0.96020000000000005</v>
      </c>
      <c r="E129" s="1">
        <v>8</v>
      </c>
      <c r="F129" s="3">
        <v>2.199074074074074E-4</v>
      </c>
      <c r="G129" s="3">
        <v>1.6550925925925926E-3</v>
      </c>
      <c r="H129" s="3">
        <v>1.4120370370370369E-3</v>
      </c>
      <c r="I129" s="2">
        <v>0.76770000000000005</v>
      </c>
    </row>
    <row r="130" spans="1:9">
      <c r="A130" s="1">
        <v>129</v>
      </c>
      <c r="B130" s="1">
        <v>132</v>
      </c>
      <c r="C130" s="1">
        <v>131</v>
      </c>
      <c r="D130" s="2">
        <v>0.99239999999999995</v>
      </c>
      <c r="E130" s="1">
        <v>1</v>
      </c>
      <c r="F130" s="3">
        <v>1.9675925925925926E-4</v>
      </c>
      <c r="G130" s="3">
        <v>1.5393518518518519E-3</v>
      </c>
      <c r="H130" s="3">
        <v>1.0416666666666667E-3</v>
      </c>
      <c r="I130" s="2">
        <v>0.76519999999999999</v>
      </c>
    </row>
    <row r="131" spans="1:9">
      <c r="A131" s="1">
        <v>130</v>
      </c>
      <c r="B131" s="1">
        <v>167</v>
      </c>
      <c r="C131" s="1">
        <v>165</v>
      </c>
      <c r="D131" s="2">
        <v>0.98799999999999999</v>
      </c>
      <c r="E131" s="1">
        <v>2</v>
      </c>
      <c r="F131" s="3">
        <v>1.0416666666666667E-4</v>
      </c>
      <c r="G131" s="3">
        <v>1.4583333333333334E-3</v>
      </c>
      <c r="H131" s="3">
        <v>6.5972222222222224E-4</v>
      </c>
      <c r="I131" s="2">
        <v>0.92120000000000002</v>
      </c>
    </row>
    <row r="132" spans="1:9">
      <c r="A132" s="1">
        <v>131</v>
      </c>
      <c r="B132" s="1">
        <v>85</v>
      </c>
      <c r="C132" s="1">
        <v>79</v>
      </c>
      <c r="D132" s="2">
        <v>0.9294</v>
      </c>
      <c r="E132" s="1">
        <v>6</v>
      </c>
      <c r="F132" s="3">
        <v>2.0833333333333335E-4</v>
      </c>
      <c r="G132" s="3">
        <v>1.6782407407407408E-3</v>
      </c>
      <c r="H132" s="3">
        <v>1.3078703703703703E-3</v>
      </c>
      <c r="I132" s="2">
        <v>0.77380000000000004</v>
      </c>
    </row>
    <row r="133" spans="1:9">
      <c r="A133" s="1">
        <v>132</v>
      </c>
      <c r="B133" s="1">
        <v>244</v>
      </c>
      <c r="C133" s="1">
        <v>236</v>
      </c>
      <c r="D133" s="2">
        <v>0.96719999999999995</v>
      </c>
      <c r="E133" s="1">
        <v>8</v>
      </c>
      <c r="F133" s="3">
        <v>2.4305555555555555E-4</v>
      </c>
      <c r="G133" s="3">
        <v>1.724537037037037E-3</v>
      </c>
      <c r="H133" s="3">
        <v>1.3425925925925925E-3</v>
      </c>
      <c r="I133" s="2">
        <v>0.75619999999999998</v>
      </c>
    </row>
    <row r="134" spans="1:9">
      <c r="A134" s="1">
        <v>133</v>
      </c>
      <c r="B134" s="1">
        <v>186</v>
      </c>
      <c r="C134" s="1">
        <v>182</v>
      </c>
      <c r="D134" s="2">
        <v>0.97850000000000004</v>
      </c>
      <c r="E134" s="1">
        <v>4</v>
      </c>
      <c r="F134" s="3">
        <v>1.6203703703703703E-4</v>
      </c>
      <c r="G134" s="3">
        <v>1.5393518518518519E-3</v>
      </c>
      <c r="H134" s="3">
        <v>1.1342592592592593E-3</v>
      </c>
      <c r="I134" s="2">
        <v>0.7903</v>
      </c>
    </row>
    <row r="135" spans="1:9">
      <c r="A135" s="1">
        <v>134</v>
      </c>
      <c r="B135" s="1">
        <v>278</v>
      </c>
      <c r="C135" s="1">
        <v>264</v>
      </c>
      <c r="D135" s="2">
        <v>0.9496</v>
      </c>
      <c r="E135" s="1">
        <v>14</v>
      </c>
      <c r="F135" s="3">
        <v>2.199074074074074E-4</v>
      </c>
      <c r="G135" s="3">
        <v>1.6203703703703703E-3</v>
      </c>
      <c r="H135" s="3">
        <v>1.5046296296296296E-3</v>
      </c>
      <c r="I135" s="2">
        <v>0.76839999999999997</v>
      </c>
    </row>
    <row r="136" spans="1:9">
      <c r="A136" s="1">
        <v>135</v>
      </c>
      <c r="B136" s="1">
        <v>272</v>
      </c>
      <c r="C136" s="1">
        <v>268</v>
      </c>
      <c r="D136" s="2">
        <v>0.98529999999999995</v>
      </c>
      <c r="E136" s="1">
        <v>4</v>
      </c>
      <c r="F136" s="3">
        <v>1.7361111111111112E-4</v>
      </c>
      <c r="G136" s="3">
        <v>1.736111111111111E-3</v>
      </c>
      <c r="H136" s="3">
        <v>1.2152777777777778E-3</v>
      </c>
      <c r="I136" s="2">
        <v>0.8</v>
      </c>
    </row>
    <row r="137" spans="1:9">
      <c r="A137" s="1">
        <v>136</v>
      </c>
      <c r="B137" s="1">
        <v>218</v>
      </c>
      <c r="C137" s="1">
        <v>206</v>
      </c>
      <c r="D137" s="2">
        <v>0.94499999999999995</v>
      </c>
      <c r="E137" s="1">
        <v>12</v>
      </c>
      <c r="F137" s="3">
        <v>2.8935185185185184E-4</v>
      </c>
      <c r="G137" s="3">
        <v>1.6319444444444445E-3</v>
      </c>
      <c r="H137" s="3">
        <v>2.5578703703703705E-3</v>
      </c>
      <c r="I137" s="2">
        <v>0.67279999999999995</v>
      </c>
    </row>
    <row r="138" spans="1:9">
      <c r="A138" s="1">
        <v>137</v>
      </c>
      <c r="B138" s="1">
        <v>152</v>
      </c>
      <c r="C138" s="1">
        <v>148</v>
      </c>
      <c r="D138" s="2">
        <v>0.97370000000000001</v>
      </c>
      <c r="E138" s="1">
        <v>4</v>
      </c>
      <c r="F138" s="3">
        <v>1.6203703703703703E-4</v>
      </c>
      <c r="G138" s="3">
        <v>1.5972222222222223E-3</v>
      </c>
      <c r="H138" s="3">
        <v>9.837962962962962E-4</v>
      </c>
      <c r="I138" s="2">
        <v>0.83330000000000004</v>
      </c>
    </row>
    <row r="139" spans="1:9">
      <c r="A139" s="1">
        <v>138</v>
      </c>
      <c r="B139" s="1">
        <v>48</v>
      </c>
      <c r="C139" s="1">
        <v>43</v>
      </c>
      <c r="D139" s="2">
        <v>0.89580000000000004</v>
      </c>
      <c r="E139" s="1">
        <v>5</v>
      </c>
      <c r="F139" s="3">
        <v>2.5462962962962961E-4</v>
      </c>
      <c r="G139" s="3">
        <v>1.4004629629629629E-3</v>
      </c>
      <c r="H139" s="3">
        <v>9.3749999999999997E-4</v>
      </c>
      <c r="I139" s="2">
        <v>0.69569999999999999</v>
      </c>
    </row>
    <row r="140" spans="1:9">
      <c r="A140" s="1">
        <v>139</v>
      </c>
      <c r="B140" s="1">
        <v>186</v>
      </c>
      <c r="C140" s="1">
        <v>181</v>
      </c>
      <c r="D140" s="2">
        <v>0.97309999999999997</v>
      </c>
      <c r="E140" s="1">
        <v>5</v>
      </c>
      <c r="F140" s="3">
        <v>1.6203703703703703E-4</v>
      </c>
      <c r="G140" s="3">
        <v>1.6203703703703703E-3</v>
      </c>
      <c r="H140" s="3">
        <v>1.261574074074074E-3</v>
      </c>
      <c r="I140" s="2">
        <v>0.84950000000000003</v>
      </c>
    </row>
    <row r="141" spans="1:9">
      <c r="A141" s="1">
        <v>140</v>
      </c>
      <c r="B141" s="1">
        <v>182</v>
      </c>
      <c r="C141" s="1">
        <v>180</v>
      </c>
      <c r="D141" s="2">
        <v>0.98899999999999999</v>
      </c>
      <c r="E141" s="1">
        <v>2</v>
      </c>
      <c r="F141" s="3">
        <v>9.2592592592592588E-5</v>
      </c>
      <c r="G141" s="3">
        <v>1.5046296296296296E-3</v>
      </c>
      <c r="H141" s="3">
        <v>6.7129629629629625E-4</v>
      </c>
      <c r="I141" s="2">
        <v>0.93369999999999997</v>
      </c>
    </row>
    <row r="142" spans="1:9">
      <c r="A142" s="1">
        <v>141</v>
      </c>
      <c r="B142" s="1">
        <v>192</v>
      </c>
      <c r="C142" s="1">
        <v>188</v>
      </c>
      <c r="D142" s="2">
        <v>0.97919999999999996</v>
      </c>
      <c r="E142" s="1">
        <v>4</v>
      </c>
      <c r="F142" s="3">
        <v>2.3148148148148149E-4</v>
      </c>
      <c r="G142" s="3">
        <v>1.3657407407407407E-3</v>
      </c>
      <c r="H142" s="3">
        <v>1.3425925925925925E-3</v>
      </c>
      <c r="I142" s="2">
        <v>0.76190000000000002</v>
      </c>
    </row>
    <row r="143" spans="1:9">
      <c r="A143" s="1">
        <v>142</v>
      </c>
      <c r="B143" s="1">
        <v>155</v>
      </c>
      <c r="C143" s="1">
        <v>148</v>
      </c>
      <c r="D143" s="2">
        <v>0.95479999999999998</v>
      </c>
      <c r="E143" s="1">
        <v>7</v>
      </c>
      <c r="F143" s="3">
        <v>1.6203703703703703E-4</v>
      </c>
      <c r="G143" s="3">
        <v>1.6666666666666668E-3</v>
      </c>
      <c r="H143" s="3">
        <v>1.5972222222222223E-3</v>
      </c>
      <c r="I143" s="2">
        <v>0.85329999999999995</v>
      </c>
    </row>
    <row r="144" spans="1:9">
      <c r="A144" s="1">
        <v>143</v>
      </c>
      <c r="B144" s="1">
        <v>144</v>
      </c>
      <c r="C144" s="1">
        <v>142</v>
      </c>
      <c r="D144" s="2">
        <v>0.98609999999999998</v>
      </c>
      <c r="E144" s="1">
        <v>2</v>
      </c>
      <c r="F144" s="3">
        <v>1.273148148148148E-4</v>
      </c>
      <c r="G144" s="3">
        <v>1.6087962962962963E-3</v>
      </c>
      <c r="H144" s="3">
        <v>7.5231481481481482E-4</v>
      </c>
      <c r="I144" s="2">
        <v>0.90210000000000001</v>
      </c>
    </row>
    <row r="145" spans="1:9">
      <c r="A145" s="1">
        <v>144</v>
      </c>
      <c r="B145" s="1">
        <v>164</v>
      </c>
      <c r="C145" s="1">
        <v>162</v>
      </c>
      <c r="D145" s="2">
        <v>0.98780000000000001</v>
      </c>
      <c r="E145" s="1">
        <v>2</v>
      </c>
      <c r="F145" s="3">
        <v>1.3888888888888889E-4</v>
      </c>
      <c r="G145" s="3">
        <v>1.7939814814814815E-3</v>
      </c>
      <c r="H145" s="3">
        <v>1.2731481481481483E-3</v>
      </c>
      <c r="I145" s="2">
        <v>0.85370000000000001</v>
      </c>
    </row>
    <row r="146" spans="1:9">
      <c r="A146" s="1">
        <v>145</v>
      </c>
      <c r="B146" s="1">
        <v>27</v>
      </c>
      <c r="C146" s="1">
        <v>26</v>
      </c>
      <c r="D146" s="2">
        <v>0.96299999999999997</v>
      </c>
      <c r="E146" s="1">
        <v>1</v>
      </c>
      <c r="F146" s="3">
        <v>1.273148148148148E-4</v>
      </c>
      <c r="G146" s="3">
        <v>1.4351851851851852E-3</v>
      </c>
      <c r="H146" s="3">
        <v>8.9120370370370373E-4</v>
      </c>
      <c r="I146" s="2">
        <v>0.81479999999999997</v>
      </c>
    </row>
    <row r="147" spans="1:9">
      <c r="A147" s="1">
        <v>146</v>
      </c>
      <c r="B147" s="1">
        <v>177</v>
      </c>
      <c r="C147" s="1">
        <v>175</v>
      </c>
      <c r="D147" s="2">
        <v>0.98870000000000002</v>
      </c>
      <c r="E147" s="1">
        <v>2</v>
      </c>
      <c r="F147" s="3">
        <v>1.273148148148148E-4</v>
      </c>
      <c r="G147" s="3">
        <v>1.6087962962962963E-3</v>
      </c>
      <c r="H147" s="3">
        <v>1.0995370370370371E-3</v>
      </c>
      <c r="I147" s="2">
        <v>0.90859999999999996</v>
      </c>
    </row>
    <row r="148" spans="1:9">
      <c r="A148" s="1">
        <v>147</v>
      </c>
      <c r="B148" s="1">
        <v>134</v>
      </c>
      <c r="C148" s="1">
        <v>131</v>
      </c>
      <c r="D148" s="2">
        <v>0.97760000000000002</v>
      </c>
      <c r="E148" s="1">
        <v>3</v>
      </c>
      <c r="F148" s="3">
        <v>1.6203703703703703E-4</v>
      </c>
      <c r="G148" s="3">
        <v>1.6550925925925926E-3</v>
      </c>
      <c r="H148" s="3">
        <v>1.1458333333333333E-3</v>
      </c>
      <c r="I148" s="2">
        <v>0.81340000000000001</v>
      </c>
    </row>
    <row r="149" spans="1:9">
      <c r="A149" s="1">
        <v>148</v>
      </c>
      <c r="B149" s="1">
        <v>125</v>
      </c>
      <c r="C149" s="1">
        <v>120</v>
      </c>
      <c r="D149" s="2">
        <v>0.96</v>
      </c>
      <c r="E149" s="1">
        <v>5</v>
      </c>
      <c r="F149" s="3">
        <v>1.6203703703703703E-4</v>
      </c>
      <c r="G149" s="3">
        <v>1.6203703703703703E-3</v>
      </c>
      <c r="H149" s="3">
        <v>1.9907407407407408E-3</v>
      </c>
      <c r="I149" s="2">
        <v>0.84550000000000003</v>
      </c>
    </row>
    <row r="150" spans="1:9">
      <c r="A150" s="1">
        <v>149</v>
      </c>
      <c r="B150" s="1">
        <v>167</v>
      </c>
      <c r="C150" s="1">
        <v>163</v>
      </c>
      <c r="D150" s="2">
        <v>0.97599999999999998</v>
      </c>
      <c r="E150" s="1">
        <v>4</v>
      </c>
      <c r="F150" s="3">
        <v>1.8518518518518518E-4</v>
      </c>
      <c r="G150" s="3">
        <v>1.6666666666666668E-3</v>
      </c>
      <c r="H150" s="3">
        <v>8.3333333333333339E-4</v>
      </c>
      <c r="I150" s="2">
        <v>0.81210000000000004</v>
      </c>
    </row>
    <row r="151" spans="1:9">
      <c r="A151" s="1">
        <v>150</v>
      </c>
      <c r="B151" s="1">
        <v>169</v>
      </c>
      <c r="C151" s="1">
        <v>167</v>
      </c>
      <c r="D151" s="2">
        <v>0.98819999999999997</v>
      </c>
      <c r="E151" s="1">
        <v>2</v>
      </c>
      <c r="F151" s="3">
        <v>1.0416666666666667E-4</v>
      </c>
      <c r="G151" s="3">
        <v>1.5509259259259259E-3</v>
      </c>
      <c r="H151" s="3">
        <v>1.2037037037037038E-3</v>
      </c>
      <c r="I151" s="2">
        <v>0.89939999999999998</v>
      </c>
    </row>
    <row r="152" spans="1:9">
      <c r="A152" s="1">
        <v>151</v>
      </c>
      <c r="B152" s="1">
        <v>162</v>
      </c>
      <c r="C152" s="1">
        <v>160</v>
      </c>
      <c r="D152" s="2">
        <v>0.98770000000000002</v>
      </c>
      <c r="E152" s="1">
        <v>2</v>
      </c>
      <c r="F152" s="3">
        <v>1.8518518518518518E-4</v>
      </c>
      <c r="G152" s="3">
        <v>1.5625000000000001E-3</v>
      </c>
      <c r="H152" s="3">
        <v>1.0532407407407407E-3</v>
      </c>
      <c r="I152" s="2">
        <v>0.83130000000000004</v>
      </c>
    </row>
    <row r="153" spans="1:9">
      <c r="A153" s="1">
        <v>152</v>
      </c>
      <c r="B153" s="1">
        <v>25</v>
      </c>
      <c r="C153" s="1">
        <v>25</v>
      </c>
      <c r="D153" s="2">
        <v>1</v>
      </c>
      <c r="E153" s="1">
        <v>0</v>
      </c>
      <c r="F153" s="3">
        <v>1.8518518518518518E-4</v>
      </c>
      <c r="G153" s="3">
        <v>1.7939814814814815E-3</v>
      </c>
      <c r="H153" s="3">
        <v>6.7129629629629625E-4</v>
      </c>
      <c r="I153" s="2">
        <v>0.76</v>
      </c>
    </row>
    <row r="154" spans="1:9">
      <c r="A154" s="1">
        <v>153</v>
      </c>
      <c r="B154" s="1">
        <v>157</v>
      </c>
      <c r="C154" s="1">
        <v>146</v>
      </c>
      <c r="D154" s="2">
        <v>0.92989999999999995</v>
      </c>
      <c r="E154" s="1">
        <v>11</v>
      </c>
      <c r="F154" s="3">
        <v>1.9675925925925926E-4</v>
      </c>
      <c r="G154" s="3">
        <v>1.5856481481481481E-3</v>
      </c>
      <c r="H154" s="3">
        <v>1.2847222222222223E-3</v>
      </c>
      <c r="I154" s="2">
        <v>0.7974</v>
      </c>
    </row>
    <row r="155" spans="1:9">
      <c r="A155" s="1">
        <v>154</v>
      </c>
      <c r="B155" s="1">
        <v>166</v>
      </c>
      <c r="C155" s="1">
        <v>154</v>
      </c>
      <c r="D155" s="2">
        <v>0.92769999999999997</v>
      </c>
      <c r="E155" s="1">
        <v>12</v>
      </c>
      <c r="F155" s="3">
        <v>2.8935185185185184E-4</v>
      </c>
      <c r="G155" s="3">
        <v>1.5972222222222223E-3</v>
      </c>
      <c r="H155" s="3">
        <v>2.5347222222222221E-3</v>
      </c>
      <c r="I155" s="2">
        <v>0.66259999999999997</v>
      </c>
    </row>
    <row r="156" spans="1:9">
      <c r="A156" s="1">
        <v>155</v>
      </c>
      <c r="B156" s="1">
        <v>58</v>
      </c>
      <c r="C156" s="1">
        <v>55</v>
      </c>
      <c r="D156" s="2">
        <v>0.94830000000000003</v>
      </c>
      <c r="E156" s="1">
        <v>3</v>
      </c>
      <c r="F156" s="3">
        <v>1.8518518518518518E-4</v>
      </c>
      <c r="G156" s="3">
        <v>1.5162037037037036E-3</v>
      </c>
      <c r="H156" s="3">
        <v>1.9097222222222222E-3</v>
      </c>
      <c r="I156" s="2">
        <v>0.74139999999999995</v>
      </c>
    </row>
    <row r="157" spans="1:9">
      <c r="A157" s="1">
        <v>156</v>
      </c>
      <c r="B157" s="1">
        <v>75</v>
      </c>
      <c r="C157" s="1">
        <v>74</v>
      </c>
      <c r="D157" s="2">
        <v>0.98670000000000002</v>
      </c>
      <c r="E157" s="1">
        <v>1</v>
      </c>
      <c r="F157" s="3">
        <v>1.7361111111111112E-4</v>
      </c>
      <c r="G157" s="3">
        <v>1.5393518518518519E-3</v>
      </c>
      <c r="H157" s="3">
        <v>2.2916666666666667E-3</v>
      </c>
      <c r="I157" s="2">
        <v>0.84</v>
      </c>
    </row>
    <row r="158" spans="1:9">
      <c r="A158" s="1">
        <v>157</v>
      </c>
      <c r="B158" s="1">
        <v>28</v>
      </c>
      <c r="C158" s="1">
        <v>28</v>
      </c>
      <c r="D158" s="2">
        <v>1</v>
      </c>
      <c r="E158" s="1">
        <v>0</v>
      </c>
      <c r="F158" s="3">
        <v>8.1018518518518516E-5</v>
      </c>
      <c r="G158" s="3">
        <v>1.712962962962963E-3</v>
      </c>
      <c r="H158" s="3">
        <v>5.9027777777777778E-4</v>
      </c>
      <c r="I158" s="2">
        <v>0.96430000000000005</v>
      </c>
    </row>
    <row r="159" spans="1:9">
      <c r="A159" s="1">
        <v>158</v>
      </c>
      <c r="B159" s="1">
        <v>108</v>
      </c>
      <c r="C159" s="1">
        <v>107</v>
      </c>
      <c r="D159" s="2">
        <v>0.99070000000000003</v>
      </c>
      <c r="E159" s="1">
        <v>1</v>
      </c>
      <c r="F159" s="3">
        <v>1.0416666666666667E-4</v>
      </c>
      <c r="G159" s="3">
        <v>1.5162037037037036E-3</v>
      </c>
      <c r="H159" s="3">
        <v>6.8287037037037036E-4</v>
      </c>
      <c r="I159" s="2">
        <v>0.94440000000000002</v>
      </c>
    </row>
    <row r="160" spans="1:9">
      <c r="A160" s="1">
        <v>159</v>
      </c>
      <c r="B160" s="1">
        <v>21</v>
      </c>
      <c r="C160" s="1">
        <v>21</v>
      </c>
      <c r="D160" s="2">
        <v>1</v>
      </c>
      <c r="E160" s="1">
        <v>0</v>
      </c>
      <c r="F160" s="3">
        <v>8.1018518518518516E-5</v>
      </c>
      <c r="G160" s="3">
        <v>2.0601851851851853E-3</v>
      </c>
      <c r="H160" s="3">
        <v>6.7129629629629625E-4</v>
      </c>
      <c r="I160" s="2">
        <v>0.95240000000000002</v>
      </c>
    </row>
    <row r="161" spans="1:9">
      <c r="A161" s="1">
        <v>160</v>
      </c>
      <c r="B161" s="1">
        <v>189</v>
      </c>
      <c r="C161" s="1">
        <v>182</v>
      </c>
      <c r="D161" s="2">
        <v>0.96299999999999997</v>
      </c>
      <c r="E161" s="1">
        <v>7</v>
      </c>
      <c r="F161" s="3">
        <v>2.4305555555555555E-4</v>
      </c>
      <c r="G161" s="3">
        <v>1.5046296296296296E-3</v>
      </c>
      <c r="H161" s="3">
        <v>3.3101851851851851E-3</v>
      </c>
      <c r="I161" s="2">
        <v>0.76339999999999997</v>
      </c>
    </row>
    <row r="162" spans="1:9">
      <c r="A162" s="1">
        <v>161</v>
      </c>
      <c r="B162" s="1">
        <v>161</v>
      </c>
      <c r="C162" s="1">
        <v>155</v>
      </c>
      <c r="D162" s="2">
        <v>0.9627</v>
      </c>
      <c r="E162" s="1">
        <v>6</v>
      </c>
      <c r="F162" s="3">
        <v>2.199074074074074E-4</v>
      </c>
      <c r="G162" s="3">
        <v>1.7013888888888888E-3</v>
      </c>
      <c r="H162" s="3">
        <v>1.2731481481481483E-3</v>
      </c>
      <c r="I162" s="2">
        <v>0.71879999999999999</v>
      </c>
    </row>
    <row r="163" spans="1:9">
      <c r="A163" s="1">
        <v>162</v>
      </c>
      <c r="B163" s="1">
        <v>155</v>
      </c>
      <c r="C163" s="1">
        <v>151</v>
      </c>
      <c r="D163" s="2">
        <v>0.97419999999999995</v>
      </c>
      <c r="E163" s="1">
        <v>4</v>
      </c>
      <c r="F163" s="3">
        <v>1.9675925925925926E-4</v>
      </c>
      <c r="G163" s="3">
        <v>1.6203703703703703E-3</v>
      </c>
      <c r="H163" s="3">
        <v>1.261574074074074E-3</v>
      </c>
      <c r="I163" s="2">
        <v>0.80520000000000003</v>
      </c>
    </row>
    <row r="164" spans="1:9">
      <c r="A164" s="1">
        <v>163</v>
      </c>
      <c r="B164" s="1">
        <v>161</v>
      </c>
      <c r="C164" s="1">
        <v>150</v>
      </c>
      <c r="D164" s="2">
        <v>0.93169999999999997</v>
      </c>
      <c r="E164" s="1">
        <v>11</v>
      </c>
      <c r="F164" s="3">
        <v>1.9675925925925926E-4</v>
      </c>
      <c r="G164" s="3">
        <v>1.6435185185185185E-3</v>
      </c>
      <c r="H164" s="3">
        <v>1.9097222222222222E-3</v>
      </c>
      <c r="I164" s="2">
        <v>0.75319999999999998</v>
      </c>
    </row>
    <row r="165" spans="1:9">
      <c r="A165" s="1">
        <v>164</v>
      </c>
      <c r="B165" s="1">
        <v>132</v>
      </c>
      <c r="C165" s="1">
        <v>129</v>
      </c>
      <c r="D165" s="2">
        <v>0.97729999999999995</v>
      </c>
      <c r="E165" s="1">
        <v>3</v>
      </c>
      <c r="F165" s="3">
        <v>3.1250000000000001E-4</v>
      </c>
      <c r="G165" s="3">
        <v>1.6435185185185185E-3</v>
      </c>
      <c r="H165" s="3">
        <v>1.7824074074074075E-3</v>
      </c>
      <c r="I165" s="2">
        <v>0.65149999999999997</v>
      </c>
    </row>
    <row r="166" spans="1:9">
      <c r="A166" s="1">
        <v>165</v>
      </c>
      <c r="B166" s="1">
        <v>122</v>
      </c>
      <c r="C166" s="1">
        <v>119</v>
      </c>
      <c r="D166" s="2">
        <v>0.97540000000000004</v>
      </c>
      <c r="E166" s="1">
        <v>3</v>
      </c>
      <c r="F166" s="3">
        <v>1.8518518518518518E-4</v>
      </c>
      <c r="G166" s="3">
        <v>1.6666666666666668E-3</v>
      </c>
      <c r="H166" s="3">
        <v>1.2731481481481483E-3</v>
      </c>
      <c r="I166" s="2">
        <v>0.8</v>
      </c>
    </row>
    <row r="167" spans="1:9">
      <c r="A167" s="1">
        <v>166</v>
      </c>
      <c r="B167" s="1">
        <v>17</v>
      </c>
      <c r="C167" s="1">
        <v>17</v>
      </c>
      <c r="D167" s="2">
        <v>1</v>
      </c>
      <c r="E167" s="1">
        <v>0</v>
      </c>
      <c r="F167" s="3">
        <v>2.4305555555555555E-4</v>
      </c>
      <c r="G167" s="3">
        <v>1.8518518518518519E-3</v>
      </c>
      <c r="H167" s="3">
        <v>6.7129629629629625E-4</v>
      </c>
      <c r="I167" s="2">
        <v>0.76470000000000005</v>
      </c>
    </row>
    <row r="168" spans="1:9">
      <c r="A168" s="1">
        <v>167</v>
      </c>
      <c r="B168" s="1">
        <v>45</v>
      </c>
      <c r="C168" s="1">
        <v>45</v>
      </c>
      <c r="D168" s="2">
        <v>1</v>
      </c>
      <c r="E168" s="1">
        <v>0</v>
      </c>
      <c r="F168" s="3">
        <v>6.9444444444444444E-5</v>
      </c>
      <c r="G168" s="3">
        <v>1.4583333333333334E-3</v>
      </c>
      <c r="H168" s="3">
        <v>6.5972222222222224E-4</v>
      </c>
      <c r="I168" s="2">
        <v>0.9556</v>
      </c>
    </row>
    <row r="169" spans="1:9">
      <c r="A169" s="1">
        <v>168</v>
      </c>
      <c r="B169" s="1">
        <v>177</v>
      </c>
      <c r="C169" s="1">
        <v>172</v>
      </c>
      <c r="D169" s="2">
        <v>0.9718</v>
      </c>
      <c r="E169" s="1">
        <v>5</v>
      </c>
      <c r="F169" s="3">
        <v>2.3148148148148149E-4</v>
      </c>
      <c r="G169" s="3">
        <v>1.6550925925925926E-3</v>
      </c>
      <c r="H169" s="3">
        <v>1.9791666666666668E-3</v>
      </c>
      <c r="I169" s="2">
        <v>0.76</v>
      </c>
    </row>
    <row r="170" spans="1:9">
      <c r="A170" s="1">
        <v>169</v>
      </c>
      <c r="B170" s="1">
        <v>133</v>
      </c>
      <c r="C170" s="1">
        <v>132</v>
      </c>
      <c r="D170" s="2">
        <v>0.99250000000000005</v>
      </c>
      <c r="E170" s="1">
        <v>1</v>
      </c>
      <c r="F170" s="3">
        <v>1.1574074074074075E-4</v>
      </c>
      <c r="G170" s="3">
        <v>1.6782407407407408E-3</v>
      </c>
      <c r="H170" s="3">
        <v>6.8287037037037036E-4</v>
      </c>
      <c r="I170" s="2">
        <v>0.93230000000000002</v>
      </c>
    </row>
    <row r="171" spans="1:9">
      <c r="A171" s="1">
        <v>170</v>
      </c>
      <c r="B171" s="1">
        <v>177</v>
      </c>
      <c r="C171" s="1">
        <v>167</v>
      </c>
      <c r="D171" s="2">
        <v>0.94350000000000001</v>
      </c>
      <c r="E171" s="1">
        <v>10</v>
      </c>
      <c r="F171" s="3">
        <v>1.7361111111111112E-4</v>
      </c>
      <c r="G171" s="3">
        <v>1.6435185185185185E-3</v>
      </c>
      <c r="H171" s="3">
        <v>3.1828703703703702E-3</v>
      </c>
      <c r="I171" s="2">
        <v>0.83240000000000003</v>
      </c>
    </row>
    <row r="172" spans="1:9">
      <c r="A172" s="1">
        <v>171</v>
      </c>
      <c r="B172" s="1">
        <v>127</v>
      </c>
      <c r="C172" s="1">
        <v>124</v>
      </c>
      <c r="D172" s="2">
        <v>0.97640000000000005</v>
      </c>
      <c r="E172" s="1">
        <v>3</v>
      </c>
      <c r="F172" s="3">
        <v>1.8518518518518518E-4</v>
      </c>
      <c r="G172" s="3">
        <v>1.6435185185185185E-3</v>
      </c>
      <c r="H172" s="3">
        <v>1.2152777777777778E-3</v>
      </c>
      <c r="I172" s="2">
        <v>0.81889999999999996</v>
      </c>
    </row>
    <row r="173" spans="1:9">
      <c r="A173" s="1">
        <v>172</v>
      </c>
      <c r="B173" s="1">
        <v>148</v>
      </c>
      <c r="C173" s="1">
        <v>147</v>
      </c>
      <c r="D173" s="2">
        <v>0.99319999999999997</v>
      </c>
      <c r="E173" s="1">
        <v>1</v>
      </c>
      <c r="F173" s="3">
        <v>1.8518518518518518E-4</v>
      </c>
      <c r="G173" s="3">
        <v>1.5162037037037036E-3</v>
      </c>
      <c r="H173" s="3">
        <v>2.2106481481481482E-3</v>
      </c>
      <c r="I173" s="2">
        <v>0.83109999999999995</v>
      </c>
    </row>
    <row r="174" spans="1:9">
      <c r="A174" s="1">
        <v>173</v>
      </c>
      <c r="B174" s="1">
        <v>23</v>
      </c>
      <c r="C174" s="1">
        <v>23</v>
      </c>
      <c r="D174" s="2">
        <v>1</v>
      </c>
      <c r="E174" s="1">
        <v>0</v>
      </c>
      <c r="F174" s="3">
        <v>3.7037037037037035E-4</v>
      </c>
      <c r="G174" s="3">
        <v>1.4120370370370369E-3</v>
      </c>
      <c r="H174" s="3">
        <v>1.8865740740740742E-3</v>
      </c>
      <c r="I174" s="2">
        <v>0.6522</v>
      </c>
    </row>
    <row r="175" spans="1:9">
      <c r="A175" s="1">
        <v>174</v>
      </c>
      <c r="B175" s="1">
        <v>141</v>
      </c>
      <c r="C175" s="1">
        <v>134</v>
      </c>
      <c r="D175" s="2">
        <v>0.95040000000000002</v>
      </c>
      <c r="E175" s="1">
        <v>7</v>
      </c>
      <c r="F175" s="3">
        <v>2.7777777777777778E-4</v>
      </c>
      <c r="G175" s="3">
        <v>1.8287037037037037E-3</v>
      </c>
      <c r="H175" s="3">
        <v>1.724537037037037E-3</v>
      </c>
      <c r="I175" s="2">
        <v>0.72140000000000004</v>
      </c>
    </row>
    <row r="176" spans="1:9">
      <c r="A176" s="1">
        <v>175</v>
      </c>
      <c r="B176" s="1">
        <v>124</v>
      </c>
      <c r="C176" s="1">
        <v>120</v>
      </c>
      <c r="D176" s="2">
        <v>0.9677</v>
      </c>
      <c r="E176" s="1">
        <v>4</v>
      </c>
      <c r="F176" s="3">
        <v>2.3148148148148149E-4</v>
      </c>
      <c r="G176" s="3">
        <v>1.7708333333333332E-3</v>
      </c>
      <c r="H176" s="3">
        <v>2.0601851851851853E-3</v>
      </c>
      <c r="I176" s="2">
        <v>0.8226</v>
      </c>
    </row>
    <row r="177" spans="1:9">
      <c r="A177" s="1">
        <v>176</v>
      </c>
      <c r="B177" s="1">
        <v>165</v>
      </c>
      <c r="C177" s="1">
        <v>156</v>
      </c>
      <c r="D177" s="2">
        <v>0.94550000000000001</v>
      </c>
      <c r="E177" s="1">
        <v>9</v>
      </c>
      <c r="F177" s="3">
        <v>2.8935185185185184E-4</v>
      </c>
      <c r="G177" s="3">
        <v>1.6319444444444445E-3</v>
      </c>
      <c r="H177" s="3">
        <v>1.8287037037037037E-3</v>
      </c>
      <c r="I177" s="2">
        <v>0.70550000000000002</v>
      </c>
    </row>
    <row r="178" spans="1:9">
      <c r="A178" s="1">
        <v>177</v>
      </c>
      <c r="B178" s="1">
        <v>168</v>
      </c>
      <c r="C178" s="1">
        <v>166</v>
      </c>
      <c r="D178" s="2">
        <v>0.98809999999999998</v>
      </c>
      <c r="E178" s="1">
        <v>2</v>
      </c>
      <c r="F178" s="3">
        <v>2.4305555555555555E-4</v>
      </c>
      <c r="G178" s="3">
        <v>1.7708333333333332E-3</v>
      </c>
      <c r="H178" s="3">
        <v>2.5810185185185185E-3</v>
      </c>
      <c r="I178" s="2">
        <v>0.80120000000000002</v>
      </c>
    </row>
    <row r="179" spans="1:9">
      <c r="A179" s="1">
        <v>178</v>
      </c>
      <c r="B179" s="1">
        <v>198</v>
      </c>
      <c r="C179" s="1">
        <v>188</v>
      </c>
      <c r="D179" s="2">
        <v>0.94950000000000001</v>
      </c>
      <c r="E179" s="1">
        <v>10</v>
      </c>
      <c r="F179" s="3">
        <v>2.5462962962962961E-4</v>
      </c>
      <c r="G179" s="3">
        <v>1.7592592592592592E-3</v>
      </c>
      <c r="H179" s="3">
        <v>1.9097222222222222E-3</v>
      </c>
      <c r="I179" s="2">
        <v>0.70920000000000005</v>
      </c>
    </row>
    <row r="180" spans="1:9">
      <c r="A180" s="1">
        <v>179</v>
      </c>
      <c r="B180" s="1">
        <v>139</v>
      </c>
      <c r="C180" s="1">
        <v>133</v>
      </c>
      <c r="D180" s="2">
        <v>0.95679999999999998</v>
      </c>
      <c r="E180" s="1">
        <v>6</v>
      </c>
      <c r="F180" s="3">
        <v>1.9675925925925926E-4</v>
      </c>
      <c r="G180" s="3">
        <v>1.8518518518518519E-3</v>
      </c>
      <c r="H180" s="3">
        <v>2.1180555555555558E-3</v>
      </c>
      <c r="I180" s="2">
        <v>0.80149999999999999</v>
      </c>
    </row>
    <row r="181" spans="1:9">
      <c r="A181" s="1">
        <v>180</v>
      </c>
      <c r="B181" s="1">
        <v>46</v>
      </c>
      <c r="C181" s="1">
        <v>45</v>
      </c>
      <c r="D181" s="2">
        <v>0.97829999999999995</v>
      </c>
      <c r="E181" s="1">
        <v>1</v>
      </c>
      <c r="F181" s="3">
        <v>1.1574074074074075E-4</v>
      </c>
      <c r="G181" s="3">
        <v>1.5509259259259259E-3</v>
      </c>
      <c r="H181" s="3">
        <v>8.7962962962962962E-4</v>
      </c>
      <c r="I181" s="2">
        <v>0.88890000000000002</v>
      </c>
    </row>
    <row r="182" spans="1:9">
      <c r="A182" s="1">
        <v>181</v>
      </c>
      <c r="B182" s="1">
        <v>184</v>
      </c>
      <c r="C182" s="1">
        <v>174</v>
      </c>
      <c r="D182" s="2">
        <v>0.94569999999999999</v>
      </c>
      <c r="E182" s="1">
        <v>10</v>
      </c>
      <c r="F182" s="3">
        <v>2.6620370370370372E-4</v>
      </c>
      <c r="G182" s="3">
        <v>1.8171296296296297E-3</v>
      </c>
      <c r="H182" s="3">
        <v>3.1828703703703702E-3</v>
      </c>
      <c r="I182" s="2">
        <v>0.76539999999999997</v>
      </c>
    </row>
    <row r="183" spans="1:9">
      <c r="A183" s="1">
        <v>182</v>
      </c>
      <c r="B183" s="1">
        <v>207</v>
      </c>
      <c r="C183" s="1">
        <v>190</v>
      </c>
      <c r="D183" s="2">
        <v>0.91790000000000005</v>
      </c>
      <c r="E183" s="1">
        <v>17</v>
      </c>
      <c r="F183" s="3">
        <v>2.4305555555555555E-4</v>
      </c>
      <c r="G183" s="3">
        <v>1.6550925925925926E-3</v>
      </c>
      <c r="H183" s="3">
        <v>2.8472222222222223E-3</v>
      </c>
      <c r="I183" s="2">
        <v>0.71360000000000001</v>
      </c>
    </row>
    <row r="184" spans="1:9">
      <c r="A184" s="1">
        <v>183</v>
      </c>
      <c r="B184" s="1">
        <v>191</v>
      </c>
      <c r="C184" s="1">
        <v>180</v>
      </c>
      <c r="D184" s="2">
        <v>0.94240000000000002</v>
      </c>
      <c r="E184" s="1">
        <v>11</v>
      </c>
      <c r="F184" s="3">
        <v>2.4305555555555555E-4</v>
      </c>
      <c r="G184" s="3">
        <v>1.7592592592592592E-3</v>
      </c>
      <c r="H184" s="3">
        <v>1.3078703703703703E-3</v>
      </c>
      <c r="I184" s="2">
        <v>0.76500000000000001</v>
      </c>
    </row>
    <row r="185" spans="1:9">
      <c r="A185" s="1">
        <v>184</v>
      </c>
      <c r="B185" s="1">
        <v>213</v>
      </c>
      <c r="C185" s="1">
        <v>204</v>
      </c>
      <c r="D185" s="2">
        <v>0.9577</v>
      </c>
      <c r="E185" s="1">
        <v>9</v>
      </c>
      <c r="F185" s="3">
        <v>2.7777777777777778E-4</v>
      </c>
      <c r="G185" s="3">
        <v>1.6898148148148148E-3</v>
      </c>
      <c r="H185" s="3">
        <v>1.9212962962962964E-3</v>
      </c>
      <c r="I185" s="2">
        <v>0.69669999999999999</v>
      </c>
    </row>
    <row r="186" spans="1:9">
      <c r="A186" s="1">
        <v>185</v>
      </c>
      <c r="B186" s="1">
        <v>483</v>
      </c>
      <c r="C186" s="1">
        <v>451</v>
      </c>
      <c r="D186" s="2">
        <v>0.93369999999999997</v>
      </c>
      <c r="E186" s="1">
        <v>32</v>
      </c>
      <c r="F186" s="3">
        <v>1.8518518518518518E-4</v>
      </c>
      <c r="G186" s="3">
        <v>6.5972222222222224E-4</v>
      </c>
      <c r="H186" s="3">
        <v>6.076388888888889E-3</v>
      </c>
      <c r="I186" s="2">
        <v>0.79200000000000004</v>
      </c>
    </row>
    <row r="187" spans="1:9">
      <c r="A187" s="1">
        <v>186</v>
      </c>
      <c r="B187" s="1">
        <v>547</v>
      </c>
      <c r="C187" s="1">
        <v>526</v>
      </c>
      <c r="D187" s="2">
        <v>0.96160000000000001</v>
      </c>
      <c r="E187" s="1">
        <v>21</v>
      </c>
      <c r="F187" s="3">
        <v>2.199074074074074E-4</v>
      </c>
      <c r="G187" s="3">
        <v>9.3749999999999997E-4</v>
      </c>
      <c r="H187" s="3">
        <v>2.7083333333333334E-3</v>
      </c>
      <c r="I187" s="2">
        <v>0.81579999999999997</v>
      </c>
    </row>
    <row r="188" spans="1:9">
      <c r="A188" s="1">
        <v>187</v>
      </c>
      <c r="B188" s="1">
        <v>54</v>
      </c>
      <c r="C188" s="1">
        <v>53</v>
      </c>
      <c r="D188" s="2">
        <v>0.98150000000000004</v>
      </c>
      <c r="E188" s="1">
        <v>1</v>
      </c>
      <c r="F188" s="3">
        <v>2.8935185185185184E-4</v>
      </c>
      <c r="G188" s="3">
        <v>1.8055555555555555E-3</v>
      </c>
      <c r="H188" s="3">
        <v>9.0277777777777774E-4</v>
      </c>
      <c r="I188" s="2">
        <v>0.70369999999999999</v>
      </c>
    </row>
    <row r="189" spans="1:9">
      <c r="A189" s="1">
        <v>188</v>
      </c>
      <c r="B189" s="1">
        <v>275</v>
      </c>
      <c r="C189" s="1">
        <v>261</v>
      </c>
      <c r="D189" s="2">
        <v>0.94910000000000005</v>
      </c>
      <c r="E189" s="1">
        <v>14</v>
      </c>
      <c r="F189" s="3">
        <v>2.5462962962962961E-4</v>
      </c>
      <c r="G189" s="3">
        <v>1.5393518518518519E-3</v>
      </c>
      <c r="H189" s="3">
        <v>1.5277777777777779E-3</v>
      </c>
      <c r="I189" s="2">
        <v>0.74439999999999995</v>
      </c>
    </row>
    <row r="190" spans="1:9">
      <c r="A190" s="1">
        <v>189</v>
      </c>
      <c r="B190" s="1">
        <v>205</v>
      </c>
      <c r="C190" s="1">
        <v>195</v>
      </c>
      <c r="D190" s="2">
        <v>0.95120000000000005</v>
      </c>
      <c r="E190" s="1">
        <v>10</v>
      </c>
      <c r="F190" s="3">
        <v>2.7777777777777778E-4</v>
      </c>
      <c r="G190" s="3">
        <v>1.7824074074074075E-3</v>
      </c>
      <c r="H190" s="3">
        <v>2.0833333333333333E-3</v>
      </c>
      <c r="I190" s="2">
        <v>0.70789999999999997</v>
      </c>
    </row>
    <row r="191" spans="1:9">
      <c r="A191" s="1">
        <v>190</v>
      </c>
      <c r="B191" s="1">
        <v>80</v>
      </c>
      <c r="C191" s="1">
        <v>77</v>
      </c>
      <c r="D191" s="2">
        <v>0.96250000000000002</v>
      </c>
      <c r="E191" s="1">
        <v>3</v>
      </c>
      <c r="F191" s="3">
        <v>1.1574074074074075E-4</v>
      </c>
      <c r="G191" s="3">
        <v>1.5162037037037036E-3</v>
      </c>
      <c r="H191" s="3">
        <v>1.0763888888888889E-3</v>
      </c>
      <c r="I191" s="2">
        <v>0.89610000000000001</v>
      </c>
    </row>
    <row r="192" spans="1:9">
      <c r="A192" s="1">
        <v>191</v>
      </c>
      <c r="B192" s="1">
        <v>200</v>
      </c>
      <c r="C192" s="1">
        <v>195</v>
      </c>
      <c r="D192" s="2">
        <v>0.97499999999999998</v>
      </c>
      <c r="E192" s="1">
        <v>5</v>
      </c>
      <c r="F192" s="3">
        <v>2.4305555555555555E-4</v>
      </c>
      <c r="G192" s="3">
        <v>1.736111111111111E-3</v>
      </c>
      <c r="H192" s="3">
        <v>1.9444444444444444E-3</v>
      </c>
      <c r="I192" s="2">
        <v>0.75249999999999995</v>
      </c>
    </row>
    <row r="193" spans="1:9">
      <c r="A193" s="1">
        <v>192</v>
      </c>
      <c r="B193" s="1">
        <v>154</v>
      </c>
      <c r="C193" s="1">
        <v>150</v>
      </c>
      <c r="D193" s="2">
        <v>0.97399999999999998</v>
      </c>
      <c r="E193" s="1">
        <v>4</v>
      </c>
      <c r="F193" s="3">
        <v>2.4305555555555555E-4</v>
      </c>
      <c r="G193" s="3">
        <v>1.724537037037037E-3</v>
      </c>
      <c r="H193" s="3">
        <v>1.9097222222222222E-3</v>
      </c>
      <c r="I193" s="2">
        <v>0.74339999999999995</v>
      </c>
    </row>
    <row r="194" spans="1:9">
      <c r="A194" s="1">
        <v>193</v>
      </c>
      <c r="B194" s="1">
        <v>163</v>
      </c>
      <c r="C194" s="1">
        <v>155</v>
      </c>
      <c r="D194" s="2">
        <v>0.95089999999999997</v>
      </c>
      <c r="E194" s="1">
        <v>8</v>
      </c>
      <c r="F194" s="3">
        <v>2.6620370370370372E-4</v>
      </c>
      <c r="G194" s="3">
        <v>1.5972222222222223E-3</v>
      </c>
      <c r="H194" s="3">
        <v>1.6898148148148148E-3</v>
      </c>
      <c r="I194" s="2">
        <v>0.74519999999999997</v>
      </c>
    </row>
    <row r="195" spans="1:9">
      <c r="A195" s="1">
        <v>194</v>
      </c>
      <c r="B195" s="1">
        <v>12</v>
      </c>
      <c r="C195" s="1">
        <v>12</v>
      </c>
      <c r="D195" s="2">
        <v>1</v>
      </c>
      <c r="E195" s="1">
        <v>0</v>
      </c>
      <c r="F195" s="3">
        <v>2.8935185185185184E-4</v>
      </c>
      <c r="G195" s="3">
        <v>2.5115740740740741E-3</v>
      </c>
      <c r="H195" s="3">
        <v>1.0185185185185184E-3</v>
      </c>
      <c r="I195" s="2">
        <v>0.66669999999999996</v>
      </c>
    </row>
    <row r="196" spans="1:9">
      <c r="A196" s="1">
        <v>195</v>
      </c>
      <c r="B196" s="1">
        <v>218</v>
      </c>
      <c r="C196" s="1">
        <v>212</v>
      </c>
      <c r="D196" s="2">
        <v>0.97250000000000003</v>
      </c>
      <c r="E196" s="1">
        <v>6</v>
      </c>
      <c r="F196" s="3">
        <v>2.3148148148148149E-4</v>
      </c>
      <c r="G196" s="3">
        <v>1.3425925925925925E-3</v>
      </c>
      <c r="H196" s="3">
        <v>2.9050925925925928E-3</v>
      </c>
      <c r="I196" s="2">
        <v>0.75929999999999997</v>
      </c>
    </row>
    <row r="197" spans="1:9">
      <c r="A197" s="1">
        <v>196</v>
      </c>
      <c r="B197" s="1">
        <v>172</v>
      </c>
      <c r="C197" s="1">
        <v>163</v>
      </c>
      <c r="D197" s="2">
        <v>0.94769999999999999</v>
      </c>
      <c r="E197" s="1">
        <v>9</v>
      </c>
      <c r="F197" s="3">
        <v>2.0833333333333335E-4</v>
      </c>
      <c r="G197" s="3">
        <v>1.4930555555555556E-3</v>
      </c>
      <c r="H197" s="3">
        <v>1.3078703703703703E-3</v>
      </c>
      <c r="I197" s="2">
        <v>0.81930000000000003</v>
      </c>
    </row>
    <row r="198" spans="1:9">
      <c r="A198" s="1">
        <v>197</v>
      </c>
      <c r="B198" s="1">
        <v>205</v>
      </c>
      <c r="C198" s="1">
        <v>194</v>
      </c>
      <c r="D198" s="2">
        <v>0.94630000000000003</v>
      </c>
      <c r="E198" s="1">
        <v>11</v>
      </c>
      <c r="F198" s="3">
        <v>2.0833333333333335E-4</v>
      </c>
      <c r="G198" s="3">
        <v>1.6666666666666668E-3</v>
      </c>
      <c r="H198" s="3">
        <v>1.1689814814814816E-3</v>
      </c>
      <c r="I198" s="2">
        <v>0.80600000000000005</v>
      </c>
    </row>
    <row r="199" spans="1:9">
      <c r="A199" s="1">
        <v>198</v>
      </c>
      <c r="B199" s="1">
        <v>178</v>
      </c>
      <c r="C199" s="1">
        <v>168</v>
      </c>
      <c r="D199" s="2">
        <v>0.94379999999999997</v>
      </c>
      <c r="E199" s="1">
        <v>10</v>
      </c>
      <c r="F199" s="3">
        <v>2.6620370370370372E-4</v>
      </c>
      <c r="G199" s="3">
        <v>1.712962962962963E-3</v>
      </c>
      <c r="H199" s="3">
        <v>1.9675925925925924E-3</v>
      </c>
      <c r="I199" s="2">
        <v>0.68969999999999998</v>
      </c>
    </row>
    <row r="200" spans="1:9">
      <c r="A200" s="1">
        <v>199</v>
      </c>
      <c r="B200" s="1">
        <v>214</v>
      </c>
      <c r="C200" s="1">
        <v>201</v>
      </c>
      <c r="D200" s="2">
        <v>0.93930000000000002</v>
      </c>
      <c r="E200" s="1">
        <v>13</v>
      </c>
      <c r="F200" s="3">
        <v>2.6620370370370372E-4</v>
      </c>
      <c r="G200" s="3">
        <v>1.5162037037037036E-3</v>
      </c>
      <c r="H200" s="3">
        <v>1.6666666666666668E-3</v>
      </c>
      <c r="I200" s="2">
        <v>0.6603</v>
      </c>
    </row>
    <row r="201" spans="1:9">
      <c r="A201" s="1">
        <v>200</v>
      </c>
      <c r="B201" s="1">
        <v>169</v>
      </c>
      <c r="C201" s="1">
        <v>161</v>
      </c>
      <c r="D201" s="2">
        <v>0.95269999999999999</v>
      </c>
      <c r="E201" s="1">
        <v>8</v>
      </c>
      <c r="F201" s="3">
        <v>2.6620370370370372E-4</v>
      </c>
      <c r="G201" s="3">
        <v>1.5856481481481481E-3</v>
      </c>
      <c r="H201" s="3">
        <v>3.1828703703703702E-3</v>
      </c>
      <c r="I201" s="2">
        <v>0.71689999999999998</v>
      </c>
    </row>
    <row r="202" spans="1:9">
      <c r="A202" s="1">
        <v>201</v>
      </c>
      <c r="B202" s="1">
        <v>46</v>
      </c>
      <c r="C202" s="1">
        <v>46</v>
      </c>
      <c r="D202" s="2">
        <v>1</v>
      </c>
      <c r="E202" s="1">
        <v>0</v>
      </c>
      <c r="F202" s="3">
        <v>2.8935185185185184E-4</v>
      </c>
      <c r="G202" s="3">
        <v>1.6666666666666668E-3</v>
      </c>
      <c r="H202" s="3">
        <v>1.0995370370370371E-3</v>
      </c>
      <c r="I202" s="2">
        <v>0.71740000000000004</v>
      </c>
    </row>
    <row r="203" spans="1:9">
      <c r="A203" s="1">
        <v>202</v>
      </c>
      <c r="B203" s="1">
        <v>183</v>
      </c>
      <c r="C203" s="1">
        <v>177</v>
      </c>
      <c r="D203" s="2">
        <v>0.96719999999999995</v>
      </c>
      <c r="E203" s="1">
        <v>6</v>
      </c>
      <c r="F203" s="3">
        <v>2.0833333333333335E-4</v>
      </c>
      <c r="G203" s="3">
        <v>1.736111111111111E-3</v>
      </c>
      <c r="H203" s="3">
        <v>7.7546296296296293E-4</v>
      </c>
      <c r="I203" s="2">
        <v>0.81110000000000004</v>
      </c>
    </row>
    <row r="204" spans="1:9">
      <c r="A204" s="1">
        <v>203</v>
      </c>
      <c r="B204" s="1">
        <v>208</v>
      </c>
      <c r="C204" s="1">
        <v>190</v>
      </c>
      <c r="D204" s="2">
        <v>0.91349999999999998</v>
      </c>
      <c r="E204" s="1">
        <v>18</v>
      </c>
      <c r="F204" s="3">
        <v>2.4305555555555555E-4</v>
      </c>
      <c r="G204" s="3">
        <v>1.6782407407407408E-3</v>
      </c>
      <c r="H204" s="3">
        <v>1.2731481481481483E-3</v>
      </c>
      <c r="I204" s="2">
        <v>0.74109999999999998</v>
      </c>
    </row>
    <row r="205" spans="1:9">
      <c r="A205" s="1">
        <v>204</v>
      </c>
      <c r="B205" s="1">
        <v>234</v>
      </c>
      <c r="C205" s="1">
        <v>224</v>
      </c>
      <c r="D205" s="2">
        <v>0.95730000000000004</v>
      </c>
      <c r="E205" s="1">
        <v>10</v>
      </c>
      <c r="F205" s="3">
        <v>2.5462962962962961E-4</v>
      </c>
      <c r="G205" s="3">
        <v>1.5625000000000001E-3</v>
      </c>
      <c r="H205" s="3">
        <v>2.3148148148148147E-3</v>
      </c>
      <c r="I205" s="2">
        <v>0.74139999999999995</v>
      </c>
    </row>
    <row r="206" spans="1:9">
      <c r="A206" s="1">
        <v>205</v>
      </c>
      <c r="B206" s="1">
        <v>204</v>
      </c>
      <c r="C206" s="1">
        <v>194</v>
      </c>
      <c r="D206" s="2">
        <v>0.95099999999999996</v>
      </c>
      <c r="E206" s="1">
        <v>10</v>
      </c>
      <c r="F206" s="3">
        <v>2.0833333333333335E-4</v>
      </c>
      <c r="G206" s="3">
        <v>1.5856481481481481E-3</v>
      </c>
      <c r="H206" s="3">
        <v>1.2731481481481483E-3</v>
      </c>
      <c r="I206" s="2">
        <v>0.78710000000000002</v>
      </c>
    </row>
    <row r="207" spans="1:9">
      <c r="A207" s="1">
        <v>206</v>
      </c>
      <c r="B207" s="1">
        <v>204</v>
      </c>
      <c r="C207" s="1">
        <v>189</v>
      </c>
      <c r="D207" s="2">
        <v>0.92649999999999999</v>
      </c>
      <c r="E207" s="1">
        <v>15</v>
      </c>
      <c r="F207" s="3">
        <v>2.4305555555555555E-4</v>
      </c>
      <c r="G207" s="3">
        <v>1.5625000000000001E-3</v>
      </c>
      <c r="H207" s="3">
        <v>2.7314814814814814E-3</v>
      </c>
      <c r="I207" s="2">
        <v>0.70789999999999997</v>
      </c>
    </row>
    <row r="208" spans="1:9">
      <c r="A208" s="1">
        <v>207</v>
      </c>
      <c r="B208" s="1">
        <v>99</v>
      </c>
      <c r="C208" s="1">
        <v>99</v>
      </c>
      <c r="D208" s="2">
        <v>1</v>
      </c>
      <c r="E208" s="1">
        <v>0</v>
      </c>
      <c r="F208" s="3">
        <v>1.8518518518518518E-4</v>
      </c>
      <c r="G208" s="3">
        <v>1.6782407407407408E-3</v>
      </c>
      <c r="H208" s="3">
        <v>7.1759259259259259E-4</v>
      </c>
      <c r="I208" s="2">
        <v>0.82830000000000004</v>
      </c>
    </row>
    <row r="209" spans="1:9">
      <c r="A209" s="1">
        <v>208</v>
      </c>
      <c r="B209" s="1">
        <v>29</v>
      </c>
      <c r="C209" s="1">
        <v>27</v>
      </c>
      <c r="D209" s="2">
        <v>0.93100000000000005</v>
      </c>
      <c r="E209" s="1">
        <v>2</v>
      </c>
      <c r="F209" s="3">
        <v>2.199074074074074E-4</v>
      </c>
      <c r="G209" s="3">
        <v>1.9328703703703704E-3</v>
      </c>
      <c r="H209" s="3">
        <v>1.6435185185185185E-3</v>
      </c>
      <c r="I209" s="2">
        <v>0.78569999999999995</v>
      </c>
    </row>
    <row r="210" spans="1:9">
      <c r="A210" s="1">
        <v>209</v>
      </c>
      <c r="B210" s="1">
        <v>167</v>
      </c>
      <c r="C210" s="1">
        <v>159</v>
      </c>
      <c r="D210" s="2">
        <v>0.95209999999999995</v>
      </c>
      <c r="E210" s="1">
        <v>8</v>
      </c>
      <c r="F210" s="3">
        <v>2.6620370370370372E-4</v>
      </c>
      <c r="G210" s="3">
        <v>1.712962962962963E-3</v>
      </c>
      <c r="H210" s="3">
        <v>3.1828703703703702E-3</v>
      </c>
      <c r="I210" s="2">
        <v>0.70479999999999998</v>
      </c>
    </row>
    <row r="211" spans="1:9">
      <c r="A211" s="1">
        <v>210</v>
      </c>
      <c r="B211" s="1">
        <v>164</v>
      </c>
      <c r="C211" s="1">
        <v>161</v>
      </c>
      <c r="D211" s="2">
        <v>0.98170000000000002</v>
      </c>
      <c r="E211" s="1">
        <v>3</v>
      </c>
      <c r="F211" s="3">
        <v>1.9675925925925926E-4</v>
      </c>
      <c r="G211" s="3">
        <v>1.7939814814814815E-3</v>
      </c>
      <c r="H211" s="3">
        <v>1.1226851851851851E-3</v>
      </c>
      <c r="I211" s="2">
        <v>0.81710000000000005</v>
      </c>
    </row>
    <row r="212" spans="1:9">
      <c r="A212" s="1">
        <v>211</v>
      </c>
      <c r="B212" s="1">
        <v>158</v>
      </c>
      <c r="C212" s="1">
        <v>147</v>
      </c>
      <c r="D212" s="2">
        <v>0.9304</v>
      </c>
      <c r="E212" s="1">
        <v>11</v>
      </c>
      <c r="F212" s="3">
        <v>2.4305555555555555E-4</v>
      </c>
      <c r="G212" s="3">
        <v>1.7824074074074075E-3</v>
      </c>
      <c r="H212" s="3">
        <v>1.4236111111111112E-3</v>
      </c>
      <c r="I212" s="2">
        <v>0.72440000000000004</v>
      </c>
    </row>
    <row r="213" spans="1:9">
      <c r="A213" s="1">
        <v>212</v>
      </c>
      <c r="B213" s="1">
        <v>165</v>
      </c>
      <c r="C213" s="1">
        <v>161</v>
      </c>
      <c r="D213" s="2">
        <v>0.9758</v>
      </c>
      <c r="E213" s="1">
        <v>4</v>
      </c>
      <c r="F213" s="3">
        <v>1.9675925925925926E-4</v>
      </c>
      <c r="G213" s="3">
        <v>1.6898148148148148E-3</v>
      </c>
      <c r="H213" s="3">
        <v>7.6388888888888893E-4</v>
      </c>
      <c r="I213" s="2">
        <v>0.77910000000000001</v>
      </c>
    </row>
    <row r="214" spans="1:9">
      <c r="A214" s="1">
        <v>213</v>
      </c>
      <c r="B214" s="1">
        <v>129</v>
      </c>
      <c r="C214" s="1">
        <v>124</v>
      </c>
      <c r="D214" s="2">
        <v>0.96120000000000005</v>
      </c>
      <c r="E214" s="1">
        <v>5</v>
      </c>
      <c r="F214" s="3">
        <v>2.6620370370370372E-4</v>
      </c>
      <c r="G214" s="3">
        <v>1.712962962962963E-3</v>
      </c>
      <c r="H214" s="3">
        <v>1.2731481481481483E-3</v>
      </c>
      <c r="I214" s="2">
        <v>0.7087</v>
      </c>
    </row>
    <row r="215" spans="1:9">
      <c r="A215" s="1">
        <v>214</v>
      </c>
      <c r="B215" s="1">
        <v>155</v>
      </c>
      <c r="C215" s="1">
        <v>149</v>
      </c>
      <c r="D215" s="2">
        <v>0.96130000000000004</v>
      </c>
      <c r="E215" s="1">
        <v>6</v>
      </c>
      <c r="F215" s="3">
        <v>2.6620370370370372E-4</v>
      </c>
      <c r="G215" s="3">
        <v>1.6898148148148148E-3</v>
      </c>
      <c r="H215" s="3">
        <v>2.9976851851851853E-3</v>
      </c>
      <c r="I215" s="2">
        <v>0.74509999999999998</v>
      </c>
    </row>
    <row r="216" spans="1:9">
      <c r="A216" s="1">
        <v>215</v>
      </c>
      <c r="B216" s="1">
        <v>24</v>
      </c>
      <c r="C216" s="1">
        <v>22</v>
      </c>
      <c r="D216" s="2">
        <v>0.91669999999999996</v>
      </c>
      <c r="E216" s="1">
        <v>2</v>
      </c>
      <c r="F216" s="3">
        <v>3.2407407407407406E-4</v>
      </c>
      <c r="G216" s="3">
        <v>1.6666666666666668E-3</v>
      </c>
      <c r="H216" s="3">
        <v>9.3749999999999997E-4</v>
      </c>
      <c r="I216" s="2">
        <v>0.54169999999999996</v>
      </c>
    </row>
    <row r="217" spans="1:9">
      <c r="A217" s="1">
        <v>216</v>
      </c>
      <c r="B217" s="1">
        <v>209</v>
      </c>
      <c r="C217" s="1">
        <v>200</v>
      </c>
      <c r="D217" s="2">
        <v>0.95689999999999997</v>
      </c>
      <c r="E217" s="1">
        <v>9</v>
      </c>
      <c r="F217" s="3">
        <v>2.6620370370370372E-4</v>
      </c>
      <c r="G217" s="3">
        <v>1.6666666666666668E-3</v>
      </c>
      <c r="H217" s="3">
        <v>1.5162037037037036E-3</v>
      </c>
      <c r="I217" s="2">
        <v>0.66669999999999996</v>
      </c>
    </row>
    <row r="218" spans="1:9">
      <c r="A218" s="1">
        <v>217</v>
      </c>
      <c r="B218" s="1">
        <v>239</v>
      </c>
      <c r="C218" s="1">
        <v>226</v>
      </c>
      <c r="D218" s="2">
        <v>0.9456</v>
      </c>
      <c r="E218" s="1">
        <v>13</v>
      </c>
      <c r="F218" s="3">
        <v>3.0092592592592595E-4</v>
      </c>
      <c r="G218" s="3">
        <v>1.6087962962962963E-3</v>
      </c>
      <c r="H218" s="3">
        <v>1.9675925925925924E-3</v>
      </c>
      <c r="I218" s="2">
        <v>0.67230000000000001</v>
      </c>
    </row>
    <row r="219" spans="1:9">
      <c r="A219" s="1">
        <v>218</v>
      </c>
      <c r="B219" s="1">
        <v>229</v>
      </c>
      <c r="C219" s="1">
        <v>210</v>
      </c>
      <c r="D219" s="2">
        <v>0.91700000000000004</v>
      </c>
      <c r="E219" s="1">
        <v>19</v>
      </c>
      <c r="F219" s="3">
        <v>3.3564814814814812E-4</v>
      </c>
      <c r="G219" s="3">
        <v>1.6550925925925926E-3</v>
      </c>
      <c r="H219" s="3">
        <v>5.7407407407407407E-3</v>
      </c>
      <c r="I219" s="2">
        <v>0.64159999999999995</v>
      </c>
    </row>
    <row r="220" spans="1:9">
      <c r="A220" s="1">
        <v>219</v>
      </c>
      <c r="B220" s="1">
        <v>194</v>
      </c>
      <c r="C220" s="1">
        <v>172</v>
      </c>
      <c r="D220" s="2">
        <v>0.88660000000000005</v>
      </c>
      <c r="E220" s="1">
        <v>22</v>
      </c>
      <c r="F220" s="3">
        <v>2.6620370370370372E-4</v>
      </c>
      <c r="G220" s="3">
        <v>1.6203703703703703E-3</v>
      </c>
      <c r="H220" s="3">
        <v>4.3518518518518515E-3</v>
      </c>
      <c r="I220" s="2">
        <v>0.66139999999999999</v>
      </c>
    </row>
    <row r="221" spans="1:9">
      <c r="A221" s="1">
        <v>220</v>
      </c>
      <c r="B221" s="1">
        <v>202</v>
      </c>
      <c r="C221" s="1">
        <v>179</v>
      </c>
      <c r="D221" s="2">
        <v>0.8861</v>
      </c>
      <c r="E221" s="1">
        <v>23</v>
      </c>
      <c r="F221" s="3">
        <v>2.7777777777777778E-4</v>
      </c>
      <c r="G221" s="3">
        <v>1.5740740740740741E-3</v>
      </c>
      <c r="H221" s="3">
        <v>1.9675925925925924E-3</v>
      </c>
      <c r="I221" s="2">
        <v>0.64429999999999998</v>
      </c>
    </row>
    <row r="222" spans="1:9">
      <c r="A222" s="1">
        <v>221</v>
      </c>
      <c r="B222" s="1">
        <v>268</v>
      </c>
      <c r="C222" s="1">
        <v>254</v>
      </c>
      <c r="D222" s="2">
        <v>0.94779999999999998</v>
      </c>
      <c r="E222" s="1">
        <v>14</v>
      </c>
      <c r="F222" s="3">
        <v>1.7361111111111112E-4</v>
      </c>
      <c r="G222" s="3">
        <v>1.2847222222222223E-3</v>
      </c>
      <c r="H222" s="3">
        <v>1.8518518518518519E-3</v>
      </c>
      <c r="I222" s="2">
        <v>0.81130000000000002</v>
      </c>
    </row>
    <row r="223" spans="1:9">
      <c r="A223" s="1">
        <v>222</v>
      </c>
      <c r="B223" s="1">
        <v>52</v>
      </c>
      <c r="C223" s="1">
        <v>49</v>
      </c>
      <c r="D223" s="2">
        <v>0.94230000000000003</v>
      </c>
      <c r="E223" s="1">
        <v>3</v>
      </c>
      <c r="F223" s="3">
        <v>2.0833333333333335E-4</v>
      </c>
      <c r="G223" s="3">
        <v>1.5972222222222223E-3</v>
      </c>
      <c r="H223" s="3">
        <v>1.5856481481481481E-3</v>
      </c>
      <c r="I223" s="2">
        <v>0.76470000000000005</v>
      </c>
    </row>
    <row r="224" spans="1:9">
      <c r="A224" s="1">
        <v>223</v>
      </c>
      <c r="B224" s="1">
        <v>414</v>
      </c>
      <c r="C224" s="1">
        <v>397</v>
      </c>
      <c r="D224" s="2">
        <v>0.95889999999999997</v>
      </c>
      <c r="E224" s="1">
        <v>17</v>
      </c>
      <c r="F224" s="3">
        <v>2.6620370370370372E-4</v>
      </c>
      <c r="G224" s="3">
        <v>1.3657407407407407E-3</v>
      </c>
      <c r="H224" s="3">
        <v>3.8425925925925928E-3</v>
      </c>
      <c r="I224" s="2">
        <v>0.70730000000000004</v>
      </c>
    </row>
    <row r="225" spans="1:9">
      <c r="A225" s="1">
        <v>224</v>
      </c>
      <c r="B225" s="1">
        <v>346</v>
      </c>
      <c r="C225" s="1">
        <v>325</v>
      </c>
      <c r="D225" s="2">
        <v>0.93930000000000002</v>
      </c>
      <c r="E225" s="1">
        <v>21</v>
      </c>
      <c r="F225" s="3">
        <v>3.1250000000000001E-4</v>
      </c>
      <c r="G225" s="3">
        <v>1.6435185185185185E-3</v>
      </c>
      <c r="H225" s="3">
        <v>1.9097222222222222E-3</v>
      </c>
      <c r="I225" s="2">
        <v>0.65690000000000004</v>
      </c>
    </row>
    <row r="226" spans="1:9">
      <c r="A226" s="1">
        <v>225</v>
      </c>
      <c r="B226" s="1">
        <v>187</v>
      </c>
      <c r="C226" s="1">
        <v>179</v>
      </c>
      <c r="D226" s="2">
        <v>0.95720000000000005</v>
      </c>
      <c r="E226" s="1">
        <v>8</v>
      </c>
      <c r="F226" s="3">
        <v>2.8935185185185184E-4</v>
      </c>
      <c r="G226" s="3">
        <v>1.5509259259259259E-3</v>
      </c>
      <c r="H226" s="3">
        <v>2.0717592592592593E-3</v>
      </c>
      <c r="I226" s="2">
        <v>0.67030000000000001</v>
      </c>
    </row>
    <row r="227" spans="1:9">
      <c r="A227" s="1">
        <v>226</v>
      </c>
      <c r="B227" s="1">
        <v>203</v>
      </c>
      <c r="C227" s="1">
        <v>186</v>
      </c>
      <c r="D227" s="2">
        <v>0.9163</v>
      </c>
      <c r="E227" s="1">
        <v>17</v>
      </c>
      <c r="F227" s="3">
        <v>2.7777777777777778E-4</v>
      </c>
      <c r="G227" s="3">
        <v>1.8287037037037037E-3</v>
      </c>
      <c r="H227" s="3">
        <v>3.1828703703703702E-3</v>
      </c>
      <c r="I227" s="2">
        <v>0.69589999999999996</v>
      </c>
    </row>
    <row r="228" spans="1:9">
      <c r="A228" s="1">
        <v>227</v>
      </c>
      <c r="B228" s="1">
        <v>204</v>
      </c>
      <c r="C228" s="1">
        <v>194</v>
      </c>
      <c r="D228" s="2">
        <v>0.95099999999999996</v>
      </c>
      <c r="E228" s="1">
        <v>10</v>
      </c>
      <c r="F228" s="3">
        <v>2.0833333333333335E-4</v>
      </c>
      <c r="G228" s="3">
        <v>1.7708333333333332E-3</v>
      </c>
      <c r="H228" s="3">
        <v>1.4120370370370369E-3</v>
      </c>
      <c r="I228" s="2">
        <v>0.82410000000000005</v>
      </c>
    </row>
    <row r="229" spans="1:9">
      <c r="A229" s="1">
        <v>228</v>
      </c>
      <c r="B229" s="1">
        <v>126</v>
      </c>
      <c r="C229" s="1">
        <v>121</v>
      </c>
      <c r="D229" s="2">
        <v>0.96030000000000004</v>
      </c>
      <c r="E229" s="1">
        <v>5</v>
      </c>
      <c r="F229" s="3">
        <v>2.4305555555555555E-4</v>
      </c>
      <c r="G229" s="3">
        <v>1.7592592592592592E-3</v>
      </c>
      <c r="H229" s="3">
        <v>1.2847222222222223E-3</v>
      </c>
      <c r="I229" s="2">
        <v>0.70630000000000004</v>
      </c>
    </row>
    <row r="230" spans="1:9">
      <c r="A230" s="1">
        <v>229</v>
      </c>
      <c r="B230" s="1">
        <v>36</v>
      </c>
      <c r="C230" s="1">
        <v>36</v>
      </c>
      <c r="D230" s="2">
        <v>1</v>
      </c>
      <c r="E230" s="1">
        <v>0</v>
      </c>
      <c r="F230" s="3">
        <v>1.9675925925925926E-4</v>
      </c>
      <c r="G230" s="3">
        <v>1.4699074074074074E-3</v>
      </c>
      <c r="H230" s="3">
        <v>1.0532407407407407E-3</v>
      </c>
      <c r="I230" s="2">
        <v>0.77780000000000005</v>
      </c>
    </row>
    <row r="231" spans="1:9">
      <c r="A231" s="1">
        <v>230</v>
      </c>
      <c r="B231" s="1">
        <v>180</v>
      </c>
      <c r="C231" s="1">
        <v>165</v>
      </c>
      <c r="D231" s="2">
        <v>0.91669999999999996</v>
      </c>
      <c r="E231" s="1">
        <v>15</v>
      </c>
      <c r="F231" s="3">
        <v>3.1250000000000001E-4</v>
      </c>
      <c r="G231" s="3">
        <v>1.736111111111111E-3</v>
      </c>
      <c r="H231" s="3">
        <v>1.6087962962962963E-3</v>
      </c>
      <c r="I231" s="2">
        <v>0.66090000000000004</v>
      </c>
    </row>
    <row r="232" spans="1:9">
      <c r="A232" s="1">
        <v>231</v>
      </c>
      <c r="B232" s="1">
        <v>169</v>
      </c>
      <c r="C232" s="1">
        <v>162</v>
      </c>
      <c r="D232" s="2">
        <v>0.95860000000000001</v>
      </c>
      <c r="E232" s="1">
        <v>7</v>
      </c>
      <c r="F232" s="3">
        <v>2.3148148148148149E-4</v>
      </c>
      <c r="G232" s="3">
        <v>1.6782407407407408E-3</v>
      </c>
      <c r="H232" s="3">
        <v>1.3078703703703703E-3</v>
      </c>
      <c r="I232" s="2">
        <v>0.74560000000000004</v>
      </c>
    </row>
    <row r="233" spans="1:9">
      <c r="A233" s="1">
        <v>232</v>
      </c>
      <c r="B233" s="1">
        <v>155</v>
      </c>
      <c r="C233" s="1">
        <v>151</v>
      </c>
      <c r="D233" s="2">
        <v>0.97419999999999995</v>
      </c>
      <c r="E233" s="1">
        <v>4</v>
      </c>
      <c r="F233" s="3">
        <v>2.4305555555555555E-4</v>
      </c>
      <c r="G233" s="3">
        <v>1.6203703703703703E-3</v>
      </c>
      <c r="H233" s="3">
        <v>1.9097222222222222E-3</v>
      </c>
      <c r="I233" s="2">
        <v>0.7097</v>
      </c>
    </row>
    <row r="234" spans="1:9">
      <c r="A234" s="1">
        <v>233</v>
      </c>
      <c r="B234" s="1">
        <v>169</v>
      </c>
      <c r="C234" s="1">
        <v>137</v>
      </c>
      <c r="D234" s="2">
        <v>0.81069999999999998</v>
      </c>
      <c r="E234" s="1">
        <v>32</v>
      </c>
      <c r="F234" s="3">
        <v>4.3981481481481481E-4</v>
      </c>
      <c r="G234" s="3">
        <v>1.6666666666666668E-3</v>
      </c>
      <c r="H234" s="3">
        <v>3.8194444444444443E-3</v>
      </c>
      <c r="I234" s="2">
        <v>0.40360000000000001</v>
      </c>
    </row>
    <row r="235" spans="1:9">
      <c r="A235" s="1">
        <v>234</v>
      </c>
      <c r="B235" s="1">
        <v>61</v>
      </c>
      <c r="C235" s="1">
        <v>45</v>
      </c>
      <c r="D235" s="2">
        <v>0.73770000000000002</v>
      </c>
      <c r="E235" s="1">
        <v>16</v>
      </c>
      <c r="F235" s="3">
        <v>3.7037037037037035E-4</v>
      </c>
      <c r="G235" s="3">
        <v>1.9560185185185184E-3</v>
      </c>
      <c r="H235" s="3">
        <v>3.8194444444444443E-3</v>
      </c>
      <c r="I235" s="2">
        <v>0.4098</v>
      </c>
    </row>
    <row r="236" spans="1:9">
      <c r="A236" s="1">
        <v>235</v>
      </c>
      <c r="B236" s="1">
        <v>167</v>
      </c>
      <c r="C236" s="1">
        <v>136</v>
      </c>
      <c r="D236" s="2">
        <v>0.81440000000000001</v>
      </c>
      <c r="E236" s="1">
        <v>31</v>
      </c>
      <c r="F236" s="3">
        <v>4.861111111111111E-4</v>
      </c>
      <c r="G236" s="3">
        <v>1.8055555555555555E-3</v>
      </c>
      <c r="H236" s="3">
        <v>3.7962962962962963E-3</v>
      </c>
      <c r="I236" s="2">
        <v>0.35980000000000001</v>
      </c>
    </row>
    <row r="237" spans="1:9">
      <c r="A237" s="1">
        <v>236</v>
      </c>
      <c r="B237" s="1">
        <v>32</v>
      </c>
      <c r="C237" s="1">
        <v>27</v>
      </c>
      <c r="D237" s="2">
        <v>0.84379999999999999</v>
      </c>
      <c r="E237" s="1">
        <v>5</v>
      </c>
      <c r="F237" s="3">
        <v>4.0509259259259258E-4</v>
      </c>
      <c r="G237" s="3">
        <v>1.6435185185185185E-3</v>
      </c>
      <c r="H237" s="3">
        <v>2.1990740740740742E-3</v>
      </c>
      <c r="I237" s="2">
        <v>0.53129999999999999</v>
      </c>
    </row>
    <row r="238" spans="1:9">
      <c r="A238" s="1">
        <v>237</v>
      </c>
      <c r="B238" s="1">
        <v>229</v>
      </c>
      <c r="C238" s="1">
        <v>148</v>
      </c>
      <c r="D238" s="2">
        <v>0.64629999999999999</v>
      </c>
      <c r="E238" s="1">
        <v>81</v>
      </c>
      <c r="F238" s="3">
        <v>4.1666666666666669E-4</v>
      </c>
      <c r="G238" s="3">
        <v>1.9444444444444444E-3</v>
      </c>
      <c r="H238" s="3">
        <v>7.3958333333333333E-3</v>
      </c>
      <c r="I238" s="2">
        <v>0.43180000000000002</v>
      </c>
    </row>
    <row r="239" spans="1:9">
      <c r="A239" s="1">
        <v>238</v>
      </c>
      <c r="B239" s="1">
        <v>208</v>
      </c>
      <c r="C239" s="1">
        <v>204</v>
      </c>
      <c r="D239" s="2">
        <v>0.98080000000000001</v>
      </c>
      <c r="E239" s="1">
        <v>4</v>
      </c>
      <c r="F239" s="3">
        <v>2.199074074074074E-4</v>
      </c>
      <c r="G239" s="3">
        <v>2.1527777777777778E-3</v>
      </c>
      <c r="H239" s="3">
        <v>3.6342592592592594E-3</v>
      </c>
      <c r="I239" s="2">
        <v>0.77669999999999995</v>
      </c>
    </row>
    <row r="240" spans="1:9">
      <c r="A240" s="1">
        <v>239</v>
      </c>
      <c r="B240" s="1">
        <v>175</v>
      </c>
      <c r="C240" s="1">
        <v>168</v>
      </c>
      <c r="D240" s="2">
        <v>0.96</v>
      </c>
      <c r="E240" s="1">
        <v>7</v>
      </c>
      <c r="F240" s="3">
        <v>2.8935185185185184E-4</v>
      </c>
      <c r="G240" s="3">
        <v>1.9791666666666668E-3</v>
      </c>
      <c r="H240" s="3">
        <v>2.5925925925925925E-3</v>
      </c>
      <c r="I240" s="2">
        <v>0.6512</v>
      </c>
    </row>
    <row r="241" spans="1:9">
      <c r="A241" s="1">
        <v>240</v>
      </c>
      <c r="B241" s="1">
        <v>177</v>
      </c>
      <c r="C241" s="1">
        <v>167</v>
      </c>
      <c r="D241" s="2">
        <v>0.94350000000000001</v>
      </c>
      <c r="E241" s="1">
        <v>10</v>
      </c>
      <c r="F241" s="3">
        <v>2.5462962962962961E-4</v>
      </c>
      <c r="G241" s="3">
        <v>1.8634259259259259E-3</v>
      </c>
      <c r="H241" s="3">
        <v>3.0555555555555557E-3</v>
      </c>
      <c r="I241" s="2">
        <v>0.68389999999999995</v>
      </c>
    </row>
    <row r="242" spans="1:9">
      <c r="A242" s="1">
        <v>241</v>
      </c>
      <c r="B242" s="1">
        <v>822</v>
      </c>
      <c r="C242" s="1">
        <v>767</v>
      </c>
      <c r="D242" s="2">
        <v>0.93310000000000004</v>
      </c>
      <c r="E242" s="1">
        <v>55</v>
      </c>
      <c r="F242" s="3">
        <v>2.7777777777777778E-4</v>
      </c>
      <c r="G242" s="3">
        <v>9.837962962962962E-4</v>
      </c>
      <c r="H242" s="3">
        <v>3.1828703703703702E-3</v>
      </c>
      <c r="I242" s="2">
        <v>0.64400000000000002</v>
      </c>
    </row>
    <row r="243" spans="1:9">
      <c r="A243" s="1">
        <v>242</v>
      </c>
      <c r="B243" s="1">
        <v>87</v>
      </c>
      <c r="C243" s="1">
        <v>85</v>
      </c>
      <c r="D243" s="2">
        <v>0.97699999999999998</v>
      </c>
      <c r="E243" s="1">
        <v>2</v>
      </c>
      <c r="F243" s="3">
        <v>2.6620370370370372E-4</v>
      </c>
      <c r="G243" s="3">
        <v>1.6782407407407408E-3</v>
      </c>
      <c r="H243" s="3">
        <v>1.5856481481481481E-3</v>
      </c>
      <c r="I243" s="2">
        <v>0.67820000000000003</v>
      </c>
    </row>
    <row r="244" spans="1:9">
      <c r="A244" s="1">
        <v>243</v>
      </c>
      <c r="B244" s="1">
        <v>41</v>
      </c>
      <c r="C244" s="1">
        <v>39</v>
      </c>
      <c r="D244" s="2">
        <v>0.95120000000000005</v>
      </c>
      <c r="E244" s="1">
        <v>2</v>
      </c>
      <c r="F244" s="3">
        <v>1.7361111111111112E-4</v>
      </c>
      <c r="G244" s="3">
        <v>1.8749999999999999E-3</v>
      </c>
      <c r="H244" s="3">
        <v>9.0277777777777774E-4</v>
      </c>
      <c r="I244" s="2">
        <v>0.82499999999999996</v>
      </c>
    </row>
    <row r="245" spans="1:9">
      <c r="A245" s="1">
        <v>244</v>
      </c>
      <c r="B245" s="1">
        <v>280</v>
      </c>
      <c r="C245" s="1">
        <v>257</v>
      </c>
      <c r="D245" s="2">
        <v>0.91790000000000005</v>
      </c>
      <c r="E245" s="1">
        <v>23</v>
      </c>
      <c r="F245" s="3">
        <v>3.5879629629629629E-4</v>
      </c>
      <c r="G245" s="3">
        <v>1.7708333333333332E-3</v>
      </c>
      <c r="H245" s="3">
        <v>5.4976851851851853E-3</v>
      </c>
      <c r="I245" s="2">
        <v>0.63870000000000005</v>
      </c>
    </row>
    <row r="246" spans="1:9">
      <c r="A246" s="1">
        <v>245</v>
      </c>
      <c r="B246" s="1">
        <v>199</v>
      </c>
      <c r="C246" s="1">
        <v>192</v>
      </c>
      <c r="D246" s="2">
        <v>0.96479999999999999</v>
      </c>
      <c r="E246" s="1">
        <v>7</v>
      </c>
      <c r="F246" s="3">
        <v>2.5462962962962961E-4</v>
      </c>
      <c r="G246" s="3">
        <v>1.9212962962962964E-3</v>
      </c>
      <c r="H246" s="3">
        <v>1.9444444444444444E-3</v>
      </c>
      <c r="I246" s="2">
        <v>0.73870000000000002</v>
      </c>
    </row>
    <row r="247" spans="1:9">
      <c r="A247" s="1">
        <v>246</v>
      </c>
      <c r="B247" s="1">
        <v>252</v>
      </c>
      <c r="C247" s="1">
        <v>239</v>
      </c>
      <c r="D247" s="2">
        <v>0.94840000000000002</v>
      </c>
      <c r="E247" s="1">
        <v>13</v>
      </c>
      <c r="F247" s="3">
        <v>3.3564814814814812E-4</v>
      </c>
      <c r="G247" s="3">
        <v>1.724537037037037E-3</v>
      </c>
      <c r="H247" s="3">
        <v>2.5000000000000001E-3</v>
      </c>
      <c r="I247" s="2">
        <v>0.6492</v>
      </c>
    </row>
    <row r="248" spans="1:9">
      <c r="A248" s="1">
        <v>247</v>
      </c>
      <c r="B248" s="1">
        <v>220</v>
      </c>
      <c r="C248" s="1">
        <v>208</v>
      </c>
      <c r="D248" s="2">
        <v>0.94550000000000001</v>
      </c>
      <c r="E248" s="1">
        <v>12</v>
      </c>
      <c r="F248" s="3">
        <v>2.3148148148148149E-4</v>
      </c>
      <c r="G248" s="3">
        <v>1.8055555555555555E-3</v>
      </c>
      <c r="H248" s="3">
        <v>1.9097222222222222E-3</v>
      </c>
      <c r="I248" s="2">
        <v>0.75590000000000002</v>
      </c>
    </row>
    <row r="249" spans="1:9">
      <c r="A249" s="1">
        <v>248</v>
      </c>
      <c r="B249" s="1">
        <v>206</v>
      </c>
      <c r="C249" s="1">
        <v>193</v>
      </c>
      <c r="D249" s="2">
        <v>0.93689999999999996</v>
      </c>
      <c r="E249" s="1">
        <v>13</v>
      </c>
      <c r="F249" s="3">
        <v>2.7777777777777778E-4</v>
      </c>
      <c r="G249" s="3">
        <v>1.7013888888888888E-3</v>
      </c>
      <c r="H249" s="3">
        <v>2.5115740740740741E-3</v>
      </c>
      <c r="I249" s="2">
        <v>0.75490000000000002</v>
      </c>
    </row>
    <row r="250" spans="1:9">
      <c r="A250" s="1">
        <v>249</v>
      </c>
      <c r="B250" s="1">
        <v>217</v>
      </c>
      <c r="C250" s="1">
        <v>206</v>
      </c>
      <c r="D250" s="2">
        <v>0.94930000000000003</v>
      </c>
      <c r="E250" s="1">
        <v>11</v>
      </c>
      <c r="F250" s="3">
        <v>2.5462962962962961E-4</v>
      </c>
      <c r="G250" s="3">
        <v>1.6898148148148148E-3</v>
      </c>
      <c r="H250" s="3">
        <v>1.4120370370370369E-3</v>
      </c>
      <c r="I250" s="2">
        <v>0.71030000000000004</v>
      </c>
    </row>
    <row r="251" spans="1:9">
      <c r="A251" s="1">
        <v>250</v>
      </c>
      <c r="B251" s="1">
        <v>24</v>
      </c>
      <c r="C251" s="1">
        <v>24</v>
      </c>
      <c r="D251" s="2">
        <v>1</v>
      </c>
      <c r="E251" s="1">
        <v>0</v>
      </c>
      <c r="F251" s="3">
        <v>2.199074074074074E-4</v>
      </c>
      <c r="G251" s="3">
        <v>1.9675925925925924E-3</v>
      </c>
      <c r="H251" s="3">
        <v>7.7546296296296293E-4</v>
      </c>
      <c r="I251" s="2">
        <v>0.79169999999999996</v>
      </c>
    </row>
    <row r="252" spans="1:9">
      <c r="A252" s="1">
        <v>251</v>
      </c>
      <c r="B252" s="1">
        <v>248</v>
      </c>
      <c r="C252" s="1">
        <v>238</v>
      </c>
      <c r="D252" s="2">
        <v>0.9597</v>
      </c>
      <c r="E252" s="1">
        <v>10</v>
      </c>
      <c r="F252" s="3">
        <v>1.5046296296296297E-4</v>
      </c>
      <c r="G252" s="3">
        <v>1.7013888888888888E-3</v>
      </c>
      <c r="H252" s="3">
        <v>1.2731481481481483E-3</v>
      </c>
      <c r="I252" s="2">
        <v>0.85250000000000004</v>
      </c>
    </row>
    <row r="253" spans="1:9">
      <c r="A253" s="1">
        <v>252</v>
      </c>
      <c r="B253" s="1">
        <v>222</v>
      </c>
      <c r="C253" s="1">
        <v>212</v>
      </c>
      <c r="D253" s="2">
        <v>0.95499999999999996</v>
      </c>
      <c r="E253" s="1">
        <v>10</v>
      </c>
      <c r="F253" s="3">
        <v>2.3148148148148149E-4</v>
      </c>
      <c r="G253" s="3">
        <v>1.6782407407407408E-3</v>
      </c>
      <c r="H253" s="3">
        <v>2.5578703703703705E-3</v>
      </c>
      <c r="I253" s="2">
        <v>0.77729999999999999</v>
      </c>
    </row>
    <row r="254" spans="1:9">
      <c r="A254" s="1">
        <v>253</v>
      </c>
      <c r="B254" s="1">
        <v>190</v>
      </c>
      <c r="C254" s="1">
        <v>178</v>
      </c>
      <c r="D254" s="2">
        <v>0.93679999999999997</v>
      </c>
      <c r="E254" s="1">
        <v>12</v>
      </c>
      <c r="F254" s="3">
        <v>3.7037037037037035E-4</v>
      </c>
      <c r="G254" s="3">
        <v>1.7013888888888888E-3</v>
      </c>
      <c r="H254" s="3">
        <v>1.9097222222222222E-3</v>
      </c>
      <c r="I254" s="2">
        <v>0.55079999999999996</v>
      </c>
    </row>
    <row r="255" spans="1:9">
      <c r="A255" s="1">
        <v>254</v>
      </c>
      <c r="B255" s="1">
        <v>238</v>
      </c>
      <c r="C255" s="1">
        <v>231</v>
      </c>
      <c r="D255" s="2">
        <v>0.97060000000000002</v>
      </c>
      <c r="E255" s="1">
        <v>7</v>
      </c>
      <c r="F255" s="3">
        <v>2.3148148148148149E-4</v>
      </c>
      <c r="G255" s="3">
        <v>1.7013888888888888E-3</v>
      </c>
      <c r="H255" s="3">
        <v>1.4236111111111112E-3</v>
      </c>
      <c r="I255" s="2">
        <v>0.79659999999999997</v>
      </c>
    </row>
    <row r="256" spans="1:9">
      <c r="A256" s="1">
        <v>255</v>
      </c>
      <c r="B256" s="1">
        <v>214</v>
      </c>
      <c r="C256" s="1">
        <v>205</v>
      </c>
      <c r="D256" s="2">
        <v>0.95789999999999997</v>
      </c>
      <c r="E256" s="1">
        <v>9</v>
      </c>
      <c r="F256" s="3">
        <v>2.3148148148148149E-4</v>
      </c>
      <c r="G256" s="3">
        <v>1.7824074074074075E-3</v>
      </c>
      <c r="H256" s="3">
        <v>1.7824074074074075E-3</v>
      </c>
      <c r="I256" s="2">
        <v>0.79049999999999998</v>
      </c>
    </row>
    <row r="257" spans="1:9">
      <c r="A257" s="1">
        <v>256</v>
      </c>
      <c r="B257" s="1">
        <v>186</v>
      </c>
      <c r="C257" s="1">
        <v>176</v>
      </c>
      <c r="D257" s="2">
        <v>0.94620000000000004</v>
      </c>
      <c r="E257" s="1">
        <v>10</v>
      </c>
      <c r="F257" s="3">
        <v>2.6620370370370372E-4</v>
      </c>
      <c r="G257" s="3">
        <v>1.5625000000000001E-3</v>
      </c>
      <c r="H257" s="3">
        <v>3.5069444444444445E-3</v>
      </c>
      <c r="I257" s="2">
        <v>0.70879999999999999</v>
      </c>
    </row>
    <row r="258" spans="1:9">
      <c r="A258" s="1">
        <v>257</v>
      </c>
      <c r="B258" s="1">
        <v>21</v>
      </c>
      <c r="C258" s="1">
        <v>20</v>
      </c>
      <c r="D258" s="2">
        <v>0.95240000000000002</v>
      </c>
      <c r="E258" s="1">
        <v>1</v>
      </c>
      <c r="F258" s="3">
        <v>1.6203703703703703E-4</v>
      </c>
      <c r="G258" s="3">
        <v>1.6782407407407408E-3</v>
      </c>
      <c r="H258" s="3">
        <v>6.2500000000000001E-4</v>
      </c>
      <c r="I258" s="2">
        <v>0.85</v>
      </c>
    </row>
    <row r="259" spans="1:9">
      <c r="A259" s="1">
        <v>258</v>
      </c>
      <c r="B259" s="1">
        <v>169</v>
      </c>
      <c r="C259" s="1">
        <v>157</v>
      </c>
      <c r="D259" s="2">
        <v>0.92900000000000005</v>
      </c>
      <c r="E259" s="1">
        <v>12</v>
      </c>
      <c r="F259" s="3">
        <v>2.4305555555555555E-4</v>
      </c>
      <c r="G259" s="3">
        <v>1.724537037037037E-3</v>
      </c>
      <c r="H259" s="3">
        <v>3.1250000000000002E-3</v>
      </c>
      <c r="I259" s="2">
        <v>0.77710000000000001</v>
      </c>
    </row>
    <row r="260" spans="1:9">
      <c r="A260" s="1">
        <v>259</v>
      </c>
      <c r="B260" s="1">
        <v>149</v>
      </c>
      <c r="C260" s="1">
        <v>141</v>
      </c>
      <c r="D260" s="2">
        <v>0.94630000000000003</v>
      </c>
      <c r="E260" s="1">
        <v>8</v>
      </c>
      <c r="F260" s="3">
        <v>1.8518518518518518E-4</v>
      </c>
      <c r="G260" s="3">
        <v>1.8287037037037037E-3</v>
      </c>
      <c r="H260" s="3">
        <v>1.8171296296296297E-3</v>
      </c>
      <c r="I260" s="2">
        <v>0.79049999999999998</v>
      </c>
    </row>
    <row r="261" spans="1:9">
      <c r="A261" s="1">
        <v>260</v>
      </c>
      <c r="B261" s="1">
        <v>171</v>
      </c>
      <c r="C261" s="1">
        <v>164</v>
      </c>
      <c r="D261" s="2">
        <v>0.95909999999999995</v>
      </c>
      <c r="E261" s="1">
        <v>7</v>
      </c>
      <c r="F261" s="3">
        <v>2.199074074074074E-4</v>
      </c>
      <c r="G261" s="3">
        <v>1.6435185185185185E-3</v>
      </c>
      <c r="H261" s="3">
        <v>2.650462962962963E-3</v>
      </c>
      <c r="I261" s="2">
        <v>0.77190000000000003</v>
      </c>
    </row>
    <row r="262" spans="1:9">
      <c r="A262" s="1">
        <v>261</v>
      </c>
      <c r="B262" s="1">
        <v>127</v>
      </c>
      <c r="C262" s="1">
        <v>122</v>
      </c>
      <c r="D262" s="2">
        <v>0.96060000000000001</v>
      </c>
      <c r="E262" s="1">
        <v>5</v>
      </c>
      <c r="F262" s="3">
        <v>1.5046296296296297E-4</v>
      </c>
      <c r="G262" s="3">
        <v>1.6435185185185185E-3</v>
      </c>
      <c r="H262" s="3">
        <v>9.837962962962962E-4</v>
      </c>
      <c r="I262" s="2">
        <v>0.878</v>
      </c>
    </row>
    <row r="263" spans="1:9">
      <c r="A263" s="1">
        <v>262</v>
      </c>
      <c r="B263" s="1">
        <v>21</v>
      </c>
      <c r="C263" s="1">
        <v>21</v>
      </c>
      <c r="D263" s="2">
        <v>1</v>
      </c>
      <c r="E263" s="1">
        <v>0</v>
      </c>
      <c r="F263" s="3">
        <v>9.2592592592592588E-5</v>
      </c>
      <c r="G263" s="3">
        <v>2.1180555555555558E-3</v>
      </c>
      <c r="H263" s="3">
        <v>6.7129629629629625E-4</v>
      </c>
      <c r="I263" s="2">
        <v>0.90480000000000005</v>
      </c>
    </row>
    <row r="264" spans="1:9">
      <c r="A264" s="1">
        <v>263</v>
      </c>
      <c r="B264" s="1">
        <v>5</v>
      </c>
      <c r="C264" s="1">
        <v>5</v>
      </c>
      <c r="D264" s="2">
        <v>1</v>
      </c>
      <c r="E264" s="1">
        <v>0</v>
      </c>
      <c r="F264" s="3">
        <v>1.6203703703703703E-4</v>
      </c>
      <c r="G264" s="3">
        <v>1.8171296296296297E-3</v>
      </c>
      <c r="H264" s="3">
        <v>6.8287037037037036E-4</v>
      </c>
      <c r="I264" s="2">
        <v>0.8</v>
      </c>
    </row>
    <row r="265" spans="1:9">
      <c r="A265" s="1">
        <v>264</v>
      </c>
      <c r="B265" s="1">
        <v>33</v>
      </c>
      <c r="C265" s="1">
        <v>32</v>
      </c>
      <c r="D265" s="2">
        <v>0.96970000000000001</v>
      </c>
      <c r="E265" s="1">
        <v>1</v>
      </c>
      <c r="F265" s="3">
        <v>3.0092592592592595E-4</v>
      </c>
      <c r="G265" s="3">
        <v>1.4351851851851852E-3</v>
      </c>
      <c r="H265" s="3">
        <v>1.2152777777777778E-3</v>
      </c>
      <c r="I265" s="2">
        <v>0.66669999999999996</v>
      </c>
    </row>
    <row r="266" spans="1:9">
      <c r="A266" s="1">
        <v>265</v>
      </c>
      <c r="B266" s="1">
        <v>145</v>
      </c>
      <c r="C266" s="1">
        <v>139</v>
      </c>
      <c r="D266" s="2">
        <v>0.95860000000000001</v>
      </c>
      <c r="E266" s="1">
        <v>6</v>
      </c>
      <c r="F266" s="3">
        <v>2.3148148148148149E-4</v>
      </c>
      <c r="G266" s="3">
        <v>1.712962962962963E-3</v>
      </c>
      <c r="H266" s="3">
        <v>2.5578703703703705E-3</v>
      </c>
      <c r="I266" s="2">
        <v>0.79020000000000001</v>
      </c>
    </row>
    <row r="267" spans="1:9">
      <c r="A267" s="1">
        <v>266</v>
      </c>
      <c r="B267" s="1">
        <v>129</v>
      </c>
      <c r="C267" s="1">
        <v>127</v>
      </c>
      <c r="D267" s="2">
        <v>0.98450000000000004</v>
      </c>
      <c r="E267" s="1">
        <v>2</v>
      </c>
      <c r="F267" s="3">
        <v>2.199074074074074E-4</v>
      </c>
      <c r="G267" s="3">
        <v>1.5393518518518519E-3</v>
      </c>
      <c r="H267" s="3">
        <v>1.261574074074074E-3</v>
      </c>
      <c r="I267" s="2">
        <v>0.75590000000000002</v>
      </c>
    </row>
    <row r="268" spans="1:9">
      <c r="A268" s="1">
        <v>267</v>
      </c>
      <c r="B268" s="1">
        <v>194</v>
      </c>
      <c r="C268" s="1">
        <v>178</v>
      </c>
      <c r="D268" s="2">
        <v>0.91749999999999998</v>
      </c>
      <c r="E268" s="1">
        <v>16</v>
      </c>
      <c r="F268" s="3">
        <v>3.0092592592592595E-4</v>
      </c>
      <c r="G268" s="3">
        <v>1.8055555555555555E-3</v>
      </c>
      <c r="H268" s="3">
        <v>3.7037037037037038E-3</v>
      </c>
      <c r="I268" s="2">
        <v>0.67190000000000005</v>
      </c>
    </row>
    <row r="269" spans="1:9">
      <c r="A269" s="1">
        <v>268</v>
      </c>
      <c r="B269" s="1">
        <v>194</v>
      </c>
      <c r="C269" s="1">
        <v>187</v>
      </c>
      <c r="D269" s="2">
        <v>0.96389999999999998</v>
      </c>
      <c r="E269" s="1">
        <v>7</v>
      </c>
      <c r="F269" s="3">
        <v>2.7777777777777778E-4</v>
      </c>
      <c r="G269" s="3">
        <v>1.6782407407407408E-3</v>
      </c>
      <c r="H269" s="3">
        <v>2.5925925925925925E-3</v>
      </c>
      <c r="I269" s="2">
        <v>0.77249999999999996</v>
      </c>
    </row>
    <row r="270" spans="1:9">
      <c r="A270" s="1">
        <v>269</v>
      </c>
      <c r="B270" s="1">
        <v>202</v>
      </c>
      <c r="C270" s="1">
        <v>195</v>
      </c>
      <c r="D270" s="2">
        <v>0.96530000000000005</v>
      </c>
      <c r="E270" s="1">
        <v>7</v>
      </c>
      <c r="F270" s="3">
        <v>2.4305555555555555E-4</v>
      </c>
      <c r="G270" s="3">
        <v>1.6319444444444445E-3</v>
      </c>
      <c r="H270" s="3">
        <v>2.0717592592592593E-3</v>
      </c>
      <c r="I270" s="2">
        <v>0.74750000000000005</v>
      </c>
    </row>
    <row r="271" spans="1:9">
      <c r="A271" s="1">
        <v>270</v>
      </c>
      <c r="B271" s="1">
        <v>214</v>
      </c>
      <c r="C271" s="1">
        <v>208</v>
      </c>
      <c r="D271" s="2">
        <v>0.97199999999999998</v>
      </c>
      <c r="E271" s="1">
        <v>6</v>
      </c>
      <c r="F271" s="3">
        <v>1.5046296296296297E-4</v>
      </c>
      <c r="G271" s="3">
        <v>1.6087962962962963E-3</v>
      </c>
      <c r="H271" s="3">
        <v>6.5972222222222224E-4</v>
      </c>
      <c r="I271" s="2">
        <v>0.88149999999999995</v>
      </c>
    </row>
    <row r="272" spans="1:9">
      <c r="A272" s="1">
        <v>271</v>
      </c>
      <c r="B272" s="1">
        <v>28</v>
      </c>
      <c r="C272" s="1">
        <v>28</v>
      </c>
      <c r="D272" s="2">
        <v>1</v>
      </c>
      <c r="E272" s="1">
        <v>0</v>
      </c>
      <c r="F272" s="3">
        <v>1.5046296296296297E-4</v>
      </c>
      <c r="G272" s="3">
        <v>1.5393518518518519E-3</v>
      </c>
      <c r="H272" s="3">
        <v>9.0277777777777774E-4</v>
      </c>
      <c r="I272" s="2">
        <v>0.89290000000000003</v>
      </c>
    </row>
    <row r="273" spans="1:9">
      <c r="A273" s="1">
        <v>272</v>
      </c>
      <c r="B273" s="1">
        <v>191</v>
      </c>
      <c r="C273" s="1">
        <v>187</v>
      </c>
      <c r="D273" s="2">
        <v>0.97909999999999997</v>
      </c>
      <c r="E273" s="1">
        <v>4</v>
      </c>
      <c r="F273" s="3">
        <v>1.7361111111111112E-4</v>
      </c>
      <c r="G273" s="3">
        <v>1.6550925925925926E-3</v>
      </c>
      <c r="H273" s="3">
        <v>1.1574074074074073E-3</v>
      </c>
      <c r="I273" s="2">
        <v>0.82540000000000002</v>
      </c>
    </row>
    <row r="274" spans="1:9">
      <c r="A274" s="1">
        <v>273</v>
      </c>
      <c r="B274" s="1">
        <v>205</v>
      </c>
      <c r="C274" s="1">
        <v>197</v>
      </c>
      <c r="D274" s="2">
        <v>0.96099999999999997</v>
      </c>
      <c r="E274" s="1">
        <v>8</v>
      </c>
      <c r="F274" s="3">
        <v>2.4305555555555555E-4</v>
      </c>
      <c r="G274" s="3">
        <v>1.7013888888888888E-3</v>
      </c>
      <c r="H274" s="3">
        <v>1.6550925925925926E-3</v>
      </c>
      <c r="I274" s="2">
        <v>0.74380000000000002</v>
      </c>
    </row>
    <row r="275" spans="1:9">
      <c r="A275" s="1">
        <v>274</v>
      </c>
      <c r="B275" s="1">
        <v>198</v>
      </c>
      <c r="C275" s="1">
        <v>196</v>
      </c>
      <c r="D275" s="2">
        <v>0.9899</v>
      </c>
      <c r="E275" s="1">
        <v>2</v>
      </c>
      <c r="F275" s="3">
        <v>2.6620370370370372E-4</v>
      </c>
      <c r="G275" s="3">
        <v>1.712962962962963E-3</v>
      </c>
      <c r="H275" s="3">
        <v>1.4236111111111112E-3</v>
      </c>
      <c r="I275" s="2">
        <v>0.73599999999999999</v>
      </c>
    </row>
    <row r="276" spans="1:9">
      <c r="A276" s="1">
        <v>275</v>
      </c>
      <c r="B276" s="1">
        <v>184</v>
      </c>
      <c r="C276" s="1">
        <v>177</v>
      </c>
      <c r="D276" s="2">
        <v>0.96199999999999997</v>
      </c>
      <c r="E276" s="1">
        <v>7</v>
      </c>
      <c r="F276" s="3">
        <v>2.3148148148148149E-4</v>
      </c>
      <c r="G276" s="3">
        <v>1.8634259259259259E-3</v>
      </c>
      <c r="H276" s="3">
        <v>1.2731481481481483E-3</v>
      </c>
      <c r="I276" s="2">
        <v>0.78569999999999995</v>
      </c>
    </row>
    <row r="277" spans="1:9">
      <c r="A277" s="1">
        <v>276</v>
      </c>
      <c r="B277" s="1">
        <v>184</v>
      </c>
      <c r="C277" s="1">
        <v>174</v>
      </c>
      <c r="D277" s="2">
        <v>0.94569999999999999</v>
      </c>
      <c r="E277" s="1">
        <v>10</v>
      </c>
      <c r="F277" s="3">
        <v>2.8935185185185184E-4</v>
      </c>
      <c r="G277" s="3">
        <v>1.7013888888888888E-3</v>
      </c>
      <c r="H277" s="3">
        <v>1.9328703703703704E-3</v>
      </c>
      <c r="I277" s="2">
        <v>0.7</v>
      </c>
    </row>
    <row r="278" spans="1:9">
      <c r="A278" s="1">
        <v>277</v>
      </c>
      <c r="B278" s="1">
        <v>168</v>
      </c>
      <c r="C278" s="1">
        <v>160</v>
      </c>
      <c r="D278" s="2">
        <v>0.95240000000000002</v>
      </c>
      <c r="E278" s="1">
        <v>8</v>
      </c>
      <c r="F278" s="3">
        <v>3.0092592592592595E-4</v>
      </c>
      <c r="G278" s="3">
        <v>1.6782407407407408E-3</v>
      </c>
      <c r="H278" s="3">
        <v>1.4351851851851852E-3</v>
      </c>
      <c r="I278" s="2">
        <v>0.68259999999999998</v>
      </c>
    </row>
    <row r="279" spans="1:9">
      <c r="A279" s="1">
        <v>278</v>
      </c>
      <c r="B279" s="1">
        <v>39</v>
      </c>
      <c r="C279" s="1">
        <v>37</v>
      </c>
      <c r="D279" s="2">
        <v>0.94869999999999999</v>
      </c>
      <c r="E279" s="1">
        <v>2</v>
      </c>
      <c r="F279" s="3">
        <v>1.6203703703703703E-4</v>
      </c>
      <c r="G279" s="3">
        <v>1.4814814814814814E-3</v>
      </c>
      <c r="H279" s="3">
        <v>7.291666666666667E-4</v>
      </c>
      <c r="I279" s="2">
        <v>0.81079999999999997</v>
      </c>
    </row>
    <row r="280" spans="1:9">
      <c r="A280" s="1">
        <v>279</v>
      </c>
      <c r="B280" s="1">
        <v>225</v>
      </c>
      <c r="C280" s="1">
        <v>210</v>
      </c>
      <c r="D280" s="2">
        <v>0.93330000000000002</v>
      </c>
      <c r="E280" s="1">
        <v>15</v>
      </c>
      <c r="F280" s="3">
        <v>3.2407407407407406E-4</v>
      </c>
      <c r="G280" s="3">
        <v>1.5393518518518519E-3</v>
      </c>
      <c r="H280" s="3">
        <v>1.7708333333333332E-3</v>
      </c>
      <c r="I280" s="2">
        <v>0.66969999999999996</v>
      </c>
    </row>
    <row r="281" spans="1:9">
      <c r="A281" s="1">
        <v>280</v>
      </c>
      <c r="B281" s="1">
        <v>182</v>
      </c>
      <c r="C281" s="1">
        <v>174</v>
      </c>
      <c r="D281" s="2">
        <v>0.95599999999999996</v>
      </c>
      <c r="E281" s="1">
        <v>8</v>
      </c>
      <c r="F281" s="3">
        <v>3.7037037037037035E-4</v>
      </c>
      <c r="G281" s="3">
        <v>1.5740740740740741E-3</v>
      </c>
      <c r="H281" s="3">
        <v>2.7314814814814814E-3</v>
      </c>
      <c r="I281" s="2">
        <v>0.60219999999999996</v>
      </c>
    </row>
    <row r="282" spans="1:9">
      <c r="A282" s="1">
        <v>281</v>
      </c>
      <c r="B282" s="1">
        <v>346</v>
      </c>
      <c r="C282" s="1">
        <v>305</v>
      </c>
      <c r="D282" s="2">
        <v>0.88149999999999995</v>
      </c>
      <c r="E282" s="1">
        <v>41</v>
      </c>
      <c r="F282" s="3">
        <v>5.2083333333333333E-4</v>
      </c>
      <c r="G282" s="3">
        <v>1.3541666666666667E-3</v>
      </c>
      <c r="H282" s="3">
        <v>3.5532407407407409E-3</v>
      </c>
      <c r="I282" s="2">
        <v>0.45029999999999998</v>
      </c>
    </row>
    <row r="283" spans="1:9">
      <c r="A283" s="1">
        <v>282</v>
      </c>
      <c r="B283" s="1">
        <v>450</v>
      </c>
      <c r="C283" s="1">
        <v>441</v>
      </c>
      <c r="D283" s="2">
        <v>0.98</v>
      </c>
      <c r="E283" s="1">
        <v>9</v>
      </c>
      <c r="F283" s="3">
        <v>2.199074074074074E-4</v>
      </c>
      <c r="G283" s="3">
        <v>1.3078703703703703E-3</v>
      </c>
      <c r="H283" s="3">
        <v>1.7476851851851852E-3</v>
      </c>
      <c r="I283" s="2">
        <v>0.78300000000000003</v>
      </c>
    </row>
    <row r="284" spans="1:9">
      <c r="A284" s="1">
        <v>283</v>
      </c>
      <c r="B284" s="1">
        <v>259</v>
      </c>
      <c r="C284" s="1">
        <v>248</v>
      </c>
      <c r="D284" s="2">
        <v>0.95750000000000002</v>
      </c>
      <c r="E284" s="1">
        <v>11</v>
      </c>
      <c r="F284" s="3">
        <v>2.3148148148148149E-4</v>
      </c>
      <c r="G284" s="3">
        <v>1.4583333333333334E-3</v>
      </c>
      <c r="H284" s="3">
        <v>1.2847222222222223E-3</v>
      </c>
      <c r="I284" s="2">
        <v>0.75390000000000001</v>
      </c>
    </row>
    <row r="285" spans="1:9">
      <c r="A285" s="1">
        <v>284</v>
      </c>
      <c r="B285" s="1">
        <v>231</v>
      </c>
      <c r="C285" s="1">
        <v>214</v>
      </c>
      <c r="D285" s="2">
        <v>0.9264</v>
      </c>
      <c r="E285" s="1">
        <v>17</v>
      </c>
      <c r="F285" s="3">
        <v>2.0833333333333335E-4</v>
      </c>
      <c r="G285" s="3">
        <v>1.4583333333333334E-3</v>
      </c>
      <c r="H285" s="3">
        <v>1.7476851851851852E-3</v>
      </c>
      <c r="I285" s="2">
        <v>0.79559999999999997</v>
      </c>
    </row>
    <row r="286" spans="1:9">
      <c r="A286" s="1">
        <v>285</v>
      </c>
      <c r="B286" s="1">
        <v>48</v>
      </c>
      <c r="C286" s="1">
        <v>47</v>
      </c>
      <c r="D286" s="2">
        <v>0.97919999999999996</v>
      </c>
      <c r="E286" s="1">
        <v>1</v>
      </c>
      <c r="F286" s="3">
        <v>1.5046296296296297E-4</v>
      </c>
      <c r="G286" s="3">
        <v>1.4236111111111112E-3</v>
      </c>
      <c r="H286" s="3">
        <v>1.2268518518518518E-3</v>
      </c>
      <c r="I286" s="2">
        <v>0.89580000000000004</v>
      </c>
    </row>
    <row r="287" spans="1:9">
      <c r="A287" s="1">
        <v>286</v>
      </c>
      <c r="B287" s="1">
        <v>246</v>
      </c>
      <c r="C287" s="1">
        <v>236</v>
      </c>
      <c r="D287" s="2">
        <v>0.95930000000000004</v>
      </c>
      <c r="E287" s="1">
        <v>10</v>
      </c>
      <c r="F287" s="3">
        <v>2.3148148148148149E-4</v>
      </c>
      <c r="G287" s="3">
        <v>1.5162037037037036E-3</v>
      </c>
      <c r="H287" s="3">
        <v>3.1944444444444446E-3</v>
      </c>
      <c r="I287" s="2">
        <v>0.79179999999999995</v>
      </c>
    </row>
    <row r="288" spans="1:9">
      <c r="A288" s="1">
        <v>287</v>
      </c>
      <c r="B288" s="1">
        <v>202</v>
      </c>
      <c r="C288" s="1">
        <v>195</v>
      </c>
      <c r="D288" s="2">
        <v>0.96530000000000005</v>
      </c>
      <c r="E288" s="1">
        <v>7</v>
      </c>
      <c r="F288" s="3">
        <v>2.8935185185185184E-4</v>
      </c>
      <c r="G288" s="3">
        <v>1.5625000000000001E-3</v>
      </c>
      <c r="H288" s="3">
        <v>3.8541666666666668E-3</v>
      </c>
      <c r="I288" s="2">
        <v>0.745</v>
      </c>
    </row>
    <row r="289" spans="1:9">
      <c r="A289" s="1">
        <v>288</v>
      </c>
      <c r="B289" s="1">
        <v>153</v>
      </c>
      <c r="C289" s="1">
        <v>150</v>
      </c>
      <c r="D289" s="2">
        <v>0.98040000000000005</v>
      </c>
      <c r="E289" s="1">
        <v>3</v>
      </c>
      <c r="F289" s="3">
        <v>1.7361111111111112E-4</v>
      </c>
      <c r="G289" s="3">
        <v>1.5625000000000001E-3</v>
      </c>
      <c r="H289" s="3">
        <v>1.5277777777777779E-3</v>
      </c>
      <c r="I289" s="2">
        <v>0.82240000000000002</v>
      </c>
    </row>
    <row r="290" spans="1:9">
      <c r="A290" s="1">
        <v>289</v>
      </c>
      <c r="B290" s="1">
        <v>178</v>
      </c>
      <c r="C290" s="1">
        <v>172</v>
      </c>
      <c r="D290" s="2">
        <v>0.96630000000000005</v>
      </c>
      <c r="E290" s="1">
        <v>6</v>
      </c>
      <c r="F290" s="3">
        <v>2.199074074074074E-4</v>
      </c>
      <c r="G290" s="3">
        <v>1.5625000000000001E-3</v>
      </c>
      <c r="H290" s="3">
        <v>3.1828703703703702E-3</v>
      </c>
      <c r="I290" s="2">
        <v>0.78290000000000004</v>
      </c>
    </row>
    <row r="291" spans="1:9">
      <c r="A291" s="1">
        <v>290</v>
      </c>
      <c r="B291" s="1">
        <v>172</v>
      </c>
      <c r="C291" s="1">
        <v>165</v>
      </c>
      <c r="D291" s="2">
        <v>0.95930000000000004</v>
      </c>
      <c r="E291" s="1">
        <v>7</v>
      </c>
      <c r="F291" s="3">
        <v>2.199074074074074E-4</v>
      </c>
      <c r="G291" s="3">
        <v>1.6666666666666668E-3</v>
      </c>
      <c r="H291" s="3">
        <v>2.3611111111111111E-3</v>
      </c>
      <c r="I291" s="2">
        <v>0.79290000000000005</v>
      </c>
    </row>
    <row r="292" spans="1:9">
      <c r="A292" s="1">
        <v>291</v>
      </c>
      <c r="B292" s="1">
        <v>208</v>
      </c>
      <c r="C292" s="1">
        <v>200</v>
      </c>
      <c r="D292" s="2">
        <v>0.96150000000000002</v>
      </c>
      <c r="E292" s="1">
        <v>8</v>
      </c>
      <c r="F292" s="3">
        <v>3.0092592592592595E-4</v>
      </c>
      <c r="G292" s="3">
        <v>1.6550925925925926E-3</v>
      </c>
      <c r="H292" s="3">
        <v>2.2569444444444442E-3</v>
      </c>
      <c r="I292" s="2">
        <v>0.68779999999999997</v>
      </c>
    </row>
    <row r="293" spans="1:9">
      <c r="A293" s="1">
        <v>292</v>
      </c>
      <c r="B293" s="1">
        <v>77</v>
      </c>
      <c r="C293" s="1">
        <v>76</v>
      </c>
      <c r="D293" s="2">
        <v>0.98699999999999999</v>
      </c>
      <c r="E293" s="1">
        <v>1</v>
      </c>
      <c r="F293" s="3">
        <v>3.3564814814814812E-4</v>
      </c>
      <c r="G293" s="3">
        <v>1.5740740740740741E-3</v>
      </c>
      <c r="H293" s="3">
        <v>1.3194444444444445E-3</v>
      </c>
      <c r="I293" s="2">
        <v>0.58440000000000003</v>
      </c>
    </row>
    <row r="294" spans="1:9">
      <c r="A294" s="1">
        <v>293</v>
      </c>
      <c r="B294" s="1">
        <v>291</v>
      </c>
      <c r="C294" s="1">
        <v>250</v>
      </c>
      <c r="D294" s="2">
        <v>0.85909999999999997</v>
      </c>
      <c r="E294" s="1">
        <v>41</v>
      </c>
      <c r="F294" s="3">
        <v>4.7453703703703704E-4</v>
      </c>
      <c r="G294" s="3">
        <v>1.6203703703703703E-3</v>
      </c>
      <c r="H294" s="3">
        <v>4.9768518518518521E-3</v>
      </c>
      <c r="I294" s="2">
        <v>0.5544</v>
      </c>
    </row>
    <row r="295" spans="1:9">
      <c r="A295" s="1">
        <v>294</v>
      </c>
      <c r="B295" s="1">
        <v>219</v>
      </c>
      <c r="C295" s="1">
        <v>212</v>
      </c>
      <c r="D295" s="2">
        <v>0.96799999999999997</v>
      </c>
      <c r="E295" s="1">
        <v>7</v>
      </c>
      <c r="F295" s="3">
        <v>2.4305555555555555E-4</v>
      </c>
      <c r="G295" s="3">
        <v>1.6087962962962963E-3</v>
      </c>
      <c r="H295" s="3">
        <v>1.2731481481481483E-3</v>
      </c>
      <c r="I295" s="2">
        <v>0.76849999999999996</v>
      </c>
    </row>
    <row r="296" spans="1:9">
      <c r="A296" s="1">
        <v>295</v>
      </c>
      <c r="B296" s="1">
        <v>173</v>
      </c>
      <c r="C296" s="1">
        <v>169</v>
      </c>
      <c r="D296" s="2">
        <v>0.97689999999999999</v>
      </c>
      <c r="E296" s="1">
        <v>4</v>
      </c>
      <c r="F296" s="3">
        <v>2.0833333333333335E-4</v>
      </c>
      <c r="G296" s="3">
        <v>1.5393518518518519E-3</v>
      </c>
      <c r="H296" s="3">
        <v>1.5509259259259259E-3</v>
      </c>
      <c r="I296" s="2">
        <v>0.81399999999999995</v>
      </c>
    </row>
    <row r="297" spans="1:9">
      <c r="A297" s="1">
        <v>296</v>
      </c>
      <c r="B297" s="1">
        <v>204</v>
      </c>
      <c r="C297" s="1">
        <v>197</v>
      </c>
      <c r="D297" s="2">
        <v>0.9657</v>
      </c>
      <c r="E297" s="1">
        <v>7</v>
      </c>
      <c r="F297" s="3">
        <v>1.9675925925925926E-4</v>
      </c>
      <c r="G297" s="3">
        <v>1.6550925925925926E-3</v>
      </c>
      <c r="H297" s="3">
        <v>1.3541666666666667E-3</v>
      </c>
      <c r="I297" s="2">
        <v>0.8</v>
      </c>
    </row>
    <row r="298" spans="1:9">
      <c r="A298" s="1">
        <v>297</v>
      </c>
      <c r="B298" s="1">
        <v>216</v>
      </c>
      <c r="C298" s="1">
        <v>185</v>
      </c>
      <c r="D298" s="2">
        <v>0.85650000000000004</v>
      </c>
      <c r="E298" s="1">
        <v>31</v>
      </c>
      <c r="F298" s="3">
        <v>3.4722222222222224E-4</v>
      </c>
      <c r="G298" s="3">
        <v>1.5856481481481481E-3</v>
      </c>
      <c r="H298" s="3">
        <v>4.4675925925925924E-3</v>
      </c>
      <c r="I298" s="2">
        <v>0.61429999999999996</v>
      </c>
    </row>
    <row r="299" spans="1:9">
      <c r="A299" s="1">
        <v>298</v>
      </c>
      <c r="B299" s="1">
        <v>461</v>
      </c>
      <c r="C299" s="1">
        <v>441</v>
      </c>
      <c r="D299" s="2">
        <v>0.95660000000000001</v>
      </c>
      <c r="E299" s="1">
        <v>20</v>
      </c>
      <c r="F299" s="3">
        <v>3.4722222222222224E-4</v>
      </c>
      <c r="G299" s="3">
        <v>1.5972222222222223E-3</v>
      </c>
      <c r="H299" s="3">
        <v>2.5462962962962965E-3</v>
      </c>
      <c r="I299" s="2">
        <v>0.6149</v>
      </c>
    </row>
    <row r="300" spans="1:9">
      <c r="A300" s="1">
        <v>299</v>
      </c>
      <c r="B300" s="1">
        <v>56</v>
      </c>
      <c r="C300" s="1">
        <v>55</v>
      </c>
      <c r="D300" s="2">
        <v>0.98209999999999997</v>
      </c>
      <c r="E300" s="1">
        <v>1</v>
      </c>
      <c r="F300" s="3">
        <v>3.0092592592592595E-4</v>
      </c>
      <c r="G300" s="3">
        <v>1.5162037037037036E-3</v>
      </c>
      <c r="H300" s="3">
        <v>1.3078703703703703E-3</v>
      </c>
      <c r="I300" s="2">
        <v>0.66069999999999995</v>
      </c>
    </row>
    <row r="301" spans="1:9">
      <c r="A301" s="1">
        <v>300</v>
      </c>
      <c r="B301" s="1">
        <v>192</v>
      </c>
      <c r="C301" s="1">
        <v>176</v>
      </c>
      <c r="D301" s="2">
        <v>0.91669999999999996</v>
      </c>
      <c r="E301" s="1">
        <v>16</v>
      </c>
      <c r="F301" s="3">
        <v>2.6620370370370372E-4</v>
      </c>
      <c r="G301" s="3">
        <v>1.4467592592592592E-3</v>
      </c>
      <c r="H301" s="3">
        <v>1.9328703703703704E-3</v>
      </c>
      <c r="I301" s="2">
        <v>0.68279999999999996</v>
      </c>
    </row>
    <row r="302" spans="1:9">
      <c r="A302" s="1">
        <v>301</v>
      </c>
      <c r="B302" s="1">
        <v>382</v>
      </c>
      <c r="C302" s="1">
        <v>365</v>
      </c>
      <c r="D302" s="2">
        <v>0.95550000000000002</v>
      </c>
      <c r="E302" s="1">
        <v>17</v>
      </c>
      <c r="F302" s="3">
        <v>2.3148148148148149E-4</v>
      </c>
      <c r="G302" s="3">
        <v>1.0995370370370371E-3</v>
      </c>
      <c r="H302" s="3">
        <v>2.0023148148148148E-3</v>
      </c>
      <c r="I302" s="2">
        <v>0.73140000000000005</v>
      </c>
    </row>
    <row r="303" spans="1:9">
      <c r="A303" s="1">
        <v>302</v>
      </c>
      <c r="B303" s="1">
        <v>246</v>
      </c>
      <c r="C303" s="1">
        <v>223</v>
      </c>
      <c r="D303" s="2">
        <v>0.90649999999999997</v>
      </c>
      <c r="E303" s="1">
        <v>23</v>
      </c>
      <c r="F303" s="3">
        <v>2.8935185185185184E-4</v>
      </c>
      <c r="G303" s="3">
        <v>1.5509259259259259E-3</v>
      </c>
      <c r="H303" s="3">
        <v>3.7499999999999999E-3</v>
      </c>
      <c r="I303" s="2">
        <v>0.7167</v>
      </c>
    </row>
    <row r="304" spans="1:9">
      <c r="A304" s="1">
        <v>303</v>
      </c>
      <c r="B304" s="1">
        <v>48</v>
      </c>
      <c r="C304" s="1">
        <v>46</v>
      </c>
      <c r="D304" s="2">
        <v>0.95830000000000004</v>
      </c>
      <c r="E304" s="1">
        <v>2</v>
      </c>
      <c r="F304" s="3">
        <v>3.0092592592592595E-4</v>
      </c>
      <c r="G304" s="3">
        <v>1.5509259259259259E-3</v>
      </c>
      <c r="H304" s="3">
        <v>9.837962962962962E-4</v>
      </c>
      <c r="I304" s="2">
        <v>0.72340000000000004</v>
      </c>
    </row>
    <row r="305" spans="1:9">
      <c r="A305" s="1">
        <v>304</v>
      </c>
      <c r="B305" s="1">
        <v>221</v>
      </c>
      <c r="C305" s="1">
        <v>205</v>
      </c>
      <c r="D305" s="2">
        <v>0.92759999999999998</v>
      </c>
      <c r="E305" s="1">
        <v>16</v>
      </c>
      <c r="F305" s="3">
        <v>3.0092592592592595E-4</v>
      </c>
      <c r="G305" s="3">
        <v>1.5625000000000001E-3</v>
      </c>
      <c r="H305" s="3">
        <v>2.2569444444444442E-3</v>
      </c>
      <c r="I305" s="2">
        <v>0.63080000000000003</v>
      </c>
    </row>
    <row r="306" spans="1:9">
      <c r="A306" s="1">
        <v>305</v>
      </c>
      <c r="B306" s="1">
        <v>275</v>
      </c>
      <c r="C306" s="1">
        <v>261</v>
      </c>
      <c r="D306" s="2">
        <v>0.94910000000000005</v>
      </c>
      <c r="E306" s="1">
        <v>14</v>
      </c>
      <c r="F306" s="3">
        <v>3.8194444444444446E-4</v>
      </c>
      <c r="G306" s="3">
        <v>1.6087962962962963E-3</v>
      </c>
      <c r="H306" s="3">
        <v>2.0601851851851853E-3</v>
      </c>
      <c r="I306" s="2">
        <v>0.58520000000000005</v>
      </c>
    </row>
    <row r="307" spans="1:9">
      <c r="A307" s="1">
        <v>306</v>
      </c>
      <c r="B307" s="1">
        <v>39</v>
      </c>
      <c r="C307" s="1">
        <v>36</v>
      </c>
      <c r="D307" s="2">
        <v>0.92310000000000003</v>
      </c>
      <c r="E307" s="1">
        <v>3</v>
      </c>
      <c r="F307" s="3">
        <v>2.199074074074074E-4</v>
      </c>
      <c r="G307" s="3">
        <v>1.3078703703703703E-3</v>
      </c>
      <c r="H307" s="3">
        <v>1.2962962962962963E-3</v>
      </c>
      <c r="I307" s="2">
        <v>0.77780000000000005</v>
      </c>
    </row>
    <row r="308" spans="1:9">
      <c r="A308" s="1">
        <v>307</v>
      </c>
      <c r="B308" s="1">
        <v>250</v>
      </c>
      <c r="C308" s="1">
        <v>236</v>
      </c>
      <c r="D308" s="2">
        <v>0.94399999999999995</v>
      </c>
      <c r="E308" s="1">
        <v>14</v>
      </c>
      <c r="F308" s="3">
        <v>3.3564814814814812E-4</v>
      </c>
      <c r="G308" s="3">
        <v>1.4814814814814814E-3</v>
      </c>
      <c r="H308" s="3">
        <v>2.8587962962962963E-3</v>
      </c>
      <c r="I308" s="2">
        <v>0.59040000000000004</v>
      </c>
    </row>
    <row r="309" spans="1:9">
      <c r="A309" s="1">
        <v>308</v>
      </c>
      <c r="B309" s="1">
        <v>197</v>
      </c>
      <c r="C309" s="1">
        <v>184</v>
      </c>
      <c r="D309" s="2">
        <v>0.93400000000000005</v>
      </c>
      <c r="E309" s="1">
        <v>13</v>
      </c>
      <c r="F309" s="3">
        <v>3.3564814814814812E-4</v>
      </c>
      <c r="G309" s="3">
        <v>1.6550925925925926E-3</v>
      </c>
      <c r="H309" s="3">
        <v>2.5578703703703705E-3</v>
      </c>
      <c r="I309" s="2">
        <v>0.55610000000000004</v>
      </c>
    </row>
    <row r="310" spans="1:9">
      <c r="A310" s="1">
        <v>309</v>
      </c>
      <c r="B310" s="1">
        <v>223</v>
      </c>
      <c r="C310" s="1">
        <v>208</v>
      </c>
      <c r="D310" s="2">
        <v>0.93269999999999997</v>
      </c>
      <c r="E310" s="1">
        <v>15</v>
      </c>
      <c r="F310" s="3">
        <v>3.2407407407407406E-4</v>
      </c>
      <c r="G310" s="3">
        <v>1.6319444444444445E-3</v>
      </c>
      <c r="H310" s="3">
        <v>4.7569444444444447E-3</v>
      </c>
      <c r="I310" s="2">
        <v>0.72270000000000001</v>
      </c>
    </row>
    <row r="311" spans="1:9">
      <c r="A311" s="1">
        <v>310</v>
      </c>
      <c r="B311" s="1">
        <v>240</v>
      </c>
      <c r="C311" s="1">
        <v>236</v>
      </c>
      <c r="D311" s="2">
        <v>0.98329999999999995</v>
      </c>
      <c r="E311" s="1">
        <v>4</v>
      </c>
      <c r="F311" s="3">
        <v>2.0833333333333335E-4</v>
      </c>
      <c r="G311" s="3">
        <v>1.5509259259259259E-3</v>
      </c>
      <c r="H311" s="3">
        <v>1.4814814814814814E-3</v>
      </c>
      <c r="I311" s="2">
        <v>0.7792</v>
      </c>
    </row>
    <row r="312" spans="1:9">
      <c r="A312" s="1">
        <v>311</v>
      </c>
      <c r="B312" s="1">
        <v>55</v>
      </c>
      <c r="C312" s="1">
        <v>52</v>
      </c>
      <c r="D312" s="2">
        <v>0.94550000000000001</v>
      </c>
      <c r="E312" s="1">
        <v>3</v>
      </c>
      <c r="F312" s="3">
        <v>1.8518518518518518E-4</v>
      </c>
      <c r="G312" s="3">
        <v>1.6087962962962963E-3</v>
      </c>
      <c r="H312" s="3">
        <v>1.1805555555555556E-3</v>
      </c>
      <c r="I312" s="2">
        <v>0.78180000000000005</v>
      </c>
    </row>
    <row r="313" spans="1:9">
      <c r="A313" s="1">
        <v>312</v>
      </c>
      <c r="B313" s="1">
        <v>59</v>
      </c>
      <c r="C313" s="1">
        <v>54</v>
      </c>
      <c r="D313" s="2">
        <v>0.9153</v>
      </c>
      <c r="E313" s="1">
        <v>5</v>
      </c>
      <c r="F313" s="3">
        <v>9.2592592592592588E-5</v>
      </c>
      <c r="G313" s="3">
        <v>1.4583333333333334E-3</v>
      </c>
      <c r="H313" s="3">
        <v>1.4004629629629629E-3</v>
      </c>
      <c r="I313" s="2">
        <v>0.84750000000000003</v>
      </c>
    </row>
    <row r="314" spans="1:9">
      <c r="A314" s="1">
        <v>313</v>
      </c>
      <c r="B314" s="1">
        <v>36</v>
      </c>
      <c r="C314" s="1">
        <v>31</v>
      </c>
      <c r="D314" s="2">
        <v>0.86109999999999998</v>
      </c>
      <c r="E314" s="1">
        <v>5</v>
      </c>
      <c r="F314" s="3">
        <v>1.273148148148148E-4</v>
      </c>
      <c r="G314" s="3">
        <v>1.6435185185185185E-3</v>
      </c>
      <c r="H314" s="3">
        <v>1.3425925925925925E-3</v>
      </c>
      <c r="I314" s="2">
        <v>0.72219999999999995</v>
      </c>
    </row>
    <row r="315" spans="1:9">
      <c r="A315" s="1">
        <v>314</v>
      </c>
      <c r="B315" s="1">
        <v>229</v>
      </c>
      <c r="C315" s="1">
        <v>219</v>
      </c>
      <c r="D315" s="2">
        <v>0.95630000000000004</v>
      </c>
      <c r="E315" s="1">
        <v>10</v>
      </c>
      <c r="F315" s="3">
        <v>1.5046296296296297E-4</v>
      </c>
      <c r="G315" s="3">
        <v>1.4699074074074074E-3</v>
      </c>
      <c r="H315" s="3">
        <v>1.7939814814814815E-3</v>
      </c>
      <c r="I315" s="2">
        <v>0.84889999999999999</v>
      </c>
    </row>
    <row r="316" spans="1:9">
      <c r="A316" s="1">
        <v>315</v>
      </c>
      <c r="B316" s="1">
        <v>206</v>
      </c>
      <c r="C316" s="1">
        <v>189</v>
      </c>
      <c r="D316" s="2">
        <v>0.91749999999999998</v>
      </c>
      <c r="E316" s="1">
        <v>17</v>
      </c>
      <c r="F316" s="3">
        <v>1.7361111111111112E-4</v>
      </c>
      <c r="G316" s="3">
        <v>1.6087962962962963E-3</v>
      </c>
      <c r="H316" s="3">
        <v>2.638888888888889E-3</v>
      </c>
      <c r="I316" s="2">
        <v>0.82830000000000004</v>
      </c>
    </row>
    <row r="317" spans="1:9">
      <c r="A317" s="1">
        <v>316</v>
      </c>
      <c r="B317" s="1">
        <v>225</v>
      </c>
      <c r="C317" s="1">
        <v>200</v>
      </c>
      <c r="D317" s="2">
        <v>0.88890000000000002</v>
      </c>
      <c r="E317" s="1">
        <v>25</v>
      </c>
      <c r="F317" s="3">
        <v>2.4305555555555555E-4</v>
      </c>
      <c r="G317" s="3">
        <v>1.6319444444444445E-3</v>
      </c>
      <c r="H317" s="3">
        <v>3.2638888888888891E-3</v>
      </c>
      <c r="I317" s="2">
        <v>0.73109999999999997</v>
      </c>
    </row>
    <row r="318" spans="1:9">
      <c r="A318" s="1">
        <v>317</v>
      </c>
      <c r="B318" s="1">
        <v>200</v>
      </c>
      <c r="C318" s="1">
        <v>193</v>
      </c>
      <c r="D318" s="2">
        <v>0.96499999999999997</v>
      </c>
      <c r="E318" s="1">
        <v>7</v>
      </c>
      <c r="F318" s="3">
        <v>1.9675925925925926E-4</v>
      </c>
      <c r="G318" s="3">
        <v>1.6550925925925926E-3</v>
      </c>
      <c r="H318" s="3">
        <v>2.5462962962962965E-3</v>
      </c>
      <c r="I318" s="2">
        <v>0.79290000000000005</v>
      </c>
    </row>
    <row r="319" spans="1:9">
      <c r="A319" s="1">
        <v>318</v>
      </c>
      <c r="B319" s="1">
        <v>189</v>
      </c>
      <c r="C319" s="1">
        <v>179</v>
      </c>
      <c r="D319" s="2">
        <v>0.94710000000000005</v>
      </c>
      <c r="E319" s="1">
        <v>10</v>
      </c>
      <c r="F319" s="3">
        <v>2.5462962962962961E-4</v>
      </c>
      <c r="G319" s="3">
        <v>1.5046296296296296E-3</v>
      </c>
      <c r="H319" s="3">
        <v>4.6412037037037038E-3</v>
      </c>
      <c r="I319" s="2">
        <v>0.78069999999999995</v>
      </c>
    </row>
    <row r="320" spans="1:9">
      <c r="A320" s="1">
        <v>319</v>
      </c>
      <c r="B320" s="1">
        <v>169</v>
      </c>
      <c r="C320" s="1">
        <v>159</v>
      </c>
      <c r="D320" s="2">
        <v>0.94079999999999997</v>
      </c>
      <c r="E320" s="1">
        <v>10</v>
      </c>
      <c r="F320" s="3">
        <v>2.5462962962962961E-4</v>
      </c>
      <c r="G320" s="3">
        <v>1.6550925925925926E-3</v>
      </c>
      <c r="H320" s="3">
        <v>2.3842592592592591E-3</v>
      </c>
      <c r="I320" s="2">
        <v>0.73650000000000004</v>
      </c>
    </row>
    <row r="321" spans="1:9">
      <c r="A321" s="1">
        <v>320</v>
      </c>
      <c r="B321" s="1">
        <v>41</v>
      </c>
      <c r="C321" s="1">
        <v>40</v>
      </c>
      <c r="D321" s="2">
        <v>0.97560000000000002</v>
      </c>
      <c r="E321" s="1">
        <v>1</v>
      </c>
      <c r="F321" s="3">
        <v>2.8935185185185184E-4</v>
      </c>
      <c r="G321" s="3">
        <v>1.7592592592592592E-3</v>
      </c>
      <c r="H321" s="3">
        <v>1.4467592592592592E-3</v>
      </c>
      <c r="I321" s="2">
        <v>0.68289999999999995</v>
      </c>
    </row>
    <row r="322" spans="1:9">
      <c r="A322" s="1">
        <v>321</v>
      </c>
      <c r="B322" s="1">
        <v>218</v>
      </c>
      <c r="C322" s="1">
        <v>187</v>
      </c>
      <c r="D322" s="2">
        <v>0.85780000000000001</v>
      </c>
      <c r="E322" s="1">
        <v>31</v>
      </c>
      <c r="F322" s="3">
        <v>5.5555555555555556E-4</v>
      </c>
      <c r="G322" s="3">
        <v>1.5625000000000001E-3</v>
      </c>
      <c r="H322" s="3">
        <v>3.6226851851851854E-3</v>
      </c>
      <c r="I322" s="2">
        <v>0.52110000000000001</v>
      </c>
    </row>
    <row r="323" spans="1:9">
      <c r="A323" s="1">
        <v>322</v>
      </c>
      <c r="B323" s="1">
        <v>194</v>
      </c>
      <c r="C323" s="1">
        <v>185</v>
      </c>
      <c r="D323" s="2">
        <v>0.9536</v>
      </c>
      <c r="E323" s="1">
        <v>9</v>
      </c>
      <c r="F323" s="3">
        <v>2.4305555555555555E-4</v>
      </c>
      <c r="G323" s="3">
        <v>1.5046296296296296E-3</v>
      </c>
      <c r="H323" s="3">
        <v>1.9097222222222222E-3</v>
      </c>
      <c r="I323" s="2">
        <v>0.71579999999999999</v>
      </c>
    </row>
    <row r="324" spans="1:9">
      <c r="A324" s="1">
        <v>323</v>
      </c>
      <c r="B324" s="1">
        <v>176</v>
      </c>
      <c r="C324" s="1">
        <v>172</v>
      </c>
      <c r="D324" s="2">
        <v>0.97729999999999995</v>
      </c>
      <c r="E324" s="1">
        <v>4</v>
      </c>
      <c r="F324" s="3">
        <v>1.8518518518518518E-4</v>
      </c>
      <c r="G324" s="3">
        <v>1.6203703703703703E-3</v>
      </c>
      <c r="H324" s="3">
        <v>1.5625000000000001E-3</v>
      </c>
      <c r="I324" s="2">
        <v>0.82079999999999997</v>
      </c>
    </row>
    <row r="325" spans="1:9">
      <c r="A325" s="1">
        <v>324</v>
      </c>
      <c r="B325" s="1">
        <v>181</v>
      </c>
      <c r="C325" s="1">
        <v>179</v>
      </c>
      <c r="D325" s="2">
        <v>0.98899999999999999</v>
      </c>
      <c r="E325" s="1">
        <v>2</v>
      </c>
      <c r="F325" s="3">
        <v>2.0833333333333335E-4</v>
      </c>
      <c r="G325" s="3">
        <v>1.6319444444444445E-3</v>
      </c>
      <c r="H325" s="3">
        <v>1.5856481481481481E-3</v>
      </c>
      <c r="I325" s="2">
        <v>0.80559999999999998</v>
      </c>
    </row>
    <row r="326" spans="1:9">
      <c r="A326" s="1">
        <v>325</v>
      </c>
      <c r="B326" s="1">
        <v>159</v>
      </c>
      <c r="C326" s="1">
        <v>151</v>
      </c>
      <c r="D326" s="2">
        <v>0.94969999999999999</v>
      </c>
      <c r="E326" s="1">
        <v>8</v>
      </c>
      <c r="F326" s="3">
        <v>3.3564814814814812E-4</v>
      </c>
      <c r="G326" s="3">
        <v>1.3773148148148147E-3</v>
      </c>
      <c r="H326" s="3">
        <v>2.5578703703703705E-3</v>
      </c>
      <c r="I326" s="2">
        <v>0.61009999999999998</v>
      </c>
    </row>
    <row r="327" spans="1:9">
      <c r="A327" s="1">
        <v>326</v>
      </c>
      <c r="B327" s="1">
        <v>144</v>
      </c>
      <c r="C327" s="1">
        <v>135</v>
      </c>
      <c r="D327" s="2">
        <v>0.9375</v>
      </c>
      <c r="E327" s="1">
        <v>9</v>
      </c>
      <c r="F327" s="3">
        <v>2.7777777777777778E-4</v>
      </c>
      <c r="G327" s="3">
        <v>1.5277777777777779E-3</v>
      </c>
      <c r="H327" s="3">
        <v>4.4560185185185189E-3</v>
      </c>
      <c r="I327" s="2">
        <v>0.70630000000000004</v>
      </c>
    </row>
    <row r="328" spans="1:9">
      <c r="A328" s="1">
        <v>327</v>
      </c>
      <c r="B328" s="1">
        <v>30</v>
      </c>
      <c r="C328" s="1">
        <v>29</v>
      </c>
      <c r="D328" s="2">
        <v>0.9667</v>
      </c>
      <c r="E328" s="1">
        <v>1</v>
      </c>
      <c r="F328" s="3">
        <v>3.8194444444444446E-4</v>
      </c>
      <c r="G328" s="3">
        <v>2.0601851851851853E-3</v>
      </c>
      <c r="H328" s="3">
        <v>1.5740740740740741E-3</v>
      </c>
      <c r="I328" s="2">
        <v>0.6</v>
      </c>
    </row>
    <row r="329" spans="1:9">
      <c r="A329" s="1">
        <v>328</v>
      </c>
      <c r="B329" s="1">
        <v>197</v>
      </c>
      <c r="C329" s="1">
        <v>185</v>
      </c>
      <c r="D329" s="2">
        <v>0.93910000000000005</v>
      </c>
      <c r="E329" s="1">
        <v>12</v>
      </c>
      <c r="F329" s="3">
        <v>2.7777777777777778E-4</v>
      </c>
      <c r="G329" s="3">
        <v>1.5972222222222223E-3</v>
      </c>
      <c r="H329" s="3">
        <v>1.6203703703703703E-3</v>
      </c>
      <c r="I329" s="2">
        <v>0.68230000000000002</v>
      </c>
    </row>
    <row r="330" spans="1:9">
      <c r="A330" s="1">
        <v>329</v>
      </c>
      <c r="B330" s="1">
        <v>56</v>
      </c>
      <c r="C330" s="1">
        <v>47</v>
      </c>
      <c r="D330" s="2">
        <v>0.83930000000000005</v>
      </c>
      <c r="E330" s="1">
        <v>9</v>
      </c>
      <c r="F330" s="3">
        <v>2.7777777777777778E-4</v>
      </c>
      <c r="G330" s="3">
        <v>1.6435185185185185E-3</v>
      </c>
      <c r="H330" s="3">
        <v>1.9444444444444444E-3</v>
      </c>
      <c r="I330" s="2">
        <v>0.58930000000000005</v>
      </c>
    </row>
    <row r="331" spans="1:9">
      <c r="A331" s="1">
        <v>330</v>
      </c>
      <c r="B331" s="1">
        <v>182</v>
      </c>
      <c r="C331" s="1">
        <v>153</v>
      </c>
      <c r="D331" s="2">
        <v>0.8407</v>
      </c>
      <c r="E331" s="1">
        <v>29</v>
      </c>
      <c r="F331" s="3">
        <v>4.3981481481481481E-4</v>
      </c>
      <c r="G331" s="3">
        <v>1.5856481481481481E-3</v>
      </c>
      <c r="H331" s="3">
        <v>7.4189814814814813E-3</v>
      </c>
      <c r="I331" s="2">
        <v>0.53890000000000005</v>
      </c>
    </row>
    <row r="332" spans="1:9">
      <c r="A332" s="1">
        <v>331</v>
      </c>
      <c r="B332" s="1">
        <v>178</v>
      </c>
      <c r="C332" s="1">
        <v>166</v>
      </c>
      <c r="D332" s="2">
        <v>0.93259999999999998</v>
      </c>
      <c r="E332" s="1">
        <v>12</v>
      </c>
      <c r="F332" s="3">
        <v>3.4722222222222224E-4</v>
      </c>
      <c r="G332" s="3">
        <v>1.6666666666666668E-3</v>
      </c>
      <c r="H332" s="3">
        <v>3.6111111111111109E-3</v>
      </c>
      <c r="I332" s="2">
        <v>0.62070000000000003</v>
      </c>
    </row>
    <row r="333" spans="1:9">
      <c r="A333" s="1">
        <v>332</v>
      </c>
      <c r="B333" s="1">
        <v>183</v>
      </c>
      <c r="C333" s="1">
        <v>164</v>
      </c>
      <c r="D333" s="2">
        <v>0.8962</v>
      </c>
      <c r="E333" s="1">
        <v>19</v>
      </c>
      <c r="F333" s="3">
        <v>2.8935185185185184E-4</v>
      </c>
      <c r="G333" s="3">
        <v>1.4351851851851852E-3</v>
      </c>
      <c r="H333" s="3">
        <v>2.5462962962962965E-3</v>
      </c>
      <c r="I333" s="2">
        <v>0.65910000000000002</v>
      </c>
    </row>
    <row r="334" spans="1:9">
      <c r="A334" s="1">
        <v>333</v>
      </c>
      <c r="B334" s="1">
        <v>197</v>
      </c>
      <c r="C334" s="1">
        <v>182</v>
      </c>
      <c r="D334" s="2">
        <v>0.92390000000000005</v>
      </c>
      <c r="E334" s="1">
        <v>15</v>
      </c>
      <c r="F334" s="3">
        <v>3.2407407407407406E-4</v>
      </c>
      <c r="G334" s="3">
        <v>1.6782407407407408E-3</v>
      </c>
      <c r="H334" s="3">
        <v>3.0092592592592593E-3</v>
      </c>
      <c r="I334" s="2">
        <v>0.64800000000000002</v>
      </c>
    </row>
    <row r="335" spans="1:9">
      <c r="A335" s="1">
        <v>334</v>
      </c>
      <c r="B335" s="1">
        <v>60</v>
      </c>
      <c r="C335" s="1">
        <v>58</v>
      </c>
      <c r="D335" s="2">
        <v>0.9667</v>
      </c>
      <c r="E335" s="1">
        <v>2</v>
      </c>
      <c r="F335" s="3">
        <v>4.2824074074074075E-4</v>
      </c>
      <c r="G335" s="3">
        <v>1.8055555555555555E-3</v>
      </c>
      <c r="H335" s="3">
        <v>2.1990740740740742E-3</v>
      </c>
      <c r="I335" s="2">
        <v>0.54239999999999999</v>
      </c>
    </row>
    <row r="336" spans="1:9">
      <c r="A336" s="1">
        <v>335</v>
      </c>
      <c r="B336" s="1">
        <v>241</v>
      </c>
      <c r="C336" s="1">
        <v>224</v>
      </c>
      <c r="D336" s="2">
        <v>0.92949999999999999</v>
      </c>
      <c r="E336" s="1">
        <v>17</v>
      </c>
      <c r="F336" s="3">
        <v>2.6620370370370372E-4</v>
      </c>
      <c r="G336" s="3">
        <v>1.6782407407407408E-3</v>
      </c>
      <c r="H336" s="3">
        <v>1.9097222222222222E-3</v>
      </c>
      <c r="I336" s="2">
        <v>0.7046</v>
      </c>
    </row>
    <row r="337" spans="1:9">
      <c r="A337" s="1">
        <v>336</v>
      </c>
      <c r="B337" s="1">
        <v>307</v>
      </c>
      <c r="C337" s="1">
        <v>295</v>
      </c>
      <c r="D337" s="2">
        <v>0.96089999999999998</v>
      </c>
      <c r="E337" s="1">
        <v>12</v>
      </c>
      <c r="F337" s="3">
        <v>3.3564814814814812E-4</v>
      </c>
      <c r="G337" s="3">
        <v>1.5740740740740741E-3</v>
      </c>
      <c r="H337" s="3">
        <v>1.9097222222222222E-3</v>
      </c>
      <c r="I337" s="2">
        <v>0.60460000000000003</v>
      </c>
    </row>
    <row r="338" spans="1:9">
      <c r="A338" s="1">
        <v>337</v>
      </c>
      <c r="B338" s="1">
        <v>295</v>
      </c>
      <c r="C338" s="1">
        <v>289</v>
      </c>
      <c r="D338" s="2">
        <v>0.97970000000000002</v>
      </c>
      <c r="E338" s="1">
        <v>6</v>
      </c>
      <c r="F338" s="3">
        <v>3.0092592592592595E-4</v>
      </c>
      <c r="G338" s="3">
        <v>1.6550925925925926E-3</v>
      </c>
      <c r="H338" s="3">
        <v>2.2106481481481482E-3</v>
      </c>
      <c r="I338" s="2">
        <v>0.70689999999999997</v>
      </c>
    </row>
    <row r="339" spans="1:9">
      <c r="A339" s="1">
        <v>338</v>
      </c>
      <c r="B339" s="1">
        <v>239</v>
      </c>
      <c r="C339" s="1">
        <v>230</v>
      </c>
      <c r="D339" s="2">
        <v>0.96230000000000004</v>
      </c>
      <c r="E339" s="1">
        <v>9</v>
      </c>
      <c r="F339" s="3">
        <v>3.0092592592592595E-4</v>
      </c>
      <c r="G339" s="3">
        <v>1.5509259259259259E-3</v>
      </c>
      <c r="H339" s="3">
        <v>2.2453703703703702E-3</v>
      </c>
      <c r="I339" s="2">
        <v>0.68910000000000005</v>
      </c>
    </row>
    <row r="340" spans="1:9">
      <c r="A340" s="1">
        <v>339</v>
      </c>
      <c r="B340" s="1">
        <v>241</v>
      </c>
      <c r="C340" s="1">
        <v>231</v>
      </c>
      <c r="D340" s="2">
        <v>0.95850000000000002</v>
      </c>
      <c r="E340" s="1">
        <v>10</v>
      </c>
      <c r="F340" s="3">
        <v>2.6620370370370372E-4</v>
      </c>
      <c r="G340" s="3">
        <v>1.6782407407407408E-3</v>
      </c>
      <c r="H340" s="3">
        <v>1.2962962962962963E-3</v>
      </c>
      <c r="I340" s="2">
        <v>0.72460000000000002</v>
      </c>
    </row>
    <row r="341" spans="1:9">
      <c r="A341" s="1">
        <v>340</v>
      </c>
      <c r="B341" s="1">
        <v>211</v>
      </c>
      <c r="C341" s="1">
        <v>195</v>
      </c>
      <c r="D341" s="2">
        <v>0.92420000000000002</v>
      </c>
      <c r="E341" s="1">
        <v>16</v>
      </c>
      <c r="F341" s="3">
        <v>3.8194444444444446E-4</v>
      </c>
      <c r="G341" s="3">
        <v>1.8749999999999999E-3</v>
      </c>
      <c r="H341" s="3">
        <v>2.2685185185185187E-3</v>
      </c>
      <c r="I341" s="2">
        <v>0.52400000000000002</v>
      </c>
    </row>
    <row r="342" spans="1:9">
      <c r="A342" s="1">
        <v>341</v>
      </c>
      <c r="B342" s="1">
        <v>40</v>
      </c>
      <c r="C342" s="1">
        <v>35</v>
      </c>
      <c r="D342" s="2">
        <v>0.875</v>
      </c>
      <c r="E342" s="1">
        <v>5</v>
      </c>
      <c r="F342" s="3">
        <v>4.6296296296296298E-4</v>
      </c>
      <c r="G342" s="3">
        <v>1.7939814814814815E-3</v>
      </c>
      <c r="H342" s="3">
        <v>2.2222222222222222E-3</v>
      </c>
      <c r="I342" s="2">
        <v>0.47499999999999998</v>
      </c>
    </row>
    <row r="343" spans="1:9">
      <c r="A343" s="1">
        <v>342</v>
      </c>
      <c r="B343" s="1">
        <v>192</v>
      </c>
      <c r="C343" s="1">
        <v>174</v>
      </c>
      <c r="D343" s="2">
        <v>0.90629999999999999</v>
      </c>
      <c r="E343" s="1">
        <v>18</v>
      </c>
      <c r="F343" s="3">
        <v>3.7037037037037035E-4</v>
      </c>
      <c r="G343" s="3">
        <v>1.5740740740740741E-3</v>
      </c>
      <c r="H343" s="3">
        <v>2.5462962962962965E-3</v>
      </c>
      <c r="I343" s="2">
        <v>0.55789999999999995</v>
      </c>
    </row>
    <row r="344" spans="1:9">
      <c r="A344" s="1">
        <v>343</v>
      </c>
      <c r="B344" s="1">
        <v>201</v>
      </c>
      <c r="C344" s="1">
        <v>179</v>
      </c>
      <c r="D344" s="2">
        <v>0.89049999999999996</v>
      </c>
      <c r="E344" s="1">
        <v>22</v>
      </c>
      <c r="F344" s="3">
        <v>4.0509259259259258E-4</v>
      </c>
      <c r="G344" s="3">
        <v>1.5972222222222223E-3</v>
      </c>
      <c r="H344" s="3">
        <v>2.5462962962962965E-3</v>
      </c>
      <c r="I344" s="2">
        <v>0.57289999999999996</v>
      </c>
    </row>
    <row r="345" spans="1:9">
      <c r="A345" s="1">
        <v>344</v>
      </c>
      <c r="B345" s="1">
        <v>274</v>
      </c>
      <c r="C345" s="1">
        <v>247</v>
      </c>
      <c r="D345" s="2">
        <v>0.90149999999999997</v>
      </c>
      <c r="E345" s="1">
        <v>27</v>
      </c>
      <c r="F345" s="3">
        <v>3.2407407407407406E-4</v>
      </c>
      <c r="G345" s="3">
        <v>1.5046296296296296E-3</v>
      </c>
      <c r="H345" s="3">
        <v>2.8240740740740739E-3</v>
      </c>
      <c r="I345" s="2">
        <v>0.63939999999999997</v>
      </c>
    </row>
    <row r="346" spans="1:9">
      <c r="A346" s="1">
        <v>345</v>
      </c>
      <c r="B346" s="1">
        <v>205</v>
      </c>
      <c r="C346" s="1">
        <v>176</v>
      </c>
      <c r="D346" s="2">
        <v>0.85850000000000004</v>
      </c>
      <c r="E346" s="1">
        <v>29</v>
      </c>
      <c r="F346" s="3">
        <v>4.7453703703703704E-4</v>
      </c>
      <c r="G346" s="3">
        <v>1.5740740740740741E-3</v>
      </c>
      <c r="H346" s="3">
        <v>3.5995370370370369E-3</v>
      </c>
      <c r="I346" s="2">
        <v>0.46229999999999999</v>
      </c>
    </row>
    <row r="347" spans="1:9">
      <c r="A347" s="1">
        <v>346</v>
      </c>
      <c r="B347" s="1">
        <v>177</v>
      </c>
      <c r="C347" s="1">
        <v>160</v>
      </c>
      <c r="D347" s="2">
        <v>0.90400000000000003</v>
      </c>
      <c r="E347" s="1">
        <v>17</v>
      </c>
      <c r="F347" s="3">
        <v>3.2407407407407406E-4</v>
      </c>
      <c r="G347" s="3">
        <v>1.6203703703703703E-3</v>
      </c>
      <c r="H347" s="3">
        <v>2.7662037037037039E-3</v>
      </c>
      <c r="I347" s="2">
        <v>0.59199999999999997</v>
      </c>
    </row>
    <row r="348" spans="1:9">
      <c r="A348" s="1">
        <v>347</v>
      </c>
      <c r="B348" s="1">
        <v>159</v>
      </c>
      <c r="C348" s="1">
        <v>151</v>
      </c>
      <c r="D348" s="2">
        <v>0.94969999999999999</v>
      </c>
      <c r="E348" s="1">
        <v>8</v>
      </c>
      <c r="F348" s="3">
        <v>2.5462962962962961E-4</v>
      </c>
      <c r="G348" s="3">
        <v>1.4814814814814814E-3</v>
      </c>
      <c r="H348" s="3">
        <v>5.115740740740741E-3</v>
      </c>
      <c r="I348" s="2">
        <v>0.73250000000000004</v>
      </c>
    </row>
    <row r="349" spans="1:9">
      <c r="A349" s="1">
        <v>348</v>
      </c>
      <c r="B349" s="1">
        <v>33</v>
      </c>
      <c r="C349" s="1">
        <v>28</v>
      </c>
      <c r="D349" s="2">
        <v>0.84850000000000003</v>
      </c>
      <c r="E349" s="1">
        <v>5</v>
      </c>
      <c r="F349" s="3">
        <v>1.5046296296296297E-4</v>
      </c>
      <c r="G349" s="3">
        <v>1.736111111111111E-3</v>
      </c>
      <c r="H349" s="3">
        <v>7.1759259259259259E-4</v>
      </c>
      <c r="I349" s="2">
        <v>0.66669999999999996</v>
      </c>
    </row>
    <row r="350" spans="1:9">
      <c r="A350" s="1">
        <v>349</v>
      </c>
      <c r="B350" s="1">
        <v>228</v>
      </c>
      <c r="C350" s="1">
        <v>210</v>
      </c>
      <c r="D350" s="2">
        <v>0.92110000000000003</v>
      </c>
      <c r="E350" s="1">
        <v>18</v>
      </c>
      <c r="F350" s="3">
        <v>2.6620370370370372E-4</v>
      </c>
      <c r="G350" s="3">
        <v>1.4814814814814814E-3</v>
      </c>
      <c r="H350" s="3">
        <v>2.1875000000000002E-3</v>
      </c>
      <c r="I350" s="2">
        <v>0.66669999999999996</v>
      </c>
    </row>
    <row r="351" spans="1:9">
      <c r="A351" s="1">
        <v>350</v>
      </c>
      <c r="B351" s="1">
        <v>177</v>
      </c>
      <c r="C351" s="1">
        <v>172</v>
      </c>
      <c r="D351" s="2">
        <v>0.9718</v>
      </c>
      <c r="E351" s="1">
        <v>5</v>
      </c>
      <c r="F351" s="3">
        <v>2.8935185185185184E-4</v>
      </c>
      <c r="G351" s="3">
        <v>1.5625000000000001E-3</v>
      </c>
      <c r="H351" s="3">
        <v>1.9907407407407408E-3</v>
      </c>
      <c r="I351" s="2">
        <v>0.69140000000000001</v>
      </c>
    </row>
    <row r="352" spans="1:9">
      <c r="A352" s="1">
        <v>351</v>
      </c>
      <c r="B352" s="1">
        <v>197</v>
      </c>
      <c r="C352" s="1">
        <v>169</v>
      </c>
      <c r="D352" s="2">
        <v>0.8579</v>
      </c>
      <c r="E352" s="1">
        <v>28</v>
      </c>
      <c r="F352" s="3">
        <v>3.9351851851851852E-4</v>
      </c>
      <c r="G352" s="3">
        <v>1.736111111111111E-3</v>
      </c>
      <c r="H352" s="3">
        <v>5.3356481481481484E-3</v>
      </c>
      <c r="I352" s="2">
        <v>0.55669999999999997</v>
      </c>
    </row>
    <row r="353" spans="1:9">
      <c r="A353" s="1">
        <v>352</v>
      </c>
      <c r="B353" s="1">
        <v>721</v>
      </c>
      <c r="C353" s="1">
        <v>616</v>
      </c>
      <c r="D353" s="2">
        <v>0.85440000000000005</v>
      </c>
      <c r="E353" s="1">
        <v>105</v>
      </c>
      <c r="F353" s="3">
        <v>6.5972222222222224E-4</v>
      </c>
      <c r="G353" s="3">
        <v>1.3310185185185185E-3</v>
      </c>
      <c r="H353" s="3">
        <v>4.0277777777777777E-3</v>
      </c>
      <c r="I353" s="2">
        <v>0.28310000000000002</v>
      </c>
    </row>
    <row r="354" spans="1:9">
      <c r="A354" s="1">
        <v>353</v>
      </c>
      <c r="B354" s="1">
        <v>301</v>
      </c>
      <c r="C354" s="1">
        <v>270</v>
      </c>
      <c r="D354" s="2">
        <v>0.89700000000000002</v>
      </c>
      <c r="E354" s="1">
        <v>31</v>
      </c>
      <c r="F354" s="3">
        <v>4.861111111111111E-4</v>
      </c>
      <c r="G354" s="3">
        <v>1.4467592592592592E-3</v>
      </c>
      <c r="H354" s="3">
        <v>7.013888888888889E-3</v>
      </c>
      <c r="I354" s="2">
        <v>0.42470000000000002</v>
      </c>
    </row>
    <row r="355" spans="1:9">
      <c r="A355" s="1">
        <v>354</v>
      </c>
      <c r="B355" s="1">
        <v>179</v>
      </c>
      <c r="C355" s="1">
        <v>175</v>
      </c>
      <c r="D355" s="2">
        <v>0.97770000000000001</v>
      </c>
      <c r="E355" s="1">
        <v>4</v>
      </c>
      <c r="F355" s="3">
        <v>2.7777777777777778E-4</v>
      </c>
      <c r="G355" s="3">
        <v>1.6319444444444445E-3</v>
      </c>
      <c r="H355" s="3">
        <v>2.2222222222222222E-3</v>
      </c>
      <c r="I355" s="2">
        <v>0.71350000000000002</v>
      </c>
    </row>
    <row r="356" spans="1:9">
      <c r="A356" s="1">
        <v>355</v>
      </c>
      <c r="B356" s="1">
        <v>45</v>
      </c>
      <c r="C356" s="1">
        <v>45</v>
      </c>
      <c r="D356" s="2">
        <v>1</v>
      </c>
      <c r="E356" s="1">
        <v>0</v>
      </c>
      <c r="F356" s="3">
        <v>1.8518518518518518E-4</v>
      </c>
      <c r="G356" s="3">
        <v>1.5162037037037036E-3</v>
      </c>
      <c r="H356" s="3">
        <v>2.3263888888888887E-3</v>
      </c>
      <c r="I356" s="2">
        <v>0.86670000000000003</v>
      </c>
    </row>
    <row r="357" spans="1:9">
      <c r="A357" s="1">
        <v>356</v>
      </c>
      <c r="B357" s="1">
        <v>180</v>
      </c>
      <c r="C357" s="1">
        <v>164</v>
      </c>
      <c r="D357" s="2">
        <v>0.91110000000000002</v>
      </c>
      <c r="E357" s="1">
        <v>16</v>
      </c>
      <c r="F357" s="3">
        <v>2.8935185185185184E-4</v>
      </c>
      <c r="G357" s="3">
        <v>1.6435185185185185E-3</v>
      </c>
      <c r="H357" s="3">
        <v>1.2731481481481483E-3</v>
      </c>
      <c r="I357" s="2">
        <v>0.61799999999999999</v>
      </c>
    </row>
    <row r="358" spans="1:9">
      <c r="A358" s="1">
        <v>357</v>
      </c>
      <c r="B358" s="1">
        <v>206</v>
      </c>
      <c r="C358" s="1">
        <v>200</v>
      </c>
      <c r="D358" s="2">
        <v>0.97089999999999999</v>
      </c>
      <c r="E358" s="1">
        <v>6</v>
      </c>
      <c r="F358" s="3">
        <v>2.5462962962962961E-4</v>
      </c>
      <c r="G358" s="3">
        <v>1.6087962962962963E-3</v>
      </c>
      <c r="H358" s="3">
        <v>1.4699074074074074E-3</v>
      </c>
      <c r="I358" s="2">
        <v>0.74629999999999996</v>
      </c>
    </row>
    <row r="359" spans="1:9">
      <c r="A359" s="1">
        <v>358</v>
      </c>
      <c r="B359" s="1">
        <v>187</v>
      </c>
      <c r="C359" s="1">
        <v>181</v>
      </c>
      <c r="D359" s="2">
        <v>0.96789999999999998</v>
      </c>
      <c r="E359" s="1">
        <v>6</v>
      </c>
      <c r="F359" s="3">
        <v>3.7037037037037035E-4</v>
      </c>
      <c r="G359" s="3">
        <v>1.736111111111111E-3</v>
      </c>
      <c r="H359" s="3">
        <v>2.7083333333333334E-3</v>
      </c>
      <c r="I359" s="2">
        <v>0.627</v>
      </c>
    </row>
    <row r="360" spans="1:9">
      <c r="A360" s="1">
        <v>359</v>
      </c>
      <c r="B360" s="1">
        <v>186</v>
      </c>
      <c r="C360" s="1">
        <v>177</v>
      </c>
      <c r="D360" s="2">
        <v>0.9516</v>
      </c>
      <c r="E360" s="1">
        <v>9</v>
      </c>
      <c r="F360" s="3">
        <v>3.2407407407407406E-4</v>
      </c>
      <c r="G360" s="3">
        <v>1.6435185185185185E-3</v>
      </c>
      <c r="H360" s="3">
        <v>3.8194444444444443E-3</v>
      </c>
      <c r="I360" s="2">
        <v>0.67930000000000001</v>
      </c>
    </row>
    <row r="361" spans="1:9">
      <c r="A361" s="1">
        <v>360</v>
      </c>
      <c r="B361" s="1">
        <v>189</v>
      </c>
      <c r="C361" s="1">
        <v>180</v>
      </c>
      <c r="D361" s="2">
        <v>0.95240000000000002</v>
      </c>
      <c r="E361" s="1">
        <v>9</v>
      </c>
      <c r="F361" s="3">
        <v>4.0509259259259258E-4</v>
      </c>
      <c r="G361" s="3">
        <v>1.5625000000000001E-3</v>
      </c>
      <c r="H361" s="3">
        <v>2.3611111111111111E-3</v>
      </c>
      <c r="I361" s="2">
        <v>0.5645</v>
      </c>
    </row>
    <row r="362" spans="1:9">
      <c r="A362" s="1">
        <v>361</v>
      </c>
      <c r="B362" s="1">
        <v>127</v>
      </c>
      <c r="C362" s="1">
        <v>116</v>
      </c>
      <c r="D362" s="2">
        <v>0.91339999999999999</v>
      </c>
      <c r="E362" s="1">
        <v>11</v>
      </c>
      <c r="F362" s="3">
        <v>3.9351851851851852E-4</v>
      </c>
      <c r="G362" s="3">
        <v>1.6782407407407408E-3</v>
      </c>
      <c r="H362" s="3">
        <v>1.9212962962962964E-3</v>
      </c>
      <c r="I362" s="2">
        <v>0.5645</v>
      </c>
    </row>
    <row r="363" spans="1:9">
      <c r="A363" s="1">
        <v>362</v>
      </c>
      <c r="B363" s="1">
        <v>93</v>
      </c>
      <c r="C363" s="1">
        <v>90</v>
      </c>
      <c r="D363" s="2">
        <v>0.9677</v>
      </c>
      <c r="E363" s="1">
        <v>3</v>
      </c>
      <c r="F363" s="3">
        <v>3.0092592592592595E-4</v>
      </c>
      <c r="G363" s="3">
        <v>1.3541666666666667E-3</v>
      </c>
      <c r="H363" s="3">
        <v>2.0486111111111113E-3</v>
      </c>
      <c r="I363" s="2">
        <v>0.63439999999999996</v>
      </c>
    </row>
    <row r="364" spans="1:9">
      <c r="A364" s="1">
        <v>363</v>
      </c>
      <c r="B364" s="1">
        <v>328</v>
      </c>
      <c r="C364" s="1">
        <v>292</v>
      </c>
      <c r="D364" s="2">
        <v>0.89019999999999999</v>
      </c>
      <c r="E364" s="1">
        <v>36</v>
      </c>
      <c r="F364" s="3">
        <v>4.2824074074074075E-4</v>
      </c>
      <c r="G364" s="3">
        <v>1.5856481481481481E-3</v>
      </c>
      <c r="H364" s="3">
        <v>4.4560185185185189E-3</v>
      </c>
      <c r="I364" s="2">
        <v>0.49680000000000002</v>
      </c>
    </row>
    <row r="365" spans="1:9">
      <c r="A365" s="1">
        <v>364</v>
      </c>
      <c r="B365" s="1">
        <v>238</v>
      </c>
      <c r="C365" s="1">
        <v>223</v>
      </c>
      <c r="D365" s="2">
        <v>0.93700000000000006</v>
      </c>
      <c r="E365" s="1">
        <v>15</v>
      </c>
      <c r="F365" s="3">
        <v>3.8194444444444446E-4</v>
      </c>
      <c r="G365" s="3">
        <v>1.6550925925925926E-3</v>
      </c>
      <c r="H365" s="3">
        <v>2.5462962962962965E-3</v>
      </c>
      <c r="I365" s="2">
        <v>0.59230000000000005</v>
      </c>
    </row>
    <row r="366" spans="1:9">
      <c r="A366" s="1">
        <v>365</v>
      </c>
      <c r="B366" s="1">
        <v>237</v>
      </c>
      <c r="C366" s="1">
        <v>222</v>
      </c>
      <c r="D366" s="2">
        <v>0.93669999999999998</v>
      </c>
      <c r="E366" s="1">
        <v>15</v>
      </c>
      <c r="F366" s="3">
        <v>3.9351851851851852E-4</v>
      </c>
      <c r="G366" s="3">
        <v>1.6666666666666668E-3</v>
      </c>
      <c r="H366" s="3">
        <v>1.9907407407407408E-3</v>
      </c>
      <c r="I366" s="2">
        <v>0.53849999999999998</v>
      </c>
    </row>
    <row r="367" spans="1:9">
      <c r="A367" s="1">
        <v>366</v>
      </c>
      <c r="B367" s="1">
        <v>257</v>
      </c>
      <c r="C367" s="1">
        <v>235</v>
      </c>
      <c r="D367" s="2">
        <v>0.91439999999999999</v>
      </c>
      <c r="E367" s="1">
        <v>22</v>
      </c>
      <c r="F367" s="3">
        <v>5.2083333333333333E-4</v>
      </c>
      <c r="G367" s="3">
        <v>1.7476851851851852E-3</v>
      </c>
      <c r="H367" s="3">
        <v>3.0555555555555557E-3</v>
      </c>
      <c r="I367" s="2">
        <v>0.4466</v>
      </c>
    </row>
    <row r="368" spans="1:9">
      <c r="A368" s="1">
        <v>367</v>
      </c>
      <c r="B368" s="1">
        <v>238</v>
      </c>
      <c r="C368" s="1">
        <v>223</v>
      </c>
      <c r="D368" s="2">
        <v>0.93700000000000006</v>
      </c>
      <c r="E368" s="1">
        <v>15</v>
      </c>
      <c r="F368" s="3">
        <v>3.7037037037037035E-4</v>
      </c>
      <c r="G368" s="3">
        <v>1.5856481481481481E-3</v>
      </c>
      <c r="H368" s="3">
        <v>2.3379629629629631E-3</v>
      </c>
      <c r="I368" s="2">
        <v>0.54700000000000004</v>
      </c>
    </row>
    <row r="369" spans="1:9">
      <c r="A369" s="1">
        <v>368</v>
      </c>
      <c r="B369" s="1">
        <v>199</v>
      </c>
      <c r="C369" s="1">
        <v>164</v>
      </c>
      <c r="D369" s="2">
        <v>0.82410000000000005</v>
      </c>
      <c r="E369" s="1">
        <v>35</v>
      </c>
      <c r="F369" s="3">
        <v>3.7037037037037035E-4</v>
      </c>
      <c r="G369" s="3">
        <v>1.5393518518518519E-3</v>
      </c>
      <c r="H369" s="3">
        <v>4.8148148148148152E-3</v>
      </c>
      <c r="I369" s="2">
        <v>0.59179999999999999</v>
      </c>
    </row>
    <row r="370" spans="1:9">
      <c r="A370" s="1">
        <v>369</v>
      </c>
      <c r="B370" s="1">
        <v>30</v>
      </c>
      <c r="C370" s="1">
        <v>27</v>
      </c>
      <c r="D370" s="2">
        <v>0.9</v>
      </c>
      <c r="E370" s="1">
        <v>3</v>
      </c>
      <c r="F370" s="3">
        <v>3.7037037037037035E-4</v>
      </c>
      <c r="G370" s="3">
        <v>1.7824074074074075E-3</v>
      </c>
      <c r="H370" s="3">
        <v>1.8171296296296297E-3</v>
      </c>
      <c r="I370" s="2">
        <v>0.60709999999999997</v>
      </c>
    </row>
    <row r="371" spans="1:9">
      <c r="A371" s="1">
        <v>370</v>
      </c>
      <c r="B371" s="1">
        <v>176</v>
      </c>
      <c r="C371" s="1">
        <v>163</v>
      </c>
      <c r="D371" s="2">
        <v>0.92610000000000003</v>
      </c>
      <c r="E371" s="1">
        <v>13</v>
      </c>
      <c r="F371" s="3">
        <v>4.3981481481481481E-4</v>
      </c>
      <c r="G371" s="3">
        <v>1.4467592592592592E-3</v>
      </c>
      <c r="H371" s="3">
        <v>3.8194444444444443E-3</v>
      </c>
      <c r="I371" s="2">
        <v>0.54290000000000005</v>
      </c>
    </row>
    <row r="372" spans="1:9">
      <c r="A372" s="1">
        <v>371</v>
      </c>
      <c r="B372" s="1">
        <v>162</v>
      </c>
      <c r="C372" s="1">
        <v>144</v>
      </c>
      <c r="D372" s="2">
        <v>0.88890000000000002</v>
      </c>
      <c r="E372" s="1">
        <v>18</v>
      </c>
      <c r="F372" s="3">
        <v>4.7453703703703704E-4</v>
      </c>
      <c r="G372" s="3">
        <v>1.6782407407407408E-3</v>
      </c>
      <c r="H372" s="3">
        <v>2.5462962962962965E-3</v>
      </c>
      <c r="I372" s="2">
        <v>0.50309999999999999</v>
      </c>
    </row>
    <row r="373" spans="1:9">
      <c r="A373" s="1">
        <v>372</v>
      </c>
      <c r="B373" s="1">
        <v>169</v>
      </c>
      <c r="C373" s="1">
        <v>157</v>
      </c>
      <c r="D373" s="2">
        <v>0.92900000000000005</v>
      </c>
      <c r="E373" s="1">
        <v>12</v>
      </c>
      <c r="F373" s="3">
        <v>3.3564814814814812E-4</v>
      </c>
      <c r="G373" s="3">
        <v>1.724537037037037E-3</v>
      </c>
      <c r="H373" s="3">
        <v>1.3425925925925925E-3</v>
      </c>
      <c r="I373" s="2">
        <v>0.53890000000000005</v>
      </c>
    </row>
    <row r="374" spans="1:9">
      <c r="A374" s="1">
        <v>373</v>
      </c>
      <c r="B374" s="1">
        <v>155</v>
      </c>
      <c r="C374" s="1">
        <v>146</v>
      </c>
      <c r="D374" s="2">
        <v>0.94189999999999996</v>
      </c>
      <c r="E374" s="1">
        <v>9</v>
      </c>
      <c r="F374" s="3">
        <v>3.4722222222222224E-4</v>
      </c>
      <c r="G374" s="3">
        <v>1.5972222222222223E-3</v>
      </c>
      <c r="H374" s="3">
        <v>2.1990740740740742E-3</v>
      </c>
      <c r="I374" s="2">
        <v>0.50980000000000003</v>
      </c>
    </row>
    <row r="375" spans="1:9">
      <c r="A375" s="1">
        <v>374</v>
      </c>
      <c r="B375" s="1">
        <v>247</v>
      </c>
      <c r="C375" s="1">
        <v>205</v>
      </c>
      <c r="D375" s="2">
        <v>0.83</v>
      </c>
      <c r="E375" s="1">
        <v>42</v>
      </c>
      <c r="F375" s="3">
        <v>5.6712962962962967E-4</v>
      </c>
      <c r="G375" s="3">
        <v>1.6898148148148148E-3</v>
      </c>
      <c r="H375" s="3">
        <v>5.2777777777777779E-3</v>
      </c>
      <c r="I375" s="2">
        <v>0.38490000000000002</v>
      </c>
    </row>
    <row r="376" spans="1:9">
      <c r="A376" s="1">
        <v>375</v>
      </c>
      <c r="B376" s="1">
        <v>191</v>
      </c>
      <c r="C376" s="1">
        <v>186</v>
      </c>
      <c r="D376" s="2">
        <v>0.9738</v>
      </c>
      <c r="E376" s="1">
        <v>5</v>
      </c>
      <c r="F376" s="3">
        <v>2.7777777777777778E-4</v>
      </c>
      <c r="G376" s="3">
        <v>1.5509259259259259E-3</v>
      </c>
      <c r="H376" s="3">
        <v>1.3194444444444445E-3</v>
      </c>
      <c r="I376" s="2">
        <v>0.70530000000000004</v>
      </c>
    </row>
    <row r="377" spans="1:9">
      <c r="A377" s="1">
        <v>376</v>
      </c>
      <c r="B377" s="1">
        <v>30</v>
      </c>
      <c r="C377" s="1">
        <v>29</v>
      </c>
      <c r="D377" s="2">
        <v>0.9667</v>
      </c>
      <c r="E377" s="1">
        <v>1</v>
      </c>
      <c r="F377" s="3">
        <v>6.9444444444444444E-5</v>
      </c>
      <c r="G377" s="3">
        <v>1.5625000000000001E-3</v>
      </c>
      <c r="H377" s="3">
        <v>5.3240740740740744E-4</v>
      </c>
      <c r="I377" s="2">
        <v>0.93330000000000002</v>
      </c>
    </row>
    <row r="378" spans="1:9">
      <c r="A378" s="1">
        <v>377</v>
      </c>
      <c r="B378" s="1">
        <v>316</v>
      </c>
      <c r="C378" s="1">
        <v>290</v>
      </c>
      <c r="D378" s="2">
        <v>0.91769999999999996</v>
      </c>
      <c r="E378" s="1">
        <v>26</v>
      </c>
      <c r="F378" s="3">
        <v>3.5879629629629629E-4</v>
      </c>
      <c r="G378" s="3">
        <v>1.6319444444444445E-3</v>
      </c>
      <c r="H378" s="3">
        <v>2.8009259259259259E-3</v>
      </c>
      <c r="I378" s="2">
        <v>0.59160000000000001</v>
      </c>
    </row>
    <row r="379" spans="1:9">
      <c r="A379" s="1">
        <v>378</v>
      </c>
      <c r="B379" s="1">
        <v>211</v>
      </c>
      <c r="C379" s="1">
        <v>195</v>
      </c>
      <c r="D379" s="2">
        <v>0.92420000000000002</v>
      </c>
      <c r="E379" s="1">
        <v>16</v>
      </c>
      <c r="F379" s="3">
        <v>3.9351851851851852E-4</v>
      </c>
      <c r="G379" s="3">
        <v>1.6319444444444445E-3</v>
      </c>
      <c r="H379" s="3">
        <v>4.4560185185185189E-3</v>
      </c>
      <c r="I379" s="2">
        <v>0.55769999999999997</v>
      </c>
    </row>
    <row r="380" spans="1:9">
      <c r="A380" s="1">
        <v>379</v>
      </c>
      <c r="B380" s="1">
        <v>208</v>
      </c>
      <c r="C380" s="1">
        <v>169</v>
      </c>
      <c r="D380" s="2">
        <v>0.8125</v>
      </c>
      <c r="E380" s="1">
        <v>39</v>
      </c>
      <c r="F380" s="3">
        <v>5.2083333333333333E-4</v>
      </c>
      <c r="G380" s="3">
        <v>1.5972222222222223E-3</v>
      </c>
      <c r="H380" s="3">
        <v>5.0347222222222225E-3</v>
      </c>
      <c r="I380" s="2">
        <v>0.45850000000000002</v>
      </c>
    </row>
    <row r="381" spans="1:9">
      <c r="A381" s="1">
        <v>380</v>
      </c>
      <c r="B381" s="1">
        <v>130</v>
      </c>
      <c r="C381" s="1">
        <v>124</v>
      </c>
      <c r="D381" s="2">
        <v>0.95379999999999998</v>
      </c>
      <c r="E381" s="1">
        <v>6</v>
      </c>
      <c r="F381" s="3">
        <v>2.5462962962962961E-4</v>
      </c>
      <c r="G381" s="3">
        <v>1.5856481481481481E-3</v>
      </c>
      <c r="H381" s="3">
        <v>1.5625000000000001E-3</v>
      </c>
      <c r="I381" s="2">
        <v>0.68989999999999996</v>
      </c>
    </row>
    <row r="382" spans="1:9">
      <c r="A382" s="1">
        <v>381</v>
      </c>
      <c r="B382" s="1">
        <v>134</v>
      </c>
      <c r="C382" s="1">
        <v>129</v>
      </c>
      <c r="D382" s="2">
        <v>0.9627</v>
      </c>
      <c r="E382" s="1">
        <v>5</v>
      </c>
      <c r="F382" s="3">
        <v>2.7777777777777778E-4</v>
      </c>
      <c r="G382" s="3">
        <v>1.5277777777777779E-3</v>
      </c>
      <c r="H382" s="3">
        <v>2.4074074074074076E-3</v>
      </c>
      <c r="I382" s="2">
        <v>0.70899999999999996</v>
      </c>
    </row>
    <row r="383" spans="1:9">
      <c r="A383" s="1">
        <v>382</v>
      </c>
      <c r="B383" s="1">
        <v>124</v>
      </c>
      <c r="C383" s="1">
        <v>121</v>
      </c>
      <c r="D383" s="2">
        <v>0.9758</v>
      </c>
      <c r="E383" s="1">
        <v>3</v>
      </c>
      <c r="F383" s="3">
        <v>3.1250000000000001E-4</v>
      </c>
      <c r="G383" s="3">
        <v>1.6087962962962963E-3</v>
      </c>
      <c r="H383" s="3">
        <v>2.3032407407407407E-3</v>
      </c>
      <c r="I383" s="2">
        <v>0.70730000000000004</v>
      </c>
    </row>
    <row r="384" spans="1:9">
      <c r="A384" s="1">
        <v>383</v>
      </c>
      <c r="B384" s="1">
        <v>47</v>
      </c>
      <c r="C384" s="1">
        <v>43</v>
      </c>
      <c r="D384" s="2">
        <v>0.91490000000000005</v>
      </c>
      <c r="E384" s="1">
        <v>4</v>
      </c>
      <c r="F384" s="3">
        <v>4.2824074074074075E-4</v>
      </c>
      <c r="G384" s="3">
        <v>1.5972222222222223E-3</v>
      </c>
      <c r="H384" s="3">
        <v>2.2685185185185187E-3</v>
      </c>
      <c r="I384" s="2">
        <v>0.54349999999999998</v>
      </c>
    </row>
    <row r="385" spans="1:9">
      <c r="A385" s="1">
        <v>384</v>
      </c>
      <c r="B385" s="1">
        <v>197</v>
      </c>
      <c r="C385" s="1">
        <v>186</v>
      </c>
      <c r="D385" s="2">
        <v>0.94420000000000004</v>
      </c>
      <c r="E385" s="1">
        <v>11</v>
      </c>
      <c r="F385" s="3">
        <v>3.2407407407407406E-4</v>
      </c>
      <c r="G385" s="3">
        <v>1.5972222222222223E-3</v>
      </c>
      <c r="H385" s="3">
        <v>1.7013888888888888E-3</v>
      </c>
      <c r="I385" s="2">
        <v>0.63829999999999998</v>
      </c>
    </row>
    <row r="386" spans="1:9">
      <c r="A386" s="1">
        <v>385</v>
      </c>
      <c r="B386" s="1">
        <v>158</v>
      </c>
      <c r="C386" s="1">
        <v>146</v>
      </c>
      <c r="D386" s="2">
        <v>0.92410000000000003</v>
      </c>
      <c r="E386" s="1">
        <v>12</v>
      </c>
      <c r="F386" s="3">
        <v>3.5879629629629629E-4</v>
      </c>
      <c r="G386" s="3">
        <v>1.6666666666666668E-3</v>
      </c>
      <c r="H386" s="3">
        <v>2.5462962962962965E-3</v>
      </c>
      <c r="I386" s="2">
        <v>0.5696</v>
      </c>
    </row>
    <row r="387" spans="1:9">
      <c r="A387" s="1">
        <v>386</v>
      </c>
      <c r="B387" s="1">
        <v>163</v>
      </c>
      <c r="C387" s="1">
        <v>151</v>
      </c>
      <c r="D387" s="2">
        <v>0.9264</v>
      </c>
      <c r="E387" s="1">
        <v>12</v>
      </c>
      <c r="F387" s="3">
        <v>3.2407407407407406E-4</v>
      </c>
      <c r="G387" s="3">
        <v>1.5393518518518519E-3</v>
      </c>
      <c r="H387" s="3">
        <v>3.3912037037037036E-3</v>
      </c>
      <c r="I387" s="2">
        <v>0.63749999999999996</v>
      </c>
    </row>
    <row r="388" spans="1:9">
      <c r="A388" s="1">
        <v>387</v>
      </c>
      <c r="B388" s="1">
        <v>178</v>
      </c>
      <c r="C388" s="1">
        <v>160</v>
      </c>
      <c r="D388" s="2">
        <v>0.89890000000000003</v>
      </c>
      <c r="E388" s="1">
        <v>18</v>
      </c>
      <c r="F388" s="3">
        <v>4.0509259259259258E-4</v>
      </c>
      <c r="G388" s="3">
        <v>1.8402777777777777E-3</v>
      </c>
      <c r="H388" s="3">
        <v>3.2523148148148147E-3</v>
      </c>
      <c r="I388" s="2">
        <v>0.54490000000000005</v>
      </c>
    </row>
    <row r="389" spans="1:9">
      <c r="A389" s="1">
        <v>388</v>
      </c>
      <c r="B389" s="1">
        <v>151</v>
      </c>
      <c r="C389" s="1">
        <v>128</v>
      </c>
      <c r="D389" s="2">
        <v>0.84770000000000001</v>
      </c>
      <c r="E389" s="1">
        <v>23</v>
      </c>
      <c r="F389" s="3">
        <v>4.0509259259259258E-4</v>
      </c>
      <c r="G389" s="3">
        <v>1.6550925925925926E-3</v>
      </c>
      <c r="H389" s="3">
        <v>3.9120370370370368E-3</v>
      </c>
      <c r="I389" s="2">
        <v>0.53380000000000005</v>
      </c>
    </row>
    <row r="390" spans="1:9">
      <c r="A390" s="1">
        <v>389</v>
      </c>
      <c r="B390" s="1">
        <v>118</v>
      </c>
      <c r="C390" s="1">
        <v>106</v>
      </c>
      <c r="D390" s="2">
        <v>0.89829999999999999</v>
      </c>
      <c r="E390" s="1">
        <v>12</v>
      </c>
      <c r="F390" s="3">
        <v>3.8194444444444446E-4</v>
      </c>
      <c r="G390" s="3">
        <v>1.6782407407407408E-3</v>
      </c>
      <c r="H390" s="3">
        <v>3.1481481481481482E-3</v>
      </c>
      <c r="I390" s="2">
        <v>0.55169999999999997</v>
      </c>
    </row>
    <row r="391" spans="1:9">
      <c r="A391" s="1">
        <v>390</v>
      </c>
      <c r="B391" s="1">
        <v>31</v>
      </c>
      <c r="C391" s="1">
        <v>28</v>
      </c>
      <c r="D391" s="2">
        <v>0.9032</v>
      </c>
      <c r="E391" s="1">
        <v>3</v>
      </c>
      <c r="F391" s="3">
        <v>4.6296296296296298E-4</v>
      </c>
      <c r="G391" s="3">
        <v>1.8518518518518519E-3</v>
      </c>
      <c r="H391" s="3">
        <v>2.2222222222222222E-3</v>
      </c>
      <c r="I391" s="2">
        <v>0.43330000000000002</v>
      </c>
    </row>
    <row r="392" spans="1:9">
      <c r="A392" s="1">
        <v>391</v>
      </c>
      <c r="B392" s="1">
        <v>139</v>
      </c>
      <c r="C392" s="1">
        <v>134</v>
      </c>
      <c r="D392" s="2">
        <v>0.96399999999999997</v>
      </c>
      <c r="E392" s="1">
        <v>5</v>
      </c>
      <c r="F392" s="3">
        <v>3.5879629629629629E-4</v>
      </c>
      <c r="G392" s="3">
        <v>1.6550925925925926E-3</v>
      </c>
      <c r="H392" s="3">
        <v>1.9675925925925924E-3</v>
      </c>
      <c r="I392" s="2">
        <v>0.59419999999999995</v>
      </c>
    </row>
    <row r="393" spans="1:9">
      <c r="A393" s="1">
        <v>392</v>
      </c>
      <c r="B393" s="1">
        <v>171</v>
      </c>
      <c r="C393" s="1">
        <v>154</v>
      </c>
      <c r="D393" s="2">
        <v>0.90059999999999996</v>
      </c>
      <c r="E393" s="1">
        <v>17</v>
      </c>
      <c r="F393" s="3">
        <v>3.1250000000000001E-4</v>
      </c>
      <c r="G393" s="3">
        <v>1.6666666666666668E-3</v>
      </c>
      <c r="H393" s="3">
        <v>4.4907407407407405E-3</v>
      </c>
      <c r="I393" s="2">
        <v>0.65659999999999996</v>
      </c>
    </row>
    <row r="394" spans="1:9">
      <c r="A394" s="1">
        <v>393</v>
      </c>
      <c r="B394" s="1">
        <v>160</v>
      </c>
      <c r="C394" s="1">
        <v>156</v>
      </c>
      <c r="D394" s="2">
        <v>0.97499999999999998</v>
      </c>
      <c r="E394" s="1">
        <v>4</v>
      </c>
      <c r="F394" s="3">
        <v>3.1250000000000001E-4</v>
      </c>
      <c r="G394" s="3">
        <v>1.5625000000000001E-3</v>
      </c>
      <c r="H394" s="3">
        <v>1.238425925925926E-3</v>
      </c>
      <c r="I394" s="2">
        <v>0.64559999999999995</v>
      </c>
    </row>
    <row r="395" spans="1:9">
      <c r="A395" s="1">
        <v>394</v>
      </c>
      <c r="B395" s="1">
        <v>177</v>
      </c>
      <c r="C395" s="1">
        <v>169</v>
      </c>
      <c r="D395" s="2">
        <v>0.95479999999999998</v>
      </c>
      <c r="E395" s="1">
        <v>8</v>
      </c>
      <c r="F395" s="3">
        <v>3.3564814814814812E-4</v>
      </c>
      <c r="G395" s="3">
        <v>1.7476851851851852E-3</v>
      </c>
      <c r="H395" s="3">
        <v>2.5462962962962965E-3</v>
      </c>
      <c r="I395" s="2">
        <v>0.64370000000000005</v>
      </c>
    </row>
    <row r="396" spans="1:9">
      <c r="A396" s="1">
        <v>395</v>
      </c>
      <c r="B396" s="1">
        <v>187</v>
      </c>
      <c r="C396" s="1">
        <v>180</v>
      </c>
      <c r="D396" s="2">
        <v>0.96260000000000001</v>
      </c>
      <c r="E396" s="1">
        <v>7</v>
      </c>
      <c r="F396" s="3">
        <v>3.0092592592592595E-4</v>
      </c>
      <c r="G396" s="3">
        <v>1.6435185185185185E-3</v>
      </c>
      <c r="H396" s="3">
        <v>4.1203703703703706E-3</v>
      </c>
      <c r="I396" s="2">
        <v>0.65590000000000004</v>
      </c>
    </row>
    <row r="397" spans="1:9">
      <c r="A397" s="1">
        <v>396</v>
      </c>
      <c r="B397" s="1">
        <v>147</v>
      </c>
      <c r="C397" s="1">
        <v>138</v>
      </c>
      <c r="D397" s="2">
        <v>0.93879999999999997</v>
      </c>
      <c r="E397" s="1">
        <v>9</v>
      </c>
      <c r="F397" s="3">
        <v>3.0092592592592595E-4</v>
      </c>
      <c r="G397" s="3">
        <v>1.6666666666666668E-3</v>
      </c>
      <c r="H397" s="3">
        <v>3.6921296296296298E-3</v>
      </c>
      <c r="I397" s="2">
        <v>0.61380000000000001</v>
      </c>
    </row>
    <row r="398" spans="1:9">
      <c r="A398" s="1">
        <v>397</v>
      </c>
      <c r="B398" s="1">
        <v>35</v>
      </c>
      <c r="C398" s="1">
        <v>35</v>
      </c>
      <c r="D398" s="2">
        <v>1</v>
      </c>
      <c r="E398" s="1">
        <v>0</v>
      </c>
      <c r="F398" s="3">
        <v>9.2592592592592588E-5</v>
      </c>
      <c r="G398" s="3">
        <v>1.5046296296296296E-3</v>
      </c>
      <c r="H398" s="3">
        <v>5.4398148148148144E-4</v>
      </c>
      <c r="I398" s="2">
        <v>0.88570000000000004</v>
      </c>
    </row>
    <row r="399" spans="1:9">
      <c r="A399" s="1">
        <v>398</v>
      </c>
      <c r="B399" s="1">
        <v>208</v>
      </c>
      <c r="C399" s="1">
        <v>194</v>
      </c>
      <c r="D399" s="2">
        <v>0.93269999999999997</v>
      </c>
      <c r="E399" s="1">
        <v>14</v>
      </c>
      <c r="F399" s="3">
        <v>4.0509259259259258E-4</v>
      </c>
      <c r="G399" s="3">
        <v>1.6898148148148148E-3</v>
      </c>
      <c r="H399" s="3">
        <v>3.0787037037037037E-3</v>
      </c>
      <c r="I399" s="2">
        <v>0.56930000000000003</v>
      </c>
    </row>
    <row r="400" spans="1:9">
      <c r="A400" s="1">
        <v>399</v>
      </c>
      <c r="B400" s="1">
        <v>162</v>
      </c>
      <c r="C400" s="1">
        <v>155</v>
      </c>
      <c r="D400" s="2">
        <v>0.95679999999999998</v>
      </c>
      <c r="E400" s="1">
        <v>7</v>
      </c>
      <c r="F400" s="3">
        <v>2.199074074074074E-4</v>
      </c>
      <c r="G400" s="3">
        <v>1.5856481481481481E-3</v>
      </c>
      <c r="H400" s="3">
        <v>2.5810185185185185E-3</v>
      </c>
      <c r="I400" s="2">
        <v>0.77990000000000004</v>
      </c>
    </row>
    <row r="401" spans="1:9">
      <c r="A401" s="1">
        <v>400</v>
      </c>
      <c r="B401" s="1">
        <v>152</v>
      </c>
      <c r="C401" s="1">
        <v>143</v>
      </c>
      <c r="D401" s="2">
        <v>0.94079999999999997</v>
      </c>
      <c r="E401" s="1">
        <v>9</v>
      </c>
      <c r="F401" s="3">
        <v>2.5462962962962961E-4</v>
      </c>
      <c r="G401" s="3">
        <v>1.712962962962963E-3</v>
      </c>
      <c r="H401" s="3">
        <v>2.5578703703703705E-3</v>
      </c>
      <c r="I401" s="2">
        <v>0.7</v>
      </c>
    </row>
    <row r="402" spans="1:9">
      <c r="A402" s="1">
        <v>401</v>
      </c>
      <c r="B402" s="1">
        <v>132</v>
      </c>
      <c r="C402" s="1">
        <v>125</v>
      </c>
      <c r="D402" s="2">
        <v>0.94699999999999995</v>
      </c>
      <c r="E402" s="1">
        <v>7</v>
      </c>
      <c r="F402" s="3">
        <v>3.0092592592592595E-4</v>
      </c>
      <c r="G402" s="3">
        <v>1.4699074074074074E-3</v>
      </c>
      <c r="H402" s="3">
        <v>2.685185185185185E-3</v>
      </c>
      <c r="I402" s="2">
        <v>0.68940000000000001</v>
      </c>
    </row>
    <row r="403" spans="1:9">
      <c r="A403" s="1">
        <v>402</v>
      </c>
      <c r="B403" s="1">
        <v>133</v>
      </c>
      <c r="C403" s="1">
        <v>131</v>
      </c>
      <c r="D403" s="2">
        <v>0.98499999999999999</v>
      </c>
      <c r="E403" s="1">
        <v>2</v>
      </c>
      <c r="F403" s="3">
        <v>1.3888888888888889E-4</v>
      </c>
      <c r="G403" s="3">
        <v>1.6087962962962963E-3</v>
      </c>
      <c r="H403" s="3">
        <v>9.1435185185185185E-4</v>
      </c>
      <c r="I403" s="2">
        <v>0.87119999999999997</v>
      </c>
    </row>
    <row r="404" spans="1:9">
      <c r="A404" s="1">
        <v>403</v>
      </c>
      <c r="B404" s="1">
        <v>129</v>
      </c>
      <c r="C404" s="1">
        <v>121</v>
      </c>
      <c r="D404" s="2">
        <v>0.93799999999999994</v>
      </c>
      <c r="E404" s="1">
        <v>8</v>
      </c>
      <c r="F404" s="3">
        <v>3.8194444444444446E-4</v>
      </c>
      <c r="G404" s="3">
        <v>1.8171296296296297E-3</v>
      </c>
      <c r="H404" s="3">
        <v>2.7893518518518519E-3</v>
      </c>
      <c r="I404" s="2">
        <v>0.61419999999999997</v>
      </c>
    </row>
    <row r="405" spans="1:9">
      <c r="A405" s="1">
        <v>404</v>
      </c>
      <c r="B405" s="1">
        <v>37</v>
      </c>
      <c r="C405" s="1">
        <v>35</v>
      </c>
      <c r="D405" s="2">
        <v>0.94589999999999996</v>
      </c>
      <c r="E405" s="1">
        <v>2</v>
      </c>
      <c r="F405" s="3">
        <v>2.199074074074074E-4</v>
      </c>
      <c r="G405" s="3">
        <v>1.6319444444444445E-3</v>
      </c>
      <c r="H405" s="3">
        <v>1.0648148148148149E-3</v>
      </c>
      <c r="I405" s="2">
        <v>0.75680000000000003</v>
      </c>
    </row>
    <row r="406" spans="1:9">
      <c r="A406" s="1">
        <v>405</v>
      </c>
      <c r="B406" s="1">
        <v>56</v>
      </c>
      <c r="C406" s="1">
        <v>54</v>
      </c>
      <c r="D406" s="2">
        <v>0.96430000000000005</v>
      </c>
      <c r="E406" s="1">
        <v>2</v>
      </c>
      <c r="F406" s="3">
        <v>1.5046296296296297E-4</v>
      </c>
      <c r="G406" s="3">
        <v>1.7708333333333332E-3</v>
      </c>
      <c r="H406" s="3">
        <v>1.5393518518518519E-3</v>
      </c>
      <c r="I406" s="2">
        <v>0.87270000000000003</v>
      </c>
    </row>
    <row r="407" spans="1:9">
      <c r="A407" s="1">
        <v>406</v>
      </c>
      <c r="B407" s="1">
        <v>215</v>
      </c>
      <c r="C407" s="1">
        <v>210</v>
      </c>
      <c r="D407" s="2">
        <v>0.97670000000000001</v>
      </c>
      <c r="E407" s="1">
        <v>5</v>
      </c>
      <c r="F407" s="3">
        <v>1.3888888888888889E-4</v>
      </c>
      <c r="G407" s="3">
        <v>1.0879629629629629E-3</v>
      </c>
      <c r="H407" s="3">
        <v>1.1805555555555556E-3</v>
      </c>
      <c r="I407" s="2">
        <v>0.87739999999999996</v>
      </c>
    </row>
    <row r="408" spans="1:9">
      <c r="A408" s="1">
        <v>407</v>
      </c>
      <c r="B408" s="1">
        <v>50</v>
      </c>
      <c r="C408" s="1">
        <v>46</v>
      </c>
      <c r="D408" s="2">
        <v>0.92</v>
      </c>
      <c r="E408" s="1">
        <v>4</v>
      </c>
      <c r="F408" s="3">
        <v>1.6203703703703703E-4</v>
      </c>
      <c r="G408" s="3">
        <v>1.8749999999999999E-3</v>
      </c>
      <c r="H408" s="3">
        <v>8.4490740740740739E-4</v>
      </c>
      <c r="I408" s="2">
        <v>0.72</v>
      </c>
    </row>
    <row r="409" spans="1:9">
      <c r="A409" s="1">
        <v>408</v>
      </c>
      <c r="B409" s="1">
        <v>136</v>
      </c>
      <c r="C409" s="1">
        <v>129</v>
      </c>
      <c r="D409" s="2">
        <v>0.94850000000000001</v>
      </c>
      <c r="E409" s="1">
        <v>7</v>
      </c>
      <c r="F409" s="3">
        <v>2.5462962962962961E-4</v>
      </c>
      <c r="G409" s="3">
        <v>1.6898148148148148E-3</v>
      </c>
      <c r="H409" s="3">
        <v>1.736111111111111E-3</v>
      </c>
      <c r="I409" s="2">
        <v>0.66420000000000001</v>
      </c>
    </row>
    <row r="410" spans="1:9">
      <c r="A410" s="1">
        <v>409</v>
      </c>
      <c r="B410" s="1">
        <v>160</v>
      </c>
      <c r="C410" s="1">
        <v>142</v>
      </c>
      <c r="D410" s="2">
        <v>0.88749999999999996</v>
      </c>
      <c r="E410" s="1">
        <v>18</v>
      </c>
      <c r="F410" s="3">
        <v>4.0509259259259258E-4</v>
      </c>
      <c r="G410" s="3">
        <v>1.7824074074074075E-3</v>
      </c>
      <c r="H410" s="3">
        <v>2.1990740740740742E-3</v>
      </c>
      <c r="I410" s="2">
        <v>0.55920000000000003</v>
      </c>
    </row>
    <row r="411" spans="1:9">
      <c r="A411" s="1">
        <v>410</v>
      </c>
      <c r="B411" s="1">
        <v>132</v>
      </c>
      <c r="C411" s="1">
        <v>115</v>
      </c>
      <c r="D411" s="2">
        <v>0.87119999999999997</v>
      </c>
      <c r="E411" s="1">
        <v>17</v>
      </c>
      <c r="F411" s="3">
        <v>4.1666666666666669E-4</v>
      </c>
      <c r="G411" s="3">
        <v>1.7013888888888888E-3</v>
      </c>
      <c r="H411" s="3">
        <v>3.1828703703703702E-3</v>
      </c>
      <c r="I411" s="2">
        <v>0.4884</v>
      </c>
    </row>
    <row r="412" spans="1:9">
      <c r="A412" s="1">
        <v>411</v>
      </c>
      <c r="B412" s="1">
        <v>30</v>
      </c>
      <c r="C412" s="1">
        <v>28</v>
      </c>
      <c r="D412" s="2">
        <v>0.93330000000000002</v>
      </c>
      <c r="E412" s="1">
        <v>2</v>
      </c>
      <c r="F412" s="3">
        <v>5.4398148148148144E-4</v>
      </c>
      <c r="G412" s="3">
        <v>1.8055555555555555E-3</v>
      </c>
      <c r="H412" s="3">
        <v>1.6435185185185185E-3</v>
      </c>
      <c r="I412" s="2">
        <v>0.4</v>
      </c>
    </row>
    <row r="413" spans="1:9">
      <c r="A413" s="1">
        <v>412</v>
      </c>
      <c r="B413" s="1">
        <v>150</v>
      </c>
      <c r="C413" s="1">
        <v>140</v>
      </c>
      <c r="D413" s="2">
        <v>0.93330000000000002</v>
      </c>
      <c r="E413" s="1">
        <v>10</v>
      </c>
      <c r="F413" s="3">
        <v>3.3564814814814812E-4</v>
      </c>
      <c r="G413" s="3">
        <v>1.7592592592592592E-3</v>
      </c>
      <c r="H413" s="3">
        <v>1.5162037037037036E-3</v>
      </c>
      <c r="I413" s="2">
        <v>0.63090000000000002</v>
      </c>
    </row>
    <row r="414" spans="1:9">
      <c r="A414" s="1">
        <v>413</v>
      </c>
      <c r="B414" s="1">
        <v>160</v>
      </c>
      <c r="C414" s="1">
        <v>144</v>
      </c>
      <c r="D414" s="2">
        <v>0.9</v>
      </c>
      <c r="E414" s="1">
        <v>16</v>
      </c>
      <c r="F414" s="3">
        <v>5.3240740740740744E-4</v>
      </c>
      <c r="G414" s="3">
        <v>1.8402777777777777E-3</v>
      </c>
      <c r="H414" s="3">
        <v>3.0671296296296297E-3</v>
      </c>
      <c r="I414" s="2">
        <v>0.49680000000000002</v>
      </c>
    </row>
    <row r="415" spans="1:9">
      <c r="A415" s="1">
        <v>414</v>
      </c>
      <c r="B415" s="1">
        <v>132</v>
      </c>
      <c r="C415" s="1">
        <v>122</v>
      </c>
      <c r="D415" s="2">
        <v>0.92420000000000002</v>
      </c>
      <c r="E415" s="1">
        <v>10</v>
      </c>
      <c r="F415" s="3">
        <v>4.2824074074074075E-4</v>
      </c>
      <c r="G415" s="3">
        <v>1.8287037037037037E-3</v>
      </c>
      <c r="H415" s="3">
        <v>2.673611111111111E-3</v>
      </c>
      <c r="I415" s="2">
        <v>0.5</v>
      </c>
    </row>
    <row r="416" spans="1:9">
      <c r="A416" s="1">
        <v>415</v>
      </c>
      <c r="B416" s="1">
        <v>161</v>
      </c>
      <c r="C416" s="1">
        <v>151</v>
      </c>
      <c r="D416" s="2">
        <v>0.93789999999999996</v>
      </c>
      <c r="E416" s="1">
        <v>10</v>
      </c>
      <c r="F416" s="3">
        <v>3.2407407407407406E-4</v>
      </c>
      <c r="G416" s="3">
        <v>1.4699074074074074E-3</v>
      </c>
      <c r="H416" s="3">
        <v>1.9675925925925924E-3</v>
      </c>
      <c r="I416" s="2">
        <v>0.6139</v>
      </c>
    </row>
    <row r="417" spans="1:9">
      <c r="A417" s="1">
        <v>416</v>
      </c>
      <c r="B417" s="1">
        <v>156</v>
      </c>
      <c r="C417" s="1">
        <v>149</v>
      </c>
      <c r="D417" s="2">
        <v>0.95509999999999995</v>
      </c>
      <c r="E417" s="1">
        <v>7</v>
      </c>
      <c r="F417" s="3">
        <v>2.5462962962962961E-4</v>
      </c>
      <c r="G417" s="3">
        <v>1.712962962962963E-3</v>
      </c>
      <c r="H417" s="3">
        <v>2.9050925925925928E-3</v>
      </c>
      <c r="I417" s="2">
        <v>0.70320000000000005</v>
      </c>
    </row>
    <row r="418" spans="1:9">
      <c r="A418" s="1">
        <v>417</v>
      </c>
      <c r="B418" s="1">
        <v>137</v>
      </c>
      <c r="C418" s="1">
        <v>128</v>
      </c>
      <c r="D418" s="2">
        <v>0.93430000000000002</v>
      </c>
      <c r="E418" s="1">
        <v>9</v>
      </c>
      <c r="F418" s="3">
        <v>3.5879629629629629E-4</v>
      </c>
      <c r="G418" s="3">
        <v>1.736111111111111E-3</v>
      </c>
      <c r="H418" s="3">
        <v>3.5185185185185185E-3</v>
      </c>
      <c r="I418" s="2">
        <v>0.62690000000000001</v>
      </c>
    </row>
    <row r="419" spans="1:9">
      <c r="A419" s="1">
        <v>418</v>
      </c>
      <c r="B419" s="1">
        <v>28</v>
      </c>
      <c r="C419" s="1">
        <v>25</v>
      </c>
      <c r="D419" s="2">
        <v>0.89290000000000003</v>
      </c>
      <c r="E419" s="1">
        <v>3</v>
      </c>
      <c r="F419" s="3">
        <v>6.9444444444444447E-4</v>
      </c>
      <c r="G419" s="3">
        <v>1.9328703703703704E-3</v>
      </c>
      <c r="H419" s="3">
        <v>3.3101851851851851E-3</v>
      </c>
      <c r="I419" s="2">
        <v>0.32140000000000002</v>
      </c>
    </row>
    <row r="420" spans="1:9">
      <c r="A420" s="1">
        <v>419</v>
      </c>
      <c r="B420" s="1">
        <v>141</v>
      </c>
      <c r="C420" s="1">
        <v>133</v>
      </c>
      <c r="D420" s="2">
        <v>0.94330000000000003</v>
      </c>
      <c r="E420" s="1">
        <v>8</v>
      </c>
      <c r="F420" s="3">
        <v>3.8194444444444446E-4</v>
      </c>
      <c r="G420" s="3">
        <v>1.8749999999999999E-3</v>
      </c>
      <c r="H420" s="3">
        <v>3.2175925925925926E-3</v>
      </c>
      <c r="I420" s="2">
        <v>0.6331</v>
      </c>
    </row>
    <row r="421" spans="1:9">
      <c r="A421" s="1">
        <v>420</v>
      </c>
      <c r="B421" s="1">
        <v>130</v>
      </c>
      <c r="C421" s="1">
        <v>123</v>
      </c>
      <c r="D421" s="2">
        <v>0.94620000000000004</v>
      </c>
      <c r="E421" s="1">
        <v>7</v>
      </c>
      <c r="F421" s="3">
        <v>3.7037037037037035E-4</v>
      </c>
      <c r="G421" s="3">
        <v>1.8518518518518519E-3</v>
      </c>
      <c r="H421" s="3">
        <v>1.6203703703703703E-3</v>
      </c>
      <c r="I421" s="2">
        <v>0.53490000000000004</v>
      </c>
    </row>
    <row r="422" spans="1:9">
      <c r="A422" s="1">
        <v>421</v>
      </c>
      <c r="B422" s="1">
        <v>161</v>
      </c>
      <c r="C422" s="1">
        <v>155</v>
      </c>
      <c r="D422" s="2">
        <v>0.9627</v>
      </c>
      <c r="E422" s="1">
        <v>6</v>
      </c>
      <c r="F422" s="3">
        <v>3.1250000000000001E-4</v>
      </c>
      <c r="G422" s="3">
        <v>1.8865740740740742E-3</v>
      </c>
      <c r="H422" s="3">
        <v>1.8865740740740742E-3</v>
      </c>
      <c r="I422" s="2">
        <v>0.73580000000000001</v>
      </c>
    </row>
    <row r="423" spans="1:9">
      <c r="A423" s="1">
        <v>422</v>
      </c>
      <c r="B423" s="1">
        <v>139</v>
      </c>
      <c r="C423" s="1">
        <v>132</v>
      </c>
      <c r="D423" s="2">
        <v>0.9496</v>
      </c>
      <c r="E423" s="1">
        <v>7</v>
      </c>
      <c r="F423" s="3">
        <v>3.2407407407407406E-4</v>
      </c>
      <c r="G423" s="3">
        <v>1.8518518518518519E-3</v>
      </c>
      <c r="H423" s="3">
        <v>1.2847222222222223E-3</v>
      </c>
      <c r="I423" s="2">
        <v>0.6331</v>
      </c>
    </row>
    <row r="424" spans="1:9">
      <c r="A424" s="1">
        <v>423</v>
      </c>
      <c r="B424" s="1">
        <v>167</v>
      </c>
      <c r="C424" s="1">
        <v>130</v>
      </c>
      <c r="D424" s="2">
        <v>0.77839999999999998</v>
      </c>
      <c r="E424" s="1">
        <v>37</v>
      </c>
      <c r="F424" s="3">
        <v>3.3564814814814812E-4</v>
      </c>
      <c r="G424" s="3">
        <v>1.7824074074074075E-3</v>
      </c>
      <c r="H424" s="3">
        <v>8.2870370370370372E-3</v>
      </c>
      <c r="I424" s="2">
        <v>0.54600000000000004</v>
      </c>
    </row>
    <row r="425" spans="1:9">
      <c r="A425" s="1">
        <v>424</v>
      </c>
      <c r="B425" s="1">
        <v>138</v>
      </c>
      <c r="C425" s="1">
        <v>122</v>
      </c>
      <c r="D425" s="2">
        <v>0.8841</v>
      </c>
      <c r="E425" s="1">
        <v>16</v>
      </c>
      <c r="F425" s="3">
        <v>4.0509259259259258E-4</v>
      </c>
      <c r="G425" s="3">
        <v>1.9560185185185184E-3</v>
      </c>
      <c r="H425" s="3">
        <v>3.8194444444444443E-3</v>
      </c>
      <c r="I425" s="2">
        <v>0.57779999999999998</v>
      </c>
    </row>
    <row r="426" spans="1:9">
      <c r="A426" s="1">
        <v>425</v>
      </c>
      <c r="B426" s="1">
        <v>47</v>
      </c>
      <c r="C426" s="1">
        <v>44</v>
      </c>
      <c r="D426" s="2">
        <v>0.93620000000000003</v>
      </c>
      <c r="E426" s="1">
        <v>3</v>
      </c>
      <c r="F426" s="3">
        <v>3.0092592592592595E-4</v>
      </c>
      <c r="G426" s="3">
        <v>2.2106481481481482E-3</v>
      </c>
      <c r="H426" s="3">
        <v>2.4189814814814816E-3</v>
      </c>
      <c r="I426" s="2">
        <v>0.63039999999999996</v>
      </c>
    </row>
    <row r="427" spans="1:9">
      <c r="A427" s="1">
        <v>426</v>
      </c>
      <c r="B427" s="1">
        <v>230</v>
      </c>
      <c r="C427" s="1">
        <v>206</v>
      </c>
      <c r="D427" s="2">
        <v>0.89570000000000005</v>
      </c>
      <c r="E427" s="1">
        <v>24</v>
      </c>
      <c r="F427" s="3">
        <v>4.3981481481481481E-4</v>
      </c>
      <c r="G427" s="3">
        <v>1.7824074074074075E-3</v>
      </c>
      <c r="H427" s="3">
        <v>3.1828703703703702E-3</v>
      </c>
      <c r="I427" s="2">
        <v>0.4672</v>
      </c>
    </row>
    <row r="428" spans="1:9">
      <c r="A428" s="1">
        <v>427</v>
      </c>
      <c r="B428" s="1">
        <v>177</v>
      </c>
      <c r="C428" s="1">
        <v>153</v>
      </c>
      <c r="D428" s="2">
        <v>0.86439999999999995</v>
      </c>
      <c r="E428" s="1">
        <v>24</v>
      </c>
      <c r="F428" s="3">
        <v>3.4722222222222224E-4</v>
      </c>
      <c r="G428" s="3">
        <v>2.0023148148148148E-3</v>
      </c>
      <c r="H428" s="3">
        <v>3.1018518518518517E-3</v>
      </c>
      <c r="I428" s="2">
        <v>0.55489999999999995</v>
      </c>
    </row>
    <row r="429" spans="1:9">
      <c r="A429" s="1">
        <v>428</v>
      </c>
      <c r="B429" s="1">
        <v>159</v>
      </c>
      <c r="C429" s="1">
        <v>149</v>
      </c>
      <c r="D429" s="2">
        <v>0.93710000000000004</v>
      </c>
      <c r="E429" s="1">
        <v>10</v>
      </c>
      <c r="F429" s="3">
        <v>3.8194444444444446E-4</v>
      </c>
      <c r="G429" s="3">
        <v>1.8518518518518519E-3</v>
      </c>
      <c r="H429" s="3">
        <v>3.1481481481481482E-3</v>
      </c>
      <c r="I429" s="2">
        <v>0.61040000000000005</v>
      </c>
    </row>
    <row r="430" spans="1:9">
      <c r="A430" s="1">
        <v>429</v>
      </c>
      <c r="B430" s="1">
        <v>151</v>
      </c>
      <c r="C430" s="1">
        <v>135</v>
      </c>
      <c r="D430" s="2">
        <v>0.89400000000000002</v>
      </c>
      <c r="E430" s="1">
        <v>16</v>
      </c>
      <c r="F430" s="3">
        <v>4.1666666666666669E-4</v>
      </c>
      <c r="G430" s="3">
        <v>1.7592592592592592E-3</v>
      </c>
      <c r="H430" s="3">
        <v>3.2523148148148147E-3</v>
      </c>
      <c r="I430" s="2">
        <v>0.52739999999999998</v>
      </c>
    </row>
    <row r="431" spans="1:9">
      <c r="A431" s="1">
        <v>430</v>
      </c>
      <c r="B431" s="1">
        <v>138</v>
      </c>
      <c r="C431" s="1">
        <v>126</v>
      </c>
      <c r="D431" s="2">
        <v>0.91300000000000003</v>
      </c>
      <c r="E431" s="1">
        <v>12</v>
      </c>
      <c r="F431" s="3">
        <v>3.9351851851851852E-4</v>
      </c>
      <c r="G431" s="3">
        <v>1.5856481481481481E-3</v>
      </c>
      <c r="H431" s="3">
        <v>2.8935185185185184E-3</v>
      </c>
      <c r="I431" s="2">
        <v>0.59699999999999998</v>
      </c>
    </row>
    <row r="432" spans="1:9">
      <c r="A432" s="1">
        <v>431</v>
      </c>
      <c r="B432" s="1">
        <v>118</v>
      </c>
      <c r="C432" s="1">
        <v>118</v>
      </c>
      <c r="D432" s="2">
        <v>1</v>
      </c>
      <c r="E432" s="1">
        <v>0</v>
      </c>
      <c r="F432" s="3">
        <v>3.0092592592592595E-4</v>
      </c>
      <c r="G432" s="3">
        <v>1.7708333333333332E-3</v>
      </c>
      <c r="H432" s="3">
        <v>1.1342592592592593E-3</v>
      </c>
      <c r="I432" s="2">
        <v>0.66100000000000003</v>
      </c>
    </row>
    <row r="433" spans="1:9">
      <c r="A433" s="1">
        <v>432</v>
      </c>
      <c r="B433" s="1">
        <v>22</v>
      </c>
      <c r="C433" s="1">
        <v>21</v>
      </c>
      <c r="D433" s="2">
        <v>0.95450000000000002</v>
      </c>
      <c r="E433" s="1">
        <v>1</v>
      </c>
      <c r="F433" s="3">
        <v>4.861111111111111E-4</v>
      </c>
      <c r="G433" s="3">
        <v>1.6666666666666668E-3</v>
      </c>
      <c r="H433" s="3">
        <v>2.0370370370370369E-3</v>
      </c>
      <c r="I433" s="2">
        <v>0.52380000000000004</v>
      </c>
    </row>
    <row r="434" spans="1:9">
      <c r="A434" s="1">
        <v>433</v>
      </c>
      <c r="B434" s="1">
        <v>177</v>
      </c>
      <c r="C434" s="1">
        <v>156</v>
      </c>
      <c r="D434" s="2">
        <v>0.88139999999999996</v>
      </c>
      <c r="E434" s="1">
        <v>21</v>
      </c>
      <c r="F434" s="3">
        <v>4.861111111111111E-4</v>
      </c>
      <c r="G434" s="3">
        <v>1.8402777777777777E-3</v>
      </c>
      <c r="H434" s="3">
        <v>2.2685185185185187E-3</v>
      </c>
      <c r="I434" s="2">
        <v>0.42370000000000002</v>
      </c>
    </row>
    <row r="435" spans="1:9">
      <c r="A435" s="1">
        <v>434</v>
      </c>
      <c r="B435" s="1">
        <v>156</v>
      </c>
      <c r="C435" s="1">
        <v>147</v>
      </c>
      <c r="D435" s="2">
        <v>0.94230000000000003</v>
      </c>
      <c r="E435" s="1">
        <v>9</v>
      </c>
      <c r="F435" s="3">
        <v>3.3564814814814812E-4</v>
      </c>
      <c r="G435" s="3">
        <v>1.7476851851851852E-3</v>
      </c>
      <c r="H435" s="3">
        <v>2.5578703703703705E-3</v>
      </c>
      <c r="I435" s="2">
        <v>0.63639999999999997</v>
      </c>
    </row>
    <row r="436" spans="1:9">
      <c r="A436" s="1">
        <v>435</v>
      </c>
      <c r="B436" s="1">
        <v>123</v>
      </c>
      <c r="C436" s="1">
        <v>121</v>
      </c>
      <c r="D436" s="2">
        <v>0.98370000000000002</v>
      </c>
      <c r="E436" s="1">
        <v>2</v>
      </c>
      <c r="F436" s="3">
        <v>3.0092592592592595E-4</v>
      </c>
      <c r="G436" s="3">
        <v>1.712962962962963E-3</v>
      </c>
      <c r="H436" s="3">
        <v>2.4189814814814816E-3</v>
      </c>
      <c r="I436" s="2">
        <v>0.64229999999999998</v>
      </c>
    </row>
    <row r="437" spans="1:9">
      <c r="A437" s="1">
        <v>436</v>
      </c>
      <c r="B437" s="1">
        <v>130</v>
      </c>
      <c r="C437" s="1">
        <v>125</v>
      </c>
      <c r="D437" s="2">
        <v>0.96150000000000002</v>
      </c>
      <c r="E437" s="1">
        <v>5</v>
      </c>
      <c r="F437" s="3">
        <v>3.0092592592592595E-4</v>
      </c>
      <c r="G437" s="3">
        <v>1.724537037037037E-3</v>
      </c>
      <c r="H437" s="3">
        <v>2.4074074074074076E-3</v>
      </c>
      <c r="I437" s="2">
        <v>0.66930000000000001</v>
      </c>
    </row>
    <row r="438" spans="1:9">
      <c r="A438" s="1">
        <v>437</v>
      </c>
      <c r="B438" s="1">
        <v>141</v>
      </c>
      <c r="C438" s="1">
        <v>134</v>
      </c>
      <c r="D438" s="2">
        <v>0.95040000000000002</v>
      </c>
      <c r="E438" s="1">
        <v>7</v>
      </c>
      <c r="F438" s="3">
        <v>4.5138888888888887E-4</v>
      </c>
      <c r="G438" s="3">
        <v>1.7708333333333332E-3</v>
      </c>
      <c r="H438" s="3">
        <v>2.1759259259259258E-3</v>
      </c>
      <c r="I438" s="2">
        <v>0.56430000000000002</v>
      </c>
    </row>
    <row r="439" spans="1:9">
      <c r="A439" s="1">
        <v>438</v>
      </c>
      <c r="B439" s="1">
        <v>121</v>
      </c>
      <c r="C439" s="1">
        <v>113</v>
      </c>
      <c r="D439" s="2">
        <v>0.93389999999999995</v>
      </c>
      <c r="E439" s="1">
        <v>8</v>
      </c>
      <c r="F439" s="3">
        <v>4.3981481481481481E-4</v>
      </c>
      <c r="G439" s="3">
        <v>1.8287037037037037E-3</v>
      </c>
      <c r="H439" s="3">
        <v>2.9861111111111113E-3</v>
      </c>
      <c r="I439" s="2">
        <v>0.50829999999999997</v>
      </c>
    </row>
    <row r="440" spans="1:9">
      <c r="A440" s="1">
        <v>439</v>
      </c>
      <c r="B440" s="1">
        <v>35</v>
      </c>
      <c r="C440" s="1">
        <v>31</v>
      </c>
      <c r="D440" s="2">
        <v>0.88570000000000004</v>
      </c>
      <c r="E440" s="1">
        <v>4</v>
      </c>
      <c r="F440" s="3">
        <v>3.9351851851851852E-4</v>
      </c>
      <c r="G440" s="3">
        <v>1.4467592592592592E-3</v>
      </c>
      <c r="H440" s="3">
        <v>3.1134259259259257E-3</v>
      </c>
      <c r="I440" s="2">
        <v>0.47060000000000002</v>
      </c>
    </row>
    <row r="441" spans="1:9">
      <c r="A441" s="1">
        <v>440</v>
      </c>
      <c r="B441" s="1">
        <v>240</v>
      </c>
      <c r="C441" s="1">
        <v>226</v>
      </c>
      <c r="D441" s="2">
        <v>0.94169999999999998</v>
      </c>
      <c r="E441" s="1">
        <v>14</v>
      </c>
      <c r="F441" s="3">
        <v>4.1666666666666669E-4</v>
      </c>
      <c r="G441" s="3">
        <v>1.5625000000000001E-3</v>
      </c>
      <c r="H441" s="3">
        <v>2.8472222222222223E-3</v>
      </c>
      <c r="I441" s="2">
        <v>0.57020000000000004</v>
      </c>
    </row>
    <row r="442" spans="1:9">
      <c r="A442" s="1">
        <v>441</v>
      </c>
      <c r="B442" s="1">
        <v>130</v>
      </c>
      <c r="C442" s="1">
        <v>118</v>
      </c>
      <c r="D442" s="2">
        <v>0.90769999999999995</v>
      </c>
      <c r="E442" s="1">
        <v>12</v>
      </c>
      <c r="F442" s="3">
        <v>3.7037037037037035E-4</v>
      </c>
      <c r="G442" s="3">
        <v>1.6550925925925926E-3</v>
      </c>
      <c r="H442" s="3">
        <v>2.5462962962962965E-3</v>
      </c>
      <c r="I442" s="2">
        <v>0.57809999999999995</v>
      </c>
    </row>
    <row r="443" spans="1:9">
      <c r="A443" s="1">
        <v>442</v>
      </c>
      <c r="B443" s="1">
        <v>140</v>
      </c>
      <c r="C443" s="1">
        <v>130</v>
      </c>
      <c r="D443" s="2">
        <v>0.92859999999999998</v>
      </c>
      <c r="E443" s="1">
        <v>10</v>
      </c>
      <c r="F443" s="3">
        <v>3.3564814814814812E-4</v>
      </c>
      <c r="G443" s="3">
        <v>1.7476851851851852E-3</v>
      </c>
      <c r="H443" s="3">
        <v>5.2662037037037035E-3</v>
      </c>
      <c r="I443" s="2">
        <v>0.62319999999999998</v>
      </c>
    </row>
    <row r="444" spans="1:9">
      <c r="A444" s="1">
        <v>443</v>
      </c>
      <c r="B444" s="1">
        <v>131</v>
      </c>
      <c r="C444" s="1">
        <v>111</v>
      </c>
      <c r="D444" s="2">
        <v>0.84730000000000005</v>
      </c>
      <c r="E444" s="1">
        <v>20</v>
      </c>
      <c r="F444" s="3">
        <v>4.3981481481481481E-4</v>
      </c>
      <c r="G444" s="3">
        <v>2.2685185185185187E-3</v>
      </c>
      <c r="H444" s="3">
        <v>6.9328703703703705E-3</v>
      </c>
      <c r="I444" s="2">
        <v>0.59689999999999999</v>
      </c>
    </row>
    <row r="445" spans="1:9">
      <c r="A445" s="1">
        <v>444</v>
      </c>
      <c r="B445" s="1">
        <v>74</v>
      </c>
      <c r="C445" s="1">
        <v>74</v>
      </c>
      <c r="D445" s="2">
        <v>1</v>
      </c>
      <c r="E445" s="1">
        <v>0</v>
      </c>
      <c r="F445" s="3">
        <v>1.5046296296296297E-4</v>
      </c>
      <c r="G445" s="3">
        <v>2.0254629629629629E-3</v>
      </c>
      <c r="H445" s="3">
        <v>1.3078703703703703E-3</v>
      </c>
      <c r="I445" s="2">
        <v>0.89190000000000003</v>
      </c>
    </row>
    <row r="446" spans="1:9">
      <c r="A446" s="1">
        <v>445</v>
      </c>
      <c r="B446" s="1">
        <v>24</v>
      </c>
      <c r="C446" s="1">
        <v>24</v>
      </c>
      <c r="D446" s="2">
        <v>1</v>
      </c>
      <c r="E446" s="1">
        <v>0</v>
      </c>
      <c r="F446" s="3">
        <v>1.3888888888888889E-4</v>
      </c>
      <c r="G446" s="3">
        <v>1.9328703703703704E-3</v>
      </c>
      <c r="H446" s="3">
        <v>6.5972222222222224E-4</v>
      </c>
      <c r="I446" s="2">
        <v>0.83330000000000004</v>
      </c>
    </row>
    <row r="447" spans="1:9">
      <c r="A447" s="1">
        <v>446</v>
      </c>
      <c r="B447" s="1">
        <v>11</v>
      </c>
      <c r="C447" s="1">
        <v>10</v>
      </c>
      <c r="D447" s="2">
        <v>0.90910000000000002</v>
      </c>
      <c r="E447" s="1">
        <v>1</v>
      </c>
      <c r="F447" s="3">
        <v>1.5046296296296297E-4</v>
      </c>
      <c r="G447" s="3">
        <v>1.6666666666666668E-3</v>
      </c>
      <c r="H447" s="3">
        <v>6.3657407407407413E-4</v>
      </c>
      <c r="I447" s="2">
        <v>0.81820000000000004</v>
      </c>
    </row>
    <row r="448" spans="1:9">
      <c r="A448" s="1">
        <v>447</v>
      </c>
      <c r="B448" s="1">
        <v>28</v>
      </c>
      <c r="C448" s="1">
        <v>26</v>
      </c>
      <c r="D448" s="2">
        <v>0.92859999999999998</v>
      </c>
      <c r="E448" s="1">
        <v>2</v>
      </c>
      <c r="F448" s="3">
        <v>1.1574074074074075E-4</v>
      </c>
      <c r="G448" s="3">
        <v>1.736111111111111E-3</v>
      </c>
      <c r="H448" s="3">
        <v>9.9537037037037042E-4</v>
      </c>
      <c r="I448" s="2">
        <v>0.81479999999999997</v>
      </c>
    </row>
    <row r="449" spans="1:9">
      <c r="A449" s="1">
        <v>448</v>
      </c>
      <c r="B449" s="1">
        <v>43</v>
      </c>
      <c r="C449" s="1">
        <v>43</v>
      </c>
      <c r="D449" s="2">
        <v>1</v>
      </c>
      <c r="E449" s="1">
        <v>0</v>
      </c>
      <c r="F449" s="3">
        <v>9.2592592592592588E-5</v>
      </c>
      <c r="G449" s="3">
        <v>1.6550925925925926E-3</v>
      </c>
      <c r="H449" s="3">
        <v>6.018518518518519E-4</v>
      </c>
      <c r="I449" s="2">
        <v>0.88370000000000004</v>
      </c>
    </row>
    <row r="450" spans="1:9">
      <c r="A450" s="1">
        <v>449</v>
      </c>
      <c r="B450" s="1">
        <v>62</v>
      </c>
      <c r="C450" s="1">
        <v>62</v>
      </c>
      <c r="D450" s="2">
        <v>1</v>
      </c>
      <c r="E450" s="1">
        <v>0</v>
      </c>
      <c r="F450" s="3">
        <v>1.9675925925925926E-4</v>
      </c>
      <c r="G450" s="3">
        <v>1.5277777777777779E-3</v>
      </c>
      <c r="H450" s="3">
        <v>9.9537037037037042E-4</v>
      </c>
      <c r="I450" s="2">
        <v>0.8226</v>
      </c>
    </row>
    <row r="451" spans="1:9">
      <c r="A451" s="1">
        <v>450</v>
      </c>
      <c r="B451" s="1">
        <v>70</v>
      </c>
      <c r="C451" s="1">
        <v>69</v>
      </c>
      <c r="D451" s="2">
        <v>0.98570000000000002</v>
      </c>
      <c r="E451" s="1">
        <v>1</v>
      </c>
      <c r="F451" s="3">
        <v>2.5462962962962961E-4</v>
      </c>
      <c r="G451" s="3">
        <v>1.4583333333333334E-3</v>
      </c>
      <c r="H451" s="3">
        <v>6.0185185185185185E-3</v>
      </c>
      <c r="I451" s="2">
        <v>0.81430000000000002</v>
      </c>
    </row>
    <row r="452" spans="1:9">
      <c r="A452" s="1">
        <v>451</v>
      </c>
      <c r="B452" s="1">
        <v>107</v>
      </c>
      <c r="C452" s="1">
        <v>97</v>
      </c>
      <c r="D452" s="2">
        <v>0.90649999999999997</v>
      </c>
      <c r="E452" s="1">
        <v>10</v>
      </c>
      <c r="F452" s="3">
        <v>2.4305555555555555E-4</v>
      </c>
      <c r="G452" s="3">
        <v>1.6898148148148148E-3</v>
      </c>
      <c r="H452" s="3">
        <v>1.8518518518518519E-3</v>
      </c>
      <c r="I452" s="2">
        <v>0.68869999999999998</v>
      </c>
    </row>
    <row r="453" spans="1:9">
      <c r="A453" s="1">
        <v>452</v>
      </c>
      <c r="B453" s="1">
        <v>91</v>
      </c>
      <c r="C453" s="1">
        <v>85</v>
      </c>
      <c r="D453" s="2">
        <v>0.93410000000000004</v>
      </c>
      <c r="E453" s="1">
        <v>6</v>
      </c>
      <c r="F453" s="3">
        <v>3.4722222222222224E-4</v>
      </c>
      <c r="G453" s="3">
        <v>1.7013888888888888E-3</v>
      </c>
      <c r="H453" s="3">
        <v>4.0393518518518521E-3</v>
      </c>
      <c r="I453" s="2">
        <v>0.62639999999999996</v>
      </c>
    </row>
    <row r="454" spans="1:9">
      <c r="A454" s="1">
        <v>453</v>
      </c>
      <c r="B454" s="1">
        <v>25</v>
      </c>
      <c r="C454" s="1">
        <v>25</v>
      </c>
      <c r="D454" s="2">
        <v>1</v>
      </c>
      <c r="E454" s="1">
        <v>0</v>
      </c>
      <c r="F454" s="3">
        <v>1.273148148148148E-4</v>
      </c>
      <c r="G454" s="3">
        <v>1.8518518518518519E-3</v>
      </c>
      <c r="H454" s="3">
        <v>6.3657407407407413E-4</v>
      </c>
      <c r="I454" s="2">
        <v>0.84</v>
      </c>
    </row>
    <row r="455" spans="1:9">
      <c r="A455" s="1">
        <v>454</v>
      </c>
      <c r="B455" s="1">
        <v>85</v>
      </c>
      <c r="C455" s="1">
        <v>79</v>
      </c>
      <c r="D455" s="2">
        <v>0.9294</v>
      </c>
      <c r="E455" s="1">
        <v>6</v>
      </c>
      <c r="F455" s="3">
        <v>2.7777777777777778E-4</v>
      </c>
      <c r="G455" s="3">
        <v>1.7476851851851852E-3</v>
      </c>
      <c r="H455" s="3">
        <v>2.1643518518518518E-3</v>
      </c>
      <c r="I455" s="2">
        <v>0.72289999999999999</v>
      </c>
    </row>
    <row r="456" spans="1:9">
      <c r="A456" s="1">
        <v>455</v>
      </c>
      <c r="B456" s="1">
        <v>91</v>
      </c>
      <c r="C456" s="1">
        <v>83</v>
      </c>
      <c r="D456" s="2">
        <v>0.91210000000000002</v>
      </c>
      <c r="E456" s="1">
        <v>8</v>
      </c>
      <c r="F456" s="3">
        <v>3.0092592592592595E-4</v>
      </c>
      <c r="G456" s="3">
        <v>1.8171296296296297E-3</v>
      </c>
      <c r="H456" s="3">
        <v>2.5462962962962965E-3</v>
      </c>
      <c r="I456" s="2">
        <v>0.62639999999999996</v>
      </c>
    </row>
    <row r="457" spans="1:9">
      <c r="A457" s="1">
        <v>456</v>
      </c>
      <c r="B457" s="1">
        <v>48</v>
      </c>
      <c r="C457" s="1">
        <v>46</v>
      </c>
      <c r="D457" s="2">
        <v>0.95830000000000004</v>
      </c>
      <c r="E457" s="1">
        <v>2</v>
      </c>
      <c r="F457" s="3">
        <v>1.273148148148148E-4</v>
      </c>
      <c r="G457" s="3">
        <v>1.5393518518518519E-3</v>
      </c>
      <c r="H457" s="3">
        <v>9.4907407407407408E-4</v>
      </c>
      <c r="I457" s="2">
        <v>0.82979999999999998</v>
      </c>
    </row>
    <row r="458" spans="1:9">
      <c r="A458" s="1">
        <v>457</v>
      </c>
      <c r="B458" s="1">
        <v>14</v>
      </c>
      <c r="C458" s="1">
        <v>11</v>
      </c>
      <c r="D458" s="2">
        <v>0.78569999999999995</v>
      </c>
      <c r="E458" s="1">
        <v>3</v>
      </c>
      <c r="F458" s="3">
        <v>2.0833333333333335E-4</v>
      </c>
      <c r="G458" s="3">
        <v>1.7013888888888888E-3</v>
      </c>
      <c r="H458" s="3">
        <v>1.9097222222222222E-3</v>
      </c>
      <c r="I458" s="2">
        <v>0.61539999999999995</v>
      </c>
    </row>
    <row r="459" spans="1:9">
      <c r="A459" s="1">
        <v>458</v>
      </c>
      <c r="B459" s="1">
        <v>43</v>
      </c>
      <c r="C459" s="1">
        <v>42</v>
      </c>
      <c r="D459" s="2">
        <v>0.97670000000000001</v>
      </c>
      <c r="E459" s="1">
        <v>1</v>
      </c>
      <c r="F459" s="3">
        <v>2.5462962962962961E-4</v>
      </c>
      <c r="G459" s="3">
        <v>1.9328703703703704E-3</v>
      </c>
      <c r="H459" s="3">
        <v>2.2569444444444442E-3</v>
      </c>
      <c r="I459" s="2">
        <v>0.73809999999999998</v>
      </c>
    </row>
    <row r="460" spans="1:9">
      <c r="A460" s="1">
        <v>459</v>
      </c>
      <c r="B460" s="1">
        <v>74</v>
      </c>
      <c r="C460" s="1">
        <v>69</v>
      </c>
      <c r="D460" s="2">
        <v>0.93240000000000001</v>
      </c>
      <c r="E460" s="1">
        <v>5</v>
      </c>
      <c r="F460" s="3">
        <v>2.6620370370370372E-4</v>
      </c>
      <c r="G460" s="3">
        <v>1.7476851851851852E-3</v>
      </c>
      <c r="H460" s="3">
        <v>3.3333333333333335E-3</v>
      </c>
      <c r="I460" s="2">
        <v>0.7671</v>
      </c>
    </row>
    <row r="461" spans="1:9">
      <c r="A461" s="1">
        <v>460</v>
      </c>
      <c r="B461" s="1">
        <v>33</v>
      </c>
      <c r="C461" s="1">
        <v>33</v>
      </c>
      <c r="D461" s="2">
        <v>1</v>
      </c>
      <c r="E461" s="1">
        <v>0</v>
      </c>
      <c r="F461" s="3">
        <v>1.6203703703703703E-4</v>
      </c>
      <c r="G461" s="3">
        <v>1.6782407407407408E-3</v>
      </c>
      <c r="H461" s="3">
        <v>1.0300925925925926E-3</v>
      </c>
      <c r="I461" s="2">
        <v>0.81820000000000004</v>
      </c>
    </row>
    <row r="462" spans="1:9">
      <c r="A462" s="1">
        <v>461</v>
      </c>
      <c r="B462" s="1">
        <v>124</v>
      </c>
      <c r="C462" s="1">
        <v>112</v>
      </c>
      <c r="D462" s="2">
        <v>0.9032</v>
      </c>
      <c r="E462" s="1">
        <v>12</v>
      </c>
      <c r="F462" s="3">
        <v>3.0092592592592595E-4</v>
      </c>
      <c r="G462" s="3">
        <v>1.8055555555555555E-3</v>
      </c>
      <c r="H462" s="3">
        <v>3.8194444444444443E-3</v>
      </c>
      <c r="I462" s="2">
        <v>0.64749999999999996</v>
      </c>
    </row>
    <row r="463" spans="1:9">
      <c r="A463" s="1">
        <v>462</v>
      </c>
      <c r="B463" s="1">
        <v>130</v>
      </c>
      <c r="C463" s="1">
        <v>126</v>
      </c>
      <c r="D463" s="2">
        <v>0.96919999999999995</v>
      </c>
      <c r="E463" s="1">
        <v>4</v>
      </c>
      <c r="F463" s="3">
        <v>2.8935185185185184E-4</v>
      </c>
      <c r="G463" s="3">
        <v>1.736111111111111E-3</v>
      </c>
      <c r="H463" s="3">
        <v>2.0601851851851853E-3</v>
      </c>
      <c r="I463" s="2">
        <v>0.65890000000000004</v>
      </c>
    </row>
    <row r="464" spans="1:9">
      <c r="A464" s="1">
        <v>463</v>
      </c>
      <c r="B464" s="1">
        <v>139</v>
      </c>
      <c r="C464" s="1">
        <v>139</v>
      </c>
      <c r="D464" s="2">
        <v>1</v>
      </c>
      <c r="E464" s="1">
        <v>0</v>
      </c>
      <c r="F464" s="3">
        <v>2.0833333333333335E-4</v>
      </c>
      <c r="G464" s="3">
        <v>1.8518518518518519E-3</v>
      </c>
      <c r="H464" s="3">
        <v>2.1180555555555558E-3</v>
      </c>
      <c r="I464" s="2">
        <v>0.77539999999999998</v>
      </c>
    </row>
    <row r="465" spans="1:9">
      <c r="A465" s="1">
        <v>464</v>
      </c>
      <c r="B465" s="1">
        <v>138</v>
      </c>
      <c r="C465" s="1">
        <v>130</v>
      </c>
      <c r="D465" s="2">
        <v>0.94199999999999995</v>
      </c>
      <c r="E465" s="1">
        <v>8</v>
      </c>
      <c r="F465" s="3">
        <v>3.0092592592592595E-4</v>
      </c>
      <c r="G465" s="3">
        <v>1.7013888888888888E-3</v>
      </c>
      <c r="H465" s="3">
        <v>1.2962962962962963E-3</v>
      </c>
      <c r="I465" s="2">
        <v>0.61480000000000001</v>
      </c>
    </row>
    <row r="466" spans="1:9">
      <c r="A466" s="1">
        <v>465</v>
      </c>
      <c r="B466" s="1">
        <v>125</v>
      </c>
      <c r="C466" s="1">
        <v>119</v>
      </c>
      <c r="D466" s="2">
        <v>0.95199999999999996</v>
      </c>
      <c r="E466" s="1">
        <v>6</v>
      </c>
      <c r="F466" s="3">
        <v>2.5462962962962961E-4</v>
      </c>
      <c r="G466" s="3">
        <v>1.724537037037037E-3</v>
      </c>
      <c r="H466" s="3">
        <v>2.5462962962962965E-3</v>
      </c>
      <c r="I466" s="2">
        <v>0.68</v>
      </c>
    </row>
    <row r="467" spans="1:9">
      <c r="A467" s="1">
        <v>466</v>
      </c>
      <c r="B467" s="1">
        <v>98</v>
      </c>
      <c r="C467" s="1">
        <v>96</v>
      </c>
      <c r="D467" s="2">
        <v>0.97960000000000003</v>
      </c>
      <c r="E467" s="1">
        <v>2</v>
      </c>
      <c r="F467" s="3">
        <v>2.3148148148148149E-4</v>
      </c>
      <c r="G467" s="3">
        <v>1.8055555555555555E-3</v>
      </c>
      <c r="H467" s="3">
        <v>2.0023148148148148E-3</v>
      </c>
      <c r="I467" s="2">
        <v>0.7732</v>
      </c>
    </row>
    <row r="468" spans="1:9">
      <c r="A468" s="1">
        <v>467</v>
      </c>
      <c r="B468" s="1">
        <v>12</v>
      </c>
      <c r="C468" s="1">
        <v>12</v>
      </c>
      <c r="D468" s="2">
        <v>1</v>
      </c>
      <c r="E468" s="1">
        <v>0</v>
      </c>
      <c r="F468" s="3">
        <v>2.0833333333333335E-4</v>
      </c>
      <c r="G468" s="3">
        <v>2.1643518518518518E-3</v>
      </c>
      <c r="H468" s="3">
        <v>1.1111111111111111E-3</v>
      </c>
      <c r="I468" s="2">
        <v>0.83330000000000004</v>
      </c>
    </row>
    <row r="469" spans="1:9">
      <c r="A469" s="1">
        <v>468</v>
      </c>
      <c r="B469" s="1">
        <v>119</v>
      </c>
      <c r="C469" s="1">
        <v>117</v>
      </c>
      <c r="D469" s="2">
        <v>0.98319999999999996</v>
      </c>
      <c r="E469" s="1">
        <v>2</v>
      </c>
      <c r="F469" s="3">
        <v>2.0833333333333335E-4</v>
      </c>
      <c r="G469" s="3">
        <v>1.8402777777777777E-3</v>
      </c>
      <c r="H469" s="3">
        <v>1.8865740740740742E-3</v>
      </c>
      <c r="I469" s="2">
        <v>0.78149999999999997</v>
      </c>
    </row>
    <row r="470" spans="1:9">
      <c r="A470" s="1">
        <v>469</v>
      </c>
      <c r="B470" s="1">
        <v>100</v>
      </c>
      <c r="C470" s="1">
        <v>96</v>
      </c>
      <c r="D470" s="2">
        <v>0.96</v>
      </c>
      <c r="E470" s="1">
        <v>4</v>
      </c>
      <c r="F470" s="3">
        <v>2.4305555555555555E-4</v>
      </c>
      <c r="G470" s="3">
        <v>1.8171296296296297E-3</v>
      </c>
      <c r="H470" s="3">
        <v>1.9097222222222222E-3</v>
      </c>
      <c r="I470" s="2">
        <v>0.76</v>
      </c>
    </row>
    <row r="471" spans="1:9">
      <c r="A471" s="1">
        <v>470</v>
      </c>
      <c r="B471" s="1">
        <v>146</v>
      </c>
      <c r="C471" s="1">
        <v>133</v>
      </c>
      <c r="D471" s="2">
        <v>0.91100000000000003</v>
      </c>
      <c r="E471" s="1">
        <v>13</v>
      </c>
      <c r="F471" s="3">
        <v>3.5879629629629629E-4</v>
      </c>
      <c r="G471" s="3">
        <v>1.736111111111111E-3</v>
      </c>
      <c r="H471" s="3">
        <v>2.5462962962962965E-3</v>
      </c>
      <c r="I471" s="2">
        <v>0.57750000000000001</v>
      </c>
    </row>
    <row r="472" spans="1:9">
      <c r="A472" s="1">
        <v>471</v>
      </c>
      <c r="B472" s="1">
        <v>131</v>
      </c>
      <c r="C472" s="1">
        <v>127</v>
      </c>
      <c r="D472" s="2">
        <v>0.96950000000000003</v>
      </c>
      <c r="E472" s="1">
        <v>4</v>
      </c>
      <c r="F472" s="3">
        <v>2.5462962962962961E-4</v>
      </c>
      <c r="G472" s="3">
        <v>1.6782407407407408E-3</v>
      </c>
      <c r="H472" s="3">
        <v>1.712962962962963E-3</v>
      </c>
      <c r="I472" s="2">
        <v>0.72660000000000002</v>
      </c>
    </row>
    <row r="473" spans="1:9">
      <c r="A473" s="1">
        <v>472</v>
      </c>
      <c r="B473" s="1">
        <v>107</v>
      </c>
      <c r="C473" s="1">
        <v>104</v>
      </c>
      <c r="D473" s="2">
        <v>0.97199999999999998</v>
      </c>
      <c r="E473" s="1">
        <v>3</v>
      </c>
      <c r="F473" s="3">
        <v>9.2592592592592588E-5</v>
      </c>
      <c r="G473" s="3">
        <v>1.7013888888888888E-3</v>
      </c>
      <c r="H473" s="3">
        <v>1.1111111111111111E-3</v>
      </c>
      <c r="I473" s="2">
        <v>0.92449999999999999</v>
      </c>
    </row>
    <row r="474" spans="1:9">
      <c r="A474" s="1">
        <v>473</v>
      </c>
      <c r="B474" s="1">
        <v>112</v>
      </c>
      <c r="C474" s="1">
        <v>105</v>
      </c>
      <c r="D474" s="2">
        <v>0.9375</v>
      </c>
      <c r="E474" s="1">
        <v>7</v>
      </c>
      <c r="F474" s="3">
        <v>2.7777777777777778E-4</v>
      </c>
      <c r="G474" s="3">
        <v>1.8287037037037037E-3</v>
      </c>
      <c r="H474" s="3">
        <v>3.1018518518518517E-3</v>
      </c>
      <c r="I474" s="2">
        <v>0.67269999999999996</v>
      </c>
    </row>
    <row r="475" spans="1:9">
      <c r="A475" s="1">
        <v>474</v>
      </c>
      <c r="B475" s="1">
        <v>21</v>
      </c>
      <c r="C475" s="1">
        <v>21</v>
      </c>
      <c r="D475" s="2">
        <v>1</v>
      </c>
      <c r="E475" s="1">
        <v>0</v>
      </c>
      <c r="F475" s="3">
        <v>3.7037037037037035E-4</v>
      </c>
      <c r="G475" s="3">
        <v>1.7476851851851852E-3</v>
      </c>
      <c r="H475" s="3">
        <v>9.837962962962962E-4</v>
      </c>
      <c r="I475" s="2">
        <v>0.52380000000000004</v>
      </c>
    </row>
    <row r="476" spans="1:9">
      <c r="A476" s="1">
        <v>475</v>
      </c>
      <c r="B476" s="1">
        <v>125</v>
      </c>
      <c r="C476" s="1">
        <v>104</v>
      </c>
      <c r="D476" s="2">
        <v>0.83199999999999996</v>
      </c>
      <c r="E476" s="1">
        <v>21</v>
      </c>
      <c r="F476" s="3">
        <v>4.2824074074074075E-4</v>
      </c>
      <c r="G476" s="3">
        <v>1.8981481481481482E-3</v>
      </c>
      <c r="H476" s="3">
        <v>1.9097222222222222E-3</v>
      </c>
      <c r="I476" s="2">
        <v>0.44629999999999997</v>
      </c>
    </row>
    <row r="477" spans="1:9">
      <c r="A477" s="1">
        <v>476</v>
      </c>
      <c r="B477" s="1">
        <v>35</v>
      </c>
      <c r="C477" s="1">
        <v>34</v>
      </c>
      <c r="D477" s="2">
        <v>0.97140000000000004</v>
      </c>
      <c r="E477" s="1">
        <v>1</v>
      </c>
      <c r="F477" s="3">
        <v>2.7777777777777778E-4</v>
      </c>
      <c r="G477" s="3">
        <v>1.5277777777777779E-3</v>
      </c>
      <c r="H477" s="3">
        <v>1.5740740740740741E-3</v>
      </c>
      <c r="I477" s="2">
        <v>0.7429</v>
      </c>
    </row>
    <row r="478" spans="1:9">
      <c r="A478" s="1">
        <v>477</v>
      </c>
      <c r="B478" s="1">
        <v>121</v>
      </c>
      <c r="C478" s="1">
        <v>109</v>
      </c>
      <c r="D478" s="2">
        <v>0.90080000000000005</v>
      </c>
      <c r="E478" s="1">
        <v>12</v>
      </c>
      <c r="F478" s="3">
        <v>4.3981481481481481E-4</v>
      </c>
      <c r="G478" s="3">
        <v>1.7592592592592592E-3</v>
      </c>
      <c r="H478" s="3">
        <v>3.7152777777777778E-3</v>
      </c>
      <c r="I478" s="2">
        <v>0.53779999999999994</v>
      </c>
    </row>
    <row r="479" spans="1:9">
      <c r="A479" s="1">
        <v>478</v>
      </c>
      <c r="B479" s="1">
        <v>135</v>
      </c>
      <c r="C479" s="1">
        <v>122</v>
      </c>
      <c r="D479" s="2">
        <v>0.90369999999999995</v>
      </c>
      <c r="E479" s="1">
        <v>13</v>
      </c>
      <c r="F479" s="3">
        <v>3.7037037037037035E-4</v>
      </c>
      <c r="G479" s="3">
        <v>1.7824074074074075E-3</v>
      </c>
      <c r="H479" s="3">
        <v>2.1759259259259258E-3</v>
      </c>
      <c r="I479" s="2">
        <v>0.57579999999999998</v>
      </c>
    </row>
    <row r="480" spans="1:9">
      <c r="A480" s="1">
        <v>479</v>
      </c>
      <c r="B480" s="1">
        <v>117</v>
      </c>
      <c r="C480" s="1">
        <v>114</v>
      </c>
      <c r="D480" s="2">
        <v>0.97440000000000004</v>
      </c>
      <c r="E480" s="1">
        <v>3</v>
      </c>
      <c r="F480" s="3">
        <v>2.5462962962962961E-4</v>
      </c>
      <c r="G480" s="3">
        <v>1.8287037037037037E-3</v>
      </c>
      <c r="H480" s="3">
        <v>1.7013888888888888E-3</v>
      </c>
      <c r="I480" s="2">
        <v>0.75860000000000005</v>
      </c>
    </row>
    <row r="481" spans="1:9">
      <c r="A481" s="1">
        <v>480</v>
      </c>
      <c r="B481" s="1">
        <v>114</v>
      </c>
      <c r="C481" s="1">
        <v>97</v>
      </c>
      <c r="D481" s="2">
        <v>0.85089999999999999</v>
      </c>
      <c r="E481" s="1">
        <v>17</v>
      </c>
      <c r="F481" s="3">
        <v>4.5138888888888887E-4</v>
      </c>
      <c r="G481" s="3">
        <v>1.9675925925925924E-3</v>
      </c>
      <c r="H481" s="3">
        <v>5.7407407407407407E-3</v>
      </c>
      <c r="I481" s="2">
        <v>0.45129999999999998</v>
      </c>
    </row>
    <row r="482" spans="1:9">
      <c r="A482" s="1">
        <v>481</v>
      </c>
      <c r="B482" s="1">
        <v>50</v>
      </c>
      <c r="C482" s="1">
        <v>49</v>
      </c>
      <c r="D482" s="2">
        <v>0.98</v>
      </c>
      <c r="E482" s="1">
        <v>1</v>
      </c>
      <c r="F482" s="3">
        <v>4.0509259259259258E-4</v>
      </c>
      <c r="G482" s="3">
        <v>2.0254629629629629E-3</v>
      </c>
      <c r="H482" s="3">
        <v>1.6435185185185185E-3</v>
      </c>
      <c r="I482" s="2">
        <v>0.52</v>
      </c>
    </row>
    <row r="483" spans="1:9">
      <c r="A483" s="1">
        <v>482</v>
      </c>
      <c r="B483" s="1">
        <v>207</v>
      </c>
      <c r="C483" s="1">
        <v>198</v>
      </c>
      <c r="D483" s="2">
        <v>0.95650000000000002</v>
      </c>
      <c r="E483" s="1">
        <v>9</v>
      </c>
      <c r="F483" s="3">
        <v>1.8518518518518518E-4</v>
      </c>
      <c r="G483" s="3">
        <v>1.8865740740740742E-3</v>
      </c>
      <c r="H483" s="3">
        <v>2.673611111111111E-3</v>
      </c>
      <c r="I483" s="2">
        <v>0.80489999999999995</v>
      </c>
    </row>
    <row r="484" spans="1:9">
      <c r="A484" s="1">
        <v>483</v>
      </c>
      <c r="B484" s="1">
        <v>189</v>
      </c>
      <c r="C484" s="1">
        <v>183</v>
      </c>
      <c r="D484" s="2">
        <v>0.96830000000000005</v>
      </c>
      <c r="E484" s="1">
        <v>6</v>
      </c>
      <c r="F484" s="3">
        <v>2.4305555555555555E-4</v>
      </c>
      <c r="G484" s="3">
        <v>1.7476851851851852E-3</v>
      </c>
      <c r="H484" s="3">
        <v>2.7546296296296294E-3</v>
      </c>
      <c r="I484" s="2">
        <v>0.7419</v>
      </c>
    </row>
    <row r="485" spans="1:9">
      <c r="A485" s="1">
        <v>484</v>
      </c>
      <c r="B485" s="1">
        <v>162</v>
      </c>
      <c r="C485" s="1">
        <v>156</v>
      </c>
      <c r="D485" s="2">
        <v>0.96299999999999997</v>
      </c>
      <c r="E485" s="1">
        <v>6</v>
      </c>
      <c r="F485" s="3">
        <v>2.7777777777777778E-4</v>
      </c>
      <c r="G485" s="3">
        <v>1.6435185185185185E-3</v>
      </c>
      <c r="H485" s="3">
        <v>1.4814814814814814E-3</v>
      </c>
      <c r="I485" s="2">
        <v>0.66459999999999997</v>
      </c>
    </row>
    <row r="486" spans="1:9">
      <c r="A486" s="1">
        <v>485</v>
      </c>
      <c r="B486" s="1">
        <v>177</v>
      </c>
      <c r="C486" s="1">
        <v>165</v>
      </c>
      <c r="D486" s="2">
        <v>0.93220000000000003</v>
      </c>
      <c r="E486" s="1">
        <v>12</v>
      </c>
      <c r="F486" s="3">
        <v>3.0092592592592595E-4</v>
      </c>
      <c r="G486" s="3">
        <v>1.7476851851851852E-3</v>
      </c>
      <c r="H486" s="3">
        <v>2.662037037037037E-3</v>
      </c>
      <c r="I486" s="2">
        <v>0.66469999999999996</v>
      </c>
    </row>
    <row r="487" spans="1:9">
      <c r="A487" s="1">
        <v>486</v>
      </c>
      <c r="B487" s="1">
        <v>177</v>
      </c>
      <c r="C487" s="1">
        <v>167</v>
      </c>
      <c r="D487" s="2">
        <v>0.94350000000000001</v>
      </c>
      <c r="E487" s="1">
        <v>10</v>
      </c>
      <c r="F487" s="3">
        <v>2.6620370370370372E-4</v>
      </c>
      <c r="G487" s="3">
        <v>1.7939814814814815E-3</v>
      </c>
      <c r="H487" s="3">
        <v>1.9097222222222222E-3</v>
      </c>
      <c r="I487" s="2">
        <v>0.68969999999999998</v>
      </c>
    </row>
    <row r="488" spans="1:9">
      <c r="A488" s="1">
        <v>487</v>
      </c>
      <c r="B488" s="1">
        <v>163</v>
      </c>
      <c r="C488" s="1">
        <v>134</v>
      </c>
      <c r="D488" s="2">
        <v>0.82210000000000005</v>
      </c>
      <c r="E488" s="1">
        <v>29</v>
      </c>
      <c r="F488" s="3">
        <v>4.3981481481481481E-4</v>
      </c>
      <c r="G488" s="3">
        <v>1.8749999999999999E-3</v>
      </c>
      <c r="H488" s="3">
        <v>5.0462962962962961E-3</v>
      </c>
      <c r="I488" s="2">
        <v>0.47199999999999998</v>
      </c>
    </row>
    <row r="489" spans="1:9">
      <c r="A489" s="1">
        <v>488</v>
      </c>
      <c r="B489" s="1">
        <v>24</v>
      </c>
      <c r="C489" s="1">
        <v>20</v>
      </c>
      <c r="D489" s="2">
        <v>0.83330000000000004</v>
      </c>
      <c r="E489" s="1">
        <v>4</v>
      </c>
      <c r="F489" s="3">
        <v>3.0092592592592595E-4</v>
      </c>
      <c r="G489" s="3">
        <v>2.3495370370370371E-3</v>
      </c>
      <c r="H489" s="3">
        <v>1.5740740740740741E-3</v>
      </c>
      <c r="I489" s="2">
        <v>0.6522</v>
      </c>
    </row>
    <row r="490" spans="1:9">
      <c r="A490" s="1">
        <v>489</v>
      </c>
      <c r="B490" s="1">
        <v>146</v>
      </c>
      <c r="C490" s="1">
        <v>139</v>
      </c>
      <c r="D490" s="2">
        <v>0.95209999999999995</v>
      </c>
      <c r="E490" s="1">
        <v>7</v>
      </c>
      <c r="F490" s="3">
        <v>2.0833333333333335E-4</v>
      </c>
      <c r="G490" s="3">
        <v>1.7824074074074075E-3</v>
      </c>
      <c r="H490" s="3">
        <v>4.409722222222222E-3</v>
      </c>
      <c r="I490" s="2">
        <v>0.75860000000000005</v>
      </c>
    </row>
    <row r="491" spans="1:9">
      <c r="A491" s="1">
        <v>490</v>
      </c>
      <c r="B491" s="1">
        <v>143</v>
      </c>
      <c r="C491" s="1">
        <v>141</v>
      </c>
      <c r="D491" s="2">
        <v>0.98599999999999999</v>
      </c>
      <c r="E491" s="1">
        <v>2</v>
      </c>
      <c r="F491" s="3">
        <v>2.5462962962962961E-4</v>
      </c>
      <c r="G491" s="3">
        <v>1.9097222222222222E-3</v>
      </c>
      <c r="H491" s="3">
        <v>1.9097222222222222E-3</v>
      </c>
      <c r="I491" s="2">
        <v>0.72030000000000005</v>
      </c>
    </row>
    <row r="492" spans="1:9">
      <c r="A492" s="1">
        <v>491</v>
      </c>
      <c r="B492" s="1">
        <v>132</v>
      </c>
      <c r="C492" s="1">
        <v>122</v>
      </c>
      <c r="D492" s="2">
        <v>0.92420000000000002</v>
      </c>
      <c r="E492" s="1">
        <v>10</v>
      </c>
      <c r="F492" s="3">
        <v>3.5879629629629629E-4</v>
      </c>
      <c r="G492" s="3">
        <v>1.712962962962963E-3</v>
      </c>
      <c r="H492" s="3">
        <v>3.1944444444444446E-3</v>
      </c>
      <c r="I492" s="2">
        <v>0.56489999999999996</v>
      </c>
    </row>
    <row r="493" spans="1:9">
      <c r="A493" s="1">
        <v>492</v>
      </c>
      <c r="B493" s="1">
        <v>137</v>
      </c>
      <c r="C493" s="1">
        <v>130</v>
      </c>
      <c r="D493" s="2">
        <v>0.94889999999999997</v>
      </c>
      <c r="E493" s="1">
        <v>7</v>
      </c>
      <c r="F493" s="3">
        <v>3.0092592592592595E-4</v>
      </c>
      <c r="G493" s="3">
        <v>1.6782407407407408E-3</v>
      </c>
      <c r="H493" s="3">
        <v>1.4583333333333334E-3</v>
      </c>
      <c r="I493" s="2">
        <v>0.64439999999999997</v>
      </c>
    </row>
    <row r="494" spans="1:9">
      <c r="A494" s="1">
        <v>493</v>
      </c>
      <c r="B494" s="1">
        <v>112</v>
      </c>
      <c r="C494" s="1">
        <v>104</v>
      </c>
      <c r="D494" s="2">
        <v>0.92859999999999998</v>
      </c>
      <c r="E494" s="1">
        <v>8</v>
      </c>
      <c r="F494" s="3">
        <v>4.9768518518518521E-4</v>
      </c>
      <c r="G494" s="3">
        <v>1.8171296296296297E-3</v>
      </c>
      <c r="H494" s="3">
        <v>2.8587962962962963E-3</v>
      </c>
      <c r="I494" s="2">
        <v>0.40910000000000002</v>
      </c>
    </row>
    <row r="495" spans="1:9">
      <c r="A495" s="1">
        <v>494</v>
      </c>
      <c r="B495" s="1">
        <v>110</v>
      </c>
      <c r="C495" s="1">
        <v>91</v>
      </c>
      <c r="D495" s="2">
        <v>0.82730000000000004</v>
      </c>
      <c r="E495" s="1">
        <v>19</v>
      </c>
      <c r="F495" s="3">
        <v>5.7870370370370367E-4</v>
      </c>
      <c r="G495" s="3">
        <v>1.8287037037037037E-3</v>
      </c>
      <c r="H495" s="3">
        <v>3.6111111111111109E-3</v>
      </c>
      <c r="I495" s="2">
        <v>0.36699999999999999</v>
      </c>
    </row>
    <row r="496" spans="1:9">
      <c r="A496" s="1">
        <v>495</v>
      </c>
      <c r="B496" s="1">
        <v>24</v>
      </c>
      <c r="C496" s="1">
        <v>22</v>
      </c>
      <c r="D496" s="2">
        <v>0.91669999999999996</v>
      </c>
      <c r="E496" s="1">
        <v>2</v>
      </c>
      <c r="F496" s="3">
        <v>3.7037037037037035E-4</v>
      </c>
      <c r="G496" s="3">
        <v>1.5509259259259259E-3</v>
      </c>
      <c r="H496" s="3">
        <v>3.3101851851851851E-3</v>
      </c>
      <c r="I496" s="2">
        <v>0.58330000000000004</v>
      </c>
    </row>
    <row r="497" spans="1:9">
      <c r="A497" s="1">
        <v>496</v>
      </c>
      <c r="B497" s="1">
        <v>168</v>
      </c>
      <c r="C497" s="1">
        <v>154</v>
      </c>
      <c r="D497" s="2">
        <v>0.91669999999999996</v>
      </c>
      <c r="E497" s="1">
        <v>14</v>
      </c>
      <c r="F497" s="3">
        <v>4.1666666666666669E-4</v>
      </c>
      <c r="G497" s="3">
        <v>1.8981481481481482E-3</v>
      </c>
      <c r="H497" s="3">
        <v>2.685185185185185E-3</v>
      </c>
      <c r="I497" s="2">
        <v>0.49399999999999999</v>
      </c>
    </row>
    <row r="498" spans="1:9">
      <c r="A498" s="1">
        <v>497</v>
      </c>
      <c r="B498" s="1">
        <v>146</v>
      </c>
      <c r="C498" s="1">
        <v>116</v>
      </c>
      <c r="D498" s="2">
        <v>0.79449999999999998</v>
      </c>
      <c r="E498" s="1">
        <v>30</v>
      </c>
      <c r="F498" s="3">
        <v>4.861111111111111E-4</v>
      </c>
      <c r="G498" s="3">
        <v>1.712962962962963E-3</v>
      </c>
      <c r="H498" s="3">
        <v>1.0416666666666666E-2</v>
      </c>
      <c r="I498" s="2">
        <v>0.54930000000000001</v>
      </c>
    </row>
    <row r="499" spans="1:9">
      <c r="A499" s="1">
        <v>498</v>
      </c>
      <c r="B499" s="1">
        <v>100</v>
      </c>
      <c r="C499" s="1">
        <v>95</v>
      </c>
      <c r="D499" s="2">
        <v>0.95</v>
      </c>
      <c r="E499" s="1">
        <v>5</v>
      </c>
      <c r="F499" s="3">
        <v>3.5879629629629629E-4</v>
      </c>
      <c r="G499" s="3">
        <v>1.8287037037037037E-3</v>
      </c>
      <c r="H499" s="3">
        <v>2.0023148148148148E-3</v>
      </c>
      <c r="I499" s="2">
        <v>0.56999999999999995</v>
      </c>
    </row>
    <row r="500" spans="1:9">
      <c r="A500" s="1">
        <v>499</v>
      </c>
      <c r="B500" s="1">
        <v>144</v>
      </c>
      <c r="C500" s="1">
        <v>131</v>
      </c>
      <c r="D500" s="2">
        <v>0.90969999999999995</v>
      </c>
      <c r="E500" s="1">
        <v>13</v>
      </c>
      <c r="F500" s="3">
        <v>3.0092592592592595E-4</v>
      </c>
      <c r="G500" s="3">
        <v>1.7013888888888888E-3</v>
      </c>
      <c r="H500" s="3">
        <v>1.8171296296296297E-3</v>
      </c>
      <c r="I500" s="2">
        <v>0.63570000000000004</v>
      </c>
    </row>
    <row r="501" spans="1:9">
      <c r="A501" s="1">
        <v>500</v>
      </c>
      <c r="B501" s="1">
        <v>110</v>
      </c>
      <c r="C501" s="1">
        <v>104</v>
      </c>
      <c r="D501" s="2">
        <v>0.94550000000000001</v>
      </c>
      <c r="E501" s="1">
        <v>6</v>
      </c>
      <c r="F501" s="3">
        <v>2.7777777777777778E-4</v>
      </c>
      <c r="G501" s="3">
        <v>1.6898148148148148E-3</v>
      </c>
      <c r="H501" s="3">
        <v>1.6435185185185185E-3</v>
      </c>
      <c r="I501" s="2">
        <v>0.64219999999999999</v>
      </c>
    </row>
    <row r="502" spans="1:9">
      <c r="A502" s="1">
        <v>501</v>
      </c>
      <c r="B502" s="1">
        <v>126</v>
      </c>
      <c r="C502" s="1">
        <v>111</v>
      </c>
      <c r="D502" s="2">
        <v>0.88100000000000001</v>
      </c>
      <c r="E502" s="1">
        <v>15</v>
      </c>
      <c r="F502" s="3">
        <v>3.5879629629629629E-4</v>
      </c>
      <c r="G502" s="3">
        <v>1.8287037037037037E-3</v>
      </c>
      <c r="H502" s="3">
        <v>3.1944444444444446E-3</v>
      </c>
      <c r="I502" s="2">
        <v>0.52800000000000002</v>
      </c>
    </row>
    <row r="503" spans="1:9">
      <c r="A503" s="1">
        <v>502</v>
      </c>
      <c r="B503" s="1">
        <v>24</v>
      </c>
      <c r="C503" s="1">
        <v>24</v>
      </c>
      <c r="D503" s="2">
        <v>1</v>
      </c>
      <c r="E503" s="1">
        <v>0</v>
      </c>
      <c r="F503" s="3">
        <v>5.5555555555555556E-4</v>
      </c>
      <c r="G503" s="3">
        <v>2.0138888888888888E-3</v>
      </c>
      <c r="H503" s="3">
        <v>3.2870370370370371E-3</v>
      </c>
      <c r="I503" s="2">
        <v>0.41670000000000001</v>
      </c>
    </row>
    <row r="504" spans="1:9">
      <c r="A504" s="1">
        <v>503</v>
      </c>
      <c r="B504" s="1">
        <v>128</v>
      </c>
      <c r="C504" s="1">
        <v>122</v>
      </c>
      <c r="D504" s="2">
        <v>0.95309999999999995</v>
      </c>
      <c r="E504" s="1">
        <v>6</v>
      </c>
      <c r="F504" s="3">
        <v>4.0509259259259258E-4</v>
      </c>
      <c r="G504" s="3">
        <v>2.0717592592592593E-3</v>
      </c>
      <c r="H504" s="3">
        <v>1.8749999999999999E-3</v>
      </c>
      <c r="I504" s="2">
        <v>0.51559999999999995</v>
      </c>
    </row>
    <row r="505" spans="1:9">
      <c r="A505" s="1">
        <v>504</v>
      </c>
      <c r="B505" s="1">
        <v>185</v>
      </c>
      <c r="C505" s="1">
        <v>176</v>
      </c>
      <c r="D505" s="2">
        <v>0.95140000000000002</v>
      </c>
      <c r="E505" s="1">
        <v>9</v>
      </c>
      <c r="F505" s="3">
        <v>3.1250000000000001E-4</v>
      </c>
      <c r="G505" s="3">
        <v>1.6550925925925926E-3</v>
      </c>
      <c r="H505" s="3">
        <v>3.5300925925925925E-3</v>
      </c>
      <c r="I505" s="2">
        <v>0.67930000000000001</v>
      </c>
    </row>
    <row r="506" spans="1:9">
      <c r="A506" s="1">
        <v>505</v>
      </c>
      <c r="B506" s="1">
        <v>136</v>
      </c>
      <c r="C506" s="1">
        <v>114</v>
      </c>
      <c r="D506" s="2">
        <v>0.83819999999999995</v>
      </c>
      <c r="E506" s="1">
        <v>22</v>
      </c>
      <c r="F506" s="3">
        <v>6.5972222222222224E-4</v>
      </c>
      <c r="G506" s="3">
        <v>1.6782407407407408E-3</v>
      </c>
      <c r="H506" s="3">
        <v>3.8310185185185183E-3</v>
      </c>
      <c r="I506" s="2">
        <v>0.28789999999999999</v>
      </c>
    </row>
    <row r="507" spans="1:9">
      <c r="A507" s="1">
        <v>506</v>
      </c>
      <c r="B507" s="1">
        <v>130</v>
      </c>
      <c r="C507" s="1">
        <v>116</v>
      </c>
      <c r="D507" s="2">
        <v>0.89229999999999998</v>
      </c>
      <c r="E507" s="1">
        <v>14</v>
      </c>
      <c r="F507" s="3">
        <v>5.0925925925925921E-4</v>
      </c>
      <c r="G507" s="3">
        <v>1.8634259259259259E-3</v>
      </c>
      <c r="H507" s="3">
        <v>4.1666666666666666E-3</v>
      </c>
      <c r="I507" s="2">
        <v>0.44440000000000002</v>
      </c>
    </row>
    <row r="508" spans="1:9">
      <c r="A508" s="1">
        <v>507</v>
      </c>
      <c r="B508" s="1">
        <v>103</v>
      </c>
      <c r="C508" s="1">
        <v>101</v>
      </c>
      <c r="D508" s="2">
        <v>0.98060000000000003</v>
      </c>
      <c r="E508" s="1">
        <v>2</v>
      </c>
      <c r="F508" s="3">
        <v>2.0833333333333335E-4</v>
      </c>
      <c r="G508" s="3">
        <v>1.8749999999999999E-3</v>
      </c>
      <c r="H508" s="3">
        <v>1.6550925925925926E-3</v>
      </c>
      <c r="I508" s="2">
        <v>0.77449999999999997</v>
      </c>
    </row>
    <row r="509" spans="1:9">
      <c r="A509" s="1">
        <v>508</v>
      </c>
      <c r="B509" s="1">
        <v>99</v>
      </c>
      <c r="C509" s="1">
        <v>89</v>
      </c>
      <c r="D509" s="2">
        <v>0.89900000000000002</v>
      </c>
      <c r="E509" s="1">
        <v>10</v>
      </c>
      <c r="F509" s="3">
        <v>2.3148148148148149E-4</v>
      </c>
      <c r="G509" s="3">
        <v>1.7013888888888888E-3</v>
      </c>
      <c r="H509" s="3">
        <v>1.0416666666666667E-3</v>
      </c>
      <c r="I509" s="2">
        <v>0.73680000000000001</v>
      </c>
    </row>
    <row r="510" spans="1:9">
      <c r="A510" s="1">
        <v>509</v>
      </c>
      <c r="B510" s="1">
        <v>26</v>
      </c>
      <c r="C510" s="1">
        <v>24</v>
      </c>
      <c r="D510" s="2">
        <v>0.92310000000000003</v>
      </c>
      <c r="E510" s="1">
        <v>2</v>
      </c>
      <c r="F510" s="3">
        <v>2.6620370370370372E-4</v>
      </c>
      <c r="G510" s="3">
        <v>1.3888888888888889E-3</v>
      </c>
      <c r="H510" s="3">
        <v>1.3078703703703703E-3</v>
      </c>
      <c r="I510" s="2">
        <v>0.68</v>
      </c>
    </row>
    <row r="511" spans="1:9">
      <c r="A511" s="1">
        <v>510</v>
      </c>
      <c r="B511" s="1">
        <v>95</v>
      </c>
      <c r="C511" s="1">
        <v>94</v>
      </c>
      <c r="D511" s="2">
        <v>0.98950000000000005</v>
      </c>
      <c r="E511" s="1">
        <v>1</v>
      </c>
      <c r="F511" s="3">
        <v>2.4305555555555555E-4</v>
      </c>
      <c r="G511" s="3">
        <v>1.7476851851851852E-3</v>
      </c>
      <c r="H511" s="3">
        <v>2.476851851851852E-3</v>
      </c>
      <c r="I511" s="2">
        <v>0.75529999999999997</v>
      </c>
    </row>
    <row r="512" spans="1:9">
      <c r="A512" s="1">
        <v>511</v>
      </c>
      <c r="B512" s="1">
        <v>136</v>
      </c>
      <c r="C512" s="1">
        <v>131</v>
      </c>
      <c r="D512" s="2">
        <v>0.96319999999999995</v>
      </c>
      <c r="E512" s="1">
        <v>5</v>
      </c>
      <c r="F512" s="3">
        <v>1.9675925925925926E-4</v>
      </c>
      <c r="G512" s="3">
        <v>1.724537037037037E-3</v>
      </c>
      <c r="H512" s="3">
        <v>1.6319444444444445E-3</v>
      </c>
      <c r="I512" s="2">
        <v>0.81059999999999999</v>
      </c>
    </row>
    <row r="513" spans="1:9">
      <c r="A513" s="1">
        <v>512</v>
      </c>
      <c r="B513" s="1">
        <v>37</v>
      </c>
      <c r="C513" s="1">
        <v>34</v>
      </c>
      <c r="D513" s="2">
        <v>0.91890000000000005</v>
      </c>
      <c r="E513" s="1">
        <v>3</v>
      </c>
      <c r="F513" s="3">
        <v>4.7453703703703704E-4</v>
      </c>
      <c r="G513" s="3">
        <v>1.5162037037037036E-3</v>
      </c>
      <c r="H513" s="3">
        <v>4.0046296296296297E-3</v>
      </c>
      <c r="I513" s="2">
        <v>0.64859999999999995</v>
      </c>
    </row>
    <row r="514" spans="1:9">
      <c r="A514" s="1">
        <v>513</v>
      </c>
      <c r="B514" s="1">
        <v>105</v>
      </c>
      <c r="C514" s="1">
        <v>100</v>
      </c>
      <c r="D514" s="2">
        <v>0.95240000000000002</v>
      </c>
      <c r="E514" s="1">
        <v>5</v>
      </c>
      <c r="F514" s="3">
        <v>2.5462962962962961E-4</v>
      </c>
      <c r="G514" s="3">
        <v>1.736111111111111E-3</v>
      </c>
      <c r="H514" s="3">
        <v>1.5277777777777779E-3</v>
      </c>
      <c r="I514" s="2">
        <v>0.7228</v>
      </c>
    </row>
    <row r="515" spans="1:9">
      <c r="A515" s="1">
        <v>514</v>
      </c>
      <c r="B515" s="1">
        <v>100</v>
      </c>
      <c r="C515" s="1">
        <v>92</v>
      </c>
      <c r="D515" s="2">
        <v>0.92</v>
      </c>
      <c r="E515" s="1">
        <v>8</v>
      </c>
      <c r="F515" s="3">
        <v>3.4722222222222224E-4</v>
      </c>
      <c r="G515" s="3">
        <v>1.7013888888888888E-3</v>
      </c>
      <c r="H515" s="3">
        <v>3.1828703703703702E-3</v>
      </c>
      <c r="I515" s="2">
        <v>0.63270000000000004</v>
      </c>
    </row>
    <row r="516" spans="1:9">
      <c r="A516" s="1">
        <v>515</v>
      </c>
      <c r="B516" s="1">
        <v>115</v>
      </c>
      <c r="C516" s="1">
        <v>103</v>
      </c>
      <c r="D516" s="2">
        <v>0.89570000000000005</v>
      </c>
      <c r="E516" s="1">
        <v>12</v>
      </c>
      <c r="F516" s="3">
        <v>5.0925925925925921E-4</v>
      </c>
      <c r="G516" s="3">
        <v>1.9212962962962964E-3</v>
      </c>
      <c r="H516" s="3">
        <v>3.1828703703703702E-3</v>
      </c>
      <c r="I516" s="2">
        <v>0.37169999999999997</v>
      </c>
    </row>
    <row r="517" spans="1:9">
      <c r="A517" s="1">
        <v>516</v>
      </c>
      <c r="B517" s="1">
        <v>38</v>
      </c>
      <c r="C517" s="1">
        <v>36</v>
      </c>
      <c r="D517" s="2">
        <v>0.94740000000000002</v>
      </c>
      <c r="E517" s="1">
        <v>2</v>
      </c>
      <c r="F517" s="3">
        <v>4.5138888888888887E-4</v>
      </c>
      <c r="G517" s="3">
        <v>2.0370370370370369E-3</v>
      </c>
      <c r="H517" s="3">
        <v>2.0138888888888888E-3</v>
      </c>
      <c r="I517" s="2">
        <v>0.52629999999999999</v>
      </c>
    </row>
    <row r="518" spans="1:9">
      <c r="A518" s="1">
        <v>517</v>
      </c>
      <c r="B518" s="1">
        <v>108</v>
      </c>
      <c r="C518" s="1">
        <v>95</v>
      </c>
      <c r="D518" s="2">
        <v>0.87960000000000005</v>
      </c>
      <c r="E518" s="1">
        <v>13</v>
      </c>
      <c r="F518" s="3">
        <v>3.0092592592592595E-4</v>
      </c>
      <c r="G518" s="3">
        <v>1.9560185185185184E-3</v>
      </c>
      <c r="H518" s="3">
        <v>1.9212962962962964E-3</v>
      </c>
      <c r="I518" s="2">
        <v>0.6381</v>
      </c>
    </row>
    <row r="519" spans="1:9">
      <c r="A519" s="1">
        <v>518</v>
      </c>
      <c r="B519" s="1">
        <v>124</v>
      </c>
      <c r="C519" s="1">
        <v>118</v>
      </c>
      <c r="D519" s="2">
        <v>0.9516</v>
      </c>
      <c r="E519" s="1">
        <v>6</v>
      </c>
      <c r="F519" s="3">
        <v>2.6620370370370372E-4</v>
      </c>
      <c r="G519" s="3">
        <v>1.7476851851851852E-3</v>
      </c>
      <c r="H519" s="3">
        <v>2.0949074074074073E-3</v>
      </c>
      <c r="I519" s="2">
        <v>0.73770000000000002</v>
      </c>
    </row>
    <row r="520" spans="1:9">
      <c r="A520" s="1">
        <v>519</v>
      </c>
      <c r="B520" s="1">
        <v>97</v>
      </c>
      <c r="C520" s="1">
        <v>92</v>
      </c>
      <c r="D520" s="2">
        <v>0.94850000000000001</v>
      </c>
      <c r="E520" s="1">
        <v>5</v>
      </c>
      <c r="F520" s="3">
        <v>2.8935185185185184E-4</v>
      </c>
      <c r="G520" s="3">
        <v>1.8055555555555555E-3</v>
      </c>
      <c r="H520" s="3">
        <v>1.6550925925925926E-3</v>
      </c>
      <c r="I520" s="2">
        <v>0.67710000000000004</v>
      </c>
    </row>
    <row r="521" spans="1:9">
      <c r="A521" s="1">
        <v>520</v>
      </c>
      <c r="B521" s="1">
        <v>117</v>
      </c>
      <c r="C521" s="1">
        <v>108</v>
      </c>
      <c r="D521" s="2">
        <v>0.92310000000000003</v>
      </c>
      <c r="E521" s="1">
        <v>9</v>
      </c>
      <c r="F521" s="3">
        <v>4.2824074074074075E-4</v>
      </c>
      <c r="G521" s="3">
        <v>1.2268518518518518E-3</v>
      </c>
      <c r="H521" s="3">
        <v>2.8124999999999999E-3</v>
      </c>
      <c r="I521" s="2">
        <v>0.48670000000000002</v>
      </c>
    </row>
    <row r="522" spans="1:9">
      <c r="A522" s="1">
        <v>521</v>
      </c>
      <c r="B522" s="1">
        <v>34</v>
      </c>
      <c r="C522" s="1">
        <v>31</v>
      </c>
      <c r="D522" s="2">
        <v>0.91180000000000005</v>
      </c>
      <c r="E522" s="1">
        <v>3</v>
      </c>
      <c r="F522" s="3">
        <v>3.1250000000000001E-4</v>
      </c>
      <c r="G522" s="3">
        <v>1.8171296296296297E-3</v>
      </c>
      <c r="H522" s="3">
        <v>1.7592592592592592E-3</v>
      </c>
      <c r="I522" s="2">
        <v>0.64710000000000001</v>
      </c>
    </row>
    <row r="523" spans="1:9">
      <c r="A523" s="1">
        <v>522</v>
      </c>
      <c r="B523" s="1">
        <v>53</v>
      </c>
      <c r="C523" s="1">
        <v>50</v>
      </c>
      <c r="D523" s="2">
        <v>0.94340000000000002</v>
      </c>
      <c r="E523" s="1">
        <v>3</v>
      </c>
      <c r="F523" s="3">
        <v>3.2407407407407406E-4</v>
      </c>
      <c r="G523" s="3">
        <v>1.5162037037037036E-3</v>
      </c>
      <c r="H523" s="3">
        <v>2.2685185185185187E-3</v>
      </c>
      <c r="I523" s="2">
        <v>0.66039999999999999</v>
      </c>
    </row>
    <row r="524" spans="1:9">
      <c r="A524" s="1">
        <v>523</v>
      </c>
      <c r="B524" s="1">
        <v>29</v>
      </c>
      <c r="C524" s="1">
        <v>23</v>
      </c>
      <c r="D524" s="2">
        <v>0.79310000000000003</v>
      </c>
      <c r="E524" s="1">
        <v>6</v>
      </c>
      <c r="F524" s="3">
        <v>4.861111111111111E-4</v>
      </c>
      <c r="G524" s="3">
        <v>1.9328703703703704E-3</v>
      </c>
      <c r="H524" s="3">
        <v>2.5462962962962965E-3</v>
      </c>
      <c r="I524" s="2">
        <v>0.32140000000000002</v>
      </c>
    </row>
    <row r="525" spans="1:9">
      <c r="A525" s="1">
        <v>524</v>
      </c>
      <c r="B525" s="1">
        <v>120</v>
      </c>
      <c r="C525" s="1">
        <v>107</v>
      </c>
      <c r="D525" s="2">
        <v>0.89170000000000005</v>
      </c>
      <c r="E525" s="1">
        <v>13</v>
      </c>
      <c r="F525" s="3">
        <v>3.9351851851851852E-4</v>
      </c>
      <c r="G525" s="3">
        <v>1.8402777777777777E-3</v>
      </c>
      <c r="H525" s="3">
        <v>2.3263888888888887E-3</v>
      </c>
      <c r="I525" s="2">
        <v>0.44069999999999998</v>
      </c>
    </row>
    <row r="526" spans="1:9">
      <c r="A526" s="1">
        <v>525</v>
      </c>
      <c r="B526" s="1">
        <v>107</v>
      </c>
      <c r="C526" s="1">
        <v>100</v>
      </c>
      <c r="D526" s="2">
        <v>0.93459999999999999</v>
      </c>
      <c r="E526" s="1">
        <v>7</v>
      </c>
      <c r="F526" s="3">
        <v>3.8194444444444446E-4</v>
      </c>
      <c r="G526" s="3">
        <v>1.7708333333333332E-3</v>
      </c>
      <c r="H526" s="3">
        <v>1.4814814814814814E-3</v>
      </c>
      <c r="I526" s="2">
        <v>0.51429999999999998</v>
      </c>
    </row>
    <row r="527" spans="1:9">
      <c r="A527" s="1">
        <v>526</v>
      </c>
      <c r="B527" s="1">
        <v>173</v>
      </c>
      <c r="C527" s="1">
        <v>159</v>
      </c>
      <c r="D527" s="2">
        <v>0.91910000000000003</v>
      </c>
      <c r="E527" s="1">
        <v>14</v>
      </c>
      <c r="F527" s="3">
        <v>5.4398148148148144E-4</v>
      </c>
      <c r="G527" s="3">
        <v>1.8981481481481482E-3</v>
      </c>
      <c r="H527" s="3">
        <v>3.8194444444444443E-3</v>
      </c>
      <c r="I527" s="2">
        <v>0.39410000000000001</v>
      </c>
    </row>
    <row r="528" spans="1:9">
      <c r="A528" s="1">
        <v>527</v>
      </c>
      <c r="B528" s="1">
        <v>256</v>
      </c>
      <c r="C528" s="1">
        <v>213</v>
      </c>
      <c r="D528" s="2">
        <v>0.83199999999999996</v>
      </c>
      <c r="E528" s="1">
        <v>43</v>
      </c>
      <c r="F528" s="3">
        <v>5.0925925925925921E-4</v>
      </c>
      <c r="G528" s="3">
        <v>1.9097222222222222E-3</v>
      </c>
      <c r="H528" s="3">
        <v>3.6805555555555554E-3</v>
      </c>
      <c r="I528" s="2">
        <v>0.41699999999999998</v>
      </c>
    </row>
    <row r="529" spans="1:9">
      <c r="A529" s="1">
        <v>528</v>
      </c>
      <c r="B529" s="1">
        <v>199</v>
      </c>
      <c r="C529" s="1">
        <v>174</v>
      </c>
      <c r="D529" s="2">
        <v>0.87439999999999996</v>
      </c>
      <c r="E529" s="1">
        <v>25</v>
      </c>
      <c r="F529" s="3">
        <v>4.1666666666666669E-4</v>
      </c>
      <c r="G529" s="3">
        <v>1.7939814814814815E-3</v>
      </c>
      <c r="H529" s="3">
        <v>3.1828703703703702E-3</v>
      </c>
      <c r="I529" s="2">
        <v>0.53059999999999996</v>
      </c>
    </row>
    <row r="530" spans="1:9">
      <c r="A530" s="1">
        <v>529</v>
      </c>
      <c r="B530" s="1">
        <v>182</v>
      </c>
      <c r="C530" s="1">
        <v>170</v>
      </c>
      <c r="D530" s="2">
        <v>0.93410000000000004</v>
      </c>
      <c r="E530" s="1">
        <v>12</v>
      </c>
      <c r="F530" s="3">
        <v>4.6296296296296298E-4</v>
      </c>
      <c r="G530" s="3">
        <v>1.8981481481481482E-3</v>
      </c>
      <c r="H530" s="3">
        <v>2.3958333333333331E-3</v>
      </c>
      <c r="I530" s="2">
        <v>0.45810000000000001</v>
      </c>
    </row>
    <row r="531" spans="1:9">
      <c r="A531" s="1">
        <v>530</v>
      </c>
      <c r="B531" s="1">
        <v>42</v>
      </c>
      <c r="C531" s="1">
        <v>41</v>
      </c>
      <c r="D531" s="2">
        <v>0.97619999999999996</v>
      </c>
      <c r="E531" s="1">
        <v>1</v>
      </c>
      <c r="F531" s="3">
        <v>4.861111111111111E-4</v>
      </c>
      <c r="G531" s="3">
        <v>2.0023148148148148E-3</v>
      </c>
      <c r="H531" s="3">
        <v>2.5462962962962965E-3</v>
      </c>
      <c r="I531" s="2">
        <v>0.56100000000000005</v>
      </c>
    </row>
    <row r="532" spans="1:9">
      <c r="A532" s="1">
        <v>531</v>
      </c>
      <c r="B532" s="1">
        <v>181</v>
      </c>
      <c r="C532" s="1">
        <v>168</v>
      </c>
      <c r="D532" s="2">
        <v>0.92820000000000003</v>
      </c>
      <c r="E532" s="1">
        <v>13</v>
      </c>
      <c r="F532" s="3">
        <v>3.9351851851851852E-4</v>
      </c>
      <c r="G532" s="3">
        <v>1.7939814814814815E-3</v>
      </c>
      <c r="H532" s="3">
        <v>1.8865740740740742E-3</v>
      </c>
      <c r="I532" s="2">
        <v>0.51690000000000003</v>
      </c>
    </row>
    <row r="533" spans="1:9">
      <c r="A533" s="1">
        <v>532</v>
      </c>
      <c r="B533" s="1">
        <v>159</v>
      </c>
      <c r="C533" s="1">
        <v>147</v>
      </c>
      <c r="D533" s="2">
        <v>0.92449999999999999</v>
      </c>
      <c r="E533" s="1">
        <v>12</v>
      </c>
      <c r="F533" s="3">
        <v>3.4722222222222224E-4</v>
      </c>
      <c r="G533" s="3">
        <v>1.8055555555555555E-3</v>
      </c>
      <c r="H533" s="3">
        <v>3.2291666666666666E-3</v>
      </c>
      <c r="I533" s="2">
        <v>0.58709999999999996</v>
      </c>
    </row>
    <row r="534" spans="1:9">
      <c r="A534" s="1">
        <v>533</v>
      </c>
      <c r="B534" s="1">
        <v>142</v>
      </c>
      <c r="C534" s="1">
        <v>134</v>
      </c>
      <c r="D534" s="2">
        <v>0.94369999999999998</v>
      </c>
      <c r="E534" s="1">
        <v>8</v>
      </c>
      <c r="F534" s="3">
        <v>3.0092592592592595E-4</v>
      </c>
      <c r="G534" s="3">
        <v>1.9675925925925924E-3</v>
      </c>
      <c r="H534" s="3">
        <v>1.2731481481481483E-3</v>
      </c>
      <c r="I534" s="2">
        <v>0.61870000000000003</v>
      </c>
    </row>
    <row r="535" spans="1:9">
      <c r="A535" s="1">
        <v>534</v>
      </c>
      <c r="B535" s="1">
        <v>194</v>
      </c>
      <c r="C535" s="1">
        <v>163</v>
      </c>
      <c r="D535" s="2">
        <v>0.84019999999999995</v>
      </c>
      <c r="E535" s="1">
        <v>31</v>
      </c>
      <c r="F535" s="3">
        <v>3.4722222222222224E-4</v>
      </c>
      <c r="G535" s="3">
        <v>1.8287037037037037E-3</v>
      </c>
      <c r="H535" s="3">
        <v>3.8310185185185183E-3</v>
      </c>
      <c r="I535" s="2">
        <v>0.51039999999999996</v>
      </c>
    </row>
    <row r="536" spans="1:9">
      <c r="A536" s="1">
        <v>535</v>
      </c>
      <c r="B536" s="1">
        <v>235</v>
      </c>
      <c r="C536" s="1">
        <v>210</v>
      </c>
      <c r="D536" s="2">
        <v>0.89359999999999995</v>
      </c>
      <c r="E536" s="1">
        <v>25</v>
      </c>
      <c r="F536" s="3">
        <v>4.3981481481481481E-4</v>
      </c>
      <c r="G536" s="3">
        <v>2.0023148148148148E-3</v>
      </c>
      <c r="H536" s="3">
        <v>3.1828703703703702E-3</v>
      </c>
      <c r="I536" s="2">
        <v>0.48899999999999999</v>
      </c>
    </row>
    <row r="537" spans="1:9">
      <c r="A537" s="1">
        <v>536</v>
      </c>
      <c r="B537" s="1">
        <v>206</v>
      </c>
      <c r="C537" s="1">
        <v>180</v>
      </c>
      <c r="D537" s="2">
        <v>0.87380000000000002</v>
      </c>
      <c r="E537" s="1">
        <v>26</v>
      </c>
      <c r="F537" s="3">
        <v>5.9027777777777778E-4</v>
      </c>
      <c r="G537" s="3">
        <v>1.9328703703703704E-3</v>
      </c>
      <c r="H537" s="3">
        <v>4.8958333333333336E-3</v>
      </c>
      <c r="I537" s="2">
        <v>0.3861</v>
      </c>
    </row>
    <row r="538" spans="1:9">
      <c r="A538" s="1">
        <v>537</v>
      </c>
      <c r="B538" s="1">
        <v>58</v>
      </c>
      <c r="C538" s="1">
        <v>47</v>
      </c>
      <c r="D538" s="2">
        <v>0.81030000000000002</v>
      </c>
      <c r="E538" s="1">
        <v>11</v>
      </c>
      <c r="F538" s="3">
        <v>5.5555555555555556E-4</v>
      </c>
      <c r="G538" s="3">
        <v>1.8055555555555555E-3</v>
      </c>
      <c r="H538" s="3">
        <v>3.1828703703703702E-3</v>
      </c>
      <c r="I538" s="2">
        <v>0.42109999999999997</v>
      </c>
    </row>
    <row r="539" spans="1:9">
      <c r="A539" s="1">
        <v>538</v>
      </c>
      <c r="B539" s="1">
        <v>212</v>
      </c>
      <c r="C539" s="1">
        <v>194</v>
      </c>
      <c r="D539" s="2">
        <v>0.91510000000000002</v>
      </c>
      <c r="E539" s="1">
        <v>18</v>
      </c>
      <c r="F539" s="3">
        <v>4.3981481481481481E-4</v>
      </c>
      <c r="G539" s="3">
        <v>1.7708333333333332E-3</v>
      </c>
      <c r="H539" s="3">
        <v>3.0208333333333333E-3</v>
      </c>
      <c r="I539" s="2">
        <v>0.51200000000000001</v>
      </c>
    </row>
    <row r="540" spans="1:9">
      <c r="A540" s="1">
        <v>539</v>
      </c>
      <c r="B540" s="1">
        <v>232</v>
      </c>
      <c r="C540" s="1">
        <v>214</v>
      </c>
      <c r="D540" s="2">
        <v>0.9224</v>
      </c>
      <c r="E540" s="1">
        <v>18</v>
      </c>
      <c r="F540" s="3">
        <v>3.9351851851851852E-4</v>
      </c>
      <c r="G540" s="3">
        <v>1.8055555555555555E-3</v>
      </c>
      <c r="H540" s="3">
        <v>3.8194444444444443E-3</v>
      </c>
      <c r="I540" s="2">
        <v>0.55900000000000005</v>
      </c>
    </row>
    <row r="541" spans="1:9">
      <c r="A541" s="1">
        <v>540</v>
      </c>
      <c r="B541" s="1">
        <v>348</v>
      </c>
      <c r="C541" s="1">
        <v>327</v>
      </c>
      <c r="D541" s="2">
        <v>0.93969999999999998</v>
      </c>
      <c r="E541" s="1">
        <v>21</v>
      </c>
      <c r="F541" s="3">
        <v>3.7037037037037035E-4</v>
      </c>
      <c r="G541" s="3">
        <v>1.712962962962963E-3</v>
      </c>
      <c r="H541" s="3">
        <v>5.092592592592593E-3</v>
      </c>
      <c r="I541" s="2">
        <v>0.54620000000000002</v>
      </c>
    </row>
    <row r="542" spans="1:9">
      <c r="A542" s="1">
        <v>541</v>
      </c>
      <c r="B542" s="1">
        <v>167</v>
      </c>
      <c r="C542" s="1">
        <v>156</v>
      </c>
      <c r="D542" s="2">
        <v>0.93410000000000004</v>
      </c>
      <c r="E542" s="1">
        <v>11</v>
      </c>
      <c r="F542" s="3">
        <v>3.7037037037037035E-4</v>
      </c>
      <c r="G542" s="3">
        <v>1.8865740740740742E-3</v>
      </c>
      <c r="H542" s="3">
        <v>2.0486111111111113E-3</v>
      </c>
      <c r="I542" s="2">
        <v>0.56789999999999996</v>
      </c>
    </row>
    <row r="543" spans="1:9">
      <c r="A543" s="1">
        <v>542</v>
      </c>
      <c r="B543" s="1">
        <v>167</v>
      </c>
      <c r="C543" s="1">
        <v>157</v>
      </c>
      <c r="D543" s="2">
        <v>0.94010000000000005</v>
      </c>
      <c r="E543" s="1">
        <v>10</v>
      </c>
      <c r="F543" s="3">
        <v>3.1250000000000001E-4</v>
      </c>
      <c r="G543" s="3">
        <v>2.0486111111111113E-3</v>
      </c>
      <c r="H543" s="3">
        <v>3.6921296296296298E-3</v>
      </c>
      <c r="I543" s="2">
        <v>0.67479999999999996</v>
      </c>
    </row>
    <row r="544" spans="1:9">
      <c r="A544" s="1">
        <v>543</v>
      </c>
      <c r="B544" s="1">
        <v>166</v>
      </c>
      <c r="C544" s="1">
        <v>161</v>
      </c>
      <c r="D544" s="2">
        <v>0.96989999999999998</v>
      </c>
      <c r="E544" s="1">
        <v>5</v>
      </c>
      <c r="F544" s="3">
        <v>2.4305555555555555E-4</v>
      </c>
      <c r="G544" s="3">
        <v>1.9097222222222222E-3</v>
      </c>
      <c r="H544" s="3">
        <v>1.0648148148148149E-3</v>
      </c>
      <c r="I544" s="2">
        <v>0.73329999999999995</v>
      </c>
    </row>
    <row r="545" spans="1:9">
      <c r="A545" s="1">
        <v>544</v>
      </c>
      <c r="B545" s="1">
        <v>32</v>
      </c>
      <c r="C545" s="1">
        <v>28</v>
      </c>
      <c r="D545" s="2">
        <v>0.875</v>
      </c>
      <c r="E545" s="1">
        <v>4</v>
      </c>
      <c r="F545" s="3">
        <v>2.5462962962962961E-4</v>
      </c>
      <c r="G545" s="3">
        <v>1.8865740740740742E-3</v>
      </c>
      <c r="H545" s="3">
        <v>5.2662037037037035E-3</v>
      </c>
      <c r="I545" s="2">
        <v>0.6452</v>
      </c>
    </row>
    <row r="546" spans="1:9">
      <c r="A546" s="1">
        <v>545</v>
      </c>
      <c r="B546" s="1">
        <v>52</v>
      </c>
      <c r="C546" s="1">
        <v>49</v>
      </c>
      <c r="D546" s="2">
        <v>0.94230000000000003</v>
      </c>
      <c r="E546" s="1">
        <v>3</v>
      </c>
      <c r="F546" s="3">
        <v>3.7037037037037035E-4</v>
      </c>
      <c r="G546" s="3">
        <v>2.0601851851851853E-3</v>
      </c>
      <c r="H546" s="3">
        <v>2.1064814814814813E-3</v>
      </c>
      <c r="I546" s="2">
        <v>0.63460000000000005</v>
      </c>
    </row>
    <row r="547" spans="1:9">
      <c r="A547" s="1">
        <v>546</v>
      </c>
      <c r="B547" s="1">
        <v>154</v>
      </c>
      <c r="C547" s="1">
        <v>149</v>
      </c>
      <c r="D547" s="2">
        <v>0.96750000000000003</v>
      </c>
      <c r="E547" s="1">
        <v>5</v>
      </c>
      <c r="F547" s="3">
        <v>3.0092592592592595E-4</v>
      </c>
      <c r="G547" s="3">
        <v>1.9907407407407408E-3</v>
      </c>
      <c r="H547" s="3">
        <v>1.2731481481481483E-3</v>
      </c>
      <c r="I547" s="2">
        <v>0.64900000000000002</v>
      </c>
    </row>
    <row r="548" spans="1:9">
      <c r="A548" s="1">
        <v>547</v>
      </c>
      <c r="B548" s="1">
        <v>223</v>
      </c>
      <c r="C548" s="1">
        <v>218</v>
      </c>
      <c r="D548" s="2">
        <v>0.97760000000000002</v>
      </c>
      <c r="E548" s="1">
        <v>5</v>
      </c>
      <c r="F548" s="3">
        <v>2.0833333333333335E-4</v>
      </c>
      <c r="G548" s="3">
        <v>1.4699074074074074E-3</v>
      </c>
      <c r="H548" s="3">
        <v>1.3888888888888889E-3</v>
      </c>
      <c r="I548" s="2">
        <v>0.80089999999999995</v>
      </c>
    </row>
    <row r="549" spans="1:9">
      <c r="A549" s="1">
        <v>548</v>
      </c>
      <c r="B549" s="1">
        <v>170</v>
      </c>
      <c r="C549" s="1">
        <v>157</v>
      </c>
      <c r="D549" s="2">
        <v>0.92349999999999999</v>
      </c>
      <c r="E549" s="1">
        <v>13</v>
      </c>
      <c r="F549" s="3">
        <v>1.9675925925925926E-4</v>
      </c>
      <c r="G549" s="3">
        <v>2.1296296296296298E-3</v>
      </c>
      <c r="H549" s="3">
        <v>4.4560185185185189E-3</v>
      </c>
      <c r="I549" s="2">
        <v>0.78439999999999999</v>
      </c>
    </row>
    <row r="550" spans="1:9">
      <c r="A550" s="1">
        <v>549</v>
      </c>
      <c r="B550" s="1">
        <v>145</v>
      </c>
      <c r="C550" s="1">
        <v>133</v>
      </c>
      <c r="D550" s="2">
        <v>0.91720000000000002</v>
      </c>
      <c r="E550" s="1">
        <v>12</v>
      </c>
      <c r="F550" s="3">
        <v>3.0092592592592595E-4</v>
      </c>
      <c r="G550" s="3">
        <v>2.0370370370370369E-3</v>
      </c>
      <c r="H550" s="3">
        <v>2.5347222222222221E-3</v>
      </c>
      <c r="I550" s="2">
        <v>0.69230000000000003</v>
      </c>
    </row>
    <row r="551" spans="1:9">
      <c r="A551" s="1">
        <v>550</v>
      </c>
      <c r="B551" s="1">
        <v>144</v>
      </c>
      <c r="C551" s="1">
        <v>138</v>
      </c>
      <c r="D551" s="2">
        <v>0.95830000000000004</v>
      </c>
      <c r="E551" s="1">
        <v>6</v>
      </c>
      <c r="F551" s="3">
        <v>1.9675925925925926E-4</v>
      </c>
      <c r="G551" s="3">
        <v>2.0023148148148148E-3</v>
      </c>
      <c r="H551" s="3">
        <v>1.9097222222222222E-3</v>
      </c>
      <c r="I551" s="2">
        <v>0.83799999999999997</v>
      </c>
    </row>
    <row r="552" spans="1:9">
      <c r="A552" s="1">
        <v>551</v>
      </c>
      <c r="B552" s="1">
        <v>16</v>
      </c>
      <c r="C552" s="1">
        <v>15</v>
      </c>
      <c r="D552" s="2">
        <v>0.9375</v>
      </c>
      <c r="E552" s="1">
        <v>1</v>
      </c>
      <c r="F552" s="3">
        <v>1.9675925925925926E-4</v>
      </c>
      <c r="G552" s="3">
        <v>2.0833333333333333E-3</v>
      </c>
      <c r="H552" s="3">
        <v>1.9097222222222222E-3</v>
      </c>
      <c r="I552" s="2">
        <v>0.6875</v>
      </c>
    </row>
    <row r="553" spans="1:9">
      <c r="A553" s="1">
        <v>552</v>
      </c>
      <c r="B553" s="1">
        <v>135</v>
      </c>
      <c r="C553" s="1">
        <v>131</v>
      </c>
      <c r="D553" s="2">
        <v>0.97040000000000004</v>
      </c>
      <c r="E553" s="1">
        <v>4</v>
      </c>
      <c r="F553" s="3">
        <v>2.3148148148148149E-4</v>
      </c>
      <c r="G553" s="3">
        <v>1.8171296296296297E-3</v>
      </c>
      <c r="H553" s="3">
        <v>1.3888888888888889E-3</v>
      </c>
      <c r="I553" s="2">
        <v>0.76119999999999999</v>
      </c>
    </row>
    <row r="554" spans="1:9">
      <c r="A554" s="1">
        <v>553</v>
      </c>
      <c r="B554" s="1">
        <v>137</v>
      </c>
      <c r="C554" s="1">
        <v>133</v>
      </c>
      <c r="D554" s="2">
        <v>0.9708</v>
      </c>
      <c r="E554" s="1">
        <v>4</v>
      </c>
      <c r="F554" s="3">
        <v>2.7777777777777778E-4</v>
      </c>
      <c r="G554" s="3">
        <v>1.9560185185185184E-3</v>
      </c>
      <c r="H554" s="3">
        <v>1.9212962962962964E-3</v>
      </c>
      <c r="I554" s="2">
        <v>0.69120000000000004</v>
      </c>
    </row>
    <row r="555" spans="1:9">
      <c r="A555" s="1">
        <v>554</v>
      </c>
      <c r="B555" s="1">
        <v>149</v>
      </c>
      <c r="C555" s="1">
        <v>144</v>
      </c>
      <c r="D555" s="2">
        <v>0.96640000000000004</v>
      </c>
      <c r="E555" s="1">
        <v>5</v>
      </c>
      <c r="F555" s="3">
        <v>1.9675925925925926E-4</v>
      </c>
      <c r="G555" s="3">
        <v>1.8402777777777777E-3</v>
      </c>
      <c r="H555" s="3">
        <v>1.4120370370370369E-3</v>
      </c>
      <c r="I555" s="2">
        <v>0.8276</v>
      </c>
    </row>
    <row r="556" spans="1:9">
      <c r="A556" s="1">
        <v>555</v>
      </c>
      <c r="B556" s="1">
        <v>155</v>
      </c>
      <c r="C556" s="1">
        <v>143</v>
      </c>
      <c r="D556" s="2">
        <v>0.92259999999999998</v>
      </c>
      <c r="E556" s="1">
        <v>12</v>
      </c>
      <c r="F556" s="3">
        <v>1.8518518518518518E-4</v>
      </c>
      <c r="G556" s="3">
        <v>1.8634259259259259E-3</v>
      </c>
      <c r="H556" s="3">
        <v>4.4560185185185189E-3</v>
      </c>
      <c r="I556" s="2">
        <v>0.8014</v>
      </c>
    </row>
    <row r="557" spans="1:9">
      <c r="A557" s="1">
        <v>556</v>
      </c>
      <c r="B557" s="1">
        <v>128</v>
      </c>
      <c r="C557" s="1">
        <v>121</v>
      </c>
      <c r="D557" s="2">
        <v>0.94530000000000003</v>
      </c>
      <c r="E557" s="1">
        <v>7</v>
      </c>
      <c r="F557" s="3">
        <v>2.199074074074074E-4</v>
      </c>
      <c r="G557" s="3">
        <v>2.0254629629629629E-3</v>
      </c>
      <c r="H557" s="3">
        <v>3.1828703703703702E-3</v>
      </c>
      <c r="I557" s="2">
        <v>0.77780000000000005</v>
      </c>
    </row>
    <row r="558" spans="1:9">
      <c r="A558" s="1">
        <v>557</v>
      </c>
      <c r="B558" s="1">
        <v>134</v>
      </c>
      <c r="C558" s="1">
        <v>125</v>
      </c>
      <c r="D558" s="2">
        <v>0.93279999999999996</v>
      </c>
      <c r="E558" s="1">
        <v>9</v>
      </c>
      <c r="F558" s="3">
        <v>2.4305555555555555E-4</v>
      </c>
      <c r="G558" s="3">
        <v>1.8287037037037037E-3</v>
      </c>
      <c r="H558" s="3">
        <v>2.2916666666666667E-3</v>
      </c>
      <c r="I558" s="2">
        <v>0.72519999999999996</v>
      </c>
    </row>
    <row r="559" spans="1:9">
      <c r="A559" s="1">
        <v>558</v>
      </c>
      <c r="B559" s="1">
        <v>21</v>
      </c>
      <c r="C559" s="1">
        <v>21</v>
      </c>
      <c r="D559" s="2">
        <v>1</v>
      </c>
      <c r="E559" s="1">
        <v>0</v>
      </c>
      <c r="F559" s="3">
        <v>2.6620370370370372E-4</v>
      </c>
      <c r="G559" s="3">
        <v>1.8171296296296297E-3</v>
      </c>
      <c r="H559" s="3">
        <v>1.9675925925925924E-3</v>
      </c>
      <c r="I559" s="2">
        <v>0.76190000000000002</v>
      </c>
    </row>
    <row r="560" spans="1:9">
      <c r="A560" s="1">
        <v>559</v>
      </c>
      <c r="B560" s="1">
        <v>150</v>
      </c>
      <c r="C560" s="1">
        <v>138</v>
      </c>
      <c r="D560" s="2">
        <v>0.92</v>
      </c>
      <c r="E560" s="1">
        <v>12</v>
      </c>
      <c r="F560" s="3">
        <v>3.4722222222222224E-4</v>
      </c>
      <c r="G560" s="3">
        <v>1.9907407407407408E-3</v>
      </c>
      <c r="H560" s="3">
        <v>2.9629629629629628E-3</v>
      </c>
      <c r="I560" s="2">
        <v>0.5867</v>
      </c>
    </row>
    <row r="561" spans="1:9">
      <c r="A561" s="1">
        <v>560</v>
      </c>
      <c r="B561" s="1">
        <v>163</v>
      </c>
      <c r="C561" s="1">
        <v>158</v>
      </c>
      <c r="D561" s="2">
        <v>0.96930000000000005</v>
      </c>
      <c r="E561" s="1">
        <v>5</v>
      </c>
      <c r="F561" s="3">
        <v>1.6203703703703703E-4</v>
      </c>
      <c r="G561" s="3">
        <v>1.712962962962963E-3</v>
      </c>
      <c r="H561" s="3">
        <v>1.4004629629629629E-3</v>
      </c>
      <c r="I561" s="2">
        <v>0.81989999999999996</v>
      </c>
    </row>
    <row r="562" spans="1:9">
      <c r="A562" s="1">
        <v>561</v>
      </c>
      <c r="B562" s="1">
        <v>160</v>
      </c>
      <c r="C562" s="1">
        <v>151</v>
      </c>
      <c r="D562" s="2">
        <v>0.94379999999999997</v>
      </c>
      <c r="E562" s="1">
        <v>9</v>
      </c>
      <c r="F562" s="3">
        <v>1.3888888888888889E-4</v>
      </c>
      <c r="G562" s="3">
        <v>1.8402777777777777E-3</v>
      </c>
      <c r="H562" s="3">
        <v>2.0486111111111113E-3</v>
      </c>
      <c r="I562" s="2">
        <v>0.87180000000000002</v>
      </c>
    </row>
    <row r="563" spans="1:9">
      <c r="A563" s="1">
        <v>562</v>
      </c>
      <c r="B563" s="1">
        <v>132</v>
      </c>
      <c r="C563" s="1">
        <v>125</v>
      </c>
      <c r="D563" s="2">
        <v>0.94699999999999995</v>
      </c>
      <c r="E563" s="1">
        <v>7</v>
      </c>
      <c r="F563" s="3">
        <v>3.4722222222222224E-4</v>
      </c>
      <c r="G563" s="3">
        <v>1.9212962962962964E-3</v>
      </c>
      <c r="H563" s="3">
        <v>2.627314814814815E-3</v>
      </c>
      <c r="I563" s="2">
        <v>0.6462</v>
      </c>
    </row>
    <row r="564" spans="1:9">
      <c r="A564" s="1">
        <v>563</v>
      </c>
      <c r="B564" s="1">
        <v>131</v>
      </c>
      <c r="C564" s="1">
        <v>126</v>
      </c>
      <c r="D564" s="2">
        <v>0.96179999999999999</v>
      </c>
      <c r="E564" s="1">
        <v>5</v>
      </c>
      <c r="F564" s="3">
        <v>1.9675925925925926E-4</v>
      </c>
      <c r="G564" s="3">
        <v>1.9328703703703704E-3</v>
      </c>
      <c r="H564" s="3">
        <v>1.7939814814814815E-3</v>
      </c>
      <c r="I564" s="2">
        <v>0.78290000000000004</v>
      </c>
    </row>
    <row r="565" spans="1:9">
      <c r="A565" s="1">
        <v>564</v>
      </c>
      <c r="B565" s="1">
        <v>158</v>
      </c>
      <c r="C565" s="1">
        <v>146</v>
      </c>
      <c r="D565" s="2">
        <v>0.92410000000000003</v>
      </c>
      <c r="E565" s="1">
        <v>12</v>
      </c>
      <c r="F565" s="3">
        <v>2.4305555555555555E-4</v>
      </c>
      <c r="G565" s="3">
        <v>1.8749999999999999E-3</v>
      </c>
      <c r="H565" s="3">
        <v>2.5462962962962965E-3</v>
      </c>
      <c r="I565" s="2">
        <v>0.75319999999999998</v>
      </c>
    </row>
    <row r="566" spans="1:9">
      <c r="A566" s="1">
        <v>565</v>
      </c>
      <c r="B566" s="1">
        <v>19</v>
      </c>
      <c r="C566" s="1">
        <v>16</v>
      </c>
      <c r="D566" s="2">
        <v>0.84209999999999996</v>
      </c>
      <c r="E566" s="1">
        <v>3</v>
      </c>
      <c r="F566" s="3">
        <v>5.9027777777777778E-4</v>
      </c>
      <c r="G566" s="3">
        <v>1.9212962962962964E-3</v>
      </c>
      <c r="H566" s="3">
        <v>2.9398148148148148E-3</v>
      </c>
      <c r="I566" s="2">
        <v>0.47370000000000001</v>
      </c>
    </row>
    <row r="567" spans="1:9">
      <c r="A567" s="1">
        <v>566</v>
      </c>
      <c r="B567" s="1">
        <v>151</v>
      </c>
      <c r="C567" s="1">
        <v>128</v>
      </c>
      <c r="D567" s="2">
        <v>0.84770000000000001</v>
      </c>
      <c r="E567" s="1">
        <v>23</v>
      </c>
      <c r="F567" s="3">
        <v>6.018518518518519E-4</v>
      </c>
      <c r="G567" s="3">
        <v>1.736111111111111E-3</v>
      </c>
      <c r="H567" s="3">
        <v>3.9120370370370368E-3</v>
      </c>
      <c r="I567" s="2">
        <v>0.37930000000000003</v>
      </c>
    </row>
    <row r="568" spans="1:9">
      <c r="A568" s="1">
        <v>567</v>
      </c>
      <c r="B568" s="1">
        <v>139</v>
      </c>
      <c r="C568" s="1">
        <v>128</v>
      </c>
      <c r="D568" s="2">
        <v>0.92090000000000005</v>
      </c>
      <c r="E568" s="1">
        <v>11</v>
      </c>
      <c r="F568" s="3">
        <v>3.7037037037037035E-4</v>
      </c>
      <c r="G568" s="3">
        <v>1.8981481481481482E-3</v>
      </c>
      <c r="H568" s="3">
        <v>2.476851851851852E-3</v>
      </c>
      <c r="I568" s="2">
        <v>0.51800000000000002</v>
      </c>
    </row>
    <row r="569" spans="1:9">
      <c r="A569" s="1">
        <v>568</v>
      </c>
      <c r="B569" s="1">
        <v>166</v>
      </c>
      <c r="C569" s="1">
        <v>135</v>
      </c>
      <c r="D569" s="2">
        <v>0.81330000000000002</v>
      </c>
      <c r="E569" s="1">
        <v>31</v>
      </c>
      <c r="F569" s="3">
        <v>4.7453703703703704E-4</v>
      </c>
      <c r="G569" s="3">
        <v>1.8518518518518519E-3</v>
      </c>
      <c r="H569" s="3">
        <v>3.5763888888888889E-3</v>
      </c>
      <c r="I569" s="2">
        <v>0.46500000000000002</v>
      </c>
    </row>
    <row r="570" spans="1:9">
      <c r="A570" s="1">
        <v>569</v>
      </c>
      <c r="B570" s="1">
        <v>258</v>
      </c>
      <c r="C570" s="1">
        <v>196</v>
      </c>
      <c r="D570" s="2">
        <v>0.75970000000000004</v>
      </c>
      <c r="E570" s="1">
        <v>62</v>
      </c>
      <c r="F570" s="3">
        <v>8.1018518518518516E-4</v>
      </c>
      <c r="G570" s="3">
        <v>1.736111111111111E-3</v>
      </c>
      <c r="H570" s="3">
        <v>5.4513888888888893E-3</v>
      </c>
      <c r="I570" s="2">
        <v>0.2429</v>
      </c>
    </row>
    <row r="571" spans="1:9">
      <c r="A571" s="1">
        <v>570</v>
      </c>
      <c r="B571" s="1">
        <v>203</v>
      </c>
      <c r="C571" s="1">
        <v>176</v>
      </c>
      <c r="D571" s="2">
        <v>0.86699999999999999</v>
      </c>
      <c r="E571" s="1">
        <v>27</v>
      </c>
      <c r="F571" s="3">
        <v>4.6296296296296298E-4</v>
      </c>
      <c r="G571" s="3">
        <v>1.736111111111111E-3</v>
      </c>
      <c r="H571" s="3">
        <v>6.3541666666666668E-3</v>
      </c>
      <c r="I571" s="2">
        <v>0.44779999999999998</v>
      </c>
    </row>
    <row r="572" spans="1:9">
      <c r="A572" s="1">
        <v>571</v>
      </c>
      <c r="B572" s="1">
        <v>182</v>
      </c>
      <c r="C572" s="1">
        <v>162</v>
      </c>
      <c r="D572" s="2">
        <v>0.8901</v>
      </c>
      <c r="E572" s="1">
        <v>20</v>
      </c>
      <c r="F572" s="3">
        <v>2.8935185185185184E-4</v>
      </c>
      <c r="G572" s="3">
        <v>1.9444444444444444E-3</v>
      </c>
      <c r="H572" s="3">
        <v>2.5462962962962965E-3</v>
      </c>
      <c r="I572" s="2">
        <v>0.59430000000000005</v>
      </c>
    </row>
    <row r="573" spans="1:9">
      <c r="A573" s="1">
        <v>572</v>
      </c>
      <c r="B573" s="1">
        <v>18</v>
      </c>
      <c r="C573" s="1">
        <v>17</v>
      </c>
      <c r="D573" s="2">
        <v>0.94440000000000002</v>
      </c>
      <c r="E573" s="1">
        <v>1</v>
      </c>
      <c r="F573" s="3">
        <v>6.3657407407407413E-4</v>
      </c>
      <c r="G573" s="3">
        <v>2.7893518518518519E-3</v>
      </c>
      <c r="H573" s="3">
        <v>4.0046296296296297E-3</v>
      </c>
      <c r="I573" s="2">
        <v>0.5</v>
      </c>
    </row>
    <row r="574" spans="1:9">
      <c r="A574" s="1">
        <v>573</v>
      </c>
      <c r="B574" s="1">
        <v>215</v>
      </c>
      <c r="C574" s="1">
        <v>170</v>
      </c>
      <c r="D574" s="2">
        <v>0.79069999999999996</v>
      </c>
      <c r="E574" s="1">
        <v>45</v>
      </c>
      <c r="F574" s="3">
        <v>6.3657407407407413E-4</v>
      </c>
      <c r="G574" s="3">
        <v>1.9560185185185184E-3</v>
      </c>
      <c r="H574" s="3">
        <v>5.162037037037037E-3</v>
      </c>
      <c r="I574" s="2">
        <v>0.43059999999999998</v>
      </c>
    </row>
    <row r="575" spans="1:9">
      <c r="A575" s="1">
        <v>574</v>
      </c>
      <c r="B575" s="1">
        <v>209</v>
      </c>
      <c r="C575" s="1">
        <v>203</v>
      </c>
      <c r="D575" s="2">
        <v>0.97130000000000005</v>
      </c>
      <c r="E575" s="1">
        <v>6</v>
      </c>
      <c r="F575" s="3">
        <v>2.8935185185185184E-4</v>
      </c>
      <c r="G575" s="3">
        <v>1.8749999999999999E-3</v>
      </c>
      <c r="H575" s="3">
        <v>2.5462962962962965E-3</v>
      </c>
      <c r="I575" s="2">
        <v>0.74880000000000002</v>
      </c>
    </row>
    <row r="576" spans="1:9">
      <c r="A576" s="1">
        <v>575</v>
      </c>
      <c r="B576" s="1">
        <v>140</v>
      </c>
      <c r="C576" s="1">
        <v>134</v>
      </c>
      <c r="D576" s="2">
        <v>0.95709999999999995</v>
      </c>
      <c r="E576" s="1">
        <v>6</v>
      </c>
      <c r="F576" s="3">
        <v>2.3148148148148149E-4</v>
      </c>
      <c r="G576" s="3">
        <v>2.0717592592592593E-3</v>
      </c>
      <c r="H576" s="3">
        <v>2.3263888888888887E-3</v>
      </c>
      <c r="I576" s="2">
        <v>0.76259999999999994</v>
      </c>
    </row>
    <row r="577" spans="1:9">
      <c r="A577" s="1">
        <v>576</v>
      </c>
      <c r="B577" s="1">
        <v>124</v>
      </c>
      <c r="C577" s="1">
        <v>110</v>
      </c>
      <c r="D577" s="2">
        <v>0.8871</v>
      </c>
      <c r="E577" s="1">
        <v>14</v>
      </c>
      <c r="F577" s="3">
        <v>1.7361111111111112E-4</v>
      </c>
      <c r="G577" s="3">
        <v>2.0370370370370369E-3</v>
      </c>
      <c r="H577" s="3">
        <v>5.7407407407407407E-3</v>
      </c>
      <c r="I577" s="2">
        <v>0.81820000000000004</v>
      </c>
    </row>
    <row r="578" spans="1:9">
      <c r="A578" s="1">
        <v>577</v>
      </c>
      <c r="B578" s="1">
        <v>179</v>
      </c>
      <c r="C578" s="1">
        <v>163</v>
      </c>
      <c r="D578" s="2">
        <v>0.91059999999999997</v>
      </c>
      <c r="E578" s="1">
        <v>16</v>
      </c>
      <c r="F578" s="3">
        <v>2.6620370370370372E-4</v>
      </c>
      <c r="G578" s="3">
        <v>1.8981481481481482E-3</v>
      </c>
      <c r="H578" s="3">
        <v>2.9745370370370373E-3</v>
      </c>
      <c r="I578" s="2">
        <v>0.71589999999999998</v>
      </c>
    </row>
    <row r="579" spans="1:9">
      <c r="A579" s="1">
        <v>578</v>
      </c>
      <c r="B579" s="1">
        <v>163</v>
      </c>
      <c r="C579" s="1">
        <v>161</v>
      </c>
      <c r="D579" s="2">
        <v>0.98770000000000002</v>
      </c>
      <c r="E579" s="1">
        <v>2</v>
      </c>
      <c r="F579" s="3">
        <v>1.1574074074074075E-4</v>
      </c>
      <c r="G579" s="3">
        <v>1.8518518518518519E-3</v>
      </c>
      <c r="H579" s="3">
        <v>1.2847222222222223E-3</v>
      </c>
      <c r="I579" s="2">
        <v>0.94410000000000005</v>
      </c>
    </row>
    <row r="580" spans="1:9">
      <c r="A580" s="1">
        <v>579</v>
      </c>
      <c r="B580" s="1">
        <v>27</v>
      </c>
      <c r="C580" s="1">
        <v>27</v>
      </c>
      <c r="D580" s="2">
        <v>1</v>
      </c>
      <c r="E580" s="1">
        <v>0</v>
      </c>
      <c r="F580" s="3">
        <v>5.7870370370370373E-5</v>
      </c>
      <c r="G580" s="3">
        <v>1.9444444444444444E-3</v>
      </c>
      <c r="H580" s="3">
        <v>2.199074074074074E-4</v>
      </c>
      <c r="I580" s="2">
        <v>1</v>
      </c>
    </row>
    <row r="581" spans="1:9">
      <c r="A581" s="1">
        <v>580</v>
      </c>
      <c r="B581" s="1">
        <v>182</v>
      </c>
      <c r="C581" s="1">
        <v>175</v>
      </c>
      <c r="D581" s="2">
        <v>0.96150000000000002</v>
      </c>
      <c r="E581" s="1">
        <v>7</v>
      </c>
      <c r="F581" s="3">
        <v>2.199074074074074E-4</v>
      </c>
      <c r="G581" s="3">
        <v>1.8287037037037037E-3</v>
      </c>
      <c r="H581" s="3">
        <v>2.1759259259259258E-3</v>
      </c>
      <c r="I581" s="2">
        <v>0.79890000000000005</v>
      </c>
    </row>
    <row r="582" spans="1:9">
      <c r="A582" s="1">
        <v>581</v>
      </c>
      <c r="B582" s="1">
        <v>164</v>
      </c>
      <c r="C582" s="1">
        <v>159</v>
      </c>
      <c r="D582" s="2">
        <v>0.96950000000000003</v>
      </c>
      <c r="E582" s="1">
        <v>5</v>
      </c>
      <c r="F582" s="3">
        <v>1.273148148148148E-4</v>
      </c>
      <c r="G582" s="3">
        <v>1.6550925925925926E-3</v>
      </c>
      <c r="H582" s="3">
        <v>4.4907407407407405E-3</v>
      </c>
      <c r="I582" s="2">
        <v>0.90180000000000005</v>
      </c>
    </row>
    <row r="583" spans="1:9">
      <c r="A583" s="1">
        <v>582</v>
      </c>
      <c r="B583" s="1">
        <v>160</v>
      </c>
      <c r="C583" s="1">
        <v>159</v>
      </c>
      <c r="D583" s="2">
        <v>0.99380000000000002</v>
      </c>
      <c r="E583" s="1">
        <v>1</v>
      </c>
      <c r="F583" s="3">
        <v>5.7870370370370373E-5</v>
      </c>
      <c r="G583" s="3">
        <v>1.8518518518518519E-3</v>
      </c>
      <c r="H583" s="3">
        <v>6.7129629629629625E-4</v>
      </c>
      <c r="I583" s="2">
        <v>0.98740000000000006</v>
      </c>
    </row>
    <row r="584" spans="1:9">
      <c r="A584" s="1">
        <v>583</v>
      </c>
      <c r="B584" s="1">
        <v>174</v>
      </c>
      <c r="C584" s="1">
        <v>155</v>
      </c>
      <c r="D584" s="2">
        <v>0.89080000000000004</v>
      </c>
      <c r="E584" s="1">
        <v>19</v>
      </c>
      <c r="F584" s="3">
        <v>1.8518518518518518E-4</v>
      </c>
      <c r="G584" s="3">
        <v>1.8634259259259259E-3</v>
      </c>
      <c r="H584" s="3">
        <v>4.6180555555555558E-3</v>
      </c>
      <c r="I584" s="2">
        <v>0.77059999999999995</v>
      </c>
    </row>
    <row r="585" spans="1:9">
      <c r="A585" s="1">
        <v>584</v>
      </c>
      <c r="B585" s="1">
        <v>235</v>
      </c>
      <c r="C585" s="1">
        <v>230</v>
      </c>
      <c r="D585" s="2">
        <v>0.97870000000000001</v>
      </c>
      <c r="E585" s="1">
        <v>5</v>
      </c>
      <c r="F585" s="3">
        <v>5.7870370370370373E-5</v>
      </c>
      <c r="G585" s="3">
        <v>1.7013888888888888E-3</v>
      </c>
      <c r="H585" s="3">
        <v>1.2731481481481483E-3</v>
      </c>
      <c r="I585" s="2">
        <v>0.95740000000000003</v>
      </c>
    </row>
    <row r="586" spans="1:9">
      <c r="A586" s="1">
        <v>585</v>
      </c>
      <c r="B586" s="1">
        <v>175</v>
      </c>
      <c r="C586" s="1">
        <v>174</v>
      </c>
      <c r="D586" s="2">
        <v>0.99429999999999996</v>
      </c>
      <c r="E586" s="1">
        <v>1</v>
      </c>
      <c r="F586" s="3">
        <v>4.6296296296296294E-5</v>
      </c>
      <c r="G586" s="3">
        <v>1.6898148148148148E-3</v>
      </c>
      <c r="H586" s="3">
        <v>1.3078703703703703E-3</v>
      </c>
      <c r="I586" s="2">
        <v>0.98860000000000003</v>
      </c>
    </row>
    <row r="587" spans="1:9">
      <c r="A587" s="1">
        <v>586</v>
      </c>
      <c r="B587" s="1">
        <v>25</v>
      </c>
      <c r="C587" s="1">
        <v>25</v>
      </c>
      <c r="D587" s="2">
        <v>1</v>
      </c>
      <c r="E587" s="1">
        <v>0</v>
      </c>
      <c r="F587" s="3">
        <v>4.6296296296296294E-5</v>
      </c>
      <c r="G587" s="3">
        <v>2.2569444444444442E-3</v>
      </c>
      <c r="H587" s="3">
        <v>6.3657407407407413E-4</v>
      </c>
      <c r="I587" s="2">
        <v>0.96</v>
      </c>
    </row>
    <row r="588" spans="1:9">
      <c r="A588" s="1">
        <v>587</v>
      </c>
      <c r="B588" s="1">
        <v>170</v>
      </c>
      <c r="C588" s="1">
        <v>167</v>
      </c>
      <c r="D588" s="2">
        <v>0.98240000000000005</v>
      </c>
      <c r="E588" s="1">
        <v>3</v>
      </c>
      <c r="F588" s="3">
        <v>6.9444444444444444E-5</v>
      </c>
      <c r="G588" s="3">
        <v>1.7939814814814815E-3</v>
      </c>
      <c r="H588" s="3">
        <v>2.5462962962962965E-3</v>
      </c>
      <c r="I588" s="2">
        <v>0.94079999999999997</v>
      </c>
    </row>
    <row r="589" spans="1:9">
      <c r="A589" s="1">
        <v>588</v>
      </c>
      <c r="B589" s="1">
        <v>187</v>
      </c>
      <c r="C589" s="1">
        <v>168</v>
      </c>
      <c r="D589" s="2">
        <v>0.89839999999999998</v>
      </c>
      <c r="E589" s="1">
        <v>19</v>
      </c>
      <c r="F589" s="3">
        <v>3.0092592592592595E-4</v>
      </c>
      <c r="G589" s="3">
        <v>1.6203703703703703E-3</v>
      </c>
      <c r="H589" s="3">
        <v>3.3449074074074076E-3</v>
      </c>
      <c r="I589" s="2">
        <v>0.70430000000000004</v>
      </c>
    </row>
    <row r="590" spans="1:9">
      <c r="A590" s="1">
        <v>589</v>
      </c>
      <c r="B590" s="1">
        <v>53</v>
      </c>
      <c r="C590" s="1">
        <v>51</v>
      </c>
      <c r="D590" s="2">
        <v>0.96230000000000004</v>
      </c>
      <c r="E590" s="1">
        <v>2</v>
      </c>
      <c r="F590" s="3">
        <v>6.9444444444444444E-5</v>
      </c>
      <c r="G590" s="3">
        <v>1.724537037037037E-3</v>
      </c>
      <c r="H590" s="3">
        <v>1.2731481481481483E-3</v>
      </c>
      <c r="I590" s="2">
        <v>0.88680000000000003</v>
      </c>
    </row>
    <row r="591" spans="1:9">
      <c r="A591" s="1">
        <v>590</v>
      </c>
      <c r="B591" s="1">
        <v>121</v>
      </c>
      <c r="C591" s="1">
        <v>117</v>
      </c>
      <c r="D591" s="2">
        <v>0.96689999999999998</v>
      </c>
      <c r="E591" s="1">
        <v>4</v>
      </c>
      <c r="F591" s="3">
        <v>1.5046296296296297E-4</v>
      </c>
      <c r="G591" s="3">
        <v>1.8055555555555555E-3</v>
      </c>
      <c r="H591" s="3">
        <v>1.8634259259259259E-3</v>
      </c>
      <c r="I591" s="2">
        <v>0.85829999999999995</v>
      </c>
    </row>
    <row r="592" spans="1:9">
      <c r="A592" s="1">
        <v>591</v>
      </c>
      <c r="B592" s="1">
        <v>143</v>
      </c>
      <c r="C592" s="1">
        <v>139</v>
      </c>
      <c r="D592" s="2">
        <v>0.97199999999999998</v>
      </c>
      <c r="E592" s="1">
        <v>4</v>
      </c>
      <c r="F592" s="3">
        <v>5.7870370370370373E-5</v>
      </c>
      <c r="G592" s="3">
        <v>1.6898148148148148E-3</v>
      </c>
      <c r="H592" s="3">
        <v>1.3425925925925925E-3</v>
      </c>
      <c r="I592" s="2">
        <v>0.94410000000000005</v>
      </c>
    </row>
    <row r="593" spans="1:9">
      <c r="A593" s="1">
        <v>592</v>
      </c>
      <c r="B593" s="1">
        <v>100</v>
      </c>
      <c r="C593" s="1">
        <v>96</v>
      </c>
      <c r="D593" s="2">
        <v>0.96</v>
      </c>
      <c r="E593" s="1">
        <v>4</v>
      </c>
      <c r="F593" s="3">
        <v>6.9444444444444444E-5</v>
      </c>
      <c r="G593" s="3">
        <v>1.712962962962963E-3</v>
      </c>
      <c r="H593" s="3">
        <v>1.2731481481481483E-3</v>
      </c>
      <c r="I593" s="2">
        <v>0.91920000000000002</v>
      </c>
    </row>
    <row r="594" spans="1:9">
      <c r="A594" s="1">
        <v>593</v>
      </c>
      <c r="B594" s="1">
        <v>17</v>
      </c>
      <c r="C594" s="1">
        <v>17</v>
      </c>
      <c r="D594" s="2">
        <v>1</v>
      </c>
      <c r="E594" s="1">
        <v>0</v>
      </c>
      <c r="F594" s="3">
        <v>9.2592592592592588E-5</v>
      </c>
      <c r="G594" s="3">
        <v>2.0254629629629629E-3</v>
      </c>
      <c r="H594" s="3">
        <v>6.8287037037037036E-4</v>
      </c>
      <c r="I594" s="2">
        <v>0.88239999999999996</v>
      </c>
    </row>
    <row r="595" spans="1:9">
      <c r="A595" s="1">
        <v>594</v>
      </c>
      <c r="B595" s="1">
        <v>113</v>
      </c>
      <c r="C595" s="1">
        <v>110</v>
      </c>
      <c r="D595" s="2">
        <v>0.97350000000000003</v>
      </c>
      <c r="E595" s="1">
        <v>3</v>
      </c>
      <c r="F595" s="3">
        <v>9.2592592592592588E-5</v>
      </c>
      <c r="G595" s="3">
        <v>1.7708333333333332E-3</v>
      </c>
      <c r="H595" s="3">
        <v>9.0277777777777774E-4</v>
      </c>
      <c r="I595" s="2">
        <v>0.90180000000000005</v>
      </c>
    </row>
    <row r="596" spans="1:9">
      <c r="A596" s="1">
        <v>595</v>
      </c>
      <c r="B596" s="1">
        <v>139</v>
      </c>
      <c r="C596" s="1">
        <v>128</v>
      </c>
      <c r="D596" s="2">
        <v>0.92090000000000005</v>
      </c>
      <c r="E596" s="1">
        <v>11</v>
      </c>
      <c r="F596" s="3">
        <v>1.5046296296296297E-4</v>
      </c>
      <c r="G596" s="3">
        <v>1.8287037037037037E-3</v>
      </c>
      <c r="H596" s="3">
        <v>2.5462962962962965E-3</v>
      </c>
      <c r="I596" s="2">
        <v>0.82010000000000005</v>
      </c>
    </row>
    <row r="597" spans="1:9">
      <c r="A597" s="1">
        <v>596</v>
      </c>
      <c r="B597" s="1">
        <v>135</v>
      </c>
      <c r="C597" s="1">
        <v>134</v>
      </c>
      <c r="D597" s="2">
        <v>0.99260000000000004</v>
      </c>
      <c r="E597" s="1">
        <v>1</v>
      </c>
      <c r="F597" s="3">
        <v>4.6296296296296294E-5</v>
      </c>
      <c r="G597" s="3">
        <v>1.7824074074074075E-3</v>
      </c>
      <c r="H597" s="3">
        <v>1.2731481481481483E-3</v>
      </c>
      <c r="I597" s="2">
        <v>0.98519999999999996</v>
      </c>
    </row>
    <row r="598" spans="1:9">
      <c r="A598" s="1">
        <v>597</v>
      </c>
      <c r="B598" s="1">
        <v>29</v>
      </c>
      <c r="C598" s="1">
        <v>29</v>
      </c>
      <c r="D598" s="2">
        <v>1</v>
      </c>
      <c r="E598" s="1">
        <v>0</v>
      </c>
      <c r="F598" s="3">
        <v>1.7361111111111112E-4</v>
      </c>
      <c r="G598" s="3">
        <v>2.2337962962962962E-3</v>
      </c>
      <c r="H598" s="3">
        <v>1.0300925925925926E-3</v>
      </c>
      <c r="I598" s="2">
        <v>0.79310000000000003</v>
      </c>
    </row>
    <row r="599" spans="1:9">
      <c r="A599" s="1">
        <v>598</v>
      </c>
      <c r="B599" s="1">
        <v>120</v>
      </c>
      <c r="C599" s="1">
        <v>116</v>
      </c>
      <c r="D599" s="2">
        <v>0.9667</v>
      </c>
      <c r="E599" s="1">
        <v>4</v>
      </c>
      <c r="F599" s="3">
        <v>5.7870370370370373E-5</v>
      </c>
      <c r="G599" s="3">
        <v>1.8865740740740742E-3</v>
      </c>
      <c r="H599" s="3">
        <v>1.9097222222222222E-3</v>
      </c>
      <c r="I599" s="2">
        <v>0.95830000000000004</v>
      </c>
    </row>
    <row r="600" spans="1:9">
      <c r="A600" s="1">
        <v>599</v>
      </c>
      <c r="B600" s="1">
        <v>115</v>
      </c>
      <c r="C600" s="1">
        <v>108</v>
      </c>
      <c r="D600" s="2">
        <v>0.93910000000000005</v>
      </c>
      <c r="E600" s="1">
        <v>7</v>
      </c>
      <c r="F600" s="3">
        <v>1.0416666666666667E-4</v>
      </c>
      <c r="G600" s="3">
        <v>1.9675925925925924E-3</v>
      </c>
      <c r="H600" s="3">
        <v>3.0671296296296297E-3</v>
      </c>
      <c r="I600" s="2">
        <v>0.88700000000000001</v>
      </c>
    </row>
    <row r="601" spans="1:9">
      <c r="A601" s="1">
        <v>600</v>
      </c>
      <c r="B601" s="1">
        <v>14</v>
      </c>
      <c r="C601" s="1">
        <v>14</v>
      </c>
      <c r="D601" s="2">
        <v>1</v>
      </c>
      <c r="E601" s="1">
        <v>0</v>
      </c>
      <c r="F601" s="3">
        <v>1.6203703703703703E-4</v>
      </c>
      <c r="G601" s="3">
        <v>1.5856481481481481E-3</v>
      </c>
      <c r="H601" s="3">
        <v>8.564814814814815E-4</v>
      </c>
      <c r="I601" s="2">
        <v>0.78569999999999995</v>
      </c>
    </row>
    <row r="602" spans="1:9">
      <c r="A602" s="1">
        <v>601</v>
      </c>
      <c r="B602" s="1">
        <v>107</v>
      </c>
      <c r="C602" s="1">
        <v>104</v>
      </c>
      <c r="D602" s="2">
        <v>0.97199999999999998</v>
      </c>
      <c r="E602" s="1">
        <v>3</v>
      </c>
      <c r="F602" s="3">
        <v>8.1018518518518516E-5</v>
      </c>
      <c r="G602" s="3">
        <v>1.724537037037037E-3</v>
      </c>
      <c r="H602" s="3">
        <v>6.7129629629629625E-4</v>
      </c>
      <c r="I602" s="2">
        <v>0.90569999999999995</v>
      </c>
    </row>
    <row r="603" spans="1:9">
      <c r="A603" s="1">
        <v>602</v>
      </c>
      <c r="B603" s="1">
        <v>137</v>
      </c>
      <c r="C603" s="1">
        <v>128</v>
      </c>
      <c r="D603" s="2">
        <v>0.93430000000000002</v>
      </c>
      <c r="E603" s="1">
        <v>9</v>
      </c>
      <c r="F603" s="3">
        <v>1.1574074074074075E-4</v>
      </c>
      <c r="G603" s="3">
        <v>1.736111111111111E-3</v>
      </c>
      <c r="H603" s="3">
        <v>1.4236111111111112E-3</v>
      </c>
      <c r="I603" s="2">
        <v>0.85289999999999999</v>
      </c>
    </row>
    <row r="604" spans="1:9">
      <c r="A604" s="1">
        <v>603</v>
      </c>
      <c r="B604" s="1">
        <v>106</v>
      </c>
      <c r="C604" s="1">
        <v>105</v>
      </c>
      <c r="D604" s="2">
        <v>0.99060000000000004</v>
      </c>
      <c r="E604" s="1">
        <v>1</v>
      </c>
      <c r="F604" s="3">
        <v>1.273148148148148E-4</v>
      </c>
      <c r="G604" s="3">
        <v>1.9328703703703704E-3</v>
      </c>
      <c r="H604" s="3">
        <v>1.3078703703703703E-3</v>
      </c>
      <c r="I604" s="2">
        <v>0.85850000000000004</v>
      </c>
    </row>
    <row r="605" spans="1:9">
      <c r="A605" s="1">
        <v>604</v>
      </c>
      <c r="B605" s="1">
        <v>116</v>
      </c>
      <c r="C605" s="1">
        <v>108</v>
      </c>
      <c r="D605" s="2">
        <v>0.93100000000000005</v>
      </c>
      <c r="E605" s="1">
        <v>8</v>
      </c>
      <c r="F605" s="3">
        <v>2.199074074074074E-4</v>
      </c>
      <c r="G605" s="3">
        <v>1.6898148148148148E-3</v>
      </c>
      <c r="H605" s="3">
        <v>1.7708333333333332E-3</v>
      </c>
      <c r="I605" s="2">
        <v>0.8407</v>
      </c>
    </row>
    <row r="606" spans="1:9">
      <c r="A606" s="1">
        <v>605</v>
      </c>
      <c r="B606" s="1">
        <v>120</v>
      </c>
      <c r="C606" s="1">
        <v>117</v>
      </c>
      <c r="D606" s="2">
        <v>0.97499999999999998</v>
      </c>
      <c r="E606" s="1">
        <v>3</v>
      </c>
      <c r="F606" s="3">
        <v>1.0416666666666667E-4</v>
      </c>
      <c r="G606" s="3">
        <v>1.8171296296296297E-3</v>
      </c>
      <c r="H606" s="3">
        <v>7.5231481481481482E-4</v>
      </c>
      <c r="I606" s="2">
        <v>0.90759999999999996</v>
      </c>
    </row>
    <row r="607" spans="1:9">
      <c r="A607" s="1">
        <v>606</v>
      </c>
      <c r="B607" s="1">
        <v>123</v>
      </c>
      <c r="C607" s="1">
        <v>121</v>
      </c>
      <c r="D607" s="2">
        <v>0.98370000000000002</v>
      </c>
      <c r="E607" s="1">
        <v>2</v>
      </c>
      <c r="F607" s="3">
        <v>8.1018518518518516E-5</v>
      </c>
      <c r="G607" s="3">
        <v>1.7013888888888888E-3</v>
      </c>
      <c r="H607" s="3">
        <v>1.3310185185185185E-3</v>
      </c>
      <c r="I607" s="2">
        <v>0.91059999999999997</v>
      </c>
    </row>
    <row r="608" spans="1:9">
      <c r="A608" s="1">
        <v>607</v>
      </c>
      <c r="B608" s="1">
        <v>31</v>
      </c>
      <c r="C608" s="1">
        <v>31</v>
      </c>
      <c r="D608" s="2">
        <v>1</v>
      </c>
      <c r="E608" s="1">
        <v>0</v>
      </c>
      <c r="F608" s="3">
        <v>3.4722222222222222E-5</v>
      </c>
      <c r="G608" s="3">
        <v>1.5972222222222223E-3</v>
      </c>
      <c r="H608" s="3">
        <v>3.4722222222222222E-5</v>
      </c>
      <c r="I608" s="2">
        <v>1</v>
      </c>
    </row>
    <row r="609" spans="1:9">
      <c r="A609" s="1">
        <v>608</v>
      </c>
      <c r="B609" s="1">
        <v>140</v>
      </c>
      <c r="C609" s="1">
        <v>139</v>
      </c>
      <c r="D609" s="2">
        <v>0.9929</v>
      </c>
      <c r="E609" s="1">
        <v>1</v>
      </c>
      <c r="F609" s="3">
        <v>9.2592592592592588E-5</v>
      </c>
      <c r="G609" s="3">
        <v>1.8402777777777777E-3</v>
      </c>
      <c r="H609" s="3">
        <v>8.2175925925925927E-4</v>
      </c>
      <c r="I609" s="2">
        <v>0.9214</v>
      </c>
    </row>
    <row r="610" spans="1:9">
      <c r="A610" s="1">
        <v>609</v>
      </c>
      <c r="B610" s="1">
        <v>168</v>
      </c>
      <c r="C610" s="1">
        <v>161</v>
      </c>
      <c r="D610" s="2">
        <v>0.95830000000000004</v>
      </c>
      <c r="E610" s="1">
        <v>7</v>
      </c>
      <c r="F610" s="3">
        <v>2.0833333333333335E-4</v>
      </c>
      <c r="G610" s="3">
        <v>1.6666666666666668E-3</v>
      </c>
      <c r="H610" s="3">
        <v>1.6666666666666668E-3</v>
      </c>
      <c r="I610" s="2">
        <v>0.73650000000000004</v>
      </c>
    </row>
    <row r="611" spans="1:9">
      <c r="A611" s="1">
        <v>610</v>
      </c>
      <c r="B611" s="1">
        <v>146</v>
      </c>
      <c r="C611" s="1">
        <v>144</v>
      </c>
      <c r="D611" s="2">
        <v>0.98629999999999995</v>
      </c>
      <c r="E611" s="1">
        <v>2</v>
      </c>
      <c r="F611" s="3">
        <v>6.9444444444444444E-5</v>
      </c>
      <c r="G611" s="3">
        <v>1.8287037037037037E-3</v>
      </c>
      <c r="H611" s="3">
        <v>6.7129629629629625E-4</v>
      </c>
      <c r="I611" s="2">
        <v>0.94479999999999997</v>
      </c>
    </row>
    <row r="612" spans="1:9">
      <c r="A612" s="1">
        <v>611</v>
      </c>
      <c r="B612" s="1">
        <v>110</v>
      </c>
      <c r="C612" s="1">
        <v>106</v>
      </c>
      <c r="D612" s="2">
        <v>0.96360000000000001</v>
      </c>
      <c r="E612" s="1">
        <v>4</v>
      </c>
      <c r="F612" s="3">
        <v>1.7361111111111112E-4</v>
      </c>
      <c r="G612" s="3">
        <v>1.9675925925925924E-3</v>
      </c>
      <c r="H612" s="3">
        <v>1.736111111111111E-3</v>
      </c>
      <c r="I612" s="2">
        <v>0.8</v>
      </c>
    </row>
    <row r="613" spans="1:9">
      <c r="A613" s="1">
        <v>612</v>
      </c>
      <c r="B613" s="1">
        <v>342</v>
      </c>
      <c r="C613" s="1">
        <v>333</v>
      </c>
      <c r="D613" s="2">
        <v>0.97370000000000001</v>
      </c>
      <c r="E613" s="1">
        <v>9</v>
      </c>
      <c r="F613" s="3">
        <v>1.7361111111111112E-4</v>
      </c>
      <c r="G613" s="3">
        <v>1.5046296296296296E-3</v>
      </c>
      <c r="H613" s="3">
        <v>1.8402777777777777E-3</v>
      </c>
      <c r="I613" s="2">
        <v>0.81420000000000003</v>
      </c>
    </row>
    <row r="614" spans="1:9">
      <c r="A614" s="1">
        <v>613</v>
      </c>
      <c r="B614" s="1">
        <v>190</v>
      </c>
      <c r="C614" s="1">
        <v>183</v>
      </c>
      <c r="D614" s="2">
        <v>0.96319999999999995</v>
      </c>
      <c r="E614" s="1">
        <v>7</v>
      </c>
      <c r="F614" s="3">
        <v>1.8518518518518518E-4</v>
      </c>
      <c r="G614" s="3">
        <v>1.7592592592592592E-3</v>
      </c>
      <c r="H614" s="3">
        <v>1.3773148148148147E-3</v>
      </c>
      <c r="I614" s="2">
        <v>0.78949999999999998</v>
      </c>
    </row>
    <row r="615" spans="1:9">
      <c r="A615" s="1">
        <v>614</v>
      </c>
      <c r="B615" s="1">
        <v>25</v>
      </c>
      <c r="C615" s="1">
        <v>24</v>
      </c>
      <c r="D615" s="2">
        <v>0.96</v>
      </c>
      <c r="E615" s="1">
        <v>1</v>
      </c>
      <c r="F615" s="3">
        <v>6.9444444444444444E-5</v>
      </c>
      <c r="G615" s="3">
        <v>1.6435185185185185E-3</v>
      </c>
      <c r="H615" s="3">
        <v>5.5555555555555556E-4</v>
      </c>
      <c r="I615" s="2">
        <v>0.91669999999999996</v>
      </c>
    </row>
    <row r="616" spans="1:9">
      <c r="A616" s="1">
        <v>615</v>
      </c>
      <c r="B616" s="1">
        <v>169</v>
      </c>
      <c r="C616" s="1">
        <v>162</v>
      </c>
      <c r="D616" s="2">
        <v>0.95860000000000001</v>
      </c>
      <c r="E616" s="1">
        <v>7</v>
      </c>
      <c r="F616" s="3">
        <v>1.0416666666666667E-4</v>
      </c>
      <c r="G616" s="3">
        <v>1.7476851851851852E-3</v>
      </c>
      <c r="H616" s="3">
        <v>3.1944444444444446E-3</v>
      </c>
      <c r="I616" s="2">
        <v>0.89159999999999995</v>
      </c>
    </row>
    <row r="617" spans="1:9">
      <c r="A617" s="1">
        <v>616</v>
      </c>
      <c r="B617" s="1">
        <v>130</v>
      </c>
      <c r="C617" s="1">
        <v>129</v>
      </c>
      <c r="D617" s="2">
        <v>0.99229999999999996</v>
      </c>
      <c r="E617" s="1">
        <v>1</v>
      </c>
      <c r="F617" s="3">
        <v>1.273148148148148E-4</v>
      </c>
      <c r="G617" s="3">
        <v>1.736111111111111E-3</v>
      </c>
      <c r="H617" s="3">
        <v>1.2962962962962963E-3</v>
      </c>
      <c r="I617" s="2">
        <v>0.86919999999999997</v>
      </c>
    </row>
    <row r="618" spans="1:9">
      <c r="A618" s="1">
        <v>617</v>
      </c>
      <c r="B618" s="1">
        <v>22</v>
      </c>
      <c r="C618" s="1">
        <v>20</v>
      </c>
      <c r="D618" s="2">
        <v>0.90910000000000002</v>
      </c>
      <c r="E618" s="1">
        <v>2</v>
      </c>
      <c r="F618" s="3">
        <v>1.0416666666666667E-4</v>
      </c>
      <c r="G618" s="3">
        <v>2.2569444444444442E-3</v>
      </c>
      <c r="H618" s="3">
        <v>1.2731481481481483E-3</v>
      </c>
      <c r="I618" s="2">
        <v>0.90480000000000005</v>
      </c>
    </row>
    <row r="619" spans="1:9">
      <c r="A619" s="1">
        <v>618</v>
      </c>
      <c r="B619" s="1">
        <v>5</v>
      </c>
      <c r="C619" s="1">
        <v>5</v>
      </c>
      <c r="D619" s="2">
        <v>1</v>
      </c>
      <c r="E619" s="1">
        <v>0</v>
      </c>
      <c r="F619" s="3">
        <v>3.2407407407407406E-4</v>
      </c>
      <c r="G619" s="3">
        <v>1.6782407407407408E-3</v>
      </c>
      <c r="H619" s="3">
        <v>8.564814814814815E-4</v>
      </c>
      <c r="I619" s="2">
        <v>0.6</v>
      </c>
    </row>
    <row r="620" spans="1:9">
      <c r="A620" s="1">
        <v>619</v>
      </c>
      <c r="B620" s="1">
        <v>119</v>
      </c>
      <c r="C620" s="1">
        <v>115</v>
      </c>
      <c r="D620" s="2">
        <v>0.96640000000000004</v>
      </c>
      <c r="E620" s="1">
        <v>4</v>
      </c>
      <c r="F620" s="3">
        <v>1.273148148148148E-4</v>
      </c>
      <c r="G620" s="3">
        <v>1.712962962962963E-3</v>
      </c>
      <c r="H620" s="3">
        <v>1.2731481481481483E-3</v>
      </c>
      <c r="I620" s="2">
        <v>0.86439999999999995</v>
      </c>
    </row>
    <row r="621" spans="1:9">
      <c r="A621" s="1">
        <v>620</v>
      </c>
      <c r="B621" s="1">
        <v>140</v>
      </c>
      <c r="C621" s="1">
        <v>138</v>
      </c>
      <c r="D621" s="2">
        <v>0.98570000000000002</v>
      </c>
      <c r="E621" s="1">
        <v>2</v>
      </c>
      <c r="F621" s="3">
        <v>1.0416666666666667E-4</v>
      </c>
      <c r="G621" s="3">
        <v>1.5856481481481481E-3</v>
      </c>
      <c r="H621" s="3">
        <v>1.5162037037037036E-3</v>
      </c>
      <c r="I621" s="2">
        <v>0.9214</v>
      </c>
    </row>
    <row r="622" spans="1:9">
      <c r="A622" s="1">
        <v>621</v>
      </c>
      <c r="B622" s="1">
        <v>22</v>
      </c>
      <c r="C622" s="1">
        <v>22</v>
      </c>
      <c r="D622" s="2">
        <v>1</v>
      </c>
      <c r="E622" s="1">
        <v>0</v>
      </c>
      <c r="F622" s="3">
        <v>6.9444444444444444E-5</v>
      </c>
      <c r="G622" s="3">
        <v>1.6319444444444445E-3</v>
      </c>
      <c r="H622" s="3">
        <v>5.5555555555555556E-4</v>
      </c>
      <c r="I622" s="2">
        <v>0.90910000000000002</v>
      </c>
    </row>
    <row r="623" spans="1:9">
      <c r="A623" s="1">
        <v>622</v>
      </c>
      <c r="B623" s="1">
        <v>126</v>
      </c>
      <c r="C623" s="1">
        <v>124</v>
      </c>
      <c r="D623" s="2">
        <v>0.98409999999999997</v>
      </c>
      <c r="E623" s="1">
        <v>2</v>
      </c>
      <c r="F623" s="3">
        <v>9.2592592592592588E-5</v>
      </c>
      <c r="G623" s="3">
        <v>1.7939814814814815E-3</v>
      </c>
      <c r="H623" s="3">
        <v>6.7129629629629625E-4</v>
      </c>
      <c r="I623" s="2">
        <v>0.94399999999999995</v>
      </c>
    </row>
    <row r="624" spans="1:9">
      <c r="A624" s="1">
        <v>623</v>
      </c>
      <c r="B624" s="1">
        <v>122</v>
      </c>
      <c r="C624" s="1">
        <v>111</v>
      </c>
      <c r="D624" s="2">
        <v>0.90980000000000005</v>
      </c>
      <c r="E624" s="1">
        <v>11</v>
      </c>
      <c r="F624" s="3">
        <v>1.5046296296296297E-4</v>
      </c>
      <c r="G624" s="3">
        <v>1.8865740740740742E-3</v>
      </c>
      <c r="H624" s="3">
        <v>1.5393518518518519E-3</v>
      </c>
      <c r="I624" s="2">
        <v>0.77690000000000003</v>
      </c>
    </row>
    <row r="625" spans="1:9">
      <c r="A625" s="1">
        <v>624</v>
      </c>
      <c r="B625" s="1">
        <v>113</v>
      </c>
      <c r="C625" s="1">
        <v>108</v>
      </c>
      <c r="D625" s="2">
        <v>0.95579999999999998</v>
      </c>
      <c r="E625" s="1">
        <v>5</v>
      </c>
      <c r="F625" s="3">
        <v>1.5046296296296297E-4</v>
      </c>
      <c r="G625" s="3">
        <v>1.7476851851851852E-3</v>
      </c>
      <c r="H625" s="3">
        <v>1.0069444444444444E-3</v>
      </c>
      <c r="I625" s="2">
        <v>0.82879999999999998</v>
      </c>
    </row>
    <row r="626" spans="1:9">
      <c r="A626" s="1">
        <v>625</v>
      </c>
      <c r="B626" s="1">
        <v>119</v>
      </c>
      <c r="C626" s="1">
        <v>109</v>
      </c>
      <c r="D626" s="2">
        <v>0.91600000000000004</v>
      </c>
      <c r="E626" s="1">
        <v>10</v>
      </c>
      <c r="F626" s="3">
        <v>1.9675925925925926E-4</v>
      </c>
      <c r="G626" s="3">
        <v>1.8055555555555555E-3</v>
      </c>
      <c r="H626" s="3">
        <v>3.6458333333333334E-3</v>
      </c>
      <c r="I626" s="2">
        <v>0.83620000000000005</v>
      </c>
    </row>
    <row r="627" spans="1:9">
      <c r="A627" s="1">
        <v>626</v>
      </c>
      <c r="B627" s="1">
        <v>134</v>
      </c>
      <c r="C627" s="1">
        <v>119</v>
      </c>
      <c r="D627" s="2">
        <v>0.8881</v>
      </c>
      <c r="E627" s="1">
        <v>15</v>
      </c>
      <c r="F627" s="3">
        <v>2.7777777777777778E-4</v>
      </c>
      <c r="G627" s="3">
        <v>1.9212962962962964E-3</v>
      </c>
      <c r="H627" s="3">
        <v>1.9097222222222222E-3</v>
      </c>
      <c r="I627" s="2">
        <v>0.63429999999999997</v>
      </c>
    </row>
    <row r="628" spans="1:9">
      <c r="A628" s="1">
        <v>627</v>
      </c>
      <c r="B628" s="1">
        <v>101</v>
      </c>
      <c r="C628" s="1">
        <v>97</v>
      </c>
      <c r="D628" s="2">
        <v>0.96040000000000003</v>
      </c>
      <c r="E628" s="1">
        <v>4</v>
      </c>
      <c r="F628" s="3">
        <v>1.8518518518518518E-4</v>
      </c>
      <c r="G628" s="3">
        <v>1.7708333333333332E-3</v>
      </c>
      <c r="H628" s="3">
        <v>1.1342592592592593E-3</v>
      </c>
      <c r="I628" s="2">
        <v>0.77</v>
      </c>
    </row>
    <row r="629" spans="1:9">
      <c r="A629" s="1">
        <v>628</v>
      </c>
      <c r="B629" s="1">
        <v>20</v>
      </c>
      <c r="C629" s="1">
        <v>20</v>
      </c>
      <c r="D629" s="2">
        <v>1</v>
      </c>
      <c r="E629" s="1">
        <v>0</v>
      </c>
      <c r="F629" s="3">
        <v>4.6296296296296294E-5</v>
      </c>
      <c r="G629" s="3">
        <v>1.6666666666666668E-3</v>
      </c>
      <c r="H629" s="3">
        <v>2.0833333333333335E-4</v>
      </c>
      <c r="I629" s="2">
        <v>1</v>
      </c>
    </row>
    <row r="630" spans="1:9">
      <c r="A630" s="1">
        <v>629</v>
      </c>
      <c r="B630" s="1">
        <v>169</v>
      </c>
      <c r="C630" s="1">
        <v>162</v>
      </c>
      <c r="D630" s="2">
        <v>0.95860000000000001</v>
      </c>
      <c r="E630" s="1">
        <v>7</v>
      </c>
      <c r="F630" s="3">
        <v>1.9675925925925926E-4</v>
      </c>
      <c r="G630" s="3">
        <v>1.7592592592592592E-3</v>
      </c>
      <c r="H630" s="3">
        <v>3.8310185185185183E-3</v>
      </c>
      <c r="I630" s="2">
        <v>0.80120000000000002</v>
      </c>
    </row>
    <row r="631" spans="1:9">
      <c r="A631" s="1">
        <v>630</v>
      </c>
      <c r="B631" s="1">
        <v>137</v>
      </c>
      <c r="C631" s="1">
        <v>133</v>
      </c>
      <c r="D631" s="2">
        <v>0.9708</v>
      </c>
      <c r="E631" s="1">
        <v>4</v>
      </c>
      <c r="F631" s="3">
        <v>3.3564814814814812E-4</v>
      </c>
      <c r="G631" s="3">
        <v>1.8171296296296297E-3</v>
      </c>
      <c r="H631" s="3">
        <v>1.8749999999999999E-3</v>
      </c>
      <c r="I631" s="2">
        <v>0.62039999999999995</v>
      </c>
    </row>
    <row r="632" spans="1:9">
      <c r="A632" s="1">
        <v>631</v>
      </c>
      <c r="B632" s="1">
        <v>133</v>
      </c>
      <c r="C632" s="1">
        <v>127</v>
      </c>
      <c r="D632" s="2">
        <v>0.95489999999999997</v>
      </c>
      <c r="E632" s="1">
        <v>6</v>
      </c>
      <c r="F632" s="3">
        <v>2.0833333333333335E-4</v>
      </c>
      <c r="G632" s="3">
        <v>1.8402777777777777E-3</v>
      </c>
      <c r="H632" s="3">
        <v>3.1944444444444446E-3</v>
      </c>
      <c r="I632" s="2">
        <v>0.81950000000000001</v>
      </c>
    </row>
    <row r="633" spans="1:9">
      <c r="A633" s="1">
        <v>632</v>
      </c>
      <c r="B633" s="1">
        <v>184</v>
      </c>
      <c r="C633" s="1">
        <v>179</v>
      </c>
      <c r="D633" s="2">
        <v>0.9728</v>
      </c>
      <c r="E633" s="1">
        <v>5</v>
      </c>
      <c r="F633" s="3">
        <v>1.1574074074074075E-4</v>
      </c>
      <c r="G633" s="3">
        <v>1.4236111111111112E-3</v>
      </c>
      <c r="H633" s="3">
        <v>1.8981481481481482E-3</v>
      </c>
      <c r="I633" s="2">
        <v>0.90559999999999996</v>
      </c>
    </row>
    <row r="634" spans="1:9">
      <c r="A634" s="1">
        <v>633</v>
      </c>
      <c r="B634" s="1">
        <v>145</v>
      </c>
      <c r="C634" s="1">
        <v>135</v>
      </c>
      <c r="D634" s="2">
        <v>0.93100000000000005</v>
      </c>
      <c r="E634" s="1">
        <v>10</v>
      </c>
      <c r="F634" s="3">
        <v>2.4305555555555555E-4</v>
      </c>
      <c r="G634" s="3">
        <v>1.7939814814814815E-3</v>
      </c>
      <c r="H634" s="3">
        <v>2.1990740740740742E-3</v>
      </c>
      <c r="I634" s="2">
        <v>0.74129999999999996</v>
      </c>
    </row>
    <row r="635" spans="1:9">
      <c r="A635" s="1">
        <v>634</v>
      </c>
      <c r="B635" s="1">
        <v>114</v>
      </c>
      <c r="C635" s="1">
        <v>108</v>
      </c>
      <c r="D635" s="2">
        <v>0.94740000000000002</v>
      </c>
      <c r="E635" s="1">
        <v>6</v>
      </c>
      <c r="F635" s="3">
        <v>1.6203703703703703E-4</v>
      </c>
      <c r="G635" s="3">
        <v>1.7476851851851852E-3</v>
      </c>
      <c r="H635" s="3">
        <v>1.7708333333333332E-3</v>
      </c>
      <c r="I635" s="2">
        <v>0.82879999999999998</v>
      </c>
    </row>
    <row r="636" spans="1:9">
      <c r="A636" s="1">
        <v>635</v>
      </c>
      <c r="B636" s="1">
        <v>24</v>
      </c>
      <c r="C636" s="1">
        <v>23</v>
      </c>
      <c r="D636" s="2">
        <v>0.95830000000000004</v>
      </c>
      <c r="E636" s="1">
        <v>1</v>
      </c>
      <c r="F636" s="3">
        <v>5.7870370370370373E-5</v>
      </c>
      <c r="G636" s="3">
        <v>1.5277777777777779E-3</v>
      </c>
      <c r="H636" s="3">
        <v>6.3657407407407413E-4</v>
      </c>
      <c r="I636" s="2">
        <v>0.95830000000000004</v>
      </c>
    </row>
    <row r="637" spans="1:9">
      <c r="A637" s="1">
        <v>636</v>
      </c>
      <c r="B637" s="1">
        <v>143</v>
      </c>
      <c r="C637" s="1">
        <v>136</v>
      </c>
      <c r="D637" s="2">
        <v>0.95099999999999996</v>
      </c>
      <c r="E637" s="1">
        <v>7</v>
      </c>
      <c r="F637" s="3">
        <v>1.0416666666666667E-4</v>
      </c>
      <c r="G637" s="3">
        <v>1.7592592592592592E-3</v>
      </c>
      <c r="H637" s="3">
        <v>3.8194444444444443E-3</v>
      </c>
      <c r="I637" s="2">
        <v>0.84509999999999996</v>
      </c>
    </row>
    <row r="638" spans="1:9">
      <c r="A638" s="1">
        <v>637</v>
      </c>
      <c r="B638" s="1">
        <v>119</v>
      </c>
      <c r="C638" s="1">
        <v>114</v>
      </c>
      <c r="D638" s="2">
        <v>0.95799999999999996</v>
      </c>
      <c r="E638" s="1">
        <v>5</v>
      </c>
      <c r="F638" s="3">
        <v>9.2592592592592588E-5</v>
      </c>
      <c r="G638" s="3">
        <v>1.6435185185185185E-3</v>
      </c>
      <c r="H638" s="3">
        <v>9.1435185185185185E-4</v>
      </c>
      <c r="I638" s="2">
        <v>0.90600000000000003</v>
      </c>
    </row>
    <row r="639" spans="1:9">
      <c r="A639" s="1">
        <v>638</v>
      </c>
      <c r="B639" s="1">
        <v>123</v>
      </c>
      <c r="C639" s="1">
        <v>118</v>
      </c>
      <c r="D639" s="2">
        <v>0.95930000000000004</v>
      </c>
      <c r="E639" s="1">
        <v>5</v>
      </c>
      <c r="F639" s="3">
        <v>2.4305555555555555E-4</v>
      </c>
      <c r="G639" s="3">
        <v>1.9212962962962964E-3</v>
      </c>
      <c r="H639" s="3">
        <v>1.8981481481481482E-3</v>
      </c>
      <c r="I639" s="2">
        <v>0.70730000000000004</v>
      </c>
    </row>
    <row r="640" spans="1:9">
      <c r="A640" s="1">
        <v>639</v>
      </c>
      <c r="B640" s="1">
        <v>145</v>
      </c>
      <c r="C640" s="1">
        <v>141</v>
      </c>
      <c r="D640" s="2">
        <v>0.97240000000000004</v>
      </c>
      <c r="E640" s="1">
        <v>4</v>
      </c>
      <c r="F640" s="3">
        <v>1.6203703703703703E-4</v>
      </c>
      <c r="G640" s="3">
        <v>1.8055555555555555E-3</v>
      </c>
      <c r="H640" s="3">
        <v>1.2731481481481483E-3</v>
      </c>
      <c r="I640" s="2">
        <v>0.83330000000000004</v>
      </c>
    </row>
    <row r="641" spans="1:9">
      <c r="A641" s="1">
        <v>640</v>
      </c>
      <c r="B641" s="1">
        <v>108</v>
      </c>
      <c r="C641" s="1">
        <v>106</v>
      </c>
      <c r="D641" s="2">
        <v>0.98150000000000004</v>
      </c>
      <c r="E641" s="1">
        <v>2</v>
      </c>
      <c r="F641" s="3">
        <v>3.0092592592592595E-4</v>
      </c>
      <c r="G641" s="3">
        <v>1.9675925925925924E-3</v>
      </c>
      <c r="H641" s="3">
        <v>3.4375E-3</v>
      </c>
      <c r="I641" s="2">
        <v>0.68220000000000003</v>
      </c>
    </row>
    <row r="642" spans="1:9">
      <c r="A642" s="1">
        <v>641</v>
      </c>
      <c r="B642" s="1">
        <v>128</v>
      </c>
      <c r="C642" s="1">
        <v>125</v>
      </c>
      <c r="D642" s="2">
        <v>0.97660000000000002</v>
      </c>
      <c r="E642" s="1">
        <v>3</v>
      </c>
      <c r="F642" s="3">
        <v>1.5046296296296297E-4</v>
      </c>
      <c r="G642" s="3">
        <v>1.9097222222222222E-3</v>
      </c>
      <c r="H642" s="3">
        <v>1.1805555555555556E-3</v>
      </c>
      <c r="I642" s="2">
        <v>0.82679999999999998</v>
      </c>
    </row>
    <row r="643" spans="1:9">
      <c r="A643" s="1">
        <v>642</v>
      </c>
      <c r="B643" s="1">
        <v>27</v>
      </c>
      <c r="C643" s="1">
        <v>26</v>
      </c>
      <c r="D643" s="2">
        <v>0.96299999999999997</v>
      </c>
      <c r="E643" s="1">
        <v>1</v>
      </c>
      <c r="F643" s="3">
        <v>2.3148148148148149E-4</v>
      </c>
      <c r="G643" s="3">
        <v>1.9791666666666668E-3</v>
      </c>
      <c r="H643" s="3">
        <v>1.8518518518518519E-3</v>
      </c>
      <c r="I643" s="2">
        <v>0.84619999999999995</v>
      </c>
    </row>
    <row r="644" spans="1:9">
      <c r="A644" s="1">
        <v>643</v>
      </c>
      <c r="B644" s="1">
        <v>155</v>
      </c>
      <c r="C644" s="1">
        <v>151</v>
      </c>
      <c r="D644" s="2">
        <v>0.97419999999999995</v>
      </c>
      <c r="E644" s="1">
        <v>4</v>
      </c>
      <c r="F644" s="3">
        <v>1.273148148148148E-4</v>
      </c>
      <c r="G644" s="3">
        <v>1.7592592592592592E-3</v>
      </c>
      <c r="H644" s="3">
        <v>1.5972222222222223E-3</v>
      </c>
      <c r="I644" s="2">
        <v>0.89610000000000001</v>
      </c>
    </row>
    <row r="645" spans="1:9">
      <c r="A645" s="1">
        <v>644</v>
      </c>
      <c r="B645" s="1">
        <v>116</v>
      </c>
      <c r="C645" s="1">
        <v>110</v>
      </c>
      <c r="D645" s="2">
        <v>0.94830000000000003</v>
      </c>
      <c r="E645" s="1">
        <v>6</v>
      </c>
      <c r="F645" s="3">
        <v>2.0833333333333335E-4</v>
      </c>
      <c r="G645" s="3">
        <v>1.6550925925925926E-3</v>
      </c>
      <c r="H645" s="3">
        <v>1.9328703703703704E-3</v>
      </c>
      <c r="I645" s="2">
        <v>0.75</v>
      </c>
    </row>
    <row r="646" spans="1:9">
      <c r="A646" s="1">
        <v>645</v>
      </c>
      <c r="B646" s="1">
        <v>117</v>
      </c>
      <c r="C646" s="1">
        <v>111</v>
      </c>
      <c r="D646" s="2">
        <v>0.94869999999999999</v>
      </c>
      <c r="E646" s="1">
        <v>6</v>
      </c>
      <c r="F646" s="3">
        <v>2.0833333333333335E-4</v>
      </c>
      <c r="G646" s="3">
        <v>1.8865740740740742E-3</v>
      </c>
      <c r="H646" s="3">
        <v>1.4583333333333334E-3</v>
      </c>
      <c r="I646" s="2">
        <v>0.76519999999999999</v>
      </c>
    </row>
    <row r="647" spans="1:9">
      <c r="A647" s="1">
        <v>646</v>
      </c>
      <c r="B647" s="1">
        <v>113</v>
      </c>
      <c r="C647" s="1">
        <v>105</v>
      </c>
      <c r="D647" s="2">
        <v>0.92920000000000003</v>
      </c>
      <c r="E647" s="1">
        <v>8</v>
      </c>
      <c r="F647" s="3">
        <v>3.5879629629629629E-4</v>
      </c>
      <c r="G647" s="3">
        <v>1.8171296296296297E-3</v>
      </c>
      <c r="H647" s="3">
        <v>2.5462962962962965E-3</v>
      </c>
      <c r="I647" s="2">
        <v>0.53979999999999995</v>
      </c>
    </row>
    <row r="648" spans="1:9">
      <c r="A648" s="1">
        <v>647</v>
      </c>
      <c r="B648" s="1">
        <v>107</v>
      </c>
      <c r="C648" s="1">
        <v>101</v>
      </c>
      <c r="D648" s="2">
        <v>0.94389999999999996</v>
      </c>
      <c r="E648" s="1">
        <v>6</v>
      </c>
      <c r="F648" s="3">
        <v>2.6620370370370372E-4</v>
      </c>
      <c r="G648" s="3">
        <v>1.8981481481481482E-3</v>
      </c>
      <c r="H648" s="3">
        <v>2.2106481481481482E-3</v>
      </c>
      <c r="I648" s="2">
        <v>0.73580000000000001</v>
      </c>
    </row>
    <row r="649" spans="1:9">
      <c r="A649" s="1">
        <v>648</v>
      </c>
      <c r="B649" s="1">
        <v>146</v>
      </c>
      <c r="C649" s="1">
        <v>141</v>
      </c>
      <c r="D649" s="2">
        <v>0.96579999999999999</v>
      </c>
      <c r="E649" s="1">
        <v>5</v>
      </c>
      <c r="F649" s="3">
        <v>2.8935185185185184E-4</v>
      </c>
      <c r="G649" s="3">
        <v>1.6435185185185185E-3</v>
      </c>
      <c r="H649" s="3">
        <v>1.9212962962962964E-3</v>
      </c>
      <c r="I649" s="2">
        <v>0.65749999999999997</v>
      </c>
    </row>
    <row r="650" spans="1:9">
      <c r="A650" s="1">
        <v>649</v>
      </c>
      <c r="B650" s="1">
        <v>29</v>
      </c>
      <c r="C650" s="1">
        <v>26</v>
      </c>
      <c r="D650" s="2">
        <v>0.89659999999999995</v>
      </c>
      <c r="E650" s="1">
        <v>3</v>
      </c>
      <c r="F650" s="3">
        <v>1.0416666666666667E-4</v>
      </c>
      <c r="G650" s="3">
        <v>1.8171296296296297E-3</v>
      </c>
      <c r="H650" s="3">
        <v>1.2731481481481483E-3</v>
      </c>
      <c r="I650" s="2">
        <v>0.85709999999999997</v>
      </c>
    </row>
    <row r="651" spans="1:9">
      <c r="A651" s="1">
        <v>650</v>
      </c>
      <c r="B651" s="1">
        <v>231</v>
      </c>
      <c r="C651" s="1">
        <v>228</v>
      </c>
      <c r="D651" s="2">
        <v>0.98699999999999999</v>
      </c>
      <c r="E651" s="1">
        <v>3</v>
      </c>
      <c r="F651" s="3">
        <v>1.7361111111111112E-4</v>
      </c>
      <c r="G651" s="3">
        <v>1.4930555555555556E-3</v>
      </c>
      <c r="H651" s="3">
        <v>2.3842592592592591E-3</v>
      </c>
      <c r="I651" s="2">
        <v>0.81389999999999996</v>
      </c>
    </row>
    <row r="652" spans="1:9">
      <c r="A652" s="1">
        <v>651</v>
      </c>
      <c r="B652" s="1">
        <v>239</v>
      </c>
      <c r="C652" s="1">
        <v>215</v>
      </c>
      <c r="D652" s="2">
        <v>0.89959999999999996</v>
      </c>
      <c r="E652" s="1">
        <v>24</v>
      </c>
      <c r="F652" s="3">
        <v>2.6620370370370372E-4</v>
      </c>
      <c r="G652" s="3">
        <v>1.8055555555555555E-3</v>
      </c>
      <c r="H652" s="3">
        <v>3.1828703703703702E-3</v>
      </c>
      <c r="I652" s="2">
        <v>0.66669999999999996</v>
      </c>
    </row>
    <row r="653" spans="1:9">
      <c r="A653" s="1">
        <v>652</v>
      </c>
      <c r="B653" s="1">
        <v>174</v>
      </c>
      <c r="C653" s="1">
        <v>154</v>
      </c>
      <c r="D653" s="2">
        <v>0.8851</v>
      </c>
      <c r="E653" s="1">
        <v>20</v>
      </c>
      <c r="F653" s="3">
        <v>3.3564814814814812E-4</v>
      </c>
      <c r="G653" s="3">
        <v>1.8518518518518519E-3</v>
      </c>
      <c r="H653" s="3">
        <v>3.5648148148148149E-3</v>
      </c>
      <c r="I653" s="2">
        <v>0.61309999999999998</v>
      </c>
    </row>
    <row r="654" spans="1:9">
      <c r="A654" s="1">
        <v>653</v>
      </c>
      <c r="B654" s="1">
        <v>168</v>
      </c>
      <c r="C654" s="1">
        <v>163</v>
      </c>
      <c r="D654" s="2">
        <v>0.97019999999999995</v>
      </c>
      <c r="E654" s="1">
        <v>5</v>
      </c>
      <c r="F654" s="3">
        <v>2.4305555555555555E-4</v>
      </c>
      <c r="G654" s="3">
        <v>1.9560185185185184E-3</v>
      </c>
      <c r="H654" s="3">
        <v>1.9097222222222222E-3</v>
      </c>
      <c r="I654" s="2">
        <v>0.70660000000000001</v>
      </c>
    </row>
    <row r="655" spans="1:9">
      <c r="A655" s="1">
        <v>654</v>
      </c>
      <c r="B655" s="1">
        <v>135</v>
      </c>
      <c r="C655" s="1">
        <v>128</v>
      </c>
      <c r="D655" s="2">
        <v>0.94810000000000005</v>
      </c>
      <c r="E655" s="1">
        <v>7</v>
      </c>
      <c r="F655" s="3">
        <v>2.0833333333333335E-4</v>
      </c>
      <c r="G655" s="3">
        <v>1.8055555555555555E-3</v>
      </c>
      <c r="H655" s="3">
        <v>3.8194444444444443E-3</v>
      </c>
      <c r="I655" s="2">
        <v>0.72589999999999999</v>
      </c>
    </row>
    <row r="656" spans="1:9">
      <c r="A656" s="1">
        <v>655</v>
      </c>
      <c r="B656" s="1">
        <v>122</v>
      </c>
      <c r="C656" s="1">
        <v>113</v>
      </c>
      <c r="D656" s="2">
        <v>0.92620000000000002</v>
      </c>
      <c r="E656" s="1">
        <v>9</v>
      </c>
      <c r="F656" s="3">
        <v>3.4722222222222224E-4</v>
      </c>
      <c r="G656" s="3">
        <v>1.9560185185185184E-3</v>
      </c>
      <c r="H656" s="3">
        <v>2.5462962962962965E-3</v>
      </c>
      <c r="I656" s="2">
        <v>0.61160000000000003</v>
      </c>
    </row>
    <row r="657" spans="1:9">
      <c r="A657" s="1">
        <v>656</v>
      </c>
      <c r="B657" s="1">
        <v>13</v>
      </c>
      <c r="C657" s="1">
        <v>12</v>
      </c>
      <c r="D657" s="2">
        <v>0.92310000000000003</v>
      </c>
      <c r="E657" s="1">
        <v>1</v>
      </c>
      <c r="F657" s="3">
        <v>2.7777777777777778E-4</v>
      </c>
      <c r="G657" s="3">
        <v>1.9097222222222222E-3</v>
      </c>
      <c r="H657" s="3">
        <v>8.3333333333333339E-4</v>
      </c>
      <c r="I657" s="2">
        <v>0.66669999999999996</v>
      </c>
    </row>
    <row r="658" spans="1:9">
      <c r="A658" s="1">
        <v>657</v>
      </c>
      <c r="B658" s="1">
        <v>20</v>
      </c>
      <c r="C658" s="1">
        <v>18</v>
      </c>
      <c r="D658" s="2">
        <v>0.9</v>
      </c>
      <c r="E658" s="1">
        <v>2</v>
      </c>
      <c r="F658" s="3">
        <v>2.6620370370370372E-4</v>
      </c>
      <c r="G658" s="3">
        <v>1.8865740740740742E-3</v>
      </c>
      <c r="H658" s="3">
        <v>1.8981481481481482E-3</v>
      </c>
      <c r="I658" s="2">
        <v>0.73680000000000001</v>
      </c>
    </row>
    <row r="659" spans="1:9">
      <c r="A659" s="1">
        <v>658</v>
      </c>
      <c r="B659" s="1">
        <v>152</v>
      </c>
      <c r="C659" s="1">
        <v>141</v>
      </c>
      <c r="D659" s="2">
        <v>0.92759999999999998</v>
      </c>
      <c r="E659" s="1">
        <v>11</v>
      </c>
      <c r="F659" s="3">
        <v>2.5462962962962961E-4</v>
      </c>
      <c r="G659" s="3">
        <v>1.8634259259259259E-3</v>
      </c>
      <c r="H659" s="3">
        <v>3.1134259259259257E-3</v>
      </c>
      <c r="I659" s="2">
        <v>0.7</v>
      </c>
    </row>
    <row r="660" spans="1:9">
      <c r="A660" s="1">
        <v>659</v>
      </c>
      <c r="B660" s="1">
        <v>132</v>
      </c>
      <c r="C660" s="1">
        <v>131</v>
      </c>
      <c r="D660" s="2">
        <v>0.99239999999999995</v>
      </c>
      <c r="E660" s="1">
        <v>1</v>
      </c>
      <c r="F660" s="3">
        <v>1.3888888888888889E-4</v>
      </c>
      <c r="G660" s="3">
        <v>1.8402777777777777E-3</v>
      </c>
      <c r="H660" s="3">
        <v>1.3888888888888889E-3</v>
      </c>
      <c r="I660" s="2">
        <v>0.87019999999999997</v>
      </c>
    </row>
    <row r="661" spans="1:9">
      <c r="A661" s="1">
        <v>660</v>
      </c>
      <c r="B661" s="1">
        <v>180</v>
      </c>
      <c r="C661" s="1">
        <v>171</v>
      </c>
      <c r="D661" s="2">
        <v>0.95</v>
      </c>
      <c r="E661" s="1">
        <v>9</v>
      </c>
      <c r="F661" s="3">
        <v>2.4305555555555555E-4</v>
      </c>
      <c r="G661" s="3">
        <v>1.9791666666666668E-3</v>
      </c>
      <c r="H661" s="3">
        <v>1.8402777777777777E-3</v>
      </c>
      <c r="I661" s="2">
        <v>0.71909999999999996</v>
      </c>
    </row>
    <row r="662" spans="1:9">
      <c r="A662" s="1">
        <v>661</v>
      </c>
      <c r="B662" s="1">
        <v>193</v>
      </c>
      <c r="C662" s="1">
        <v>189</v>
      </c>
      <c r="D662" s="2">
        <v>0.97929999999999995</v>
      </c>
      <c r="E662" s="1">
        <v>4</v>
      </c>
      <c r="F662" s="3">
        <v>1.5046296296296297E-4</v>
      </c>
      <c r="G662" s="3">
        <v>1.7939814814814815E-3</v>
      </c>
      <c r="H662" s="3">
        <v>1.6898148148148148E-3</v>
      </c>
      <c r="I662" s="2">
        <v>0.82899999999999996</v>
      </c>
    </row>
    <row r="663" spans="1:9">
      <c r="A663" s="1">
        <v>662</v>
      </c>
      <c r="B663" s="1">
        <v>245</v>
      </c>
      <c r="C663" s="1">
        <v>236</v>
      </c>
      <c r="D663" s="2">
        <v>0.96330000000000005</v>
      </c>
      <c r="E663" s="1">
        <v>9</v>
      </c>
      <c r="F663" s="3">
        <v>1.5046296296296297E-4</v>
      </c>
      <c r="G663" s="3">
        <v>1.8981481481481482E-3</v>
      </c>
      <c r="H663" s="3">
        <v>1.6203703703703703E-3</v>
      </c>
      <c r="I663" s="2">
        <v>0.82789999999999997</v>
      </c>
    </row>
    <row r="664" spans="1:9">
      <c r="A664" s="1">
        <v>663</v>
      </c>
      <c r="B664" s="1">
        <v>35</v>
      </c>
      <c r="C664" s="1">
        <v>34</v>
      </c>
      <c r="D664" s="2">
        <v>0.97140000000000004</v>
      </c>
      <c r="E664" s="1">
        <v>1</v>
      </c>
      <c r="F664" s="3">
        <v>1.273148148148148E-4</v>
      </c>
      <c r="G664" s="3">
        <v>1.5162037037037036E-3</v>
      </c>
      <c r="H664" s="3">
        <v>1.2037037037037038E-3</v>
      </c>
      <c r="I664" s="2">
        <v>0.88239999999999996</v>
      </c>
    </row>
    <row r="665" spans="1:9">
      <c r="A665" s="1">
        <v>664</v>
      </c>
      <c r="B665" s="1">
        <v>198</v>
      </c>
      <c r="C665" s="1">
        <v>190</v>
      </c>
      <c r="D665" s="2">
        <v>0.95960000000000001</v>
      </c>
      <c r="E665" s="1">
        <v>8</v>
      </c>
      <c r="F665" s="3">
        <v>1.3888888888888889E-4</v>
      </c>
      <c r="G665" s="3">
        <v>1.8287037037037037E-3</v>
      </c>
      <c r="H665" s="3">
        <v>9.4907407407407408E-4</v>
      </c>
      <c r="I665" s="2">
        <v>0.84689999999999999</v>
      </c>
    </row>
    <row r="666" spans="1:9">
      <c r="A666" s="1">
        <v>665</v>
      </c>
      <c r="B666" s="1">
        <v>47</v>
      </c>
      <c r="C666" s="1">
        <v>47</v>
      </c>
      <c r="D666" s="2">
        <v>1</v>
      </c>
      <c r="E666" s="1">
        <v>0</v>
      </c>
      <c r="F666" s="3">
        <v>6.9444444444444444E-5</v>
      </c>
      <c r="G666" s="3">
        <v>1.4930555555555556E-3</v>
      </c>
      <c r="H666" s="3">
        <v>6.5972222222222224E-4</v>
      </c>
      <c r="I666" s="2">
        <v>0.93620000000000003</v>
      </c>
    </row>
    <row r="667" spans="1:9">
      <c r="A667" s="1">
        <v>666</v>
      </c>
      <c r="B667" s="1">
        <v>187</v>
      </c>
      <c r="C667" s="1">
        <v>186</v>
      </c>
      <c r="D667" s="2">
        <v>0.99470000000000003</v>
      </c>
      <c r="E667" s="1">
        <v>1</v>
      </c>
      <c r="F667" s="3">
        <v>8.1018518518518516E-5</v>
      </c>
      <c r="G667" s="3">
        <v>1.736111111111111E-3</v>
      </c>
      <c r="H667" s="3">
        <v>1.9097222222222222E-3</v>
      </c>
      <c r="I667" s="2">
        <v>0.93579999999999997</v>
      </c>
    </row>
    <row r="668" spans="1:9">
      <c r="A668" s="1">
        <v>667</v>
      </c>
      <c r="B668" s="1">
        <v>57</v>
      </c>
      <c r="C668" s="1">
        <v>54</v>
      </c>
      <c r="D668" s="2">
        <v>0.94740000000000002</v>
      </c>
      <c r="E668" s="1">
        <v>3</v>
      </c>
      <c r="F668" s="3">
        <v>8.1018518518518516E-5</v>
      </c>
      <c r="G668" s="3">
        <v>1.8171296296296297E-3</v>
      </c>
      <c r="H668" s="3">
        <v>6.3657407407407413E-4</v>
      </c>
      <c r="I668" s="2">
        <v>0.91069999999999995</v>
      </c>
    </row>
    <row r="669" spans="1:9">
      <c r="A669" s="1">
        <v>668</v>
      </c>
      <c r="B669" s="1">
        <v>169</v>
      </c>
      <c r="C669" s="1">
        <v>162</v>
      </c>
      <c r="D669" s="2">
        <v>0.95860000000000001</v>
      </c>
      <c r="E669" s="1">
        <v>7</v>
      </c>
      <c r="F669" s="3">
        <v>1.0416666666666667E-4</v>
      </c>
      <c r="G669" s="3">
        <v>1.8402777777777777E-3</v>
      </c>
      <c r="H669" s="3">
        <v>1.2731481481481483E-3</v>
      </c>
      <c r="I669" s="2">
        <v>0.88170000000000004</v>
      </c>
    </row>
    <row r="670" spans="1:9">
      <c r="A670" s="1">
        <v>669</v>
      </c>
      <c r="B670" s="1">
        <v>337</v>
      </c>
      <c r="C670" s="1">
        <v>316</v>
      </c>
      <c r="D670" s="2">
        <v>0.93769999999999998</v>
      </c>
      <c r="E670" s="1">
        <v>21</v>
      </c>
      <c r="F670" s="3">
        <v>2.6620370370370372E-4</v>
      </c>
      <c r="G670" s="3">
        <v>1.5393518518518519E-3</v>
      </c>
      <c r="H670" s="3">
        <v>3.6689814814814814E-3</v>
      </c>
      <c r="I670" s="2">
        <v>0.72919999999999996</v>
      </c>
    </row>
    <row r="671" spans="1:9">
      <c r="A671" s="1">
        <v>670</v>
      </c>
      <c r="B671" s="1">
        <v>44</v>
      </c>
      <c r="C671" s="1">
        <v>43</v>
      </c>
      <c r="D671" s="2">
        <v>0.97729999999999995</v>
      </c>
      <c r="E671" s="1">
        <v>1</v>
      </c>
      <c r="F671" s="3">
        <v>1.0416666666666667E-4</v>
      </c>
      <c r="G671" s="3">
        <v>1.7939814814814815E-3</v>
      </c>
      <c r="H671" s="3">
        <v>1.2731481481481483E-3</v>
      </c>
      <c r="I671" s="2">
        <v>0.84089999999999998</v>
      </c>
    </row>
    <row r="672" spans="1:9">
      <c r="A672" s="1">
        <v>671</v>
      </c>
      <c r="B672" s="1">
        <v>210</v>
      </c>
      <c r="C672" s="1">
        <v>206</v>
      </c>
      <c r="D672" s="2">
        <v>0.98099999999999998</v>
      </c>
      <c r="E672" s="1">
        <v>4</v>
      </c>
      <c r="F672" s="3">
        <v>1.3888888888888889E-4</v>
      </c>
      <c r="G672" s="3">
        <v>1.8402777777777777E-3</v>
      </c>
      <c r="H672" s="3">
        <v>1.7592592592592592E-3</v>
      </c>
      <c r="I672" s="2">
        <v>0.87080000000000002</v>
      </c>
    </row>
    <row r="673" spans="1:9">
      <c r="A673" s="1">
        <v>672</v>
      </c>
      <c r="B673" s="1">
        <v>190</v>
      </c>
      <c r="C673" s="1">
        <v>186</v>
      </c>
      <c r="D673" s="2">
        <v>0.97889999999999999</v>
      </c>
      <c r="E673" s="1">
        <v>4</v>
      </c>
      <c r="F673" s="3">
        <v>1.9675925925925926E-4</v>
      </c>
      <c r="G673" s="3">
        <v>1.6435185185185185E-3</v>
      </c>
      <c r="H673" s="3">
        <v>3.3912037037037036E-3</v>
      </c>
      <c r="I673" s="2">
        <v>0.84130000000000005</v>
      </c>
    </row>
    <row r="674" spans="1:9">
      <c r="A674" s="1">
        <v>673</v>
      </c>
      <c r="B674" s="1">
        <v>190</v>
      </c>
      <c r="C674" s="1">
        <v>182</v>
      </c>
      <c r="D674" s="2">
        <v>0.95789999999999997</v>
      </c>
      <c r="E674" s="1">
        <v>8</v>
      </c>
      <c r="F674" s="3">
        <v>1.1574074074074075E-4</v>
      </c>
      <c r="G674" s="3">
        <v>1.8518518518518519E-3</v>
      </c>
      <c r="H674" s="3">
        <v>1.1342592592592593E-3</v>
      </c>
      <c r="I674" s="2">
        <v>0.87029999999999996</v>
      </c>
    </row>
    <row r="675" spans="1:9">
      <c r="A675" s="1">
        <v>674</v>
      </c>
      <c r="B675" s="1">
        <v>169</v>
      </c>
      <c r="C675" s="1">
        <v>168</v>
      </c>
      <c r="D675" s="2">
        <v>0.99409999999999998</v>
      </c>
      <c r="E675" s="1">
        <v>1</v>
      </c>
      <c r="F675" s="3">
        <v>1.273148148148148E-4</v>
      </c>
      <c r="G675" s="3">
        <v>1.6782407407407408E-3</v>
      </c>
      <c r="H675" s="3">
        <v>1.25E-3</v>
      </c>
      <c r="I675" s="2">
        <v>0.88170000000000004</v>
      </c>
    </row>
    <row r="676" spans="1:9">
      <c r="A676" s="1">
        <v>675</v>
      </c>
      <c r="B676" s="1">
        <v>52</v>
      </c>
      <c r="C676" s="1">
        <v>50</v>
      </c>
      <c r="D676" s="2">
        <v>0.96150000000000002</v>
      </c>
      <c r="E676" s="1">
        <v>2</v>
      </c>
      <c r="F676" s="3">
        <v>6.9444444444444444E-5</v>
      </c>
      <c r="G676" s="3">
        <v>1.7824074074074075E-3</v>
      </c>
      <c r="H676" s="3">
        <v>6.7129629629629625E-4</v>
      </c>
      <c r="I676" s="2">
        <v>0.92159999999999997</v>
      </c>
    </row>
    <row r="677" spans="1:9">
      <c r="A677" s="1">
        <v>676</v>
      </c>
      <c r="B677" s="1">
        <v>144</v>
      </c>
      <c r="C677" s="1">
        <v>137</v>
      </c>
      <c r="D677" s="2">
        <v>0.95140000000000002</v>
      </c>
      <c r="E677" s="1">
        <v>7</v>
      </c>
      <c r="F677" s="3">
        <v>1.6203703703703703E-4</v>
      </c>
      <c r="G677" s="3">
        <v>1.8055555555555555E-3</v>
      </c>
      <c r="H677" s="3">
        <v>2.0370370370370369E-3</v>
      </c>
      <c r="I677" s="2">
        <v>0.77080000000000004</v>
      </c>
    </row>
    <row r="678" spans="1:9">
      <c r="A678" s="1">
        <v>677</v>
      </c>
      <c r="B678" s="1">
        <v>36</v>
      </c>
      <c r="C678" s="1">
        <v>36</v>
      </c>
      <c r="D678" s="2">
        <v>1</v>
      </c>
      <c r="E678" s="1">
        <v>0</v>
      </c>
      <c r="F678" s="3">
        <v>1.7361111111111112E-4</v>
      </c>
      <c r="G678" s="3">
        <v>2.0023148148148148E-3</v>
      </c>
      <c r="H678" s="3">
        <v>1.1689814814814816E-3</v>
      </c>
      <c r="I678" s="2">
        <v>0.80559999999999998</v>
      </c>
    </row>
    <row r="679" spans="1:9">
      <c r="A679" s="1">
        <v>678</v>
      </c>
      <c r="B679" s="1">
        <v>155</v>
      </c>
      <c r="C679" s="1">
        <v>148</v>
      </c>
      <c r="D679" s="2">
        <v>0.95479999999999998</v>
      </c>
      <c r="E679" s="1">
        <v>7</v>
      </c>
      <c r="F679" s="3">
        <v>1.6203703703703703E-4</v>
      </c>
      <c r="G679" s="3">
        <v>1.6898148148148148E-3</v>
      </c>
      <c r="H679" s="3">
        <v>2.3495370370370371E-3</v>
      </c>
      <c r="I679" s="2">
        <v>0.81289999999999996</v>
      </c>
    </row>
    <row r="680" spans="1:9">
      <c r="A680" s="1">
        <v>679</v>
      </c>
      <c r="B680" s="1">
        <v>159</v>
      </c>
      <c r="C680" s="1">
        <v>154</v>
      </c>
      <c r="D680" s="2">
        <v>0.96860000000000002</v>
      </c>
      <c r="E680" s="1">
        <v>5</v>
      </c>
      <c r="F680" s="3">
        <v>1.8518518518518518E-4</v>
      </c>
      <c r="G680" s="3">
        <v>1.8634259259259259E-3</v>
      </c>
      <c r="H680" s="3">
        <v>1.5277777777777779E-3</v>
      </c>
      <c r="I680" s="2">
        <v>0.78620000000000001</v>
      </c>
    </row>
    <row r="681" spans="1:9">
      <c r="A681" s="1">
        <v>680</v>
      </c>
      <c r="B681" s="1">
        <v>115</v>
      </c>
      <c r="C681" s="1">
        <v>110</v>
      </c>
      <c r="D681" s="2">
        <v>0.95650000000000002</v>
      </c>
      <c r="E681" s="1">
        <v>5</v>
      </c>
      <c r="F681" s="3">
        <v>1.6203703703703703E-4</v>
      </c>
      <c r="G681" s="3">
        <v>1.712962962962963E-3</v>
      </c>
      <c r="H681" s="3">
        <v>1.5856481481481481E-3</v>
      </c>
      <c r="I681" s="2">
        <v>0.83189999999999997</v>
      </c>
    </row>
    <row r="682" spans="1:9">
      <c r="A682" s="1">
        <v>681</v>
      </c>
      <c r="B682" s="1">
        <v>186</v>
      </c>
      <c r="C682" s="1">
        <v>173</v>
      </c>
      <c r="D682" s="2">
        <v>0.93010000000000004</v>
      </c>
      <c r="E682" s="1">
        <v>13</v>
      </c>
      <c r="F682" s="3">
        <v>2.199074074074074E-4</v>
      </c>
      <c r="G682" s="3">
        <v>1.8402777777777777E-3</v>
      </c>
      <c r="H682" s="3">
        <v>1.8981481481481482E-3</v>
      </c>
      <c r="I682" s="2">
        <v>0.73509999999999998</v>
      </c>
    </row>
    <row r="683" spans="1:9">
      <c r="A683" s="1">
        <v>682</v>
      </c>
      <c r="B683" s="1">
        <v>167</v>
      </c>
      <c r="C683" s="1">
        <v>157</v>
      </c>
      <c r="D683" s="2">
        <v>0.94010000000000005</v>
      </c>
      <c r="E683" s="1">
        <v>10</v>
      </c>
      <c r="F683" s="3">
        <v>2.6620370370370372E-4</v>
      </c>
      <c r="G683" s="3">
        <v>1.7592592592592592E-3</v>
      </c>
      <c r="H683" s="3">
        <v>1.9560185185185184E-3</v>
      </c>
      <c r="I683" s="2">
        <v>0.67679999999999996</v>
      </c>
    </row>
    <row r="684" spans="1:9">
      <c r="A684" s="1">
        <v>683</v>
      </c>
      <c r="B684" s="1">
        <v>146</v>
      </c>
      <c r="C684" s="1">
        <v>142</v>
      </c>
      <c r="D684" s="2">
        <v>0.97260000000000002</v>
      </c>
      <c r="E684" s="1">
        <v>4</v>
      </c>
      <c r="F684" s="3">
        <v>2.5462962962962961E-4</v>
      </c>
      <c r="G684" s="3">
        <v>1.8749999999999999E-3</v>
      </c>
      <c r="H684" s="3">
        <v>1.3773148148148147E-3</v>
      </c>
      <c r="I684" s="2">
        <v>0.66900000000000004</v>
      </c>
    </row>
    <row r="685" spans="1:9">
      <c r="A685" s="1">
        <v>684</v>
      </c>
      <c r="B685" s="1">
        <v>41</v>
      </c>
      <c r="C685" s="1">
        <v>31</v>
      </c>
      <c r="D685" s="2">
        <v>0.75609999999999999</v>
      </c>
      <c r="E685" s="1">
        <v>10</v>
      </c>
      <c r="F685" s="3">
        <v>4.5138888888888887E-4</v>
      </c>
      <c r="G685" s="3">
        <v>2.5810185185185185E-3</v>
      </c>
      <c r="H685" s="3">
        <v>2.5462962962962965E-3</v>
      </c>
      <c r="I685" s="2">
        <v>0.48780000000000001</v>
      </c>
    </row>
    <row r="686" spans="1:9">
      <c r="A686" s="1">
        <v>685</v>
      </c>
      <c r="B686" s="1">
        <v>185</v>
      </c>
      <c r="C686" s="1">
        <v>85</v>
      </c>
      <c r="D686" s="2">
        <v>0.45950000000000002</v>
      </c>
      <c r="E686" s="1">
        <v>100</v>
      </c>
      <c r="F686" s="3">
        <v>1.261574074074074E-3</v>
      </c>
      <c r="G686" s="3">
        <v>1.9212962962962964E-3</v>
      </c>
      <c r="H686" s="3">
        <v>7.6504629629629631E-3</v>
      </c>
      <c r="I686" s="2">
        <v>3.7999999999999999E-2</v>
      </c>
    </row>
    <row r="687" spans="1:9">
      <c r="A687" s="1">
        <v>686</v>
      </c>
      <c r="B687" s="1">
        <v>149</v>
      </c>
      <c r="C687" s="1">
        <v>83</v>
      </c>
      <c r="D687" s="2">
        <v>0.55700000000000005</v>
      </c>
      <c r="E687" s="1">
        <v>66</v>
      </c>
      <c r="F687" s="3">
        <v>1.1342592592592593E-3</v>
      </c>
      <c r="G687" s="3">
        <v>1.5972222222222223E-3</v>
      </c>
      <c r="H687" s="3">
        <v>7.013888888888889E-3</v>
      </c>
      <c r="I687" s="2">
        <v>4.8300000000000003E-2</v>
      </c>
    </row>
    <row r="688" spans="1:9">
      <c r="A688" s="1">
        <v>687</v>
      </c>
      <c r="B688" s="1">
        <v>180</v>
      </c>
      <c r="C688" s="1">
        <v>115</v>
      </c>
      <c r="D688" s="2">
        <v>0.63890000000000002</v>
      </c>
      <c r="E688" s="1">
        <v>65</v>
      </c>
      <c r="F688" s="3">
        <v>7.407407407407407E-4</v>
      </c>
      <c r="G688" s="3">
        <v>1.7708333333333332E-3</v>
      </c>
      <c r="H688" s="3">
        <v>8.9120370370370378E-3</v>
      </c>
      <c r="I688" s="2">
        <v>0.23860000000000001</v>
      </c>
    </row>
    <row r="689" spans="1:9">
      <c r="A689" s="1">
        <v>688</v>
      </c>
      <c r="B689" s="1">
        <v>173</v>
      </c>
      <c r="C689" s="1">
        <v>144</v>
      </c>
      <c r="D689" s="2">
        <v>0.83240000000000003</v>
      </c>
      <c r="E689" s="1">
        <v>29</v>
      </c>
      <c r="F689" s="3">
        <v>4.3981481481481481E-4</v>
      </c>
      <c r="G689" s="3">
        <v>2.0833333333333333E-3</v>
      </c>
      <c r="H689" s="3">
        <v>3.8425925925925928E-3</v>
      </c>
      <c r="I689" s="2">
        <v>0.4647</v>
      </c>
    </row>
    <row r="690" spans="1:9">
      <c r="A690" s="1">
        <v>689</v>
      </c>
      <c r="B690" s="1">
        <v>176</v>
      </c>
      <c r="C690" s="1">
        <v>158</v>
      </c>
      <c r="D690" s="2">
        <v>0.89770000000000005</v>
      </c>
      <c r="E690" s="1">
        <v>18</v>
      </c>
      <c r="F690" s="3">
        <v>2.3148148148148149E-4</v>
      </c>
      <c r="G690" s="3">
        <v>1.7708333333333332E-3</v>
      </c>
      <c r="H690" s="3">
        <v>3.6458333333333334E-3</v>
      </c>
      <c r="I690" s="2">
        <v>0.70350000000000001</v>
      </c>
    </row>
    <row r="691" spans="1:9">
      <c r="A691" s="1">
        <v>690</v>
      </c>
      <c r="B691" s="1">
        <v>147</v>
      </c>
      <c r="C691" s="1">
        <v>120</v>
      </c>
      <c r="D691" s="2">
        <v>0.81630000000000003</v>
      </c>
      <c r="E691" s="1">
        <v>27</v>
      </c>
      <c r="F691" s="3">
        <v>5.3240740740740744E-4</v>
      </c>
      <c r="G691" s="3">
        <v>1.8402777777777777E-3</v>
      </c>
      <c r="H691" s="3">
        <v>2.9629629629629628E-3</v>
      </c>
      <c r="I691" s="2">
        <v>0.39729999999999999</v>
      </c>
    </row>
    <row r="692" spans="1:9">
      <c r="A692" s="1">
        <v>691</v>
      </c>
      <c r="B692" s="1">
        <v>84</v>
      </c>
      <c r="C692" s="1">
        <v>77</v>
      </c>
      <c r="D692" s="2">
        <v>0.91669999999999996</v>
      </c>
      <c r="E692" s="1">
        <v>7</v>
      </c>
      <c r="F692" s="3">
        <v>1.9675925925925926E-4</v>
      </c>
      <c r="G692" s="3">
        <v>1.4699074074074074E-3</v>
      </c>
      <c r="H692" s="3">
        <v>3.1250000000000002E-3</v>
      </c>
      <c r="I692" s="2">
        <v>0.7349</v>
      </c>
    </row>
    <row r="693" spans="1:9">
      <c r="A693" s="1">
        <v>692</v>
      </c>
      <c r="B693" s="1">
        <v>325</v>
      </c>
      <c r="C693" s="1">
        <v>78</v>
      </c>
      <c r="D693" s="2">
        <v>0.24</v>
      </c>
      <c r="E693" s="1">
        <v>247</v>
      </c>
      <c r="F693" s="3">
        <v>2.2337962962962962E-3</v>
      </c>
      <c r="G693" s="3">
        <v>2.0949074074074073E-3</v>
      </c>
      <c r="H693" s="3">
        <v>1.2118055555555556E-2</v>
      </c>
      <c r="I693" s="2">
        <v>0</v>
      </c>
    </row>
    <row r="694" spans="1:9">
      <c r="A694" s="1">
        <v>693</v>
      </c>
      <c r="B694" s="1">
        <v>441</v>
      </c>
      <c r="C694" s="1">
        <v>103</v>
      </c>
      <c r="D694" s="2">
        <v>0.2336</v>
      </c>
      <c r="E694" s="1">
        <v>338</v>
      </c>
      <c r="F694" s="3">
        <v>2.8240740740740739E-3</v>
      </c>
      <c r="G694" s="3">
        <v>1.8865740740740742E-3</v>
      </c>
      <c r="H694" s="3">
        <v>1.0856481481481481E-2</v>
      </c>
      <c r="I694" s="2">
        <v>2.3E-3</v>
      </c>
    </row>
    <row r="695" spans="1:9">
      <c r="A695" s="1">
        <v>694</v>
      </c>
      <c r="B695" s="1">
        <v>525</v>
      </c>
      <c r="C695" s="1">
        <v>116</v>
      </c>
      <c r="D695" s="2">
        <v>0.221</v>
      </c>
      <c r="E695" s="1">
        <v>409</v>
      </c>
      <c r="F695" s="3">
        <v>3.5648148148148149E-3</v>
      </c>
      <c r="G695" s="3">
        <v>2.1759259259259258E-3</v>
      </c>
      <c r="H695" s="3">
        <v>1.5925925925925927E-2</v>
      </c>
      <c r="I695" s="2">
        <v>0</v>
      </c>
    </row>
    <row r="696" spans="1:9">
      <c r="A696" s="1">
        <v>695</v>
      </c>
      <c r="B696" s="1">
        <v>610</v>
      </c>
      <c r="C696" s="1">
        <v>201</v>
      </c>
      <c r="D696" s="2">
        <v>0.32950000000000002</v>
      </c>
      <c r="E696" s="1">
        <v>409</v>
      </c>
      <c r="F696" s="3">
        <v>2.2337962962962962E-3</v>
      </c>
      <c r="G696" s="3">
        <v>1.9907407407407408E-3</v>
      </c>
      <c r="H696" s="3">
        <v>1.3368055555555555E-2</v>
      </c>
      <c r="I696" s="2">
        <v>3.5200000000000002E-2</v>
      </c>
    </row>
    <row r="697" spans="1:9">
      <c r="A697" s="1">
        <v>696</v>
      </c>
      <c r="B697" s="1">
        <v>427</v>
      </c>
      <c r="C697" s="1">
        <v>282</v>
      </c>
      <c r="D697" s="2">
        <v>0.66039999999999999</v>
      </c>
      <c r="E697" s="1">
        <v>145</v>
      </c>
      <c r="F697" s="3">
        <v>7.1759259259259259E-4</v>
      </c>
      <c r="G697" s="3">
        <v>1.9560185185185184E-3</v>
      </c>
      <c r="H697" s="3">
        <v>1.0208333333333333E-2</v>
      </c>
      <c r="I697" s="2">
        <v>0.24879999999999999</v>
      </c>
    </row>
    <row r="698" spans="1:9">
      <c r="A698" s="1">
        <v>697</v>
      </c>
      <c r="B698" s="1">
        <v>378</v>
      </c>
      <c r="C698" s="1">
        <v>331</v>
      </c>
      <c r="D698" s="2">
        <v>0.87570000000000003</v>
      </c>
      <c r="E698" s="1">
        <v>47</v>
      </c>
      <c r="F698" s="3">
        <v>4.9768518518518521E-4</v>
      </c>
      <c r="G698" s="3">
        <v>1.8171296296296297E-3</v>
      </c>
      <c r="H698" s="3">
        <v>3.8194444444444443E-3</v>
      </c>
      <c r="I698" s="2">
        <v>0.40329999999999999</v>
      </c>
    </row>
    <row r="699" spans="1:9">
      <c r="A699" s="1">
        <v>698</v>
      </c>
      <c r="B699" s="1">
        <v>80</v>
      </c>
      <c r="C699" s="1">
        <v>67</v>
      </c>
      <c r="D699" s="2">
        <v>0.83750000000000002</v>
      </c>
      <c r="E699" s="1">
        <v>13</v>
      </c>
      <c r="F699" s="3">
        <v>4.3981481481481481E-4</v>
      </c>
      <c r="G699" s="3">
        <v>2.2222222222222222E-3</v>
      </c>
      <c r="H699" s="3">
        <v>3.8194444444444443E-3</v>
      </c>
      <c r="I699" s="2">
        <v>0.46250000000000002</v>
      </c>
    </row>
    <row r="700" spans="1:9">
      <c r="A700" s="1">
        <v>699</v>
      </c>
      <c r="B700" s="1">
        <v>356</v>
      </c>
      <c r="C700" s="1">
        <v>320</v>
      </c>
      <c r="D700" s="2">
        <v>0.89890000000000003</v>
      </c>
      <c r="E700" s="1">
        <v>36</v>
      </c>
      <c r="F700" s="3">
        <v>3.9351851851851852E-4</v>
      </c>
      <c r="G700" s="3">
        <v>1.9907407407407408E-3</v>
      </c>
      <c r="H700" s="3">
        <v>3.8194444444444443E-3</v>
      </c>
      <c r="I700" s="2">
        <v>0.52559999999999996</v>
      </c>
    </row>
    <row r="701" spans="1:9">
      <c r="A701" s="1">
        <v>700</v>
      </c>
      <c r="B701" s="1">
        <v>409</v>
      </c>
      <c r="C701" s="1">
        <v>355</v>
      </c>
      <c r="D701" s="2">
        <v>0.86799999999999999</v>
      </c>
      <c r="E701" s="1">
        <v>54</v>
      </c>
      <c r="F701" s="3">
        <v>5.0925925925925921E-4</v>
      </c>
      <c r="G701" s="3">
        <v>2.0254629629629629E-3</v>
      </c>
      <c r="H701" s="3">
        <v>3.0208333333333333E-3</v>
      </c>
      <c r="I701" s="2">
        <v>0.39700000000000002</v>
      </c>
    </row>
    <row r="702" spans="1:9">
      <c r="A702" s="1">
        <v>701</v>
      </c>
      <c r="B702" s="1">
        <v>352</v>
      </c>
      <c r="C702" s="1">
        <v>302</v>
      </c>
      <c r="D702" s="2">
        <v>0.85799999999999998</v>
      </c>
      <c r="E702" s="1">
        <v>50</v>
      </c>
      <c r="F702" s="3">
        <v>4.7453703703703704E-4</v>
      </c>
      <c r="G702" s="3">
        <v>2.1180555555555558E-3</v>
      </c>
      <c r="H702" s="3">
        <v>4.0393518518518521E-3</v>
      </c>
      <c r="I702" s="2">
        <v>0.47399999999999998</v>
      </c>
    </row>
    <row r="703" spans="1:9">
      <c r="A703" s="1">
        <v>702</v>
      </c>
      <c r="B703" s="1">
        <v>282</v>
      </c>
      <c r="C703" s="1">
        <v>239</v>
      </c>
      <c r="D703" s="2">
        <v>0.84750000000000003</v>
      </c>
      <c r="E703" s="1">
        <v>43</v>
      </c>
      <c r="F703" s="3">
        <v>4.5138888888888887E-4</v>
      </c>
      <c r="G703" s="3">
        <v>2.1527777777777778E-3</v>
      </c>
      <c r="H703" s="3">
        <v>5.8564814814814816E-3</v>
      </c>
      <c r="I703" s="2">
        <v>0.51070000000000004</v>
      </c>
    </row>
    <row r="704" spans="1:9">
      <c r="A704" s="1">
        <v>703</v>
      </c>
      <c r="B704" s="1">
        <v>429</v>
      </c>
      <c r="C704" s="1">
        <v>390</v>
      </c>
      <c r="D704" s="2">
        <v>0.90910000000000002</v>
      </c>
      <c r="E704" s="1">
        <v>39</v>
      </c>
      <c r="F704" s="3">
        <v>4.3981481481481481E-4</v>
      </c>
      <c r="G704" s="3">
        <v>1.8634259259259259E-3</v>
      </c>
      <c r="H704" s="3">
        <v>2.5462962962962965E-3</v>
      </c>
      <c r="I704" s="2">
        <v>0.4466</v>
      </c>
    </row>
    <row r="705" spans="1:9">
      <c r="A705" s="1">
        <v>704</v>
      </c>
      <c r="B705" s="1">
        <v>310</v>
      </c>
      <c r="C705" s="1">
        <v>285</v>
      </c>
      <c r="D705" s="2">
        <v>0.9194</v>
      </c>
      <c r="E705" s="1">
        <v>25</v>
      </c>
      <c r="F705" s="3">
        <v>3.8194444444444446E-4</v>
      </c>
      <c r="G705" s="3">
        <v>1.9097222222222222E-3</v>
      </c>
      <c r="H705" s="3">
        <v>2.9166666666666668E-3</v>
      </c>
      <c r="I705" s="2">
        <v>0.56110000000000004</v>
      </c>
    </row>
    <row r="706" spans="1:9">
      <c r="A706" s="1">
        <v>705</v>
      </c>
      <c r="B706" s="1">
        <v>102</v>
      </c>
      <c r="C706" s="1">
        <v>94</v>
      </c>
      <c r="D706" s="2">
        <v>0.92159999999999997</v>
      </c>
      <c r="E706" s="1">
        <v>8</v>
      </c>
      <c r="F706" s="3">
        <v>3.3564814814814812E-4</v>
      </c>
      <c r="G706" s="3">
        <v>1.8518518518518519E-3</v>
      </c>
      <c r="H706" s="3">
        <v>1.9444444444444444E-3</v>
      </c>
      <c r="I706" s="2">
        <v>0.63729999999999998</v>
      </c>
    </row>
    <row r="707" spans="1:9">
      <c r="A707" s="1">
        <v>706</v>
      </c>
      <c r="B707" s="1">
        <v>335</v>
      </c>
      <c r="C707" s="1">
        <v>297</v>
      </c>
      <c r="D707" s="2">
        <v>0.88660000000000005</v>
      </c>
      <c r="E707" s="1">
        <v>38</v>
      </c>
      <c r="F707" s="3">
        <v>4.5138888888888887E-4</v>
      </c>
      <c r="G707" s="3">
        <v>1.7708333333333332E-3</v>
      </c>
      <c r="H707" s="3">
        <v>2.5694444444444445E-3</v>
      </c>
      <c r="I707" s="2">
        <v>0.43640000000000001</v>
      </c>
    </row>
    <row r="708" spans="1:9">
      <c r="A708" s="1">
        <v>707</v>
      </c>
      <c r="B708" s="1">
        <v>313</v>
      </c>
      <c r="C708" s="1">
        <v>291</v>
      </c>
      <c r="D708" s="2">
        <v>0.92969999999999997</v>
      </c>
      <c r="E708" s="1">
        <v>22</v>
      </c>
      <c r="F708" s="3">
        <v>3.0092592592592595E-4</v>
      </c>
      <c r="G708" s="3">
        <v>1.6782407407407408E-3</v>
      </c>
      <c r="H708" s="3">
        <v>2.5694444444444445E-3</v>
      </c>
      <c r="I708" s="2">
        <v>0.64290000000000003</v>
      </c>
    </row>
    <row r="709" spans="1:9">
      <c r="A709" s="1">
        <v>708</v>
      </c>
      <c r="B709" s="1">
        <v>251</v>
      </c>
      <c r="C709" s="1">
        <v>240</v>
      </c>
      <c r="D709" s="2">
        <v>0.95620000000000005</v>
      </c>
      <c r="E709" s="1">
        <v>11</v>
      </c>
      <c r="F709" s="3">
        <v>2.7777777777777778E-4</v>
      </c>
      <c r="G709" s="3">
        <v>1.8749999999999999E-3</v>
      </c>
      <c r="H709" s="3">
        <v>1.9097222222222222E-3</v>
      </c>
      <c r="I709" s="2">
        <v>0.67200000000000004</v>
      </c>
    </row>
    <row r="710" spans="1:9">
      <c r="A710" s="1">
        <v>709</v>
      </c>
      <c r="B710" s="1">
        <v>190</v>
      </c>
      <c r="C710" s="1">
        <v>176</v>
      </c>
      <c r="D710" s="2">
        <v>0.92630000000000001</v>
      </c>
      <c r="E710" s="1">
        <v>14</v>
      </c>
      <c r="F710" s="3">
        <v>2.7777777777777778E-4</v>
      </c>
      <c r="G710" s="3">
        <v>1.7476851851851852E-3</v>
      </c>
      <c r="H710" s="3">
        <v>2.6967592592592594E-3</v>
      </c>
      <c r="I710" s="2">
        <v>0.67720000000000002</v>
      </c>
    </row>
    <row r="711" spans="1:9">
      <c r="A711" s="1">
        <v>710</v>
      </c>
      <c r="B711" s="1">
        <v>188</v>
      </c>
      <c r="C711" s="1">
        <v>170</v>
      </c>
      <c r="D711" s="2">
        <v>0.90429999999999999</v>
      </c>
      <c r="E711" s="1">
        <v>18</v>
      </c>
      <c r="F711" s="3">
        <v>3.9351851851851852E-4</v>
      </c>
      <c r="G711" s="3">
        <v>1.9560185185185184E-3</v>
      </c>
      <c r="H711" s="3">
        <v>4.4560185185185189E-3</v>
      </c>
      <c r="I711" s="2">
        <v>0.5323</v>
      </c>
    </row>
    <row r="712" spans="1:9">
      <c r="A712" s="1">
        <v>711</v>
      </c>
      <c r="B712" s="1">
        <v>166</v>
      </c>
      <c r="C712" s="1">
        <v>160</v>
      </c>
      <c r="D712" s="2">
        <v>0.96389999999999998</v>
      </c>
      <c r="E712" s="1">
        <v>6</v>
      </c>
      <c r="F712" s="3">
        <v>1.7361111111111112E-4</v>
      </c>
      <c r="G712" s="3">
        <v>1.8518518518518519E-3</v>
      </c>
      <c r="H712" s="3">
        <v>1.9097222222222222E-3</v>
      </c>
      <c r="I712" s="2">
        <v>0.81820000000000004</v>
      </c>
    </row>
    <row r="713" spans="1:9">
      <c r="A713" s="1">
        <v>712</v>
      </c>
      <c r="B713" s="1">
        <v>73</v>
      </c>
      <c r="C713" s="1">
        <v>68</v>
      </c>
      <c r="D713" s="2">
        <v>0.93149999999999999</v>
      </c>
      <c r="E713" s="1">
        <v>5</v>
      </c>
      <c r="F713" s="3">
        <v>1.7361111111111112E-4</v>
      </c>
      <c r="G713" s="3">
        <v>1.5393518518518519E-3</v>
      </c>
      <c r="H713" s="3">
        <v>1.712962962962963E-3</v>
      </c>
      <c r="I713" s="2">
        <v>0.78869999999999996</v>
      </c>
    </row>
    <row r="714" spans="1:9">
      <c r="A714" s="1">
        <v>713</v>
      </c>
      <c r="B714" s="1">
        <v>170</v>
      </c>
      <c r="C714" s="1">
        <v>159</v>
      </c>
      <c r="D714" s="2">
        <v>0.93530000000000002</v>
      </c>
      <c r="E714" s="1">
        <v>11</v>
      </c>
      <c r="F714" s="3">
        <v>2.3148148148148149E-4</v>
      </c>
      <c r="G714" s="3">
        <v>1.8518518518518519E-3</v>
      </c>
      <c r="H714" s="3">
        <v>3.3680555555555556E-3</v>
      </c>
      <c r="I714" s="2">
        <v>0.73209999999999997</v>
      </c>
    </row>
    <row r="715" spans="1:9">
      <c r="A715" s="1">
        <v>714</v>
      </c>
      <c r="B715" s="1">
        <v>188</v>
      </c>
      <c r="C715" s="1">
        <v>181</v>
      </c>
      <c r="D715" s="2">
        <v>0.96279999999999999</v>
      </c>
      <c r="E715" s="1">
        <v>7</v>
      </c>
      <c r="F715" s="3">
        <v>2.6620370370370372E-4</v>
      </c>
      <c r="G715" s="3">
        <v>1.8402777777777777E-3</v>
      </c>
      <c r="H715" s="3">
        <v>2.0949074074074073E-3</v>
      </c>
      <c r="I715" s="2">
        <v>0.68279999999999996</v>
      </c>
    </row>
    <row r="716" spans="1:9">
      <c r="A716" s="1">
        <v>715</v>
      </c>
      <c r="B716" s="1">
        <v>306</v>
      </c>
      <c r="C716" s="1">
        <v>262</v>
      </c>
      <c r="D716" s="2">
        <v>0.85619999999999996</v>
      </c>
      <c r="E716" s="1">
        <v>44</v>
      </c>
      <c r="F716" s="3">
        <v>5.0925925925925921E-4</v>
      </c>
      <c r="G716" s="3">
        <v>1.9444444444444444E-3</v>
      </c>
      <c r="H716" s="3">
        <v>5.2893518518518515E-3</v>
      </c>
      <c r="I716" s="2">
        <v>0.46329999999999999</v>
      </c>
    </row>
    <row r="717" spans="1:9">
      <c r="A717" s="1">
        <v>716</v>
      </c>
      <c r="B717" s="1">
        <v>201</v>
      </c>
      <c r="C717" s="1">
        <v>185</v>
      </c>
      <c r="D717" s="2">
        <v>0.9204</v>
      </c>
      <c r="E717" s="1">
        <v>16</v>
      </c>
      <c r="F717" s="3">
        <v>2.6620370370370372E-4</v>
      </c>
      <c r="G717" s="3">
        <v>1.8287037037037037E-3</v>
      </c>
      <c r="H717" s="3">
        <v>1.9212962962962964E-3</v>
      </c>
      <c r="I717" s="2">
        <v>0.6734</v>
      </c>
    </row>
    <row r="718" spans="1:9">
      <c r="A718" s="1">
        <v>717</v>
      </c>
      <c r="B718" s="1">
        <v>188</v>
      </c>
      <c r="C718" s="1">
        <v>184</v>
      </c>
      <c r="D718" s="2">
        <v>0.97870000000000001</v>
      </c>
      <c r="E718" s="1">
        <v>4</v>
      </c>
      <c r="F718" s="3">
        <v>1.9675925925925926E-4</v>
      </c>
      <c r="G718" s="3">
        <v>1.8055555555555555E-3</v>
      </c>
      <c r="H718" s="3">
        <v>1.6435185185185185E-3</v>
      </c>
      <c r="I718" s="2">
        <v>0.79259999999999997</v>
      </c>
    </row>
    <row r="719" spans="1:9">
      <c r="A719" s="1">
        <v>718</v>
      </c>
      <c r="B719" s="1">
        <v>148</v>
      </c>
      <c r="C719" s="1">
        <v>131</v>
      </c>
      <c r="D719" s="2">
        <v>0.8851</v>
      </c>
      <c r="E719" s="1">
        <v>17</v>
      </c>
      <c r="F719" s="3">
        <v>3.5879629629629629E-4</v>
      </c>
      <c r="G719" s="3">
        <v>1.9791666666666668E-3</v>
      </c>
      <c r="H719" s="3">
        <v>2.5000000000000001E-3</v>
      </c>
      <c r="I719" s="2">
        <v>0.53059999999999996</v>
      </c>
    </row>
    <row r="720" spans="1:9">
      <c r="A720" s="1">
        <v>719</v>
      </c>
      <c r="B720" s="1">
        <v>21</v>
      </c>
      <c r="C720" s="1">
        <v>17</v>
      </c>
      <c r="D720" s="2">
        <v>0.8095</v>
      </c>
      <c r="E720" s="1">
        <v>4</v>
      </c>
      <c r="F720" s="3">
        <v>6.018518518518519E-4</v>
      </c>
      <c r="G720" s="3">
        <v>2.4189814814814816E-3</v>
      </c>
      <c r="H720" s="3">
        <v>7.6388888888888886E-3</v>
      </c>
      <c r="I720" s="2">
        <v>0.52380000000000004</v>
      </c>
    </row>
    <row r="721" spans="1:9">
      <c r="A721" s="1">
        <v>720</v>
      </c>
      <c r="B721" s="1">
        <v>148</v>
      </c>
      <c r="C721" s="1">
        <v>129</v>
      </c>
      <c r="D721" s="2">
        <v>0.87160000000000004</v>
      </c>
      <c r="E721" s="1">
        <v>19</v>
      </c>
      <c r="F721" s="3">
        <v>4.6296296296296298E-4</v>
      </c>
      <c r="G721" s="3">
        <v>2.0949074074074073E-3</v>
      </c>
      <c r="H721" s="3">
        <v>4.8148148148148152E-3</v>
      </c>
      <c r="I721" s="2">
        <v>0.45519999999999999</v>
      </c>
    </row>
    <row r="722" spans="1:9">
      <c r="A722" s="1">
        <v>721</v>
      </c>
      <c r="B722" s="1">
        <v>167</v>
      </c>
      <c r="C722" s="1">
        <v>154</v>
      </c>
      <c r="D722" s="2">
        <v>0.92220000000000002</v>
      </c>
      <c r="E722" s="1">
        <v>13</v>
      </c>
      <c r="F722" s="3">
        <v>1.9675925925925926E-4</v>
      </c>
      <c r="G722" s="3">
        <v>1.8865740740740742E-3</v>
      </c>
      <c r="H722" s="3">
        <v>1.9560185185185184E-3</v>
      </c>
      <c r="I722" s="2">
        <v>0.7349</v>
      </c>
    </row>
    <row r="723" spans="1:9">
      <c r="A723" s="1">
        <v>722</v>
      </c>
      <c r="B723" s="1">
        <v>169</v>
      </c>
      <c r="C723" s="1">
        <v>158</v>
      </c>
      <c r="D723" s="2">
        <v>0.93489999999999995</v>
      </c>
      <c r="E723" s="1">
        <v>11</v>
      </c>
      <c r="F723" s="3">
        <v>1.8518518518518518E-4</v>
      </c>
      <c r="G723" s="3">
        <v>1.8055555555555555E-3</v>
      </c>
      <c r="H723" s="3">
        <v>1.2037037037037038E-3</v>
      </c>
      <c r="I723" s="2">
        <v>0.75</v>
      </c>
    </row>
    <row r="724" spans="1:9">
      <c r="A724" s="1">
        <v>723</v>
      </c>
      <c r="B724" s="1">
        <v>175</v>
      </c>
      <c r="C724" s="1">
        <v>163</v>
      </c>
      <c r="D724" s="2">
        <v>0.93140000000000001</v>
      </c>
      <c r="E724" s="1">
        <v>12</v>
      </c>
      <c r="F724" s="3">
        <v>2.5462962962962961E-4</v>
      </c>
      <c r="G724" s="3">
        <v>1.8171296296296297E-3</v>
      </c>
      <c r="H724" s="3">
        <v>1.5972222222222223E-3</v>
      </c>
      <c r="I724" s="2">
        <v>0.71099999999999997</v>
      </c>
    </row>
    <row r="725" spans="1:9">
      <c r="A725" s="1">
        <v>724</v>
      </c>
      <c r="B725" s="1">
        <v>193</v>
      </c>
      <c r="C725" s="1">
        <v>183</v>
      </c>
      <c r="D725" s="2">
        <v>0.94820000000000004</v>
      </c>
      <c r="E725" s="1">
        <v>10</v>
      </c>
      <c r="F725" s="3">
        <v>1.8518518518518518E-4</v>
      </c>
      <c r="G725" s="3">
        <v>1.9560185185185184E-3</v>
      </c>
      <c r="H725" s="3">
        <v>1.9444444444444444E-3</v>
      </c>
      <c r="I725" s="2">
        <v>0.80210000000000004</v>
      </c>
    </row>
    <row r="726" spans="1:9">
      <c r="A726" s="1">
        <v>725</v>
      </c>
      <c r="B726" s="1">
        <v>154</v>
      </c>
      <c r="C726" s="1">
        <v>144</v>
      </c>
      <c r="D726" s="2">
        <v>0.93510000000000004</v>
      </c>
      <c r="E726" s="1">
        <v>10</v>
      </c>
      <c r="F726" s="3">
        <v>2.3148148148148149E-4</v>
      </c>
      <c r="G726" s="3">
        <v>1.8634259259259259E-3</v>
      </c>
      <c r="H726" s="3">
        <v>2.0138888888888888E-3</v>
      </c>
      <c r="I726" s="2">
        <v>0.73509999999999998</v>
      </c>
    </row>
    <row r="727" spans="1:9">
      <c r="A727" s="1">
        <v>726</v>
      </c>
      <c r="B727" s="1">
        <v>35</v>
      </c>
      <c r="C727" s="1">
        <v>34</v>
      </c>
      <c r="D727" s="2">
        <v>0.97140000000000004</v>
      </c>
      <c r="E727" s="1">
        <v>1</v>
      </c>
      <c r="F727" s="3">
        <v>1.6203703703703703E-4</v>
      </c>
      <c r="G727" s="3">
        <v>2.1527777777777778E-3</v>
      </c>
      <c r="H727" s="3">
        <v>6.7129629629629625E-4</v>
      </c>
      <c r="I727" s="2">
        <v>0.77139999999999997</v>
      </c>
    </row>
    <row r="728" spans="1:9">
      <c r="A728" s="1">
        <v>727</v>
      </c>
      <c r="B728" s="1">
        <v>172</v>
      </c>
      <c r="C728" s="1">
        <v>161</v>
      </c>
      <c r="D728" s="2">
        <v>0.93600000000000005</v>
      </c>
      <c r="E728" s="1">
        <v>11</v>
      </c>
      <c r="F728" s="3">
        <v>2.3148148148148149E-4</v>
      </c>
      <c r="G728" s="3">
        <v>1.9444444444444444E-3</v>
      </c>
      <c r="H728" s="3">
        <v>1.7592592592592592E-3</v>
      </c>
      <c r="I728" s="2">
        <v>0.72089999999999999</v>
      </c>
    </row>
    <row r="729" spans="1:9">
      <c r="A729" s="1">
        <v>728</v>
      </c>
      <c r="B729" s="1">
        <v>195</v>
      </c>
      <c r="C729" s="1">
        <v>182</v>
      </c>
      <c r="D729" s="2">
        <v>0.93330000000000002</v>
      </c>
      <c r="E729" s="1">
        <v>13</v>
      </c>
      <c r="F729" s="3">
        <v>2.7777777777777778E-4</v>
      </c>
      <c r="G729" s="3">
        <v>1.9791666666666668E-3</v>
      </c>
      <c r="H729" s="3">
        <v>2.1990740740740742E-3</v>
      </c>
      <c r="I729" s="2">
        <v>0.66839999999999999</v>
      </c>
    </row>
    <row r="730" spans="1:9">
      <c r="A730" s="1">
        <v>729</v>
      </c>
      <c r="B730" s="1">
        <v>163</v>
      </c>
      <c r="C730" s="1">
        <v>157</v>
      </c>
      <c r="D730" s="2">
        <v>0.96319999999999995</v>
      </c>
      <c r="E730" s="1">
        <v>6</v>
      </c>
      <c r="F730" s="3">
        <v>1.9675925925925926E-4</v>
      </c>
      <c r="G730" s="3">
        <v>1.9212962962962964E-3</v>
      </c>
      <c r="H730" s="3">
        <v>3.8541666666666668E-3</v>
      </c>
      <c r="I730" s="2">
        <v>0.82210000000000005</v>
      </c>
    </row>
    <row r="731" spans="1:9">
      <c r="A731" s="1">
        <v>730</v>
      </c>
      <c r="B731" s="1">
        <v>134</v>
      </c>
      <c r="C731" s="1">
        <v>126</v>
      </c>
      <c r="D731" s="2">
        <v>0.94030000000000002</v>
      </c>
      <c r="E731" s="1">
        <v>8</v>
      </c>
      <c r="F731" s="3">
        <v>3.4722222222222224E-4</v>
      </c>
      <c r="G731" s="3">
        <v>2.0601851851851853E-3</v>
      </c>
      <c r="H731" s="3">
        <v>3.460648148148148E-3</v>
      </c>
      <c r="I731" s="2">
        <v>0.63570000000000004</v>
      </c>
    </row>
    <row r="732" spans="1:9">
      <c r="A732" s="1">
        <v>731</v>
      </c>
      <c r="B732" s="1">
        <v>158</v>
      </c>
      <c r="C732" s="1">
        <v>142</v>
      </c>
      <c r="D732" s="2">
        <v>0.89870000000000005</v>
      </c>
      <c r="E732" s="1">
        <v>16</v>
      </c>
      <c r="F732" s="3">
        <v>2.8935185185185184E-4</v>
      </c>
      <c r="G732" s="3">
        <v>1.9097222222222222E-3</v>
      </c>
      <c r="H732" s="3">
        <v>2.0370370370370369E-3</v>
      </c>
      <c r="I732" s="2">
        <v>0.59350000000000003</v>
      </c>
    </row>
    <row r="733" spans="1:9">
      <c r="A733" s="1">
        <v>732</v>
      </c>
      <c r="B733" s="1">
        <v>161</v>
      </c>
      <c r="C733" s="1">
        <v>144</v>
      </c>
      <c r="D733" s="2">
        <v>0.89439999999999997</v>
      </c>
      <c r="E733" s="1">
        <v>17</v>
      </c>
      <c r="F733" s="3">
        <v>3.9351851851851852E-4</v>
      </c>
      <c r="G733" s="3">
        <v>1.9560185185185184E-3</v>
      </c>
      <c r="H733" s="3">
        <v>3.472222222222222E-3</v>
      </c>
      <c r="I733" s="2">
        <v>0.53129999999999999</v>
      </c>
    </row>
    <row r="734" spans="1:9">
      <c r="A734" s="1">
        <v>733</v>
      </c>
      <c r="B734" s="1">
        <v>36</v>
      </c>
      <c r="C734" s="1">
        <v>34</v>
      </c>
      <c r="D734" s="2">
        <v>0.94440000000000002</v>
      </c>
      <c r="E734" s="1">
        <v>2</v>
      </c>
      <c r="F734" s="3">
        <v>2.3148148148148149E-4</v>
      </c>
      <c r="G734" s="3">
        <v>1.4467592592592592E-3</v>
      </c>
      <c r="H734" s="3">
        <v>1.3541666666666667E-3</v>
      </c>
      <c r="I734" s="2">
        <v>0.72219999999999995</v>
      </c>
    </row>
    <row r="735" spans="1:9">
      <c r="A735" s="1">
        <v>734</v>
      </c>
      <c r="B735" s="1">
        <v>147</v>
      </c>
      <c r="C735" s="1">
        <v>136</v>
      </c>
      <c r="D735" s="2">
        <v>0.92520000000000002</v>
      </c>
      <c r="E735" s="1">
        <v>11</v>
      </c>
      <c r="F735" s="3">
        <v>1.9675925925925926E-4</v>
      </c>
      <c r="G735" s="3">
        <v>2.0254629629629629E-3</v>
      </c>
      <c r="H735" s="3">
        <v>2.2569444444444442E-3</v>
      </c>
      <c r="I735" s="2">
        <v>0.7671</v>
      </c>
    </row>
    <row r="736" spans="1:9">
      <c r="A736" s="1">
        <v>735</v>
      </c>
      <c r="B736" s="1">
        <v>131</v>
      </c>
      <c r="C736" s="1">
        <v>130</v>
      </c>
      <c r="D736" s="2">
        <v>0.99239999999999995</v>
      </c>
      <c r="E736" s="1">
        <v>1</v>
      </c>
      <c r="F736" s="3">
        <v>2.0833333333333335E-4</v>
      </c>
      <c r="G736" s="3">
        <v>1.9328703703703704E-3</v>
      </c>
      <c r="H736" s="3">
        <v>2.2916666666666667E-3</v>
      </c>
      <c r="I736" s="2">
        <v>0.76919999999999999</v>
      </c>
    </row>
    <row r="737" spans="1:9">
      <c r="A737" s="1">
        <v>736</v>
      </c>
      <c r="B737" s="1">
        <v>128</v>
      </c>
      <c r="C737" s="1">
        <v>120</v>
      </c>
      <c r="D737" s="2">
        <v>0.9375</v>
      </c>
      <c r="E737" s="1">
        <v>8</v>
      </c>
      <c r="F737" s="3">
        <v>2.5462962962962961E-4</v>
      </c>
      <c r="G737" s="3">
        <v>1.9328703703703704E-3</v>
      </c>
      <c r="H737" s="3">
        <v>1.3194444444444445E-3</v>
      </c>
      <c r="I737" s="2">
        <v>0.6825</v>
      </c>
    </row>
    <row r="738" spans="1:9">
      <c r="A738" s="1">
        <v>737</v>
      </c>
      <c r="B738" s="1">
        <v>136</v>
      </c>
      <c r="C738" s="1">
        <v>119</v>
      </c>
      <c r="D738" s="2">
        <v>0.875</v>
      </c>
      <c r="E738" s="1">
        <v>17</v>
      </c>
      <c r="F738" s="3">
        <v>3.0092592592592595E-4</v>
      </c>
      <c r="G738" s="3">
        <v>1.9907407407407408E-3</v>
      </c>
      <c r="H738" s="3">
        <v>3.1828703703703702E-3</v>
      </c>
      <c r="I738" s="2">
        <v>0.60150000000000003</v>
      </c>
    </row>
    <row r="739" spans="1:9">
      <c r="A739" s="1">
        <v>738</v>
      </c>
      <c r="B739" s="1">
        <v>225</v>
      </c>
      <c r="C739" s="1">
        <v>209</v>
      </c>
      <c r="D739" s="2">
        <v>0.92889999999999995</v>
      </c>
      <c r="E739" s="1">
        <v>16</v>
      </c>
      <c r="F739" s="3">
        <v>2.199074074074074E-4</v>
      </c>
      <c r="G739" s="3">
        <v>1.724537037037037E-3</v>
      </c>
      <c r="H739" s="3">
        <v>2.8472222222222223E-3</v>
      </c>
      <c r="I739" s="2">
        <v>0.76019999999999999</v>
      </c>
    </row>
    <row r="740" spans="1:9">
      <c r="A740" s="1">
        <v>739</v>
      </c>
      <c r="B740" s="1">
        <v>167</v>
      </c>
      <c r="C740" s="1">
        <v>151</v>
      </c>
      <c r="D740" s="2">
        <v>0.9042</v>
      </c>
      <c r="E740" s="1">
        <v>16</v>
      </c>
      <c r="F740" s="3">
        <v>2.199074074074074E-4</v>
      </c>
      <c r="G740" s="3">
        <v>1.7013888888888888E-3</v>
      </c>
      <c r="H740" s="3">
        <v>1.8981481481481482E-3</v>
      </c>
      <c r="I740" s="2">
        <v>0.73329999999999995</v>
      </c>
    </row>
    <row r="741" spans="1:9">
      <c r="A741" s="1">
        <v>740</v>
      </c>
      <c r="B741" s="1">
        <v>48</v>
      </c>
      <c r="C741" s="1">
        <v>46</v>
      </c>
      <c r="D741" s="2">
        <v>0.95830000000000004</v>
      </c>
      <c r="E741" s="1">
        <v>2</v>
      </c>
      <c r="F741" s="3">
        <v>1.8518518518518518E-4</v>
      </c>
      <c r="G741" s="3">
        <v>1.6898148148148148E-3</v>
      </c>
      <c r="H741" s="3">
        <v>1.8287037037037037E-3</v>
      </c>
      <c r="I741" s="2">
        <v>0.78720000000000001</v>
      </c>
    </row>
    <row r="742" spans="1:9">
      <c r="A742" s="1">
        <v>741</v>
      </c>
      <c r="B742" s="1">
        <v>232</v>
      </c>
      <c r="C742" s="1">
        <v>204</v>
      </c>
      <c r="D742" s="2">
        <v>0.87929999999999997</v>
      </c>
      <c r="E742" s="1">
        <v>28</v>
      </c>
      <c r="F742" s="3">
        <v>3.7037037037037035E-4</v>
      </c>
      <c r="G742" s="3">
        <v>1.6435185185185185E-3</v>
      </c>
      <c r="H742" s="3">
        <v>2.7314814814814814E-3</v>
      </c>
      <c r="I742" s="2">
        <v>0.55410000000000004</v>
      </c>
    </row>
    <row r="743" spans="1:9">
      <c r="A743" s="1">
        <v>742</v>
      </c>
      <c r="B743" s="1">
        <v>198</v>
      </c>
      <c r="C743" s="1">
        <v>187</v>
      </c>
      <c r="D743" s="2">
        <v>0.94440000000000002</v>
      </c>
      <c r="E743" s="1">
        <v>11</v>
      </c>
      <c r="F743" s="3">
        <v>3.1250000000000001E-4</v>
      </c>
      <c r="G743" s="3">
        <v>1.9444444444444444E-3</v>
      </c>
      <c r="H743" s="3">
        <v>2.2337962962962962E-3</v>
      </c>
      <c r="I743" s="2">
        <v>0.60199999999999998</v>
      </c>
    </row>
    <row r="744" spans="1:9">
      <c r="A744" s="1">
        <v>743</v>
      </c>
      <c r="B744" s="1">
        <v>171</v>
      </c>
      <c r="C744" s="1">
        <v>163</v>
      </c>
      <c r="D744" s="2">
        <v>0.95320000000000005</v>
      </c>
      <c r="E744" s="1">
        <v>8</v>
      </c>
      <c r="F744" s="3">
        <v>2.199074074074074E-4</v>
      </c>
      <c r="G744" s="3">
        <v>1.8634259259259259E-3</v>
      </c>
      <c r="H744" s="3">
        <v>1.9444444444444444E-3</v>
      </c>
      <c r="I744" s="2">
        <v>0.69410000000000005</v>
      </c>
    </row>
    <row r="745" spans="1:9">
      <c r="A745" s="1">
        <v>744</v>
      </c>
      <c r="B745" s="1">
        <v>180</v>
      </c>
      <c r="C745" s="1">
        <v>173</v>
      </c>
      <c r="D745" s="2">
        <v>0.96109999999999995</v>
      </c>
      <c r="E745" s="1">
        <v>7</v>
      </c>
      <c r="F745" s="3">
        <v>3.5879629629629629E-4</v>
      </c>
      <c r="G745" s="3">
        <v>1.9560185185185184E-3</v>
      </c>
      <c r="H745" s="3">
        <v>5.7060185185185183E-3</v>
      </c>
      <c r="I745" s="2">
        <v>0.72219999999999995</v>
      </c>
    </row>
    <row r="746" spans="1:9">
      <c r="A746" s="1">
        <v>745</v>
      </c>
      <c r="B746" s="1">
        <v>192</v>
      </c>
      <c r="C746" s="1">
        <v>175</v>
      </c>
      <c r="D746" s="2">
        <v>0.91149999999999998</v>
      </c>
      <c r="E746" s="1">
        <v>17</v>
      </c>
      <c r="F746" s="3">
        <v>3.0092592592592595E-4</v>
      </c>
      <c r="G746" s="3">
        <v>2.0949074074074073E-3</v>
      </c>
      <c r="H746" s="3">
        <v>2.5462962962962965E-3</v>
      </c>
      <c r="I746" s="2">
        <v>0.61580000000000001</v>
      </c>
    </row>
    <row r="747" spans="1:9">
      <c r="A747" s="1">
        <v>746</v>
      </c>
      <c r="B747" s="1">
        <v>194</v>
      </c>
      <c r="C747" s="1">
        <v>180</v>
      </c>
      <c r="D747" s="2">
        <v>0.92779999999999996</v>
      </c>
      <c r="E747" s="1">
        <v>14</v>
      </c>
      <c r="F747" s="3">
        <v>2.8935185185185184E-4</v>
      </c>
      <c r="G747" s="3">
        <v>1.9675925925925924E-3</v>
      </c>
      <c r="H747" s="3">
        <v>2.8124999999999999E-3</v>
      </c>
      <c r="I747" s="2">
        <v>0.68389999999999995</v>
      </c>
    </row>
    <row r="748" spans="1:9">
      <c r="A748" s="1">
        <v>747</v>
      </c>
      <c r="B748" s="1">
        <v>37</v>
      </c>
      <c r="C748" s="1">
        <v>27</v>
      </c>
      <c r="D748" s="2">
        <v>0.72970000000000002</v>
      </c>
      <c r="E748" s="1">
        <v>10</v>
      </c>
      <c r="F748" s="3">
        <v>4.0509259259259258E-4</v>
      </c>
      <c r="G748" s="3">
        <v>2.0023148148148148E-3</v>
      </c>
      <c r="H748" s="3">
        <v>2.0601851851851853E-3</v>
      </c>
      <c r="I748" s="2">
        <v>0.5</v>
      </c>
    </row>
    <row r="749" spans="1:9">
      <c r="A749" s="1">
        <v>748</v>
      </c>
      <c r="B749" s="1">
        <v>180</v>
      </c>
      <c r="C749" s="1">
        <v>169</v>
      </c>
      <c r="D749" s="2">
        <v>0.93889999999999996</v>
      </c>
      <c r="E749" s="1">
        <v>11</v>
      </c>
      <c r="F749" s="3">
        <v>2.6620370370370372E-4</v>
      </c>
      <c r="G749" s="3">
        <v>1.8981481481481482E-3</v>
      </c>
      <c r="H749" s="3">
        <v>1.4467592592592592E-3</v>
      </c>
      <c r="I749" s="2">
        <v>0.67979999999999996</v>
      </c>
    </row>
    <row r="750" spans="1:9">
      <c r="A750" s="1">
        <v>749</v>
      </c>
      <c r="B750" s="1">
        <v>213</v>
      </c>
      <c r="C750" s="1">
        <v>198</v>
      </c>
      <c r="D750" s="2">
        <v>0.92959999999999998</v>
      </c>
      <c r="E750" s="1">
        <v>15</v>
      </c>
      <c r="F750" s="3">
        <v>1.8518518518518518E-4</v>
      </c>
      <c r="G750" s="3">
        <v>1.9328703703703704E-3</v>
      </c>
      <c r="H750" s="3">
        <v>4.409722222222222E-3</v>
      </c>
      <c r="I750" s="2">
        <v>0.77249999999999996</v>
      </c>
    </row>
    <row r="751" spans="1:9">
      <c r="A751" s="1">
        <v>750</v>
      </c>
      <c r="B751" s="1">
        <v>251</v>
      </c>
      <c r="C751" s="1">
        <v>239</v>
      </c>
      <c r="D751" s="2">
        <v>0.95220000000000005</v>
      </c>
      <c r="E751" s="1">
        <v>12</v>
      </c>
      <c r="F751" s="3">
        <v>2.4305555555555555E-4</v>
      </c>
      <c r="G751" s="3">
        <v>1.5972222222222223E-3</v>
      </c>
      <c r="H751" s="3">
        <v>1.9444444444444444E-3</v>
      </c>
      <c r="I751" s="2">
        <v>0.7177</v>
      </c>
    </row>
    <row r="752" spans="1:9">
      <c r="A752" s="1">
        <v>751</v>
      </c>
      <c r="B752" s="1">
        <v>200</v>
      </c>
      <c r="C752" s="1">
        <v>189</v>
      </c>
      <c r="D752" s="2">
        <v>0.94499999999999995</v>
      </c>
      <c r="E752" s="1">
        <v>11</v>
      </c>
      <c r="F752" s="3">
        <v>2.199074074074074E-4</v>
      </c>
      <c r="G752" s="3">
        <v>2.0023148148148148E-3</v>
      </c>
      <c r="H752" s="3">
        <v>3.1944444444444446E-3</v>
      </c>
      <c r="I752" s="2">
        <v>0.76259999999999994</v>
      </c>
    </row>
    <row r="753" spans="1:9">
      <c r="A753" s="1">
        <v>752</v>
      </c>
      <c r="B753" s="1">
        <v>214</v>
      </c>
      <c r="C753" s="1">
        <v>205</v>
      </c>
      <c r="D753" s="2">
        <v>0.95789999999999997</v>
      </c>
      <c r="E753" s="1">
        <v>9</v>
      </c>
      <c r="F753" s="3">
        <v>2.8935185185185184E-4</v>
      </c>
      <c r="G753" s="3">
        <v>1.9444444444444444E-3</v>
      </c>
      <c r="H753" s="3">
        <v>5.0578703703703706E-3</v>
      </c>
      <c r="I753" s="2">
        <v>0.71960000000000002</v>
      </c>
    </row>
    <row r="754" spans="1:9">
      <c r="A754" s="1">
        <v>753</v>
      </c>
      <c r="B754" s="1">
        <v>185</v>
      </c>
      <c r="C754" s="1">
        <v>154</v>
      </c>
      <c r="D754" s="2">
        <v>0.83240000000000003</v>
      </c>
      <c r="E754" s="1">
        <v>31</v>
      </c>
      <c r="F754" s="3">
        <v>5.4398148148148144E-4</v>
      </c>
      <c r="G754" s="3">
        <v>2.0370370370370369E-3</v>
      </c>
      <c r="H754" s="3">
        <v>2.2685185185185187E-3</v>
      </c>
      <c r="I754" s="2">
        <v>0.35909999999999997</v>
      </c>
    </row>
    <row r="755" spans="1:9">
      <c r="A755" s="1">
        <v>754</v>
      </c>
      <c r="B755" s="1">
        <v>49</v>
      </c>
      <c r="C755" s="1">
        <v>46</v>
      </c>
      <c r="D755" s="2">
        <v>0.93879999999999997</v>
      </c>
      <c r="E755" s="1">
        <v>3</v>
      </c>
      <c r="F755" s="3">
        <v>4.3981481481481481E-4</v>
      </c>
      <c r="G755" s="3">
        <v>1.6319444444444445E-3</v>
      </c>
      <c r="H755" s="3">
        <v>1.5740740740740741E-3</v>
      </c>
      <c r="I755" s="2">
        <v>0.52080000000000004</v>
      </c>
    </row>
    <row r="756" spans="1:9">
      <c r="A756" s="1">
        <v>755</v>
      </c>
      <c r="B756" s="1">
        <v>193</v>
      </c>
      <c r="C756" s="1">
        <v>185</v>
      </c>
      <c r="D756" s="2">
        <v>0.95850000000000002</v>
      </c>
      <c r="E756" s="1">
        <v>8</v>
      </c>
      <c r="F756" s="3">
        <v>2.4305555555555555E-4</v>
      </c>
      <c r="G756" s="3">
        <v>1.9791666666666668E-3</v>
      </c>
      <c r="H756" s="3">
        <v>2.7430555555555554E-3</v>
      </c>
      <c r="I756" s="2">
        <v>0.75790000000000002</v>
      </c>
    </row>
    <row r="757" spans="1:9">
      <c r="A757" s="1">
        <v>756</v>
      </c>
      <c r="B757" s="1">
        <v>195</v>
      </c>
      <c r="C757" s="1">
        <v>184</v>
      </c>
      <c r="D757" s="2">
        <v>0.94359999999999999</v>
      </c>
      <c r="E757" s="1">
        <v>11</v>
      </c>
      <c r="F757" s="3">
        <v>2.5462962962962961E-4</v>
      </c>
      <c r="G757" s="3">
        <v>1.8402777777777777E-3</v>
      </c>
      <c r="H757" s="3">
        <v>1.8287037037037037E-3</v>
      </c>
      <c r="I757" s="2">
        <v>0.7</v>
      </c>
    </row>
    <row r="758" spans="1:9">
      <c r="A758" s="1">
        <v>757</v>
      </c>
      <c r="B758" s="1">
        <v>211</v>
      </c>
      <c r="C758" s="1">
        <v>195</v>
      </c>
      <c r="D758" s="2">
        <v>0.92420000000000002</v>
      </c>
      <c r="E758" s="1">
        <v>16</v>
      </c>
      <c r="F758" s="3">
        <v>3.9351851851851852E-4</v>
      </c>
      <c r="G758" s="3">
        <v>1.9791666666666668E-3</v>
      </c>
      <c r="H758" s="3">
        <v>3.1365740740740742E-3</v>
      </c>
      <c r="I758" s="2">
        <v>0.56940000000000002</v>
      </c>
    </row>
    <row r="759" spans="1:9">
      <c r="A759" s="1">
        <v>758</v>
      </c>
      <c r="B759" s="1">
        <v>200</v>
      </c>
      <c r="C759" s="1">
        <v>190</v>
      </c>
      <c r="D759" s="2">
        <v>0.95</v>
      </c>
      <c r="E759" s="1">
        <v>10</v>
      </c>
      <c r="F759" s="3">
        <v>1.7361111111111112E-4</v>
      </c>
      <c r="G759" s="3">
        <v>2.0370370370370369E-3</v>
      </c>
      <c r="H759" s="3">
        <v>2.1527777777777778E-3</v>
      </c>
      <c r="I759" s="2">
        <v>0.80930000000000002</v>
      </c>
    </row>
    <row r="760" spans="1:9">
      <c r="A760" s="1">
        <v>759</v>
      </c>
      <c r="B760" s="1">
        <v>48</v>
      </c>
      <c r="C760" s="1">
        <v>47</v>
      </c>
      <c r="D760" s="2">
        <v>0.97919999999999996</v>
      </c>
      <c r="E760" s="1">
        <v>1</v>
      </c>
      <c r="F760" s="3">
        <v>1.7361111111111112E-4</v>
      </c>
      <c r="G760" s="3">
        <v>2.2337962962962962E-3</v>
      </c>
      <c r="H760" s="3">
        <v>2.0601851851851853E-3</v>
      </c>
      <c r="I760" s="2">
        <v>0.8125</v>
      </c>
    </row>
    <row r="761" spans="1:9">
      <c r="A761" s="1">
        <v>760</v>
      </c>
      <c r="B761" s="1">
        <v>164</v>
      </c>
      <c r="C761" s="1">
        <v>159</v>
      </c>
      <c r="D761" s="2">
        <v>0.96950000000000003</v>
      </c>
      <c r="E761" s="1">
        <v>5</v>
      </c>
      <c r="F761" s="3">
        <v>2.3148148148148149E-4</v>
      </c>
      <c r="G761" s="3">
        <v>1.9791666666666668E-3</v>
      </c>
      <c r="H761" s="3">
        <v>3.3217592592592591E-3</v>
      </c>
      <c r="I761" s="2">
        <v>0.77780000000000005</v>
      </c>
    </row>
    <row r="762" spans="1:9">
      <c r="A762" s="1">
        <v>761</v>
      </c>
      <c r="B762" s="1">
        <v>43</v>
      </c>
      <c r="C762" s="1">
        <v>42</v>
      </c>
      <c r="D762" s="2">
        <v>0.97670000000000001</v>
      </c>
      <c r="E762" s="1">
        <v>1</v>
      </c>
      <c r="F762" s="3">
        <v>1.6203703703703703E-4</v>
      </c>
      <c r="G762" s="3">
        <v>1.7592592592592592E-3</v>
      </c>
      <c r="H762" s="3">
        <v>1.7824074074074075E-3</v>
      </c>
      <c r="I762" s="2">
        <v>0.83720000000000006</v>
      </c>
    </row>
    <row r="763" spans="1:9">
      <c r="A763" s="1">
        <v>762</v>
      </c>
      <c r="B763" s="1">
        <v>236</v>
      </c>
      <c r="C763" s="1">
        <v>223</v>
      </c>
      <c r="D763" s="2">
        <v>0.94489999999999996</v>
      </c>
      <c r="E763" s="1">
        <v>13</v>
      </c>
      <c r="F763" s="3">
        <v>3.0092592592592595E-4</v>
      </c>
      <c r="G763" s="3">
        <v>1.9212962962962964E-3</v>
      </c>
      <c r="H763" s="3">
        <v>2.5231481481481481E-3</v>
      </c>
      <c r="I763" s="2">
        <v>0.64829999999999999</v>
      </c>
    </row>
    <row r="764" spans="1:9">
      <c r="A764" s="1">
        <v>763</v>
      </c>
      <c r="B764" s="1">
        <v>270</v>
      </c>
      <c r="C764" s="1">
        <v>262</v>
      </c>
      <c r="D764" s="2">
        <v>0.97040000000000004</v>
      </c>
      <c r="E764" s="1">
        <v>8</v>
      </c>
      <c r="F764" s="3">
        <v>1.7361111111111112E-4</v>
      </c>
      <c r="G764" s="3">
        <v>1.8055555555555555E-3</v>
      </c>
      <c r="H764" s="3">
        <v>1.4814814814814814E-3</v>
      </c>
      <c r="I764" s="2">
        <v>0.83209999999999995</v>
      </c>
    </row>
    <row r="765" spans="1:9">
      <c r="A765" s="1">
        <v>764</v>
      </c>
      <c r="B765" s="1">
        <v>304</v>
      </c>
      <c r="C765" s="1">
        <v>262</v>
      </c>
      <c r="D765" s="2">
        <v>0.86180000000000001</v>
      </c>
      <c r="E765" s="1">
        <v>42</v>
      </c>
      <c r="F765" s="3">
        <v>3.9351851851851852E-4</v>
      </c>
      <c r="G765" s="3">
        <v>2.0370370370370369E-3</v>
      </c>
      <c r="H765" s="3">
        <v>4.8726851851851848E-3</v>
      </c>
      <c r="I765" s="2">
        <v>0.56620000000000004</v>
      </c>
    </row>
    <row r="766" spans="1:9">
      <c r="A766" s="1">
        <v>765</v>
      </c>
      <c r="B766" s="1">
        <v>286</v>
      </c>
      <c r="C766" s="1">
        <v>270</v>
      </c>
      <c r="D766" s="2">
        <v>0.94410000000000005</v>
      </c>
      <c r="E766" s="1">
        <v>16</v>
      </c>
      <c r="F766" s="3">
        <v>2.3148148148148149E-4</v>
      </c>
      <c r="G766" s="3">
        <v>1.9444444444444444E-3</v>
      </c>
      <c r="H766" s="3">
        <v>2.1527777777777778E-3</v>
      </c>
      <c r="I766" s="2">
        <v>0.71479999999999999</v>
      </c>
    </row>
    <row r="767" spans="1:9">
      <c r="A767" s="1">
        <v>766</v>
      </c>
      <c r="B767" s="1">
        <v>317</v>
      </c>
      <c r="C767" s="1">
        <v>284</v>
      </c>
      <c r="D767" s="2">
        <v>0.89590000000000003</v>
      </c>
      <c r="E767" s="1">
        <v>33</v>
      </c>
      <c r="F767" s="3">
        <v>3.4722222222222224E-4</v>
      </c>
      <c r="G767" s="3">
        <v>1.9444444444444444E-3</v>
      </c>
      <c r="H767" s="3">
        <v>5.7407407407407407E-3</v>
      </c>
      <c r="I767" s="2">
        <v>0.6603</v>
      </c>
    </row>
    <row r="768" spans="1:9">
      <c r="A768" s="1">
        <v>767</v>
      </c>
      <c r="B768" s="1">
        <v>471</v>
      </c>
      <c r="C768" s="1">
        <v>396</v>
      </c>
      <c r="D768" s="2">
        <v>0.84079999999999999</v>
      </c>
      <c r="E768" s="1">
        <v>75</v>
      </c>
      <c r="F768" s="3">
        <v>6.8287037037037036E-4</v>
      </c>
      <c r="G768" s="3">
        <v>1.8634259259259259E-3</v>
      </c>
      <c r="H768" s="3">
        <v>3.8078703703703703E-3</v>
      </c>
      <c r="I768" s="2">
        <v>0.308</v>
      </c>
    </row>
    <row r="769" spans="1:9">
      <c r="A769" s="1">
        <v>768</v>
      </c>
      <c r="B769" s="1">
        <v>48</v>
      </c>
      <c r="C769" s="1">
        <v>44</v>
      </c>
      <c r="D769" s="2">
        <v>0.91669999999999996</v>
      </c>
      <c r="E769" s="1">
        <v>4</v>
      </c>
      <c r="F769" s="3">
        <v>3.3564814814814812E-4</v>
      </c>
      <c r="G769" s="3">
        <v>1.7476851851851852E-3</v>
      </c>
      <c r="H769" s="3">
        <v>2.1643518518518518E-3</v>
      </c>
      <c r="I769" s="2">
        <v>0.65959999999999996</v>
      </c>
    </row>
    <row r="770" spans="1:9">
      <c r="A770" s="1">
        <v>769</v>
      </c>
      <c r="B770" s="1">
        <v>375</v>
      </c>
      <c r="C770" s="1">
        <v>317</v>
      </c>
      <c r="D770" s="2">
        <v>0.84530000000000005</v>
      </c>
      <c r="E770" s="1">
        <v>58</v>
      </c>
      <c r="F770" s="3">
        <v>4.9768518518518521E-4</v>
      </c>
      <c r="G770" s="3">
        <v>1.9907407407407408E-3</v>
      </c>
      <c r="H770" s="3">
        <v>3.5416666666666665E-3</v>
      </c>
      <c r="I770" s="2">
        <v>0.40870000000000001</v>
      </c>
    </row>
    <row r="771" spans="1:9">
      <c r="A771" s="1">
        <v>770</v>
      </c>
      <c r="B771" s="1">
        <v>327</v>
      </c>
      <c r="C771" s="1">
        <v>309</v>
      </c>
      <c r="D771" s="2">
        <v>0.94499999999999995</v>
      </c>
      <c r="E771" s="1">
        <v>18</v>
      </c>
      <c r="F771" s="3">
        <v>2.5462962962962961E-4</v>
      </c>
      <c r="G771" s="3">
        <v>1.9444444444444444E-3</v>
      </c>
      <c r="H771" s="3">
        <v>2.6157407407407405E-3</v>
      </c>
      <c r="I771" s="2">
        <v>0.68210000000000004</v>
      </c>
    </row>
    <row r="772" spans="1:9">
      <c r="A772" s="1">
        <v>771</v>
      </c>
      <c r="B772" s="1">
        <v>366</v>
      </c>
      <c r="C772" s="1">
        <v>316</v>
      </c>
      <c r="D772" s="2">
        <v>0.86339999999999995</v>
      </c>
      <c r="E772" s="1">
        <v>50</v>
      </c>
      <c r="F772" s="3">
        <v>4.2824074074074075E-4</v>
      </c>
      <c r="G772" s="3">
        <v>1.8981481481481482E-3</v>
      </c>
      <c r="H772" s="3">
        <v>3.5995370370370369E-3</v>
      </c>
      <c r="I772" s="2">
        <v>0.53739999999999999</v>
      </c>
    </row>
    <row r="773" spans="1:9">
      <c r="A773" s="1">
        <v>772</v>
      </c>
      <c r="B773" s="1">
        <v>121</v>
      </c>
      <c r="C773" s="1">
        <v>105</v>
      </c>
      <c r="D773" s="2">
        <v>0.86780000000000002</v>
      </c>
      <c r="E773" s="1">
        <v>16</v>
      </c>
      <c r="F773" s="3">
        <v>5.4398148148148144E-4</v>
      </c>
      <c r="G773" s="3">
        <v>2.0833333333333333E-3</v>
      </c>
      <c r="H773" s="3">
        <v>6.030092592592593E-3</v>
      </c>
      <c r="I773" s="2">
        <v>0.6</v>
      </c>
    </row>
    <row r="774" spans="1:9">
      <c r="A774" s="1">
        <v>773</v>
      </c>
      <c r="B774" s="1">
        <v>287</v>
      </c>
      <c r="C774" s="1">
        <v>266</v>
      </c>
      <c r="D774" s="2">
        <v>0.92679999999999996</v>
      </c>
      <c r="E774" s="1">
        <v>21</v>
      </c>
      <c r="F774" s="3">
        <v>3.9351851851851852E-4</v>
      </c>
      <c r="G774" s="3">
        <v>2.1527777777777778E-3</v>
      </c>
      <c r="H774" s="3">
        <v>2.8703703703703703E-3</v>
      </c>
      <c r="I774" s="2">
        <v>0.59719999999999995</v>
      </c>
    </row>
    <row r="775" spans="1:9">
      <c r="A775" s="1">
        <v>774</v>
      </c>
      <c r="B775" s="1">
        <v>298</v>
      </c>
      <c r="C775" s="1">
        <v>277</v>
      </c>
      <c r="D775" s="2">
        <v>0.92949999999999999</v>
      </c>
      <c r="E775" s="1">
        <v>21</v>
      </c>
      <c r="F775" s="3">
        <v>4.5138888888888887E-4</v>
      </c>
      <c r="G775" s="3">
        <v>2.1759259259259258E-3</v>
      </c>
      <c r="H775" s="3">
        <v>2.488425925925926E-3</v>
      </c>
      <c r="I775" s="2">
        <v>0.51180000000000003</v>
      </c>
    </row>
    <row r="776" spans="1:9">
      <c r="A776" s="1">
        <v>775</v>
      </c>
      <c r="B776" s="1">
        <v>70</v>
      </c>
      <c r="C776" s="1">
        <v>56</v>
      </c>
      <c r="D776" s="2">
        <v>0.8</v>
      </c>
      <c r="E776" s="1">
        <v>14</v>
      </c>
      <c r="F776" s="3">
        <v>5.3240740740740744E-4</v>
      </c>
      <c r="G776" s="3">
        <v>2.3495370370370371E-3</v>
      </c>
      <c r="H776" s="3">
        <v>3.5648148148148149E-3</v>
      </c>
      <c r="I776" s="2">
        <v>0.45710000000000001</v>
      </c>
    </row>
    <row r="777" spans="1:9">
      <c r="A777" s="1">
        <v>776</v>
      </c>
      <c r="B777" s="1">
        <v>287</v>
      </c>
      <c r="C777" s="1">
        <v>255</v>
      </c>
      <c r="D777" s="2">
        <v>0.88849999999999996</v>
      </c>
      <c r="E777" s="1">
        <v>32</v>
      </c>
      <c r="F777" s="3">
        <v>4.6296296296296298E-4</v>
      </c>
      <c r="G777" s="3">
        <v>2.4305555555555556E-3</v>
      </c>
      <c r="H777" s="3">
        <v>2.8819444444444444E-3</v>
      </c>
      <c r="I777" s="2">
        <v>0.46810000000000002</v>
      </c>
    </row>
    <row r="778" spans="1:9">
      <c r="A778" s="1">
        <v>777</v>
      </c>
      <c r="B778" s="1">
        <v>298</v>
      </c>
      <c r="C778" s="1">
        <v>259</v>
      </c>
      <c r="D778" s="2">
        <v>0.86909999999999998</v>
      </c>
      <c r="E778" s="1">
        <v>39</v>
      </c>
      <c r="F778" s="3">
        <v>3.4722222222222224E-4</v>
      </c>
      <c r="G778" s="3">
        <v>2.2453703703703702E-3</v>
      </c>
      <c r="H778" s="3">
        <v>5.0347222222222225E-3</v>
      </c>
      <c r="I778" s="2">
        <v>0.57969999999999999</v>
      </c>
    </row>
    <row r="779" spans="1:9">
      <c r="A779" s="1">
        <v>778</v>
      </c>
      <c r="B779" s="1">
        <v>347</v>
      </c>
      <c r="C779" s="1">
        <v>317</v>
      </c>
      <c r="D779" s="2">
        <v>0.91349999999999998</v>
      </c>
      <c r="E779" s="1">
        <v>30</v>
      </c>
      <c r="F779" s="3">
        <v>3.4722222222222224E-4</v>
      </c>
      <c r="G779" s="3">
        <v>2.2106481481481482E-3</v>
      </c>
      <c r="H779" s="3">
        <v>4.0740740740740737E-3</v>
      </c>
      <c r="I779" s="2">
        <v>0.59770000000000001</v>
      </c>
    </row>
    <row r="780" spans="1:9">
      <c r="A780" s="1">
        <v>779</v>
      </c>
      <c r="B780" s="1">
        <v>414</v>
      </c>
      <c r="C780" s="1">
        <v>356</v>
      </c>
      <c r="D780" s="2">
        <v>0.8599</v>
      </c>
      <c r="E780" s="1">
        <v>58</v>
      </c>
      <c r="F780" s="3">
        <v>4.9768518518518521E-4</v>
      </c>
      <c r="G780" s="3">
        <v>2.3958333333333331E-3</v>
      </c>
      <c r="H780" s="3">
        <v>1.0787037037037038E-2</v>
      </c>
      <c r="I780" s="2">
        <v>0.47149999999999997</v>
      </c>
    </row>
    <row r="781" spans="1:9">
      <c r="A781" s="1">
        <v>780</v>
      </c>
      <c r="B781" s="1">
        <v>406</v>
      </c>
      <c r="C781" s="1">
        <v>362</v>
      </c>
      <c r="D781" s="2">
        <v>0.89159999999999995</v>
      </c>
      <c r="E781" s="1">
        <v>44</v>
      </c>
      <c r="F781" s="3">
        <v>4.2824074074074075E-4</v>
      </c>
      <c r="G781" s="3">
        <v>2.1064814814814813E-3</v>
      </c>
      <c r="H781" s="3">
        <v>3.6689814814814814E-3</v>
      </c>
      <c r="I781" s="2">
        <v>0.53480000000000005</v>
      </c>
    </row>
    <row r="782" spans="1:9">
      <c r="A782" s="1">
        <v>781</v>
      </c>
      <c r="B782" s="1">
        <v>366</v>
      </c>
      <c r="C782" s="1">
        <v>322</v>
      </c>
      <c r="D782" s="2">
        <v>0.87980000000000003</v>
      </c>
      <c r="E782" s="1">
        <v>44</v>
      </c>
      <c r="F782" s="3">
        <v>4.0509259259259258E-4</v>
      </c>
      <c r="G782" s="3">
        <v>2.1180555555555558E-3</v>
      </c>
      <c r="H782" s="3">
        <v>7.7777777777777776E-3</v>
      </c>
      <c r="I782" s="2">
        <v>0.5706</v>
      </c>
    </row>
    <row r="783" spans="1:9">
      <c r="A783" s="1">
        <v>782</v>
      </c>
      <c r="B783" s="1">
        <v>68</v>
      </c>
      <c r="C783" s="1">
        <v>64</v>
      </c>
      <c r="D783" s="2">
        <v>0.94120000000000004</v>
      </c>
      <c r="E783" s="1">
        <v>4</v>
      </c>
      <c r="F783" s="3">
        <v>1.6203703703703703E-4</v>
      </c>
      <c r="G783" s="3">
        <v>2.0601851851851853E-3</v>
      </c>
      <c r="H783" s="3">
        <v>1.4351851851851852E-3</v>
      </c>
      <c r="I783" s="2">
        <v>0.82350000000000001</v>
      </c>
    </row>
    <row r="784" spans="1:9">
      <c r="A784" s="1">
        <v>783</v>
      </c>
      <c r="B784" s="1">
        <v>350</v>
      </c>
      <c r="C784" s="1">
        <v>320</v>
      </c>
      <c r="D784" s="2">
        <v>0.9143</v>
      </c>
      <c r="E784" s="1">
        <v>30</v>
      </c>
      <c r="F784" s="3">
        <v>4.2824074074074075E-4</v>
      </c>
      <c r="G784" s="3">
        <v>2.2337962962962962E-3</v>
      </c>
      <c r="H784" s="3">
        <v>3.9236111111111112E-3</v>
      </c>
      <c r="I784" s="2">
        <v>0.54179999999999995</v>
      </c>
    </row>
    <row r="785" spans="1:9">
      <c r="A785" s="1">
        <v>784</v>
      </c>
      <c r="B785" s="1">
        <v>437</v>
      </c>
      <c r="C785" s="1">
        <v>352</v>
      </c>
      <c r="D785" s="2">
        <v>0.80549999999999999</v>
      </c>
      <c r="E785" s="1">
        <v>85</v>
      </c>
      <c r="F785" s="3">
        <v>6.018518518518519E-4</v>
      </c>
      <c r="G785" s="3">
        <v>2.0949074074074073E-3</v>
      </c>
      <c r="H785" s="3">
        <v>6.6319444444444446E-3</v>
      </c>
      <c r="I785" s="2">
        <v>0.41260000000000002</v>
      </c>
    </row>
    <row r="786" spans="1:9">
      <c r="A786" s="1">
        <v>785</v>
      </c>
      <c r="B786" s="1">
        <v>484</v>
      </c>
      <c r="C786" s="1">
        <v>438</v>
      </c>
      <c r="D786" s="2">
        <v>0.90500000000000003</v>
      </c>
      <c r="E786" s="1">
        <v>46</v>
      </c>
      <c r="F786" s="3">
        <v>5.2083333333333333E-4</v>
      </c>
      <c r="G786" s="3">
        <v>2.0486111111111113E-3</v>
      </c>
      <c r="H786" s="3">
        <v>4.0162037037037041E-3</v>
      </c>
      <c r="I786" s="2">
        <v>0.44790000000000002</v>
      </c>
    </row>
    <row r="787" spans="1:9">
      <c r="A787" s="1">
        <v>786</v>
      </c>
      <c r="B787" s="1">
        <v>405</v>
      </c>
      <c r="C787" s="1">
        <v>368</v>
      </c>
      <c r="D787" s="2">
        <v>0.90859999999999996</v>
      </c>
      <c r="E787" s="1">
        <v>37</v>
      </c>
      <c r="F787" s="3">
        <v>4.0509259259259258E-4</v>
      </c>
      <c r="G787" s="3">
        <v>2.1875000000000002E-3</v>
      </c>
      <c r="H787" s="3">
        <v>3.9467592592592592E-3</v>
      </c>
      <c r="I787" s="2">
        <v>0.58099999999999996</v>
      </c>
    </row>
    <row r="788" spans="1:9">
      <c r="A788" s="1">
        <v>787</v>
      </c>
      <c r="B788" s="1">
        <v>570</v>
      </c>
      <c r="C788" s="1">
        <v>368</v>
      </c>
      <c r="D788" s="2">
        <v>0.64559999999999995</v>
      </c>
      <c r="E788" s="1">
        <v>202</v>
      </c>
      <c r="F788" s="3">
        <v>8.2175925925925927E-4</v>
      </c>
      <c r="G788" s="3">
        <v>2.3611111111111111E-3</v>
      </c>
      <c r="H788" s="3">
        <v>1.7951388888888888E-2</v>
      </c>
      <c r="I788" s="2">
        <v>0.2354</v>
      </c>
    </row>
    <row r="789" spans="1:9">
      <c r="A789" s="1">
        <v>788</v>
      </c>
      <c r="B789" s="1">
        <v>424</v>
      </c>
      <c r="C789" s="1">
        <v>384</v>
      </c>
      <c r="D789" s="2">
        <v>0.90569999999999995</v>
      </c>
      <c r="E789" s="1">
        <v>40</v>
      </c>
      <c r="F789" s="3">
        <v>5.6712962962962967E-4</v>
      </c>
      <c r="G789" s="3">
        <v>2.2453703703703702E-3</v>
      </c>
      <c r="H789" s="3">
        <v>6.2037037037037035E-3</v>
      </c>
      <c r="I789" s="2">
        <v>0.3952</v>
      </c>
    </row>
    <row r="790" spans="1:9">
      <c r="A790" s="1">
        <v>789</v>
      </c>
      <c r="B790" s="1">
        <v>60</v>
      </c>
      <c r="C790" s="1">
        <v>57</v>
      </c>
      <c r="D790" s="2">
        <v>0.95</v>
      </c>
      <c r="E790" s="1">
        <v>3</v>
      </c>
      <c r="F790" s="3">
        <v>3.7037037037037035E-4</v>
      </c>
      <c r="G790" s="3">
        <v>2.3032407407407407E-3</v>
      </c>
      <c r="H790" s="3">
        <v>2.0833333333333333E-3</v>
      </c>
      <c r="I790" s="2">
        <v>0.55930000000000002</v>
      </c>
    </row>
    <row r="791" spans="1:9">
      <c r="A791" s="1">
        <v>790</v>
      </c>
      <c r="B791" s="1">
        <v>497</v>
      </c>
      <c r="C791" s="1">
        <v>442</v>
      </c>
      <c r="D791" s="2">
        <v>0.88929999999999998</v>
      </c>
      <c r="E791" s="1">
        <v>55</v>
      </c>
      <c r="F791" s="3">
        <v>5.5555555555555556E-4</v>
      </c>
      <c r="G791" s="3">
        <v>1.1111111111111111E-3</v>
      </c>
      <c r="H791" s="3">
        <v>7.4652777777777781E-3</v>
      </c>
      <c r="I791" s="2">
        <v>0.57579999999999998</v>
      </c>
    </row>
    <row r="792" spans="1:9">
      <c r="A792" s="1">
        <v>791</v>
      </c>
      <c r="B792" s="1">
        <v>429</v>
      </c>
      <c r="C792" s="1">
        <v>378</v>
      </c>
      <c r="D792" s="2">
        <v>0.88109999999999999</v>
      </c>
      <c r="E792" s="1">
        <v>51</v>
      </c>
      <c r="F792" s="3">
        <v>4.2824074074074075E-4</v>
      </c>
      <c r="G792" s="3">
        <v>1.4467592592592592E-3</v>
      </c>
      <c r="H792" s="3">
        <v>7.5810185185185182E-3</v>
      </c>
      <c r="I792" s="2">
        <v>0.55289999999999995</v>
      </c>
    </row>
    <row r="793" spans="1:9">
      <c r="A793" s="1">
        <v>792</v>
      </c>
      <c r="B793" s="1">
        <v>499</v>
      </c>
      <c r="C793" s="1">
        <v>388</v>
      </c>
      <c r="D793" s="2">
        <v>0.77759999999999996</v>
      </c>
      <c r="E793" s="1">
        <v>111</v>
      </c>
      <c r="F793" s="3">
        <v>6.2500000000000001E-4</v>
      </c>
      <c r="G793" s="3">
        <v>1.5625000000000001E-3</v>
      </c>
      <c r="H793" s="3">
        <v>1.1793981481481482E-2</v>
      </c>
      <c r="I793" s="2">
        <v>0.47760000000000002</v>
      </c>
    </row>
    <row r="794" spans="1:9">
      <c r="A794" s="1">
        <v>793</v>
      </c>
      <c r="B794" s="1">
        <v>510</v>
      </c>
      <c r="C794" s="1">
        <v>434</v>
      </c>
      <c r="D794" s="2">
        <v>0.85099999999999998</v>
      </c>
      <c r="E794" s="1">
        <v>76</v>
      </c>
      <c r="F794" s="3">
        <v>5.5555555555555556E-4</v>
      </c>
      <c r="G794" s="3">
        <v>2.4189814814814816E-3</v>
      </c>
      <c r="H794" s="3">
        <v>7.1875000000000003E-3</v>
      </c>
      <c r="I794" s="2">
        <v>0.4219</v>
      </c>
    </row>
    <row r="795" spans="1:9">
      <c r="A795" s="1">
        <v>794</v>
      </c>
      <c r="B795" s="1">
        <v>549</v>
      </c>
      <c r="C795" s="1">
        <v>458</v>
      </c>
      <c r="D795" s="2">
        <v>0.83420000000000005</v>
      </c>
      <c r="E795" s="1">
        <v>91</v>
      </c>
      <c r="F795" s="3">
        <v>8.4490740740740739E-4</v>
      </c>
      <c r="G795" s="3">
        <v>2.488425925925926E-3</v>
      </c>
      <c r="H795" s="3">
        <v>6.3888888888888893E-3</v>
      </c>
      <c r="I795" s="2">
        <v>0.29070000000000001</v>
      </c>
    </row>
    <row r="796" spans="1:9">
      <c r="A796" s="1">
        <v>795</v>
      </c>
      <c r="B796" s="1">
        <v>590</v>
      </c>
      <c r="C796" s="1">
        <v>444</v>
      </c>
      <c r="D796" s="2">
        <v>0.75249999999999995</v>
      </c>
      <c r="E796" s="1">
        <v>146</v>
      </c>
      <c r="F796" s="3">
        <v>9.6064814814814819E-4</v>
      </c>
      <c r="G796" s="3">
        <v>2.476851851851852E-3</v>
      </c>
      <c r="H796" s="3">
        <v>6.2268518518518515E-3</v>
      </c>
      <c r="I796" s="2">
        <v>0.1903</v>
      </c>
    </row>
    <row r="797" spans="1:9">
      <c r="A797" s="1">
        <v>796</v>
      </c>
      <c r="B797" s="1">
        <v>137</v>
      </c>
      <c r="C797" s="1">
        <v>120</v>
      </c>
      <c r="D797" s="2">
        <v>0.87590000000000001</v>
      </c>
      <c r="E797" s="1">
        <v>17</v>
      </c>
      <c r="F797" s="3">
        <v>6.7129629629629625E-4</v>
      </c>
      <c r="G797" s="3">
        <v>2.2106481481481482E-3</v>
      </c>
      <c r="H797" s="3">
        <v>3.7268518518518519E-3</v>
      </c>
      <c r="I797" s="2">
        <v>0.33090000000000003</v>
      </c>
    </row>
    <row r="798" spans="1:9">
      <c r="A798" s="1">
        <v>797</v>
      </c>
      <c r="B798" s="1">
        <v>598</v>
      </c>
      <c r="C798" s="1">
        <v>476</v>
      </c>
      <c r="D798" s="2">
        <v>0.79600000000000004</v>
      </c>
      <c r="E798" s="1">
        <v>122</v>
      </c>
      <c r="F798" s="3">
        <v>6.7129629629629625E-4</v>
      </c>
      <c r="G798" s="3">
        <v>2.5347222222222221E-3</v>
      </c>
      <c r="H798" s="3">
        <v>6.076388888888889E-3</v>
      </c>
      <c r="I798" s="2">
        <v>0.32029999999999997</v>
      </c>
    </row>
    <row r="799" spans="1:9">
      <c r="A799" s="1">
        <v>798</v>
      </c>
      <c r="B799" s="1">
        <v>231</v>
      </c>
      <c r="C799" s="1">
        <v>180</v>
      </c>
      <c r="D799" s="2">
        <v>0.7792</v>
      </c>
      <c r="E799" s="1">
        <v>51</v>
      </c>
      <c r="F799" s="3">
        <v>7.407407407407407E-4</v>
      </c>
      <c r="G799" s="3">
        <v>2.4652777777777776E-3</v>
      </c>
      <c r="H799" s="3">
        <v>6.3310185185185188E-3</v>
      </c>
      <c r="I799" s="2">
        <v>0.33779999999999999</v>
      </c>
    </row>
    <row r="800" spans="1:9">
      <c r="A800" s="1">
        <v>799</v>
      </c>
      <c r="B800" s="1">
        <v>724</v>
      </c>
      <c r="C800" s="1">
        <v>362</v>
      </c>
      <c r="D800" s="2">
        <v>0.5</v>
      </c>
      <c r="E800" s="1">
        <v>362</v>
      </c>
      <c r="F800" s="3">
        <v>1.4004629629629629E-3</v>
      </c>
      <c r="G800" s="3">
        <v>2.7199074074074074E-3</v>
      </c>
      <c r="H800" s="3">
        <v>8.5416666666666662E-3</v>
      </c>
      <c r="I800" s="2">
        <v>0.1166</v>
      </c>
    </row>
    <row r="801" spans="1:9">
      <c r="A801" s="1">
        <v>800</v>
      </c>
      <c r="B801" s="1">
        <v>732</v>
      </c>
      <c r="C801" s="1">
        <v>367</v>
      </c>
      <c r="D801" s="2">
        <v>0.50139999999999996</v>
      </c>
      <c r="E801" s="1">
        <v>365</v>
      </c>
      <c r="F801" s="3">
        <v>1.9444444444444444E-3</v>
      </c>
      <c r="G801" s="3">
        <v>1.9907407407407408E-3</v>
      </c>
      <c r="H801" s="3">
        <v>1.1550925925925926E-2</v>
      </c>
      <c r="I801" s="2">
        <v>8.09E-2</v>
      </c>
    </row>
    <row r="802" spans="1:9">
      <c r="A802" s="1">
        <v>801</v>
      </c>
      <c r="B802" s="1">
        <v>582</v>
      </c>
      <c r="C802" s="1">
        <v>301</v>
      </c>
      <c r="D802" s="2">
        <v>0.51719999999999999</v>
      </c>
      <c r="E802" s="1">
        <v>281</v>
      </c>
      <c r="F802" s="3">
        <v>1.8634259259259259E-3</v>
      </c>
      <c r="G802" s="3">
        <v>2.9282407407407408E-3</v>
      </c>
      <c r="H802" s="3">
        <v>1.5069444444444444E-2</v>
      </c>
      <c r="I802" s="2">
        <v>0.1208</v>
      </c>
    </row>
    <row r="803" spans="1:9">
      <c r="A803" s="1">
        <v>802</v>
      </c>
      <c r="B803" s="1">
        <v>621</v>
      </c>
      <c r="C803" s="1">
        <v>344</v>
      </c>
      <c r="D803" s="2">
        <v>0.55389999999999995</v>
      </c>
      <c r="E803" s="1">
        <v>277</v>
      </c>
      <c r="F803" s="3">
        <v>1.4699074074074074E-3</v>
      </c>
      <c r="G803" s="3">
        <v>2.4189814814814816E-3</v>
      </c>
      <c r="H803" s="3">
        <v>8.611111111111111E-3</v>
      </c>
      <c r="I803" s="2">
        <v>0.1447</v>
      </c>
    </row>
    <row r="804" spans="1:9">
      <c r="A804" s="1">
        <v>803</v>
      </c>
      <c r="B804" s="1">
        <v>116</v>
      </c>
      <c r="C804" s="1">
        <v>106</v>
      </c>
      <c r="D804" s="2">
        <v>0.91379999999999995</v>
      </c>
      <c r="E804" s="1">
        <v>10</v>
      </c>
      <c r="F804" s="3">
        <v>3.9351851851851852E-4</v>
      </c>
      <c r="G804" s="3">
        <v>3.0439814814814813E-3</v>
      </c>
      <c r="H804" s="3">
        <v>3.2870370370370371E-3</v>
      </c>
      <c r="I804" s="2">
        <v>0.62929999999999997</v>
      </c>
    </row>
    <row r="805" spans="1:9">
      <c r="A805" s="1">
        <v>804</v>
      </c>
      <c r="B805" s="1">
        <v>533</v>
      </c>
      <c r="C805" s="1">
        <v>300</v>
      </c>
      <c r="D805" s="2">
        <v>0.56289999999999996</v>
      </c>
      <c r="E805" s="1">
        <v>233</v>
      </c>
      <c r="F805" s="3">
        <v>1.5277777777777779E-3</v>
      </c>
      <c r="G805" s="3">
        <v>2.8124999999999999E-3</v>
      </c>
      <c r="H805" s="3">
        <v>8.611111111111111E-3</v>
      </c>
      <c r="I805" s="2">
        <v>0.1255</v>
      </c>
    </row>
    <row r="806" spans="1:9">
      <c r="A806" s="1">
        <v>805</v>
      </c>
      <c r="B806" s="1">
        <v>416</v>
      </c>
      <c r="C806" s="1">
        <v>322</v>
      </c>
      <c r="D806" s="2">
        <v>0.77400000000000002</v>
      </c>
      <c r="E806" s="1">
        <v>94</v>
      </c>
      <c r="F806" s="3">
        <v>7.407407407407407E-4</v>
      </c>
      <c r="G806" s="3">
        <v>2.476851851851852E-3</v>
      </c>
      <c r="H806" s="3">
        <v>4.3055555555555555E-3</v>
      </c>
      <c r="I806" s="2">
        <v>0.38590000000000002</v>
      </c>
    </row>
    <row r="807" spans="1:9">
      <c r="A807" s="1">
        <v>806</v>
      </c>
      <c r="B807" s="1">
        <v>415</v>
      </c>
      <c r="C807" s="1">
        <v>259</v>
      </c>
      <c r="D807" s="2">
        <v>0.62409999999999999</v>
      </c>
      <c r="E807" s="1">
        <v>156</v>
      </c>
      <c r="F807" s="3">
        <v>1.5046296296296296E-3</v>
      </c>
      <c r="G807" s="3">
        <v>2.7430555555555554E-3</v>
      </c>
      <c r="H807" s="3">
        <v>9.4675925925925934E-3</v>
      </c>
      <c r="I807" s="2">
        <v>0.1789</v>
      </c>
    </row>
    <row r="808" spans="1:9">
      <c r="A808" s="1">
        <v>807</v>
      </c>
      <c r="B808" s="1">
        <v>433</v>
      </c>
      <c r="C808" s="1">
        <v>289</v>
      </c>
      <c r="D808" s="2">
        <v>0.66739999999999999</v>
      </c>
      <c r="E808" s="1">
        <v>144</v>
      </c>
      <c r="F808" s="3">
        <v>1.1805555555555556E-3</v>
      </c>
      <c r="G808" s="3">
        <v>2.4074074074074076E-3</v>
      </c>
      <c r="H808" s="3">
        <v>9.1666666666666667E-3</v>
      </c>
      <c r="I808" s="2">
        <v>0.22950000000000001</v>
      </c>
    </row>
    <row r="809" spans="1:9">
      <c r="A809" s="1">
        <v>808</v>
      </c>
      <c r="B809" s="1">
        <v>454</v>
      </c>
      <c r="C809" s="1">
        <v>284</v>
      </c>
      <c r="D809" s="2">
        <v>0.62560000000000004</v>
      </c>
      <c r="E809" s="1">
        <v>170</v>
      </c>
      <c r="F809" s="3">
        <v>1.3078703703703703E-3</v>
      </c>
      <c r="G809" s="3">
        <v>2.476851851851852E-3</v>
      </c>
      <c r="H809" s="3">
        <v>1.3449074074074073E-2</v>
      </c>
      <c r="I809" s="2">
        <v>0.24440000000000001</v>
      </c>
    </row>
    <row r="810" spans="1:9">
      <c r="A810" s="1">
        <v>809</v>
      </c>
      <c r="B810" s="1">
        <v>244</v>
      </c>
      <c r="C810" s="1">
        <v>195</v>
      </c>
      <c r="D810" s="2">
        <v>0.79920000000000002</v>
      </c>
      <c r="E810" s="1">
        <v>49</v>
      </c>
      <c r="F810" s="3">
        <v>9.837962962962962E-4</v>
      </c>
      <c r="G810" s="3">
        <v>2.673611111111111E-3</v>
      </c>
      <c r="H810" s="3">
        <v>7.8935185185185185E-3</v>
      </c>
      <c r="I810" s="2">
        <v>0.36670000000000003</v>
      </c>
    </row>
    <row r="811" spans="1:9">
      <c r="A811" s="1">
        <v>810</v>
      </c>
      <c r="B811" s="1">
        <v>51</v>
      </c>
      <c r="C811" s="1">
        <v>48</v>
      </c>
      <c r="D811" s="2">
        <v>0.94120000000000004</v>
      </c>
      <c r="E811" s="1">
        <v>3</v>
      </c>
      <c r="F811" s="3">
        <v>1.6203703703703703E-4</v>
      </c>
      <c r="G811" s="3">
        <v>2.3842592592592591E-3</v>
      </c>
      <c r="H811" s="3">
        <v>2.3263888888888887E-3</v>
      </c>
      <c r="I811" s="2">
        <v>0.84309999999999996</v>
      </c>
    </row>
    <row r="812" spans="1:9">
      <c r="A812" s="1">
        <v>811</v>
      </c>
      <c r="B812" s="1">
        <v>202</v>
      </c>
      <c r="C812" s="1">
        <v>176</v>
      </c>
      <c r="D812" s="2">
        <v>0.87129999999999996</v>
      </c>
      <c r="E812" s="1">
        <v>26</v>
      </c>
      <c r="F812" s="3">
        <v>2.7777777777777778E-4</v>
      </c>
      <c r="G812" s="3">
        <v>2.5694444444444445E-3</v>
      </c>
      <c r="H812" s="3">
        <v>3.7962962962962963E-3</v>
      </c>
      <c r="I812" s="2">
        <v>0.67159999999999997</v>
      </c>
    </row>
    <row r="813" spans="1:9">
      <c r="A813" s="1">
        <v>812</v>
      </c>
      <c r="B813" s="1">
        <v>128</v>
      </c>
      <c r="C813" s="1">
        <v>118</v>
      </c>
      <c r="D813" s="2">
        <v>0.92190000000000005</v>
      </c>
      <c r="E813" s="1">
        <v>10</v>
      </c>
      <c r="F813" s="3">
        <v>3.4722222222222224E-4</v>
      </c>
      <c r="G813" s="3">
        <v>2.5694444444444445E-3</v>
      </c>
      <c r="H813" s="3">
        <v>5.4745370370370373E-3</v>
      </c>
      <c r="I813" s="2">
        <v>0.74019999999999997</v>
      </c>
    </row>
    <row r="814" spans="1:9">
      <c r="A814" s="1">
        <v>813</v>
      </c>
      <c r="B814" s="1">
        <v>102</v>
      </c>
      <c r="C814" s="1">
        <v>100</v>
      </c>
      <c r="D814" s="2">
        <v>0.98040000000000005</v>
      </c>
      <c r="E814" s="1">
        <v>2</v>
      </c>
      <c r="F814" s="3">
        <v>1.6203703703703703E-4</v>
      </c>
      <c r="G814" s="3">
        <v>2.4537037037037036E-3</v>
      </c>
      <c r="H814" s="3">
        <v>2.1875000000000002E-3</v>
      </c>
      <c r="I814" s="2">
        <v>0.85289999999999999</v>
      </c>
    </row>
    <row r="815" spans="1:9">
      <c r="A815" s="1">
        <v>814</v>
      </c>
      <c r="B815" s="1">
        <v>201</v>
      </c>
      <c r="C815" s="1">
        <v>169</v>
      </c>
      <c r="D815" s="2">
        <v>0.84079999999999999</v>
      </c>
      <c r="E815" s="1">
        <v>32</v>
      </c>
      <c r="F815" s="3">
        <v>3.7037037037037035E-4</v>
      </c>
      <c r="G815" s="3">
        <v>2.3726851851851851E-3</v>
      </c>
      <c r="H815" s="3">
        <v>4.3055555555555555E-3</v>
      </c>
      <c r="I815" s="2">
        <v>0.58079999999999998</v>
      </c>
    </row>
    <row r="816" spans="1:9">
      <c r="A816" s="1">
        <v>815</v>
      </c>
      <c r="B816" s="1">
        <v>261</v>
      </c>
      <c r="C816" s="1">
        <v>195</v>
      </c>
      <c r="D816" s="2">
        <v>0.74709999999999999</v>
      </c>
      <c r="E816" s="1">
        <v>66</v>
      </c>
      <c r="F816" s="3">
        <v>7.0601851851851847E-4</v>
      </c>
      <c r="G816" s="3">
        <v>2.3958333333333331E-3</v>
      </c>
      <c r="H816" s="3">
        <v>5.4976851851851853E-3</v>
      </c>
      <c r="I816" s="2">
        <v>0.37980000000000003</v>
      </c>
    </row>
    <row r="817" spans="1:9">
      <c r="A817" s="1">
        <v>816</v>
      </c>
      <c r="B817" s="1">
        <v>201</v>
      </c>
      <c r="C817" s="1">
        <v>173</v>
      </c>
      <c r="D817" s="2">
        <v>0.86070000000000002</v>
      </c>
      <c r="E817" s="1">
        <v>28</v>
      </c>
      <c r="F817" s="3">
        <v>4.7453703703703704E-4</v>
      </c>
      <c r="G817" s="3">
        <v>2.2569444444444442E-3</v>
      </c>
      <c r="H817" s="3">
        <v>4.7453703703703703E-3</v>
      </c>
      <c r="I817" s="2">
        <v>0.59499999999999997</v>
      </c>
    </row>
    <row r="818" spans="1:9">
      <c r="A818" s="1">
        <v>817</v>
      </c>
      <c r="B818" s="1">
        <v>64</v>
      </c>
      <c r="C818" s="1">
        <v>61</v>
      </c>
      <c r="D818" s="2">
        <v>0.95309999999999995</v>
      </c>
      <c r="E818" s="1">
        <v>3</v>
      </c>
      <c r="F818" s="3">
        <v>1.0416666666666667E-4</v>
      </c>
      <c r="G818" s="3">
        <v>2.2569444444444442E-3</v>
      </c>
      <c r="H818" s="3">
        <v>1.6550925925925926E-3</v>
      </c>
      <c r="I818" s="2">
        <v>0.92059999999999997</v>
      </c>
    </row>
    <row r="819" spans="1:9">
      <c r="A819" s="1">
        <v>818</v>
      </c>
      <c r="B819" s="1">
        <v>200</v>
      </c>
      <c r="C819" s="1">
        <v>168</v>
      </c>
      <c r="D819" s="2">
        <v>0.84</v>
      </c>
      <c r="E819" s="1">
        <v>32</v>
      </c>
      <c r="F819" s="3">
        <v>5.9027777777777778E-4</v>
      </c>
      <c r="G819" s="3">
        <v>2.3495370370370371E-3</v>
      </c>
      <c r="H819" s="3">
        <v>4.6990740740740743E-3</v>
      </c>
      <c r="I819" s="2">
        <v>0.4874</v>
      </c>
    </row>
    <row r="820" spans="1:9">
      <c r="A820" s="1">
        <v>819</v>
      </c>
      <c r="B820" s="1">
        <v>158</v>
      </c>
      <c r="C820" s="1">
        <v>148</v>
      </c>
      <c r="D820" s="2">
        <v>0.93669999999999998</v>
      </c>
      <c r="E820" s="1">
        <v>10</v>
      </c>
      <c r="F820" s="3">
        <v>3.4722222222222224E-4</v>
      </c>
      <c r="G820" s="3">
        <v>2.2800925925925927E-3</v>
      </c>
      <c r="H820" s="3">
        <v>2.8703703703703703E-3</v>
      </c>
      <c r="I820" s="2">
        <v>0.56689999999999996</v>
      </c>
    </row>
    <row r="821" spans="1:9">
      <c r="A821" s="1">
        <v>820</v>
      </c>
      <c r="B821" s="1">
        <v>174</v>
      </c>
      <c r="C821" s="1">
        <v>155</v>
      </c>
      <c r="D821" s="2">
        <v>0.89080000000000004</v>
      </c>
      <c r="E821" s="1">
        <v>19</v>
      </c>
      <c r="F821" s="3">
        <v>3.0092592592592595E-4</v>
      </c>
      <c r="G821" s="3">
        <v>2.0949074074074073E-3</v>
      </c>
      <c r="H821" s="3">
        <v>3.5879629629629629E-3</v>
      </c>
      <c r="I821" s="2">
        <v>0.62350000000000005</v>
      </c>
    </row>
    <row r="822" spans="1:9">
      <c r="A822" s="1">
        <v>821</v>
      </c>
      <c r="B822" s="1">
        <v>67</v>
      </c>
      <c r="C822" s="1">
        <v>64</v>
      </c>
      <c r="D822" s="2">
        <v>0.95520000000000005</v>
      </c>
      <c r="E822" s="1">
        <v>3</v>
      </c>
      <c r="F822" s="3">
        <v>3.0092592592592595E-4</v>
      </c>
      <c r="G822" s="3">
        <v>2.4421296296296296E-3</v>
      </c>
      <c r="H822" s="3">
        <v>3.449074074074074E-3</v>
      </c>
      <c r="I822" s="2">
        <v>0.71209999999999996</v>
      </c>
    </row>
    <row r="823" spans="1:9">
      <c r="A823" s="1">
        <v>822</v>
      </c>
      <c r="B823" s="1">
        <v>24</v>
      </c>
      <c r="C823" s="1">
        <v>23</v>
      </c>
      <c r="D823" s="2">
        <v>0.95830000000000004</v>
      </c>
      <c r="E823" s="1">
        <v>1</v>
      </c>
      <c r="F823" s="3">
        <v>2.6620370370370372E-4</v>
      </c>
      <c r="G823" s="3">
        <v>1.9675925925925924E-3</v>
      </c>
      <c r="H823" s="3">
        <v>1.4004629629629629E-3</v>
      </c>
      <c r="I823" s="2">
        <v>0.75</v>
      </c>
    </row>
    <row r="824" spans="1:9">
      <c r="A824" s="1">
        <v>823</v>
      </c>
      <c r="B824" s="1">
        <v>106</v>
      </c>
      <c r="C824" s="1">
        <v>92</v>
      </c>
      <c r="D824" s="2">
        <v>0.8679</v>
      </c>
      <c r="E824" s="1">
        <v>14</v>
      </c>
      <c r="F824" s="3">
        <v>5.0925925925925921E-4</v>
      </c>
      <c r="G824" s="3">
        <v>2.1180555555555558E-3</v>
      </c>
      <c r="H824" s="3">
        <v>3.5185185185185185E-3</v>
      </c>
      <c r="I824" s="2">
        <v>0.45629999999999998</v>
      </c>
    </row>
    <row r="825" spans="1:9">
      <c r="A825" s="1">
        <v>824</v>
      </c>
      <c r="B825" s="1">
        <v>52</v>
      </c>
      <c r="C825" s="1">
        <v>50</v>
      </c>
      <c r="D825" s="2">
        <v>0.96150000000000002</v>
      </c>
      <c r="E825" s="1">
        <v>2</v>
      </c>
      <c r="F825" s="3">
        <v>1.273148148148148E-4</v>
      </c>
      <c r="G825" s="3">
        <v>2.3032407407407407E-3</v>
      </c>
      <c r="H825" s="3">
        <v>9.7222222222222219E-4</v>
      </c>
      <c r="I825" s="2">
        <v>0.88460000000000005</v>
      </c>
    </row>
    <row r="826" spans="1:9">
      <c r="A826" s="1">
        <v>825</v>
      </c>
      <c r="B826" s="1">
        <v>223</v>
      </c>
      <c r="C826" s="1">
        <v>203</v>
      </c>
      <c r="D826" s="2">
        <v>0.9103</v>
      </c>
      <c r="E826" s="1">
        <v>20</v>
      </c>
      <c r="F826" s="3">
        <v>3.5879629629629629E-4</v>
      </c>
      <c r="G826" s="3">
        <v>2.2916666666666667E-3</v>
      </c>
      <c r="H826" s="3">
        <v>2.9050925925925928E-3</v>
      </c>
      <c r="I826" s="2">
        <v>0.621</v>
      </c>
    </row>
    <row r="827" spans="1:9">
      <c r="A827" s="1">
        <v>826</v>
      </c>
      <c r="B827" s="1">
        <v>274</v>
      </c>
      <c r="C827" s="1">
        <v>233</v>
      </c>
      <c r="D827" s="2">
        <v>0.85040000000000004</v>
      </c>
      <c r="E827" s="1">
        <v>41</v>
      </c>
      <c r="F827" s="3">
        <v>5.5555555555555556E-4</v>
      </c>
      <c r="G827" s="3">
        <v>2.3958333333333331E-3</v>
      </c>
      <c r="H827" s="3">
        <v>3.5879629629629629E-3</v>
      </c>
      <c r="I827" s="2">
        <v>0.36059999999999998</v>
      </c>
    </row>
    <row r="828" spans="1:9">
      <c r="A828" s="1">
        <v>827</v>
      </c>
      <c r="B828" s="1">
        <v>280</v>
      </c>
      <c r="C828" s="1">
        <v>263</v>
      </c>
      <c r="D828" s="2">
        <v>0.93930000000000002</v>
      </c>
      <c r="E828" s="1">
        <v>17</v>
      </c>
      <c r="F828" s="3">
        <v>2.6620370370370372E-4</v>
      </c>
      <c r="G828" s="3">
        <v>2.2337962962962962E-3</v>
      </c>
      <c r="H828" s="3">
        <v>2.662037037037037E-3</v>
      </c>
      <c r="I828" s="2">
        <v>0.6764</v>
      </c>
    </row>
    <row r="829" spans="1:9">
      <c r="A829" s="1">
        <v>828</v>
      </c>
      <c r="B829" s="1">
        <v>534</v>
      </c>
      <c r="C829" s="1">
        <v>468</v>
      </c>
      <c r="D829" s="2">
        <v>0.87639999999999996</v>
      </c>
      <c r="E829" s="1">
        <v>66</v>
      </c>
      <c r="F829" s="3">
        <v>3.4722222222222224E-4</v>
      </c>
      <c r="G829" s="3">
        <v>1.9212962962962964E-3</v>
      </c>
      <c r="H829" s="3">
        <v>3.2291666666666666E-3</v>
      </c>
      <c r="I829" s="2">
        <v>0.57469999999999999</v>
      </c>
    </row>
    <row r="830" spans="1:9">
      <c r="A830" s="1">
        <v>829</v>
      </c>
      <c r="B830" s="1">
        <v>315</v>
      </c>
      <c r="C830" s="1">
        <v>300</v>
      </c>
      <c r="D830" s="2">
        <v>0.95240000000000002</v>
      </c>
      <c r="E830" s="1">
        <v>15</v>
      </c>
      <c r="F830" s="3">
        <v>2.7777777777777778E-4</v>
      </c>
      <c r="G830" s="3">
        <v>2.2106481481481482E-3</v>
      </c>
      <c r="H830" s="3">
        <v>1.9675925925925924E-3</v>
      </c>
      <c r="I830" s="2">
        <v>0.70230000000000004</v>
      </c>
    </row>
    <row r="831" spans="1:9">
      <c r="A831" s="1">
        <v>830</v>
      </c>
      <c r="B831" s="1">
        <v>122</v>
      </c>
      <c r="C831" s="1">
        <v>113</v>
      </c>
      <c r="D831" s="2">
        <v>0.92620000000000002</v>
      </c>
      <c r="E831" s="1">
        <v>9</v>
      </c>
      <c r="F831" s="3">
        <v>2.3148148148148149E-4</v>
      </c>
      <c r="G831" s="3">
        <v>2.0601851851851853E-3</v>
      </c>
      <c r="H831" s="3">
        <v>1.6087962962962963E-3</v>
      </c>
      <c r="I831" s="2">
        <v>0.76670000000000005</v>
      </c>
    </row>
    <row r="832" spans="1:9">
      <c r="A832" s="1">
        <v>831</v>
      </c>
      <c r="B832" s="1">
        <v>63</v>
      </c>
      <c r="C832" s="1">
        <v>60</v>
      </c>
      <c r="D832" s="2">
        <v>0.95240000000000002</v>
      </c>
      <c r="E832" s="1">
        <v>3</v>
      </c>
      <c r="F832" s="3">
        <v>2.4305555555555555E-4</v>
      </c>
      <c r="G832" s="3">
        <v>1.9791666666666668E-3</v>
      </c>
      <c r="H832" s="3">
        <v>1.9907407407407408E-3</v>
      </c>
      <c r="I832" s="2">
        <v>0.7419</v>
      </c>
    </row>
    <row r="833" spans="1:9">
      <c r="A833" s="1">
        <v>832</v>
      </c>
      <c r="B833" s="1">
        <v>402</v>
      </c>
      <c r="C833" s="1">
        <v>368</v>
      </c>
      <c r="D833" s="2">
        <v>0.91539999999999999</v>
      </c>
      <c r="E833" s="1">
        <v>34</v>
      </c>
      <c r="F833" s="3">
        <v>3.7037037037037035E-4</v>
      </c>
      <c r="G833" s="3">
        <v>2.1643518518518518E-3</v>
      </c>
      <c r="H833" s="3">
        <v>2.1527777777777778E-3</v>
      </c>
      <c r="I833" s="2">
        <v>0.54179999999999995</v>
      </c>
    </row>
    <row r="834" spans="1:9">
      <c r="A834" s="1">
        <v>833</v>
      </c>
      <c r="B834" s="1">
        <v>413</v>
      </c>
      <c r="C834" s="1">
        <v>370</v>
      </c>
      <c r="D834" s="2">
        <v>0.89590000000000003</v>
      </c>
      <c r="E834" s="1">
        <v>43</v>
      </c>
      <c r="F834" s="3">
        <v>3.3564814814814812E-4</v>
      </c>
      <c r="G834" s="3">
        <v>2.1990740740740742E-3</v>
      </c>
      <c r="H834" s="3">
        <v>2.3379629629629631E-3</v>
      </c>
      <c r="I834" s="2">
        <v>0.58420000000000005</v>
      </c>
    </row>
    <row r="835" spans="1:9">
      <c r="A835" s="1">
        <v>834</v>
      </c>
      <c r="B835" s="1">
        <v>389</v>
      </c>
      <c r="C835" s="1">
        <v>346</v>
      </c>
      <c r="D835" s="2">
        <v>0.88949999999999996</v>
      </c>
      <c r="E835" s="1">
        <v>43</v>
      </c>
      <c r="F835" s="3">
        <v>4.1666666666666669E-4</v>
      </c>
      <c r="G835" s="3">
        <v>2.3263888888888887E-3</v>
      </c>
      <c r="H835" s="3">
        <v>3.5879629629629629E-3</v>
      </c>
      <c r="I835" s="2">
        <v>0.49869999999999998</v>
      </c>
    </row>
    <row r="836" spans="1:9">
      <c r="A836" s="1">
        <v>835</v>
      </c>
      <c r="B836" s="1">
        <v>495</v>
      </c>
      <c r="C836" s="1">
        <v>308</v>
      </c>
      <c r="D836" s="2">
        <v>0.62219999999999998</v>
      </c>
      <c r="E836" s="1">
        <v>187</v>
      </c>
      <c r="F836" s="3">
        <v>1.0532407407407407E-3</v>
      </c>
      <c r="G836" s="3">
        <v>2.3726851851851851E-3</v>
      </c>
      <c r="H836" s="3">
        <v>1.1516203703703704E-2</v>
      </c>
      <c r="I836" s="2">
        <v>0.18559999999999999</v>
      </c>
    </row>
    <row r="837" spans="1:9">
      <c r="A837" s="1">
        <v>836</v>
      </c>
      <c r="B837" s="1">
        <v>712</v>
      </c>
      <c r="C837" s="1">
        <v>340</v>
      </c>
      <c r="D837" s="2">
        <v>0.47749999999999998</v>
      </c>
      <c r="E837" s="1">
        <v>372</v>
      </c>
      <c r="F837" s="3">
        <v>1.3888888888888889E-3</v>
      </c>
      <c r="G837" s="3">
        <v>2.3842592592592591E-3</v>
      </c>
      <c r="H837" s="3">
        <v>1.1400462962962963E-2</v>
      </c>
      <c r="I837" s="2">
        <v>0.1226</v>
      </c>
    </row>
    <row r="838" spans="1:9">
      <c r="A838" s="1">
        <v>837</v>
      </c>
      <c r="B838" s="1">
        <v>1057</v>
      </c>
      <c r="C838" s="1">
        <v>602</v>
      </c>
      <c r="D838" s="2">
        <v>0.56950000000000001</v>
      </c>
      <c r="E838" s="1">
        <v>455</v>
      </c>
      <c r="F838" s="3">
        <v>1.2037037037037038E-3</v>
      </c>
      <c r="G838" s="3">
        <v>1.7708333333333332E-3</v>
      </c>
      <c r="H838" s="3">
        <v>8.611111111111111E-3</v>
      </c>
      <c r="I838" s="2">
        <v>0.1149</v>
      </c>
    </row>
    <row r="839" spans="1:9">
      <c r="A839" s="1">
        <v>838</v>
      </c>
      <c r="B839" s="1">
        <v>620</v>
      </c>
      <c r="C839" s="1">
        <v>321</v>
      </c>
      <c r="D839" s="2">
        <v>0.51770000000000005</v>
      </c>
      <c r="E839" s="1">
        <v>299</v>
      </c>
      <c r="F839" s="3">
        <v>1.8749999999999999E-3</v>
      </c>
      <c r="G839" s="3">
        <v>2.2337962962962962E-3</v>
      </c>
      <c r="H839" s="3">
        <v>1.150462962962963E-2</v>
      </c>
      <c r="I839" s="2">
        <v>0.1087</v>
      </c>
    </row>
    <row r="840" spans="1:9">
      <c r="A840" s="1">
        <v>839</v>
      </c>
      <c r="B840" s="1">
        <v>1575</v>
      </c>
      <c r="C840" s="1">
        <v>871</v>
      </c>
      <c r="D840" s="2">
        <v>0.55300000000000005</v>
      </c>
      <c r="E840" s="1">
        <v>704</v>
      </c>
      <c r="F840" s="3">
        <v>1.0648148148148149E-3</v>
      </c>
      <c r="G840" s="3">
        <v>1.7708333333333332E-3</v>
      </c>
      <c r="H840" s="3">
        <v>1.579861111111111E-2</v>
      </c>
      <c r="I840" s="2">
        <v>0.13930000000000001</v>
      </c>
    </row>
    <row r="841" spans="1:9">
      <c r="A841" s="1">
        <v>840</v>
      </c>
      <c r="B841" s="1">
        <v>1349</v>
      </c>
      <c r="C841" s="1">
        <v>775</v>
      </c>
      <c r="D841" s="2">
        <v>0.57450000000000001</v>
      </c>
      <c r="E841" s="1">
        <v>574</v>
      </c>
      <c r="F841" s="3">
        <v>1.2268518518518518E-3</v>
      </c>
      <c r="G841" s="3">
        <v>2.1990740740740742E-3</v>
      </c>
      <c r="H841" s="3">
        <v>1.1030092592592593E-2</v>
      </c>
      <c r="I841" s="2">
        <v>0.1216</v>
      </c>
    </row>
    <row r="842" spans="1:9">
      <c r="A842" s="1">
        <v>841</v>
      </c>
      <c r="B842" s="1">
        <v>999</v>
      </c>
      <c r="C842" s="1">
        <v>454</v>
      </c>
      <c r="D842" s="2">
        <v>0.45450000000000002</v>
      </c>
      <c r="E842" s="1">
        <v>545</v>
      </c>
      <c r="F842" s="3">
        <v>1.9444444444444444E-3</v>
      </c>
      <c r="G842" s="3">
        <v>2.2453703703703702E-3</v>
      </c>
      <c r="H842" s="3">
        <v>9.3055555555555548E-3</v>
      </c>
      <c r="I842" s="2">
        <v>4.07E-2</v>
      </c>
    </row>
    <row r="843" spans="1:9">
      <c r="A843" s="1">
        <v>842</v>
      </c>
      <c r="B843" s="1">
        <v>968</v>
      </c>
      <c r="C843" s="1">
        <v>547</v>
      </c>
      <c r="D843" s="2">
        <v>0.56510000000000005</v>
      </c>
      <c r="E843" s="1">
        <v>421</v>
      </c>
      <c r="F843" s="3">
        <v>1.6898148148148148E-3</v>
      </c>
      <c r="G843" s="3">
        <v>2.2916666666666667E-3</v>
      </c>
      <c r="H843" s="3">
        <v>9.8726851851851857E-3</v>
      </c>
      <c r="I843" s="2">
        <v>0.1171</v>
      </c>
    </row>
    <row r="844" spans="1:9">
      <c r="A844" s="1">
        <v>843</v>
      </c>
      <c r="B844" s="1">
        <v>1066</v>
      </c>
      <c r="C844" s="1">
        <v>453</v>
      </c>
      <c r="D844" s="2">
        <v>0.42499999999999999</v>
      </c>
      <c r="E844" s="1">
        <v>613</v>
      </c>
      <c r="F844" s="3">
        <v>3.5185185185185185E-3</v>
      </c>
      <c r="G844" s="3">
        <v>2.5347222222222221E-3</v>
      </c>
      <c r="H844" s="3">
        <v>1.5706018518518518E-2</v>
      </c>
      <c r="I844" s="2">
        <v>2.24E-2</v>
      </c>
    </row>
    <row r="845" spans="1:9">
      <c r="A845" s="1">
        <v>844</v>
      </c>
      <c r="B845" s="1">
        <v>788</v>
      </c>
      <c r="C845" s="1">
        <v>633</v>
      </c>
      <c r="D845" s="2">
        <v>0.80330000000000001</v>
      </c>
      <c r="E845" s="1">
        <v>155</v>
      </c>
      <c r="F845" s="3">
        <v>8.4490740740740739E-4</v>
      </c>
      <c r="G845" s="3">
        <v>2.3495370370370371E-3</v>
      </c>
      <c r="H845" s="3">
        <v>8.6342592592592599E-3</v>
      </c>
      <c r="I845" s="2">
        <v>0.20880000000000001</v>
      </c>
    </row>
    <row r="846" spans="1:9">
      <c r="A846" s="1">
        <v>845</v>
      </c>
      <c r="B846" s="1">
        <v>252</v>
      </c>
      <c r="C846" s="1">
        <v>213</v>
      </c>
      <c r="D846" s="2">
        <v>0.84519999999999995</v>
      </c>
      <c r="E846" s="1">
        <v>39</v>
      </c>
      <c r="F846" s="3">
        <v>6.134259259259259E-4</v>
      </c>
      <c r="G846" s="3">
        <v>2.4421296296296296E-3</v>
      </c>
      <c r="H846" s="3">
        <v>5.7523148148148151E-3</v>
      </c>
      <c r="I846" s="2">
        <v>0.44080000000000003</v>
      </c>
    </row>
    <row r="847" spans="1:9">
      <c r="A847" s="1">
        <v>846</v>
      </c>
      <c r="B847" s="1">
        <v>842</v>
      </c>
      <c r="C847" s="1">
        <v>625</v>
      </c>
      <c r="D847" s="2">
        <v>0.74229999999999996</v>
      </c>
      <c r="E847" s="1">
        <v>217</v>
      </c>
      <c r="F847" s="3">
        <v>8.2175925925925927E-4</v>
      </c>
      <c r="G847" s="3">
        <v>2.1990740740740742E-3</v>
      </c>
      <c r="H847" s="3">
        <v>1.0046296296296296E-2</v>
      </c>
      <c r="I847" s="2">
        <v>0.26929999999999998</v>
      </c>
    </row>
    <row r="848" spans="1:9">
      <c r="A848" s="1">
        <v>847</v>
      </c>
      <c r="B848" s="1">
        <v>847</v>
      </c>
      <c r="C848" s="1">
        <v>722</v>
      </c>
      <c r="D848" s="2">
        <v>0.85240000000000005</v>
      </c>
      <c r="E848" s="1">
        <v>125</v>
      </c>
      <c r="F848" s="3">
        <v>6.2500000000000001E-4</v>
      </c>
      <c r="G848" s="3">
        <v>2.1296296296296298E-3</v>
      </c>
      <c r="H848" s="3">
        <v>5.6134259259259262E-3</v>
      </c>
      <c r="I848" s="2">
        <v>0.33489999999999998</v>
      </c>
    </row>
    <row r="849" spans="1:9">
      <c r="A849" s="1">
        <v>848</v>
      </c>
      <c r="B849" s="1">
        <v>800</v>
      </c>
      <c r="C849" s="1">
        <v>615</v>
      </c>
      <c r="D849" s="2">
        <v>0.76880000000000004</v>
      </c>
      <c r="E849" s="1">
        <v>185</v>
      </c>
      <c r="F849" s="3">
        <v>7.7546296296296293E-4</v>
      </c>
      <c r="G849" s="3">
        <v>2.3726851851851851E-3</v>
      </c>
      <c r="H849" s="3">
        <v>5.138888888888889E-3</v>
      </c>
      <c r="I849" s="2">
        <v>0.23980000000000001</v>
      </c>
    </row>
    <row r="850" spans="1:9">
      <c r="A850" s="1">
        <v>849</v>
      </c>
      <c r="B850" s="1">
        <v>1100</v>
      </c>
      <c r="C850" s="1">
        <v>823</v>
      </c>
      <c r="D850" s="2">
        <v>0.74819999999999998</v>
      </c>
      <c r="E850" s="1">
        <v>277</v>
      </c>
      <c r="F850" s="3">
        <v>7.8703703703703705E-4</v>
      </c>
      <c r="G850" s="3">
        <v>2.2916666666666667E-3</v>
      </c>
      <c r="H850" s="3">
        <v>1.0775462962962962E-2</v>
      </c>
      <c r="I850" s="2">
        <v>0.29649999999999999</v>
      </c>
    </row>
    <row r="851" spans="1:9">
      <c r="A851" s="1">
        <v>850</v>
      </c>
      <c r="B851" s="1">
        <v>1242</v>
      </c>
      <c r="C851" s="1">
        <v>909</v>
      </c>
      <c r="D851" s="2">
        <v>0.7319</v>
      </c>
      <c r="E851" s="1">
        <v>333</v>
      </c>
      <c r="F851" s="3">
        <v>9.6064814814814819E-4</v>
      </c>
      <c r="G851" s="3">
        <v>2.1296296296296298E-3</v>
      </c>
      <c r="H851" s="3">
        <v>7.766203703703704E-3</v>
      </c>
      <c r="I851" s="2">
        <v>0.19</v>
      </c>
    </row>
    <row r="852" spans="1:9">
      <c r="A852" s="1">
        <v>851</v>
      </c>
      <c r="B852" s="1">
        <v>732</v>
      </c>
      <c r="C852" s="1">
        <v>460</v>
      </c>
      <c r="D852" s="2">
        <v>0.62839999999999996</v>
      </c>
      <c r="E852" s="1">
        <v>272</v>
      </c>
      <c r="F852" s="3">
        <v>1.0532407407407407E-3</v>
      </c>
      <c r="G852" s="3">
        <v>2.2222222222222222E-3</v>
      </c>
      <c r="H852" s="3">
        <v>7.2800925925925923E-3</v>
      </c>
      <c r="I852" s="2">
        <v>0.1792</v>
      </c>
    </row>
    <row r="853" spans="1:9">
      <c r="A853" s="1">
        <v>852</v>
      </c>
      <c r="B853" s="1">
        <v>112</v>
      </c>
      <c r="C853" s="1">
        <v>104</v>
      </c>
      <c r="D853" s="2">
        <v>0.92859999999999998</v>
      </c>
      <c r="E853" s="1">
        <v>8</v>
      </c>
      <c r="F853" s="3">
        <v>3.9351851851851852E-4</v>
      </c>
      <c r="G853" s="3">
        <v>2.3263888888888887E-3</v>
      </c>
      <c r="H853" s="3">
        <v>2.9282407407407408E-3</v>
      </c>
      <c r="I853" s="2">
        <v>0.56359999999999999</v>
      </c>
    </row>
    <row r="854" spans="1:9">
      <c r="A854" s="1">
        <v>853</v>
      </c>
      <c r="B854" s="1">
        <v>482</v>
      </c>
      <c r="C854" s="1">
        <v>434</v>
      </c>
      <c r="D854" s="2">
        <v>0.90039999999999998</v>
      </c>
      <c r="E854" s="1">
        <v>48</v>
      </c>
      <c r="F854" s="3">
        <v>4.7453703703703704E-4</v>
      </c>
      <c r="G854" s="3">
        <v>2.0949074074074073E-3</v>
      </c>
      <c r="H854" s="3">
        <v>7.6504629629629631E-3</v>
      </c>
      <c r="I854" s="2">
        <v>0.47439999999999999</v>
      </c>
    </row>
    <row r="855" spans="1:9">
      <c r="A855" s="1">
        <v>854</v>
      </c>
      <c r="B855" s="1">
        <v>570</v>
      </c>
      <c r="C855" s="1">
        <v>484</v>
      </c>
      <c r="D855" s="2">
        <v>0.84909999999999997</v>
      </c>
      <c r="E855" s="1">
        <v>86</v>
      </c>
      <c r="F855" s="3">
        <v>5.9027777777777778E-4</v>
      </c>
      <c r="G855" s="3">
        <v>2.1643518518518518E-3</v>
      </c>
      <c r="H855" s="3">
        <v>8.1944444444444452E-3</v>
      </c>
      <c r="I855" s="2">
        <v>0.36899999999999999</v>
      </c>
    </row>
    <row r="856" spans="1:9">
      <c r="A856" s="1">
        <v>855</v>
      </c>
      <c r="B856" s="1">
        <v>490</v>
      </c>
      <c r="C856" s="1">
        <v>398</v>
      </c>
      <c r="D856" s="2">
        <v>0.81220000000000003</v>
      </c>
      <c r="E856" s="1">
        <v>92</v>
      </c>
      <c r="F856" s="3">
        <v>5.7870370370370367E-4</v>
      </c>
      <c r="G856" s="3">
        <v>2.2800925925925927E-3</v>
      </c>
      <c r="H856" s="3">
        <v>1.5092592592592593E-2</v>
      </c>
      <c r="I856" s="2">
        <v>0.36099999999999999</v>
      </c>
    </row>
    <row r="857" spans="1:9">
      <c r="A857" s="1">
        <v>856</v>
      </c>
      <c r="B857" s="1">
        <v>462</v>
      </c>
      <c r="C857" s="1">
        <v>311</v>
      </c>
      <c r="D857" s="2">
        <v>0.67320000000000002</v>
      </c>
      <c r="E857" s="1">
        <v>151</v>
      </c>
      <c r="F857" s="3">
        <v>8.2175925925925927E-4</v>
      </c>
      <c r="G857" s="3">
        <v>2.2800925925925927E-3</v>
      </c>
      <c r="H857" s="3">
        <v>6.1342592592592594E-3</v>
      </c>
      <c r="I857" s="2">
        <v>0.26340000000000002</v>
      </c>
    </row>
    <row r="858" spans="1:9">
      <c r="A858" s="1">
        <v>857</v>
      </c>
      <c r="B858" s="1">
        <v>428</v>
      </c>
      <c r="C858" s="1">
        <v>373</v>
      </c>
      <c r="D858" s="2">
        <v>0.87150000000000005</v>
      </c>
      <c r="E858" s="1">
        <v>55</v>
      </c>
      <c r="F858" s="3">
        <v>4.6296296296296298E-4</v>
      </c>
      <c r="G858" s="3">
        <v>2.0601851851851853E-3</v>
      </c>
      <c r="H858" s="3">
        <v>4.8726851851851848E-3</v>
      </c>
      <c r="I858" s="2">
        <v>0.50600000000000001</v>
      </c>
    </row>
    <row r="859" spans="1:9">
      <c r="A859" s="1">
        <v>858</v>
      </c>
      <c r="B859" s="1">
        <v>393</v>
      </c>
      <c r="C859" s="1">
        <v>312</v>
      </c>
      <c r="D859" s="2">
        <v>0.79390000000000005</v>
      </c>
      <c r="E859" s="1">
        <v>81</v>
      </c>
      <c r="F859" s="3">
        <v>7.1759259259259259E-4</v>
      </c>
      <c r="G859" s="3">
        <v>2.2685185185185187E-3</v>
      </c>
      <c r="H859" s="3">
        <v>5.7407407407407407E-3</v>
      </c>
      <c r="I859" s="2">
        <v>0.314</v>
      </c>
    </row>
    <row r="860" spans="1:9">
      <c r="A860" s="1">
        <v>859</v>
      </c>
      <c r="B860" s="1">
        <v>58</v>
      </c>
      <c r="C860" s="1">
        <v>50</v>
      </c>
      <c r="D860" s="2">
        <v>0.86209999999999998</v>
      </c>
      <c r="E860" s="1">
        <v>8</v>
      </c>
      <c r="F860" s="3">
        <v>3.3564814814814812E-4</v>
      </c>
      <c r="G860" s="3">
        <v>2.1296296296296298E-3</v>
      </c>
      <c r="H860" s="3">
        <v>2.1527777777777778E-3</v>
      </c>
      <c r="I860" s="2">
        <v>0.6724</v>
      </c>
    </row>
    <row r="861" spans="1:9">
      <c r="A861" s="1">
        <v>860</v>
      </c>
      <c r="B861" s="1">
        <v>316</v>
      </c>
      <c r="C861" s="1">
        <v>279</v>
      </c>
      <c r="D861" s="2">
        <v>0.88290000000000002</v>
      </c>
      <c r="E861" s="1">
        <v>37</v>
      </c>
      <c r="F861" s="3">
        <v>4.6296296296296298E-4</v>
      </c>
      <c r="G861" s="3">
        <v>2.0601851851851853E-3</v>
      </c>
      <c r="H861" s="3">
        <v>2.4421296296296296E-3</v>
      </c>
      <c r="I861" s="2">
        <v>0.44159999999999999</v>
      </c>
    </row>
    <row r="862" spans="1:9">
      <c r="A862" s="1">
        <v>861</v>
      </c>
      <c r="B862" s="1">
        <v>298</v>
      </c>
      <c r="C862" s="1">
        <v>274</v>
      </c>
      <c r="D862" s="2">
        <v>0.91949999999999998</v>
      </c>
      <c r="E862" s="1">
        <v>24</v>
      </c>
      <c r="F862" s="3">
        <v>3.4722222222222224E-4</v>
      </c>
      <c r="G862" s="3">
        <v>2.0717592592592593E-3</v>
      </c>
      <c r="H862" s="3">
        <v>2.1064814814814813E-3</v>
      </c>
      <c r="I862" s="2">
        <v>0.55779999999999996</v>
      </c>
    </row>
    <row r="863" spans="1:9">
      <c r="A863" s="1">
        <v>862</v>
      </c>
      <c r="B863" s="1">
        <v>308</v>
      </c>
      <c r="C863" s="1">
        <v>275</v>
      </c>
      <c r="D863" s="2">
        <v>0.89290000000000003</v>
      </c>
      <c r="E863" s="1">
        <v>33</v>
      </c>
      <c r="F863" s="3">
        <v>4.6296296296296298E-4</v>
      </c>
      <c r="G863" s="3">
        <v>2.0370370370370369E-3</v>
      </c>
      <c r="H863" s="3">
        <v>4.7916666666666663E-3</v>
      </c>
      <c r="I863" s="2">
        <v>0.51629999999999998</v>
      </c>
    </row>
    <row r="864" spans="1:9">
      <c r="A864" s="1">
        <v>863</v>
      </c>
      <c r="B864" s="1">
        <v>259</v>
      </c>
      <c r="C864" s="1">
        <v>242</v>
      </c>
      <c r="D864" s="2">
        <v>0.93440000000000001</v>
      </c>
      <c r="E864" s="1">
        <v>17</v>
      </c>
      <c r="F864" s="3">
        <v>1.8518518518518518E-4</v>
      </c>
      <c r="G864" s="3">
        <v>2.0138888888888888E-3</v>
      </c>
      <c r="H864" s="3">
        <v>2.8819444444444444E-3</v>
      </c>
      <c r="I864" s="2">
        <v>0.78259999999999996</v>
      </c>
    </row>
    <row r="865" spans="1:9">
      <c r="A865" s="1">
        <v>864</v>
      </c>
      <c r="B865" s="1">
        <v>464</v>
      </c>
      <c r="C865" s="1">
        <v>391</v>
      </c>
      <c r="D865" s="2">
        <v>0.8427</v>
      </c>
      <c r="E865" s="1">
        <v>73</v>
      </c>
      <c r="F865" s="3">
        <v>6.3657407407407413E-4</v>
      </c>
      <c r="G865" s="3">
        <v>2.4421296296296296E-3</v>
      </c>
      <c r="H865" s="3">
        <v>3.6226851851851854E-3</v>
      </c>
      <c r="I865" s="2">
        <v>0.35449999999999998</v>
      </c>
    </row>
    <row r="866" spans="1:9">
      <c r="A866" s="1">
        <v>865</v>
      </c>
      <c r="B866" s="1">
        <v>302</v>
      </c>
      <c r="C866" s="1">
        <v>275</v>
      </c>
      <c r="D866" s="2">
        <v>0.91059999999999997</v>
      </c>
      <c r="E866" s="1">
        <v>27</v>
      </c>
      <c r="F866" s="3">
        <v>3.4722222222222224E-4</v>
      </c>
      <c r="G866" s="3">
        <v>2.1064814814814813E-3</v>
      </c>
      <c r="H866" s="3">
        <v>6.875E-3</v>
      </c>
      <c r="I866" s="2">
        <v>0.56040000000000001</v>
      </c>
    </row>
    <row r="867" spans="1:9">
      <c r="A867" s="1">
        <v>866</v>
      </c>
      <c r="B867" s="1">
        <v>47</v>
      </c>
      <c r="C867" s="1">
        <v>45</v>
      </c>
      <c r="D867" s="2">
        <v>0.95740000000000003</v>
      </c>
      <c r="E867" s="1">
        <v>2</v>
      </c>
      <c r="F867" s="3">
        <v>1.3888888888888889E-4</v>
      </c>
      <c r="G867" s="3">
        <v>1.8634259259259259E-3</v>
      </c>
      <c r="H867" s="3">
        <v>1.8171296296296297E-3</v>
      </c>
      <c r="I867" s="2">
        <v>0.85109999999999997</v>
      </c>
    </row>
    <row r="868" spans="1:9">
      <c r="A868" s="1">
        <v>867</v>
      </c>
      <c r="B868" s="1">
        <v>293</v>
      </c>
      <c r="C868" s="1">
        <v>279</v>
      </c>
      <c r="D868" s="2">
        <v>0.95220000000000005</v>
      </c>
      <c r="E868" s="1">
        <v>14</v>
      </c>
      <c r="F868" s="3">
        <v>2.5462962962962961E-4</v>
      </c>
      <c r="G868" s="3">
        <v>2.0023148148148148E-3</v>
      </c>
      <c r="H868" s="3">
        <v>2.0486111111111113E-3</v>
      </c>
      <c r="I868" s="2">
        <v>0.67469999999999997</v>
      </c>
    </row>
    <row r="869" spans="1:9">
      <c r="A869" s="1">
        <v>868</v>
      </c>
      <c r="B869" s="1">
        <v>245</v>
      </c>
      <c r="C869" s="1">
        <v>225</v>
      </c>
      <c r="D869" s="2">
        <v>0.91839999999999999</v>
      </c>
      <c r="E869" s="1">
        <v>20</v>
      </c>
      <c r="F869" s="3">
        <v>2.0833333333333335E-4</v>
      </c>
      <c r="G869" s="3">
        <v>2.0254629629629629E-3</v>
      </c>
      <c r="H869" s="3">
        <v>2.9050925925925928E-3</v>
      </c>
      <c r="I869" s="2">
        <v>0.73550000000000004</v>
      </c>
    </row>
    <row r="870" spans="1:9">
      <c r="A870" s="1">
        <v>869</v>
      </c>
      <c r="B870" s="1">
        <v>295</v>
      </c>
      <c r="C870" s="1">
        <v>227</v>
      </c>
      <c r="D870" s="2">
        <v>0.76949999999999996</v>
      </c>
      <c r="E870" s="1">
        <v>68</v>
      </c>
      <c r="F870" s="3">
        <v>5.5555555555555556E-4</v>
      </c>
      <c r="G870" s="3">
        <v>2.3032407407407407E-3</v>
      </c>
      <c r="H870" s="3">
        <v>3.9583333333333337E-3</v>
      </c>
      <c r="I870" s="2">
        <v>0.44790000000000002</v>
      </c>
    </row>
    <row r="871" spans="1:9">
      <c r="A871" s="1">
        <v>870</v>
      </c>
      <c r="B871" s="1">
        <v>205</v>
      </c>
      <c r="C871" s="1">
        <v>196</v>
      </c>
      <c r="D871" s="2">
        <v>0.95609999999999995</v>
      </c>
      <c r="E871" s="1">
        <v>9</v>
      </c>
      <c r="F871" s="3">
        <v>2.3148148148148149E-4</v>
      </c>
      <c r="G871" s="3">
        <v>2.1527777777777778E-3</v>
      </c>
      <c r="H871" s="3">
        <v>3.5879629629629629E-3</v>
      </c>
      <c r="I871" s="2">
        <v>0.73660000000000003</v>
      </c>
    </row>
    <row r="872" spans="1:9">
      <c r="A872" s="1">
        <v>871</v>
      </c>
      <c r="B872" s="1">
        <v>249</v>
      </c>
      <c r="C872" s="1">
        <v>215</v>
      </c>
      <c r="D872" s="2">
        <v>0.86350000000000005</v>
      </c>
      <c r="E872" s="1">
        <v>34</v>
      </c>
      <c r="F872" s="3">
        <v>4.6296296296296298E-4</v>
      </c>
      <c r="G872" s="3">
        <v>2.0601851851851853E-3</v>
      </c>
      <c r="H872" s="3">
        <v>1.7256944444444443E-2</v>
      </c>
      <c r="I872" s="2">
        <v>0.46089999999999998</v>
      </c>
    </row>
    <row r="873" spans="1:9">
      <c r="A873" s="1">
        <v>872</v>
      </c>
      <c r="B873" s="1">
        <v>236</v>
      </c>
      <c r="C873" s="1">
        <v>213</v>
      </c>
      <c r="D873" s="2">
        <v>0.90249999999999997</v>
      </c>
      <c r="E873" s="1">
        <v>23</v>
      </c>
      <c r="F873" s="3">
        <v>3.0092592592592595E-4</v>
      </c>
      <c r="G873" s="3">
        <v>2.2453703703703702E-3</v>
      </c>
      <c r="H873" s="3">
        <v>2.7083333333333334E-3</v>
      </c>
      <c r="I873" s="2">
        <v>0.63360000000000005</v>
      </c>
    </row>
    <row r="874" spans="1:9">
      <c r="A874" s="1">
        <v>873</v>
      </c>
      <c r="B874" s="1">
        <v>39</v>
      </c>
      <c r="C874" s="1">
        <v>39</v>
      </c>
      <c r="D874" s="2">
        <v>1</v>
      </c>
      <c r="E874" s="1">
        <v>0</v>
      </c>
      <c r="F874" s="3">
        <v>1.6203703703703703E-4</v>
      </c>
      <c r="G874" s="3">
        <v>1.736111111111111E-3</v>
      </c>
      <c r="H874" s="3">
        <v>1.7013888888888888E-3</v>
      </c>
      <c r="I874" s="2">
        <v>0.87180000000000002</v>
      </c>
    </row>
    <row r="875" spans="1:9">
      <c r="A875" s="1">
        <v>874</v>
      </c>
      <c r="B875" s="1">
        <v>208</v>
      </c>
      <c r="C875" s="1">
        <v>194</v>
      </c>
      <c r="D875" s="2">
        <v>0.93269999999999997</v>
      </c>
      <c r="E875" s="1">
        <v>14</v>
      </c>
      <c r="F875" s="3">
        <v>1.9675925925925926E-4</v>
      </c>
      <c r="G875" s="3">
        <v>2.0138888888888888E-3</v>
      </c>
      <c r="H875" s="3">
        <v>2.0717592592592593E-3</v>
      </c>
      <c r="I875" s="2">
        <v>0.76959999999999995</v>
      </c>
    </row>
    <row r="876" spans="1:9">
      <c r="A876" s="1">
        <v>875</v>
      </c>
      <c r="B876" s="1">
        <v>39</v>
      </c>
      <c r="C876" s="1">
        <v>38</v>
      </c>
      <c r="D876" s="2">
        <v>0.97440000000000004</v>
      </c>
      <c r="E876" s="1">
        <v>1</v>
      </c>
      <c r="F876" s="3">
        <v>4.6296296296296294E-5</v>
      </c>
      <c r="G876" s="3">
        <v>1.6319444444444445E-3</v>
      </c>
      <c r="H876" s="3">
        <v>7.1759259259259259E-4</v>
      </c>
      <c r="I876" s="2">
        <v>0.94869999999999999</v>
      </c>
    </row>
    <row r="877" spans="1:9">
      <c r="A877" s="1">
        <v>876</v>
      </c>
      <c r="B877" s="1">
        <v>115</v>
      </c>
      <c r="C877" s="1">
        <v>110</v>
      </c>
      <c r="D877" s="2">
        <v>0.95650000000000002</v>
      </c>
      <c r="E877" s="1">
        <v>5</v>
      </c>
      <c r="F877" s="3">
        <v>9.2592592592592588E-5</v>
      </c>
      <c r="G877" s="3">
        <v>1.9212962962962964E-3</v>
      </c>
      <c r="H877" s="3">
        <v>2.9166666666666668E-3</v>
      </c>
      <c r="I877" s="2">
        <v>0.90429999999999999</v>
      </c>
    </row>
    <row r="878" spans="1:9">
      <c r="A878" s="1">
        <v>877</v>
      </c>
      <c r="B878" s="1">
        <v>338</v>
      </c>
      <c r="C878" s="1">
        <v>308</v>
      </c>
      <c r="D878" s="2">
        <v>0.91120000000000001</v>
      </c>
      <c r="E878" s="1">
        <v>30</v>
      </c>
      <c r="F878" s="3">
        <v>3.1250000000000001E-4</v>
      </c>
      <c r="G878" s="3">
        <v>1.9675925925925924E-3</v>
      </c>
      <c r="H878" s="3">
        <v>2.9050925925925928E-3</v>
      </c>
      <c r="I878" s="2">
        <v>0.63100000000000001</v>
      </c>
    </row>
    <row r="879" spans="1:9">
      <c r="A879" s="1">
        <v>878</v>
      </c>
      <c r="B879" s="1">
        <v>404</v>
      </c>
      <c r="C879" s="1">
        <v>320</v>
      </c>
      <c r="D879" s="2">
        <v>0.79210000000000003</v>
      </c>
      <c r="E879" s="1">
        <v>84</v>
      </c>
      <c r="F879" s="3">
        <v>5.2083333333333333E-4</v>
      </c>
      <c r="G879" s="3">
        <v>2.0601851851851853E-3</v>
      </c>
      <c r="H879" s="3">
        <v>8.2523148148148148E-3</v>
      </c>
      <c r="I879" s="2">
        <v>0.51390000000000002</v>
      </c>
    </row>
    <row r="880" spans="1:9">
      <c r="A880" s="1">
        <v>879</v>
      </c>
      <c r="B880" s="1">
        <v>436</v>
      </c>
      <c r="C880" s="1">
        <v>393</v>
      </c>
      <c r="D880" s="2">
        <v>0.90139999999999998</v>
      </c>
      <c r="E880" s="1">
        <v>43</v>
      </c>
      <c r="F880" s="3">
        <v>3.0092592592592595E-4</v>
      </c>
      <c r="G880" s="3">
        <v>1.9791666666666668E-3</v>
      </c>
      <c r="H880" s="3">
        <v>4.31712962962963E-3</v>
      </c>
      <c r="I880" s="2">
        <v>0.65259999999999996</v>
      </c>
    </row>
    <row r="881" spans="1:9">
      <c r="A881" s="1">
        <v>880</v>
      </c>
      <c r="B881" s="1">
        <v>73</v>
      </c>
      <c r="C881" s="1">
        <v>72</v>
      </c>
      <c r="D881" s="2">
        <v>0.98629999999999995</v>
      </c>
      <c r="E881" s="1">
        <v>1</v>
      </c>
      <c r="F881" s="3">
        <v>8.1018518518518516E-5</v>
      </c>
      <c r="G881" s="3">
        <v>1.9212962962962964E-3</v>
      </c>
      <c r="H881" s="3">
        <v>1.1921296296296296E-3</v>
      </c>
      <c r="I881" s="2">
        <v>0.93149999999999999</v>
      </c>
    </row>
    <row r="882" spans="1:9">
      <c r="A882" s="1">
        <v>881</v>
      </c>
      <c r="B882" s="1">
        <v>521</v>
      </c>
      <c r="C882" s="1">
        <v>492</v>
      </c>
      <c r="D882" s="2">
        <v>0.94430000000000003</v>
      </c>
      <c r="E882" s="1">
        <v>29</v>
      </c>
      <c r="F882" s="3">
        <v>1.9675925925925926E-4</v>
      </c>
      <c r="G882" s="3">
        <v>1.9097222222222222E-3</v>
      </c>
      <c r="H882" s="3">
        <v>2.3495370370370371E-3</v>
      </c>
      <c r="I882" s="2">
        <v>0.78939999999999999</v>
      </c>
    </row>
    <row r="883" spans="1:9">
      <c r="A883" s="1">
        <v>882</v>
      </c>
      <c r="B883" s="1">
        <v>648</v>
      </c>
      <c r="C883" s="1">
        <v>564</v>
      </c>
      <c r="D883" s="2">
        <v>0.87039999999999995</v>
      </c>
      <c r="E883" s="1">
        <v>84</v>
      </c>
      <c r="F883" s="3">
        <v>3.1250000000000001E-4</v>
      </c>
      <c r="G883" s="3">
        <v>1.9212962962962964E-3</v>
      </c>
      <c r="H883" s="3">
        <v>3.7615740740740739E-3</v>
      </c>
      <c r="I883" s="2">
        <v>0.61360000000000003</v>
      </c>
    </row>
    <row r="884" spans="1:9">
      <c r="A884" s="1">
        <v>883</v>
      </c>
      <c r="B884" s="1">
        <v>729</v>
      </c>
      <c r="C884" s="1">
        <v>592</v>
      </c>
      <c r="D884" s="2">
        <v>0.81210000000000004</v>
      </c>
      <c r="E884" s="1">
        <v>137</v>
      </c>
      <c r="F884" s="3">
        <v>6.3657407407407413E-4</v>
      </c>
      <c r="G884" s="3">
        <v>2.0023148148148148E-3</v>
      </c>
      <c r="H884" s="3">
        <v>5.1967592592592595E-3</v>
      </c>
      <c r="I884" s="2">
        <v>0.35830000000000001</v>
      </c>
    </row>
    <row r="885" spans="1:9">
      <c r="A885" s="1">
        <v>884</v>
      </c>
      <c r="B885" s="1">
        <v>1196</v>
      </c>
      <c r="C885" s="1">
        <v>718</v>
      </c>
      <c r="D885" s="2">
        <v>0.60029999999999994</v>
      </c>
      <c r="E885" s="1">
        <v>478</v>
      </c>
      <c r="F885" s="3">
        <v>1.2962962962962963E-3</v>
      </c>
      <c r="G885" s="3">
        <v>2.1875000000000002E-3</v>
      </c>
      <c r="H885" s="3">
        <v>7.7083333333333335E-3</v>
      </c>
      <c r="I885" s="2">
        <v>0.1462</v>
      </c>
    </row>
    <row r="886" spans="1:9">
      <c r="A886" s="1">
        <v>885</v>
      </c>
      <c r="B886" s="1">
        <v>436</v>
      </c>
      <c r="C886" s="1">
        <v>323</v>
      </c>
      <c r="D886" s="2">
        <v>0.74080000000000001</v>
      </c>
      <c r="E886" s="1">
        <v>113</v>
      </c>
      <c r="F886" s="3">
        <v>5.0925925925925921E-4</v>
      </c>
      <c r="G886" s="3">
        <v>2.1064814814814813E-3</v>
      </c>
      <c r="H886" s="3">
        <v>4.3055555555555555E-3</v>
      </c>
      <c r="I886" s="2">
        <v>0.4375</v>
      </c>
    </row>
    <row r="887" spans="1:9">
      <c r="A887" s="1">
        <v>886</v>
      </c>
      <c r="B887" s="1">
        <v>191</v>
      </c>
      <c r="C887" s="1">
        <v>178</v>
      </c>
      <c r="D887" s="2">
        <v>0.93189999999999995</v>
      </c>
      <c r="E887" s="1">
        <v>13</v>
      </c>
      <c r="F887" s="3">
        <v>1.8518518518518518E-4</v>
      </c>
      <c r="G887" s="3">
        <v>1.9791666666666668E-3</v>
      </c>
      <c r="H887" s="3">
        <v>2.8703703703703703E-3</v>
      </c>
      <c r="I887" s="2">
        <v>0.80530000000000002</v>
      </c>
    </row>
    <row r="888" spans="1:9">
      <c r="A888" s="1">
        <v>887</v>
      </c>
      <c r="B888" s="1">
        <v>68</v>
      </c>
      <c r="C888" s="1">
        <v>68</v>
      </c>
      <c r="D888" s="2">
        <v>1</v>
      </c>
      <c r="E888" s="1">
        <v>0</v>
      </c>
      <c r="F888" s="3">
        <v>5.7870370370370373E-5</v>
      </c>
      <c r="G888" s="3">
        <v>2.0370370370370369E-3</v>
      </c>
      <c r="H888" s="3">
        <v>1.1458333333333333E-3</v>
      </c>
      <c r="I888" s="2">
        <v>0.98529999999999995</v>
      </c>
    </row>
    <row r="889" spans="1:9">
      <c r="A889" s="1">
        <v>888</v>
      </c>
      <c r="B889" s="1">
        <v>498</v>
      </c>
      <c r="C889" s="1">
        <v>429</v>
      </c>
      <c r="D889" s="2">
        <v>0.86140000000000005</v>
      </c>
      <c r="E889" s="1">
        <v>69</v>
      </c>
      <c r="F889" s="3">
        <v>3.9351851851851852E-4</v>
      </c>
      <c r="G889" s="3">
        <v>2.1875000000000002E-3</v>
      </c>
      <c r="H889" s="3">
        <v>2.9166666666666668E-3</v>
      </c>
      <c r="I889" s="2">
        <v>0.5071</v>
      </c>
    </row>
    <row r="890" spans="1:9">
      <c r="A890" s="1">
        <v>889</v>
      </c>
      <c r="B890" s="1">
        <v>358</v>
      </c>
      <c r="C890" s="1">
        <v>329</v>
      </c>
      <c r="D890" s="2">
        <v>0.91900000000000004</v>
      </c>
      <c r="E890" s="1">
        <v>29</v>
      </c>
      <c r="F890" s="3">
        <v>2.4305555555555555E-4</v>
      </c>
      <c r="G890" s="3">
        <v>2.1180555555555558E-3</v>
      </c>
      <c r="H890" s="3">
        <v>1.5625000000000001E-3</v>
      </c>
      <c r="I890" s="2">
        <v>0.66949999999999998</v>
      </c>
    </row>
    <row r="891" spans="1:9">
      <c r="A891" s="1">
        <v>890</v>
      </c>
      <c r="B891" s="1">
        <v>340</v>
      </c>
      <c r="C891" s="1">
        <v>302</v>
      </c>
      <c r="D891" s="2">
        <v>0.88819999999999999</v>
      </c>
      <c r="E891" s="1">
        <v>38</v>
      </c>
      <c r="F891" s="3">
        <v>2.7777777777777778E-4</v>
      </c>
      <c r="G891" s="3">
        <v>1.9675925925925924E-3</v>
      </c>
      <c r="H891" s="3">
        <v>3.5879629629629629E-3</v>
      </c>
      <c r="I891" s="2">
        <v>0.65669999999999995</v>
      </c>
    </row>
    <row r="892" spans="1:9">
      <c r="A892" s="1">
        <v>891</v>
      </c>
      <c r="B892" s="1">
        <v>322</v>
      </c>
      <c r="C892" s="1">
        <v>306</v>
      </c>
      <c r="D892" s="2">
        <v>0.95030000000000003</v>
      </c>
      <c r="E892" s="1">
        <v>16</v>
      </c>
      <c r="F892" s="3">
        <v>1.8518518518518518E-4</v>
      </c>
      <c r="G892" s="3">
        <v>1.8402777777777777E-3</v>
      </c>
      <c r="H892" s="3">
        <v>4.363425925925926E-3</v>
      </c>
      <c r="I892" s="2">
        <v>0.77739999999999998</v>
      </c>
    </row>
    <row r="893" spans="1:9">
      <c r="A893" s="1">
        <v>892</v>
      </c>
      <c r="B893" s="1">
        <v>296</v>
      </c>
      <c r="C893" s="1">
        <v>282</v>
      </c>
      <c r="D893" s="2">
        <v>0.95269999999999999</v>
      </c>
      <c r="E893" s="1">
        <v>14</v>
      </c>
      <c r="F893" s="3">
        <v>2.0833333333333335E-4</v>
      </c>
      <c r="G893" s="3">
        <v>1.8171296296296297E-3</v>
      </c>
      <c r="H893" s="3">
        <v>1.9097222222222222E-3</v>
      </c>
      <c r="I893" s="2">
        <v>0.76529999999999998</v>
      </c>
    </row>
    <row r="894" spans="1:9">
      <c r="A894" s="1">
        <v>893</v>
      </c>
      <c r="B894" s="1">
        <v>264</v>
      </c>
      <c r="C894" s="1">
        <v>234</v>
      </c>
      <c r="D894" s="2">
        <v>0.88639999999999997</v>
      </c>
      <c r="E894" s="1">
        <v>30</v>
      </c>
      <c r="F894" s="3">
        <v>2.3148148148148149E-4</v>
      </c>
      <c r="G894" s="3">
        <v>1.7824074074074075E-3</v>
      </c>
      <c r="H894" s="3">
        <v>3.4027777777777776E-3</v>
      </c>
      <c r="I894" s="2">
        <v>0.69879999999999998</v>
      </c>
    </row>
    <row r="895" spans="1:9">
      <c r="A895" s="1">
        <v>894</v>
      </c>
      <c r="B895" s="1">
        <v>52</v>
      </c>
      <c r="C895" s="1">
        <v>51</v>
      </c>
      <c r="D895" s="2">
        <v>0.98080000000000001</v>
      </c>
      <c r="E895" s="1">
        <v>1</v>
      </c>
      <c r="F895" s="3">
        <v>6.9444444444444444E-5</v>
      </c>
      <c r="G895" s="3">
        <v>1.8055555555555555E-3</v>
      </c>
      <c r="H895" s="3">
        <v>7.5231481481481482E-4</v>
      </c>
      <c r="I895" s="2">
        <v>0.94120000000000004</v>
      </c>
    </row>
    <row r="896" spans="1:9">
      <c r="A896" s="1">
        <v>895</v>
      </c>
      <c r="B896" s="1">
        <v>266</v>
      </c>
      <c r="C896" s="1">
        <v>264</v>
      </c>
      <c r="D896" s="2">
        <v>0.99250000000000005</v>
      </c>
      <c r="E896" s="1">
        <v>2</v>
      </c>
      <c r="F896" s="3">
        <v>1.0416666666666667E-4</v>
      </c>
      <c r="G896" s="3">
        <v>1.8402777777777777E-3</v>
      </c>
      <c r="H896" s="3">
        <v>1.4004629629629629E-3</v>
      </c>
      <c r="I896" s="2">
        <v>0.90980000000000005</v>
      </c>
    </row>
    <row r="897" spans="1:9">
      <c r="A897" s="1">
        <v>896</v>
      </c>
      <c r="B897" s="1">
        <v>242</v>
      </c>
      <c r="C897" s="1">
        <v>238</v>
      </c>
      <c r="D897" s="2">
        <v>0.98350000000000004</v>
      </c>
      <c r="E897" s="1">
        <v>4</v>
      </c>
      <c r="F897" s="3">
        <v>1.0416666666666667E-4</v>
      </c>
      <c r="G897" s="3">
        <v>1.9097222222222222E-3</v>
      </c>
      <c r="H897" s="3">
        <v>1.736111111111111E-3</v>
      </c>
      <c r="I897" s="2">
        <v>0.90459999999999996</v>
      </c>
    </row>
    <row r="898" spans="1:9">
      <c r="A898" s="1">
        <v>897</v>
      </c>
      <c r="B898" s="1">
        <v>241</v>
      </c>
      <c r="C898" s="1">
        <v>228</v>
      </c>
      <c r="D898" s="2">
        <v>0.94610000000000005</v>
      </c>
      <c r="E898" s="1">
        <v>13</v>
      </c>
      <c r="F898" s="3">
        <v>2.199074074074074E-4</v>
      </c>
      <c r="G898" s="3">
        <v>1.9444444444444444E-3</v>
      </c>
      <c r="H898" s="3">
        <v>4.2592592592592595E-3</v>
      </c>
      <c r="I898" s="2">
        <v>0.79579999999999995</v>
      </c>
    </row>
    <row r="899" spans="1:9">
      <c r="A899" s="1">
        <v>898</v>
      </c>
      <c r="B899" s="1">
        <v>279</v>
      </c>
      <c r="C899" s="1">
        <v>269</v>
      </c>
      <c r="D899" s="2">
        <v>0.96419999999999995</v>
      </c>
      <c r="E899" s="1">
        <v>10</v>
      </c>
      <c r="F899" s="3">
        <v>9.2592592592592588E-5</v>
      </c>
      <c r="G899" s="3">
        <v>1.8865740740740742E-3</v>
      </c>
      <c r="H899" s="3">
        <v>2.1643518518518518E-3</v>
      </c>
      <c r="I899" s="2">
        <v>0.91300000000000003</v>
      </c>
    </row>
    <row r="900" spans="1:9">
      <c r="A900" s="1">
        <v>899</v>
      </c>
      <c r="B900" s="1">
        <v>73</v>
      </c>
      <c r="C900" s="1">
        <v>72</v>
      </c>
      <c r="D900" s="2">
        <v>0.98629999999999995</v>
      </c>
      <c r="E900" s="1">
        <v>1</v>
      </c>
      <c r="F900" s="3">
        <v>9.2592592592592588E-5</v>
      </c>
      <c r="G900" s="3">
        <v>2.1296296296296298E-3</v>
      </c>
      <c r="H900" s="3">
        <v>1.5046296296296296E-3</v>
      </c>
      <c r="I900" s="2">
        <v>0.91779999999999995</v>
      </c>
    </row>
    <row r="901" spans="1:9">
      <c r="A901" s="1">
        <v>900</v>
      </c>
      <c r="B901" s="1">
        <v>226</v>
      </c>
      <c r="C901" s="1">
        <v>218</v>
      </c>
      <c r="D901" s="2">
        <v>0.96460000000000001</v>
      </c>
      <c r="E901" s="1">
        <v>8</v>
      </c>
      <c r="F901" s="3">
        <v>9.2592592592592588E-5</v>
      </c>
      <c r="G901" s="3">
        <v>2.0138888888888888E-3</v>
      </c>
      <c r="H901" s="3">
        <v>1.9328703703703704E-3</v>
      </c>
      <c r="I901" s="2">
        <v>0.91859999999999997</v>
      </c>
    </row>
    <row r="902" spans="1:9">
      <c r="A902" s="1">
        <v>901</v>
      </c>
      <c r="B902" s="1">
        <v>43</v>
      </c>
      <c r="C902" s="1">
        <v>42</v>
      </c>
      <c r="D902" s="2">
        <v>0.97670000000000001</v>
      </c>
      <c r="E902" s="1">
        <v>1</v>
      </c>
      <c r="F902" s="3">
        <v>1.273148148148148E-4</v>
      </c>
      <c r="G902" s="3">
        <v>1.8287037037037037E-3</v>
      </c>
      <c r="H902" s="3">
        <v>8.9120370370370373E-4</v>
      </c>
      <c r="I902" s="2">
        <v>0.83720000000000006</v>
      </c>
    </row>
    <row r="903" spans="1:9">
      <c r="A903" s="1">
        <v>902</v>
      </c>
      <c r="B903" s="1">
        <v>311</v>
      </c>
      <c r="C903" s="1">
        <v>255</v>
      </c>
      <c r="D903" s="2">
        <v>0.81989999999999996</v>
      </c>
      <c r="E903" s="1">
        <v>56</v>
      </c>
      <c r="F903" s="3">
        <v>5.2083333333333333E-4</v>
      </c>
      <c r="G903" s="3">
        <v>2.0254629629629629E-3</v>
      </c>
      <c r="H903" s="3">
        <v>3.3564814814814816E-3</v>
      </c>
      <c r="I903" s="2">
        <v>0.4718</v>
      </c>
    </row>
    <row r="904" spans="1:9">
      <c r="A904" s="1">
        <v>903</v>
      </c>
      <c r="B904" s="1">
        <v>251</v>
      </c>
      <c r="C904" s="1">
        <v>210</v>
      </c>
      <c r="D904" s="2">
        <v>0.8367</v>
      </c>
      <c r="E904" s="1">
        <v>41</v>
      </c>
      <c r="F904" s="3">
        <v>3.0092592592592595E-4</v>
      </c>
      <c r="G904" s="3">
        <v>2.0138888888888888E-3</v>
      </c>
      <c r="H904" s="3">
        <v>6.4583333333333333E-3</v>
      </c>
      <c r="I904" s="2">
        <v>0.63519999999999999</v>
      </c>
    </row>
    <row r="905" spans="1:9">
      <c r="A905" s="1">
        <v>904</v>
      </c>
      <c r="B905" s="1">
        <v>339</v>
      </c>
      <c r="C905" s="1">
        <v>313</v>
      </c>
      <c r="D905" s="2">
        <v>0.92330000000000001</v>
      </c>
      <c r="E905" s="1">
        <v>26</v>
      </c>
      <c r="F905" s="3">
        <v>1.3888888888888889E-4</v>
      </c>
      <c r="G905" s="3">
        <v>1.4120370370370369E-3</v>
      </c>
      <c r="H905" s="3">
        <v>4.6412037037037038E-3</v>
      </c>
      <c r="I905" s="2">
        <v>0.82089999999999996</v>
      </c>
    </row>
    <row r="906" spans="1:9">
      <c r="A906" s="1">
        <v>905</v>
      </c>
      <c r="B906" s="1">
        <v>323</v>
      </c>
      <c r="C906" s="1">
        <v>261</v>
      </c>
      <c r="D906" s="2">
        <v>0.80800000000000005</v>
      </c>
      <c r="E906" s="1">
        <v>62</v>
      </c>
      <c r="F906" s="3">
        <v>4.7453703703703704E-4</v>
      </c>
      <c r="G906" s="3">
        <v>2.0486111111111113E-3</v>
      </c>
      <c r="H906" s="3">
        <v>6.5624999999999998E-3</v>
      </c>
      <c r="I906" s="2">
        <v>0.53990000000000005</v>
      </c>
    </row>
    <row r="907" spans="1:9">
      <c r="A907" s="1">
        <v>906</v>
      </c>
      <c r="B907" s="1">
        <v>289</v>
      </c>
      <c r="C907" s="1">
        <v>265</v>
      </c>
      <c r="D907" s="2">
        <v>0.91700000000000004</v>
      </c>
      <c r="E907" s="1">
        <v>24</v>
      </c>
      <c r="F907" s="3">
        <v>1.273148148148148E-4</v>
      </c>
      <c r="G907" s="3">
        <v>2.0833333333333333E-3</v>
      </c>
      <c r="H907" s="3">
        <v>3.9583333333333337E-3</v>
      </c>
      <c r="I907" s="2">
        <v>0.8327</v>
      </c>
    </row>
    <row r="908" spans="1:9">
      <c r="A908" s="1">
        <v>907</v>
      </c>
      <c r="B908" s="1">
        <v>310</v>
      </c>
      <c r="C908" s="1">
        <v>281</v>
      </c>
      <c r="D908" s="2">
        <v>0.90649999999999997</v>
      </c>
      <c r="E908" s="1">
        <v>29</v>
      </c>
      <c r="F908" s="3">
        <v>1.7361111111111112E-4</v>
      </c>
      <c r="G908" s="3">
        <v>1.8634259259259259E-3</v>
      </c>
      <c r="H908" s="3">
        <v>2.0486111111111113E-3</v>
      </c>
      <c r="I908" s="2">
        <v>0.79120000000000001</v>
      </c>
    </row>
    <row r="909" spans="1:9">
      <c r="A909" s="1">
        <v>908</v>
      </c>
      <c r="B909" s="1">
        <v>33</v>
      </c>
      <c r="C909" s="1">
        <v>31</v>
      </c>
      <c r="D909" s="2">
        <v>0.93940000000000001</v>
      </c>
      <c r="E909" s="1">
        <v>2</v>
      </c>
      <c r="F909" s="3">
        <v>1.6203703703703703E-4</v>
      </c>
      <c r="G909" s="3">
        <v>2.0023148148148148E-3</v>
      </c>
      <c r="H909" s="3">
        <v>1.4699074074074074E-3</v>
      </c>
      <c r="I909" s="2">
        <v>0.84850000000000003</v>
      </c>
    </row>
    <row r="910" spans="1:9">
      <c r="A910" s="1">
        <v>909</v>
      </c>
      <c r="B910" s="1">
        <v>346</v>
      </c>
      <c r="C910" s="1">
        <v>318</v>
      </c>
      <c r="D910" s="2">
        <v>0.91910000000000003</v>
      </c>
      <c r="E910" s="1">
        <v>28</v>
      </c>
      <c r="F910" s="3">
        <v>1.3888888888888889E-4</v>
      </c>
      <c r="G910" s="3">
        <v>1.8055555555555555E-3</v>
      </c>
      <c r="H910" s="3">
        <v>2.4537037037037036E-3</v>
      </c>
      <c r="I910" s="2">
        <v>0.82489999999999997</v>
      </c>
    </row>
    <row r="911" spans="1:9">
      <c r="A911" s="1">
        <v>910</v>
      </c>
      <c r="B911" s="1">
        <v>325</v>
      </c>
      <c r="C911" s="1">
        <v>285</v>
      </c>
      <c r="D911" s="2">
        <v>0.87690000000000001</v>
      </c>
      <c r="E911" s="1">
        <v>40</v>
      </c>
      <c r="F911" s="3">
        <v>3.7037037037037035E-4</v>
      </c>
      <c r="G911" s="3">
        <v>1.9097222222222222E-3</v>
      </c>
      <c r="H911" s="3">
        <v>6.7013888888888887E-3</v>
      </c>
      <c r="I911" s="2">
        <v>0.60819999999999996</v>
      </c>
    </row>
    <row r="912" spans="1:9">
      <c r="A912" s="1">
        <v>911</v>
      </c>
      <c r="B912" s="1">
        <v>627</v>
      </c>
      <c r="C912" s="1">
        <v>504</v>
      </c>
      <c r="D912" s="2">
        <v>0.80379999999999996</v>
      </c>
      <c r="E912" s="1">
        <v>123</v>
      </c>
      <c r="F912" s="3">
        <v>4.2824074074074075E-4</v>
      </c>
      <c r="G912" s="3">
        <v>2.3148148148148147E-3</v>
      </c>
      <c r="H912" s="3">
        <v>1.3680555555555555E-2</v>
      </c>
      <c r="I912" s="2">
        <v>0.56930000000000003</v>
      </c>
    </row>
    <row r="913" spans="1:9">
      <c r="A913" s="1">
        <v>912</v>
      </c>
      <c r="B913" s="1">
        <v>905</v>
      </c>
      <c r="C913" s="1">
        <v>631</v>
      </c>
      <c r="D913" s="2">
        <v>0.69720000000000004</v>
      </c>
      <c r="E913" s="1">
        <v>274</v>
      </c>
      <c r="F913" s="3">
        <v>9.6064814814814819E-4</v>
      </c>
      <c r="G913" s="3">
        <v>2.5694444444444445E-3</v>
      </c>
      <c r="H913" s="3">
        <v>8.3796296296296292E-3</v>
      </c>
      <c r="I913" s="2">
        <v>0.25679999999999997</v>
      </c>
    </row>
    <row r="914" spans="1:9">
      <c r="A914" s="1">
        <v>913</v>
      </c>
      <c r="B914" s="1">
        <v>1141</v>
      </c>
      <c r="C914" s="1">
        <v>610</v>
      </c>
      <c r="D914" s="2">
        <v>0.53459999999999996</v>
      </c>
      <c r="E914" s="1">
        <v>531</v>
      </c>
      <c r="F914" s="3">
        <v>1.2268518518518518E-3</v>
      </c>
      <c r="G914" s="3">
        <v>2.2222222222222222E-3</v>
      </c>
      <c r="H914" s="3">
        <v>1.7951388888888888E-2</v>
      </c>
      <c r="I914" s="2">
        <v>0.14549999999999999</v>
      </c>
    </row>
    <row r="915" spans="1:9">
      <c r="A915" s="1">
        <v>914</v>
      </c>
      <c r="B915" s="1">
        <v>863</v>
      </c>
      <c r="C915" s="1">
        <v>511</v>
      </c>
      <c r="D915" s="2">
        <v>0.59209999999999996</v>
      </c>
      <c r="E915" s="1">
        <v>352</v>
      </c>
      <c r="F915" s="3">
        <v>1.4699074074074074E-3</v>
      </c>
      <c r="G915" s="3">
        <v>2.1180555555555558E-3</v>
      </c>
      <c r="H915" s="3">
        <v>1.0914351851851852E-2</v>
      </c>
      <c r="I915" s="2">
        <v>0.12130000000000001</v>
      </c>
    </row>
    <row r="916" spans="1:9">
      <c r="A916" s="1">
        <v>915</v>
      </c>
      <c r="B916" s="1">
        <v>63</v>
      </c>
      <c r="C916" s="1">
        <v>56</v>
      </c>
      <c r="D916" s="2">
        <v>0.88890000000000002</v>
      </c>
      <c r="E916" s="1">
        <v>7</v>
      </c>
      <c r="F916" s="3">
        <v>1.8518518518518518E-4</v>
      </c>
      <c r="G916" s="3">
        <v>1.7476851851851852E-3</v>
      </c>
      <c r="H916" s="3">
        <v>2.8703703703703703E-3</v>
      </c>
      <c r="I916" s="2">
        <v>0.7097</v>
      </c>
    </row>
    <row r="917" spans="1:9">
      <c r="A917" s="1">
        <v>916</v>
      </c>
      <c r="B917" s="1">
        <v>573</v>
      </c>
      <c r="C917" s="1">
        <v>487</v>
      </c>
      <c r="D917" s="2">
        <v>0.84989999999999999</v>
      </c>
      <c r="E917" s="1">
        <v>86</v>
      </c>
      <c r="F917" s="3">
        <v>6.4814814814814813E-4</v>
      </c>
      <c r="G917" s="3">
        <v>1.9097222222222222E-3</v>
      </c>
      <c r="H917" s="3">
        <v>3.9699074074074072E-3</v>
      </c>
      <c r="I917" s="2">
        <v>0.34989999999999999</v>
      </c>
    </row>
    <row r="918" spans="1:9">
      <c r="A918" s="1">
        <v>917</v>
      </c>
      <c r="B918" s="1">
        <v>391</v>
      </c>
      <c r="C918" s="1">
        <v>323</v>
      </c>
      <c r="D918" s="2">
        <v>0.82609999999999995</v>
      </c>
      <c r="E918" s="1">
        <v>68</v>
      </c>
      <c r="F918" s="3">
        <v>5.3240740740740744E-4</v>
      </c>
      <c r="G918" s="3">
        <v>2.1759259259259258E-3</v>
      </c>
      <c r="H918" s="3">
        <v>5.7407407407407407E-3</v>
      </c>
      <c r="I918" s="2">
        <v>0.42709999999999998</v>
      </c>
    </row>
    <row r="919" spans="1:9">
      <c r="A919" s="1">
        <v>918</v>
      </c>
      <c r="B919" s="1">
        <v>526</v>
      </c>
      <c r="C919" s="1">
        <v>355</v>
      </c>
      <c r="D919" s="2">
        <v>0.67490000000000006</v>
      </c>
      <c r="E919" s="1">
        <v>171</v>
      </c>
      <c r="F919" s="3">
        <v>1.0300925925925926E-3</v>
      </c>
      <c r="G919" s="3">
        <v>2.662037037037037E-3</v>
      </c>
      <c r="H919" s="3">
        <v>1.3043981481481481E-2</v>
      </c>
      <c r="I919" s="2">
        <v>0.224</v>
      </c>
    </row>
    <row r="920" spans="1:9">
      <c r="A920" s="1">
        <v>919</v>
      </c>
      <c r="B920" s="1">
        <v>343</v>
      </c>
      <c r="C920" s="1">
        <v>309</v>
      </c>
      <c r="D920" s="2">
        <v>0.90090000000000003</v>
      </c>
      <c r="E920" s="1">
        <v>34</v>
      </c>
      <c r="F920" s="3">
        <v>4.5138888888888887E-4</v>
      </c>
      <c r="G920" s="3">
        <v>2.3611111111111111E-3</v>
      </c>
      <c r="H920" s="3">
        <v>3.5879629629629629E-3</v>
      </c>
      <c r="I920" s="2">
        <v>0.48820000000000002</v>
      </c>
    </row>
    <row r="921" spans="1:9">
      <c r="A921" s="1">
        <v>920</v>
      </c>
      <c r="B921" s="1">
        <v>401</v>
      </c>
      <c r="C921" s="1">
        <v>346</v>
      </c>
      <c r="D921" s="2">
        <v>0.86280000000000001</v>
      </c>
      <c r="E921" s="1">
        <v>55</v>
      </c>
      <c r="F921" s="3">
        <v>4.7453703703703704E-4</v>
      </c>
      <c r="G921" s="3">
        <v>2.2337962962962962E-3</v>
      </c>
      <c r="H921" s="3">
        <v>3.5879629629629629E-3</v>
      </c>
      <c r="I921" s="2">
        <v>0.44269999999999998</v>
      </c>
    </row>
    <row r="922" spans="1:9">
      <c r="A922" s="1">
        <v>921</v>
      </c>
      <c r="B922" s="1">
        <v>281</v>
      </c>
      <c r="C922" s="1">
        <v>239</v>
      </c>
      <c r="D922" s="2">
        <v>0.85050000000000003</v>
      </c>
      <c r="E922" s="1">
        <v>42</v>
      </c>
      <c r="F922" s="3">
        <v>4.7453703703703704E-4</v>
      </c>
      <c r="G922" s="3">
        <v>2.1643518518518518E-3</v>
      </c>
      <c r="H922" s="3">
        <v>2.3148148148148147E-3</v>
      </c>
      <c r="I922" s="2">
        <v>0.42549999999999999</v>
      </c>
    </row>
    <row r="923" spans="1:9">
      <c r="A923" s="1">
        <v>922</v>
      </c>
      <c r="B923" s="1">
        <v>46</v>
      </c>
      <c r="C923" s="1">
        <v>39</v>
      </c>
      <c r="D923" s="2">
        <v>0.8478</v>
      </c>
      <c r="E923" s="1">
        <v>7</v>
      </c>
      <c r="F923" s="3">
        <v>1.273148148148148E-4</v>
      </c>
      <c r="G923" s="3">
        <v>2.1875000000000002E-3</v>
      </c>
      <c r="H923" s="3">
        <v>2.8819444444444444E-3</v>
      </c>
      <c r="I923" s="2">
        <v>0.80430000000000001</v>
      </c>
    </row>
    <row r="924" spans="1:9">
      <c r="A924" s="1">
        <v>923</v>
      </c>
      <c r="B924" s="1">
        <v>357</v>
      </c>
      <c r="C924" s="1">
        <v>323</v>
      </c>
      <c r="D924" s="2">
        <v>0.90480000000000005</v>
      </c>
      <c r="E924" s="1">
        <v>34</v>
      </c>
      <c r="F924" s="3">
        <v>3.7037037037037035E-4</v>
      </c>
      <c r="G924" s="3">
        <v>2.1759259259259258E-3</v>
      </c>
      <c r="H924" s="3">
        <v>5.0231481481481481E-3</v>
      </c>
      <c r="I924" s="2">
        <v>0.60909999999999997</v>
      </c>
    </row>
    <row r="925" spans="1:9">
      <c r="A925" s="1">
        <v>924</v>
      </c>
      <c r="B925" s="1">
        <v>280</v>
      </c>
      <c r="C925" s="1">
        <v>255</v>
      </c>
      <c r="D925" s="2">
        <v>0.91069999999999995</v>
      </c>
      <c r="E925" s="1">
        <v>25</v>
      </c>
      <c r="F925" s="3">
        <v>3.9351851851851852E-4</v>
      </c>
      <c r="G925" s="3">
        <v>2.1064814814814813E-3</v>
      </c>
      <c r="H925" s="3">
        <v>2.4421296296296296E-3</v>
      </c>
      <c r="I925" s="2">
        <v>0.52900000000000003</v>
      </c>
    </row>
    <row r="926" spans="1:9">
      <c r="A926" s="1">
        <v>925</v>
      </c>
      <c r="B926" s="1">
        <v>258</v>
      </c>
      <c r="C926" s="1">
        <v>247</v>
      </c>
      <c r="D926" s="2">
        <v>0.95740000000000003</v>
      </c>
      <c r="E926" s="1">
        <v>11</v>
      </c>
      <c r="F926" s="3">
        <v>2.8935185185185184E-4</v>
      </c>
      <c r="G926" s="3">
        <v>2.0486111111111113E-3</v>
      </c>
      <c r="H926" s="3">
        <v>2.9166666666666668E-3</v>
      </c>
      <c r="I926" s="2">
        <v>0.70199999999999996</v>
      </c>
    </row>
    <row r="927" spans="1:9">
      <c r="A927" s="1">
        <v>926</v>
      </c>
      <c r="B927" s="1">
        <v>282</v>
      </c>
      <c r="C927" s="1">
        <v>255</v>
      </c>
      <c r="D927" s="2">
        <v>0.90429999999999999</v>
      </c>
      <c r="E927" s="1">
        <v>27</v>
      </c>
      <c r="F927" s="3">
        <v>2.0833333333333335E-4</v>
      </c>
      <c r="G927" s="3">
        <v>1.9328703703703704E-3</v>
      </c>
      <c r="H927" s="3">
        <v>2.8819444444444444E-3</v>
      </c>
      <c r="I927" s="2">
        <v>0.74729999999999996</v>
      </c>
    </row>
    <row r="928" spans="1:9">
      <c r="A928" s="1">
        <v>927</v>
      </c>
      <c r="B928" s="1">
        <v>253</v>
      </c>
      <c r="C928" s="1">
        <v>240</v>
      </c>
      <c r="D928" s="2">
        <v>0.9486</v>
      </c>
      <c r="E928" s="1">
        <v>13</v>
      </c>
      <c r="F928" s="3">
        <v>2.0833333333333335E-4</v>
      </c>
      <c r="G928" s="3">
        <v>1.8634259259259259E-3</v>
      </c>
      <c r="H928" s="3">
        <v>4.2939814814814811E-3</v>
      </c>
      <c r="I928" s="2">
        <v>0.752</v>
      </c>
    </row>
    <row r="929" spans="1:9">
      <c r="A929" s="1">
        <v>928</v>
      </c>
      <c r="B929" s="1">
        <v>266</v>
      </c>
      <c r="C929" s="1">
        <v>232</v>
      </c>
      <c r="D929" s="2">
        <v>0.87219999999999998</v>
      </c>
      <c r="E929" s="1">
        <v>34</v>
      </c>
      <c r="F929" s="3">
        <v>4.2824074074074075E-4</v>
      </c>
      <c r="G929" s="3">
        <v>1.9560185185185184E-3</v>
      </c>
      <c r="H929" s="3">
        <v>4.2939814814814811E-3</v>
      </c>
      <c r="I929" s="2">
        <v>0.57589999999999997</v>
      </c>
    </row>
    <row r="930" spans="1:9">
      <c r="A930" s="1">
        <v>929</v>
      </c>
      <c r="B930" s="1">
        <v>30</v>
      </c>
      <c r="C930" s="1">
        <v>29</v>
      </c>
      <c r="D930" s="2">
        <v>0.9667</v>
      </c>
      <c r="E930" s="1">
        <v>1</v>
      </c>
      <c r="F930" s="3">
        <v>1.1574074074074075E-4</v>
      </c>
      <c r="G930" s="3">
        <v>2.3263888888888887E-3</v>
      </c>
      <c r="H930" s="3">
        <v>5.6712962962962967E-4</v>
      </c>
      <c r="I930" s="2">
        <v>0.9</v>
      </c>
    </row>
    <row r="931" spans="1:9">
      <c r="A931" s="1">
        <v>930</v>
      </c>
      <c r="B931" s="1">
        <v>258</v>
      </c>
      <c r="C931" s="1">
        <v>230</v>
      </c>
      <c r="D931" s="2">
        <v>0.89149999999999996</v>
      </c>
      <c r="E931" s="1">
        <v>28</v>
      </c>
      <c r="F931" s="3">
        <v>3.8194444444444446E-4</v>
      </c>
      <c r="G931" s="3">
        <v>2.0949074074074073E-3</v>
      </c>
      <c r="H931" s="3">
        <v>2.9398148148148148E-3</v>
      </c>
      <c r="I931" s="2">
        <v>0.53539999999999999</v>
      </c>
    </row>
    <row r="932" spans="1:9">
      <c r="A932" s="1">
        <v>931</v>
      </c>
      <c r="B932" s="1">
        <v>293</v>
      </c>
      <c r="C932" s="1">
        <v>282</v>
      </c>
      <c r="D932" s="2">
        <v>0.96250000000000002</v>
      </c>
      <c r="E932" s="1">
        <v>11</v>
      </c>
      <c r="F932" s="3">
        <v>2.6620370370370372E-4</v>
      </c>
      <c r="G932" s="3">
        <v>1.8402777777777777E-3</v>
      </c>
      <c r="H932" s="3">
        <v>1.8287037037037037E-3</v>
      </c>
      <c r="I932" s="2">
        <v>0.70240000000000002</v>
      </c>
    </row>
    <row r="933" spans="1:9">
      <c r="A933" s="1">
        <v>932</v>
      </c>
      <c r="B933" s="1">
        <v>377</v>
      </c>
      <c r="C933" s="1">
        <v>341</v>
      </c>
      <c r="D933" s="2">
        <v>0.90449999999999997</v>
      </c>
      <c r="E933" s="1">
        <v>36</v>
      </c>
      <c r="F933" s="3">
        <v>2.3148148148148149E-4</v>
      </c>
      <c r="G933" s="3">
        <v>1.6319444444444445E-3</v>
      </c>
      <c r="H933" s="3">
        <v>2.1875000000000002E-3</v>
      </c>
      <c r="I933" s="2">
        <v>0.68279999999999996</v>
      </c>
    </row>
    <row r="934" spans="1:9">
      <c r="A934" s="1">
        <v>933</v>
      </c>
      <c r="B934" s="1">
        <v>196</v>
      </c>
      <c r="C934" s="1">
        <v>182</v>
      </c>
      <c r="D934" s="2">
        <v>0.92859999999999998</v>
      </c>
      <c r="E934" s="1">
        <v>14</v>
      </c>
      <c r="F934" s="3">
        <v>3.2407407407407406E-4</v>
      </c>
      <c r="G934" s="3">
        <v>1.8171296296296297E-3</v>
      </c>
      <c r="H934" s="3">
        <v>2.0138888888888888E-3</v>
      </c>
      <c r="I934" s="2">
        <v>0.61860000000000004</v>
      </c>
    </row>
    <row r="935" spans="1:9">
      <c r="A935" s="1">
        <v>934</v>
      </c>
      <c r="B935" s="1">
        <v>192</v>
      </c>
      <c r="C935" s="1">
        <v>173</v>
      </c>
      <c r="D935" s="2">
        <v>0.90100000000000002</v>
      </c>
      <c r="E935" s="1">
        <v>19</v>
      </c>
      <c r="F935" s="3">
        <v>3.8194444444444446E-4</v>
      </c>
      <c r="G935" s="3">
        <v>1.8981481481481482E-3</v>
      </c>
      <c r="H935" s="3">
        <v>4.6180555555555558E-3</v>
      </c>
      <c r="I935" s="2">
        <v>0.61780000000000002</v>
      </c>
    </row>
    <row r="936" spans="1:9">
      <c r="A936" s="1">
        <v>935</v>
      </c>
      <c r="B936" s="1">
        <v>185</v>
      </c>
      <c r="C936" s="1">
        <v>178</v>
      </c>
      <c r="D936" s="2">
        <v>0.96220000000000006</v>
      </c>
      <c r="E936" s="1">
        <v>7</v>
      </c>
      <c r="F936" s="3">
        <v>1.9675925925925926E-4</v>
      </c>
      <c r="G936" s="3">
        <v>1.9212962962962964E-3</v>
      </c>
      <c r="H936" s="3">
        <v>2.1875000000000002E-3</v>
      </c>
      <c r="I936" s="2">
        <v>0.7772</v>
      </c>
    </row>
    <row r="937" spans="1:9">
      <c r="A937" s="1">
        <v>936</v>
      </c>
      <c r="B937" s="1">
        <v>27</v>
      </c>
      <c r="C937" s="1">
        <v>25</v>
      </c>
      <c r="D937" s="2">
        <v>0.92589999999999995</v>
      </c>
      <c r="E937" s="1">
        <v>2</v>
      </c>
      <c r="F937" s="3">
        <v>2.0833333333333335E-4</v>
      </c>
      <c r="G937" s="3">
        <v>1.4930555555555556E-3</v>
      </c>
      <c r="H937" s="3">
        <v>2.1643518518518518E-3</v>
      </c>
      <c r="I937" s="2">
        <v>0.74070000000000003</v>
      </c>
    </row>
    <row r="938" spans="1:9">
      <c r="A938" s="1">
        <v>937</v>
      </c>
      <c r="B938" s="1">
        <v>222</v>
      </c>
      <c r="C938" s="1">
        <v>214</v>
      </c>
      <c r="D938" s="2">
        <v>0.96399999999999997</v>
      </c>
      <c r="E938" s="1">
        <v>8</v>
      </c>
      <c r="F938" s="3">
        <v>2.0833333333333335E-4</v>
      </c>
      <c r="G938" s="3">
        <v>2.0486111111111113E-3</v>
      </c>
      <c r="H938" s="3">
        <v>4.3055555555555555E-3</v>
      </c>
      <c r="I938" s="2">
        <v>0.74660000000000004</v>
      </c>
    </row>
    <row r="939" spans="1:9">
      <c r="A939" s="1">
        <v>938</v>
      </c>
      <c r="B939" s="1">
        <v>217</v>
      </c>
      <c r="C939" s="1">
        <v>198</v>
      </c>
      <c r="D939" s="2">
        <v>0.91239999999999999</v>
      </c>
      <c r="E939" s="1">
        <v>19</v>
      </c>
      <c r="F939" s="3">
        <v>1.0416666666666667E-4</v>
      </c>
      <c r="G939" s="3">
        <v>1.8865740740740742E-3</v>
      </c>
      <c r="H939" s="3">
        <v>2.0486111111111113E-3</v>
      </c>
      <c r="I939" s="2">
        <v>0.88829999999999998</v>
      </c>
    </row>
    <row r="940" spans="1:9">
      <c r="A940" s="1">
        <v>939</v>
      </c>
      <c r="B940" s="1">
        <v>204</v>
      </c>
      <c r="C940" s="1">
        <v>197</v>
      </c>
      <c r="D940" s="2">
        <v>0.9657</v>
      </c>
      <c r="E940" s="1">
        <v>7</v>
      </c>
      <c r="F940" s="3">
        <v>1.9675925925925926E-4</v>
      </c>
      <c r="G940" s="3">
        <v>1.8518518518518519E-3</v>
      </c>
      <c r="H940" s="3">
        <v>2.662037037037037E-3</v>
      </c>
      <c r="I940" s="2">
        <v>0.79700000000000004</v>
      </c>
    </row>
    <row r="941" spans="1:9">
      <c r="A941" s="1">
        <v>940</v>
      </c>
      <c r="B941" s="1">
        <v>191</v>
      </c>
      <c r="C941" s="1">
        <v>181</v>
      </c>
      <c r="D941" s="2">
        <v>0.9476</v>
      </c>
      <c r="E941" s="1">
        <v>10</v>
      </c>
      <c r="F941" s="3">
        <v>1.3888888888888889E-4</v>
      </c>
      <c r="G941" s="3">
        <v>1.9212962962962964E-3</v>
      </c>
      <c r="H941" s="3">
        <v>3.2870370370370371E-3</v>
      </c>
      <c r="I941" s="2">
        <v>0.87229999999999996</v>
      </c>
    </row>
    <row r="942" spans="1:9">
      <c r="A942" s="1">
        <v>941</v>
      </c>
      <c r="B942" s="1">
        <v>176</v>
      </c>
      <c r="C942" s="1">
        <v>157</v>
      </c>
      <c r="D942" s="2">
        <v>0.89200000000000002</v>
      </c>
      <c r="E942" s="1">
        <v>19</v>
      </c>
      <c r="F942" s="3">
        <v>1.9675925925925926E-4</v>
      </c>
      <c r="G942" s="3">
        <v>1.9791666666666668E-3</v>
      </c>
      <c r="H942" s="3">
        <v>2.8703703703703703E-3</v>
      </c>
      <c r="I942" s="2">
        <v>0.73529999999999995</v>
      </c>
    </row>
    <row r="943" spans="1:9">
      <c r="A943" s="1">
        <v>942</v>
      </c>
      <c r="B943" s="1">
        <v>176</v>
      </c>
      <c r="C943" s="1">
        <v>163</v>
      </c>
      <c r="D943" s="2">
        <v>0.92610000000000003</v>
      </c>
      <c r="E943" s="1">
        <v>13</v>
      </c>
      <c r="F943" s="3">
        <v>2.7777777777777778E-4</v>
      </c>
      <c r="G943" s="3">
        <v>2.2106481481481482E-3</v>
      </c>
      <c r="H943" s="3">
        <v>2.1643518518518518E-3</v>
      </c>
      <c r="I943" s="2">
        <v>0.64159999999999995</v>
      </c>
    </row>
    <row r="944" spans="1:9">
      <c r="A944" s="1">
        <v>943</v>
      </c>
      <c r="B944" s="1">
        <v>26</v>
      </c>
      <c r="C944" s="1">
        <v>26</v>
      </c>
      <c r="D944" s="2">
        <v>1</v>
      </c>
      <c r="E944" s="1">
        <v>0</v>
      </c>
      <c r="F944" s="3">
        <v>2.7777777777777778E-4</v>
      </c>
      <c r="G944" s="3">
        <v>2.1180555555555558E-3</v>
      </c>
      <c r="H944" s="3">
        <v>1.3541666666666667E-3</v>
      </c>
      <c r="I944" s="2">
        <v>0.69230000000000003</v>
      </c>
    </row>
    <row r="945" spans="1:9">
      <c r="A945" s="1">
        <v>944</v>
      </c>
      <c r="B945" s="1">
        <v>170</v>
      </c>
      <c r="C945" s="1">
        <v>167</v>
      </c>
      <c r="D945" s="2">
        <v>0.98240000000000005</v>
      </c>
      <c r="E945" s="1">
        <v>3</v>
      </c>
      <c r="F945" s="3">
        <v>1.8518518518518518E-4</v>
      </c>
      <c r="G945" s="3">
        <v>1.9328703703703704E-3</v>
      </c>
      <c r="H945" s="3">
        <v>1.4814814814814814E-3</v>
      </c>
      <c r="I945" s="2">
        <v>0.79410000000000003</v>
      </c>
    </row>
    <row r="946" spans="1:9">
      <c r="A946" s="1">
        <v>945</v>
      </c>
      <c r="B946" s="1">
        <v>154</v>
      </c>
      <c r="C946" s="1">
        <v>147</v>
      </c>
      <c r="D946" s="2">
        <v>0.95450000000000002</v>
      </c>
      <c r="E946" s="1">
        <v>7</v>
      </c>
      <c r="F946" s="3">
        <v>2.4305555555555555E-4</v>
      </c>
      <c r="G946" s="3">
        <v>2.1064814814814813E-3</v>
      </c>
      <c r="H946" s="3">
        <v>2.627314814814815E-3</v>
      </c>
      <c r="I946" s="2">
        <v>0.75160000000000005</v>
      </c>
    </row>
    <row r="947" spans="1:9">
      <c r="A947" s="1">
        <v>946</v>
      </c>
      <c r="B947" s="1">
        <v>165</v>
      </c>
      <c r="C947" s="1">
        <v>152</v>
      </c>
      <c r="D947" s="2">
        <v>0.92120000000000002</v>
      </c>
      <c r="E947" s="1">
        <v>13</v>
      </c>
      <c r="F947" s="3">
        <v>1.9675925925925926E-4</v>
      </c>
      <c r="G947" s="3">
        <v>2.0601851851851853E-3</v>
      </c>
      <c r="H947" s="3">
        <v>2.5462962962962965E-3</v>
      </c>
      <c r="I947" s="2">
        <v>0.8075</v>
      </c>
    </row>
    <row r="948" spans="1:9">
      <c r="A948" s="1">
        <v>947</v>
      </c>
      <c r="B948" s="1">
        <v>153</v>
      </c>
      <c r="C948" s="1">
        <v>143</v>
      </c>
      <c r="D948" s="2">
        <v>0.93459999999999999</v>
      </c>
      <c r="E948" s="1">
        <v>10</v>
      </c>
      <c r="F948" s="3">
        <v>2.199074074074074E-4</v>
      </c>
      <c r="G948" s="3">
        <v>2.1412037037037038E-3</v>
      </c>
      <c r="H948" s="3">
        <v>2.2569444444444442E-3</v>
      </c>
      <c r="I948" s="2">
        <v>0.77629999999999999</v>
      </c>
    </row>
    <row r="949" spans="1:9">
      <c r="A949" s="1">
        <v>948</v>
      </c>
      <c r="B949" s="1">
        <v>175</v>
      </c>
      <c r="C949" s="1">
        <v>169</v>
      </c>
      <c r="D949" s="2">
        <v>0.9657</v>
      </c>
      <c r="E949" s="1">
        <v>6</v>
      </c>
      <c r="F949" s="3">
        <v>1.273148148148148E-4</v>
      </c>
      <c r="G949" s="3">
        <v>1.5856481481481481E-3</v>
      </c>
      <c r="H949" s="3">
        <v>1.5277777777777779E-3</v>
      </c>
      <c r="I949" s="2">
        <v>0.85629999999999995</v>
      </c>
    </row>
    <row r="950" spans="1:9">
      <c r="A950" s="1">
        <v>949</v>
      </c>
      <c r="B950" s="1">
        <v>241</v>
      </c>
      <c r="C950" s="1">
        <v>214</v>
      </c>
      <c r="D950" s="2">
        <v>0.88800000000000001</v>
      </c>
      <c r="E950" s="1">
        <v>27</v>
      </c>
      <c r="F950" s="3">
        <v>3.3564814814814812E-4</v>
      </c>
      <c r="G950" s="3">
        <v>2.0833333333333333E-3</v>
      </c>
      <c r="H950" s="3">
        <v>1.0104166666666666E-2</v>
      </c>
      <c r="I950" s="2">
        <v>0.6623</v>
      </c>
    </row>
    <row r="951" spans="1:9">
      <c r="A951" s="1">
        <v>950</v>
      </c>
      <c r="B951" s="1">
        <v>14</v>
      </c>
      <c r="C951" s="1">
        <v>14</v>
      </c>
      <c r="D951" s="2">
        <v>1</v>
      </c>
      <c r="E951" s="1">
        <v>0</v>
      </c>
      <c r="F951" s="3">
        <v>1.8518518518518518E-4</v>
      </c>
      <c r="G951" s="3">
        <v>1.9212962962962964E-3</v>
      </c>
      <c r="H951" s="3">
        <v>1.0069444444444444E-3</v>
      </c>
      <c r="I951" s="2">
        <v>0.85709999999999997</v>
      </c>
    </row>
    <row r="952" spans="1:9">
      <c r="A952" s="1">
        <v>951</v>
      </c>
      <c r="B952" s="1">
        <v>57</v>
      </c>
      <c r="C952" s="1">
        <v>55</v>
      </c>
      <c r="D952" s="2">
        <v>0.96489999999999998</v>
      </c>
      <c r="E952" s="1">
        <v>2</v>
      </c>
      <c r="F952" s="3">
        <v>1.3888888888888889E-4</v>
      </c>
      <c r="G952" s="3">
        <v>1.7939814814814815E-3</v>
      </c>
      <c r="H952" s="3">
        <v>1.4699074074074074E-3</v>
      </c>
      <c r="I952" s="2">
        <v>0.85960000000000003</v>
      </c>
    </row>
    <row r="953" spans="1:9">
      <c r="A953" s="1">
        <v>952</v>
      </c>
      <c r="B953" s="1">
        <v>954</v>
      </c>
      <c r="C953" s="1">
        <v>644</v>
      </c>
      <c r="D953" s="2">
        <v>0.67510000000000003</v>
      </c>
      <c r="E953" s="1">
        <v>310</v>
      </c>
      <c r="F953" s="3">
        <v>8.564814814814815E-4</v>
      </c>
      <c r="G953" s="3">
        <v>1.4467592592592592E-3</v>
      </c>
      <c r="H953" s="3">
        <v>7.7777777777777776E-3</v>
      </c>
      <c r="I953" s="2">
        <v>0.26329999999999998</v>
      </c>
    </row>
    <row r="954" spans="1:9">
      <c r="A954" s="1">
        <v>953</v>
      </c>
      <c r="B954" s="1">
        <v>374</v>
      </c>
      <c r="C954" s="1">
        <v>344</v>
      </c>
      <c r="D954" s="2">
        <v>0.91979999999999995</v>
      </c>
      <c r="E954" s="1">
        <v>30</v>
      </c>
      <c r="F954" s="3">
        <v>3.2407407407407406E-4</v>
      </c>
      <c r="G954" s="3">
        <v>2.1180555555555558E-3</v>
      </c>
      <c r="H954" s="3">
        <v>6.1574074074074074E-3</v>
      </c>
      <c r="I954" s="2">
        <v>0.61850000000000005</v>
      </c>
    </row>
    <row r="955" spans="1:9">
      <c r="A955" s="1">
        <v>954</v>
      </c>
      <c r="B955" s="1">
        <v>265</v>
      </c>
      <c r="C955" s="1">
        <v>245</v>
      </c>
      <c r="D955" s="2">
        <v>0.92449999999999999</v>
      </c>
      <c r="E955" s="1">
        <v>20</v>
      </c>
      <c r="F955" s="3">
        <v>3.5879629629629629E-4</v>
      </c>
      <c r="G955" s="3">
        <v>2.1412037037037038E-3</v>
      </c>
      <c r="H955" s="3">
        <v>2.3263888888888887E-3</v>
      </c>
      <c r="I955" s="2">
        <v>0.56699999999999995</v>
      </c>
    </row>
    <row r="956" spans="1:9">
      <c r="A956" s="1">
        <v>955</v>
      </c>
      <c r="B956" s="1">
        <v>222</v>
      </c>
      <c r="C956" s="1">
        <v>205</v>
      </c>
      <c r="D956" s="2">
        <v>0.9234</v>
      </c>
      <c r="E956" s="1">
        <v>17</v>
      </c>
      <c r="F956" s="3">
        <v>2.3148148148148149E-4</v>
      </c>
      <c r="G956" s="3">
        <v>2.2222222222222222E-3</v>
      </c>
      <c r="H956" s="3">
        <v>1.5046296296296296E-3</v>
      </c>
      <c r="I956" s="2">
        <v>0.72689999999999999</v>
      </c>
    </row>
    <row r="957" spans="1:9">
      <c r="A957" s="1">
        <v>956</v>
      </c>
      <c r="B957" s="1">
        <v>203</v>
      </c>
      <c r="C957" s="1">
        <v>192</v>
      </c>
      <c r="D957" s="2">
        <v>0.94579999999999997</v>
      </c>
      <c r="E957" s="1">
        <v>11</v>
      </c>
      <c r="F957" s="3">
        <v>3.1250000000000001E-4</v>
      </c>
      <c r="G957" s="3">
        <v>2.1296296296296298E-3</v>
      </c>
      <c r="H957" s="3">
        <v>2.8587962962962963E-3</v>
      </c>
      <c r="I957" s="2">
        <v>0.68659999999999999</v>
      </c>
    </row>
    <row r="958" spans="1:9">
      <c r="A958" s="1">
        <v>957</v>
      </c>
      <c r="B958" s="1">
        <v>33</v>
      </c>
      <c r="C958" s="1">
        <v>31</v>
      </c>
      <c r="D958" s="2">
        <v>0.93940000000000001</v>
      </c>
      <c r="E958" s="1">
        <v>2</v>
      </c>
      <c r="F958" s="3">
        <v>3.3564814814814812E-4</v>
      </c>
      <c r="G958" s="3">
        <v>1.5625000000000001E-3</v>
      </c>
      <c r="H958" s="3">
        <v>3.9699074074074072E-3</v>
      </c>
      <c r="I958" s="2">
        <v>0.78129999999999999</v>
      </c>
    </row>
    <row r="959" spans="1:9">
      <c r="A959" s="1">
        <v>958</v>
      </c>
      <c r="B959" s="1">
        <v>220</v>
      </c>
      <c r="C959" s="1">
        <v>195</v>
      </c>
      <c r="D959" s="2">
        <v>0.88639999999999997</v>
      </c>
      <c r="E959" s="1">
        <v>25</v>
      </c>
      <c r="F959" s="3">
        <v>3.2407407407407406E-4</v>
      </c>
      <c r="G959" s="3">
        <v>1.9097222222222222E-3</v>
      </c>
      <c r="H959" s="3">
        <v>2.1527777777777778E-3</v>
      </c>
      <c r="I959" s="2">
        <v>0.59619999999999995</v>
      </c>
    </row>
    <row r="960" spans="1:9">
      <c r="A960" s="1">
        <v>959</v>
      </c>
      <c r="B960" s="1">
        <v>185</v>
      </c>
      <c r="C960" s="1">
        <v>177</v>
      </c>
      <c r="D960" s="2">
        <v>0.95679999999999998</v>
      </c>
      <c r="E960" s="1">
        <v>8</v>
      </c>
      <c r="F960" s="3">
        <v>1.8518518518518518E-4</v>
      </c>
      <c r="G960" s="3">
        <v>1.7708333333333332E-3</v>
      </c>
      <c r="H960" s="3">
        <v>2.1759259259259258E-3</v>
      </c>
      <c r="I960" s="2">
        <v>0.80110000000000003</v>
      </c>
    </row>
    <row r="961" spans="1:9">
      <c r="A961" s="1">
        <v>960</v>
      </c>
      <c r="B961" s="1">
        <v>203</v>
      </c>
      <c r="C961" s="1">
        <v>172</v>
      </c>
      <c r="D961" s="2">
        <v>0.84730000000000005</v>
      </c>
      <c r="E961" s="1">
        <v>31</v>
      </c>
      <c r="F961" s="3">
        <v>3.9351851851851852E-4</v>
      </c>
      <c r="G961" s="3">
        <v>2.0023148148148148E-3</v>
      </c>
      <c r="H961" s="3">
        <v>3.5416666666666665E-3</v>
      </c>
      <c r="I961" s="2">
        <v>0.52790000000000004</v>
      </c>
    </row>
    <row r="962" spans="1:9">
      <c r="A962" s="1">
        <v>961</v>
      </c>
      <c r="B962" s="1">
        <v>218</v>
      </c>
      <c r="C962" s="1">
        <v>193</v>
      </c>
      <c r="D962" s="2">
        <v>0.88529999999999998</v>
      </c>
      <c r="E962" s="1">
        <v>25</v>
      </c>
      <c r="F962" s="3">
        <v>3.9351851851851852E-4</v>
      </c>
      <c r="G962" s="3">
        <v>2.0601851851851853E-3</v>
      </c>
      <c r="H962" s="3">
        <v>5.2546296296296299E-3</v>
      </c>
      <c r="I962" s="2">
        <v>0.61970000000000003</v>
      </c>
    </row>
    <row r="963" spans="1:9">
      <c r="A963" s="1">
        <v>962</v>
      </c>
      <c r="B963" s="1">
        <v>204</v>
      </c>
      <c r="C963" s="1">
        <v>194</v>
      </c>
      <c r="D963" s="2">
        <v>0.95099999999999996</v>
      </c>
      <c r="E963" s="1">
        <v>10</v>
      </c>
      <c r="F963" s="3">
        <v>1.8518518518518518E-4</v>
      </c>
      <c r="G963" s="3">
        <v>1.9907407407407408E-3</v>
      </c>
      <c r="H963" s="3">
        <v>2.1527777777777778E-3</v>
      </c>
      <c r="I963" s="2">
        <v>0.81310000000000004</v>
      </c>
    </row>
    <row r="964" spans="1:9">
      <c r="A964" s="1">
        <v>963</v>
      </c>
      <c r="B964" s="1">
        <v>242</v>
      </c>
      <c r="C964" s="1">
        <v>211</v>
      </c>
      <c r="D964" s="2">
        <v>0.87190000000000001</v>
      </c>
      <c r="E964" s="1">
        <v>31</v>
      </c>
      <c r="F964" s="3">
        <v>5.0925925925925921E-4</v>
      </c>
      <c r="G964" s="3">
        <v>2.0486111111111113E-3</v>
      </c>
      <c r="H964" s="3">
        <v>4.2592592592592595E-3</v>
      </c>
      <c r="I964" s="2">
        <v>0.47699999999999998</v>
      </c>
    </row>
    <row r="965" spans="1:9">
      <c r="A965" s="1">
        <v>964</v>
      </c>
      <c r="B965" s="1">
        <v>29</v>
      </c>
      <c r="C965" s="1">
        <v>29</v>
      </c>
      <c r="D965" s="2">
        <v>1</v>
      </c>
      <c r="E965" s="1">
        <v>0</v>
      </c>
      <c r="F965" s="3">
        <v>9.2592592592592588E-5</v>
      </c>
      <c r="G965" s="3">
        <v>1.8518518518518519E-3</v>
      </c>
      <c r="H965" s="3">
        <v>5.0925925925925921E-4</v>
      </c>
      <c r="I965" s="2">
        <v>0.89659999999999995</v>
      </c>
    </row>
    <row r="966" spans="1:9">
      <c r="A966" s="1">
        <v>965</v>
      </c>
      <c r="B966" s="1">
        <v>171</v>
      </c>
      <c r="C966" s="1">
        <v>163</v>
      </c>
      <c r="D966" s="2">
        <v>0.95320000000000005</v>
      </c>
      <c r="E966" s="1">
        <v>8</v>
      </c>
      <c r="F966" s="3">
        <v>2.7777777777777778E-4</v>
      </c>
      <c r="G966" s="3">
        <v>2.0601851851851853E-3</v>
      </c>
      <c r="H966" s="3">
        <v>2.3032407407407407E-3</v>
      </c>
      <c r="I966" s="2">
        <v>0.69230000000000003</v>
      </c>
    </row>
    <row r="967" spans="1:9">
      <c r="A967" s="1">
        <v>966</v>
      </c>
      <c r="B967" s="1">
        <v>190</v>
      </c>
      <c r="C967" s="1">
        <v>166</v>
      </c>
      <c r="D967" s="2">
        <v>0.87370000000000003</v>
      </c>
      <c r="E967" s="1">
        <v>24</v>
      </c>
      <c r="F967" s="3">
        <v>5.3240740740740744E-4</v>
      </c>
      <c r="G967" s="3">
        <v>2.0717592592592593E-3</v>
      </c>
      <c r="H967" s="3">
        <v>6.4814814814814813E-3</v>
      </c>
      <c r="I967" s="2">
        <v>0.42249999999999999</v>
      </c>
    </row>
    <row r="968" spans="1:9">
      <c r="A968" s="1">
        <v>967</v>
      </c>
      <c r="B968" s="1">
        <v>221</v>
      </c>
      <c r="C968" s="1">
        <v>196</v>
      </c>
      <c r="D968" s="2">
        <v>0.88690000000000002</v>
      </c>
      <c r="E968" s="1">
        <v>25</v>
      </c>
      <c r="F968" s="3">
        <v>3.8194444444444446E-4</v>
      </c>
      <c r="G968" s="3">
        <v>2.0486111111111113E-3</v>
      </c>
      <c r="H968" s="3">
        <v>3.7615740740740739E-3</v>
      </c>
      <c r="I968" s="2">
        <v>0.53669999999999995</v>
      </c>
    </row>
    <row r="969" spans="1:9">
      <c r="A969" s="1">
        <v>968</v>
      </c>
      <c r="B969" s="1">
        <v>297</v>
      </c>
      <c r="C969" s="1">
        <v>241</v>
      </c>
      <c r="D969" s="2">
        <v>0.81140000000000001</v>
      </c>
      <c r="E969" s="1">
        <v>56</v>
      </c>
      <c r="F969" s="3">
        <v>5.6712962962962967E-4</v>
      </c>
      <c r="G969" s="3">
        <v>2.2106481481481482E-3</v>
      </c>
      <c r="H969" s="3">
        <v>4.7685185185185183E-3</v>
      </c>
      <c r="I969" s="2">
        <v>0.44829999999999998</v>
      </c>
    </row>
    <row r="970" spans="1:9">
      <c r="A970" s="1">
        <v>969</v>
      </c>
      <c r="B970" s="1">
        <v>233</v>
      </c>
      <c r="C970" s="1">
        <v>214</v>
      </c>
      <c r="D970" s="2">
        <v>0.91849999999999998</v>
      </c>
      <c r="E970" s="1">
        <v>19</v>
      </c>
      <c r="F970" s="3">
        <v>3.0092592592592595E-4</v>
      </c>
      <c r="G970" s="3">
        <v>1.9560185185185184E-3</v>
      </c>
      <c r="H970" s="3">
        <v>2.6967592592592594E-3</v>
      </c>
      <c r="I970" s="2">
        <v>0.625</v>
      </c>
    </row>
    <row r="971" spans="1:9">
      <c r="A971" s="1">
        <v>970</v>
      </c>
      <c r="B971" s="1">
        <v>198</v>
      </c>
      <c r="C971" s="1">
        <v>191</v>
      </c>
      <c r="D971" s="2">
        <v>0.96460000000000001</v>
      </c>
      <c r="E971" s="1">
        <v>7</v>
      </c>
      <c r="F971" s="3">
        <v>1.6203703703703703E-4</v>
      </c>
      <c r="G971" s="3">
        <v>2.0949074074074073E-3</v>
      </c>
      <c r="H971" s="3">
        <v>1.4930555555555556E-3</v>
      </c>
      <c r="I971" s="2">
        <v>0.82740000000000002</v>
      </c>
    </row>
    <row r="972" spans="1:9">
      <c r="A972" s="1">
        <v>971</v>
      </c>
      <c r="B972" s="1">
        <v>15</v>
      </c>
      <c r="C972" s="1">
        <v>15</v>
      </c>
      <c r="D972" s="2">
        <v>1</v>
      </c>
      <c r="E972" s="1">
        <v>0</v>
      </c>
      <c r="F972" s="3">
        <v>4.6296296296296294E-5</v>
      </c>
      <c r="G972" s="3">
        <v>2.3032407407407407E-3</v>
      </c>
      <c r="H972" s="3">
        <v>1.6203703703703703E-4</v>
      </c>
      <c r="I972" s="2">
        <v>1</v>
      </c>
    </row>
    <row r="973" spans="1:9">
      <c r="A973" s="1">
        <v>972</v>
      </c>
      <c r="B973" s="1">
        <v>27</v>
      </c>
      <c r="C973" s="1">
        <v>25</v>
      </c>
      <c r="D973" s="2">
        <v>0.92589999999999995</v>
      </c>
      <c r="E973" s="1">
        <v>2</v>
      </c>
      <c r="F973" s="3">
        <v>9.2592592592592588E-5</v>
      </c>
      <c r="G973" s="3">
        <v>1.7824074074074075E-3</v>
      </c>
      <c r="H973" s="3">
        <v>1.4351851851851852E-3</v>
      </c>
      <c r="I973" s="2">
        <v>0.88890000000000002</v>
      </c>
    </row>
    <row r="974" spans="1:9">
      <c r="A974" s="1">
        <v>973</v>
      </c>
      <c r="B974" s="1">
        <v>7</v>
      </c>
      <c r="C974" s="1">
        <v>6</v>
      </c>
      <c r="D974" s="2">
        <v>0.85709999999999997</v>
      </c>
      <c r="E974" s="1">
        <v>1</v>
      </c>
      <c r="F974" s="3">
        <v>3.4722222222222222E-5</v>
      </c>
      <c r="G974" s="3">
        <v>3.3333333333333335E-3</v>
      </c>
      <c r="H974" s="3">
        <v>3.5879629629629629E-4</v>
      </c>
      <c r="I974" s="2">
        <v>0.85709999999999997</v>
      </c>
    </row>
    <row r="975" spans="1:9">
      <c r="A975" s="1">
        <v>974</v>
      </c>
      <c r="B975" s="1">
        <v>169</v>
      </c>
      <c r="C975" s="1">
        <v>144</v>
      </c>
      <c r="D975" s="2">
        <v>0.85209999999999997</v>
      </c>
      <c r="E975" s="1">
        <v>25</v>
      </c>
      <c r="F975" s="3">
        <v>3.8194444444444446E-4</v>
      </c>
      <c r="G975" s="3">
        <v>1.8055555555555555E-3</v>
      </c>
      <c r="H975" s="3">
        <v>5.9143518518518521E-3</v>
      </c>
      <c r="I975" s="2">
        <v>0.56359999999999999</v>
      </c>
    </row>
    <row r="976" spans="1:9">
      <c r="A976" s="1">
        <v>975</v>
      </c>
      <c r="B976" s="1">
        <v>224</v>
      </c>
      <c r="C976" s="1">
        <v>206</v>
      </c>
      <c r="D976" s="2">
        <v>0.91959999999999997</v>
      </c>
      <c r="E976" s="1">
        <v>18</v>
      </c>
      <c r="F976" s="3">
        <v>2.3148148148148149E-4</v>
      </c>
      <c r="G976" s="3">
        <v>1.7939814814814815E-3</v>
      </c>
      <c r="H976" s="3">
        <v>1.6898148148148148E-3</v>
      </c>
      <c r="I976" s="2">
        <v>0.70720000000000005</v>
      </c>
    </row>
    <row r="977" spans="1:9">
      <c r="A977" s="1">
        <v>976</v>
      </c>
      <c r="B977" s="1">
        <v>170</v>
      </c>
      <c r="C977" s="1">
        <v>160</v>
      </c>
      <c r="D977" s="2">
        <v>0.94120000000000004</v>
      </c>
      <c r="E977" s="1">
        <v>10</v>
      </c>
      <c r="F977" s="3">
        <v>3.2407407407407406E-4</v>
      </c>
      <c r="G977" s="3">
        <v>2.0949074074074073E-3</v>
      </c>
      <c r="H977" s="3">
        <v>3.5879629629629629E-3</v>
      </c>
      <c r="I977" s="2">
        <v>0.62350000000000005</v>
      </c>
    </row>
    <row r="978" spans="1:9">
      <c r="A978" s="1">
        <v>977</v>
      </c>
      <c r="B978" s="1">
        <v>161</v>
      </c>
      <c r="C978" s="1">
        <v>149</v>
      </c>
      <c r="D978" s="2">
        <v>0.92549999999999999</v>
      </c>
      <c r="E978" s="1">
        <v>12</v>
      </c>
      <c r="F978" s="3">
        <v>2.7777777777777778E-4</v>
      </c>
      <c r="G978" s="3">
        <v>2.1759259259259258E-3</v>
      </c>
      <c r="H978" s="3">
        <v>1.7824074074074075E-3</v>
      </c>
      <c r="I978" s="2">
        <v>0.68130000000000002</v>
      </c>
    </row>
    <row r="979" spans="1:9">
      <c r="A979" s="1">
        <v>978</v>
      </c>
      <c r="B979" s="1">
        <v>37</v>
      </c>
      <c r="C979" s="1">
        <v>35</v>
      </c>
      <c r="D979" s="2">
        <v>0.94589999999999996</v>
      </c>
      <c r="E979" s="1">
        <v>2</v>
      </c>
      <c r="F979" s="3">
        <v>1.3888888888888889E-4</v>
      </c>
      <c r="G979" s="3">
        <v>1.9444444444444444E-3</v>
      </c>
      <c r="H979" s="3">
        <v>7.291666666666667E-4</v>
      </c>
      <c r="I979" s="2">
        <v>0.80559999999999998</v>
      </c>
    </row>
    <row r="980" spans="1:9">
      <c r="A980" s="1">
        <v>979</v>
      </c>
      <c r="B980" s="1">
        <v>183</v>
      </c>
      <c r="C980" s="1">
        <v>169</v>
      </c>
      <c r="D980" s="2">
        <v>0.92349999999999999</v>
      </c>
      <c r="E980" s="1">
        <v>14</v>
      </c>
      <c r="F980" s="3">
        <v>3.7037037037037035E-4</v>
      </c>
      <c r="G980" s="3">
        <v>2.0601851851851853E-3</v>
      </c>
      <c r="H980" s="3">
        <v>3.1018518518518517E-3</v>
      </c>
      <c r="I980" s="2">
        <v>0.59889999999999999</v>
      </c>
    </row>
    <row r="981" spans="1:9">
      <c r="A981" s="1">
        <v>980</v>
      </c>
      <c r="B981" s="1">
        <v>221</v>
      </c>
      <c r="C981" s="1">
        <v>206</v>
      </c>
      <c r="D981" s="2">
        <v>0.93210000000000004</v>
      </c>
      <c r="E981" s="1">
        <v>15</v>
      </c>
      <c r="F981" s="3">
        <v>3.4722222222222224E-4</v>
      </c>
      <c r="G981" s="3">
        <v>2.0138888888888888E-3</v>
      </c>
      <c r="H981" s="3">
        <v>3.0439814814814813E-3</v>
      </c>
      <c r="I981" s="2">
        <v>0.58179999999999998</v>
      </c>
    </row>
    <row r="982" spans="1:9">
      <c r="A982" s="1">
        <v>981</v>
      </c>
      <c r="B982" s="1">
        <v>202</v>
      </c>
      <c r="C982" s="1">
        <v>193</v>
      </c>
      <c r="D982" s="2">
        <v>0.95540000000000003</v>
      </c>
      <c r="E982" s="1">
        <v>9</v>
      </c>
      <c r="F982" s="3">
        <v>2.0833333333333335E-4</v>
      </c>
      <c r="G982" s="3">
        <v>2.0023148148148148E-3</v>
      </c>
      <c r="H982" s="3">
        <v>1.9444444444444444E-3</v>
      </c>
      <c r="I982" s="2">
        <v>0.75380000000000003</v>
      </c>
    </row>
    <row r="983" spans="1:9">
      <c r="A983" s="1">
        <v>982</v>
      </c>
      <c r="B983" s="1">
        <v>193</v>
      </c>
      <c r="C983" s="1">
        <v>163</v>
      </c>
      <c r="D983" s="2">
        <v>0.84460000000000002</v>
      </c>
      <c r="E983" s="1">
        <v>30</v>
      </c>
      <c r="F983" s="3">
        <v>4.1666666666666669E-4</v>
      </c>
      <c r="G983" s="3">
        <v>2.2222222222222222E-3</v>
      </c>
      <c r="H983" s="3">
        <v>3.6111111111111109E-3</v>
      </c>
      <c r="I983" s="2">
        <v>0.53400000000000003</v>
      </c>
    </row>
    <row r="984" spans="1:9">
      <c r="A984" s="1">
        <v>983</v>
      </c>
      <c r="B984" s="1">
        <v>201</v>
      </c>
      <c r="C984" s="1">
        <v>196</v>
      </c>
      <c r="D984" s="2">
        <v>0.97509999999999997</v>
      </c>
      <c r="E984" s="1">
        <v>5</v>
      </c>
      <c r="F984" s="3">
        <v>1.1574074074074075E-4</v>
      </c>
      <c r="G984" s="3">
        <v>1.8865740740740742E-3</v>
      </c>
      <c r="H984" s="3">
        <v>1.7592592592592592E-3</v>
      </c>
      <c r="I984" s="2">
        <v>0.89</v>
      </c>
    </row>
    <row r="985" spans="1:9">
      <c r="A985" s="1">
        <v>984</v>
      </c>
      <c r="B985" s="1">
        <v>193</v>
      </c>
      <c r="C985" s="1">
        <v>180</v>
      </c>
      <c r="D985" s="2">
        <v>0.93259999999999998</v>
      </c>
      <c r="E985" s="1">
        <v>13</v>
      </c>
      <c r="F985" s="3">
        <v>2.4305555555555555E-4</v>
      </c>
      <c r="G985" s="3">
        <v>1.8749999999999999E-3</v>
      </c>
      <c r="H985" s="3">
        <v>2.2800925925925927E-3</v>
      </c>
      <c r="I985" s="2">
        <v>0.73160000000000003</v>
      </c>
    </row>
    <row r="986" spans="1:9">
      <c r="A986" s="1">
        <v>985</v>
      </c>
      <c r="B986" s="1">
        <v>27</v>
      </c>
      <c r="C986" s="1">
        <v>25</v>
      </c>
      <c r="D986" s="2">
        <v>0.92589999999999995</v>
      </c>
      <c r="E986" s="1">
        <v>2</v>
      </c>
      <c r="F986" s="3">
        <v>2.8935185185185184E-4</v>
      </c>
      <c r="G986" s="3">
        <v>1.4236111111111112E-3</v>
      </c>
      <c r="H986" s="3">
        <v>1.4699074074074074E-3</v>
      </c>
      <c r="I986" s="2">
        <v>0.66669999999999996</v>
      </c>
    </row>
    <row r="987" spans="1:9">
      <c r="A987" s="1">
        <v>986</v>
      </c>
      <c r="B987" s="1">
        <v>227</v>
      </c>
      <c r="C987" s="1">
        <v>206</v>
      </c>
      <c r="D987" s="2">
        <v>0.90749999999999997</v>
      </c>
      <c r="E987" s="1">
        <v>21</v>
      </c>
      <c r="F987" s="3">
        <v>3.3564814814814812E-4</v>
      </c>
      <c r="G987" s="3">
        <v>2.0949074074074073E-3</v>
      </c>
      <c r="H987" s="3">
        <v>3.0787037037037037E-3</v>
      </c>
      <c r="I987" s="2">
        <v>0.66669999999999996</v>
      </c>
    </row>
    <row r="988" spans="1:9">
      <c r="A988" s="1">
        <v>987</v>
      </c>
      <c r="B988" s="1">
        <v>225</v>
      </c>
      <c r="C988" s="1">
        <v>199</v>
      </c>
      <c r="D988" s="2">
        <v>0.88439999999999996</v>
      </c>
      <c r="E988" s="1">
        <v>26</v>
      </c>
      <c r="F988" s="3">
        <v>4.0509259259259258E-4</v>
      </c>
      <c r="G988" s="3">
        <v>2.0601851851851853E-3</v>
      </c>
      <c r="H988" s="3">
        <v>3.6921296296296298E-3</v>
      </c>
      <c r="I988" s="2">
        <v>0.52680000000000005</v>
      </c>
    </row>
    <row r="989" spans="1:9">
      <c r="A989" s="1">
        <v>988</v>
      </c>
      <c r="B989" s="1">
        <v>204</v>
      </c>
      <c r="C989" s="1">
        <v>193</v>
      </c>
      <c r="D989" s="2">
        <v>0.94610000000000005</v>
      </c>
      <c r="E989" s="1">
        <v>11</v>
      </c>
      <c r="F989" s="3">
        <v>3.8194444444444446E-4</v>
      </c>
      <c r="G989" s="3">
        <v>1.8402777777777777E-3</v>
      </c>
      <c r="H989" s="3">
        <v>3.7152777777777778E-3</v>
      </c>
      <c r="I989" s="2">
        <v>0.58819999999999995</v>
      </c>
    </row>
    <row r="990" spans="1:9">
      <c r="A990" s="1">
        <v>989</v>
      </c>
      <c r="B990" s="1">
        <v>221</v>
      </c>
      <c r="C990" s="1">
        <v>194</v>
      </c>
      <c r="D990" s="2">
        <v>0.87780000000000002</v>
      </c>
      <c r="E990" s="1">
        <v>27</v>
      </c>
      <c r="F990" s="3">
        <v>3.3564814814814812E-4</v>
      </c>
      <c r="G990" s="3">
        <v>1.9444444444444444E-3</v>
      </c>
      <c r="H990" s="3">
        <v>3.5300925925925925E-3</v>
      </c>
      <c r="I990" s="2">
        <v>0.60729999999999995</v>
      </c>
    </row>
    <row r="991" spans="1:9">
      <c r="A991" s="1">
        <v>990</v>
      </c>
      <c r="B991" s="1">
        <v>172</v>
      </c>
      <c r="C991" s="1">
        <v>154</v>
      </c>
      <c r="D991" s="2">
        <v>0.89529999999999998</v>
      </c>
      <c r="E991" s="1">
        <v>18</v>
      </c>
      <c r="F991" s="3">
        <v>3.9351851851851852E-4</v>
      </c>
      <c r="G991" s="3">
        <v>2.1875000000000002E-3</v>
      </c>
      <c r="H991" s="3">
        <v>2.1527777777777778E-3</v>
      </c>
      <c r="I991" s="2">
        <v>0.54169999999999996</v>
      </c>
    </row>
    <row r="992" spans="1:9">
      <c r="A992" s="1">
        <v>991</v>
      </c>
      <c r="B992" s="1">
        <v>161</v>
      </c>
      <c r="C992" s="1">
        <v>150</v>
      </c>
      <c r="D992" s="2">
        <v>0.93169999999999997</v>
      </c>
      <c r="E992" s="1">
        <v>11</v>
      </c>
      <c r="F992" s="3">
        <v>4.1666666666666669E-4</v>
      </c>
      <c r="G992" s="3">
        <v>1.9791666666666668E-3</v>
      </c>
      <c r="H992" s="3">
        <v>4.0856481481481481E-3</v>
      </c>
      <c r="I992" s="2">
        <v>0.52800000000000002</v>
      </c>
    </row>
    <row r="993" spans="1:9">
      <c r="A993" s="1">
        <v>992</v>
      </c>
      <c r="B993" s="1">
        <v>17</v>
      </c>
      <c r="C993" s="1">
        <v>14</v>
      </c>
      <c r="D993" s="2">
        <v>0.82350000000000001</v>
      </c>
      <c r="E993" s="1">
        <v>3</v>
      </c>
      <c r="F993" s="3">
        <v>5.4398148148148144E-4</v>
      </c>
      <c r="G993" s="3">
        <v>2.1759259259259258E-3</v>
      </c>
      <c r="H993" s="3">
        <v>1.9907407407407408E-3</v>
      </c>
      <c r="I993" s="2">
        <v>0.4118</v>
      </c>
    </row>
    <row r="994" spans="1:9">
      <c r="A994" s="1">
        <v>993</v>
      </c>
      <c r="B994" s="1">
        <v>168</v>
      </c>
      <c r="C994" s="1">
        <v>145</v>
      </c>
      <c r="D994" s="2">
        <v>0.86309999999999998</v>
      </c>
      <c r="E994" s="1">
        <v>23</v>
      </c>
      <c r="F994" s="3">
        <v>4.3981481481481481E-4</v>
      </c>
      <c r="G994" s="3">
        <v>2.0486111111111113E-3</v>
      </c>
      <c r="H994" s="3">
        <v>2.8703703703703703E-3</v>
      </c>
      <c r="I994" s="2">
        <v>0.50609999999999999</v>
      </c>
    </row>
    <row r="995" spans="1:9">
      <c r="A995" s="1">
        <v>994</v>
      </c>
      <c r="B995" s="1">
        <v>160</v>
      </c>
      <c r="C995" s="1">
        <v>142</v>
      </c>
      <c r="D995" s="2">
        <v>0.88749999999999996</v>
      </c>
      <c r="E995" s="1">
        <v>18</v>
      </c>
      <c r="F995" s="3">
        <v>3.8194444444444446E-4</v>
      </c>
      <c r="G995" s="3">
        <v>1.8981481481481482E-3</v>
      </c>
      <c r="H995" s="3">
        <v>6.4583333333333333E-3</v>
      </c>
      <c r="I995" s="2">
        <v>0.54139999999999999</v>
      </c>
    </row>
    <row r="996" spans="1:9">
      <c r="A996" s="1">
        <v>995</v>
      </c>
      <c r="B996" s="1">
        <v>185</v>
      </c>
      <c r="C996" s="1">
        <v>159</v>
      </c>
      <c r="D996" s="2">
        <v>0.85950000000000004</v>
      </c>
      <c r="E996" s="1">
        <v>26</v>
      </c>
      <c r="F996" s="3">
        <v>4.7453703703703704E-4</v>
      </c>
      <c r="G996" s="3">
        <v>2.0370370370370369E-3</v>
      </c>
      <c r="H996" s="3">
        <v>3.9699074074074072E-3</v>
      </c>
      <c r="I996" s="2">
        <v>0.42699999999999999</v>
      </c>
    </row>
    <row r="997" spans="1:9">
      <c r="A997" s="1">
        <v>996</v>
      </c>
      <c r="B997" s="1">
        <v>155</v>
      </c>
      <c r="C997" s="1">
        <v>146</v>
      </c>
      <c r="D997" s="2">
        <v>0.94189999999999996</v>
      </c>
      <c r="E997" s="1">
        <v>9</v>
      </c>
      <c r="F997" s="3">
        <v>3.2407407407407406E-4</v>
      </c>
      <c r="G997" s="3">
        <v>1.9560185185185184E-3</v>
      </c>
      <c r="H997" s="3">
        <v>2.3958333333333331E-3</v>
      </c>
      <c r="I997" s="2">
        <v>0.65159999999999996</v>
      </c>
    </row>
    <row r="998" spans="1:9">
      <c r="A998" s="1">
        <v>997</v>
      </c>
      <c r="B998" s="1">
        <v>188</v>
      </c>
      <c r="C998" s="1">
        <v>172</v>
      </c>
      <c r="D998" s="2">
        <v>0.91490000000000005</v>
      </c>
      <c r="E998" s="1">
        <v>16</v>
      </c>
      <c r="F998" s="3">
        <v>3.2407407407407406E-4</v>
      </c>
      <c r="G998" s="3">
        <v>1.8402777777777777E-3</v>
      </c>
      <c r="H998" s="3">
        <v>2.1296296296296298E-3</v>
      </c>
      <c r="I998" s="2">
        <v>0.5978</v>
      </c>
    </row>
    <row r="999" spans="1:9">
      <c r="A999" s="1">
        <v>998</v>
      </c>
      <c r="B999" s="1">
        <v>152</v>
      </c>
      <c r="C999" s="1">
        <v>120</v>
      </c>
      <c r="D999" s="2">
        <v>0.78949999999999998</v>
      </c>
      <c r="E999" s="1">
        <v>32</v>
      </c>
      <c r="F999" s="3">
        <v>3.3564814814814812E-4</v>
      </c>
      <c r="G999" s="3">
        <v>2.0138888888888888E-3</v>
      </c>
      <c r="H999" s="3">
        <v>4.5717592592592589E-3</v>
      </c>
      <c r="I999" s="2">
        <v>0.53059999999999996</v>
      </c>
    </row>
    <row r="1000" spans="1:9">
      <c r="A1000" s="1">
        <v>999</v>
      </c>
      <c r="B1000" s="1">
        <v>26</v>
      </c>
      <c r="C1000" s="1">
        <v>26</v>
      </c>
      <c r="D1000" s="2">
        <v>1</v>
      </c>
      <c r="E1000" s="1">
        <v>0</v>
      </c>
      <c r="F1000" s="3">
        <v>1.9675925925925926E-4</v>
      </c>
      <c r="G1000" s="3">
        <v>2.0949074074074073E-3</v>
      </c>
      <c r="H1000" s="3">
        <v>9.0277777777777774E-4</v>
      </c>
      <c r="I1000" s="2">
        <v>0.80769999999999997</v>
      </c>
    </row>
    <row r="1001" spans="1:9">
      <c r="A1001" s="1">
        <v>1000</v>
      </c>
      <c r="B1001" s="1">
        <v>152</v>
      </c>
      <c r="C1001" s="1">
        <v>140</v>
      </c>
      <c r="D1001" s="2">
        <v>0.92110000000000003</v>
      </c>
      <c r="E1001" s="1">
        <v>12</v>
      </c>
      <c r="F1001" s="3">
        <v>2.4305555555555555E-4</v>
      </c>
      <c r="G1001" s="3">
        <v>2.0601851851851853E-3</v>
      </c>
      <c r="H1001" s="3">
        <v>4.6296296296296294E-3</v>
      </c>
      <c r="I1001" s="2">
        <v>0.70669999999999999</v>
      </c>
    </row>
    <row r="1002" spans="1:9">
      <c r="A1002" s="1">
        <v>1001</v>
      </c>
      <c r="B1002" s="1">
        <v>130</v>
      </c>
      <c r="C1002" s="1">
        <v>125</v>
      </c>
      <c r="D1002" s="2">
        <v>0.96150000000000002</v>
      </c>
      <c r="E1002" s="1">
        <v>5</v>
      </c>
      <c r="F1002" s="3">
        <v>9.2592592592592588E-5</v>
      </c>
      <c r="G1002" s="3">
        <v>1.8402777777777777E-3</v>
      </c>
      <c r="H1002" s="3">
        <v>7.1759259259259259E-4</v>
      </c>
      <c r="I1002" s="2">
        <v>0.92</v>
      </c>
    </row>
    <row r="1003" spans="1:9">
      <c r="A1003" s="1">
        <v>1002</v>
      </c>
      <c r="B1003" s="1">
        <v>191</v>
      </c>
      <c r="C1003" s="1">
        <v>187</v>
      </c>
      <c r="D1003" s="2">
        <v>0.97909999999999997</v>
      </c>
      <c r="E1003" s="1">
        <v>4</v>
      </c>
      <c r="F1003" s="3">
        <v>2.0833333333333335E-4</v>
      </c>
      <c r="G1003" s="3">
        <v>1.7708333333333332E-3</v>
      </c>
      <c r="H1003" s="3">
        <v>2.0023148148148148E-3</v>
      </c>
      <c r="I1003" s="2">
        <v>0.83069999999999999</v>
      </c>
    </row>
    <row r="1004" spans="1:9">
      <c r="A1004" s="1">
        <v>1003</v>
      </c>
      <c r="B1004" s="1">
        <v>254</v>
      </c>
      <c r="C1004" s="1">
        <v>227</v>
      </c>
      <c r="D1004" s="2">
        <v>0.89370000000000005</v>
      </c>
      <c r="E1004" s="1">
        <v>27</v>
      </c>
      <c r="F1004" s="3">
        <v>3.8194444444444446E-4</v>
      </c>
      <c r="G1004" s="3">
        <v>2.0486111111111113E-3</v>
      </c>
      <c r="H1004" s="3">
        <v>3.1828703703703702E-3</v>
      </c>
      <c r="I1004" s="2">
        <v>0.56569999999999998</v>
      </c>
    </row>
    <row r="1005" spans="1:9">
      <c r="A1005" s="1">
        <v>1004</v>
      </c>
      <c r="B1005" s="1">
        <v>213</v>
      </c>
      <c r="C1005" s="1">
        <v>188</v>
      </c>
      <c r="D1005" s="2">
        <v>0.88260000000000005</v>
      </c>
      <c r="E1005" s="1">
        <v>25</v>
      </c>
      <c r="F1005" s="3">
        <v>3.4722222222222224E-4</v>
      </c>
      <c r="G1005" s="3">
        <v>1.9907407407407408E-3</v>
      </c>
      <c r="H1005" s="3">
        <v>3.5879629629629629E-3</v>
      </c>
      <c r="I1005" s="2">
        <v>0.54810000000000003</v>
      </c>
    </row>
    <row r="1006" spans="1:9">
      <c r="A1006" s="1">
        <v>1005</v>
      </c>
      <c r="B1006" s="1">
        <v>176</v>
      </c>
      <c r="C1006" s="1">
        <v>151</v>
      </c>
      <c r="D1006" s="2">
        <v>0.85799999999999998</v>
      </c>
      <c r="E1006" s="1">
        <v>25</v>
      </c>
      <c r="F1006" s="3">
        <v>3.7037037037037035E-4</v>
      </c>
      <c r="G1006" s="3">
        <v>1.9097222222222222E-3</v>
      </c>
      <c r="H1006" s="3">
        <v>4.3055555555555555E-3</v>
      </c>
      <c r="I1006" s="2">
        <v>0.5575</v>
      </c>
    </row>
    <row r="1007" spans="1:9">
      <c r="A1007" s="1">
        <v>1006</v>
      </c>
      <c r="B1007" s="1">
        <v>61</v>
      </c>
      <c r="C1007" s="1">
        <v>59</v>
      </c>
      <c r="D1007" s="2">
        <v>0.96719999999999995</v>
      </c>
      <c r="E1007" s="1">
        <v>2</v>
      </c>
      <c r="F1007" s="3">
        <v>1.8518518518518518E-4</v>
      </c>
      <c r="G1007" s="3">
        <v>1.0532407407407407E-3</v>
      </c>
      <c r="H1007" s="3">
        <v>2.1527777777777778E-3</v>
      </c>
      <c r="I1007" s="2">
        <v>0.80330000000000001</v>
      </c>
    </row>
    <row r="1008" spans="1:9">
      <c r="A1008" s="1">
        <v>1007</v>
      </c>
      <c r="B1008" s="1">
        <v>166</v>
      </c>
      <c r="C1008" s="1">
        <v>154</v>
      </c>
      <c r="D1008" s="2">
        <v>0.92769999999999997</v>
      </c>
      <c r="E1008" s="1">
        <v>12</v>
      </c>
      <c r="F1008" s="3">
        <v>3.2407407407407406E-4</v>
      </c>
      <c r="G1008" s="3">
        <v>2.0370370370370369E-3</v>
      </c>
      <c r="H1008" s="3">
        <v>2.2685185185185187E-3</v>
      </c>
      <c r="I1008" s="2">
        <v>0.61819999999999997</v>
      </c>
    </row>
    <row r="1009" spans="1:9">
      <c r="A1009" s="1">
        <v>1008</v>
      </c>
      <c r="B1009" s="1">
        <v>191</v>
      </c>
      <c r="C1009" s="1">
        <v>172</v>
      </c>
      <c r="D1009" s="2">
        <v>0.90049999999999997</v>
      </c>
      <c r="E1009" s="1">
        <v>19</v>
      </c>
      <c r="F1009" s="3">
        <v>2.4305555555555555E-4</v>
      </c>
      <c r="G1009" s="3">
        <v>1.8518518518518519E-3</v>
      </c>
      <c r="H1009" s="3">
        <v>2.3495370370370371E-3</v>
      </c>
      <c r="I1009" s="2">
        <v>0.73770000000000002</v>
      </c>
    </row>
    <row r="1010" spans="1:9">
      <c r="A1010" s="1">
        <v>1009</v>
      </c>
      <c r="B1010" s="1">
        <v>171</v>
      </c>
      <c r="C1010" s="1">
        <v>157</v>
      </c>
      <c r="D1010" s="2">
        <v>0.91810000000000003</v>
      </c>
      <c r="E1010" s="1">
        <v>14</v>
      </c>
      <c r="F1010" s="3">
        <v>2.199074074074074E-4</v>
      </c>
      <c r="G1010" s="3">
        <v>1.7824074074074075E-3</v>
      </c>
      <c r="H1010" s="3">
        <v>1.4699074074074074E-3</v>
      </c>
      <c r="I1010" s="2">
        <v>0.72619999999999996</v>
      </c>
    </row>
    <row r="1011" spans="1:9">
      <c r="A1011" s="1">
        <v>1010</v>
      </c>
      <c r="B1011" s="1">
        <v>153</v>
      </c>
      <c r="C1011" s="1">
        <v>124</v>
      </c>
      <c r="D1011" s="2">
        <v>0.8105</v>
      </c>
      <c r="E1011" s="1">
        <v>29</v>
      </c>
      <c r="F1011" s="3">
        <v>5.7870370370370367E-4</v>
      </c>
      <c r="G1011" s="3">
        <v>2.1296296296296298E-3</v>
      </c>
      <c r="H1011" s="3">
        <v>4.178240740740741E-3</v>
      </c>
      <c r="I1011" s="2">
        <v>0.45329999999999998</v>
      </c>
    </row>
    <row r="1012" spans="1:9">
      <c r="A1012" s="1">
        <v>1011</v>
      </c>
      <c r="B1012" s="1">
        <v>183</v>
      </c>
      <c r="C1012" s="1">
        <v>158</v>
      </c>
      <c r="D1012" s="2">
        <v>0.86339999999999995</v>
      </c>
      <c r="E1012" s="1">
        <v>25</v>
      </c>
      <c r="F1012" s="3">
        <v>3.8194444444444446E-4</v>
      </c>
      <c r="G1012" s="3">
        <v>1.9907407407407408E-3</v>
      </c>
      <c r="H1012" s="3">
        <v>3.5879629629629629E-3</v>
      </c>
      <c r="I1012" s="2">
        <v>0.51910000000000001</v>
      </c>
    </row>
    <row r="1013" spans="1:9">
      <c r="A1013" s="1">
        <v>1012</v>
      </c>
      <c r="B1013" s="1">
        <v>14</v>
      </c>
      <c r="C1013" s="1">
        <v>14</v>
      </c>
      <c r="D1013" s="2">
        <v>1</v>
      </c>
      <c r="E1013" s="1">
        <v>0</v>
      </c>
      <c r="F1013" s="3">
        <v>1.7361111111111112E-4</v>
      </c>
      <c r="G1013" s="3">
        <v>2.5810185185185185E-3</v>
      </c>
      <c r="H1013" s="3">
        <v>1.0648148148148149E-3</v>
      </c>
      <c r="I1013" s="2">
        <v>0.85709999999999997</v>
      </c>
    </row>
    <row r="1014" spans="1:9">
      <c r="A1014" s="1">
        <v>1013</v>
      </c>
      <c r="B1014" s="1">
        <v>18</v>
      </c>
      <c r="C1014" s="1">
        <v>18</v>
      </c>
      <c r="D1014" s="2">
        <v>1</v>
      </c>
      <c r="E1014" s="1">
        <v>0</v>
      </c>
      <c r="F1014" s="3">
        <v>3.4722222222222222E-5</v>
      </c>
      <c r="G1014" s="3">
        <v>2.0370370370370369E-3</v>
      </c>
      <c r="H1014" s="3">
        <v>6.9444444444444444E-5</v>
      </c>
      <c r="I1014" s="2">
        <v>1</v>
      </c>
    </row>
    <row r="1015" spans="1:9">
      <c r="A1015" s="1">
        <v>1014</v>
      </c>
      <c r="B1015" s="1">
        <v>159</v>
      </c>
      <c r="C1015" s="1">
        <v>148</v>
      </c>
      <c r="D1015" s="2">
        <v>0.93079999999999996</v>
      </c>
      <c r="E1015" s="1">
        <v>11</v>
      </c>
      <c r="F1015" s="3">
        <v>2.5462962962962961E-4</v>
      </c>
      <c r="G1015" s="3">
        <v>1.8055555555555555E-3</v>
      </c>
      <c r="H1015" s="3">
        <v>2.2569444444444442E-3</v>
      </c>
      <c r="I1015" s="2">
        <v>0.69430000000000003</v>
      </c>
    </row>
    <row r="1016" spans="1:9">
      <c r="A1016" s="1">
        <v>1015</v>
      </c>
      <c r="B1016" s="1">
        <v>143</v>
      </c>
      <c r="C1016" s="1">
        <v>134</v>
      </c>
      <c r="D1016" s="2">
        <v>0.93710000000000004</v>
      </c>
      <c r="E1016" s="1">
        <v>9</v>
      </c>
      <c r="F1016" s="3">
        <v>2.5462962962962961E-4</v>
      </c>
      <c r="G1016" s="3">
        <v>1.9791666666666668E-3</v>
      </c>
      <c r="H1016" s="3">
        <v>3.5879629629629629E-3</v>
      </c>
      <c r="I1016" s="2">
        <v>0.74099999999999999</v>
      </c>
    </row>
    <row r="1017" spans="1:9">
      <c r="A1017" s="1">
        <v>1016</v>
      </c>
      <c r="B1017" s="1">
        <v>195</v>
      </c>
      <c r="C1017" s="1">
        <v>175</v>
      </c>
      <c r="D1017" s="2">
        <v>0.89739999999999998</v>
      </c>
      <c r="E1017" s="1">
        <v>20</v>
      </c>
      <c r="F1017" s="3">
        <v>3.3564814814814812E-4</v>
      </c>
      <c r="G1017" s="3">
        <v>1.9328703703703704E-3</v>
      </c>
      <c r="H1017" s="3">
        <v>2.9050925925925928E-3</v>
      </c>
      <c r="I1017" s="2">
        <v>0.61580000000000001</v>
      </c>
    </row>
    <row r="1018" spans="1:9">
      <c r="A1018" s="1">
        <v>1017</v>
      </c>
      <c r="B1018" s="1">
        <v>194</v>
      </c>
      <c r="C1018" s="1">
        <v>150</v>
      </c>
      <c r="D1018" s="2">
        <v>0.7732</v>
      </c>
      <c r="E1018" s="1">
        <v>44</v>
      </c>
      <c r="F1018" s="3">
        <v>4.2824074074074075E-4</v>
      </c>
      <c r="G1018" s="3">
        <v>1.9328703703703704E-3</v>
      </c>
      <c r="H1018" s="3">
        <v>2.9745370370370373E-3</v>
      </c>
      <c r="I1018" s="2">
        <v>0.47339999999999999</v>
      </c>
    </row>
    <row r="1019" spans="1:9">
      <c r="A1019" s="1">
        <v>1018</v>
      </c>
      <c r="B1019" s="1">
        <v>390</v>
      </c>
      <c r="C1019" s="1">
        <v>362</v>
      </c>
      <c r="D1019" s="2">
        <v>0.92820000000000003</v>
      </c>
      <c r="E1019" s="1">
        <v>28</v>
      </c>
      <c r="F1019" s="3">
        <v>3.5879629629629629E-4</v>
      </c>
      <c r="G1019" s="3">
        <v>1.9675925925925924E-3</v>
      </c>
      <c r="H1019" s="3">
        <v>4.0046296296296297E-3</v>
      </c>
      <c r="I1019" s="2">
        <v>0.5948</v>
      </c>
    </row>
    <row r="1020" spans="1:9">
      <c r="A1020" s="1">
        <v>1019</v>
      </c>
      <c r="B1020" s="1">
        <v>238</v>
      </c>
      <c r="C1020" s="1">
        <v>205</v>
      </c>
      <c r="D1020" s="2">
        <v>0.86129999999999995</v>
      </c>
      <c r="E1020" s="1">
        <v>33</v>
      </c>
      <c r="F1020" s="3">
        <v>3.3564814814814812E-4</v>
      </c>
      <c r="G1020" s="3">
        <v>1.5972222222222223E-3</v>
      </c>
      <c r="H1020" s="3">
        <v>3.5879629629629629E-3</v>
      </c>
      <c r="I1020" s="2">
        <v>0.60870000000000002</v>
      </c>
    </row>
    <row r="1021" spans="1:9">
      <c r="A1021" s="1">
        <v>1020</v>
      </c>
      <c r="B1021" s="1">
        <v>29</v>
      </c>
      <c r="C1021" s="1">
        <v>28</v>
      </c>
      <c r="D1021" s="2">
        <v>0.96550000000000002</v>
      </c>
      <c r="E1021" s="1">
        <v>1</v>
      </c>
      <c r="F1021" s="3">
        <v>1.0416666666666667E-4</v>
      </c>
      <c r="G1021" s="3">
        <v>1.712962962962963E-3</v>
      </c>
      <c r="H1021" s="3">
        <v>7.5231481481481482E-4</v>
      </c>
      <c r="I1021" s="2">
        <v>0.89290000000000003</v>
      </c>
    </row>
    <row r="1022" spans="1:9">
      <c r="A1022" s="1">
        <v>1021</v>
      </c>
      <c r="B1022" s="1">
        <v>30</v>
      </c>
      <c r="C1022" s="1">
        <v>29</v>
      </c>
      <c r="D1022" s="2">
        <v>0.9667</v>
      </c>
      <c r="E1022" s="1">
        <v>1</v>
      </c>
      <c r="F1022" s="3">
        <v>2.199074074074074E-4</v>
      </c>
      <c r="G1022" s="3">
        <v>1.736111111111111E-3</v>
      </c>
      <c r="H1022" s="3">
        <v>1.7476851851851852E-3</v>
      </c>
      <c r="I1022" s="2">
        <v>0.83330000000000004</v>
      </c>
    </row>
    <row r="1023" spans="1:9">
      <c r="A1023" s="1">
        <v>1022</v>
      </c>
      <c r="B1023" s="1">
        <v>287</v>
      </c>
      <c r="C1023" s="1">
        <v>273</v>
      </c>
      <c r="D1023" s="2">
        <v>0.95120000000000005</v>
      </c>
      <c r="E1023" s="1">
        <v>14</v>
      </c>
      <c r="F1023" s="3">
        <v>1.8518518518518518E-4</v>
      </c>
      <c r="G1023" s="3">
        <v>1.6203703703703703E-3</v>
      </c>
      <c r="H1023" s="3">
        <v>2.1527777777777778E-3</v>
      </c>
      <c r="I1023" s="2">
        <v>0.79</v>
      </c>
    </row>
    <row r="1024" spans="1:9">
      <c r="A1024" s="1">
        <v>1023</v>
      </c>
      <c r="B1024" s="1">
        <v>474</v>
      </c>
      <c r="C1024" s="1">
        <v>380</v>
      </c>
      <c r="D1024" s="2">
        <v>0.80169999999999997</v>
      </c>
      <c r="E1024" s="1">
        <v>94</v>
      </c>
      <c r="F1024" s="3">
        <v>4.5138888888888887E-4</v>
      </c>
      <c r="G1024" s="3">
        <v>1.4814814814814814E-3</v>
      </c>
      <c r="H1024" s="3">
        <v>5.5324074074074078E-3</v>
      </c>
      <c r="I1024" s="2">
        <v>0.47420000000000001</v>
      </c>
    </row>
    <row r="1025" spans="1:9">
      <c r="A1025" s="1">
        <v>1024</v>
      </c>
      <c r="B1025" s="1">
        <v>277</v>
      </c>
      <c r="C1025" s="1">
        <v>230</v>
      </c>
      <c r="D1025" s="2">
        <v>0.83030000000000004</v>
      </c>
      <c r="E1025" s="1">
        <v>47</v>
      </c>
      <c r="F1025" s="3">
        <v>4.6296296296296298E-4</v>
      </c>
      <c r="G1025" s="3">
        <v>1.9907407407407408E-3</v>
      </c>
      <c r="H1025" s="3">
        <v>4.31712962962963E-3</v>
      </c>
      <c r="I1025" s="2">
        <v>0.46179999999999999</v>
      </c>
    </row>
    <row r="1026" spans="1:9">
      <c r="A1026" s="1">
        <v>1025</v>
      </c>
      <c r="B1026" s="1">
        <v>173</v>
      </c>
      <c r="C1026" s="1">
        <v>163</v>
      </c>
      <c r="D1026" s="2">
        <v>0.94220000000000004</v>
      </c>
      <c r="E1026" s="1">
        <v>10</v>
      </c>
      <c r="F1026" s="3">
        <v>1.9675925925925926E-4</v>
      </c>
      <c r="G1026" s="3">
        <v>1.9212962962962964E-3</v>
      </c>
      <c r="H1026" s="3">
        <v>1.8981481481481482E-3</v>
      </c>
      <c r="I1026" s="2">
        <v>0.77190000000000003</v>
      </c>
    </row>
    <row r="1027" spans="1:9">
      <c r="A1027" s="1">
        <v>1026</v>
      </c>
      <c r="B1027" s="1">
        <v>167</v>
      </c>
      <c r="C1027" s="1">
        <v>152</v>
      </c>
      <c r="D1027" s="2">
        <v>0.91020000000000001</v>
      </c>
      <c r="E1027" s="1">
        <v>15</v>
      </c>
      <c r="F1027" s="3">
        <v>1.5046296296296297E-4</v>
      </c>
      <c r="G1027" s="3">
        <v>1.8171296296296297E-3</v>
      </c>
      <c r="H1027" s="3">
        <v>3.5879629629629629E-3</v>
      </c>
      <c r="I1027" s="2">
        <v>0.84150000000000003</v>
      </c>
    </row>
    <row r="1028" spans="1:9">
      <c r="A1028" s="1">
        <v>1027</v>
      </c>
      <c r="B1028" s="1">
        <v>27</v>
      </c>
      <c r="C1028" s="1">
        <v>24</v>
      </c>
      <c r="D1028" s="2">
        <v>0.88890000000000002</v>
      </c>
      <c r="E1028" s="1">
        <v>3</v>
      </c>
      <c r="F1028" s="3">
        <v>2.3148148148148149E-4</v>
      </c>
      <c r="G1028" s="3">
        <v>1.4467592592592592E-3</v>
      </c>
      <c r="H1028" s="3">
        <v>2.5810185185185185E-3</v>
      </c>
      <c r="I1028" s="2">
        <v>0.76919999999999999</v>
      </c>
    </row>
    <row r="1029" spans="1:9">
      <c r="A1029" s="1">
        <v>1028</v>
      </c>
      <c r="B1029" s="1">
        <v>173</v>
      </c>
      <c r="C1029" s="1">
        <v>153</v>
      </c>
      <c r="D1029" s="2">
        <v>0.88439999999999996</v>
      </c>
      <c r="E1029" s="1">
        <v>20</v>
      </c>
      <c r="F1029" s="3">
        <v>3.3564814814814812E-4</v>
      </c>
      <c r="G1029" s="3">
        <v>1.9212962962962964E-3</v>
      </c>
      <c r="H1029" s="3">
        <v>2.1527777777777778E-3</v>
      </c>
      <c r="I1029" s="2">
        <v>0.57989999999999997</v>
      </c>
    </row>
    <row r="1030" spans="1:9">
      <c r="A1030" s="1">
        <v>1029</v>
      </c>
      <c r="B1030" s="1">
        <v>36</v>
      </c>
      <c r="C1030" s="1">
        <v>27</v>
      </c>
      <c r="D1030" s="2">
        <v>0.75</v>
      </c>
      <c r="E1030" s="1">
        <v>9</v>
      </c>
      <c r="F1030" s="3">
        <v>4.1666666666666669E-4</v>
      </c>
      <c r="G1030" s="3">
        <v>2.0254629629629629E-3</v>
      </c>
      <c r="H1030" s="3">
        <v>2.7430555555555554E-3</v>
      </c>
      <c r="I1030" s="2">
        <v>0.41670000000000001</v>
      </c>
    </row>
    <row r="1031" spans="1:9">
      <c r="A1031" s="1">
        <v>1030</v>
      </c>
      <c r="B1031" s="1">
        <v>186</v>
      </c>
      <c r="C1031" s="1">
        <v>171</v>
      </c>
      <c r="D1031" s="2">
        <v>0.9194</v>
      </c>
      <c r="E1031" s="1">
        <v>15</v>
      </c>
      <c r="F1031" s="3">
        <v>3.1250000000000001E-4</v>
      </c>
      <c r="G1031" s="3">
        <v>1.9560185185185184E-3</v>
      </c>
      <c r="H1031" s="3">
        <v>2.4074074074074076E-3</v>
      </c>
      <c r="I1031" s="2">
        <v>0.64480000000000004</v>
      </c>
    </row>
    <row r="1032" spans="1:9">
      <c r="A1032" s="1">
        <v>1031</v>
      </c>
      <c r="B1032" s="1">
        <v>160</v>
      </c>
      <c r="C1032" s="1">
        <v>149</v>
      </c>
      <c r="D1032" s="2">
        <v>0.93130000000000002</v>
      </c>
      <c r="E1032" s="1">
        <v>11</v>
      </c>
      <c r="F1032" s="3">
        <v>2.6620370370370372E-4</v>
      </c>
      <c r="G1032" s="3">
        <v>1.9328703703703704E-3</v>
      </c>
      <c r="H1032" s="3">
        <v>3.3796296296296296E-3</v>
      </c>
      <c r="I1032" s="2">
        <v>0.74050000000000005</v>
      </c>
    </row>
    <row r="1033" spans="1:9">
      <c r="A1033" s="1">
        <v>1032</v>
      </c>
      <c r="B1033" s="1">
        <v>233</v>
      </c>
      <c r="C1033" s="1">
        <v>215</v>
      </c>
      <c r="D1033" s="2">
        <v>0.92269999999999996</v>
      </c>
      <c r="E1033" s="1">
        <v>18</v>
      </c>
      <c r="F1033" s="3">
        <v>2.5462962962962961E-4</v>
      </c>
      <c r="G1033" s="3">
        <v>1.7824074074074075E-3</v>
      </c>
      <c r="H1033" s="3">
        <v>5.6481481481481478E-3</v>
      </c>
      <c r="I1033" s="2">
        <v>0.74119999999999997</v>
      </c>
    </row>
    <row r="1034" spans="1:9">
      <c r="A1034" s="1">
        <v>1033</v>
      </c>
      <c r="B1034" s="1">
        <v>162</v>
      </c>
      <c r="C1034" s="1">
        <v>157</v>
      </c>
      <c r="D1034" s="2">
        <v>0.96909999999999996</v>
      </c>
      <c r="E1034" s="1">
        <v>5</v>
      </c>
      <c r="F1034" s="3">
        <v>1.5046296296296297E-4</v>
      </c>
      <c r="G1034" s="3">
        <v>1.7592592592592592E-3</v>
      </c>
      <c r="H1034" s="3">
        <v>3.5879629629629629E-3</v>
      </c>
      <c r="I1034" s="2">
        <v>0.82720000000000005</v>
      </c>
    </row>
    <row r="1035" spans="1:9">
      <c r="A1035" s="1">
        <v>1034</v>
      </c>
      <c r="B1035" s="1">
        <v>27</v>
      </c>
      <c r="C1035" s="1">
        <v>24</v>
      </c>
      <c r="D1035" s="2">
        <v>0.88890000000000002</v>
      </c>
      <c r="E1035" s="1">
        <v>3</v>
      </c>
      <c r="F1035" s="3">
        <v>2.0833333333333335E-4</v>
      </c>
      <c r="G1035" s="3">
        <v>1.5046296296296296E-3</v>
      </c>
      <c r="H1035" s="3">
        <v>2.673611111111111E-3</v>
      </c>
      <c r="I1035" s="2">
        <v>0.70369999999999999</v>
      </c>
    </row>
    <row r="1036" spans="1:9">
      <c r="A1036" s="1">
        <v>1035</v>
      </c>
      <c r="B1036" s="1">
        <v>168</v>
      </c>
      <c r="C1036" s="1">
        <v>155</v>
      </c>
      <c r="D1036" s="2">
        <v>0.92259999999999998</v>
      </c>
      <c r="E1036" s="1">
        <v>13</v>
      </c>
      <c r="F1036" s="3">
        <v>3.0092592592592595E-4</v>
      </c>
      <c r="G1036" s="3">
        <v>2.2916666666666667E-3</v>
      </c>
      <c r="H1036" s="3">
        <v>2.1759259259259258E-3</v>
      </c>
      <c r="I1036" s="2">
        <v>0.64880000000000004</v>
      </c>
    </row>
    <row r="1037" spans="1:9">
      <c r="A1037" s="1">
        <v>1036</v>
      </c>
      <c r="B1037" s="1">
        <v>328</v>
      </c>
      <c r="C1037" s="1">
        <v>301</v>
      </c>
      <c r="D1037" s="2">
        <v>0.91769999999999996</v>
      </c>
      <c r="E1037" s="1">
        <v>27</v>
      </c>
      <c r="F1037" s="3">
        <v>2.6620370370370372E-4</v>
      </c>
      <c r="G1037" s="3">
        <v>1.724537037037037E-3</v>
      </c>
      <c r="H1037" s="3">
        <v>4.8495370370370368E-3</v>
      </c>
      <c r="I1037" s="2">
        <v>0.67910000000000004</v>
      </c>
    </row>
    <row r="1038" spans="1:9">
      <c r="A1038" s="1">
        <v>1037</v>
      </c>
      <c r="B1038" s="1">
        <v>234</v>
      </c>
      <c r="C1038" s="1">
        <v>208</v>
      </c>
      <c r="D1038" s="2">
        <v>0.88890000000000002</v>
      </c>
      <c r="E1038" s="1">
        <v>26</v>
      </c>
      <c r="F1038" s="3">
        <v>2.3148148148148149E-4</v>
      </c>
      <c r="G1038" s="3">
        <v>1.8981481481481482E-3</v>
      </c>
      <c r="H1038" s="3">
        <v>3.6805555555555554E-3</v>
      </c>
      <c r="I1038" s="2">
        <v>0.72250000000000003</v>
      </c>
    </row>
    <row r="1039" spans="1:9">
      <c r="A1039" s="1">
        <v>1038</v>
      </c>
      <c r="B1039" s="1">
        <v>37</v>
      </c>
      <c r="C1039" s="1">
        <v>34</v>
      </c>
      <c r="D1039" s="2">
        <v>0.91890000000000005</v>
      </c>
      <c r="E1039" s="1">
        <v>3</v>
      </c>
      <c r="F1039" s="3">
        <v>1.6203703703703703E-4</v>
      </c>
      <c r="G1039" s="3">
        <v>1.5740740740740741E-3</v>
      </c>
      <c r="H1039" s="3">
        <v>2.5925925925925925E-3</v>
      </c>
      <c r="I1039" s="2">
        <v>0.83779999999999999</v>
      </c>
    </row>
    <row r="1040" spans="1:9">
      <c r="A1040" s="1">
        <v>1039</v>
      </c>
      <c r="B1040" s="1">
        <v>185</v>
      </c>
      <c r="C1040" s="1">
        <v>167</v>
      </c>
      <c r="D1040" s="2">
        <v>0.90269999999999995</v>
      </c>
      <c r="E1040" s="1">
        <v>18</v>
      </c>
      <c r="F1040" s="3">
        <v>2.0833333333333335E-4</v>
      </c>
      <c r="G1040" s="3">
        <v>1.8865740740740742E-3</v>
      </c>
      <c r="H1040" s="3">
        <v>4.3055555555555555E-3</v>
      </c>
      <c r="I1040" s="2">
        <v>0.73509999999999998</v>
      </c>
    </row>
    <row r="1041" spans="1:9">
      <c r="A1041" s="1">
        <v>1040</v>
      </c>
      <c r="B1041" s="1">
        <v>139</v>
      </c>
      <c r="C1041" s="1">
        <v>132</v>
      </c>
      <c r="D1041" s="2">
        <v>0.9496</v>
      </c>
      <c r="E1041" s="1">
        <v>7</v>
      </c>
      <c r="F1041" s="3">
        <v>1.1574074074074075E-4</v>
      </c>
      <c r="G1041" s="3">
        <v>2.0486111111111113E-3</v>
      </c>
      <c r="H1041" s="3">
        <v>2.4074074074074076E-3</v>
      </c>
      <c r="I1041" s="2">
        <v>0.88319999999999999</v>
      </c>
    </row>
    <row r="1042" spans="1:9">
      <c r="A1042" s="1">
        <v>1041</v>
      </c>
      <c r="B1042" s="1">
        <v>13</v>
      </c>
      <c r="C1042" s="1">
        <v>11</v>
      </c>
      <c r="D1042" s="2">
        <v>0.84619999999999995</v>
      </c>
      <c r="E1042" s="1">
        <v>2</v>
      </c>
      <c r="F1042" s="3">
        <v>5.3240740740740744E-4</v>
      </c>
      <c r="G1042" s="3">
        <v>1.4699074074074074E-3</v>
      </c>
      <c r="H1042" s="3">
        <v>1.7939814814814815E-3</v>
      </c>
      <c r="I1042" s="2">
        <v>0.41670000000000001</v>
      </c>
    </row>
    <row r="1043" spans="1:9">
      <c r="A1043" s="1">
        <v>1042</v>
      </c>
      <c r="B1043" s="1">
        <v>161</v>
      </c>
      <c r="C1043" s="1">
        <v>152</v>
      </c>
      <c r="D1043" s="2">
        <v>0.94410000000000005</v>
      </c>
      <c r="E1043" s="1">
        <v>9</v>
      </c>
      <c r="F1043" s="3">
        <v>2.6620370370370372E-4</v>
      </c>
      <c r="G1043" s="3">
        <v>1.712962962962963E-3</v>
      </c>
      <c r="H1043" s="3">
        <v>1.9907407407407408E-3</v>
      </c>
      <c r="I1043" s="2">
        <v>0.69620000000000004</v>
      </c>
    </row>
    <row r="1044" spans="1:9">
      <c r="A1044" s="1">
        <v>1043</v>
      </c>
      <c r="B1044" s="1">
        <v>149</v>
      </c>
      <c r="C1044" s="1">
        <v>144</v>
      </c>
      <c r="D1044" s="2">
        <v>0.96640000000000004</v>
      </c>
      <c r="E1044" s="1">
        <v>5</v>
      </c>
      <c r="F1044" s="3">
        <v>1.7361111111111112E-4</v>
      </c>
      <c r="G1044" s="3">
        <v>1.9212962962962964E-3</v>
      </c>
      <c r="H1044" s="3">
        <v>2.0949074074074073E-3</v>
      </c>
      <c r="I1044" s="2">
        <v>0.83109999999999995</v>
      </c>
    </row>
    <row r="1045" spans="1:9">
      <c r="A1045" s="1">
        <v>1044</v>
      </c>
      <c r="B1045" s="1">
        <v>178</v>
      </c>
      <c r="C1045" s="1">
        <v>167</v>
      </c>
      <c r="D1045" s="2">
        <v>0.93820000000000003</v>
      </c>
      <c r="E1045" s="1">
        <v>11</v>
      </c>
      <c r="F1045" s="3">
        <v>2.5462962962962961E-4</v>
      </c>
      <c r="G1045" s="3">
        <v>1.8749999999999999E-3</v>
      </c>
      <c r="H1045" s="3">
        <v>3.7499999999999999E-3</v>
      </c>
      <c r="I1045" s="2">
        <v>0.74860000000000004</v>
      </c>
    </row>
    <row r="1046" spans="1:9">
      <c r="A1046" s="1">
        <v>1045</v>
      </c>
      <c r="B1046" s="1">
        <v>224</v>
      </c>
      <c r="C1046" s="1">
        <v>210</v>
      </c>
      <c r="D1046" s="2">
        <v>0.9375</v>
      </c>
      <c r="E1046" s="1">
        <v>14</v>
      </c>
      <c r="F1046" s="3">
        <v>2.4305555555555555E-4</v>
      </c>
      <c r="G1046" s="3">
        <v>2.0833333333333333E-3</v>
      </c>
      <c r="H1046" s="3">
        <v>3.3217592592592591E-3</v>
      </c>
      <c r="I1046" s="2">
        <v>0.72519999999999996</v>
      </c>
    </row>
    <row r="1047" spans="1:9">
      <c r="A1047" s="1">
        <v>1046</v>
      </c>
      <c r="B1047" s="1">
        <v>277</v>
      </c>
      <c r="C1047" s="1">
        <v>273</v>
      </c>
      <c r="D1047" s="2">
        <v>0.98560000000000003</v>
      </c>
      <c r="E1047" s="1">
        <v>4</v>
      </c>
      <c r="F1047" s="3">
        <v>1.1574074074074075E-4</v>
      </c>
      <c r="G1047" s="3">
        <v>1.3888888888888889E-3</v>
      </c>
      <c r="H1047" s="3">
        <v>1.4236111111111112E-3</v>
      </c>
      <c r="I1047" s="2">
        <v>0.89739999999999998</v>
      </c>
    </row>
    <row r="1048" spans="1:9">
      <c r="A1048" s="1">
        <v>1047</v>
      </c>
      <c r="B1048" s="1">
        <v>188</v>
      </c>
      <c r="C1048" s="1">
        <v>172</v>
      </c>
      <c r="D1048" s="2">
        <v>0.91490000000000005</v>
      </c>
      <c r="E1048" s="1">
        <v>16</v>
      </c>
      <c r="F1048" s="3">
        <v>2.3148148148148149E-4</v>
      </c>
      <c r="G1048" s="3">
        <v>1.8634259259259259E-3</v>
      </c>
      <c r="H1048" s="3">
        <v>2.5000000000000001E-3</v>
      </c>
      <c r="I1048" s="2">
        <v>0.72189999999999999</v>
      </c>
    </row>
    <row r="1049" spans="1:9">
      <c r="A1049" s="1">
        <v>1048</v>
      </c>
      <c r="B1049" s="1">
        <v>26</v>
      </c>
      <c r="C1049" s="1">
        <v>22</v>
      </c>
      <c r="D1049" s="2">
        <v>0.84619999999999995</v>
      </c>
      <c r="E1049" s="1">
        <v>4</v>
      </c>
      <c r="F1049" s="3">
        <v>3.9351851851851852E-4</v>
      </c>
      <c r="G1049" s="3">
        <v>1.6550925925925926E-3</v>
      </c>
      <c r="H1049" s="3">
        <v>4.3750000000000004E-3</v>
      </c>
      <c r="I1049" s="2">
        <v>0.68</v>
      </c>
    </row>
    <row r="1050" spans="1:9">
      <c r="A1050" s="1">
        <v>1049</v>
      </c>
      <c r="B1050" s="1">
        <v>177</v>
      </c>
      <c r="C1050" s="1">
        <v>167</v>
      </c>
      <c r="D1050" s="2">
        <v>0.94350000000000001</v>
      </c>
      <c r="E1050" s="1">
        <v>10</v>
      </c>
      <c r="F1050" s="3">
        <v>4.0509259259259258E-4</v>
      </c>
      <c r="G1050" s="3">
        <v>2.0370370370370369E-3</v>
      </c>
      <c r="H1050" s="3">
        <v>2.2569444444444442E-3</v>
      </c>
      <c r="I1050" s="2">
        <v>0.5625</v>
      </c>
    </row>
    <row r="1051" spans="1:9">
      <c r="A1051" s="1">
        <v>1050</v>
      </c>
      <c r="B1051" s="1">
        <v>149</v>
      </c>
      <c r="C1051" s="1">
        <v>144</v>
      </c>
      <c r="D1051" s="2">
        <v>0.96640000000000004</v>
      </c>
      <c r="E1051" s="1">
        <v>5</v>
      </c>
      <c r="F1051" s="3">
        <v>3.2407407407407406E-4</v>
      </c>
      <c r="G1051" s="3">
        <v>1.9328703703703704E-3</v>
      </c>
      <c r="H1051" s="3">
        <v>2.638888888888889E-3</v>
      </c>
      <c r="I1051" s="2">
        <v>0.66220000000000001</v>
      </c>
    </row>
    <row r="1052" spans="1:9">
      <c r="A1052" s="1">
        <v>1051</v>
      </c>
      <c r="B1052" s="1">
        <v>147</v>
      </c>
      <c r="C1052" s="1">
        <v>147</v>
      </c>
      <c r="D1052" s="2">
        <v>1</v>
      </c>
      <c r="E1052" s="1">
        <v>0</v>
      </c>
      <c r="F1052" s="3">
        <v>1.273148148148148E-4</v>
      </c>
      <c r="G1052" s="3">
        <v>1.9791666666666668E-3</v>
      </c>
      <c r="H1052" s="3">
        <v>1.4236111111111112E-3</v>
      </c>
      <c r="I1052" s="2">
        <v>0.85709999999999997</v>
      </c>
    </row>
    <row r="1053" spans="1:9">
      <c r="A1053" s="1">
        <v>1052</v>
      </c>
      <c r="B1053" s="1">
        <v>140</v>
      </c>
      <c r="C1053" s="1">
        <v>134</v>
      </c>
      <c r="D1053" s="2">
        <v>0.95709999999999995</v>
      </c>
      <c r="E1053" s="1">
        <v>6</v>
      </c>
      <c r="F1053" s="3">
        <v>2.199074074074074E-4</v>
      </c>
      <c r="G1053" s="3">
        <v>1.8981481481481482E-3</v>
      </c>
      <c r="H1053" s="3">
        <v>5.7754629629629631E-3</v>
      </c>
      <c r="I1053" s="2">
        <v>0.78569999999999995</v>
      </c>
    </row>
    <row r="1054" spans="1:9">
      <c r="A1054" s="1">
        <v>1053</v>
      </c>
      <c r="B1054" s="1">
        <v>177</v>
      </c>
      <c r="C1054" s="1">
        <v>163</v>
      </c>
      <c r="D1054" s="2">
        <v>0.92090000000000005</v>
      </c>
      <c r="E1054" s="1">
        <v>14</v>
      </c>
      <c r="F1054" s="3">
        <v>2.199074074074074E-4</v>
      </c>
      <c r="G1054" s="3">
        <v>1.7939814814814815E-3</v>
      </c>
      <c r="H1054" s="3">
        <v>5.0462962962962961E-3</v>
      </c>
      <c r="I1054" s="2">
        <v>0.7571</v>
      </c>
    </row>
    <row r="1055" spans="1:9">
      <c r="A1055" s="1">
        <v>1054</v>
      </c>
      <c r="B1055" s="1">
        <v>169</v>
      </c>
      <c r="C1055" s="1">
        <v>169</v>
      </c>
      <c r="D1055" s="2">
        <v>1</v>
      </c>
      <c r="E1055" s="1">
        <v>0</v>
      </c>
      <c r="F1055" s="3">
        <v>1.0416666666666667E-4</v>
      </c>
      <c r="G1055" s="3">
        <v>1.9097222222222222E-3</v>
      </c>
      <c r="H1055" s="3">
        <v>7.5231481481481482E-4</v>
      </c>
      <c r="I1055" s="2">
        <v>0.89939999999999998</v>
      </c>
    </row>
    <row r="1056" spans="1:9">
      <c r="A1056" s="1">
        <v>1055</v>
      </c>
      <c r="B1056" s="1">
        <v>26</v>
      </c>
      <c r="C1056" s="1">
        <v>21</v>
      </c>
      <c r="D1056" s="2">
        <v>0.80769999999999997</v>
      </c>
      <c r="E1056" s="1">
        <v>5</v>
      </c>
      <c r="F1056" s="3">
        <v>3.1250000000000001E-4</v>
      </c>
      <c r="G1056" s="3">
        <v>1.712962962962963E-3</v>
      </c>
      <c r="H1056" s="3">
        <v>1.4351851851851852E-3</v>
      </c>
      <c r="I1056" s="2">
        <v>0.48</v>
      </c>
    </row>
    <row r="1057" spans="1:9">
      <c r="A1057" s="1">
        <v>1056</v>
      </c>
      <c r="B1057" s="1">
        <v>147</v>
      </c>
      <c r="C1057" s="1">
        <v>140</v>
      </c>
      <c r="D1057" s="2">
        <v>0.95240000000000002</v>
      </c>
      <c r="E1057" s="1">
        <v>7</v>
      </c>
      <c r="F1057" s="3">
        <v>1.3888888888888889E-4</v>
      </c>
      <c r="G1057" s="3">
        <v>1.9444444444444444E-3</v>
      </c>
      <c r="H1057" s="3">
        <v>1.5162037037037036E-3</v>
      </c>
      <c r="I1057" s="2">
        <v>0.85519999999999996</v>
      </c>
    </row>
    <row r="1058" spans="1:9">
      <c r="A1058" s="1">
        <v>1057</v>
      </c>
      <c r="B1058" s="1">
        <v>127</v>
      </c>
      <c r="C1058" s="1">
        <v>122</v>
      </c>
      <c r="D1058" s="2">
        <v>0.96060000000000001</v>
      </c>
      <c r="E1058" s="1">
        <v>5</v>
      </c>
      <c r="F1058" s="3">
        <v>2.4305555555555555E-4</v>
      </c>
      <c r="G1058" s="3">
        <v>1.9444444444444444E-3</v>
      </c>
      <c r="H1058" s="3">
        <v>1.4699074074074074E-3</v>
      </c>
      <c r="I1058" s="2">
        <v>0.7087</v>
      </c>
    </row>
    <row r="1059" spans="1:9">
      <c r="A1059" s="1">
        <v>1058</v>
      </c>
      <c r="B1059" s="1">
        <v>141</v>
      </c>
      <c r="C1059" s="1">
        <v>135</v>
      </c>
      <c r="D1059" s="2">
        <v>0.95740000000000003</v>
      </c>
      <c r="E1059" s="1">
        <v>6</v>
      </c>
      <c r="F1059" s="3">
        <v>1.9675925925925926E-4</v>
      </c>
      <c r="G1059" s="3">
        <v>1.7013888888888888E-3</v>
      </c>
      <c r="H1059" s="3">
        <v>2.8703703703703703E-3</v>
      </c>
      <c r="I1059" s="2">
        <v>0.78010000000000002</v>
      </c>
    </row>
    <row r="1060" spans="1:9">
      <c r="A1060" s="1">
        <v>1059</v>
      </c>
      <c r="B1060" s="1">
        <v>208</v>
      </c>
      <c r="C1060" s="1">
        <v>181</v>
      </c>
      <c r="D1060" s="2">
        <v>0.87019999999999997</v>
      </c>
      <c r="E1060" s="1">
        <v>27</v>
      </c>
      <c r="F1060" s="3">
        <v>4.3981481481481481E-4</v>
      </c>
      <c r="G1060" s="3">
        <v>1.8402777777777777E-3</v>
      </c>
      <c r="H1060" s="3">
        <v>2.8703703703703703E-3</v>
      </c>
      <c r="I1060" s="2">
        <v>0.49020000000000002</v>
      </c>
    </row>
    <row r="1061" spans="1:9">
      <c r="A1061" s="1">
        <v>1060</v>
      </c>
      <c r="B1061" s="1">
        <v>178</v>
      </c>
      <c r="C1061" s="1">
        <v>163</v>
      </c>
      <c r="D1061" s="2">
        <v>0.91569999999999996</v>
      </c>
      <c r="E1061" s="1">
        <v>15</v>
      </c>
      <c r="F1061" s="3">
        <v>3.8194444444444446E-4</v>
      </c>
      <c r="G1061" s="3">
        <v>2.0138888888888888E-3</v>
      </c>
      <c r="H1061" s="3">
        <v>3.449074074074074E-3</v>
      </c>
      <c r="I1061" s="2">
        <v>0.54800000000000004</v>
      </c>
    </row>
    <row r="1062" spans="1:9">
      <c r="A1062" s="1">
        <v>1061</v>
      </c>
      <c r="B1062" s="1">
        <v>198</v>
      </c>
      <c r="C1062" s="1">
        <v>190</v>
      </c>
      <c r="D1062" s="2">
        <v>0.95960000000000001</v>
      </c>
      <c r="E1062" s="1">
        <v>8</v>
      </c>
      <c r="F1062" s="3">
        <v>2.8935185185185184E-4</v>
      </c>
      <c r="G1062" s="3">
        <v>1.7592592592592592E-3</v>
      </c>
      <c r="H1062" s="3">
        <v>1.6435185185185185E-3</v>
      </c>
      <c r="I1062" s="2">
        <v>0.67010000000000003</v>
      </c>
    </row>
    <row r="1063" spans="1:9">
      <c r="A1063" s="1">
        <v>1062</v>
      </c>
      <c r="B1063" s="1">
        <v>21</v>
      </c>
      <c r="C1063" s="1">
        <v>17</v>
      </c>
      <c r="D1063" s="2">
        <v>0.8095</v>
      </c>
      <c r="E1063" s="1">
        <v>4</v>
      </c>
      <c r="F1063" s="3">
        <v>5.0925925925925921E-4</v>
      </c>
      <c r="G1063" s="3">
        <v>2.4421296296296296E-3</v>
      </c>
      <c r="H1063" s="3">
        <v>3.2060185185185186E-3</v>
      </c>
      <c r="I1063" s="2">
        <v>0.47620000000000001</v>
      </c>
    </row>
    <row r="1064" spans="1:9">
      <c r="A1064" s="1">
        <v>1063</v>
      </c>
      <c r="B1064" s="1">
        <v>171</v>
      </c>
      <c r="C1064" s="1">
        <v>161</v>
      </c>
      <c r="D1064" s="2">
        <v>0.9415</v>
      </c>
      <c r="E1064" s="1">
        <v>10</v>
      </c>
      <c r="F1064" s="3">
        <v>1.8518518518518518E-4</v>
      </c>
      <c r="G1064" s="3">
        <v>1.7939814814814815E-3</v>
      </c>
      <c r="H1064" s="3">
        <v>4.3287037037037035E-3</v>
      </c>
      <c r="I1064" s="2">
        <v>0.81440000000000001</v>
      </c>
    </row>
    <row r="1065" spans="1:9">
      <c r="A1065" s="1">
        <v>1064</v>
      </c>
      <c r="B1065" s="1">
        <v>200</v>
      </c>
      <c r="C1065" s="1">
        <v>196</v>
      </c>
      <c r="D1065" s="2">
        <v>0.98</v>
      </c>
      <c r="E1065" s="1">
        <v>4</v>
      </c>
      <c r="F1065" s="3">
        <v>1.0416666666666667E-4</v>
      </c>
      <c r="G1065" s="3">
        <v>1.9791666666666668E-3</v>
      </c>
      <c r="H1065" s="3">
        <v>1.4004629629629629E-3</v>
      </c>
      <c r="I1065" s="2">
        <v>0.91920000000000002</v>
      </c>
    </row>
    <row r="1066" spans="1:9">
      <c r="A1066" s="1">
        <v>1065</v>
      </c>
      <c r="B1066" s="1">
        <v>166</v>
      </c>
      <c r="C1066" s="1">
        <v>157</v>
      </c>
      <c r="D1066" s="2">
        <v>0.94579999999999997</v>
      </c>
      <c r="E1066" s="1">
        <v>9</v>
      </c>
      <c r="F1066" s="3">
        <v>2.7777777777777778E-4</v>
      </c>
      <c r="G1066" s="3">
        <v>1.8518518518518519E-3</v>
      </c>
      <c r="H1066" s="3">
        <v>1.3194444444444445E-3</v>
      </c>
      <c r="I1066" s="2">
        <v>0.64629999999999999</v>
      </c>
    </row>
    <row r="1067" spans="1:9">
      <c r="A1067" s="1">
        <v>1066</v>
      </c>
      <c r="B1067" s="1">
        <v>230</v>
      </c>
      <c r="C1067" s="1">
        <v>217</v>
      </c>
      <c r="D1067" s="2">
        <v>0.94350000000000001</v>
      </c>
      <c r="E1067" s="1">
        <v>13</v>
      </c>
      <c r="F1067" s="3">
        <v>3.1250000000000001E-4</v>
      </c>
      <c r="G1067" s="3">
        <v>1.8402777777777777E-3</v>
      </c>
      <c r="H1067" s="3">
        <v>1.4236111111111112E-3</v>
      </c>
      <c r="I1067" s="2">
        <v>0.57210000000000005</v>
      </c>
    </row>
    <row r="1068" spans="1:9">
      <c r="A1068" s="1">
        <v>1067</v>
      </c>
      <c r="B1068" s="1">
        <v>174</v>
      </c>
      <c r="C1068" s="1">
        <v>168</v>
      </c>
      <c r="D1068" s="2">
        <v>0.96550000000000002</v>
      </c>
      <c r="E1068" s="1">
        <v>6</v>
      </c>
      <c r="F1068" s="3">
        <v>2.7777777777777778E-4</v>
      </c>
      <c r="G1068" s="3">
        <v>2.0486111111111113E-3</v>
      </c>
      <c r="H1068" s="3">
        <v>2.0138888888888888E-3</v>
      </c>
      <c r="I1068" s="2">
        <v>0.69589999999999996</v>
      </c>
    </row>
    <row r="1069" spans="1:9">
      <c r="A1069" s="1">
        <v>1068</v>
      </c>
      <c r="B1069" s="1">
        <v>240</v>
      </c>
      <c r="C1069" s="1">
        <v>185</v>
      </c>
      <c r="D1069" s="2">
        <v>0.77080000000000004</v>
      </c>
      <c r="E1069" s="1">
        <v>55</v>
      </c>
      <c r="F1069" s="3">
        <v>6.9444444444444447E-4</v>
      </c>
      <c r="G1069" s="3">
        <v>2.1064814814814813E-3</v>
      </c>
      <c r="H1069" s="3">
        <v>3.472222222222222E-3</v>
      </c>
      <c r="I1069" s="2">
        <v>0.2979</v>
      </c>
    </row>
    <row r="1070" spans="1:9">
      <c r="A1070" s="1">
        <v>1069</v>
      </c>
      <c r="B1070" s="1">
        <v>35</v>
      </c>
      <c r="C1070" s="1">
        <v>27</v>
      </c>
      <c r="D1070" s="2">
        <v>0.77139999999999997</v>
      </c>
      <c r="E1070" s="1">
        <v>8</v>
      </c>
      <c r="F1070" s="3">
        <v>5.5555555555555556E-4</v>
      </c>
      <c r="G1070" s="3">
        <v>2.0370370370370369E-3</v>
      </c>
      <c r="H1070" s="3">
        <v>2.6967592592592594E-3</v>
      </c>
      <c r="I1070" s="2">
        <v>0.43330000000000002</v>
      </c>
    </row>
    <row r="1071" spans="1:9">
      <c r="A1071" s="1">
        <v>1070</v>
      </c>
      <c r="B1071" s="1">
        <v>198</v>
      </c>
      <c r="C1071" s="1">
        <v>179</v>
      </c>
      <c r="D1071" s="2">
        <v>0.90400000000000003</v>
      </c>
      <c r="E1071" s="1">
        <v>19</v>
      </c>
      <c r="F1071" s="3">
        <v>3.1250000000000001E-4</v>
      </c>
      <c r="G1071" s="3">
        <v>1.8634259259259259E-3</v>
      </c>
      <c r="H1071" s="3">
        <v>6.7129629629629631E-3</v>
      </c>
      <c r="I1071" s="2">
        <v>0.60099999999999998</v>
      </c>
    </row>
    <row r="1072" spans="1:9">
      <c r="A1072" s="1">
        <v>1071</v>
      </c>
      <c r="B1072" s="1">
        <v>189</v>
      </c>
      <c r="C1072" s="1">
        <v>181</v>
      </c>
      <c r="D1072" s="2">
        <v>0.9577</v>
      </c>
      <c r="E1072" s="1">
        <v>8</v>
      </c>
      <c r="F1072" s="3">
        <v>2.199074074074074E-4</v>
      </c>
      <c r="G1072" s="3">
        <v>2.0717592592592593E-3</v>
      </c>
      <c r="H1072" s="3">
        <v>1.8981481481481482E-3</v>
      </c>
      <c r="I1072" s="2">
        <v>0.71430000000000005</v>
      </c>
    </row>
    <row r="1073" spans="1:9">
      <c r="A1073" s="1">
        <v>1072</v>
      </c>
      <c r="B1073" s="1">
        <v>229</v>
      </c>
      <c r="C1073" s="1">
        <v>219</v>
      </c>
      <c r="D1073" s="2">
        <v>0.95630000000000004</v>
      </c>
      <c r="E1073" s="1">
        <v>10</v>
      </c>
      <c r="F1073" s="3">
        <v>3.4722222222222224E-4</v>
      </c>
      <c r="G1073" s="3">
        <v>2.2569444444444442E-3</v>
      </c>
      <c r="H1073" s="3">
        <v>4.4560185185185189E-3</v>
      </c>
      <c r="I1073" s="2">
        <v>0.59209999999999996</v>
      </c>
    </row>
    <row r="1074" spans="1:9">
      <c r="A1074" s="1">
        <v>1073</v>
      </c>
      <c r="B1074" s="1">
        <v>254</v>
      </c>
      <c r="C1074" s="1">
        <v>235</v>
      </c>
      <c r="D1074" s="2">
        <v>0.92520000000000002</v>
      </c>
      <c r="E1074" s="1">
        <v>19</v>
      </c>
      <c r="F1074" s="3">
        <v>3.1250000000000001E-4</v>
      </c>
      <c r="G1074" s="3">
        <v>2.0370370370370369E-3</v>
      </c>
      <c r="H1074" s="3">
        <v>2.685185185185185E-3</v>
      </c>
      <c r="I1074" s="2">
        <v>0.5968</v>
      </c>
    </row>
    <row r="1075" spans="1:9">
      <c r="A1075" s="1">
        <v>1074</v>
      </c>
      <c r="B1075" s="1">
        <v>584</v>
      </c>
      <c r="C1075" s="1">
        <v>521</v>
      </c>
      <c r="D1075" s="2">
        <v>0.8921</v>
      </c>
      <c r="E1075" s="1">
        <v>63</v>
      </c>
      <c r="F1075" s="3">
        <v>3.3564814814814812E-4</v>
      </c>
      <c r="G1075" s="3">
        <v>1.5740740740740741E-3</v>
      </c>
      <c r="H1075" s="3">
        <v>3.0208333333333333E-3</v>
      </c>
      <c r="I1075" s="2">
        <v>0.58299999999999996</v>
      </c>
    </row>
    <row r="1076" spans="1:9">
      <c r="A1076" s="1">
        <v>1075</v>
      </c>
      <c r="B1076" s="1">
        <v>564</v>
      </c>
      <c r="C1076" s="1">
        <v>551</v>
      </c>
      <c r="D1076" s="2">
        <v>0.97699999999999998</v>
      </c>
      <c r="E1076" s="1">
        <v>13</v>
      </c>
      <c r="F1076" s="3">
        <v>1.3888888888888889E-4</v>
      </c>
      <c r="G1076" s="3">
        <v>1.1574074074074073E-3</v>
      </c>
      <c r="H1076" s="3">
        <v>1.2268518518518518E-3</v>
      </c>
      <c r="I1076" s="2">
        <v>0.83960000000000001</v>
      </c>
    </row>
    <row r="1077" spans="1:9">
      <c r="A1077" s="1">
        <v>1076</v>
      </c>
      <c r="B1077" s="1">
        <v>150</v>
      </c>
      <c r="C1077" s="1">
        <v>149</v>
      </c>
      <c r="D1077" s="2">
        <v>0.99329999999999996</v>
      </c>
      <c r="E1077" s="1">
        <v>1</v>
      </c>
      <c r="F1077" s="3">
        <v>1.1574074074074075E-4</v>
      </c>
      <c r="G1077" s="3">
        <v>1.1574074074074073E-3</v>
      </c>
      <c r="H1077" s="3">
        <v>1.5162037037037036E-3</v>
      </c>
      <c r="I1077" s="2">
        <v>0.89329999999999998</v>
      </c>
    </row>
    <row r="1078" spans="1:9">
      <c r="A1078" s="1">
        <v>1077</v>
      </c>
      <c r="B1078" s="1">
        <v>521</v>
      </c>
      <c r="C1078" s="1">
        <v>499</v>
      </c>
      <c r="D1078" s="2">
        <v>0.95779999999999998</v>
      </c>
      <c r="E1078" s="1">
        <v>22</v>
      </c>
      <c r="F1078" s="3">
        <v>2.6620370370370372E-4</v>
      </c>
      <c r="G1078" s="3">
        <v>1.1111111111111111E-3</v>
      </c>
      <c r="H1078" s="3">
        <v>2.1296296296296298E-3</v>
      </c>
      <c r="I1078" s="2">
        <v>0.70930000000000004</v>
      </c>
    </row>
    <row r="1079" spans="1:9">
      <c r="A1079" s="1">
        <v>1078</v>
      </c>
      <c r="B1079" s="1">
        <v>330</v>
      </c>
      <c r="C1079" s="1">
        <v>309</v>
      </c>
      <c r="D1079" s="2">
        <v>0.93640000000000001</v>
      </c>
      <c r="E1079" s="1">
        <v>21</v>
      </c>
      <c r="F1079" s="3">
        <v>2.4305555555555555E-4</v>
      </c>
      <c r="G1079" s="3">
        <v>2.3032407407407407E-3</v>
      </c>
      <c r="H1079" s="3">
        <v>4.5370370370370373E-3</v>
      </c>
      <c r="I1079" s="2">
        <v>0.69540000000000002</v>
      </c>
    </row>
    <row r="1080" spans="1:9">
      <c r="A1080" s="1">
        <v>1079</v>
      </c>
      <c r="B1080" s="1">
        <v>298</v>
      </c>
      <c r="C1080" s="1">
        <v>288</v>
      </c>
      <c r="D1080" s="2">
        <v>0.96640000000000004</v>
      </c>
      <c r="E1080" s="1">
        <v>10</v>
      </c>
      <c r="F1080" s="3">
        <v>1.5046296296296297E-4</v>
      </c>
      <c r="G1080" s="3">
        <v>2.3148148148148147E-3</v>
      </c>
      <c r="H1080" s="3">
        <v>2.8124999999999999E-3</v>
      </c>
      <c r="I1080" s="2">
        <v>0.84750000000000003</v>
      </c>
    </row>
    <row r="1081" spans="1:9">
      <c r="A1081" s="1">
        <v>1080</v>
      </c>
      <c r="B1081" s="1">
        <v>294</v>
      </c>
      <c r="C1081" s="1">
        <v>287</v>
      </c>
      <c r="D1081" s="2">
        <v>0.97619999999999996</v>
      </c>
      <c r="E1081" s="1">
        <v>7</v>
      </c>
      <c r="F1081" s="3">
        <v>1.6203703703703703E-4</v>
      </c>
      <c r="G1081" s="3">
        <v>2.4074074074074076E-3</v>
      </c>
      <c r="H1081" s="3">
        <v>2.3032407407407407E-3</v>
      </c>
      <c r="I1081" s="2">
        <v>0.82250000000000001</v>
      </c>
    </row>
    <row r="1082" spans="1:9">
      <c r="A1082" s="1">
        <v>1081</v>
      </c>
      <c r="B1082" s="1">
        <v>261</v>
      </c>
      <c r="C1082" s="1">
        <v>253</v>
      </c>
      <c r="D1082" s="2">
        <v>0.96930000000000005</v>
      </c>
      <c r="E1082" s="1">
        <v>8</v>
      </c>
      <c r="F1082" s="3">
        <v>1.1574074074074075E-4</v>
      </c>
      <c r="G1082" s="3">
        <v>2.1180555555555558E-3</v>
      </c>
      <c r="H1082" s="3">
        <v>4.0277777777777777E-3</v>
      </c>
      <c r="I1082" s="2">
        <v>0.89959999999999996</v>
      </c>
    </row>
    <row r="1083" spans="1:9">
      <c r="A1083" s="1">
        <v>1082</v>
      </c>
      <c r="B1083" s="1">
        <v>223</v>
      </c>
      <c r="C1083" s="1">
        <v>210</v>
      </c>
      <c r="D1083" s="2">
        <v>0.94169999999999998</v>
      </c>
      <c r="E1083" s="1">
        <v>13</v>
      </c>
      <c r="F1083" s="3">
        <v>1.8518518518518518E-4</v>
      </c>
      <c r="G1083" s="3">
        <v>2.1643518518518518E-3</v>
      </c>
      <c r="H1083" s="3">
        <v>3.7384259259259259E-3</v>
      </c>
      <c r="I1083" s="2">
        <v>0.80089999999999995</v>
      </c>
    </row>
    <row r="1084" spans="1:9">
      <c r="A1084" s="1">
        <v>1083</v>
      </c>
      <c r="B1084" s="1">
        <v>59</v>
      </c>
      <c r="C1084" s="1">
        <v>58</v>
      </c>
      <c r="D1084" s="2">
        <v>0.98309999999999997</v>
      </c>
      <c r="E1084" s="1">
        <v>1</v>
      </c>
      <c r="F1084" s="3">
        <v>2.4305555555555555E-4</v>
      </c>
      <c r="G1084" s="3">
        <v>2.5578703703703705E-3</v>
      </c>
      <c r="H1084" s="3">
        <v>2.2222222222222222E-3</v>
      </c>
      <c r="I1084" s="2">
        <v>0.74580000000000002</v>
      </c>
    </row>
    <row r="1085" spans="1:9">
      <c r="A1085" s="1">
        <v>1084</v>
      </c>
      <c r="B1085" s="1">
        <v>340</v>
      </c>
      <c r="C1085" s="1">
        <v>327</v>
      </c>
      <c r="D1085" s="2">
        <v>0.96179999999999999</v>
      </c>
      <c r="E1085" s="1">
        <v>13</v>
      </c>
      <c r="F1085" s="3">
        <v>2.4305555555555555E-4</v>
      </c>
      <c r="G1085" s="3">
        <v>1.3310185185185185E-3</v>
      </c>
      <c r="H1085" s="3">
        <v>2.6157407407407405E-3</v>
      </c>
      <c r="I1085" s="2">
        <v>0.77610000000000001</v>
      </c>
    </row>
    <row r="1086" spans="1:9">
      <c r="A1086" s="1">
        <v>1085</v>
      </c>
      <c r="B1086" s="1">
        <v>287</v>
      </c>
      <c r="C1086" s="1">
        <v>280</v>
      </c>
      <c r="D1086" s="2">
        <v>0.97560000000000002</v>
      </c>
      <c r="E1086" s="1">
        <v>7</v>
      </c>
      <c r="F1086" s="3">
        <v>1.5046296296296297E-4</v>
      </c>
      <c r="G1086" s="3">
        <v>2.1412037037037038E-3</v>
      </c>
      <c r="H1086" s="3">
        <v>1.3425925925925925E-3</v>
      </c>
      <c r="I1086" s="2">
        <v>0.84319999999999995</v>
      </c>
    </row>
    <row r="1087" spans="1:9">
      <c r="A1087" s="1">
        <v>1086</v>
      </c>
      <c r="B1087" s="1">
        <v>269</v>
      </c>
      <c r="C1087" s="1">
        <v>257</v>
      </c>
      <c r="D1087" s="2">
        <v>0.95540000000000003</v>
      </c>
      <c r="E1087" s="1">
        <v>12</v>
      </c>
      <c r="F1087" s="3">
        <v>1.8518518518518518E-4</v>
      </c>
      <c r="G1087" s="3">
        <v>2.1296296296296298E-3</v>
      </c>
      <c r="H1087" s="3">
        <v>2.650462962962963E-3</v>
      </c>
      <c r="I1087" s="2">
        <v>0.82020000000000004</v>
      </c>
    </row>
    <row r="1088" spans="1:9">
      <c r="A1088" s="1">
        <v>1087</v>
      </c>
      <c r="B1088" s="1">
        <v>270</v>
      </c>
      <c r="C1088" s="1">
        <v>261</v>
      </c>
      <c r="D1088" s="2">
        <v>0.9667</v>
      </c>
      <c r="E1088" s="1">
        <v>9</v>
      </c>
      <c r="F1088" s="3">
        <v>1.3888888888888889E-4</v>
      </c>
      <c r="G1088" s="3">
        <v>2.1527777777777778E-3</v>
      </c>
      <c r="H1088" s="3">
        <v>3.1134259259259257E-3</v>
      </c>
      <c r="I1088" s="2">
        <v>0.85870000000000002</v>
      </c>
    </row>
    <row r="1089" spans="1:9">
      <c r="A1089" s="1">
        <v>1088</v>
      </c>
      <c r="B1089" s="1">
        <v>285</v>
      </c>
      <c r="C1089" s="1">
        <v>273</v>
      </c>
      <c r="D1089" s="2">
        <v>0.95789999999999997</v>
      </c>
      <c r="E1089" s="1">
        <v>12</v>
      </c>
      <c r="F1089" s="3">
        <v>1.3888888888888889E-4</v>
      </c>
      <c r="G1089" s="3">
        <v>2.2453703703703702E-3</v>
      </c>
      <c r="H1089" s="3">
        <v>2.0023148148148148E-3</v>
      </c>
      <c r="I1089" s="2">
        <v>0.85360000000000003</v>
      </c>
    </row>
    <row r="1090" spans="1:9">
      <c r="A1090" s="1">
        <v>1089</v>
      </c>
      <c r="B1090" s="1">
        <v>251</v>
      </c>
      <c r="C1090" s="1">
        <v>229</v>
      </c>
      <c r="D1090" s="2">
        <v>0.91239999999999999</v>
      </c>
      <c r="E1090" s="1">
        <v>22</v>
      </c>
      <c r="F1090" s="3">
        <v>2.5462962962962961E-4</v>
      </c>
      <c r="G1090" s="3">
        <v>2.0717592592592593E-3</v>
      </c>
      <c r="H1090" s="3">
        <v>2.1527777777777778E-3</v>
      </c>
      <c r="I1090" s="2">
        <v>0.73060000000000003</v>
      </c>
    </row>
    <row r="1091" spans="1:9">
      <c r="A1091" s="1">
        <v>1090</v>
      </c>
      <c r="B1091" s="1">
        <v>47</v>
      </c>
      <c r="C1091" s="1">
        <v>47</v>
      </c>
      <c r="D1091" s="2">
        <v>1</v>
      </c>
      <c r="E1091" s="1">
        <v>0</v>
      </c>
      <c r="F1091" s="3">
        <v>1.5046296296296297E-4</v>
      </c>
      <c r="G1091" s="3">
        <v>2.1180555555555558E-3</v>
      </c>
      <c r="H1091" s="3">
        <v>1.0300925925925926E-3</v>
      </c>
      <c r="I1091" s="2">
        <v>0.87229999999999996</v>
      </c>
    </row>
    <row r="1092" spans="1:9">
      <c r="A1092" s="1">
        <v>1091</v>
      </c>
      <c r="B1092" s="1">
        <v>233</v>
      </c>
      <c r="C1092" s="1">
        <v>225</v>
      </c>
      <c r="D1092" s="2">
        <v>0.9657</v>
      </c>
      <c r="E1092" s="1">
        <v>8</v>
      </c>
      <c r="F1092" s="3">
        <v>1.5046296296296297E-4</v>
      </c>
      <c r="G1092" s="3">
        <v>2.1064814814814813E-3</v>
      </c>
      <c r="H1092" s="3">
        <v>1.3541666666666667E-3</v>
      </c>
      <c r="I1092" s="2">
        <v>0.84719999999999995</v>
      </c>
    </row>
    <row r="1093" spans="1:9">
      <c r="A1093" s="1">
        <v>1092</v>
      </c>
      <c r="B1093" s="1">
        <v>257</v>
      </c>
      <c r="C1093" s="1">
        <v>248</v>
      </c>
      <c r="D1093" s="2">
        <v>0.96499999999999997</v>
      </c>
      <c r="E1093" s="1">
        <v>9</v>
      </c>
      <c r="F1093" s="3">
        <v>1.6203703703703703E-4</v>
      </c>
      <c r="G1093" s="3">
        <v>2.2453703703703702E-3</v>
      </c>
      <c r="H1093" s="3">
        <v>2.5694444444444445E-3</v>
      </c>
      <c r="I1093" s="2">
        <v>0.83399999999999996</v>
      </c>
    </row>
    <row r="1094" spans="1:9">
      <c r="A1094" s="1">
        <v>1093</v>
      </c>
      <c r="B1094" s="1">
        <v>245</v>
      </c>
      <c r="C1094" s="1">
        <v>234</v>
      </c>
      <c r="D1094" s="2">
        <v>0.95509999999999995</v>
      </c>
      <c r="E1094" s="1">
        <v>11</v>
      </c>
      <c r="F1094" s="3">
        <v>1.273148148148148E-4</v>
      </c>
      <c r="G1094" s="3">
        <v>2.0949074074074073E-3</v>
      </c>
      <c r="H1094" s="3">
        <v>1.3425925925925925E-3</v>
      </c>
      <c r="I1094" s="2">
        <v>0.85950000000000004</v>
      </c>
    </row>
    <row r="1095" spans="1:9">
      <c r="A1095" s="1">
        <v>1094</v>
      </c>
      <c r="B1095" s="1">
        <v>267</v>
      </c>
      <c r="C1095" s="1">
        <v>265</v>
      </c>
      <c r="D1095" s="2">
        <v>0.99250000000000005</v>
      </c>
      <c r="E1095" s="1">
        <v>2</v>
      </c>
      <c r="F1095" s="3">
        <v>5.7870370370370373E-5</v>
      </c>
      <c r="G1095" s="3">
        <v>2.0717592592592593E-3</v>
      </c>
      <c r="H1095" s="3">
        <v>8.4490740740740739E-4</v>
      </c>
      <c r="I1095" s="2">
        <v>0.97360000000000002</v>
      </c>
    </row>
    <row r="1096" spans="1:9">
      <c r="A1096" s="1">
        <v>1095</v>
      </c>
      <c r="B1096" s="1">
        <v>231</v>
      </c>
      <c r="C1096" s="1">
        <v>224</v>
      </c>
      <c r="D1096" s="2">
        <v>0.96970000000000001</v>
      </c>
      <c r="E1096" s="1">
        <v>7</v>
      </c>
      <c r="F1096" s="3">
        <v>1.273148148148148E-4</v>
      </c>
      <c r="G1096" s="3">
        <v>2.0370370370370369E-3</v>
      </c>
      <c r="H1096" s="3">
        <v>2.0138888888888888E-3</v>
      </c>
      <c r="I1096" s="2">
        <v>0.86580000000000001</v>
      </c>
    </row>
    <row r="1097" spans="1:9">
      <c r="A1097" s="1">
        <v>1096</v>
      </c>
      <c r="B1097" s="1">
        <v>236</v>
      </c>
      <c r="C1097" s="1">
        <v>226</v>
      </c>
      <c r="D1097" s="2">
        <v>0.95760000000000001</v>
      </c>
      <c r="E1097" s="1">
        <v>10</v>
      </c>
      <c r="F1097" s="3">
        <v>2.199074074074074E-4</v>
      </c>
      <c r="G1097" s="3">
        <v>2.1296296296296298E-3</v>
      </c>
      <c r="H1097" s="3">
        <v>2.1527777777777778E-3</v>
      </c>
      <c r="I1097" s="2">
        <v>0.75</v>
      </c>
    </row>
    <row r="1098" spans="1:9">
      <c r="A1098" s="1">
        <v>1097</v>
      </c>
      <c r="B1098" s="1">
        <v>81</v>
      </c>
      <c r="C1098" s="1">
        <v>78</v>
      </c>
      <c r="D1098" s="2">
        <v>0.96299999999999997</v>
      </c>
      <c r="E1098" s="1">
        <v>3</v>
      </c>
      <c r="F1098" s="3">
        <v>1.273148148148148E-4</v>
      </c>
      <c r="G1098" s="3">
        <v>2.0486111111111113E-3</v>
      </c>
      <c r="H1098" s="3">
        <v>6.7129629629629625E-4</v>
      </c>
      <c r="I1098" s="2">
        <v>0.8125</v>
      </c>
    </row>
    <row r="1099" spans="1:9">
      <c r="A1099" s="1">
        <v>1098</v>
      </c>
      <c r="B1099" s="1">
        <v>281</v>
      </c>
      <c r="C1099" s="1">
        <v>273</v>
      </c>
      <c r="D1099" s="2">
        <v>0.97150000000000003</v>
      </c>
      <c r="E1099" s="1">
        <v>8</v>
      </c>
      <c r="F1099" s="3">
        <v>1.273148148148148E-4</v>
      </c>
      <c r="G1099" s="3">
        <v>2.1064814814814813E-3</v>
      </c>
      <c r="H1099" s="3">
        <v>2.3263888888888887E-3</v>
      </c>
      <c r="I1099" s="2">
        <v>0.88490000000000002</v>
      </c>
    </row>
    <row r="1100" spans="1:9">
      <c r="A1100" s="1">
        <v>1099</v>
      </c>
      <c r="B1100" s="1">
        <v>399</v>
      </c>
      <c r="C1100" s="1">
        <v>387</v>
      </c>
      <c r="D1100" s="2">
        <v>0.96989999999999998</v>
      </c>
      <c r="E1100" s="1">
        <v>12</v>
      </c>
      <c r="F1100" s="3">
        <v>1.273148148148148E-4</v>
      </c>
      <c r="G1100" s="3">
        <v>1.9791666666666668E-3</v>
      </c>
      <c r="H1100" s="3">
        <v>1.6782407407407408E-3</v>
      </c>
      <c r="I1100" s="2">
        <v>0.86360000000000003</v>
      </c>
    </row>
    <row r="1101" spans="1:9">
      <c r="A1101" s="1">
        <v>1100</v>
      </c>
      <c r="B1101" s="1">
        <v>291</v>
      </c>
      <c r="C1101" s="1">
        <v>287</v>
      </c>
      <c r="D1101" s="2">
        <v>0.98629999999999995</v>
      </c>
      <c r="E1101" s="1">
        <v>4</v>
      </c>
      <c r="F1101" s="3">
        <v>1.273148148148148E-4</v>
      </c>
      <c r="G1101" s="3">
        <v>1.8055555555555555E-3</v>
      </c>
      <c r="H1101" s="3">
        <v>2.5231481481481481E-3</v>
      </c>
      <c r="I1101" s="2">
        <v>0.87970000000000004</v>
      </c>
    </row>
    <row r="1102" spans="1:9">
      <c r="A1102" s="1">
        <v>1101</v>
      </c>
      <c r="B1102" s="1">
        <v>290</v>
      </c>
      <c r="C1102" s="1">
        <v>281</v>
      </c>
      <c r="D1102" s="2">
        <v>0.96899999999999997</v>
      </c>
      <c r="E1102" s="1">
        <v>9</v>
      </c>
      <c r="F1102" s="3">
        <v>8.1018518518518516E-5</v>
      </c>
      <c r="G1102" s="3">
        <v>2.1180555555555558E-3</v>
      </c>
      <c r="H1102" s="3">
        <v>6.9444444444444447E-4</v>
      </c>
      <c r="I1102" s="2">
        <v>0.91639999999999999</v>
      </c>
    </row>
    <row r="1103" spans="1:9">
      <c r="A1103" s="1">
        <v>1102</v>
      </c>
      <c r="B1103" s="1">
        <v>230</v>
      </c>
      <c r="C1103" s="1">
        <v>227</v>
      </c>
      <c r="D1103" s="2">
        <v>0.98699999999999999</v>
      </c>
      <c r="E1103" s="1">
        <v>3</v>
      </c>
      <c r="F1103" s="3">
        <v>9.2592592592592588E-5</v>
      </c>
      <c r="G1103" s="3">
        <v>2.1527777777777778E-3</v>
      </c>
      <c r="H1103" s="3">
        <v>8.3333333333333339E-4</v>
      </c>
      <c r="I1103" s="2">
        <v>0.91669999999999996</v>
      </c>
    </row>
    <row r="1104" spans="1:9">
      <c r="A1104" s="1">
        <v>1103</v>
      </c>
      <c r="B1104" s="1">
        <v>236</v>
      </c>
      <c r="C1104" s="1">
        <v>216</v>
      </c>
      <c r="D1104" s="2">
        <v>0.9153</v>
      </c>
      <c r="E1104" s="1">
        <v>20</v>
      </c>
      <c r="F1104" s="3">
        <v>1.9675925925925926E-4</v>
      </c>
      <c r="G1104" s="3">
        <v>2.1875000000000002E-3</v>
      </c>
      <c r="H1104" s="3">
        <v>2.0138888888888888E-3</v>
      </c>
      <c r="I1104" s="2">
        <v>0.70689999999999997</v>
      </c>
    </row>
    <row r="1105" spans="1:9">
      <c r="A1105" s="1">
        <v>1104</v>
      </c>
      <c r="B1105" s="1">
        <v>45</v>
      </c>
      <c r="C1105" s="1">
        <v>44</v>
      </c>
      <c r="D1105" s="2">
        <v>0.9778</v>
      </c>
      <c r="E1105" s="1">
        <v>1</v>
      </c>
      <c r="F1105" s="3">
        <v>5.7870370370370373E-5</v>
      </c>
      <c r="G1105" s="3">
        <v>1.9097222222222222E-3</v>
      </c>
      <c r="H1105" s="3">
        <v>1.3425925925925925E-3</v>
      </c>
      <c r="I1105" s="2">
        <v>0.93330000000000002</v>
      </c>
    </row>
    <row r="1106" spans="1:9">
      <c r="A1106" s="1">
        <v>1105</v>
      </c>
      <c r="B1106" s="1">
        <v>249</v>
      </c>
      <c r="C1106" s="1">
        <v>238</v>
      </c>
      <c r="D1106" s="2">
        <v>0.95579999999999998</v>
      </c>
      <c r="E1106" s="1">
        <v>11</v>
      </c>
      <c r="F1106" s="3">
        <v>1.273148148148148E-4</v>
      </c>
      <c r="G1106" s="3">
        <v>1.8749999999999999E-3</v>
      </c>
      <c r="H1106" s="3">
        <v>1.3657407407407407E-3</v>
      </c>
      <c r="I1106" s="2">
        <v>0.86529999999999996</v>
      </c>
    </row>
    <row r="1107" spans="1:9">
      <c r="A1107" s="1">
        <v>1106</v>
      </c>
      <c r="B1107" s="1">
        <v>350</v>
      </c>
      <c r="C1107" s="1">
        <v>328</v>
      </c>
      <c r="D1107" s="2">
        <v>0.93710000000000004</v>
      </c>
      <c r="E1107" s="1">
        <v>22</v>
      </c>
      <c r="F1107" s="3">
        <v>3.2407407407407406E-4</v>
      </c>
      <c r="G1107" s="3">
        <v>1.7476851851851852E-3</v>
      </c>
      <c r="H1107" s="3">
        <v>1.712962962962963E-3</v>
      </c>
      <c r="I1107" s="2">
        <v>0.58260000000000001</v>
      </c>
    </row>
    <row r="1108" spans="1:9">
      <c r="A1108" s="1">
        <v>1107</v>
      </c>
      <c r="B1108" s="1">
        <v>361</v>
      </c>
      <c r="C1108" s="1">
        <v>306</v>
      </c>
      <c r="D1108" s="2">
        <v>0.84760000000000002</v>
      </c>
      <c r="E1108" s="1">
        <v>55</v>
      </c>
      <c r="F1108" s="3">
        <v>3.1250000000000001E-4</v>
      </c>
      <c r="G1108" s="3">
        <v>1.6898148148148148E-3</v>
      </c>
      <c r="H1108" s="3">
        <v>4.6412037037037038E-3</v>
      </c>
      <c r="I1108" s="2">
        <v>0.60170000000000001</v>
      </c>
    </row>
    <row r="1109" spans="1:9">
      <c r="A1109" s="1">
        <v>1108</v>
      </c>
      <c r="B1109" s="1">
        <v>262</v>
      </c>
      <c r="C1109" s="1">
        <v>256</v>
      </c>
      <c r="D1109" s="2">
        <v>0.97709999999999997</v>
      </c>
      <c r="E1109" s="1">
        <v>6</v>
      </c>
      <c r="F1109" s="3">
        <v>1.5046296296296297E-4</v>
      </c>
      <c r="G1109" s="3">
        <v>1.9675925925925924E-3</v>
      </c>
      <c r="H1109" s="3">
        <v>2.0138888888888888E-3</v>
      </c>
      <c r="I1109" s="2">
        <v>0.86150000000000004</v>
      </c>
    </row>
    <row r="1110" spans="1:9">
      <c r="A1110" s="1">
        <v>1109</v>
      </c>
      <c r="B1110" s="1">
        <v>302</v>
      </c>
      <c r="C1110" s="1">
        <v>288</v>
      </c>
      <c r="D1110" s="2">
        <v>0.9536</v>
      </c>
      <c r="E1110" s="1">
        <v>14</v>
      </c>
      <c r="F1110" s="3">
        <v>2.4305555555555555E-4</v>
      </c>
      <c r="G1110" s="3">
        <v>2.0370370370370369E-3</v>
      </c>
      <c r="H1110" s="3">
        <v>2.0717592592592593E-3</v>
      </c>
      <c r="I1110" s="2">
        <v>0.71099999999999997</v>
      </c>
    </row>
    <row r="1111" spans="1:9">
      <c r="A1111" s="1">
        <v>1110</v>
      </c>
      <c r="B1111" s="1">
        <v>299</v>
      </c>
      <c r="C1111" s="1">
        <v>268</v>
      </c>
      <c r="D1111" s="2">
        <v>0.89629999999999999</v>
      </c>
      <c r="E1111" s="1">
        <v>31</v>
      </c>
      <c r="F1111" s="3">
        <v>3.2407407407407406E-4</v>
      </c>
      <c r="G1111" s="3">
        <v>1.9560185185185184E-3</v>
      </c>
      <c r="H1111" s="3">
        <v>2.0601851851851853E-3</v>
      </c>
      <c r="I1111" s="2">
        <v>0.55410000000000004</v>
      </c>
    </row>
    <row r="1112" spans="1:9">
      <c r="A1112" s="1">
        <v>1111</v>
      </c>
      <c r="B1112" s="1">
        <v>50</v>
      </c>
      <c r="C1112" s="1">
        <v>49</v>
      </c>
      <c r="D1112" s="2">
        <v>0.98</v>
      </c>
      <c r="E1112" s="1">
        <v>1</v>
      </c>
      <c r="F1112" s="3">
        <v>2.7777777777777778E-4</v>
      </c>
      <c r="G1112" s="3">
        <v>2.0254629629629629E-3</v>
      </c>
      <c r="H1112" s="3">
        <v>1.4814814814814814E-3</v>
      </c>
      <c r="I1112" s="2">
        <v>0.76</v>
      </c>
    </row>
    <row r="1113" spans="1:9">
      <c r="A1113" s="1">
        <v>1112</v>
      </c>
      <c r="B1113" s="1">
        <v>285</v>
      </c>
      <c r="C1113" s="1">
        <v>273</v>
      </c>
      <c r="D1113" s="2">
        <v>0.95789999999999997</v>
      </c>
      <c r="E1113" s="1">
        <v>12</v>
      </c>
      <c r="F1113" s="3">
        <v>2.4305555555555555E-4</v>
      </c>
      <c r="G1113" s="3">
        <v>1.9560185185185184E-3</v>
      </c>
      <c r="H1113" s="3">
        <v>2.4305555555555556E-3</v>
      </c>
      <c r="I1113" s="2">
        <v>0.76160000000000005</v>
      </c>
    </row>
    <row r="1114" spans="1:9">
      <c r="A1114" s="1">
        <v>1113</v>
      </c>
      <c r="B1114" s="1">
        <v>77</v>
      </c>
      <c r="C1114" s="1">
        <v>75</v>
      </c>
      <c r="D1114" s="2">
        <v>0.97399999999999998</v>
      </c>
      <c r="E1114" s="1">
        <v>2</v>
      </c>
      <c r="F1114" s="3">
        <v>1.0416666666666667E-4</v>
      </c>
      <c r="G1114" s="3">
        <v>1.8865740740740742E-3</v>
      </c>
      <c r="H1114" s="3">
        <v>1.5046296296296296E-3</v>
      </c>
      <c r="I1114" s="2">
        <v>0.92110000000000003</v>
      </c>
    </row>
    <row r="1115" spans="1:9">
      <c r="A1115" s="1">
        <v>1114</v>
      </c>
      <c r="B1115" s="1">
        <v>332</v>
      </c>
      <c r="C1115" s="1">
        <v>321</v>
      </c>
      <c r="D1115" s="2">
        <v>0.96689999999999998</v>
      </c>
      <c r="E1115" s="1">
        <v>11</v>
      </c>
      <c r="F1115" s="3">
        <v>1.9675925925925926E-4</v>
      </c>
      <c r="G1115" s="3">
        <v>2.0601851851851853E-3</v>
      </c>
      <c r="H1115" s="3">
        <v>2.476851851851852E-3</v>
      </c>
      <c r="I1115" s="2">
        <v>0.80659999999999998</v>
      </c>
    </row>
    <row r="1116" spans="1:9">
      <c r="A1116" s="1">
        <v>1115</v>
      </c>
      <c r="B1116" s="1">
        <v>282</v>
      </c>
      <c r="C1116" s="1">
        <v>266</v>
      </c>
      <c r="D1116" s="2">
        <v>0.94330000000000003</v>
      </c>
      <c r="E1116" s="1">
        <v>16</v>
      </c>
      <c r="F1116" s="3">
        <v>2.5462962962962961E-4</v>
      </c>
      <c r="G1116" s="3">
        <v>2.1990740740740742E-3</v>
      </c>
      <c r="H1116" s="3">
        <v>5.6944444444444447E-3</v>
      </c>
      <c r="I1116" s="2">
        <v>0.7429</v>
      </c>
    </row>
    <row r="1117" spans="1:9">
      <c r="A1117" s="1">
        <v>1116</v>
      </c>
      <c r="B1117" s="1">
        <v>256</v>
      </c>
      <c r="C1117" s="1">
        <v>248</v>
      </c>
      <c r="D1117" s="2">
        <v>0.96879999999999999</v>
      </c>
      <c r="E1117" s="1">
        <v>8</v>
      </c>
      <c r="F1117" s="3">
        <v>1.6203703703703703E-4</v>
      </c>
      <c r="G1117" s="3">
        <v>2.0833333333333333E-3</v>
      </c>
      <c r="H1117" s="3">
        <v>2.685185185185185E-3</v>
      </c>
      <c r="I1117" s="2">
        <v>0.82350000000000001</v>
      </c>
    </row>
    <row r="1118" spans="1:9">
      <c r="A1118" s="1">
        <v>1117</v>
      </c>
      <c r="B1118" s="1">
        <v>177</v>
      </c>
      <c r="C1118" s="1">
        <v>176</v>
      </c>
      <c r="D1118" s="2">
        <v>0.99439999999999995</v>
      </c>
      <c r="E1118" s="1">
        <v>1</v>
      </c>
      <c r="F1118" s="3">
        <v>1.3888888888888889E-4</v>
      </c>
      <c r="G1118" s="3">
        <v>1.8171296296296297E-3</v>
      </c>
      <c r="H1118" s="3">
        <v>1.2152777777777778E-3</v>
      </c>
      <c r="I1118" s="2">
        <v>0.83520000000000005</v>
      </c>
    </row>
    <row r="1119" spans="1:9">
      <c r="A1119" s="1">
        <v>1118</v>
      </c>
      <c r="B1119" s="1">
        <v>27</v>
      </c>
      <c r="C1119" s="1">
        <v>24</v>
      </c>
      <c r="D1119" s="2">
        <v>0.88890000000000002</v>
      </c>
      <c r="E1119" s="1">
        <v>3</v>
      </c>
      <c r="F1119" s="3">
        <v>1.5046296296296297E-4</v>
      </c>
      <c r="G1119" s="3">
        <v>1.5625000000000001E-3</v>
      </c>
      <c r="H1119" s="3">
        <v>7.8703703703703705E-4</v>
      </c>
      <c r="I1119" s="2">
        <v>0.74070000000000003</v>
      </c>
    </row>
    <row r="1120" spans="1:9">
      <c r="A1120" s="1">
        <v>1119</v>
      </c>
      <c r="B1120" s="1">
        <v>307</v>
      </c>
      <c r="C1120" s="1">
        <v>305</v>
      </c>
      <c r="D1120" s="2">
        <v>0.99350000000000005</v>
      </c>
      <c r="E1120" s="1">
        <v>2</v>
      </c>
      <c r="F1120" s="3">
        <v>1.0416666666666667E-4</v>
      </c>
      <c r="G1120" s="3">
        <v>2.0949074074074073E-3</v>
      </c>
      <c r="H1120" s="3">
        <v>1.1805555555555556E-3</v>
      </c>
      <c r="I1120" s="2">
        <v>0.91800000000000004</v>
      </c>
    </row>
    <row r="1121" spans="1:9">
      <c r="A1121" s="1">
        <v>1120</v>
      </c>
      <c r="B1121" s="1">
        <v>587</v>
      </c>
      <c r="C1121" s="1">
        <v>577</v>
      </c>
      <c r="D1121" s="2">
        <v>0.98299999999999998</v>
      </c>
      <c r="E1121" s="1">
        <v>10</v>
      </c>
      <c r="F1121" s="3">
        <v>1.1574074074074075E-4</v>
      </c>
      <c r="G1121" s="3">
        <v>1.4814814814814814E-3</v>
      </c>
      <c r="H1121" s="3">
        <v>1.3425925925925925E-3</v>
      </c>
      <c r="I1121" s="2">
        <v>0.9194</v>
      </c>
    </row>
    <row r="1122" spans="1:9">
      <c r="A1122" s="1">
        <v>1121</v>
      </c>
      <c r="B1122" s="1">
        <v>270</v>
      </c>
      <c r="C1122" s="1">
        <v>265</v>
      </c>
      <c r="D1122" s="2">
        <v>0.98150000000000004</v>
      </c>
      <c r="E1122" s="1">
        <v>5</v>
      </c>
      <c r="F1122" s="3">
        <v>8.1018518518518516E-5</v>
      </c>
      <c r="G1122" s="3">
        <v>1.8981481481481482E-3</v>
      </c>
      <c r="H1122" s="3">
        <v>1.3425925925925925E-3</v>
      </c>
      <c r="I1122" s="2">
        <v>0.91790000000000005</v>
      </c>
    </row>
    <row r="1123" spans="1:9">
      <c r="A1123" s="1">
        <v>1122</v>
      </c>
      <c r="B1123" s="1">
        <v>307</v>
      </c>
      <c r="C1123" s="1">
        <v>297</v>
      </c>
      <c r="D1123" s="2">
        <v>0.96740000000000004</v>
      </c>
      <c r="E1123" s="1">
        <v>10</v>
      </c>
      <c r="F1123" s="3">
        <v>1.6203703703703703E-4</v>
      </c>
      <c r="G1123" s="3">
        <v>2.0717592592592593E-3</v>
      </c>
      <c r="H1123" s="3">
        <v>2.0254629629629629E-3</v>
      </c>
      <c r="I1123" s="2">
        <v>0.82240000000000002</v>
      </c>
    </row>
    <row r="1124" spans="1:9">
      <c r="A1124" s="1">
        <v>1123</v>
      </c>
      <c r="B1124" s="1">
        <v>242</v>
      </c>
      <c r="C1124" s="1">
        <v>238</v>
      </c>
      <c r="D1124" s="2">
        <v>0.98350000000000004</v>
      </c>
      <c r="E1124" s="1">
        <v>4</v>
      </c>
      <c r="F1124" s="3">
        <v>6.9444444444444444E-5</v>
      </c>
      <c r="G1124" s="3">
        <v>1.8749999999999999E-3</v>
      </c>
      <c r="H1124" s="3">
        <v>1.3310185185185185E-3</v>
      </c>
      <c r="I1124" s="2">
        <v>0.94630000000000003</v>
      </c>
    </row>
    <row r="1125" spans="1:9">
      <c r="A1125" s="1">
        <v>1124</v>
      </c>
      <c r="B1125" s="1">
        <v>194</v>
      </c>
      <c r="C1125" s="1">
        <v>182</v>
      </c>
      <c r="D1125" s="2">
        <v>0.93810000000000004</v>
      </c>
      <c r="E1125" s="1">
        <v>12</v>
      </c>
      <c r="F1125" s="3">
        <v>1.3888888888888889E-4</v>
      </c>
      <c r="G1125" s="3">
        <v>2.0486111111111113E-3</v>
      </c>
      <c r="H1125" s="3">
        <v>1.1111111111111111E-3</v>
      </c>
      <c r="I1125" s="2">
        <v>0.8115</v>
      </c>
    </row>
    <row r="1126" spans="1:9">
      <c r="A1126" s="1">
        <v>1125</v>
      </c>
      <c r="B1126" s="1">
        <v>21</v>
      </c>
      <c r="C1126" s="1">
        <v>21</v>
      </c>
      <c r="D1126" s="2">
        <v>1</v>
      </c>
      <c r="E1126" s="1">
        <v>0</v>
      </c>
      <c r="F1126" s="3">
        <v>1.3888888888888889E-4</v>
      </c>
      <c r="G1126" s="3">
        <v>2.1643518518518518E-3</v>
      </c>
      <c r="H1126" s="3">
        <v>1.0879629629629629E-3</v>
      </c>
      <c r="I1126" s="2">
        <v>0.90480000000000005</v>
      </c>
    </row>
    <row r="1127" spans="1:9">
      <c r="A1127" s="1">
        <v>1126</v>
      </c>
      <c r="B1127" s="1">
        <v>291</v>
      </c>
      <c r="C1127" s="1">
        <v>288</v>
      </c>
      <c r="D1127" s="2">
        <v>0.98970000000000002</v>
      </c>
      <c r="E1127" s="1">
        <v>3</v>
      </c>
      <c r="F1127" s="3">
        <v>8.1018518518518516E-5</v>
      </c>
      <c r="G1127" s="3">
        <v>1.9212962962962964E-3</v>
      </c>
      <c r="H1127" s="3">
        <v>9.7222222222222219E-4</v>
      </c>
      <c r="I1127" s="2">
        <v>0.93789999999999996</v>
      </c>
    </row>
    <row r="1128" spans="1:9">
      <c r="A1128" s="1">
        <v>1127</v>
      </c>
      <c r="B1128" s="1">
        <v>516</v>
      </c>
      <c r="C1128" s="1">
        <v>479</v>
      </c>
      <c r="D1128" s="2">
        <v>0.92830000000000001</v>
      </c>
      <c r="E1128" s="1">
        <v>37</v>
      </c>
      <c r="F1128" s="3">
        <v>3.0092592592592595E-4</v>
      </c>
      <c r="G1128" s="3">
        <v>1.8518518518518519E-3</v>
      </c>
      <c r="H1128" s="3">
        <v>2.4421296296296296E-3</v>
      </c>
      <c r="I1128" s="2">
        <v>0.63800000000000001</v>
      </c>
    </row>
    <row r="1129" spans="1:9">
      <c r="A1129" s="1">
        <v>1128</v>
      </c>
      <c r="B1129" s="1">
        <v>452</v>
      </c>
      <c r="C1129" s="1">
        <v>447</v>
      </c>
      <c r="D1129" s="2">
        <v>0.9889</v>
      </c>
      <c r="E1129" s="1">
        <v>5</v>
      </c>
      <c r="F1129" s="3">
        <v>6.9444444444444444E-5</v>
      </c>
      <c r="G1129" s="3">
        <v>1.4351851851851852E-3</v>
      </c>
      <c r="H1129" s="3">
        <v>2.685185185185185E-3</v>
      </c>
      <c r="I1129" s="2">
        <v>0.94440000000000002</v>
      </c>
    </row>
    <row r="1130" spans="1:9">
      <c r="A1130" s="1">
        <v>1129</v>
      </c>
      <c r="B1130" s="1">
        <v>375</v>
      </c>
      <c r="C1130" s="1">
        <v>375</v>
      </c>
      <c r="D1130" s="2">
        <v>1</v>
      </c>
      <c r="E1130" s="1">
        <v>0</v>
      </c>
      <c r="F1130" s="3">
        <v>5.7870370370370373E-5</v>
      </c>
      <c r="G1130" s="3">
        <v>1.5393518518518519E-3</v>
      </c>
      <c r="H1130" s="3">
        <v>7.5231481481481482E-4</v>
      </c>
      <c r="I1130" s="2">
        <v>0.96530000000000005</v>
      </c>
    </row>
    <row r="1131" spans="1:9">
      <c r="A1131" s="1">
        <v>1130</v>
      </c>
      <c r="B1131" s="1">
        <v>306</v>
      </c>
      <c r="C1131" s="1">
        <v>287</v>
      </c>
      <c r="D1131" s="2">
        <v>0.93789999999999996</v>
      </c>
      <c r="E1131" s="1">
        <v>19</v>
      </c>
      <c r="F1131" s="3">
        <v>2.199074074074074E-4</v>
      </c>
      <c r="G1131" s="3">
        <v>1.5625000000000001E-3</v>
      </c>
      <c r="H1131" s="3">
        <v>3.3564814814814816E-3</v>
      </c>
      <c r="I1131" s="2">
        <v>0.76319999999999999</v>
      </c>
    </row>
    <row r="1132" spans="1:9">
      <c r="A1132" s="1">
        <v>1131</v>
      </c>
      <c r="B1132" s="1">
        <v>241</v>
      </c>
      <c r="C1132" s="1">
        <v>235</v>
      </c>
      <c r="D1132" s="2">
        <v>0.97509999999999997</v>
      </c>
      <c r="E1132" s="1">
        <v>6</v>
      </c>
      <c r="F1132" s="3">
        <v>1.7361111111111112E-4</v>
      </c>
      <c r="G1132" s="3">
        <v>1.8518518518518519E-3</v>
      </c>
      <c r="H1132" s="3">
        <v>1.3541666666666667E-3</v>
      </c>
      <c r="I1132" s="2">
        <v>0.80330000000000001</v>
      </c>
    </row>
    <row r="1133" spans="1:9">
      <c r="A1133" s="1">
        <v>1132</v>
      </c>
      <c r="B1133" s="1">
        <v>34</v>
      </c>
      <c r="C1133" s="1">
        <v>34</v>
      </c>
      <c r="D1133" s="2">
        <v>1</v>
      </c>
      <c r="E1133" s="1">
        <v>0</v>
      </c>
      <c r="F1133" s="3">
        <v>2.0833333333333335E-4</v>
      </c>
      <c r="G1133" s="3">
        <v>2.0949074074074073E-3</v>
      </c>
      <c r="H1133" s="3">
        <v>1.4814814814814814E-3</v>
      </c>
      <c r="I1133" s="2">
        <v>0.85289999999999999</v>
      </c>
    </row>
    <row r="1134" spans="1:9">
      <c r="A1134" s="1">
        <v>1133</v>
      </c>
      <c r="B1134" s="1">
        <v>248</v>
      </c>
      <c r="C1134" s="1">
        <v>238</v>
      </c>
      <c r="D1134" s="2">
        <v>0.9597</v>
      </c>
      <c r="E1134" s="1">
        <v>10</v>
      </c>
      <c r="F1134" s="3">
        <v>2.199074074074074E-4</v>
      </c>
      <c r="G1134" s="3">
        <v>1.8865740740740742E-3</v>
      </c>
      <c r="H1134" s="3">
        <v>3.1597222222222222E-3</v>
      </c>
      <c r="I1134" s="2">
        <v>0.7409</v>
      </c>
    </row>
    <row r="1135" spans="1:9">
      <c r="A1135" s="1">
        <v>1134</v>
      </c>
      <c r="B1135" s="1">
        <v>323</v>
      </c>
      <c r="C1135" s="1">
        <v>307</v>
      </c>
      <c r="D1135" s="2">
        <v>0.95050000000000001</v>
      </c>
      <c r="E1135" s="1">
        <v>16</v>
      </c>
      <c r="F1135" s="3">
        <v>1.5046296296296297E-4</v>
      </c>
      <c r="G1135" s="3">
        <v>1.8749999999999999E-3</v>
      </c>
      <c r="H1135" s="3">
        <v>2.4074074074074076E-3</v>
      </c>
      <c r="I1135" s="2">
        <v>0.82699999999999996</v>
      </c>
    </row>
    <row r="1136" spans="1:9">
      <c r="A1136" s="1">
        <v>1135</v>
      </c>
      <c r="B1136" s="1">
        <v>260</v>
      </c>
      <c r="C1136" s="1">
        <v>257</v>
      </c>
      <c r="D1136" s="2">
        <v>0.98850000000000005</v>
      </c>
      <c r="E1136" s="1">
        <v>3</v>
      </c>
      <c r="F1136" s="3">
        <v>1.1574074074074075E-4</v>
      </c>
      <c r="G1136" s="3">
        <v>1.724537037037037E-3</v>
      </c>
      <c r="H1136" s="3">
        <v>1.1805555555555556E-3</v>
      </c>
      <c r="I1136" s="2">
        <v>0.91120000000000001</v>
      </c>
    </row>
    <row r="1137" spans="1:9">
      <c r="A1137" s="1">
        <v>1136</v>
      </c>
      <c r="B1137" s="1">
        <v>316</v>
      </c>
      <c r="C1137" s="1">
        <v>311</v>
      </c>
      <c r="D1137" s="2">
        <v>0.98419999999999996</v>
      </c>
      <c r="E1137" s="1">
        <v>5</v>
      </c>
      <c r="F1137" s="3">
        <v>1.1574074074074075E-4</v>
      </c>
      <c r="G1137" s="3">
        <v>1.8634259259259259E-3</v>
      </c>
      <c r="H1137" s="3">
        <v>2.0138888888888888E-3</v>
      </c>
      <c r="I1137" s="2">
        <v>0.87539999999999996</v>
      </c>
    </row>
    <row r="1138" spans="1:9">
      <c r="A1138" s="1">
        <v>1137</v>
      </c>
      <c r="B1138" s="1">
        <v>60</v>
      </c>
      <c r="C1138" s="1">
        <v>59</v>
      </c>
      <c r="D1138" s="2">
        <v>0.98329999999999995</v>
      </c>
      <c r="E1138" s="1">
        <v>1</v>
      </c>
      <c r="F1138" s="3">
        <v>3.4722222222222222E-5</v>
      </c>
      <c r="G1138" s="3">
        <v>1.8634259259259259E-3</v>
      </c>
      <c r="H1138" s="3">
        <v>1.3310185185185185E-3</v>
      </c>
      <c r="I1138" s="2">
        <v>0.98329999999999995</v>
      </c>
    </row>
    <row r="1139" spans="1:9">
      <c r="A1139" s="1">
        <v>1138</v>
      </c>
      <c r="B1139" s="1">
        <v>267</v>
      </c>
      <c r="C1139" s="1">
        <v>251</v>
      </c>
      <c r="D1139" s="2">
        <v>0.94010000000000005</v>
      </c>
      <c r="E1139" s="1">
        <v>16</v>
      </c>
      <c r="F1139" s="3">
        <v>2.199074074074074E-4</v>
      </c>
      <c r="G1139" s="3">
        <v>1.7013888888888888E-3</v>
      </c>
      <c r="H1139" s="3">
        <v>5.37037037037037E-3</v>
      </c>
      <c r="I1139" s="2">
        <v>0.75560000000000005</v>
      </c>
    </row>
    <row r="1140" spans="1:9">
      <c r="A1140" s="1">
        <v>1139</v>
      </c>
      <c r="B1140" s="1">
        <v>30</v>
      </c>
      <c r="C1140" s="1">
        <v>29</v>
      </c>
      <c r="D1140" s="2">
        <v>0.9667</v>
      </c>
      <c r="E1140" s="1">
        <v>1</v>
      </c>
      <c r="F1140" s="3">
        <v>9.2592592592592588E-5</v>
      </c>
      <c r="G1140" s="3">
        <v>1.3888888888888889E-3</v>
      </c>
      <c r="H1140" s="3">
        <v>5.3240740740740744E-4</v>
      </c>
      <c r="I1140" s="2">
        <v>0.93100000000000005</v>
      </c>
    </row>
    <row r="1141" spans="1:9">
      <c r="A1141" s="1">
        <v>1140</v>
      </c>
      <c r="B1141" s="1">
        <v>247</v>
      </c>
      <c r="C1141" s="1">
        <v>238</v>
      </c>
      <c r="D1141" s="2">
        <v>0.96360000000000001</v>
      </c>
      <c r="E1141" s="1">
        <v>9</v>
      </c>
      <c r="F1141" s="3">
        <v>1.5046296296296297E-4</v>
      </c>
      <c r="G1141" s="3">
        <v>1.7939814814814815E-3</v>
      </c>
      <c r="H1141" s="3">
        <v>2.0138888888888888E-3</v>
      </c>
      <c r="I1141" s="2">
        <v>0.83330000000000004</v>
      </c>
    </row>
    <row r="1142" spans="1:9">
      <c r="A1142" s="1">
        <v>1141</v>
      </c>
      <c r="B1142" s="1">
        <v>376</v>
      </c>
      <c r="C1142" s="1">
        <v>365</v>
      </c>
      <c r="D1142" s="2">
        <v>0.97070000000000001</v>
      </c>
      <c r="E1142" s="1">
        <v>11</v>
      </c>
      <c r="F1142" s="3">
        <v>1.7361111111111112E-4</v>
      </c>
      <c r="G1142" s="3">
        <v>2.0833333333333333E-3</v>
      </c>
      <c r="H1142" s="3">
        <v>2.4305555555555556E-3</v>
      </c>
      <c r="I1142" s="2">
        <v>0.81769999999999998</v>
      </c>
    </row>
    <row r="1143" spans="1:9">
      <c r="A1143" s="1">
        <v>1142</v>
      </c>
      <c r="B1143" s="1">
        <v>316</v>
      </c>
      <c r="C1143" s="1">
        <v>306</v>
      </c>
      <c r="D1143" s="2">
        <v>0.96840000000000004</v>
      </c>
      <c r="E1143" s="1">
        <v>10</v>
      </c>
      <c r="F1143" s="3">
        <v>1.5046296296296297E-4</v>
      </c>
      <c r="G1143" s="3">
        <v>2.0254629629629629E-3</v>
      </c>
      <c r="H1143" s="3">
        <v>1.3657407407407407E-3</v>
      </c>
      <c r="I1143" s="2">
        <v>0.82799999999999996</v>
      </c>
    </row>
    <row r="1144" spans="1:9">
      <c r="A1144" s="1">
        <v>1143</v>
      </c>
      <c r="B1144" s="1">
        <v>310</v>
      </c>
      <c r="C1144" s="1">
        <v>304</v>
      </c>
      <c r="D1144" s="2">
        <v>0.98060000000000003</v>
      </c>
      <c r="E1144" s="1">
        <v>6</v>
      </c>
      <c r="F1144" s="3">
        <v>8.1018518518518516E-5</v>
      </c>
      <c r="G1144" s="3">
        <v>1.9791666666666668E-3</v>
      </c>
      <c r="H1144" s="3">
        <v>1.1574074074074073E-3</v>
      </c>
      <c r="I1144" s="2">
        <v>0.92159999999999997</v>
      </c>
    </row>
    <row r="1145" spans="1:9">
      <c r="A1145" s="1">
        <v>1144</v>
      </c>
      <c r="B1145" s="1">
        <v>340</v>
      </c>
      <c r="C1145" s="1">
        <v>327</v>
      </c>
      <c r="D1145" s="2">
        <v>0.96179999999999999</v>
      </c>
      <c r="E1145" s="1">
        <v>13</v>
      </c>
      <c r="F1145" s="3">
        <v>2.6620370370370372E-4</v>
      </c>
      <c r="G1145" s="3">
        <v>2.0254629629629629E-3</v>
      </c>
      <c r="H1145" s="3">
        <v>1.7824074074074075E-3</v>
      </c>
      <c r="I1145" s="2">
        <v>0.71340000000000003</v>
      </c>
    </row>
    <row r="1146" spans="1:9">
      <c r="A1146" s="1">
        <v>1145</v>
      </c>
      <c r="B1146" s="1">
        <v>306</v>
      </c>
      <c r="C1146" s="1">
        <v>289</v>
      </c>
      <c r="D1146" s="2">
        <v>0.94440000000000002</v>
      </c>
      <c r="E1146" s="1">
        <v>17</v>
      </c>
      <c r="F1146" s="3">
        <v>2.7777777777777778E-4</v>
      </c>
      <c r="G1146" s="3">
        <v>1.8865740740740742E-3</v>
      </c>
      <c r="H1146" s="3">
        <v>3.5185185185185185E-3</v>
      </c>
      <c r="I1146" s="2">
        <v>0.69740000000000002</v>
      </c>
    </row>
    <row r="1147" spans="1:9">
      <c r="A1147" s="1">
        <v>1146</v>
      </c>
      <c r="B1147" s="1">
        <v>40</v>
      </c>
      <c r="C1147" s="1">
        <v>40</v>
      </c>
      <c r="D1147" s="2">
        <v>1</v>
      </c>
      <c r="E1147" s="1">
        <v>0</v>
      </c>
      <c r="F1147" s="3">
        <v>5.7870370370370373E-5</v>
      </c>
      <c r="G1147" s="3">
        <v>1.9212962962962964E-3</v>
      </c>
      <c r="H1147" s="3">
        <v>5.9027777777777778E-4</v>
      </c>
      <c r="I1147" s="2">
        <v>0.97499999999999998</v>
      </c>
    </row>
    <row r="1148" spans="1:9">
      <c r="A1148" s="1">
        <v>1147</v>
      </c>
      <c r="B1148" s="1">
        <v>378</v>
      </c>
      <c r="C1148" s="1">
        <v>370</v>
      </c>
      <c r="D1148" s="2">
        <v>0.9788</v>
      </c>
      <c r="E1148" s="1">
        <v>8</v>
      </c>
      <c r="F1148" s="3">
        <v>1.273148148148148E-4</v>
      </c>
      <c r="G1148" s="3">
        <v>1.9907407407407408E-3</v>
      </c>
      <c r="H1148" s="3">
        <v>1.8055555555555555E-3</v>
      </c>
      <c r="I1148" s="2">
        <v>0.86699999999999999</v>
      </c>
    </row>
    <row r="1149" spans="1:9">
      <c r="A1149" s="1">
        <v>1148</v>
      </c>
      <c r="B1149" s="1">
        <v>424</v>
      </c>
      <c r="C1149" s="1">
        <v>416</v>
      </c>
      <c r="D1149" s="2">
        <v>0.98109999999999997</v>
      </c>
      <c r="E1149" s="1">
        <v>8</v>
      </c>
      <c r="F1149" s="3">
        <v>1.6203703703703703E-4</v>
      </c>
      <c r="G1149" s="3">
        <v>2.0138888888888888E-3</v>
      </c>
      <c r="H1149" s="3">
        <v>2.5578703703703705E-3</v>
      </c>
      <c r="I1149" s="2">
        <v>0.83889999999999998</v>
      </c>
    </row>
    <row r="1150" spans="1:9">
      <c r="A1150" s="1">
        <v>1149</v>
      </c>
      <c r="B1150" s="1">
        <v>356</v>
      </c>
      <c r="C1150" s="1">
        <v>353</v>
      </c>
      <c r="D1150" s="2">
        <v>0.99160000000000004</v>
      </c>
      <c r="E1150" s="1">
        <v>3</v>
      </c>
      <c r="F1150" s="3">
        <v>5.7870370370370373E-5</v>
      </c>
      <c r="G1150" s="3">
        <v>1.9444444444444444E-3</v>
      </c>
      <c r="H1150" s="3">
        <v>7.407407407407407E-4</v>
      </c>
      <c r="I1150" s="2">
        <v>0.97170000000000001</v>
      </c>
    </row>
    <row r="1151" spans="1:9">
      <c r="A1151" s="1">
        <v>1150</v>
      </c>
      <c r="B1151" s="1">
        <v>320</v>
      </c>
      <c r="C1151" s="1">
        <v>308</v>
      </c>
      <c r="D1151" s="2">
        <v>0.96250000000000002</v>
      </c>
      <c r="E1151" s="1">
        <v>12</v>
      </c>
      <c r="F1151" s="3">
        <v>1.1574074074074075E-4</v>
      </c>
      <c r="G1151" s="3">
        <v>1.7708333333333332E-3</v>
      </c>
      <c r="H1151" s="3">
        <v>2.3611111111111111E-3</v>
      </c>
      <c r="I1151" s="2">
        <v>0.88990000000000002</v>
      </c>
    </row>
    <row r="1152" spans="1:9">
      <c r="A1152" s="1">
        <v>1151</v>
      </c>
      <c r="B1152" s="1">
        <v>351</v>
      </c>
      <c r="C1152" s="1">
        <v>341</v>
      </c>
      <c r="D1152" s="2">
        <v>0.97150000000000003</v>
      </c>
      <c r="E1152" s="1">
        <v>10</v>
      </c>
      <c r="F1152" s="3">
        <v>1.273148148148148E-4</v>
      </c>
      <c r="G1152" s="3">
        <v>1.9675925925925924E-3</v>
      </c>
      <c r="H1152" s="3">
        <v>1.261574074074074E-3</v>
      </c>
      <c r="I1152" s="2">
        <v>0.86250000000000004</v>
      </c>
    </row>
    <row r="1153" spans="1:9">
      <c r="A1153" s="1">
        <v>1152</v>
      </c>
      <c r="B1153" s="1">
        <v>85</v>
      </c>
      <c r="C1153" s="1">
        <v>83</v>
      </c>
      <c r="D1153" s="2">
        <v>0.97650000000000003</v>
      </c>
      <c r="E1153" s="1">
        <v>2</v>
      </c>
      <c r="F1153" s="3">
        <v>1.5046296296296297E-4</v>
      </c>
      <c r="G1153" s="3">
        <v>1.9328703703703704E-3</v>
      </c>
      <c r="H1153" s="3">
        <v>2.5925925925925925E-3</v>
      </c>
      <c r="I1153" s="2">
        <v>0.85880000000000001</v>
      </c>
    </row>
    <row r="1154" spans="1:9">
      <c r="A1154" s="1">
        <v>1153</v>
      </c>
      <c r="B1154" s="1">
        <v>44</v>
      </c>
      <c r="C1154" s="1">
        <v>43</v>
      </c>
      <c r="D1154" s="2">
        <v>0.97729999999999995</v>
      </c>
      <c r="E1154" s="1">
        <v>1</v>
      </c>
      <c r="F1154" s="3">
        <v>1.0416666666666667E-4</v>
      </c>
      <c r="G1154" s="3">
        <v>1.7708333333333332E-3</v>
      </c>
      <c r="H1154" s="3">
        <v>2.685185185185185E-3</v>
      </c>
      <c r="I1154" s="2">
        <v>0.84089999999999998</v>
      </c>
    </row>
    <row r="1155" spans="1:9">
      <c r="A1155" s="1">
        <v>1154</v>
      </c>
      <c r="B1155" s="1">
        <v>388</v>
      </c>
      <c r="C1155" s="1">
        <v>363</v>
      </c>
      <c r="D1155" s="2">
        <v>0.93559999999999999</v>
      </c>
      <c r="E1155" s="1">
        <v>25</v>
      </c>
      <c r="F1155" s="3">
        <v>2.199074074074074E-4</v>
      </c>
      <c r="G1155" s="3">
        <v>2.1527777777777778E-3</v>
      </c>
      <c r="H1155" s="3">
        <v>2.0138888888888888E-3</v>
      </c>
      <c r="I1155" s="2">
        <v>0.752</v>
      </c>
    </row>
    <row r="1156" spans="1:9">
      <c r="A1156" s="1">
        <v>1155</v>
      </c>
      <c r="B1156" s="1">
        <v>283</v>
      </c>
      <c r="C1156" s="1">
        <v>280</v>
      </c>
      <c r="D1156" s="2">
        <v>0.98939999999999995</v>
      </c>
      <c r="E1156" s="1">
        <v>3</v>
      </c>
      <c r="F1156" s="3">
        <v>6.9444444444444444E-5</v>
      </c>
      <c r="G1156" s="3">
        <v>2.1412037037037038E-3</v>
      </c>
      <c r="H1156" s="3">
        <v>1.261574074074074E-3</v>
      </c>
      <c r="I1156" s="2">
        <v>0.95730000000000004</v>
      </c>
    </row>
    <row r="1157" spans="1:9">
      <c r="A1157" s="1">
        <v>1156</v>
      </c>
      <c r="B1157" s="1">
        <v>241</v>
      </c>
      <c r="C1157" s="1">
        <v>238</v>
      </c>
      <c r="D1157" s="2">
        <v>0.98760000000000003</v>
      </c>
      <c r="E1157" s="1">
        <v>3</v>
      </c>
      <c r="F1157" s="3">
        <v>5.7870370370370373E-5</v>
      </c>
      <c r="G1157" s="3">
        <v>2.0254629629629629E-3</v>
      </c>
      <c r="H1157" s="3">
        <v>2.2685185185185187E-3</v>
      </c>
      <c r="I1157" s="2">
        <v>0.9667</v>
      </c>
    </row>
    <row r="1158" spans="1:9">
      <c r="A1158" s="1">
        <v>1157</v>
      </c>
      <c r="B1158" s="1">
        <v>280</v>
      </c>
      <c r="C1158" s="1">
        <v>273</v>
      </c>
      <c r="D1158" s="2">
        <v>0.97499999999999998</v>
      </c>
      <c r="E1158" s="1">
        <v>7</v>
      </c>
      <c r="F1158" s="3">
        <v>1.0416666666666667E-4</v>
      </c>
      <c r="G1158" s="3">
        <v>1.9212962962962964E-3</v>
      </c>
      <c r="H1158" s="3">
        <v>2.5231481481481481E-3</v>
      </c>
      <c r="I1158" s="2">
        <v>0.8821</v>
      </c>
    </row>
    <row r="1159" spans="1:9">
      <c r="A1159" s="1">
        <v>1158</v>
      </c>
      <c r="B1159" s="1">
        <v>294</v>
      </c>
      <c r="C1159" s="1">
        <v>273</v>
      </c>
      <c r="D1159" s="2">
        <v>0.92859999999999998</v>
      </c>
      <c r="E1159" s="1">
        <v>21</v>
      </c>
      <c r="F1159" s="3">
        <v>3.0092592592592595E-4</v>
      </c>
      <c r="G1159" s="3">
        <v>2.2685185185185187E-3</v>
      </c>
      <c r="H1159" s="3">
        <v>1.8981481481481482E-3</v>
      </c>
      <c r="I1159" s="2">
        <v>0.61770000000000003</v>
      </c>
    </row>
    <row r="1160" spans="1:9">
      <c r="A1160" s="1">
        <v>1159</v>
      </c>
      <c r="B1160" s="1">
        <v>290</v>
      </c>
      <c r="C1160" s="1">
        <v>246</v>
      </c>
      <c r="D1160" s="2">
        <v>0.84830000000000005</v>
      </c>
      <c r="E1160" s="1">
        <v>44</v>
      </c>
      <c r="F1160" s="3">
        <v>3.1250000000000001E-4</v>
      </c>
      <c r="G1160" s="3">
        <v>2.1296296296296298E-3</v>
      </c>
      <c r="H1160" s="3">
        <v>3.2870370370370371E-3</v>
      </c>
      <c r="I1160" s="2">
        <v>0.63859999999999995</v>
      </c>
    </row>
    <row r="1161" spans="1:9">
      <c r="A1161" s="1">
        <v>1160</v>
      </c>
      <c r="B1161" s="1">
        <v>32</v>
      </c>
      <c r="C1161" s="1">
        <v>32</v>
      </c>
      <c r="D1161" s="2">
        <v>1</v>
      </c>
      <c r="E1161" s="1">
        <v>0</v>
      </c>
      <c r="F1161" s="3">
        <v>6.9444444444444444E-5</v>
      </c>
      <c r="G1161" s="3">
        <v>1.8865740740740742E-3</v>
      </c>
      <c r="H1161" s="3">
        <v>8.1018518518518516E-4</v>
      </c>
      <c r="I1161" s="2">
        <v>0.96879999999999999</v>
      </c>
    </row>
    <row r="1162" spans="1:9">
      <c r="A1162" s="1">
        <v>1161</v>
      </c>
      <c r="B1162" s="1">
        <v>270</v>
      </c>
      <c r="C1162" s="1">
        <v>263</v>
      </c>
      <c r="D1162" s="2">
        <v>0.97409999999999997</v>
      </c>
      <c r="E1162" s="1">
        <v>7</v>
      </c>
      <c r="F1162" s="3">
        <v>1.3888888888888889E-4</v>
      </c>
      <c r="G1162" s="3">
        <v>1.9907407407407408E-3</v>
      </c>
      <c r="H1162" s="3">
        <v>1.3888888888888889E-3</v>
      </c>
      <c r="I1162" s="2">
        <v>0.85450000000000004</v>
      </c>
    </row>
    <row r="1163" spans="1:9">
      <c r="A1163" s="1">
        <v>1162</v>
      </c>
      <c r="B1163" s="1">
        <v>212</v>
      </c>
      <c r="C1163" s="1">
        <v>208</v>
      </c>
      <c r="D1163" s="2">
        <v>0.98109999999999997</v>
      </c>
      <c r="E1163" s="1">
        <v>4</v>
      </c>
      <c r="F1163" s="3">
        <v>9.2592592592592588E-5</v>
      </c>
      <c r="G1163" s="3">
        <v>1.8865740740740742E-3</v>
      </c>
      <c r="H1163" s="3">
        <v>1.7824074074074075E-3</v>
      </c>
      <c r="I1163" s="2">
        <v>0.91</v>
      </c>
    </row>
    <row r="1164" spans="1:9">
      <c r="A1164" s="1">
        <v>1163</v>
      </c>
      <c r="B1164" s="1">
        <v>246</v>
      </c>
      <c r="C1164" s="1">
        <v>238</v>
      </c>
      <c r="D1164" s="2">
        <v>0.96750000000000003</v>
      </c>
      <c r="E1164" s="1">
        <v>8</v>
      </c>
      <c r="F1164" s="3">
        <v>8.1018518518518516E-5</v>
      </c>
      <c r="G1164" s="3">
        <v>2.0023148148148148E-3</v>
      </c>
      <c r="H1164" s="3">
        <v>2.638888888888889E-3</v>
      </c>
      <c r="I1164" s="2">
        <v>0.91839999999999999</v>
      </c>
    </row>
    <row r="1165" spans="1:9">
      <c r="A1165" s="1">
        <v>1164</v>
      </c>
      <c r="B1165" s="1">
        <v>194</v>
      </c>
      <c r="C1165" s="1">
        <v>190</v>
      </c>
      <c r="D1165" s="2">
        <v>0.97940000000000005</v>
      </c>
      <c r="E1165" s="1">
        <v>4</v>
      </c>
      <c r="F1165" s="3">
        <v>9.2592592592592588E-5</v>
      </c>
      <c r="G1165" s="3">
        <v>1.8865740740740742E-3</v>
      </c>
      <c r="H1165" s="3">
        <v>2.476851851851852E-3</v>
      </c>
      <c r="I1165" s="2">
        <v>0.92779999999999996</v>
      </c>
    </row>
    <row r="1166" spans="1:9">
      <c r="A1166" s="1">
        <v>1165</v>
      </c>
      <c r="B1166" s="1">
        <v>179</v>
      </c>
      <c r="C1166" s="1">
        <v>176</v>
      </c>
      <c r="D1166" s="2">
        <v>0.98319999999999996</v>
      </c>
      <c r="E1166" s="1">
        <v>3</v>
      </c>
      <c r="F1166" s="3">
        <v>6.9444444444444444E-5</v>
      </c>
      <c r="G1166" s="3">
        <v>1.8981481481481482E-3</v>
      </c>
      <c r="H1166" s="3">
        <v>1.1921296296296296E-3</v>
      </c>
      <c r="I1166" s="2">
        <v>0.96050000000000002</v>
      </c>
    </row>
    <row r="1167" spans="1:9">
      <c r="A1167" s="1">
        <v>1166</v>
      </c>
      <c r="B1167" s="1">
        <v>67</v>
      </c>
      <c r="C1167" s="1">
        <v>65</v>
      </c>
      <c r="D1167" s="2">
        <v>0.97009999999999996</v>
      </c>
      <c r="E1167" s="1">
        <v>2</v>
      </c>
      <c r="F1167" s="3">
        <v>1.0416666666666667E-4</v>
      </c>
      <c r="G1167" s="3">
        <v>1.8055555555555555E-3</v>
      </c>
      <c r="H1167" s="3">
        <v>1.3773148148148147E-3</v>
      </c>
      <c r="I1167" s="2">
        <v>0.89549999999999996</v>
      </c>
    </row>
    <row r="1168" spans="1:9">
      <c r="A1168" s="1">
        <v>1167</v>
      </c>
      <c r="B1168" s="1">
        <v>27</v>
      </c>
      <c r="C1168" s="1">
        <v>27</v>
      </c>
      <c r="D1168" s="2">
        <v>1</v>
      </c>
      <c r="E1168" s="1">
        <v>0</v>
      </c>
      <c r="F1168" s="3">
        <v>1.0416666666666667E-4</v>
      </c>
      <c r="G1168" s="3">
        <v>1.7013888888888888E-3</v>
      </c>
      <c r="H1168" s="3">
        <v>1.0763888888888889E-3</v>
      </c>
      <c r="I1168" s="2">
        <v>0.88890000000000002</v>
      </c>
    </row>
    <row r="1169" spans="1:9">
      <c r="A1169" s="1">
        <v>1168</v>
      </c>
      <c r="B1169" s="1">
        <v>190</v>
      </c>
      <c r="C1169" s="1">
        <v>183</v>
      </c>
      <c r="D1169" s="2">
        <v>0.96319999999999995</v>
      </c>
      <c r="E1169" s="1">
        <v>7</v>
      </c>
      <c r="F1169" s="3">
        <v>1.0416666666666667E-4</v>
      </c>
      <c r="G1169" s="3">
        <v>1.8287037037037037E-3</v>
      </c>
      <c r="H1169" s="3">
        <v>2.0138888888888888E-3</v>
      </c>
      <c r="I1169" s="2">
        <v>0.87829999999999997</v>
      </c>
    </row>
    <row r="1170" spans="1:9">
      <c r="A1170" s="1">
        <v>1169</v>
      </c>
      <c r="B1170" s="1">
        <v>213</v>
      </c>
      <c r="C1170" s="1">
        <v>205</v>
      </c>
      <c r="D1170" s="2">
        <v>0.96240000000000003</v>
      </c>
      <c r="E1170" s="1">
        <v>8</v>
      </c>
      <c r="F1170" s="3">
        <v>1.1574074074074075E-4</v>
      </c>
      <c r="G1170" s="3">
        <v>1.8287037037037037E-3</v>
      </c>
      <c r="H1170" s="3">
        <v>3.4953703703703705E-3</v>
      </c>
      <c r="I1170" s="2">
        <v>0.88149999999999995</v>
      </c>
    </row>
    <row r="1171" spans="1:9">
      <c r="A1171" s="1">
        <v>1170</v>
      </c>
      <c r="B1171" s="1">
        <v>208</v>
      </c>
      <c r="C1171" s="1">
        <v>205</v>
      </c>
      <c r="D1171" s="2">
        <v>0.98560000000000003</v>
      </c>
      <c r="E1171" s="1">
        <v>3</v>
      </c>
      <c r="F1171" s="3">
        <v>4.6296296296296294E-5</v>
      </c>
      <c r="G1171" s="3">
        <v>1.8055555555555555E-3</v>
      </c>
      <c r="H1171" s="3">
        <v>2.0023148148148148E-3</v>
      </c>
      <c r="I1171" s="2">
        <v>0.97089999999999999</v>
      </c>
    </row>
    <row r="1172" spans="1:9">
      <c r="A1172" s="1">
        <v>1171</v>
      </c>
      <c r="B1172" s="1">
        <v>166</v>
      </c>
      <c r="C1172" s="1">
        <v>165</v>
      </c>
      <c r="D1172" s="2">
        <v>0.99399999999999999</v>
      </c>
      <c r="E1172" s="1">
        <v>1</v>
      </c>
      <c r="F1172" s="3">
        <v>9.2592592592592588E-5</v>
      </c>
      <c r="G1172" s="3">
        <v>1.8634259259259259E-3</v>
      </c>
      <c r="H1172" s="3">
        <v>2.4421296296296296E-3</v>
      </c>
      <c r="I1172" s="2">
        <v>0.92769999999999997</v>
      </c>
    </row>
    <row r="1173" spans="1:9">
      <c r="A1173" s="1">
        <v>1172</v>
      </c>
      <c r="B1173" s="1">
        <v>169</v>
      </c>
      <c r="C1173" s="1">
        <v>161</v>
      </c>
      <c r="D1173" s="2">
        <v>0.95269999999999999</v>
      </c>
      <c r="E1173" s="1">
        <v>8</v>
      </c>
      <c r="F1173" s="3">
        <v>2.0833333333333335E-4</v>
      </c>
      <c r="G1173" s="3">
        <v>1.9907407407407408E-3</v>
      </c>
      <c r="H1173" s="3">
        <v>2.5115740740740741E-3</v>
      </c>
      <c r="I1173" s="2">
        <v>0.73960000000000004</v>
      </c>
    </row>
    <row r="1174" spans="1:9">
      <c r="A1174" s="1">
        <v>1173</v>
      </c>
      <c r="B1174" s="1">
        <v>175</v>
      </c>
      <c r="C1174" s="1">
        <v>167</v>
      </c>
      <c r="D1174" s="2">
        <v>0.95430000000000004</v>
      </c>
      <c r="E1174" s="1">
        <v>8</v>
      </c>
      <c r="F1174" s="3">
        <v>1.1574074074074075E-4</v>
      </c>
      <c r="G1174" s="3">
        <v>1.724537037037037E-3</v>
      </c>
      <c r="H1174" s="3">
        <v>2.685185185185185E-3</v>
      </c>
      <c r="I1174" s="2">
        <v>0.8629</v>
      </c>
    </row>
    <row r="1175" spans="1:9">
      <c r="A1175" s="1">
        <v>1174</v>
      </c>
      <c r="B1175" s="1">
        <v>43</v>
      </c>
      <c r="C1175" s="1">
        <v>43</v>
      </c>
      <c r="D1175" s="2">
        <v>1</v>
      </c>
      <c r="E1175" s="1">
        <v>0</v>
      </c>
      <c r="F1175" s="3">
        <v>4.6296296296296294E-5</v>
      </c>
      <c r="G1175" s="3">
        <v>1.8749999999999999E-3</v>
      </c>
      <c r="H1175" s="3">
        <v>3.3564814814814812E-4</v>
      </c>
      <c r="I1175" s="2">
        <v>1</v>
      </c>
    </row>
    <row r="1176" spans="1:9">
      <c r="A1176" s="1">
        <v>1175</v>
      </c>
      <c r="B1176" s="1">
        <v>24</v>
      </c>
      <c r="C1176" s="1">
        <v>24</v>
      </c>
      <c r="D1176" s="2">
        <v>1</v>
      </c>
      <c r="E1176" s="1">
        <v>0</v>
      </c>
      <c r="F1176" s="3">
        <v>3.4722222222222222E-5</v>
      </c>
      <c r="G1176" s="3">
        <v>1.9212962962962964E-3</v>
      </c>
      <c r="H1176" s="3">
        <v>3.4722222222222222E-5</v>
      </c>
      <c r="I1176" s="2">
        <v>1</v>
      </c>
    </row>
    <row r="1177" spans="1:9">
      <c r="A1177" s="1">
        <v>1176</v>
      </c>
      <c r="B1177" s="1">
        <v>26</v>
      </c>
      <c r="C1177" s="1">
        <v>26</v>
      </c>
      <c r="D1177" s="2">
        <v>1</v>
      </c>
      <c r="E1177" s="1">
        <v>0</v>
      </c>
      <c r="F1177" s="3">
        <v>5.7870370370370373E-5</v>
      </c>
      <c r="G1177" s="3">
        <v>1.9907407407407408E-3</v>
      </c>
      <c r="H1177" s="3">
        <v>6.7129629629629625E-4</v>
      </c>
      <c r="I1177" s="2">
        <v>0.92310000000000003</v>
      </c>
    </row>
    <row r="1178" spans="1:9">
      <c r="A1178" s="1">
        <v>1177</v>
      </c>
      <c r="B1178" s="1">
        <v>42</v>
      </c>
      <c r="C1178" s="1">
        <v>41</v>
      </c>
      <c r="D1178" s="2">
        <v>0.97619999999999996</v>
      </c>
      <c r="E1178" s="1">
        <v>1</v>
      </c>
      <c r="F1178" s="3">
        <v>3.4722222222222222E-5</v>
      </c>
      <c r="G1178" s="3">
        <v>1.8634259259259259E-3</v>
      </c>
      <c r="H1178" s="3">
        <v>3.4722222222222222E-5</v>
      </c>
      <c r="I1178" s="2">
        <v>1</v>
      </c>
    </row>
    <row r="1179" spans="1:9">
      <c r="A1179" s="1">
        <v>1178</v>
      </c>
      <c r="B1179" s="1">
        <v>37</v>
      </c>
      <c r="C1179" s="1">
        <v>36</v>
      </c>
      <c r="D1179" s="2">
        <v>0.97299999999999998</v>
      </c>
      <c r="E1179" s="1">
        <v>1</v>
      </c>
      <c r="F1179" s="3">
        <v>5.7870370370370373E-5</v>
      </c>
      <c r="G1179" s="3">
        <v>1.6666666666666668E-3</v>
      </c>
      <c r="H1179" s="3">
        <v>3.3564814814814816E-3</v>
      </c>
      <c r="I1179" s="2">
        <v>0.94589999999999996</v>
      </c>
    </row>
    <row r="1180" spans="1:9">
      <c r="A1180" s="1">
        <v>1179</v>
      </c>
      <c r="B1180" s="1">
        <v>60</v>
      </c>
      <c r="C1180" s="1">
        <v>60</v>
      </c>
      <c r="D1180" s="2">
        <v>1</v>
      </c>
      <c r="E1180" s="1">
        <v>0</v>
      </c>
      <c r="F1180" s="3">
        <v>5.7870370370370373E-5</v>
      </c>
      <c r="G1180" s="3">
        <v>2.1643518518518518E-3</v>
      </c>
      <c r="H1180" s="3">
        <v>7.0601851851851847E-4</v>
      </c>
      <c r="I1180" s="2">
        <v>0.9667</v>
      </c>
    </row>
    <row r="1181" spans="1:9">
      <c r="A1181" s="1">
        <v>1180</v>
      </c>
      <c r="B1181" s="1">
        <v>82</v>
      </c>
      <c r="C1181" s="1">
        <v>81</v>
      </c>
      <c r="D1181" s="2">
        <v>0.98780000000000001</v>
      </c>
      <c r="E1181" s="1">
        <v>1</v>
      </c>
      <c r="F1181" s="3">
        <v>3.4722222222222222E-5</v>
      </c>
      <c r="G1181" s="3">
        <v>1.6666666666666668E-3</v>
      </c>
      <c r="H1181" s="3">
        <v>6.7129629629629625E-4</v>
      </c>
      <c r="I1181" s="2">
        <v>0.97560000000000002</v>
      </c>
    </row>
    <row r="1182" spans="1:9">
      <c r="A1182" s="1">
        <v>1181</v>
      </c>
      <c r="B1182" s="1">
        <v>31</v>
      </c>
      <c r="C1182" s="1">
        <v>31</v>
      </c>
      <c r="D1182" s="2">
        <v>1</v>
      </c>
      <c r="E1182" s="1">
        <v>0</v>
      </c>
      <c r="F1182" s="3">
        <v>6.9444444444444444E-5</v>
      </c>
      <c r="G1182" s="3">
        <v>1.6203703703703703E-3</v>
      </c>
      <c r="H1182" s="3">
        <v>7.0601851851851847E-4</v>
      </c>
      <c r="I1182" s="2">
        <v>0.9355</v>
      </c>
    </row>
    <row r="1183" spans="1:9">
      <c r="A1183" s="1">
        <v>1182</v>
      </c>
      <c r="B1183" s="1">
        <v>178</v>
      </c>
      <c r="C1183" s="1">
        <v>171</v>
      </c>
      <c r="D1183" s="2">
        <v>0.9607</v>
      </c>
      <c r="E1183" s="1">
        <v>7</v>
      </c>
      <c r="F1183" s="3">
        <v>1.8518518518518518E-4</v>
      </c>
      <c r="G1183" s="3">
        <v>1.8865740740740742E-3</v>
      </c>
      <c r="H1183" s="3">
        <v>1.4583333333333334E-3</v>
      </c>
      <c r="I1183" s="2">
        <v>0.76139999999999997</v>
      </c>
    </row>
    <row r="1184" spans="1:9">
      <c r="A1184" s="1">
        <v>1183</v>
      </c>
      <c r="B1184" s="1">
        <v>183</v>
      </c>
      <c r="C1184" s="1">
        <v>175</v>
      </c>
      <c r="D1184" s="2">
        <v>0.95630000000000004</v>
      </c>
      <c r="E1184" s="1">
        <v>8</v>
      </c>
      <c r="F1184" s="3">
        <v>1.5046296296296297E-4</v>
      </c>
      <c r="G1184" s="3">
        <v>1.7013888888888888E-3</v>
      </c>
      <c r="H1184" s="3">
        <v>3.2175925925925926E-3</v>
      </c>
      <c r="I1184" s="2">
        <v>0.85560000000000003</v>
      </c>
    </row>
    <row r="1185" spans="1:9">
      <c r="A1185" s="1">
        <v>1184</v>
      </c>
      <c r="B1185" s="1">
        <v>39</v>
      </c>
      <c r="C1185" s="1">
        <v>37</v>
      </c>
      <c r="D1185" s="2">
        <v>0.94869999999999999</v>
      </c>
      <c r="E1185" s="1">
        <v>2</v>
      </c>
      <c r="F1185" s="3">
        <v>3.4722222222222222E-5</v>
      </c>
      <c r="G1185" s="3">
        <v>2.0023148148148148E-3</v>
      </c>
      <c r="H1185" s="3">
        <v>6.7129629629629625E-4</v>
      </c>
      <c r="I1185" s="2">
        <v>0.97370000000000001</v>
      </c>
    </row>
    <row r="1186" spans="1:9">
      <c r="A1186" s="1">
        <v>1185</v>
      </c>
      <c r="B1186" s="1">
        <v>170</v>
      </c>
      <c r="C1186" s="1">
        <v>167</v>
      </c>
      <c r="D1186" s="2">
        <v>0.98240000000000005</v>
      </c>
      <c r="E1186" s="1">
        <v>3</v>
      </c>
      <c r="F1186" s="3">
        <v>1.3888888888888889E-4</v>
      </c>
      <c r="G1186" s="3">
        <v>1.6666666666666668E-3</v>
      </c>
      <c r="H1186" s="3">
        <v>1.9675925925925924E-3</v>
      </c>
      <c r="I1186" s="2">
        <v>0.85289999999999999</v>
      </c>
    </row>
    <row r="1187" spans="1:9">
      <c r="A1187" s="1">
        <v>1186</v>
      </c>
      <c r="B1187" s="1">
        <v>180</v>
      </c>
      <c r="C1187" s="1">
        <v>168</v>
      </c>
      <c r="D1187" s="2">
        <v>0.93330000000000002</v>
      </c>
      <c r="E1187" s="1">
        <v>12</v>
      </c>
      <c r="F1187" s="3">
        <v>1.3888888888888889E-4</v>
      </c>
      <c r="G1187" s="3">
        <v>1.9212962962962964E-3</v>
      </c>
      <c r="H1187" s="3">
        <v>3.1134259259259257E-3</v>
      </c>
      <c r="I1187" s="2">
        <v>0.83150000000000002</v>
      </c>
    </row>
    <row r="1188" spans="1:9">
      <c r="A1188" s="1">
        <v>1187</v>
      </c>
      <c r="B1188" s="1">
        <v>24</v>
      </c>
      <c r="C1188" s="1">
        <v>24</v>
      </c>
      <c r="D1188" s="2">
        <v>1</v>
      </c>
      <c r="E1188" s="1">
        <v>0</v>
      </c>
      <c r="F1188" s="3">
        <v>4.6296296296296294E-5</v>
      </c>
      <c r="G1188" s="3">
        <v>1.8055555555555555E-3</v>
      </c>
      <c r="H1188" s="3">
        <v>2.4305555555555555E-4</v>
      </c>
      <c r="I1188" s="2">
        <v>1</v>
      </c>
    </row>
    <row r="1189" spans="1:9">
      <c r="A1189" s="1">
        <v>1188</v>
      </c>
      <c r="B1189" s="1">
        <v>7</v>
      </c>
      <c r="C1189" s="1">
        <v>7</v>
      </c>
      <c r="D1189" s="2">
        <v>1</v>
      </c>
      <c r="E1189" s="1">
        <v>0</v>
      </c>
      <c r="F1189" s="3">
        <v>3.8194444444444446E-4</v>
      </c>
      <c r="G1189" s="3">
        <v>1.8402777777777777E-3</v>
      </c>
      <c r="H1189" s="3">
        <v>1.0763888888888889E-3</v>
      </c>
      <c r="I1189" s="2">
        <v>0.42859999999999998</v>
      </c>
    </row>
    <row r="1190" spans="1:9">
      <c r="A1190" s="1">
        <v>1189</v>
      </c>
      <c r="B1190" s="1">
        <v>181</v>
      </c>
      <c r="C1190" s="1">
        <v>181</v>
      </c>
      <c r="D1190" s="2">
        <v>1</v>
      </c>
      <c r="E1190" s="1">
        <v>0</v>
      </c>
      <c r="F1190" s="3">
        <v>1.3888888888888889E-4</v>
      </c>
      <c r="G1190" s="3">
        <v>1.9328703703703704E-3</v>
      </c>
      <c r="H1190" s="3">
        <v>1.0300925925925926E-3</v>
      </c>
      <c r="I1190" s="2">
        <v>0.87849999999999995</v>
      </c>
    </row>
    <row r="1191" spans="1:9">
      <c r="A1191" s="1">
        <v>1190</v>
      </c>
      <c r="B1191" s="1">
        <v>209</v>
      </c>
      <c r="C1191" s="1">
        <v>206</v>
      </c>
      <c r="D1191" s="2">
        <v>0.98560000000000003</v>
      </c>
      <c r="E1191" s="1">
        <v>3</v>
      </c>
      <c r="F1191" s="3">
        <v>5.7870370370370373E-5</v>
      </c>
      <c r="G1191" s="3">
        <v>1.8749999999999999E-3</v>
      </c>
      <c r="H1191" s="3">
        <v>6.7129629629629625E-4</v>
      </c>
      <c r="I1191" s="2">
        <v>0.95169999999999999</v>
      </c>
    </row>
    <row r="1192" spans="1:9">
      <c r="A1192" s="1">
        <v>1191</v>
      </c>
      <c r="B1192" s="1">
        <v>180</v>
      </c>
      <c r="C1192" s="1">
        <v>179</v>
      </c>
      <c r="D1192" s="2">
        <v>0.99439999999999995</v>
      </c>
      <c r="E1192" s="1">
        <v>1</v>
      </c>
      <c r="F1192" s="3">
        <v>4.6296296296296294E-5</v>
      </c>
      <c r="G1192" s="3">
        <v>1.712962962962963E-3</v>
      </c>
      <c r="H1192" s="3">
        <v>7.1759259259259259E-4</v>
      </c>
      <c r="I1192" s="2">
        <v>0.97209999999999996</v>
      </c>
    </row>
    <row r="1193" spans="1:9">
      <c r="A1193" s="1">
        <v>1192</v>
      </c>
      <c r="B1193" s="1">
        <v>221</v>
      </c>
      <c r="C1193" s="1">
        <v>203</v>
      </c>
      <c r="D1193" s="2">
        <v>0.91859999999999997</v>
      </c>
      <c r="E1193" s="1">
        <v>18</v>
      </c>
      <c r="F1193" s="3">
        <v>1.3888888888888889E-4</v>
      </c>
      <c r="G1193" s="3">
        <v>1.8865740740740742E-3</v>
      </c>
      <c r="H1193" s="3">
        <v>2.0254629629629629E-3</v>
      </c>
      <c r="I1193" s="2">
        <v>0.87319999999999998</v>
      </c>
    </row>
    <row r="1194" spans="1:9">
      <c r="A1194" s="1">
        <v>1193</v>
      </c>
      <c r="B1194" s="1">
        <v>254</v>
      </c>
      <c r="C1194" s="1">
        <v>248</v>
      </c>
      <c r="D1194" s="2">
        <v>0.97640000000000005</v>
      </c>
      <c r="E1194" s="1">
        <v>6</v>
      </c>
      <c r="F1194" s="3">
        <v>1.1574074074074075E-4</v>
      </c>
      <c r="G1194" s="3">
        <v>1.9444444444444444E-3</v>
      </c>
      <c r="H1194" s="3">
        <v>2.1643518518518518E-3</v>
      </c>
      <c r="I1194" s="2">
        <v>0.90869999999999995</v>
      </c>
    </row>
    <row r="1195" spans="1:9">
      <c r="A1195" s="1">
        <v>1194</v>
      </c>
      <c r="B1195" s="1">
        <v>627</v>
      </c>
      <c r="C1195" s="1">
        <v>577</v>
      </c>
      <c r="D1195" s="2">
        <v>0.92030000000000001</v>
      </c>
      <c r="E1195" s="1">
        <v>50</v>
      </c>
      <c r="F1195" s="3">
        <v>4.7453703703703704E-4</v>
      </c>
      <c r="G1195" s="3">
        <v>1.8402777777777777E-3</v>
      </c>
      <c r="H1195" s="3">
        <v>3.7037037037037038E-3</v>
      </c>
      <c r="I1195" s="2">
        <v>0.47810000000000002</v>
      </c>
    </row>
    <row r="1196" spans="1:9">
      <c r="A1196" s="1">
        <v>1195</v>
      </c>
      <c r="B1196" s="1">
        <v>167</v>
      </c>
      <c r="C1196" s="1">
        <v>159</v>
      </c>
      <c r="D1196" s="2">
        <v>0.95209999999999995</v>
      </c>
      <c r="E1196" s="1">
        <v>8</v>
      </c>
      <c r="F1196" s="3">
        <v>2.0833333333333335E-4</v>
      </c>
      <c r="G1196" s="3">
        <v>2.1990740740740742E-3</v>
      </c>
      <c r="H1196" s="3">
        <v>2.7199074074074074E-3</v>
      </c>
      <c r="I1196" s="2">
        <v>0.76049999999999995</v>
      </c>
    </row>
    <row r="1197" spans="1:9">
      <c r="A1197" s="1">
        <v>1196</v>
      </c>
      <c r="B1197" s="1">
        <v>599</v>
      </c>
      <c r="C1197" s="1">
        <v>554</v>
      </c>
      <c r="D1197" s="2">
        <v>0.92490000000000006</v>
      </c>
      <c r="E1197" s="1">
        <v>45</v>
      </c>
      <c r="F1197" s="3">
        <v>2.8935185185185184E-4</v>
      </c>
      <c r="G1197" s="3">
        <v>1.7939814814814815E-3</v>
      </c>
      <c r="H1197" s="3">
        <v>3.3564814814814816E-3</v>
      </c>
      <c r="I1197" s="2">
        <v>0.63560000000000005</v>
      </c>
    </row>
    <row r="1198" spans="1:9">
      <c r="A1198" s="1">
        <v>1197</v>
      </c>
      <c r="B1198" s="1">
        <v>304</v>
      </c>
      <c r="C1198" s="1">
        <v>300</v>
      </c>
      <c r="D1198" s="2">
        <v>0.98680000000000001</v>
      </c>
      <c r="E1198" s="1">
        <v>4</v>
      </c>
      <c r="F1198" s="3">
        <v>8.1018518518518516E-5</v>
      </c>
      <c r="G1198" s="3">
        <v>1.7939814814814815E-3</v>
      </c>
      <c r="H1198" s="3">
        <v>2.0254629629629629E-3</v>
      </c>
      <c r="I1198" s="2">
        <v>0.92410000000000003</v>
      </c>
    </row>
    <row r="1199" spans="1:9">
      <c r="A1199" s="1">
        <v>1198</v>
      </c>
      <c r="B1199" s="1">
        <v>267</v>
      </c>
      <c r="C1199" s="1">
        <v>260</v>
      </c>
      <c r="D1199" s="2">
        <v>0.9738</v>
      </c>
      <c r="E1199" s="1">
        <v>7</v>
      </c>
      <c r="F1199" s="3">
        <v>9.2592592592592588E-5</v>
      </c>
      <c r="G1199" s="3">
        <v>2.0370370370370369E-3</v>
      </c>
      <c r="H1199" s="3">
        <v>1.3194444444444445E-3</v>
      </c>
      <c r="I1199" s="2">
        <v>0.90910000000000002</v>
      </c>
    </row>
    <row r="1200" spans="1:9">
      <c r="A1200" s="1">
        <v>1199</v>
      </c>
      <c r="B1200" s="1">
        <v>286</v>
      </c>
      <c r="C1200" s="1">
        <v>281</v>
      </c>
      <c r="D1200" s="2">
        <v>0.98250000000000004</v>
      </c>
      <c r="E1200" s="1">
        <v>5</v>
      </c>
      <c r="F1200" s="3">
        <v>1.273148148148148E-4</v>
      </c>
      <c r="G1200" s="3">
        <v>1.8518518518518519E-3</v>
      </c>
      <c r="H1200" s="3">
        <v>2.0138888888888888E-3</v>
      </c>
      <c r="I1200" s="2">
        <v>0.86970000000000003</v>
      </c>
    </row>
    <row r="1201" spans="1:9">
      <c r="A1201" s="1">
        <v>1200</v>
      </c>
      <c r="B1201" s="1">
        <v>196</v>
      </c>
      <c r="C1201" s="1">
        <v>192</v>
      </c>
      <c r="D1201" s="2">
        <v>0.97960000000000003</v>
      </c>
      <c r="E1201" s="1">
        <v>4</v>
      </c>
      <c r="F1201" s="3">
        <v>1.5046296296296297E-4</v>
      </c>
      <c r="G1201" s="3">
        <v>1.8865740740740742E-3</v>
      </c>
      <c r="H1201" s="3">
        <v>1.4583333333333334E-3</v>
      </c>
      <c r="I1201" s="2">
        <v>0.85640000000000005</v>
      </c>
    </row>
    <row r="1202" spans="1:9">
      <c r="A1202" s="1">
        <v>1201</v>
      </c>
      <c r="B1202" s="1">
        <v>191</v>
      </c>
      <c r="C1202" s="1">
        <v>189</v>
      </c>
      <c r="D1202" s="2">
        <v>0.98950000000000005</v>
      </c>
      <c r="E1202" s="1">
        <v>2</v>
      </c>
      <c r="F1202" s="3">
        <v>1.273148148148148E-4</v>
      </c>
      <c r="G1202" s="3">
        <v>2.0833333333333333E-3</v>
      </c>
      <c r="H1202" s="3">
        <v>1.7824074074074075E-3</v>
      </c>
      <c r="I1202" s="2">
        <v>0.88419999999999999</v>
      </c>
    </row>
    <row r="1203" spans="1:9">
      <c r="A1203" s="1">
        <v>1202</v>
      </c>
      <c r="B1203" s="1">
        <v>60</v>
      </c>
      <c r="C1203" s="1">
        <v>60</v>
      </c>
      <c r="D1203" s="2">
        <v>1</v>
      </c>
      <c r="E1203" s="1">
        <v>0</v>
      </c>
      <c r="F1203" s="3">
        <v>6.9444444444444444E-5</v>
      </c>
      <c r="G1203" s="3">
        <v>1.3657407407407407E-3</v>
      </c>
      <c r="H1203" s="3">
        <v>6.8287037037037036E-4</v>
      </c>
      <c r="I1203" s="2">
        <v>0.9667</v>
      </c>
    </row>
    <row r="1204" spans="1:9">
      <c r="A1204" s="1">
        <v>1203</v>
      </c>
      <c r="B1204" s="1">
        <v>215</v>
      </c>
      <c r="C1204" s="1">
        <v>207</v>
      </c>
      <c r="D1204" s="2">
        <v>0.96279999999999999</v>
      </c>
      <c r="E1204" s="1">
        <v>8</v>
      </c>
      <c r="F1204" s="3">
        <v>1.1574074074074075E-4</v>
      </c>
      <c r="G1204" s="3">
        <v>1.8518518518518519E-3</v>
      </c>
      <c r="H1204" s="3">
        <v>1.2037037037037038E-3</v>
      </c>
      <c r="I1204" s="2">
        <v>0.90429999999999999</v>
      </c>
    </row>
    <row r="1205" spans="1:9">
      <c r="A1205" s="1">
        <v>1204</v>
      </c>
      <c r="B1205" s="1">
        <v>221</v>
      </c>
      <c r="C1205" s="1">
        <v>213</v>
      </c>
      <c r="D1205" s="2">
        <v>0.96379999999999999</v>
      </c>
      <c r="E1205" s="1">
        <v>8</v>
      </c>
      <c r="F1205" s="3">
        <v>9.2592592592592588E-5</v>
      </c>
      <c r="G1205" s="3">
        <v>1.7939814814814815E-3</v>
      </c>
      <c r="H1205" s="3">
        <v>1.238425925925926E-3</v>
      </c>
      <c r="I1205" s="2">
        <v>0.90449999999999997</v>
      </c>
    </row>
    <row r="1206" spans="1:9">
      <c r="A1206" s="1">
        <v>1205</v>
      </c>
      <c r="B1206" s="1">
        <v>201</v>
      </c>
      <c r="C1206" s="1">
        <v>193</v>
      </c>
      <c r="D1206" s="2">
        <v>0.96020000000000005</v>
      </c>
      <c r="E1206" s="1">
        <v>8</v>
      </c>
      <c r="F1206" s="3">
        <v>3.4722222222222222E-5</v>
      </c>
      <c r="G1206" s="3">
        <v>1.9212962962962964E-3</v>
      </c>
      <c r="H1206" s="3">
        <v>6.7129629629629625E-4</v>
      </c>
      <c r="I1206" s="2">
        <v>0.98450000000000004</v>
      </c>
    </row>
    <row r="1207" spans="1:9">
      <c r="A1207" s="1">
        <v>1206</v>
      </c>
      <c r="B1207" s="1">
        <v>205</v>
      </c>
      <c r="C1207" s="1">
        <v>202</v>
      </c>
      <c r="D1207" s="2">
        <v>0.98540000000000005</v>
      </c>
      <c r="E1207" s="1">
        <v>3</v>
      </c>
      <c r="F1207" s="3">
        <v>5.7870370370370373E-5</v>
      </c>
      <c r="G1207" s="3">
        <v>1.9444444444444444E-3</v>
      </c>
      <c r="H1207" s="3">
        <v>7.9861111111111116E-4</v>
      </c>
      <c r="I1207" s="2">
        <v>0.96060000000000001</v>
      </c>
    </row>
    <row r="1208" spans="1:9">
      <c r="A1208" s="1">
        <v>1207</v>
      </c>
      <c r="B1208" s="1">
        <v>201</v>
      </c>
      <c r="C1208" s="1">
        <v>194</v>
      </c>
      <c r="D1208" s="2">
        <v>0.96519999999999995</v>
      </c>
      <c r="E1208" s="1">
        <v>7</v>
      </c>
      <c r="F1208" s="3">
        <v>1.6203703703703703E-4</v>
      </c>
      <c r="G1208" s="3">
        <v>1.8981481481481482E-3</v>
      </c>
      <c r="H1208" s="3">
        <v>1.724537037037037E-3</v>
      </c>
      <c r="I1208" s="2">
        <v>0.84260000000000002</v>
      </c>
    </row>
    <row r="1209" spans="1:9">
      <c r="A1209" s="1">
        <v>1208</v>
      </c>
      <c r="B1209" s="1">
        <v>140</v>
      </c>
      <c r="C1209" s="1">
        <v>132</v>
      </c>
      <c r="D1209" s="2">
        <v>0.94289999999999996</v>
      </c>
      <c r="E1209" s="1">
        <v>8</v>
      </c>
      <c r="F1209" s="3">
        <v>8.1018518518518516E-5</v>
      </c>
      <c r="G1209" s="3">
        <v>1.2847222222222223E-3</v>
      </c>
      <c r="H1209" s="3">
        <v>1.3425925925925925E-3</v>
      </c>
      <c r="I1209" s="2">
        <v>0.92479999999999996</v>
      </c>
    </row>
    <row r="1210" spans="1:9">
      <c r="A1210" s="1">
        <v>1209</v>
      </c>
      <c r="B1210" s="1">
        <v>29</v>
      </c>
      <c r="C1210" s="1">
        <v>28</v>
      </c>
      <c r="D1210" s="2">
        <v>0.96550000000000002</v>
      </c>
      <c r="E1210" s="1">
        <v>1</v>
      </c>
      <c r="F1210" s="3">
        <v>1.5046296296296297E-4</v>
      </c>
      <c r="G1210" s="3">
        <v>2.1875000000000002E-3</v>
      </c>
      <c r="H1210" s="3">
        <v>1.238425925925926E-3</v>
      </c>
      <c r="I1210" s="2">
        <v>0.8276</v>
      </c>
    </row>
    <row r="1211" spans="1:9">
      <c r="A1211" s="1">
        <v>1210</v>
      </c>
      <c r="B1211" s="1">
        <v>398</v>
      </c>
      <c r="C1211" s="1">
        <v>372</v>
      </c>
      <c r="D1211" s="2">
        <v>0.93469999999999998</v>
      </c>
      <c r="E1211" s="1">
        <v>26</v>
      </c>
      <c r="F1211" s="3">
        <v>2.4305555555555555E-4</v>
      </c>
      <c r="G1211" s="3">
        <v>1.9791666666666668E-3</v>
      </c>
      <c r="H1211" s="3">
        <v>2.9282407407407408E-3</v>
      </c>
      <c r="I1211" s="2">
        <v>0.72519999999999996</v>
      </c>
    </row>
    <row r="1212" spans="1:9">
      <c r="A1212" s="1">
        <v>1211</v>
      </c>
      <c r="B1212" s="1">
        <v>255</v>
      </c>
      <c r="C1212" s="1">
        <v>249</v>
      </c>
      <c r="D1212" s="2">
        <v>0.97650000000000003</v>
      </c>
      <c r="E1212" s="1">
        <v>6</v>
      </c>
      <c r="F1212" s="3">
        <v>1.7361111111111112E-4</v>
      </c>
      <c r="G1212" s="3">
        <v>2.0949074074074073E-3</v>
      </c>
      <c r="H1212" s="3">
        <v>1.4930555555555556E-3</v>
      </c>
      <c r="I1212" s="2">
        <v>0.83330000000000004</v>
      </c>
    </row>
    <row r="1213" spans="1:9">
      <c r="A1213" s="1">
        <v>1212</v>
      </c>
      <c r="B1213" s="1">
        <v>283</v>
      </c>
      <c r="C1213" s="1">
        <v>278</v>
      </c>
      <c r="D1213" s="2">
        <v>0.98229999999999995</v>
      </c>
      <c r="E1213" s="1">
        <v>5</v>
      </c>
      <c r="F1213" s="3">
        <v>1.9675925925925926E-4</v>
      </c>
      <c r="G1213" s="3">
        <v>1.8287037037037037E-3</v>
      </c>
      <c r="H1213" s="3">
        <v>1.3773148148148147E-3</v>
      </c>
      <c r="I1213" s="2">
        <v>0.79569999999999996</v>
      </c>
    </row>
    <row r="1214" spans="1:9">
      <c r="A1214" s="1">
        <v>1213</v>
      </c>
      <c r="B1214" s="1">
        <v>230</v>
      </c>
      <c r="C1214" s="1">
        <v>222</v>
      </c>
      <c r="D1214" s="2">
        <v>0.96519999999999995</v>
      </c>
      <c r="E1214" s="1">
        <v>8</v>
      </c>
      <c r="F1214" s="3">
        <v>2.4305555555555555E-4</v>
      </c>
      <c r="G1214" s="3">
        <v>1.9212962962962964E-3</v>
      </c>
      <c r="H1214" s="3">
        <v>1.9097222222222222E-3</v>
      </c>
      <c r="I1214" s="2">
        <v>0.72250000000000003</v>
      </c>
    </row>
    <row r="1215" spans="1:9">
      <c r="A1215" s="1">
        <v>1214</v>
      </c>
      <c r="B1215" s="1">
        <v>185</v>
      </c>
      <c r="C1215" s="1">
        <v>183</v>
      </c>
      <c r="D1215" s="2">
        <v>0.98919999999999997</v>
      </c>
      <c r="E1215" s="1">
        <v>2</v>
      </c>
      <c r="F1215" s="3">
        <v>1.1574074074074075E-4</v>
      </c>
      <c r="G1215" s="3">
        <v>2.2569444444444442E-3</v>
      </c>
      <c r="H1215" s="3">
        <v>9.2592592592592596E-4</v>
      </c>
      <c r="I1215" s="2">
        <v>0.89729999999999999</v>
      </c>
    </row>
    <row r="1216" spans="1:9">
      <c r="A1216" s="1">
        <v>1215</v>
      </c>
      <c r="B1216" s="1">
        <v>197</v>
      </c>
      <c r="C1216" s="1">
        <v>194</v>
      </c>
      <c r="D1216" s="2">
        <v>0.98480000000000001</v>
      </c>
      <c r="E1216" s="1">
        <v>3</v>
      </c>
      <c r="F1216" s="3">
        <v>1.5046296296296297E-4</v>
      </c>
      <c r="G1216" s="3">
        <v>1.9560185185185184E-3</v>
      </c>
      <c r="H1216" s="3">
        <v>1.4004629629629629E-3</v>
      </c>
      <c r="I1216" s="2">
        <v>0.82650000000000001</v>
      </c>
    </row>
    <row r="1217" spans="1:9">
      <c r="A1217" s="1">
        <v>1216</v>
      </c>
      <c r="B1217" s="1">
        <v>15</v>
      </c>
      <c r="C1217" s="1">
        <v>14</v>
      </c>
      <c r="D1217" s="2">
        <v>0.93330000000000002</v>
      </c>
      <c r="E1217" s="1">
        <v>1</v>
      </c>
      <c r="F1217" s="3">
        <v>1.3888888888888889E-4</v>
      </c>
      <c r="G1217" s="3">
        <v>2.2453703703703702E-3</v>
      </c>
      <c r="H1217" s="3">
        <v>1.25E-3</v>
      </c>
      <c r="I1217" s="2">
        <v>0.86670000000000003</v>
      </c>
    </row>
    <row r="1218" spans="1:9">
      <c r="A1218" s="1">
        <v>1217</v>
      </c>
      <c r="B1218" s="1">
        <v>230</v>
      </c>
      <c r="C1218" s="1">
        <v>228</v>
      </c>
      <c r="D1218" s="2">
        <v>0.99129999999999996</v>
      </c>
      <c r="E1218" s="1">
        <v>2</v>
      </c>
      <c r="F1218" s="3">
        <v>8.1018518518518516E-5</v>
      </c>
      <c r="G1218" s="3">
        <v>1.9328703703703704E-3</v>
      </c>
      <c r="H1218" s="3">
        <v>7.0601851851851847E-4</v>
      </c>
      <c r="I1218" s="2">
        <v>0.93889999999999996</v>
      </c>
    </row>
    <row r="1219" spans="1:9">
      <c r="A1219" s="1">
        <v>1218</v>
      </c>
      <c r="B1219" s="1">
        <v>232</v>
      </c>
      <c r="C1219" s="1">
        <v>224</v>
      </c>
      <c r="D1219" s="2">
        <v>0.96550000000000002</v>
      </c>
      <c r="E1219" s="1">
        <v>8</v>
      </c>
      <c r="F1219" s="3">
        <v>1.3888888888888889E-4</v>
      </c>
      <c r="G1219" s="3">
        <v>1.9791666666666668E-3</v>
      </c>
      <c r="H1219" s="3">
        <v>1.0879629629629629E-3</v>
      </c>
      <c r="I1219" s="2">
        <v>0.86460000000000004</v>
      </c>
    </row>
    <row r="1220" spans="1:9">
      <c r="A1220" s="1">
        <v>1219</v>
      </c>
      <c r="B1220" s="1">
        <v>237</v>
      </c>
      <c r="C1220" s="1">
        <v>231</v>
      </c>
      <c r="D1220" s="2">
        <v>0.97470000000000001</v>
      </c>
      <c r="E1220" s="1">
        <v>6</v>
      </c>
      <c r="F1220" s="3">
        <v>1.273148148148148E-4</v>
      </c>
      <c r="G1220" s="3">
        <v>2.0949074074074073E-3</v>
      </c>
      <c r="H1220" s="3">
        <v>1.3773148148148147E-3</v>
      </c>
      <c r="I1220" s="2">
        <v>0.87709999999999999</v>
      </c>
    </row>
    <row r="1221" spans="1:9">
      <c r="A1221" s="1">
        <v>1220</v>
      </c>
      <c r="B1221" s="1">
        <v>42</v>
      </c>
      <c r="C1221" s="1">
        <v>39</v>
      </c>
      <c r="D1221" s="2">
        <v>0.92859999999999998</v>
      </c>
      <c r="E1221" s="1">
        <v>3</v>
      </c>
      <c r="F1221" s="3">
        <v>1.9675925925925926E-4</v>
      </c>
      <c r="G1221" s="3">
        <v>1.9791666666666668E-3</v>
      </c>
      <c r="H1221" s="3">
        <v>1.1574074074074073E-3</v>
      </c>
      <c r="I1221" s="2">
        <v>0.78569999999999995</v>
      </c>
    </row>
    <row r="1222" spans="1:9">
      <c r="A1222" s="1">
        <v>1221</v>
      </c>
      <c r="B1222" s="1">
        <v>215</v>
      </c>
      <c r="C1222" s="1">
        <v>211</v>
      </c>
      <c r="D1222" s="2">
        <v>0.98140000000000005</v>
      </c>
      <c r="E1222" s="1">
        <v>4</v>
      </c>
      <c r="F1222" s="3">
        <v>6.9444444444444444E-5</v>
      </c>
      <c r="G1222" s="3">
        <v>2.1527777777777778E-3</v>
      </c>
      <c r="H1222" s="3">
        <v>2.0138888888888888E-3</v>
      </c>
      <c r="I1222" s="2">
        <v>0.94810000000000005</v>
      </c>
    </row>
    <row r="1223" spans="1:9">
      <c r="A1223" s="1">
        <v>1222</v>
      </c>
      <c r="B1223" s="1">
        <v>153</v>
      </c>
      <c r="C1223" s="1">
        <v>152</v>
      </c>
      <c r="D1223" s="2">
        <v>0.99350000000000005</v>
      </c>
      <c r="E1223" s="1">
        <v>1</v>
      </c>
      <c r="F1223" s="3">
        <v>4.6296296296296294E-5</v>
      </c>
      <c r="G1223" s="3">
        <v>1.7939814814814815E-3</v>
      </c>
      <c r="H1223" s="3">
        <v>6.3657407407407413E-4</v>
      </c>
      <c r="I1223" s="2">
        <v>0.9869</v>
      </c>
    </row>
    <row r="1224" spans="1:9">
      <c r="A1224" s="1">
        <v>1223</v>
      </c>
      <c r="B1224" s="1">
        <v>39</v>
      </c>
      <c r="C1224" s="1">
        <v>39</v>
      </c>
      <c r="D1224" s="2">
        <v>1</v>
      </c>
      <c r="E1224" s="1">
        <v>0</v>
      </c>
      <c r="F1224" s="3">
        <v>1.6203703703703703E-4</v>
      </c>
      <c r="G1224" s="3">
        <v>2.5694444444444445E-3</v>
      </c>
      <c r="H1224" s="3">
        <v>1.1226851851851851E-3</v>
      </c>
      <c r="I1224" s="2">
        <v>0.84619999999999995</v>
      </c>
    </row>
    <row r="1225" spans="1:9">
      <c r="A1225" s="1">
        <v>1224</v>
      </c>
      <c r="B1225" s="1">
        <v>334</v>
      </c>
      <c r="C1225" s="1">
        <v>322</v>
      </c>
      <c r="D1225" s="2">
        <v>0.96409999999999996</v>
      </c>
      <c r="E1225" s="1">
        <v>12</v>
      </c>
      <c r="F1225" s="3">
        <v>1.9675925925925926E-4</v>
      </c>
      <c r="G1225" s="3">
        <v>2.0370370370370369E-3</v>
      </c>
      <c r="H1225" s="3">
        <v>1.5972222222222223E-3</v>
      </c>
      <c r="I1225" s="2">
        <v>0.77129999999999999</v>
      </c>
    </row>
    <row r="1226" spans="1:9">
      <c r="A1226" s="1">
        <v>1225</v>
      </c>
      <c r="B1226" s="1">
        <v>236</v>
      </c>
      <c r="C1226" s="1">
        <v>225</v>
      </c>
      <c r="D1226" s="2">
        <v>0.95340000000000003</v>
      </c>
      <c r="E1226" s="1">
        <v>11</v>
      </c>
      <c r="F1226" s="3">
        <v>1.5046296296296297E-4</v>
      </c>
      <c r="G1226" s="3">
        <v>2.0023148148148148E-3</v>
      </c>
      <c r="H1226" s="3">
        <v>1.3425925925925925E-3</v>
      </c>
      <c r="I1226" s="2">
        <v>0.85089999999999999</v>
      </c>
    </row>
    <row r="1227" spans="1:9">
      <c r="A1227" s="1">
        <v>1226</v>
      </c>
      <c r="B1227" s="1">
        <v>186</v>
      </c>
      <c r="C1227" s="1">
        <v>182</v>
      </c>
      <c r="D1227" s="2">
        <v>0.97850000000000004</v>
      </c>
      <c r="E1227" s="1">
        <v>4</v>
      </c>
      <c r="F1227" s="3">
        <v>9.2592592592592588E-5</v>
      </c>
      <c r="G1227" s="3">
        <v>1.8287037037037037E-3</v>
      </c>
      <c r="H1227" s="3">
        <v>1.5046296296296296E-3</v>
      </c>
      <c r="I1227" s="2">
        <v>0.95109999999999995</v>
      </c>
    </row>
    <row r="1228" spans="1:9">
      <c r="A1228" s="1">
        <v>1227</v>
      </c>
      <c r="B1228" s="1">
        <v>202</v>
      </c>
      <c r="C1228" s="1">
        <v>197</v>
      </c>
      <c r="D1228" s="2">
        <v>0.97519999999999996</v>
      </c>
      <c r="E1228" s="1">
        <v>5</v>
      </c>
      <c r="F1228" s="3">
        <v>1.5046296296296297E-4</v>
      </c>
      <c r="G1228" s="3">
        <v>1.7708333333333332E-3</v>
      </c>
      <c r="H1228" s="3">
        <v>1.3425925925925925E-3</v>
      </c>
      <c r="I1228" s="2">
        <v>0.87</v>
      </c>
    </row>
    <row r="1229" spans="1:9">
      <c r="A1229" s="1">
        <v>1228</v>
      </c>
      <c r="B1229" s="1">
        <v>185</v>
      </c>
      <c r="C1229" s="1">
        <v>182</v>
      </c>
      <c r="D1229" s="2">
        <v>0.98380000000000001</v>
      </c>
      <c r="E1229" s="1">
        <v>3</v>
      </c>
      <c r="F1229" s="3">
        <v>9.2592592592592588E-5</v>
      </c>
      <c r="G1229" s="3">
        <v>1.9560185185185184E-3</v>
      </c>
      <c r="H1229" s="3">
        <v>1.7708333333333332E-3</v>
      </c>
      <c r="I1229" s="2">
        <v>0.90269999999999995</v>
      </c>
    </row>
    <row r="1230" spans="1:9">
      <c r="A1230" s="1">
        <v>1229</v>
      </c>
      <c r="B1230" s="1">
        <v>38</v>
      </c>
      <c r="C1230" s="1">
        <v>38</v>
      </c>
      <c r="D1230" s="2">
        <v>1</v>
      </c>
      <c r="E1230" s="1">
        <v>0</v>
      </c>
      <c r="F1230" s="3">
        <v>4.6296296296296294E-5</v>
      </c>
      <c r="G1230" s="3">
        <v>2.3842592592592591E-3</v>
      </c>
      <c r="H1230" s="3">
        <v>6.5972222222222224E-4</v>
      </c>
      <c r="I1230" s="2">
        <v>0.97370000000000001</v>
      </c>
    </row>
    <row r="1231" spans="1:9">
      <c r="A1231" s="1">
        <v>1230</v>
      </c>
      <c r="B1231" s="1">
        <v>25</v>
      </c>
      <c r="C1231" s="1">
        <v>24</v>
      </c>
      <c r="D1231" s="2">
        <v>0.96</v>
      </c>
      <c r="E1231" s="1">
        <v>1</v>
      </c>
      <c r="F1231" s="3">
        <v>3.4722222222222222E-5</v>
      </c>
      <c r="G1231" s="3">
        <v>1.8981481481481482E-3</v>
      </c>
      <c r="H1231" s="3">
        <v>5.3240740740740744E-4</v>
      </c>
      <c r="I1231" s="2">
        <v>0.96</v>
      </c>
    </row>
    <row r="1232" spans="1:9">
      <c r="A1232" s="1">
        <v>1231</v>
      </c>
      <c r="B1232" s="1">
        <v>203</v>
      </c>
      <c r="C1232" s="1">
        <v>195</v>
      </c>
      <c r="D1232" s="2">
        <v>0.96060000000000001</v>
      </c>
      <c r="E1232" s="1">
        <v>8</v>
      </c>
      <c r="F1232" s="3">
        <v>9.2592592592592588E-5</v>
      </c>
      <c r="G1232" s="3">
        <v>1.8287037037037037E-3</v>
      </c>
      <c r="H1232" s="3">
        <v>5.9490740740740745E-3</v>
      </c>
      <c r="I1232" s="2">
        <v>0.88560000000000005</v>
      </c>
    </row>
    <row r="1233" spans="1:9">
      <c r="A1233" s="1">
        <v>1232</v>
      </c>
      <c r="B1233" s="1">
        <v>296</v>
      </c>
      <c r="C1233" s="1">
        <v>292</v>
      </c>
      <c r="D1233" s="2">
        <v>0.98650000000000004</v>
      </c>
      <c r="E1233" s="1">
        <v>4</v>
      </c>
      <c r="F1233" s="3">
        <v>4.6296296296296294E-5</v>
      </c>
      <c r="G1233" s="3">
        <v>1.8518518518518519E-3</v>
      </c>
      <c r="H1233" s="3">
        <v>6.7129629629629625E-4</v>
      </c>
      <c r="I1233" s="2">
        <v>0.98629999999999995</v>
      </c>
    </row>
    <row r="1234" spans="1:9">
      <c r="A1234" s="1">
        <v>1233</v>
      </c>
      <c r="B1234" s="1">
        <v>233</v>
      </c>
      <c r="C1234" s="1">
        <v>223</v>
      </c>
      <c r="D1234" s="2">
        <v>0.95709999999999995</v>
      </c>
      <c r="E1234" s="1">
        <v>10</v>
      </c>
      <c r="F1234" s="3">
        <v>1.0416666666666667E-4</v>
      </c>
      <c r="G1234" s="3">
        <v>1.9328703703703704E-3</v>
      </c>
      <c r="H1234" s="3">
        <v>1.2268518518518518E-3</v>
      </c>
      <c r="I1234" s="2">
        <v>0.87829999999999997</v>
      </c>
    </row>
    <row r="1235" spans="1:9">
      <c r="A1235" s="1">
        <v>1234</v>
      </c>
      <c r="B1235" s="1">
        <v>198</v>
      </c>
      <c r="C1235" s="1">
        <v>194</v>
      </c>
      <c r="D1235" s="2">
        <v>0.9798</v>
      </c>
      <c r="E1235" s="1">
        <v>4</v>
      </c>
      <c r="F1235" s="3">
        <v>9.2592592592592588E-5</v>
      </c>
      <c r="G1235" s="3">
        <v>1.8749999999999999E-3</v>
      </c>
      <c r="H1235" s="3">
        <v>1.1921296296296296E-3</v>
      </c>
      <c r="I1235" s="2">
        <v>0.91790000000000005</v>
      </c>
    </row>
    <row r="1236" spans="1:9">
      <c r="A1236" s="1">
        <v>1235</v>
      </c>
      <c r="B1236" s="1">
        <v>181</v>
      </c>
      <c r="C1236" s="1">
        <v>179</v>
      </c>
      <c r="D1236" s="2">
        <v>0.98899999999999999</v>
      </c>
      <c r="E1236" s="1">
        <v>2</v>
      </c>
      <c r="F1236" s="3">
        <v>4.6296296296296294E-5</v>
      </c>
      <c r="G1236" s="3">
        <v>1.8402777777777777E-3</v>
      </c>
      <c r="H1236" s="3">
        <v>5.5555555555555556E-4</v>
      </c>
      <c r="I1236" s="2">
        <v>0.99439999999999995</v>
      </c>
    </row>
    <row r="1237" spans="1:9">
      <c r="A1237" s="1">
        <v>1236</v>
      </c>
      <c r="B1237" s="1">
        <v>166</v>
      </c>
      <c r="C1237" s="1">
        <v>162</v>
      </c>
      <c r="D1237" s="2">
        <v>0.97589999999999999</v>
      </c>
      <c r="E1237" s="1">
        <v>4</v>
      </c>
      <c r="F1237" s="3">
        <v>6.9444444444444444E-5</v>
      </c>
      <c r="G1237" s="3">
        <v>1.8402777777777777E-3</v>
      </c>
      <c r="H1237" s="3">
        <v>7.0601851851851847E-4</v>
      </c>
      <c r="I1237" s="2">
        <v>0.93869999999999998</v>
      </c>
    </row>
    <row r="1238" spans="1:9">
      <c r="A1238" s="1">
        <v>1237</v>
      </c>
      <c r="B1238" s="1">
        <v>19</v>
      </c>
      <c r="C1238" s="1">
        <v>19</v>
      </c>
      <c r="D1238" s="2">
        <v>1</v>
      </c>
      <c r="E1238" s="1">
        <v>0</v>
      </c>
      <c r="F1238" s="3">
        <v>3.4722222222222222E-5</v>
      </c>
      <c r="G1238" s="3">
        <v>1.7013888888888888E-3</v>
      </c>
      <c r="H1238" s="3">
        <v>3.4722222222222222E-5</v>
      </c>
      <c r="I1238" s="2">
        <v>1</v>
      </c>
    </row>
    <row r="1239" spans="1:9">
      <c r="A1239" s="1">
        <v>1238</v>
      </c>
      <c r="B1239" s="1">
        <v>196</v>
      </c>
      <c r="C1239" s="1">
        <v>181</v>
      </c>
      <c r="D1239" s="2">
        <v>0.92349999999999999</v>
      </c>
      <c r="E1239" s="1">
        <v>15</v>
      </c>
      <c r="F1239" s="3">
        <v>1.6203703703703703E-4</v>
      </c>
      <c r="G1239" s="3">
        <v>1.8171296296296297E-3</v>
      </c>
      <c r="H1239" s="3">
        <v>1.8055555555555555E-3</v>
      </c>
      <c r="I1239" s="2">
        <v>0.78129999999999999</v>
      </c>
    </row>
    <row r="1240" spans="1:9">
      <c r="A1240" s="1">
        <v>1239</v>
      </c>
      <c r="B1240" s="1">
        <v>176</v>
      </c>
      <c r="C1240" s="1">
        <v>172</v>
      </c>
      <c r="D1240" s="2">
        <v>0.97729999999999995</v>
      </c>
      <c r="E1240" s="1">
        <v>4</v>
      </c>
      <c r="F1240" s="3">
        <v>1.8518518518518518E-4</v>
      </c>
      <c r="G1240" s="3">
        <v>1.736111111111111E-3</v>
      </c>
      <c r="H1240" s="3">
        <v>2.0370370370370369E-3</v>
      </c>
      <c r="I1240" s="2">
        <v>0.79430000000000001</v>
      </c>
    </row>
    <row r="1241" spans="1:9">
      <c r="A1241" s="1">
        <v>1240</v>
      </c>
      <c r="B1241" s="1">
        <v>221</v>
      </c>
      <c r="C1241" s="1">
        <v>209</v>
      </c>
      <c r="D1241" s="2">
        <v>0.94569999999999999</v>
      </c>
      <c r="E1241" s="1">
        <v>12</v>
      </c>
      <c r="F1241" s="3">
        <v>1.3888888888888889E-4</v>
      </c>
      <c r="G1241" s="3">
        <v>1.8749999999999999E-3</v>
      </c>
      <c r="H1241" s="3">
        <v>1.9675925925925924E-3</v>
      </c>
      <c r="I1241" s="2">
        <v>0.8387</v>
      </c>
    </row>
    <row r="1242" spans="1:9">
      <c r="A1242" s="1">
        <v>1241</v>
      </c>
      <c r="B1242" s="1">
        <v>196</v>
      </c>
      <c r="C1242" s="1">
        <v>191</v>
      </c>
      <c r="D1242" s="2">
        <v>0.97450000000000003</v>
      </c>
      <c r="E1242" s="1">
        <v>5</v>
      </c>
      <c r="F1242" s="3">
        <v>1.6203703703703703E-4</v>
      </c>
      <c r="G1242" s="3">
        <v>1.9791666666666668E-3</v>
      </c>
      <c r="H1242" s="3">
        <v>4.0972222222222226E-3</v>
      </c>
      <c r="I1242" s="2">
        <v>0.86009999999999998</v>
      </c>
    </row>
    <row r="1243" spans="1:9">
      <c r="A1243" s="1">
        <v>1242</v>
      </c>
      <c r="B1243" s="1">
        <v>211</v>
      </c>
      <c r="C1243" s="1">
        <v>202</v>
      </c>
      <c r="D1243" s="2">
        <v>0.95730000000000004</v>
      </c>
      <c r="E1243" s="1">
        <v>9</v>
      </c>
      <c r="F1243" s="3">
        <v>1.7361111111111112E-4</v>
      </c>
      <c r="G1243" s="3">
        <v>1.9212962962962964E-3</v>
      </c>
      <c r="H1243" s="3">
        <v>2.0138888888888888E-3</v>
      </c>
      <c r="I1243" s="2">
        <v>0.79330000000000001</v>
      </c>
    </row>
    <row r="1244" spans="1:9">
      <c r="A1244" s="1">
        <v>1243</v>
      </c>
      <c r="B1244" s="1">
        <v>201</v>
      </c>
      <c r="C1244" s="1">
        <v>194</v>
      </c>
      <c r="D1244" s="2">
        <v>0.96519999999999995</v>
      </c>
      <c r="E1244" s="1">
        <v>7</v>
      </c>
      <c r="F1244" s="3">
        <v>1.8518518518518518E-4</v>
      </c>
      <c r="G1244" s="3">
        <v>1.9560185185185184E-3</v>
      </c>
      <c r="H1244" s="3">
        <v>2.4074074074074076E-3</v>
      </c>
      <c r="I1244" s="2">
        <v>0.81410000000000005</v>
      </c>
    </row>
    <row r="1245" spans="1:9">
      <c r="A1245" s="1">
        <v>1244</v>
      </c>
      <c r="B1245" s="1">
        <v>23</v>
      </c>
      <c r="C1245" s="1">
        <v>22</v>
      </c>
      <c r="D1245" s="2">
        <v>0.95650000000000002</v>
      </c>
      <c r="E1245" s="1">
        <v>1</v>
      </c>
      <c r="F1245" s="3">
        <v>1.1574074074074075E-4</v>
      </c>
      <c r="G1245" s="3">
        <v>2.1064814814814813E-3</v>
      </c>
      <c r="H1245" s="3">
        <v>7.1759259259259259E-4</v>
      </c>
      <c r="I1245" s="2">
        <v>0.82609999999999995</v>
      </c>
    </row>
    <row r="1246" spans="1:9">
      <c r="A1246" s="1">
        <v>1245</v>
      </c>
      <c r="B1246" s="1">
        <v>225</v>
      </c>
      <c r="C1246" s="1">
        <v>210</v>
      </c>
      <c r="D1246" s="2">
        <v>0.93330000000000002</v>
      </c>
      <c r="E1246" s="1">
        <v>15</v>
      </c>
      <c r="F1246" s="3">
        <v>1.1574074074074075E-4</v>
      </c>
      <c r="G1246" s="3">
        <v>1.8171296296296297E-3</v>
      </c>
      <c r="H1246" s="3">
        <v>2.5115740740740741E-3</v>
      </c>
      <c r="I1246" s="2">
        <v>0.85909999999999997</v>
      </c>
    </row>
    <row r="1247" spans="1:9">
      <c r="A1247" s="1">
        <v>1246</v>
      </c>
      <c r="B1247" s="1">
        <v>202</v>
      </c>
      <c r="C1247" s="1">
        <v>195</v>
      </c>
      <c r="D1247" s="2">
        <v>0.96530000000000005</v>
      </c>
      <c r="E1247" s="1">
        <v>7</v>
      </c>
      <c r="F1247" s="3">
        <v>1.273148148148148E-4</v>
      </c>
      <c r="G1247" s="3">
        <v>1.9328703703703704E-3</v>
      </c>
      <c r="H1247" s="3">
        <v>1.2962962962962963E-3</v>
      </c>
      <c r="I1247" s="2">
        <v>0.86799999999999999</v>
      </c>
    </row>
    <row r="1248" spans="1:9">
      <c r="A1248" s="1">
        <v>1247</v>
      </c>
      <c r="B1248" s="1">
        <v>191</v>
      </c>
      <c r="C1248" s="1">
        <v>184</v>
      </c>
      <c r="D1248" s="2">
        <v>0.96340000000000003</v>
      </c>
      <c r="E1248" s="1">
        <v>7</v>
      </c>
      <c r="F1248" s="3">
        <v>8.1018518518518516E-5</v>
      </c>
      <c r="G1248" s="3">
        <v>1.9675925925925924E-3</v>
      </c>
      <c r="H1248" s="3">
        <v>1.3425925925925925E-3</v>
      </c>
      <c r="I1248" s="2">
        <v>0.92549999999999999</v>
      </c>
    </row>
    <row r="1249" spans="1:9">
      <c r="A1249" s="1">
        <v>1248</v>
      </c>
      <c r="B1249" s="1">
        <v>212</v>
      </c>
      <c r="C1249" s="1">
        <v>209</v>
      </c>
      <c r="D1249" s="2">
        <v>0.98580000000000001</v>
      </c>
      <c r="E1249" s="1">
        <v>3</v>
      </c>
      <c r="F1249" s="3">
        <v>1.1574074074074075E-4</v>
      </c>
      <c r="G1249" s="3">
        <v>1.9791666666666668E-3</v>
      </c>
      <c r="H1249" s="3">
        <v>1.2152777777777778E-3</v>
      </c>
      <c r="I1249" s="2">
        <v>0.89100000000000001</v>
      </c>
    </row>
    <row r="1250" spans="1:9">
      <c r="A1250" s="1">
        <v>1249</v>
      </c>
      <c r="B1250" s="1">
        <v>210</v>
      </c>
      <c r="C1250" s="1">
        <v>203</v>
      </c>
      <c r="D1250" s="2">
        <v>0.9667</v>
      </c>
      <c r="E1250" s="1">
        <v>7</v>
      </c>
      <c r="F1250" s="3">
        <v>1.3888888888888889E-4</v>
      </c>
      <c r="G1250" s="3">
        <v>2.3379629629629631E-3</v>
      </c>
      <c r="H1250" s="3">
        <v>2.685185185185185E-3</v>
      </c>
      <c r="I1250" s="2">
        <v>0.85240000000000005</v>
      </c>
    </row>
    <row r="1251" spans="1:9">
      <c r="A1251" s="1">
        <v>1250</v>
      </c>
      <c r="B1251" s="1">
        <v>167</v>
      </c>
      <c r="C1251" s="1">
        <v>159</v>
      </c>
      <c r="D1251" s="2">
        <v>0.95209999999999995</v>
      </c>
      <c r="E1251" s="1">
        <v>8</v>
      </c>
      <c r="F1251" s="3">
        <v>1.8518518518518518E-4</v>
      </c>
      <c r="G1251" s="3">
        <v>2.2685185185185187E-3</v>
      </c>
      <c r="H1251" s="3">
        <v>1.8749999999999999E-3</v>
      </c>
      <c r="I1251" s="2">
        <v>0.83030000000000004</v>
      </c>
    </row>
    <row r="1252" spans="1:9">
      <c r="A1252" s="1">
        <v>1251</v>
      </c>
      <c r="B1252" s="1">
        <v>12</v>
      </c>
      <c r="C1252" s="1">
        <v>11</v>
      </c>
      <c r="D1252" s="2">
        <v>0.91669999999999996</v>
      </c>
      <c r="E1252" s="1">
        <v>1</v>
      </c>
      <c r="F1252" s="3">
        <v>3.4722222222222222E-5</v>
      </c>
      <c r="G1252" s="3">
        <v>1.5277777777777779E-3</v>
      </c>
      <c r="H1252" s="3">
        <v>6.7129629629629625E-4</v>
      </c>
      <c r="I1252" s="2">
        <v>0.91669999999999996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252"/>
  <sheetViews>
    <sheetView workbookViewId="0">
      <selection activeCell="V11" sqref="V11"/>
    </sheetView>
  </sheetViews>
  <sheetFormatPr defaultColWidth="12.5703125" defaultRowHeight="15.75" customHeight="1"/>
  <cols>
    <col min="1" max="1" width="10.140625" bestFit="1" customWidth="1"/>
    <col min="2" max="2" width="10.7109375" bestFit="1" customWidth="1"/>
    <col min="3" max="3" width="6" bestFit="1" customWidth="1"/>
    <col min="4" max="4" width="14.140625" customWidth="1"/>
    <col min="5" max="5" width="5" bestFit="1" customWidth="1"/>
    <col min="6" max="6" width="5.42578125" bestFit="1" customWidth="1"/>
    <col min="7" max="7" width="13" bestFit="1" customWidth="1"/>
    <col min="8" max="8" width="13.7109375" bestFit="1" customWidth="1"/>
    <col min="9" max="9" width="11.42578125" bestFit="1" customWidth="1"/>
    <col min="10" max="10" width="15" bestFit="1" customWidth="1"/>
    <col min="11" max="11" width="18.5703125" bestFit="1" customWidth="1"/>
    <col min="12" max="12" width="17.5703125" bestFit="1" customWidth="1"/>
    <col min="13" max="13" width="17.42578125" bestFit="1" customWidth="1"/>
    <col min="14" max="14" width="23.5703125" bestFit="1" customWidth="1"/>
    <col min="15" max="15" width="19.5703125" bestFit="1" customWidth="1"/>
    <col min="16" max="16" width="21.42578125" bestFit="1" customWidth="1"/>
    <col min="17" max="17" width="22.28515625" bestFit="1" customWidth="1"/>
    <col min="18" max="18" width="23.7109375" bestFit="1" customWidth="1"/>
  </cols>
  <sheetData>
    <row r="1" spans="1:18">
      <c r="A1" s="8" t="s">
        <v>9</v>
      </c>
      <c r="B1" s="8" t="s">
        <v>10</v>
      </c>
      <c r="C1" s="8" t="s">
        <v>11</v>
      </c>
      <c r="D1" s="9" t="s">
        <v>12</v>
      </c>
      <c r="E1" s="8" t="s">
        <v>13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8" t="s">
        <v>14</v>
      </c>
      <c r="P1" s="8" t="s">
        <v>15</v>
      </c>
      <c r="Q1" s="8" t="s">
        <v>16</v>
      </c>
      <c r="R1" s="8" t="s">
        <v>17</v>
      </c>
    </row>
    <row r="2" spans="1:18">
      <c r="A2" s="4">
        <v>43831</v>
      </c>
      <c r="B2" s="1" t="s">
        <v>18</v>
      </c>
      <c r="C2" s="1">
        <f>MONTH(A2)</f>
        <v>1</v>
      </c>
      <c r="D2" s="1">
        <f>DAY(A2)</f>
        <v>1</v>
      </c>
      <c r="E2" s="1">
        <f>YEAR(A2)</f>
        <v>2020</v>
      </c>
      <c r="F2" s="1">
        <v>1</v>
      </c>
      <c r="G2" s="1">
        <v>217</v>
      </c>
      <c r="H2" s="1">
        <v>204</v>
      </c>
      <c r="I2" s="2">
        <v>0.94010000000000005</v>
      </c>
      <c r="J2" s="1">
        <v>13</v>
      </c>
      <c r="K2" s="3">
        <v>1.9675925925925926E-4</v>
      </c>
      <c r="L2" s="3">
        <v>1.5509259259259259E-3</v>
      </c>
      <c r="M2" s="3">
        <v>1.9097222222222222E-3</v>
      </c>
      <c r="N2" s="2">
        <v>0.76280000000000003</v>
      </c>
      <c r="O2" s="5">
        <f t="shared" ref="O2:O1252" si="0">L2*H2</f>
        <v>0.31638888888888889</v>
      </c>
      <c r="P2" s="5">
        <f t="shared" ref="P2:P1252" si="1">O2*60</f>
        <v>18.983333333333334</v>
      </c>
      <c r="Q2" s="5">
        <f t="shared" ref="Q2:Q1252" si="2">L2*G2</f>
        <v>0.33655092592592589</v>
      </c>
      <c r="R2" s="5">
        <f t="shared" ref="R2:R1252" si="3">Q2*60</f>
        <v>20.193055555555553</v>
      </c>
    </row>
    <row r="3" spans="1:18">
      <c r="A3" s="4">
        <v>43832</v>
      </c>
      <c r="B3" s="1" t="s">
        <v>19</v>
      </c>
      <c r="C3" s="1">
        <f t="shared" ref="C3:C66" si="4">MONTH(A3)</f>
        <v>1</v>
      </c>
      <c r="D3" s="1">
        <f t="shared" ref="D3:D66" si="5">DAY(A3)</f>
        <v>2</v>
      </c>
      <c r="E3" s="1">
        <f t="shared" ref="E3:E66" si="6">YEAR(A3)</f>
        <v>2020</v>
      </c>
      <c r="F3" s="1">
        <v>2</v>
      </c>
      <c r="G3" s="1">
        <v>200</v>
      </c>
      <c r="H3" s="1">
        <v>182</v>
      </c>
      <c r="I3" s="2">
        <v>0.91</v>
      </c>
      <c r="J3" s="1">
        <v>18</v>
      </c>
      <c r="K3" s="3">
        <v>2.3148148148148149E-4</v>
      </c>
      <c r="L3" s="3">
        <v>1.6435185185185185E-3</v>
      </c>
      <c r="M3" s="3">
        <v>4.8032407407407407E-3</v>
      </c>
      <c r="N3" s="2">
        <v>0.72729999999999995</v>
      </c>
      <c r="O3" s="5">
        <f t="shared" si="0"/>
        <v>0.29912037037037037</v>
      </c>
      <c r="P3" s="5">
        <f t="shared" si="1"/>
        <v>17.947222222222223</v>
      </c>
      <c r="Q3" s="5">
        <f t="shared" si="2"/>
        <v>0.32870370370370372</v>
      </c>
      <c r="R3" s="5">
        <f t="shared" si="3"/>
        <v>19.722222222222221</v>
      </c>
    </row>
    <row r="4" spans="1:18">
      <c r="A4" s="4">
        <v>43833</v>
      </c>
      <c r="B4" s="1" t="s">
        <v>20</v>
      </c>
      <c r="C4" s="1">
        <f t="shared" si="4"/>
        <v>1</v>
      </c>
      <c r="D4" s="1">
        <f t="shared" si="5"/>
        <v>3</v>
      </c>
      <c r="E4" s="1">
        <f t="shared" si="6"/>
        <v>2020</v>
      </c>
      <c r="F4" s="1">
        <v>3</v>
      </c>
      <c r="G4" s="1">
        <v>216</v>
      </c>
      <c r="H4" s="1">
        <v>198</v>
      </c>
      <c r="I4" s="2">
        <v>0.91669999999999996</v>
      </c>
      <c r="J4" s="1">
        <v>18</v>
      </c>
      <c r="K4" s="3">
        <v>2.0833333333333335E-4</v>
      </c>
      <c r="L4" s="3">
        <v>1.8287037037037037E-3</v>
      </c>
      <c r="M4" s="3">
        <v>2.662037037037037E-3</v>
      </c>
      <c r="N4" s="2">
        <v>0.74299999999999999</v>
      </c>
      <c r="O4" s="5">
        <f t="shared" si="0"/>
        <v>0.36208333333333331</v>
      </c>
      <c r="P4" s="5">
        <f t="shared" si="1"/>
        <v>21.724999999999998</v>
      </c>
      <c r="Q4" s="5">
        <f t="shared" si="2"/>
        <v>0.39500000000000002</v>
      </c>
      <c r="R4" s="5">
        <f t="shared" si="3"/>
        <v>23.700000000000003</v>
      </c>
    </row>
    <row r="5" spans="1:18">
      <c r="A5" s="4">
        <v>43834</v>
      </c>
      <c r="B5" s="1" t="s">
        <v>21</v>
      </c>
      <c r="C5" s="1">
        <f t="shared" si="4"/>
        <v>1</v>
      </c>
      <c r="D5" s="1">
        <f t="shared" si="5"/>
        <v>4</v>
      </c>
      <c r="E5" s="1">
        <f t="shared" si="6"/>
        <v>2020</v>
      </c>
      <c r="F5" s="1">
        <v>4</v>
      </c>
      <c r="G5" s="1">
        <v>155</v>
      </c>
      <c r="H5" s="1">
        <v>145</v>
      </c>
      <c r="I5" s="2">
        <v>0.9355</v>
      </c>
      <c r="J5" s="1">
        <v>10</v>
      </c>
      <c r="K5" s="3">
        <v>1.7361111111111112E-4</v>
      </c>
      <c r="L5" s="3">
        <v>1.724537037037037E-3</v>
      </c>
      <c r="M5" s="3">
        <v>2.2222222222222222E-3</v>
      </c>
      <c r="N5" s="2">
        <v>0.79610000000000003</v>
      </c>
      <c r="O5" s="5">
        <f t="shared" si="0"/>
        <v>0.25005787037037036</v>
      </c>
      <c r="P5" s="5">
        <f t="shared" si="1"/>
        <v>15.003472222222221</v>
      </c>
      <c r="Q5" s="5">
        <f t="shared" si="2"/>
        <v>0.26730324074074074</v>
      </c>
      <c r="R5" s="5">
        <f t="shared" si="3"/>
        <v>16.038194444444443</v>
      </c>
    </row>
    <row r="6" spans="1:18">
      <c r="A6" s="4">
        <v>43835</v>
      </c>
      <c r="B6" s="1" t="s">
        <v>22</v>
      </c>
      <c r="C6" s="1">
        <f t="shared" si="4"/>
        <v>1</v>
      </c>
      <c r="D6" s="1">
        <f t="shared" si="5"/>
        <v>5</v>
      </c>
      <c r="E6" s="1">
        <f t="shared" si="6"/>
        <v>2020</v>
      </c>
      <c r="F6" s="1">
        <v>5</v>
      </c>
      <c r="G6" s="1">
        <v>37</v>
      </c>
      <c r="H6" s="1">
        <v>37</v>
      </c>
      <c r="I6" s="2">
        <v>1</v>
      </c>
      <c r="J6" s="1">
        <v>0</v>
      </c>
      <c r="K6" s="3">
        <v>3.4722222222222222E-5</v>
      </c>
      <c r="L6" s="3">
        <v>1.4583333333333334E-3</v>
      </c>
      <c r="M6" s="3">
        <v>4.0509259259259258E-4</v>
      </c>
      <c r="N6" s="2">
        <v>0.97299999999999998</v>
      </c>
      <c r="O6" s="5">
        <f t="shared" si="0"/>
        <v>5.3958333333333337E-2</v>
      </c>
      <c r="P6" s="5">
        <f t="shared" si="1"/>
        <v>3.2375000000000003</v>
      </c>
      <c r="Q6" s="5">
        <f t="shared" si="2"/>
        <v>5.3958333333333337E-2</v>
      </c>
      <c r="R6" s="5">
        <f t="shared" si="3"/>
        <v>3.2375000000000003</v>
      </c>
    </row>
    <row r="7" spans="1:18">
      <c r="A7" s="4">
        <v>43836</v>
      </c>
      <c r="B7" s="1" t="s">
        <v>23</v>
      </c>
      <c r="C7" s="1">
        <f t="shared" si="4"/>
        <v>1</v>
      </c>
      <c r="D7" s="1">
        <f t="shared" si="5"/>
        <v>6</v>
      </c>
      <c r="E7" s="1">
        <f t="shared" si="6"/>
        <v>2020</v>
      </c>
      <c r="F7" s="1">
        <v>6</v>
      </c>
      <c r="G7" s="1">
        <v>315</v>
      </c>
      <c r="H7" s="1">
        <v>304</v>
      </c>
      <c r="I7" s="2">
        <v>0.96509999999999996</v>
      </c>
      <c r="J7" s="1">
        <v>11</v>
      </c>
      <c r="K7" s="3">
        <v>2.0833333333333335E-4</v>
      </c>
      <c r="L7" s="3">
        <v>1.0995370370370371E-3</v>
      </c>
      <c r="M7" s="3">
        <v>1.8171296296296297E-3</v>
      </c>
      <c r="N7" s="2">
        <v>0.77170000000000005</v>
      </c>
      <c r="O7" s="5">
        <f t="shared" si="0"/>
        <v>0.33425925925925926</v>
      </c>
      <c r="P7" s="5">
        <f t="shared" si="1"/>
        <v>20.055555555555557</v>
      </c>
      <c r="Q7" s="5">
        <f t="shared" si="2"/>
        <v>0.34635416666666669</v>
      </c>
      <c r="R7" s="5">
        <f t="shared" si="3"/>
        <v>20.78125</v>
      </c>
    </row>
    <row r="8" spans="1:18">
      <c r="A8" s="4">
        <v>43837</v>
      </c>
      <c r="B8" s="1" t="s">
        <v>24</v>
      </c>
      <c r="C8" s="1">
        <f t="shared" si="4"/>
        <v>1</v>
      </c>
      <c r="D8" s="1">
        <f t="shared" si="5"/>
        <v>7</v>
      </c>
      <c r="E8" s="1">
        <f t="shared" si="6"/>
        <v>2020</v>
      </c>
      <c r="F8" s="1">
        <v>7</v>
      </c>
      <c r="G8" s="1">
        <v>252</v>
      </c>
      <c r="H8" s="1">
        <v>244</v>
      </c>
      <c r="I8" s="2">
        <v>0.96830000000000005</v>
      </c>
      <c r="J8" s="1">
        <v>8</v>
      </c>
      <c r="K8" s="3">
        <v>1.5046296296296297E-4</v>
      </c>
      <c r="L8" s="3">
        <v>1.2731481481481483E-3</v>
      </c>
      <c r="M8" s="3">
        <v>1.4120370370370369E-3</v>
      </c>
      <c r="N8" s="2">
        <v>0.82</v>
      </c>
      <c r="O8" s="5">
        <f t="shared" si="0"/>
        <v>0.31064814814814817</v>
      </c>
      <c r="P8" s="5">
        <f t="shared" si="1"/>
        <v>18.638888888888889</v>
      </c>
      <c r="Q8" s="5">
        <f t="shared" si="2"/>
        <v>0.32083333333333336</v>
      </c>
      <c r="R8" s="5">
        <f t="shared" si="3"/>
        <v>19.25</v>
      </c>
    </row>
    <row r="9" spans="1:18">
      <c r="A9" s="4">
        <v>43838</v>
      </c>
      <c r="B9" s="1" t="s">
        <v>18</v>
      </c>
      <c r="C9" s="1">
        <f t="shared" si="4"/>
        <v>1</v>
      </c>
      <c r="D9" s="1">
        <f t="shared" si="5"/>
        <v>8</v>
      </c>
      <c r="E9" s="1">
        <f t="shared" si="6"/>
        <v>2020</v>
      </c>
      <c r="F9" s="1">
        <v>8</v>
      </c>
      <c r="G9" s="1">
        <v>213</v>
      </c>
      <c r="H9" s="1">
        <v>205</v>
      </c>
      <c r="I9" s="2">
        <v>0.96240000000000003</v>
      </c>
      <c r="J9" s="1">
        <v>8</v>
      </c>
      <c r="K9" s="3">
        <v>1.1574074074074075E-4</v>
      </c>
      <c r="L9" s="3">
        <v>1.5046296296296296E-3</v>
      </c>
      <c r="M9" s="3">
        <v>2.3379629629629631E-3</v>
      </c>
      <c r="N9" s="2">
        <v>0.88100000000000001</v>
      </c>
      <c r="O9" s="5">
        <f t="shared" si="0"/>
        <v>0.30844907407407407</v>
      </c>
      <c r="P9" s="5">
        <f t="shared" si="1"/>
        <v>18.506944444444443</v>
      </c>
      <c r="Q9" s="5">
        <f t="shared" si="2"/>
        <v>0.32048611111111114</v>
      </c>
      <c r="R9" s="5">
        <f t="shared" si="3"/>
        <v>19.229166666666668</v>
      </c>
    </row>
    <row r="10" spans="1:18">
      <c r="A10" s="4">
        <v>43839</v>
      </c>
      <c r="B10" s="1" t="s">
        <v>19</v>
      </c>
      <c r="C10" s="1">
        <f t="shared" si="4"/>
        <v>1</v>
      </c>
      <c r="D10" s="1">
        <f t="shared" si="5"/>
        <v>9</v>
      </c>
      <c r="E10" s="1">
        <f t="shared" si="6"/>
        <v>2020</v>
      </c>
      <c r="F10" s="1">
        <v>9</v>
      </c>
      <c r="G10" s="1">
        <v>219</v>
      </c>
      <c r="H10" s="1">
        <v>200</v>
      </c>
      <c r="I10" s="2">
        <v>0.91320000000000001</v>
      </c>
      <c r="J10" s="1">
        <v>19</v>
      </c>
      <c r="K10" s="3">
        <v>1.7361111111111112E-4</v>
      </c>
      <c r="L10" s="3">
        <v>1.5972222222222223E-3</v>
      </c>
      <c r="M10" s="3">
        <v>4.3055555555555555E-3</v>
      </c>
      <c r="N10" s="2">
        <v>0.79449999999999998</v>
      </c>
      <c r="O10" s="5">
        <f t="shared" si="0"/>
        <v>0.31944444444444448</v>
      </c>
      <c r="P10" s="5">
        <f t="shared" si="1"/>
        <v>19.166666666666668</v>
      </c>
      <c r="Q10" s="5">
        <f t="shared" si="2"/>
        <v>0.34979166666666667</v>
      </c>
      <c r="R10" s="5">
        <f t="shared" si="3"/>
        <v>20.987500000000001</v>
      </c>
    </row>
    <row r="11" spans="1:18">
      <c r="A11" s="4">
        <v>43840</v>
      </c>
      <c r="B11" s="1" t="s">
        <v>20</v>
      </c>
      <c r="C11" s="1">
        <f t="shared" si="4"/>
        <v>1</v>
      </c>
      <c r="D11" s="1">
        <f t="shared" si="5"/>
        <v>10</v>
      </c>
      <c r="E11" s="1">
        <f t="shared" si="6"/>
        <v>2020</v>
      </c>
      <c r="F11" s="1">
        <v>10</v>
      </c>
      <c r="G11" s="1">
        <v>371</v>
      </c>
      <c r="H11" s="1">
        <v>348</v>
      </c>
      <c r="I11" s="2">
        <v>0.93799999999999994</v>
      </c>
      <c r="J11" s="1">
        <v>23</v>
      </c>
      <c r="K11" s="3">
        <v>2.199074074074074E-4</v>
      </c>
      <c r="L11" s="3">
        <v>1.1574074074074073E-3</v>
      </c>
      <c r="M11" s="3">
        <v>2.4189814814814816E-3</v>
      </c>
      <c r="N11" s="2">
        <v>0.73629999999999995</v>
      </c>
      <c r="O11" s="5">
        <f t="shared" si="0"/>
        <v>0.40277777777777773</v>
      </c>
      <c r="P11" s="5">
        <f t="shared" si="1"/>
        <v>24.166666666666664</v>
      </c>
      <c r="Q11" s="5">
        <f t="shared" si="2"/>
        <v>0.42939814814814814</v>
      </c>
      <c r="R11" s="5">
        <f t="shared" si="3"/>
        <v>25.763888888888889</v>
      </c>
    </row>
    <row r="12" spans="1:18">
      <c r="A12" s="4">
        <v>43841</v>
      </c>
      <c r="B12" s="1" t="s">
        <v>21</v>
      </c>
      <c r="C12" s="1">
        <f t="shared" si="4"/>
        <v>1</v>
      </c>
      <c r="D12" s="1">
        <f t="shared" si="5"/>
        <v>11</v>
      </c>
      <c r="E12" s="1">
        <f t="shared" si="6"/>
        <v>2020</v>
      </c>
      <c r="F12" s="1">
        <v>11</v>
      </c>
      <c r="G12" s="1">
        <v>166</v>
      </c>
      <c r="H12" s="1">
        <v>164</v>
      </c>
      <c r="I12" s="2">
        <v>0.98799999999999999</v>
      </c>
      <c r="J12" s="1">
        <v>2</v>
      </c>
      <c r="K12" s="3">
        <v>1.3888888888888889E-4</v>
      </c>
      <c r="L12" s="3">
        <v>1.5046296296296296E-3</v>
      </c>
      <c r="M12" s="3">
        <v>1.9212962962962964E-3</v>
      </c>
      <c r="N12" s="2">
        <v>0.81330000000000002</v>
      </c>
      <c r="O12" s="5">
        <f t="shared" si="0"/>
        <v>0.24675925925925926</v>
      </c>
      <c r="P12" s="5">
        <f t="shared" si="1"/>
        <v>14.805555555555555</v>
      </c>
      <c r="Q12" s="5">
        <f t="shared" si="2"/>
        <v>0.24976851851851853</v>
      </c>
      <c r="R12" s="5">
        <f t="shared" si="3"/>
        <v>14.986111111111112</v>
      </c>
    </row>
    <row r="13" spans="1:18">
      <c r="A13" s="4">
        <v>43842</v>
      </c>
      <c r="B13" s="1" t="s">
        <v>22</v>
      </c>
      <c r="C13" s="1">
        <f t="shared" si="4"/>
        <v>1</v>
      </c>
      <c r="D13" s="1">
        <f t="shared" si="5"/>
        <v>12</v>
      </c>
      <c r="E13" s="1">
        <f t="shared" si="6"/>
        <v>2020</v>
      </c>
      <c r="F13" s="1">
        <v>12</v>
      </c>
      <c r="G13" s="1">
        <v>32</v>
      </c>
      <c r="H13" s="1">
        <v>32</v>
      </c>
      <c r="I13" s="2">
        <v>1</v>
      </c>
      <c r="J13" s="1">
        <v>0</v>
      </c>
      <c r="K13" s="3">
        <v>2.3148148148148147E-5</v>
      </c>
      <c r="L13" s="3">
        <v>1.4236111111111112E-3</v>
      </c>
      <c r="M13" s="3">
        <v>3.4722222222222222E-5</v>
      </c>
      <c r="N13" s="2">
        <v>1</v>
      </c>
      <c r="O13" s="5">
        <f t="shared" si="0"/>
        <v>4.5555555555555557E-2</v>
      </c>
      <c r="P13" s="5">
        <f t="shared" si="1"/>
        <v>2.7333333333333334</v>
      </c>
      <c r="Q13" s="5">
        <f t="shared" si="2"/>
        <v>4.5555555555555557E-2</v>
      </c>
      <c r="R13" s="5">
        <f t="shared" si="3"/>
        <v>2.7333333333333334</v>
      </c>
    </row>
    <row r="14" spans="1:18">
      <c r="A14" s="4">
        <v>43843</v>
      </c>
      <c r="B14" s="1" t="s">
        <v>23</v>
      </c>
      <c r="C14" s="1">
        <f t="shared" si="4"/>
        <v>1</v>
      </c>
      <c r="D14" s="1">
        <f t="shared" si="5"/>
        <v>13</v>
      </c>
      <c r="E14" s="1">
        <f t="shared" si="6"/>
        <v>2020</v>
      </c>
      <c r="F14" s="1">
        <v>13</v>
      </c>
      <c r="G14" s="1">
        <v>231</v>
      </c>
      <c r="H14" s="1">
        <v>222</v>
      </c>
      <c r="I14" s="2">
        <v>0.96099999999999997</v>
      </c>
      <c r="J14" s="1">
        <v>9</v>
      </c>
      <c r="K14" s="3">
        <v>9.2592592592592588E-5</v>
      </c>
      <c r="L14" s="3">
        <v>1.261574074074074E-3</v>
      </c>
      <c r="M14" s="3">
        <v>1.5972222222222223E-3</v>
      </c>
      <c r="N14" s="2">
        <v>0.86460000000000004</v>
      </c>
      <c r="O14" s="5">
        <f t="shared" si="0"/>
        <v>0.28006944444444443</v>
      </c>
      <c r="P14" s="5">
        <f t="shared" si="1"/>
        <v>16.804166666666667</v>
      </c>
      <c r="Q14" s="5">
        <f t="shared" si="2"/>
        <v>0.29142361111111109</v>
      </c>
      <c r="R14" s="5">
        <f t="shared" si="3"/>
        <v>17.485416666666666</v>
      </c>
    </row>
    <row r="15" spans="1:18">
      <c r="A15" s="4">
        <v>43844</v>
      </c>
      <c r="B15" s="1" t="s">
        <v>24</v>
      </c>
      <c r="C15" s="1">
        <f t="shared" si="4"/>
        <v>1</v>
      </c>
      <c r="D15" s="1">
        <f t="shared" si="5"/>
        <v>14</v>
      </c>
      <c r="E15" s="1">
        <f t="shared" si="6"/>
        <v>2020</v>
      </c>
      <c r="F15" s="1">
        <v>14</v>
      </c>
      <c r="G15" s="1">
        <v>205</v>
      </c>
      <c r="H15" s="1">
        <v>197</v>
      </c>
      <c r="I15" s="2">
        <v>0.96099999999999997</v>
      </c>
      <c r="J15" s="1">
        <v>8</v>
      </c>
      <c r="K15" s="3">
        <v>8.1018518518518516E-5</v>
      </c>
      <c r="L15" s="3">
        <v>1.2962962962962963E-3</v>
      </c>
      <c r="M15" s="3">
        <v>1.9444444444444444E-3</v>
      </c>
      <c r="N15" s="2">
        <v>0.92610000000000003</v>
      </c>
      <c r="O15" s="5">
        <f t="shared" si="0"/>
        <v>0.25537037037037036</v>
      </c>
      <c r="P15" s="5">
        <f t="shared" si="1"/>
        <v>15.322222222222221</v>
      </c>
      <c r="Q15" s="5">
        <f t="shared" si="2"/>
        <v>0.26574074074074072</v>
      </c>
      <c r="R15" s="5">
        <f t="shared" si="3"/>
        <v>15.944444444444443</v>
      </c>
    </row>
    <row r="16" spans="1:18">
      <c r="A16" s="4">
        <v>43845</v>
      </c>
      <c r="B16" s="1" t="s">
        <v>18</v>
      </c>
      <c r="C16" s="1">
        <f t="shared" si="4"/>
        <v>1</v>
      </c>
      <c r="D16" s="1">
        <f t="shared" si="5"/>
        <v>15</v>
      </c>
      <c r="E16" s="1">
        <f t="shared" si="6"/>
        <v>2020</v>
      </c>
      <c r="F16" s="1">
        <v>15</v>
      </c>
      <c r="G16" s="1">
        <v>338</v>
      </c>
      <c r="H16" s="1">
        <v>313</v>
      </c>
      <c r="I16" s="2">
        <v>0.92600000000000005</v>
      </c>
      <c r="J16" s="1">
        <v>25</v>
      </c>
      <c r="K16" s="3">
        <v>1.5046296296296297E-4</v>
      </c>
      <c r="L16" s="3">
        <v>1.2847222222222223E-3</v>
      </c>
      <c r="M16" s="3">
        <v>2.5462962962962965E-3</v>
      </c>
      <c r="N16" s="2">
        <v>0.80059999999999998</v>
      </c>
      <c r="O16" s="5">
        <f t="shared" si="0"/>
        <v>0.40211805555555558</v>
      </c>
      <c r="P16" s="5">
        <f t="shared" si="1"/>
        <v>24.127083333333335</v>
      </c>
      <c r="Q16" s="5">
        <f t="shared" si="2"/>
        <v>0.4342361111111111</v>
      </c>
      <c r="R16" s="5">
        <f t="shared" si="3"/>
        <v>26.054166666666667</v>
      </c>
    </row>
    <row r="17" spans="1:18">
      <c r="A17" s="4">
        <v>43846</v>
      </c>
      <c r="B17" s="1" t="s">
        <v>19</v>
      </c>
      <c r="C17" s="1">
        <f t="shared" si="4"/>
        <v>1</v>
      </c>
      <c r="D17" s="1">
        <f t="shared" si="5"/>
        <v>16</v>
      </c>
      <c r="E17" s="1">
        <f t="shared" si="6"/>
        <v>2020</v>
      </c>
      <c r="F17" s="1">
        <v>16</v>
      </c>
      <c r="G17" s="1">
        <v>180</v>
      </c>
      <c r="H17" s="1">
        <v>174</v>
      </c>
      <c r="I17" s="2">
        <v>0.9667</v>
      </c>
      <c r="J17" s="1">
        <v>6</v>
      </c>
      <c r="K17" s="3">
        <v>1.5046296296296297E-4</v>
      </c>
      <c r="L17" s="3">
        <v>1.5972222222222223E-3</v>
      </c>
      <c r="M17" s="3">
        <v>2.3842592592592591E-3</v>
      </c>
      <c r="N17" s="2">
        <v>0.83799999999999997</v>
      </c>
      <c r="O17" s="5">
        <f t="shared" si="0"/>
        <v>0.2779166666666667</v>
      </c>
      <c r="P17" s="5">
        <f t="shared" si="1"/>
        <v>16.675000000000001</v>
      </c>
      <c r="Q17" s="5">
        <f t="shared" si="2"/>
        <v>0.28750000000000003</v>
      </c>
      <c r="R17" s="5">
        <f t="shared" si="3"/>
        <v>17.250000000000004</v>
      </c>
    </row>
    <row r="18" spans="1:18">
      <c r="A18" s="4">
        <v>43847</v>
      </c>
      <c r="B18" s="1" t="s">
        <v>20</v>
      </c>
      <c r="C18" s="1">
        <f t="shared" si="4"/>
        <v>1</v>
      </c>
      <c r="D18" s="1">
        <f t="shared" si="5"/>
        <v>17</v>
      </c>
      <c r="E18" s="1">
        <f t="shared" si="6"/>
        <v>2020</v>
      </c>
      <c r="F18" s="1">
        <v>17</v>
      </c>
      <c r="G18" s="1">
        <v>226</v>
      </c>
      <c r="H18" s="1">
        <v>211</v>
      </c>
      <c r="I18" s="2">
        <v>0.93359999999999999</v>
      </c>
      <c r="J18" s="1">
        <v>15</v>
      </c>
      <c r="K18" s="3">
        <v>2.3148148148148149E-4</v>
      </c>
      <c r="L18" s="3">
        <v>1.4351851851851852E-3</v>
      </c>
      <c r="M18" s="3">
        <v>3.3912037037037036E-3</v>
      </c>
      <c r="N18" s="2">
        <v>0.76229999999999998</v>
      </c>
      <c r="O18" s="5">
        <f t="shared" si="0"/>
        <v>0.30282407407407408</v>
      </c>
      <c r="P18" s="5">
        <f t="shared" si="1"/>
        <v>18.169444444444444</v>
      </c>
      <c r="Q18" s="5">
        <f t="shared" si="2"/>
        <v>0.32435185185185184</v>
      </c>
      <c r="R18" s="5">
        <f t="shared" si="3"/>
        <v>19.461111111111109</v>
      </c>
    </row>
    <row r="19" spans="1:18">
      <c r="A19" s="4">
        <v>43848</v>
      </c>
      <c r="B19" s="1" t="s">
        <v>21</v>
      </c>
      <c r="C19" s="1">
        <f t="shared" si="4"/>
        <v>1</v>
      </c>
      <c r="D19" s="1">
        <f t="shared" si="5"/>
        <v>18</v>
      </c>
      <c r="E19" s="1">
        <f t="shared" si="6"/>
        <v>2020</v>
      </c>
      <c r="F19" s="1">
        <v>18</v>
      </c>
      <c r="G19" s="1">
        <v>226</v>
      </c>
      <c r="H19" s="1">
        <v>212</v>
      </c>
      <c r="I19" s="2">
        <v>0.93810000000000004</v>
      </c>
      <c r="J19" s="1">
        <v>14</v>
      </c>
      <c r="K19" s="3">
        <v>1.1574074074074075E-4</v>
      </c>
      <c r="L19" s="3">
        <v>1.4236111111111112E-3</v>
      </c>
      <c r="M19" s="3">
        <v>1.9097222222222222E-3</v>
      </c>
      <c r="N19" s="2">
        <v>0.84440000000000004</v>
      </c>
      <c r="O19" s="5">
        <f t="shared" si="0"/>
        <v>0.30180555555555555</v>
      </c>
      <c r="P19" s="5">
        <f t="shared" si="1"/>
        <v>18.108333333333334</v>
      </c>
      <c r="Q19" s="5">
        <f t="shared" si="2"/>
        <v>0.32173611111111111</v>
      </c>
      <c r="R19" s="5">
        <f t="shared" si="3"/>
        <v>19.304166666666667</v>
      </c>
    </row>
    <row r="20" spans="1:18">
      <c r="A20" s="4">
        <v>43849</v>
      </c>
      <c r="B20" s="1" t="s">
        <v>22</v>
      </c>
      <c r="C20" s="1">
        <f t="shared" si="4"/>
        <v>1</v>
      </c>
      <c r="D20" s="1">
        <f t="shared" si="5"/>
        <v>19</v>
      </c>
      <c r="E20" s="1">
        <f t="shared" si="6"/>
        <v>2020</v>
      </c>
      <c r="F20" s="1">
        <v>19</v>
      </c>
      <c r="G20" s="1">
        <v>45</v>
      </c>
      <c r="H20" s="1">
        <v>44</v>
      </c>
      <c r="I20" s="2">
        <v>0.9778</v>
      </c>
      <c r="J20" s="1">
        <v>1</v>
      </c>
      <c r="K20" s="3">
        <v>2.3148148148148147E-5</v>
      </c>
      <c r="L20" s="3">
        <v>1.4351851851851852E-3</v>
      </c>
      <c r="M20" s="3">
        <v>6.3657407407407413E-4</v>
      </c>
      <c r="N20" s="2">
        <v>0.9778</v>
      </c>
      <c r="O20" s="5">
        <f t="shared" si="0"/>
        <v>6.3148148148148148E-2</v>
      </c>
      <c r="P20" s="5">
        <f t="shared" si="1"/>
        <v>3.7888888888888888</v>
      </c>
      <c r="Q20" s="5">
        <f t="shared" si="2"/>
        <v>6.4583333333333326E-2</v>
      </c>
      <c r="R20" s="5">
        <f t="shared" si="3"/>
        <v>3.8749999999999996</v>
      </c>
    </row>
    <row r="21" spans="1:18">
      <c r="A21" s="4">
        <v>43850</v>
      </c>
      <c r="B21" s="1" t="s">
        <v>23</v>
      </c>
      <c r="C21" s="1">
        <f t="shared" si="4"/>
        <v>1</v>
      </c>
      <c r="D21" s="1">
        <f t="shared" si="5"/>
        <v>20</v>
      </c>
      <c r="E21" s="1">
        <f t="shared" si="6"/>
        <v>2020</v>
      </c>
      <c r="F21" s="1">
        <v>20</v>
      </c>
      <c r="G21" s="1">
        <v>218</v>
      </c>
      <c r="H21" s="1">
        <v>194</v>
      </c>
      <c r="I21" s="2">
        <v>0.88990000000000002</v>
      </c>
      <c r="J21" s="1">
        <v>24</v>
      </c>
      <c r="K21" s="3">
        <v>3.0092592592592595E-4</v>
      </c>
      <c r="L21" s="3">
        <v>1.8865740740740742E-3</v>
      </c>
      <c r="M21" s="3">
        <v>4.4907407407407405E-3</v>
      </c>
      <c r="N21" s="2">
        <v>0.68979999999999997</v>
      </c>
      <c r="O21" s="5">
        <f t="shared" si="0"/>
        <v>0.36599537037037039</v>
      </c>
      <c r="P21" s="5">
        <f t="shared" si="1"/>
        <v>21.959722222222222</v>
      </c>
      <c r="Q21" s="5">
        <f t="shared" si="2"/>
        <v>0.41127314814814814</v>
      </c>
      <c r="R21" s="5">
        <f t="shared" si="3"/>
        <v>24.676388888888887</v>
      </c>
    </row>
    <row r="22" spans="1:18">
      <c r="A22" s="4">
        <v>43851</v>
      </c>
      <c r="B22" s="1" t="s">
        <v>24</v>
      </c>
      <c r="C22" s="1">
        <f t="shared" si="4"/>
        <v>1</v>
      </c>
      <c r="D22" s="1">
        <f t="shared" si="5"/>
        <v>21</v>
      </c>
      <c r="E22" s="1">
        <f t="shared" si="6"/>
        <v>2020</v>
      </c>
      <c r="F22" s="1">
        <v>21</v>
      </c>
      <c r="G22" s="1">
        <v>187</v>
      </c>
      <c r="H22" s="1">
        <v>174</v>
      </c>
      <c r="I22" s="2">
        <v>0.93049999999999999</v>
      </c>
      <c r="J22" s="1">
        <v>13</v>
      </c>
      <c r="K22" s="3">
        <v>1.7361111111111112E-4</v>
      </c>
      <c r="L22" s="3">
        <v>1.5740740740740741E-3</v>
      </c>
      <c r="M22" s="3">
        <v>3.2291666666666666E-3</v>
      </c>
      <c r="N22" s="2">
        <v>0.81520000000000004</v>
      </c>
      <c r="O22" s="5">
        <f t="shared" si="0"/>
        <v>0.2738888888888889</v>
      </c>
      <c r="P22" s="5">
        <f t="shared" si="1"/>
        <v>16.433333333333334</v>
      </c>
      <c r="Q22" s="5">
        <f t="shared" si="2"/>
        <v>0.29435185185185186</v>
      </c>
      <c r="R22" s="5">
        <f t="shared" si="3"/>
        <v>17.661111111111111</v>
      </c>
    </row>
    <row r="23" spans="1:18">
      <c r="A23" s="4">
        <v>43852</v>
      </c>
      <c r="B23" s="1" t="s">
        <v>18</v>
      </c>
      <c r="C23" s="1">
        <f t="shared" si="4"/>
        <v>1</v>
      </c>
      <c r="D23" s="1">
        <f t="shared" si="5"/>
        <v>22</v>
      </c>
      <c r="E23" s="1">
        <f t="shared" si="6"/>
        <v>2020</v>
      </c>
      <c r="F23" s="1">
        <v>22</v>
      </c>
      <c r="G23" s="1">
        <v>191</v>
      </c>
      <c r="H23" s="1">
        <v>184</v>
      </c>
      <c r="I23" s="2">
        <v>0.96340000000000003</v>
      </c>
      <c r="J23" s="1">
        <v>7</v>
      </c>
      <c r="K23" s="3">
        <v>1.1574074074074075E-4</v>
      </c>
      <c r="L23" s="3">
        <v>1.4930555555555556E-3</v>
      </c>
      <c r="M23" s="3">
        <v>2.5462962962962965E-3</v>
      </c>
      <c r="N23" s="2">
        <v>0.85640000000000005</v>
      </c>
      <c r="O23" s="5">
        <f t="shared" si="0"/>
        <v>0.27472222222222226</v>
      </c>
      <c r="P23" s="5">
        <f t="shared" si="1"/>
        <v>16.483333333333334</v>
      </c>
      <c r="Q23" s="5">
        <f t="shared" si="2"/>
        <v>0.28517361111111111</v>
      </c>
      <c r="R23" s="5">
        <f t="shared" si="3"/>
        <v>17.110416666666666</v>
      </c>
    </row>
    <row r="24" spans="1:18">
      <c r="A24" s="4">
        <v>43853</v>
      </c>
      <c r="B24" s="1" t="s">
        <v>19</v>
      </c>
      <c r="C24" s="1">
        <f t="shared" si="4"/>
        <v>1</v>
      </c>
      <c r="D24" s="1">
        <f t="shared" si="5"/>
        <v>23</v>
      </c>
      <c r="E24" s="1">
        <f t="shared" si="6"/>
        <v>2020</v>
      </c>
      <c r="F24" s="1">
        <v>23</v>
      </c>
      <c r="G24" s="1">
        <v>188</v>
      </c>
      <c r="H24" s="1">
        <v>174</v>
      </c>
      <c r="I24" s="2">
        <v>0.92549999999999999</v>
      </c>
      <c r="J24" s="1">
        <v>14</v>
      </c>
      <c r="K24" s="3">
        <v>1.7361111111111112E-4</v>
      </c>
      <c r="L24" s="3">
        <v>1.6782407407407408E-3</v>
      </c>
      <c r="M24" s="3">
        <v>2.1875000000000002E-3</v>
      </c>
      <c r="N24" s="2">
        <v>0.76880000000000004</v>
      </c>
      <c r="O24" s="5">
        <f t="shared" si="0"/>
        <v>0.29201388888888891</v>
      </c>
      <c r="P24" s="5">
        <f t="shared" si="1"/>
        <v>17.520833333333336</v>
      </c>
      <c r="Q24" s="5">
        <f t="shared" si="2"/>
        <v>0.31550925925925927</v>
      </c>
      <c r="R24" s="5">
        <f t="shared" si="3"/>
        <v>18.930555555555557</v>
      </c>
    </row>
    <row r="25" spans="1:18">
      <c r="A25" s="4">
        <v>43854</v>
      </c>
      <c r="B25" s="1" t="s">
        <v>20</v>
      </c>
      <c r="C25" s="1">
        <f t="shared" si="4"/>
        <v>1</v>
      </c>
      <c r="D25" s="1">
        <f t="shared" si="5"/>
        <v>24</v>
      </c>
      <c r="E25" s="1">
        <f t="shared" si="6"/>
        <v>2020</v>
      </c>
      <c r="F25" s="1">
        <v>24</v>
      </c>
      <c r="G25" s="1">
        <v>154</v>
      </c>
      <c r="H25" s="1">
        <v>148</v>
      </c>
      <c r="I25" s="2">
        <v>0.96099999999999997</v>
      </c>
      <c r="J25" s="1">
        <v>6</v>
      </c>
      <c r="K25" s="3">
        <v>1.1574074074074075E-4</v>
      </c>
      <c r="L25" s="3">
        <v>1.7013888888888888E-3</v>
      </c>
      <c r="M25" s="3">
        <v>2.5000000000000001E-3</v>
      </c>
      <c r="N25" s="2">
        <v>0.85060000000000002</v>
      </c>
      <c r="O25" s="5">
        <f t="shared" si="0"/>
        <v>0.25180555555555556</v>
      </c>
      <c r="P25" s="5">
        <f t="shared" si="1"/>
        <v>15.108333333333334</v>
      </c>
      <c r="Q25" s="5">
        <f t="shared" si="2"/>
        <v>0.26201388888888888</v>
      </c>
      <c r="R25" s="5">
        <f t="shared" si="3"/>
        <v>15.720833333333333</v>
      </c>
    </row>
    <row r="26" spans="1:18">
      <c r="A26" s="4">
        <v>43855</v>
      </c>
      <c r="B26" s="1" t="s">
        <v>21</v>
      </c>
      <c r="C26" s="1">
        <f t="shared" si="4"/>
        <v>1</v>
      </c>
      <c r="D26" s="1">
        <f t="shared" si="5"/>
        <v>25</v>
      </c>
      <c r="E26" s="1">
        <f t="shared" si="6"/>
        <v>2020</v>
      </c>
      <c r="F26" s="1">
        <v>25</v>
      </c>
      <c r="G26" s="1">
        <v>166</v>
      </c>
      <c r="H26" s="1">
        <v>150</v>
      </c>
      <c r="I26" s="2">
        <v>0.90359999999999996</v>
      </c>
      <c r="J26" s="1">
        <v>16</v>
      </c>
      <c r="K26" s="3">
        <v>2.0833333333333335E-4</v>
      </c>
      <c r="L26" s="3">
        <v>1.6898148148148148E-3</v>
      </c>
      <c r="M26" s="3">
        <v>3.2175925925925926E-3</v>
      </c>
      <c r="N26" s="2">
        <v>0.76829999999999998</v>
      </c>
      <c r="O26" s="5">
        <f t="shared" si="0"/>
        <v>0.25347222222222221</v>
      </c>
      <c r="P26" s="5">
        <f t="shared" si="1"/>
        <v>15.208333333333332</v>
      </c>
      <c r="Q26" s="5">
        <f t="shared" si="2"/>
        <v>0.28050925925925924</v>
      </c>
      <c r="R26" s="5">
        <f t="shared" si="3"/>
        <v>16.830555555555556</v>
      </c>
    </row>
    <row r="27" spans="1:18">
      <c r="A27" s="4">
        <v>43856</v>
      </c>
      <c r="B27" s="1" t="s">
        <v>22</v>
      </c>
      <c r="C27" s="1">
        <f t="shared" si="4"/>
        <v>1</v>
      </c>
      <c r="D27" s="1">
        <f t="shared" si="5"/>
        <v>26</v>
      </c>
      <c r="E27" s="1">
        <f t="shared" si="6"/>
        <v>2020</v>
      </c>
      <c r="F27" s="1">
        <v>26</v>
      </c>
      <c r="G27" s="1">
        <v>58</v>
      </c>
      <c r="H27" s="1">
        <v>57</v>
      </c>
      <c r="I27" s="2">
        <v>0.98280000000000001</v>
      </c>
      <c r="J27" s="1">
        <v>1</v>
      </c>
      <c r="K27" s="3">
        <v>4.6296296296296294E-5</v>
      </c>
      <c r="L27" s="3">
        <v>1.6898148148148148E-3</v>
      </c>
      <c r="M27" s="3">
        <v>6.7129629629629625E-4</v>
      </c>
      <c r="N27" s="2">
        <v>0.94830000000000003</v>
      </c>
      <c r="O27" s="5">
        <f t="shared" si="0"/>
        <v>9.6319444444444444E-2</v>
      </c>
      <c r="P27" s="5">
        <f t="shared" si="1"/>
        <v>5.7791666666666668</v>
      </c>
      <c r="Q27" s="5">
        <f t="shared" si="2"/>
        <v>9.8009259259259254E-2</v>
      </c>
      <c r="R27" s="5">
        <f t="shared" si="3"/>
        <v>5.8805555555555555</v>
      </c>
    </row>
    <row r="28" spans="1:18">
      <c r="A28" s="4">
        <v>43857</v>
      </c>
      <c r="B28" s="1" t="s">
        <v>23</v>
      </c>
      <c r="C28" s="1">
        <f t="shared" si="4"/>
        <v>1</v>
      </c>
      <c r="D28" s="1">
        <f t="shared" si="5"/>
        <v>27</v>
      </c>
      <c r="E28" s="1">
        <f t="shared" si="6"/>
        <v>2020</v>
      </c>
      <c r="F28" s="1">
        <v>27</v>
      </c>
      <c r="G28" s="1">
        <v>160</v>
      </c>
      <c r="H28" s="1">
        <v>153</v>
      </c>
      <c r="I28" s="2">
        <v>0.95630000000000004</v>
      </c>
      <c r="J28" s="1">
        <v>7</v>
      </c>
      <c r="K28" s="3">
        <v>1.1574074074074075E-4</v>
      </c>
      <c r="L28" s="3">
        <v>1.6550925925925926E-3</v>
      </c>
      <c r="M28" s="3">
        <v>1.9097222222222222E-3</v>
      </c>
      <c r="N28" s="2">
        <v>0.84909999999999997</v>
      </c>
      <c r="O28" s="5">
        <f t="shared" si="0"/>
        <v>0.25322916666666667</v>
      </c>
      <c r="P28" s="5">
        <f t="shared" si="1"/>
        <v>15.19375</v>
      </c>
      <c r="Q28" s="5">
        <f t="shared" si="2"/>
        <v>0.26481481481481484</v>
      </c>
      <c r="R28" s="5">
        <f t="shared" si="3"/>
        <v>15.888888888888889</v>
      </c>
    </row>
    <row r="29" spans="1:18">
      <c r="A29" s="4">
        <v>43858</v>
      </c>
      <c r="B29" s="1" t="s">
        <v>24</v>
      </c>
      <c r="C29" s="1">
        <f t="shared" si="4"/>
        <v>1</v>
      </c>
      <c r="D29" s="1">
        <f t="shared" si="5"/>
        <v>28</v>
      </c>
      <c r="E29" s="1">
        <f t="shared" si="6"/>
        <v>2020</v>
      </c>
      <c r="F29" s="1">
        <v>28</v>
      </c>
      <c r="G29" s="1">
        <v>86</v>
      </c>
      <c r="H29" s="1">
        <v>79</v>
      </c>
      <c r="I29" s="2">
        <v>0.91859999999999997</v>
      </c>
      <c r="J29" s="1">
        <v>7</v>
      </c>
      <c r="K29" s="3">
        <v>3.7037037037037035E-4</v>
      </c>
      <c r="L29" s="3">
        <v>1.8865740740740742E-3</v>
      </c>
      <c r="M29" s="3">
        <v>3.2407407407407406E-3</v>
      </c>
      <c r="N29" s="2">
        <v>0.61629999999999996</v>
      </c>
      <c r="O29" s="5">
        <f t="shared" si="0"/>
        <v>0.14903935185185185</v>
      </c>
      <c r="P29" s="5">
        <f t="shared" si="1"/>
        <v>8.9423611111111114</v>
      </c>
      <c r="Q29" s="5">
        <f t="shared" si="2"/>
        <v>0.16224537037037037</v>
      </c>
      <c r="R29" s="5">
        <f t="shared" si="3"/>
        <v>9.7347222222222225</v>
      </c>
    </row>
    <row r="30" spans="1:18">
      <c r="A30" s="4">
        <v>43859</v>
      </c>
      <c r="B30" s="1" t="s">
        <v>18</v>
      </c>
      <c r="C30" s="1">
        <f t="shared" si="4"/>
        <v>1</v>
      </c>
      <c r="D30" s="1">
        <f t="shared" si="5"/>
        <v>29</v>
      </c>
      <c r="E30" s="1">
        <f t="shared" si="6"/>
        <v>2020</v>
      </c>
      <c r="F30" s="1">
        <v>29</v>
      </c>
      <c r="G30" s="1">
        <v>180</v>
      </c>
      <c r="H30" s="1">
        <v>170</v>
      </c>
      <c r="I30" s="2">
        <v>0.94440000000000002</v>
      </c>
      <c r="J30" s="1">
        <v>10</v>
      </c>
      <c r="K30" s="3">
        <v>2.6620370370370372E-4</v>
      </c>
      <c r="L30" s="3">
        <v>1.7476851851851852E-3</v>
      </c>
      <c r="M30" s="3">
        <v>3.9930555555555552E-3</v>
      </c>
      <c r="N30" s="2">
        <v>0.77529999999999999</v>
      </c>
      <c r="O30" s="5">
        <f t="shared" si="0"/>
        <v>0.2971064814814815</v>
      </c>
      <c r="P30" s="5">
        <f t="shared" si="1"/>
        <v>17.826388888888889</v>
      </c>
      <c r="Q30" s="5">
        <f t="shared" si="2"/>
        <v>0.31458333333333333</v>
      </c>
      <c r="R30" s="5">
        <f t="shared" si="3"/>
        <v>18.875</v>
      </c>
    </row>
    <row r="31" spans="1:18">
      <c r="A31" s="4">
        <v>43860</v>
      </c>
      <c r="B31" s="1" t="s">
        <v>19</v>
      </c>
      <c r="C31" s="1">
        <f t="shared" si="4"/>
        <v>1</v>
      </c>
      <c r="D31" s="1">
        <f t="shared" si="5"/>
        <v>30</v>
      </c>
      <c r="E31" s="1">
        <f t="shared" si="6"/>
        <v>2020</v>
      </c>
      <c r="F31" s="1">
        <v>30</v>
      </c>
      <c r="G31" s="1">
        <v>210</v>
      </c>
      <c r="H31" s="1">
        <v>192</v>
      </c>
      <c r="I31" s="2">
        <v>0.9143</v>
      </c>
      <c r="J31" s="1">
        <v>18</v>
      </c>
      <c r="K31" s="3">
        <v>3.0092592592592595E-4</v>
      </c>
      <c r="L31" s="3">
        <v>1.5740740740740741E-3</v>
      </c>
      <c r="M31" s="3">
        <v>3.8773148148148148E-3</v>
      </c>
      <c r="N31" s="2">
        <v>0.67459999999999998</v>
      </c>
      <c r="O31" s="5">
        <f t="shared" si="0"/>
        <v>0.30222222222222223</v>
      </c>
      <c r="P31" s="5">
        <f t="shared" si="1"/>
        <v>18.133333333333333</v>
      </c>
      <c r="Q31" s="5">
        <f t="shared" si="2"/>
        <v>0.33055555555555555</v>
      </c>
      <c r="R31" s="5">
        <f t="shared" si="3"/>
        <v>19.833333333333332</v>
      </c>
    </row>
    <row r="32" spans="1:18">
      <c r="A32" s="4">
        <v>43861</v>
      </c>
      <c r="B32" s="1" t="s">
        <v>20</v>
      </c>
      <c r="C32" s="1">
        <f t="shared" si="4"/>
        <v>1</v>
      </c>
      <c r="D32" s="1">
        <f t="shared" si="5"/>
        <v>31</v>
      </c>
      <c r="E32" s="1">
        <f t="shared" si="6"/>
        <v>2020</v>
      </c>
      <c r="F32" s="1">
        <v>31</v>
      </c>
      <c r="G32" s="1">
        <v>163</v>
      </c>
      <c r="H32" s="1">
        <v>157</v>
      </c>
      <c r="I32" s="2">
        <v>0.96319999999999995</v>
      </c>
      <c r="J32" s="1">
        <v>6</v>
      </c>
      <c r="K32" s="3">
        <v>1.6203703703703703E-4</v>
      </c>
      <c r="L32" s="3">
        <v>1.6087962962962963E-3</v>
      </c>
      <c r="M32" s="3">
        <v>2.0254629629629629E-3</v>
      </c>
      <c r="N32" s="2">
        <v>0.81369999999999998</v>
      </c>
      <c r="O32" s="5">
        <f t="shared" si="0"/>
        <v>0.2525810185185185</v>
      </c>
      <c r="P32" s="5">
        <f t="shared" si="1"/>
        <v>15.15486111111111</v>
      </c>
      <c r="Q32" s="5">
        <f t="shared" si="2"/>
        <v>0.26223379629629628</v>
      </c>
      <c r="R32" s="5">
        <f t="shared" si="3"/>
        <v>15.734027777777778</v>
      </c>
    </row>
    <row r="33" spans="1:18">
      <c r="A33" s="4">
        <v>43862</v>
      </c>
      <c r="B33" s="1" t="s">
        <v>21</v>
      </c>
      <c r="C33" s="1">
        <f t="shared" si="4"/>
        <v>2</v>
      </c>
      <c r="D33" s="1">
        <f t="shared" si="5"/>
        <v>1</v>
      </c>
      <c r="E33" s="1">
        <f t="shared" si="6"/>
        <v>2020</v>
      </c>
      <c r="F33" s="1">
        <v>32</v>
      </c>
      <c r="G33" s="1">
        <v>143</v>
      </c>
      <c r="H33" s="1">
        <v>140</v>
      </c>
      <c r="I33" s="2">
        <v>0.97899999999999998</v>
      </c>
      <c r="J33" s="1">
        <v>3</v>
      </c>
      <c r="K33" s="3">
        <v>1.7361111111111112E-4</v>
      </c>
      <c r="L33" s="3">
        <v>1.6203703703703703E-3</v>
      </c>
      <c r="M33" s="3">
        <v>3.2754629629629631E-3</v>
      </c>
      <c r="N33" s="2">
        <v>0.82520000000000004</v>
      </c>
      <c r="O33" s="5">
        <f t="shared" si="0"/>
        <v>0.22685185185185183</v>
      </c>
      <c r="P33" s="5">
        <f t="shared" si="1"/>
        <v>13.611111111111111</v>
      </c>
      <c r="Q33" s="5">
        <f t="shared" si="2"/>
        <v>0.23171296296296295</v>
      </c>
      <c r="R33" s="5">
        <f t="shared" si="3"/>
        <v>13.902777777777777</v>
      </c>
    </row>
    <row r="34" spans="1:18">
      <c r="A34" s="4">
        <v>43863</v>
      </c>
      <c r="B34" s="1" t="s">
        <v>22</v>
      </c>
      <c r="C34" s="1">
        <f t="shared" si="4"/>
        <v>2</v>
      </c>
      <c r="D34" s="1">
        <f t="shared" si="5"/>
        <v>2</v>
      </c>
      <c r="E34" s="1">
        <f t="shared" si="6"/>
        <v>2020</v>
      </c>
      <c r="F34" s="1">
        <v>33</v>
      </c>
      <c r="G34" s="1">
        <v>57</v>
      </c>
      <c r="H34" s="1">
        <v>55</v>
      </c>
      <c r="I34" s="2">
        <v>0.96489999999999998</v>
      </c>
      <c r="J34" s="1">
        <v>2</v>
      </c>
      <c r="K34" s="3">
        <v>6.9444444444444444E-5</v>
      </c>
      <c r="L34" s="3">
        <v>1.4236111111111112E-3</v>
      </c>
      <c r="M34" s="3">
        <v>1.2731481481481483E-3</v>
      </c>
      <c r="N34" s="2">
        <v>0.9123</v>
      </c>
      <c r="O34" s="5">
        <f t="shared" si="0"/>
        <v>7.829861111111111E-2</v>
      </c>
      <c r="P34" s="5">
        <f t="shared" si="1"/>
        <v>4.697916666666667</v>
      </c>
      <c r="Q34" s="5">
        <f t="shared" si="2"/>
        <v>8.1145833333333334E-2</v>
      </c>
      <c r="R34" s="5">
        <f t="shared" si="3"/>
        <v>4.8687500000000004</v>
      </c>
    </row>
    <row r="35" spans="1:18">
      <c r="A35" s="4">
        <v>43864</v>
      </c>
      <c r="B35" s="1" t="s">
        <v>23</v>
      </c>
      <c r="C35" s="1">
        <f t="shared" si="4"/>
        <v>2</v>
      </c>
      <c r="D35" s="1">
        <f t="shared" si="5"/>
        <v>3</v>
      </c>
      <c r="E35" s="1">
        <f t="shared" si="6"/>
        <v>2020</v>
      </c>
      <c r="F35" s="1">
        <v>34</v>
      </c>
      <c r="G35" s="1">
        <v>179</v>
      </c>
      <c r="H35" s="1">
        <v>172</v>
      </c>
      <c r="I35" s="2">
        <v>0.96089999999999998</v>
      </c>
      <c r="J35" s="1">
        <v>7</v>
      </c>
      <c r="K35" s="3">
        <v>1.5046296296296297E-4</v>
      </c>
      <c r="L35" s="3">
        <v>1.5856481481481481E-3</v>
      </c>
      <c r="M35" s="3">
        <v>2.3495370370370371E-3</v>
      </c>
      <c r="N35" s="2">
        <v>0.82489999999999997</v>
      </c>
      <c r="O35" s="5">
        <f t="shared" si="0"/>
        <v>0.27273148148148146</v>
      </c>
      <c r="P35" s="5">
        <f t="shared" si="1"/>
        <v>16.363888888888887</v>
      </c>
      <c r="Q35" s="5">
        <f t="shared" si="2"/>
        <v>0.2838310185185185</v>
      </c>
      <c r="R35" s="5">
        <f t="shared" si="3"/>
        <v>17.02986111111111</v>
      </c>
    </row>
    <row r="36" spans="1:18">
      <c r="A36" s="4">
        <v>43865</v>
      </c>
      <c r="B36" s="1" t="s">
        <v>24</v>
      </c>
      <c r="C36" s="1">
        <f t="shared" si="4"/>
        <v>2</v>
      </c>
      <c r="D36" s="1">
        <f t="shared" si="5"/>
        <v>4</v>
      </c>
      <c r="E36" s="1">
        <f t="shared" si="6"/>
        <v>2020</v>
      </c>
      <c r="F36" s="1">
        <v>35</v>
      </c>
      <c r="G36" s="1">
        <v>194</v>
      </c>
      <c r="H36" s="1">
        <v>184</v>
      </c>
      <c r="I36" s="2">
        <v>0.94850000000000001</v>
      </c>
      <c r="J36" s="1">
        <v>10</v>
      </c>
      <c r="K36" s="3">
        <v>2.7777777777777778E-4</v>
      </c>
      <c r="L36" s="3">
        <v>1.6666666666666668E-3</v>
      </c>
      <c r="M36" s="3">
        <v>2.3032407407407407E-3</v>
      </c>
      <c r="N36" s="2">
        <v>0.70099999999999996</v>
      </c>
      <c r="O36" s="5">
        <f t="shared" si="0"/>
        <v>0.3066666666666667</v>
      </c>
      <c r="P36" s="5">
        <f t="shared" si="1"/>
        <v>18.400000000000002</v>
      </c>
      <c r="Q36" s="5">
        <f t="shared" si="2"/>
        <v>0.32333333333333336</v>
      </c>
      <c r="R36" s="5">
        <f t="shared" si="3"/>
        <v>19.400000000000002</v>
      </c>
    </row>
    <row r="37" spans="1:18">
      <c r="A37" s="4">
        <v>43866</v>
      </c>
      <c r="B37" s="1" t="s">
        <v>18</v>
      </c>
      <c r="C37" s="1">
        <f t="shared" si="4"/>
        <v>2</v>
      </c>
      <c r="D37" s="1">
        <f t="shared" si="5"/>
        <v>5</v>
      </c>
      <c r="E37" s="1">
        <f t="shared" si="6"/>
        <v>2020</v>
      </c>
      <c r="F37" s="1">
        <v>36</v>
      </c>
      <c r="G37" s="1">
        <v>201</v>
      </c>
      <c r="H37" s="1">
        <v>196</v>
      </c>
      <c r="I37" s="2">
        <v>0.97509999999999997</v>
      </c>
      <c r="J37" s="1">
        <v>5</v>
      </c>
      <c r="K37" s="3">
        <v>1.7361111111111112E-4</v>
      </c>
      <c r="L37" s="3">
        <v>1.5740740740740741E-3</v>
      </c>
      <c r="M37" s="3">
        <v>3.3912037037037036E-3</v>
      </c>
      <c r="N37" s="2">
        <v>0.81589999999999996</v>
      </c>
      <c r="O37" s="5">
        <f t="shared" si="0"/>
        <v>0.30851851851851853</v>
      </c>
      <c r="P37" s="5">
        <f t="shared" si="1"/>
        <v>18.511111111111113</v>
      </c>
      <c r="Q37" s="5">
        <f t="shared" si="2"/>
        <v>0.31638888888888889</v>
      </c>
      <c r="R37" s="5">
        <f t="shared" si="3"/>
        <v>18.983333333333334</v>
      </c>
    </row>
    <row r="38" spans="1:18">
      <c r="A38" s="4">
        <v>43867</v>
      </c>
      <c r="B38" s="1" t="s">
        <v>19</v>
      </c>
      <c r="C38" s="1">
        <f t="shared" si="4"/>
        <v>2</v>
      </c>
      <c r="D38" s="1">
        <f t="shared" si="5"/>
        <v>6</v>
      </c>
      <c r="E38" s="1">
        <f t="shared" si="6"/>
        <v>2020</v>
      </c>
      <c r="F38" s="1">
        <v>37</v>
      </c>
      <c r="G38" s="1">
        <v>218</v>
      </c>
      <c r="H38" s="1">
        <v>189</v>
      </c>
      <c r="I38" s="2">
        <v>0.86699999999999999</v>
      </c>
      <c r="J38" s="1">
        <v>29</v>
      </c>
      <c r="K38" s="3">
        <v>3.7037037037037035E-4</v>
      </c>
      <c r="L38" s="3">
        <v>1.8171296296296297E-3</v>
      </c>
      <c r="M38" s="3">
        <v>5.6018518518518518E-3</v>
      </c>
      <c r="N38" s="2">
        <v>0.57410000000000005</v>
      </c>
      <c r="O38" s="5">
        <f t="shared" si="0"/>
        <v>0.34343750000000001</v>
      </c>
      <c r="P38" s="5">
        <f t="shared" si="1"/>
        <v>20.606249999999999</v>
      </c>
      <c r="Q38" s="5">
        <f t="shared" si="2"/>
        <v>0.39613425925925927</v>
      </c>
      <c r="R38" s="5">
        <f t="shared" si="3"/>
        <v>23.768055555555556</v>
      </c>
    </row>
    <row r="39" spans="1:18">
      <c r="A39" s="4">
        <v>43868</v>
      </c>
      <c r="B39" s="1" t="s">
        <v>20</v>
      </c>
      <c r="C39" s="1">
        <f t="shared" si="4"/>
        <v>2</v>
      </c>
      <c r="D39" s="1">
        <f t="shared" si="5"/>
        <v>7</v>
      </c>
      <c r="E39" s="1">
        <f t="shared" si="6"/>
        <v>2020</v>
      </c>
      <c r="F39" s="1">
        <v>38</v>
      </c>
      <c r="G39" s="1">
        <v>194</v>
      </c>
      <c r="H39" s="1">
        <v>190</v>
      </c>
      <c r="I39" s="2">
        <v>0.97940000000000005</v>
      </c>
      <c r="J39" s="1">
        <v>4</v>
      </c>
      <c r="K39" s="3">
        <v>1.8518518518518518E-4</v>
      </c>
      <c r="L39" s="3">
        <v>1.6435185185185185E-3</v>
      </c>
      <c r="M39" s="3">
        <v>1.4120370370370369E-3</v>
      </c>
      <c r="N39" s="2">
        <v>0.81769999999999998</v>
      </c>
      <c r="O39" s="5">
        <f t="shared" si="0"/>
        <v>0.3122685185185185</v>
      </c>
      <c r="P39" s="5">
        <f t="shared" si="1"/>
        <v>18.736111111111111</v>
      </c>
      <c r="Q39" s="5">
        <f t="shared" si="2"/>
        <v>0.31884259259259262</v>
      </c>
      <c r="R39" s="5">
        <f t="shared" si="3"/>
        <v>19.130555555555556</v>
      </c>
    </row>
    <row r="40" spans="1:18">
      <c r="A40" s="4">
        <v>43869</v>
      </c>
      <c r="B40" s="1" t="s">
        <v>21</v>
      </c>
      <c r="C40" s="1">
        <f t="shared" si="4"/>
        <v>2</v>
      </c>
      <c r="D40" s="1">
        <f t="shared" si="5"/>
        <v>8</v>
      </c>
      <c r="E40" s="1">
        <f t="shared" si="6"/>
        <v>2020</v>
      </c>
      <c r="F40" s="1">
        <v>39</v>
      </c>
      <c r="G40" s="1">
        <v>227</v>
      </c>
      <c r="H40" s="1">
        <v>219</v>
      </c>
      <c r="I40" s="2">
        <v>0.96479999999999999</v>
      </c>
      <c r="J40" s="1">
        <v>8</v>
      </c>
      <c r="K40" s="3">
        <v>1.7361111111111112E-4</v>
      </c>
      <c r="L40" s="3">
        <v>1.8981481481481482E-3</v>
      </c>
      <c r="M40" s="3">
        <v>2.7199074074074074E-3</v>
      </c>
      <c r="N40" s="2">
        <v>0.83630000000000004</v>
      </c>
      <c r="O40" s="5">
        <f t="shared" si="0"/>
        <v>0.41569444444444442</v>
      </c>
      <c r="P40" s="5">
        <f t="shared" si="1"/>
        <v>24.941666666666666</v>
      </c>
      <c r="Q40" s="5">
        <f t="shared" si="2"/>
        <v>0.43087962962962961</v>
      </c>
      <c r="R40" s="5">
        <f t="shared" si="3"/>
        <v>25.852777777777778</v>
      </c>
    </row>
    <row r="41" spans="1:18">
      <c r="A41" s="4">
        <v>43870</v>
      </c>
      <c r="B41" s="1" t="s">
        <v>22</v>
      </c>
      <c r="C41" s="1">
        <f t="shared" si="4"/>
        <v>2</v>
      </c>
      <c r="D41" s="1">
        <f t="shared" si="5"/>
        <v>9</v>
      </c>
      <c r="E41" s="1">
        <f t="shared" si="6"/>
        <v>2020</v>
      </c>
      <c r="F41" s="1">
        <v>40</v>
      </c>
      <c r="G41" s="1">
        <v>52</v>
      </c>
      <c r="H41" s="1">
        <v>52</v>
      </c>
      <c r="I41" s="2">
        <v>1</v>
      </c>
      <c r="J41" s="1">
        <v>0</v>
      </c>
      <c r="K41" s="3">
        <v>1.0416666666666667E-4</v>
      </c>
      <c r="L41" s="3">
        <v>1.5740740740740741E-3</v>
      </c>
      <c r="M41" s="3">
        <v>6.018518518518519E-4</v>
      </c>
      <c r="N41" s="2">
        <v>0.94230000000000003</v>
      </c>
      <c r="O41" s="5">
        <f t="shared" si="0"/>
        <v>8.1851851851851856E-2</v>
      </c>
      <c r="P41" s="5">
        <f t="shared" si="1"/>
        <v>4.9111111111111114</v>
      </c>
      <c r="Q41" s="5">
        <f t="shared" si="2"/>
        <v>8.1851851851851856E-2</v>
      </c>
      <c r="R41" s="5">
        <f t="shared" si="3"/>
        <v>4.9111111111111114</v>
      </c>
    </row>
    <row r="42" spans="1:18">
      <c r="A42" s="4">
        <v>43871</v>
      </c>
      <c r="B42" s="1" t="s">
        <v>23</v>
      </c>
      <c r="C42" s="1">
        <f t="shared" si="4"/>
        <v>2</v>
      </c>
      <c r="D42" s="1">
        <f t="shared" si="5"/>
        <v>10</v>
      </c>
      <c r="E42" s="1">
        <f t="shared" si="6"/>
        <v>2020</v>
      </c>
      <c r="F42" s="1">
        <v>41</v>
      </c>
      <c r="G42" s="1">
        <v>385</v>
      </c>
      <c r="H42" s="1">
        <v>370</v>
      </c>
      <c r="I42" s="2">
        <v>0.96099999999999997</v>
      </c>
      <c r="J42" s="1">
        <v>15</v>
      </c>
      <c r="K42" s="3">
        <v>2.3148148148148149E-4</v>
      </c>
      <c r="L42" s="3">
        <v>1.5162037037037036E-3</v>
      </c>
      <c r="M42" s="3">
        <v>2.1990740740740742E-3</v>
      </c>
      <c r="N42" s="2">
        <v>0.76190000000000002</v>
      </c>
      <c r="O42" s="5">
        <f t="shared" si="0"/>
        <v>0.56099537037037039</v>
      </c>
      <c r="P42" s="5">
        <f t="shared" si="1"/>
        <v>33.659722222222221</v>
      </c>
      <c r="Q42" s="5">
        <f t="shared" si="2"/>
        <v>0.58373842592592595</v>
      </c>
      <c r="R42" s="5">
        <f t="shared" si="3"/>
        <v>35.024305555555557</v>
      </c>
    </row>
    <row r="43" spans="1:18">
      <c r="A43" s="4">
        <v>43872</v>
      </c>
      <c r="B43" s="1" t="s">
        <v>24</v>
      </c>
      <c r="C43" s="1">
        <f t="shared" si="4"/>
        <v>2</v>
      </c>
      <c r="D43" s="1">
        <f t="shared" si="5"/>
        <v>11</v>
      </c>
      <c r="E43" s="1">
        <f t="shared" si="6"/>
        <v>2020</v>
      </c>
      <c r="F43" s="1">
        <v>42</v>
      </c>
      <c r="G43" s="1">
        <v>137</v>
      </c>
      <c r="H43" s="1">
        <v>130</v>
      </c>
      <c r="I43" s="2">
        <v>0.94889999999999997</v>
      </c>
      <c r="J43" s="1">
        <v>7</v>
      </c>
      <c r="K43" s="3">
        <v>1.8518518518518518E-4</v>
      </c>
      <c r="L43" s="3">
        <v>1.6898148148148148E-3</v>
      </c>
      <c r="M43" s="3">
        <v>6.7939814814814816E-3</v>
      </c>
      <c r="N43" s="2">
        <v>0.7591</v>
      </c>
      <c r="O43" s="5">
        <f t="shared" si="0"/>
        <v>0.21967592592592591</v>
      </c>
      <c r="P43" s="5">
        <f t="shared" si="1"/>
        <v>13.180555555555555</v>
      </c>
      <c r="Q43" s="5">
        <f t="shared" si="2"/>
        <v>0.23150462962962962</v>
      </c>
      <c r="R43" s="5">
        <f t="shared" si="3"/>
        <v>13.890277777777778</v>
      </c>
    </row>
    <row r="44" spans="1:18">
      <c r="A44" s="4">
        <v>43873</v>
      </c>
      <c r="B44" s="1" t="s">
        <v>18</v>
      </c>
      <c r="C44" s="1">
        <f t="shared" si="4"/>
        <v>2</v>
      </c>
      <c r="D44" s="1">
        <f t="shared" si="5"/>
        <v>12</v>
      </c>
      <c r="E44" s="1">
        <f t="shared" si="6"/>
        <v>2020</v>
      </c>
      <c r="F44" s="1">
        <v>43</v>
      </c>
      <c r="G44" s="1">
        <v>254</v>
      </c>
      <c r="H44" s="1">
        <v>252</v>
      </c>
      <c r="I44" s="2">
        <v>0.99209999999999998</v>
      </c>
      <c r="J44" s="1">
        <v>2</v>
      </c>
      <c r="K44" s="3">
        <v>1.1574074074074075E-4</v>
      </c>
      <c r="L44" s="3">
        <v>1.4814814814814814E-3</v>
      </c>
      <c r="M44" s="3">
        <v>8.1018518518518516E-4</v>
      </c>
      <c r="N44" s="2">
        <v>0.91339999999999999</v>
      </c>
      <c r="O44" s="5">
        <f t="shared" si="0"/>
        <v>0.37333333333333329</v>
      </c>
      <c r="P44" s="5">
        <f t="shared" si="1"/>
        <v>22.4</v>
      </c>
      <c r="Q44" s="5">
        <f t="shared" si="2"/>
        <v>0.3762962962962963</v>
      </c>
      <c r="R44" s="5">
        <f t="shared" si="3"/>
        <v>22.577777777777779</v>
      </c>
    </row>
    <row r="45" spans="1:18">
      <c r="A45" s="4">
        <v>43874</v>
      </c>
      <c r="B45" s="1" t="s">
        <v>19</v>
      </c>
      <c r="C45" s="1">
        <f t="shared" si="4"/>
        <v>2</v>
      </c>
      <c r="D45" s="1">
        <f t="shared" si="5"/>
        <v>13</v>
      </c>
      <c r="E45" s="1">
        <f t="shared" si="6"/>
        <v>2020</v>
      </c>
      <c r="F45" s="1">
        <v>44</v>
      </c>
      <c r="G45" s="1">
        <v>211</v>
      </c>
      <c r="H45" s="1">
        <v>206</v>
      </c>
      <c r="I45" s="2">
        <v>0.97629999999999995</v>
      </c>
      <c r="J45" s="1">
        <v>5</v>
      </c>
      <c r="K45" s="3">
        <v>1.273148148148148E-4</v>
      </c>
      <c r="L45" s="3">
        <v>1.6666666666666668E-3</v>
      </c>
      <c r="M45" s="3">
        <v>3.2060185185185186E-3</v>
      </c>
      <c r="N45" s="2">
        <v>0.87139999999999995</v>
      </c>
      <c r="O45" s="5">
        <f t="shared" si="0"/>
        <v>0.34333333333333338</v>
      </c>
      <c r="P45" s="5">
        <f t="shared" si="1"/>
        <v>20.6</v>
      </c>
      <c r="Q45" s="5">
        <f t="shared" si="2"/>
        <v>0.35166666666666668</v>
      </c>
      <c r="R45" s="5">
        <f t="shared" si="3"/>
        <v>21.1</v>
      </c>
    </row>
    <row r="46" spans="1:18">
      <c r="A46" s="4">
        <v>43875</v>
      </c>
      <c r="B46" s="1" t="s">
        <v>20</v>
      </c>
      <c r="C46" s="1">
        <f t="shared" si="4"/>
        <v>2</v>
      </c>
      <c r="D46" s="1">
        <f t="shared" si="5"/>
        <v>14</v>
      </c>
      <c r="E46" s="1">
        <f t="shared" si="6"/>
        <v>2020</v>
      </c>
      <c r="F46" s="1">
        <v>45</v>
      </c>
      <c r="G46" s="1">
        <v>282</v>
      </c>
      <c r="H46" s="1">
        <v>279</v>
      </c>
      <c r="I46" s="2">
        <v>0.98939999999999995</v>
      </c>
      <c r="J46" s="1">
        <v>3</v>
      </c>
      <c r="K46" s="3">
        <v>8.1018518518518516E-5</v>
      </c>
      <c r="L46" s="3">
        <v>1.5972222222222223E-3</v>
      </c>
      <c r="M46" s="3">
        <v>8.2175925925925927E-4</v>
      </c>
      <c r="N46" s="2">
        <v>0.93210000000000004</v>
      </c>
      <c r="O46" s="5">
        <f t="shared" si="0"/>
        <v>0.44562500000000005</v>
      </c>
      <c r="P46" s="5">
        <f t="shared" si="1"/>
        <v>26.737500000000004</v>
      </c>
      <c r="Q46" s="5">
        <f t="shared" si="2"/>
        <v>0.45041666666666669</v>
      </c>
      <c r="R46" s="5">
        <f t="shared" si="3"/>
        <v>27.025000000000002</v>
      </c>
    </row>
    <row r="47" spans="1:18">
      <c r="A47" s="4">
        <v>43876</v>
      </c>
      <c r="B47" s="1" t="s">
        <v>21</v>
      </c>
      <c r="C47" s="1">
        <f t="shared" si="4"/>
        <v>2</v>
      </c>
      <c r="D47" s="1">
        <f t="shared" si="5"/>
        <v>15</v>
      </c>
      <c r="E47" s="1">
        <f t="shared" si="6"/>
        <v>2020</v>
      </c>
      <c r="F47" s="1">
        <v>46</v>
      </c>
      <c r="G47" s="1">
        <v>262</v>
      </c>
      <c r="H47" s="1">
        <v>260</v>
      </c>
      <c r="I47" s="2">
        <v>0.99239999999999995</v>
      </c>
      <c r="J47" s="1">
        <v>2</v>
      </c>
      <c r="K47" s="3">
        <v>9.2592592592592588E-5</v>
      </c>
      <c r="L47" s="3">
        <v>1.7476851851851852E-3</v>
      </c>
      <c r="M47" s="3">
        <v>8.4490740740740739E-4</v>
      </c>
      <c r="N47" s="2">
        <v>0.90800000000000003</v>
      </c>
      <c r="O47" s="5">
        <f t="shared" si="0"/>
        <v>0.45439814814814816</v>
      </c>
      <c r="P47" s="5">
        <f t="shared" si="1"/>
        <v>27.263888888888889</v>
      </c>
      <c r="Q47" s="5">
        <f t="shared" si="2"/>
        <v>0.45789351851851851</v>
      </c>
      <c r="R47" s="5">
        <f t="shared" si="3"/>
        <v>27.473611111111111</v>
      </c>
    </row>
    <row r="48" spans="1:18">
      <c r="A48" s="4">
        <v>43877</v>
      </c>
      <c r="B48" s="1" t="s">
        <v>22</v>
      </c>
      <c r="C48" s="1">
        <f t="shared" si="4"/>
        <v>2</v>
      </c>
      <c r="D48" s="1">
        <f t="shared" si="5"/>
        <v>16</v>
      </c>
      <c r="E48" s="1">
        <f t="shared" si="6"/>
        <v>2020</v>
      </c>
      <c r="F48" s="1">
        <v>47</v>
      </c>
      <c r="G48" s="1">
        <v>65</v>
      </c>
      <c r="H48" s="1">
        <v>63</v>
      </c>
      <c r="I48" s="2">
        <v>0.96919999999999995</v>
      </c>
      <c r="J48" s="1">
        <v>2</v>
      </c>
      <c r="K48" s="3">
        <v>1.3888888888888889E-4</v>
      </c>
      <c r="L48" s="3">
        <v>1.6435185185185185E-3</v>
      </c>
      <c r="M48" s="3">
        <v>1.5046296296296296E-3</v>
      </c>
      <c r="N48" s="2">
        <v>0.85940000000000005</v>
      </c>
      <c r="O48" s="5">
        <f t="shared" si="0"/>
        <v>0.10354166666666667</v>
      </c>
      <c r="P48" s="5">
        <f t="shared" si="1"/>
        <v>6.2125000000000004</v>
      </c>
      <c r="Q48" s="5">
        <f t="shared" si="2"/>
        <v>0.1068287037037037</v>
      </c>
      <c r="R48" s="5">
        <f t="shared" si="3"/>
        <v>6.4097222222222223</v>
      </c>
    </row>
    <row r="49" spans="1:18">
      <c r="A49" s="4">
        <v>43878</v>
      </c>
      <c r="B49" s="1" t="s">
        <v>23</v>
      </c>
      <c r="C49" s="1">
        <f t="shared" si="4"/>
        <v>2</v>
      </c>
      <c r="D49" s="1">
        <f t="shared" si="5"/>
        <v>17</v>
      </c>
      <c r="E49" s="1">
        <f t="shared" si="6"/>
        <v>2020</v>
      </c>
      <c r="F49" s="1">
        <v>48</v>
      </c>
      <c r="G49" s="1">
        <v>325</v>
      </c>
      <c r="H49" s="1">
        <v>323</v>
      </c>
      <c r="I49" s="2">
        <v>0.99380000000000002</v>
      </c>
      <c r="J49" s="1">
        <v>2</v>
      </c>
      <c r="K49" s="3">
        <v>5.7870370370370373E-5</v>
      </c>
      <c r="L49" s="3">
        <v>1.5393518518518519E-3</v>
      </c>
      <c r="M49" s="3">
        <v>8.564814814814815E-4</v>
      </c>
      <c r="N49" s="2">
        <v>0.96899999999999997</v>
      </c>
      <c r="O49" s="5">
        <f t="shared" si="0"/>
        <v>0.49721064814814814</v>
      </c>
      <c r="P49" s="5">
        <f t="shared" si="1"/>
        <v>29.832638888888887</v>
      </c>
      <c r="Q49" s="5">
        <f t="shared" si="2"/>
        <v>0.50028935185185186</v>
      </c>
      <c r="R49" s="5">
        <f t="shared" si="3"/>
        <v>30.017361111111111</v>
      </c>
    </row>
    <row r="50" spans="1:18">
      <c r="A50" s="4">
        <v>43879</v>
      </c>
      <c r="B50" s="1" t="s">
        <v>24</v>
      </c>
      <c r="C50" s="1">
        <f t="shared" si="4"/>
        <v>2</v>
      </c>
      <c r="D50" s="1">
        <f t="shared" si="5"/>
        <v>18</v>
      </c>
      <c r="E50" s="1">
        <f t="shared" si="6"/>
        <v>2020</v>
      </c>
      <c r="F50" s="1">
        <v>49</v>
      </c>
      <c r="G50" s="1">
        <v>235</v>
      </c>
      <c r="H50" s="1">
        <v>230</v>
      </c>
      <c r="I50" s="2">
        <v>0.97870000000000001</v>
      </c>
      <c r="J50" s="1">
        <v>5</v>
      </c>
      <c r="K50" s="3">
        <v>5.7870370370370373E-5</v>
      </c>
      <c r="L50" s="3">
        <v>1.6087962962962963E-3</v>
      </c>
      <c r="M50" s="3">
        <v>6.7129629629629625E-4</v>
      </c>
      <c r="N50" s="2">
        <v>0.96140000000000003</v>
      </c>
      <c r="O50" s="5">
        <f t="shared" si="0"/>
        <v>0.37002314814814813</v>
      </c>
      <c r="P50" s="5">
        <f t="shared" si="1"/>
        <v>22.201388888888889</v>
      </c>
      <c r="Q50" s="5">
        <f t="shared" si="2"/>
        <v>0.37806712962962963</v>
      </c>
      <c r="R50" s="5">
        <f t="shared" si="3"/>
        <v>22.684027777777779</v>
      </c>
    </row>
    <row r="51" spans="1:18">
      <c r="A51" s="4">
        <v>43880</v>
      </c>
      <c r="B51" s="1" t="s">
        <v>18</v>
      </c>
      <c r="C51" s="1">
        <f t="shared" si="4"/>
        <v>2</v>
      </c>
      <c r="D51" s="1">
        <f t="shared" si="5"/>
        <v>19</v>
      </c>
      <c r="E51" s="1">
        <f t="shared" si="6"/>
        <v>2020</v>
      </c>
      <c r="F51" s="1">
        <v>50</v>
      </c>
      <c r="G51" s="1">
        <v>215</v>
      </c>
      <c r="H51" s="1">
        <v>212</v>
      </c>
      <c r="I51" s="2">
        <v>0.98599999999999999</v>
      </c>
      <c r="J51" s="1">
        <v>3</v>
      </c>
      <c r="K51" s="3">
        <v>5.7870370370370373E-5</v>
      </c>
      <c r="L51" s="3">
        <v>1.5509259259259259E-3</v>
      </c>
      <c r="M51" s="3">
        <v>6.7129629629629625E-4</v>
      </c>
      <c r="N51" s="2">
        <v>0.95809999999999995</v>
      </c>
      <c r="O51" s="5">
        <f t="shared" si="0"/>
        <v>0.32879629629629631</v>
      </c>
      <c r="P51" s="5">
        <f t="shared" si="1"/>
        <v>19.727777777777778</v>
      </c>
      <c r="Q51" s="5">
        <f t="shared" si="2"/>
        <v>0.33344907407407404</v>
      </c>
      <c r="R51" s="5">
        <f t="shared" si="3"/>
        <v>20.006944444444443</v>
      </c>
    </row>
    <row r="52" spans="1:18">
      <c r="A52" s="4">
        <v>43881</v>
      </c>
      <c r="B52" s="1" t="s">
        <v>19</v>
      </c>
      <c r="C52" s="1">
        <f t="shared" si="4"/>
        <v>2</v>
      </c>
      <c r="D52" s="1">
        <f t="shared" si="5"/>
        <v>20</v>
      </c>
      <c r="E52" s="1">
        <f t="shared" si="6"/>
        <v>2020</v>
      </c>
      <c r="F52" s="1">
        <v>51</v>
      </c>
      <c r="G52" s="1">
        <v>85</v>
      </c>
      <c r="H52" s="1">
        <v>85</v>
      </c>
      <c r="I52" s="2">
        <v>1</v>
      </c>
      <c r="J52" s="1">
        <v>0</v>
      </c>
      <c r="K52" s="3">
        <v>3.4722222222222222E-5</v>
      </c>
      <c r="L52" s="3">
        <v>1.6898148148148148E-3</v>
      </c>
      <c r="M52" s="3">
        <v>6.3657407407407413E-4</v>
      </c>
      <c r="N52" s="2">
        <v>0.97650000000000003</v>
      </c>
      <c r="O52" s="5">
        <f t="shared" si="0"/>
        <v>0.14363425925925927</v>
      </c>
      <c r="P52" s="5">
        <f t="shared" si="1"/>
        <v>8.6180555555555554</v>
      </c>
      <c r="Q52" s="5">
        <f t="shared" si="2"/>
        <v>0.14363425925925927</v>
      </c>
      <c r="R52" s="5">
        <f t="shared" si="3"/>
        <v>8.6180555555555554</v>
      </c>
    </row>
    <row r="53" spans="1:18">
      <c r="A53" s="4">
        <v>43882</v>
      </c>
      <c r="B53" s="1" t="s">
        <v>20</v>
      </c>
      <c r="C53" s="1">
        <f t="shared" si="4"/>
        <v>2</v>
      </c>
      <c r="D53" s="1">
        <f t="shared" si="5"/>
        <v>21</v>
      </c>
      <c r="E53" s="1">
        <f t="shared" si="6"/>
        <v>2020</v>
      </c>
      <c r="F53" s="1">
        <v>52</v>
      </c>
      <c r="G53" s="1">
        <v>195</v>
      </c>
      <c r="H53" s="1">
        <v>195</v>
      </c>
      <c r="I53" s="2">
        <v>1</v>
      </c>
      <c r="J53" s="1">
        <v>0</v>
      </c>
      <c r="K53" s="3">
        <v>5.7870370370370373E-5</v>
      </c>
      <c r="L53" s="3">
        <v>1.6666666666666668E-3</v>
      </c>
      <c r="M53" s="3">
        <v>1.5393518518518519E-3</v>
      </c>
      <c r="N53" s="2">
        <v>0.97440000000000004</v>
      </c>
      <c r="O53" s="5">
        <f t="shared" si="0"/>
        <v>0.32500000000000001</v>
      </c>
      <c r="P53" s="5">
        <f t="shared" si="1"/>
        <v>19.5</v>
      </c>
      <c r="Q53" s="5">
        <f t="shared" si="2"/>
        <v>0.32500000000000001</v>
      </c>
      <c r="R53" s="5">
        <f t="shared" si="3"/>
        <v>19.5</v>
      </c>
    </row>
    <row r="54" spans="1:18">
      <c r="A54" s="4">
        <v>43883</v>
      </c>
      <c r="B54" s="1" t="s">
        <v>21</v>
      </c>
      <c r="C54" s="1">
        <f t="shared" si="4"/>
        <v>2</v>
      </c>
      <c r="D54" s="1">
        <f t="shared" si="5"/>
        <v>22</v>
      </c>
      <c r="E54" s="1">
        <f t="shared" si="6"/>
        <v>2020</v>
      </c>
      <c r="F54" s="1">
        <v>53</v>
      </c>
      <c r="G54" s="1">
        <v>188</v>
      </c>
      <c r="H54" s="1">
        <v>182</v>
      </c>
      <c r="I54" s="2">
        <v>0.96809999999999996</v>
      </c>
      <c r="J54" s="1">
        <v>6</v>
      </c>
      <c r="K54" s="3">
        <v>1.7361111111111112E-4</v>
      </c>
      <c r="L54" s="3">
        <v>1.5509259259259259E-3</v>
      </c>
      <c r="M54" s="3">
        <v>1.2847222222222223E-3</v>
      </c>
      <c r="N54" s="2">
        <v>0.83609999999999995</v>
      </c>
      <c r="O54" s="5">
        <f t="shared" si="0"/>
        <v>0.28226851851851853</v>
      </c>
      <c r="P54" s="5">
        <f t="shared" si="1"/>
        <v>16.93611111111111</v>
      </c>
      <c r="Q54" s="5">
        <f t="shared" si="2"/>
        <v>0.29157407407407404</v>
      </c>
      <c r="R54" s="5">
        <f t="shared" si="3"/>
        <v>17.494444444444444</v>
      </c>
    </row>
    <row r="55" spans="1:18">
      <c r="A55" s="4">
        <v>43884</v>
      </c>
      <c r="B55" s="1" t="s">
        <v>22</v>
      </c>
      <c r="C55" s="1">
        <f t="shared" si="4"/>
        <v>2</v>
      </c>
      <c r="D55" s="1">
        <f t="shared" si="5"/>
        <v>23</v>
      </c>
      <c r="E55" s="1">
        <f t="shared" si="6"/>
        <v>2020</v>
      </c>
      <c r="F55" s="1">
        <v>54</v>
      </c>
      <c r="G55" s="1">
        <v>58</v>
      </c>
      <c r="H55" s="1">
        <v>58</v>
      </c>
      <c r="I55" s="2">
        <v>1</v>
      </c>
      <c r="J55" s="1">
        <v>0</v>
      </c>
      <c r="K55" s="3">
        <v>6.9444444444444444E-5</v>
      </c>
      <c r="L55" s="3">
        <v>1.6435185185185185E-3</v>
      </c>
      <c r="M55" s="3">
        <v>6.018518518518519E-4</v>
      </c>
      <c r="N55" s="2">
        <v>0.94830000000000003</v>
      </c>
      <c r="O55" s="5">
        <f t="shared" si="0"/>
        <v>9.5324074074074075E-2</v>
      </c>
      <c r="P55" s="5">
        <f t="shared" si="1"/>
        <v>5.7194444444444441</v>
      </c>
      <c r="Q55" s="5">
        <f t="shared" si="2"/>
        <v>9.5324074074074075E-2</v>
      </c>
      <c r="R55" s="5">
        <f t="shared" si="3"/>
        <v>5.7194444444444441</v>
      </c>
    </row>
    <row r="56" spans="1:18">
      <c r="A56" s="4">
        <v>43885</v>
      </c>
      <c r="B56" s="1" t="s">
        <v>23</v>
      </c>
      <c r="C56" s="1">
        <f t="shared" si="4"/>
        <v>2</v>
      </c>
      <c r="D56" s="1">
        <f t="shared" si="5"/>
        <v>24</v>
      </c>
      <c r="E56" s="1">
        <f t="shared" si="6"/>
        <v>2020</v>
      </c>
      <c r="F56" s="1">
        <v>55</v>
      </c>
      <c r="G56" s="1">
        <v>251</v>
      </c>
      <c r="H56" s="1">
        <v>247</v>
      </c>
      <c r="I56" s="2">
        <v>0.98409999999999997</v>
      </c>
      <c r="J56" s="1">
        <v>4</v>
      </c>
      <c r="K56" s="3">
        <v>1.6203703703703703E-4</v>
      </c>
      <c r="L56" s="3">
        <v>1.5740740740740741E-3</v>
      </c>
      <c r="M56" s="3">
        <v>1.3078703703703703E-3</v>
      </c>
      <c r="N56" s="2">
        <v>0.83530000000000004</v>
      </c>
      <c r="O56" s="5">
        <f t="shared" si="0"/>
        <v>0.38879629629629631</v>
      </c>
      <c r="P56" s="5">
        <f t="shared" si="1"/>
        <v>23.327777777777779</v>
      </c>
      <c r="Q56" s="5">
        <f t="shared" si="2"/>
        <v>0.39509259259259261</v>
      </c>
      <c r="R56" s="5">
        <f t="shared" si="3"/>
        <v>23.705555555555556</v>
      </c>
    </row>
    <row r="57" spans="1:18">
      <c r="A57" s="4">
        <v>43886</v>
      </c>
      <c r="B57" s="1" t="s">
        <v>24</v>
      </c>
      <c r="C57" s="1">
        <f t="shared" si="4"/>
        <v>2</v>
      </c>
      <c r="D57" s="1">
        <f t="shared" si="5"/>
        <v>25</v>
      </c>
      <c r="E57" s="1">
        <f t="shared" si="6"/>
        <v>2020</v>
      </c>
      <c r="F57" s="1">
        <v>56</v>
      </c>
      <c r="G57" s="1">
        <v>181</v>
      </c>
      <c r="H57" s="1">
        <v>178</v>
      </c>
      <c r="I57" s="2">
        <v>0.98340000000000005</v>
      </c>
      <c r="J57" s="1">
        <v>3</v>
      </c>
      <c r="K57" s="3">
        <v>1.3888888888888889E-4</v>
      </c>
      <c r="L57" s="3">
        <v>1.6666666666666668E-3</v>
      </c>
      <c r="M57" s="3">
        <v>1.3541666666666667E-3</v>
      </c>
      <c r="N57" s="2">
        <v>0.8619</v>
      </c>
      <c r="O57" s="5">
        <f t="shared" si="0"/>
        <v>0.29666666666666669</v>
      </c>
      <c r="P57" s="5">
        <f t="shared" si="1"/>
        <v>17.8</v>
      </c>
      <c r="Q57" s="5">
        <f t="shared" si="2"/>
        <v>0.30166666666666669</v>
      </c>
      <c r="R57" s="5">
        <f t="shared" si="3"/>
        <v>18.100000000000001</v>
      </c>
    </row>
    <row r="58" spans="1:18">
      <c r="A58" s="4">
        <v>43887</v>
      </c>
      <c r="B58" s="1" t="s">
        <v>18</v>
      </c>
      <c r="C58" s="1">
        <f t="shared" si="4"/>
        <v>2</v>
      </c>
      <c r="D58" s="1">
        <f t="shared" si="5"/>
        <v>26</v>
      </c>
      <c r="E58" s="1">
        <f t="shared" si="6"/>
        <v>2020</v>
      </c>
      <c r="F58" s="1">
        <v>57</v>
      </c>
      <c r="G58" s="1">
        <v>228</v>
      </c>
      <c r="H58" s="1">
        <v>213</v>
      </c>
      <c r="I58" s="2">
        <v>0.93420000000000003</v>
      </c>
      <c r="J58" s="1">
        <v>15</v>
      </c>
      <c r="K58" s="3">
        <v>3.0092592592592595E-4</v>
      </c>
      <c r="L58" s="3">
        <v>1.5740740740740741E-3</v>
      </c>
      <c r="M58" s="3">
        <v>2.1643518518518518E-3</v>
      </c>
      <c r="N58" s="2">
        <v>0.63560000000000005</v>
      </c>
      <c r="O58" s="5">
        <f t="shared" si="0"/>
        <v>0.33527777777777779</v>
      </c>
      <c r="P58" s="5">
        <f t="shared" si="1"/>
        <v>20.116666666666667</v>
      </c>
      <c r="Q58" s="5">
        <f t="shared" si="2"/>
        <v>0.35888888888888887</v>
      </c>
      <c r="R58" s="5">
        <f t="shared" si="3"/>
        <v>21.533333333333331</v>
      </c>
    </row>
    <row r="59" spans="1:18">
      <c r="A59" s="4">
        <v>43888</v>
      </c>
      <c r="B59" s="1" t="s">
        <v>19</v>
      </c>
      <c r="C59" s="1">
        <f t="shared" si="4"/>
        <v>2</v>
      </c>
      <c r="D59" s="1">
        <f t="shared" si="5"/>
        <v>27</v>
      </c>
      <c r="E59" s="1">
        <f t="shared" si="6"/>
        <v>2020</v>
      </c>
      <c r="F59" s="1">
        <v>58</v>
      </c>
      <c r="G59" s="1">
        <v>165</v>
      </c>
      <c r="H59" s="1">
        <v>163</v>
      </c>
      <c r="I59" s="2">
        <v>0.9879</v>
      </c>
      <c r="J59" s="1">
        <v>2</v>
      </c>
      <c r="K59" s="3">
        <v>1.0416666666666667E-4</v>
      </c>
      <c r="L59" s="3">
        <v>1.6782407407407408E-3</v>
      </c>
      <c r="M59" s="3">
        <v>1.6203703703703703E-3</v>
      </c>
      <c r="N59" s="2">
        <v>0.90239999999999998</v>
      </c>
      <c r="O59" s="5">
        <f t="shared" si="0"/>
        <v>0.27355324074074072</v>
      </c>
      <c r="P59" s="5">
        <f t="shared" si="1"/>
        <v>16.413194444444443</v>
      </c>
      <c r="Q59" s="5">
        <f t="shared" si="2"/>
        <v>0.27690972222222221</v>
      </c>
      <c r="R59" s="5">
        <f t="shared" si="3"/>
        <v>16.614583333333332</v>
      </c>
    </row>
    <row r="60" spans="1:18">
      <c r="A60" s="4">
        <v>43889</v>
      </c>
      <c r="B60" s="1" t="s">
        <v>20</v>
      </c>
      <c r="C60" s="1">
        <f t="shared" si="4"/>
        <v>2</v>
      </c>
      <c r="D60" s="1">
        <f t="shared" si="5"/>
        <v>28</v>
      </c>
      <c r="E60" s="1">
        <f t="shared" si="6"/>
        <v>2020</v>
      </c>
      <c r="F60" s="1">
        <v>59</v>
      </c>
      <c r="G60" s="1">
        <v>185</v>
      </c>
      <c r="H60" s="1">
        <v>179</v>
      </c>
      <c r="I60" s="2">
        <v>0.96760000000000002</v>
      </c>
      <c r="J60" s="1">
        <v>6</v>
      </c>
      <c r="K60" s="3">
        <v>1.9675925925925926E-4</v>
      </c>
      <c r="L60" s="3">
        <v>1.5856481481481481E-3</v>
      </c>
      <c r="M60" s="3">
        <v>1.7708333333333332E-3</v>
      </c>
      <c r="N60" s="2">
        <v>0.78569999999999995</v>
      </c>
      <c r="O60" s="5">
        <f t="shared" si="0"/>
        <v>0.2838310185185185</v>
      </c>
      <c r="P60" s="5">
        <f t="shared" si="1"/>
        <v>17.02986111111111</v>
      </c>
      <c r="Q60" s="5">
        <f t="shared" si="2"/>
        <v>0.29334490740740737</v>
      </c>
      <c r="R60" s="5">
        <f t="shared" si="3"/>
        <v>17.600694444444443</v>
      </c>
    </row>
    <row r="61" spans="1:18">
      <c r="A61" s="4">
        <v>43890</v>
      </c>
      <c r="B61" s="1" t="s">
        <v>21</v>
      </c>
      <c r="C61" s="1">
        <f t="shared" si="4"/>
        <v>2</v>
      </c>
      <c r="D61" s="1">
        <f t="shared" si="5"/>
        <v>29</v>
      </c>
      <c r="E61" s="1">
        <f t="shared" si="6"/>
        <v>2020</v>
      </c>
      <c r="F61" s="1">
        <v>60</v>
      </c>
      <c r="G61" s="1">
        <v>172</v>
      </c>
      <c r="H61" s="1">
        <v>164</v>
      </c>
      <c r="I61" s="2">
        <v>0.95350000000000001</v>
      </c>
      <c r="J61" s="1">
        <v>8</v>
      </c>
      <c r="K61" s="3">
        <v>2.0833333333333335E-4</v>
      </c>
      <c r="L61" s="3">
        <v>1.7013888888888888E-3</v>
      </c>
      <c r="M61" s="3">
        <v>2.8819444444444444E-3</v>
      </c>
      <c r="N61" s="2">
        <v>0.77059999999999995</v>
      </c>
      <c r="O61" s="5">
        <f t="shared" si="0"/>
        <v>0.27902777777777776</v>
      </c>
      <c r="P61" s="5">
        <f t="shared" si="1"/>
        <v>16.741666666666667</v>
      </c>
      <c r="Q61" s="5">
        <f t="shared" si="2"/>
        <v>0.29263888888888889</v>
      </c>
      <c r="R61" s="5">
        <f t="shared" si="3"/>
        <v>17.558333333333334</v>
      </c>
    </row>
    <row r="62" spans="1:18">
      <c r="A62" s="4">
        <v>43891</v>
      </c>
      <c r="B62" s="1" t="s">
        <v>22</v>
      </c>
      <c r="C62" s="1">
        <f t="shared" si="4"/>
        <v>3</v>
      </c>
      <c r="D62" s="1">
        <f t="shared" si="5"/>
        <v>1</v>
      </c>
      <c r="E62" s="1">
        <f t="shared" si="6"/>
        <v>2020</v>
      </c>
      <c r="F62" s="1">
        <v>61</v>
      </c>
      <c r="G62" s="1">
        <v>57</v>
      </c>
      <c r="H62" s="1">
        <v>51</v>
      </c>
      <c r="I62" s="2">
        <v>0.89470000000000005</v>
      </c>
      <c r="J62" s="1">
        <v>6</v>
      </c>
      <c r="K62" s="3">
        <v>8.1018518518518516E-5</v>
      </c>
      <c r="L62" s="3">
        <v>1.238425925925926E-3</v>
      </c>
      <c r="M62" s="3">
        <v>2.5462962962962965E-3</v>
      </c>
      <c r="N62" s="2">
        <v>0.90569999999999995</v>
      </c>
      <c r="O62" s="5">
        <f t="shared" si="0"/>
        <v>6.3159722222222228E-2</v>
      </c>
      <c r="P62" s="5">
        <f t="shared" si="1"/>
        <v>3.7895833333333337</v>
      </c>
      <c r="Q62" s="5">
        <f t="shared" si="2"/>
        <v>7.059027777777778E-2</v>
      </c>
      <c r="R62" s="5">
        <f t="shared" si="3"/>
        <v>4.2354166666666666</v>
      </c>
    </row>
    <row r="63" spans="1:18">
      <c r="A63" s="4">
        <v>43892</v>
      </c>
      <c r="B63" s="1" t="s">
        <v>23</v>
      </c>
      <c r="C63" s="1">
        <f t="shared" si="4"/>
        <v>3</v>
      </c>
      <c r="D63" s="1">
        <f t="shared" si="5"/>
        <v>2</v>
      </c>
      <c r="E63" s="1">
        <f t="shared" si="6"/>
        <v>2020</v>
      </c>
      <c r="F63" s="1">
        <v>62</v>
      </c>
      <c r="G63" s="1">
        <v>200</v>
      </c>
      <c r="H63" s="1">
        <v>192</v>
      </c>
      <c r="I63" s="2">
        <v>0.96</v>
      </c>
      <c r="J63" s="1">
        <v>8</v>
      </c>
      <c r="K63" s="3">
        <v>1.1574074074074075E-4</v>
      </c>
      <c r="L63" s="3">
        <v>1.5972222222222223E-3</v>
      </c>
      <c r="M63" s="3">
        <v>1.9560185185185184E-3</v>
      </c>
      <c r="N63" s="2">
        <v>0.86429999999999996</v>
      </c>
      <c r="O63" s="5">
        <f t="shared" si="0"/>
        <v>0.3066666666666667</v>
      </c>
      <c r="P63" s="5">
        <f t="shared" si="1"/>
        <v>18.400000000000002</v>
      </c>
      <c r="Q63" s="5">
        <f t="shared" si="2"/>
        <v>0.31944444444444448</v>
      </c>
      <c r="R63" s="5">
        <f t="shared" si="3"/>
        <v>19.166666666666668</v>
      </c>
    </row>
    <row r="64" spans="1:18">
      <c r="A64" s="4">
        <v>43893</v>
      </c>
      <c r="B64" s="1" t="s">
        <v>24</v>
      </c>
      <c r="C64" s="1">
        <f t="shared" si="4"/>
        <v>3</v>
      </c>
      <c r="D64" s="1">
        <f t="shared" si="5"/>
        <v>3</v>
      </c>
      <c r="E64" s="1">
        <f t="shared" si="6"/>
        <v>2020</v>
      </c>
      <c r="F64" s="1">
        <v>63</v>
      </c>
      <c r="G64" s="1">
        <v>202</v>
      </c>
      <c r="H64" s="1">
        <v>199</v>
      </c>
      <c r="I64" s="2">
        <v>0.98509999999999998</v>
      </c>
      <c r="J64" s="1">
        <v>3</v>
      </c>
      <c r="K64" s="3">
        <v>9.2592592592592588E-5</v>
      </c>
      <c r="L64" s="3">
        <v>1.4467592592592592E-3</v>
      </c>
      <c r="M64" s="3">
        <v>8.9120370370370373E-4</v>
      </c>
      <c r="N64" s="2">
        <v>0.91</v>
      </c>
      <c r="O64" s="5">
        <f t="shared" si="0"/>
        <v>0.28790509259259256</v>
      </c>
      <c r="P64" s="5">
        <f t="shared" si="1"/>
        <v>17.274305555555554</v>
      </c>
      <c r="Q64" s="5">
        <f t="shared" si="2"/>
        <v>0.29224537037037035</v>
      </c>
      <c r="R64" s="5">
        <f t="shared" si="3"/>
        <v>17.534722222222221</v>
      </c>
    </row>
    <row r="65" spans="1:18">
      <c r="A65" s="4">
        <v>43894</v>
      </c>
      <c r="B65" s="1" t="s">
        <v>18</v>
      </c>
      <c r="C65" s="1">
        <f t="shared" si="4"/>
        <v>3</v>
      </c>
      <c r="D65" s="1">
        <f t="shared" si="5"/>
        <v>4</v>
      </c>
      <c r="E65" s="1">
        <f t="shared" si="6"/>
        <v>2020</v>
      </c>
      <c r="F65" s="1">
        <v>64</v>
      </c>
      <c r="G65" s="1">
        <v>217</v>
      </c>
      <c r="H65" s="1">
        <v>212</v>
      </c>
      <c r="I65" s="2">
        <v>0.97699999999999998</v>
      </c>
      <c r="J65" s="1">
        <v>5</v>
      </c>
      <c r="K65" s="3">
        <v>8.1018518518518516E-5</v>
      </c>
      <c r="L65" s="3">
        <v>1.3310185185185185E-3</v>
      </c>
      <c r="M65" s="3">
        <v>1.2731481481481483E-3</v>
      </c>
      <c r="N65" s="2">
        <v>0.94420000000000004</v>
      </c>
      <c r="O65" s="5">
        <f t="shared" si="0"/>
        <v>0.28217592592592594</v>
      </c>
      <c r="P65" s="5">
        <f t="shared" si="1"/>
        <v>16.930555555555557</v>
      </c>
      <c r="Q65" s="5">
        <f t="shared" si="2"/>
        <v>0.2888310185185185</v>
      </c>
      <c r="R65" s="5">
        <f t="shared" si="3"/>
        <v>17.329861111111111</v>
      </c>
    </row>
    <row r="66" spans="1:18">
      <c r="A66" s="4">
        <v>43895</v>
      </c>
      <c r="B66" s="1" t="s">
        <v>19</v>
      </c>
      <c r="C66" s="1">
        <f t="shared" si="4"/>
        <v>3</v>
      </c>
      <c r="D66" s="1">
        <f t="shared" si="5"/>
        <v>5</v>
      </c>
      <c r="E66" s="1">
        <f t="shared" si="6"/>
        <v>2020</v>
      </c>
      <c r="F66" s="1">
        <v>65</v>
      </c>
      <c r="G66" s="1">
        <v>225</v>
      </c>
      <c r="H66" s="1">
        <v>223</v>
      </c>
      <c r="I66" s="2">
        <v>0.99109999999999998</v>
      </c>
      <c r="J66" s="1">
        <v>2</v>
      </c>
      <c r="K66" s="3">
        <v>1.0416666666666667E-4</v>
      </c>
      <c r="L66" s="3">
        <v>1.4930555555555556E-3</v>
      </c>
      <c r="M66" s="3">
        <v>7.6388888888888893E-4</v>
      </c>
      <c r="N66" s="2">
        <v>0.91930000000000001</v>
      </c>
      <c r="O66" s="5">
        <f t="shared" si="0"/>
        <v>0.33295138888888892</v>
      </c>
      <c r="P66" s="5">
        <f t="shared" si="1"/>
        <v>19.977083333333336</v>
      </c>
      <c r="Q66" s="5">
        <f t="shared" si="2"/>
        <v>0.3359375</v>
      </c>
      <c r="R66" s="5">
        <f t="shared" si="3"/>
        <v>20.15625</v>
      </c>
    </row>
    <row r="67" spans="1:18">
      <c r="A67" s="4">
        <v>43896</v>
      </c>
      <c r="B67" s="1" t="s">
        <v>20</v>
      </c>
      <c r="C67" s="1">
        <f t="shared" ref="C67:C130" si="7">MONTH(A67)</f>
        <v>3</v>
      </c>
      <c r="D67" s="1">
        <f t="shared" ref="D67:D130" si="8">DAY(A67)</f>
        <v>6</v>
      </c>
      <c r="E67" s="1">
        <f t="shared" ref="E67:E130" si="9">YEAR(A67)</f>
        <v>2020</v>
      </c>
      <c r="F67" s="1">
        <v>66</v>
      </c>
      <c r="G67" s="1">
        <v>235</v>
      </c>
      <c r="H67" s="1">
        <v>231</v>
      </c>
      <c r="I67" s="2">
        <v>0.98299999999999998</v>
      </c>
      <c r="J67" s="1">
        <v>4</v>
      </c>
      <c r="K67" s="3">
        <v>9.2592592592592588E-5</v>
      </c>
      <c r="L67" s="3">
        <v>1.6087962962962963E-3</v>
      </c>
      <c r="M67" s="3">
        <v>7.6388888888888893E-4</v>
      </c>
      <c r="N67" s="2">
        <v>0.95709999999999995</v>
      </c>
      <c r="O67" s="5">
        <f t="shared" si="0"/>
        <v>0.37163194444444447</v>
      </c>
      <c r="P67" s="5">
        <f t="shared" si="1"/>
        <v>22.297916666666669</v>
      </c>
      <c r="Q67" s="5">
        <f t="shared" si="2"/>
        <v>0.37806712962962963</v>
      </c>
      <c r="R67" s="5">
        <f t="shared" si="3"/>
        <v>22.684027777777779</v>
      </c>
    </row>
    <row r="68" spans="1:18">
      <c r="A68" s="4">
        <v>43897</v>
      </c>
      <c r="B68" s="1" t="s">
        <v>21</v>
      </c>
      <c r="C68" s="1">
        <f t="shared" si="7"/>
        <v>3</v>
      </c>
      <c r="D68" s="1">
        <f t="shared" si="8"/>
        <v>7</v>
      </c>
      <c r="E68" s="1">
        <f t="shared" si="9"/>
        <v>2020</v>
      </c>
      <c r="F68" s="1">
        <v>67</v>
      </c>
      <c r="G68" s="1">
        <v>202</v>
      </c>
      <c r="H68" s="1">
        <v>201</v>
      </c>
      <c r="I68" s="2">
        <v>0.995</v>
      </c>
      <c r="J68" s="1">
        <v>1</v>
      </c>
      <c r="K68" s="3">
        <v>9.2592592592592588E-5</v>
      </c>
      <c r="L68" s="3">
        <v>1.6319444444444445E-3</v>
      </c>
      <c r="M68" s="3">
        <v>1.3078703703703703E-3</v>
      </c>
      <c r="N68" s="2">
        <v>0.94550000000000001</v>
      </c>
      <c r="O68" s="5">
        <f t="shared" si="0"/>
        <v>0.32802083333333337</v>
      </c>
      <c r="P68" s="5">
        <f t="shared" si="1"/>
        <v>19.681250000000002</v>
      </c>
      <c r="Q68" s="5">
        <f t="shared" si="2"/>
        <v>0.32965277777777779</v>
      </c>
      <c r="R68" s="5">
        <f t="shared" si="3"/>
        <v>19.779166666666669</v>
      </c>
    </row>
    <row r="69" spans="1:18">
      <c r="A69" s="4">
        <v>43898</v>
      </c>
      <c r="B69" s="1" t="s">
        <v>22</v>
      </c>
      <c r="C69" s="1">
        <f t="shared" si="7"/>
        <v>3</v>
      </c>
      <c r="D69" s="1">
        <f t="shared" si="8"/>
        <v>8</v>
      </c>
      <c r="E69" s="1">
        <f t="shared" si="9"/>
        <v>2020</v>
      </c>
      <c r="F69" s="1">
        <v>68</v>
      </c>
      <c r="G69" s="1">
        <v>43</v>
      </c>
      <c r="H69" s="1">
        <v>39</v>
      </c>
      <c r="I69" s="2">
        <v>0.90700000000000003</v>
      </c>
      <c r="J69" s="1">
        <v>4</v>
      </c>
      <c r="K69" s="3">
        <v>1.273148148148148E-4</v>
      </c>
      <c r="L69" s="3">
        <v>1.5625000000000001E-3</v>
      </c>
      <c r="M69" s="3">
        <v>1.2731481481481483E-3</v>
      </c>
      <c r="N69" s="2">
        <v>0.76190000000000002</v>
      </c>
      <c r="O69" s="5">
        <f t="shared" si="0"/>
        <v>6.0937500000000006E-2</v>
      </c>
      <c r="P69" s="5">
        <f t="shared" si="1"/>
        <v>3.6562500000000004</v>
      </c>
      <c r="Q69" s="5">
        <f t="shared" si="2"/>
        <v>6.7187499999999997E-2</v>
      </c>
      <c r="R69" s="5">
        <f t="shared" si="3"/>
        <v>4.03125</v>
      </c>
    </row>
    <row r="70" spans="1:18">
      <c r="A70" s="4">
        <v>43899</v>
      </c>
      <c r="B70" s="1" t="s">
        <v>23</v>
      </c>
      <c r="C70" s="1">
        <f t="shared" si="7"/>
        <v>3</v>
      </c>
      <c r="D70" s="1">
        <f t="shared" si="8"/>
        <v>9</v>
      </c>
      <c r="E70" s="1">
        <f t="shared" si="9"/>
        <v>2020</v>
      </c>
      <c r="F70" s="1">
        <v>69</v>
      </c>
      <c r="G70" s="1">
        <v>194</v>
      </c>
      <c r="H70" s="1">
        <v>187</v>
      </c>
      <c r="I70" s="2">
        <v>0.96389999999999998</v>
      </c>
      <c r="J70" s="1">
        <v>7</v>
      </c>
      <c r="K70" s="3">
        <v>1.1574074074074075E-4</v>
      </c>
      <c r="L70" s="3">
        <v>1.7013888888888888E-3</v>
      </c>
      <c r="M70" s="3">
        <v>1.736111111111111E-3</v>
      </c>
      <c r="N70" s="2">
        <v>0.87429999999999997</v>
      </c>
      <c r="O70" s="5">
        <f t="shared" si="0"/>
        <v>0.31815972222222222</v>
      </c>
      <c r="P70" s="5">
        <f t="shared" si="1"/>
        <v>19.089583333333334</v>
      </c>
      <c r="Q70" s="5">
        <f t="shared" si="2"/>
        <v>0.33006944444444442</v>
      </c>
      <c r="R70" s="5">
        <f t="shared" si="3"/>
        <v>19.804166666666664</v>
      </c>
    </row>
    <row r="71" spans="1:18">
      <c r="A71" s="4">
        <v>43900</v>
      </c>
      <c r="B71" s="1" t="s">
        <v>24</v>
      </c>
      <c r="C71" s="1">
        <f t="shared" si="7"/>
        <v>3</v>
      </c>
      <c r="D71" s="1">
        <f t="shared" si="8"/>
        <v>10</v>
      </c>
      <c r="E71" s="1">
        <f t="shared" si="9"/>
        <v>2020</v>
      </c>
      <c r="F71" s="1">
        <v>70</v>
      </c>
      <c r="G71" s="1">
        <v>202</v>
      </c>
      <c r="H71" s="1">
        <v>199</v>
      </c>
      <c r="I71" s="2">
        <v>0.98509999999999998</v>
      </c>
      <c r="J71" s="1">
        <v>3</v>
      </c>
      <c r="K71" s="3">
        <v>1.5046296296296297E-4</v>
      </c>
      <c r="L71" s="3">
        <v>1.6550925925925926E-3</v>
      </c>
      <c r="M71" s="3">
        <v>1.3657407407407407E-3</v>
      </c>
      <c r="N71" s="2">
        <v>0.86070000000000002</v>
      </c>
      <c r="O71" s="5">
        <f t="shared" si="0"/>
        <v>0.32936342592592593</v>
      </c>
      <c r="P71" s="5">
        <f t="shared" si="1"/>
        <v>19.761805555555554</v>
      </c>
      <c r="Q71" s="5">
        <f t="shared" si="2"/>
        <v>0.33432870370370371</v>
      </c>
      <c r="R71" s="5">
        <f t="shared" si="3"/>
        <v>20.059722222222224</v>
      </c>
    </row>
    <row r="72" spans="1:18">
      <c r="A72" s="4">
        <v>43901</v>
      </c>
      <c r="B72" s="1" t="s">
        <v>18</v>
      </c>
      <c r="C72" s="1">
        <f t="shared" si="7"/>
        <v>3</v>
      </c>
      <c r="D72" s="1">
        <f t="shared" si="8"/>
        <v>11</v>
      </c>
      <c r="E72" s="1">
        <f t="shared" si="9"/>
        <v>2020</v>
      </c>
      <c r="F72" s="1">
        <v>71</v>
      </c>
      <c r="G72" s="1">
        <v>146</v>
      </c>
      <c r="H72" s="1">
        <v>140</v>
      </c>
      <c r="I72" s="2">
        <v>0.95889999999999997</v>
      </c>
      <c r="J72" s="1">
        <v>6</v>
      </c>
      <c r="K72" s="3">
        <v>1.3888888888888889E-4</v>
      </c>
      <c r="L72" s="3">
        <v>1.5393518518518519E-3</v>
      </c>
      <c r="M72" s="3">
        <v>3.1828703703703702E-3</v>
      </c>
      <c r="N72" s="2">
        <v>0.83450000000000002</v>
      </c>
      <c r="O72" s="5">
        <f t="shared" si="0"/>
        <v>0.21550925925925926</v>
      </c>
      <c r="P72" s="5">
        <f t="shared" si="1"/>
        <v>12.930555555555555</v>
      </c>
      <c r="Q72" s="5">
        <f t="shared" si="2"/>
        <v>0.22474537037037037</v>
      </c>
      <c r="R72" s="5">
        <f t="shared" si="3"/>
        <v>13.484722222222222</v>
      </c>
    </row>
    <row r="73" spans="1:18">
      <c r="A73" s="4">
        <v>43902</v>
      </c>
      <c r="B73" s="1" t="s">
        <v>19</v>
      </c>
      <c r="C73" s="1">
        <f t="shared" si="7"/>
        <v>3</v>
      </c>
      <c r="D73" s="1">
        <f t="shared" si="8"/>
        <v>12</v>
      </c>
      <c r="E73" s="1">
        <f t="shared" si="9"/>
        <v>2020</v>
      </c>
      <c r="F73" s="1">
        <v>72</v>
      </c>
      <c r="G73" s="1">
        <v>147</v>
      </c>
      <c r="H73" s="1">
        <v>145</v>
      </c>
      <c r="I73" s="2">
        <v>0.98640000000000005</v>
      </c>
      <c r="J73" s="1">
        <v>2</v>
      </c>
      <c r="K73" s="3">
        <v>1.0416666666666667E-4</v>
      </c>
      <c r="L73" s="3">
        <v>1.5625000000000001E-3</v>
      </c>
      <c r="M73" s="3">
        <v>6.7129629629629625E-4</v>
      </c>
      <c r="N73" s="2">
        <v>0.91159999999999997</v>
      </c>
      <c r="O73" s="5">
        <f t="shared" si="0"/>
        <v>0.2265625</v>
      </c>
      <c r="P73" s="5">
        <f t="shared" si="1"/>
        <v>13.59375</v>
      </c>
      <c r="Q73" s="5">
        <f t="shared" si="2"/>
        <v>0.22968750000000002</v>
      </c>
      <c r="R73" s="5">
        <f t="shared" si="3"/>
        <v>13.781250000000002</v>
      </c>
    </row>
    <row r="74" spans="1:18">
      <c r="A74" s="4">
        <v>43903</v>
      </c>
      <c r="B74" s="1" t="s">
        <v>20</v>
      </c>
      <c r="C74" s="1">
        <f t="shared" si="7"/>
        <v>3</v>
      </c>
      <c r="D74" s="1">
        <f t="shared" si="8"/>
        <v>13</v>
      </c>
      <c r="E74" s="1">
        <f t="shared" si="9"/>
        <v>2020</v>
      </c>
      <c r="F74" s="1">
        <v>73</v>
      </c>
      <c r="G74" s="1">
        <v>155</v>
      </c>
      <c r="H74" s="1">
        <v>145</v>
      </c>
      <c r="I74" s="2">
        <v>0.9355</v>
      </c>
      <c r="J74" s="1">
        <v>10</v>
      </c>
      <c r="K74" s="3">
        <v>1.3888888888888889E-4</v>
      </c>
      <c r="L74" s="3">
        <v>1.7708333333333332E-3</v>
      </c>
      <c r="M74" s="3">
        <v>3.1597222222222222E-3</v>
      </c>
      <c r="N74" s="2">
        <v>0.82240000000000002</v>
      </c>
      <c r="O74" s="5">
        <f t="shared" si="0"/>
        <v>0.25677083333333334</v>
      </c>
      <c r="P74" s="5">
        <f t="shared" si="1"/>
        <v>15.40625</v>
      </c>
      <c r="Q74" s="5">
        <f t="shared" si="2"/>
        <v>0.27447916666666666</v>
      </c>
      <c r="R74" s="5">
        <f t="shared" si="3"/>
        <v>16.46875</v>
      </c>
    </row>
    <row r="75" spans="1:18">
      <c r="A75" s="4">
        <v>43904</v>
      </c>
      <c r="B75" s="1" t="s">
        <v>21</v>
      </c>
      <c r="C75" s="1">
        <f t="shared" si="7"/>
        <v>3</v>
      </c>
      <c r="D75" s="1">
        <f t="shared" si="8"/>
        <v>14</v>
      </c>
      <c r="E75" s="1">
        <f t="shared" si="9"/>
        <v>2020</v>
      </c>
      <c r="F75" s="1">
        <v>74</v>
      </c>
      <c r="G75" s="1">
        <v>157</v>
      </c>
      <c r="H75" s="1">
        <v>156</v>
      </c>
      <c r="I75" s="2">
        <v>0.99360000000000004</v>
      </c>
      <c r="J75" s="1">
        <v>1</v>
      </c>
      <c r="K75" s="3">
        <v>1.0416666666666667E-4</v>
      </c>
      <c r="L75" s="3">
        <v>1.6666666666666668E-3</v>
      </c>
      <c r="M75" s="3">
        <v>6.134259259259259E-4</v>
      </c>
      <c r="N75" s="2">
        <v>0.92949999999999999</v>
      </c>
      <c r="O75" s="5">
        <f t="shared" si="0"/>
        <v>0.26</v>
      </c>
      <c r="P75" s="5">
        <f t="shared" si="1"/>
        <v>15.600000000000001</v>
      </c>
      <c r="Q75" s="5">
        <f t="shared" si="2"/>
        <v>0.26166666666666666</v>
      </c>
      <c r="R75" s="5">
        <f t="shared" si="3"/>
        <v>15.7</v>
      </c>
    </row>
    <row r="76" spans="1:18">
      <c r="A76" s="4">
        <v>43905</v>
      </c>
      <c r="B76" s="1" t="s">
        <v>22</v>
      </c>
      <c r="C76" s="1">
        <f t="shared" si="7"/>
        <v>3</v>
      </c>
      <c r="D76" s="1">
        <f t="shared" si="8"/>
        <v>15</v>
      </c>
      <c r="E76" s="1">
        <f t="shared" si="9"/>
        <v>2020</v>
      </c>
      <c r="F76" s="1">
        <v>75</v>
      </c>
      <c r="G76" s="1">
        <v>38</v>
      </c>
      <c r="H76" s="1">
        <v>36</v>
      </c>
      <c r="I76" s="2">
        <v>0.94740000000000002</v>
      </c>
      <c r="J76" s="1">
        <v>2</v>
      </c>
      <c r="K76" s="3">
        <v>1.5046296296296297E-4</v>
      </c>
      <c r="L76" s="3">
        <v>1.5162037037037036E-3</v>
      </c>
      <c r="M76" s="3">
        <v>6.8287037037037036E-4</v>
      </c>
      <c r="N76" s="2">
        <v>0.83779999999999999</v>
      </c>
      <c r="O76" s="5">
        <f t="shared" si="0"/>
        <v>5.4583333333333331E-2</v>
      </c>
      <c r="P76" s="5">
        <f t="shared" si="1"/>
        <v>3.2749999999999999</v>
      </c>
      <c r="Q76" s="5">
        <f t="shared" si="2"/>
        <v>5.7615740740740738E-2</v>
      </c>
      <c r="R76" s="5">
        <f t="shared" si="3"/>
        <v>3.4569444444444444</v>
      </c>
    </row>
    <row r="77" spans="1:18">
      <c r="A77" s="4">
        <v>43906</v>
      </c>
      <c r="B77" s="1" t="s">
        <v>23</v>
      </c>
      <c r="C77" s="1">
        <f t="shared" si="7"/>
        <v>3</v>
      </c>
      <c r="D77" s="1">
        <f t="shared" si="8"/>
        <v>16</v>
      </c>
      <c r="E77" s="1">
        <f t="shared" si="9"/>
        <v>2020</v>
      </c>
      <c r="F77" s="1">
        <v>76</v>
      </c>
      <c r="G77" s="1">
        <v>166</v>
      </c>
      <c r="H77" s="1">
        <v>162</v>
      </c>
      <c r="I77" s="2">
        <v>0.97589999999999999</v>
      </c>
      <c r="J77" s="1">
        <v>4</v>
      </c>
      <c r="K77" s="3">
        <v>1.0416666666666667E-4</v>
      </c>
      <c r="L77" s="3">
        <v>1.724537037037037E-3</v>
      </c>
      <c r="M77" s="3">
        <v>1.9097222222222222E-3</v>
      </c>
      <c r="N77" s="2">
        <v>0.89090000000000003</v>
      </c>
      <c r="O77" s="5">
        <f t="shared" si="0"/>
        <v>0.27937499999999998</v>
      </c>
      <c r="P77" s="5">
        <f t="shared" si="1"/>
        <v>16.762499999999999</v>
      </c>
      <c r="Q77" s="5">
        <f t="shared" si="2"/>
        <v>0.28627314814814814</v>
      </c>
      <c r="R77" s="5">
        <f t="shared" si="3"/>
        <v>17.176388888888887</v>
      </c>
    </row>
    <row r="78" spans="1:18">
      <c r="A78" s="4">
        <v>43907</v>
      </c>
      <c r="B78" s="1" t="s">
        <v>24</v>
      </c>
      <c r="C78" s="1">
        <f t="shared" si="7"/>
        <v>3</v>
      </c>
      <c r="D78" s="1">
        <f t="shared" si="8"/>
        <v>17</v>
      </c>
      <c r="E78" s="1">
        <f t="shared" si="9"/>
        <v>2020</v>
      </c>
      <c r="F78" s="1">
        <v>77</v>
      </c>
      <c r="G78" s="1">
        <v>226</v>
      </c>
      <c r="H78" s="1">
        <v>216</v>
      </c>
      <c r="I78" s="2">
        <v>0.95579999999999998</v>
      </c>
      <c r="J78" s="1">
        <v>10</v>
      </c>
      <c r="K78" s="3">
        <v>1.5046296296296297E-4</v>
      </c>
      <c r="L78" s="3">
        <v>1.5625000000000001E-3</v>
      </c>
      <c r="M78" s="3">
        <v>1.2268518518518518E-3</v>
      </c>
      <c r="N78" s="2">
        <v>0.8145</v>
      </c>
      <c r="O78" s="5">
        <f t="shared" si="0"/>
        <v>0.33750000000000002</v>
      </c>
      <c r="P78" s="5">
        <f t="shared" si="1"/>
        <v>20.25</v>
      </c>
      <c r="Q78" s="5">
        <f t="shared" si="2"/>
        <v>0.35312500000000002</v>
      </c>
      <c r="R78" s="5">
        <f t="shared" si="3"/>
        <v>21.1875</v>
      </c>
    </row>
    <row r="79" spans="1:18">
      <c r="A79" s="4">
        <v>43908</v>
      </c>
      <c r="B79" s="1" t="s">
        <v>18</v>
      </c>
      <c r="C79" s="1">
        <f t="shared" si="7"/>
        <v>3</v>
      </c>
      <c r="D79" s="1">
        <f t="shared" si="8"/>
        <v>18</v>
      </c>
      <c r="E79" s="1">
        <f t="shared" si="9"/>
        <v>2020</v>
      </c>
      <c r="F79" s="1">
        <v>78</v>
      </c>
      <c r="G79" s="1">
        <v>253</v>
      </c>
      <c r="H79" s="1">
        <v>247</v>
      </c>
      <c r="I79" s="2">
        <v>0.97629999999999995</v>
      </c>
      <c r="J79" s="1">
        <v>6</v>
      </c>
      <c r="K79" s="3">
        <v>1.1574074074074075E-4</v>
      </c>
      <c r="L79" s="3">
        <v>1.3194444444444445E-3</v>
      </c>
      <c r="M79" s="3">
        <v>8.9120370370370373E-4</v>
      </c>
      <c r="N79" s="2">
        <v>0.88490000000000002</v>
      </c>
      <c r="O79" s="5">
        <f t="shared" si="0"/>
        <v>0.32590277777777776</v>
      </c>
      <c r="P79" s="5">
        <f t="shared" si="1"/>
        <v>19.554166666666667</v>
      </c>
      <c r="Q79" s="5">
        <f t="shared" si="2"/>
        <v>0.33381944444444445</v>
      </c>
      <c r="R79" s="5">
        <f t="shared" si="3"/>
        <v>20.029166666666669</v>
      </c>
    </row>
    <row r="80" spans="1:18">
      <c r="A80" s="4">
        <v>43909</v>
      </c>
      <c r="B80" s="1" t="s">
        <v>19</v>
      </c>
      <c r="C80" s="1">
        <f t="shared" si="7"/>
        <v>3</v>
      </c>
      <c r="D80" s="1">
        <f t="shared" si="8"/>
        <v>19</v>
      </c>
      <c r="E80" s="1">
        <f t="shared" si="9"/>
        <v>2020</v>
      </c>
      <c r="F80" s="1">
        <v>79</v>
      </c>
      <c r="G80" s="1">
        <v>134</v>
      </c>
      <c r="H80" s="1">
        <v>134</v>
      </c>
      <c r="I80" s="2">
        <v>1</v>
      </c>
      <c r="J80" s="1">
        <v>0</v>
      </c>
      <c r="K80" s="3">
        <v>3.4722222222222222E-5</v>
      </c>
      <c r="L80" s="3">
        <v>1.5393518518518519E-3</v>
      </c>
      <c r="M80" s="3">
        <v>3.0092592592592595E-4</v>
      </c>
      <c r="N80" s="2">
        <v>1</v>
      </c>
      <c r="O80" s="5">
        <f t="shared" si="0"/>
        <v>0.20627314814814815</v>
      </c>
      <c r="P80" s="5">
        <f t="shared" si="1"/>
        <v>12.376388888888888</v>
      </c>
      <c r="Q80" s="5">
        <f t="shared" si="2"/>
        <v>0.20627314814814815</v>
      </c>
      <c r="R80" s="5">
        <f t="shared" si="3"/>
        <v>12.376388888888888</v>
      </c>
    </row>
    <row r="81" spans="1:18">
      <c r="A81" s="4">
        <v>43910</v>
      </c>
      <c r="B81" s="1" t="s">
        <v>20</v>
      </c>
      <c r="C81" s="1">
        <f t="shared" si="7"/>
        <v>3</v>
      </c>
      <c r="D81" s="1">
        <f t="shared" si="8"/>
        <v>20</v>
      </c>
      <c r="E81" s="1">
        <f t="shared" si="9"/>
        <v>2020</v>
      </c>
      <c r="F81" s="1">
        <v>80</v>
      </c>
      <c r="G81" s="1">
        <v>70</v>
      </c>
      <c r="H81" s="1">
        <v>67</v>
      </c>
      <c r="I81" s="2">
        <v>0.95709999999999995</v>
      </c>
      <c r="J81" s="1">
        <v>3</v>
      </c>
      <c r="K81" s="3">
        <v>1.3888888888888889E-4</v>
      </c>
      <c r="L81" s="3">
        <v>1.4004629629629629E-3</v>
      </c>
      <c r="M81" s="3">
        <v>8.7962962962962962E-4</v>
      </c>
      <c r="N81" s="2">
        <v>0.83819999999999995</v>
      </c>
      <c r="O81" s="5">
        <f t="shared" si="0"/>
        <v>9.3831018518518522E-2</v>
      </c>
      <c r="P81" s="5">
        <f t="shared" si="1"/>
        <v>5.6298611111111114</v>
      </c>
      <c r="Q81" s="5">
        <f t="shared" si="2"/>
        <v>9.8032407407407401E-2</v>
      </c>
      <c r="R81" s="5">
        <f t="shared" si="3"/>
        <v>5.8819444444444438</v>
      </c>
    </row>
    <row r="82" spans="1:18">
      <c r="A82" s="4">
        <v>43911</v>
      </c>
      <c r="B82" s="1" t="s">
        <v>21</v>
      </c>
      <c r="C82" s="1">
        <f t="shared" si="7"/>
        <v>3</v>
      </c>
      <c r="D82" s="1">
        <f t="shared" si="8"/>
        <v>21</v>
      </c>
      <c r="E82" s="1">
        <f t="shared" si="9"/>
        <v>2020</v>
      </c>
      <c r="F82" s="1">
        <v>81</v>
      </c>
      <c r="G82" s="1">
        <v>83</v>
      </c>
      <c r="H82" s="1">
        <v>82</v>
      </c>
      <c r="I82" s="2">
        <v>0.98799999999999999</v>
      </c>
      <c r="J82" s="1">
        <v>1</v>
      </c>
      <c r="K82" s="3">
        <v>8.1018518518518516E-5</v>
      </c>
      <c r="L82" s="3">
        <v>1.4236111111111112E-3</v>
      </c>
      <c r="M82" s="3">
        <v>8.7962962962962962E-4</v>
      </c>
      <c r="N82" s="2">
        <v>0.95179999999999998</v>
      </c>
      <c r="O82" s="5">
        <f t="shared" si="0"/>
        <v>0.11673611111111111</v>
      </c>
      <c r="P82" s="5">
        <f t="shared" si="1"/>
        <v>7.0041666666666664</v>
      </c>
      <c r="Q82" s="5">
        <f t="shared" si="2"/>
        <v>0.11815972222222222</v>
      </c>
      <c r="R82" s="5">
        <f t="shared" si="3"/>
        <v>7.0895833333333336</v>
      </c>
    </row>
    <row r="83" spans="1:18">
      <c r="A83" s="4">
        <v>43912</v>
      </c>
      <c r="B83" s="1" t="s">
        <v>22</v>
      </c>
      <c r="C83" s="1">
        <f t="shared" si="7"/>
        <v>3</v>
      </c>
      <c r="D83" s="1">
        <f t="shared" si="8"/>
        <v>22</v>
      </c>
      <c r="E83" s="1">
        <f t="shared" si="9"/>
        <v>2020</v>
      </c>
      <c r="F83" s="1">
        <v>82</v>
      </c>
      <c r="G83" s="1">
        <v>42</v>
      </c>
      <c r="H83" s="1">
        <v>40</v>
      </c>
      <c r="I83" s="2">
        <v>0.95240000000000002</v>
      </c>
      <c r="J83" s="1">
        <v>2</v>
      </c>
      <c r="K83" s="3">
        <v>9.2592592592592588E-5</v>
      </c>
      <c r="L83" s="3">
        <v>1.2847222222222223E-3</v>
      </c>
      <c r="M83" s="3">
        <v>1.1111111111111111E-3</v>
      </c>
      <c r="N83" s="2">
        <v>0.90239999999999998</v>
      </c>
      <c r="O83" s="5">
        <f t="shared" si="0"/>
        <v>5.1388888888888887E-2</v>
      </c>
      <c r="P83" s="5">
        <f t="shared" si="1"/>
        <v>3.083333333333333</v>
      </c>
      <c r="Q83" s="5">
        <f t="shared" si="2"/>
        <v>5.3958333333333337E-2</v>
      </c>
      <c r="R83" s="5">
        <f t="shared" si="3"/>
        <v>3.2375000000000003</v>
      </c>
    </row>
    <row r="84" spans="1:18">
      <c r="A84" s="4">
        <v>43913</v>
      </c>
      <c r="B84" s="1" t="s">
        <v>23</v>
      </c>
      <c r="C84" s="1">
        <f t="shared" si="7"/>
        <v>3</v>
      </c>
      <c r="D84" s="1">
        <f t="shared" si="8"/>
        <v>23</v>
      </c>
      <c r="E84" s="1">
        <f t="shared" si="9"/>
        <v>2020</v>
      </c>
      <c r="F84" s="1">
        <v>83</v>
      </c>
      <c r="G84" s="1">
        <v>66</v>
      </c>
      <c r="H84" s="1">
        <v>64</v>
      </c>
      <c r="I84" s="2">
        <v>0.96970000000000001</v>
      </c>
      <c r="J84" s="1">
        <v>2</v>
      </c>
      <c r="K84" s="3">
        <v>5.7870370370370373E-5</v>
      </c>
      <c r="L84" s="3">
        <v>1.3888888888888889E-3</v>
      </c>
      <c r="M84" s="3">
        <v>1.1458333333333333E-3</v>
      </c>
      <c r="N84" s="2">
        <v>0.95450000000000002</v>
      </c>
      <c r="O84" s="5">
        <f t="shared" si="0"/>
        <v>8.8888888888888892E-2</v>
      </c>
      <c r="P84" s="5">
        <f t="shared" si="1"/>
        <v>5.3333333333333339</v>
      </c>
      <c r="Q84" s="5">
        <f t="shared" si="2"/>
        <v>9.1666666666666674E-2</v>
      </c>
      <c r="R84" s="5">
        <f t="shared" si="3"/>
        <v>5.5</v>
      </c>
    </row>
    <row r="85" spans="1:18">
      <c r="A85" s="4">
        <v>43914</v>
      </c>
      <c r="B85" s="1" t="s">
        <v>24</v>
      </c>
      <c r="C85" s="1">
        <f t="shared" si="7"/>
        <v>3</v>
      </c>
      <c r="D85" s="1">
        <f t="shared" si="8"/>
        <v>24</v>
      </c>
      <c r="E85" s="1">
        <f t="shared" si="9"/>
        <v>2020</v>
      </c>
      <c r="F85" s="1">
        <v>84</v>
      </c>
      <c r="G85" s="1">
        <v>153</v>
      </c>
      <c r="H85" s="1">
        <v>146</v>
      </c>
      <c r="I85" s="2">
        <v>0.95420000000000005</v>
      </c>
      <c r="J85" s="1">
        <v>7</v>
      </c>
      <c r="K85" s="3">
        <v>2.3148148148148149E-4</v>
      </c>
      <c r="L85" s="3">
        <v>1.4814814814814814E-3</v>
      </c>
      <c r="M85" s="3">
        <v>3.1481481481481482E-3</v>
      </c>
      <c r="N85" s="2">
        <v>0.76</v>
      </c>
      <c r="O85" s="5">
        <f t="shared" si="0"/>
        <v>0.21629629629629629</v>
      </c>
      <c r="P85" s="5">
        <f t="shared" si="1"/>
        <v>12.977777777777778</v>
      </c>
      <c r="Q85" s="5">
        <f t="shared" si="2"/>
        <v>0.22666666666666666</v>
      </c>
      <c r="R85" s="5">
        <f t="shared" si="3"/>
        <v>13.6</v>
      </c>
    </row>
    <row r="86" spans="1:18">
      <c r="A86" s="4">
        <v>43915</v>
      </c>
      <c r="B86" s="1" t="s">
        <v>18</v>
      </c>
      <c r="C86" s="1">
        <f t="shared" si="7"/>
        <v>3</v>
      </c>
      <c r="D86" s="1">
        <f t="shared" si="8"/>
        <v>25</v>
      </c>
      <c r="E86" s="1">
        <f t="shared" si="9"/>
        <v>2020</v>
      </c>
      <c r="F86" s="1">
        <v>85</v>
      </c>
      <c r="G86" s="1">
        <v>141</v>
      </c>
      <c r="H86" s="1">
        <v>135</v>
      </c>
      <c r="I86" s="2">
        <v>0.95740000000000003</v>
      </c>
      <c r="J86" s="1">
        <v>6</v>
      </c>
      <c r="K86" s="3">
        <v>2.6620370370370372E-4</v>
      </c>
      <c r="L86" s="3">
        <v>1.4583333333333334E-3</v>
      </c>
      <c r="M86" s="3">
        <v>1.5625000000000001E-3</v>
      </c>
      <c r="N86" s="2">
        <v>0.66910000000000003</v>
      </c>
      <c r="O86" s="5">
        <f t="shared" si="0"/>
        <v>0.19687500000000002</v>
      </c>
      <c r="P86" s="5">
        <f t="shared" si="1"/>
        <v>11.812500000000002</v>
      </c>
      <c r="Q86" s="5">
        <f t="shared" si="2"/>
        <v>0.205625</v>
      </c>
      <c r="R86" s="5">
        <f t="shared" si="3"/>
        <v>12.3375</v>
      </c>
    </row>
    <row r="87" spans="1:18">
      <c r="A87" s="4">
        <v>43916</v>
      </c>
      <c r="B87" s="1" t="s">
        <v>19</v>
      </c>
      <c r="C87" s="1">
        <f t="shared" si="7"/>
        <v>3</v>
      </c>
      <c r="D87" s="1">
        <f t="shared" si="8"/>
        <v>26</v>
      </c>
      <c r="E87" s="1">
        <f t="shared" si="9"/>
        <v>2020</v>
      </c>
      <c r="F87" s="1">
        <v>86</v>
      </c>
      <c r="G87" s="1">
        <v>146</v>
      </c>
      <c r="H87" s="1">
        <v>143</v>
      </c>
      <c r="I87" s="2">
        <v>0.97950000000000004</v>
      </c>
      <c r="J87" s="1">
        <v>3</v>
      </c>
      <c r="K87" s="3">
        <v>1.9675925925925926E-4</v>
      </c>
      <c r="L87" s="3">
        <v>1.3541666666666667E-3</v>
      </c>
      <c r="M87" s="3">
        <v>1.7013888888888888E-3</v>
      </c>
      <c r="N87" s="2">
        <v>0.78320000000000001</v>
      </c>
      <c r="O87" s="5">
        <f t="shared" si="0"/>
        <v>0.19364583333333335</v>
      </c>
      <c r="P87" s="5">
        <f t="shared" si="1"/>
        <v>11.61875</v>
      </c>
      <c r="Q87" s="5">
        <f t="shared" si="2"/>
        <v>0.19770833333333335</v>
      </c>
      <c r="R87" s="5">
        <f t="shared" si="3"/>
        <v>11.862500000000001</v>
      </c>
    </row>
    <row r="88" spans="1:18">
      <c r="A88" s="4">
        <v>43917</v>
      </c>
      <c r="B88" s="1" t="s">
        <v>20</v>
      </c>
      <c r="C88" s="1">
        <f t="shared" si="7"/>
        <v>3</v>
      </c>
      <c r="D88" s="1">
        <f t="shared" si="8"/>
        <v>27</v>
      </c>
      <c r="E88" s="1">
        <f t="shared" si="9"/>
        <v>2020</v>
      </c>
      <c r="F88" s="1">
        <v>87</v>
      </c>
      <c r="G88" s="1">
        <v>144</v>
      </c>
      <c r="H88" s="1">
        <v>140</v>
      </c>
      <c r="I88" s="2">
        <v>0.97219999999999995</v>
      </c>
      <c r="J88" s="1">
        <v>4</v>
      </c>
      <c r="K88" s="3">
        <v>1.3888888888888889E-4</v>
      </c>
      <c r="L88" s="3">
        <v>1.3078703703703703E-3</v>
      </c>
      <c r="M88" s="3">
        <v>1.4467592592592592E-3</v>
      </c>
      <c r="N88" s="2">
        <v>0.84030000000000005</v>
      </c>
      <c r="O88" s="5">
        <f t="shared" si="0"/>
        <v>0.18310185185185185</v>
      </c>
      <c r="P88" s="5">
        <f t="shared" si="1"/>
        <v>10.986111111111111</v>
      </c>
      <c r="Q88" s="5">
        <f t="shared" si="2"/>
        <v>0.18833333333333332</v>
      </c>
      <c r="R88" s="5">
        <f t="shared" si="3"/>
        <v>11.299999999999999</v>
      </c>
    </row>
    <row r="89" spans="1:18">
      <c r="A89" s="4">
        <v>43918</v>
      </c>
      <c r="B89" s="1" t="s">
        <v>21</v>
      </c>
      <c r="C89" s="1">
        <f t="shared" si="7"/>
        <v>3</v>
      </c>
      <c r="D89" s="1">
        <f t="shared" si="8"/>
        <v>28</v>
      </c>
      <c r="E89" s="1">
        <f t="shared" si="9"/>
        <v>2020</v>
      </c>
      <c r="F89" s="1">
        <v>88</v>
      </c>
      <c r="G89" s="1">
        <v>105</v>
      </c>
      <c r="H89" s="1">
        <v>103</v>
      </c>
      <c r="I89" s="2">
        <v>0.98099999999999998</v>
      </c>
      <c r="J89" s="1">
        <v>2</v>
      </c>
      <c r="K89" s="3">
        <v>1.9675925925925926E-4</v>
      </c>
      <c r="L89" s="3">
        <v>1.3310185185185185E-3</v>
      </c>
      <c r="M89" s="3">
        <v>1.4004629629629629E-3</v>
      </c>
      <c r="N89" s="2">
        <v>0.76190000000000002</v>
      </c>
      <c r="O89" s="5">
        <f t="shared" si="0"/>
        <v>0.1370949074074074</v>
      </c>
      <c r="P89" s="5">
        <f t="shared" si="1"/>
        <v>8.2256944444444446</v>
      </c>
      <c r="Q89" s="5">
        <f t="shared" si="2"/>
        <v>0.13975694444444445</v>
      </c>
      <c r="R89" s="5">
        <f t="shared" si="3"/>
        <v>8.3854166666666661</v>
      </c>
    </row>
    <row r="90" spans="1:18">
      <c r="A90" s="4">
        <v>43919</v>
      </c>
      <c r="B90" s="1" t="s">
        <v>22</v>
      </c>
      <c r="C90" s="1">
        <f t="shared" si="7"/>
        <v>3</v>
      </c>
      <c r="D90" s="1">
        <f t="shared" si="8"/>
        <v>29</v>
      </c>
      <c r="E90" s="1">
        <f t="shared" si="9"/>
        <v>2020</v>
      </c>
      <c r="F90" s="1">
        <v>89</v>
      </c>
      <c r="G90" s="1">
        <v>36</v>
      </c>
      <c r="H90" s="1">
        <v>35</v>
      </c>
      <c r="I90" s="2">
        <v>0.97219999999999995</v>
      </c>
      <c r="J90" s="1">
        <v>1</v>
      </c>
      <c r="K90" s="3">
        <v>1.8518518518518518E-4</v>
      </c>
      <c r="L90" s="3">
        <v>1.3194444444444445E-3</v>
      </c>
      <c r="M90" s="3">
        <v>1.0532407407407407E-3</v>
      </c>
      <c r="N90" s="2">
        <v>0.77139999999999997</v>
      </c>
      <c r="O90" s="5">
        <f t="shared" si="0"/>
        <v>4.6180555555555558E-2</v>
      </c>
      <c r="P90" s="5">
        <f t="shared" si="1"/>
        <v>2.7708333333333335</v>
      </c>
      <c r="Q90" s="5">
        <f t="shared" si="2"/>
        <v>4.7500000000000001E-2</v>
      </c>
      <c r="R90" s="5">
        <f t="shared" si="3"/>
        <v>2.85</v>
      </c>
    </row>
    <row r="91" spans="1:18">
      <c r="A91" s="4">
        <v>43920</v>
      </c>
      <c r="B91" s="1" t="s">
        <v>23</v>
      </c>
      <c r="C91" s="1">
        <f t="shared" si="7"/>
        <v>3</v>
      </c>
      <c r="D91" s="1">
        <f t="shared" si="8"/>
        <v>30</v>
      </c>
      <c r="E91" s="1">
        <f t="shared" si="9"/>
        <v>2020</v>
      </c>
      <c r="F91" s="1">
        <v>90</v>
      </c>
      <c r="G91" s="1">
        <v>61</v>
      </c>
      <c r="H91" s="1">
        <v>57</v>
      </c>
      <c r="I91" s="2">
        <v>0.93440000000000001</v>
      </c>
      <c r="J91" s="1">
        <v>4</v>
      </c>
      <c r="K91" s="3">
        <v>4.6296296296296294E-5</v>
      </c>
      <c r="L91" s="3">
        <v>1.3888888888888889E-3</v>
      </c>
      <c r="M91" s="3">
        <v>2.5578703703703705E-3</v>
      </c>
      <c r="N91" s="2">
        <v>0.91669999999999996</v>
      </c>
      <c r="O91" s="5">
        <f t="shared" si="0"/>
        <v>7.9166666666666663E-2</v>
      </c>
      <c r="P91" s="5">
        <f t="shared" si="1"/>
        <v>4.75</v>
      </c>
      <c r="Q91" s="5">
        <f t="shared" si="2"/>
        <v>8.4722222222222227E-2</v>
      </c>
      <c r="R91" s="5">
        <f t="shared" si="3"/>
        <v>5.0833333333333339</v>
      </c>
    </row>
    <row r="92" spans="1:18">
      <c r="A92" s="4">
        <v>43921</v>
      </c>
      <c r="B92" s="1" t="s">
        <v>24</v>
      </c>
      <c r="C92" s="1">
        <f t="shared" si="7"/>
        <v>3</v>
      </c>
      <c r="D92" s="1">
        <f t="shared" si="8"/>
        <v>31</v>
      </c>
      <c r="E92" s="1">
        <f t="shared" si="9"/>
        <v>2020</v>
      </c>
      <c r="F92" s="1">
        <v>91</v>
      </c>
      <c r="G92" s="1">
        <v>60</v>
      </c>
      <c r="H92" s="1">
        <v>58</v>
      </c>
      <c r="I92" s="2">
        <v>0.9667</v>
      </c>
      <c r="J92" s="1">
        <v>2</v>
      </c>
      <c r="K92" s="3">
        <v>1.273148148148148E-4</v>
      </c>
      <c r="L92" s="3">
        <v>1.4814814814814814E-3</v>
      </c>
      <c r="M92" s="3">
        <v>1.0879629629629629E-3</v>
      </c>
      <c r="N92" s="2">
        <v>0.85</v>
      </c>
      <c r="O92" s="5">
        <f t="shared" si="0"/>
        <v>8.5925925925925919E-2</v>
      </c>
      <c r="P92" s="5">
        <f t="shared" si="1"/>
        <v>5.155555555555555</v>
      </c>
      <c r="Q92" s="5">
        <f t="shared" si="2"/>
        <v>8.8888888888888878E-2</v>
      </c>
      <c r="R92" s="5">
        <f t="shared" si="3"/>
        <v>5.333333333333333</v>
      </c>
    </row>
    <row r="93" spans="1:18">
      <c r="A93" s="4">
        <v>43922</v>
      </c>
      <c r="B93" s="1" t="s">
        <v>18</v>
      </c>
      <c r="C93" s="1">
        <f t="shared" si="7"/>
        <v>4</v>
      </c>
      <c r="D93" s="1">
        <f t="shared" si="8"/>
        <v>1</v>
      </c>
      <c r="E93" s="1">
        <f t="shared" si="9"/>
        <v>2020</v>
      </c>
      <c r="F93" s="1">
        <v>92</v>
      </c>
      <c r="G93" s="1">
        <v>18</v>
      </c>
      <c r="H93" s="1">
        <v>17</v>
      </c>
      <c r="I93" s="2">
        <v>0.94440000000000002</v>
      </c>
      <c r="J93" s="1">
        <v>1</v>
      </c>
      <c r="K93" s="3">
        <v>5.7870370370370373E-5</v>
      </c>
      <c r="L93" s="3">
        <v>1.8402777777777777E-3</v>
      </c>
      <c r="M93" s="3">
        <v>2.3148148148148149E-4</v>
      </c>
      <c r="N93" s="2">
        <v>1</v>
      </c>
      <c r="O93" s="5">
        <f t="shared" si="0"/>
        <v>3.1284722222222221E-2</v>
      </c>
      <c r="P93" s="5">
        <f t="shared" si="1"/>
        <v>1.8770833333333332</v>
      </c>
      <c r="Q93" s="5">
        <f t="shared" si="2"/>
        <v>3.3125000000000002E-2</v>
      </c>
      <c r="R93" s="5">
        <f t="shared" si="3"/>
        <v>1.9875</v>
      </c>
    </row>
    <row r="94" spans="1:18">
      <c r="A94" s="4">
        <v>43923</v>
      </c>
      <c r="B94" s="1" t="s">
        <v>19</v>
      </c>
      <c r="C94" s="1">
        <f t="shared" si="7"/>
        <v>4</v>
      </c>
      <c r="D94" s="1">
        <f t="shared" si="8"/>
        <v>2</v>
      </c>
      <c r="E94" s="1">
        <f t="shared" si="9"/>
        <v>2020</v>
      </c>
      <c r="F94" s="1">
        <v>93</v>
      </c>
      <c r="G94" s="1">
        <v>206</v>
      </c>
      <c r="H94" s="1">
        <v>202</v>
      </c>
      <c r="I94" s="2">
        <v>0.98060000000000003</v>
      </c>
      <c r="J94" s="1">
        <v>4</v>
      </c>
      <c r="K94" s="3">
        <v>1.0416666666666667E-4</v>
      </c>
      <c r="L94" s="3">
        <v>1.3194444444444445E-3</v>
      </c>
      <c r="M94" s="3">
        <v>8.1018518518518516E-4</v>
      </c>
      <c r="N94" s="2">
        <v>0.89270000000000005</v>
      </c>
      <c r="O94" s="5">
        <f t="shared" si="0"/>
        <v>0.26652777777777781</v>
      </c>
      <c r="P94" s="5">
        <f t="shared" si="1"/>
        <v>15.991666666666669</v>
      </c>
      <c r="Q94" s="5">
        <f t="shared" si="2"/>
        <v>0.27180555555555558</v>
      </c>
      <c r="R94" s="5">
        <f t="shared" si="3"/>
        <v>16.308333333333334</v>
      </c>
    </row>
    <row r="95" spans="1:18">
      <c r="A95" s="4">
        <v>43924</v>
      </c>
      <c r="B95" s="1" t="s">
        <v>20</v>
      </c>
      <c r="C95" s="1">
        <f t="shared" si="7"/>
        <v>4</v>
      </c>
      <c r="D95" s="1">
        <f t="shared" si="8"/>
        <v>3</v>
      </c>
      <c r="E95" s="1">
        <f t="shared" si="9"/>
        <v>2020</v>
      </c>
      <c r="F95" s="1">
        <v>94</v>
      </c>
      <c r="G95" s="1">
        <v>194</v>
      </c>
      <c r="H95" s="1">
        <v>193</v>
      </c>
      <c r="I95" s="2">
        <v>0.99480000000000002</v>
      </c>
      <c r="J95" s="1">
        <v>1</v>
      </c>
      <c r="K95" s="3">
        <v>1.273148148148148E-4</v>
      </c>
      <c r="L95" s="3">
        <v>1.3541666666666667E-3</v>
      </c>
      <c r="M95" s="3">
        <v>1.0879629629629629E-3</v>
      </c>
      <c r="N95" s="2">
        <v>0.84970000000000001</v>
      </c>
      <c r="O95" s="5">
        <f t="shared" si="0"/>
        <v>0.26135416666666667</v>
      </c>
      <c r="P95" s="5">
        <f t="shared" si="1"/>
        <v>15.68125</v>
      </c>
      <c r="Q95" s="5">
        <f t="shared" si="2"/>
        <v>0.26270833333333332</v>
      </c>
      <c r="R95" s="5">
        <f t="shared" si="3"/>
        <v>15.762499999999999</v>
      </c>
    </row>
    <row r="96" spans="1:18">
      <c r="A96" s="4">
        <v>43925</v>
      </c>
      <c r="B96" s="1" t="s">
        <v>21</v>
      </c>
      <c r="C96" s="1">
        <f t="shared" si="7"/>
        <v>4</v>
      </c>
      <c r="D96" s="1">
        <f t="shared" si="8"/>
        <v>4</v>
      </c>
      <c r="E96" s="1">
        <f t="shared" si="9"/>
        <v>2020</v>
      </c>
      <c r="F96" s="1">
        <v>95</v>
      </c>
      <c r="G96" s="1">
        <v>206</v>
      </c>
      <c r="H96" s="1">
        <v>200</v>
      </c>
      <c r="I96" s="2">
        <v>0.97089999999999999</v>
      </c>
      <c r="J96" s="1">
        <v>6</v>
      </c>
      <c r="K96" s="3">
        <v>1.1574074074074075E-4</v>
      </c>
      <c r="L96" s="3">
        <v>1.4814814814814814E-3</v>
      </c>
      <c r="M96" s="3">
        <v>1.3888888888888889E-3</v>
      </c>
      <c r="N96" s="2">
        <v>0.86270000000000002</v>
      </c>
      <c r="O96" s="5">
        <f t="shared" si="0"/>
        <v>0.29629629629629628</v>
      </c>
      <c r="P96" s="5">
        <f t="shared" si="1"/>
        <v>17.777777777777779</v>
      </c>
      <c r="Q96" s="5">
        <f t="shared" si="2"/>
        <v>0.30518518518518517</v>
      </c>
      <c r="R96" s="5">
        <f t="shared" si="3"/>
        <v>18.31111111111111</v>
      </c>
    </row>
    <row r="97" spans="1:18">
      <c r="A97" s="4">
        <v>43926</v>
      </c>
      <c r="B97" s="1" t="s">
        <v>22</v>
      </c>
      <c r="C97" s="1">
        <f t="shared" si="7"/>
        <v>4</v>
      </c>
      <c r="D97" s="1">
        <f t="shared" si="8"/>
        <v>5</v>
      </c>
      <c r="E97" s="1">
        <f t="shared" si="9"/>
        <v>2020</v>
      </c>
      <c r="F97" s="1">
        <v>96</v>
      </c>
      <c r="G97" s="1">
        <v>53</v>
      </c>
      <c r="H97" s="1">
        <v>53</v>
      </c>
      <c r="I97" s="2">
        <v>1</v>
      </c>
      <c r="J97" s="1">
        <v>0</v>
      </c>
      <c r="K97" s="3">
        <v>2.0833333333333335E-4</v>
      </c>
      <c r="L97" s="3">
        <v>1.4814814814814814E-3</v>
      </c>
      <c r="M97" s="3">
        <v>1.5046296296296296E-3</v>
      </c>
      <c r="N97" s="2">
        <v>0.77359999999999995</v>
      </c>
      <c r="O97" s="5">
        <f t="shared" si="0"/>
        <v>7.8518518518518515E-2</v>
      </c>
      <c r="P97" s="5">
        <f t="shared" si="1"/>
        <v>4.7111111111111112</v>
      </c>
      <c r="Q97" s="5">
        <f t="shared" si="2"/>
        <v>7.8518518518518515E-2</v>
      </c>
      <c r="R97" s="5">
        <f t="shared" si="3"/>
        <v>4.7111111111111112</v>
      </c>
    </row>
    <row r="98" spans="1:18">
      <c r="A98" s="4">
        <v>43927</v>
      </c>
      <c r="B98" s="1" t="s">
        <v>23</v>
      </c>
      <c r="C98" s="1">
        <f t="shared" si="7"/>
        <v>4</v>
      </c>
      <c r="D98" s="1">
        <f t="shared" si="8"/>
        <v>6</v>
      </c>
      <c r="E98" s="1">
        <f t="shared" si="9"/>
        <v>2020</v>
      </c>
      <c r="F98" s="1">
        <v>97</v>
      </c>
      <c r="G98" s="1">
        <v>147</v>
      </c>
      <c r="H98" s="1">
        <v>145</v>
      </c>
      <c r="I98" s="2">
        <v>0.98640000000000005</v>
      </c>
      <c r="J98" s="1">
        <v>2</v>
      </c>
      <c r="K98" s="3">
        <v>1.0416666666666667E-4</v>
      </c>
      <c r="L98" s="3">
        <v>1.2731481481481483E-3</v>
      </c>
      <c r="M98" s="3">
        <v>9.7222222222222219E-4</v>
      </c>
      <c r="N98" s="2">
        <v>0.88360000000000005</v>
      </c>
      <c r="O98" s="5">
        <f t="shared" si="0"/>
        <v>0.18460648148148151</v>
      </c>
      <c r="P98" s="5">
        <f t="shared" si="1"/>
        <v>11.076388888888891</v>
      </c>
      <c r="Q98" s="5">
        <f t="shared" si="2"/>
        <v>0.18715277777777778</v>
      </c>
      <c r="R98" s="5">
        <f t="shared" si="3"/>
        <v>11.229166666666666</v>
      </c>
    </row>
    <row r="99" spans="1:18">
      <c r="A99" s="4">
        <v>43928</v>
      </c>
      <c r="B99" s="1" t="s">
        <v>24</v>
      </c>
      <c r="C99" s="1">
        <f t="shared" si="7"/>
        <v>4</v>
      </c>
      <c r="D99" s="1">
        <f t="shared" si="8"/>
        <v>7</v>
      </c>
      <c r="E99" s="1">
        <f t="shared" si="9"/>
        <v>2020</v>
      </c>
      <c r="F99" s="1">
        <v>98</v>
      </c>
      <c r="G99" s="1">
        <v>201</v>
      </c>
      <c r="H99" s="1">
        <v>197</v>
      </c>
      <c r="I99" s="2">
        <v>0.98009999999999997</v>
      </c>
      <c r="J99" s="1">
        <v>4</v>
      </c>
      <c r="K99" s="3">
        <v>1.0416666666666667E-4</v>
      </c>
      <c r="L99" s="3">
        <v>1.3773148148148147E-3</v>
      </c>
      <c r="M99" s="3">
        <v>1.6550925925925926E-3</v>
      </c>
      <c r="N99" s="2">
        <v>0.90949999999999998</v>
      </c>
      <c r="O99" s="5">
        <f t="shared" si="0"/>
        <v>0.27133101851851849</v>
      </c>
      <c r="P99" s="5">
        <f t="shared" si="1"/>
        <v>16.27986111111111</v>
      </c>
      <c r="Q99" s="5">
        <f t="shared" si="2"/>
        <v>0.27684027777777775</v>
      </c>
      <c r="R99" s="5">
        <f t="shared" si="3"/>
        <v>16.610416666666666</v>
      </c>
    </row>
    <row r="100" spans="1:18">
      <c r="A100" s="4">
        <v>43929</v>
      </c>
      <c r="B100" s="1" t="s">
        <v>18</v>
      </c>
      <c r="C100" s="1">
        <f t="shared" si="7"/>
        <v>4</v>
      </c>
      <c r="D100" s="1">
        <f t="shared" si="8"/>
        <v>8</v>
      </c>
      <c r="E100" s="1">
        <f t="shared" si="9"/>
        <v>2020</v>
      </c>
      <c r="F100" s="1">
        <v>99</v>
      </c>
      <c r="G100" s="1">
        <v>202</v>
      </c>
      <c r="H100" s="1">
        <v>198</v>
      </c>
      <c r="I100" s="2">
        <v>0.98019999999999996</v>
      </c>
      <c r="J100" s="1">
        <v>4</v>
      </c>
      <c r="K100" s="3">
        <v>1.1574074074074075E-4</v>
      </c>
      <c r="L100" s="3">
        <v>1.4930555555555556E-3</v>
      </c>
      <c r="M100" s="3">
        <v>8.2175925925925927E-4</v>
      </c>
      <c r="N100" s="2">
        <v>0.88500000000000001</v>
      </c>
      <c r="O100" s="5">
        <f t="shared" si="0"/>
        <v>0.29562500000000003</v>
      </c>
      <c r="P100" s="5">
        <f t="shared" si="1"/>
        <v>17.737500000000001</v>
      </c>
      <c r="Q100" s="5">
        <f t="shared" si="2"/>
        <v>0.30159722222222224</v>
      </c>
      <c r="R100" s="5">
        <f t="shared" si="3"/>
        <v>18.095833333333335</v>
      </c>
    </row>
    <row r="101" spans="1:18">
      <c r="A101" s="4">
        <v>43930</v>
      </c>
      <c r="B101" s="1" t="s">
        <v>19</v>
      </c>
      <c r="C101" s="1">
        <f t="shared" si="7"/>
        <v>4</v>
      </c>
      <c r="D101" s="1">
        <f t="shared" si="8"/>
        <v>9</v>
      </c>
      <c r="E101" s="1">
        <f t="shared" si="9"/>
        <v>2020</v>
      </c>
      <c r="F101" s="1">
        <v>100</v>
      </c>
      <c r="G101" s="1">
        <v>226</v>
      </c>
      <c r="H101" s="1">
        <v>219</v>
      </c>
      <c r="I101" s="2">
        <v>0.96899999999999997</v>
      </c>
      <c r="J101" s="1">
        <v>7</v>
      </c>
      <c r="K101" s="3">
        <v>1.1574074074074075E-4</v>
      </c>
      <c r="L101" s="3">
        <v>1.5277777777777779E-3</v>
      </c>
      <c r="M101" s="3">
        <v>1.9097222222222222E-3</v>
      </c>
      <c r="N101" s="2">
        <v>0.88</v>
      </c>
      <c r="O101" s="5">
        <f t="shared" si="0"/>
        <v>0.33458333333333334</v>
      </c>
      <c r="P101" s="5">
        <f t="shared" si="1"/>
        <v>20.074999999999999</v>
      </c>
      <c r="Q101" s="5">
        <f t="shared" si="2"/>
        <v>0.34527777777777779</v>
      </c>
      <c r="R101" s="5">
        <f t="shared" si="3"/>
        <v>20.716666666666669</v>
      </c>
    </row>
    <row r="102" spans="1:18">
      <c r="A102" s="4">
        <v>43931</v>
      </c>
      <c r="B102" s="1" t="s">
        <v>20</v>
      </c>
      <c r="C102" s="1">
        <f t="shared" si="7"/>
        <v>4</v>
      </c>
      <c r="D102" s="1">
        <f t="shared" si="8"/>
        <v>10</v>
      </c>
      <c r="E102" s="1">
        <f t="shared" si="9"/>
        <v>2020</v>
      </c>
      <c r="F102" s="1">
        <v>101</v>
      </c>
      <c r="G102" s="1">
        <v>167</v>
      </c>
      <c r="H102" s="1">
        <v>163</v>
      </c>
      <c r="I102" s="2">
        <v>0.97599999999999998</v>
      </c>
      <c r="J102" s="1">
        <v>4</v>
      </c>
      <c r="K102" s="3">
        <v>8.1018518518518516E-5</v>
      </c>
      <c r="L102" s="3">
        <v>1.4930555555555556E-3</v>
      </c>
      <c r="M102" s="3">
        <v>1.2731481481481483E-3</v>
      </c>
      <c r="N102" s="2">
        <v>0.92769999999999997</v>
      </c>
      <c r="O102" s="5">
        <f t="shared" si="0"/>
        <v>0.24336805555555557</v>
      </c>
      <c r="P102" s="5">
        <f t="shared" si="1"/>
        <v>14.602083333333335</v>
      </c>
      <c r="Q102" s="5">
        <f t="shared" si="2"/>
        <v>0.24934027777777779</v>
      </c>
      <c r="R102" s="5">
        <f t="shared" si="3"/>
        <v>14.960416666666667</v>
      </c>
    </row>
    <row r="103" spans="1:18">
      <c r="A103" s="4">
        <v>43932</v>
      </c>
      <c r="B103" s="1" t="s">
        <v>21</v>
      </c>
      <c r="C103" s="1">
        <f t="shared" si="7"/>
        <v>4</v>
      </c>
      <c r="D103" s="1">
        <f t="shared" si="8"/>
        <v>11</v>
      </c>
      <c r="E103" s="1">
        <f t="shared" si="9"/>
        <v>2020</v>
      </c>
      <c r="F103" s="1">
        <v>102</v>
      </c>
      <c r="G103" s="1">
        <v>164</v>
      </c>
      <c r="H103" s="1">
        <v>164</v>
      </c>
      <c r="I103" s="2">
        <v>1</v>
      </c>
      <c r="J103" s="1">
        <v>0</v>
      </c>
      <c r="K103" s="3">
        <v>1.273148148148148E-4</v>
      </c>
      <c r="L103" s="3">
        <v>1.5856481481481481E-3</v>
      </c>
      <c r="M103" s="3">
        <v>1.2152777777777778E-3</v>
      </c>
      <c r="N103" s="2">
        <v>0.89019999999999999</v>
      </c>
      <c r="O103" s="5">
        <f t="shared" si="0"/>
        <v>0.26004629629629628</v>
      </c>
      <c r="P103" s="5">
        <f t="shared" si="1"/>
        <v>15.602777777777776</v>
      </c>
      <c r="Q103" s="5">
        <f t="shared" si="2"/>
        <v>0.26004629629629628</v>
      </c>
      <c r="R103" s="5">
        <f t="shared" si="3"/>
        <v>15.602777777777776</v>
      </c>
    </row>
    <row r="104" spans="1:18">
      <c r="A104" s="4">
        <v>43933</v>
      </c>
      <c r="B104" s="1" t="s">
        <v>22</v>
      </c>
      <c r="C104" s="1">
        <f t="shared" si="7"/>
        <v>4</v>
      </c>
      <c r="D104" s="1">
        <f t="shared" si="8"/>
        <v>12</v>
      </c>
      <c r="E104" s="1">
        <f t="shared" si="9"/>
        <v>2020</v>
      </c>
      <c r="F104" s="1">
        <v>103</v>
      </c>
      <c r="G104" s="1">
        <v>42</v>
      </c>
      <c r="H104" s="1">
        <v>41</v>
      </c>
      <c r="I104" s="2">
        <v>0.97619999999999996</v>
      </c>
      <c r="J104" s="1">
        <v>1</v>
      </c>
      <c r="K104" s="3">
        <v>1.273148148148148E-4</v>
      </c>
      <c r="L104" s="3">
        <v>1.4930555555555556E-3</v>
      </c>
      <c r="M104" s="3">
        <v>9.0277777777777774E-4</v>
      </c>
      <c r="N104" s="2">
        <v>0.878</v>
      </c>
      <c r="O104" s="5">
        <f t="shared" si="0"/>
        <v>6.1215277777777778E-2</v>
      </c>
      <c r="P104" s="5">
        <f t="shared" si="1"/>
        <v>3.6729166666666666</v>
      </c>
      <c r="Q104" s="5">
        <f t="shared" si="2"/>
        <v>6.2708333333333338E-2</v>
      </c>
      <c r="R104" s="5">
        <f t="shared" si="3"/>
        <v>3.7625000000000002</v>
      </c>
    </row>
    <row r="105" spans="1:18">
      <c r="A105" s="4">
        <v>43934</v>
      </c>
      <c r="B105" s="1" t="s">
        <v>23</v>
      </c>
      <c r="C105" s="1">
        <f t="shared" si="7"/>
        <v>4</v>
      </c>
      <c r="D105" s="1">
        <f t="shared" si="8"/>
        <v>13</v>
      </c>
      <c r="E105" s="1">
        <f t="shared" si="9"/>
        <v>2020</v>
      </c>
      <c r="F105" s="1">
        <v>104</v>
      </c>
      <c r="G105" s="1">
        <v>79</v>
      </c>
      <c r="H105" s="1">
        <v>78</v>
      </c>
      <c r="I105" s="2">
        <v>0.98729999999999996</v>
      </c>
      <c r="J105" s="1">
        <v>1</v>
      </c>
      <c r="K105" s="3">
        <v>8.1018518518518516E-5</v>
      </c>
      <c r="L105" s="3">
        <v>1.6550925925925926E-3</v>
      </c>
      <c r="M105" s="3">
        <v>5.5555555555555556E-4</v>
      </c>
      <c r="N105" s="2">
        <v>0.94869999999999999</v>
      </c>
      <c r="O105" s="5">
        <f t="shared" si="0"/>
        <v>0.12909722222222222</v>
      </c>
      <c r="P105" s="5">
        <f t="shared" si="1"/>
        <v>7.7458333333333336</v>
      </c>
      <c r="Q105" s="5">
        <f t="shared" si="2"/>
        <v>0.13075231481481481</v>
      </c>
      <c r="R105" s="5">
        <f t="shared" si="3"/>
        <v>7.8451388888888882</v>
      </c>
    </row>
    <row r="106" spans="1:18">
      <c r="A106" s="4">
        <v>43935</v>
      </c>
      <c r="B106" s="1" t="s">
        <v>24</v>
      </c>
      <c r="C106" s="1">
        <f t="shared" si="7"/>
        <v>4</v>
      </c>
      <c r="D106" s="1">
        <f t="shared" si="8"/>
        <v>14</v>
      </c>
      <c r="E106" s="1">
        <f t="shared" si="9"/>
        <v>2020</v>
      </c>
      <c r="F106" s="1">
        <v>105</v>
      </c>
      <c r="G106" s="1">
        <v>165</v>
      </c>
      <c r="H106" s="1">
        <v>162</v>
      </c>
      <c r="I106" s="2">
        <v>0.98180000000000001</v>
      </c>
      <c r="J106" s="1">
        <v>3</v>
      </c>
      <c r="K106" s="3">
        <v>1.0416666666666667E-4</v>
      </c>
      <c r="L106" s="3">
        <v>1.4930555555555556E-3</v>
      </c>
      <c r="M106" s="3">
        <v>1.2731481481481483E-3</v>
      </c>
      <c r="N106" s="2">
        <v>0.89700000000000002</v>
      </c>
      <c r="O106" s="5">
        <f t="shared" si="0"/>
        <v>0.24187500000000001</v>
      </c>
      <c r="P106" s="5">
        <f t="shared" si="1"/>
        <v>14.512500000000001</v>
      </c>
      <c r="Q106" s="5">
        <f t="shared" si="2"/>
        <v>0.24635416666666668</v>
      </c>
      <c r="R106" s="5">
        <f t="shared" si="3"/>
        <v>14.78125</v>
      </c>
    </row>
    <row r="107" spans="1:18">
      <c r="A107" s="4">
        <v>43936</v>
      </c>
      <c r="B107" s="1" t="s">
        <v>18</v>
      </c>
      <c r="C107" s="1">
        <f t="shared" si="7"/>
        <v>4</v>
      </c>
      <c r="D107" s="1">
        <f t="shared" si="8"/>
        <v>15</v>
      </c>
      <c r="E107" s="1">
        <f t="shared" si="9"/>
        <v>2020</v>
      </c>
      <c r="F107" s="1">
        <v>106</v>
      </c>
      <c r="G107" s="1">
        <v>180</v>
      </c>
      <c r="H107" s="1">
        <v>174</v>
      </c>
      <c r="I107" s="2">
        <v>0.9667</v>
      </c>
      <c r="J107" s="1">
        <v>6</v>
      </c>
      <c r="K107" s="3">
        <v>1.8518518518518518E-4</v>
      </c>
      <c r="L107" s="3">
        <v>1.5740740740740741E-3</v>
      </c>
      <c r="M107" s="3">
        <v>1.1921296296296296E-3</v>
      </c>
      <c r="N107" s="2">
        <v>0.77780000000000005</v>
      </c>
      <c r="O107" s="5">
        <f t="shared" si="0"/>
        <v>0.2738888888888889</v>
      </c>
      <c r="P107" s="5">
        <f t="shared" si="1"/>
        <v>16.433333333333334</v>
      </c>
      <c r="Q107" s="5">
        <f t="shared" si="2"/>
        <v>0.28333333333333333</v>
      </c>
      <c r="R107" s="5">
        <f t="shared" si="3"/>
        <v>17</v>
      </c>
    </row>
    <row r="108" spans="1:18">
      <c r="A108" s="4">
        <v>43937</v>
      </c>
      <c r="B108" s="1" t="s">
        <v>19</v>
      </c>
      <c r="C108" s="1">
        <f t="shared" si="7"/>
        <v>4</v>
      </c>
      <c r="D108" s="1">
        <f t="shared" si="8"/>
        <v>16</v>
      </c>
      <c r="E108" s="1">
        <f t="shared" si="9"/>
        <v>2020</v>
      </c>
      <c r="F108" s="1">
        <v>107</v>
      </c>
      <c r="G108" s="1">
        <v>179</v>
      </c>
      <c r="H108" s="1">
        <v>176</v>
      </c>
      <c r="I108" s="2">
        <v>0.98319999999999996</v>
      </c>
      <c r="J108" s="1">
        <v>3</v>
      </c>
      <c r="K108" s="3">
        <v>1.1574074074074075E-4</v>
      </c>
      <c r="L108" s="3">
        <v>1.6898148148148148E-3</v>
      </c>
      <c r="M108" s="3">
        <v>1.2731481481481483E-3</v>
      </c>
      <c r="N108" s="2">
        <v>0.87639999999999996</v>
      </c>
      <c r="O108" s="5">
        <f t="shared" si="0"/>
        <v>0.2974074074074074</v>
      </c>
      <c r="P108" s="5">
        <f t="shared" si="1"/>
        <v>17.844444444444445</v>
      </c>
      <c r="Q108" s="5">
        <f t="shared" si="2"/>
        <v>0.30247685185185186</v>
      </c>
      <c r="R108" s="5">
        <f t="shared" si="3"/>
        <v>18.148611111111112</v>
      </c>
    </row>
    <row r="109" spans="1:18">
      <c r="A109" s="4">
        <v>43938</v>
      </c>
      <c r="B109" s="1" t="s">
        <v>20</v>
      </c>
      <c r="C109" s="1">
        <f t="shared" si="7"/>
        <v>4</v>
      </c>
      <c r="D109" s="1">
        <f t="shared" si="8"/>
        <v>17</v>
      </c>
      <c r="E109" s="1">
        <f t="shared" si="9"/>
        <v>2020</v>
      </c>
      <c r="F109" s="1">
        <v>108</v>
      </c>
      <c r="G109" s="1">
        <v>217</v>
      </c>
      <c r="H109" s="1">
        <v>215</v>
      </c>
      <c r="I109" s="2">
        <v>0.99080000000000001</v>
      </c>
      <c r="J109" s="1">
        <v>2</v>
      </c>
      <c r="K109" s="3">
        <v>9.2592592592592588E-5</v>
      </c>
      <c r="L109" s="3">
        <v>1.4814814814814814E-3</v>
      </c>
      <c r="M109" s="3">
        <v>1.4699074074074074E-3</v>
      </c>
      <c r="N109" s="2">
        <v>0.91710000000000003</v>
      </c>
      <c r="O109" s="5">
        <f t="shared" si="0"/>
        <v>0.31851851851851848</v>
      </c>
      <c r="P109" s="5">
        <f t="shared" si="1"/>
        <v>19.111111111111107</v>
      </c>
      <c r="Q109" s="5">
        <f t="shared" si="2"/>
        <v>0.32148148148148148</v>
      </c>
      <c r="R109" s="5">
        <f t="shared" si="3"/>
        <v>19.288888888888888</v>
      </c>
    </row>
    <row r="110" spans="1:18">
      <c r="A110" s="4">
        <v>43939</v>
      </c>
      <c r="B110" s="1" t="s">
        <v>21</v>
      </c>
      <c r="C110" s="1">
        <f t="shared" si="7"/>
        <v>4</v>
      </c>
      <c r="D110" s="1">
        <f t="shared" si="8"/>
        <v>18</v>
      </c>
      <c r="E110" s="1">
        <f t="shared" si="9"/>
        <v>2020</v>
      </c>
      <c r="F110" s="1">
        <v>109</v>
      </c>
      <c r="G110" s="1">
        <v>171</v>
      </c>
      <c r="H110" s="1">
        <v>167</v>
      </c>
      <c r="I110" s="2">
        <v>0.97660000000000002</v>
      </c>
      <c r="J110" s="1">
        <v>4</v>
      </c>
      <c r="K110" s="3">
        <v>1.1574074074074075E-4</v>
      </c>
      <c r="L110" s="3">
        <v>1.5625000000000001E-3</v>
      </c>
      <c r="M110" s="3">
        <v>1.2731481481481483E-3</v>
      </c>
      <c r="N110" s="2">
        <v>0.86470000000000002</v>
      </c>
      <c r="O110" s="5">
        <f t="shared" si="0"/>
        <v>0.26093749999999999</v>
      </c>
      <c r="P110" s="5">
        <f t="shared" si="1"/>
        <v>15.65625</v>
      </c>
      <c r="Q110" s="5">
        <f t="shared" si="2"/>
        <v>0.26718750000000002</v>
      </c>
      <c r="R110" s="5">
        <f t="shared" si="3"/>
        <v>16.03125</v>
      </c>
    </row>
    <row r="111" spans="1:18">
      <c r="A111" s="4">
        <v>43940</v>
      </c>
      <c r="B111" s="1" t="s">
        <v>22</v>
      </c>
      <c r="C111" s="1">
        <f t="shared" si="7"/>
        <v>4</v>
      </c>
      <c r="D111" s="1">
        <f t="shared" si="8"/>
        <v>19</v>
      </c>
      <c r="E111" s="1">
        <f t="shared" si="9"/>
        <v>2020</v>
      </c>
      <c r="F111" s="1">
        <v>110</v>
      </c>
      <c r="G111" s="1">
        <v>37</v>
      </c>
      <c r="H111" s="1">
        <v>37</v>
      </c>
      <c r="I111" s="2">
        <v>1</v>
      </c>
      <c r="J111" s="1">
        <v>0</v>
      </c>
      <c r="K111" s="3">
        <v>1.0416666666666667E-4</v>
      </c>
      <c r="L111" s="3">
        <v>1.3541666666666667E-3</v>
      </c>
      <c r="M111" s="3">
        <v>9.4907407407407408E-4</v>
      </c>
      <c r="N111" s="2">
        <v>0.8649</v>
      </c>
      <c r="O111" s="5">
        <f t="shared" si="0"/>
        <v>5.0104166666666672E-2</v>
      </c>
      <c r="P111" s="5">
        <f t="shared" si="1"/>
        <v>3.0062500000000005</v>
      </c>
      <c r="Q111" s="5">
        <f t="shared" si="2"/>
        <v>5.0104166666666672E-2</v>
      </c>
      <c r="R111" s="5">
        <f t="shared" si="3"/>
        <v>3.0062500000000005</v>
      </c>
    </row>
    <row r="112" spans="1:18">
      <c r="A112" s="4">
        <v>43941</v>
      </c>
      <c r="B112" s="1" t="s">
        <v>23</v>
      </c>
      <c r="C112" s="1">
        <f t="shared" si="7"/>
        <v>4</v>
      </c>
      <c r="D112" s="1">
        <f t="shared" si="8"/>
        <v>20</v>
      </c>
      <c r="E112" s="1">
        <f t="shared" si="9"/>
        <v>2020</v>
      </c>
      <c r="F112" s="1">
        <v>111</v>
      </c>
      <c r="G112" s="1">
        <v>215</v>
      </c>
      <c r="H112" s="1">
        <v>206</v>
      </c>
      <c r="I112" s="2">
        <v>0.95809999999999995</v>
      </c>
      <c r="J112" s="1">
        <v>9</v>
      </c>
      <c r="K112" s="3">
        <v>2.0833333333333335E-4</v>
      </c>
      <c r="L112" s="3">
        <v>1.4930555555555556E-3</v>
      </c>
      <c r="M112" s="3">
        <v>1.9097222222222222E-3</v>
      </c>
      <c r="N112" s="2">
        <v>0.8095</v>
      </c>
      <c r="O112" s="5">
        <f t="shared" si="0"/>
        <v>0.30756944444444445</v>
      </c>
      <c r="P112" s="5">
        <f t="shared" si="1"/>
        <v>18.454166666666666</v>
      </c>
      <c r="Q112" s="5">
        <f t="shared" si="2"/>
        <v>0.32100694444444444</v>
      </c>
      <c r="R112" s="5">
        <f t="shared" si="3"/>
        <v>19.260416666666668</v>
      </c>
    </row>
    <row r="113" spans="1:18">
      <c r="A113" s="4">
        <v>43942</v>
      </c>
      <c r="B113" s="1" t="s">
        <v>24</v>
      </c>
      <c r="C113" s="1">
        <f t="shared" si="7"/>
        <v>4</v>
      </c>
      <c r="D113" s="1">
        <f t="shared" si="8"/>
        <v>21</v>
      </c>
      <c r="E113" s="1">
        <f t="shared" si="9"/>
        <v>2020</v>
      </c>
      <c r="F113" s="1">
        <v>112</v>
      </c>
      <c r="G113" s="1">
        <v>218</v>
      </c>
      <c r="H113" s="1">
        <v>212</v>
      </c>
      <c r="I113" s="2">
        <v>0.97250000000000003</v>
      </c>
      <c r="J113" s="1">
        <v>6</v>
      </c>
      <c r="K113" s="3">
        <v>1.8518518518518518E-4</v>
      </c>
      <c r="L113" s="3">
        <v>1.5856481481481481E-3</v>
      </c>
      <c r="M113" s="3">
        <v>1.4930555555555556E-3</v>
      </c>
      <c r="N113" s="2">
        <v>0.84260000000000002</v>
      </c>
      <c r="O113" s="5">
        <f t="shared" si="0"/>
        <v>0.3361574074074074</v>
      </c>
      <c r="P113" s="5">
        <f t="shared" si="1"/>
        <v>20.169444444444444</v>
      </c>
      <c r="Q113" s="5">
        <f t="shared" si="2"/>
        <v>0.34567129629629628</v>
      </c>
      <c r="R113" s="5">
        <f t="shared" si="3"/>
        <v>20.740277777777777</v>
      </c>
    </row>
    <row r="114" spans="1:18">
      <c r="A114" s="4">
        <v>43943</v>
      </c>
      <c r="B114" s="1" t="s">
        <v>18</v>
      </c>
      <c r="C114" s="1">
        <f t="shared" si="7"/>
        <v>4</v>
      </c>
      <c r="D114" s="1">
        <f t="shared" si="8"/>
        <v>22</v>
      </c>
      <c r="E114" s="1">
        <f t="shared" si="9"/>
        <v>2020</v>
      </c>
      <c r="F114" s="1">
        <v>113</v>
      </c>
      <c r="G114" s="1">
        <v>205</v>
      </c>
      <c r="H114" s="1">
        <v>202</v>
      </c>
      <c r="I114" s="2">
        <v>0.98540000000000005</v>
      </c>
      <c r="J114" s="1">
        <v>3</v>
      </c>
      <c r="K114" s="3">
        <v>1.273148148148148E-4</v>
      </c>
      <c r="L114" s="3">
        <v>1.6782407407407408E-3</v>
      </c>
      <c r="M114" s="3">
        <v>1.1226851851851851E-3</v>
      </c>
      <c r="N114" s="2">
        <v>0.90690000000000004</v>
      </c>
      <c r="O114" s="5">
        <f t="shared" si="0"/>
        <v>0.33900462962962963</v>
      </c>
      <c r="P114" s="5">
        <f t="shared" si="1"/>
        <v>20.340277777777779</v>
      </c>
      <c r="Q114" s="5">
        <f t="shared" si="2"/>
        <v>0.34403935185185186</v>
      </c>
      <c r="R114" s="5">
        <f t="shared" si="3"/>
        <v>20.642361111111111</v>
      </c>
    </row>
    <row r="115" spans="1:18">
      <c r="A115" s="4">
        <v>43944</v>
      </c>
      <c r="B115" s="1" t="s">
        <v>19</v>
      </c>
      <c r="C115" s="1">
        <f t="shared" si="7"/>
        <v>4</v>
      </c>
      <c r="D115" s="1">
        <f t="shared" si="8"/>
        <v>23</v>
      </c>
      <c r="E115" s="1">
        <f t="shared" si="9"/>
        <v>2020</v>
      </c>
      <c r="F115" s="1">
        <v>114</v>
      </c>
      <c r="G115" s="1">
        <v>195</v>
      </c>
      <c r="H115" s="1">
        <v>190</v>
      </c>
      <c r="I115" s="2">
        <v>0.97440000000000004</v>
      </c>
      <c r="J115" s="1">
        <v>5</v>
      </c>
      <c r="K115" s="3">
        <v>1.3888888888888889E-4</v>
      </c>
      <c r="L115" s="3">
        <v>1.6435185185185185E-3</v>
      </c>
      <c r="M115" s="3">
        <v>8.564814814814815E-4</v>
      </c>
      <c r="N115" s="2">
        <v>0.8901</v>
      </c>
      <c r="O115" s="5">
        <f t="shared" si="0"/>
        <v>0.3122685185185185</v>
      </c>
      <c r="P115" s="5">
        <f t="shared" si="1"/>
        <v>18.736111111111111</v>
      </c>
      <c r="Q115" s="5">
        <f t="shared" si="2"/>
        <v>0.32048611111111114</v>
      </c>
      <c r="R115" s="5">
        <f t="shared" si="3"/>
        <v>19.229166666666668</v>
      </c>
    </row>
    <row r="116" spans="1:18">
      <c r="A116" s="4">
        <v>43945</v>
      </c>
      <c r="B116" s="1" t="s">
        <v>20</v>
      </c>
      <c r="C116" s="1">
        <f t="shared" si="7"/>
        <v>4</v>
      </c>
      <c r="D116" s="1">
        <f t="shared" si="8"/>
        <v>24</v>
      </c>
      <c r="E116" s="1">
        <f t="shared" si="9"/>
        <v>2020</v>
      </c>
      <c r="F116" s="1">
        <v>115</v>
      </c>
      <c r="G116" s="1">
        <v>181</v>
      </c>
      <c r="H116" s="1">
        <v>176</v>
      </c>
      <c r="I116" s="2">
        <v>0.97240000000000004</v>
      </c>
      <c r="J116" s="1">
        <v>5</v>
      </c>
      <c r="K116" s="3">
        <v>1.5046296296296297E-4</v>
      </c>
      <c r="L116" s="3">
        <v>1.5393518518518519E-3</v>
      </c>
      <c r="M116" s="3">
        <v>8.7962962962962962E-4</v>
      </c>
      <c r="N116" s="2">
        <v>0.82220000000000004</v>
      </c>
      <c r="O116" s="5">
        <f t="shared" si="0"/>
        <v>0.2709259259259259</v>
      </c>
      <c r="P116" s="5">
        <f t="shared" si="1"/>
        <v>16.255555555555553</v>
      </c>
      <c r="Q116" s="5">
        <f t="shared" si="2"/>
        <v>0.27862268518518518</v>
      </c>
      <c r="R116" s="5">
        <f t="shared" si="3"/>
        <v>16.71736111111111</v>
      </c>
    </row>
    <row r="117" spans="1:18">
      <c r="A117" s="4">
        <v>43946</v>
      </c>
      <c r="B117" s="1" t="s">
        <v>21</v>
      </c>
      <c r="C117" s="1">
        <f t="shared" si="7"/>
        <v>4</v>
      </c>
      <c r="D117" s="1">
        <f t="shared" si="8"/>
        <v>25</v>
      </c>
      <c r="E117" s="1">
        <f t="shared" si="9"/>
        <v>2020</v>
      </c>
      <c r="F117" s="1">
        <v>116</v>
      </c>
      <c r="G117" s="1">
        <v>212</v>
      </c>
      <c r="H117" s="1">
        <v>206</v>
      </c>
      <c r="I117" s="2">
        <v>0.97170000000000001</v>
      </c>
      <c r="J117" s="1">
        <v>6</v>
      </c>
      <c r="K117" s="3">
        <v>1.273148148148148E-4</v>
      </c>
      <c r="L117" s="3">
        <v>1.6203703703703703E-3</v>
      </c>
      <c r="M117" s="3">
        <v>1.261574074074074E-3</v>
      </c>
      <c r="N117" s="2">
        <v>0.89419999999999999</v>
      </c>
      <c r="O117" s="5">
        <f t="shared" si="0"/>
        <v>0.33379629629629631</v>
      </c>
      <c r="P117" s="5">
        <f t="shared" si="1"/>
        <v>20.027777777777779</v>
      </c>
      <c r="Q117" s="5">
        <f t="shared" si="2"/>
        <v>0.3435185185185185</v>
      </c>
      <c r="R117" s="5">
        <f t="shared" si="3"/>
        <v>20.611111111111111</v>
      </c>
    </row>
    <row r="118" spans="1:18">
      <c r="A118" s="4">
        <v>43947</v>
      </c>
      <c r="B118" s="1" t="s">
        <v>22</v>
      </c>
      <c r="C118" s="1">
        <f t="shared" si="7"/>
        <v>4</v>
      </c>
      <c r="D118" s="1">
        <f t="shared" si="8"/>
        <v>26</v>
      </c>
      <c r="E118" s="1">
        <f t="shared" si="9"/>
        <v>2020</v>
      </c>
      <c r="F118" s="1">
        <v>117</v>
      </c>
      <c r="G118" s="1">
        <v>33</v>
      </c>
      <c r="H118" s="1">
        <v>32</v>
      </c>
      <c r="I118" s="2">
        <v>0.96970000000000001</v>
      </c>
      <c r="J118" s="1">
        <v>1</v>
      </c>
      <c r="K118" s="3">
        <v>9.2592592592592588E-5</v>
      </c>
      <c r="L118" s="3">
        <v>1.712962962962963E-3</v>
      </c>
      <c r="M118" s="3">
        <v>6.3657407407407413E-4</v>
      </c>
      <c r="N118" s="2">
        <v>0.90910000000000002</v>
      </c>
      <c r="O118" s="5">
        <f t="shared" si="0"/>
        <v>5.4814814814814816E-2</v>
      </c>
      <c r="P118" s="5">
        <f t="shared" si="1"/>
        <v>3.2888888888888888</v>
      </c>
      <c r="Q118" s="5">
        <f t="shared" si="2"/>
        <v>5.6527777777777781E-2</v>
      </c>
      <c r="R118" s="5">
        <f t="shared" si="3"/>
        <v>3.3916666666666671</v>
      </c>
    </row>
    <row r="119" spans="1:18">
      <c r="A119" s="4">
        <v>43948</v>
      </c>
      <c r="B119" s="1" t="s">
        <v>23</v>
      </c>
      <c r="C119" s="1">
        <f t="shared" si="7"/>
        <v>4</v>
      </c>
      <c r="D119" s="1">
        <f t="shared" si="8"/>
        <v>27</v>
      </c>
      <c r="E119" s="1">
        <f t="shared" si="9"/>
        <v>2020</v>
      </c>
      <c r="F119" s="1">
        <v>118</v>
      </c>
      <c r="G119" s="1">
        <v>298</v>
      </c>
      <c r="H119" s="1">
        <v>287</v>
      </c>
      <c r="I119" s="2">
        <v>0.96309999999999996</v>
      </c>
      <c r="J119" s="1">
        <v>11</v>
      </c>
      <c r="K119" s="3">
        <v>1.5046296296296297E-4</v>
      </c>
      <c r="L119" s="3">
        <v>1.0995370370370371E-3</v>
      </c>
      <c r="M119" s="3">
        <v>1.9791666666666668E-3</v>
      </c>
      <c r="N119" s="2">
        <v>0.83330000000000004</v>
      </c>
      <c r="O119" s="5">
        <f t="shared" si="0"/>
        <v>0.31556712962962963</v>
      </c>
      <c r="P119" s="5">
        <f t="shared" si="1"/>
        <v>18.934027777777779</v>
      </c>
      <c r="Q119" s="5">
        <f t="shared" si="2"/>
        <v>0.32766203703703706</v>
      </c>
      <c r="R119" s="5">
        <f t="shared" si="3"/>
        <v>19.659722222222225</v>
      </c>
    </row>
    <row r="120" spans="1:18">
      <c r="A120" s="4">
        <v>43949</v>
      </c>
      <c r="B120" s="1" t="s">
        <v>24</v>
      </c>
      <c r="C120" s="1">
        <f t="shared" si="7"/>
        <v>4</v>
      </c>
      <c r="D120" s="1">
        <f t="shared" si="8"/>
        <v>28</v>
      </c>
      <c r="E120" s="1">
        <f t="shared" si="9"/>
        <v>2020</v>
      </c>
      <c r="F120" s="1">
        <v>119</v>
      </c>
      <c r="G120" s="1">
        <v>158</v>
      </c>
      <c r="H120" s="1">
        <v>156</v>
      </c>
      <c r="I120" s="2">
        <v>0.98729999999999996</v>
      </c>
      <c r="J120" s="1">
        <v>2</v>
      </c>
      <c r="K120" s="3">
        <v>1.273148148148148E-4</v>
      </c>
      <c r="L120" s="3">
        <v>1.6550925925925926E-3</v>
      </c>
      <c r="M120" s="3">
        <v>1.0648148148148149E-3</v>
      </c>
      <c r="N120" s="2">
        <v>0.89810000000000001</v>
      </c>
      <c r="O120" s="5">
        <f t="shared" si="0"/>
        <v>0.25819444444444445</v>
      </c>
      <c r="P120" s="5">
        <f t="shared" si="1"/>
        <v>15.491666666666667</v>
      </c>
      <c r="Q120" s="5">
        <f t="shared" si="2"/>
        <v>0.26150462962962961</v>
      </c>
      <c r="R120" s="5">
        <f t="shared" si="3"/>
        <v>15.690277777777776</v>
      </c>
    </row>
    <row r="121" spans="1:18">
      <c r="A121" s="4">
        <v>43950</v>
      </c>
      <c r="B121" s="1" t="s">
        <v>18</v>
      </c>
      <c r="C121" s="1">
        <f t="shared" si="7"/>
        <v>4</v>
      </c>
      <c r="D121" s="1">
        <f t="shared" si="8"/>
        <v>29</v>
      </c>
      <c r="E121" s="1">
        <f t="shared" si="9"/>
        <v>2020</v>
      </c>
      <c r="F121" s="1">
        <v>120</v>
      </c>
      <c r="G121" s="1">
        <v>156</v>
      </c>
      <c r="H121" s="1">
        <v>154</v>
      </c>
      <c r="I121" s="2">
        <v>0.98719999999999997</v>
      </c>
      <c r="J121" s="1">
        <v>2</v>
      </c>
      <c r="K121" s="3">
        <v>1.3888888888888889E-4</v>
      </c>
      <c r="L121" s="3">
        <v>1.5393518518518519E-3</v>
      </c>
      <c r="M121" s="3">
        <v>7.0601851851851847E-4</v>
      </c>
      <c r="N121" s="2">
        <v>0.85809999999999997</v>
      </c>
      <c r="O121" s="5">
        <f t="shared" si="0"/>
        <v>0.23706018518518518</v>
      </c>
      <c r="P121" s="5">
        <f t="shared" si="1"/>
        <v>14.223611111111111</v>
      </c>
      <c r="Q121" s="5">
        <f t="shared" si="2"/>
        <v>0.2401388888888889</v>
      </c>
      <c r="R121" s="5">
        <f t="shared" si="3"/>
        <v>14.408333333333335</v>
      </c>
    </row>
    <row r="122" spans="1:18">
      <c r="A122" s="4">
        <v>43951</v>
      </c>
      <c r="B122" s="1" t="s">
        <v>19</v>
      </c>
      <c r="C122" s="1">
        <f t="shared" si="7"/>
        <v>4</v>
      </c>
      <c r="D122" s="1">
        <f t="shared" si="8"/>
        <v>30</v>
      </c>
      <c r="E122" s="1">
        <f t="shared" si="9"/>
        <v>2020</v>
      </c>
      <c r="F122" s="1">
        <v>121</v>
      </c>
      <c r="G122" s="1">
        <v>163</v>
      </c>
      <c r="H122" s="1">
        <v>163</v>
      </c>
      <c r="I122" s="2">
        <v>1</v>
      </c>
      <c r="J122" s="1">
        <v>0</v>
      </c>
      <c r="K122" s="3">
        <v>1.1574074074074075E-4</v>
      </c>
      <c r="L122" s="3">
        <v>1.4120370370370369E-3</v>
      </c>
      <c r="M122" s="3">
        <v>1.9212962962962964E-3</v>
      </c>
      <c r="N122" s="2">
        <v>0.9264</v>
      </c>
      <c r="O122" s="5">
        <f t="shared" si="0"/>
        <v>0.23016203703703703</v>
      </c>
      <c r="P122" s="5">
        <f t="shared" si="1"/>
        <v>13.809722222222222</v>
      </c>
      <c r="Q122" s="5">
        <f t="shared" si="2"/>
        <v>0.23016203703703703</v>
      </c>
      <c r="R122" s="5">
        <f t="shared" si="3"/>
        <v>13.809722222222222</v>
      </c>
    </row>
    <row r="123" spans="1:18">
      <c r="A123" s="4">
        <v>43952</v>
      </c>
      <c r="B123" s="1" t="s">
        <v>20</v>
      </c>
      <c r="C123" s="1">
        <f t="shared" si="7"/>
        <v>5</v>
      </c>
      <c r="D123" s="1">
        <f t="shared" si="8"/>
        <v>1</v>
      </c>
      <c r="E123" s="1">
        <f t="shared" si="9"/>
        <v>2020</v>
      </c>
      <c r="F123" s="1">
        <v>122</v>
      </c>
      <c r="G123" s="1">
        <v>98</v>
      </c>
      <c r="H123" s="1">
        <v>98</v>
      </c>
      <c r="I123" s="2">
        <v>1</v>
      </c>
      <c r="J123" s="1">
        <v>0</v>
      </c>
      <c r="K123" s="3">
        <v>8.1018518518518516E-5</v>
      </c>
      <c r="L123" s="3">
        <v>1.5046296296296296E-3</v>
      </c>
      <c r="M123" s="3">
        <v>8.1018518518518516E-4</v>
      </c>
      <c r="N123" s="2">
        <v>0.93879999999999997</v>
      </c>
      <c r="O123" s="5">
        <f t="shared" si="0"/>
        <v>0.1474537037037037</v>
      </c>
      <c r="P123" s="5">
        <f t="shared" si="1"/>
        <v>8.8472222222222214</v>
      </c>
      <c r="Q123" s="5">
        <f t="shared" si="2"/>
        <v>0.1474537037037037</v>
      </c>
      <c r="R123" s="5">
        <f t="shared" si="3"/>
        <v>8.8472222222222214</v>
      </c>
    </row>
    <row r="124" spans="1:18">
      <c r="A124" s="4">
        <v>43953</v>
      </c>
      <c r="B124" s="1" t="s">
        <v>21</v>
      </c>
      <c r="C124" s="1">
        <f t="shared" si="7"/>
        <v>5</v>
      </c>
      <c r="D124" s="1">
        <f t="shared" si="8"/>
        <v>2</v>
      </c>
      <c r="E124" s="1">
        <f t="shared" si="9"/>
        <v>2020</v>
      </c>
      <c r="F124" s="1">
        <v>123</v>
      </c>
      <c r="G124" s="1">
        <v>255</v>
      </c>
      <c r="H124" s="1">
        <v>249</v>
      </c>
      <c r="I124" s="2">
        <v>0.97650000000000003</v>
      </c>
      <c r="J124" s="1">
        <v>6</v>
      </c>
      <c r="K124" s="3">
        <v>1.7361111111111112E-4</v>
      </c>
      <c r="L124" s="3">
        <v>1.6087962962962963E-3</v>
      </c>
      <c r="M124" s="3">
        <v>3.8310185185185183E-3</v>
      </c>
      <c r="N124" s="2">
        <v>0.82679999999999998</v>
      </c>
      <c r="O124" s="5">
        <f t="shared" si="0"/>
        <v>0.40059027777777778</v>
      </c>
      <c r="P124" s="5">
        <f t="shared" si="1"/>
        <v>24.035416666666666</v>
      </c>
      <c r="Q124" s="5">
        <f t="shared" si="2"/>
        <v>0.41024305555555557</v>
      </c>
      <c r="R124" s="5">
        <f t="shared" si="3"/>
        <v>24.614583333333336</v>
      </c>
    </row>
    <row r="125" spans="1:18">
      <c r="A125" s="4">
        <v>43954</v>
      </c>
      <c r="B125" s="1" t="s">
        <v>22</v>
      </c>
      <c r="C125" s="1">
        <f t="shared" si="7"/>
        <v>5</v>
      </c>
      <c r="D125" s="1">
        <f t="shared" si="8"/>
        <v>3</v>
      </c>
      <c r="E125" s="1">
        <f t="shared" si="9"/>
        <v>2020</v>
      </c>
      <c r="F125" s="1">
        <v>124</v>
      </c>
      <c r="G125" s="1">
        <v>50</v>
      </c>
      <c r="H125" s="1">
        <v>49</v>
      </c>
      <c r="I125" s="2">
        <v>0.98</v>
      </c>
      <c r="J125" s="1">
        <v>1</v>
      </c>
      <c r="K125" s="3">
        <v>9.2592592592592588E-5</v>
      </c>
      <c r="L125" s="3">
        <v>1.4120370370370369E-3</v>
      </c>
      <c r="M125" s="3">
        <v>6.5972222222222224E-4</v>
      </c>
      <c r="N125" s="2">
        <v>0.92</v>
      </c>
      <c r="O125" s="5">
        <f t="shared" si="0"/>
        <v>6.9189814814814815E-2</v>
      </c>
      <c r="P125" s="5">
        <f t="shared" si="1"/>
        <v>4.1513888888888886</v>
      </c>
      <c r="Q125" s="5">
        <f t="shared" si="2"/>
        <v>7.0601851851851846E-2</v>
      </c>
      <c r="R125" s="5">
        <f t="shared" si="3"/>
        <v>4.2361111111111107</v>
      </c>
    </row>
    <row r="126" spans="1:18">
      <c r="A126" s="4">
        <v>43955</v>
      </c>
      <c r="B126" s="1" t="s">
        <v>23</v>
      </c>
      <c r="C126" s="1">
        <f t="shared" si="7"/>
        <v>5</v>
      </c>
      <c r="D126" s="1">
        <f t="shared" si="8"/>
        <v>4</v>
      </c>
      <c r="E126" s="1">
        <f t="shared" si="9"/>
        <v>2020</v>
      </c>
      <c r="F126" s="1">
        <v>125</v>
      </c>
      <c r="G126" s="1">
        <v>290</v>
      </c>
      <c r="H126" s="1">
        <v>289</v>
      </c>
      <c r="I126" s="2">
        <v>0.99660000000000004</v>
      </c>
      <c r="J126" s="1">
        <v>1</v>
      </c>
      <c r="K126" s="3">
        <v>1.3888888888888889E-4</v>
      </c>
      <c r="L126" s="3">
        <v>1.4004629629629629E-3</v>
      </c>
      <c r="M126" s="3">
        <v>8.1018518518518516E-4</v>
      </c>
      <c r="N126" s="2">
        <v>0.89270000000000005</v>
      </c>
      <c r="O126" s="5">
        <f t="shared" si="0"/>
        <v>0.4047337962962963</v>
      </c>
      <c r="P126" s="5">
        <f t="shared" si="1"/>
        <v>24.284027777777776</v>
      </c>
      <c r="Q126" s="5">
        <f t="shared" si="2"/>
        <v>0.40613425925925928</v>
      </c>
      <c r="R126" s="5">
        <f t="shared" si="3"/>
        <v>24.368055555555557</v>
      </c>
    </row>
    <row r="127" spans="1:18">
      <c r="A127" s="4">
        <v>43956</v>
      </c>
      <c r="B127" s="1" t="s">
        <v>24</v>
      </c>
      <c r="C127" s="1">
        <f t="shared" si="7"/>
        <v>5</v>
      </c>
      <c r="D127" s="1">
        <f t="shared" si="8"/>
        <v>5</v>
      </c>
      <c r="E127" s="1">
        <f t="shared" si="9"/>
        <v>2020</v>
      </c>
      <c r="F127" s="1">
        <v>126</v>
      </c>
      <c r="G127" s="1">
        <v>296</v>
      </c>
      <c r="H127" s="1">
        <v>281</v>
      </c>
      <c r="I127" s="2">
        <v>0.94930000000000003</v>
      </c>
      <c r="J127" s="1">
        <v>15</v>
      </c>
      <c r="K127" s="3">
        <v>2.5462962962962961E-4</v>
      </c>
      <c r="L127" s="3">
        <v>1.4814814814814814E-3</v>
      </c>
      <c r="M127" s="3">
        <v>3.1250000000000002E-3</v>
      </c>
      <c r="N127" s="2">
        <v>0.73540000000000005</v>
      </c>
      <c r="O127" s="5">
        <f t="shared" si="0"/>
        <v>0.41629629629629628</v>
      </c>
      <c r="P127" s="5">
        <f t="shared" si="1"/>
        <v>24.977777777777778</v>
      </c>
      <c r="Q127" s="5">
        <f t="shared" si="2"/>
        <v>0.43851851851851847</v>
      </c>
      <c r="R127" s="5">
        <f t="shared" si="3"/>
        <v>26.31111111111111</v>
      </c>
    </row>
    <row r="128" spans="1:18">
      <c r="A128" s="4">
        <v>43957</v>
      </c>
      <c r="B128" s="1" t="s">
        <v>18</v>
      </c>
      <c r="C128" s="1">
        <f t="shared" si="7"/>
        <v>5</v>
      </c>
      <c r="D128" s="1">
        <f t="shared" si="8"/>
        <v>6</v>
      </c>
      <c r="E128" s="1">
        <f t="shared" si="9"/>
        <v>2020</v>
      </c>
      <c r="F128" s="1">
        <v>127</v>
      </c>
      <c r="G128" s="1">
        <v>260</v>
      </c>
      <c r="H128" s="1">
        <v>257</v>
      </c>
      <c r="I128" s="2">
        <v>0.98850000000000005</v>
      </c>
      <c r="J128" s="1">
        <v>3</v>
      </c>
      <c r="K128" s="3">
        <v>1.9675925925925926E-4</v>
      </c>
      <c r="L128" s="3">
        <v>1.5393518518518519E-3</v>
      </c>
      <c r="M128" s="3">
        <v>9.2592592592592596E-4</v>
      </c>
      <c r="N128" s="2">
        <v>0.87160000000000004</v>
      </c>
      <c r="O128" s="5">
        <f t="shared" si="0"/>
        <v>0.39561342592592591</v>
      </c>
      <c r="P128" s="5">
        <f t="shared" si="1"/>
        <v>23.736805555555556</v>
      </c>
      <c r="Q128" s="5">
        <f t="shared" si="2"/>
        <v>0.40023148148148147</v>
      </c>
      <c r="R128" s="5">
        <f t="shared" si="3"/>
        <v>24.013888888888889</v>
      </c>
    </row>
    <row r="129" spans="1:18">
      <c r="A129" s="4">
        <v>43958</v>
      </c>
      <c r="B129" s="1" t="s">
        <v>19</v>
      </c>
      <c r="C129" s="1">
        <f t="shared" si="7"/>
        <v>5</v>
      </c>
      <c r="D129" s="1">
        <f t="shared" si="8"/>
        <v>7</v>
      </c>
      <c r="E129" s="1">
        <f t="shared" si="9"/>
        <v>2020</v>
      </c>
      <c r="F129" s="1">
        <v>128</v>
      </c>
      <c r="G129" s="1">
        <v>201</v>
      </c>
      <c r="H129" s="1">
        <v>193</v>
      </c>
      <c r="I129" s="2">
        <v>0.96020000000000005</v>
      </c>
      <c r="J129" s="1">
        <v>8</v>
      </c>
      <c r="K129" s="3">
        <v>2.199074074074074E-4</v>
      </c>
      <c r="L129" s="3">
        <v>1.6550925925925926E-3</v>
      </c>
      <c r="M129" s="3">
        <v>1.4120370370370369E-3</v>
      </c>
      <c r="N129" s="2">
        <v>0.76770000000000005</v>
      </c>
      <c r="O129" s="5">
        <f t="shared" si="0"/>
        <v>0.31943287037037038</v>
      </c>
      <c r="P129" s="5">
        <f t="shared" si="1"/>
        <v>19.165972222222223</v>
      </c>
      <c r="Q129" s="5">
        <f t="shared" si="2"/>
        <v>0.3326736111111111</v>
      </c>
      <c r="R129" s="5">
        <f t="shared" si="3"/>
        <v>19.960416666666667</v>
      </c>
    </row>
    <row r="130" spans="1:18">
      <c r="A130" s="4">
        <v>43959</v>
      </c>
      <c r="B130" s="1" t="s">
        <v>20</v>
      </c>
      <c r="C130" s="1">
        <f t="shared" si="7"/>
        <v>5</v>
      </c>
      <c r="D130" s="1">
        <f t="shared" si="8"/>
        <v>8</v>
      </c>
      <c r="E130" s="1">
        <f t="shared" si="9"/>
        <v>2020</v>
      </c>
      <c r="F130" s="1">
        <v>129</v>
      </c>
      <c r="G130" s="1">
        <v>132</v>
      </c>
      <c r="H130" s="1">
        <v>131</v>
      </c>
      <c r="I130" s="2">
        <v>0.99239999999999995</v>
      </c>
      <c r="J130" s="1">
        <v>1</v>
      </c>
      <c r="K130" s="3">
        <v>1.9675925925925926E-4</v>
      </c>
      <c r="L130" s="3">
        <v>1.5393518518518519E-3</v>
      </c>
      <c r="M130" s="3">
        <v>1.0416666666666667E-3</v>
      </c>
      <c r="N130" s="2">
        <v>0.76519999999999999</v>
      </c>
      <c r="O130" s="5">
        <f t="shared" si="0"/>
        <v>0.20165509259259259</v>
      </c>
      <c r="P130" s="5">
        <f t="shared" si="1"/>
        <v>12.099305555555556</v>
      </c>
      <c r="Q130" s="5">
        <f t="shared" si="2"/>
        <v>0.20319444444444446</v>
      </c>
      <c r="R130" s="5">
        <f t="shared" si="3"/>
        <v>12.191666666666666</v>
      </c>
    </row>
    <row r="131" spans="1:18">
      <c r="A131" s="4">
        <v>43960</v>
      </c>
      <c r="B131" s="1" t="s">
        <v>21</v>
      </c>
      <c r="C131" s="1">
        <f t="shared" ref="C131:C194" si="10">MONTH(A131)</f>
        <v>5</v>
      </c>
      <c r="D131" s="1">
        <f t="shared" ref="D131:D194" si="11">DAY(A131)</f>
        <v>9</v>
      </c>
      <c r="E131" s="1">
        <f t="shared" ref="E131:E194" si="12">YEAR(A131)</f>
        <v>2020</v>
      </c>
      <c r="F131" s="1">
        <v>130</v>
      </c>
      <c r="G131" s="1">
        <v>167</v>
      </c>
      <c r="H131" s="1">
        <v>165</v>
      </c>
      <c r="I131" s="2">
        <v>0.98799999999999999</v>
      </c>
      <c r="J131" s="1">
        <v>2</v>
      </c>
      <c r="K131" s="3">
        <v>1.0416666666666667E-4</v>
      </c>
      <c r="L131" s="3">
        <v>1.4583333333333334E-3</v>
      </c>
      <c r="M131" s="3">
        <v>6.5972222222222224E-4</v>
      </c>
      <c r="N131" s="2">
        <v>0.92120000000000002</v>
      </c>
      <c r="O131" s="5">
        <f t="shared" si="0"/>
        <v>0.24062500000000001</v>
      </c>
      <c r="P131" s="5">
        <f t="shared" si="1"/>
        <v>14.4375</v>
      </c>
      <c r="Q131" s="5">
        <f t="shared" si="2"/>
        <v>0.24354166666666668</v>
      </c>
      <c r="R131" s="5">
        <f t="shared" si="3"/>
        <v>14.612500000000001</v>
      </c>
    </row>
    <row r="132" spans="1:18">
      <c r="A132" s="4">
        <v>43961</v>
      </c>
      <c r="B132" s="1" t="s">
        <v>22</v>
      </c>
      <c r="C132" s="1">
        <f t="shared" si="10"/>
        <v>5</v>
      </c>
      <c r="D132" s="1">
        <f t="shared" si="11"/>
        <v>10</v>
      </c>
      <c r="E132" s="1">
        <f t="shared" si="12"/>
        <v>2020</v>
      </c>
      <c r="F132" s="1">
        <v>131</v>
      </c>
      <c r="G132" s="1">
        <v>85</v>
      </c>
      <c r="H132" s="1">
        <v>79</v>
      </c>
      <c r="I132" s="2">
        <v>0.9294</v>
      </c>
      <c r="J132" s="1">
        <v>6</v>
      </c>
      <c r="K132" s="3">
        <v>2.0833333333333335E-4</v>
      </c>
      <c r="L132" s="3">
        <v>1.6782407407407408E-3</v>
      </c>
      <c r="M132" s="3">
        <v>1.3078703703703703E-3</v>
      </c>
      <c r="N132" s="2">
        <v>0.77380000000000004</v>
      </c>
      <c r="O132" s="5">
        <f t="shared" si="0"/>
        <v>0.13258101851851853</v>
      </c>
      <c r="P132" s="5">
        <f t="shared" si="1"/>
        <v>7.9548611111111116</v>
      </c>
      <c r="Q132" s="5">
        <f t="shared" si="2"/>
        <v>0.14265046296296297</v>
      </c>
      <c r="R132" s="5">
        <f t="shared" si="3"/>
        <v>8.5590277777777786</v>
      </c>
    </row>
    <row r="133" spans="1:18">
      <c r="A133" s="4">
        <v>43962</v>
      </c>
      <c r="B133" s="1" t="s">
        <v>23</v>
      </c>
      <c r="C133" s="1">
        <f t="shared" si="10"/>
        <v>5</v>
      </c>
      <c r="D133" s="1">
        <f t="shared" si="11"/>
        <v>11</v>
      </c>
      <c r="E133" s="1">
        <f t="shared" si="12"/>
        <v>2020</v>
      </c>
      <c r="F133" s="1">
        <v>132</v>
      </c>
      <c r="G133" s="1">
        <v>244</v>
      </c>
      <c r="H133" s="1">
        <v>236</v>
      </c>
      <c r="I133" s="2">
        <v>0.96719999999999995</v>
      </c>
      <c r="J133" s="1">
        <v>8</v>
      </c>
      <c r="K133" s="3">
        <v>2.4305555555555555E-4</v>
      </c>
      <c r="L133" s="3">
        <v>1.724537037037037E-3</v>
      </c>
      <c r="M133" s="3">
        <v>1.3425925925925925E-3</v>
      </c>
      <c r="N133" s="2">
        <v>0.75619999999999998</v>
      </c>
      <c r="O133" s="5">
        <f t="shared" si="0"/>
        <v>0.40699074074074071</v>
      </c>
      <c r="P133" s="5">
        <f t="shared" si="1"/>
        <v>24.419444444444444</v>
      </c>
      <c r="Q133" s="5">
        <f t="shared" si="2"/>
        <v>0.42078703703703701</v>
      </c>
      <c r="R133" s="5">
        <f t="shared" si="3"/>
        <v>25.24722222222222</v>
      </c>
    </row>
    <row r="134" spans="1:18">
      <c r="A134" s="4">
        <v>43963</v>
      </c>
      <c r="B134" s="1" t="s">
        <v>24</v>
      </c>
      <c r="C134" s="1">
        <f t="shared" si="10"/>
        <v>5</v>
      </c>
      <c r="D134" s="1">
        <f t="shared" si="11"/>
        <v>12</v>
      </c>
      <c r="E134" s="1">
        <f t="shared" si="12"/>
        <v>2020</v>
      </c>
      <c r="F134" s="1">
        <v>133</v>
      </c>
      <c r="G134" s="1">
        <v>186</v>
      </c>
      <c r="H134" s="1">
        <v>182</v>
      </c>
      <c r="I134" s="2">
        <v>0.97850000000000004</v>
      </c>
      <c r="J134" s="1">
        <v>4</v>
      </c>
      <c r="K134" s="3">
        <v>1.6203703703703703E-4</v>
      </c>
      <c r="L134" s="3">
        <v>1.5393518518518519E-3</v>
      </c>
      <c r="M134" s="3">
        <v>1.1342592592592593E-3</v>
      </c>
      <c r="N134" s="2">
        <v>0.7903</v>
      </c>
      <c r="O134" s="5">
        <f t="shared" si="0"/>
        <v>0.28016203703703701</v>
      </c>
      <c r="P134" s="5">
        <f t="shared" si="1"/>
        <v>16.80972222222222</v>
      </c>
      <c r="Q134" s="5">
        <f t="shared" si="2"/>
        <v>0.28631944444444446</v>
      </c>
      <c r="R134" s="5">
        <f t="shared" si="3"/>
        <v>17.179166666666667</v>
      </c>
    </row>
    <row r="135" spans="1:18">
      <c r="A135" s="4">
        <v>43964</v>
      </c>
      <c r="B135" s="1" t="s">
        <v>18</v>
      </c>
      <c r="C135" s="1">
        <f t="shared" si="10"/>
        <v>5</v>
      </c>
      <c r="D135" s="1">
        <f t="shared" si="11"/>
        <v>13</v>
      </c>
      <c r="E135" s="1">
        <f t="shared" si="12"/>
        <v>2020</v>
      </c>
      <c r="F135" s="1">
        <v>134</v>
      </c>
      <c r="G135" s="1">
        <v>278</v>
      </c>
      <c r="H135" s="1">
        <v>264</v>
      </c>
      <c r="I135" s="2">
        <v>0.9496</v>
      </c>
      <c r="J135" s="1">
        <v>14</v>
      </c>
      <c r="K135" s="3">
        <v>2.199074074074074E-4</v>
      </c>
      <c r="L135" s="3">
        <v>1.6203703703703703E-3</v>
      </c>
      <c r="M135" s="3">
        <v>1.5046296296296296E-3</v>
      </c>
      <c r="N135" s="2">
        <v>0.76839999999999997</v>
      </c>
      <c r="O135" s="5">
        <f t="shared" si="0"/>
        <v>0.42777777777777776</v>
      </c>
      <c r="P135" s="5">
        <f t="shared" si="1"/>
        <v>25.666666666666664</v>
      </c>
      <c r="Q135" s="5">
        <f t="shared" si="2"/>
        <v>0.45046296296296295</v>
      </c>
      <c r="R135" s="5">
        <f t="shared" si="3"/>
        <v>27.027777777777779</v>
      </c>
    </row>
    <row r="136" spans="1:18">
      <c r="A136" s="4">
        <v>43965</v>
      </c>
      <c r="B136" s="1" t="s">
        <v>19</v>
      </c>
      <c r="C136" s="1">
        <f t="shared" si="10"/>
        <v>5</v>
      </c>
      <c r="D136" s="1">
        <f t="shared" si="11"/>
        <v>14</v>
      </c>
      <c r="E136" s="1">
        <f t="shared" si="12"/>
        <v>2020</v>
      </c>
      <c r="F136" s="1">
        <v>135</v>
      </c>
      <c r="G136" s="1">
        <v>272</v>
      </c>
      <c r="H136" s="1">
        <v>268</v>
      </c>
      <c r="I136" s="2">
        <v>0.98529999999999995</v>
      </c>
      <c r="J136" s="1">
        <v>4</v>
      </c>
      <c r="K136" s="3">
        <v>1.7361111111111112E-4</v>
      </c>
      <c r="L136" s="3">
        <v>1.736111111111111E-3</v>
      </c>
      <c r="M136" s="3">
        <v>1.2152777777777778E-3</v>
      </c>
      <c r="N136" s="2">
        <v>0.8</v>
      </c>
      <c r="O136" s="5">
        <f t="shared" si="0"/>
        <v>0.46527777777777773</v>
      </c>
      <c r="P136" s="5">
        <f t="shared" si="1"/>
        <v>27.916666666666664</v>
      </c>
      <c r="Q136" s="5">
        <f t="shared" si="2"/>
        <v>0.47222222222222221</v>
      </c>
      <c r="R136" s="5">
        <f t="shared" si="3"/>
        <v>28.333333333333332</v>
      </c>
    </row>
    <row r="137" spans="1:18">
      <c r="A137" s="4">
        <v>43966</v>
      </c>
      <c r="B137" s="1" t="s">
        <v>20</v>
      </c>
      <c r="C137" s="1">
        <f t="shared" si="10"/>
        <v>5</v>
      </c>
      <c r="D137" s="1">
        <f t="shared" si="11"/>
        <v>15</v>
      </c>
      <c r="E137" s="1">
        <f t="shared" si="12"/>
        <v>2020</v>
      </c>
      <c r="F137" s="1">
        <v>136</v>
      </c>
      <c r="G137" s="1">
        <v>218</v>
      </c>
      <c r="H137" s="1">
        <v>206</v>
      </c>
      <c r="I137" s="2">
        <v>0.94499999999999995</v>
      </c>
      <c r="J137" s="1">
        <v>12</v>
      </c>
      <c r="K137" s="3">
        <v>2.8935185185185184E-4</v>
      </c>
      <c r="L137" s="3">
        <v>1.6319444444444445E-3</v>
      </c>
      <c r="M137" s="3">
        <v>2.5578703703703705E-3</v>
      </c>
      <c r="N137" s="2">
        <v>0.67279999999999995</v>
      </c>
      <c r="O137" s="5">
        <f t="shared" si="0"/>
        <v>0.33618055555555559</v>
      </c>
      <c r="P137" s="5">
        <f t="shared" si="1"/>
        <v>20.170833333333334</v>
      </c>
      <c r="Q137" s="5">
        <f t="shared" si="2"/>
        <v>0.35576388888888894</v>
      </c>
      <c r="R137" s="5">
        <f t="shared" si="3"/>
        <v>21.345833333333335</v>
      </c>
    </row>
    <row r="138" spans="1:18">
      <c r="A138" s="4">
        <v>43967</v>
      </c>
      <c r="B138" s="1" t="s">
        <v>21</v>
      </c>
      <c r="C138" s="1">
        <f t="shared" si="10"/>
        <v>5</v>
      </c>
      <c r="D138" s="1">
        <f t="shared" si="11"/>
        <v>16</v>
      </c>
      <c r="E138" s="1">
        <f t="shared" si="12"/>
        <v>2020</v>
      </c>
      <c r="F138" s="1">
        <v>137</v>
      </c>
      <c r="G138" s="1">
        <v>152</v>
      </c>
      <c r="H138" s="1">
        <v>148</v>
      </c>
      <c r="I138" s="2">
        <v>0.97370000000000001</v>
      </c>
      <c r="J138" s="1">
        <v>4</v>
      </c>
      <c r="K138" s="3">
        <v>1.6203703703703703E-4</v>
      </c>
      <c r="L138" s="3">
        <v>1.5972222222222223E-3</v>
      </c>
      <c r="M138" s="3">
        <v>9.837962962962962E-4</v>
      </c>
      <c r="N138" s="2">
        <v>0.83330000000000004</v>
      </c>
      <c r="O138" s="5">
        <f t="shared" si="0"/>
        <v>0.2363888888888889</v>
      </c>
      <c r="P138" s="5">
        <f t="shared" si="1"/>
        <v>14.183333333333334</v>
      </c>
      <c r="Q138" s="5">
        <f t="shared" si="2"/>
        <v>0.24277777777777779</v>
      </c>
      <c r="R138" s="5">
        <f t="shared" si="3"/>
        <v>14.566666666666666</v>
      </c>
    </row>
    <row r="139" spans="1:18">
      <c r="A139" s="4">
        <v>43968</v>
      </c>
      <c r="B139" s="1" t="s">
        <v>22</v>
      </c>
      <c r="C139" s="1">
        <f t="shared" si="10"/>
        <v>5</v>
      </c>
      <c r="D139" s="1">
        <f t="shared" si="11"/>
        <v>17</v>
      </c>
      <c r="E139" s="1">
        <f t="shared" si="12"/>
        <v>2020</v>
      </c>
      <c r="F139" s="1">
        <v>138</v>
      </c>
      <c r="G139" s="1">
        <v>48</v>
      </c>
      <c r="H139" s="1">
        <v>43</v>
      </c>
      <c r="I139" s="2">
        <v>0.89580000000000004</v>
      </c>
      <c r="J139" s="1">
        <v>5</v>
      </c>
      <c r="K139" s="3">
        <v>2.5462962962962961E-4</v>
      </c>
      <c r="L139" s="3">
        <v>1.4004629629629629E-3</v>
      </c>
      <c r="M139" s="3">
        <v>9.3749999999999997E-4</v>
      </c>
      <c r="N139" s="2">
        <v>0.69569999999999999</v>
      </c>
      <c r="O139" s="5">
        <f t="shared" si="0"/>
        <v>6.0219907407407409E-2</v>
      </c>
      <c r="P139" s="5">
        <f t="shared" si="1"/>
        <v>3.6131944444444444</v>
      </c>
      <c r="Q139" s="5">
        <f t="shared" si="2"/>
        <v>6.7222222222222225E-2</v>
      </c>
      <c r="R139" s="5">
        <f t="shared" si="3"/>
        <v>4.0333333333333332</v>
      </c>
    </row>
    <row r="140" spans="1:18">
      <c r="A140" s="4">
        <v>43969</v>
      </c>
      <c r="B140" s="1" t="s">
        <v>23</v>
      </c>
      <c r="C140" s="1">
        <f t="shared" si="10"/>
        <v>5</v>
      </c>
      <c r="D140" s="1">
        <f t="shared" si="11"/>
        <v>18</v>
      </c>
      <c r="E140" s="1">
        <f t="shared" si="12"/>
        <v>2020</v>
      </c>
      <c r="F140" s="1">
        <v>139</v>
      </c>
      <c r="G140" s="1">
        <v>186</v>
      </c>
      <c r="H140" s="1">
        <v>181</v>
      </c>
      <c r="I140" s="2">
        <v>0.97309999999999997</v>
      </c>
      <c r="J140" s="1">
        <v>5</v>
      </c>
      <c r="K140" s="3">
        <v>1.6203703703703703E-4</v>
      </c>
      <c r="L140" s="3">
        <v>1.6203703703703703E-3</v>
      </c>
      <c r="M140" s="3">
        <v>1.261574074074074E-3</v>
      </c>
      <c r="N140" s="2">
        <v>0.84950000000000003</v>
      </c>
      <c r="O140" s="5">
        <f t="shared" si="0"/>
        <v>0.29328703703703701</v>
      </c>
      <c r="P140" s="5">
        <f t="shared" si="1"/>
        <v>17.597222222222221</v>
      </c>
      <c r="Q140" s="5">
        <f t="shared" si="2"/>
        <v>0.30138888888888887</v>
      </c>
      <c r="R140" s="5">
        <f t="shared" si="3"/>
        <v>18.083333333333332</v>
      </c>
    </row>
    <row r="141" spans="1:18">
      <c r="A141" s="4">
        <v>43970</v>
      </c>
      <c r="B141" s="1" t="s">
        <v>24</v>
      </c>
      <c r="C141" s="1">
        <f t="shared" si="10"/>
        <v>5</v>
      </c>
      <c r="D141" s="1">
        <f t="shared" si="11"/>
        <v>19</v>
      </c>
      <c r="E141" s="1">
        <f t="shared" si="12"/>
        <v>2020</v>
      </c>
      <c r="F141" s="1">
        <v>140</v>
      </c>
      <c r="G141" s="1">
        <v>182</v>
      </c>
      <c r="H141" s="1">
        <v>180</v>
      </c>
      <c r="I141" s="2">
        <v>0.98899999999999999</v>
      </c>
      <c r="J141" s="1">
        <v>2</v>
      </c>
      <c r="K141" s="3">
        <v>9.2592592592592588E-5</v>
      </c>
      <c r="L141" s="3">
        <v>1.5046296296296296E-3</v>
      </c>
      <c r="M141" s="3">
        <v>6.7129629629629625E-4</v>
      </c>
      <c r="N141" s="2">
        <v>0.93369999999999997</v>
      </c>
      <c r="O141" s="5">
        <f t="shared" si="0"/>
        <v>0.27083333333333331</v>
      </c>
      <c r="P141" s="5">
        <f t="shared" si="1"/>
        <v>16.25</v>
      </c>
      <c r="Q141" s="5">
        <f t="shared" si="2"/>
        <v>0.27384259259259258</v>
      </c>
      <c r="R141" s="5">
        <f t="shared" si="3"/>
        <v>16.430555555555554</v>
      </c>
    </row>
    <row r="142" spans="1:18">
      <c r="A142" s="4">
        <v>43971</v>
      </c>
      <c r="B142" s="1" t="s">
        <v>18</v>
      </c>
      <c r="C142" s="1">
        <f t="shared" si="10"/>
        <v>5</v>
      </c>
      <c r="D142" s="1">
        <f t="shared" si="11"/>
        <v>20</v>
      </c>
      <c r="E142" s="1">
        <f t="shared" si="12"/>
        <v>2020</v>
      </c>
      <c r="F142" s="1">
        <v>141</v>
      </c>
      <c r="G142" s="1">
        <v>192</v>
      </c>
      <c r="H142" s="1">
        <v>188</v>
      </c>
      <c r="I142" s="2">
        <v>0.97919999999999996</v>
      </c>
      <c r="J142" s="1">
        <v>4</v>
      </c>
      <c r="K142" s="3">
        <v>2.3148148148148149E-4</v>
      </c>
      <c r="L142" s="3">
        <v>1.3657407407407407E-3</v>
      </c>
      <c r="M142" s="3">
        <v>1.3425925925925925E-3</v>
      </c>
      <c r="N142" s="2">
        <v>0.76190000000000002</v>
      </c>
      <c r="O142" s="5">
        <f t="shared" si="0"/>
        <v>0.25675925925925924</v>
      </c>
      <c r="P142" s="5">
        <f t="shared" si="1"/>
        <v>15.405555555555555</v>
      </c>
      <c r="Q142" s="5">
        <f t="shared" si="2"/>
        <v>0.26222222222222225</v>
      </c>
      <c r="R142" s="5">
        <f t="shared" si="3"/>
        <v>15.733333333333334</v>
      </c>
    </row>
    <row r="143" spans="1:18">
      <c r="A143" s="4">
        <v>43972</v>
      </c>
      <c r="B143" s="1" t="s">
        <v>19</v>
      </c>
      <c r="C143" s="1">
        <f t="shared" si="10"/>
        <v>5</v>
      </c>
      <c r="D143" s="1">
        <f t="shared" si="11"/>
        <v>21</v>
      </c>
      <c r="E143" s="1">
        <f t="shared" si="12"/>
        <v>2020</v>
      </c>
      <c r="F143" s="1">
        <v>142</v>
      </c>
      <c r="G143" s="1">
        <v>155</v>
      </c>
      <c r="H143" s="1">
        <v>148</v>
      </c>
      <c r="I143" s="2">
        <v>0.95479999999999998</v>
      </c>
      <c r="J143" s="1">
        <v>7</v>
      </c>
      <c r="K143" s="3">
        <v>1.6203703703703703E-4</v>
      </c>
      <c r="L143" s="3">
        <v>1.6666666666666668E-3</v>
      </c>
      <c r="M143" s="3">
        <v>1.5972222222222223E-3</v>
      </c>
      <c r="N143" s="2">
        <v>0.85329999999999995</v>
      </c>
      <c r="O143" s="5">
        <f t="shared" si="0"/>
        <v>0.24666666666666667</v>
      </c>
      <c r="P143" s="5">
        <f t="shared" si="1"/>
        <v>14.8</v>
      </c>
      <c r="Q143" s="5">
        <f t="shared" si="2"/>
        <v>0.25833333333333336</v>
      </c>
      <c r="R143" s="5">
        <f t="shared" si="3"/>
        <v>15.500000000000002</v>
      </c>
    </row>
    <row r="144" spans="1:18">
      <c r="A144" s="4">
        <v>43973</v>
      </c>
      <c r="B144" s="1" t="s">
        <v>20</v>
      </c>
      <c r="C144" s="1">
        <f t="shared" si="10"/>
        <v>5</v>
      </c>
      <c r="D144" s="1">
        <f t="shared" si="11"/>
        <v>22</v>
      </c>
      <c r="E144" s="1">
        <f t="shared" si="12"/>
        <v>2020</v>
      </c>
      <c r="F144" s="1">
        <v>143</v>
      </c>
      <c r="G144" s="1">
        <v>144</v>
      </c>
      <c r="H144" s="1">
        <v>142</v>
      </c>
      <c r="I144" s="2">
        <v>0.98609999999999998</v>
      </c>
      <c r="J144" s="1">
        <v>2</v>
      </c>
      <c r="K144" s="3">
        <v>1.273148148148148E-4</v>
      </c>
      <c r="L144" s="3">
        <v>1.6087962962962963E-3</v>
      </c>
      <c r="M144" s="3">
        <v>7.5231481481481482E-4</v>
      </c>
      <c r="N144" s="2">
        <v>0.90210000000000001</v>
      </c>
      <c r="O144" s="5">
        <f t="shared" si="0"/>
        <v>0.22844907407407408</v>
      </c>
      <c r="P144" s="5">
        <f t="shared" si="1"/>
        <v>13.706944444444446</v>
      </c>
      <c r="Q144" s="5">
        <f t="shared" si="2"/>
        <v>0.23166666666666666</v>
      </c>
      <c r="R144" s="5">
        <f t="shared" si="3"/>
        <v>13.9</v>
      </c>
    </row>
    <row r="145" spans="1:18">
      <c r="A145" s="4">
        <v>43974</v>
      </c>
      <c r="B145" s="1" t="s">
        <v>21</v>
      </c>
      <c r="C145" s="1">
        <f t="shared" si="10"/>
        <v>5</v>
      </c>
      <c r="D145" s="1">
        <f t="shared" si="11"/>
        <v>23</v>
      </c>
      <c r="E145" s="1">
        <f t="shared" si="12"/>
        <v>2020</v>
      </c>
      <c r="F145" s="1">
        <v>144</v>
      </c>
      <c r="G145" s="1">
        <v>164</v>
      </c>
      <c r="H145" s="1">
        <v>162</v>
      </c>
      <c r="I145" s="2">
        <v>0.98780000000000001</v>
      </c>
      <c r="J145" s="1">
        <v>2</v>
      </c>
      <c r="K145" s="3">
        <v>1.3888888888888889E-4</v>
      </c>
      <c r="L145" s="3">
        <v>1.7939814814814815E-3</v>
      </c>
      <c r="M145" s="3">
        <v>1.2731481481481483E-3</v>
      </c>
      <c r="N145" s="2">
        <v>0.85370000000000001</v>
      </c>
      <c r="O145" s="5">
        <f t="shared" si="0"/>
        <v>0.29062500000000002</v>
      </c>
      <c r="P145" s="5">
        <f t="shared" si="1"/>
        <v>17.4375</v>
      </c>
      <c r="Q145" s="5">
        <f t="shared" si="2"/>
        <v>0.29421296296296295</v>
      </c>
      <c r="R145" s="5">
        <f t="shared" si="3"/>
        <v>17.652777777777779</v>
      </c>
    </row>
    <row r="146" spans="1:18">
      <c r="A146" s="4">
        <v>43975</v>
      </c>
      <c r="B146" s="1" t="s">
        <v>22</v>
      </c>
      <c r="C146" s="1">
        <f t="shared" si="10"/>
        <v>5</v>
      </c>
      <c r="D146" s="1">
        <f t="shared" si="11"/>
        <v>24</v>
      </c>
      <c r="E146" s="1">
        <f t="shared" si="12"/>
        <v>2020</v>
      </c>
      <c r="F146" s="1">
        <v>145</v>
      </c>
      <c r="G146" s="1">
        <v>27</v>
      </c>
      <c r="H146" s="1">
        <v>26</v>
      </c>
      <c r="I146" s="2">
        <v>0.96299999999999997</v>
      </c>
      <c r="J146" s="1">
        <v>1</v>
      </c>
      <c r="K146" s="3">
        <v>1.273148148148148E-4</v>
      </c>
      <c r="L146" s="3">
        <v>1.4351851851851852E-3</v>
      </c>
      <c r="M146" s="3">
        <v>8.9120370370370373E-4</v>
      </c>
      <c r="N146" s="2">
        <v>0.81479999999999997</v>
      </c>
      <c r="O146" s="5">
        <f t="shared" si="0"/>
        <v>3.7314814814814815E-2</v>
      </c>
      <c r="P146" s="5">
        <f t="shared" si="1"/>
        <v>2.2388888888888889</v>
      </c>
      <c r="Q146" s="5">
        <f t="shared" si="2"/>
        <v>3.875E-2</v>
      </c>
      <c r="R146" s="5">
        <f t="shared" si="3"/>
        <v>2.3250000000000002</v>
      </c>
    </row>
    <row r="147" spans="1:18">
      <c r="A147" s="4">
        <v>43976</v>
      </c>
      <c r="B147" s="1" t="s">
        <v>23</v>
      </c>
      <c r="C147" s="1">
        <f t="shared" si="10"/>
        <v>5</v>
      </c>
      <c r="D147" s="1">
        <f t="shared" si="11"/>
        <v>25</v>
      </c>
      <c r="E147" s="1">
        <f t="shared" si="12"/>
        <v>2020</v>
      </c>
      <c r="F147" s="1">
        <v>146</v>
      </c>
      <c r="G147" s="1">
        <v>177</v>
      </c>
      <c r="H147" s="1">
        <v>175</v>
      </c>
      <c r="I147" s="2">
        <v>0.98870000000000002</v>
      </c>
      <c r="J147" s="1">
        <v>2</v>
      </c>
      <c r="K147" s="3">
        <v>1.273148148148148E-4</v>
      </c>
      <c r="L147" s="3">
        <v>1.6087962962962963E-3</v>
      </c>
      <c r="M147" s="3">
        <v>1.0995370370370371E-3</v>
      </c>
      <c r="N147" s="2">
        <v>0.90859999999999996</v>
      </c>
      <c r="O147" s="5">
        <f t="shared" si="0"/>
        <v>0.28153935185185186</v>
      </c>
      <c r="P147" s="5">
        <f t="shared" si="1"/>
        <v>16.892361111111111</v>
      </c>
      <c r="Q147" s="5">
        <f t="shared" si="2"/>
        <v>0.28475694444444444</v>
      </c>
      <c r="R147" s="5">
        <f t="shared" si="3"/>
        <v>17.085416666666667</v>
      </c>
    </row>
    <row r="148" spans="1:18">
      <c r="A148" s="4">
        <v>43977</v>
      </c>
      <c r="B148" s="1" t="s">
        <v>24</v>
      </c>
      <c r="C148" s="1">
        <f t="shared" si="10"/>
        <v>5</v>
      </c>
      <c r="D148" s="1">
        <f t="shared" si="11"/>
        <v>26</v>
      </c>
      <c r="E148" s="1">
        <f t="shared" si="12"/>
        <v>2020</v>
      </c>
      <c r="F148" s="1">
        <v>147</v>
      </c>
      <c r="G148" s="1">
        <v>134</v>
      </c>
      <c r="H148" s="1">
        <v>131</v>
      </c>
      <c r="I148" s="2">
        <v>0.97760000000000002</v>
      </c>
      <c r="J148" s="1">
        <v>3</v>
      </c>
      <c r="K148" s="3">
        <v>1.6203703703703703E-4</v>
      </c>
      <c r="L148" s="3">
        <v>1.6550925925925926E-3</v>
      </c>
      <c r="M148" s="3">
        <v>1.1458333333333333E-3</v>
      </c>
      <c r="N148" s="2">
        <v>0.81340000000000001</v>
      </c>
      <c r="O148" s="5">
        <f t="shared" si="0"/>
        <v>0.21681712962962962</v>
      </c>
      <c r="P148" s="5">
        <f t="shared" si="1"/>
        <v>13.009027777777778</v>
      </c>
      <c r="Q148" s="5">
        <f t="shared" si="2"/>
        <v>0.2217824074074074</v>
      </c>
      <c r="R148" s="5">
        <f t="shared" si="3"/>
        <v>13.306944444444444</v>
      </c>
    </row>
    <row r="149" spans="1:18">
      <c r="A149" s="4">
        <v>43978</v>
      </c>
      <c r="B149" s="1" t="s">
        <v>18</v>
      </c>
      <c r="C149" s="1">
        <f t="shared" si="10"/>
        <v>5</v>
      </c>
      <c r="D149" s="1">
        <f t="shared" si="11"/>
        <v>27</v>
      </c>
      <c r="E149" s="1">
        <f t="shared" si="12"/>
        <v>2020</v>
      </c>
      <c r="F149" s="1">
        <v>148</v>
      </c>
      <c r="G149" s="1">
        <v>125</v>
      </c>
      <c r="H149" s="1">
        <v>120</v>
      </c>
      <c r="I149" s="2">
        <v>0.96</v>
      </c>
      <c r="J149" s="1">
        <v>5</v>
      </c>
      <c r="K149" s="3">
        <v>1.6203703703703703E-4</v>
      </c>
      <c r="L149" s="3">
        <v>1.6203703703703703E-3</v>
      </c>
      <c r="M149" s="3">
        <v>1.9907407407407408E-3</v>
      </c>
      <c r="N149" s="2">
        <v>0.84550000000000003</v>
      </c>
      <c r="O149" s="5">
        <f t="shared" si="0"/>
        <v>0.19444444444444445</v>
      </c>
      <c r="P149" s="5">
        <f t="shared" si="1"/>
        <v>11.666666666666666</v>
      </c>
      <c r="Q149" s="5">
        <f t="shared" si="2"/>
        <v>0.20254629629629628</v>
      </c>
      <c r="R149" s="5">
        <f t="shared" si="3"/>
        <v>12.152777777777777</v>
      </c>
    </row>
    <row r="150" spans="1:18">
      <c r="A150" s="4">
        <v>43979</v>
      </c>
      <c r="B150" s="1" t="s">
        <v>19</v>
      </c>
      <c r="C150" s="1">
        <f t="shared" si="10"/>
        <v>5</v>
      </c>
      <c r="D150" s="1">
        <f t="shared" si="11"/>
        <v>28</v>
      </c>
      <c r="E150" s="1">
        <f t="shared" si="12"/>
        <v>2020</v>
      </c>
      <c r="F150" s="1">
        <v>149</v>
      </c>
      <c r="G150" s="1">
        <v>167</v>
      </c>
      <c r="H150" s="1">
        <v>163</v>
      </c>
      <c r="I150" s="2">
        <v>0.97599999999999998</v>
      </c>
      <c r="J150" s="1">
        <v>4</v>
      </c>
      <c r="K150" s="3">
        <v>1.8518518518518518E-4</v>
      </c>
      <c r="L150" s="3">
        <v>1.6666666666666668E-3</v>
      </c>
      <c r="M150" s="3">
        <v>8.3333333333333339E-4</v>
      </c>
      <c r="N150" s="2">
        <v>0.81210000000000004</v>
      </c>
      <c r="O150" s="5">
        <f t="shared" si="0"/>
        <v>0.27166666666666667</v>
      </c>
      <c r="P150" s="5">
        <f t="shared" si="1"/>
        <v>16.3</v>
      </c>
      <c r="Q150" s="5">
        <f t="shared" si="2"/>
        <v>0.27833333333333338</v>
      </c>
      <c r="R150" s="5">
        <f t="shared" si="3"/>
        <v>16.700000000000003</v>
      </c>
    </row>
    <row r="151" spans="1:18">
      <c r="A151" s="4">
        <v>43980</v>
      </c>
      <c r="B151" s="1" t="s">
        <v>20</v>
      </c>
      <c r="C151" s="1">
        <f t="shared" si="10"/>
        <v>5</v>
      </c>
      <c r="D151" s="1">
        <f t="shared" si="11"/>
        <v>29</v>
      </c>
      <c r="E151" s="1">
        <f t="shared" si="12"/>
        <v>2020</v>
      </c>
      <c r="F151" s="1">
        <v>150</v>
      </c>
      <c r="G151" s="1">
        <v>169</v>
      </c>
      <c r="H151" s="1">
        <v>167</v>
      </c>
      <c r="I151" s="2">
        <v>0.98819999999999997</v>
      </c>
      <c r="J151" s="1">
        <v>2</v>
      </c>
      <c r="K151" s="3">
        <v>1.0416666666666667E-4</v>
      </c>
      <c r="L151" s="3">
        <v>1.5509259259259259E-3</v>
      </c>
      <c r="M151" s="3">
        <v>1.2037037037037038E-3</v>
      </c>
      <c r="N151" s="2">
        <v>0.89939999999999998</v>
      </c>
      <c r="O151" s="5">
        <f t="shared" si="0"/>
        <v>0.25900462962962961</v>
      </c>
      <c r="P151" s="5">
        <f t="shared" si="1"/>
        <v>15.540277777777776</v>
      </c>
      <c r="Q151" s="5">
        <f t="shared" si="2"/>
        <v>0.26210648148148147</v>
      </c>
      <c r="R151" s="5">
        <f t="shared" si="3"/>
        <v>15.726388888888888</v>
      </c>
    </row>
    <row r="152" spans="1:18">
      <c r="A152" s="4">
        <v>43981</v>
      </c>
      <c r="B152" s="1" t="s">
        <v>21</v>
      </c>
      <c r="C152" s="1">
        <f t="shared" si="10"/>
        <v>5</v>
      </c>
      <c r="D152" s="1">
        <f t="shared" si="11"/>
        <v>30</v>
      </c>
      <c r="E152" s="1">
        <f t="shared" si="12"/>
        <v>2020</v>
      </c>
      <c r="F152" s="1">
        <v>151</v>
      </c>
      <c r="G152" s="1">
        <v>162</v>
      </c>
      <c r="H152" s="1">
        <v>160</v>
      </c>
      <c r="I152" s="2">
        <v>0.98770000000000002</v>
      </c>
      <c r="J152" s="1">
        <v>2</v>
      </c>
      <c r="K152" s="3">
        <v>1.8518518518518518E-4</v>
      </c>
      <c r="L152" s="3">
        <v>1.5625000000000001E-3</v>
      </c>
      <c r="M152" s="3">
        <v>1.0532407407407407E-3</v>
      </c>
      <c r="N152" s="2">
        <v>0.83130000000000004</v>
      </c>
      <c r="O152" s="5">
        <f t="shared" si="0"/>
        <v>0.25</v>
      </c>
      <c r="P152" s="5">
        <f t="shared" si="1"/>
        <v>15</v>
      </c>
      <c r="Q152" s="5">
        <f t="shared" si="2"/>
        <v>0.25312499999999999</v>
      </c>
      <c r="R152" s="5">
        <f t="shared" si="3"/>
        <v>15.1875</v>
      </c>
    </row>
    <row r="153" spans="1:18">
      <c r="A153" s="4">
        <v>43982</v>
      </c>
      <c r="B153" s="1" t="s">
        <v>22</v>
      </c>
      <c r="C153" s="1">
        <f t="shared" si="10"/>
        <v>5</v>
      </c>
      <c r="D153" s="1">
        <f t="shared" si="11"/>
        <v>31</v>
      </c>
      <c r="E153" s="1">
        <f t="shared" si="12"/>
        <v>2020</v>
      </c>
      <c r="F153" s="1">
        <v>152</v>
      </c>
      <c r="G153" s="1">
        <v>25</v>
      </c>
      <c r="H153" s="1">
        <v>25</v>
      </c>
      <c r="I153" s="2">
        <v>1</v>
      </c>
      <c r="J153" s="1">
        <v>0</v>
      </c>
      <c r="K153" s="3">
        <v>1.8518518518518518E-4</v>
      </c>
      <c r="L153" s="3">
        <v>1.7939814814814815E-3</v>
      </c>
      <c r="M153" s="3">
        <v>6.7129629629629625E-4</v>
      </c>
      <c r="N153" s="2">
        <v>0.76</v>
      </c>
      <c r="O153" s="5">
        <f t="shared" si="0"/>
        <v>4.4849537037037035E-2</v>
      </c>
      <c r="P153" s="5">
        <f t="shared" si="1"/>
        <v>2.6909722222222223</v>
      </c>
      <c r="Q153" s="5">
        <f t="shared" si="2"/>
        <v>4.4849537037037035E-2</v>
      </c>
      <c r="R153" s="5">
        <f t="shared" si="3"/>
        <v>2.6909722222222223</v>
      </c>
    </row>
    <row r="154" spans="1:18">
      <c r="A154" s="4">
        <v>43983</v>
      </c>
      <c r="B154" s="1" t="s">
        <v>23</v>
      </c>
      <c r="C154" s="1">
        <f t="shared" si="10"/>
        <v>6</v>
      </c>
      <c r="D154" s="1">
        <f t="shared" si="11"/>
        <v>1</v>
      </c>
      <c r="E154" s="1">
        <f t="shared" si="12"/>
        <v>2020</v>
      </c>
      <c r="F154" s="1">
        <v>153</v>
      </c>
      <c r="G154" s="1">
        <v>157</v>
      </c>
      <c r="H154" s="1">
        <v>146</v>
      </c>
      <c r="I154" s="2">
        <v>0.92989999999999995</v>
      </c>
      <c r="J154" s="1">
        <v>11</v>
      </c>
      <c r="K154" s="3">
        <v>1.9675925925925926E-4</v>
      </c>
      <c r="L154" s="3">
        <v>1.5856481481481481E-3</v>
      </c>
      <c r="M154" s="3">
        <v>1.2847222222222223E-3</v>
      </c>
      <c r="N154" s="2">
        <v>0.7974</v>
      </c>
      <c r="O154" s="5">
        <f t="shared" si="0"/>
        <v>0.23150462962962962</v>
      </c>
      <c r="P154" s="5">
        <f t="shared" si="1"/>
        <v>13.890277777777778</v>
      </c>
      <c r="Q154" s="5">
        <f t="shared" si="2"/>
        <v>0.24894675925925924</v>
      </c>
      <c r="R154" s="5">
        <f t="shared" si="3"/>
        <v>14.936805555555555</v>
      </c>
    </row>
    <row r="155" spans="1:18">
      <c r="A155" s="4">
        <v>43984</v>
      </c>
      <c r="B155" s="1" t="s">
        <v>24</v>
      </c>
      <c r="C155" s="1">
        <f t="shared" si="10"/>
        <v>6</v>
      </c>
      <c r="D155" s="1">
        <f t="shared" si="11"/>
        <v>2</v>
      </c>
      <c r="E155" s="1">
        <f t="shared" si="12"/>
        <v>2020</v>
      </c>
      <c r="F155" s="1">
        <v>154</v>
      </c>
      <c r="G155" s="1">
        <v>166</v>
      </c>
      <c r="H155" s="1">
        <v>154</v>
      </c>
      <c r="I155" s="2">
        <v>0.92769999999999997</v>
      </c>
      <c r="J155" s="1">
        <v>12</v>
      </c>
      <c r="K155" s="3">
        <v>2.8935185185185184E-4</v>
      </c>
      <c r="L155" s="3">
        <v>1.5972222222222223E-3</v>
      </c>
      <c r="M155" s="3">
        <v>2.5347222222222221E-3</v>
      </c>
      <c r="N155" s="2">
        <v>0.66259999999999997</v>
      </c>
      <c r="O155" s="5">
        <f t="shared" si="0"/>
        <v>0.24597222222222223</v>
      </c>
      <c r="P155" s="5">
        <f t="shared" si="1"/>
        <v>14.758333333333335</v>
      </c>
      <c r="Q155" s="5">
        <f t="shared" si="2"/>
        <v>0.26513888888888892</v>
      </c>
      <c r="R155" s="5">
        <f t="shared" si="3"/>
        <v>15.908333333333335</v>
      </c>
    </row>
    <row r="156" spans="1:18">
      <c r="A156" s="4">
        <v>43985</v>
      </c>
      <c r="B156" s="1" t="s">
        <v>18</v>
      </c>
      <c r="C156" s="1">
        <f t="shared" si="10"/>
        <v>6</v>
      </c>
      <c r="D156" s="1">
        <f t="shared" si="11"/>
        <v>3</v>
      </c>
      <c r="E156" s="1">
        <f t="shared" si="12"/>
        <v>2020</v>
      </c>
      <c r="F156" s="1">
        <v>155</v>
      </c>
      <c r="G156" s="1">
        <v>58</v>
      </c>
      <c r="H156" s="1">
        <v>55</v>
      </c>
      <c r="I156" s="2">
        <v>0.94830000000000003</v>
      </c>
      <c r="J156" s="1">
        <v>3</v>
      </c>
      <c r="K156" s="3">
        <v>1.8518518518518518E-4</v>
      </c>
      <c r="L156" s="3">
        <v>1.5162037037037036E-3</v>
      </c>
      <c r="M156" s="3">
        <v>1.9097222222222222E-3</v>
      </c>
      <c r="N156" s="2">
        <v>0.74139999999999995</v>
      </c>
      <c r="O156" s="5">
        <f t="shared" si="0"/>
        <v>8.3391203703703703E-2</v>
      </c>
      <c r="P156" s="5">
        <f t="shared" si="1"/>
        <v>5.0034722222222223</v>
      </c>
      <c r="Q156" s="5">
        <f t="shared" si="2"/>
        <v>8.7939814814814804E-2</v>
      </c>
      <c r="R156" s="5">
        <f t="shared" si="3"/>
        <v>5.2763888888888886</v>
      </c>
    </row>
    <row r="157" spans="1:18">
      <c r="A157" s="4">
        <v>43986</v>
      </c>
      <c r="B157" s="1" t="s">
        <v>19</v>
      </c>
      <c r="C157" s="1">
        <f t="shared" si="10"/>
        <v>6</v>
      </c>
      <c r="D157" s="1">
        <f t="shared" si="11"/>
        <v>4</v>
      </c>
      <c r="E157" s="1">
        <f t="shared" si="12"/>
        <v>2020</v>
      </c>
      <c r="F157" s="1">
        <v>156</v>
      </c>
      <c r="G157" s="1">
        <v>75</v>
      </c>
      <c r="H157" s="1">
        <v>74</v>
      </c>
      <c r="I157" s="2">
        <v>0.98670000000000002</v>
      </c>
      <c r="J157" s="1">
        <v>1</v>
      </c>
      <c r="K157" s="3">
        <v>1.7361111111111112E-4</v>
      </c>
      <c r="L157" s="3">
        <v>1.5393518518518519E-3</v>
      </c>
      <c r="M157" s="3">
        <v>2.2916666666666667E-3</v>
      </c>
      <c r="N157" s="2">
        <v>0.84</v>
      </c>
      <c r="O157" s="5">
        <f t="shared" si="0"/>
        <v>0.11391203703703703</v>
      </c>
      <c r="P157" s="5">
        <f t="shared" si="1"/>
        <v>6.8347222222222221</v>
      </c>
      <c r="Q157" s="5">
        <f t="shared" si="2"/>
        <v>0.1154513888888889</v>
      </c>
      <c r="R157" s="5">
        <f t="shared" si="3"/>
        <v>6.9270833333333339</v>
      </c>
    </row>
    <row r="158" spans="1:18">
      <c r="A158" s="4">
        <v>43987</v>
      </c>
      <c r="B158" s="1" t="s">
        <v>20</v>
      </c>
      <c r="C158" s="1">
        <f t="shared" si="10"/>
        <v>6</v>
      </c>
      <c r="D158" s="1">
        <f t="shared" si="11"/>
        <v>5</v>
      </c>
      <c r="E158" s="1">
        <f t="shared" si="12"/>
        <v>2020</v>
      </c>
      <c r="F158" s="1">
        <v>157</v>
      </c>
      <c r="G158" s="1">
        <v>28</v>
      </c>
      <c r="H158" s="1">
        <v>28</v>
      </c>
      <c r="I158" s="2">
        <v>1</v>
      </c>
      <c r="J158" s="1">
        <v>0</v>
      </c>
      <c r="K158" s="3">
        <v>8.1018518518518516E-5</v>
      </c>
      <c r="L158" s="3">
        <v>1.712962962962963E-3</v>
      </c>
      <c r="M158" s="3">
        <v>5.9027777777777778E-4</v>
      </c>
      <c r="N158" s="2">
        <v>0.96430000000000005</v>
      </c>
      <c r="O158" s="5">
        <f t="shared" si="0"/>
        <v>4.7962962962962964E-2</v>
      </c>
      <c r="P158" s="5">
        <f t="shared" si="1"/>
        <v>2.8777777777777778</v>
      </c>
      <c r="Q158" s="5">
        <f t="shared" si="2"/>
        <v>4.7962962962962964E-2</v>
      </c>
      <c r="R158" s="5">
        <f t="shared" si="3"/>
        <v>2.8777777777777778</v>
      </c>
    </row>
    <row r="159" spans="1:18">
      <c r="A159" s="4">
        <v>43988</v>
      </c>
      <c r="B159" s="1" t="s">
        <v>21</v>
      </c>
      <c r="C159" s="1">
        <f t="shared" si="10"/>
        <v>6</v>
      </c>
      <c r="D159" s="1">
        <f t="shared" si="11"/>
        <v>6</v>
      </c>
      <c r="E159" s="1">
        <f t="shared" si="12"/>
        <v>2020</v>
      </c>
      <c r="F159" s="1">
        <v>158</v>
      </c>
      <c r="G159" s="1">
        <v>108</v>
      </c>
      <c r="H159" s="1">
        <v>107</v>
      </c>
      <c r="I159" s="2">
        <v>0.99070000000000003</v>
      </c>
      <c r="J159" s="1">
        <v>1</v>
      </c>
      <c r="K159" s="3">
        <v>1.0416666666666667E-4</v>
      </c>
      <c r="L159" s="3">
        <v>1.5162037037037036E-3</v>
      </c>
      <c r="M159" s="3">
        <v>6.8287037037037036E-4</v>
      </c>
      <c r="N159" s="2">
        <v>0.94440000000000002</v>
      </c>
      <c r="O159" s="5">
        <f t="shared" si="0"/>
        <v>0.16223379629629628</v>
      </c>
      <c r="P159" s="5">
        <f t="shared" si="1"/>
        <v>9.7340277777777775</v>
      </c>
      <c r="Q159" s="5">
        <f t="shared" si="2"/>
        <v>0.16375000000000001</v>
      </c>
      <c r="R159" s="5">
        <f t="shared" si="3"/>
        <v>9.8250000000000011</v>
      </c>
    </row>
    <row r="160" spans="1:18">
      <c r="A160" s="4">
        <v>43989</v>
      </c>
      <c r="B160" s="1" t="s">
        <v>22</v>
      </c>
      <c r="C160" s="1">
        <f t="shared" si="10"/>
        <v>6</v>
      </c>
      <c r="D160" s="1">
        <f t="shared" si="11"/>
        <v>7</v>
      </c>
      <c r="E160" s="1">
        <f t="shared" si="12"/>
        <v>2020</v>
      </c>
      <c r="F160" s="1">
        <v>159</v>
      </c>
      <c r="G160" s="1">
        <v>21</v>
      </c>
      <c r="H160" s="1">
        <v>21</v>
      </c>
      <c r="I160" s="2">
        <v>1</v>
      </c>
      <c r="J160" s="1">
        <v>0</v>
      </c>
      <c r="K160" s="3">
        <v>8.1018518518518516E-5</v>
      </c>
      <c r="L160" s="3">
        <v>2.0601851851851853E-3</v>
      </c>
      <c r="M160" s="3">
        <v>6.7129629629629625E-4</v>
      </c>
      <c r="N160" s="2">
        <v>0.95240000000000002</v>
      </c>
      <c r="O160" s="5">
        <f t="shared" si="0"/>
        <v>4.3263888888888893E-2</v>
      </c>
      <c r="P160" s="5">
        <f t="shared" si="1"/>
        <v>2.5958333333333337</v>
      </c>
      <c r="Q160" s="5">
        <f t="shared" si="2"/>
        <v>4.3263888888888893E-2</v>
      </c>
      <c r="R160" s="5">
        <f t="shared" si="3"/>
        <v>2.5958333333333337</v>
      </c>
    </row>
    <row r="161" spans="1:18">
      <c r="A161" s="4">
        <v>43990</v>
      </c>
      <c r="B161" s="1" t="s">
        <v>23</v>
      </c>
      <c r="C161" s="1">
        <f t="shared" si="10"/>
        <v>6</v>
      </c>
      <c r="D161" s="1">
        <f t="shared" si="11"/>
        <v>8</v>
      </c>
      <c r="E161" s="1">
        <f t="shared" si="12"/>
        <v>2020</v>
      </c>
      <c r="F161" s="1">
        <v>160</v>
      </c>
      <c r="G161" s="1">
        <v>189</v>
      </c>
      <c r="H161" s="1">
        <v>182</v>
      </c>
      <c r="I161" s="2">
        <v>0.96299999999999997</v>
      </c>
      <c r="J161" s="1">
        <v>7</v>
      </c>
      <c r="K161" s="3">
        <v>2.4305555555555555E-4</v>
      </c>
      <c r="L161" s="3">
        <v>1.5046296296296296E-3</v>
      </c>
      <c r="M161" s="3">
        <v>3.3101851851851851E-3</v>
      </c>
      <c r="N161" s="2">
        <v>0.76339999999999997</v>
      </c>
      <c r="O161" s="5">
        <f t="shared" si="0"/>
        <v>0.27384259259259258</v>
      </c>
      <c r="P161" s="5">
        <f t="shared" si="1"/>
        <v>16.430555555555554</v>
      </c>
      <c r="Q161" s="5">
        <f t="shared" si="2"/>
        <v>0.28437499999999999</v>
      </c>
      <c r="R161" s="5">
        <f t="shared" si="3"/>
        <v>17.0625</v>
      </c>
    </row>
    <row r="162" spans="1:18">
      <c r="A162" s="4">
        <v>43991</v>
      </c>
      <c r="B162" s="1" t="s">
        <v>24</v>
      </c>
      <c r="C162" s="1">
        <f t="shared" si="10"/>
        <v>6</v>
      </c>
      <c r="D162" s="1">
        <f t="shared" si="11"/>
        <v>9</v>
      </c>
      <c r="E162" s="1">
        <f t="shared" si="12"/>
        <v>2020</v>
      </c>
      <c r="F162" s="1">
        <v>161</v>
      </c>
      <c r="G162" s="1">
        <v>161</v>
      </c>
      <c r="H162" s="1">
        <v>155</v>
      </c>
      <c r="I162" s="2">
        <v>0.9627</v>
      </c>
      <c r="J162" s="1">
        <v>6</v>
      </c>
      <c r="K162" s="3">
        <v>2.199074074074074E-4</v>
      </c>
      <c r="L162" s="3">
        <v>1.7013888888888888E-3</v>
      </c>
      <c r="M162" s="3">
        <v>1.2731481481481483E-3</v>
      </c>
      <c r="N162" s="2">
        <v>0.71879999999999999</v>
      </c>
      <c r="O162" s="5">
        <f t="shared" si="0"/>
        <v>0.26371527777777776</v>
      </c>
      <c r="P162" s="5">
        <f t="shared" si="1"/>
        <v>15.822916666666666</v>
      </c>
      <c r="Q162" s="5">
        <f t="shared" si="2"/>
        <v>0.27392361111111108</v>
      </c>
      <c r="R162" s="5">
        <f t="shared" si="3"/>
        <v>16.435416666666665</v>
      </c>
    </row>
    <row r="163" spans="1:18">
      <c r="A163" s="4">
        <v>43992</v>
      </c>
      <c r="B163" s="1" t="s">
        <v>18</v>
      </c>
      <c r="C163" s="1">
        <f t="shared" si="10"/>
        <v>6</v>
      </c>
      <c r="D163" s="1">
        <f t="shared" si="11"/>
        <v>10</v>
      </c>
      <c r="E163" s="1">
        <f t="shared" si="12"/>
        <v>2020</v>
      </c>
      <c r="F163" s="1">
        <v>162</v>
      </c>
      <c r="G163" s="1">
        <v>155</v>
      </c>
      <c r="H163" s="1">
        <v>151</v>
      </c>
      <c r="I163" s="2">
        <v>0.97419999999999995</v>
      </c>
      <c r="J163" s="1">
        <v>4</v>
      </c>
      <c r="K163" s="3">
        <v>1.9675925925925926E-4</v>
      </c>
      <c r="L163" s="3">
        <v>1.6203703703703703E-3</v>
      </c>
      <c r="M163" s="3">
        <v>1.261574074074074E-3</v>
      </c>
      <c r="N163" s="2">
        <v>0.80520000000000003</v>
      </c>
      <c r="O163" s="5">
        <f t="shared" si="0"/>
        <v>0.24467592592592591</v>
      </c>
      <c r="P163" s="5">
        <f t="shared" si="1"/>
        <v>14.680555555555554</v>
      </c>
      <c r="Q163" s="5">
        <f t="shared" si="2"/>
        <v>0.25115740740740738</v>
      </c>
      <c r="R163" s="5">
        <f t="shared" si="3"/>
        <v>15.069444444444443</v>
      </c>
    </row>
    <row r="164" spans="1:18">
      <c r="A164" s="4">
        <v>43993</v>
      </c>
      <c r="B164" s="1" t="s">
        <v>19</v>
      </c>
      <c r="C164" s="1">
        <f t="shared" si="10"/>
        <v>6</v>
      </c>
      <c r="D164" s="1">
        <f t="shared" si="11"/>
        <v>11</v>
      </c>
      <c r="E164" s="1">
        <f t="shared" si="12"/>
        <v>2020</v>
      </c>
      <c r="F164" s="1">
        <v>163</v>
      </c>
      <c r="G164" s="1">
        <v>161</v>
      </c>
      <c r="H164" s="1">
        <v>150</v>
      </c>
      <c r="I164" s="2">
        <v>0.93169999999999997</v>
      </c>
      <c r="J164" s="1">
        <v>11</v>
      </c>
      <c r="K164" s="3">
        <v>1.9675925925925926E-4</v>
      </c>
      <c r="L164" s="3">
        <v>1.6435185185185185E-3</v>
      </c>
      <c r="M164" s="3">
        <v>1.9097222222222222E-3</v>
      </c>
      <c r="N164" s="2">
        <v>0.75319999999999998</v>
      </c>
      <c r="O164" s="5">
        <f t="shared" si="0"/>
        <v>0.24652777777777779</v>
      </c>
      <c r="P164" s="5">
        <f t="shared" si="1"/>
        <v>14.791666666666668</v>
      </c>
      <c r="Q164" s="5">
        <f t="shared" si="2"/>
        <v>0.26460648148148147</v>
      </c>
      <c r="R164" s="5">
        <f t="shared" si="3"/>
        <v>15.876388888888888</v>
      </c>
    </row>
    <row r="165" spans="1:18">
      <c r="A165" s="4">
        <v>43994</v>
      </c>
      <c r="B165" s="1" t="s">
        <v>20</v>
      </c>
      <c r="C165" s="1">
        <f t="shared" si="10"/>
        <v>6</v>
      </c>
      <c r="D165" s="1">
        <f t="shared" si="11"/>
        <v>12</v>
      </c>
      <c r="E165" s="1">
        <f t="shared" si="12"/>
        <v>2020</v>
      </c>
      <c r="F165" s="1">
        <v>164</v>
      </c>
      <c r="G165" s="1">
        <v>132</v>
      </c>
      <c r="H165" s="1">
        <v>129</v>
      </c>
      <c r="I165" s="2">
        <v>0.97729999999999995</v>
      </c>
      <c r="J165" s="1">
        <v>3</v>
      </c>
      <c r="K165" s="3">
        <v>3.1250000000000001E-4</v>
      </c>
      <c r="L165" s="3">
        <v>1.6435185185185185E-3</v>
      </c>
      <c r="M165" s="3">
        <v>1.7824074074074075E-3</v>
      </c>
      <c r="N165" s="2">
        <v>0.65149999999999997</v>
      </c>
      <c r="O165" s="5">
        <f t="shared" si="0"/>
        <v>0.21201388888888889</v>
      </c>
      <c r="P165" s="5">
        <f t="shared" si="1"/>
        <v>12.720833333333333</v>
      </c>
      <c r="Q165" s="5">
        <f t="shared" si="2"/>
        <v>0.21694444444444444</v>
      </c>
      <c r="R165" s="5">
        <f t="shared" si="3"/>
        <v>13.016666666666666</v>
      </c>
    </row>
    <row r="166" spans="1:18">
      <c r="A166" s="4">
        <v>43995</v>
      </c>
      <c r="B166" s="1" t="s">
        <v>21</v>
      </c>
      <c r="C166" s="1">
        <f t="shared" si="10"/>
        <v>6</v>
      </c>
      <c r="D166" s="1">
        <f t="shared" si="11"/>
        <v>13</v>
      </c>
      <c r="E166" s="1">
        <f t="shared" si="12"/>
        <v>2020</v>
      </c>
      <c r="F166" s="1">
        <v>165</v>
      </c>
      <c r="G166" s="1">
        <v>122</v>
      </c>
      <c r="H166" s="1">
        <v>119</v>
      </c>
      <c r="I166" s="2">
        <v>0.97540000000000004</v>
      </c>
      <c r="J166" s="1">
        <v>3</v>
      </c>
      <c r="K166" s="3">
        <v>1.8518518518518518E-4</v>
      </c>
      <c r="L166" s="3">
        <v>1.6666666666666668E-3</v>
      </c>
      <c r="M166" s="3">
        <v>1.2731481481481483E-3</v>
      </c>
      <c r="N166" s="2">
        <v>0.8</v>
      </c>
      <c r="O166" s="5">
        <f t="shared" si="0"/>
        <v>0.19833333333333333</v>
      </c>
      <c r="P166" s="5">
        <f t="shared" si="1"/>
        <v>11.9</v>
      </c>
      <c r="Q166" s="5">
        <f t="shared" si="2"/>
        <v>0.20333333333333334</v>
      </c>
      <c r="R166" s="5">
        <f t="shared" si="3"/>
        <v>12.200000000000001</v>
      </c>
    </row>
    <row r="167" spans="1:18">
      <c r="A167" s="4">
        <v>43996</v>
      </c>
      <c r="B167" s="1" t="s">
        <v>22</v>
      </c>
      <c r="C167" s="1">
        <f t="shared" si="10"/>
        <v>6</v>
      </c>
      <c r="D167" s="1">
        <f t="shared" si="11"/>
        <v>14</v>
      </c>
      <c r="E167" s="1">
        <f t="shared" si="12"/>
        <v>2020</v>
      </c>
      <c r="F167" s="1">
        <v>166</v>
      </c>
      <c r="G167" s="1">
        <v>17</v>
      </c>
      <c r="H167" s="1">
        <v>17</v>
      </c>
      <c r="I167" s="2">
        <v>1</v>
      </c>
      <c r="J167" s="1">
        <v>0</v>
      </c>
      <c r="K167" s="3">
        <v>2.4305555555555555E-4</v>
      </c>
      <c r="L167" s="3">
        <v>1.8518518518518519E-3</v>
      </c>
      <c r="M167" s="3">
        <v>6.7129629629629625E-4</v>
      </c>
      <c r="N167" s="2">
        <v>0.76470000000000005</v>
      </c>
      <c r="O167" s="5">
        <f t="shared" si="0"/>
        <v>3.1481481481481485E-2</v>
      </c>
      <c r="P167" s="5">
        <f t="shared" si="1"/>
        <v>1.8888888888888891</v>
      </c>
      <c r="Q167" s="5">
        <f t="shared" si="2"/>
        <v>3.1481481481481485E-2</v>
      </c>
      <c r="R167" s="5">
        <f t="shared" si="3"/>
        <v>1.8888888888888891</v>
      </c>
    </row>
    <row r="168" spans="1:18">
      <c r="A168" s="4">
        <v>43997</v>
      </c>
      <c r="B168" s="1" t="s">
        <v>23</v>
      </c>
      <c r="C168" s="1">
        <f t="shared" si="10"/>
        <v>6</v>
      </c>
      <c r="D168" s="1">
        <f t="shared" si="11"/>
        <v>15</v>
      </c>
      <c r="E168" s="1">
        <f t="shared" si="12"/>
        <v>2020</v>
      </c>
      <c r="F168" s="1">
        <v>167</v>
      </c>
      <c r="G168" s="1">
        <v>45</v>
      </c>
      <c r="H168" s="1">
        <v>45</v>
      </c>
      <c r="I168" s="2">
        <v>1</v>
      </c>
      <c r="J168" s="1">
        <v>0</v>
      </c>
      <c r="K168" s="3">
        <v>6.9444444444444444E-5</v>
      </c>
      <c r="L168" s="3">
        <v>1.4583333333333334E-3</v>
      </c>
      <c r="M168" s="3">
        <v>6.5972222222222224E-4</v>
      </c>
      <c r="N168" s="2">
        <v>0.9556</v>
      </c>
      <c r="O168" s="5">
        <f t="shared" si="0"/>
        <v>6.5625000000000003E-2</v>
      </c>
      <c r="P168" s="5">
        <f t="shared" si="1"/>
        <v>3.9375</v>
      </c>
      <c r="Q168" s="5">
        <f t="shared" si="2"/>
        <v>6.5625000000000003E-2</v>
      </c>
      <c r="R168" s="5">
        <f t="shared" si="3"/>
        <v>3.9375</v>
      </c>
    </row>
    <row r="169" spans="1:18">
      <c r="A169" s="4">
        <v>43998</v>
      </c>
      <c r="B169" s="1" t="s">
        <v>24</v>
      </c>
      <c r="C169" s="1">
        <f t="shared" si="10"/>
        <v>6</v>
      </c>
      <c r="D169" s="1">
        <f t="shared" si="11"/>
        <v>16</v>
      </c>
      <c r="E169" s="1">
        <f t="shared" si="12"/>
        <v>2020</v>
      </c>
      <c r="F169" s="1">
        <v>168</v>
      </c>
      <c r="G169" s="1">
        <v>177</v>
      </c>
      <c r="H169" s="1">
        <v>172</v>
      </c>
      <c r="I169" s="2">
        <v>0.9718</v>
      </c>
      <c r="J169" s="1">
        <v>5</v>
      </c>
      <c r="K169" s="3">
        <v>2.3148148148148149E-4</v>
      </c>
      <c r="L169" s="3">
        <v>1.6550925925925926E-3</v>
      </c>
      <c r="M169" s="3">
        <v>1.9791666666666668E-3</v>
      </c>
      <c r="N169" s="2">
        <v>0.76</v>
      </c>
      <c r="O169" s="5">
        <f t="shared" si="0"/>
        <v>0.28467592592592594</v>
      </c>
      <c r="P169" s="5">
        <f t="shared" si="1"/>
        <v>17.080555555555556</v>
      </c>
      <c r="Q169" s="5">
        <f t="shared" si="2"/>
        <v>0.29295138888888889</v>
      </c>
      <c r="R169" s="5">
        <f t="shared" si="3"/>
        <v>17.577083333333334</v>
      </c>
    </row>
    <row r="170" spans="1:18">
      <c r="A170" s="4">
        <v>43999</v>
      </c>
      <c r="B170" s="1" t="s">
        <v>18</v>
      </c>
      <c r="C170" s="1">
        <f t="shared" si="10"/>
        <v>6</v>
      </c>
      <c r="D170" s="1">
        <f t="shared" si="11"/>
        <v>17</v>
      </c>
      <c r="E170" s="1">
        <f t="shared" si="12"/>
        <v>2020</v>
      </c>
      <c r="F170" s="1">
        <v>169</v>
      </c>
      <c r="G170" s="1">
        <v>133</v>
      </c>
      <c r="H170" s="1">
        <v>132</v>
      </c>
      <c r="I170" s="2">
        <v>0.99250000000000005</v>
      </c>
      <c r="J170" s="1">
        <v>1</v>
      </c>
      <c r="K170" s="3">
        <v>1.1574074074074075E-4</v>
      </c>
      <c r="L170" s="3">
        <v>1.6782407407407408E-3</v>
      </c>
      <c r="M170" s="3">
        <v>6.8287037037037036E-4</v>
      </c>
      <c r="N170" s="2">
        <v>0.93230000000000002</v>
      </c>
      <c r="O170" s="5">
        <f t="shared" si="0"/>
        <v>0.2215277777777778</v>
      </c>
      <c r="P170" s="5">
        <f t="shared" si="1"/>
        <v>13.291666666666668</v>
      </c>
      <c r="Q170" s="5">
        <f t="shared" si="2"/>
        <v>0.22320601851851851</v>
      </c>
      <c r="R170" s="5">
        <f t="shared" si="3"/>
        <v>13.392361111111111</v>
      </c>
    </row>
    <row r="171" spans="1:18">
      <c r="A171" s="4">
        <v>44000</v>
      </c>
      <c r="B171" s="1" t="s">
        <v>19</v>
      </c>
      <c r="C171" s="1">
        <f t="shared" si="10"/>
        <v>6</v>
      </c>
      <c r="D171" s="1">
        <f t="shared" si="11"/>
        <v>18</v>
      </c>
      <c r="E171" s="1">
        <f t="shared" si="12"/>
        <v>2020</v>
      </c>
      <c r="F171" s="1">
        <v>170</v>
      </c>
      <c r="G171" s="1">
        <v>177</v>
      </c>
      <c r="H171" s="1">
        <v>167</v>
      </c>
      <c r="I171" s="2">
        <v>0.94350000000000001</v>
      </c>
      <c r="J171" s="1">
        <v>10</v>
      </c>
      <c r="K171" s="3">
        <v>1.7361111111111112E-4</v>
      </c>
      <c r="L171" s="3">
        <v>1.6435185185185185E-3</v>
      </c>
      <c r="M171" s="3">
        <v>3.1828703703703702E-3</v>
      </c>
      <c r="N171" s="2">
        <v>0.83240000000000003</v>
      </c>
      <c r="O171" s="5">
        <f t="shared" si="0"/>
        <v>0.27446759259259262</v>
      </c>
      <c r="P171" s="5">
        <f t="shared" si="1"/>
        <v>16.468055555555559</v>
      </c>
      <c r="Q171" s="5">
        <f t="shared" si="2"/>
        <v>0.29090277777777779</v>
      </c>
      <c r="R171" s="5">
        <f t="shared" si="3"/>
        <v>17.454166666666666</v>
      </c>
    </row>
    <row r="172" spans="1:18">
      <c r="A172" s="4">
        <v>44001</v>
      </c>
      <c r="B172" s="1" t="s">
        <v>20</v>
      </c>
      <c r="C172" s="1">
        <f t="shared" si="10"/>
        <v>6</v>
      </c>
      <c r="D172" s="1">
        <f t="shared" si="11"/>
        <v>19</v>
      </c>
      <c r="E172" s="1">
        <f t="shared" si="12"/>
        <v>2020</v>
      </c>
      <c r="F172" s="1">
        <v>171</v>
      </c>
      <c r="G172" s="1">
        <v>127</v>
      </c>
      <c r="H172" s="1">
        <v>124</v>
      </c>
      <c r="I172" s="2">
        <v>0.97640000000000005</v>
      </c>
      <c r="J172" s="1">
        <v>3</v>
      </c>
      <c r="K172" s="3">
        <v>1.8518518518518518E-4</v>
      </c>
      <c r="L172" s="3">
        <v>1.6435185185185185E-3</v>
      </c>
      <c r="M172" s="3">
        <v>1.2152777777777778E-3</v>
      </c>
      <c r="N172" s="2">
        <v>0.81889999999999996</v>
      </c>
      <c r="O172" s="5">
        <f t="shared" si="0"/>
        <v>0.20379629629629631</v>
      </c>
      <c r="P172" s="5">
        <f t="shared" si="1"/>
        <v>12.227777777777778</v>
      </c>
      <c r="Q172" s="5">
        <f t="shared" si="2"/>
        <v>0.20872685185185186</v>
      </c>
      <c r="R172" s="5">
        <f t="shared" si="3"/>
        <v>12.523611111111112</v>
      </c>
    </row>
    <row r="173" spans="1:18">
      <c r="A173" s="4">
        <v>44002</v>
      </c>
      <c r="B173" s="1" t="s">
        <v>21</v>
      </c>
      <c r="C173" s="1">
        <f t="shared" si="10"/>
        <v>6</v>
      </c>
      <c r="D173" s="1">
        <f t="shared" si="11"/>
        <v>20</v>
      </c>
      <c r="E173" s="1">
        <f t="shared" si="12"/>
        <v>2020</v>
      </c>
      <c r="F173" s="1">
        <v>172</v>
      </c>
      <c r="G173" s="1">
        <v>148</v>
      </c>
      <c r="H173" s="1">
        <v>147</v>
      </c>
      <c r="I173" s="2">
        <v>0.99319999999999997</v>
      </c>
      <c r="J173" s="1">
        <v>1</v>
      </c>
      <c r="K173" s="3">
        <v>1.8518518518518518E-4</v>
      </c>
      <c r="L173" s="3">
        <v>1.5162037037037036E-3</v>
      </c>
      <c r="M173" s="3">
        <v>2.2106481481481482E-3</v>
      </c>
      <c r="N173" s="2">
        <v>0.83109999999999995</v>
      </c>
      <c r="O173" s="5">
        <f t="shared" si="0"/>
        <v>0.22288194444444442</v>
      </c>
      <c r="P173" s="5">
        <f t="shared" si="1"/>
        <v>13.372916666666665</v>
      </c>
      <c r="Q173" s="5">
        <f t="shared" si="2"/>
        <v>0.22439814814814812</v>
      </c>
      <c r="R173" s="5">
        <f t="shared" si="3"/>
        <v>13.463888888888887</v>
      </c>
    </row>
    <row r="174" spans="1:18">
      <c r="A174" s="4">
        <v>44003</v>
      </c>
      <c r="B174" s="1" t="s">
        <v>22</v>
      </c>
      <c r="C174" s="1">
        <f t="shared" si="10"/>
        <v>6</v>
      </c>
      <c r="D174" s="1">
        <f t="shared" si="11"/>
        <v>21</v>
      </c>
      <c r="E174" s="1">
        <f t="shared" si="12"/>
        <v>2020</v>
      </c>
      <c r="F174" s="1">
        <v>173</v>
      </c>
      <c r="G174" s="1">
        <v>23</v>
      </c>
      <c r="H174" s="1">
        <v>23</v>
      </c>
      <c r="I174" s="2">
        <v>1</v>
      </c>
      <c r="J174" s="1">
        <v>0</v>
      </c>
      <c r="K174" s="3">
        <v>3.7037037037037035E-4</v>
      </c>
      <c r="L174" s="3">
        <v>1.4120370370370369E-3</v>
      </c>
      <c r="M174" s="3">
        <v>1.8865740740740742E-3</v>
      </c>
      <c r="N174" s="2">
        <v>0.6522</v>
      </c>
      <c r="O174" s="5">
        <f t="shared" si="0"/>
        <v>3.2476851851851847E-2</v>
      </c>
      <c r="P174" s="5">
        <f t="shared" si="1"/>
        <v>1.9486111111111108</v>
      </c>
      <c r="Q174" s="5">
        <f t="shared" si="2"/>
        <v>3.2476851851851847E-2</v>
      </c>
      <c r="R174" s="5">
        <f t="shared" si="3"/>
        <v>1.9486111111111108</v>
      </c>
    </row>
    <row r="175" spans="1:18">
      <c r="A175" s="4">
        <v>44004</v>
      </c>
      <c r="B175" s="1" t="s">
        <v>23</v>
      </c>
      <c r="C175" s="1">
        <f t="shared" si="10"/>
        <v>6</v>
      </c>
      <c r="D175" s="1">
        <f t="shared" si="11"/>
        <v>22</v>
      </c>
      <c r="E175" s="1">
        <f t="shared" si="12"/>
        <v>2020</v>
      </c>
      <c r="F175" s="1">
        <v>174</v>
      </c>
      <c r="G175" s="1">
        <v>141</v>
      </c>
      <c r="H175" s="1">
        <v>134</v>
      </c>
      <c r="I175" s="2">
        <v>0.95040000000000002</v>
      </c>
      <c r="J175" s="1">
        <v>7</v>
      </c>
      <c r="K175" s="3">
        <v>2.7777777777777778E-4</v>
      </c>
      <c r="L175" s="3">
        <v>1.8287037037037037E-3</v>
      </c>
      <c r="M175" s="3">
        <v>1.724537037037037E-3</v>
      </c>
      <c r="N175" s="2">
        <v>0.72140000000000004</v>
      </c>
      <c r="O175" s="5">
        <f t="shared" si="0"/>
        <v>0.24504629629629629</v>
      </c>
      <c r="P175" s="5">
        <f t="shared" si="1"/>
        <v>14.702777777777778</v>
      </c>
      <c r="Q175" s="5">
        <f t="shared" si="2"/>
        <v>0.25784722222222223</v>
      </c>
      <c r="R175" s="5">
        <f t="shared" si="3"/>
        <v>15.470833333333333</v>
      </c>
    </row>
    <row r="176" spans="1:18">
      <c r="A176" s="4">
        <v>44005</v>
      </c>
      <c r="B176" s="1" t="s">
        <v>24</v>
      </c>
      <c r="C176" s="1">
        <f t="shared" si="10"/>
        <v>6</v>
      </c>
      <c r="D176" s="1">
        <f t="shared" si="11"/>
        <v>23</v>
      </c>
      <c r="E176" s="1">
        <f t="shared" si="12"/>
        <v>2020</v>
      </c>
      <c r="F176" s="1">
        <v>175</v>
      </c>
      <c r="G176" s="1">
        <v>124</v>
      </c>
      <c r="H176" s="1">
        <v>120</v>
      </c>
      <c r="I176" s="2">
        <v>0.9677</v>
      </c>
      <c r="J176" s="1">
        <v>4</v>
      </c>
      <c r="K176" s="3">
        <v>2.3148148148148149E-4</v>
      </c>
      <c r="L176" s="3">
        <v>1.7708333333333332E-3</v>
      </c>
      <c r="M176" s="3">
        <v>2.0601851851851853E-3</v>
      </c>
      <c r="N176" s="2">
        <v>0.8226</v>
      </c>
      <c r="O176" s="5">
        <f t="shared" si="0"/>
        <v>0.21249999999999999</v>
      </c>
      <c r="P176" s="5">
        <f t="shared" si="1"/>
        <v>12.75</v>
      </c>
      <c r="Q176" s="5">
        <f t="shared" si="2"/>
        <v>0.21958333333333332</v>
      </c>
      <c r="R176" s="5">
        <f t="shared" si="3"/>
        <v>13.174999999999999</v>
      </c>
    </row>
    <row r="177" spans="1:18">
      <c r="A177" s="4">
        <v>44006</v>
      </c>
      <c r="B177" s="1" t="s">
        <v>18</v>
      </c>
      <c r="C177" s="1">
        <f t="shared" si="10"/>
        <v>6</v>
      </c>
      <c r="D177" s="1">
        <f t="shared" si="11"/>
        <v>24</v>
      </c>
      <c r="E177" s="1">
        <f t="shared" si="12"/>
        <v>2020</v>
      </c>
      <c r="F177" s="1">
        <v>176</v>
      </c>
      <c r="G177" s="1">
        <v>165</v>
      </c>
      <c r="H177" s="1">
        <v>156</v>
      </c>
      <c r="I177" s="2">
        <v>0.94550000000000001</v>
      </c>
      <c r="J177" s="1">
        <v>9</v>
      </c>
      <c r="K177" s="3">
        <v>2.8935185185185184E-4</v>
      </c>
      <c r="L177" s="3">
        <v>1.6319444444444445E-3</v>
      </c>
      <c r="M177" s="3">
        <v>1.8287037037037037E-3</v>
      </c>
      <c r="N177" s="2">
        <v>0.70550000000000002</v>
      </c>
      <c r="O177" s="5">
        <f t="shared" si="0"/>
        <v>0.25458333333333333</v>
      </c>
      <c r="P177" s="5">
        <f t="shared" si="1"/>
        <v>15.275</v>
      </c>
      <c r="Q177" s="5">
        <f t="shared" si="2"/>
        <v>0.26927083333333335</v>
      </c>
      <c r="R177" s="5">
        <f t="shared" si="3"/>
        <v>16.15625</v>
      </c>
    </row>
    <row r="178" spans="1:18">
      <c r="A178" s="4">
        <v>44007</v>
      </c>
      <c r="B178" s="1" t="s">
        <v>19</v>
      </c>
      <c r="C178" s="1">
        <f t="shared" si="10"/>
        <v>6</v>
      </c>
      <c r="D178" s="1">
        <f t="shared" si="11"/>
        <v>25</v>
      </c>
      <c r="E178" s="1">
        <f t="shared" si="12"/>
        <v>2020</v>
      </c>
      <c r="F178" s="1">
        <v>177</v>
      </c>
      <c r="G178" s="1">
        <v>168</v>
      </c>
      <c r="H178" s="1">
        <v>166</v>
      </c>
      <c r="I178" s="2">
        <v>0.98809999999999998</v>
      </c>
      <c r="J178" s="1">
        <v>2</v>
      </c>
      <c r="K178" s="3">
        <v>2.4305555555555555E-4</v>
      </c>
      <c r="L178" s="3">
        <v>1.7708333333333332E-3</v>
      </c>
      <c r="M178" s="3">
        <v>2.5810185185185185E-3</v>
      </c>
      <c r="N178" s="2">
        <v>0.80120000000000002</v>
      </c>
      <c r="O178" s="5">
        <f t="shared" si="0"/>
        <v>0.29395833333333332</v>
      </c>
      <c r="P178" s="5">
        <f t="shared" si="1"/>
        <v>17.637499999999999</v>
      </c>
      <c r="Q178" s="5">
        <f t="shared" si="2"/>
        <v>0.29749999999999999</v>
      </c>
      <c r="R178" s="5">
        <f t="shared" si="3"/>
        <v>17.849999999999998</v>
      </c>
    </row>
    <row r="179" spans="1:18">
      <c r="A179" s="4">
        <v>44008</v>
      </c>
      <c r="B179" s="1" t="s">
        <v>20</v>
      </c>
      <c r="C179" s="1">
        <f t="shared" si="10"/>
        <v>6</v>
      </c>
      <c r="D179" s="1">
        <f t="shared" si="11"/>
        <v>26</v>
      </c>
      <c r="E179" s="1">
        <f t="shared" si="12"/>
        <v>2020</v>
      </c>
      <c r="F179" s="1">
        <v>178</v>
      </c>
      <c r="G179" s="1">
        <v>198</v>
      </c>
      <c r="H179" s="1">
        <v>188</v>
      </c>
      <c r="I179" s="2">
        <v>0.94950000000000001</v>
      </c>
      <c r="J179" s="1">
        <v>10</v>
      </c>
      <c r="K179" s="3">
        <v>2.5462962962962961E-4</v>
      </c>
      <c r="L179" s="3">
        <v>1.7592592592592592E-3</v>
      </c>
      <c r="M179" s="3">
        <v>1.9097222222222222E-3</v>
      </c>
      <c r="N179" s="2">
        <v>0.70920000000000005</v>
      </c>
      <c r="O179" s="5">
        <f t="shared" si="0"/>
        <v>0.33074074074074072</v>
      </c>
      <c r="P179" s="5">
        <f t="shared" si="1"/>
        <v>19.844444444444445</v>
      </c>
      <c r="Q179" s="5">
        <f t="shared" si="2"/>
        <v>0.34833333333333333</v>
      </c>
      <c r="R179" s="5">
        <f t="shared" si="3"/>
        <v>20.9</v>
      </c>
    </row>
    <row r="180" spans="1:18">
      <c r="A180" s="4">
        <v>44009</v>
      </c>
      <c r="B180" s="1" t="s">
        <v>21</v>
      </c>
      <c r="C180" s="1">
        <f t="shared" si="10"/>
        <v>6</v>
      </c>
      <c r="D180" s="1">
        <f t="shared" si="11"/>
        <v>27</v>
      </c>
      <c r="E180" s="1">
        <f t="shared" si="12"/>
        <v>2020</v>
      </c>
      <c r="F180" s="1">
        <v>179</v>
      </c>
      <c r="G180" s="1">
        <v>139</v>
      </c>
      <c r="H180" s="1">
        <v>133</v>
      </c>
      <c r="I180" s="2">
        <v>0.95679999999999998</v>
      </c>
      <c r="J180" s="1">
        <v>6</v>
      </c>
      <c r="K180" s="3">
        <v>1.9675925925925926E-4</v>
      </c>
      <c r="L180" s="3">
        <v>1.8518518518518519E-3</v>
      </c>
      <c r="M180" s="3">
        <v>2.1180555555555558E-3</v>
      </c>
      <c r="N180" s="2">
        <v>0.80149999999999999</v>
      </c>
      <c r="O180" s="5">
        <f t="shared" si="0"/>
        <v>0.24629629629629632</v>
      </c>
      <c r="P180" s="5">
        <f t="shared" si="1"/>
        <v>14.777777777777779</v>
      </c>
      <c r="Q180" s="5">
        <f t="shared" si="2"/>
        <v>0.25740740740740742</v>
      </c>
      <c r="R180" s="5">
        <f t="shared" si="3"/>
        <v>15.444444444444445</v>
      </c>
    </row>
    <row r="181" spans="1:18">
      <c r="A181" s="4">
        <v>44010</v>
      </c>
      <c r="B181" s="1" t="s">
        <v>22</v>
      </c>
      <c r="C181" s="1">
        <f t="shared" si="10"/>
        <v>6</v>
      </c>
      <c r="D181" s="1">
        <f t="shared" si="11"/>
        <v>28</v>
      </c>
      <c r="E181" s="1">
        <f t="shared" si="12"/>
        <v>2020</v>
      </c>
      <c r="F181" s="1">
        <v>180</v>
      </c>
      <c r="G181" s="1">
        <v>46</v>
      </c>
      <c r="H181" s="1">
        <v>45</v>
      </c>
      <c r="I181" s="2">
        <v>0.97829999999999995</v>
      </c>
      <c r="J181" s="1">
        <v>1</v>
      </c>
      <c r="K181" s="3">
        <v>1.1574074074074075E-4</v>
      </c>
      <c r="L181" s="3">
        <v>1.5509259259259259E-3</v>
      </c>
      <c r="M181" s="3">
        <v>8.7962962962962962E-4</v>
      </c>
      <c r="N181" s="2">
        <v>0.88890000000000002</v>
      </c>
      <c r="O181" s="5">
        <f t="shared" si="0"/>
        <v>6.9791666666666669E-2</v>
      </c>
      <c r="P181" s="5">
        <f t="shared" si="1"/>
        <v>4.1875</v>
      </c>
      <c r="Q181" s="5">
        <f t="shared" si="2"/>
        <v>7.1342592592592596E-2</v>
      </c>
      <c r="R181" s="5">
        <f t="shared" si="3"/>
        <v>4.2805555555555559</v>
      </c>
    </row>
    <row r="182" spans="1:18">
      <c r="A182" s="4">
        <v>44011</v>
      </c>
      <c r="B182" s="1" t="s">
        <v>23</v>
      </c>
      <c r="C182" s="1">
        <f t="shared" si="10"/>
        <v>6</v>
      </c>
      <c r="D182" s="1">
        <f t="shared" si="11"/>
        <v>29</v>
      </c>
      <c r="E182" s="1">
        <f t="shared" si="12"/>
        <v>2020</v>
      </c>
      <c r="F182" s="1">
        <v>181</v>
      </c>
      <c r="G182" s="1">
        <v>184</v>
      </c>
      <c r="H182" s="1">
        <v>174</v>
      </c>
      <c r="I182" s="2">
        <v>0.94569999999999999</v>
      </c>
      <c r="J182" s="1">
        <v>10</v>
      </c>
      <c r="K182" s="3">
        <v>2.6620370370370372E-4</v>
      </c>
      <c r="L182" s="3">
        <v>1.8171296296296297E-3</v>
      </c>
      <c r="M182" s="3">
        <v>3.1828703703703702E-3</v>
      </c>
      <c r="N182" s="2">
        <v>0.76539999999999997</v>
      </c>
      <c r="O182" s="5">
        <f t="shared" si="0"/>
        <v>0.31618055555555558</v>
      </c>
      <c r="P182" s="5">
        <f t="shared" si="1"/>
        <v>18.970833333333335</v>
      </c>
      <c r="Q182" s="5">
        <f t="shared" si="2"/>
        <v>0.33435185185185184</v>
      </c>
      <c r="R182" s="5">
        <f t="shared" si="3"/>
        <v>20.06111111111111</v>
      </c>
    </row>
    <row r="183" spans="1:18">
      <c r="A183" s="4">
        <v>44012</v>
      </c>
      <c r="B183" s="1" t="s">
        <v>24</v>
      </c>
      <c r="C183" s="1">
        <f t="shared" si="10"/>
        <v>6</v>
      </c>
      <c r="D183" s="1">
        <f t="shared" si="11"/>
        <v>30</v>
      </c>
      <c r="E183" s="1">
        <f t="shared" si="12"/>
        <v>2020</v>
      </c>
      <c r="F183" s="1">
        <v>182</v>
      </c>
      <c r="G183" s="1">
        <v>207</v>
      </c>
      <c r="H183" s="1">
        <v>190</v>
      </c>
      <c r="I183" s="2">
        <v>0.91790000000000005</v>
      </c>
      <c r="J183" s="1">
        <v>17</v>
      </c>
      <c r="K183" s="3">
        <v>2.4305555555555555E-4</v>
      </c>
      <c r="L183" s="3">
        <v>1.6550925925925926E-3</v>
      </c>
      <c r="M183" s="3">
        <v>2.8472222222222223E-3</v>
      </c>
      <c r="N183" s="2">
        <v>0.71360000000000001</v>
      </c>
      <c r="O183" s="5">
        <f t="shared" si="0"/>
        <v>0.3144675925925926</v>
      </c>
      <c r="P183" s="5">
        <f t="shared" si="1"/>
        <v>18.868055555555557</v>
      </c>
      <c r="Q183" s="5">
        <f t="shared" si="2"/>
        <v>0.34260416666666665</v>
      </c>
      <c r="R183" s="5">
        <f t="shared" si="3"/>
        <v>20.556249999999999</v>
      </c>
    </row>
    <row r="184" spans="1:18">
      <c r="A184" s="4">
        <v>44013</v>
      </c>
      <c r="B184" s="1" t="s">
        <v>18</v>
      </c>
      <c r="C184" s="1">
        <f t="shared" si="10"/>
        <v>7</v>
      </c>
      <c r="D184" s="1">
        <f t="shared" si="11"/>
        <v>1</v>
      </c>
      <c r="E184" s="1">
        <f t="shared" si="12"/>
        <v>2020</v>
      </c>
      <c r="F184" s="1">
        <v>183</v>
      </c>
      <c r="G184" s="1">
        <v>191</v>
      </c>
      <c r="H184" s="1">
        <v>180</v>
      </c>
      <c r="I184" s="2">
        <v>0.94240000000000002</v>
      </c>
      <c r="J184" s="1">
        <v>11</v>
      </c>
      <c r="K184" s="3">
        <v>2.4305555555555555E-4</v>
      </c>
      <c r="L184" s="3">
        <v>1.7592592592592592E-3</v>
      </c>
      <c r="M184" s="3">
        <v>1.3078703703703703E-3</v>
      </c>
      <c r="N184" s="2">
        <v>0.76500000000000001</v>
      </c>
      <c r="O184" s="5">
        <f t="shared" si="0"/>
        <v>0.31666666666666665</v>
      </c>
      <c r="P184" s="5">
        <f t="shared" si="1"/>
        <v>19</v>
      </c>
      <c r="Q184" s="5">
        <f t="shared" si="2"/>
        <v>0.33601851851851849</v>
      </c>
      <c r="R184" s="5">
        <f t="shared" si="3"/>
        <v>20.161111111111111</v>
      </c>
    </row>
    <row r="185" spans="1:18">
      <c r="A185" s="4">
        <v>44014</v>
      </c>
      <c r="B185" s="1" t="s">
        <v>19</v>
      </c>
      <c r="C185" s="1">
        <f t="shared" si="10"/>
        <v>7</v>
      </c>
      <c r="D185" s="1">
        <f t="shared" si="11"/>
        <v>2</v>
      </c>
      <c r="E185" s="1">
        <f t="shared" si="12"/>
        <v>2020</v>
      </c>
      <c r="F185" s="1">
        <v>184</v>
      </c>
      <c r="G185" s="1">
        <v>213</v>
      </c>
      <c r="H185" s="1">
        <v>204</v>
      </c>
      <c r="I185" s="2">
        <v>0.9577</v>
      </c>
      <c r="J185" s="1">
        <v>9</v>
      </c>
      <c r="K185" s="3">
        <v>2.7777777777777778E-4</v>
      </c>
      <c r="L185" s="3">
        <v>1.6898148148148148E-3</v>
      </c>
      <c r="M185" s="3">
        <v>1.9212962962962964E-3</v>
      </c>
      <c r="N185" s="2">
        <v>0.69669999999999999</v>
      </c>
      <c r="O185" s="5">
        <f t="shared" si="0"/>
        <v>0.34472222222222221</v>
      </c>
      <c r="P185" s="5">
        <f t="shared" si="1"/>
        <v>20.683333333333334</v>
      </c>
      <c r="Q185" s="5">
        <f t="shared" si="2"/>
        <v>0.35993055555555553</v>
      </c>
      <c r="R185" s="5">
        <f t="shared" si="3"/>
        <v>21.595833333333331</v>
      </c>
    </row>
    <row r="186" spans="1:18">
      <c r="A186" s="4">
        <v>44015</v>
      </c>
      <c r="B186" s="1" t="s">
        <v>20</v>
      </c>
      <c r="C186" s="1">
        <f t="shared" si="10"/>
        <v>7</v>
      </c>
      <c r="D186" s="1">
        <f t="shared" si="11"/>
        <v>3</v>
      </c>
      <c r="E186" s="1">
        <f t="shared" si="12"/>
        <v>2020</v>
      </c>
      <c r="F186" s="1">
        <v>185</v>
      </c>
      <c r="G186" s="1">
        <v>483</v>
      </c>
      <c r="H186" s="1">
        <v>451</v>
      </c>
      <c r="I186" s="2">
        <v>0.93369999999999997</v>
      </c>
      <c r="J186" s="1">
        <v>32</v>
      </c>
      <c r="K186" s="3">
        <v>1.8518518518518518E-4</v>
      </c>
      <c r="L186" s="3">
        <v>6.5972222222222224E-4</v>
      </c>
      <c r="M186" s="3">
        <v>6.076388888888889E-3</v>
      </c>
      <c r="N186" s="2">
        <v>0.79200000000000004</v>
      </c>
      <c r="O186" s="5">
        <f t="shared" si="0"/>
        <v>0.29753472222222221</v>
      </c>
      <c r="P186" s="5">
        <f t="shared" si="1"/>
        <v>17.852083333333333</v>
      </c>
      <c r="Q186" s="5">
        <f t="shared" si="2"/>
        <v>0.31864583333333335</v>
      </c>
      <c r="R186" s="5">
        <f t="shared" si="3"/>
        <v>19.118750000000002</v>
      </c>
    </row>
    <row r="187" spans="1:18">
      <c r="A187" s="4">
        <v>44016</v>
      </c>
      <c r="B187" s="1" t="s">
        <v>21</v>
      </c>
      <c r="C187" s="1">
        <f t="shared" si="10"/>
        <v>7</v>
      </c>
      <c r="D187" s="1">
        <f t="shared" si="11"/>
        <v>4</v>
      </c>
      <c r="E187" s="1">
        <f t="shared" si="12"/>
        <v>2020</v>
      </c>
      <c r="F187" s="1">
        <v>186</v>
      </c>
      <c r="G187" s="1">
        <v>547</v>
      </c>
      <c r="H187" s="1">
        <v>526</v>
      </c>
      <c r="I187" s="2">
        <v>0.96160000000000001</v>
      </c>
      <c r="J187" s="1">
        <v>21</v>
      </c>
      <c r="K187" s="3">
        <v>2.199074074074074E-4</v>
      </c>
      <c r="L187" s="3">
        <v>9.3749999999999997E-4</v>
      </c>
      <c r="M187" s="3">
        <v>2.7083333333333334E-3</v>
      </c>
      <c r="N187" s="2">
        <v>0.81579999999999997</v>
      </c>
      <c r="O187" s="5">
        <f t="shared" si="0"/>
        <v>0.49312499999999998</v>
      </c>
      <c r="P187" s="5">
        <f t="shared" si="1"/>
        <v>29.587499999999999</v>
      </c>
      <c r="Q187" s="5">
        <f t="shared" si="2"/>
        <v>0.5128125</v>
      </c>
      <c r="R187" s="5">
        <f t="shared" si="3"/>
        <v>30.768750000000001</v>
      </c>
    </row>
    <row r="188" spans="1:18">
      <c r="A188" s="4">
        <v>44017</v>
      </c>
      <c r="B188" s="1" t="s">
        <v>22</v>
      </c>
      <c r="C188" s="1">
        <f t="shared" si="10"/>
        <v>7</v>
      </c>
      <c r="D188" s="1">
        <f t="shared" si="11"/>
        <v>5</v>
      </c>
      <c r="E188" s="1">
        <f t="shared" si="12"/>
        <v>2020</v>
      </c>
      <c r="F188" s="1">
        <v>187</v>
      </c>
      <c r="G188" s="1">
        <v>54</v>
      </c>
      <c r="H188" s="1">
        <v>53</v>
      </c>
      <c r="I188" s="2">
        <v>0.98150000000000004</v>
      </c>
      <c r="J188" s="1">
        <v>1</v>
      </c>
      <c r="K188" s="3">
        <v>2.8935185185185184E-4</v>
      </c>
      <c r="L188" s="3">
        <v>1.8055555555555555E-3</v>
      </c>
      <c r="M188" s="3">
        <v>9.0277777777777774E-4</v>
      </c>
      <c r="N188" s="2">
        <v>0.70369999999999999</v>
      </c>
      <c r="O188" s="5">
        <f t="shared" si="0"/>
        <v>9.5694444444444443E-2</v>
      </c>
      <c r="P188" s="5">
        <f t="shared" si="1"/>
        <v>5.7416666666666663</v>
      </c>
      <c r="Q188" s="5">
        <f t="shared" si="2"/>
        <v>9.7499999999999989E-2</v>
      </c>
      <c r="R188" s="5">
        <f t="shared" si="3"/>
        <v>5.85</v>
      </c>
    </row>
    <row r="189" spans="1:18">
      <c r="A189" s="4">
        <v>44018</v>
      </c>
      <c r="B189" s="1" t="s">
        <v>23</v>
      </c>
      <c r="C189" s="1">
        <f t="shared" si="10"/>
        <v>7</v>
      </c>
      <c r="D189" s="1">
        <f t="shared" si="11"/>
        <v>6</v>
      </c>
      <c r="E189" s="1">
        <f t="shared" si="12"/>
        <v>2020</v>
      </c>
      <c r="F189" s="1">
        <v>188</v>
      </c>
      <c r="G189" s="1">
        <v>275</v>
      </c>
      <c r="H189" s="1">
        <v>261</v>
      </c>
      <c r="I189" s="2">
        <v>0.94910000000000005</v>
      </c>
      <c r="J189" s="1">
        <v>14</v>
      </c>
      <c r="K189" s="3">
        <v>2.5462962962962961E-4</v>
      </c>
      <c r="L189" s="3">
        <v>1.5393518518518519E-3</v>
      </c>
      <c r="M189" s="3">
        <v>1.5277777777777779E-3</v>
      </c>
      <c r="N189" s="2">
        <v>0.74439999999999995</v>
      </c>
      <c r="O189" s="5">
        <f t="shared" si="0"/>
        <v>0.40177083333333335</v>
      </c>
      <c r="P189" s="5">
        <f t="shared" si="1"/>
        <v>24.106250000000003</v>
      </c>
      <c r="Q189" s="5">
        <f t="shared" si="2"/>
        <v>0.42332175925925924</v>
      </c>
      <c r="R189" s="5">
        <f t="shared" si="3"/>
        <v>25.399305555555554</v>
      </c>
    </row>
    <row r="190" spans="1:18">
      <c r="A190" s="4">
        <v>44019</v>
      </c>
      <c r="B190" s="1" t="s">
        <v>24</v>
      </c>
      <c r="C190" s="1">
        <f t="shared" si="10"/>
        <v>7</v>
      </c>
      <c r="D190" s="1">
        <f t="shared" si="11"/>
        <v>7</v>
      </c>
      <c r="E190" s="1">
        <f t="shared" si="12"/>
        <v>2020</v>
      </c>
      <c r="F190" s="1">
        <v>189</v>
      </c>
      <c r="G190" s="1">
        <v>205</v>
      </c>
      <c r="H190" s="1">
        <v>195</v>
      </c>
      <c r="I190" s="2">
        <v>0.95120000000000005</v>
      </c>
      <c r="J190" s="1">
        <v>10</v>
      </c>
      <c r="K190" s="3">
        <v>2.7777777777777778E-4</v>
      </c>
      <c r="L190" s="3">
        <v>1.7824074074074075E-3</v>
      </c>
      <c r="M190" s="3">
        <v>2.0833333333333333E-3</v>
      </c>
      <c r="N190" s="2">
        <v>0.70789999999999997</v>
      </c>
      <c r="O190" s="5">
        <f t="shared" si="0"/>
        <v>0.34756944444444443</v>
      </c>
      <c r="P190" s="5">
        <f t="shared" si="1"/>
        <v>20.854166666666664</v>
      </c>
      <c r="Q190" s="5">
        <f t="shared" si="2"/>
        <v>0.36539351851851853</v>
      </c>
      <c r="R190" s="5">
        <f t="shared" si="3"/>
        <v>21.923611111111111</v>
      </c>
    </row>
    <row r="191" spans="1:18">
      <c r="A191" s="4">
        <v>44020</v>
      </c>
      <c r="B191" s="1" t="s">
        <v>18</v>
      </c>
      <c r="C191" s="1">
        <f t="shared" si="10"/>
        <v>7</v>
      </c>
      <c r="D191" s="1">
        <f t="shared" si="11"/>
        <v>8</v>
      </c>
      <c r="E191" s="1">
        <f t="shared" si="12"/>
        <v>2020</v>
      </c>
      <c r="F191" s="1">
        <v>190</v>
      </c>
      <c r="G191" s="1">
        <v>80</v>
      </c>
      <c r="H191" s="1">
        <v>77</v>
      </c>
      <c r="I191" s="2">
        <v>0.96250000000000002</v>
      </c>
      <c r="J191" s="1">
        <v>3</v>
      </c>
      <c r="K191" s="3">
        <v>1.1574074074074075E-4</v>
      </c>
      <c r="L191" s="3">
        <v>1.5162037037037036E-3</v>
      </c>
      <c r="M191" s="3">
        <v>1.0763888888888889E-3</v>
      </c>
      <c r="N191" s="2">
        <v>0.89610000000000001</v>
      </c>
      <c r="O191" s="5">
        <f t="shared" si="0"/>
        <v>0.11674768518518518</v>
      </c>
      <c r="P191" s="5">
        <f t="shared" si="1"/>
        <v>7.0048611111111105</v>
      </c>
      <c r="Q191" s="5">
        <f t="shared" si="2"/>
        <v>0.12129629629629629</v>
      </c>
      <c r="R191" s="5">
        <f t="shared" si="3"/>
        <v>7.2777777777777777</v>
      </c>
    </row>
    <row r="192" spans="1:18">
      <c r="A192" s="4">
        <v>44021</v>
      </c>
      <c r="B192" s="1" t="s">
        <v>19</v>
      </c>
      <c r="C192" s="1">
        <f t="shared" si="10"/>
        <v>7</v>
      </c>
      <c r="D192" s="1">
        <f t="shared" si="11"/>
        <v>9</v>
      </c>
      <c r="E192" s="1">
        <f t="shared" si="12"/>
        <v>2020</v>
      </c>
      <c r="F192" s="1">
        <v>191</v>
      </c>
      <c r="G192" s="1">
        <v>200</v>
      </c>
      <c r="H192" s="1">
        <v>195</v>
      </c>
      <c r="I192" s="2">
        <v>0.97499999999999998</v>
      </c>
      <c r="J192" s="1">
        <v>5</v>
      </c>
      <c r="K192" s="3">
        <v>2.4305555555555555E-4</v>
      </c>
      <c r="L192" s="3">
        <v>1.736111111111111E-3</v>
      </c>
      <c r="M192" s="3">
        <v>1.9444444444444444E-3</v>
      </c>
      <c r="N192" s="2">
        <v>0.75249999999999995</v>
      </c>
      <c r="O192" s="5">
        <f t="shared" si="0"/>
        <v>0.33854166666666663</v>
      </c>
      <c r="P192" s="5">
        <f t="shared" si="1"/>
        <v>20.312499999999996</v>
      </c>
      <c r="Q192" s="5">
        <f t="shared" si="2"/>
        <v>0.34722222222222221</v>
      </c>
      <c r="R192" s="5">
        <f t="shared" si="3"/>
        <v>20.833333333333332</v>
      </c>
    </row>
    <row r="193" spans="1:18">
      <c r="A193" s="4">
        <v>44022</v>
      </c>
      <c r="B193" s="1" t="s">
        <v>20</v>
      </c>
      <c r="C193" s="1">
        <f t="shared" si="10"/>
        <v>7</v>
      </c>
      <c r="D193" s="1">
        <f t="shared" si="11"/>
        <v>10</v>
      </c>
      <c r="E193" s="1">
        <f t="shared" si="12"/>
        <v>2020</v>
      </c>
      <c r="F193" s="1">
        <v>192</v>
      </c>
      <c r="G193" s="1">
        <v>154</v>
      </c>
      <c r="H193" s="1">
        <v>150</v>
      </c>
      <c r="I193" s="2">
        <v>0.97399999999999998</v>
      </c>
      <c r="J193" s="1">
        <v>4</v>
      </c>
      <c r="K193" s="3">
        <v>2.4305555555555555E-4</v>
      </c>
      <c r="L193" s="3">
        <v>1.724537037037037E-3</v>
      </c>
      <c r="M193" s="3">
        <v>1.9097222222222222E-3</v>
      </c>
      <c r="N193" s="2">
        <v>0.74339999999999995</v>
      </c>
      <c r="O193" s="5">
        <f t="shared" si="0"/>
        <v>0.25868055555555552</v>
      </c>
      <c r="P193" s="5">
        <f t="shared" si="1"/>
        <v>15.520833333333332</v>
      </c>
      <c r="Q193" s="5">
        <f t="shared" si="2"/>
        <v>0.26557870370370368</v>
      </c>
      <c r="R193" s="5">
        <f t="shared" si="3"/>
        <v>15.93472222222222</v>
      </c>
    </row>
    <row r="194" spans="1:18">
      <c r="A194" s="4">
        <v>44023</v>
      </c>
      <c r="B194" s="1" t="s">
        <v>21</v>
      </c>
      <c r="C194" s="1">
        <f t="shared" si="10"/>
        <v>7</v>
      </c>
      <c r="D194" s="1">
        <f t="shared" si="11"/>
        <v>11</v>
      </c>
      <c r="E194" s="1">
        <f t="shared" si="12"/>
        <v>2020</v>
      </c>
      <c r="F194" s="1">
        <v>193</v>
      </c>
      <c r="G194" s="1">
        <v>163</v>
      </c>
      <c r="H194" s="1">
        <v>155</v>
      </c>
      <c r="I194" s="2">
        <v>0.95089999999999997</v>
      </c>
      <c r="J194" s="1">
        <v>8</v>
      </c>
      <c r="K194" s="3">
        <v>2.6620370370370372E-4</v>
      </c>
      <c r="L194" s="3">
        <v>1.5972222222222223E-3</v>
      </c>
      <c r="M194" s="3">
        <v>1.6898148148148148E-3</v>
      </c>
      <c r="N194" s="2">
        <v>0.74519999999999997</v>
      </c>
      <c r="O194" s="5">
        <f t="shared" si="0"/>
        <v>0.24756944444444445</v>
      </c>
      <c r="P194" s="5">
        <f t="shared" si="1"/>
        <v>14.854166666666668</v>
      </c>
      <c r="Q194" s="5">
        <f t="shared" si="2"/>
        <v>0.26034722222222223</v>
      </c>
      <c r="R194" s="5">
        <f t="shared" si="3"/>
        <v>15.620833333333334</v>
      </c>
    </row>
    <row r="195" spans="1:18">
      <c r="A195" s="4">
        <v>44024</v>
      </c>
      <c r="B195" s="1" t="s">
        <v>22</v>
      </c>
      <c r="C195" s="1">
        <f t="shared" ref="C195:C258" si="13">MONTH(A195)</f>
        <v>7</v>
      </c>
      <c r="D195" s="1">
        <f t="shared" ref="D195:D258" si="14">DAY(A195)</f>
        <v>12</v>
      </c>
      <c r="E195" s="1">
        <f t="shared" ref="E195:E258" si="15">YEAR(A195)</f>
        <v>2020</v>
      </c>
      <c r="F195" s="1">
        <v>194</v>
      </c>
      <c r="G195" s="1">
        <v>12</v>
      </c>
      <c r="H195" s="1">
        <v>12</v>
      </c>
      <c r="I195" s="2">
        <v>1</v>
      </c>
      <c r="J195" s="1">
        <v>0</v>
      </c>
      <c r="K195" s="3">
        <v>2.8935185185185184E-4</v>
      </c>
      <c r="L195" s="3">
        <v>2.5115740740740741E-3</v>
      </c>
      <c r="M195" s="3">
        <v>1.0185185185185184E-3</v>
      </c>
      <c r="N195" s="2">
        <v>0.66669999999999996</v>
      </c>
      <c r="O195" s="5">
        <f t="shared" si="0"/>
        <v>3.0138888888888889E-2</v>
      </c>
      <c r="P195" s="5">
        <f t="shared" si="1"/>
        <v>1.8083333333333333</v>
      </c>
      <c r="Q195" s="5">
        <f t="shared" si="2"/>
        <v>3.0138888888888889E-2</v>
      </c>
      <c r="R195" s="5">
        <f t="shared" si="3"/>
        <v>1.8083333333333333</v>
      </c>
    </row>
    <row r="196" spans="1:18">
      <c r="A196" s="4">
        <v>44025</v>
      </c>
      <c r="B196" s="1" t="s">
        <v>23</v>
      </c>
      <c r="C196" s="1">
        <f t="shared" si="13"/>
        <v>7</v>
      </c>
      <c r="D196" s="1">
        <f t="shared" si="14"/>
        <v>13</v>
      </c>
      <c r="E196" s="1">
        <f t="shared" si="15"/>
        <v>2020</v>
      </c>
      <c r="F196" s="1">
        <v>195</v>
      </c>
      <c r="G196" s="1">
        <v>218</v>
      </c>
      <c r="H196" s="1">
        <v>212</v>
      </c>
      <c r="I196" s="2">
        <v>0.97250000000000003</v>
      </c>
      <c r="J196" s="1">
        <v>6</v>
      </c>
      <c r="K196" s="3">
        <v>2.3148148148148149E-4</v>
      </c>
      <c r="L196" s="3">
        <v>1.3425925925925925E-3</v>
      </c>
      <c r="M196" s="3">
        <v>2.9050925925925928E-3</v>
      </c>
      <c r="N196" s="2">
        <v>0.75929999999999997</v>
      </c>
      <c r="O196" s="5">
        <f t="shared" si="0"/>
        <v>0.28462962962962962</v>
      </c>
      <c r="P196" s="5">
        <f t="shared" si="1"/>
        <v>17.077777777777776</v>
      </c>
      <c r="Q196" s="5">
        <f t="shared" si="2"/>
        <v>0.29268518518518516</v>
      </c>
      <c r="R196" s="5">
        <f t="shared" si="3"/>
        <v>17.56111111111111</v>
      </c>
    </row>
    <row r="197" spans="1:18">
      <c r="A197" s="4">
        <v>44026</v>
      </c>
      <c r="B197" s="1" t="s">
        <v>24</v>
      </c>
      <c r="C197" s="1">
        <f t="shared" si="13"/>
        <v>7</v>
      </c>
      <c r="D197" s="1">
        <f t="shared" si="14"/>
        <v>14</v>
      </c>
      <c r="E197" s="1">
        <f t="shared" si="15"/>
        <v>2020</v>
      </c>
      <c r="F197" s="1">
        <v>196</v>
      </c>
      <c r="G197" s="1">
        <v>172</v>
      </c>
      <c r="H197" s="1">
        <v>163</v>
      </c>
      <c r="I197" s="2">
        <v>0.94769999999999999</v>
      </c>
      <c r="J197" s="1">
        <v>9</v>
      </c>
      <c r="K197" s="3">
        <v>2.0833333333333335E-4</v>
      </c>
      <c r="L197" s="3">
        <v>1.4930555555555556E-3</v>
      </c>
      <c r="M197" s="3">
        <v>1.3078703703703703E-3</v>
      </c>
      <c r="N197" s="2">
        <v>0.81930000000000003</v>
      </c>
      <c r="O197" s="5">
        <f t="shared" si="0"/>
        <v>0.24336805555555557</v>
      </c>
      <c r="P197" s="5">
        <f t="shared" si="1"/>
        <v>14.602083333333335</v>
      </c>
      <c r="Q197" s="5">
        <f t="shared" si="2"/>
        <v>0.25680555555555556</v>
      </c>
      <c r="R197" s="5">
        <f t="shared" si="3"/>
        <v>15.408333333333333</v>
      </c>
    </row>
    <row r="198" spans="1:18">
      <c r="A198" s="4">
        <v>44027</v>
      </c>
      <c r="B198" s="1" t="s">
        <v>18</v>
      </c>
      <c r="C198" s="1">
        <f t="shared" si="13"/>
        <v>7</v>
      </c>
      <c r="D198" s="1">
        <f t="shared" si="14"/>
        <v>15</v>
      </c>
      <c r="E198" s="1">
        <f t="shared" si="15"/>
        <v>2020</v>
      </c>
      <c r="F198" s="1">
        <v>197</v>
      </c>
      <c r="G198" s="1">
        <v>205</v>
      </c>
      <c r="H198" s="1">
        <v>194</v>
      </c>
      <c r="I198" s="2">
        <v>0.94630000000000003</v>
      </c>
      <c r="J198" s="1">
        <v>11</v>
      </c>
      <c r="K198" s="3">
        <v>2.0833333333333335E-4</v>
      </c>
      <c r="L198" s="3">
        <v>1.6666666666666668E-3</v>
      </c>
      <c r="M198" s="3">
        <v>1.1689814814814816E-3</v>
      </c>
      <c r="N198" s="2">
        <v>0.80600000000000005</v>
      </c>
      <c r="O198" s="5">
        <f t="shared" si="0"/>
        <v>0.32333333333333336</v>
      </c>
      <c r="P198" s="5">
        <f t="shared" si="1"/>
        <v>19.400000000000002</v>
      </c>
      <c r="Q198" s="5">
        <f t="shared" si="2"/>
        <v>0.34166666666666667</v>
      </c>
      <c r="R198" s="5">
        <f t="shared" si="3"/>
        <v>20.5</v>
      </c>
    </row>
    <row r="199" spans="1:18">
      <c r="A199" s="4">
        <v>44028</v>
      </c>
      <c r="B199" s="1" t="s">
        <v>19</v>
      </c>
      <c r="C199" s="1">
        <f t="shared" si="13"/>
        <v>7</v>
      </c>
      <c r="D199" s="1">
        <f t="shared" si="14"/>
        <v>16</v>
      </c>
      <c r="E199" s="1">
        <f t="shared" si="15"/>
        <v>2020</v>
      </c>
      <c r="F199" s="1">
        <v>198</v>
      </c>
      <c r="G199" s="1">
        <v>178</v>
      </c>
      <c r="H199" s="1">
        <v>168</v>
      </c>
      <c r="I199" s="2">
        <v>0.94379999999999997</v>
      </c>
      <c r="J199" s="1">
        <v>10</v>
      </c>
      <c r="K199" s="3">
        <v>2.6620370370370372E-4</v>
      </c>
      <c r="L199" s="3">
        <v>1.712962962962963E-3</v>
      </c>
      <c r="M199" s="3">
        <v>1.9675925925925924E-3</v>
      </c>
      <c r="N199" s="2">
        <v>0.68969999999999998</v>
      </c>
      <c r="O199" s="5">
        <f t="shared" si="0"/>
        <v>0.2877777777777778</v>
      </c>
      <c r="P199" s="5">
        <f t="shared" si="1"/>
        <v>17.266666666666669</v>
      </c>
      <c r="Q199" s="5">
        <f t="shared" si="2"/>
        <v>0.3049074074074074</v>
      </c>
      <c r="R199" s="5">
        <f t="shared" si="3"/>
        <v>18.294444444444444</v>
      </c>
    </row>
    <row r="200" spans="1:18">
      <c r="A200" s="4">
        <v>44029</v>
      </c>
      <c r="B200" s="1" t="s">
        <v>20</v>
      </c>
      <c r="C200" s="1">
        <f t="shared" si="13"/>
        <v>7</v>
      </c>
      <c r="D200" s="1">
        <f t="shared" si="14"/>
        <v>17</v>
      </c>
      <c r="E200" s="1">
        <f t="shared" si="15"/>
        <v>2020</v>
      </c>
      <c r="F200" s="1">
        <v>199</v>
      </c>
      <c r="G200" s="1">
        <v>214</v>
      </c>
      <c r="H200" s="1">
        <v>201</v>
      </c>
      <c r="I200" s="2">
        <v>0.93930000000000002</v>
      </c>
      <c r="J200" s="1">
        <v>13</v>
      </c>
      <c r="K200" s="3">
        <v>2.6620370370370372E-4</v>
      </c>
      <c r="L200" s="3">
        <v>1.5162037037037036E-3</v>
      </c>
      <c r="M200" s="3">
        <v>1.6666666666666668E-3</v>
      </c>
      <c r="N200" s="2">
        <v>0.6603</v>
      </c>
      <c r="O200" s="5">
        <f t="shared" si="0"/>
        <v>0.30475694444444446</v>
      </c>
      <c r="P200" s="5">
        <f t="shared" si="1"/>
        <v>18.285416666666666</v>
      </c>
      <c r="Q200" s="5">
        <f t="shared" si="2"/>
        <v>0.32446759259259256</v>
      </c>
      <c r="R200" s="5">
        <f t="shared" si="3"/>
        <v>19.468055555555555</v>
      </c>
    </row>
    <row r="201" spans="1:18">
      <c r="A201" s="4">
        <v>44030</v>
      </c>
      <c r="B201" s="1" t="s">
        <v>21</v>
      </c>
      <c r="C201" s="1">
        <f t="shared" si="13"/>
        <v>7</v>
      </c>
      <c r="D201" s="1">
        <f t="shared" si="14"/>
        <v>18</v>
      </c>
      <c r="E201" s="1">
        <f t="shared" si="15"/>
        <v>2020</v>
      </c>
      <c r="F201" s="1">
        <v>200</v>
      </c>
      <c r="G201" s="1">
        <v>169</v>
      </c>
      <c r="H201" s="1">
        <v>161</v>
      </c>
      <c r="I201" s="2">
        <v>0.95269999999999999</v>
      </c>
      <c r="J201" s="1">
        <v>8</v>
      </c>
      <c r="K201" s="3">
        <v>2.6620370370370372E-4</v>
      </c>
      <c r="L201" s="3">
        <v>1.5856481481481481E-3</v>
      </c>
      <c r="M201" s="3">
        <v>3.1828703703703702E-3</v>
      </c>
      <c r="N201" s="2">
        <v>0.71689999999999998</v>
      </c>
      <c r="O201" s="5">
        <f t="shared" si="0"/>
        <v>0.25528935185185186</v>
      </c>
      <c r="P201" s="5">
        <f t="shared" si="1"/>
        <v>15.317361111111111</v>
      </c>
      <c r="Q201" s="5">
        <f t="shared" si="2"/>
        <v>0.26797453703703705</v>
      </c>
      <c r="R201" s="5">
        <f t="shared" si="3"/>
        <v>16.078472222222224</v>
      </c>
    </row>
    <row r="202" spans="1:18">
      <c r="A202" s="4">
        <v>44031</v>
      </c>
      <c r="B202" s="1" t="s">
        <v>22</v>
      </c>
      <c r="C202" s="1">
        <f t="shared" si="13"/>
        <v>7</v>
      </c>
      <c r="D202" s="1">
        <f t="shared" si="14"/>
        <v>19</v>
      </c>
      <c r="E202" s="1">
        <f t="shared" si="15"/>
        <v>2020</v>
      </c>
      <c r="F202" s="1">
        <v>201</v>
      </c>
      <c r="G202" s="1">
        <v>46</v>
      </c>
      <c r="H202" s="1">
        <v>46</v>
      </c>
      <c r="I202" s="2">
        <v>1</v>
      </c>
      <c r="J202" s="1">
        <v>0</v>
      </c>
      <c r="K202" s="3">
        <v>2.8935185185185184E-4</v>
      </c>
      <c r="L202" s="3">
        <v>1.6666666666666668E-3</v>
      </c>
      <c r="M202" s="3">
        <v>1.0995370370370371E-3</v>
      </c>
      <c r="N202" s="2">
        <v>0.71740000000000004</v>
      </c>
      <c r="O202" s="5">
        <f t="shared" si="0"/>
        <v>7.6666666666666675E-2</v>
      </c>
      <c r="P202" s="5">
        <f t="shared" si="1"/>
        <v>4.6000000000000005</v>
      </c>
      <c r="Q202" s="5">
        <f t="shared" si="2"/>
        <v>7.6666666666666675E-2</v>
      </c>
      <c r="R202" s="5">
        <f t="shared" si="3"/>
        <v>4.6000000000000005</v>
      </c>
    </row>
    <row r="203" spans="1:18">
      <c r="A203" s="4">
        <v>44032</v>
      </c>
      <c r="B203" s="1" t="s">
        <v>23</v>
      </c>
      <c r="C203" s="1">
        <f t="shared" si="13"/>
        <v>7</v>
      </c>
      <c r="D203" s="1">
        <f t="shared" si="14"/>
        <v>20</v>
      </c>
      <c r="E203" s="1">
        <f t="shared" si="15"/>
        <v>2020</v>
      </c>
      <c r="F203" s="1">
        <v>202</v>
      </c>
      <c r="G203" s="1">
        <v>183</v>
      </c>
      <c r="H203" s="1">
        <v>177</v>
      </c>
      <c r="I203" s="2">
        <v>0.96719999999999995</v>
      </c>
      <c r="J203" s="1">
        <v>6</v>
      </c>
      <c r="K203" s="3">
        <v>2.0833333333333335E-4</v>
      </c>
      <c r="L203" s="3">
        <v>1.736111111111111E-3</v>
      </c>
      <c r="M203" s="3">
        <v>7.7546296296296293E-4</v>
      </c>
      <c r="N203" s="2">
        <v>0.81110000000000004</v>
      </c>
      <c r="O203" s="5">
        <f t="shared" si="0"/>
        <v>0.30729166666666663</v>
      </c>
      <c r="P203" s="5">
        <f t="shared" si="1"/>
        <v>18.437499999999996</v>
      </c>
      <c r="Q203" s="5">
        <f t="shared" si="2"/>
        <v>0.31770833333333331</v>
      </c>
      <c r="R203" s="5">
        <f t="shared" si="3"/>
        <v>19.0625</v>
      </c>
    </row>
    <row r="204" spans="1:18">
      <c r="A204" s="4">
        <v>44033</v>
      </c>
      <c r="B204" s="1" t="s">
        <v>24</v>
      </c>
      <c r="C204" s="1">
        <f t="shared" si="13"/>
        <v>7</v>
      </c>
      <c r="D204" s="1">
        <f t="shared" si="14"/>
        <v>21</v>
      </c>
      <c r="E204" s="1">
        <f t="shared" si="15"/>
        <v>2020</v>
      </c>
      <c r="F204" s="1">
        <v>203</v>
      </c>
      <c r="G204" s="1">
        <v>208</v>
      </c>
      <c r="H204" s="1">
        <v>190</v>
      </c>
      <c r="I204" s="2">
        <v>0.91349999999999998</v>
      </c>
      <c r="J204" s="1">
        <v>18</v>
      </c>
      <c r="K204" s="3">
        <v>2.4305555555555555E-4</v>
      </c>
      <c r="L204" s="3">
        <v>1.6782407407407408E-3</v>
      </c>
      <c r="M204" s="3">
        <v>1.2731481481481483E-3</v>
      </c>
      <c r="N204" s="2">
        <v>0.74109999999999998</v>
      </c>
      <c r="O204" s="5">
        <f t="shared" si="0"/>
        <v>0.31886574074074076</v>
      </c>
      <c r="P204" s="5">
        <f t="shared" si="1"/>
        <v>19.131944444444446</v>
      </c>
      <c r="Q204" s="5">
        <f t="shared" si="2"/>
        <v>0.34907407407407409</v>
      </c>
      <c r="R204" s="5">
        <f t="shared" si="3"/>
        <v>20.944444444444446</v>
      </c>
    </row>
    <row r="205" spans="1:18">
      <c r="A205" s="4">
        <v>44034</v>
      </c>
      <c r="B205" s="1" t="s">
        <v>18</v>
      </c>
      <c r="C205" s="1">
        <f t="shared" si="13"/>
        <v>7</v>
      </c>
      <c r="D205" s="1">
        <f t="shared" si="14"/>
        <v>22</v>
      </c>
      <c r="E205" s="1">
        <f t="shared" si="15"/>
        <v>2020</v>
      </c>
      <c r="F205" s="1">
        <v>204</v>
      </c>
      <c r="G205" s="1">
        <v>234</v>
      </c>
      <c r="H205" s="1">
        <v>224</v>
      </c>
      <c r="I205" s="2">
        <v>0.95730000000000004</v>
      </c>
      <c r="J205" s="1">
        <v>10</v>
      </c>
      <c r="K205" s="3">
        <v>2.5462962962962961E-4</v>
      </c>
      <c r="L205" s="3">
        <v>1.5625000000000001E-3</v>
      </c>
      <c r="M205" s="3">
        <v>2.3148148148148147E-3</v>
      </c>
      <c r="N205" s="2">
        <v>0.74139999999999995</v>
      </c>
      <c r="O205" s="5">
        <f t="shared" si="0"/>
        <v>0.35000000000000003</v>
      </c>
      <c r="P205" s="5">
        <f t="shared" si="1"/>
        <v>21.000000000000004</v>
      </c>
      <c r="Q205" s="5">
        <f t="shared" si="2"/>
        <v>0.36562500000000003</v>
      </c>
      <c r="R205" s="5">
        <f t="shared" si="3"/>
        <v>21.937500000000004</v>
      </c>
    </row>
    <row r="206" spans="1:18">
      <c r="A206" s="4">
        <v>44035</v>
      </c>
      <c r="B206" s="1" t="s">
        <v>19</v>
      </c>
      <c r="C206" s="1">
        <f t="shared" si="13"/>
        <v>7</v>
      </c>
      <c r="D206" s="1">
        <f t="shared" si="14"/>
        <v>23</v>
      </c>
      <c r="E206" s="1">
        <f t="shared" si="15"/>
        <v>2020</v>
      </c>
      <c r="F206" s="1">
        <v>205</v>
      </c>
      <c r="G206" s="1">
        <v>204</v>
      </c>
      <c r="H206" s="1">
        <v>194</v>
      </c>
      <c r="I206" s="2">
        <v>0.95099999999999996</v>
      </c>
      <c r="J206" s="1">
        <v>10</v>
      </c>
      <c r="K206" s="3">
        <v>2.0833333333333335E-4</v>
      </c>
      <c r="L206" s="3">
        <v>1.5856481481481481E-3</v>
      </c>
      <c r="M206" s="3">
        <v>1.2731481481481483E-3</v>
      </c>
      <c r="N206" s="2">
        <v>0.78710000000000002</v>
      </c>
      <c r="O206" s="5">
        <f t="shared" si="0"/>
        <v>0.30761574074074072</v>
      </c>
      <c r="P206" s="5">
        <f t="shared" si="1"/>
        <v>18.456944444444442</v>
      </c>
      <c r="Q206" s="5">
        <f t="shared" si="2"/>
        <v>0.32347222222222222</v>
      </c>
      <c r="R206" s="5">
        <f t="shared" si="3"/>
        <v>19.408333333333331</v>
      </c>
    </row>
    <row r="207" spans="1:18">
      <c r="A207" s="4">
        <v>44036</v>
      </c>
      <c r="B207" s="1" t="s">
        <v>20</v>
      </c>
      <c r="C207" s="1">
        <f t="shared" si="13"/>
        <v>7</v>
      </c>
      <c r="D207" s="1">
        <f t="shared" si="14"/>
        <v>24</v>
      </c>
      <c r="E207" s="1">
        <f t="shared" si="15"/>
        <v>2020</v>
      </c>
      <c r="F207" s="1">
        <v>206</v>
      </c>
      <c r="G207" s="1">
        <v>204</v>
      </c>
      <c r="H207" s="1">
        <v>189</v>
      </c>
      <c r="I207" s="2">
        <v>0.92649999999999999</v>
      </c>
      <c r="J207" s="1">
        <v>15</v>
      </c>
      <c r="K207" s="3">
        <v>2.4305555555555555E-4</v>
      </c>
      <c r="L207" s="3">
        <v>1.5625000000000001E-3</v>
      </c>
      <c r="M207" s="3">
        <v>2.7314814814814814E-3</v>
      </c>
      <c r="N207" s="2">
        <v>0.70789999999999997</v>
      </c>
      <c r="O207" s="5">
        <f t="shared" si="0"/>
        <v>0.29531250000000003</v>
      </c>
      <c r="P207" s="5">
        <f t="shared" si="1"/>
        <v>17.718750000000004</v>
      </c>
      <c r="Q207" s="5">
        <f t="shared" si="2"/>
        <v>0.31875000000000003</v>
      </c>
      <c r="R207" s="5">
        <f t="shared" si="3"/>
        <v>19.125000000000004</v>
      </c>
    </row>
    <row r="208" spans="1:18">
      <c r="A208" s="4">
        <v>44037</v>
      </c>
      <c r="B208" s="1" t="s">
        <v>21</v>
      </c>
      <c r="C208" s="1">
        <f t="shared" si="13"/>
        <v>7</v>
      </c>
      <c r="D208" s="1">
        <f t="shared" si="14"/>
        <v>25</v>
      </c>
      <c r="E208" s="1">
        <f t="shared" si="15"/>
        <v>2020</v>
      </c>
      <c r="F208" s="1">
        <v>207</v>
      </c>
      <c r="G208" s="1">
        <v>99</v>
      </c>
      <c r="H208" s="1">
        <v>99</v>
      </c>
      <c r="I208" s="2">
        <v>1</v>
      </c>
      <c r="J208" s="1">
        <v>0</v>
      </c>
      <c r="K208" s="3">
        <v>1.8518518518518518E-4</v>
      </c>
      <c r="L208" s="3">
        <v>1.6782407407407408E-3</v>
      </c>
      <c r="M208" s="3">
        <v>7.1759259259259259E-4</v>
      </c>
      <c r="N208" s="2">
        <v>0.82830000000000004</v>
      </c>
      <c r="O208" s="5">
        <f t="shared" si="0"/>
        <v>0.16614583333333333</v>
      </c>
      <c r="P208" s="5">
        <f t="shared" si="1"/>
        <v>9.96875</v>
      </c>
      <c r="Q208" s="5">
        <f t="shared" si="2"/>
        <v>0.16614583333333333</v>
      </c>
      <c r="R208" s="5">
        <f t="shared" si="3"/>
        <v>9.96875</v>
      </c>
    </row>
    <row r="209" spans="1:18">
      <c r="A209" s="4">
        <v>44038</v>
      </c>
      <c r="B209" s="1" t="s">
        <v>22</v>
      </c>
      <c r="C209" s="1">
        <f t="shared" si="13"/>
        <v>7</v>
      </c>
      <c r="D209" s="1">
        <f t="shared" si="14"/>
        <v>26</v>
      </c>
      <c r="E209" s="1">
        <f t="shared" si="15"/>
        <v>2020</v>
      </c>
      <c r="F209" s="1">
        <v>208</v>
      </c>
      <c r="G209" s="1">
        <v>29</v>
      </c>
      <c r="H209" s="1">
        <v>27</v>
      </c>
      <c r="I209" s="2">
        <v>0.93100000000000005</v>
      </c>
      <c r="J209" s="1">
        <v>2</v>
      </c>
      <c r="K209" s="3">
        <v>2.199074074074074E-4</v>
      </c>
      <c r="L209" s="3">
        <v>1.9328703703703704E-3</v>
      </c>
      <c r="M209" s="3">
        <v>1.6435185185185185E-3</v>
      </c>
      <c r="N209" s="2">
        <v>0.78569999999999995</v>
      </c>
      <c r="O209" s="5">
        <f t="shared" si="0"/>
        <v>5.2187499999999998E-2</v>
      </c>
      <c r="P209" s="5">
        <f t="shared" si="1"/>
        <v>3.1312499999999996</v>
      </c>
      <c r="Q209" s="5">
        <f t="shared" si="2"/>
        <v>5.6053240740740744E-2</v>
      </c>
      <c r="R209" s="5">
        <f t="shared" si="3"/>
        <v>3.3631944444444448</v>
      </c>
    </row>
    <row r="210" spans="1:18">
      <c r="A210" s="4">
        <v>44039</v>
      </c>
      <c r="B210" s="1" t="s">
        <v>23</v>
      </c>
      <c r="C210" s="1">
        <f t="shared" si="13"/>
        <v>7</v>
      </c>
      <c r="D210" s="1">
        <f t="shared" si="14"/>
        <v>27</v>
      </c>
      <c r="E210" s="1">
        <f t="shared" si="15"/>
        <v>2020</v>
      </c>
      <c r="F210" s="1">
        <v>209</v>
      </c>
      <c r="G210" s="1">
        <v>167</v>
      </c>
      <c r="H210" s="1">
        <v>159</v>
      </c>
      <c r="I210" s="2">
        <v>0.95209999999999995</v>
      </c>
      <c r="J210" s="1">
        <v>8</v>
      </c>
      <c r="K210" s="3">
        <v>2.6620370370370372E-4</v>
      </c>
      <c r="L210" s="3">
        <v>1.712962962962963E-3</v>
      </c>
      <c r="M210" s="3">
        <v>3.1828703703703702E-3</v>
      </c>
      <c r="N210" s="2">
        <v>0.70479999999999998</v>
      </c>
      <c r="O210" s="5">
        <f t="shared" si="0"/>
        <v>0.27236111111111111</v>
      </c>
      <c r="P210" s="5">
        <f t="shared" si="1"/>
        <v>16.341666666666665</v>
      </c>
      <c r="Q210" s="5">
        <f t="shared" si="2"/>
        <v>0.28606481481481483</v>
      </c>
      <c r="R210" s="5">
        <f t="shared" si="3"/>
        <v>17.163888888888891</v>
      </c>
    </row>
    <row r="211" spans="1:18">
      <c r="A211" s="4">
        <v>44040</v>
      </c>
      <c r="B211" s="1" t="s">
        <v>24</v>
      </c>
      <c r="C211" s="1">
        <f t="shared" si="13"/>
        <v>7</v>
      </c>
      <c r="D211" s="1">
        <f t="shared" si="14"/>
        <v>28</v>
      </c>
      <c r="E211" s="1">
        <f t="shared" si="15"/>
        <v>2020</v>
      </c>
      <c r="F211" s="1">
        <v>210</v>
      </c>
      <c r="G211" s="1">
        <v>164</v>
      </c>
      <c r="H211" s="1">
        <v>161</v>
      </c>
      <c r="I211" s="2">
        <v>0.98170000000000002</v>
      </c>
      <c r="J211" s="1">
        <v>3</v>
      </c>
      <c r="K211" s="3">
        <v>1.9675925925925926E-4</v>
      </c>
      <c r="L211" s="3">
        <v>1.7939814814814815E-3</v>
      </c>
      <c r="M211" s="3">
        <v>1.1226851851851851E-3</v>
      </c>
      <c r="N211" s="2">
        <v>0.81710000000000005</v>
      </c>
      <c r="O211" s="5">
        <f t="shared" si="0"/>
        <v>0.2888310185185185</v>
      </c>
      <c r="P211" s="5">
        <f t="shared" si="1"/>
        <v>17.329861111111111</v>
      </c>
      <c r="Q211" s="5">
        <f t="shared" si="2"/>
        <v>0.29421296296296295</v>
      </c>
      <c r="R211" s="5">
        <f t="shared" si="3"/>
        <v>17.652777777777779</v>
      </c>
    </row>
    <row r="212" spans="1:18">
      <c r="A212" s="4">
        <v>44041</v>
      </c>
      <c r="B212" s="1" t="s">
        <v>18</v>
      </c>
      <c r="C212" s="1">
        <f t="shared" si="13"/>
        <v>7</v>
      </c>
      <c r="D212" s="1">
        <f t="shared" si="14"/>
        <v>29</v>
      </c>
      <c r="E212" s="1">
        <f t="shared" si="15"/>
        <v>2020</v>
      </c>
      <c r="F212" s="1">
        <v>211</v>
      </c>
      <c r="G212" s="1">
        <v>158</v>
      </c>
      <c r="H212" s="1">
        <v>147</v>
      </c>
      <c r="I212" s="2">
        <v>0.9304</v>
      </c>
      <c r="J212" s="1">
        <v>11</v>
      </c>
      <c r="K212" s="3">
        <v>2.4305555555555555E-4</v>
      </c>
      <c r="L212" s="3">
        <v>1.7824074074074075E-3</v>
      </c>
      <c r="M212" s="3">
        <v>1.4236111111111112E-3</v>
      </c>
      <c r="N212" s="2">
        <v>0.72440000000000004</v>
      </c>
      <c r="O212" s="5">
        <f t="shared" si="0"/>
        <v>0.26201388888888888</v>
      </c>
      <c r="P212" s="5">
        <f t="shared" si="1"/>
        <v>15.720833333333333</v>
      </c>
      <c r="Q212" s="5">
        <f t="shared" si="2"/>
        <v>0.28162037037037035</v>
      </c>
      <c r="R212" s="5">
        <f t="shared" si="3"/>
        <v>16.897222222222222</v>
      </c>
    </row>
    <row r="213" spans="1:18">
      <c r="A213" s="4">
        <v>44042</v>
      </c>
      <c r="B213" s="1" t="s">
        <v>19</v>
      </c>
      <c r="C213" s="1">
        <f t="shared" si="13"/>
        <v>7</v>
      </c>
      <c r="D213" s="1">
        <f t="shared" si="14"/>
        <v>30</v>
      </c>
      <c r="E213" s="1">
        <f t="shared" si="15"/>
        <v>2020</v>
      </c>
      <c r="F213" s="1">
        <v>212</v>
      </c>
      <c r="G213" s="1">
        <v>165</v>
      </c>
      <c r="H213" s="1">
        <v>161</v>
      </c>
      <c r="I213" s="2">
        <v>0.9758</v>
      </c>
      <c r="J213" s="1">
        <v>4</v>
      </c>
      <c r="K213" s="3">
        <v>1.9675925925925926E-4</v>
      </c>
      <c r="L213" s="3">
        <v>1.6898148148148148E-3</v>
      </c>
      <c r="M213" s="3">
        <v>7.6388888888888893E-4</v>
      </c>
      <c r="N213" s="2">
        <v>0.77910000000000001</v>
      </c>
      <c r="O213" s="5">
        <f t="shared" si="0"/>
        <v>0.27206018518518515</v>
      </c>
      <c r="P213" s="5">
        <f t="shared" si="1"/>
        <v>16.323611111111109</v>
      </c>
      <c r="Q213" s="5">
        <f t="shared" si="2"/>
        <v>0.27881944444444445</v>
      </c>
      <c r="R213" s="5">
        <f t="shared" si="3"/>
        <v>16.729166666666668</v>
      </c>
    </row>
    <row r="214" spans="1:18">
      <c r="A214" s="4">
        <v>44043</v>
      </c>
      <c r="B214" s="1" t="s">
        <v>20</v>
      </c>
      <c r="C214" s="1">
        <f t="shared" si="13"/>
        <v>7</v>
      </c>
      <c r="D214" s="1">
        <f t="shared" si="14"/>
        <v>31</v>
      </c>
      <c r="E214" s="1">
        <f t="shared" si="15"/>
        <v>2020</v>
      </c>
      <c r="F214" s="1">
        <v>213</v>
      </c>
      <c r="G214" s="1">
        <v>129</v>
      </c>
      <c r="H214" s="1">
        <v>124</v>
      </c>
      <c r="I214" s="2">
        <v>0.96120000000000005</v>
      </c>
      <c r="J214" s="1">
        <v>5</v>
      </c>
      <c r="K214" s="3">
        <v>2.6620370370370372E-4</v>
      </c>
      <c r="L214" s="3">
        <v>1.712962962962963E-3</v>
      </c>
      <c r="M214" s="3">
        <v>1.2731481481481483E-3</v>
      </c>
      <c r="N214" s="2">
        <v>0.7087</v>
      </c>
      <c r="O214" s="5">
        <f t="shared" si="0"/>
        <v>0.21240740740740741</v>
      </c>
      <c r="P214" s="5">
        <f t="shared" si="1"/>
        <v>12.744444444444444</v>
      </c>
      <c r="Q214" s="5">
        <f t="shared" si="2"/>
        <v>0.22097222222222224</v>
      </c>
      <c r="R214" s="5">
        <f t="shared" si="3"/>
        <v>13.258333333333335</v>
      </c>
    </row>
    <row r="215" spans="1:18">
      <c r="A215" s="4">
        <v>44044</v>
      </c>
      <c r="B215" s="1" t="s">
        <v>21</v>
      </c>
      <c r="C215" s="1">
        <f t="shared" si="13"/>
        <v>8</v>
      </c>
      <c r="D215" s="1">
        <f t="shared" si="14"/>
        <v>1</v>
      </c>
      <c r="E215" s="1">
        <f t="shared" si="15"/>
        <v>2020</v>
      </c>
      <c r="F215" s="1">
        <v>214</v>
      </c>
      <c r="G215" s="1">
        <v>155</v>
      </c>
      <c r="H215" s="1">
        <v>149</v>
      </c>
      <c r="I215" s="2">
        <v>0.96130000000000004</v>
      </c>
      <c r="J215" s="1">
        <v>6</v>
      </c>
      <c r="K215" s="3">
        <v>2.6620370370370372E-4</v>
      </c>
      <c r="L215" s="3">
        <v>1.6898148148148148E-3</v>
      </c>
      <c r="M215" s="3">
        <v>2.9976851851851853E-3</v>
      </c>
      <c r="N215" s="2">
        <v>0.74509999999999998</v>
      </c>
      <c r="O215" s="5">
        <f t="shared" si="0"/>
        <v>0.25178240740740743</v>
      </c>
      <c r="P215" s="5">
        <f t="shared" si="1"/>
        <v>15.106944444444446</v>
      </c>
      <c r="Q215" s="5">
        <f t="shared" si="2"/>
        <v>0.26192129629629629</v>
      </c>
      <c r="R215" s="5">
        <f t="shared" si="3"/>
        <v>15.715277777777777</v>
      </c>
    </row>
    <row r="216" spans="1:18">
      <c r="A216" s="4">
        <v>44045</v>
      </c>
      <c r="B216" s="1" t="s">
        <v>22</v>
      </c>
      <c r="C216" s="1">
        <f t="shared" si="13"/>
        <v>8</v>
      </c>
      <c r="D216" s="1">
        <f t="shared" si="14"/>
        <v>2</v>
      </c>
      <c r="E216" s="1">
        <f t="shared" si="15"/>
        <v>2020</v>
      </c>
      <c r="F216" s="1">
        <v>215</v>
      </c>
      <c r="G216" s="1">
        <v>24</v>
      </c>
      <c r="H216" s="1">
        <v>22</v>
      </c>
      <c r="I216" s="2">
        <v>0.91669999999999996</v>
      </c>
      <c r="J216" s="1">
        <v>2</v>
      </c>
      <c r="K216" s="3">
        <v>3.2407407407407406E-4</v>
      </c>
      <c r="L216" s="3">
        <v>1.6666666666666668E-3</v>
      </c>
      <c r="M216" s="3">
        <v>9.3749999999999997E-4</v>
      </c>
      <c r="N216" s="2">
        <v>0.54169999999999996</v>
      </c>
      <c r="O216" s="5">
        <f t="shared" si="0"/>
        <v>3.6666666666666667E-2</v>
      </c>
      <c r="P216" s="5">
        <f t="shared" si="1"/>
        <v>2.2000000000000002</v>
      </c>
      <c r="Q216" s="5">
        <f t="shared" si="2"/>
        <v>0.04</v>
      </c>
      <c r="R216" s="5">
        <f t="shared" si="3"/>
        <v>2.4</v>
      </c>
    </row>
    <row r="217" spans="1:18">
      <c r="A217" s="4">
        <v>44046</v>
      </c>
      <c r="B217" s="1" t="s">
        <v>23</v>
      </c>
      <c r="C217" s="1">
        <f t="shared" si="13"/>
        <v>8</v>
      </c>
      <c r="D217" s="1">
        <f t="shared" si="14"/>
        <v>3</v>
      </c>
      <c r="E217" s="1">
        <f t="shared" si="15"/>
        <v>2020</v>
      </c>
      <c r="F217" s="1">
        <v>216</v>
      </c>
      <c r="G217" s="1">
        <v>209</v>
      </c>
      <c r="H217" s="1">
        <v>200</v>
      </c>
      <c r="I217" s="2">
        <v>0.95689999999999997</v>
      </c>
      <c r="J217" s="1">
        <v>9</v>
      </c>
      <c r="K217" s="3">
        <v>2.6620370370370372E-4</v>
      </c>
      <c r="L217" s="3">
        <v>1.6666666666666668E-3</v>
      </c>
      <c r="M217" s="3">
        <v>1.5162037037037036E-3</v>
      </c>
      <c r="N217" s="2">
        <v>0.66669999999999996</v>
      </c>
      <c r="O217" s="5">
        <f t="shared" si="0"/>
        <v>0.33333333333333337</v>
      </c>
      <c r="P217" s="5">
        <f t="shared" si="1"/>
        <v>20.000000000000004</v>
      </c>
      <c r="Q217" s="5">
        <f t="shared" si="2"/>
        <v>0.34833333333333333</v>
      </c>
      <c r="R217" s="5">
        <f t="shared" si="3"/>
        <v>20.9</v>
      </c>
    </row>
    <row r="218" spans="1:18">
      <c r="A218" s="4">
        <v>44047</v>
      </c>
      <c r="B218" s="1" t="s">
        <v>24</v>
      </c>
      <c r="C218" s="1">
        <f t="shared" si="13"/>
        <v>8</v>
      </c>
      <c r="D218" s="1">
        <f t="shared" si="14"/>
        <v>4</v>
      </c>
      <c r="E218" s="1">
        <f t="shared" si="15"/>
        <v>2020</v>
      </c>
      <c r="F218" s="1">
        <v>217</v>
      </c>
      <c r="G218" s="1">
        <v>239</v>
      </c>
      <c r="H218" s="1">
        <v>226</v>
      </c>
      <c r="I218" s="2">
        <v>0.9456</v>
      </c>
      <c r="J218" s="1">
        <v>13</v>
      </c>
      <c r="K218" s="3">
        <v>3.0092592592592595E-4</v>
      </c>
      <c r="L218" s="3">
        <v>1.6087962962962963E-3</v>
      </c>
      <c r="M218" s="3">
        <v>1.9675925925925924E-3</v>
      </c>
      <c r="N218" s="2">
        <v>0.67230000000000001</v>
      </c>
      <c r="O218" s="5">
        <f t="shared" si="0"/>
        <v>0.36358796296296297</v>
      </c>
      <c r="P218" s="5">
        <f t="shared" si="1"/>
        <v>21.81527777777778</v>
      </c>
      <c r="Q218" s="5">
        <f t="shared" si="2"/>
        <v>0.38450231481481484</v>
      </c>
      <c r="R218" s="5">
        <f t="shared" si="3"/>
        <v>23.070138888888891</v>
      </c>
    </row>
    <row r="219" spans="1:18">
      <c r="A219" s="4">
        <v>44048</v>
      </c>
      <c r="B219" s="1" t="s">
        <v>18</v>
      </c>
      <c r="C219" s="1">
        <f t="shared" si="13"/>
        <v>8</v>
      </c>
      <c r="D219" s="1">
        <f t="shared" si="14"/>
        <v>5</v>
      </c>
      <c r="E219" s="1">
        <f t="shared" si="15"/>
        <v>2020</v>
      </c>
      <c r="F219" s="1">
        <v>218</v>
      </c>
      <c r="G219" s="1">
        <v>229</v>
      </c>
      <c r="H219" s="1">
        <v>210</v>
      </c>
      <c r="I219" s="2">
        <v>0.91700000000000004</v>
      </c>
      <c r="J219" s="1">
        <v>19</v>
      </c>
      <c r="K219" s="3">
        <v>3.3564814814814812E-4</v>
      </c>
      <c r="L219" s="3">
        <v>1.6550925925925926E-3</v>
      </c>
      <c r="M219" s="3">
        <v>5.7407407407407407E-3</v>
      </c>
      <c r="N219" s="2">
        <v>0.64159999999999995</v>
      </c>
      <c r="O219" s="5">
        <f t="shared" si="0"/>
        <v>0.34756944444444443</v>
      </c>
      <c r="P219" s="5">
        <f t="shared" si="1"/>
        <v>20.854166666666664</v>
      </c>
      <c r="Q219" s="5">
        <f t="shared" si="2"/>
        <v>0.3790162037037037</v>
      </c>
      <c r="R219" s="5">
        <f t="shared" si="3"/>
        <v>22.740972222222222</v>
      </c>
    </row>
    <row r="220" spans="1:18">
      <c r="A220" s="4">
        <v>44049</v>
      </c>
      <c r="B220" s="1" t="s">
        <v>19</v>
      </c>
      <c r="C220" s="1">
        <f t="shared" si="13"/>
        <v>8</v>
      </c>
      <c r="D220" s="1">
        <f t="shared" si="14"/>
        <v>6</v>
      </c>
      <c r="E220" s="1">
        <f t="shared" si="15"/>
        <v>2020</v>
      </c>
      <c r="F220" s="1">
        <v>219</v>
      </c>
      <c r="G220" s="1">
        <v>194</v>
      </c>
      <c r="H220" s="1">
        <v>172</v>
      </c>
      <c r="I220" s="2">
        <v>0.88660000000000005</v>
      </c>
      <c r="J220" s="1">
        <v>22</v>
      </c>
      <c r="K220" s="3">
        <v>2.6620370370370372E-4</v>
      </c>
      <c r="L220" s="3">
        <v>1.6203703703703703E-3</v>
      </c>
      <c r="M220" s="3">
        <v>4.3518518518518515E-3</v>
      </c>
      <c r="N220" s="2">
        <v>0.66139999999999999</v>
      </c>
      <c r="O220" s="5">
        <f t="shared" si="0"/>
        <v>0.27870370370370368</v>
      </c>
      <c r="P220" s="5">
        <f t="shared" si="1"/>
        <v>16.722222222222221</v>
      </c>
      <c r="Q220" s="5">
        <f t="shared" si="2"/>
        <v>0.31435185185185183</v>
      </c>
      <c r="R220" s="5">
        <f t="shared" si="3"/>
        <v>18.861111111111111</v>
      </c>
    </row>
    <row r="221" spans="1:18">
      <c r="A221" s="4">
        <v>44050</v>
      </c>
      <c r="B221" s="1" t="s">
        <v>20</v>
      </c>
      <c r="C221" s="1">
        <f t="shared" si="13"/>
        <v>8</v>
      </c>
      <c r="D221" s="1">
        <f t="shared" si="14"/>
        <v>7</v>
      </c>
      <c r="E221" s="1">
        <f t="shared" si="15"/>
        <v>2020</v>
      </c>
      <c r="F221" s="1">
        <v>220</v>
      </c>
      <c r="G221" s="1">
        <v>202</v>
      </c>
      <c r="H221" s="1">
        <v>179</v>
      </c>
      <c r="I221" s="2">
        <v>0.8861</v>
      </c>
      <c r="J221" s="1">
        <v>23</v>
      </c>
      <c r="K221" s="3">
        <v>2.7777777777777778E-4</v>
      </c>
      <c r="L221" s="3">
        <v>1.5740740740740741E-3</v>
      </c>
      <c r="M221" s="3">
        <v>1.9675925925925924E-3</v>
      </c>
      <c r="N221" s="2">
        <v>0.64429999999999998</v>
      </c>
      <c r="O221" s="5">
        <f t="shared" si="0"/>
        <v>0.28175925925925926</v>
      </c>
      <c r="P221" s="5">
        <f t="shared" si="1"/>
        <v>16.905555555555555</v>
      </c>
      <c r="Q221" s="5">
        <f t="shared" si="2"/>
        <v>0.31796296296296295</v>
      </c>
      <c r="R221" s="5">
        <f t="shared" si="3"/>
        <v>19.077777777777776</v>
      </c>
    </row>
    <row r="222" spans="1:18">
      <c r="A222" s="4">
        <v>44051</v>
      </c>
      <c r="B222" s="1" t="s">
        <v>21</v>
      </c>
      <c r="C222" s="1">
        <f t="shared" si="13"/>
        <v>8</v>
      </c>
      <c r="D222" s="1">
        <f t="shared" si="14"/>
        <v>8</v>
      </c>
      <c r="E222" s="1">
        <f t="shared" si="15"/>
        <v>2020</v>
      </c>
      <c r="F222" s="1">
        <v>221</v>
      </c>
      <c r="G222" s="1">
        <v>268</v>
      </c>
      <c r="H222" s="1">
        <v>254</v>
      </c>
      <c r="I222" s="2">
        <v>0.94779999999999998</v>
      </c>
      <c r="J222" s="1">
        <v>14</v>
      </c>
      <c r="K222" s="3">
        <v>1.7361111111111112E-4</v>
      </c>
      <c r="L222" s="3">
        <v>1.2847222222222223E-3</v>
      </c>
      <c r="M222" s="3">
        <v>1.8518518518518519E-3</v>
      </c>
      <c r="N222" s="2">
        <v>0.81130000000000002</v>
      </c>
      <c r="O222" s="5">
        <f t="shared" si="0"/>
        <v>0.32631944444444444</v>
      </c>
      <c r="P222" s="5">
        <f t="shared" si="1"/>
        <v>19.579166666666666</v>
      </c>
      <c r="Q222" s="5">
        <f t="shared" si="2"/>
        <v>0.34430555555555559</v>
      </c>
      <c r="R222" s="5">
        <f t="shared" si="3"/>
        <v>20.658333333333335</v>
      </c>
    </row>
    <row r="223" spans="1:18">
      <c r="A223" s="4">
        <v>44052</v>
      </c>
      <c r="B223" s="1" t="s">
        <v>22</v>
      </c>
      <c r="C223" s="1">
        <f t="shared" si="13"/>
        <v>8</v>
      </c>
      <c r="D223" s="1">
        <f t="shared" si="14"/>
        <v>9</v>
      </c>
      <c r="E223" s="1">
        <f t="shared" si="15"/>
        <v>2020</v>
      </c>
      <c r="F223" s="1">
        <v>222</v>
      </c>
      <c r="G223" s="1">
        <v>52</v>
      </c>
      <c r="H223" s="1">
        <v>49</v>
      </c>
      <c r="I223" s="2">
        <v>0.94230000000000003</v>
      </c>
      <c r="J223" s="1">
        <v>3</v>
      </c>
      <c r="K223" s="3">
        <v>2.0833333333333335E-4</v>
      </c>
      <c r="L223" s="3">
        <v>1.5972222222222223E-3</v>
      </c>
      <c r="M223" s="3">
        <v>1.5856481481481481E-3</v>
      </c>
      <c r="N223" s="2">
        <v>0.76470000000000005</v>
      </c>
      <c r="O223" s="5">
        <f t="shared" si="0"/>
        <v>7.8263888888888897E-2</v>
      </c>
      <c r="P223" s="5">
        <f t="shared" si="1"/>
        <v>4.6958333333333337</v>
      </c>
      <c r="Q223" s="5">
        <f t="shared" si="2"/>
        <v>8.3055555555555563E-2</v>
      </c>
      <c r="R223" s="5">
        <f t="shared" si="3"/>
        <v>4.9833333333333334</v>
      </c>
    </row>
    <row r="224" spans="1:18">
      <c r="A224" s="4">
        <v>44053</v>
      </c>
      <c r="B224" s="1" t="s">
        <v>23</v>
      </c>
      <c r="C224" s="1">
        <f t="shared" si="13"/>
        <v>8</v>
      </c>
      <c r="D224" s="1">
        <f t="shared" si="14"/>
        <v>10</v>
      </c>
      <c r="E224" s="1">
        <f t="shared" si="15"/>
        <v>2020</v>
      </c>
      <c r="F224" s="1">
        <v>223</v>
      </c>
      <c r="G224" s="1">
        <v>414</v>
      </c>
      <c r="H224" s="1">
        <v>397</v>
      </c>
      <c r="I224" s="2">
        <v>0.95889999999999997</v>
      </c>
      <c r="J224" s="1">
        <v>17</v>
      </c>
      <c r="K224" s="3">
        <v>2.6620370370370372E-4</v>
      </c>
      <c r="L224" s="3">
        <v>1.3657407407407407E-3</v>
      </c>
      <c r="M224" s="3">
        <v>3.8425925925925928E-3</v>
      </c>
      <c r="N224" s="2">
        <v>0.70730000000000004</v>
      </c>
      <c r="O224" s="5">
        <f t="shared" si="0"/>
        <v>0.54219907407407408</v>
      </c>
      <c r="P224" s="5">
        <f t="shared" si="1"/>
        <v>32.531944444444449</v>
      </c>
      <c r="Q224" s="5">
        <f t="shared" si="2"/>
        <v>0.56541666666666668</v>
      </c>
      <c r="R224" s="5">
        <f t="shared" si="3"/>
        <v>33.924999999999997</v>
      </c>
    </row>
    <row r="225" spans="1:18">
      <c r="A225" s="4">
        <v>44054</v>
      </c>
      <c r="B225" s="1" t="s">
        <v>24</v>
      </c>
      <c r="C225" s="1">
        <f t="shared" si="13"/>
        <v>8</v>
      </c>
      <c r="D225" s="1">
        <f t="shared" si="14"/>
        <v>11</v>
      </c>
      <c r="E225" s="1">
        <f t="shared" si="15"/>
        <v>2020</v>
      </c>
      <c r="F225" s="1">
        <v>224</v>
      </c>
      <c r="G225" s="1">
        <v>346</v>
      </c>
      <c r="H225" s="1">
        <v>325</v>
      </c>
      <c r="I225" s="2">
        <v>0.93930000000000002</v>
      </c>
      <c r="J225" s="1">
        <v>21</v>
      </c>
      <c r="K225" s="3">
        <v>3.1250000000000001E-4</v>
      </c>
      <c r="L225" s="3">
        <v>1.6435185185185185E-3</v>
      </c>
      <c r="M225" s="3">
        <v>1.9097222222222222E-3</v>
      </c>
      <c r="N225" s="2">
        <v>0.65690000000000004</v>
      </c>
      <c r="O225" s="5">
        <f t="shared" si="0"/>
        <v>0.53414351851851849</v>
      </c>
      <c r="P225" s="5">
        <f t="shared" si="1"/>
        <v>32.048611111111107</v>
      </c>
      <c r="Q225" s="5">
        <f t="shared" si="2"/>
        <v>0.56865740740740744</v>
      </c>
      <c r="R225" s="5">
        <f t="shared" si="3"/>
        <v>34.119444444444447</v>
      </c>
    </row>
    <row r="226" spans="1:18">
      <c r="A226" s="4">
        <v>44055</v>
      </c>
      <c r="B226" s="1" t="s">
        <v>18</v>
      </c>
      <c r="C226" s="1">
        <f t="shared" si="13"/>
        <v>8</v>
      </c>
      <c r="D226" s="1">
        <f t="shared" si="14"/>
        <v>12</v>
      </c>
      <c r="E226" s="1">
        <f t="shared" si="15"/>
        <v>2020</v>
      </c>
      <c r="F226" s="1">
        <v>225</v>
      </c>
      <c r="G226" s="1">
        <v>187</v>
      </c>
      <c r="H226" s="1">
        <v>179</v>
      </c>
      <c r="I226" s="2">
        <v>0.95720000000000005</v>
      </c>
      <c r="J226" s="1">
        <v>8</v>
      </c>
      <c r="K226" s="3">
        <v>2.8935185185185184E-4</v>
      </c>
      <c r="L226" s="3">
        <v>1.5509259259259259E-3</v>
      </c>
      <c r="M226" s="3">
        <v>2.0717592592592593E-3</v>
      </c>
      <c r="N226" s="2">
        <v>0.67030000000000001</v>
      </c>
      <c r="O226" s="5">
        <f t="shared" si="0"/>
        <v>0.27761574074074075</v>
      </c>
      <c r="P226" s="5">
        <f t="shared" si="1"/>
        <v>16.656944444444445</v>
      </c>
      <c r="Q226" s="5">
        <f t="shared" si="2"/>
        <v>0.29002314814814811</v>
      </c>
      <c r="R226" s="5">
        <f t="shared" si="3"/>
        <v>17.401388888888889</v>
      </c>
    </row>
    <row r="227" spans="1:18">
      <c r="A227" s="4">
        <v>44056</v>
      </c>
      <c r="B227" s="1" t="s">
        <v>19</v>
      </c>
      <c r="C227" s="1">
        <f t="shared" si="13"/>
        <v>8</v>
      </c>
      <c r="D227" s="1">
        <f t="shared" si="14"/>
        <v>13</v>
      </c>
      <c r="E227" s="1">
        <f t="shared" si="15"/>
        <v>2020</v>
      </c>
      <c r="F227" s="1">
        <v>226</v>
      </c>
      <c r="G227" s="1">
        <v>203</v>
      </c>
      <c r="H227" s="1">
        <v>186</v>
      </c>
      <c r="I227" s="2">
        <v>0.9163</v>
      </c>
      <c r="J227" s="1">
        <v>17</v>
      </c>
      <c r="K227" s="3">
        <v>2.7777777777777778E-4</v>
      </c>
      <c r="L227" s="3">
        <v>1.8287037037037037E-3</v>
      </c>
      <c r="M227" s="3">
        <v>3.1828703703703702E-3</v>
      </c>
      <c r="N227" s="2">
        <v>0.69589999999999996</v>
      </c>
      <c r="O227" s="5">
        <f t="shared" si="0"/>
        <v>0.34013888888888888</v>
      </c>
      <c r="P227" s="5">
        <f t="shared" si="1"/>
        <v>20.408333333333331</v>
      </c>
      <c r="Q227" s="5">
        <f t="shared" si="2"/>
        <v>0.37122685185185184</v>
      </c>
      <c r="R227" s="5">
        <f t="shared" si="3"/>
        <v>22.273611111111109</v>
      </c>
    </row>
    <row r="228" spans="1:18">
      <c r="A228" s="4">
        <v>44057</v>
      </c>
      <c r="B228" s="1" t="s">
        <v>20</v>
      </c>
      <c r="C228" s="1">
        <f t="shared" si="13"/>
        <v>8</v>
      </c>
      <c r="D228" s="1">
        <f t="shared" si="14"/>
        <v>14</v>
      </c>
      <c r="E228" s="1">
        <f t="shared" si="15"/>
        <v>2020</v>
      </c>
      <c r="F228" s="1">
        <v>227</v>
      </c>
      <c r="G228" s="1">
        <v>204</v>
      </c>
      <c r="H228" s="1">
        <v>194</v>
      </c>
      <c r="I228" s="2">
        <v>0.95099999999999996</v>
      </c>
      <c r="J228" s="1">
        <v>10</v>
      </c>
      <c r="K228" s="3">
        <v>2.0833333333333335E-4</v>
      </c>
      <c r="L228" s="3">
        <v>1.7708333333333332E-3</v>
      </c>
      <c r="M228" s="3">
        <v>1.4120370370370369E-3</v>
      </c>
      <c r="N228" s="2">
        <v>0.82410000000000005</v>
      </c>
      <c r="O228" s="5">
        <f t="shared" si="0"/>
        <v>0.34354166666666663</v>
      </c>
      <c r="P228" s="5">
        <f t="shared" si="1"/>
        <v>20.612499999999997</v>
      </c>
      <c r="Q228" s="5">
        <f t="shared" si="2"/>
        <v>0.36124999999999996</v>
      </c>
      <c r="R228" s="5">
        <f t="shared" si="3"/>
        <v>21.674999999999997</v>
      </c>
    </row>
    <row r="229" spans="1:18">
      <c r="A229" s="4">
        <v>44058</v>
      </c>
      <c r="B229" s="1" t="s">
        <v>21</v>
      </c>
      <c r="C229" s="1">
        <f t="shared" si="13"/>
        <v>8</v>
      </c>
      <c r="D229" s="1">
        <f t="shared" si="14"/>
        <v>15</v>
      </c>
      <c r="E229" s="1">
        <f t="shared" si="15"/>
        <v>2020</v>
      </c>
      <c r="F229" s="1">
        <v>228</v>
      </c>
      <c r="G229" s="1">
        <v>126</v>
      </c>
      <c r="H229" s="1">
        <v>121</v>
      </c>
      <c r="I229" s="2">
        <v>0.96030000000000004</v>
      </c>
      <c r="J229" s="1">
        <v>5</v>
      </c>
      <c r="K229" s="3">
        <v>2.4305555555555555E-4</v>
      </c>
      <c r="L229" s="3">
        <v>1.7592592592592592E-3</v>
      </c>
      <c r="M229" s="3">
        <v>1.2847222222222223E-3</v>
      </c>
      <c r="N229" s="2">
        <v>0.70630000000000004</v>
      </c>
      <c r="O229" s="5">
        <f t="shared" si="0"/>
        <v>0.21287037037037038</v>
      </c>
      <c r="P229" s="5">
        <f t="shared" si="1"/>
        <v>12.772222222222222</v>
      </c>
      <c r="Q229" s="5">
        <f t="shared" si="2"/>
        <v>0.22166666666666665</v>
      </c>
      <c r="R229" s="5">
        <f t="shared" si="3"/>
        <v>13.299999999999999</v>
      </c>
    </row>
    <row r="230" spans="1:18">
      <c r="A230" s="4">
        <v>44059</v>
      </c>
      <c r="B230" s="1" t="s">
        <v>22</v>
      </c>
      <c r="C230" s="1">
        <f t="shared" si="13"/>
        <v>8</v>
      </c>
      <c r="D230" s="1">
        <f t="shared" si="14"/>
        <v>16</v>
      </c>
      <c r="E230" s="1">
        <f t="shared" si="15"/>
        <v>2020</v>
      </c>
      <c r="F230" s="1">
        <v>229</v>
      </c>
      <c r="G230" s="1">
        <v>36</v>
      </c>
      <c r="H230" s="1">
        <v>36</v>
      </c>
      <c r="I230" s="2">
        <v>1</v>
      </c>
      <c r="J230" s="1">
        <v>0</v>
      </c>
      <c r="K230" s="3">
        <v>1.9675925925925926E-4</v>
      </c>
      <c r="L230" s="3">
        <v>1.4699074074074074E-3</v>
      </c>
      <c r="M230" s="3">
        <v>1.0532407407407407E-3</v>
      </c>
      <c r="N230" s="2">
        <v>0.77780000000000005</v>
      </c>
      <c r="O230" s="5">
        <f t="shared" si="0"/>
        <v>5.2916666666666667E-2</v>
      </c>
      <c r="P230" s="5">
        <f t="shared" si="1"/>
        <v>3.1749999999999998</v>
      </c>
      <c r="Q230" s="5">
        <f t="shared" si="2"/>
        <v>5.2916666666666667E-2</v>
      </c>
      <c r="R230" s="5">
        <f t="shared" si="3"/>
        <v>3.1749999999999998</v>
      </c>
    </row>
    <row r="231" spans="1:18">
      <c r="A231" s="4">
        <v>44060</v>
      </c>
      <c r="B231" s="1" t="s">
        <v>23</v>
      </c>
      <c r="C231" s="1">
        <f t="shared" si="13"/>
        <v>8</v>
      </c>
      <c r="D231" s="1">
        <f t="shared" si="14"/>
        <v>17</v>
      </c>
      <c r="E231" s="1">
        <f t="shared" si="15"/>
        <v>2020</v>
      </c>
      <c r="F231" s="1">
        <v>230</v>
      </c>
      <c r="G231" s="1">
        <v>180</v>
      </c>
      <c r="H231" s="1">
        <v>165</v>
      </c>
      <c r="I231" s="2">
        <v>0.91669999999999996</v>
      </c>
      <c r="J231" s="1">
        <v>15</v>
      </c>
      <c r="K231" s="3">
        <v>3.1250000000000001E-4</v>
      </c>
      <c r="L231" s="3">
        <v>1.736111111111111E-3</v>
      </c>
      <c r="M231" s="3">
        <v>1.6087962962962963E-3</v>
      </c>
      <c r="N231" s="2">
        <v>0.66090000000000004</v>
      </c>
      <c r="O231" s="5">
        <f t="shared" si="0"/>
        <v>0.28645833333333331</v>
      </c>
      <c r="P231" s="5">
        <f t="shared" si="1"/>
        <v>17.1875</v>
      </c>
      <c r="Q231" s="5">
        <f t="shared" si="2"/>
        <v>0.3125</v>
      </c>
      <c r="R231" s="5">
        <f t="shared" si="3"/>
        <v>18.75</v>
      </c>
    </row>
    <row r="232" spans="1:18">
      <c r="A232" s="4">
        <v>44061</v>
      </c>
      <c r="B232" s="1" t="s">
        <v>24</v>
      </c>
      <c r="C232" s="1">
        <f t="shared" si="13"/>
        <v>8</v>
      </c>
      <c r="D232" s="1">
        <f t="shared" si="14"/>
        <v>18</v>
      </c>
      <c r="E232" s="1">
        <f t="shared" si="15"/>
        <v>2020</v>
      </c>
      <c r="F232" s="1">
        <v>231</v>
      </c>
      <c r="G232" s="1">
        <v>169</v>
      </c>
      <c r="H232" s="1">
        <v>162</v>
      </c>
      <c r="I232" s="2">
        <v>0.95860000000000001</v>
      </c>
      <c r="J232" s="1">
        <v>7</v>
      </c>
      <c r="K232" s="3">
        <v>2.3148148148148149E-4</v>
      </c>
      <c r="L232" s="3">
        <v>1.6782407407407408E-3</v>
      </c>
      <c r="M232" s="3">
        <v>1.3078703703703703E-3</v>
      </c>
      <c r="N232" s="2">
        <v>0.74560000000000004</v>
      </c>
      <c r="O232" s="5">
        <f t="shared" si="0"/>
        <v>0.27187500000000003</v>
      </c>
      <c r="P232" s="5">
        <f t="shared" si="1"/>
        <v>16.312500000000004</v>
      </c>
      <c r="Q232" s="5">
        <f t="shared" si="2"/>
        <v>0.28362268518518519</v>
      </c>
      <c r="R232" s="5">
        <f t="shared" si="3"/>
        <v>17.017361111111111</v>
      </c>
    </row>
    <row r="233" spans="1:18">
      <c r="A233" s="4">
        <v>44062</v>
      </c>
      <c r="B233" s="1" t="s">
        <v>18</v>
      </c>
      <c r="C233" s="1">
        <f t="shared" si="13"/>
        <v>8</v>
      </c>
      <c r="D233" s="1">
        <f t="shared" si="14"/>
        <v>19</v>
      </c>
      <c r="E233" s="1">
        <f t="shared" si="15"/>
        <v>2020</v>
      </c>
      <c r="F233" s="1">
        <v>232</v>
      </c>
      <c r="G233" s="1">
        <v>155</v>
      </c>
      <c r="H233" s="1">
        <v>151</v>
      </c>
      <c r="I233" s="2">
        <v>0.97419999999999995</v>
      </c>
      <c r="J233" s="1">
        <v>4</v>
      </c>
      <c r="K233" s="3">
        <v>2.4305555555555555E-4</v>
      </c>
      <c r="L233" s="3">
        <v>1.6203703703703703E-3</v>
      </c>
      <c r="M233" s="3">
        <v>1.9097222222222222E-3</v>
      </c>
      <c r="N233" s="2">
        <v>0.7097</v>
      </c>
      <c r="O233" s="5">
        <f t="shared" si="0"/>
        <v>0.24467592592592591</v>
      </c>
      <c r="P233" s="5">
        <f t="shared" si="1"/>
        <v>14.680555555555554</v>
      </c>
      <c r="Q233" s="5">
        <f t="shared" si="2"/>
        <v>0.25115740740740738</v>
      </c>
      <c r="R233" s="5">
        <f t="shared" si="3"/>
        <v>15.069444444444443</v>
      </c>
    </row>
    <row r="234" spans="1:18">
      <c r="A234" s="4">
        <v>44063</v>
      </c>
      <c r="B234" s="1" t="s">
        <v>19</v>
      </c>
      <c r="C234" s="1">
        <f t="shared" si="13"/>
        <v>8</v>
      </c>
      <c r="D234" s="1">
        <f t="shared" si="14"/>
        <v>20</v>
      </c>
      <c r="E234" s="1">
        <f t="shared" si="15"/>
        <v>2020</v>
      </c>
      <c r="F234" s="1">
        <v>233</v>
      </c>
      <c r="G234" s="1">
        <v>169</v>
      </c>
      <c r="H234" s="1">
        <v>137</v>
      </c>
      <c r="I234" s="2">
        <v>0.81069999999999998</v>
      </c>
      <c r="J234" s="1">
        <v>32</v>
      </c>
      <c r="K234" s="3">
        <v>4.3981481481481481E-4</v>
      </c>
      <c r="L234" s="3">
        <v>1.6666666666666668E-3</v>
      </c>
      <c r="M234" s="3">
        <v>3.8194444444444443E-3</v>
      </c>
      <c r="N234" s="2">
        <v>0.40360000000000001</v>
      </c>
      <c r="O234" s="5">
        <f t="shared" si="0"/>
        <v>0.22833333333333336</v>
      </c>
      <c r="P234" s="5">
        <f t="shared" si="1"/>
        <v>13.700000000000001</v>
      </c>
      <c r="Q234" s="5">
        <f t="shared" si="2"/>
        <v>0.28166666666666668</v>
      </c>
      <c r="R234" s="5">
        <f t="shared" si="3"/>
        <v>16.900000000000002</v>
      </c>
    </row>
    <row r="235" spans="1:18">
      <c r="A235" s="4">
        <v>44064</v>
      </c>
      <c r="B235" s="1" t="s">
        <v>20</v>
      </c>
      <c r="C235" s="1">
        <f t="shared" si="13"/>
        <v>8</v>
      </c>
      <c r="D235" s="1">
        <f t="shared" si="14"/>
        <v>21</v>
      </c>
      <c r="E235" s="1">
        <f t="shared" si="15"/>
        <v>2020</v>
      </c>
      <c r="F235" s="1">
        <v>234</v>
      </c>
      <c r="G235" s="1">
        <v>61</v>
      </c>
      <c r="H235" s="1">
        <v>45</v>
      </c>
      <c r="I235" s="2">
        <v>0.73770000000000002</v>
      </c>
      <c r="J235" s="1">
        <v>16</v>
      </c>
      <c r="K235" s="3">
        <v>3.7037037037037035E-4</v>
      </c>
      <c r="L235" s="3">
        <v>1.9560185185185184E-3</v>
      </c>
      <c r="M235" s="3">
        <v>3.8194444444444443E-3</v>
      </c>
      <c r="N235" s="2">
        <v>0.4098</v>
      </c>
      <c r="O235" s="5">
        <f t="shared" si="0"/>
        <v>8.8020833333333326E-2</v>
      </c>
      <c r="P235" s="5">
        <f t="shared" si="1"/>
        <v>5.28125</v>
      </c>
      <c r="Q235" s="5">
        <f t="shared" si="2"/>
        <v>0.11931712962962962</v>
      </c>
      <c r="R235" s="5">
        <f t="shared" si="3"/>
        <v>7.1590277777777773</v>
      </c>
    </row>
    <row r="236" spans="1:18">
      <c r="A236" s="4">
        <v>44065</v>
      </c>
      <c r="B236" s="1" t="s">
        <v>21</v>
      </c>
      <c r="C236" s="1">
        <f t="shared" si="13"/>
        <v>8</v>
      </c>
      <c r="D236" s="1">
        <f t="shared" si="14"/>
        <v>22</v>
      </c>
      <c r="E236" s="1">
        <f t="shared" si="15"/>
        <v>2020</v>
      </c>
      <c r="F236" s="1">
        <v>235</v>
      </c>
      <c r="G236" s="1">
        <v>167</v>
      </c>
      <c r="H236" s="1">
        <v>136</v>
      </c>
      <c r="I236" s="2">
        <v>0.81440000000000001</v>
      </c>
      <c r="J236" s="1">
        <v>31</v>
      </c>
      <c r="K236" s="3">
        <v>4.861111111111111E-4</v>
      </c>
      <c r="L236" s="3">
        <v>1.8055555555555555E-3</v>
      </c>
      <c r="M236" s="3">
        <v>3.7962962962962963E-3</v>
      </c>
      <c r="N236" s="2">
        <v>0.35980000000000001</v>
      </c>
      <c r="O236" s="5">
        <f t="shared" si="0"/>
        <v>0.24555555555555555</v>
      </c>
      <c r="P236" s="5">
        <f t="shared" si="1"/>
        <v>14.733333333333333</v>
      </c>
      <c r="Q236" s="5">
        <f t="shared" si="2"/>
        <v>0.30152777777777778</v>
      </c>
      <c r="R236" s="5">
        <f t="shared" si="3"/>
        <v>18.091666666666669</v>
      </c>
    </row>
    <row r="237" spans="1:18">
      <c r="A237" s="4">
        <v>44066</v>
      </c>
      <c r="B237" s="1" t="s">
        <v>22</v>
      </c>
      <c r="C237" s="1">
        <f t="shared" si="13"/>
        <v>8</v>
      </c>
      <c r="D237" s="1">
        <f t="shared" si="14"/>
        <v>23</v>
      </c>
      <c r="E237" s="1">
        <f t="shared" si="15"/>
        <v>2020</v>
      </c>
      <c r="F237" s="1">
        <v>236</v>
      </c>
      <c r="G237" s="1">
        <v>32</v>
      </c>
      <c r="H237" s="1">
        <v>27</v>
      </c>
      <c r="I237" s="2">
        <v>0.84379999999999999</v>
      </c>
      <c r="J237" s="1">
        <v>5</v>
      </c>
      <c r="K237" s="3">
        <v>4.0509259259259258E-4</v>
      </c>
      <c r="L237" s="3">
        <v>1.6435185185185185E-3</v>
      </c>
      <c r="M237" s="3">
        <v>2.1990740740740742E-3</v>
      </c>
      <c r="N237" s="2">
        <v>0.53129999999999999</v>
      </c>
      <c r="O237" s="5">
        <f t="shared" si="0"/>
        <v>4.4374999999999998E-2</v>
      </c>
      <c r="P237" s="5">
        <f t="shared" si="1"/>
        <v>2.6624999999999996</v>
      </c>
      <c r="Q237" s="5">
        <f t="shared" si="2"/>
        <v>5.2592592592592594E-2</v>
      </c>
      <c r="R237" s="5">
        <f t="shared" si="3"/>
        <v>3.1555555555555554</v>
      </c>
    </row>
    <row r="238" spans="1:18">
      <c r="A238" s="4">
        <v>44067</v>
      </c>
      <c r="B238" s="1" t="s">
        <v>23</v>
      </c>
      <c r="C238" s="1">
        <f t="shared" si="13"/>
        <v>8</v>
      </c>
      <c r="D238" s="1">
        <f t="shared" si="14"/>
        <v>24</v>
      </c>
      <c r="E238" s="1">
        <f t="shared" si="15"/>
        <v>2020</v>
      </c>
      <c r="F238" s="1">
        <v>237</v>
      </c>
      <c r="G238" s="1">
        <v>229</v>
      </c>
      <c r="H238" s="1">
        <v>148</v>
      </c>
      <c r="I238" s="2">
        <v>0.64629999999999999</v>
      </c>
      <c r="J238" s="1">
        <v>81</v>
      </c>
      <c r="K238" s="3">
        <v>4.1666666666666669E-4</v>
      </c>
      <c r="L238" s="3">
        <v>1.9444444444444444E-3</v>
      </c>
      <c r="M238" s="3">
        <v>7.3958333333333333E-3</v>
      </c>
      <c r="N238" s="2">
        <v>0.43180000000000002</v>
      </c>
      <c r="O238" s="5">
        <f t="shared" si="0"/>
        <v>0.28777777777777774</v>
      </c>
      <c r="P238" s="5">
        <f t="shared" si="1"/>
        <v>17.266666666666666</v>
      </c>
      <c r="Q238" s="5">
        <f t="shared" si="2"/>
        <v>0.44527777777777777</v>
      </c>
      <c r="R238" s="5">
        <f t="shared" si="3"/>
        <v>26.716666666666665</v>
      </c>
    </row>
    <row r="239" spans="1:18">
      <c r="A239" s="4">
        <v>44068</v>
      </c>
      <c r="B239" s="1" t="s">
        <v>24</v>
      </c>
      <c r="C239" s="1">
        <f t="shared" si="13"/>
        <v>8</v>
      </c>
      <c r="D239" s="1">
        <f t="shared" si="14"/>
        <v>25</v>
      </c>
      <c r="E239" s="1">
        <f t="shared" si="15"/>
        <v>2020</v>
      </c>
      <c r="F239" s="1">
        <v>238</v>
      </c>
      <c r="G239" s="1">
        <v>208</v>
      </c>
      <c r="H239" s="1">
        <v>204</v>
      </c>
      <c r="I239" s="2">
        <v>0.98080000000000001</v>
      </c>
      <c r="J239" s="1">
        <v>4</v>
      </c>
      <c r="K239" s="3">
        <v>2.199074074074074E-4</v>
      </c>
      <c r="L239" s="3">
        <v>2.1527777777777778E-3</v>
      </c>
      <c r="M239" s="3">
        <v>3.6342592592592594E-3</v>
      </c>
      <c r="N239" s="2">
        <v>0.77669999999999995</v>
      </c>
      <c r="O239" s="5">
        <f t="shared" si="0"/>
        <v>0.43916666666666665</v>
      </c>
      <c r="P239" s="5">
        <f t="shared" si="1"/>
        <v>26.349999999999998</v>
      </c>
      <c r="Q239" s="5">
        <f t="shared" si="2"/>
        <v>0.44777777777777777</v>
      </c>
      <c r="R239" s="5">
        <f t="shared" si="3"/>
        <v>26.866666666666667</v>
      </c>
    </row>
    <row r="240" spans="1:18">
      <c r="A240" s="4">
        <v>44069</v>
      </c>
      <c r="B240" s="1" t="s">
        <v>18</v>
      </c>
      <c r="C240" s="1">
        <f t="shared" si="13"/>
        <v>8</v>
      </c>
      <c r="D240" s="1">
        <f t="shared" si="14"/>
        <v>26</v>
      </c>
      <c r="E240" s="1">
        <f t="shared" si="15"/>
        <v>2020</v>
      </c>
      <c r="F240" s="1">
        <v>239</v>
      </c>
      <c r="G240" s="1">
        <v>175</v>
      </c>
      <c r="H240" s="1">
        <v>168</v>
      </c>
      <c r="I240" s="2">
        <v>0.96</v>
      </c>
      <c r="J240" s="1">
        <v>7</v>
      </c>
      <c r="K240" s="3">
        <v>2.8935185185185184E-4</v>
      </c>
      <c r="L240" s="3">
        <v>1.9791666666666668E-3</v>
      </c>
      <c r="M240" s="3">
        <v>2.5925925925925925E-3</v>
      </c>
      <c r="N240" s="2">
        <v>0.6512</v>
      </c>
      <c r="O240" s="5">
        <f t="shared" si="0"/>
        <v>0.33250000000000002</v>
      </c>
      <c r="P240" s="5">
        <f t="shared" si="1"/>
        <v>19.950000000000003</v>
      </c>
      <c r="Q240" s="5">
        <f t="shared" si="2"/>
        <v>0.34635416666666669</v>
      </c>
      <c r="R240" s="5">
        <f t="shared" si="3"/>
        <v>20.78125</v>
      </c>
    </row>
    <row r="241" spans="1:18">
      <c r="A241" s="4">
        <v>44070</v>
      </c>
      <c r="B241" s="1" t="s">
        <v>19</v>
      </c>
      <c r="C241" s="1">
        <f t="shared" si="13"/>
        <v>8</v>
      </c>
      <c r="D241" s="1">
        <f t="shared" si="14"/>
        <v>27</v>
      </c>
      <c r="E241" s="1">
        <f t="shared" si="15"/>
        <v>2020</v>
      </c>
      <c r="F241" s="1">
        <v>240</v>
      </c>
      <c r="G241" s="1">
        <v>177</v>
      </c>
      <c r="H241" s="1">
        <v>167</v>
      </c>
      <c r="I241" s="2">
        <v>0.94350000000000001</v>
      </c>
      <c r="J241" s="1">
        <v>10</v>
      </c>
      <c r="K241" s="3">
        <v>2.5462962962962961E-4</v>
      </c>
      <c r="L241" s="3">
        <v>1.8634259259259259E-3</v>
      </c>
      <c r="M241" s="3">
        <v>3.0555555555555557E-3</v>
      </c>
      <c r="N241" s="2">
        <v>0.68389999999999995</v>
      </c>
      <c r="O241" s="5">
        <f t="shared" si="0"/>
        <v>0.31119212962962961</v>
      </c>
      <c r="P241" s="5">
        <f t="shared" si="1"/>
        <v>18.671527777777776</v>
      </c>
      <c r="Q241" s="5">
        <f t="shared" si="2"/>
        <v>0.32982638888888888</v>
      </c>
      <c r="R241" s="5">
        <f t="shared" si="3"/>
        <v>19.789583333333333</v>
      </c>
    </row>
    <row r="242" spans="1:18">
      <c r="A242" s="4">
        <v>44071</v>
      </c>
      <c r="B242" s="1" t="s">
        <v>20</v>
      </c>
      <c r="C242" s="1">
        <f t="shared" si="13"/>
        <v>8</v>
      </c>
      <c r="D242" s="1">
        <f t="shared" si="14"/>
        <v>28</v>
      </c>
      <c r="E242" s="1">
        <f t="shared" si="15"/>
        <v>2020</v>
      </c>
      <c r="F242" s="1">
        <v>241</v>
      </c>
      <c r="G242" s="1">
        <v>822</v>
      </c>
      <c r="H242" s="1">
        <v>767</v>
      </c>
      <c r="I242" s="2">
        <v>0.93310000000000004</v>
      </c>
      <c r="J242" s="1">
        <v>55</v>
      </c>
      <c r="K242" s="3">
        <v>2.7777777777777778E-4</v>
      </c>
      <c r="L242" s="3">
        <v>9.837962962962962E-4</v>
      </c>
      <c r="M242" s="3">
        <v>3.1828703703703702E-3</v>
      </c>
      <c r="N242" s="2">
        <v>0.64400000000000002</v>
      </c>
      <c r="O242" s="5">
        <f t="shared" si="0"/>
        <v>0.75457175925925923</v>
      </c>
      <c r="P242" s="5">
        <f t="shared" si="1"/>
        <v>45.274305555555557</v>
      </c>
      <c r="Q242" s="5">
        <f t="shared" si="2"/>
        <v>0.80868055555555551</v>
      </c>
      <c r="R242" s="5">
        <f t="shared" si="3"/>
        <v>48.520833333333329</v>
      </c>
    </row>
    <row r="243" spans="1:18">
      <c r="A243" s="4">
        <v>44072</v>
      </c>
      <c r="B243" s="1" t="s">
        <v>21</v>
      </c>
      <c r="C243" s="1">
        <f t="shared" si="13"/>
        <v>8</v>
      </c>
      <c r="D243" s="1">
        <f t="shared" si="14"/>
        <v>29</v>
      </c>
      <c r="E243" s="1">
        <f t="shared" si="15"/>
        <v>2020</v>
      </c>
      <c r="F243" s="1">
        <v>242</v>
      </c>
      <c r="G243" s="1">
        <v>87</v>
      </c>
      <c r="H243" s="1">
        <v>85</v>
      </c>
      <c r="I243" s="2">
        <v>0.97699999999999998</v>
      </c>
      <c r="J243" s="1">
        <v>2</v>
      </c>
      <c r="K243" s="3">
        <v>2.6620370370370372E-4</v>
      </c>
      <c r="L243" s="3">
        <v>1.6782407407407408E-3</v>
      </c>
      <c r="M243" s="3">
        <v>1.5856481481481481E-3</v>
      </c>
      <c r="N243" s="2">
        <v>0.67820000000000003</v>
      </c>
      <c r="O243" s="5">
        <f t="shared" si="0"/>
        <v>0.14265046296296297</v>
      </c>
      <c r="P243" s="5">
        <f t="shared" si="1"/>
        <v>8.5590277777777786</v>
      </c>
      <c r="Q243" s="5">
        <f t="shared" si="2"/>
        <v>0.14600694444444445</v>
      </c>
      <c r="R243" s="5">
        <f t="shared" si="3"/>
        <v>8.7604166666666679</v>
      </c>
    </row>
    <row r="244" spans="1:18">
      <c r="A244" s="4">
        <v>44073</v>
      </c>
      <c r="B244" s="1" t="s">
        <v>22</v>
      </c>
      <c r="C244" s="1">
        <f t="shared" si="13"/>
        <v>8</v>
      </c>
      <c r="D244" s="1">
        <f t="shared" si="14"/>
        <v>30</v>
      </c>
      <c r="E244" s="1">
        <f t="shared" si="15"/>
        <v>2020</v>
      </c>
      <c r="F244" s="1">
        <v>243</v>
      </c>
      <c r="G244" s="1">
        <v>41</v>
      </c>
      <c r="H244" s="1">
        <v>39</v>
      </c>
      <c r="I244" s="2">
        <v>0.95120000000000005</v>
      </c>
      <c r="J244" s="1">
        <v>2</v>
      </c>
      <c r="K244" s="3">
        <v>1.7361111111111112E-4</v>
      </c>
      <c r="L244" s="3">
        <v>1.8749999999999999E-3</v>
      </c>
      <c r="M244" s="3">
        <v>9.0277777777777774E-4</v>
      </c>
      <c r="N244" s="2">
        <v>0.82499999999999996</v>
      </c>
      <c r="O244" s="5">
        <f t="shared" si="0"/>
        <v>7.3124999999999996E-2</v>
      </c>
      <c r="P244" s="5">
        <f t="shared" si="1"/>
        <v>4.3874999999999993</v>
      </c>
      <c r="Q244" s="5">
        <f t="shared" si="2"/>
        <v>7.6874999999999999E-2</v>
      </c>
      <c r="R244" s="5">
        <f t="shared" si="3"/>
        <v>4.6124999999999998</v>
      </c>
    </row>
    <row r="245" spans="1:18">
      <c r="A245" s="4">
        <v>44074</v>
      </c>
      <c r="B245" s="1" t="s">
        <v>23</v>
      </c>
      <c r="C245" s="1">
        <f t="shared" si="13"/>
        <v>8</v>
      </c>
      <c r="D245" s="1">
        <f t="shared" si="14"/>
        <v>31</v>
      </c>
      <c r="E245" s="1">
        <f t="shared" si="15"/>
        <v>2020</v>
      </c>
      <c r="F245" s="1">
        <v>244</v>
      </c>
      <c r="G245" s="1">
        <v>280</v>
      </c>
      <c r="H245" s="1">
        <v>257</v>
      </c>
      <c r="I245" s="2">
        <v>0.91790000000000005</v>
      </c>
      <c r="J245" s="1">
        <v>23</v>
      </c>
      <c r="K245" s="3">
        <v>3.5879629629629629E-4</v>
      </c>
      <c r="L245" s="3">
        <v>1.7708333333333332E-3</v>
      </c>
      <c r="M245" s="3">
        <v>5.4976851851851853E-3</v>
      </c>
      <c r="N245" s="2">
        <v>0.63870000000000005</v>
      </c>
      <c r="O245" s="5">
        <f t="shared" si="0"/>
        <v>0.45510416666666664</v>
      </c>
      <c r="P245" s="5">
        <f t="shared" si="1"/>
        <v>27.306249999999999</v>
      </c>
      <c r="Q245" s="5">
        <f t="shared" si="2"/>
        <v>0.49583333333333329</v>
      </c>
      <c r="R245" s="5">
        <f t="shared" si="3"/>
        <v>29.749999999999996</v>
      </c>
    </row>
    <row r="246" spans="1:18">
      <c r="A246" s="4">
        <v>44075</v>
      </c>
      <c r="B246" s="1" t="s">
        <v>24</v>
      </c>
      <c r="C246" s="1">
        <f t="shared" si="13"/>
        <v>9</v>
      </c>
      <c r="D246" s="1">
        <f t="shared" si="14"/>
        <v>1</v>
      </c>
      <c r="E246" s="1">
        <f t="shared" si="15"/>
        <v>2020</v>
      </c>
      <c r="F246" s="1">
        <v>245</v>
      </c>
      <c r="G246" s="1">
        <v>199</v>
      </c>
      <c r="H246" s="1">
        <v>192</v>
      </c>
      <c r="I246" s="2">
        <v>0.96479999999999999</v>
      </c>
      <c r="J246" s="1">
        <v>7</v>
      </c>
      <c r="K246" s="3">
        <v>2.5462962962962961E-4</v>
      </c>
      <c r="L246" s="3">
        <v>1.9212962962962964E-3</v>
      </c>
      <c r="M246" s="3">
        <v>1.9444444444444444E-3</v>
      </c>
      <c r="N246" s="2">
        <v>0.73870000000000002</v>
      </c>
      <c r="O246" s="5">
        <f t="shared" si="0"/>
        <v>0.36888888888888893</v>
      </c>
      <c r="P246" s="5">
        <f t="shared" si="1"/>
        <v>22.133333333333336</v>
      </c>
      <c r="Q246" s="5">
        <f t="shared" si="2"/>
        <v>0.38233796296296296</v>
      </c>
      <c r="R246" s="5">
        <f t="shared" si="3"/>
        <v>22.940277777777776</v>
      </c>
    </row>
    <row r="247" spans="1:18">
      <c r="A247" s="4">
        <v>44076</v>
      </c>
      <c r="B247" s="1" t="s">
        <v>18</v>
      </c>
      <c r="C247" s="1">
        <f t="shared" si="13"/>
        <v>9</v>
      </c>
      <c r="D247" s="1">
        <f t="shared" si="14"/>
        <v>2</v>
      </c>
      <c r="E247" s="1">
        <f t="shared" si="15"/>
        <v>2020</v>
      </c>
      <c r="F247" s="1">
        <v>246</v>
      </c>
      <c r="G247" s="1">
        <v>252</v>
      </c>
      <c r="H247" s="1">
        <v>239</v>
      </c>
      <c r="I247" s="2">
        <v>0.94840000000000002</v>
      </c>
      <c r="J247" s="1">
        <v>13</v>
      </c>
      <c r="K247" s="3">
        <v>3.3564814814814812E-4</v>
      </c>
      <c r="L247" s="3">
        <v>1.724537037037037E-3</v>
      </c>
      <c r="M247" s="3">
        <v>2.5000000000000001E-3</v>
      </c>
      <c r="N247" s="2">
        <v>0.6492</v>
      </c>
      <c r="O247" s="5">
        <f t="shared" si="0"/>
        <v>0.41216435185185185</v>
      </c>
      <c r="P247" s="5">
        <f t="shared" si="1"/>
        <v>24.729861111111113</v>
      </c>
      <c r="Q247" s="5">
        <f t="shared" si="2"/>
        <v>0.43458333333333332</v>
      </c>
      <c r="R247" s="5">
        <f t="shared" si="3"/>
        <v>26.074999999999999</v>
      </c>
    </row>
    <row r="248" spans="1:18">
      <c r="A248" s="4">
        <v>44077</v>
      </c>
      <c r="B248" s="1" t="s">
        <v>19</v>
      </c>
      <c r="C248" s="1">
        <f t="shared" si="13"/>
        <v>9</v>
      </c>
      <c r="D248" s="1">
        <f t="shared" si="14"/>
        <v>3</v>
      </c>
      <c r="E248" s="1">
        <f t="shared" si="15"/>
        <v>2020</v>
      </c>
      <c r="F248" s="1">
        <v>247</v>
      </c>
      <c r="G248" s="1">
        <v>220</v>
      </c>
      <c r="H248" s="1">
        <v>208</v>
      </c>
      <c r="I248" s="2">
        <v>0.94550000000000001</v>
      </c>
      <c r="J248" s="1">
        <v>12</v>
      </c>
      <c r="K248" s="3">
        <v>2.3148148148148149E-4</v>
      </c>
      <c r="L248" s="3">
        <v>1.8055555555555555E-3</v>
      </c>
      <c r="M248" s="3">
        <v>1.9097222222222222E-3</v>
      </c>
      <c r="N248" s="2">
        <v>0.75590000000000002</v>
      </c>
      <c r="O248" s="5">
        <f t="shared" si="0"/>
        <v>0.37555555555555553</v>
      </c>
      <c r="P248" s="5">
        <f t="shared" si="1"/>
        <v>22.533333333333331</v>
      </c>
      <c r="Q248" s="5">
        <f t="shared" si="2"/>
        <v>0.3972222222222222</v>
      </c>
      <c r="R248" s="5">
        <f t="shared" si="3"/>
        <v>23.833333333333332</v>
      </c>
    </row>
    <row r="249" spans="1:18">
      <c r="A249" s="4">
        <v>44078</v>
      </c>
      <c r="B249" s="1" t="s">
        <v>20</v>
      </c>
      <c r="C249" s="1">
        <f t="shared" si="13"/>
        <v>9</v>
      </c>
      <c r="D249" s="1">
        <f t="shared" si="14"/>
        <v>4</v>
      </c>
      <c r="E249" s="1">
        <f t="shared" si="15"/>
        <v>2020</v>
      </c>
      <c r="F249" s="1">
        <v>248</v>
      </c>
      <c r="G249" s="1">
        <v>206</v>
      </c>
      <c r="H249" s="1">
        <v>193</v>
      </c>
      <c r="I249" s="2">
        <v>0.93689999999999996</v>
      </c>
      <c r="J249" s="1">
        <v>13</v>
      </c>
      <c r="K249" s="3">
        <v>2.7777777777777778E-4</v>
      </c>
      <c r="L249" s="3">
        <v>1.7013888888888888E-3</v>
      </c>
      <c r="M249" s="3">
        <v>2.5115740740740741E-3</v>
      </c>
      <c r="N249" s="2">
        <v>0.75490000000000002</v>
      </c>
      <c r="O249" s="5">
        <f t="shared" si="0"/>
        <v>0.32836805555555554</v>
      </c>
      <c r="P249" s="5">
        <f t="shared" si="1"/>
        <v>19.702083333333331</v>
      </c>
      <c r="Q249" s="5">
        <f t="shared" si="2"/>
        <v>0.35048611111111111</v>
      </c>
      <c r="R249" s="5">
        <f t="shared" si="3"/>
        <v>21.029166666666665</v>
      </c>
    </row>
    <row r="250" spans="1:18">
      <c r="A250" s="4">
        <v>44079</v>
      </c>
      <c r="B250" s="1" t="s">
        <v>21</v>
      </c>
      <c r="C250" s="1">
        <f t="shared" si="13"/>
        <v>9</v>
      </c>
      <c r="D250" s="1">
        <f t="shared" si="14"/>
        <v>5</v>
      </c>
      <c r="E250" s="1">
        <f t="shared" si="15"/>
        <v>2020</v>
      </c>
      <c r="F250" s="1">
        <v>249</v>
      </c>
      <c r="G250" s="1">
        <v>217</v>
      </c>
      <c r="H250" s="1">
        <v>206</v>
      </c>
      <c r="I250" s="2">
        <v>0.94930000000000003</v>
      </c>
      <c r="J250" s="1">
        <v>11</v>
      </c>
      <c r="K250" s="3">
        <v>2.5462962962962961E-4</v>
      </c>
      <c r="L250" s="3">
        <v>1.6898148148148148E-3</v>
      </c>
      <c r="M250" s="3">
        <v>1.4120370370370369E-3</v>
      </c>
      <c r="N250" s="2">
        <v>0.71030000000000004</v>
      </c>
      <c r="O250" s="5">
        <f t="shared" si="0"/>
        <v>0.34810185185185183</v>
      </c>
      <c r="P250" s="5">
        <f t="shared" si="1"/>
        <v>20.886111111111109</v>
      </c>
      <c r="Q250" s="5">
        <f t="shared" si="2"/>
        <v>0.36668981481481483</v>
      </c>
      <c r="R250" s="5">
        <f t="shared" si="3"/>
        <v>22.00138888888889</v>
      </c>
    </row>
    <row r="251" spans="1:18">
      <c r="A251" s="4">
        <v>44080</v>
      </c>
      <c r="B251" s="1" t="s">
        <v>22</v>
      </c>
      <c r="C251" s="1">
        <f t="shared" si="13"/>
        <v>9</v>
      </c>
      <c r="D251" s="1">
        <f t="shared" si="14"/>
        <v>6</v>
      </c>
      <c r="E251" s="1">
        <f t="shared" si="15"/>
        <v>2020</v>
      </c>
      <c r="F251" s="1">
        <v>250</v>
      </c>
      <c r="G251" s="1">
        <v>24</v>
      </c>
      <c r="H251" s="1">
        <v>24</v>
      </c>
      <c r="I251" s="2">
        <v>1</v>
      </c>
      <c r="J251" s="1">
        <v>0</v>
      </c>
      <c r="K251" s="3">
        <v>2.199074074074074E-4</v>
      </c>
      <c r="L251" s="3">
        <v>1.9675925925925924E-3</v>
      </c>
      <c r="M251" s="3">
        <v>7.7546296296296293E-4</v>
      </c>
      <c r="N251" s="2">
        <v>0.79169999999999996</v>
      </c>
      <c r="O251" s="5">
        <f t="shared" si="0"/>
        <v>4.7222222222222221E-2</v>
      </c>
      <c r="P251" s="5">
        <f t="shared" si="1"/>
        <v>2.833333333333333</v>
      </c>
      <c r="Q251" s="5">
        <f t="shared" si="2"/>
        <v>4.7222222222222221E-2</v>
      </c>
      <c r="R251" s="5">
        <f t="shared" si="3"/>
        <v>2.833333333333333</v>
      </c>
    </row>
    <row r="252" spans="1:18">
      <c r="A252" s="4">
        <v>44081</v>
      </c>
      <c r="B252" s="1" t="s">
        <v>23</v>
      </c>
      <c r="C252" s="1">
        <f t="shared" si="13"/>
        <v>9</v>
      </c>
      <c r="D252" s="1">
        <f t="shared" si="14"/>
        <v>7</v>
      </c>
      <c r="E252" s="1">
        <f t="shared" si="15"/>
        <v>2020</v>
      </c>
      <c r="F252" s="1">
        <v>251</v>
      </c>
      <c r="G252" s="1">
        <v>248</v>
      </c>
      <c r="H252" s="1">
        <v>238</v>
      </c>
      <c r="I252" s="2">
        <v>0.9597</v>
      </c>
      <c r="J252" s="1">
        <v>10</v>
      </c>
      <c r="K252" s="3">
        <v>1.5046296296296297E-4</v>
      </c>
      <c r="L252" s="3">
        <v>1.7013888888888888E-3</v>
      </c>
      <c r="M252" s="3">
        <v>1.2731481481481483E-3</v>
      </c>
      <c r="N252" s="2">
        <v>0.85250000000000004</v>
      </c>
      <c r="O252" s="5">
        <f t="shared" si="0"/>
        <v>0.40493055555555552</v>
      </c>
      <c r="P252" s="5">
        <f t="shared" si="1"/>
        <v>24.295833333333331</v>
      </c>
      <c r="Q252" s="5">
        <f t="shared" si="2"/>
        <v>0.4219444444444444</v>
      </c>
      <c r="R252" s="5">
        <f t="shared" si="3"/>
        <v>25.316666666666663</v>
      </c>
    </row>
    <row r="253" spans="1:18">
      <c r="A253" s="4">
        <v>44082</v>
      </c>
      <c r="B253" s="1" t="s">
        <v>24</v>
      </c>
      <c r="C253" s="1">
        <f t="shared" si="13"/>
        <v>9</v>
      </c>
      <c r="D253" s="1">
        <f t="shared" si="14"/>
        <v>8</v>
      </c>
      <c r="E253" s="1">
        <f t="shared" si="15"/>
        <v>2020</v>
      </c>
      <c r="F253" s="1">
        <v>252</v>
      </c>
      <c r="G253" s="1">
        <v>222</v>
      </c>
      <c r="H253" s="1">
        <v>212</v>
      </c>
      <c r="I253" s="2">
        <v>0.95499999999999996</v>
      </c>
      <c r="J253" s="1">
        <v>10</v>
      </c>
      <c r="K253" s="3">
        <v>2.3148148148148149E-4</v>
      </c>
      <c r="L253" s="3">
        <v>1.6782407407407408E-3</v>
      </c>
      <c r="M253" s="3">
        <v>2.5578703703703705E-3</v>
      </c>
      <c r="N253" s="2">
        <v>0.77729999999999999</v>
      </c>
      <c r="O253" s="5">
        <f t="shared" si="0"/>
        <v>0.35578703703703707</v>
      </c>
      <c r="P253" s="5">
        <f t="shared" si="1"/>
        <v>21.347222222222225</v>
      </c>
      <c r="Q253" s="5">
        <f t="shared" si="2"/>
        <v>0.37256944444444445</v>
      </c>
      <c r="R253" s="5">
        <f t="shared" si="3"/>
        <v>22.354166666666668</v>
      </c>
    </row>
    <row r="254" spans="1:18">
      <c r="A254" s="4">
        <v>44083</v>
      </c>
      <c r="B254" s="1" t="s">
        <v>18</v>
      </c>
      <c r="C254" s="1">
        <f t="shared" si="13"/>
        <v>9</v>
      </c>
      <c r="D254" s="1">
        <f t="shared" si="14"/>
        <v>9</v>
      </c>
      <c r="E254" s="1">
        <f t="shared" si="15"/>
        <v>2020</v>
      </c>
      <c r="F254" s="1">
        <v>253</v>
      </c>
      <c r="G254" s="1">
        <v>190</v>
      </c>
      <c r="H254" s="1">
        <v>178</v>
      </c>
      <c r="I254" s="2">
        <v>0.93679999999999997</v>
      </c>
      <c r="J254" s="1">
        <v>12</v>
      </c>
      <c r="K254" s="3">
        <v>3.7037037037037035E-4</v>
      </c>
      <c r="L254" s="3">
        <v>1.7013888888888888E-3</v>
      </c>
      <c r="M254" s="3">
        <v>1.9097222222222222E-3</v>
      </c>
      <c r="N254" s="2">
        <v>0.55079999999999996</v>
      </c>
      <c r="O254" s="5">
        <f t="shared" si="0"/>
        <v>0.30284722222222221</v>
      </c>
      <c r="P254" s="5">
        <f t="shared" si="1"/>
        <v>18.170833333333334</v>
      </c>
      <c r="Q254" s="5">
        <f t="shared" si="2"/>
        <v>0.32326388888888885</v>
      </c>
      <c r="R254" s="5">
        <f t="shared" si="3"/>
        <v>19.395833333333332</v>
      </c>
    </row>
    <row r="255" spans="1:18">
      <c r="A255" s="4">
        <v>44084</v>
      </c>
      <c r="B255" s="1" t="s">
        <v>19</v>
      </c>
      <c r="C255" s="1">
        <f t="shared" si="13"/>
        <v>9</v>
      </c>
      <c r="D255" s="1">
        <f t="shared" si="14"/>
        <v>10</v>
      </c>
      <c r="E255" s="1">
        <f t="shared" si="15"/>
        <v>2020</v>
      </c>
      <c r="F255" s="1">
        <v>254</v>
      </c>
      <c r="G255" s="1">
        <v>238</v>
      </c>
      <c r="H255" s="1">
        <v>231</v>
      </c>
      <c r="I255" s="2">
        <v>0.97060000000000002</v>
      </c>
      <c r="J255" s="1">
        <v>7</v>
      </c>
      <c r="K255" s="3">
        <v>2.3148148148148149E-4</v>
      </c>
      <c r="L255" s="3">
        <v>1.7013888888888888E-3</v>
      </c>
      <c r="M255" s="3">
        <v>1.4236111111111112E-3</v>
      </c>
      <c r="N255" s="2">
        <v>0.79659999999999997</v>
      </c>
      <c r="O255" s="5">
        <f t="shared" si="0"/>
        <v>0.39302083333333332</v>
      </c>
      <c r="P255" s="5">
        <f t="shared" si="1"/>
        <v>23.581250000000001</v>
      </c>
      <c r="Q255" s="5">
        <f t="shared" si="2"/>
        <v>0.40493055555555552</v>
      </c>
      <c r="R255" s="5">
        <f t="shared" si="3"/>
        <v>24.295833333333331</v>
      </c>
    </row>
    <row r="256" spans="1:18">
      <c r="A256" s="4">
        <v>44085</v>
      </c>
      <c r="B256" s="1" t="s">
        <v>20</v>
      </c>
      <c r="C256" s="1">
        <f t="shared" si="13"/>
        <v>9</v>
      </c>
      <c r="D256" s="1">
        <f t="shared" si="14"/>
        <v>11</v>
      </c>
      <c r="E256" s="1">
        <f t="shared" si="15"/>
        <v>2020</v>
      </c>
      <c r="F256" s="1">
        <v>255</v>
      </c>
      <c r="G256" s="1">
        <v>214</v>
      </c>
      <c r="H256" s="1">
        <v>205</v>
      </c>
      <c r="I256" s="2">
        <v>0.95789999999999997</v>
      </c>
      <c r="J256" s="1">
        <v>9</v>
      </c>
      <c r="K256" s="3">
        <v>2.3148148148148149E-4</v>
      </c>
      <c r="L256" s="3">
        <v>1.7824074074074075E-3</v>
      </c>
      <c r="M256" s="3">
        <v>1.7824074074074075E-3</v>
      </c>
      <c r="N256" s="2">
        <v>0.79049999999999998</v>
      </c>
      <c r="O256" s="5">
        <f t="shared" si="0"/>
        <v>0.36539351851851853</v>
      </c>
      <c r="P256" s="5">
        <f t="shared" si="1"/>
        <v>21.923611111111111</v>
      </c>
      <c r="Q256" s="5">
        <f t="shared" si="2"/>
        <v>0.38143518518518521</v>
      </c>
      <c r="R256" s="5">
        <f t="shared" si="3"/>
        <v>22.886111111111113</v>
      </c>
    </row>
    <row r="257" spans="1:18">
      <c r="A257" s="4">
        <v>44086</v>
      </c>
      <c r="B257" s="1" t="s">
        <v>21</v>
      </c>
      <c r="C257" s="1">
        <f t="shared" si="13"/>
        <v>9</v>
      </c>
      <c r="D257" s="1">
        <f t="shared" si="14"/>
        <v>12</v>
      </c>
      <c r="E257" s="1">
        <f t="shared" si="15"/>
        <v>2020</v>
      </c>
      <c r="F257" s="1">
        <v>256</v>
      </c>
      <c r="G257" s="1">
        <v>186</v>
      </c>
      <c r="H257" s="1">
        <v>176</v>
      </c>
      <c r="I257" s="2">
        <v>0.94620000000000004</v>
      </c>
      <c r="J257" s="1">
        <v>10</v>
      </c>
      <c r="K257" s="3">
        <v>2.6620370370370372E-4</v>
      </c>
      <c r="L257" s="3">
        <v>1.5625000000000001E-3</v>
      </c>
      <c r="M257" s="3">
        <v>3.5069444444444445E-3</v>
      </c>
      <c r="N257" s="2">
        <v>0.70879999999999999</v>
      </c>
      <c r="O257" s="5">
        <f t="shared" ref="O257:O511" si="16">L257*H257</f>
        <v>0.27500000000000002</v>
      </c>
      <c r="P257" s="5">
        <f t="shared" ref="P257:P511" si="17">O257*60</f>
        <v>16.5</v>
      </c>
      <c r="Q257" s="5">
        <f t="shared" ref="Q257:Q511" si="18">L257*G257</f>
        <v>0.29062500000000002</v>
      </c>
      <c r="R257" s="5">
        <f t="shared" ref="R257:R511" si="19">Q257*60</f>
        <v>17.4375</v>
      </c>
    </row>
    <row r="258" spans="1:18">
      <c r="A258" s="4">
        <v>44087</v>
      </c>
      <c r="B258" s="1" t="s">
        <v>22</v>
      </c>
      <c r="C258" s="1">
        <f t="shared" si="13"/>
        <v>9</v>
      </c>
      <c r="D258" s="1">
        <f t="shared" si="14"/>
        <v>13</v>
      </c>
      <c r="E258" s="1">
        <f t="shared" si="15"/>
        <v>2020</v>
      </c>
      <c r="F258" s="1">
        <v>257</v>
      </c>
      <c r="G258" s="1">
        <v>21</v>
      </c>
      <c r="H258" s="1">
        <v>20</v>
      </c>
      <c r="I258" s="2">
        <v>0.95240000000000002</v>
      </c>
      <c r="J258" s="1">
        <v>1</v>
      </c>
      <c r="K258" s="3">
        <v>1.6203703703703703E-4</v>
      </c>
      <c r="L258" s="3">
        <v>1.6782407407407408E-3</v>
      </c>
      <c r="M258" s="3">
        <v>6.2500000000000001E-4</v>
      </c>
      <c r="N258" s="2">
        <v>0.85</v>
      </c>
      <c r="O258" s="5">
        <f t="shared" si="16"/>
        <v>3.3564814814814818E-2</v>
      </c>
      <c r="P258" s="5">
        <f t="shared" si="17"/>
        <v>2.0138888888888893</v>
      </c>
      <c r="Q258" s="5">
        <f t="shared" si="18"/>
        <v>3.5243055555555555E-2</v>
      </c>
      <c r="R258" s="5">
        <f t="shared" si="19"/>
        <v>2.1145833333333335</v>
      </c>
    </row>
    <row r="259" spans="1:18">
      <c r="A259" s="4">
        <v>44088</v>
      </c>
      <c r="B259" s="1" t="s">
        <v>23</v>
      </c>
      <c r="C259" s="1">
        <f t="shared" ref="C259:C322" si="20">MONTH(A259)</f>
        <v>9</v>
      </c>
      <c r="D259" s="1">
        <f t="shared" ref="D259:D322" si="21">DAY(A259)</f>
        <v>14</v>
      </c>
      <c r="E259" s="1">
        <f t="shared" ref="E259:E322" si="22">YEAR(A259)</f>
        <v>2020</v>
      </c>
      <c r="F259" s="1">
        <v>258</v>
      </c>
      <c r="G259" s="1">
        <v>169</v>
      </c>
      <c r="H259" s="1">
        <v>157</v>
      </c>
      <c r="I259" s="2">
        <v>0.92900000000000005</v>
      </c>
      <c r="J259" s="1">
        <v>12</v>
      </c>
      <c r="K259" s="3">
        <v>2.4305555555555555E-4</v>
      </c>
      <c r="L259" s="3">
        <v>1.724537037037037E-3</v>
      </c>
      <c r="M259" s="3">
        <v>3.1250000000000002E-3</v>
      </c>
      <c r="N259" s="2">
        <v>0.77710000000000001</v>
      </c>
      <c r="O259" s="5">
        <f t="shared" si="16"/>
        <v>0.27075231481481482</v>
      </c>
      <c r="P259" s="5">
        <f t="shared" si="17"/>
        <v>16.245138888888889</v>
      </c>
      <c r="Q259" s="5">
        <f t="shared" si="18"/>
        <v>0.29144675925925928</v>
      </c>
      <c r="R259" s="5">
        <f t="shared" si="19"/>
        <v>17.486805555555556</v>
      </c>
    </row>
    <row r="260" spans="1:18">
      <c r="A260" s="4">
        <v>44089</v>
      </c>
      <c r="B260" s="1" t="s">
        <v>24</v>
      </c>
      <c r="C260" s="1">
        <f t="shared" si="20"/>
        <v>9</v>
      </c>
      <c r="D260" s="1">
        <f t="shared" si="21"/>
        <v>15</v>
      </c>
      <c r="E260" s="1">
        <f t="shared" si="22"/>
        <v>2020</v>
      </c>
      <c r="F260" s="1">
        <v>259</v>
      </c>
      <c r="G260" s="1">
        <v>149</v>
      </c>
      <c r="H260" s="1">
        <v>141</v>
      </c>
      <c r="I260" s="2">
        <v>0.94630000000000003</v>
      </c>
      <c r="J260" s="1">
        <v>8</v>
      </c>
      <c r="K260" s="3">
        <v>1.8518518518518518E-4</v>
      </c>
      <c r="L260" s="3">
        <v>1.8287037037037037E-3</v>
      </c>
      <c r="M260" s="3">
        <v>1.8171296296296297E-3</v>
      </c>
      <c r="N260" s="2">
        <v>0.79049999999999998</v>
      </c>
      <c r="O260" s="5">
        <f t="shared" si="16"/>
        <v>0.25784722222222223</v>
      </c>
      <c r="P260" s="5">
        <f t="shared" si="17"/>
        <v>15.470833333333333</v>
      </c>
      <c r="Q260" s="5">
        <f t="shared" si="18"/>
        <v>0.27247685185185183</v>
      </c>
      <c r="R260" s="5">
        <f t="shared" si="19"/>
        <v>16.348611111111111</v>
      </c>
    </row>
    <row r="261" spans="1:18">
      <c r="A261" s="4">
        <v>44090</v>
      </c>
      <c r="B261" s="1" t="s">
        <v>18</v>
      </c>
      <c r="C261" s="1">
        <f t="shared" si="20"/>
        <v>9</v>
      </c>
      <c r="D261" s="1">
        <f t="shared" si="21"/>
        <v>16</v>
      </c>
      <c r="E261" s="1">
        <f t="shared" si="22"/>
        <v>2020</v>
      </c>
      <c r="F261" s="1">
        <v>260</v>
      </c>
      <c r="G261" s="1">
        <v>171</v>
      </c>
      <c r="H261" s="1">
        <v>164</v>
      </c>
      <c r="I261" s="2">
        <v>0.95909999999999995</v>
      </c>
      <c r="J261" s="1">
        <v>7</v>
      </c>
      <c r="K261" s="3">
        <v>2.199074074074074E-4</v>
      </c>
      <c r="L261" s="3">
        <v>1.6435185185185185E-3</v>
      </c>
      <c r="M261" s="3">
        <v>2.650462962962963E-3</v>
      </c>
      <c r="N261" s="2">
        <v>0.77190000000000003</v>
      </c>
      <c r="O261" s="5">
        <f t="shared" si="16"/>
        <v>0.26953703703703702</v>
      </c>
      <c r="P261" s="5">
        <f t="shared" si="17"/>
        <v>16.172222222222221</v>
      </c>
      <c r="Q261" s="5">
        <f t="shared" si="18"/>
        <v>0.28104166666666669</v>
      </c>
      <c r="R261" s="5">
        <f t="shared" si="19"/>
        <v>16.862500000000001</v>
      </c>
    </row>
    <row r="262" spans="1:18">
      <c r="A262" s="4">
        <v>44091</v>
      </c>
      <c r="B262" s="1" t="s">
        <v>19</v>
      </c>
      <c r="C262" s="1">
        <f t="shared" si="20"/>
        <v>9</v>
      </c>
      <c r="D262" s="1">
        <f t="shared" si="21"/>
        <v>17</v>
      </c>
      <c r="E262" s="1">
        <f t="shared" si="22"/>
        <v>2020</v>
      </c>
      <c r="F262" s="1">
        <v>261</v>
      </c>
      <c r="G262" s="1">
        <v>127</v>
      </c>
      <c r="H262" s="1">
        <v>122</v>
      </c>
      <c r="I262" s="2">
        <v>0.96060000000000001</v>
      </c>
      <c r="J262" s="1">
        <v>5</v>
      </c>
      <c r="K262" s="3">
        <v>1.5046296296296297E-4</v>
      </c>
      <c r="L262" s="3">
        <v>1.6435185185185185E-3</v>
      </c>
      <c r="M262" s="3">
        <v>9.837962962962962E-4</v>
      </c>
      <c r="N262" s="2">
        <v>0.878</v>
      </c>
      <c r="O262" s="5">
        <f t="shared" si="16"/>
        <v>0.20050925925925928</v>
      </c>
      <c r="P262" s="5">
        <f t="shared" si="17"/>
        <v>12.030555555555557</v>
      </c>
      <c r="Q262" s="5">
        <f t="shared" si="18"/>
        <v>0.20872685185185186</v>
      </c>
      <c r="R262" s="5">
        <f t="shared" si="19"/>
        <v>12.523611111111112</v>
      </c>
    </row>
    <row r="263" spans="1:18">
      <c r="A263" s="4">
        <v>44092</v>
      </c>
      <c r="B263" s="1" t="s">
        <v>20</v>
      </c>
      <c r="C263" s="1">
        <f t="shared" si="20"/>
        <v>9</v>
      </c>
      <c r="D263" s="1">
        <f t="shared" si="21"/>
        <v>18</v>
      </c>
      <c r="E263" s="1">
        <f t="shared" si="22"/>
        <v>2020</v>
      </c>
      <c r="F263" s="1">
        <v>262</v>
      </c>
      <c r="G263" s="1">
        <v>21</v>
      </c>
      <c r="H263" s="1">
        <v>21</v>
      </c>
      <c r="I263" s="2">
        <v>1</v>
      </c>
      <c r="J263" s="1">
        <v>0</v>
      </c>
      <c r="K263" s="3">
        <v>9.2592592592592588E-5</v>
      </c>
      <c r="L263" s="3">
        <v>2.1180555555555558E-3</v>
      </c>
      <c r="M263" s="3">
        <v>6.7129629629629625E-4</v>
      </c>
      <c r="N263" s="2">
        <v>0.90480000000000005</v>
      </c>
      <c r="O263" s="5">
        <f t="shared" si="16"/>
        <v>4.4479166666666674E-2</v>
      </c>
      <c r="P263" s="5">
        <f t="shared" si="17"/>
        <v>2.6687500000000006</v>
      </c>
      <c r="Q263" s="5">
        <f t="shared" si="18"/>
        <v>4.4479166666666674E-2</v>
      </c>
      <c r="R263" s="5">
        <f t="shared" si="19"/>
        <v>2.6687500000000006</v>
      </c>
    </row>
    <row r="264" spans="1:18">
      <c r="A264" s="4">
        <v>44093</v>
      </c>
      <c r="B264" s="1" t="s">
        <v>21</v>
      </c>
      <c r="C264" s="1">
        <f t="shared" si="20"/>
        <v>9</v>
      </c>
      <c r="D264" s="1">
        <f t="shared" si="21"/>
        <v>19</v>
      </c>
      <c r="E264" s="1">
        <f t="shared" si="22"/>
        <v>2020</v>
      </c>
      <c r="F264" s="1">
        <v>263</v>
      </c>
      <c r="G264" s="1">
        <v>5</v>
      </c>
      <c r="H264" s="1">
        <v>5</v>
      </c>
      <c r="I264" s="2">
        <v>1</v>
      </c>
      <c r="J264" s="1">
        <v>0</v>
      </c>
      <c r="K264" s="3">
        <v>1.6203703703703703E-4</v>
      </c>
      <c r="L264" s="3">
        <v>1.8171296296296297E-3</v>
      </c>
      <c r="M264" s="3">
        <v>6.8287037037037036E-4</v>
      </c>
      <c r="N264" s="2">
        <v>0.8</v>
      </c>
      <c r="O264" s="5">
        <f t="shared" si="16"/>
        <v>9.0856481481481483E-3</v>
      </c>
      <c r="P264" s="5">
        <f t="shared" si="17"/>
        <v>0.54513888888888884</v>
      </c>
      <c r="Q264" s="5">
        <f t="shared" si="18"/>
        <v>9.0856481481481483E-3</v>
      </c>
      <c r="R264" s="5">
        <f t="shared" si="19"/>
        <v>0.54513888888888884</v>
      </c>
    </row>
    <row r="265" spans="1:18">
      <c r="A265" s="4">
        <v>44094</v>
      </c>
      <c r="B265" s="1" t="s">
        <v>22</v>
      </c>
      <c r="C265" s="1">
        <f t="shared" si="20"/>
        <v>9</v>
      </c>
      <c r="D265" s="1">
        <f t="shared" si="21"/>
        <v>20</v>
      </c>
      <c r="E265" s="1">
        <f t="shared" si="22"/>
        <v>2020</v>
      </c>
      <c r="F265" s="1">
        <v>264</v>
      </c>
      <c r="G265" s="1">
        <v>33</v>
      </c>
      <c r="H265" s="1">
        <v>32</v>
      </c>
      <c r="I265" s="2">
        <v>0.96970000000000001</v>
      </c>
      <c r="J265" s="1">
        <v>1</v>
      </c>
      <c r="K265" s="3">
        <v>3.0092592592592595E-4</v>
      </c>
      <c r="L265" s="3">
        <v>1.4351851851851852E-3</v>
      </c>
      <c r="M265" s="3">
        <v>1.2152777777777778E-3</v>
      </c>
      <c r="N265" s="2">
        <v>0.66669999999999996</v>
      </c>
      <c r="O265" s="5">
        <f t="shared" si="16"/>
        <v>4.5925925925925926E-2</v>
      </c>
      <c r="P265" s="5">
        <f t="shared" si="17"/>
        <v>2.7555555555555555</v>
      </c>
      <c r="Q265" s="5">
        <f t="shared" si="18"/>
        <v>4.7361111111111111E-2</v>
      </c>
      <c r="R265" s="5">
        <f t="shared" si="19"/>
        <v>2.8416666666666668</v>
      </c>
    </row>
    <row r="266" spans="1:18">
      <c r="A266" s="4">
        <v>44095</v>
      </c>
      <c r="B266" s="1" t="s">
        <v>23</v>
      </c>
      <c r="C266" s="1">
        <f t="shared" si="20"/>
        <v>9</v>
      </c>
      <c r="D266" s="1">
        <f t="shared" si="21"/>
        <v>21</v>
      </c>
      <c r="E266" s="1">
        <f t="shared" si="22"/>
        <v>2020</v>
      </c>
      <c r="F266" s="1">
        <v>265</v>
      </c>
      <c r="G266" s="1">
        <v>145</v>
      </c>
      <c r="H266" s="1">
        <v>139</v>
      </c>
      <c r="I266" s="2">
        <v>0.95860000000000001</v>
      </c>
      <c r="J266" s="1">
        <v>6</v>
      </c>
      <c r="K266" s="3">
        <v>2.3148148148148149E-4</v>
      </c>
      <c r="L266" s="3">
        <v>1.712962962962963E-3</v>
      </c>
      <c r="M266" s="3">
        <v>2.5578703703703705E-3</v>
      </c>
      <c r="N266" s="2">
        <v>0.79020000000000001</v>
      </c>
      <c r="O266" s="5">
        <f t="shared" si="16"/>
        <v>0.23810185185185187</v>
      </c>
      <c r="P266" s="5">
        <f t="shared" si="17"/>
        <v>14.286111111111111</v>
      </c>
      <c r="Q266" s="5">
        <f t="shared" si="18"/>
        <v>0.24837962962962964</v>
      </c>
      <c r="R266" s="5">
        <f t="shared" si="19"/>
        <v>14.902777777777779</v>
      </c>
    </row>
    <row r="267" spans="1:18">
      <c r="A267" s="4">
        <v>44096</v>
      </c>
      <c r="B267" s="1" t="s">
        <v>24</v>
      </c>
      <c r="C267" s="1">
        <f t="shared" si="20"/>
        <v>9</v>
      </c>
      <c r="D267" s="1">
        <f t="shared" si="21"/>
        <v>22</v>
      </c>
      <c r="E267" s="1">
        <f t="shared" si="22"/>
        <v>2020</v>
      </c>
      <c r="F267" s="1">
        <v>266</v>
      </c>
      <c r="G267" s="1">
        <v>129</v>
      </c>
      <c r="H267" s="1">
        <v>127</v>
      </c>
      <c r="I267" s="2">
        <v>0.98450000000000004</v>
      </c>
      <c r="J267" s="1">
        <v>2</v>
      </c>
      <c r="K267" s="3">
        <v>2.199074074074074E-4</v>
      </c>
      <c r="L267" s="3">
        <v>1.5393518518518519E-3</v>
      </c>
      <c r="M267" s="3">
        <v>1.261574074074074E-3</v>
      </c>
      <c r="N267" s="2">
        <v>0.75590000000000002</v>
      </c>
      <c r="O267" s="5">
        <f t="shared" si="16"/>
        <v>0.19549768518518518</v>
      </c>
      <c r="P267" s="5">
        <f t="shared" si="17"/>
        <v>11.729861111111111</v>
      </c>
      <c r="Q267" s="5">
        <f t="shared" si="18"/>
        <v>0.1985763888888889</v>
      </c>
      <c r="R267" s="5">
        <f t="shared" si="19"/>
        <v>11.914583333333335</v>
      </c>
    </row>
    <row r="268" spans="1:18">
      <c r="A268" s="4">
        <v>44097</v>
      </c>
      <c r="B268" s="1" t="s">
        <v>18</v>
      </c>
      <c r="C268" s="1">
        <f t="shared" si="20"/>
        <v>9</v>
      </c>
      <c r="D268" s="1">
        <f t="shared" si="21"/>
        <v>23</v>
      </c>
      <c r="E268" s="1">
        <f t="shared" si="22"/>
        <v>2020</v>
      </c>
      <c r="F268" s="1">
        <v>267</v>
      </c>
      <c r="G268" s="1">
        <v>194</v>
      </c>
      <c r="H268" s="1">
        <v>178</v>
      </c>
      <c r="I268" s="2">
        <v>0.91749999999999998</v>
      </c>
      <c r="J268" s="1">
        <v>16</v>
      </c>
      <c r="K268" s="3">
        <v>3.0092592592592595E-4</v>
      </c>
      <c r="L268" s="3">
        <v>1.8055555555555555E-3</v>
      </c>
      <c r="M268" s="3">
        <v>3.7037037037037038E-3</v>
      </c>
      <c r="N268" s="2">
        <v>0.67190000000000005</v>
      </c>
      <c r="O268" s="5">
        <f t="shared" si="16"/>
        <v>0.32138888888888889</v>
      </c>
      <c r="P268" s="5">
        <f t="shared" si="17"/>
        <v>19.283333333333335</v>
      </c>
      <c r="Q268" s="5">
        <f t="shared" si="18"/>
        <v>0.35027777777777774</v>
      </c>
      <c r="R268" s="5">
        <f t="shared" si="19"/>
        <v>21.016666666666666</v>
      </c>
    </row>
    <row r="269" spans="1:18">
      <c r="A269" s="4">
        <v>44098</v>
      </c>
      <c r="B269" s="1" t="s">
        <v>19</v>
      </c>
      <c r="C269" s="1">
        <f t="shared" si="20"/>
        <v>9</v>
      </c>
      <c r="D269" s="1">
        <f t="shared" si="21"/>
        <v>24</v>
      </c>
      <c r="E269" s="1">
        <f t="shared" si="22"/>
        <v>2020</v>
      </c>
      <c r="F269" s="1">
        <v>268</v>
      </c>
      <c r="G269" s="1">
        <v>194</v>
      </c>
      <c r="H269" s="1">
        <v>187</v>
      </c>
      <c r="I269" s="2">
        <v>0.96389999999999998</v>
      </c>
      <c r="J269" s="1">
        <v>7</v>
      </c>
      <c r="K269" s="3">
        <v>2.7777777777777778E-4</v>
      </c>
      <c r="L269" s="3">
        <v>1.6782407407407408E-3</v>
      </c>
      <c r="M269" s="3">
        <v>2.5925925925925925E-3</v>
      </c>
      <c r="N269" s="2">
        <v>0.77249999999999996</v>
      </c>
      <c r="O269" s="5">
        <f t="shared" si="16"/>
        <v>0.31383101851851852</v>
      </c>
      <c r="P269" s="5">
        <f t="shared" si="17"/>
        <v>18.829861111111111</v>
      </c>
      <c r="Q269" s="5">
        <f t="shared" si="18"/>
        <v>0.32557870370370373</v>
      </c>
      <c r="R269" s="5">
        <f t="shared" si="19"/>
        <v>19.534722222222225</v>
      </c>
    </row>
    <row r="270" spans="1:18">
      <c r="A270" s="4">
        <v>44099</v>
      </c>
      <c r="B270" s="1" t="s">
        <v>20</v>
      </c>
      <c r="C270" s="1">
        <f t="shared" si="20"/>
        <v>9</v>
      </c>
      <c r="D270" s="1">
        <f t="shared" si="21"/>
        <v>25</v>
      </c>
      <c r="E270" s="1">
        <f t="shared" si="22"/>
        <v>2020</v>
      </c>
      <c r="F270" s="1">
        <v>269</v>
      </c>
      <c r="G270" s="1">
        <v>202</v>
      </c>
      <c r="H270" s="1">
        <v>195</v>
      </c>
      <c r="I270" s="2">
        <v>0.96530000000000005</v>
      </c>
      <c r="J270" s="1">
        <v>7</v>
      </c>
      <c r="K270" s="3">
        <v>2.4305555555555555E-4</v>
      </c>
      <c r="L270" s="3">
        <v>1.6319444444444445E-3</v>
      </c>
      <c r="M270" s="3">
        <v>2.0717592592592593E-3</v>
      </c>
      <c r="N270" s="2">
        <v>0.74750000000000005</v>
      </c>
      <c r="O270" s="5">
        <f t="shared" si="16"/>
        <v>0.31822916666666667</v>
      </c>
      <c r="P270" s="5">
        <f t="shared" si="17"/>
        <v>19.09375</v>
      </c>
      <c r="Q270" s="5">
        <f t="shared" si="18"/>
        <v>0.32965277777777779</v>
      </c>
      <c r="R270" s="5">
        <f t="shared" si="19"/>
        <v>19.779166666666669</v>
      </c>
    </row>
    <row r="271" spans="1:18">
      <c r="A271" s="4">
        <v>44100</v>
      </c>
      <c r="B271" s="1" t="s">
        <v>21</v>
      </c>
      <c r="C271" s="1">
        <f t="shared" si="20"/>
        <v>9</v>
      </c>
      <c r="D271" s="1">
        <f t="shared" si="21"/>
        <v>26</v>
      </c>
      <c r="E271" s="1">
        <f t="shared" si="22"/>
        <v>2020</v>
      </c>
      <c r="F271" s="1">
        <v>270</v>
      </c>
      <c r="G271" s="1">
        <v>214</v>
      </c>
      <c r="H271" s="1">
        <v>208</v>
      </c>
      <c r="I271" s="2">
        <v>0.97199999999999998</v>
      </c>
      <c r="J271" s="1">
        <v>6</v>
      </c>
      <c r="K271" s="3">
        <v>1.5046296296296297E-4</v>
      </c>
      <c r="L271" s="3">
        <v>1.6087962962962963E-3</v>
      </c>
      <c r="M271" s="3">
        <v>6.5972222222222224E-4</v>
      </c>
      <c r="N271" s="2">
        <v>0.88149999999999995</v>
      </c>
      <c r="O271" s="5">
        <f t="shared" si="16"/>
        <v>0.33462962962962961</v>
      </c>
      <c r="P271" s="5">
        <f t="shared" si="17"/>
        <v>20.077777777777776</v>
      </c>
      <c r="Q271" s="5">
        <f t="shared" si="18"/>
        <v>0.3442824074074074</v>
      </c>
      <c r="R271" s="5">
        <f t="shared" si="19"/>
        <v>20.656944444444445</v>
      </c>
    </row>
    <row r="272" spans="1:18">
      <c r="A272" s="4">
        <v>44101</v>
      </c>
      <c r="B272" s="1" t="s">
        <v>22</v>
      </c>
      <c r="C272" s="1">
        <f t="shared" si="20"/>
        <v>9</v>
      </c>
      <c r="D272" s="1">
        <f t="shared" si="21"/>
        <v>27</v>
      </c>
      <c r="E272" s="1">
        <f t="shared" si="22"/>
        <v>2020</v>
      </c>
      <c r="F272" s="1">
        <v>271</v>
      </c>
      <c r="G272" s="1">
        <v>28</v>
      </c>
      <c r="H272" s="1">
        <v>28</v>
      </c>
      <c r="I272" s="2">
        <v>1</v>
      </c>
      <c r="J272" s="1">
        <v>0</v>
      </c>
      <c r="K272" s="3">
        <v>1.5046296296296297E-4</v>
      </c>
      <c r="L272" s="3">
        <v>1.5393518518518519E-3</v>
      </c>
      <c r="M272" s="3">
        <v>9.0277777777777774E-4</v>
      </c>
      <c r="N272" s="2">
        <v>0.89290000000000003</v>
      </c>
      <c r="O272" s="5">
        <f t="shared" si="16"/>
        <v>4.310185185185185E-2</v>
      </c>
      <c r="P272" s="5">
        <f t="shared" si="17"/>
        <v>2.5861111111111108</v>
      </c>
      <c r="Q272" s="5">
        <f t="shared" si="18"/>
        <v>4.310185185185185E-2</v>
      </c>
      <c r="R272" s="5">
        <f t="shared" si="19"/>
        <v>2.5861111111111108</v>
      </c>
    </row>
    <row r="273" spans="1:18">
      <c r="A273" s="4">
        <v>44102</v>
      </c>
      <c r="B273" s="1" t="s">
        <v>23</v>
      </c>
      <c r="C273" s="1">
        <f t="shared" si="20"/>
        <v>9</v>
      </c>
      <c r="D273" s="1">
        <f t="shared" si="21"/>
        <v>28</v>
      </c>
      <c r="E273" s="1">
        <f t="shared" si="22"/>
        <v>2020</v>
      </c>
      <c r="F273" s="1">
        <v>272</v>
      </c>
      <c r="G273" s="1">
        <v>191</v>
      </c>
      <c r="H273" s="1">
        <v>187</v>
      </c>
      <c r="I273" s="2">
        <v>0.97909999999999997</v>
      </c>
      <c r="J273" s="1">
        <v>4</v>
      </c>
      <c r="K273" s="3">
        <v>1.7361111111111112E-4</v>
      </c>
      <c r="L273" s="3">
        <v>1.6550925925925926E-3</v>
      </c>
      <c r="M273" s="3">
        <v>1.1574074074074073E-3</v>
      </c>
      <c r="N273" s="2">
        <v>0.82540000000000002</v>
      </c>
      <c r="O273" s="5">
        <f t="shared" si="16"/>
        <v>0.30950231481481483</v>
      </c>
      <c r="P273" s="5">
        <f t="shared" si="17"/>
        <v>18.570138888888891</v>
      </c>
      <c r="Q273" s="5">
        <f t="shared" si="18"/>
        <v>0.31612268518518516</v>
      </c>
      <c r="R273" s="5">
        <f t="shared" si="19"/>
        <v>18.96736111111111</v>
      </c>
    </row>
    <row r="274" spans="1:18">
      <c r="A274" s="4">
        <v>44103</v>
      </c>
      <c r="B274" s="1" t="s">
        <v>24</v>
      </c>
      <c r="C274" s="1">
        <f t="shared" si="20"/>
        <v>9</v>
      </c>
      <c r="D274" s="1">
        <f t="shared" si="21"/>
        <v>29</v>
      </c>
      <c r="E274" s="1">
        <f t="shared" si="22"/>
        <v>2020</v>
      </c>
      <c r="F274" s="1">
        <v>273</v>
      </c>
      <c r="G274" s="1">
        <v>205</v>
      </c>
      <c r="H274" s="1">
        <v>197</v>
      </c>
      <c r="I274" s="2">
        <v>0.96099999999999997</v>
      </c>
      <c r="J274" s="1">
        <v>8</v>
      </c>
      <c r="K274" s="3">
        <v>2.4305555555555555E-4</v>
      </c>
      <c r="L274" s="3">
        <v>1.7013888888888888E-3</v>
      </c>
      <c r="M274" s="3">
        <v>1.6550925925925926E-3</v>
      </c>
      <c r="N274" s="2">
        <v>0.74380000000000002</v>
      </c>
      <c r="O274" s="5">
        <f t="shared" si="16"/>
        <v>0.3351736111111111</v>
      </c>
      <c r="P274" s="5">
        <f t="shared" si="17"/>
        <v>20.110416666666666</v>
      </c>
      <c r="Q274" s="5">
        <f t="shared" si="18"/>
        <v>0.34878472222222218</v>
      </c>
      <c r="R274" s="5">
        <f t="shared" si="19"/>
        <v>20.927083333333332</v>
      </c>
    </row>
    <row r="275" spans="1:18">
      <c r="A275" s="4">
        <v>44104</v>
      </c>
      <c r="B275" s="1" t="s">
        <v>18</v>
      </c>
      <c r="C275" s="1">
        <f t="shared" si="20"/>
        <v>9</v>
      </c>
      <c r="D275" s="1">
        <f t="shared" si="21"/>
        <v>30</v>
      </c>
      <c r="E275" s="1">
        <f t="shared" si="22"/>
        <v>2020</v>
      </c>
      <c r="F275" s="1">
        <v>274</v>
      </c>
      <c r="G275" s="1">
        <v>198</v>
      </c>
      <c r="H275" s="1">
        <v>196</v>
      </c>
      <c r="I275" s="2">
        <v>0.9899</v>
      </c>
      <c r="J275" s="1">
        <v>2</v>
      </c>
      <c r="K275" s="3">
        <v>2.6620370370370372E-4</v>
      </c>
      <c r="L275" s="3">
        <v>1.712962962962963E-3</v>
      </c>
      <c r="M275" s="3">
        <v>1.4236111111111112E-3</v>
      </c>
      <c r="N275" s="2">
        <v>0.73599999999999999</v>
      </c>
      <c r="O275" s="5">
        <f t="shared" si="16"/>
        <v>0.33574074074074073</v>
      </c>
      <c r="P275" s="5">
        <f t="shared" si="17"/>
        <v>20.144444444444442</v>
      </c>
      <c r="Q275" s="5">
        <f t="shared" si="18"/>
        <v>0.33916666666666667</v>
      </c>
      <c r="R275" s="5">
        <f t="shared" si="19"/>
        <v>20.350000000000001</v>
      </c>
    </row>
    <row r="276" spans="1:18">
      <c r="A276" s="4">
        <v>44105</v>
      </c>
      <c r="B276" s="1" t="s">
        <v>19</v>
      </c>
      <c r="C276" s="1">
        <f t="shared" si="20"/>
        <v>10</v>
      </c>
      <c r="D276" s="1">
        <f t="shared" si="21"/>
        <v>1</v>
      </c>
      <c r="E276" s="1">
        <f t="shared" si="22"/>
        <v>2020</v>
      </c>
      <c r="F276" s="1">
        <v>275</v>
      </c>
      <c r="G276" s="1">
        <v>184</v>
      </c>
      <c r="H276" s="1">
        <v>177</v>
      </c>
      <c r="I276" s="2">
        <v>0.96199999999999997</v>
      </c>
      <c r="J276" s="1">
        <v>7</v>
      </c>
      <c r="K276" s="3">
        <v>2.3148148148148149E-4</v>
      </c>
      <c r="L276" s="3">
        <v>1.8634259259259259E-3</v>
      </c>
      <c r="M276" s="3">
        <v>1.2731481481481483E-3</v>
      </c>
      <c r="N276" s="2">
        <v>0.78569999999999995</v>
      </c>
      <c r="O276" s="5">
        <f t="shared" si="16"/>
        <v>0.32982638888888888</v>
      </c>
      <c r="P276" s="5">
        <f t="shared" si="17"/>
        <v>19.789583333333333</v>
      </c>
      <c r="Q276" s="5">
        <f t="shared" si="18"/>
        <v>0.34287037037037038</v>
      </c>
      <c r="R276" s="5">
        <f t="shared" si="19"/>
        <v>20.572222222222223</v>
      </c>
    </row>
    <row r="277" spans="1:18">
      <c r="A277" s="4">
        <v>44106</v>
      </c>
      <c r="B277" s="1" t="s">
        <v>20</v>
      </c>
      <c r="C277" s="1">
        <f t="shared" si="20"/>
        <v>10</v>
      </c>
      <c r="D277" s="1">
        <f t="shared" si="21"/>
        <v>2</v>
      </c>
      <c r="E277" s="1">
        <f t="shared" si="22"/>
        <v>2020</v>
      </c>
      <c r="F277" s="1">
        <v>276</v>
      </c>
      <c r="G277" s="1">
        <v>184</v>
      </c>
      <c r="H277" s="1">
        <v>174</v>
      </c>
      <c r="I277" s="2">
        <v>0.94569999999999999</v>
      </c>
      <c r="J277" s="1">
        <v>10</v>
      </c>
      <c r="K277" s="3">
        <v>2.8935185185185184E-4</v>
      </c>
      <c r="L277" s="3">
        <v>1.7013888888888888E-3</v>
      </c>
      <c r="M277" s="3">
        <v>1.9328703703703704E-3</v>
      </c>
      <c r="N277" s="2">
        <v>0.7</v>
      </c>
      <c r="O277" s="5">
        <f t="shared" si="16"/>
        <v>0.29604166666666665</v>
      </c>
      <c r="P277" s="5">
        <f t="shared" si="17"/>
        <v>17.762499999999999</v>
      </c>
      <c r="Q277" s="5">
        <f t="shared" si="18"/>
        <v>0.31305555555555553</v>
      </c>
      <c r="R277" s="5">
        <f t="shared" si="19"/>
        <v>18.783333333333331</v>
      </c>
    </row>
    <row r="278" spans="1:18">
      <c r="A278" s="4">
        <v>44107</v>
      </c>
      <c r="B278" s="1" t="s">
        <v>21</v>
      </c>
      <c r="C278" s="1">
        <f t="shared" si="20"/>
        <v>10</v>
      </c>
      <c r="D278" s="1">
        <f t="shared" si="21"/>
        <v>3</v>
      </c>
      <c r="E278" s="1">
        <f t="shared" si="22"/>
        <v>2020</v>
      </c>
      <c r="F278" s="1">
        <v>277</v>
      </c>
      <c r="G278" s="1">
        <v>168</v>
      </c>
      <c r="H278" s="1">
        <v>160</v>
      </c>
      <c r="I278" s="2">
        <v>0.95240000000000002</v>
      </c>
      <c r="J278" s="1">
        <v>8</v>
      </c>
      <c r="K278" s="3">
        <v>3.0092592592592595E-4</v>
      </c>
      <c r="L278" s="3">
        <v>1.6782407407407408E-3</v>
      </c>
      <c r="M278" s="3">
        <v>1.4351851851851852E-3</v>
      </c>
      <c r="N278" s="2">
        <v>0.68259999999999998</v>
      </c>
      <c r="O278" s="5">
        <f t="shared" si="16"/>
        <v>0.26851851851851855</v>
      </c>
      <c r="P278" s="5">
        <f t="shared" si="17"/>
        <v>16.111111111111114</v>
      </c>
      <c r="Q278" s="5">
        <f t="shared" si="18"/>
        <v>0.28194444444444444</v>
      </c>
      <c r="R278" s="5">
        <f t="shared" si="19"/>
        <v>16.916666666666668</v>
      </c>
    </row>
    <row r="279" spans="1:18">
      <c r="A279" s="4">
        <v>44108</v>
      </c>
      <c r="B279" s="1" t="s">
        <v>22</v>
      </c>
      <c r="C279" s="1">
        <f t="shared" si="20"/>
        <v>10</v>
      </c>
      <c r="D279" s="1">
        <f t="shared" si="21"/>
        <v>4</v>
      </c>
      <c r="E279" s="1">
        <f t="shared" si="22"/>
        <v>2020</v>
      </c>
      <c r="F279" s="1">
        <v>278</v>
      </c>
      <c r="G279" s="1">
        <v>39</v>
      </c>
      <c r="H279" s="1">
        <v>37</v>
      </c>
      <c r="I279" s="2">
        <v>0.94869999999999999</v>
      </c>
      <c r="J279" s="1">
        <v>2</v>
      </c>
      <c r="K279" s="3">
        <v>1.6203703703703703E-4</v>
      </c>
      <c r="L279" s="3">
        <v>1.4814814814814814E-3</v>
      </c>
      <c r="M279" s="3">
        <v>7.291666666666667E-4</v>
      </c>
      <c r="N279" s="2">
        <v>0.81079999999999997</v>
      </c>
      <c r="O279" s="5">
        <f t="shared" si="16"/>
        <v>5.4814814814814809E-2</v>
      </c>
      <c r="P279" s="5">
        <f t="shared" si="17"/>
        <v>3.2888888888888888</v>
      </c>
      <c r="Q279" s="5">
        <f t="shared" si="18"/>
        <v>5.7777777777777775E-2</v>
      </c>
      <c r="R279" s="5">
        <f t="shared" si="19"/>
        <v>3.4666666666666663</v>
      </c>
    </row>
    <row r="280" spans="1:18">
      <c r="A280" s="4">
        <v>44109</v>
      </c>
      <c r="B280" s="1" t="s">
        <v>23</v>
      </c>
      <c r="C280" s="1">
        <f t="shared" si="20"/>
        <v>10</v>
      </c>
      <c r="D280" s="1">
        <f t="shared" si="21"/>
        <v>5</v>
      </c>
      <c r="E280" s="1">
        <f t="shared" si="22"/>
        <v>2020</v>
      </c>
      <c r="F280" s="1">
        <v>279</v>
      </c>
      <c r="G280" s="1">
        <v>225</v>
      </c>
      <c r="H280" s="1">
        <v>210</v>
      </c>
      <c r="I280" s="2">
        <v>0.93330000000000002</v>
      </c>
      <c r="J280" s="1">
        <v>15</v>
      </c>
      <c r="K280" s="3">
        <v>3.2407407407407406E-4</v>
      </c>
      <c r="L280" s="3">
        <v>1.5393518518518519E-3</v>
      </c>
      <c r="M280" s="3">
        <v>1.7708333333333332E-3</v>
      </c>
      <c r="N280" s="2">
        <v>0.66969999999999996</v>
      </c>
      <c r="O280" s="5">
        <f t="shared" si="16"/>
        <v>0.32326388888888891</v>
      </c>
      <c r="P280" s="5">
        <f t="shared" si="17"/>
        <v>19.395833333333336</v>
      </c>
      <c r="Q280" s="5">
        <f t="shared" si="18"/>
        <v>0.34635416666666669</v>
      </c>
      <c r="R280" s="5">
        <f t="shared" si="19"/>
        <v>20.78125</v>
      </c>
    </row>
    <row r="281" spans="1:18">
      <c r="A281" s="4">
        <v>44110</v>
      </c>
      <c r="B281" s="1" t="s">
        <v>24</v>
      </c>
      <c r="C281" s="1">
        <f t="shared" si="20"/>
        <v>10</v>
      </c>
      <c r="D281" s="1">
        <f t="shared" si="21"/>
        <v>6</v>
      </c>
      <c r="E281" s="1">
        <f t="shared" si="22"/>
        <v>2020</v>
      </c>
      <c r="F281" s="1">
        <v>280</v>
      </c>
      <c r="G281" s="1">
        <v>182</v>
      </c>
      <c r="H281" s="1">
        <v>174</v>
      </c>
      <c r="I281" s="2">
        <v>0.95599999999999996</v>
      </c>
      <c r="J281" s="1">
        <v>8</v>
      </c>
      <c r="K281" s="3">
        <v>3.7037037037037035E-4</v>
      </c>
      <c r="L281" s="3">
        <v>1.5740740740740741E-3</v>
      </c>
      <c r="M281" s="3">
        <v>2.7314814814814814E-3</v>
      </c>
      <c r="N281" s="2">
        <v>0.60219999999999996</v>
      </c>
      <c r="O281" s="5">
        <f t="shared" si="16"/>
        <v>0.2738888888888889</v>
      </c>
      <c r="P281" s="5">
        <f t="shared" si="17"/>
        <v>16.433333333333334</v>
      </c>
      <c r="Q281" s="5">
        <f t="shared" si="18"/>
        <v>0.2864814814814815</v>
      </c>
      <c r="R281" s="5">
        <f t="shared" si="19"/>
        <v>17.18888888888889</v>
      </c>
    </row>
    <row r="282" spans="1:18">
      <c r="A282" s="4">
        <v>44111</v>
      </c>
      <c r="B282" s="1" t="s">
        <v>18</v>
      </c>
      <c r="C282" s="1">
        <f t="shared" si="20"/>
        <v>10</v>
      </c>
      <c r="D282" s="1">
        <f t="shared" si="21"/>
        <v>7</v>
      </c>
      <c r="E282" s="1">
        <f t="shared" si="22"/>
        <v>2020</v>
      </c>
      <c r="F282" s="1">
        <v>281</v>
      </c>
      <c r="G282" s="1">
        <v>346</v>
      </c>
      <c r="H282" s="1">
        <v>305</v>
      </c>
      <c r="I282" s="2">
        <v>0.88149999999999995</v>
      </c>
      <c r="J282" s="1">
        <v>41</v>
      </c>
      <c r="K282" s="3">
        <v>5.2083333333333333E-4</v>
      </c>
      <c r="L282" s="3">
        <v>1.3541666666666667E-3</v>
      </c>
      <c r="M282" s="3">
        <v>3.5532407407407409E-3</v>
      </c>
      <c r="N282" s="2">
        <v>0.45029999999999998</v>
      </c>
      <c r="O282" s="5">
        <f t="shared" si="16"/>
        <v>0.41302083333333334</v>
      </c>
      <c r="P282" s="5">
        <f t="shared" si="17"/>
        <v>24.78125</v>
      </c>
      <c r="Q282" s="5">
        <f t="shared" si="18"/>
        <v>0.46854166666666669</v>
      </c>
      <c r="R282" s="5">
        <f t="shared" si="19"/>
        <v>28.112500000000001</v>
      </c>
    </row>
    <row r="283" spans="1:18">
      <c r="A283" s="4">
        <v>44112</v>
      </c>
      <c r="B283" s="1" t="s">
        <v>19</v>
      </c>
      <c r="C283" s="1">
        <f t="shared" si="20"/>
        <v>10</v>
      </c>
      <c r="D283" s="1">
        <f t="shared" si="21"/>
        <v>8</v>
      </c>
      <c r="E283" s="1">
        <f t="shared" si="22"/>
        <v>2020</v>
      </c>
      <c r="F283" s="1">
        <v>282</v>
      </c>
      <c r="G283" s="1">
        <v>450</v>
      </c>
      <c r="H283" s="1">
        <v>441</v>
      </c>
      <c r="I283" s="2">
        <v>0.98</v>
      </c>
      <c r="J283" s="1">
        <v>9</v>
      </c>
      <c r="K283" s="3">
        <v>2.199074074074074E-4</v>
      </c>
      <c r="L283" s="3">
        <v>1.3078703703703703E-3</v>
      </c>
      <c r="M283" s="3">
        <v>1.7476851851851852E-3</v>
      </c>
      <c r="N283" s="2">
        <v>0.78300000000000003</v>
      </c>
      <c r="O283" s="5">
        <f t="shared" si="16"/>
        <v>0.57677083333333323</v>
      </c>
      <c r="P283" s="5">
        <f t="shared" si="17"/>
        <v>34.606249999999996</v>
      </c>
      <c r="Q283" s="5">
        <f t="shared" si="18"/>
        <v>0.58854166666666663</v>
      </c>
      <c r="R283" s="5">
        <f t="shared" si="19"/>
        <v>35.3125</v>
      </c>
    </row>
    <row r="284" spans="1:18">
      <c r="A284" s="4">
        <v>44113</v>
      </c>
      <c r="B284" s="1" t="s">
        <v>20</v>
      </c>
      <c r="C284" s="1">
        <f t="shared" si="20"/>
        <v>10</v>
      </c>
      <c r="D284" s="1">
        <f t="shared" si="21"/>
        <v>9</v>
      </c>
      <c r="E284" s="1">
        <f t="shared" si="22"/>
        <v>2020</v>
      </c>
      <c r="F284" s="1">
        <v>283</v>
      </c>
      <c r="G284" s="1">
        <v>259</v>
      </c>
      <c r="H284" s="1">
        <v>248</v>
      </c>
      <c r="I284" s="2">
        <v>0.95750000000000002</v>
      </c>
      <c r="J284" s="1">
        <v>11</v>
      </c>
      <c r="K284" s="3">
        <v>2.3148148148148149E-4</v>
      </c>
      <c r="L284" s="3">
        <v>1.4583333333333334E-3</v>
      </c>
      <c r="M284" s="3">
        <v>1.2847222222222223E-3</v>
      </c>
      <c r="N284" s="2">
        <v>0.75390000000000001</v>
      </c>
      <c r="O284" s="5">
        <f t="shared" si="16"/>
        <v>0.36166666666666669</v>
      </c>
      <c r="P284" s="5">
        <f t="shared" si="17"/>
        <v>21.700000000000003</v>
      </c>
      <c r="Q284" s="5">
        <f t="shared" si="18"/>
        <v>0.37770833333333337</v>
      </c>
      <c r="R284" s="5">
        <f t="shared" si="19"/>
        <v>22.662500000000001</v>
      </c>
    </row>
    <row r="285" spans="1:18">
      <c r="A285" s="4">
        <v>44114</v>
      </c>
      <c r="B285" s="1" t="s">
        <v>21</v>
      </c>
      <c r="C285" s="1">
        <f t="shared" si="20"/>
        <v>10</v>
      </c>
      <c r="D285" s="1">
        <f t="shared" si="21"/>
        <v>10</v>
      </c>
      <c r="E285" s="1">
        <f t="shared" si="22"/>
        <v>2020</v>
      </c>
      <c r="F285" s="1">
        <v>284</v>
      </c>
      <c r="G285" s="1">
        <v>231</v>
      </c>
      <c r="H285" s="1">
        <v>214</v>
      </c>
      <c r="I285" s="2">
        <v>0.9264</v>
      </c>
      <c r="J285" s="1">
        <v>17</v>
      </c>
      <c r="K285" s="3">
        <v>2.0833333333333335E-4</v>
      </c>
      <c r="L285" s="3">
        <v>1.4583333333333334E-3</v>
      </c>
      <c r="M285" s="3">
        <v>1.7476851851851852E-3</v>
      </c>
      <c r="N285" s="2">
        <v>0.79559999999999997</v>
      </c>
      <c r="O285" s="5">
        <f t="shared" si="16"/>
        <v>0.31208333333333332</v>
      </c>
      <c r="P285" s="5">
        <f t="shared" si="17"/>
        <v>18.724999999999998</v>
      </c>
      <c r="Q285" s="5">
        <f t="shared" si="18"/>
        <v>0.33687500000000004</v>
      </c>
      <c r="R285" s="5">
        <f t="shared" si="19"/>
        <v>20.212500000000002</v>
      </c>
    </row>
    <row r="286" spans="1:18">
      <c r="A286" s="4">
        <v>44115</v>
      </c>
      <c r="B286" s="1" t="s">
        <v>22</v>
      </c>
      <c r="C286" s="1">
        <f t="shared" si="20"/>
        <v>10</v>
      </c>
      <c r="D286" s="1">
        <f t="shared" si="21"/>
        <v>11</v>
      </c>
      <c r="E286" s="1">
        <f t="shared" si="22"/>
        <v>2020</v>
      </c>
      <c r="F286" s="1">
        <v>285</v>
      </c>
      <c r="G286" s="1">
        <v>48</v>
      </c>
      <c r="H286" s="1">
        <v>47</v>
      </c>
      <c r="I286" s="2">
        <v>0.97919999999999996</v>
      </c>
      <c r="J286" s="1">
        <v>1</v>
      </c>
      <c r="K286" s="3">
        <v>1.5046296296296297E-4</v>
      </c>
      <c r="L286" s="3">
        <v>1.4236111111111112E-3</v>
      </c>
      <c r="M286" s="3">
        <v>1.2268518518518518E-3</v>
      </c>
      <c r="N286" s="2">
        <v>0.89580000000000004</v>
      </c>
      <c r="O286" s="5">
        <f t="shared" si="16"/>
        <v>6.6909722222222232E-2</v>
      </c>
      <c r="P286" s="5">
        <f t="shared" si="17"/>
        <v>4.0145833333333343</v>
      </c>
      <c r="Q286" s="5">
        <f t="shared" si="18"/>
        <v>6.8333333333333329E-2</v>
      </c>
      <c r="R286" s="5">
        <f t="shared" si="19"/>
        <v>4.0999999999999996</v>
      </c>
    </row>
    <row r="287" spans="1:18">
      <c r="A287" s="4">
        <v>44116</v>
      </c>
      <c r="B287" s="1" t="s">
        <v>23</v>
      </c>
      <c r="C287" s="1">
        <f t="shared" si="20"/>
        <v>10</v>
      </c>
      <c r="D287" s="1">
        <f t="shared" si="21"/>
        <v>12</v>
      </c>
      <c r="E287" s="1">
        <f t="shared" si="22"/>
        <v>2020</v>
      </c>
      <c r="F287" s="1">
        <v>286</v>
      </c>
      <c r="G287" s="1">
        <v>246</v>
      </c>
      <c r="H287" s="1">
        <v>236</v>
      </c>
      <c r="I287" s="2">
        <v>0.95930000000000004</v>
      </c>
      <c r="J287" s="1">
        <v>10</v>
      </c>
      <c r="K287" s="3">
        <v>2.3148148148148149E-4</v>
      </c>
      <c r="L287" s="3">
        <v>1.5162037037037036E-3</v>
      </c>
      <c r="M287" s="3">
        <v>3.1944444444444446E-3</v>
      </c>
      <c r="N287" s="2">
        <v>0.79179999999999995</v>
      </c>
      <c r="O287" s="5">
        <f t="shared" si="16"/>
        <v>0.35782407407407407</v>
      </c>
      <c r="P287" s="5">
        <f t="shared" si="17"/>
        <v>21.469444444444445</v>
      </c>
      <c r="Q287" s="5">
        <f t="shared" si="18"/>
        <v>0.37298611111111107</v>
      </c>
      <c r="R287" s="5">
        <f t="shared" si="19"/>
        <v>22.379166666666663</v>
      </c>
    </row>
    <row r="288" spans="1:18">
      <c r="A288" s="4">
        <v>44117</v>
      </c>
      <c r="B288" s="1" t="s">
        <v>24</v>
      </c>
      <c r="C288" s="1">
        <f t="shared" si="20"/>
        <v>10</v>
      </c>
      <c r="D288" s="1">
        <f t="shared" si="21"/>
        <v>13</v>
      </c>
      <c r="E288" s="1">
        <f t="shared" si="22"/>
        <v>2020</v>
      </c>
      <c r="F288" s="1">
        <v>287</v>
      </c>
      <c r="G288" s="1">
        <v>202</v>
      </c>
      <c r="H288" s="1">
        <v>195</v>
      </c>
      <c r="I288" s="2">
        <v>0.96530000000000005</v>
      </c>
      <c r="J288" s="1">
        <v>7</v>
      </c>
      <c r="K288" s="3">
        <v>2.8935185185185184E-4</v>
      </c>
      <c r="L288" s="3">
        <v>1.5625000000000001E-3</v>
      </c>
      <c r="M288" s="3">
        <v>3.8541666666666668E-3</v>
      </c>
      <c r="N288" s="2">
        <v>0.745</v>
      </c>
      <c r="O288" s="5">
        <f t="shared" si="16"/>
        <v>0.3046875</v>
      </c>
      <c r="P288" s="5">
        <f t="shared" si="17"/>
        <v>18.28125</v>
      </c>
      <c r="Q288" s="5">
        <f t="shared" si="18"/>
        <v>0.31562500000000004</v>
      </c>
      <c r="R288" s="5">
        <f t="shared" si="19"/>
        <v>18.937500000000004</v>
      </c>
    </row>
    <row r="289" spans="1:18">
      <c r="A289" s="4">
        <v>44118</v>
      </c>
      <c r="B289" s="1" t="s">
        <v>18</v>
      </c>
      <c r="C289" s="1">
        <f t="shared" si="20"/>
        <v>10</v>
      </c>
      <c r="D289" s="1">
        <f t="shared" si="21"/>
        <v>14</v>
      </c>
      <c r="E289" s="1">
        <f t="shared" si="22"/>
        <v>2020</v>
      </c>
      <c r="F289" s="1">
        <v>288</v>
      </c>
      <c r="G289" s="1">
        <v>153</v>
      </c>
      <c r="H289" s="1">
        <v>150</v>
      </c>
      <c r="I289" s="2">
        <v>0.98040000000000005</v>
      </c>
      <c r="J289" s="1">
        <v>3</v>
      </c>
      <c r="K289" s="3">
        <v>1.7361111111111112E-4</v>
      </c>
      <c r="L289" s="3">
        <v>1.5625000000000001E-3</v>
      </c>
      <c r="M289" s="3">
        <v>1.5277777777777779E-3</v>
      </c>
      <c r="N289" s="2">
        <v>0.82240000000000002</v>
      </c>
      <c r="O289" s="5">
        <f t="shared" si="16"/>
        <v>0.234375</v>
      </c>
      <c r="P289" s="5">
        <f t="shared" si="17"/>
        <v>14.0625</v>
      </c>
      <c r="Q289" s="5">
        <f t="shared" si="18"/>
        <v>0.23906250000000001</v>
      </c>
      <c r="R289" s="5">
        <f t="shared" si="19"/>
        <v>14.34375</v>
      </c>
    </row>
    <row r="290" spans="1:18">
      <c r="A290" s="4">
        <v>44119</v>
      </c>
      <c r="B290" s="1" t="s">
        <v>19</v>
      </c>
      <c r="C290" s="1">
        <f t="shared" si="20"/>
        <v>10</v>
      </c>
      <c r="D290" s="1">
        <f t="shared" si="21"/>
        <v>15</v>
      </c>
      <c r="E290" s="1">
        <f t="shared" si="22"/>
        <v>2020</v>
      </c>
      <c r="F290" s="1">
        <v>289</v>
      </c>
      <c r="G290" s="1">
        <v>178</v>
      </c>
      <c r="H290" s="1">
        <v>172</v>
      </c>
      <c r="I290" s="2">
        <v>0.96630000000000005</v>
      </c>
      <c r="J290" s="1">
        <v>6</v>
      </c>
      <c r="K290" s="3">
        <v>2.199074074074074E-4</v>
      </c>
      <c r="L290" s="3">
        <v>1.5625000000000001E-3</v>
      </c>
      <c r="M290" s="3">
        <v>3.1828703703703702E-3</v>
      </c>
      <c r="N290" s="2">
        <v>0.78290000000000004</v>
      </c>
      <c r="O290" s="5">
        <f t="shared" si="16"/>
        <v>0.26874999999999999</v>
      </c>
      <c r="P290" s="5">
        <f t="shared" si="17"/>
        <v>16.125</v>
      </c>
      <c r="Q290" s="5">
        <f t="shared" si="18"/>
        <v>0.27812500000000001</v>
      </c>
      <c r="R290" s="5">
        <f t="shared" si="19"/>
        <v>16.6875</v>
      </c>
    </row>
    <row r="291" spans="1:18">
      <c r="A291" s="4">
        <v>44120</v>
      </c>
      <c r="B291" s="1" t="s">
        <v>20</v>
      </c>
      <c r="C291" s="1">
        <f t="shared" si="20"/>
        <v>10</v>
      </c>
      <c r="D291" s="1">
        <f t="shared" si="21"/>
        <v>16</v>
      </c>
      <c r="E291" s="1">
        <f t="shared" si="22"/>
        <v>2020</v>
      </c>
      <c r="F291" s="1">
        <v>290</v>
      </c>
      <c r="G291" s="1">
        <v>172</v>
      </c>
      <c r="H291" s="1">
        <v>165</v>
      </c>
      <c r="I291" s="2">
        <v>0.95930000000000004</v>
      </c>
      <c r="J291" s="1">
        <v>7</v>
      </c>
      <c r="K291" s="3">
        <v>2.199074074074074E-4</v>
      </c>
      <c r="L291" s="3">
        <v>1.6666666666666668E-3</v>
      </c>
      <c r="M291" s="3">
        <v>2.3611111111111111E-3</v>
      </c>
      <c r="N291" s="2">
        <v>0.79290000000000005</v>
      </c>
      <c r="O291" s="5">
        <f t="shared" si="16"/>
        <v>0.27500000000000002</v>
      </c>
      <c r="P291" s="5">
        <f t="shared" si="17"/>
        <v>16.5</v>
      </c>
      <c r="Q291" s="5">
        <f t="shared" si="18"/>
        <v>0.28666666666666668</v>
      </c>
      <c r="R291" s="5">
        <f t="shared" si="19"/>
        <v>17.2</v>
      </c>
    </row>
    <row r="292" spans="1:18">
      <c r="A292" s="4">
        <v>44121</v>
      </c>
      <c r="B292" s="1" t="s">
        <v>21</v>
      </c>
      <c r="C292" s="1">
        <f t="shared" si="20"/>
        <v>10</v>
      </c>
      <c r="D292" s="1">
        <f t="shared" si="21"/>
        <v>17</v>
      </c>
      <c r="E292" s="1">
        <f t="shared" si="22"/>
        <v>2020</v>
      </c>
      <c r="F292" s="1">
        <v>291</v>
      </c>
      <c r="G292" s="1">
        <v>208</v>
      </c>
      <c r="H292" s="1">
        <v>200</v>
      </c>
      <c r="I292" s="2">
        <v>0.96150000000000002</v>
      </c>
      <c r="J292" s="1">
        <v>8</v>
      </c>
      <c r="K292" s="3">
        <v>3.0092592592592595E-4</v>
      </c>
      <c r="L292" s="3">
        <v>1.6550925925925926E-3</v>
      </c>
      <c r="M292" s="3">
        <v>2.2569444444444442E-3</v>
      </c>
      <c r="N292" s="2">
        <v>0.68779999999999997</v>
      </c>
      <c r="O292" s="5">
        <f t="shared" si="16"/>
        <v>0.33101851851851849</v>
      </c>
      <c r="P292" s="5">
        <f t="shared" si="17"/>
        <v>19.861111111111111</v>
      </c>
      <c r="Q292" s="5">
        <f t="shared" si="18"/>
        <v>0.34425925925925926</v>
      </c>
      <c r="R292" s="5">
        <f t="shared" si="19"/>
        <v>20.655555555555555</v>
      </c>
    </row>
    <row r="293" spans="1:18">
      <c r="A293" s="4">
        <v>44122</v>
      </c>
      <c r="B293" s="1" t="s">
        <v>22</v>
      </c>
      <c r="C293" s="1">
        <f t="shared" si="20"/>
        <v>10</v>
      </c>
      <c r="D293" s="1">
        <f t="shared" si="21"/>
        <v>18</v>
      </c>
      <c r="E293" s="1">
        <f t="shared" si="22"/>
        <v>2020</v>
      </c>
      <c r="F293" s="1">
        <v>292</v>
      </c>
      <c r="G293" s="1">
        <v>77</v>
      </c>
      <c r="H293" s="1">
        <v>76</v>
      </c>
      <c r="I293" s="2">
        <v>0.98699999999999999</v>
      </c>
      <c r="J293" s="1">
        <v>1</v>
      </c>
      <c r="K293" s="3">
        <v>3.3564814814814812E-4</v>
      </c>
      <c r="L293" s="3">
        <v>1.5740740740740741E-3</v>
      </c>
      <c r="M293" s="3">
        <v>1.3194444444444445E-3</v>
      </c>
      <c r="N293" s="2">
        <v>0.58440000000000003</v>
      </c>
      <c r="O293" s="5">
        <f t="shared" si="16"/>
        <v>0.11962962962962963</v>
      </c>
      <c r="P293" s="5">
        <f t="shared" si="17"/>
        <v>7.177777777777778</v>
      </c>
      <c r="Q293" s="5">
        <f t="shared" si="18"/>
        <v>0.1212037037037037</v>
      </c>
      <c r="R293" s="5">
        <f t="shared" si="19"/>
        <v>7.2722222222222221</v>
      </c>
    </row>
    <row r="294" spans="1:18">
      <c r="A294" s="4">
        <v>44123</v>
      </c>
      <c r="B294" s="1" t="s">
        <v>23</v>
      </c>
      <c r="C294" s="1">
        <f t="shared" si="20"/>
        <v>10</v>
      </c>
      <c r="D294" s="1">
        <f t="shared" si="21"/>
        <v>19</v>
      </c>
      <c r="E294" s="1">
        <f t="shared" si="22"/>
        <v>2020</v>
      </c>
      <c r="F294" s="1">
        <v>293</v>
      </c>
      <c r="G294" s="1">
        <v>291</v>
      </c>
      <c r="H294" s="1">
        <v>250</v>
      </c>
      <c r="I294" s="2">
        <v>0.85909999999999997</v>
      </c>
      <c r="J294" s="1">
        <v>41</v>
      </c>
      <c r="K294" s="3">
        <v>4.7453703703703704E-4</v>
      </c>
      <c r="L294" s="3">
        <v>1.6203703703703703E-3</v>
      </c>
      <c r="M294" s="3">
        <v>4.9768518518518521E-3</v>
      </c>
      <c r="N294" s="2">
        <v>0.5544</v>
      </c>
      <c r="O294" s="5">
        <f t="shared" si="16"/>
        <v>0.40509259259259256</v>
      </c>
      <c r="P294" s="5">
        <f t="shared" si="17"/>
        <v>24.305555555555554</v>
      </c>
      <c r="Q294" s="5">
        <f t="shared" si="18"/>
        <v>0.47152777777777777</v>
      </c>
      <c r="R294" s="5">
        <f t="shared" si="19"/>
        <v>28.291666666666664</v>
      </c>
    </row>
    <row r="295" spans="1:18">
      <c r="A295" s="4">
        <v>44124</v>
      </c>
      <c r="B295" s="1" t="s">
        <v>24</v>
      </c>
      <c r="C295" s="1">
        <f t="shared" si="20"/>
        <v>10</v>
      </c>
      <c r="D295" s="1">
        <f t="shared" si="21"/>
        <v>20</v>
      </c>
      <c r="E295" s="1">
        <f t="shared" si="22"/>
        <v>2020</v>
      </c>
      <c r="F295" s="1">
        <v>294</v>
      </c>
      <c r="G295" s="1">
        <v>219</v>
      </c>
      <c r="H295" s="1">
        <v>212</v>
      </c>
      <c r="I295" s="2">
        <v>0.96799999999999997</v>
      </c>
      <c r="J295" s="1">
        <v>7</v>
      </c>
      <c r="K295" s="3">
        <v>2.4305555555555555E-4</v>
      </c>
      <c r="L295" s="3">
        <v>1.6087962962962963E-3</v>
      </c>
      <c r="M295" s="3">
        <v>1.2731481481481483E-3</v>
      </c>
      <c r="N295" s="2">
        <v>0.76849999999999996</v>
      </c>
      <c r="O295" s="5">
        <f t="shared" si="16"/>
        <v>0.34106481481481482</v>
      </c>
      <c r="P295" s="5">
        <f t="shared" si="17"/>
        <v>20.463888888888889</v>
      </c>
      <c r="Q295" s="5">
        <f t="shared" si="18"/>
        <v>0.3523263888888889</v>
      </c>
      <c r="R295" s="5">
        <f t="shared" si="19"/>
        <v>21.139583333333334</v>
      </c>
    </row>
    <row r="296" spans="1:18">
      <c r="A296" s="4">
        <v>44125</v>
      </c>
      <c r="B296" s="1" t="s">
        <v>18</v>
      </c>
      <c r="C296" s="1">
        <f t="shared" si="20"/>
        <v>10</v>
      </c>
      <c r="D296" s="1">
        <f t="shared" si="21"/>
        <v>21</v>
      </c>
      <c r="E296" s="1">
        <f t="shared" si="22"/>
        <v>2020</v>
      </c>
      <c r="F296" s="1">
        <v>295</v>
      </c>
      <c r="G296" s="1">
        <v>173</v>
      </c>
      <c r="H296" s="1">
        <v>169</v>
      </c>
      <c r="I296" s="2">
        <v>0.97689999999999999</v>
      </c>
      <c r="J296" s="1">
        <v>4</v>
      </c>
      <c r="K296" s="3">
        <v>2.0833333333333335E-4</v>
      </c>
      <c r="L296" s="3">
        <v>1.5393518518518519E-3</v>
      </c>
      <c r="M296" s="3">
        <v>1.5509259259259259E-3</v>
      </c>
      <c r="N296" s="2">
        <v>0.81399999999999995</v>
      </c>
      <c r="O296" s="5">
        <f t="shared" si="16"/>
        <v>0.26015046296296296</v>
      </c>
      <c r="P296" s="5">
        <f t="shared" si="17"/>
        <v>15.609027777777778</v>
      </c>
      <c r="Q296" s="5">
        <f t="shared" si="18"/>
        <v>0.26630787037037035</v>
      </c>
      <c r="R296" s="5">
        <f t="shared" si="19"/>
        <v>15.978472222222221</v>
      </c>
    </row>
    <row r="297" spans="1:18">
      <c r="A297" s="4">
        <v>44126</v>
      </c>
      <c r="B297" s="1" t="s">
        <v>19</v>
      </c>
      <c r="C297" s="1">
        <f t="shared" si="20"/>
        <v>10</v>
      </c>
      <c r="D297" s="1">
        <f t="shared" si="21"/>
        <v>22</v>
      </c>
      <c r="E297" s="1">
        <f t="shared" si="22"/>
        <v>2020</v>
      </c>
      <c r="F297" s="1">
        <v>296</v>
      </c>
      <c r="G297" s="1">
        <v>204</v>
      </c>
      <c r="H297" s="1">
        <v>197</v>
      </c>
      <c r="I297" s="2">
        <v>0.9657</v>
      </c>
      <c r="J297" s="1">
        <v>7</v>
      </c>
      <c r="K297" s="3">
        <v>1.9675925925925926E-4</v>
      </c>
      <c r="L297" s="3">
        <v>1.6550925925925926E-3</v>
      </c>
      <c r="M297" s="3">
        <v>1.3541666666666667E-3</v>
      </c>
      <c r="N297" s="2">
        <v>0.8</v>
      </c>
      <c r="O297" s="5">
        <f t="shared" si="16"/>
        <v>0.32605324074074071</v>
      </c>
      <c r="P297" s="5">
        <f t="shared" si="17"/>
        <v>19.563194444444441</v>
      </c>
      <c r="Q297" s="5">
        <f t="shared" si="18"/>
        <v>0.33763888888888888</v>
      </c>
      <c r="R297" s="5">
        <f t="shared" si="19"/>
        <v>20.258333333333333</v>
      </c>
    </row>
    <row r="298" spans="1:18">
      <c r="A298" s="4">
        <v>44127</v>
      </c>
      <c r="B298" s="1" t="s">
        <v>20</v>
      </c>
      <c r="C298" s="1">
        <f t="shared" si="20"/>
        <v>10</v>
      </c>
      <c r="D298" s="1">
        <f t="shared" si="21"/>
        <v>23</v>
      </c>
      <c r="E298" s="1">
        <f t="shared" si="22"/>
        <v>2020</v>
      </c>
      <c r="F298" s="1">
        <v>297</v>
      </c>
      <c r="G298" s="1">
        <v>216</v>
      </c>
      <c r="H298" s="1">
        <v>185</v>
      </c>
      <c r="I298" s="2">
        <v>0.85650000000000004</v>
      </c>
      <c r="J298" s="1">
        <v>31</v>
      </c>
      <c r="K298" s="3">
        <v>3.4722222222222224E-4</v>
      </c>
      <c r="L298" s="3">
        <v>1.5856481481481481E-3</v>
      </c>
      <c r="M298" s="3">
        <v>4.4675925925925924E-3</v>
      </c>
      <c r="N298" s="2">
        <v>0.61429999999999996</v>
      </c>
      <c r="O298" s="5">
        <f t="shared" si="16"/>
        <v>0.29334490740740737</v>
      </c>
      <c r="P298" s="5">
        <f t="shared" si="17"/>
        <v>17.600694444444443</v>
      </c>
      <c r="Q298" s="5">
        <f t="shared" si="18"/>
        <v>0.34249999999999997</v>
      </c>
      <c r="R298" s="5">
        <f t="shared" si="19"/>
        <v>20.549999999999997</v>
      </c>
    </row>
    <row r="299" spans="1:18">
      <c r="A299" s="4">
        <v>44128</v>
      </c>
      <c r="B299" s="1" t="s">
        <v>21</v>
      </c>
      <c r="C299" s="1">
        <f t="shared" si="20"/>
        <v>10</v>
      </c>
      <c r="D299" s="1">
        <f t="shared" si="21"/>
        <v>24</v>
      </c>
      <c r="E299" s="1">
        <f t="shared" si="22"/>
        <v>2020</v>
      </c>
      <c r="F299" s="1">
        <v>298</v>
      </c>
      <c r="G299" s="1">
        <v>461</v>
      </c>
      <c r="H299" s="1">
        <v>441</v>
      </c>
      <c r="I299" s="2">
        <v>0.95660000000000001</v>
      </c>
      <c r="J299" s="1">
        <v>20</v>
      </c>
      <c r="K299" s="3">
        <v>3.4722222222222224E-4</v>
      </c>
      <c r="L299" s="3">
        <v>1.5972222222222223E-3</v>
      </c>
      <c r="M299" s="3">
        <v>2.5462962962962965E-3</v>
      </c>
      <c r="N299" s="2">
        <v>0.6149</v>
      </c>
      <c r="O299" s="5">
        <f t="shared" si="16"/>
        <v>0.70437500000000008</v>
      </c>
      <c r="P299" s="5">
        <f t="shared" si="17"/>
        <v>42.262500000000003</v>
      </c>
      <c r="Q299" s="5">
        <f t="shared" si="18"/>
        <v>0.73631944444444453</v>
      </c>
      <c r="R299" s="5">
        <f t="shared" si="19"/>
        <v>44.179166666666674</v>
      </c>
    </row>
    <row r="300" spans="1:18">
      <c r="A300" s="4">
        <v>44129</v>
      </c>
      <c r="B300" s="1" t="s">
        <v>22</v>
      </c>
      <c r="C300" s="1">
        <f t="shared" si="20"/>
        <v>10</v>
      </c>
      <c r="D300" s="1">
        <f t="shared" si="21"/>
        <v>25</v>
      </c>
      <c r="E300" s="1">
        <f t="shared" si="22"/>
        <v>2020</v>
      </c>
      <c r="F300" s="1">
        <v>299</v>
      </c>
      <c r="G300" s="1">
        <v>56</v>
      </c>
      <c r="H300" s="1">
        <v>55</v>
      </c>
      <c r="I300" s="2">
        <v>0.98209999999999997</v>
      </c>
      <c r="J300" s="1">
        <v>1</v>
      </c>
      <c r="K300" s="3">
        <v>3.0092592592592595E-4</v>
      </c>
      <c r="L300" s="3">
        <v>1.5162037037037036E-3</v>
      </c>
      <c r="M300" s="3">
        <v>1.3078703703703703E-3</v>
      </c>
      <c r="N300" s="2">
        <v>0.66069999999999995</v>
      </c>
      <c r="O300" s="5">
        <f t="shared" si="16"/>
        <v>8.3391203703703703E-2</v>
      </c>
      <c r="P300" s="5">
        <f t="shared" si="17"/>
        <v>5.0034722222222223</v>
      </c>
      <c r="Q300" s="5">
        <f t="shared" si="18"/>
        <v>8.4907407407407404E-2</v>
      </c>
      <c r="R300" s="5">
        <f t="shared" si="19"/>
        <v>5.0944444444444441</v>
      </c>
    </row>
    <row r="301" spans="1:18">
      <c r="A301" s="4">
        <v>44130</v>
      </c>
      <c r="B301" s="1" t="s">
        <v>23</v>
      </c>
      <c r="C301" s="1">
        <f t="shared" si="20"/>
        <v>10</v>
      </c>
      <c r="D301" s="1">
        <f t="shared" si="21"/>
        <v>26</v>
      </c>
      <c r="E301" s="1">
        <f t="shared" si="22"/>
        <v>2020</v>
      </c>
      <c r="F301" s="1">
        <v>300</v>
      </c>
      <c r="G301" s="1">
        <v>192</v>
      </c>
      <c r="H301" s="1">
        <v>176</v>
      </c>
      <c r="I301" s="2">
        <v>0.91669999999999996</v>
      </c>
      <c r="J301" s="1">
        <v>16</v>
      </c>
      <c r="K301" s="3">
        <v>2.6620370370370372E-4</v>
      </c>
      <c r="L301" s="3">
        <v>1.4467592592592592E-3</v>
      </c>
      <c r="M301" s="3">
        <v>1.9328703703703704E-3</v>
      </c>
      <c r="N301" s="2">
        <v>0.68279999999999996</v>
      </c>
      <c r="O301" s="5">
        <f t="shared" si="16"/>
        <v>0.25462962962962959</v>
      </c>
      <c r="P301" s="5">
        <f t="shared" si="17"/>
        <v>15.277777777777775</v>
      </c>
      <c r="Q301" s="5">
        <f t="shared" si="18"/>
        <v>0.27777777777777779</v>
      </c>
      <c r="R301" s="5">
        <f t="shared" si="19"/>
        <v>16.666666666666668</v>
      </c>
    </row>
    <row r="302" spans="1:18">
      <c r="A302" s="4">
        <v>44131</v>
      </c>
      <c r="B302" s="1" t="s">
        <v>24</v>
      </c>
      <c r="C302" s="1">
        <f t="shared" si="20"/>
        <v>10</v>
      </c>
      <c r="D302" s="1">
        <f t="shared" si="21"/>
        <v>27</v>
      </c>
      <c r="E302" s="1">
        <f t="shared" si="22"/>
        <v>2020</v>
      </c>
      <c r="F302" s="1">
        <v>301</v>
      </c>
      <c r="G302" s="1">
        <v>382</v>
      </c>
      <c r="H302" s="1">
        <v>365</v>
      </c>
      <c r="I302" s="2">
        <v>0.95550000000000002</v>
      </c>
      <c r="J302" s="1">
        <v>17</v>
      </c>
      <c r="K302" s="3">
        <v>2.3148148148148149E-4</v>
      </c>
      <c r="L302" s="3">
        <v>1.0995370370370371E-3</v>
      </c>
      <c r="M302" s="3">
        <v>2.0023148148148148E-3</v>
      </c>
      <c r="N302" s="2">
        <v>0.73140000000000005</v>
      </c>
      <c r="O302" s="5">
        <f t="shared" si="16"/>
        <v>0.40133101851851855</v>
      </c>
      <c r="P302" s="5">
        <f t="shared" si="17"/>
        <v>24.079861111111114</v>
      </c>
      <c r="Q302" s="5">
        <f t="shared" si="18"/>
        <v>0.42002314814814817</v>
      </c>
      <c r="R302" s="5">
        <f t="shared" si="19"/>
        <v>25.201388888888889</v>
      </c>
    </row>
    <row r="303" spans="1:18">
      <c r="A303" s="4">
        <v>44132</v>
      </c>
      <c r="B303" s="1" t="s">
        <v>18</v>
      </c>
      <c r="C303" s="1">
        <f t="shared" si="20"/>
        <v>10</v>
      </c>
      <c r="D303" s="1">
        <f t="shared" si="21"/>
        <v>28</v>
      </c>
      <c r="E303" s="1">
        <f t="shared" si="22"/>
        <v>2020</v>
      </c>
      <c r="F303" s="1">
        <v>302</v>
      </c>
      <c r="G303" s="1">
        <v>246</v>
      </c>
      <c r="H303" s="1">
        <v>223</v>
      </c>
      <c r="I303" s="2">
        <v>0.90649999999999997</v>
      </c>
      <c r="J303" s="1">
        <v>23</v>
      </c>
      <c r="K303" s="3">
        <v>2.8935185185185184E-4</v>
      </c>
      <c r="L303" s="3">
        <v>1.5509259259259259E-3</v>
      </c>
      <c r="M303" s="3">
        <v>3.7499999999999999E-3</v>
      </c>
      <c r="N303" s="2">
        <v>0.7167</v>
      </c>
      <c r="O303" s="5">
        <f t="shared" si="16"/>
        <v>0.34585648148148146</v>
      </c>
      <c r="P303" s="5">
        <f t="shared" si="17"/>
        <v>20.751388888888886</v>
      </c>
      <c r="Q303" s="5">
        <f t="shared" si="18"/>
        <v>0.38152777777777774</v>
      </c>
      <c r="R303" s="5">
        <f t="shared" si="19"/>
        <v>22.891666666666666</v>
      </c>
    </row>
    <row r="304" spans="1:18">
      <c r="A304" s="4">
        <v>44133</v>
      </c>
      <c r="B304" s="1" t="s">
        <v>19</v>
      </c>
      <c r="C304" s="1">
        <f t="shared" si="20"/>
        <v>10</v>
      </c>
      <c r="D304" s="1">
        <f t="shared" si="21"/>
        <v>29</v>
      </c>
      <c r="E304" s="1">
        <f t="shared" si="22"/>
        <v>2020</v>
      </c>
      <c r="F304" s="1">
        <v>303</v>
      </c>
      <c r="G304" s="1">
        <v>48</v>
      </c>
      <c r="H304" s="1">
        <v>46</v>
      </c>
      <c r="I304" s="2">
        <v>0.95830000000000004</v>
      </c>
      <c r="J304" s="1">
        <v>2</v>
      </c>
      <c r="K304" s="3">
        <v>3.0092592592592595E-4</v>
      </c>
      <c r="L304" s="3">
        <v>1.5509259259259259E-3</v>
      </c>
      <c r="M304" s="3">
        <v>9.837962962962962E-4</v>
      </c>
      <c r="N304" s="2">
        <v>0.72340000000000004</v>
      </c>
      <c r="O304" s="5">
        <f t="shared" si="16"/>
        <v>7.1342592592592596E-2</v>
      </c>
      <c r="P304" s="5">
        <f t="shared" si="17"/>
        <v>4.2805555555555559</v>
      </c>
      <c r="Q304" s="5">
        <f t="shared" si="18"/>
        <v>7.4444444444444438E-2</v>
      </c>
      <c r="R304" s="5">
        <f t="shared" si="19"/>
        <v>4.4666666666666659</v>
      </c>
    </row>
    <row r="305" spans="1:18">
      <c r="A305" s="4">
        <v>44134</v>
      </c>
      <c r="B305" s="1" t="s">
        <v>20</v>
      </c>
      <c r="C305" s="1">
        <f t="shared" si="20"/>
        <v>10</v>
      </c>
      <c r="D305" s="1">
        <f t="shared" si="21"/>
        <v>30</v>
      </c>
      <c r="E305" s="1">
        <f t="shared" si="22"/>
        <v>2020</v>
      </c>
      <c r="F305" s="1">
        <v>304</v>
      </c>
      <c r="G305" s="1">
        <v>221</v>
      </c>
      <c r="H305" s="1">
        <v>205</v>
      </c>
      <c r="I305" s="2">
        <v>0.92759999999999998</v>
      </c>
      <c r="J305" s="1">
        <v>16</v>
      </c>
      <c r="K305" s="3">
        <v>3.0092592592592595E-4</v>
      </c>
      <c r="L305" s="3">
        <v>1.5625000000000001E-3</v>
      </c>
      <c r="M305" s="3">
        <v>2.2569444444444442E-3</v>
      </c>
      <c r="N305" s="2">
        <v>0.63080000000000003</v>
      </c>
      <c r="O305" s="5">
        <f t="shared" si="16"/>
        <v>0.3203125</v>
      </c>
      <c r="P305" s="5">
        <f t="shared" si="17"/>
        <v>19.21875</v>
      </c>
      <c r="Q305" s="5">
        <f t="shared" si="18"/>
        <v>0.34531250000000002</v>
      </c>
      <c r="R305" s="5">
        <f t="shared" si="19"/>
        <v>20.71875</v>
      </c>
    </row>
    <row r="306" spans="1:18">
      <c r="A306" s="4">
        <v>44135</v>
      </c>
      <c r="B306" s="1" t="s">
        <v>21</v>
      </c>
      <c r="C306" s="1">
        <f t="shared" si="20"/>
        <v>10</v>
      </c>
      <c r="D306" s="1">
        <f t="shared" si="21"/>
        <v>31</v>
      </c>
      <c r="E306" s="1">
        <f t="shared" si="22"/>
        <v>2020</v>
      </c>
      <c r="F306" s="1">
        <v>305</v>
      </c>
      <c r="G306" s="1">
        <v>275</v>
      </c>
      <c r="H306" s="1">
        <v>261</v>
      </c>
      <c r="I306" s="2">
        <v>0.94910000000000005</v>
      </c>
      <c r="J306" s="1">
        <v>14</v>
      </c>
      <c r="K306" s="3">
        <v>3.8194444444444446E-4</v>
      </c>
      <c r="L306" s="3">
        <v>1.6087962962962963E-3</v>
      </c>
      <c r="M306" s="3">
        <v>2.0601851851851853E-3</v>
      </c>
      <c r="N306" s="2">
        <v>0.58520000000000005</v>
      </c>
      <c r="O306" s="5">
        <f t="shared" si="16"/>
        <v>0.41989583333333336</v>
      </c>
      <c r="P306" s="5">
        <f t="shared" si="17"/>
        <v>25.193750000000001</v>
      </c>
      <c r="Q306" s="5">
        <f t="shared" si="18"/>
        <v>0.44241898148148151</v>
      </c>
      <c r="R306" s="5">
        <f t="shared" si="19"/>
        <v>26.545138888888889</v>
      </c>
    </row>
    <row r="307" spans="1:18">
      <c r="A307" s="4">
        <v>44136</v>
      </c>
      <c r="B307" s="1" t="s">
        <v>22</v>
      </c>
      <c r="C307" s="1">
        <f t="shared" si="20"/>
        <v>11</v>
      </c>
      <c r="D307" s="1">
        <f t="shared" si="21"/>
        <v>1</v>
      </c>
      <c r="E307" s="1">
        <f t="shared" si="22"/>
        <v>2020</v>
      </c>
      <c r="F307" s="1">
        <v>306</v>
      </c>
      <c r="G307" s="1">
        <v>39</v>
      </c>
      <c r="H307" s="1">
        <v>36</v>
      </c>
      <c r="I307" s="2">
        <v>0.92310000000000003</v>
      </c>
      <c r="J307" s="1">
        <v>3</v>
      </c>
      <c r="K307" s="3">
        <v>2.199074074074074E-4</v>
      </c>
      <c r="L307" s="3">
        <v>1.3078703703703703E-3</v>
      </c>
      <c r="M307" s="3">
        <v>1.2962962962962963E-3</v>
      </c>
      <c r="N307" s="2">
        <v>0.77780000000000005</v>
      </c>
      <c r="O307" s="5">
        <f t="shared" si="16"/>
        <v>4.7083333333333331E-2</v>
      </c>
      <c r="P307" s="5">
        <f t="shared" si="17"/>
        <v>2.8249999999999997</v>
      </c>
      <c r="Q307" s="5">
        <f t="shared" si="18"/>
        <v>5.1006944444444438E-2</v>
      </c>
      <c r="R307" s="5">
        <f t="shared" si="19"/>
        <v>3.0604166666666663</v>
      </c>
    </row>
    <row r="308" spans="1:18">
      <c r="A308" s="4">
        <v>44137</v>
      </c>
      <c r="B308" s="1" t="s">
        <v>23</v>
      </c>
      <c r="C308" s="1">
        <f t="shared" si="20"/>
        <v>11</v>
      </c>
      <c r="D308" s="1">
        <f t="shared" si="21"/>
        <v>2</v>
      </c>
      <c r="E308" s="1">
        <f t="shared" si="22"/>
        <v>2020</v>
      </c>
      <c r="F308" s="1">
        <v>307</v>
      </c>
      <c r="G308" s="1">
        <v>250</v>
      </c>
      <c r="H308" s="1">
        <v>236</v>
      </c>
      <c r="I308" s="2">
        <v>0.94399999999999995</v>
      </c>
      <c r="J308" s="1">
        <v>14</v>
      </c>
      <c r="K308" s="3">
        <v>3.3564814814814812E-4</v>
      </c>
      <c r="L308" s="3">
        <v>1.4814814814814814E-3</v>
      </c>
      <c r="M308" s="3">
        <v>2.8587962962962963E-3</v>
      </c>
      <c r="N308" s="2">
        <v>0.59040000000000004</v>
      </c>
      <c r="O308" s="5">
        <f t="shared" si="16"/>
        <v>0.34962962962962962</v>
      </c>
      <c r="P308" s="5">
        <f t="shared" si="17"/>
        <v>20.977777777777778</v>
      </c>
      <c r="Q308" s="5">
        <f t="shared" si="18"/>
        <v>0.37037037037037035</v>
      </c>
      <c r="R308" s="5">
        <f t="shared" si="19"/>
        <v>22.222222222222221</v>
      </c>
    </row>
    <row r="309" spans="1:18">
      <c r="A309" s="4">
        <v>44138</v>
      </c>
      <c r="B309" s="1" t="s">
        <v>24</v>
      </c>
      <c r="C309" s="1">
        <f t="shared" si="20"/>
        <v>11</v>
      </c>
      <c r="D309" s="1">
        <f t="shared" si="21"/>
        <v>3</v>
      </c>
      <c r="E309" s="1">
        <f t="shared" si="22"/>
        <v>2020</v>
      </c>
      <c r="F309" s="1">
        <v>308</v>
      </c>
      <c r="G309" s="1">
        <v>197</v>
      </c>
      <c r="H309" s="1">
        <v>184</v>
      </c>
      <c r="I309" s="2">
        <v>0.93400000000000005</v>
      </c>
      <c r="J309" s="1">
        <v>13</v>
      </c>
      <c r="K309" s="3">
        <v>3.3564814814814812E-4</v>
      </c>
      <c r="L309" s="3">
        <v>1.6550925925925926E-3</v>
      </c>
      <c r="M309" s="3">
        <v>2.5578703703703705E-3</v>
      </c>
      <c r="N309" s="2">
        <v>0.55610000000000004</v>
      </c>
      <c r="O309" s="5">
        <f t="shared" si="16"/>
        <v>0.30453703703703705</v>
      </c>
      <c r="P309" s="5">
        <f t="shared" si="17"/>
        <v>18.272222222222222</v>
      </c>
      <c r="Q309" s="5">
        <f t="shared" si="18"/>
        <v>0.32605324074074071</v>
      </c>
      <c r="R309" s="5">
        <f t="shared" si="19"/>
        <v>19.563194444444441</v>
      </c>
    </row>
    <row r="310" spans="1:18">
      <c r="A310" s="4">
        <v>44139</v>
      </c>
      <c r="B310" s="1" t="s">
        <v>18</v>
      </c>
      <c r="C310" s="1">
        <f t="shared" si="20"/>
        <v>11</v>
      </c>
      <c r="D310" s="1">
        <f t="shared" si="21"/>
        <v>4</v>
      </c>
      <c r="E310" s="1">
        <f t="shared" si="22"/>
        <v>2020</v>
      </c>
      <c r="F310" s="1">
        <v>309</v>
      </c>
      <c r="G310" s="1">
        <v>223</v>
      </c>
      <c r="H310" s="1">
        <v>208</v>
      </c>
      <c r="I310" s="2">
        <v>0.93269999999999997</v>
      </c>
      <c r="J310" s="1">
        <v>15</v>
      </c>
      <c r="K310" s="3">
        <v>3.2407407407407406E-4</v>
      </c>
      <c r="L310" s="3">
        <v>1.6319444444444445E-3</v>
      </c>
      <c r="M310" s="3">
        <v>4.7569444444444447E-3</v>
      </c>
      <c r="N310" s="2">
        <v>0.72270000000000001</v>
      </c>
      <c r="O310" s="5">
        <f t="shared" si="16"/>
        <v>0.33944444444444444</v>
      </c>
      <c r="P310" s="5">
        <f t="shared" si="17"/>
        <v>20.366666666666667</v>
      </c>
      <c r="Q310" s="5">
        <f t="shared" si="18"/>
        <v>0.36392361111111116</v>
      </c>
      <c r="R310" s="5">
        <f t="shared" si="19"/>
        <v>21.835416666666671</v>
      </c>
    </row>
    <row r="311" spans="1:18">
      <c r="A311" s="4">
        <v>44140</v>
      </c>
      <c r="B311" s="1" t="s">
        <v>19</v>
      </c>
      <c r="C311" s="1">
        <f t="shared" si="20"/>
        <v>11</v>
      </c>
      <c r="D311" s="1">
        <f t="shared" si="21"/>
        <v>5</v>
      </c>
      <c r="E311" s="1">
        <f t="shared" si="22"/>
        <v>2020</v>
      </c>
      <c r="F311" s="1">
        <v>310</v>
      </c>
      <c r="G311" s="1">
        <v>240</v>
      </c>
      <c r="H311" s="1">
        <v>236</v>
      </c>
      <c r="I311" s="2">
        <v>0.98329999999999995</v>
      </c>
      <c r="J311" s="1">
        <v>4</v>
      </c>
      <c r="K311" s="3">
        <v>2.0833333333333335E-4</v>
      </c>
      <c r="L311" s="3">
        <v>1.5509259259259259E-3</v>
      </c>
      <c r="M311" s="3">
        <v>1.4814814814814814E-3</v>
      </c>
      <c r="N311" s="2">
        <v>0.7792</v>
      </c>
      <c r="O311" s="5">
        <f t="shared" si="16"/>
        <v>0.36601851851851852</v>
      </c>
      <c r="P311" s="5">
        <f t="shared" si="17"/>
        <v>21.961111111111112</v>
      </c>
      <c r="Q311" s="5">
        <f t="shared" si="18"/>
        <v>0.37222222222222223</v>
      </c>
      <c r="R311" s="5">
        <f t="shared" si="19"/>
        <v>22.333333333333336</v>
      </c>
    </row>
    <row r="312" spans="1:18">
      <c r="A312" s="4">
        <v>44141</v>
      </c>
      <c r="B312" s="1" t="s">
        <v>20</v>
      </c>
      <c r="C312" s="1">
        <f t="shared" si="20"/>
        <v>11</v>
      </c>
      <c r="D312" s="1">
        <f t="shared" si="21"/>
        <v>6</v>
      </c>
      <c r="E312" s="1">
        <f t="shared" si="22"/>
        <v>2020</v>
      </c>
      <c r="F312" s="1">
        <v>311</v>
      </c>
      <c r="G312" s="1">
        <v>55</v>
      </c>
      <c r="H312" s="1">
        <v>52</v>
      </c>
      <c r="I312" s="2">
        <v>0.94550000000000001</v>
      </c>
      <c r="J312" s="1">
        <v>3</v>
      </c>
      <c r="K312" s="3">
        <v>1.8518518518518518E-4</v>
      </c>
      <c r="L312" s="3">
        <v>1.6087962962962963E-3</v>
      </c>
      <c r="M312" s="3">
        <v>1.1805555555555556E-3</v>
      </c>
      <c r="N312" s="2">
        <v>0.78180000000000005</v>
      </c>
      <c r="O312" s="5">
        <f t="shared" si="16"/>
        <v>8.3657407407407403E-2</v>
      </c>
      <c r="P312" s="5">
        <f t="shared" si="17"/>
        <v>5.0194444444444439</v>
      </c>
      <c r="Q312" s="5">
        <f t="shared" si="18"/>
        <v>8.8483796296296297E-2</v>
      </c>
      <c r="R312" s="5">
        <f t="shared" si="19"/>
        <v>5.3090277777777777</v>
      </c>
    </row>
    <row r="313" spans="1:18">
      <c r="A313" s="4">
        <v>44142</v>
      </c>
      <c r="B313" s="1" t="s">
        <v>21</v>
      </c>
      <c r="C313" s="1">
        <f t="shared" si="20"/>
        <v>11</v>
      </c>
      <c r="D313" s="1">
        <f t="shared" si="21"/>
        <v>7</v>
      </c>
      <c r="E313" s="1">
        <f t="shared" si="22"/>
        <v>2020</v>
      </c>
      <c r="F313" s="1">
        <v>312</v>
      </c>
      <c r="G313" s="1">
        <v>59</v>
      </c>
      <c r="H313" s="1">
        <v>54</v>
      </c>
      <c r="I313" s="2">
        <v>0.9153</v>
      </c>
      <c r="J313" s="1">
        <v>5</v>
      </c>
      <c r="K313" s="3">
        <v>9.2592592592592588E-5</v>
      </c>
      <c r="L313" s="3">
        <v>1.4583333333333334E-3</v>
      </c>
      <c r="M313" s="3">
        <v>1.4004629629629629E-3</v>
      </c>
      <c r="N313" s="2">
        <v>0.84750000000000003</v>
      </c>
      <c r="O313" s="5">
        <f t="shared" si="16"/>
        <v>7.8750000000000001E-2</v>
      </c>
      <c r="P313" s="5">
        <f t="shared" si="17"/>
        <v>4.7249999999999996</v>
      </c>
      <c r="Q313" s="5">
        <f t="shared" si="18"/>
        <v>8.6041666666666669E-2</v>
      </c>
      <c r="R313" s="5">
        <f t="shared" si="19"/>
        <v>5.1625000000000005</v>
      </c>
    </row>
    <row r="314" spans="1:18">
      <c r="A314" s="4">
        <v>44143</v>
      </c>
      <c r="B314" s="1" t="s">
        <v>22</v>
      </c>
      <c r="C314" s="1">
        <f t="shared" si="20"/>
        <v>11</v>
      </c>
      <c r="D314" s="1">
        <f t="shared" si="21"/>
        <v>8</v>
      </c>
      <c r="E314" s="1">
        <f t="shared" si="22"/>
        <v>2020</v>
      </c>
      <c r="F314" s="1">
        <v>313</v>
      </c>
      <c r="G314" s="1">
        <v>36</v>
      </c>
      <c r="H314" s="1">
        <v>31</v>
      </c>
      <c r="I314" s="2">
        <v>0.86109999999999998</v>
      </c>
      <c r="J314" s="1">
        <v>5</v>
      </c>
      <c r="K314" s="3">
        <v>1.273148148148148E-4</v>
      </c>
      <c r="L314" s="3">
        <v>1.6435185185185185E-3</v>
      </c>
      <c r="M314" s="3">
        <v>1.3425925925925925E-3</v>
      </c>
      <c r="N314" s="2">
        <v>0.72219999999999995</v>
      </c>
      <c r="O314" s="5">
        <f t="shared" si="16"/>
        <v>5.0949074074074077E-2</v>
      </c>
      <c r="P314" s="5">
        <f t="shared" si="17"/>
        <v>3.0569444444444445</v>
      </c>
      <c r="Q314" s="5">
        <f t="shared" si="18"/>
        <v>5.9166666666666666E-2</v>
      </c>
      <c r="R314" s="5">
        <f t="shared" si="19"/>
        <v>3.55</v>
      </c>
    </row>
    <row r="315" spans="1:18">
      <c r="A315" s="4">
        <v>44144</v>
      </c>
      <c r="B315" s="1" t="s">
        <v>23</v>
      </c>
      <c r="C315" s="1">
        <f t="shared" si="20"/>
        <v>11</v>
      </c>
      <c r="D315" s="1">
        <f t="shared" si="21"/>
        <v>9</v>
      </c>
      <c r="E315" s="1">
        <f t="shared" si="22"/>
        <v>2020</v>
      </c>
      <c r="F315" s="1">
        <v>314</v>
      </c>
      <c r="G315" s="1">
        <v>229</v>
      </c>
      <c r="H315" s="1">
        <v>219</v>
      </c>
      <c r="I315" s="2">
        <v>0.95630000000000004</v>
      </c>
      <c r="J315" s="1">
        <v>10</v>
      </c>
      <c r="K315" s="3">
        <v>1.5046296296296297E-4</v>
      </c>
      <c r="L315" s="3">
        <v>1.4699074074074074E-3</v>
      </c>
      <c r="M315" s="3">
        <v>1.7939814814814815E-3</v>
      </c>
      <c r="N315" s="2">
        <v>0.84889999999999999</v>
      </c>
      <c r="O315" s="5">
        <f t="shared" si="16"/>
        <v>0.32190972222222219</v>
      </c>
      <c r="P315" s="5">
        <f t="shared" si="17"/>
        <v>19.314583333333331</v>
      </c>
      <c r="Q315" s="5">
        <f t="shared" si="18"/>
        <v>0.33660879629629631</v>
      </c>
      <c r="R315" s="5">
        <f t="shared" si="19"/>
        <v>20.196527777777778</v>
      </c>
    </row>
    <row r="316" spans="1:18">
      <c r="A316" s="4">
        <v>44145</v>
      </c>
      <c r="B316" s="1" t="s">
        <v>24</v>
      </c>
      <c r="C316" s="1">
        <f t="shared" si="20"/>
        <v>11</v>
      </c>
      <c r="D316" s="1">
        <f t="shared" si="21"/>
        <v>10</v>
      </c>
      <c r="E316" s="1">
        <f t="shared" si="22"/>
        <v>2020</v>
      </c>
      <c r="F316" s="1">
        <v>315</v>
      </c>
      <c r="G316" s="1">
        <v>206</v>
      </c>
      <c r="H316" s="1">
        <v>189</v>
      </c>
      <c r="I316" s="2">
        <v>0.91749999999999998</v>
      </c>
      <c r="J316" s="1">
        <v>17</v>
      </c>
      <c r="K316" s="3">
        <v>1.7361111111111112E-4</v>
      </c>
      <c r="L316" s="3">
        <v>1.6087962962962963E-3</v>
      </c>
      <c r="M316" s="3">
        <v>2.638888888888889E-3</v>
      </c>
      <c r="N316" s="2">
        <v>0.82830000000000004</v>
      </c>
      <c r="O316" s="5">
        <f t="shared" si="16"/>
        <v>0.30406250000000001</v>
      </c>
      <c r="P316" s="5">
        <f t="shared" si="17"/>
        <v>18.243750000000002</v>
      </c>
      <c r="Q316" s="5">
        <f t="shared" si="18"/>
        <v>0.33141203703703703</v>
      </c>
      <c r="R316" s="5">
        <f t="shared" si="19"/>
        <v>19.884722222222223</v>
      </c>
    </row>
    <row r="317" spans="1:18">
      <c r="A317" s="4">
        <v>44146</v>
      </c>
      <c r="B317" s="1" t="s">
        <v>18</v>
      </c>
      <c r="C317" s="1">
        <f t="shared" si="20"/>
        <v>11</v>
      </c>
      <c r="D317" s="1">
        <f t="shared" si="21"/>
        <v>11</v>
      </c>
      <c r="E317" s="1">
        <f t="shared" si="22"/>
        <v>2020</v>
      </c>
      <c r="F317" s="1">
        <v>316</v>
      </c>
      <c r="G317" s="1">
        <v>225</v>
      </c>
      <c r="H317" s="1">
        <v>200</v>
      </c>
      <c r="I317" s="2">
        <v>0.88890000000000002</v>
      </c>
      <c r="J317" s="1">
        <v>25</v>
      </c>
      <c r="K317" s="3">
        <v>2.4305555555555555E-4</v>
      </c>
      <c r="L317" s="3">
        <v>1.6319444444444445E-3</v>
      </c>
      <c r="M317" s="3">
        <v>3.2638888888888891E-3</v>
      </c>
      <c r="N317" s="2">
        <v>0.73109999999999997</v>
      </c>
      <c r="O317" s="5">
        <f t="shared" si="16"/>
        <v>0.3263888888888889</v>
      </c>
      <c r="P317" s="5">
        <f t="shared" si="17"/>
        <v>19.583333333333332</v>
      </c>
      <c r="Q317" s="5">
        <f t="shared" si="18"/>
        <v>0.3671875</v>
      </c>
      <c r="R317" s="5">
        <f t="shared" si="19"/>
        <v>22.03125</v>
      </c>
    </row>
    <row r="318" spans="1:18">
      <c r="A318" s="4">
        <v>44147</v>
      </c>
      <c r="B318" s="1" t="s">
        <v>19</v>
      </c>
      <c r="C318" s="1">
        <f t="shared" si="20"/>
        <v>11</v>
      </c>
      <c r="D318" s="1">
        <f t="shared" si="21"/>
        <v>12</v>
      </c>
      <c r="E318" s="1">
        <f t="shared" si="22"/>
        <v>2020</v>
      </c>
      <c r="F318" s="1">
        <v>317</v>
      </c>
      <c r="G318" s="1">
        <v>200</v>
      </c>
      <c r="H318" s="1">
        <v>193</v>
      </c>
      <c r="I318" s="2">
        <v>0.96499999999999997</v>
      </c>
      <c r="J318" s="1">
        <v>7</v>
      </c>
      <c r="K318" s="3">
        <v>1.9675925925925926E-4</v>
      </c>
      <c r="L318" s="3">
        <v>1.6550925925925926E-3</v>
      </c>
      <c r="M318" s="3">
        <v>2.5462962962962965E-3</v>
      </c>
      <c r="N318" s="2">
        <v>0.79290000000000005</v>
      </c>
      <c r="O318" s="5">
        <f t="shared" si="16"/>
        <v>0.31943287037037038</v>
      </c>
      <c r="P318" s="5">
        <f t="shared" si="17"/>
        <v>19.165972222222223</v>
      </c>
      <c r="Q318" s="5">
        <f t="shared" si="18"/>
        <v>0.33101851851851849</v>
      </c>
      <c r="R318" s="5">
        <f t="shared" si="19"/>
        <v>19.861111111111111</v>
      </c>
    </row>
    <row r="319" spans="1:18">
      <c r="A319" s="4">
        <v>44148</v>
      </c>
      <c r="B319" s="1" t="s">
        <v>20</v>
      </c>
      <c r="C319" s="1">
        <f t="shared" si="20"/>
        <v>11</v>
      </c>
      <c r="D319" s="1">
        <f t="shared" si="21"/>
        <v>13</v>
      </c>
      <c r="E319" s="1">
        <f t="shared" si="22"/>
        <v>2020</v>
      </c>
      <c r="F319" s="1">
        <v>318</v>
      </c>
      <c r="G319" s="1">
        <v>189</v>
      </c>
      <c r="H319" s="1">
        <v>179</v>
      </c>
      <c r="I319" s="2">
        <v>0.94710000000000005</v>
      </c>
      <c r="J319" s="1">
        <v>10</v>
      </c>
      <c r="K319" s="3">
        <v>2.5462962962962961E-4</v>
      </c>
      <c r="L319" s="3">
        <v>1.5046296296296296E-3</v>
      </c>
      <c r="M319" s="3">
        <v>4.6412037037037038E-3</v>
      </c>
      <c r="N319" s="2">
        <v>0.78069999999999995</v>
      </c>
      <c r="O319" s="5">
        <f t="shared" si="16"/>
        <v>0.26932870370370371</v>
      </c>
      <c r="P319" s="5">
        <f t="shared" si="17"/>
        <v>16.159722222222221</v>
      </c>
      <c r="Q319" s="5">
        <f t="shared" si="18"/>
        <v>0.28437499999999999</v>
      </c>
      <c r="R319" s="5">
        <f t="shared" si="19"/>
        <v>17.0625</v>
      </c>
    </row>
    <row r="320" spans="1:18">
      <c r="A320" s="4">
        <v>44149</v>
      </c>
      <c r="B320" s="1" t="s">
        <v>21</v>
      </c>
      <c r="C320" s="1">
        <f t="shared" si="20"/>
        <v>11</v>
      </c>
      <c r="D320" s="1">
        <f t="shared" si="21"/>
        <v>14</v>
      </c>
      <c r="E320" s="1">
        <f t="shared" si="22"/>
        <v>2020</v>
      </c>
      <c r="F320" s="1">
        <v>319</v>
      </c>
      <c r="G320" s="1">
        <v>169</v>
      </c>
      <c r="H320" s="1">
        <v>159</v>
      </c>
      <c r="I320" s="2">
        <v>0.94079999999999997</v>
      </c>
      <c r="J320" s="1">
        <v>10</v>
      </c>
      <c r="K320" s="3">
        <v>2.5462962962962961E-4</v>
      </c>
      <c r="L320" s="3">
        <v>1.6550925925925926E-3</v>
      </c>
      <c r="M320" s="3">
        <v>2.3842592592592591E-3</v>
      </c>
      <c r="N320" s="2">
        <v>0.73650000000000004</v>
      </c>
      <c r="O320" s="5">
        <f t="shared" si="16"/>
        <v>0.26315972222222223</v>
      </c>
      <c r="P320" s="5">
        <f t="shared" si="17"/>
        <v>15.789583333333333</v>
      </c>
      <c r="Q320" s="5">
        <f t="shared" si="18"/>
        <v>0.27971064814814817</v>
      </c>
      <c r="R320" s="5">
        <f t="shared" si="19"/>
        <v>16.78263888888889</v>
      </c>
    </row>
    <row r="321" spans="1:18">
      <c r="A321" s="4">
        <v>44150</v>
      </c>
      <c r="B321" s="1" t="s">
        <v>22</v>
      </c>
      <c r="C321" s="1">
        <f t="shared" si="20"/>
        <v>11</v>
      </c>
      <c r="D321" s="1">
        <f t="shared" si="21"/>
        <v>15</v>
      </c>
      <c r="E321" s="1">
        <f t="shared" si="22"/>
        <v>2020</v>
      </c>
      <c r="F321" s="1">
        <v>320</v>
      </c>
      <c r="G321" s="1">
        <v>41</v>
      </c>
      <c r="H321" s="1">
        <v>40</v>
      </c>
      <c r="I321" s="2">
        <v>0.97560000000000002</v>
      </c>
      <c r="J321" s="1">
        <v>1</v>
      </c>
      <c r="K321" s="3">
        <v>2.8935185185185184E-4</v>
      </c>
      <c r="L321" s="3">
        <v>1.7592592592592592E-3</v>
      </c>
      <c r="M321" s="3">
        <v>1.4467592592592592E-3</v>
      </c>
      <c r="N321" s="2">
        <v>0.68289999999999995</v>
      </c>
      <c r="O321" s="5">
        <f t="shared" si="16"/>
        <v>7.0370370370370375E-2</v>
      </c>
      <c r="P321" s="5">
        <f t="shared" si="17"/>
        <v>4.2222222222222223</v>
      </c>
      <c r="Q321" s="5">
        <f t="shared" si="18"/>
        <v>7.2129629629629627E-2</v>
      </c>
      <c r="R321" s="5">
        <f t="shared" si="19"/>
        <v>4.3277777777777775</v>
      </c>
    </row>
    <row r="322" spans="1:18">
      <c r="A322" s="4">
        <v>44151</v>
      </c>
      <c r="B322" s="1" t="s">
        <v>23</v>
      </c>
      <c r="C322" s="1">
        <f t="shared" si="20"/>
        <v>11</v>
      </c>
      <c r="D322" s="1">
        <f t="shared" si="21"/>
        <v>16</v>
      </c>
      <c r="E322" s="1">
        <f t="shared" si="22"/>
        <v>2020</v>
      </c>
      <c r="F322" s="1">
        <v>321</v>
      </c>
      <c r="G322" s="1">
        <v>218</v>
      </c>
      <c r="H322" s="1">
        <v>187</v>
      </c>
      <c r="I322" s="2">
        <v>0.85780000000000001</v>
      </c>
      <c r="J322" s="1">
        <v>31</v>
      </c>
      <c r="K322" s="3">
        <v>5.5555555555555556E-4</v>
      </c>
      <c r="L322" s="3">
        <v>1.5625000000000001E-3</v>
      </c>
      <c r="M322" s="3">
        <v>3.6226851851851854E-3</v>
      </c>
      <c r="N322" s="2">
        <v>0.52110000000000001</v>
      </c>
      <c r="O322" s="5">
        <f t="shared" si="16"/>
        <v>0.29218749999999999</v>
      </c>
      <c r="P322" s="5">
        <f t="shared" si="17"/>
        <v>17.53125</v>
      </c>
      <c r="Q322" s="5">
        <f t="shared" si="18"/>
        <v>0.34062500000000001</v>
      </c>
      <c r="R322" s="5">
        <f t="shared" si="19"/>
        <v>20.4375</v>
      </c>
    </row>
    <row r="323" spans="1:18">
      <c r="A323" s="4">
        <v>44152</v>
      </c>
      <c r="B323" s="1" t="s">
        <v>24</v>
      </c>
      <c r="C323" s="1">
        <f t="shared" ref="C323:C386" si="23">MONTH(A323)</f>
        <v>11</v>
      </c>
      <c r="D323" s="1">
        <f t="shared" ref="D323:D386" si="24">DAY(A323)</f>
        <v>17</v>
      </c>
      <c r="E323" s="1">
        <f t="shared" ref="E323:E386" si="25">YEAR(A323)</f>
        <v>2020</v>
      </c>
      <c r="F323" s="1">
        <v>322</v>
      </c>
      <c r="G323" s="1">
        <v>194</v>
      </c>
      <c r="H323" s="1">
        <v>185</v>
      </c>
      <c r="I323" s="2">
        <v>0.9536</v>
      </c>
      <c r="J323" s="1">
        <v>9</v>
      </c>
      <c r="K323" s="3">
        <v>2.4305555555555555E-4</v>
      </c>
      <c r="L323" s="3">
        <v>1.5046296296296296E-3</v>
      </c>
      <c r="M323" s="3">
        <v>1.9097222222222222E-3</v>
      </c>
      <c r="N323" s="2">
        <v>0.71579999999999999</v>
      </c>
      <c r="O323" s="5">
        <f t="shared" si="16"/>
        <v>0.27835648148148145</v>
      </c>
      <c r="P323" s="5">
        <f t="shared" si="17"/>
        <v>16.701388888888886</v>
      </c>
      <c r="Q323" s="5">
        <f t="shared" si="18"/>
        <v>0.29189814814814813</v>
      </c>
      <c r="R323" s="5">
        <f t="shared" si="19"/>
        <v>17.513888888888889</v>
      </c>
    </row>
    <row r="324" spans="1:18">
      <c r="A324" s="4">
        <v>44153</v>
      </c>
      <c r="B324" s="1" t="s">
        <v>18</v>
      </c>
      <c r="C324" s="1">
        <f t="shared" si="23"/>
        <v>11</v>
      </c>
      <c r="D324" s="1">
        <f t="shared" si="24"/>
        <v>18</v>
      </c>
      <c r="E324" s="1">
        <f t="shared" si="25"/>
        <v>2020</v>
      </c>
      <c r="F324" s="1">
        <v>323</v>
      </c>
      <c r="G324" s="1">
        <v>176</v>
      </c>
      <c r="H324" s="1">
        <v>172</v>
      </c>
      <c r="I324" s="2">
        <v>0.97729999999999995</v>
      </c>
      <c r="J324" s="1">
        <v>4</v>
      </c>
      <c r="K324" s="3">
        <v>1.8518518518518518E-4</v>
      </c>
      <c r="L324" s="3">
        <v>1.6203703703703703E-3</v>
      </c>
      <c r="M324" s="3">
        <v>1.5625000000000001E-3</v>
      </c>
      <c r="N324" s="2">
        <v>0.82079999999999997</v>
      </c>
      <c r="O324" s="5">
        <f t="shared" si="16"/>
        <v>0.27870370370370368</v>
      </c>
      <c r="P324" s="5">
        <f t="shared" si="17"/>
        <v>16.722222222222221</v>
      </c>
      <c r="Q324" s="5">
        <f t="shared" si="18"/>
        <v>0.28518518518518515</v>
      </c>
      <c r="R324" s="5">
        <f t="shared" si="19"/>
        <v>17.111111111111111</v>
      </c>
    </row>
    <row r="325" spans="1:18">
      <c r="A325" s="4">
        <v>44154</v>
      </c>
      <c r="B325" s="1" t="s">
        <v>19</v>
      </c>
      <c r="C325" s="1">
        <f t="shared" si="23"/>
        <v>11</v>
      </c>
      <c r="D325" s="1">
        <f t="shared" si="24"/>
        <v>19</v>
      </c>
      <c r="E325" s="1">
        <f t="shared" si="25"/>
        <v>2020</v>
      </c>
      <c r="F325" s="1">
        <v>324</v>
      </c>
      <c r="G325" s="1">
        <v>181</v>
      </c>
      <c r="H325" s="1">
        <v>179</v>
      </c>
      <c r="I325" s="2">
        <v>0.98899999999999999</v>
      </c>
      <c r="J325" s="1">
        <v>2</v>
      </c>
      <c r="K325" s="3">
        <v>2.0833333333333335E-4</v>
      </c>
      <c r="L325" s="3">
        <v>1.6319444444444445E-3</v>
      </c>
      <c r="M325" s="3">
        <v>1.5856481481481481E-3</v>
      </c>
      <c r="N325" s="2">
        <v>0.80559999999999998</v>
      </c>
      <c r="O325" s="5">
        <f t="shared" si="16"/>
        <v>0.29211805555555559</v>
      </c>
      <c r="P325" s="5">
        <f t="shared" si="17"/>
        <v>17.527083333333337</v>
      </c>
      <c r="Q325" s="5">
        <f t="shared" si="18"/>
        <v>0.29538194444444449</v>
      </c>
      <c r="R325" s="5">
        <f t="shared" si="19"/>
        <v>17.72291666666667</v>
      </c>
    </row>
    <row r="326" spans="1:18">
      <c r="A326" s="4">
        <v>44155</v>
      </c>
      <c r="B326" s="1" t="s">
        <v>20</v>
      </c>
      <c r="C326" s="1">
        <f t="shared" si="23"/>
        <v>11</v>
      </c>
      <c r="D326" s="1">
        <f t="shared" si="24"/>
        <v>20</v>
      </c>
      <c r="E326" s="1">
        <f t="shared" si="25"/>
        <v>2020</v>
      </c>
      <c r="F326" s="1">
        <v>325</v>
      </c>
      <c r="G326" s="1">
        <v>159</v>
      </c>
      <c r="H326" s="1">
        <v>151</v>
      </c>
      <c r="I326" s="2">
        <v>0.94969999999999999</v>
      </c>
      <c r="J326" s="1">
        <v>8</v>
      </c>
      <c r="K326" s="3">
        <v>3.3564814814814812E-4</v>
      </c>
      <c r="L326" s="3">
        <v>1.3773148148148147E-3</v>
      </c>
      <c r="M326" s="3">
        <v>2.5578703703703705E-3</v>
      </c>
      <c r="N326" s="2">
        <v>0.61009999999999998</v>
      </c>
      <c r="O326" s="5">
        <f t="shared" si="16"/>
        <v>0.20797453703703703</v>
      </c>
      <c r="P326" s="5">
        <f t="shared" si="17"/>
        <v>12.478472222222221</v>
      </c>
      <c r="Q326" s="5">
        <f t="shared" si="18"/>
        <v>0.21899305555555554</v>
      </c>
      <c r="R326" s="5">
        <f t="shared" si="19"/>
        <v>13.139583333333333</v>
      </c>
    </row>
    <row r="327" spans="1:18">
      <c r="A327" s="4">
        <v>44156</v>
      </c>
      <c r="B327" s="1" t="s">
        <v>21</v>
      </c>
      <c r="C327" s="1">
        <f t="shared" si="23"/>
        <v>11</v>
      </c>
      <c r="D327" s="1">
        <f t="shared" si="24"/>
        <v>21</v>
      </c>
      <c r="E327" s="1">
        <f t="shared" si="25"/>
        <v>2020</v>
      </c>
      <c r="F327" s="1">
        <v>326</v>
      </c>
      <c r="G327" s="1">
        <v>144</v>
      </c>
      <c r="H327" s="1">
        <v>135</v>
      </c>
      <c r="I327" s="2">
        <v>0.9375</v>
      </c>
      <c r="J327" s="1">
        <v>9</v>
      </c>
      <c r="K327" s="3">
        <v>2.7777777777777778E-4</v>
      </c>
      <c r="L327" s="3">
        <v>1.5277777777777779E-3</v>
      </c>
      <c r="M327" s="3">
        <v>4.4560185185185189E-3</v>
      </c>
      <c r="N327" s="2">
        <v>0.70630000000000004</v>
      </c>
      <c r="O327" s="5">
        <f t="shared" si="16"/>
        <v>0.20625000000000002</v>
      </c>
      <c r="P327" s="5">
        <f t="shared" si="17"/>
        <v>12.375000000000002</v>
      </c>
      <c r="Q327" s="5">
        <f t="shared" si="18"/>
        <v>0.22</v>
      </c>
      <c r="R327" s="5">
        <f t="shared" si="19"/>
        <v>13.2</v>
      </c>
    </row>
    <row r="328" spans="1:18">
      <c r="A328" s="4">
        <v>44157</v>
      </c>
      <c r="B328" s="1" t="s">
        <v>22</v>
      </c>
      <c r="C328" s="1">
        <f t="shared" si="23"/>
        <v>11</v>
      </c>
      <c r="D328" s="1">
        <f t="shared" si="24"/>
        <v>22</v>
      </c>
      <c r="E328" s="1">
        <f t="shared" si="25"/>
        <v>2020</v>
      </c>
      <c r="F328" s="1">
        <v>327</v>
      </c>
      <c r="G328" s="1">
        <v>30</v>
      </c>
      <c r="H328" s="1">
        <v>29</v>
      </c>
      <c r="I328" s="2">
        <v>0.9667</v>
      </c>
      <c r="J328" s="1">
        <v>1</v>
      </c>
      <c r="K328" s="3">
        <v>3.8194444444444446E-4</v>
      </c>
      <c r="L328" s="3">
        <v>2.0601851851851853E-3</v>
      </c>
      <c r="M328" s="3">
        <v>1.5740740740740741E-3</v>
      </c>
      <c r="N328" s="2">
        <v>0.6</v>
      </c>
      <c r="O328" s="5">
        <f t="shared" si="16"/>
        <v>5.9745370370370372E-2</v>
      </c>
      <c r="P328" s="5">
        <f t="shared" si="17"/>
        <v>3.5847222222222221</v>
      </c>
      <c r="Q328" s="5">
        <f t="shared" si="18"/>
        <v>6.1805555555555558E-2</v>
      </c>
      <c r="R328" s="5">
        <f t="shared" si="19"/>
        <v>3.7083333333333335</v>
      </c>
    </row>
    <row r="329" spans="1:18">
      <c r="A329" s="4">
        <v>44158</v>
      </c>
      <c r="B329" s="1" t="s">
        <v>23</v>
      </c>
      <c r="C329" s="1">
        <f t="shared" si="23"/>
        <v>11</v>
      </c>
      <c r="D329" s="1">
        <f t="shared" si="24"/>
        <v>23</v>
      </c>
      <c r="E329" s="1">
        <f t="shared" si="25"/>
        <v>2020</v>
      </c>
      <c r="F329" s="1">
        <v>328</v>
      </c>
      <c r="G329" s="1">
        <v>197</v>
      </c>
      <c r="H329" s="1">
        <v>185</v>
      </c>
      <c r="I329" s="2">
        <v>0.93910000000000005</v>
      </c>
      <c r="J329" s="1">
        <v>12</v>
      </c>
      <c r="K329" s="3">
        <v>2.7777777777777778E-4</v>
      </c>
      <c r="L329" s="3">
        <v>1.5972222222222223E-3</v>
      </c>
      <c r="M329" s="3">
        <v>1.6203703703703703E-3</v>
      </c>
      <c r="N329" s="2">
        <v>0.68230000000000002</v>
      </c>
      <c r="O329" s="5">
        <f t="shared" si="16"/>
        <v>0.29548611111111112</v>
      </c>
      <c r="P329" s="5">
        <f t="shared" si="17"/>
        <v>17.729166666666668</v>
      </c>
      <c r="Q329" s="5">
        <f t="shared" si="18"/>
        <v>0.31465277777777778</v>
      </c>
      <c r="R329" s="5">
        <f t="shared" si="19"/>
        <v>18.879166666666666</v>
      </c>
    </row>
    <row r="330" spans="1:18">
      <c r="A330" s="4">
        <v>44159</v>
      </c>
      <c r="B330" s="1" t="s">
        <v>24</v>
      </c>
      <c r="C330" s="1">
        <f t="shared" si="23"/>
        <v>11</v>
      </c>
      <c r="D330" s="1">
        <f t="shared" si="24"/>
        <v>24</v>
      </c>
      <c r="E330" s="1">
        <f t="shared" si="25"/>
        <v>2020</v>
      </c>
      <c r="F330" s="1">
        <v>329</v>
      </c>
      <c r="G330" s="1">
        <v>56</v>
      </c>
      <c r="H330" s="1">
        <v>47</v>
      </c>
      <c r="I330" s="2">
        <v>0.83930000000000005</v>
      </c>
      <c r="J330" s="1">
        <v>9</v>
      </c>
      <c r="K330" s="3">
        <v>2.7777777777777778E-4</v>
      </c>
      <c r="L330" s="3">
        <v>1.6435185185185185E-3</v>
      </c>
      <c r="M330" s="3">
        <v>1.9444444444444444E-3</v>
      </c>
      <c r="N330" s="2">
        <v>0.58930000000000005</v>
      </c>
      <c r="O330" s="5">
        <f t="shared" si="16"/>
        <v>7.7245370370370367E-2</v>
      </c>
      <c r="P330" s="5">
        <f t="shared" si="17"/>
        <v>4.634722222222222</v>
      </c>
      <c r="Q330" s="5">
        <f t="shared" si="18"/>
        <v>9.2037037037037042E-2</v>
      </c>
      <c r="R330" s="5">
        <f t="shared" si="19"/>
        <v>5.5222222222222221</v>
      </c>
    </row>
    <row r="331" spans="1:18">
      <c r="A331" s="4">
        <v>44160</v>
      </c>
      <c r="B331" s="1" t="s">
        <v>18</v>
      </c>
      <c r="C331" s="1">
        <f t="shared" si="23"/>
        <v>11</v>
      </c>
      <c r="D331" s="1">
        <f t="shared" si="24"/>
        <v>25</v>
      </c>
      <c r="E331" s="1">
        <f t="shared" si="25"/>
        <v>2020</v>
      </c>
      <c r="F331" s="1">
        <v>330</v>
      </c>
      <c r="G331" s="1">
        <v>182</v>
      </c>
      <c r="H331" s="1">
        <v>153</v>
      </c>
      <c r="I331" s="2">
        <v>0.8407</v>
      </c>
      <c r="J331" s="1">
        <v>29</v>
      </c>
      <c r="K331" s="3">
        <v>4.3981481481481481E-4</v>
      </c>
      <c r="L331" s="3">
        <v>1.5856481481481481E-3</v>
      </c>
      <c r="M331" s="3">
        <v>7.4189814814814813E-3</v>
      </c>
      <c r="N331" s="2">
        <v>0.53890000000000005</v>
      </c>
      <c r="O331" s="5">
        <f t="shared" si="16"/>
        <v>0.24260416666666665</v>
      </c>
      <c r="P331" s="5">
        <f t="shared" si="17"/>
        <v>14.556249999999999</v>
      </c>
      <c r="Q331" s="5">
        <f t="shared" si="18"/>
        <v>0.28858796296296296</v>
      </c>
      <c r="R331" s="5">
        <f t="shared" si="19"/>
        <v>17.315277777777776</v>
      </c>
    </row>
    <row r="332" spans="1:18">
      <c r="A332" s="4">
        <v>44161</v>
      </c>
      <c r="B332" s="1" t="s">
        <v>19</v>
      </c>
      <c r="C332" s="1">
        <f t="shared" si="23"/>
        <v>11</v>
      </c>
      <c r="D332" s="1">
        <f t="shared" si="24"/>
        <v>26</v>
      </c>
      <c r="E332" s="1">
        <f t="shared" si="25"/>
        <v>2020</v>
      </c>
      <c r="F332" s="1">
        <v>331</v>
      </c>
      <c r="G332" s="1">
        <v>178</v>
      </c>
      <c r="H332" s="1">
        <v>166</v>
      </c>
      <c r="I332" s="2">
        <v>0.93259999999999998</v>
      </c>
      <c r="J332" s="1">
        <v>12</v>
      </c>
      <c r="K332" s="3">
        <v>3.4722222222222224E-4</v>
      </c>
      <c r="L332" s="3">
        <v>1.6666666666666668E-3</v>
      </c>
      <c r="M332" s="3">
        <v>3.6111111111111109E-3</v>
      </c>
      <c r="N332" s="2">
        <v>0.62070000000000003</v>
      </c>
      <c r="O332" s="5">
        <f t="shared" si="16"/>
        <v>0.27666666666666667</v>
      </c>
      <c r="P332" s="5">
        <f t="shared" si="17"/>
        <v>16.600000000000001</v>
      </c>
      <c r="Q332" s="5">
        <f t="shared" si="18"/>
        <v>0.29666666666666669</v>
      </c>
      <c r="R332" s="5">
        <f t="shared" si="19"/>
        <v>17.8</v>
      </c>
    </row>
    <row r="333" spans="1:18">
      <c r="A333" s="4">
        <v>44162</v>
      </c>
      <c r="B333" s="1" t="s">
        <v>20</v>
      </c>
      <c r="C333" s="1">
        <f t="shared" si="23"/>
        <v>11</v>
      </c>
      <c r="D333" s="1">
        <f t="shared" si="24"/>
        <v>27</v>
      </c>
      <c r="E333" s="1">
        <f t="shared" si="25"/>
        <v>2020</v>
      </c>
      <c r="F333" s="1">
        <v>332</v>
      </c>
      <c r="G333" s="1">
        <v>183</v>
      </c>
      <c r="H333" s="1">
        <v>164</v>
      </c>
      <c r="I333" s="2">
        <v>0.8962</v>
      </c>
      <c r="J333" s="1">
        <v>19</v>
      </c>
      <c r="K333" s="3">
        <v>2.8935185185185184E-4</v>
      </c>
      <c r="L333" s="3">
        <v>1.4351851851851852E-3</v>
      </c>
      <c r="M333" s="3">
        <v>2.5462962962962965E-3</v>
      </c>
      <c r="N333" s="2">
        <v>0.65910000000000002</v>
      </c>
      <c r="O333" s="5">
        <f t="shared" si="16"/>
        <v>0.23537037037037037</v>
      </c>
      <c r="P333" s="5">
        <f t="shared" si="17"/>
        <v>14.122222222222222</v>
      </c>
      <c r="Q333" s="5">
        <f t="shared" si="18"/>
        <v>0.26263888888888887</v>
      </c>
      <c r="R333" s="5">
        <f t="shared" si="19"/>
        <v>15.758333333333333</v>
      </c>
    </row>
    <row r="334" spans="1:18">
      <c r="A334" s="4">
        <v>44163</v>
      </c>
      <c r="B334" s="1" t="s">
        <v>21</v>
      </c>
      <c r="C334" s="1">
        <f t="shared" si="23"/>
        <v>11</v>
      </c>
      <c r="D334" s="1">
        <f t="shared" si="24"/>
        <v>28</v>
      </c>
      <c r="E334" s="1">
        <f t="shared" si="25"/>
        <v>2020</v>
      </c>
      <c r="F334" s="1">
        <v>333</v>
      </c>
      <c r="G334" s="1">
        <v>197</v>
      </c>
      <c r="H334" s="1">
        <v>182</v>
      </c>
      <c r="I334" s="2">
        <v>0.92390000000000005</v>
      </c>
      <c r="J334" s="1">
        <v>15</v>
      </c>
      <c r="K334" s="3">
        <v>3.2407407407407406E-4</v>
      </c>
      <c r="L334" s="3">
        <v>1.6782407407407408E-3</v>
      </c>
      <c r="M334" s="3">
        <v>3.0092592592592593E-3</v>
      </c>
      <c r="N334" s="2">
        <v>0.64800000000000002</v>
      </c>
      <c r="O334" s="5">
        <f t="shared" si="16"/>
        <v>0.3054398148148148</v>
      </c>
      <c r="P334" s="5">
        <f t="shared" si="17"/>
        <v>18.326388888888889</v>
      </c>
      <c r="Q334" s="5">
        <f t="shared" si="18"/>
        <v>0.33061342592592591</v>
      </c>
      <c r="R334" s="5">
        <f t="shared" si="19"/>
        <v>19.836805555555554</v>
      </c>
    </row>
    <row r="335" spans="1:18">
      <c r="A335" s="4">
        <v>44164</v>
      </c>
      <c r="B335" s="1" t="s">
        <v>22</v>
      </c>
      <c r="C335" s="1">
        <f t="shared" si="23"/>
        <v>11</v>
      </c>
      <c r="D335" s="1">
        <f t="shared" si="24"/>
        <v>29</v>
      </c>
      <c r="E335" s="1">
        <f t="shared" si="25"/>
        <v>2020</v>
      </c>
      <c r="F335" s="1">
        <v>334</v>
      </c>
      <c r="G335" s="1">
        <v>60</v>
      </c>
      <c r="H335" s="1">
        <v>58</v>
      </c>
      <c r="I335" s="2">
        <v>0.9667</v>
      </c>
      <c r="J335" s="1">
        <v>2</v>
      </c>
      <c r="K335" s="3">
        <v>4.2824074074074075E-4</v>
      </c>
      <c r="L335" s="3">
        <v>1.8055555555555555E-3</v>
      </c>
      <c r="M335" s="3">
        <v>2.1990740740740742E-3</v>
      </c>
      <c r="N335" s="2">
        <v>0.54239999999999999</v>
      </c>
      <c r="O335" s="5">
        <f t="shared" si="16"/>
        <v>0.10472222222222222</v>
      </c>
      <c r="P335" s="5">
        <f t="shared" si="17"/>
        <v>6.2833333333333332</v>
      </c>
      <c r="Q335" s="5">
        <f t="shared" si="18"/>
        <v>0.10833333333333332</v>
      </c>
      <c r="R335" s="5">
        <f t="shared" si="19"/>
        <v>6.4999999999999991</v>
      </c>
    </row>
    <row r="336" spans="1:18">
      <c r="A336" s="4">
        <v>44165</v>
      </c>
      <c r="B336" s="1" t="s">
        <v>23</v>
      </c>
      <c r="C336" s="1">
        <f t="shared" si="23"/>
        <v>11</v>
      </c>
      <c r="D336" s="1">
        <f t="shared" si="24"/>
        <v>30</v>
      </c>
      <c r="E336" s="1">
        <f t="shared" si="25"/>
        <v>2020</v>
      </c>
      <c r="F336" s="1">
        <v>335</v>
      </c>
      <c r="G336" s="1">
        <v>241</v>
      </c>
      <c r="H336" s="1">
        <v>224</v>
      </c>
      <c r="I336" s="2">
        <v>0.92949999999999999</v>
      </c>
      <c r="J336" s="1">
        <v>17</v>
      </c>
      <c r="K336" s="3">
        <v>2.6620370370370372E-4</v>
      </c>
      <c r="L336" s="3">
        <v>1.6782407407407408E-3</v>
      </c>
      <c r="M336" s="3">
        <v>1.9097222222222222E-3</v>
      </c>
      <c r="N336" s="2">
        <v>0.7046</v>
      </c>
      <c r="O336" s="5">
        <f t="shared" si="16"/>
        <v>0.37592592592592594</v>
      </c>
      <c r="P336" s="5">
        <f t="shared" si="17"/>
        <v>22.555555555555557</v>
      </c>
      <c r="Q336" s="5">
        <f t="shared" si="18"/>
        <v>0.40445601851851853</v>
      </c>
      <c r="R336" s="5">
        <f t="shared" si="19"/>
        <v>24.267361111111111</v>
      </c>
    </row>
    <row r="337" spans="1:18">
      <c r="A337" s="4">
        <v>44166</v>
      </c>
      <c r="B337" s="1" t="s">
        <v>24</v>
      </c>
      <c r="C337" s="1">
        <f t="shared" si="23"/>
        <v>12</v>
      </c>
      <c r="D337" s="1">
        <f t="shared" si="24"/>
        <v>1</v>
      </c>
      <c r="E337" s="1">
        <f t="shared" si="25"/>
        <v>2020</v>
      </c>
      <c r="F337" s="1">
        <v>336</v>
      </c>
      <c r="G337" s="1">
        <v>307</v>
      </c>
      <c r="H337" s="1">
        <v>295</v>
      </c>
      <c r="I337" s="2">
        <v>0.96089999999999998</v>
      </c>
      <c r="J337" s="1">
        <v>12</v>
      </c>
      <c r="K337" s="3">
        <v>3.3564814814814812E-4</v>
      </c>
      <c r="L337" s="3">
        <v>1.5740740740740741E-3</v>
      </c>
      <c r="M337" s="3">
        <v>1.9097222222222222E-3</v>
      </c>
      <c r="N337" s="2">
        <v>0.60460000000000003</v>
      </c>
      <c r="O337" s="5">
        <f t="shared" si="16"/>
        <v>0.46435185185185185</v>
      </c>
      <c r="P337" s="5">
        <f t="shared" si="17"/>
        <v>27.861111111111111</v>
      </c>
      <c r="Q337" s="5">
        <f t="shared" si="18"/>
        <v>0.48324074074074075</v>
      </c>
      <c r="R337" s="5">
        <f t="shared" si="19"/>
        <v>28.994444444444444</v>
      </c>
    </row>
    <row r="338" spans="1:18">
      <c r="A338" s="4">
        <v>44167</v>
      </c>
      <c r="B338" s="1" t="s">
        <v>18</v>
      </c>
      <c r="C338" s="1">
        <f t="shared" si="23"/>
        <v>12</v>
      </c>
      <c r="D338" s="1">
        <f t="shared" si="24"/>
        <v>2</v>
      </c>
      <c r="E338" s="1">
        <f t="shared" si="25"/>
        <v>2020</v>
      </c>
      <c r="F338" s="1">
        <v>337</v>
      </c>
      <c r="G338" s="1">
        <v>295</v>
      </c>
      <c r="H338" s="1">
        <v>289</v>
      </c>
      <c r="I338" s="2">
        <v>0.97970000000000002</v>
      </c>
      <c r="J338" s="1">
        <v>6</v>
      </c>
      <c r="K338" s="3">
        <v>3.0092592592592595E-4</v>
      </c>
      <c r="L338" s="3">
        <v>1.6550925925925926E-3</v>
      </c>
      <c r="M338" s="3">
        <v>2.2106481481481482E-3</v>
      </c>
      <c r="N338" s="2">
        <v>0.70689999999999997</v>
      </c>
      <c r="O338" s="5">
        <f t="shared" si="16"/>
        <v>0.47832175925925924</v>
      </c>
      <c r="P338" s="5">
        <f t="shared" si="17"/>
        <v>28.699305555555554</v>
      </c>
      <c r="Q338" s="5">
        <f t="shared" si="18"/>
        <v>0.48825231481481479</v>
      </c>
      <c r="R338" s="5">
        <f t="shared" si="19"/>
        <v>29.295138888888886</v>
      </c>
    </row>
    <row r="339" spans="1:18">
      <c r="A339" s="4">
        <v>44168</v>
      </c>
      <c r="B339" s="1" t="s">
        <v>19</v>
      </c>
      <c r="C339" s="1">
        <f t="shared" si="23"/>
        <v>12</v>
      </c>
      <c r="D339" s="1">
        <f t="shared" si="24"/>
        <v>3</v>
      </c>
      <c r="E339" s="1">
        <f t="shared" si="25"/>
        <v>2020</v>
      </c>
      <c r="F339" s="1">
        <v>338</v>
      </c>
      <c r="G339" s="1">
        <v>239</v>
      </c>
      <c r="H339" s="1">
        <v>230</v>
      </c>
      <c r="I339" s="2">
        <v>0.96230000000000004</v>
      </c>
      <c r="J339" s="1">
        <v>9</v>
      </c>
      <c r="K339" s="3">
        <v>3.0092592592592595E-4</v>
      </c>
      <c r="L339" s="3">
        <v>1.5509259259259259E-3</v>
      </c>
      <c r="M339" s="3">
        <v>2.2453703703703702E-3</v>
      </c>
      <c r="N339" s="2">
        <v>0.68910000000000005</v>
      </c>
      <c r="O339" s="5">
        <f t="shared" si="16"/>
        <v>0.35671296296296295</v>
      </c>
      <c r="P339" s="5">
        <f t="shared" si="17"/>
        <v>21.402777777777779</v>
      </c>
      <c r="Q339" s="5">
        <f t="shared" si="18"/>
        <v>0.3706712962962963</v>
      </c>
      <c r="R339" s="5">
        <f t="shared" si="19"/>
        <v>22.240277777777777</v>
      </c>
    </row>
    <row r="340" spans="1:18">
      <c r="A340" s="4">
        <v>44169</v>
      </c>
      <c r="B340" s="1" t="s">
        <v>20</v>
      </c>
      <c r="C340" s="1">
        <f t="shared" si="23"/>
        <v>12</v>
      </c>
      <c r="D340" s="1">
        <f t="shared" si="24"/>
        <v>4</v>
      </c>
      <c r="E340" s="1">
        <f t="shared" si="25"/>
        <v>2020</v>
      </c>
      <c r="F340" s="1">
        <v>339</v>
      </c>
      <c r="G340" s="1">
        <v>241</v>
      </c>
      <c r="H340" s="1">
        <v>231</v>
      </c>
      <c r="I340" s="2">
        <v>0.95850000000000002</v>
      </c>
      <c r="J340" s="1">
        <v>10</v>
      </c>
      <c r="K340" s="3">
        <v>2.6620370370370372E-4</v>
      </c>
      <c r="L340" s="3">
        <v>1.6782407407407408E-3</v>
      </c>
      <c r="M340" s="3">
        <v>1.2962962962962963E-3</v>
      </c>
      <c r="N340" s="2">
        <v>0.72460000000000002</v>
      </c>
      <c r="O340" s="5">
        <f t="shared" si="16"/>
        <v>0.38767361111111109</v>
      </c>
      <c r="P340" s="5">
        <f t="shared" si="17"/>
        <v>23.260416666666664</v>
      </c>
      <c r="Q340" s="5">
        <f t="shared" si="18"/>
        <v>0.40445601851851853</v>
      </c>
      <c r="R340" s="5">
        <f t="shared" si="19"/>
        <v>24.267361111111111</v>
      </c>
    </row>
    <row r="341" spans="1:18">
      <c r="A341" s="4">
        <v>44170</v>
      </c>
      <c r="B341" s="1" t="s">
        <v>21</v>
      </c>
      <c r="C341" s="1">
        <f t="shared" si="23"/>
        <v>12</v>
      </c>
      <c r="D341" s="1">
        <f t="shared" si="24"/>
        <v>5</v>
      </c>
      <c r="E341" s="1">
        <f t="shared" si="25"/>
        <v>2020</v>
      </c>
      <c r="F341" s="1">
        <v>340</v>
      </c>
      <c r="G341" s="1">
        <v>211</v>
      </c>
      <c r="H341" s="1">
        <v>195</v>
      </c>
      <c r="I341" s="2">
        <v>0.92420000000000002</v>
      </c>
      <c r="J341" s="1">
        <v>16</v>
      </c>
      <c r="K341" s="3">
        <v>3.8194444444444446E-4</v>
      </c>
      <c r="L341" s="3">
        <v>1.8749999999999999E-3</v>
      </c>
      <c r="M341" s="3">
        <v>2.2685185185185187E-3</v>
      </c>
      <c r="N341" s="2">
        <v>0.52400000000000002</v>
      </c>
      <c r="O341" s="5">
        <f t="shared" si="16"/>
        <v>0.36562499999999998</v>
      </c>
      <c r="P341" s="5">
        <f t="shared" si="17"/>
        <v>21.9375</v>
      </c>
      <c r="Q341" s="5">
        <f t="shared" si="18"/>
        <v>0.395625</v>
      </c>
      <c r="R341" s="5">
        <f t="shared" si="19"/>
        <v>23.737500000000001</v>
      </c>
    </row>
    <row r="342" spans="1:18">
      <c r="A342" s="4">
        <v>44171</v>
      </c>
      <c r="B342" s="1" t="s">
        <v>22</v>
      </c>
      <c r="C342" s="1">
        <f t="shared" si="23"/>
        <v>12</v>
      </c>
      <c r="D342" s="1">
        <f t="shared" si="24"/>
        <v>6</v>
      </c>
      <c r="E342" s="1">
        <f t="shared" si="25"/>
        <v>2020</v>
      </c>
      <c r="F342" s="1">
        <v>341</v>
      </c>
      <c r="G342" s="1">
        <v>40</v>
      </c>
      <c r="H342" s="1">
        <v>35</v>
      </c>
      <c r="I342" s="2">
        <v>0.875</v>
      </c>
      <c r="J342" s="1">
        <v>5</v>
      </c>
      <c r="K342" s="3">
        <v>4.6296296296296298E-4</v>
      </c>
      <c r="L342" s="3">
        <v>1.7939814814814815E-3</v>
      </c>
      <c r="M342" s="3">
        <v>2.2222222222222222E-3</v>
      </c>
      <c r="N342" s="2">
        <v>0.47499999999999998</v>
      </c>
      <c r="O342" s="5">
        <f t="shared" si="16"/>
        <v>6.2789351851851846E-2</v>
      </c>
      <c r="P342" s="5">
        <f t="shared" si="17"/>
        <v>3.7673611111111107</v>
      </c>
      <c r="Q342" s="5">
        <f t="shared" si="18"/>
        <v>7.1759259259259259E-2</v>
      </c>
      <c r="R342" s="5">
        <f t="shared" si="19"/>
        <v>4.3055555555555554</v>
      </c>
    </row>
    <row r="343" spans="1:18">
      <c r="A343" s="4">
        <v>44172</v>
      </c>
      <c r="B343" s="1" t="s">
        <v>23</v>
      </c>
      <c r="C343" s="1">
        <f t="shared" si="23"/>
        <v>12</v>
      </c>
      <c r="D343" s="1">
        <f t="shared" si="24"/>
        <v>7</v>
      </c>
      <c r="E343" s="1">
        <f t="shared" si="25"/>
        <v>2020</v>
      </c>
      <c r="F343" s="1">
        <v>342</v>
      </c>
      <c r="G343" s="1">
        <v>192</v>
      </c>
      <c r="H343" s="1">
        <v>174</v>
      </c>
      <c r="I343" s="2">
        <v>0.90629999999999999</v>
      </c>
      <c r="J343" s="1">
        <v>18</v>
      </c>
      <c r="K343" s="3">
        <v>3.7037037037037035E-4</v>
      </c>
      <c r="L343" s="3">
        <v>1.5740740740740741E-3</v>
      </c>
      <c r="M343" s="3">
        <v>2.5462962962962965E-3</v>
      </c>
      <c r="N343" s="2">
        <v>0.55789999999999995</v>
      </c>
      <c r="O343" s="5">
        <f t="shared" si="16"/>
        <v>0.2738888888888889</v>
      </c>
      <c r="P343" s="5">
        <f t="shared" si="17"/>
        <v>16.433333333333334</v>
      </c>
      <c r="Q343" s="5">
        <f t="shared" si="18"/>
        <v>0.30222222222222223</v>
      </c>
      <c r="R343" s="5">
        <f t="shared" si="19"/>
        <v>18.133333333333333</v>
      </c>
    </row>
    <row r="344" spans="1:18">
      <c r="A344" s="4">
        <v>44173</v>
      </c>
      <c r="B344" s="1" t="s">
        <v>24</v>
      </c>
      <c r="C344" s="1">
        <f t="shared" si="23"/>
        <v>12</v>
      </c>
      <c r="D344" s="1">
        <f t="shared" si="24"/>
        <v>8</v>
      </c>
      <c r="E344" s="1">
        <f t="shared" si="25"/>
        <v>2020</v>
      </c>
      <c r="F344" s="1">
        <v>343</v>
      </c>
      <c r="G344" s="1">
        <v>201</v>
      </c>
      <c r="H344" s="1">
        <v>179</v>
      </c>
      <c r="I344" s="2">
        <v>0.89049999999999996</v>
      </c>
      <c r="J344" s="1">
        <v>22</v>
      </c>
      <c r="K344" s="3">
        <v>4.0509259259259258E-4</v>
      </c>
      <c r="L344" s="3">
        <v>1.5972222222222223E-3</v>
      </c>
      <c r="M344" s="3">
        <v>2.5462962962962965E-3</v>
      </c>
      <c r="N344" s="2">
        <v>0.57289999999999996</v>
      </c>
      <c r="O344" s="5">
        <f t="shared" si="16"/>
        <v>0.28590277777777778</v>
      </c>
      <c r="P344" s="5">
        <f t="shared" si="17"/>
        <v>17.154166666666669</v>
      </c>
      <c r="Q344" s="5">
        <f t="shared" si="18"/>
        <v>0.32104166666666667</v>
      </c>
      <c r="R344" s="5">
        <f t="shared" si="19"/>
        <v>19.262499999999999</v>
      </c>
    </row>
    <row r="345" spans="1:18">
      <c r="A345" s="4">
        <v>44174</v>
      </c>
      <c r="B345" s="1" t="s">
        <v>18</v>
      </c>
      <c r="C345" s="1">
        <f t="shared" si="23"/>
        <v>12</v>
      </c>
      <c r="D345" s="1">
        <f t="shared" si="24"/>
        <v>9</v>
      </c>
      <c r="E345" s="1">
        <f t="shared" si="25"/>
        <v>2020</v>
      </c>
      <c r="F345" s="1">
        <v>344</v>
      </c>
      <c r="G345" s="1">
        <v>274</v>
      </c>
      <c r="H345" s="1">
        <v>247</v>
      </c>
      <c r="I345" s="2">
        <v>0.90149999999999997</v>
      </c>
      <c r="J345" s="1">
        <v>27</v>
      </c>
      <c r="K345" s="3">
        <v>3.2407407407407406E-4</v>
      </c>
      <c r="L345" s="3">
        <v>1.5046296296296296E-3</v>
      </c>
      <c r="M345" s="3">
        <v>2.8240740740740739E-3</v>
      </c>
      <c r="N345" s="2">
        <v>0.63939999999999997</v>
      </c>
      <c r="O345" s="5">
        <f t="shared" si="16"/>
        <v>0.37164351851851851</v>
      </c>
      <c r="P345" s="5">
        <f t="shared" si="17"/>
        <v>22.298611111111111</v>
      </c>
      <c r="Q345" s="5">
        <f t="shared" si="18"/>
        <v>0.41226851851851853</v>
      </c>
      <c r="R345" s="5">
        <f t="shared" si="19"/>
        <v>24.736111111111111</v>
      </c>
    </row>
    <row r="346" spans="1:18">
      <c r="A346" s="4">
        <v>44175</v>
      </c>
      <c r="B346" s="1" t="s">
        <v>19</v>
      </c>
      <c r="C346" s="1">
        <f t="shared" si="23"/>
        <v>12</v>
      </c>
      <c r="D346" s="1">
        <f t="shared" si="24"/>
        <v>10</v>
      </c>
      <c r="E346" s="1">
        <f t="shared" si="25"/>
        <v>2020</v>
      </c>
      <c r="F346" s="1">
        <v>345</v>
      </c>
      <c r="G346" s="1">
        <v>205</v>
      </c>
      <c r="H346" s="1">
        <v>176</v>
      </c>
      <c r="I346" s="2">
        <v>0.85850000000000004</v>
      </c>
      <c r="J346" s="1">
        <v>29</v>
      </c>
      <c r="K346" s="3">
        <v>4.7453703703703704E-4</v>
      </c>
      <c r="L346" s="3">
        <v>1.5740740740740741E-3</v>
      </c>
      <c r="M346" s="3">
        <v>3.5995370370370369E-3</v>
      </c>
      <c r="N346" s="2">
        <v>0.46229999999999999</v>
      </c>
      <c r="O346" s="5">
        <f t="shared" si="16"/>
        <v>0.27703703703703703</v>
      </c>
      <c r="P346" s="5">
        <f t="shared" si="17"/>
        <v>16.62222222222222</v>
      </c>
      <c r="Q346" s="5">
        <f t="shared" si="18"/>
        <v>0.32268518518518519</v>
      </c>
      <c r="R346" s="5">
        <f t="shared" si="19"/>
        <v>19.361111111111111</v>
      </c>
    </row>
    <row r="347" spans="1:18">
      <c r="A347" s="4">
        <v>44176</v>
      </c>
      <c r="B347" s="1" t="s">
        <v>20</v>
      </c>
      <c r="C347" s="1">
        <f t="shared" si="23"/>
        <v>12</v>
      </c>
      <c r="D347" s="1">
        <f t="shared" si="24"/>
        <v>11</v>
      </c>
      <c r="E347" s="1">
        <f t="shared" si="25"/>
        <v>2020</v>
      </c>
      <c r="F347" s="1">
        <v>346</v>
      </c>
      <c r="G347" s="1">
        <v>177</v>
      </c>
      <c r="H347" s="1">
        <v>160</v>
      </c>
      <c r="I347" s="2">
        <v>0.90400000000000003</v>
      </c>
      <c r="J347" s="1">
        <v>17</v>
      </c>
      <c r="K347" s="3">
        <v>3.2407407407407406E-4</v>
      </c>
      <c r="L347" s="3">
        <v>1.6203703703703703E-3</v>
      </c>
      <c r="M347" s="3">
        <v>2.7662037037037039E-3</v>
      </c>
      <c r="N347" s="2">
        <v>0.59199999999999997</v>
      </c>
      <c r="O347" s="5">
        <f t="shared" si="16"/>
        <v>0.25925925925925924</v>
      </c>
      <c r="P347" s="5">
        <f t="shared" si="17"/>
        <v>15.555555555555555</v>
      </c>
      <c r="Q347" s="5">
        <f t="shared" si="18"/>
        <v>0.28680555555555554</v>
      </c>
      <c r="R347" s="5">
        <f t="shared" si="19"/>
        <v>17.208333333333332</v>
      </c>
    </row>
    <row r="348" spans="1:18">
      <c r="A348" s="4">
        <v>44177</v>
      </c>
      <c r="B348" s="1" t="s">
        <v>21</v>
      </c>
      <c r="C348" s="1">
        <f t="shared" si="23"/>
        <v>12</v>
      </c>
      <c r="D348" s="1">
        <f t="shared" si="24"/>
        <v>12</v>
      </c>
      <c r="E348" s="1">
        <f t="shared" si="25"/>
        <v>2020</v>
      </c>
      <c r="F348" s="1">
        <v>347</v>
      </c>
      <c r="G348" s="1">
        <v>159</v>
      </c>
      <c r="H348" s="1">
        <v>151</v>
      </c>
      <c r="I348" s="2">
        <v>0.94969999999999999</v>
      </c>
      <c r="J348" s="1">
        <v>8</v>
      </c>
      <c r="K348" s="3">
        <v>2.5462962962962961E-4</v>
      </c>
      <c r="L348" s="3">
        <v>1.4814814814814814E-3</v>
      </c>
      <c r="M348" s="3">
        <v>5.115740740740741E-3</v>
      </c>
      <c r="N348" s="2">
        <v>0.73250000000000004</v>
      </c>
      <c r="O348" s="5">
        <f t="shared" si="16"/>
        <v>0.22370370370370368</v>
      </c>
      <c r="P348" s="5">
        <f t="shared" si="17"/>
        <v>13.422222222222221</v>
      </c>
      <c r="Q348" s="5">
        <f t="shared" si="18"/>
        <v>0.23555555555555555</v>
      </c>
      <c r="R348" s="5">
        <f t="shared" si="19"/>
        <v>14.133333333333333</v>
      </c>
    </row>
    <row r="349" spans="1:18">
      <c r="A349" s="4">
        <v>44178</v>
      </c>
      <c r="B349" s="1" t="s">
        <v>22</v>
      </c>
      <c r="C349" s="1">
        <f t="shared" si="23"/>
        <v>12</v>
      </c>
      <c r="D349" s="1">
        <f t="shared" si="24"/>
        <v>13</v>
      </c>
      <c r="E349" s="1">
        <f t="shared" si="25"/>
        <v>2020</v>
      </c>
      <c r="F349" s="1">
        <v>348</v>
      </c>
      <c r="G349" s="1">
        <v>33</v>
      </c>
      <c r="H349" s="1">
        <v>28</v>
      </c>
      <c r="I349" s="2">
        <v>0.84850000000000003</v>
      </c>
      <c r="J349" s="1">
        <v>5</v>
      </c>
      <c r="K349" s="3">
        <v>1.5046296296296297E-4</v>
      </c>
      <c r="L349" s="3">
        <v>1.736111111111111E-3</v>
      </c>
      <c r="M349" s="3">
        <v>7.1759259259259259E-4</v>
      </c>
      <c r="N349" s="2">
        <v>0.66669999999999996</v>
      </c>
      <c r="O349" s="5">
        <f t="shared" si="16"/>
        <v>4.8611111111111105E-2</v>
      </c>
      <c r="P349" s="5">
        <f t="shared" si="17"/>
        <v>2.9166666666666661</v>
      </c>
      <c r="Q349" s="5">
        <f t="shared" si="18"/>
        <v>5.7291666666666664E-2</v>
      </c>
      <c r="R349" s="5">
        <f t="shared" si="19"/>
        <v>3.4375</v>
      </c>
    </row>
    <row r="350" spans="1:18">
      <c r="A350" s="4">
        <v>44179</v>
      </c>
      <c r="B350" s="1" t="s">
        <v>23</v>
      </c>
      <c r="C350" s="1">
        <f t="shared" si="23"/>
        <v>12</v>
      </c>
      <c r="D350" s="1">
        <f t="shared" si="24"/>
        <v>14</v>
      </c>
      <c r="E350" s="1">
        <f t="shared" si="25"/>
        <v>2020</v>
      </c>
      <c r="F350" s="1">
        <v>349</v>
      </c>
      <c r="G350" s="1">
        <v>228</v>
      </c>
      <c r="H350" s="1">
        <v>210</v>
      </c>
      <c r="I350" s="2">
        <v>0.92110000000000003</v>
      </c>
      <c r="J350" s="1">
        <v>18</v>
      </c>
      <c r="K350" s="3">
        <v>2.6620370370370372E-4</v>
      </c>
      <c r="L350" s="3">
        <v>1.4814814814814814E-3</v>
      </c>
      <c r="M350" s="3">
        <v>2.1875000000000002E-3</v>
      </c>
      <c r="N350" s="2">
        <v>0.66669999999999996</v>
      </c>
      <c r="O350" s="5">
        <f t="shared" si="16"/>
        <v>0.31111111111111112</v>
      </c>
      <c r="P350" s="5">
        <f t="shared" si="17"/>
        <v>18.666666666666668</v>
      </c>
      <c r="Q350" s="5">
        <f t="shared" si="18"/>
        <v>0.33777777777777779</v>
      </c>
      <c r="R350" s="5">
        <f t="shared" si="19"/>
        <v>20.266666666666666</v>
      </c>
    </row>
    <row r="351" spans="1:18">
      <c r="A351" s="4">
        <v>44180</v>
      </c>
      <c r="B351" s="1" t="s">
        <v>24</v>
      </c>
      <c r="C351" s="1">
        <f t="shared" si="23"/>
        <v>12</v>
      </c>
      <c r="D351" s="1">
        <f t="shared" si="24"/>
        <v>15</v>
      </c>
      <c r="E351" s="1">
        <f t="shared" si="25"/>
        <v>2020</v>
      </c>
      <c r="F351" s="1">
        <v>350</v>
      </c>
      <c r="G351" s="1">
        <v>177</v>
      </c>
      <c r="H351" s="1">
        <v>172</v>
      </c>
      <c r="I351" s="2">
        <v>0.9718</v>
      </c>
      <c r="J351" s="1">
        <v>5</v>
      </c>
      <c r="K351" s="3">
        <v>2.8935185185185184E-4</v>
      </c>
      <c r="L351" s="3">
        <v>1.5625000000000001E-3</v>
      </c>
      <c r="M351" s="3">
        <v>1.9907407407407408E-3</v>
      </c>
      <c r="N351" s="2">
        <v>0.69140000000000001</v>
      </c>
      <c r="O351" s="5">
        <f t="shared" si="16"/>
        <v>0.26874999999999999</v>
      </c>
      <c r="P351" s="5">
        <f t="shared" si="17"/>
        <v>16.125</v>
      </c>
      <c r="Q351" s="5">
        <f t="shared" si="18"/>
        <v>0.27656249999999999</v>
      </c>
      <c r="R351" s="5">
        <f t="shared" si="19"/>
        <v>16.59375</v>
      </c>
    </row>
    <row r="352" spans="1:18">
      <c r="A352" s="4">
        <v>44181</v>
      </c>
      <c r="B352" s="1" t="s">
        <v>18</v>
      </c>
      <c r="C352" s="1">
        <f t="shared" si="23"/>
        <v>12</v>
      </c>
      <c r="D352" s="1">
        <f t="shared" si="24"/>
        <v>16</v>
      </c>
      <c r="E352" s="1">
        <f t="shared" si="25"/>
        <v>2020</v>
      </c>
      <c r="F352" s="1">
        <v>351</v>
      </c>
      <c r="G352" s="1">
        <v>197</v>
      </c>
      <c r="H352" s="1">
        <v>169</v>
      </c>
      <c r="I352" s="2">
        <v>0.8579</v>
      </c>
      <c r="J352" s="1">
        <v>28</v>
      </c>
      <c r="K352" s="3">
        <v>3.9351851851851852E-4</v>
      </c>
      <c r="L352" s="3">
        <v>1.736111111111111E-3</v>
      </c>
      <c r="M352" s="3">
        <v>5.3356481481481484E-3</v>
      </c>
      <c r="N352" s="2">
        <v>0.55669999999999997</v>
      </c>
      <c r="O352" s="5">
        <f t="shared" si="16"/>
        <v>0.29340277777777773</v>
      </c>
      <c r="P352" s="5">
        <f t="shared" si="17"/>
        <v>17.604166666666664</v>
      </c>
      <c r="Q352" s="5">
        <f t="shared" si="18"/>
        <v>0.3420138888888889</v>
      </c>
      <c r="R352" s="5">
        <f t="shared" si="19"/>
        <v>20.520833333333332</v>
      </c>
    </row>
    <row r="353" spans="1:18">
      <c r="A353" s="4">
        <v>44182</v>
      </c>
      <c r="B353" s="1" t="s">
        <v>19</v>
      </c>
      <c r="C353" s="1">
        <f t="shared" si="23"/>
        <v>12</v>
      </c>
      <c r="D353" s="1">
        <f t="shared" si="24"/>
        <v>17</v>
      </c>
      <c r="E353" s="1">
        <f t="shared" si="25"/>
        <v>2020</v>
      </c>
      <c r="F353" s="1">
        <v>352</v>
      </c>
      <c r="G353" s="1">
        <v>721</v>
      </c>
      <c r="H353" s="1">
        <v>616</v>
      </c>
      <c r="I353" s="2">
        <v>0.85440000000000005</v>
      </c>
      <c r="J353" s="1">
        <v>105</v>
      </c>
      <c r="K353" s="3">
        <v>6.5972222222222224E-4</v>
      </c>
      <c r="L353" s="3">
        <v>1.3310185185185185E-3</v>
      </c>
      <c r="M353" s="3">
        <v>4.0277777777777777E-3</v>
      </c>
      <c r="N353" s="2">
        <v>0.28310000000000002</v>
      </c>
      <c r="O353" s="5">
        <f t="shared" si="16"/>
        <v>0.81990740740740742</v>
      </c>
      <c r="P353" s="5">
        <f t="shared" si="17"/>
        <v>49.194444444444443</v>
      </c>
      <c r="Q353" s="5">
        <f t="shared" si="18"/>
        <v>0.95966435185185184</v>
      </c>
      <c r="R353" s="5">
        <f t="shared" si="19"/>
        <v>57.579861111111107</v>
      </c>
    </row>
    <row r="354" spans="1:18">
      <c r="A354" s="4">
        <v>44183</v>
      </c>
      <c r="B354" s="1" t="s">
        <v>20</v>
      </c>
      <c r="C354" s="1">
        <f t="shared" si="23"/>
        <v>12</v>
      </c>
      <c r="D354" s="1">
        <f t="shared" si="24"/>
        <v>18</v>
      </c>
      <c r="E354" s="1">
        <f t="shared" si="25"/>
        <v>2020</v>
      </c>
      <c r="F354" s="1">
        <v>353</v>
      </c>
      <c r="G354" s="1">
        <v>301</v>
      </c>
      <c r="H354" s="1">
        <v>270</v>
      </c>
      <c r="I354" s="2">
        <v>0.89700000000000002</v>
      </c>
      <c r="J354" s="1">
        <v>31</v>
      </c>
      <c r="K354" s="3">
        <v>4.861111111111111E-4</v>
      </c>
      <c r="L354" s="3">
        <v>1.4467592592592592E-3</v>
      </c>
      <c r="M354" s="3">
        <v>7.013888888888889E-3</v>
      </c>
      <c r="N354" s="2">
        <v>0.42470000000000002</v>
      </c>
      <c r="O354" s="5">
        <f t="shared" si="16"/>
        <v>0.390625</v>
      </c>
      <c r="P354" s="5">
        <f t="shared" si="17"/>
        <v>23.4375</v>
      </c>
      <c r="Q354" s="5">
        <f t="shared" si="18"/>
        <v>0.43547453703703703</v>
      </c>
      <c r="R354" s="5">
        <f t="shared" si="19"/>
        <v>26.128472222222221</v>
      </c>
    </row>
    <row r="355" spans="1:18">
      <c r="A355" s="4">
        <v>44184</v>
      </c>
      <c r="B355" s="1" t="s">
        <v>21</v>
      </c>
      <c r="C355" s="1">
        <f t="shared" si="23"/>
        <v>12</v>
      </c>
      <c r="D355" s="1">
        <f t="shared" si="24"/>
        <v>19</v>
      </c>
      <c r="E355" s="1">
        <f t="shared" si="25"/>
        <v>2020</v>
      </c>
      <c r="F355" s="1">
        <v>354</v>
      </c>
      <c r="G355" s="1">
        <v>179</v>
      </c>
      <c r="H355" s="1">
        <v>175</v>
      </c>
      <c r="I355" s="2">
        <v>0.97770000000000001</v>
      </c>
      <c r="J355" s="1">
        <v>4</v>
      </c>
      <c r="K355" s="3">
        <v>2.7777777777777778E-4</v>
      </c>
      <c r="L355" s="3">
        <v>1.6319444444444445E-3</v>
      </c>
      <c r="M355" s="3">
        <v>2.2222222222222222E-3</v>
      </c>
      <c r="N355" s="2">
        <v>0.71350000000000002</v>
      </c>
      <c r="O355" s="5">
        <f t="shared" si="16"/>
        <v>0.28559027777777779</v>
      </c>
      <c r="P355" s="5">
        <f t="shared" si="17"/>
        <v>17.135416666666668</v>
      </c>
      <c r="Q355" s="5">
        <f t="shared" si="18"/>
        <v>0.29211805555555559</v>
      </c>
      <c r="R355" s="5">
        <f t="shared" si="19"/>
        <v>17.527083333333337</v>
      </c>
    </row>
    <row r="356" spans="1:18">
      <c r="A356" s="4">
        <v>44185</v>
      </c>
      <c r="B356" s="1" t="s">
        <v>22</v>
      </c>
      <c r="C356" s="1">
        <f t="shared" si="23"/>
        <v>12</v>
      </c>
      <c r="D356" s="1">
        <f t="shared" si="24"/>
        <v>20</v>
      </c>
      <c r="E356" s="1">
        <f t="shared" si="25"/>
        <v>2020</v>
      </c>
      <c r="F356" s="1">
        <v>355</v>
      </c>
      <c r="G356" s="1">
        <v>45</v>
      </c>
      <c r="H356" s="1">
        <v>45</v>
      </c>
      <c r="I356" s="2">
        <v>1</v>
      </c>
      <c r="J356" s="1">
        <v>0</v>
      </c>
      <c r="K356" s="3">
        <v>1.8518518518518518E-4</v>
      </c>
      <c r="L356" s="3">
        <v>1.5162037037037036E-3</v>
      </c>
      <c r="M356" s="3">
        <v>2.3263888888888887E-3</v>
      </c>
      <c r="N356" s="2">
        <v>0.86670000000000003</v>
      </c>
      <c r="O356" s="5">
        <f t="shared" si="16"/>
        <v>6.822916666666666E-2</v>
      </c>
      <c r="P356" s="5">
        <f t="shared" si="17"/>
        <v>4.09375</v>
      </c>
      <c r="Q356" s="5">
        <f t="shared" si="18"/>
        <v>6.822916666666666E-2</v>
      </c>
      <c r="R356" s="5">
        <f t="shared" si="19"/>
        <v>4.09375</v>
      </c>
    </row>
    <row r="357" spans="1:18">
      <c r="A357" s="4">
        <v>44186</v>
      </c>
      <c r="B357" s="1" t="s">
        <v>23</v>
      </c>
      <c r="C357" s="1">
        <f t="shared" si="23"/>
        <v>12</v>
      </c>
      <c r="D357" s="1">
        <f t="shared" si="24"/>
        <v>21</v>
      </c>
      <c r="E357" s="1">
        <f t="shared" si="25"/>
        <v>2020</v>
      </c>
      <c r="F357" s="1">
        <v>356</v>
      </c>
      <c r="G357" s="1">
        <v>180</v>
      </c>
      <c r="H357" s="1">
        <v>164</v>
      </c>
      <c r="I357" s="2">
        <v>0.91110000000000002</v>
      </c>
      <c r="J357" s="1">
        <v>16</v>
      </c>
      <c r="K357" s="3">
        <v>2.8935185185185184E-4</v>
      </c>
      <c r="L357" s="3">
        <v>1.6435185185185185E-3</v>
      </c>
      <c r="M357" s="3">
        <v>1.2731481481481483E-3</v>
      </c>
      <c r="N357" s="2">
        <v>0.61799999999999999</v>
      </c>
      <c r="O357" s="5">
        <f t="shared" si="16"/>
        <v>0.26953703703703702</v>
      </c>
      <c r="P357" s="5">
        <f t="shared" si="17"/>
        <v>16.172222222222221</v>
      </c>
      <c r="Q357" s="5">
        <f t="shared" si="18"/>
        <v>0.29583333333333334</v>
      </c>
      <c r="R357" s="5">
        <f t="shared" si="19"/>
        <v>17.75</v>
      </c>
    </row>
    <row r="358" spans="1:18">
      <c r="A358" s="4">
        <v>44187</v>
      </c>
      <c r="B358" s="1" t="s">
        <v>24</v>
      </c>
      <c r="C358" s="1">
        <f t="shared" si="23"/>
        <v>12</v>
      </c>
      <c r="D358" s="1">
        <f t="shared" si="24"/>
        <v>22</v>
      </c>
      <c r="E358" s="1">
        <f t="shared" si="25"/>
        <v>2020</v>
      </c>
      <c r="F358" s="1">
        <v>357</v>
      </c>
      <c r="G358" s="1">
        <v>206</v>
      </c>
      <c r="H358" s="1">
        <v>200</v>
      </c>
      <c r="I358" s="2">
        <v>0.97089999999999999</v>
      </c>
      <c r="J358" s="1">
        <v>6</v>
      </c>
      <c r="K358" s="3">
        <v>2.5462962962962961E-4</v>
      </c>
      <c r="L358" s="3">
        <v>1.6087962962962963E-3</v>
      </c>
      <c r="M358" s="3">
        <v>1.4699074074074074E-3</v>
      </c>
      <c r="N358" s="2">
        <v>0.74629999999999996</v>
      </c>
      <c r="O358" s="5">
        <f t="shared" si="16"/>
        <v>0.32175925925925924</v>
      </c>
      <c r="P358" s="5">
        <f t="shared" si="17"/>
        <v>19.305555555555554</v>
      </c>
      <c r="Q358" s="5">
        <f t="shared" si="18"/>
        <v>0.33141203703703703</v>
      </c>
      <c r="R358" s="5">
        <f t="shared" si="19"/>
        <v>19.884722222222223</v>
      </c>
    </row>
    <row r="359" spans="1:18">
      <c r="A359" s="4">
        <v>44188</v>
      </c>
      <c r="B359" s="1" t="s">
        <v>18</v>
      </c>
      <c r="C359" s="1">
        <f t="shared" si="23"/>
        <v>12</v>
      </c>
      <c r="D359" s="1">
        <f t="shared" si="24"/>
        <v>23</v>
      </c>
      <c r="E359" s="1">
        <f t="shared" si="25"/>
        <v>2020</v>
      </c>
      <c r="F359" s="1">
        <v>358</v>
      </c>
      <c r="G359" s="1">
        <v>187</v>
      </c>
      <c r="H359" s="1">
        <v>181</v>
      </c>
      <c r="I359" s="2">
        <v>0.96789999999999998</v>
      </c>
      <c r="J359" s="1">
        <v>6</v>
      </c>
      <c r="K359" s="3">
        <v>3.7037037037037035E-4</v>
      </c>
      <c r="L359" s="3">
        <v>1.736111111111111E-3</v>
      </c>
      <c r="M359" s="3">
        <v>2.7083333333333334E-3</v>
      </c>
      <c r="N359" s="2">
        <v>0.627</v>
      </c>
      <c r="O359" s="5">
        <f t="shared" si="16"/>
        <v>0.3142361111111111</v>
      </c>
      <c r="P359" s="5">
        <f t="shared" si="17"/>
        <v>18.854166666666668</v>
      </c>
      <c r="Q359" s="5">
        <f t="shared" si="18"/>
        <v>0.32465277777777773</v>
      </c>
      <c r="R359" s="5">
        <f t="shared" si="19"/>
        <v>19.479166666666664</v>
      </c>
    </row>
    <row r="360" spans="1:18">
      <c r="A360" s="4">
        <v>44189</v>
      </c>
      <c r="B360" s="1" t="s">
        <v>19</v>
      </c>
      <c r="C360" s="1">
        <f t="shared" si="23"/>
        <v>12</v>
      </c>
      <c r="D360" s="1">
        <f t="shared" si="24"/>
        <v>24</v>
      </c>
      <c r="E360" s="1">
        <f t="shared" si="25"/>
        <v>2020</v>
      </c>
      <c r="F360" s="1">
        <v>359</v>
      </c>
      <c r="G360" s="1">
        <v>186</v>
      </c>
      <c r="H360" s="1">
        <v>177</v>
      </c>
      <c r="I360" s="2">
        <v>0.9516</v>
      </c>
      <c r="J360" s="1">
        <v>9</v>
      </c>
      <c r="K360" s="3">
        <v>3.2407407407407406E-4</v>
      </c>
      <c r="L360" s="3">
        <v>1.6435185185185185E-3</v>
      </c>
      <c r="M360" s="3">
        <v>3.8194444444444443E-3</v>
      </c>
      <c r="N360" s="2">
        <v>0.67930000000000001</v>
      </c>
      <c r="O360" s="5">
        <f t="shared" si="16"/>
        <v>0.29090277777777779</v>
      </c>
      <c r="P360" s="5">
        <f t="shared" si="17"/>
        <v>17.454166666666666</v>
      </c>
      <c r="Q360" s="5">
        <f t="shared" si="18"/>
        <v>0.30569444444444444</v>
      </c>
      <c r="R360" s="5">
        <f t="shared" si="19"/>
        <v>18.341666666666665</v>
      </c>
    </row>
    <row r="361" spans="1:18">
      <c r="A361" s="4">
        <v>44190</v>
      </c>
      <c r="B361" s="1" t="s">
        <v>20</v>
      </c>
      <c r="C361" s="1">
        <f t="shared" si="23"/>
        <v>12</v>
      </c>
      <c r="D361" s="1">
        <f t="shared" si="24"/>
        <v>25</v>
      </c>
      <c r="E361" s="1">
        <f t="shared" si="25"/>
        <v>2020</v>
      </c>
      <c r="F361" s="1">
        <v>360</v>
      </c>
      <c r="G361" s="1">
        <v>189</v>
      </c>
      <c r="H361" s="1">
        <v>180</v>
      </c>
      <c r="I361" s="2">
        <v>0.95240000000000002</v>
      </c>
      <c r="J361" s="1">
        <v>9</v>
      </c>
      <c r="K361" s="3">
        <v>4.0509259259259258E-4</v>
      </c>
      <c r="L361" s="3">
        <v>1.5625000000000001E-3</v>
      </c>
      <c r="M361" s="3">
        <v>2.3611111111111111E-3</v>
      </c>
      <c r="N361" s="2">
        <v>0.5645</v>
      </c>
      <c r="O361" s="5">
        <f t="shared" si="16"/>
        <v>0.28125</v>
      </c>
      <c r="P361" s="5">
        <f t="shared" si="17"/>
        <v>16.875</v>
      </c>
      <c r="Q361" s="5">
        <f t="shared" si="18"/>
        <v>0.29531250000000003</v>
      </c>
      <c r="R361" s="5">
        <f t="shared" si="19"/>
        <v>17.718750000000004</v>
      </c>
    </row>
    <row r="362" spans="1:18">
      <c r="A362" s="4">
        <v>44191</v>
      </c>
      <c r="B362" s="1" t="s">
        <v>21</v>
      </c>
      <c r="C362" s="1">
        <f t="shared" si="23"/>
        <v>12</v>
      </c>
      <c r="D362" s="1">
        <f t="shared" si="24"/>
        <v>26</v>
      </c>
      <c r="E362" s="1">
        <f t="shared" si="25"/>
        <v>2020</v>
      </c>
      <c r="F362" s="1">
        <v>361</v>
      </c>
      <c r="G362" s="1">
        <v>127</v>
      </c>
      <c r="H362" s="1">
        <v>116</v>
      </c>
      <c r="I362" s="2">
        <v>0.91339999999999999</v>
      </c>
      <c r="J362" s="1">
        <v>11</v>
      </c>
      <c r="K362" s="3">
        <v>3.9351851851851852E-4</v>
      </c>
      <c r="L362" s="3">
        <v>1.6782407407407408E-3</v>
      </c>
      <c r="M362" s="3">
        <v>1.9212962962962964E-3</v>
      </c>
      <c r="N362" s="2">
        <v>0.5645</v>
      </c>
      <c r="O362" s="5">
        <f t="shared" si="16"/>
        <v>0.19467592592592592</v>
      </c>
      <c r="P362" s="5">
        <f t="shared" si="17"/>
        <v>11.680555555555555</v>
      </c>
      <c r="Q362" s="5">
        <f t="shared" si="18"/>
        <v>0.21313657407407408</v>
      </c>
      <c r="R362" s="5">
        <f t="shared" si="19"/>
        <v>12.788194444444445</v>
      </c>
    </row>
    <row r="363" spans="1:18">
      <c r="A363" s="4">
        <v>44192</v>
      </c>
      <c r="B363" s="1" t="s">
        <v>22</v>
      </c>
      <c r="C363" s="1">
        <f t="shared" si="23"/>
        <v>12</v>
      </c>
      <c r="D363" s="1">
        <f t="shared" si="24"/>
        <v>27</v>
      </c>
      <c r="E363" s="1">
        <f t="shared" si="25"/>
        <v>2020</v>
      </c>
      <c r="F363" s="1">
        <v>362</v>
      </c>
      <c r="G363" s="1">
        <v>93</v>
      </c>
      <c r="H363" s="1">
        <v>90</v>
      </c>
      <c r="I363" s="2">
        <v>0.9677</v>
      </c>
      <c r="J363" s="1">
        <v>3</v>
      </c>
      <c r="K363" s="3">
        <v>3.0092592592592595E-4</v>
      </c>
      <c r="L363" s="3">
        <v>1.3541666666666667E-3</v>
      </c>
      <c r="M363" s="3">
        <v>2.0486111111111113E-3</v>
      </c>
      <c r="N363" s="2">
        <v>0.63439999999999996</v>
      </c>
      <c r="O363" s="5">
        <f t="shared" si="16"/>
        <v>0.12187500000000001</v>
      </c>
      <c r="P363" s="5">
        <f t="shared" si="17"/>
        <v>7.3125000000000009</v>
      </c>
      <c r="Q363" s="5">
        <f t="shared" si="18"/>
        <v>0.12593750000000001</v>
      </c>
      <c r="R363" s="5">
        <f t="shared" si="19"/>
        <v>7.5562500000000004</v>
      </c>
    </row>
    <row r="364" spans="1:18">
      <c r="A364" s="4">
        <v>44193</v>
      </c>
      <c r="B364" s="1" t="s">
        <v>23</v>
      </c>
      <c r="C364" s="1">
        <f t="shared" si="23"/>
        <v>12</v>
      </c>
      <c r="D364" s="1">
        <f t="shared" si="24"/>
        <v>28</v>
      </c>
      <c r="E364" s="1">
        <f t="shared" si="25"/>
        <v>2020</v>
      </c>
      <c r="F364" s="1">
        <v>363</v>
      </c>
      <c r="G364" s="1">
        <v>328</v>
      </c>
      <c r="H364" s="1">
        <v>292</v>
      </c>
      <c r="I364" s="2">
        <v>0.89019999999999999</v>
      </c>
      <c r="J364" s="1">
        <v>36</v>
      </c>
      <c r="K364" s="3">
        <v>4.2824074074074075E-4</v>
      </c>
      <c r="L364" s="3">
        <v>1.5856481481481481E-3</v>
      </c>
      <c r="M364" s="3">
        <v>4.4560185185185189E-3</v>
      </c>
      <c r="N364" s="2">
        <v>0.49680000000000002</v>
      </c>
      <c r="O364" s="5">
        <f t="shared" si="16"/>
        <v>0.46300925925925923</v>
      </c>
      <c r="P364" s="5">
        <f t="shared" si="17"/>
        <v>27.780555555555555</v>
      </c>
      <c r="Q364" s="5">
        <f t="shared" si="18"/>
        <v>0.52009259259259255</v>
      </c>
      <c r="R364" s="5">
        <f t="shared" si="19"/>
        <v>31.205555555555552</v>
      </c>
    </row>
    <row r="365" spans="1:18">
      <c r="A365" s="4">
        <v>44194</v>
      </c>
      <c r="B365" s="1" t="s">
        <v>24</v>
      </c>
      <c r="C365" s="1">
        <f t="shared" si="23"/>
        <v>12</v>
      </c>
      <c r="D365" s="1">
        <f t="shared" si="24"/>
        <v>29</v>
      </c>
      <c r="E365" s="1">
        <f t="shared" si="25"/>
        <v>2020</v>
      </c>
      <c r="F365" s="1">
        <v>364</v>
      </c>
      <c r="G365" s="1">
        <v>238</v>
      </c>
      <c r="H365" s="1">
        <v>223</v>
      </c>
      <c r="I365" s="2">
        <v>0.93700000000000006</v>
      </c>
      <c r="J365" s="1">
        <v>15</v>
      </c>
      <c r="K365" s="3">
        <v>3.8194444444444446E-4</v>
      </c>
      <c r="L365" s="3">
        <v>1.6550925925925926E-3</v>
      </c>
      <c r="M365" s="3">
        <v>2.5462962962962965E-3</v>
      </c>
      <c r="N365" s="2">
        <v>0.59230000000000005</v>
      </c>
      <c r="O365" s="5">
        <f t="shared" si="16"/>
        <v>0.36908564814814815</v>
      </c>
      <c r="P365" s="5">
        <f t="shared" si="17"/>
        <v>22.145138888888887</v>
      </c>
      <c r="Q365" s="5">
        <f t="shared" si="18"/>
        <v>0.39391203703703703</v>
      </c>
      <c r="R365" s="5">
        <f t="shared" si="19"/>
        <v>23.634722222222223</v>
      </c>
    </row>
    <row r="366" spans="1:18">
      <c r="A366" s="4">
        <v>44195</v>
      </c>
      <c r="B366" s="1" t="s">
        <v>18</v>
      </c>
      <c r="C366" s="1">
        <f t="shared" si="23"/>
        <v>12</v>
      </c>
      <c r="D366" s="1">
        <f t="shared" si="24"/>
        <v>30</v>
      </c>
      <c r="E366" s="1">
        <f t="shared" si="25"/>
        <v>2020</v>
      </c>
      <c r="F366" s="1">
        <v>365</v>
      </c>
      <c r="G366" s="1">
        <v>237</v>
      </c>
      <c r="H366" s="1">
        <v>222</v>
      </c>
      <c r="I366" s="2">
        <v>0.93669999999999998</v>
      </c>
      <c r="J366" s="1">
        <v>15</v>
      </c>
      <c r="K366" s="3">
        <v>3.9351851851851852E-4</v>
      </c>
      <c r="L366" s="3">
        <v>1.6666666666666668E-3</v>
      </c>
      <c r="M366" s="3">
        <v>1.9907407407407408E-3</v>
      </c>
      <c r="N366" s="2">
        <v>0.53849999999999998</v>
      </c>
      <c r="O366" s="5">
        <f t="shared" si="16"/>
        <v>0.37000000000000005</v>
      </c>
      <c r="P366" s="5">
        <f t="shared" si="17"/>
        <v>22.200000000000003</v>
      </c>
      <c r="Q366" s="5">
        <f t="shared" si="18"/>
        <v>0.39500000000000002</v>
      </c>
      <c r="R366" s="5">
        <f t="shared" si="19"/>
        <v>23.700000000000003</v>
      </c>
    </row>
    <row r="367" spans="1:18">
      <c r="A367" s="4">
        <v>44196</v>
      </c>
      <c r="B367" s="1" t="s">
        <v>19</v>
      </c>
      <c r="C367" s="1">
        <f t="shared" si="23"/>
        <v>12</v>
      </c>
      <c r="D367" s="1">
        <f t="shared" si="24"/>
        <v>31</v>
      </c>
      <c r="E367" s="1">
        <f t="shared" si="25"/>
        <v>2020</v>
      </c>
      <c r="F367" s="1">
        <v>366</v>
      </c>
      <c r="G367" s="1">
        <v>257</v>
      </c>
      <c r="H367" s="1">
        <v>235</v>
      </c>
      <c r="I367" s="2">
        <v>0.91439999999999999</v>
      </c>
      <c r="J367" s="1">
        <v>22</v>
      </c>
      <c r="K367" s="3">
        <v>5.2083333333333333E-4</v>
      </c>
      <c r="L367" s="3">
        <v>1.7476851851851852E-3</v>
      </c>
      <c r="M367" s="3">
        <v>3.0555555555555557E-3</v>
      </c>
      <c r="N367" s="2">
        <v>0.4466</v>
      </c>
      <c r="O367" s="5">
        <f t="shared" si="16"/>
        <v>0.41070601851851851</v>
      </c>
      <c r="P367" s="5">
        <f t="shared" si="17"/>
        <v>24.642361111111111</v>
      </c>
      <c r="Q367" s="5">
        <f t="shared" si="18"/>
        <v>0.44915509259259262</v>
      </c>
      <c r="R367" s="5">
        <f t="shared" si="19"/>
        <v>26.949305555555558</v>
      </c>
    </row>
    <row r="368" spans="1:18">
      <c r="A368" s="4">
        <v>44197</v>
      </c>
      <c r="B368" s="1" t="s">
        <v>20</v>
      </c>
      <c r="C368" s="1">
        <f t="shared" si="23"/>
        <v>1</v>
      </c>
      <c r="D368" s="1">
        <f t="shared" si="24"/>
        <v>1</v>
      </c>
      <c r="E368" s="1">
        <f t="shared" si="25"/>
        <v>2021</v>
      </c>
      <c r="F368" s="1">
        <v>367</v>
      </c>
      <c r="G368" s="1">
        <v>238</v>
      </c>
      <c r="H368" s="1">
        <v>223</v>
      </c>
      <c r="I368" s="2">
        <v>0.93700000000000006</v>
      </c>
      <c r="J368" s="1">
        <v>15</v>
      </c>
      <c r="K368" s="3">
        <v>3.7037037037037035E-4</v>
      </c>
      <c r="L368" s="3">
        <v>1.5856481481481481E-3</v>
      </c>
      <c r="M368" s="3">
        <v>2.3379629629629631E-3</v>
      </c>
      <c r="N368" s="2">
        <v>0.54700000000000004</v>
      </c>
      <c r="O368" s="5">
        <f t="shared" si="16"/>
        <v>0.353599537037037</v>
      </c>
      <c r="P368" s="5">
        <f t="shared" si="17"/>
        <v>21.21597222222222</v>
      </c>
      <c r="Q368" s="5">
        <f t="shared" si="18"/>
        <v>0.37738425925925922</v>
      </c>
      <c r="R368" s="5">
        <f t="shared" si="19"/>
        <v>22.643055555555552</v>
      </c>
    </row>
    <row r="369" spans="1:18">
      <c r="A369" s="4">
        <v>44198</v>
      </c>
      <c r="B369" s="1" t="s">
        <v>21</v>
      </c>
      <c r="C369" s="1">
        <f t="shared" si="23"/>
        <v>1</v>
      </c>
      <c r="D369" s="1">
        <f t="shared" si="24"/>
        <v>2</v>
      </c>
      <c r="E369" s="1">
        <f t="shared" si="25"/>
        <v>2021</v>
      </c>
      <c r="F369" s="1">
        <v>368</v>
      </c>
      <c r="G369" s="1">
        <v>199</v>
      </c>
      <c r="H369" s="1">
        <v>164</v>
      </c>
      <c r="I369" s="2">
        <v>0.82410000000000005</v>
      </c>
      <c r="J369" s="1">
        <v>35</v>
      </c>
      <c r="K369" s="3">
        <v>3.7037037037037035E-4</v>
      </c>
      <c r="L369" s="3">
        <v>1.5393518518518519E-3</v>
      </c>
      <c r="M369" s="3">
        <v>4.8148148148148152E-3</v>
      </c>
      <c r="N369" s="2">
        <v>0.59179999999999999</v>
      </c>
      <c r="O369" s="5">
        <f t="shared" si="16"/>
        <v>0.25245370370370368</v>
      </c>
      <c r="P369" s="5">
        <f t="shared" si="17"/>
        <v>15.14722222222222</v>
      </c>
      <c r="Q369" s="5">
        <f t="shared" si="18"/>
        <v>0.30633101851851852</v>
      </c>
      <c r="R369" s="5">
        <f t="shared" si="19"/>
        <v>18.379861111111111</v>
      </c>
    </row>
    <row r="370" spans="1:18">
      <c r="A370" s="4">
        <v>44199</v>
      </c>
      <c r="B370" s="1" t="s">
        <v>22</v>
      </c>
      <c r="C370" s="1">
        <f t="shared" si="23"/>
        <v>1</v>
      </c>
      <c r="D370" s="1">
        <f t="shared" si="24"/>
        <v>3</v>
      </c>
      <c r="E370" s="1">
        <f t="shared" si="25"/>
        <v>2021</v>
      </c>
      <c r="F370" s="1">
        <v>369</v>
      </c>
      <c r="G370" s="1">
        <v>30</v>
      </c>
      <c r="H370" s="1">
        <v>27</v>
      </c>
      <c r="I370" s="2">
        <v>0.9</v>
      </c>
      <c r="J370" s="1">
        <v>3</v>
      </c>
      <c r="K370" s="3">
        <v>3.7037037037037035E-4</v>
      </c>
      <c r="L370" s="3">
        <v>1.7824074074074075E-3</v>
      </c>
      <c r="M370" s="3">
        <v>1.8171296296296297E-3</v>
      </c>
      <c r="N370" s="2">
        <v>0.60709999999999997</v>
      </c>
      <c r="O370" s="5">
        <f t="shared" si="16"/>
        <v>4.8125000000000001E-2</v>
      </c>
      <c r="P370" s="5">
        <f t="shared" si="17"/>
        <v>2.8875000000000002</v>
      </c>
      <c r="Q370" s="5">
        <f t="shared" si="18"/>
        <v>5.3472222222222227E-2</v>
      </c>
      <c r="R370" s="5">
        <f t="shared" si="19"/>
        <v>3.2083333333333335</v>
      </c>
    </row>
    <row r="371" spans="1:18">
      <c r="A371" s="4">
        <v>44200</v>
      </c>
      <c r="B371" s="1" t="s">
        <v>23</v>
      </c>
      <c r="C371" s="1">
        <f t="shared" si="23"/>
        <v>1</v>
      </c>
      <c r="D371" s="1">
        <f t="shared" si="24"/>
        <v>4</v>
      </c>
      <c r="E371" s="1">
        <f t="shared" si="25"/>
        <v>2021</v>
      </c>
      <c r="F371" s="1">
        <v>370</v>
      </c>
      <c r="G371" s="1">
        <v>176</v>
      </c>
      <c r="H371" s="1">
        <v>163</v>
      </c>
      <c r="I371" s="2">
        <v>0.92610000000000003</v>
      </c>
      <c r="J371" s="1">
        <v>13</v>
      </c>
      <c r="K371" s="3">
        <v>4.3981481481481481E-4</v>
      </c>
      <c r="L371" s="3">
        <v>1.4467592592592592E-3</v>
      </c>
      <c r="M371" s="3">
        <v>3.8194444444444443E-3</v>
      </c>
      <c r="N371" s="2">
        <v>0.54290000000000005</v>
      </c>
      <c r="O371" s="5">
        <f t="shared" si="16"/>
        <v>0.23582175925925924</v>
      </c>
      <c r="P371" s="5">
        <f t="shared" si="17"/>
        <v>14.149305555555555</v>
      </c>
      <c r="Q371" s="5">
        <f t="shared" si="18"/>
        <v>0.25462962962962959</v>
      </c>
      <c r="R371" s="5">
        <f t="shared" si="19"/>
        <v>15.277777777777775</v>
      </c>
    </row>
    <row r="372" spans="1:18">
      <c r="A372" s="4">
        <v>44201</v>
      </c>
      <c r="B372" s="1" t="s">
        <v>24</v>
      </c>
      <c r="C372" s="1">
        <f t="shared" si="23"/>
        <v>1</v>
      </c>
      <c r="D372" s="1">
        <f t="shared" si="24"/>
        <v>5</v>
      </c>
      <c r="E372" s="1">
        <f t="shared" si="25"/>
        <v>2021</v>
      </c>
      <c r="F372" s="1">
        <v>371</v>
      </c>
      <c r="G372" s="1">
        <v>162</v>
      </c>
      <c r="H372" s="1">
        <v>144</v>
      </c>
      <c r="I372" s="2">
        <v>0.88890000000000002</v>
      </c>
      <c r="J372" s="1">
        <v>18</v>
      </c>
      <c r="K372" s="3">
        <v>4.7453703703703704E-4</v>
      </c>
      <c r="L372" s="3">
        <v>1.6782407407407408E-3</v>
      </c>
      <c r="M372" s="3">
        <v>2.5462962962962965E-3</v>
      </c>
      <c r="N372" s="2">
        <v>0.50309999999999999</v>
      </c>
      <c r="O372" s="5">
        <f t="shared" si="16"/>
        <v>0.24166666666666667</v>
      </c>
      <c r="P372" s="5">
        <f t="shared" si="17"/>
        <v>14.5</v>
      </c>
      <c r="Q372" s="5">
        <f t="shared" si="18"/>
        <v>0.27187500000000003</v>
      </c>
      <c r="R372" s="5">
        <f t="shared" si="19"/>
        <v>16.312500000000004</v>
      </c>
    </row>
    <row r="373" spans="1:18">
      <c r="A373" s="4">
        <v>44202</v>
      </c>
      <c r="B373" s="1" t="s">
        <v>18</v>
      </c>
      <c r="C373" s="1">
        <f t="shared" si="23"/>
        <v>1</v>
      </c>
      <c r="D373" s="1">
        <f t="shared" si="24"/>
        <v>6</v>
      </c>
      <c r="E373" s="1">
        <f t="shared" si="25"/>
        <v>2021</v>
      </c>
      <c r="F373" s="1">
        <v>372</v>
      </c>
      <c r="G373" s="1">
        <v>169</v>
      </c>
      <c r="H373" s="1">
        <v>157</v>
      </c>
      <c r="I373" s="2">
        <v>0.92900000000000005</v>
      </c>
      <c r="J373" s="1">
        <v>12</v>
      </c>
      <c r="K373" s="3">
        <v>3.3564814814814812E-4</v>
      </c>
      <c r="L373" s="3">
        <v>1.724537037037037E-3</v>
      </c>
      <c r="M373" s="3">
        <v>1.3425925925925925E-3</v>
      </c>
      <c r="N373" s="2">
        <v>0.53890000000000005</v>
      </c>
      <c r="O373" s="5">
        <f t="shared" si="16"/>
        <v>0.27075231481481482</v>
      </c>
      <c r="P373" s="5">
        <f t="shared" si="17"/>
        <v>16.245138888888889</v>
      </c>
      <c r="Q373" s="5">
        <f t="shared" si="18"/>
        <v>0.29144675925925928</v>
      </c>
      <c r="R373" s="5">
        <f t="shared" si="19"/>
        <v>17.486805555555556</v>
      </c>
    </row>
    <row r="374" spans="1:18">
      <c r="A374" s="4">
        <v>44203</v>
      </c>
      <c r="B374" s="1" t="s">
        <v>19</v>
      </c>
      <c r="C374" s="1">
        <f t="shared" si="23"/>
        <v>1</v>
      </c>
      <c r="D374" s="1">
        <f t="shared" si="24"/>
        <v>7</v>
      </c>
      <c r="E374" s="1">
        <f t="shared" si="25"/>
        <v>2021</v>
      </c>
      <c r="F374" s="1">
        <v>373</v>
      </c>
      <c r="G374" s="1">
        <v>155</v>
      </c>
      <c r="H374" s="1">
        <v>146</v>
      </c>
      <c r="I374" s="2">
        <v>0.94189999999999996</v>
      </c>
      <c r="J374" s="1">
        <v>9</v>
      </c>
      <c r="K374" s="3">
        <v>3.4722222222222224E-4</v>
      </c>
      <c r="L374" s="3">
        <v>1.5972222222222223E-3</v>
      </c>
      <c r="M374" s="3">
        <v>2.1990740740740742E-3</v>
      </c>
      <c r="N374" s="2">
        <v>0.50980000000000003</v>
      </c>
      <c r="O374" s="5">
        <f t="shared" si="16"/>
        <v>0.23319444444444445</v>
      </c>
      <c r="P374" s="5">
        <f t="shared" si="17"/>
        <v>13.991666666666667</v>
      </c>
      <c r="Q374" s="5">
        <f t="shared" si="18"/>
        <v>0.24756944444444445</v>
      </c>
      <c r="R374" s="5">
        <f t="shared" si="19"/>
        <v>14.854166666666668</v>
      </c>
    </row>
    <row r="375" spans="1:18">
      <c r="A375" s="4">
        <v>44204</v>
      </c>
      <c r="B375" s="1" t="s">
        <v>20</v>
      </c>
      <c r="C375" s="1">
        <f t="shared" si="23"/>
        <v>1</v>
      </c>
      <c r="D375" s="1">
        <f t="shared" si="24"/>
        <v>8</v>
      </c>
      <c r="E375" s="1">
        <f t="shared" si="25"/>
        <v>2021</v>
      </c>
      <c r="F375" s="1">
        <v>374</v>
      </c>
      <c r="G375" s="1">
        <v>247</v>
      </c>
      <c r="H375" s="1">
        <v>205</v>
      </c>
      <c r="I375" s="2">
        <v>0.83</v>
      </c>
      <c r="J375" s="1">
        <v>42</v>
      </c>
      <c r="K375" s="3">
        <v>5.6712962962962967E-4</v>
      </c>
      <c r="L375" s="3">
        <v>1.6898148148148148E-3</v>
      </c>
      <c r="M375" s="3">
        <v>5.2777777777777779E-3</v>
      </c>
      <c r="N375" s="2">
        <v>0.38490000000000002</v>
      </c>
      <c r="O375" s="5">
        <f t="shared" si="16"/>
        <v>0.34641203703703705</v>
      </c>
      <c r="P375" s="5">
        <f t="shared" si="17"/>
        <v>20.784722222222221</v>
      </c>
      <c r="Q375" s="5">
        <f t="shared" si="18"/>
        <v>0.41738425925925926</v>
      </c>
      <c r="R375" s="5">
        <f t="shared" si="19"/>
        <v>25.043055555555554</v>
      </c>
    </row>
    <row r="376" spans="1:18">
      <c r="A376" s="4">
        <v>44205</v>
      </c>
      <c r="B376" s="1" t="s">
        <v>21</v>
      </c>
      <c r="C376" s="1">
        <f t="shared" si="23"/>
        <v>1</v>
      </c>
      <c r="D376" s="1">
        <f t="shared" si="24"/>
        <v>9</v>
      </c>
      <c r="E376" s="1">
        <f t="shared" si="25"/>
        <v>2021</v>
      </c>
      <c r="F376" s="1">
        <v>375</v>
      </c>
      <c r="G376" s="1">
        <v>191</v>
      </c>
      <c r="H376" s="1">
        <v>186</v>
      </c>
      <c r="I376" s="2">
        <v>0.9738</v>
      </c>
      <c r="J376" s="1">
        <v>5</v>
      </c>
      <c r="K376" s="3">
        <v>2.7777777777777778E-4</v>
      </c>
      <c r="L376" s="3">
        <v>1.5509259259259259E-3</v>
      </c>
      <c r="M376" s="3">
        <v>1.3194444444444445E-3</v>
      </c>
      <c r="N376" s="2">
        <v>0.70530000000000004</v>
      </c>
      <c r="O376" s="5">
        <f t="shared" si="16"/>
        <v>0.28847222222222219</v>
      </c>
      <c r="P376" s="5">
        <f t="shared" si="17"/>
        <v>17.30833333333333</v>
      </c>
      <c r="Q376" s="5">
        <f t="shared" si="18"/>
        <v>0.29622685185185182</v>
      </c>
      <c r="R376" s="5">
        <f t="shared" si="19"/>
        <v>17.773611111111109</v>
      </c>
    </row>
    <row r="377" spans="1:18">
      <c r="A377" s="4">
        <v>44206</v>
      </c>
      <c r="B377" s="1" t="s">
        <v>22</v>
      </c>
      <c r="C377" s="1">
        <f t="shared" si="23"/>
        <v>1</v>
      </c>
      <c r="D377" s="1">
        <f t="shared" si="24"/>
        <v>10</v>
      </c>
      <c r="E377" s="1">
        <f t="shared" si="25"/>
        <v>2021</v>
      </c>
      <c r="F377" s="1">
        <v>376</v>
      </c>
      <c r="G377" s="1">
        <v>30</v>
      </c>
      <c r="H377" s="1">
        <v>29</v>
      </c>
      <c r="I377" s="2">
        <v>0.9667</v>
      </c>
      <c r="J377" s="1">
        <v>1</v>
      </c>
      <c r="K377" s="3">
        <v>6.9444444444444444E-5</v>
      </c>
      <c r="L377" s="3">
        <v>1.5625000000000001E-3</v>
      </c>
      <c r="M377" s="3">
        <v>5.3240740740740744E-4</v>
      </c>
      <c r="N377" s="2">
        <v>0.93330000000000002</v>
      </c>
      <c r="O377" s="5">
        <f t="shared" si="16"/>
        <v>4.5312500000000006E-2</v>
      </c>
      <c r="P377" s="5">
        <f t="shared" si="17"/>
        <v>2.7187500000000004</v>
      </c>
      <c r="Q377" s="5">
        <f t="shared" si="18"/>
        <v>4.6875E-2</v>
      </c>
      <c r="R377" s="5">
        <f t="shared" si="19"/>
        <v>2.8125</v>
      </c>
    </row>
    <row r="378" spans="1:18">
      <c r="A378" s="4">
        <v>44207</v>
      </c>
      <c r="B378" s="1" t="s">
        <v>23</v>
      </c>
      <c r="C378" s="1">
        <f t="shared" si="23"/>
        <v>1</v>
      </c>
      <c r="D378" s="1">
        <f t="shared" si="24"/>
        <v>11</v>
      </c>
      <c r="E378" s="1">
        <f t="shared" si="25"/>
        <v>2021</v>
      </c>
      <c r="F378" s="1">
        <v>377</v>
      </c>
      <c r="G378" s="1">
        <v>316</v>
      </c>
      <c r="H378" s="1">
        <v>290</v>
      </c>
      <c r="I378" s="2">
        <v>0.91769999999999996</v>
      </c>
      <c r="J378" s="1">
        <v>26</v>
      </c>
      <c r="K378" s="3">
        <v>3.5879629629629629E-4</v>
      </c>
      <c r="L378" s="3">
        <v>1.6319444444444445E-3</v>
      </c>
      <c r="M378" s="3">
        <v>2.8009259259259259E-3</v>
      </c>
      <c r="N378" s="2">
        <v>0.59160000000000001</v>
      </c>
      <c r="O378" s="5">
        <f t="shared" si="16"/>
        <v>0.47326388888888893</v>
      </c>
      <c r="P378" s="5">
        <f t="shared" si="17"/>
        <v>28.395833333333336</v>
      </c>
      <c r="Q378" s="5">
        <f t="shared" si="18"/>
        <v>0.51569444444444446</v>
      </c>
      <c r="R378" s="5">
        <f t="shared" si="19"/>
        <v>30.941666666666666</v>
      </c>
    </row>
    <row r="379" spans="1:18">
      <c r="A379" s="4">
        <v>44208</v>
      </c>
      <c r="B379" s="1" t="s">
        <v>24</v>
      </c>
      <c r="C379" s="1">
        <f t="shared" si="23"/>
        <v>1</v>
      </c>
      <c r="D379" s="1">
        <f t="shared" si="24"/>
        <v>12</v>
      </c>
      <c r="E379" s="1">
        <f t="shared" si="25"/>
        <v>2021</v>
      </c>
      <c r="F379" s="1">
        <v>378</v>
      </c>
      <c r="G379" s="1">
        <v>211</v>
      </c>
      <c r="H379" s="1">
        <v>195</v>
      </c>
      <c r="I379" s="2">
        <v>0.92420000000000002</v>
      </c>
      <c r="J379" s="1">
        <v>16</v>
      </c>
      <c r="K379" s="3">
        <v>3.9351851851851852E-4</v>
      </c>
      <c r="L379" s="3">
        <v>1.6319444444444445E-3</v>
      </c>
      <c r="M379" s="3">
        <v>4.4560185185185189E-3</v>
      </c>
      <c r="N379" s="2">
        <v>0.55769999999999997</v>
      </c>
      <c r="O379" s="5">
        <f t="shared" si="16"/>
        <v>0.31822916666666667</v>
      </c>
      <c r="P379" s="5">
        <f t="shared" si="17"/>
        <v>19.09375</v>
      </c>
      <c r="Q379" s="5">
        <f t="shared" si="18"/>
        <v>0.34434027777777781</v>
      </c>
      <c r="R379" s="5">
        <f t="shared" si="19"/>
        <v>20.66041666666667</v>
      </c>
    </row>
    <row r="380" spans="1:18">
      <c r="A380" s="4">
        <v>44209</v>
      </c>
      <c r="B380" s="1" t="s">
        <v>18</v>
      </c>
      <c r="C380" s="1">
        <f t="shared" si="23"/>
        <v>1</v>
      </c>
      <c r="D380" s="1">
        <f t="shared" si="24"/>
        <v>13</v>
      </c>
      <c r="E380" s="1">
        <f t="shared" si="25"/>
        <v>2021</v>
      </c>
      <c r="F380" s="1">
        <v>379</v>
      </c>
      <c r="G380" s="1">
        <v>208</v>
      </c>
      <c r="H380" s="1">
        <v>169</v>
      </c>
      <c r="I380" s="2">
        <v>0.8125</v>
      </c>
      <c r="J380" s="1">
        <v>39</v>
      </c>
      <c r="K380" s="3">
        <v>5.2083333333333333E-4</v>
      </c>
      <c r="L380" s="3">
        <v>1.5972222222222223E-3</v>
      </c>
      <c r="M380" s="3">
        <v>5.0347222222222225E-3</v>
      </c>
      <c r="N380" s="2">
        <v>0.45850000000000002</v>
      </c>
      <c r="O380" s="5">
        <f t="shared" si="16"/>
        <v>0.26993055555555556</v>
      </c>
      <c r="P380" s="5">
        <f t="shared" si="17"/>
        <v>16.195833333333333</v>
      </c>
      <c r="Q380" s="5">
        <f t="shared" si="18"/>
        <v>0.33222222222222225</v>
      </c>
      <c r="R380" s="5">
        <f t="shared" si="19"/>
        <v>19.933333333333334</v>
      </c>
    </row>
    <row r="381" spans="1:18">
      <c r="A381" s="4">
        <v>44210</v>
      </c>
      <c r="B381" s="1" t="s">
        <v>19</v>
      </c>
      <c r="C381" s="1">
        <f t="shared" si="23"/>
        <v>1</v>
      </c>
      <c r="D381" s="1">
        <f t="shared" si="24"/>
        <v>14</v>
      </c>
      <c r="E381" s="1">
        <f t="shared" si="25"/>
        <v>2021</v>
      </c>
      <c r="F381" s="1">
        <v>380</v>
      </c>
      <c r="G381" s="1">
        <v>130</v>
      </c>
      <c r="H381" s="1">
        <v>124</v>
      </c>
      <c r="I381" s="2">
        <v>0.95379999999999998</v>
      </c>
      <c r="J381" s="1">
        <v>6</v>
      </c>
      <c r="K381" s="3">
        <v>2.5462962962962961E-4</v>
      </c>
      <c r="L381" s="3">
        <v>1.5856481481481481E-3</v>
      </c>
      <c r="M381" s="3">
        <v>1.5625000000000001E-3</v>
      </c>
      <c r="N381" s="2">
        <v>0.68989999999999996</v>
      </c>
      <c r="O381" s="5">
        <f t="shared" si="16"/>
        <v>0.19662037037037036</v>
      </c>
      <c r="P381" s="5">
        <f t="shared" si="17"/>
        <v>11.797222222222222</v>
      </c>
      <c r="Q381" s="5">
        <f t="shared" si="18"/>
        <v>0.20613425925925924</v>
      </c>
      <c r="R381" s="5">
        <f t="shared" si="19"/>
        <v>12.368055555555554</v>
      </c>
    </row>
    <row r="382" spans="1:18">
      <c r="A382" s="4">
        <v>44211</v>
      </c>
      <c r="B382" s="1" t="s">
        <v>20</v>
      </c>
      <c r="C382" s="1">
        <f t="shared" si="23"/>
        <v>1</v>
      </c>
      <c r="D382" s="1">
        <f t="shared" si="24"/>
        <v>15</v>
      </c>
      <c r="E382" s="1">
        <f t="shared" si="25"/>
        <v>2021</v>
      </c>
      <c r="F382" s="1">
        <v>381</v>
      </c>
      <c r="G382" s="1">
        <v>134</v>
      </c>
      <c r="H382" s="1">
        <v>129</v>
      </c>
      <c r="I382" s="2">
        <v>0.9627</v>
      </c>
      <c r="J382" s="1">
        <v>5</v>
      </c>
      <c r="K382" s="3">
        <v>2.7777777777777778E-4</v>
      </c>
      <c r="L382" s="3">
        <v>1.5277777777777779E-3</v>
      </c>
      <c r="M382" s="3">
        <v>2.4074074074074076E-3</v>
      </c>
      <c r="N382" s="2">
        <v>0.70899999999999996</v>
      </c>
      <c r="O382" s="5">
        <f t="shared" si="16"/>
        <v>0.19708333333333333</v>
      </c>
      <c r="P382" s="5">
        <f t="shared" si="17"/>
        <v>11.824999999999999</v>
      </c>
      <c r="Q382" s="5">
        <f t="shared" si="18"/>
        <v>0.20472222222222222</v>
      </c>
      <c r="R382" s="5">
        <f t="shared" si="19"/>
        <v>12.283333333333333</v>
      </c>
    </row>
    <row r="383" spans="1:18">
      <c r="A383" s="4">
        <v>44212</v>
      </c>
      <c r="B383" s="1" t="s">
        <v>21</v>
      </c>
      <c r="C383" s="1">
        <f t="shared" si="23"/>
        <v>1</v>
      </c>
      <c r="D383" s="1">
        <f t="shared" si="24"/>
        <v>16</v>
      </c>
      <c r="E383" s="1">
        <f t="shared" si="25"/>
        <v>2021</v>
      </c>
      <c r="F383" s="1">
        <v>382</v>
      </c>
      <c r="G383" s="1">
        <v>124</v>
      </c>
      <c r="H383" s="1">
        <v>121</v>
      </c>
      <c r="I383" s="2">
        <v>0.9758</v>
      </c>
      <c r="J383" s="1">
        <v>3</v>
      </c>
      <c r="K383" s="3">
        <v>3.1250000000000001E-4</v>
      </c>
      <c r="L383" s="3">
        <v>1.6087962962962963E-3</v>
      </c>
      <c r="M383" s="3">
        <v>2.3032407407407407E-3</v>
      </c>
      <c r="N383" s="2">
        <v>0.70730000000000004</v>
      </c>
      <c r="O383" s="5">
        <f t="shared" si="16"/>
        <v>0.19466435185185185</v>
      </c>
      <c r="P383" s="5">
        <f t="shared" si="17"/>
        <v>11.67986111111111</v>
      </c>
      <c r="Q383" s="5">
        <f t="shared" si="18"/>
        <v>0.19949074074074075</v>
      </c>
      <c r="R383" s="5">
        <f t="shared" si="19"/>
        <v>11.969444444444445</v>
      </c>
    </row>
    <row r="384" spans="1:18">
      <c r="A384" s="4">
        <v>44213</v>
      </c>
      <c r="B384" s="1" t="s">
        <v>22</v>
      </c>
      <c r="C384" s="1">
        <f t="shared" si="23"/>
        <v>1</v>
      </c>
      <c r="D384" s="1">
        <f t="shared" si="24"/>
        <v>17</v>
      </c>
      <c r="E384" s="1">
        <f t="shared" si="25"/>
        <v>2021</v>
      </c>
      <c r="F384" s="1">
        <v>383</v>
      </c>
      <c r="G384" s="1">
        <v>47</v>
      </c>
      <c r="H384" s="1">
        <v>43</v>
      </c>
      <c r="I384" s="2">
        <v>0.91490000000000005</v>
      </c>
      <c r="J384" s="1">
        <v>4</v>
      </c>
      <c r="K384" s="3">
        <v>4.2824074074074075E-4</v>
      </c>
      <c r="L384" s="3">
        <v>1.5972222222222223E-3</v>
      </c>
      <c r="M384" s="3">
        <v>2.2685185185185187E-3</v>
      </c>
      <c r="N384" s="2">
        <v>0.54349999999999998</v>
      </c>
      <c r="O384" s="5">
        <f t="shared" si="16"/>
        <v>6.8680555555555564E-2</v>
      </c>
      <c r="P384" s="5">
        <f t="shared" si="17"/>
        <v>4.1208333333333336</v>
      </c>
      <c r="Q384" s="5">
        <f t="shared" si="18"/>
        <v>7.5069444444444453E-2</v>
      </c>
      <c r="R384" s="5">
        <f t="shared" si="19"/>
        <v>4.5041666666666673</v>
      </c>
    </row>
    <row r="385" spans="1:18">
      <c r="A385" s="4">
        <v>44214</v>
      </c>
      <c r="B385" s="1" t="s">
        <v>23</v>
      </c>
      <c r="C385" s="1">
        <f t="shared" si="23"/>
        <v>1</v>
      </c>
      <c r="D385" s="1">
        <f t="shared" si="24"/>
        <v>18</v>
      </c>
      <c r="E385" s="1">
        <f t="shared" si="25"/>
        <v>2021</v>
      </c>
      <c r="F385" s="1">
        <v>384</v>
      </c>
      <c r="G385" s="1">
        <v>197</v>
      </c>
      <c r="H385" s="1">
        <v>186</v>
      </c>
      <c r="I385" s="2">
        <v>0.94420000000000004</v>
      </c>
      <c r="J385" s="1">
        <v>11</v>
      </c>
      <c r="K385" s="3">
        <v>3.2407407407407406E-4</v>
      </c>
      <c r="L385" s="3">
        <v>1.5972222222222223E-3</v>
      </c>
      <c r="M385" s="3">
        <v>1.7013888888888888E-3</v>
      </c>
      <c r="N385" s="2">
        <v>0.63829999999999998</v>
      </c>
      <c r="O385" s="5">
        <f t="shared" si="16"/>
        <v>0.29708333333333337</v>
      </c>
      <c r="P385" s="5">
        <f t="shared" si="17"/>
        <v>17.825000000000003</v>
      </c>
      <c r="Q385" s="5">
        <f t="shared" si="18"/>
        <v>0.31465277777777778</v>
      </c>
      <c r="R385" s="5">
        <f t="shared" si="19"/>
        <v>18.879166666666666</v>
      </c>
    </row>
    <row r="386" spans="1:18">
      <c r="A386" s="4">
        <v>44215</v>
      </c>
      <c r="B386" s="1" t="s">
        <v>24</v>
      </c>
      <c r="C386" s="1">
        <f t="shared" si="23"/>
        <v>1</v>
      </c>
      <c r="D386" s="1">
        <f t="shared" si="24"/>
        <v>19</v>
      </c>
      <c r="E386" s="1">
        <f t="shared" si="25"/>
        <v>2021</v>
      </c>
      <c r="F386" s="1">
        <v>385</v>
      </c>
      <c r="G386" s="1">
        <v>158</v>
      </c>
      <c r="H386" s="1">
        <v>146</v>
      </c>
      <c r="I386" s="2">
        <v>0.92410000000000003</v>
      </c>
      <c r="J386" s="1">
        <v>12</v>
      </c>
      <c r="K386" s="3">
        <v>3.5879629629629629E-4</v>
      </c>
      <c r="L386" s="3">
        <v>1.6666666666666668E-3</v>
      </c>
      <c r="M386" s="3">
        <v>2.5462962962962965E-3</v>
      </c>
      <c r="N386" s="2">
        <v>0.5696</v>
      </c>
      <c r="O386" s="5">
        <f t="shared" si="16"/>
        <v>0.24333333333333335</v>
      </c>
      <c r="P386" s="5">
        <f t="shared" si="17"/>
        <v>14.600000000000001</v>
      </c>
      <c r="Q386" s="5">
        <f t="shared" si="18"/>
        <v>0.26333333333333336</v>
      </c>
      <c r="R386" s="5">
        <f t="shared" si="19"/>
        <v>15.800000000000002</v>
      </c>
    </row>
    <row r="387" spans="1:18">
      <c r="A387" s="4">
        <v>44216</v>
      </c>
      <c r="B387" s="1" t="s">
        <v>18</v>
      </c>
      <c r="C387" s="1">
        <f t="shared" ref="C387:C450" si="26">MONTH(A387)</f>
        <v>1</v>
      </c>
      <c r="D387" s="1">
        <f t="shared" ref="D387:D450" si="27">DAY(A387)</f>
        <v>20</v>
      </c>
      <c r="E387" s="1">
        <f t="shared" ref="E387:E450" si="28">YEAR(A387)</f>
        <v>2021</v>
      </c>
      <c r="F387" s="1">
        <v>386</v>
      </c>
      <c r="G387" s="1">
        <v>163</v>
      </c>
      <c r="H387" s="1">
        <v>151</v>
      </c>
      <c r="I387" s="2">
        <v>0.9264</v>
      </c>
      <c r="J387" s="1">
        <v>12</v>
      </c>
      <c r="K387" s="3">
        <v>3.2407407407407406E-4</v>
      </c>
      <c r="L387" s="3">
        <v>1.5393518518518519E-3</v>
      </c>
      <c r="M387" s="3">
        <v>3.3912037037037036E-3</v>
      </c>
      <c r="N387" s="2">
        <v>0.63749999999999996</v>
      </c>
      <c r="O387" s="5">
        <f t="shared" si="16"/>
        <v>0.23244212962962962</v>
      </c>
      <c r="P387" s="5">
        <f t="shared" si="17"/>
        <v>13.946527777777778</v>
      </c>
      <c r="Q387" s="5">
        <f t="shared" si="18"/>
        <v>0.25091435185185185</v>
      </c>
      <c r="R387" s="5">
        <f t="shared" si="19"/>
        <v>15.05486111111111</v>
      </c>
    </row>
    <row r="388" spans="1:18">
      <c r="A388" s="4">
        <v>44217</v>
      </c>
      <c r="B388" s="1" t="s">
        <v>19</v>
      </c>
      <c r="C388" s="1">
        <f t="shared" si="26"/>
        <v>1</v>
      </c>
      <c r="D388" s="1">
        <f t="shared" si="27"/>
        <v>21</v>
      </c>
      <c r="E388" s="1">
        <f t="shared" si="28"/>
        <v>2021</v>
      </c>
      <c r="F388" s="1">
        <v>387</v>
      </c>
      <c r="G388" s="1">
        <v>178</v>
      </c>
      <c r="H388" s="1">
        <v>160</v>
      </c>
      <c r="I388" s="2">
        <v>0.89890000000000003</v>
      </c>
      <c r="J388" s="1">
        <v>18</v>
      </c>
      <c r="K388" s="3">
        <v>4.0509259259259258E-4</v>
      </c>
      <c r="L388" s="3">
        <v>1.8402777777777777E-3</v>
      </c>
      <c r="M388" s="3">
        <v>3.2523148148148147E-3</v>
      </c>
      <c r="N388" s="2">
        <v>0.54490000000000005</v>
      </c>
      <c r="O388" s="5">
        <f t="shared" si="16"/>
        <v>0.29444444444444445</v>
      </c>
      <c r="P388" s="5">
        <f t="shared" si="17"/>
        <v>17.666666666666668</v>
      </c>
      <c r="Q388" s="5">
        <f t="shared" si="18"/>
        <v>0.32756944444444441</v>
      </c>
      <c r="R388" s="5">
        <f t="shared" si="19"/>
        <v>19.654166666666665</v>
      </c>
    </row>
    <row r="389" spans="1:18">
      <c r="A389" s="4">
        <v>44218</v>
      </c>
      <c r="B389" s="1" t="s">
        <v>20</v>
      </c>
      <c r="C389" s="1">
        <f t="shared" si="26"/>
        <v>1</v>
      </c>
      <c r="D389" s="1">
        <f t="shared" si="27"/>
        <v>22</v>
      </c>
      <c r="E389" s="1">
        <f t="shared" si="28"/>
        <v>2021</v>
      </c>
      <c r="F389" s="1">
        <v>388</v>
      </c>
      <c r="G389" s="1">
        <v>151</v>
      </c>
      <c r="H389" s="1">
        <v>128</v>
      </c>
      <c r="I389" s="2">
        <v>0.84770000000000001</v>
      </c>
      <c r="J389" s="1">
        <v>23</v>
      </c>
      <c r="K389" s="3">
        <v>4.0509259259259258E-4</v>
      </c>
      <c r="L389" s="3">
        <v>1.6550925925925926E-3</v>
      </c>
      <c r="M389" s="3">
        <v>3.9120370370370368E-3</v>
      </c>
      <c r="N389" s="2">
        <v>0.53380000000000005</v>
      </c>
      <c r="O389" s="5">
        <f t="shared" si="16"/>
        <v>0.21185185185185185</v>
      </c>
      <c r="P389" s="5">
        <f t="shared" si="17"/>
        <v>12.71111111111111</v>
      </c>
      <c r="Q389" s="5">
        <f t="shared" si="18"/>
        <v>0.24991898148148148</v>
      </c>
      <c r="R389" s="5">
        <f t="shared" si="19"/>
        <v>14.995138888888889</v>
      </c>
    </row>
    <row r="390" spans="1:18">
      <c r="A390" s="4">
        <v>44219</v>
      </c>
      <c r="B390" s="1" t="s">
        <v>21</v>
      </c>
      <c r="C390" s="1">
        <f t="shared" si="26"/>
        <v>1</v>
      </c>
      <c r="D390" s="1">
        <f t="shared" si="27"/>
        <v>23</v>
      </c>
      <c r="E390" s="1">
        <f t="shared" si="28"/>
        <v>2021</v>
      </c>
      <c r="F390" s="1">
        <v>389</v>
      </c>
      <c r="G390" s="1">
        <v>118</v>
      </c>
      <c r="H390" s="1">
        <v>106</v>
      </c>
      <c r="I390" s="2">
        <v>0.89829999999999999</v>
      </c>
      <c r="J390" s="1">
        <v>12</v>
      </c>
      <c r="K390" s="3">
        <v>3.8194444444444446E-4</v>
      </c>
      <c r="L390" s="3">
        <v>1.6782407407407408E-3</v>
      </c>
      <c r="M390" s="3">
        <v>3.1481481481481482E-3</v>
      </c>
      <c r="N390" s="2">
        <v>0.55169999999999997</v>
      </c>
      <c r="O390" s="5">
        <f t="shared" si="16"/>
        <v>0.17789351851851853</v>
      </c>
      <c r="P390" s="5">
        <f t="shared" si="17"/>
        <v>10.673611111111112</v>
      </c>
      <c r="Q390" s="5">
        <f t="shared" si="18"/>
        <v>0.19803240740740741</v>
      </c>
      <c r="R390" s="5">
        <f t="shared" si="19"/>
        <v>11.881944444444445</v>
      </c>
    </row>
    <row r="391" spans="1:18">
      <c r="A391" s="4">
        <v>44220</v>
      </c>
      <c r="B391" s="1" t="s">
        <v>22</v>
      </c>
      <c r="C391" s="1">
        <f t="shared" si="26"/>
        <v>1</v>
      </c>
      <c r="D391" s="1">
        <f t="shared" si="27"/>
        <v>24</v>
      </c>
      <c r="E391" s="1">
        <f t="shared" si="28"/>
        <v>2021</v>
      </c>
      <c r="F391" s="1">
        <v>390</v>
      </c>
      <c r="G391" s="1">
        <v>31</v>
      </c>
      <c r="H391" s="1">
        <v>28</v>
      </c>
      <c r="I391" s="2">
        <v>0.9032</v>
      </c>
      <c r="J391" s="1">
        <v>3</v>
      </c>
      <c r="K391" s="3">
        <v>4.6296296296296298E-4</v>
      </c>
      <c r="L391" s="3">
        <v>1.8518518518518519E-3</v>
      </c>
      <c r="M391" s="3">
        <v>2.2222222222222222E-3</v>
      </c>
      <c r="N391" s="2">
        <v>0.43330000000000002</v>
      </c>
      <c r="O391" s="5">
        <f t="shared" si="16"/>
        <v>5.1851851851851857E-2</v>
      </c>
      <c r="P391" s="5">
        <f t="shared" si="17"/>
        <v>3.1111111111111116</v>
      </c>
      <c r="Q391" s="5">
        <f t="shared" si="18"/>
        <v>5.7407407407407407E-2</v>
      </c>
      <c r="R391" s="5">
        <f t="shared" si="19"/>
        <v>3.4444444444444446</v>
      </c>
    </row>
    <row r="392" spans="1:18">
      <c r="A392" s="4">
        <v>44221</v>
      </c>
      <c r="B392" s="1" t="s">
        <v>23</v>
      </c>
      <c r="C392" s="1">
        <f t="shared" si="26"/>
        <v>1</v>
      </c>
      <c r="D392" s="1">
        <f t="shared" si="27"/>
        <v>25</v>
      </c>
      <c r="E392" s="1">
        <f t="shared" si="28"/>
        <v>2021</v>
      </c>
      <c r="F392" s="1">
        <v>391</v>
      </c>
      <c r="G392" s="1">
        <v>139</v>
      </c>
      <c r="H392" s="1">
        <v>134</v>
      </c>
      <c r="I392" s="2">
        <v>0.96399999999999997</v>
      </c>
      <c r="J392" s="1">
        <v>5</v>
      </c>
      <c r="K392" s="3">
        <v>3.5879629629629629E-4</v>
      </c>
      <c r="L392" s="3">
        <v>1.6550925925925926E-3</v>
      </c>
      <c r="M392" s="3">
        <v>1.9675925925925924E-3</v>
      </c>
      <c r="N392" s="2">
        <v>0.59419999999999995</v>
      </c>
      <c r="O392" s="5">
        <f t="shared" si="16"/>
        <v>0.2217824074074074</v>
      </c>
      <c r="P392" s="5">
        <f t="shared" si="17"/>
        <v>13.306944444444444</v>
      </c>
      <c r="Q392" s="5">
        <f t="shared" si="18"/>
        <v>0.23005787037037037</v>
      </c>
      <c r="R392" s="5">
        <f t="shared" si="19"/>
        <v>13.803472222222222</v>
      </c>
    </row>
    <row r="393" spans="1:18">
      <c r="A393" s="4">
        <v>44222</v>
      </c>
      <c r="B393" s="1" t="s">
        <v>24</v>
      </c>
      <c r="C393" s="1">
        <f t="shared" si="26"/>
        <v>1</v>
      </c>
      <c r="D393" s="1">
        <f t="shared" si="27"/>
        <v>26</v>
      </c>
      <c r="E393" s="1">
        <f t="shared" si="28"/>
        <v>2021</v>
      </c>
      <c r="F393" s="1">
        <v>392</v>
      </c>
      <c r="G393" s="1">
        <v>171</v>
      </c>
      <c r="H393" s="1">
        <v>154</v>
      </c>
      <c r="I393" s="2">
        <v>0.90059999999999996</v>
      </c>
      <c r="J393" s="1">
        <v>17</v>
      </c>
      <c r="K393" s="3">
        <v>3.1250000000000001E-4</v>
      </c>
      <c r="L393" s="3">
        <v>1.6666666666666668E-3</v>
      </c>
      <c r="M393" s="3">
        <v>4.4907407407407405E-3</v>
      </c>
      <c r="N393" s="2">
        <v>0.65659999999999996</v>
      </c>
      <c r="O393" s="5">
        <f t="shared" si="16"/>
        <v>0.25666666666666671</v>
      </c>
      <c r="P393" s="5">
        <f t="shared" si="17"/>
        <v>15.400000000000002</v>
      </c>
      <c r="Q393" s="5">
        <f t="shared" si="18"/>
        <v>0.28500000000000003</v>
      </c>
      <c r="R393" s="5">
        <f t="shared" si="19"/>
        <v>17.100000000000001</v>
      </c>
    </row>
    <row r="394" spans="1:18">
      <c r="A394" s="4">
        <v>44223</v>
      </c>
      <c r="B394" s="1" t="s">
        <v>18</v>
      </c>
      <c r="C394" s="1">
        <f t="shared" si="26"/>
        <v>1</v>
      </c>
      <c r="D394" s="1">
        <f t="shared" si="27"/>
        <v>27</v>
      </c>
      <c r="E394" s="1">
        <f t="shared" si="28"/>
        <v>2021</v>
      </c>
      <c r="F394" s="1">
        <v>393</v>
      </c>
      <c r="G394" s="1">
        <v>160</v>
      </c>
      <c r="H394" s="1">
        <v>156</v>
      </c>
      <c r="I394" s="2">
        <v>0.97499999999999998</v>
      </c>
      <c r="J394" s="1">
        <v>4</v>
      </c>
      <c r="K394" s="3">
        <v>3.1250000000000001E-4</v>
      </c>
      <c r="L394" s="3">
        <v>1.5625000000000001E-3</v>
      </c>
      <c r="M394" s="3">
        <v>1.238425925925926E-3</v>
      </c>
      <c r="N394" s="2">
        <v>0.64559999999999995</v>
      </c>
      <c r="O394" s="5">
        <f t="shared" si="16"/>
        <v>0.24375000000000002</v>
      </c>
      <c r="P394" s="5">
        <f t="shared" si="17"/>
        <v>14.625000000000002</v>
      </c>
      <c r="Q394" s="5">
        <f t="shared" si="18"/>
        <v>0.25</v>
      </c>
      <c r="R394" s="5">
        <f t="shared" si="19"/>
        <v>15</v>
      </c>
    </row>
    <row r="395" spans="1:18">
      <c r="A395" s="4">
        <v>44224</v>
      </c>
      <c r="B395" s="1" t="s">
        <v>19</v>
      </c>
      <c r="C395" s="1">
        <f t="shared" si="26"/>
        <v>1</v>
      </c>
      <c r="D395" s="1">
        <f t="shared" si="27"/>
        <v>28</v>
      </c>
      <c r="E395" s="1">
        <f t="shared" si="28"/>
        <v>2021</v>
      </c>
      <c r="F395" s="1">
        <v>394</v>
      </c>
      <c r="G395" s="1">
        <v>177</v>
      </c>
      <c r="H395" s="1">
        <v>169</v>
      </c>
      <c r="I395" s="2">
        <v>0.95479999999999998</v>
      </c>
      <c r="J395" s="1">
        <v>8</v>
      </c>
      <c r="K395" s="3">
        <v>3.3564814814814812E-4</v>
      </c>
      <c r="L395" s="3">
        <v>1.7476851851851852E-3</v>
      </c>
      <c r="M395" s="3">
        <v>2.5462962962962965E-3</v>
      </c>
      <c r="N395" s="2">
        <v>0.64370000000000005</v>
      </c>
      <c r="O395" s="5">
        <f t="shared" si="16"/>
        <v>0.2953587962962963</v>
      </c>
      <c r="P395" s="5">
        <f t="shared" si="17"/>
        <v>17.721527777777776</v>
      </c>
      <c r="Q395" s="5">
        <f t="shared" si="18"/>
        <v>0.30934027777777778</v>
      </c>
      <c r="R395" s="5">
        <f t="shared" si="19"/>
        <v>18.560416666666669</v>
      </c>
    </row>
    <row r="396" spans="1:18">
      <c r="A396" s="4">
        <v>44225</v>
      </c>
      <c r="B396" s="1" t="s">
        <v>20</v>
      </c>
      <c r="C396" s="1">
        <f t="shared" si="26"/>
        <v>1</v>
      </c>
      <c r="D396" s="1">
        <f t="shared" si="27"/>
        <v>29</v>
      </c>
      <c r="E396" s="1">
        <f t="shared" si="28"/>
        <v>2021</v>
      </c>
      <c r="F396" s="1">
        <v>395</v>
      </c>
      <c r="G396" s="1">
        <v>187</v>
      </c>
      <c r="H396" s="1">
        <v>180</v>
      </c>
      <c r="I396" s="2">
        <v>0.96260000000000001</v>
      </c>
      <c r="J396" s="1">
        <v>7</v>
      </c>
      <c r="K396" s="3">
        <v>3.0092592592592595E-4</v>
      </c>
      <c r="L396" s="3">
        <v>1.6435185185185185E-3</v>
      </c>
      <c r="M396" s="3">
        <v>4.1203703703703706E-3</v>
      </c>
      <c r="N396" s="2">
        <v>0.65590000000000004</v>
      </c>
      <c r="O396" s="5">
        <f t="shared" si="16"/>
        <v>0.29583333333333334</v>
      </c>
      <c r="P396" s="5">
        <f t="shared" si="17"/>
        <v>17.75</v>
      </c>
      <c r="Q396" s="5">
        <f t="shared" si="18"/>
        <v>0.30733796296296295</v>
      </c>
      <c r="R396" s="5">
        <f t="shared" si="19"/>
        <v>18.440277777777776</v>
      </c>
    </row>
    <row r="397" spans="1:18">
      <c r="A397" s="4">
        <v>44226</v>
      </c>
      <c r="B397" s="1" t="s">
        <v>21</v>
      </c>
      <c r="C397" s="1">
        <f t="shared" si="26"/>
        <v>1</v>
      </c>
      <c r="D397" s="1">
        <f t="shared" si="27"/>
        <v>30</v>
      </c>
      <c r="E397" s="1">
        <f t="shared" si="28"/>
        <v>2021</v>
      </c>
      <c r="F397" s="1">
        <v>396</v>
      </c>
      <c r="G397" s="1">
        <v>147</v>
      </c>
      <c r="H397" s="1">
        <v>138</v>
      </c>
      <c r="I397" s="2">
        <v>0.93879999999999997</v>
      </c>
      <c r="J397" s="1">
        <v>9</v>
      </c>
      <c r="K397" s="3">
        <v>3.0092592592592595E-4</v>
      </c>
      <c r="L397" s="3">
        <v>1.6666666666666668E-3</v>
      </c>
      <c r="M397" s="3">
        <v>3.6921296296296298E-3</v>
      </c>
      <c r="N397" s="2">
        <v>0.61380000000000001</v>
      </c>
      <c r="O397" s="5">
        <f t="shared" si="16"/>
        <v>0.23</v>
      </c>
      <c r="P397" s="5">
        <f t="shared" si="17"/>
        <v>13.8</v>
      </c>
      <c r="Q397" s="5">
        <f t="shared" si="18"/>
        <v>0.24500000000000002</v>
      </c>
      <c r="R397" s="5">
        <f t="shared" si="19"/>
        <v>14.700000000000001</v>
      </c>
    </row>
    <row r="398" spans="1:18">
      <c r="A398" s="4">
        <v>44227</v>
      </c>
      <c r="B398" s="1" t="s">
        <v>22</v>
      </c>
      <c r="C398" s="1">
        <f t="shared" si="26"/>
        <v>1</v>
      </c>
      <c r="D398" s="1">
        <f t="shared" si="27"/>
        <v>31</v>
      </c>
      <c r="E398" s="1">
        <f t="shared" si="28"/>
        <v>2021</v>
      </c>
      <c r="F398" s="1">
        <v>397</v>
      </c>
      <c r="G398" s="1">
        <v>35</v>
      </c>
      <c r="H398" s="1">
        <v>35</v>
      </c>
      <c r="I398" s="2">
        <v>1</v>
      </c>
      <c r="J398" s="1">
        <v>0</v>
      </c>
      <c r="K398" s="3">
        <v>9.2592592592592588E-5</v>
      </c>
      <c r="L398" s="3">
        <v>1.5046296296296296E-3</v>
      </c>
      <c r="M398" s="3">
        <v>5.4398148148148144E-4</v>
      </c>
      <c r="N398" s="2">
        <v>0.88570000000000004</v>
      </c>
      <c r="O398" s="5">
        <f t="shared" si="16"/>
        <v>5.2662037037037035E-2</v>
      </c>
      <c r="P398" s="5">
        <f t="shared" si="17"/>
        <v>3.1597222222222223</v>
      </c>
      <c r="Q398" s="5">
        <f t="shared" si="18"/>
        <v>5.2662037037037035E-2</v>
      </c>
      <c r="R398" s="5">
        <f t="shared" si="19"/>
        <v>3.1597222222222223</v>
      </c>
    </row>
    <row r="399" spans="1:18">
      <c r="A399" s="4">
        <v>44228</v>
      </c>
      <c r="B399" s="1" t="s">
        <v>23</v>
      </c>
      <c r="C399" s="1">
        <f t="shared" si="26"/>
        <v>2</v>
      </c>
      <c r="D399" s="1">
        <f t="shared" si="27"/>
        <v>1</v>
      </c>
      <c r="E399" s="1">
        <f t="shared" si="28"/>
        <v>2021</v>
      </c>
      <c r="F399" s="1">
        <v>398</v>
      </c>
      <c r="G399" s="1">
        <v>208</v>
      </c>
      <c r="H399" s="1">
        <v>194</v>
      </c>
      <c r="I399" s="2">
        <v>0.93269999999999997</v>
      </c>
      <c r="J399" s="1">
        <v>14</v>
      </c>
      <c r="K399" s="3">
        <v>4.0509259259259258E-4</v>
      </c>
      <c r="L399" s="3">
        <v>1.6898148148148148E-3</v>
      </c>
      <c r="M399" s="3">
        <v>3.0787037037037037E-3</v>
      </c>
      <c r="N399" s="2">
        <v>0.56930000000000003</v>
      </c>
      <c r="O399" s="5">
        <f t="shared" si="16"/>
        <v>0.32782407407407405</v>
      </c>
      <c r="P399" s="5">
        <f t="shared" si="17"/>
        <v>19.669444444444444</v>
      </c>
      <c r="Q399" s="5">
        <f t="shared" si="18"/>
        <v>0.35148148148148145</v>
      </c>
      <c r="R399" s="5">
        <f t="shared" si="19"/>
        <v>21.088888888888889</v>
      </c>
    </row>
    <row r="400" spans="1:18">
      <c r="A400" s="4">
        <v>44229</v>
      </c>
      <c r="B400" s="1" t="s">
        <v>24</v>
      </c>
      <c r="C400" s="1">
        <f t="shared" si="26"/>
        <v>2</v>
      </c>
      <c r="D400" s="1">
        <f t="shared" si="27"/>
        <v>2</v>
      </c>
      <c r="E400" s="1">
        <f t="shared" si="28"/>
        <v>2021</v>
      </c>
      <c r="F400" s="1">
        <v>399</v>
      </c>
      <c r="G400" s="1">
        <v>162</v>
      </c>
      <c r="H400" s="1">
        <v>155</v>
      </c>
      <c r="I400" s="2">
        <v>0.95679999999999998</v>
      </c>
      <c r="J400" s="1">
        <v>7</v>
      </c>
      <c r="K400" s="3">
        <v>2.199074074074074E-4</v>
      </c>
      <c r="L400" s="3">
        <v>1.5856481481481481E-3</v>
      </c>
      <c r="M400" s="3">
        <v>2.5810185185185185E-3</v>
      </c>
      <c r="N400" s="2">
        <v>0.77990000000000004</v>
      </c>
      <c r="O400" s="5">
        <f t="shared" si="16"/>
        <v>0.24577546296296296</v>
      </c>
      <c r="P400" s="5">
        <f t="shared" si="17"/>
        <v>14.746527777777777</v>
      </c>
      <c r="Q400" s="5">
        <f t="shared" si="18"/>
        <v>0.25687499999999996</v>
      </c>
      <c r="R400" s="5">
        <f t="shared" si="19"/>
        <v>15.412499999999998</v>
      </c>
    </row>
    <row r="401" spans="1:18">
      <c r="A401" s="4">
        <v>44230</v>
      </c>
      <c r="B401" s="1" t="s">
        <v>18</v>
      </c>
      <c r="C401" s="1">
        <f t="shared" si="26"/>
        <v>2</v>
      </c>
      <c r="D401" s="1">
        <f t="shared" si="27"/>
        <v>3</v>
      </c>
      <c r="E401" s="1">
        <f t="shared" si="28"/>
        <v>2021</v>
      </c>
      <c r="F401" s="1">
        <v>400</v>
      </c>
      <c r="G401" s="1">
        <v>152</v>
      </c>
      <c r="H401" s="1">
        <v>143</v>
      </c>
      <c r="I401" s="2">
        <v>0.94079999999999997</v>
      </c>
      <c r="J401" s="1">
        <v>9</v>
      </c>
      <c r="K401" s="3">
        <v>2.5462962962962961E-4</v>
      </c>
      <c r="L401" s="3">
        <v>1.712962962962963E-3</v>
      </c>
      <c r="M401" s="3">
        <v>2.5578703703703705E-3</v>
      </c>
      <c r="N401" s="2">
        <v>0.7</v>
      </c>
      <c r="O401" s="5">
        <f t="shared" si="16"/>
        <v>0.2449537037037037</v>
      </c>
      <c r="P401" s="5">
        <f t="shared" si="17"/>
        <v>14.697222222222223</v>
      </c>
      <c r="Q401" s="5">
        <f t="shared" si="18"/>
        <v>0.26037037037037036</v>
      </c>
      <c r="R401" s="5">
        <f t="shared" si="19"/>
        <v>15.622222222222222</v>
      </c>
    </row>
    <row r="402" spans="1:18">
      <c r="A402" s="4">
        <v>44231</v>
      </c>
      <c r="B402" s="1" t="s">
        <v>19</v>
      </c>
      <c r="C402" s="1">
        <f t="shared" si="26"/>
        <v>2</v>
      </c>
      <c r="D402" s="1">
        <f t="shared" si="27"/>
        <v>4</v>
      </c>
      <c r="E402" s="1">
        <f t="shared" si="28"/>
        <v>2021</v>
      </c>
      <c r="F402" s="1">
        <v>401</v>
      </c>
      <c r="G402" s="1">
        <v>132</v>
      </c>
      <c r="H402" s="1">
        <v>125</v>
      </c>
      <c r="I402" s="2">
        <v>0.94699999999999995</v>
      </c>
      <c r="J402" s="1">
        <v>7</v>
      </c>
      <c r="K402" s="3">
        <v>3.0092592592592595E-4</v>
      </c>
      <c r="L402" s="3">
        <v>1.4699074074074074E-3</v>
      </c>
      <c r="M402" s="3">
        <v>2.685185185185185E-3</v>
      </c>
      <c r="N402" s="2">
        <v>0.68940000000000001</v>
      </c>
      <c r="O402" s="5">
        <f t="shared" si="16"/>
        <v>0.18373842592592593</v>
      </c>
      <c r="P402" s="5">
        <f t="shared" si="17"/>
        <v>11.024305555555555</v>
      </c>
      <c r="Q402" s="5">
        <f t="shared" si="18"/>
        <v>0.19402777777777777</v>
      </c>
      <c r="R402" s="5">
        <f t="shared" si="19"/>
        <v>11.641666666666666</v>
      </c>
    </row>
    <row r="403" spans="1:18">
      <c r="A403" s="4">
        <v>44232</v>
      </c>
      <c r="B403" s="1" t="s">
        <v>20</v>
      </c>
      <c r="C403" s="1">
        <f t="shared" si="26"/>
        <v>2</v>
      </c>
      <c r="D403" s="1">
        <f t="shared" si="27"/>
        <v>5</v>
      </c>
      <c r="E403" s="1">
        <f t="shared" si="28"/>
        <v>2021</v>
      </c>
      <c r="F403" s="1">
        <v>402</v>
      </c>
      <c r="G403" s="1">
        <v>133</v>
      </c>
      <c r="H403" s="1">
        <v>131</v>
      </c>
      <c r="I403" s="2">
        <v>0.98499999999999999</v>
      </c>
      <c r="J403" s="1">
        <v>2</v>
      </c>
      <c r="K403" s="3">
        <v>1.3888888888888889E-4</v>
      </c>
      <c r="L403" s="3">
        <v>1.6087962962962963E-3</v>
      </c>
      <c r="M403" s="3">
        <v>9.1435185185185185E-4</v>
      </c>
      <c r="N403" s="2">
        <v>0.87119999999999997</v>
      </c>
      <c r="O403" s="5">
        <f t="shared" si="16"/>
        <v>0.21075231481481482</v>
      </c>
      <c r="P403" s="5">
        <f t="shared" si="17"/>
        <v>12.645138888888889</v>
      </c>
      <c r="Q403" s="5">
        <f t="shared" si="18"/>
        <v>0.2139699074074074</v>
      </c>
      <c r="R403" s="5">
        <f t="shared" si="19"/>
        <v>12.838194444444444</v>
      </c>
    </row>
    <row r="404" spans="1:18">
      <c r="A404" s="4">
        <v>44233</v>
      </c>
      <c r="B404" s="1" t="s">
        <v>21</v>
      </c>
      <c r="C404" s="1">
        <f t="shared" si="26"/>
        <v>2</v>
      </c>
      <c r="D404" s="1">
        <f t="shared" si="27"/>
        <v>6</v>
      </c>
      <c r="E404" s="1">
        <f t="shared" si="28"/>
        <v>2021</v>
      </c>
      <c r="F404" s="1">
        <v>403</v>
      </c>
      <c r="G404" s="1">
        <v>129</v>
      </c>
      <c r="H404" s="1">
        <v>121</v>
      </c>
      <c r="I404" s="2">
        <v>0.93799999999999994</v>
      </c>
      <c r="J404" s="1">
        <v>8</v>
      </c>
      <c r="K404" s="3">
        <v>3.8194444444444446E-4</v>
      </c>
      <c r="L404" s="3">
        <v>1.8171296296296297E-3</v>
      </c>
      <c r="M404" s="3">
        <v>2.7893518518518519E-3</v>
      </c>
      <c r="N404" s="2">
        <v>0.61419999999999997</v>
      </c>
      <c r="O404" s="5">
        <f t="shared" si="16"/>
        <v>0.21987268518518518</v>
      </c>
      <c r="P404" s="5">
        <f t="shared" si="17"/>
        <v>13.192361111111111</v>
      </c>
      <c r="Q404" s="5">
        <f t="shared" si="18"/>
        <v>0.23440972222222223</v>
      </c>
      <c r="R404" s="5">
        <f t="shared" si="19"/>
        <v>14.064583333333333</v>
      </c>
    </row>
    <row r="405" spans="1:18">
      <c r="A405" s="4">
        <v>44234</v>
      </c>
      <c r="B405" s="1" t="s">
        <v>22</v>
      </c>
      <c r="C405" s="1">
        <f t="shared" si="26"/>
        <v>2</v>
      </c>
      <c r="D405" s="1">
        <f t="shared" si="27"/>
        <v>7</v>
      </c>
      <c r="E405" s="1">
        <f t="shared" si="28"/>
        <v>2021</v>
      </c>
      <c r="F405" s="1">
        <v>404</v>
      </c>
      <c r="G405" s="1">
        <v>37</v>
      </c>
      <c r="H405" s="1">
        <v>35</v>
      </c>
      <c r="I405" s="2">
        <v>0.94589999999999996</v>
      </c>
      <c r="J405" s="1">
        <v>2</v>
      </c>
      <c r="K405" s="3">
        <v>2.199074074074074E-4</v>
      </c>
      <c r="L405" s="3">
        <v>1.6319444444444445E-3</v>
      </c>
      <c r="M405" s="3">
        <v>1.0648148148148149E-3</v>
      </c>
      <c r="N405" s="2">
        <v>0.75680000000000003</v>
      </c>
      <c r="O405" s="5">
        <f t="shared" si="16"/>
        <v>5.7118055555555561E-2</v>
      </c>
      <c r="P405" s="5">
        <f t="shared" si="17"/>
        <v>3.4270833333333335</v>
      </c>
      <c r="Q405" s="5">
        <f t="shared" si="18"/>
        <v>6.0381944444444446E-2</v>
      </c>
      <c r="R405" s="5">
        <f t="shared" si="19"/>
        <v>3.6229166666666668</v>
      </c>
    </row>
    <row r="406" spans="1:18">
      <c r="A406" s="4">
        <v>44235</v>
      </c>
      <c r="B406" s="1" t="s">
        <v>23</v>
      </c>
      <c r="C406" s="1">
        <f t="shared" si="26"/>
        <v>2</v>
      </c>
      <c r="D406" s="1">
        <f t="shared" si="27"/>
        <v>8</v>
      </c>
      <c r="E406" s="1">
        <f t="shared" si="28"/>
        <v>2021</v>
      </c>
      <c r="F406" s="1">
        <v>405</v>
      </c>
      <c r="G406" s="1">
        <v>56</v>
      </c>
      <c r="H406" s="1">
        <v>54</v>
      </c>
      <c r="I406" s="2">
        <v>0.96430000000000005</v>
      </c>
      <c r="J406" s="1">
        <v>2</v>
      </c>
      <c r="K406" s="3">
        <v>1.5046296296296297E-4</v>
      </c>
      <c r="L406" s="3">
        <v>1.7708333333333332E-3</v>
      </c>
      <c r="M406" s="3">
        <v>1.5393518518518519E-3</v>
      </c>
      <c r="N406" s="2">
        <v>0.87270000000000003</v>
      </c>
      <c r="O406" s="5">
        <f t="shared" si="16"/>
        <v>9.5625000000000002E-2</v>
      </c>
      <c r="P406" s="5">
        <f t="shared" si="17"/>
        <v>5.7374999999999998</v>
      </c>
      <c r="Q406" s="5">
        <f t="shared" si="18"/>
        <v>9.9166666666666667E-2</v>
      </c>
      <c r="R406" s="5">
        <f t="shared" si="19"/>
        <v>5.95</v>
      </c>
    </row>
    <row r="407" spans="1:18">
      <c r="A407" s="4">
        <v>44236</v>
      </c>
      <c r="B407" s="1" t="s">
        <v>24</v>
      </c>
      <c r="C407" s="1">
        <f t="shared" si="26"/>
        <v>2</v>
      </c>
      <c r="D407" s="1">
        <f t="shared" si="27"/>
        <v>9</v>
      </c>
      <c r="E407" s="1">
        <f t="shared" si="28"/>
        <v>2021</v>
      </c>
      <c r="F407" s="1">
        <v>406</v>
      </c>
      <c r="G407" s="1">
        <v>215</v>
      </c>
      <c r="H407" s="1">
        <v>210</v>
      </c>
      <c r="I407" s="2">
        <v>0.97670000000000001</v>
      </c>
      <c r="J407" s="1">
        <v>5</v>
      </c>
      <c r="K407" s="3">
        <v>1.3888888888888889E-4</v>
      </c>
      <c r="L407" s="3">
        <v>1.0879629629629629E-3</v>
      </c>
      <c r="M407" s="3">
        <v>1.1805555555555556E-3</v>
      </c>
      <c r="N407" s="2">
        <v>0.87739999999999996</v>
      </c>
      <c r="O407" s="5">
        <f t="shared" si="16"/>
        <v>0.22847222222222222</v>
      </c>
      <c r="P407" s="5">
        <f t="shared" si="17"/>
        <v>13.708333333333332</v>
      </c>
      <c r="Q407" s="5">
        <f t="shared" si="18"/>
        <v>0.23391203703703703</v>
      </c>
      <c r="R407" s="5">
        <f t="shared" si="19"/>
        <v>14.034722222222221</v>
      </c>
    </row>
    <row r="408" spans="1:18">
      <c r="A408" s="4">
        <v>44237</v>
      </c>
      <c r="B408" s="1" t="s">
        <v>18</v>
      </c>
      <c r="C408" s="1">
        <f t="shared" si="26"/>
        <v>2</v>
      </c>
      <c r="D408" s="1">
        <f t="shared" si="27"/>
        <v>10</v>
      </c>
      <c r="E408" s="1">
        <f t="shared" si="28"/>
        <v>2021</v>
      </c>
      <c r="F408" s="1">
        <v>407</v>
      </c>
      <c r="G408" s="1">
        <v>50</v>
      </c>
      <c r="H408" s="1">
        <v>46</v>
      </c>
      <c r="I408" s="2">
        <v>0.92</v>
      </c>
      <c r="J408" s="1">
        <v>4</v>
      </c>
      <c r="K408" s="3">
        <v>1.6203703703703703E-4</v>
      </c>
      <c r="L408" s="3">
        <v>1.8749999999999999E-3</v>
      </c>
      <c r="M408" s="3">
        <v>8.4490740740740739E-4</v>
      </c>
      <c r="N408" s="2">
        <v>0.72</v>
      </c>
      <c r="O408" s="5">
        <f t="shared" si="16"/>
        <v>8.6249999999999993E-2</v>
      </c>
      <c r="P408" s="5">
        <f t="shared" si="17"/>
        <v>5.1749999999999998</v>
      </c>
      <c r="Q408" s="5">
        <f t="shared" si="18"/>
        <v>9.375E-2</v>
      </c>
      <c r="R408" s="5">
        <f t="shared" si="19"/>
        <v>5.625</v>
      </c>
    </row>
    <row r="409" spans="1:18">
      <c r="A409" s="4">
        <v>44238</v>
      </c>
      <c r="B409" s="1" t="s">
        <v>19</v>
      </c>
      <c r="C409" s="1">
        <f t="shared" si="26"/>
        <v>2</v>
      </c>
      <c r="D409" s="1">
        <f t="shared" si="27"/>
        <v>11</v>
      </c>
      <c r="E409" s="1">
        <f t="shared" si="28"/>
        <v>2021</v>
      </c>
      <c r="F409" s="1">
        <v>408</v>
      </c>
      <c r="G409" s="1">
        <v>136</v>
      </c>
      <c r="H409" s="1">
        <v>129</v>
      </c>
      <c r="I409" s="2">
        <v>0.94850000000000001</v>
      </c>
      <c r="J409" s="1">
        <v>7</v>
      </c>
      <c r="K409" s="3">
        <v>2.5462962962962961E-4</v>
      </c>
      <c r="L409" s="3">
        <v>1.6898148148148148E-3</v>
      </c>
      <c r="M409" s="3">
        <v>1.736111111111111E-3</v>
      </c>
      <c r="N409" s="2">
        <v>0.66420000000000001</v>
      </c>
      <c r="O409" s="5">
        <f t="shared" si="16"/>
        <v>0.2179861111111111</v>
      </c>
      <c r="P409" s="5">
        <f t="shared" si="17"/>
        <v>13.079166666666666</v>
      </c>
      <c r="Q409" s="5">
        <f t="shared" si="18"/>
        <v>0.22981481481481481</v>
      </c>
      <c r="R409" s="5">
        <f t="shared" si="19"/>
        <v>13.788888888888888</v>
      </c>
    </row>
    <row r="410" spans="1:18">
      <c r="A410" s="4">
        <v>44239</v>
      </c>
      <c r="B410" s="1" t="s">
        <v>20</v>
      </c>
      <c r="C410" s="1">
        <f t="shared" si="26"/>
        <v>2</v>
      </c>
      <c r="D410" s="1">
        <f t="shared" si="27"/>
        <v>12</v>
      </c>
      <c r="E410" s="1">
        <f t="shared" si="28"/>
        <v>2021</v>
      </c>
      <c r="F410" s="1">
        <v>409</v>
      </c>
      <c r="G410" s="1">
        <v>160</v>
      </c>
      <c r="H410" s="1">
        <v>142</v>
      </c>
      <c r="I410" s="2">
        <v>0.88749999999999996</v>
      </c>
      <c r="J410" s="1">
        <v>18</v>
      </c>
      <c r="K410" s="3">
        <v>4.0509259259259258E-4</v>
      </c>
      <c r="L410" s="3">
        <v>1.7824074074074075E-3</v>
      </c>
      <c r="M410" s="3">
        <v>2.1990740740740742E-3</v>
      </c>
      <c r="N410" s="2">
        <v>0.55920000000000003</v>
      </c>
      <c r="O410" s="5">
        <f t="shared" si="16"/>
        <v>0.25310185185185186</v>
      </c>
      <c r="P410" s="5">
        <f t="shared" si="17"/>
        <v>15.186111111111112</v>
      </c>
      <c r="Q410" s="5">
        <f t="shared" si="18"/>
        <v>0.28518518518518521</v>
      </c>
      <c r="R410" s="5">
        <f t="shared" si="19"/>
        <v>17.111111111111114</v>
      </c>
    </row>
    <row r="411" spans="1:18">
      <c r="A411" s="4">
        <v>44240</v>
      </c>
      <c r="B411" s="1" t="s">
        <v>21</v>
      </c>
      <c r="C411" s="1">
        <f t="shared" si="26"/>
        <v>2</v>
      </c>
      <c r="D411" s="1">
        <f t="shared" si="27"/>
        <v>13</v>
      </c>
      <c r="E411" s="1">
        <f t="shared" si="28"/>
        <v>2021</v>
      </c>
      <c r="F411" s="1">
        <v>410</v>
      </c>
      <c r="G411" s="1">
        <v>132</v>
      </c>
      <c r="H411" s="1">
        <v>115</v>
      </c>
      <c r="I411" s="2">
        <v>0.87119999999999997</v>
      </c>
      <c r="J411" s="1">
        <v>17</v>
      </c>
      <c r="K411" s="3">
        <v>4.1666666666666669E-4</v>
      </c>
      <c r="L411" s="3">
        <v>1.7013888888888888E-3</v>
      </c>
      <c r="M411" s="3">
        <v>3.1828703703703702E-3</v>
      </c>
      <c r="N411" s="2">
        <v>0.4884</v>
      </c>
      <c r="O411" s="5">
        <f t="shared" si="16"/>
        <v>0.19565972222222222</v>
      </c>
      <c r="P411" s="5">
        <f t="shared" si="17"/>
        <v>11.739583333333334</v>
      </c>
      <c r="Q411" s="5">
        <f t="shared" si="18"/>
        <v>0.22458333333333333</v>
      </c>
      <c r="R411" s="5">
        <f t="shared" si="19"/>
        <v>13.475</v>
      </c>
    </row>
    <row r="412" spans="1:18">
      <c r="A412" s="4">
        <v>44241</v>
      </c>
      <c r="B412" s="1" t="s">
        <v>22</v>
      </c>
      <c r="C412" s="1">
        <f t="shared" si="26"/>
        <v>2</v>
      </c>
      <c r="D412" s="1">
        <f t="shared" si="27"/>
        <v>14</v>
      </c>
      <c r="E412" s="1">
        <f t="shared" si="28"/>
        <v>2021</v>
      </c>
      <c r="F412" s="1">
        <v>411</v>
      </c>
      <c r="G412" s="1">
        <v>30</v>
      </c>
      <c r="H412" s="1">
        <v>28</v>
      </c>
      <c r="I412" s="2">
        <v>0.93330000000000002</v>
      </c>
      <c r="J412" s="1">
        <v>2</v>
      </c>
      <c r="K412" s="3">
        <v>5.4398148148148144E-4</v>
      </c>
      <c r="L412" s="3">
        <v>1.8055555555555555E-3</v>
      </c>
      <c r="M412" s="3">
        <v>1.6435185185185185E-3</v>
      </c>
      <c r="N412" s="2">
        <v>0.4</v>
      </c>
      <c r="O412" s="5">
        <f t="shared" si="16"/>
        <v>5.0555555555555555E-2</v>
      </c>
      <c r="P412" s="5">
        <f t="shared" si="17"/>
        <v>3.0333333333333332</v>
      </c>
      <c r="Q412" s="5">
        <f t="shared" si="18"/>
        <v>5.4166666666666662E-2</v>
      </c>
      <c r="R412" s="5">
        <f t="shared" si="19"/>
        <v>3.2499999999999996</v>
      </c>
    </row>
    <row r="413" spans="1:18">
      <c r="A413" s="4">
        <v>44242</v>
      </c>
      <c r="B413" s="1" t="s">
        <v>23</v>
      </c>
      <c r="C413" s="1">
        <f t="shared" si="26"/>
        <v>2</v>
      </c>
      <c r="D413" s="1">
        <f t="shared" si="27"/>
        <v>15</v>
      </c>
      <c r="E413" s="1">
        <f t="shared" si="28"/>
        <v>2021</v>
      </c>
      <c r="F413" s="1">
        <v>412</v>
      </c>
      <c r="G413" s="1">
        <v>150</v>
      </c>
      <c r="H413" s="1">
        <v>140</v>
      </c>
      <c r="I413" s="2">
        <v>0.93330000000000002</v>
      </c>
      <c r="J413" s="1">
        <v>10</v>
      </c>
      <c r="K413" s="3">
        <v>3.3564814814814812E-4</v>
      </c>
      <c r="L413" s="3">
        <v>1.7592592592592592E-3</v>
      </c>
      <c r="M413" s="3">
        <v>1.5162037037037036E-3</v>
      </c>
      <c r="N413" s="2">
        <v>0.63090000000000002</v>
      </c>
      <c r="O413" s="5">
        <f t="shared" si="16"/>
        <v>0.24629629629629629</v>
      </c>
      <c r="P413" s="5">
        <f t="shared" si="17"/>
        <v>14.777777777777777</v>
      </c>
      <c r="Q413" s="5">
        <f t="shared" si="18"/>
        <v>0.2638888888888889</v>
      </c>
      <c r="R413" s="5">
        <f t="shared" si="19"/>
        <v>15.833333333333334</v>
      </c>
    </row>
    <row r="414" spans="1:18">
      <c r="A414" s="4">
        <v>44243</v>
      </c>
      <c r="B414" s="1" t="s">
        <v>24</v>
      </c>
      <c r="C414" s="1">
        <f t="shared" si="26"/>
        <v>2</v>
      </c>
      <c r="D414" s="1">
        <f t="shared" si="27"/>
        <v>16</v>
      </c>
      <c r="E414" s="1">
        <f t="shared" si="28"/>
        <v>2021</v>
      </c>
      <c r="F414" s="1">
        <v>413</v>
      </c>
      <c r="G414" s="1">
        <v>160</v>
      </c>
      <c r="H414" s="1">
        <v>144</v>
      </c>
      <c r="I414" s="2">
        <v>0.9</v>
      </c>
      <c r="J414" s="1">
        <v>16</v>
      </c>
      <c r="K414" s="3">
        <v>5.3240740740740744E-4</v>
      </c>
      <c r="L414" s="3">
        <v>1.8402777777777777E-3</v>
      </c>
      <c r="M414" s="3">
        <v>3.0671296296296297E-3</v>
      </c>
      <c r="N414" s="2">
        <v>0.49680000000000002</v>
      </c>
      <c r="O414" s="5">
        <f t="shared" si="16"/>
        <v>0.26500000000000001</v>
      </c>
      <c r="P414" s="5">
        <f t="shared" si="17"/>
        <v>15.9</v>
      </c>
      <c r="Q414" s="5">
        <f t="shared" si="18"/>
        <v>0.29444444444444445</v>
      </c>
      <c r="R414" s="5">
        <f t="shared" si="19"/>
        <v>17.666666666666668</v>
      </c>
    </row>
    <row r="415" spans="1:18">
      <c r="A415" s="4">
        <v>44244</v>
      </c>
      <c r="B415" s="1" t="s">
        <v>18</v>
      </c>
      <c r="C415" s="1">
        <f t="shared" si="26"/>
        <v>2</v>
      </c>
      <c r="D415" s="1">
        <f t="shared" si="27"/>
        <v>17</v>
      </c>
      <c r="E415" s="1">
        <f t="shared" si="28"/>
        <v>2021</v>
      </c>
      <c r="F415" s="1">
        <v>414</v>
      </c>
      <c r="G415" s="1">
        <v>132</v>
      </c>
      <c r="H415" s="1">
        <v>122</v>
      </c>
      <c r="I415" s="2">
        <v>0.92420000000000002</v>
      </c>
      <c r="J415" s="1">
        <v>10</v>
      </c>
      <c r="K415" s="3">
        <v>4.2824074074074075E-4</v>
      </c>
      <c r="L415" s="3">
        <v>1.8287037037037037E-3</v>
      </c>
      <c r="M415" s="3">
        <v>2.673611111111111E-3</v>
      </c>
      <c r="N415" s="2">
        <v>0.5</v>
      </c>
      <c r="O415" s="5">
        <f t="shared" si="16"/>
        <v>0.22310185185185186</v>
      </c>
      <c r="P415" s="5">
        <f t="shared" si="17"/>
        <v>13.386111111111111</v>
      </c>
      <c r="Q415" s="5">
        <f t="shared" si="18"/>
        <v>0.24138888888888888</v>
      </c>
      <c r="R415" s="5">
        <f t="shared" si="19"/>
        <v>14.483333333333333</v>
      </c>
    </row>
    <row r="416" spans="1:18">
      <c r="A416" s="4">
        <v>44245</v>
      </c>
      <c r="B416" s="1" t="s">
        <v>19</v>
      </c>
      <c r="C416" s="1">
        <f t="shared" si="26"/>
        <v>2</v>
      </c>
      <c r="D416" s="1">
        <f t="shared" si="27"/>
        <v>18</v>
      </c>
      <c r="E416" s="1">
        <f t="shared" si="28"/>
        <v>2021</v>
      </c>
      <c r="F416" s="1">
        <v>415</v>
      </c>
      <c r="G416" s="1">
        <v>161</v>
      </c>
      <c r="H416" s="1">
        <v>151</v>
      </c>
      <c r="I416" s="2">
        <v>0.93789999999999996</v>
      </c>
      <c r="J416" s="1">
        <v>10</v>
      </c>
      <c r="K416" s="3">
        <v>3.2407407407407406E-4</v>
      </c>
      <c r="L416" s="3">
        <v>1.4699074074074074E-3</v>
      </c>
      <c r="M416" s="3">
        <v>1.9675925925925924E-3</v>
      </c>
      <c r="N416" s="2">
        <v>0.6139</v>
      </c>
      <c r="O416" s="5">
        <f t="shared" si="16"/>
        <v>0.22195601851851851</v>
      </c>
      <c r="P416" s="5">
        <f t="shared" si="17"/>
        <v>13.317361111111111</v>
      </c>
      <c r="Q416" s="5">
        <f t="shared" si="18"/>
        <v>0.2366550925925926</v>
      </c>
      <c r="R416" s="5">
        <f t="shared" si="19"/>
        <v>14.199305555555556</v>
      </c>
    </row>
    <row r="417" spans="1:18">
      <c r="A417" s="4">
        <v>44246</v>
      </c>
      <c r="B417" s="1" t="s">
        <v>20</v>
      </c>
      <c r="C417" s="1">
        <f t="shared" si="26"/>
        <v>2</v>
      </c>
      <c r="D417" s="1">
        <f t="shared" si="27"/>
        <v>19</v>
      </c>
      <c r="E417" s="1">
        <f t="shared" si="28"/>
        <v>2021</v>
      </c>
      <c r="F417" s="1">
        <v>416</v>
      </c>
      <c r="G417" s="1">
        <v>156</v>
      </c>
      <c r="H417" s="1">
        <v>149</v>
      </c>
      <c r="I417" s="2">
        <v>0.95509999999999995</v>
      </c>
      <c r="J417" s="1">
        <v>7</v>
      </c>
      <c r="K417" s="3">
        <v>2.5462962962962961E-4</v>
      </c>
      <c r="L417" s="3">
        <v>1.712962962962963E-3</v>
      </c>
      <c r="M417" s="3">
        <v>2.9050925925925928E-3</v>
      </c>
      <c r="N417" s="2">
        <v>0.70320000000000005</v>
      </c>
      <c r="O417" s="5">
        <f t="shared" si="16"/>
        <v>0.2552314814814815</v>
      </c>
      <c r="P417" s="5">
        <f t="shared" si="17"/>
        <v>15.31388888888889</v>
      </c>
      <c r="Q417" s="5">
        <f t="shared" si="18"/>
        <v>0.26722222222222225</v>
      </c>
      <c r="R417" s="5">
        <f t="shared" si="19"/>
        <v>16.033333333333335</v>
      </c>
    </row>
    <row r="418" spans="1:18">
      <c r="A418" s="4">
        <v>44247</v>
      </c>
      <c r="B418" s="1" t="s">
        <v>21</v>
      </c>
      <c r="C418" s="1">
        <f t="shared" si="26"/>
        <v>2</v>
      </c>
      <c r="D418" s="1">
        <f t="shared" si="27"/>
        <v>20</v>
      </c>
      <c r="E418" s="1">
        <f t="shared" si="28"/>
        <v>2021</v>
      </c>
      <c r="F418" s="1">
        <v>417</v>
      </c>
      <c r="G418" s="1">
        <v>137</v>
      </c>
      <c r="H418" s="1">
        <v>128</v>
      </c>
      <c r="I418" s="2">
        <v>0.93430000000000002</v>
      </c>
      <c r="J418" s="1">
        <v>9</v>
      </c>
      <c r="K418" s="3">
        <v>3.5879629629629629E-4</v>
      </c>
      <c r="L418" s="3">
        <v>1.736111111111111E-3</v>
      </c>
      <c r="M418" s="3">
        <v>3.5185185185185185E-3</v>
      </c>
      <c r="N418" s="2">
        <v>0.62690000000000001</v>
      </c>
      <c r="O418" s="5">
        <f t="shared" si="16"/>
        <v>0.22222222222222221</v>
      </c>
      <c r="P418" s="5">
        <f t="shared" si="17"/>
        <v>13.333333333333332</v>
      </c>
      <c r="Q418" s="5">
        <f t="shared" si="18"/>
        <v>0.23784722222222221</v>
      </c>
      <c r="R418" s="5">
        <f t="shared" si="19"/>
        <v>14.270833333333332</v>
      </c>
    </row>
    <row r="419" spans="1:18">
      <c r="A419" s="4">
        <v>44248</v>
      </c>
      <c r="B419" s="1" t="s">
        <v>22</v>
      </c>
      <c r="C419" s="1">
        <f t="shared" si="26"/>
        <v>2</v>
      </c>
      <c r="D419" s="1">
        <f t="shared" si="27"/>
        <v>21</v>
      </c>
      <c r="E419" s="1">
        <f t="shared" si="28"/>
        <v>2021</v>
      </c>
      <c r="F419" s="1">
        <v>418</v>
      </c>
      <c r="G419" s="1">
        <v>28</v>
      </c>
      <c r="H419" s="1">
        <v>25</v>
      </c>
      <c r="I419" s="2">
        <v>0.89290000000000003</v>
      </c>
      <c r="J419" s="1">
        <v>3</v>
      </c>
      <c r="K419" s="3">
        <v>6.9444444444444447E-4</v>
      </c>
      <c r="L419" s="3">
        <v>1.9328703703703704E-3</v>
      </c>
      <c r="M419" s="3">
        <v>3.3101851851851851E-3</v>
      </c>
      <c r="N419" s="2">
        <v>0.32140000000000002</v>
      </c>
      <c r="O419" s="5">
        <f t="shared" si="16"/>
        <v>4.8321759259259259E-2</v>
      </c>
      <c r="P419" s="5">
        <f t="shared" si="17"/>
        <v>2.8993055555555554</v>
      </c>
      <c r="Q419" s="5">
        <f t="shared" si="18"/>
        <v>5.4120370370370374E-2</v>
      </c>
      <c r="R419" s="5">
        <f t="shared" si="19"/>
        <v>3.2472222222222227</v>
      </c>
    </row>
    <row r="420" spans="1:18">
      <c r="A420" s="4">
        <v>44249</v>
      </c>
      <c r="B420" s="1" t="s">
        <v>23</v>
      </c>
      <c r="C420" s="1">
        <f t="shared" si="26"/>
        <v>2</v>
      </c>
      <c r="D420" s="1">
        <f t="shared" si="27"/>
        <v>22</v>
      </c>
      <c r="E420" s="1">
        <f t="shared" si="28"/>
        <v>2021</v>
      </c>
      <c r="F420" s="1">
        <v>419</v>
      </c>
      <c r="G420" s="1">
        <v>141</v>
      </c>
      <c r="H420" s="1">
        <v>133</v>
      </c>
      <c r="I420" s="2">
        <v>0.94330000000000003</v>
      </c>
      <c r="J420" s="1">
        <v>8</v>
      </c>
      <c r="K420" s="3">
        <v>3.8194444444444446E-4</v>
      </c>
      <c r="L420" s="3">
        <v>1.8749999999999999E-3</v>
      </c>
      <c r="M420" s="3">
        <v>3.2175925925925926E-3</v>
      </c>
      <c r="N420" s="2">
        <v>0.6331</v>
      </c>
      <c r="O420" s="5">
        <f t="shared" si="16"/>
        <v>0.24937499999999999</v>
      </c>
      <c r="P420" s="5">
        <f t="shared" si="17"/>
        <v>14.962499999999999</v>
      </c>
      <c r="Q420" s="5">
        <f t="shared" si="18"/>
        <v>0.26437499999999997</v>
      </c>
      <c r="R420" s="5">
        <f t="shared" si="19"/>
        <v>15.862499999999999</v>
      </c>
    </row>
    <row r="421" spans="1:18">
      <c r="A421" s="4">
        <v>44250</v>
      </c>
      <c r="B421" s="1" t="s">
        <v>24</v>
      </c>
      <c r="C421" s="1">
        <f t="shared" si="26"/>
        <v>2</v>
      </c>
      <c r="D421" s="1">
        <f t="shared" si="27"/>
        <v>23</v>
      </c>
      <c r="E421" s="1">
        <f t="shared" si="28"/>
        <v>2021</v>
      </c>
      <c r="F421" s="1">
        <v>420</v>
      </c>
      <c r="G421" s="1">
        <v>130</v>
      </c>
      <c r="H421" s="1">
        <v>123</v>
      </c>
      <c r="I421" s="2">
        <v>0.94620000000000004</v>
      </c>
      <c r="J421" s="1">
        <v>7</v>
      </c>
      <c r="K421" s="3">
        <v>3.7037037037037035E-4</v>
      </c>
      <c r="L421" s="3">
        <v>1.8518518518518519E-3</v>
      </c>
      <c r="M421" s="3">
        <v>1.6203703703703703E-3</v>
      </c>
      <c r="N421" s="2">
        <v>0.53490000000000004</v>
      </c>
      <c r="O421" s="5">
        <f t="shared" si="16"/>
        <v>0.22777777777777777</v>
      </c>
      <c r="P421" s="5">
        <f t="shared" si="17"/>
        <v>13.666666666666666</v>
      </c>
      <c r="Q421" s="5">
        <f t="shared" si="18"/>
        <v>0.24074074074074076</v>
      </c>
      <c r="R421" s="5">
        <f t="shared" si="19"/>
        <v>14.444444444444445</v>
      </c>
    </row>
    <row r="422" spans="1:18">
      <c r="A422" s="4">
        <v>44251</v>
      </c>
      <c r="B422" s="1" t="s">
        <v>18</v>
      </c>
      <c r="C422" s="1">
        <f t="shared" si="26"/>
        <v>2</v>
      </c>
      <c r="D422" s="1">
        <f t="shared" si="27"/>
        <v>24</v>
      </c>
      <c r="E422" s="1">
        <f t="shared" si="28"/>
        <v>2021</v>
      </c>
      <c r="F422" s="1">
        <v>421</v>
      </c>
      <c r="G422" s="1">
        <v>161</v>
      </c>
      <c r="H422" s="1">
        <v>155</v>
      </c>
      <c r="I422" s="2">
        <v>0.9627</v>
      </c>
      <c r="J422" s="1">
        <v>6</v>
      </c>
      <c r="K422" s="3">
        <v>3.1250000000000001E-4</v>
      </c>
      <c r="L422" s="3">
        <v>1.8865740740740742E-3</v>
      </c>
      <c r="M422" s="3">
        <v>1.8865740740740742E-3</v>
      </c>
      <c r="N422" s="2">
        <v>0.73580000000000001</v>
      </c>
      <c r="O422" s="5">
        <f t="shared" si="16"/>
        <v>0.29241898148148149</v>
      </c>
      <c r="P422" s="5">
        <f t="shared" si="17"/>
        <v>17.545138888888889</v>
      </c>
      <c r="Q422" s="5">
        <f t="shared" si="18"/>
        <v>0.30373842592592593</v>
      </c>
      <c r="R422" s="5">
        <f t="shared" si="19"/>
        <v>18.224305555555556</v>
      </c>
    </row>
    <row r="423" spans="1:18">
      <c r="A423" s="4">
        <v>44252</v>
      </c>
      <c r="B423" s="1" t="s">
        <v>19</v>
      </c>
      <c r="C423" s="1">
        <f t="shared" si="26"/>
        <v>2</v>
      </c>
      <c r="D423" s="1">
        <f t="shared" si="27"/>
        <v>25</v>
      </c>
      <c r="E423" s="1">
        <f t="shared" si="28"/>
        <v>2021</v>
      </c>
      <c r="F423" s="1">
        <v>422</v>
      </c>
      <c r="G423" s="1">
        <v>139</v>
      </c>
      <c r="H423" s="1">
        <v>132</v>
      </c>
      <c r="I423" s="2">
        <v>0.9496</v>
      </c>
      <c r="J423" s="1">
        <v>7</v>
      </c>
      <c r="K423" s="3">
        <v>3.2407407407407406E-4</v>
      </c>
      <c r="L423" s="3">
        <v>1.8518518518518519E-3</v>
      </c>
      <c r="M423" s="3">
        <v>1.2847222222222223E-3</v>
      </c>
      <c r="N423" s="2">
        <v>0.6331</v>
      </c>
      <c r="O423" s="5">
        <f t="shared" si="16"/>
        <v>0.24444444444444446</v>
      </c>
      <c r="P423" s="5">
        <f t="shared" si="17"/>
        <v>14.666666666666668</v>
      </c>
      <c r="Q423" s="5">
        <f t="shared" si="18"/>
        <v>0.25740740740740742</v>
      </c>
      <c r="R423" s="5">
        <f t="shared" si="19"/>
        <v>15.444444444444445</v>
      </c>
    </row>
    <row r="424" spans="1:18">
      <c r="A424" s="4">
        <v>44253</v>
      </c>
      <c r="B424" s="1" t="s">
        <v>20</v>
      </c>
      <c r="C424" s="1">
        <f t="shared" si="26"/>
        <v>2</v>
      </c>
      <c r="D424" s="1">
        <f t="shared" si="27"/>
        <v>26</v>
      </c>
      <c r="E424" s="1">
        <f t="shared" si="28"/>
        <v>2021</v>
      </c>
      <c r="F424" s="1">
        <v>423</v>
      </c>
      <c r="G424" s="1">
        <v>167</v>
      </c>
      <c r="H424" s="1">
        <v>130</v>
      </c>
      <c r="I424" s="2">
        <v>0.77839999999999998</v>
      </c>
      <c r="J424" s="1">
        <v>37</v>
      </c>
      <c r="K424" s="3">
        <v>3.3564814814814812E-4</v>
      </c>
      <c r="L424" s="3">
        <v>1.7824074074074075E-3</v>
      </c>
      <c r="M424" s="3">
        <v>8.2870370370370372E-3</v>
      </c>
      <c r="N424" s="2">
        <v>0.54600000000000004</v>
      </c>
      <c r="O424" s="5">
        <f t="shared" si="16"/>
        <v>0.23171296296296298</v>
      </c>
      <c r="P424" s="5">
        <f t="shared" si="17"/>
        <v>13.902777777777779</v>
      </c>
      <c r="Q424" s="5">
        <f t="shared" si="18"/>
        <v>0.29766203703703703</v>
      </c>
      <c r="R424" s="5">
        <f t="shared" si="19"/>
        <v>17.859722222222221</v>
      </c>
    </row>
    <row r="425" spans="1:18">
      <c r="A425" s="4">
        <v>44254</v>
      </c>
      <c r="B425" s="1" t="s">
        <v>21</v>
      </c>
      <c r="C425" s="1">
        <f t="shared" si="26"/>
        <v>2</v>
      </c>
      <c r="D425" s="1">
        <f t="shared" si="27"/>
        <v>27</v>
      </c>
      <c r="E425" s="1">
        <f t="shared" si="28"/>
        <v>2021</v>
      </c>
      <c r="F425" s="1">
        <v>424</v>
      </c>
      <c r="G425" s="1">
        <v>138</v>
      </c>
      <c r="H425" s="1">
        <v>122</v>
      </c>
      <c r="I425" s="2">
        <v>0.8841</v>
      </c>
      <c r="J425" s="1">
        <v>16</v>
      </c>
      <c r="K425" s="3">
        <v>4.0509259259259258E-4</v>
      </c>
      <c r="L425" s="3">
        <v>1.9560185185185184E-3</v>
      </c>
      <c r="M425" s="3">
        <v>3.8194444444444443E-3</v>
      </c>
      <c r="N425" s="2">
        <v>0.57779999999999998</v>
      </c>
      <c r="O425" s="5">
        <f t="shared" si="16"/>
        <v>0.23863425925925924</v>
      </c>
      <c r="P425" s="5">
        <f t="shared" si="17"/>
        <v>14.318055555555555</v>
      </c>
      <c r="Q425" s="5">
        <f t="shared" si="18"/>
        <v>0.26993055555555556</v>
      </c>
      <c r="R425" s="5">
        <f t="shared" si="19"/>
        <v>16.195833333333333</v>
      </c>
    </row>
    <row r="426" spans="1:18">
      <c r="A426" s="4">
        <v>44255</v>
      </c>
      <c r="B426" s="1" t="s">
        <v>22</v>
      </c>
      <c r="C426" s="1">
        <f t="shared" si="26"/>
        <v>2</v>
      </c>
      <c r="D426" s="1">
        <f t="shared" si="27"/>
        <v>28</v>
      </c>
      <c r="E426" s="1">
        <f t="shared" si="28"/>
        <v>2021</v>
      </c>
      <c r="F426" s="1">
        <v>425</v>
      </c>
      <c r="G426" s="1">
        <v>47</v>
      </c>
      <c r="H426" s="1">
        <v>44</v>
      </c>
      <c r="I426" s="2">
        <v>0.93620000000000003</v>
      </c>
      <c r="J426" s="1">
        <v>3</v>
      </c>
      <c r="K426" s="3">
        <v>3.0092592592592595E-4</v>
      </c>
      <c r="L426" s="3">
        <v>2.2106481481481482E-3</v>
      </c>
      <c r="M426" s="3">
        <v>2.4189814814814816E-3</v>
      </c>
      <c r="N426" s="2">
        <v>0.63039999999999996</v>
      </c>
      <c r="O426" s="5">
        <f t="shared" si="16"/>
        <v>9.7268518518518518E-2</v>
      </c>
      <c r="P426" s="5">
        <f t="shared" si="17"/>
        <v>5.8361111111111112</v>
      </c>
      <c r="Q426" s="5">
        <f t="shared" si="18"/>
        <v>0.10390046296296297</v>
      </c>
      <c r="R426" s="5">
        <f t="shared" si="19"/>
        <v>6.2340277777777784</v>
      </c>
    </row>
    <row r="427" spans="1:18">
      <c r="A427" s="4">
        <v>44256</v>
      </c>
      <c r="B427" s="1" t="s">
        <v>23</v>
      </c>
      <c r="C427" s="1">
        <f t="shared" si="26"/>
        <v>3</v>
      </c>
      <c r="D427" s="1">
        <f t="shared" si="27"/>
        <v>1</v>
      </c>
      <c r="E427" s="1">
        <f t="shared" si="28"/>
        <v>2021</v>
      </c>
      <c r="F427" s="1">
        <v>426</v>
      </c>
      <c r="G427" s="1">
        <v>230</v>
      </c>
      <c r="H427" s="1">
        <v>206</v>
      </c>
      <c r="I427" s="2">
        <v>0.89570000000000005</v>
      </c>
      <c r="J427" s="1">
        <v>24</v>
      </c>
      <c r="K427" s="3">
        <v>4.3981481481481481E-4</v>
      </c>
      <c r="L427" s="3">
        <v>1.7824074074074075E-3</v>
      </c>
      <c r="M427" s="3">
        <v>3.1828703703703702E-3</v>
      </c>
      <c r="N427" s="2">
        <v>0.4672</v>
      </c>
      <c r="O427" s="5">
        <f t="shared" si="16"/>
        <v>0.36717592592592596</v>
      </c>
      <c r="P427" s="5">
        <f t="shared" si="17"/>
        <v>22.030555555555559</v>
      </c>
      <c r="Q427" s="5">
        <f t="shared" si="18"/>
        <v>0.40995370370370371</v>
      </c>
      <c r="R427" s="5">
        <f t="shared" si="19"/>
        <v>24.597222222222221</v>
      </c>
    </row>
    <row r="428" spans="1:18">
      <c r="A428" s="4">
        <v>44257</v>
      </c>
      <c r="B428" s="1" t="s">
        <v>24</v>
      </c>
      <c r="C428" s="1">
        <f t="shared" si="26"/>
        <v>3</v>
      </c>
      <c r="D428" s="1">
        <f t="shared" si="27"/>
        <v>2</v>
      </c>
      <c r="E428" s="1">
        <f t="shared" si="28"/>
        <v>2021</v>
      </c>
      <c r="F428" s="1">
        <v>427</v>
      </c>
      <c r="G428" s="1">
        <v>177</v>
      </c>
      <c r="H428" s="1">
        <v>153</v>
      </c>
      <c r="I428" s="2">
        <v>0.86439999999999995</v>
      </c>
      <c r="J428" s="1">
        <v>24</v>
      </c>
      <c r="K428" s="3">
        <v>3.4722222222222224E-4</v>
      </c>
      <c r="L428" s="3">
        <v>2.0023148148148148E-3</v>
      </c>
      <c r="M428" s="3">
        <v>3.1018518518518517E-3</v>
      </c>
      <c r="N428" s="2">
        <v>0.55489999999999995</v>
      </c>
      <c r="O428" s="5">
        <f t="shared" si="16"/>
        <v>0.30635416666666665</v>
      </c>
      <c r="P428" s="5">
        <f t="shared" si="17"/>
        <v>18.381249999999998</v>
      </c>
      <c r="Q428" s="5">
        <f t="shared" si="18"/>
        <v>0.35440972222222222</v>
      </c>
      <c r="R428" s="5">
        <f t="shared" si="19"/>
        <v>21.264583333333334</v>
      </c>
    </row>
    <row r="429" spans="1:18">
      <c r="A429" s="4">
        <v>44258</v>
      </c>
      <c r="B429" s="1" t="s">
        <v>18</v>
      </c>
      <c r="C429" s="1">
        <f t="shared" si="26"/>
        <v>3</v>
      </c>
      <c r="D429" s="1">
        <f t="shared" si="27"/>
        <v>3</v>
      </c>
      <c r="E429" s="1">
        <f t="shared" si="28"/>
        <v>2021</v>
      </c>
      <c r="F429" s="1">
        <v>428</v>
      </c>
      <c r="G429" s="1">
        <v>159</v>
      </c>
      <c r="H429" s="1">
        <v>149</v>
      </c>
      <c r="I429" s="2">
        <v>0.93710000000000004</v>
      </c>
      <c r="J429" s="1">
        <v>10</v>
      </c>
      <c r="K429" s="3">
        <v>3.8194444444444446E-4</v>
      </c>
      <c r="L429" s="3">
        <v>1.8518518518518519E-3</v>
      </c>
      <c r="M429" s="3">
        <v>3.1481481481481482E-3</v>
      </c>
      <c r="N429" s="2">
        <v>0.61040000000000005</v>
      </c>
      <c r="O429" s="5">
        <f t="shared" si="16"/>
        <v>0.27592592592592596</v>
      </c>
      <c r="P429" s="5">
        <f t="shared" si="17"/>
        <v>16.555555555555557</v>
      </c>
      <c r="Q429" s="5">
        <f t="shared" si="18"/>
        <v>0.29444444444444445</v>
      </c>
      <c r="R429" s="5">
        <f t="shared" si="19"/>
        <v>17.666666666666668</v>
      </c>
    </row>
    <row r="430" spans="1:18">
      <c r="A430" s="4">
        <v>44259</v>
      </c>
      <c r="B430" s="1" t="s">
        <v>19</v>
      </c>
      <c r="C430" s="1">
        <f t="shared" si="26"/>
        <v>3</v>
      </c>
      <c r="D430" s="1">
        <f t="shared" si="27"/>
        <v>4</v>
      </c>
      <c r="E430" s="1">
        <f t="shared" si="28"/>
        <v>2021</v>
      </c>
      <c r="F430" s="1">
        <v>429</v>
      </c>
      <c r="G430" s="1">
        <v>151</v>
      </c>
      <c r="H430" s="1">
        <v>135</v>
      </c>
      <c r="I430" s="2">
        <v>0.89400000000000002</v>
      </c>
      <c r="J430" s="1">
        <v>16</v>
      </c>
      <c r="K430" s="3">
        <v>4.1666666666666669E-4</v>
      </c>
      <c r="L430" s="3">
        <v>1.7592592592592592E-3</v>
      </c>
      <c r="M430" s="3">
        <v>3.2523148148148147E-3</v>
      </c>
      <c r="N430" s="2">
        <v>0.52739999999999998</v>
      </c>
      <c r="O430" s="5">
        <f t="shared" si="16"/>
        <v>0.23749999999999999</v>
      </c>
      <c r="P430" s="5">
        <f t="shared" si="17"/>
        <v>14.25</v>
      </c>
      <c r="Q430" s="5">
        <f t="shared" si="18"/>
        <v>0.26564814814814813</v>
      </c>
      <c r="R430" s="5">
        <f t="shared" si="19"/>
        <v>15.938888888888888</v>
      </c>
    </row>
    <row r="431" spans="1:18">
      <c r="A431" s="4">
        <v>44260</v>
      </c>
      <c r="B431" s="1" t="s">
        <v>20</v>
      </c>
      <c r="C431" s="1">
        <f t="shared" si="26"/>
        <v>3</v>
      </c>
      <c r="D431" s="1">
        <f t="shared" si="27"/>
        <v>5</v>
      </c>
      <c r="E431" s="1">
        <f t="shared" si="28"/>
        <v>2021</v>
      </c>
      <c r="F431" s="1">
        <v>430</v>
      </c>
      <c r="G431" s="1">
        <v>138</v>
      </c>
      <c r="H431" s="1">
        <v>126</v>
      </c>
      <c r="I431" s="2">
        <v>0.91300000000000003</v>
      </c>
      <c r="J431" s="1">
        <v>12</v>
      </c>
      <c r="K431" s="3">
        <v>3.9351851851851852E-4</v>
      </c>
      <c r="L431" s="3">
        <v>1.5856481481481481E-3</v>
      </c>
      <c r="M431" s="3">
        <v>2.8935185185185184E-3</v>
      </c>
      <c r="N431" s="2">
        <v>0.59699999999999998</v>
      </c>
      <c r="O431" s="5">
        <f t="shared" si="16"/>
        <v>0.19979166666666667</v>
      </c>
      <c r="P431" s="5">
        <f t="shared" si="17"/>
        <v>11.987500000000001</v>
      </c>
      <c r="Q431" s="5">
        <f t="shared" si="18"/>
        <v>0.21881944444444443</v>
      </c>
      <c r="R431" s="5">
        <f t="shared" si="19"/>
        <v>13.129166666666666</v>
      </c>
    </row>
    <row r="432" spans="1:18">
      <c r="A432" s="4">
        <v>44261</v>
      </c>
      <c r="B432" s="1" t="s">
        <v>21</v>
      </c>
      <c r="C432" s="1">
        <f t="shared" si="26"/>
        <v>3</v>
      </c>
      <c r="D432" s="1">
        <f t="shared" si="27"/>
        <v>6</v>
      </c>
      <c r="E432" s="1">
        <f t="shared" si="28"/>
        <v>2021</v>
      </c>
      <c r="F432" s="1">
        <v>431</v>
      </c>
      <c r="G432" s="1">
        <v>118</v>
      </c>
      <c r="H432" s="1">
        <v>118</v>
      </c>
      <c r="I432" s="2">
        <v>1</v>
      </c>
      <c r="J432" s="1">
        <v>0</v>
      </c>
      <c r="K432" s="3">
        <v>3.0092592592592595E-4</v>
      </c>
      <c r="L432" s="3">
        <v>1.7708333333333332E-3</v>
      </c>
      <c r="M432" s="3">
        <v>1.1342592592592593E-3</v>
      </c>
      <c r="N432" s="2">
        <v>0.66100000000000003</v>
      </c>
      <c r="O432" s="5">
        <f t="shared" si="16"/>
        <v>0.20895833333333333</v>
      </c>
      <c r="P432" s="5">
        <f t="shared" si="17"/>
        <v>12.5375</v>
      </c>
      <c r="Q432" s="5">
        <f t="shared" si="18"/>
        <v>0.20895833333333333</v>
      </c>
      <c r="R432" s="5">
        <f t="shared" si="19"/>
        <v>12.5375</v>
      </c>
    </row>
    <row r="433" spans="1:18">
      <c r="A433" s="4">
        <v>44262</v>
      </c>
      <c r="B433" s="1" t="s">
        <v>22</v>
      </c>
      <c r="C433" s="1">
        <f t="shared" si="26"/>
        <v>3</v>
      </c>
      <c r="D433" s="1">
        <f t="shared" si="27"/>
        <v>7</v>
      </c>
      <c r="E433" s="1">
        <f t="shared" si="28"/>
        <v>2021</v>
      </c>
      <c r="F433" s="1">
        <v>432</v>
      </c>
      <c r="G433" s="1">
        <v>22</v>
      </c>
      <c r="H433" s="1">
        <v>21</v>
      </c>
      <c r="I433" s="2">
        <v>0.95450000000000002</v>
      </c>
      <c r="J433" s="1">
        <v>1</v>
      </c>
      <c r="K433" s="3">
        <v>4.861111111111111E-4</v>
      </c>
      <c r="L433" s="3">
        <v>1.6666666666666668E-3</v>
      </c>
      <c r="M433" s="3">
        <v>2.0370370370370369E-3</v>
      </c>
      <c r="N433" s="2">
        <v>0.52380000000000004</v>
      </c>
      <c r="O433" s="5">
        <f t="shared" si="16"/>
        <v>3.5000000000000003E-2</v>
      </c>
      <c r="P433" s="5">
        <f t="shared" si="17"/>
        <v>2.1</v>
      </c>
      <c r="Q433" s="5">
        <f t="shared" si="18"/>
        <v>3.6666666666666667E-2</v>
      </c>
      <c r="R433" s="5">
        <f t="shared" si="19"/>
        <v>2.2000000000000002</v>
      </c>
    </row>
    <row r="434" spans="1:18">
      <c r="A434" s="4">
        <v>44263</v>
      </c>
      <c r="B434" s="1" t="s">
        <v>23</v>
      </c>
      <c r="C434" s="1">
        <f t="shared" si="26"/>
        <v>3</v>
      </c>
      <c r="D434" s="1">
        <f t="shared" si="27"/>
        <v>8</v>
      </c>
      <c r="E434" s="1">
        <f t="shared" si="28"/>
        <v>2021</v>
      </c>
      <c r="F434" s="1">
        <v>433</v>
      </c>
      <c r="G434" s="1">
        <v>177</v>
      </c>
      <c r="H434" s="1">
        <v>156</v>
      </c>
      <c r="I434" s="2">
        <v>0.88139999999999996</v>
      </c>
      <c r="J434" s="1">
        <v>21</v>
      </c>
      <c r="K434" s="3">
        <v>4.861111111111111E-4</v>
      </c>
      <c r="L434" s="3">
        <v>1.8402777777777777E-3</v>
      </c>
      <c r="M434" s="3">
        <v>2.2685185185185187E-3</v>
      </c>
      <c r="N434" s="2">
        <v>0.42370000000000002</v>
      </c>
      <c r="O434" s="5">
        <f t="shared" si="16"/>
        <v>0.2870833333333333</v>
      </c>
      <c r="P434" s="5">
        <f t="shared" si="17"/>
        <v>17.224999999999998</v>
      </c>
      <c r="Q434" s="5">
        <f t="shared" si="18"/>
        <v>0.32572916666666668</v>
      </c>
      <c r="R434" s="5">
        <f t="shared" si="19"/>
        <v>19.543749999999999</v>
      </c>
    </row>
    <row r="435" spans="1:18">
      <c r="A435" s="4">
        <v>44264</v>
      </c>
      <c r="B435" s="1" t="s">
        <v>24</v>
      </c>
      <c r="C435" s="1">
        <f t="shared" si="26"/>
        <v>3</v>
      </c>
      <c r="D435" s="1">
        <f t="shared" si="27"/>
        <v>9</v>
      </c>
      <c r="E435" s="1">
        <f t="shared" si="28"/>
        <v>2021</v>
      </c>
      <c r="F435" s="1">
        <v>434</v>
      </c>
      <c r="G435" s="1">
        <v>156</v>
      </c>
      <c r="H435" s="1">
        <v>147</v>
      </c>
      <c r="I435" s="2">
        <v>0.94230000000000003</v>
      </c>
      <c r="J435" s="1">
        <v>9</v>
      </c>
      <c r="K435" s="3">
        <v>3.3564814814814812E-4</v>
      </c>
      <c r="L435" s="3">
        <v>1.7476851851851852E-3</v>
      </c>
      <c r="M435" s="3">
        <v>2.5578703703703705E-3</v>
      </c>
      <c r="N435" s="2">
        <v>0.63639999999999997</v>
      </c>
      <c r="O435" s="5">
        <f t="shared" si="16"/>
        <v>0.25690972222222225</v>
      </c>
      <c r="P435" s="5">
        <f t="shared" si="17"/>
        <v>15.414583333333335</v>
      </c>
      <c r="Q435" s="5">
        <f t="shared" si="18"/>
        <v>0.27263888888888888</v>
      </c>
      <c r="R435" s="5">
        <f t="shared" si="19"/>
        <v>16.358333333333334</v>
      </c>
    </row>
    <row r="436" spans="1:18">
      <c r="A436" s="4">
        <v>44265</v>
      </c>
      <c r="B436" s="1" t="s">
        <v>18</v>
      </c>
      <c r="C436" s="1">
        <f t="shared" si="26"/>
        <v>3</v>
      </c>
      <c r="D436" s="1">
        <f t="shared" si="27"/>
        <v>10</v>
      </c>
      <c r="E436" s="1">
        <f t="shared" si="28"/>
        <v>2021</v>
      </c>
      <c r="F436" s="1">
        <v>435</v>
      </c>
      <c r="G436" s="1">
        <v>123</v>
      </c>
      <c r="H436" s="1">
        <v>121</v>
      </c>
      <c r="I436" s="2">
        <v>0.98370000000000002</v>
      </c>
      <c r="J436" s="1">
        <v>2</v>
      </c>
      <c r="K436" s="3">
        <v>3.0092592592592595E-4</v>
      </c>
      <c r="L436" s="3">
        <v>1.712962962962963E-3</v>
      </c>
      <c r="M436" s="3">
        <v>2.4189814814814816E-3</v>
      </c>
      <c r="N436" s="2">
        <v>0.64229999999999998</v>
      </c>
      <c r="O436" s="5">
        <f t="shared" si="16"/>
        <v>0.20726851851851852</v>
      </c>
      <c r="P436" s="5">
        <f t="shared" si="17"/>
        <v>12.436111111111112</v>
      </c>
      <c r="Q436" s="5">
        <f t="shared" si="18"/>
        <v>0.21069444444444446</v>
      </c>
      <c r="R436" s="5">
        <f t="shared" si="19"/>
        <v>12.641666666666667</v>
      </c>
    </row>
    <row r="437" spans="1:18">
      <c r="A437" s="4">
        <v>44266</v>
      </c>
      <c r="B437" s="1" t="s">
        <v>19</v>
      </c>
      <c r="C437" s="1">
        <f t="shared" si="26"/>
        <v>3</v>
      </c>
      <c r="D437" s="1">
        <f t="shared" si="27"/>
        <v>11</v>
      </c>
      <c r="E437" s="1">
        <f t="shared" si="28"/>
        <v>2021</v>
      </c>
      <c r="F437" s="1">
        <v>436</v>
      </c>
      <c r="G437" s="1">
        <v>130</v>
      </c>
      <c r="H437" s="1">
        <v>125</v>
      </c>
      <c r="I437" s="2">
        <v>0.96150000000000002</v>
      </c>
      <c r="J437" s="1">
        <v>5</v>
      </c>
      <c r="K437" s="3">
        <v>3.0092592592592595E-4</v>
      </c>
      <c r="L437" s="3">
        <v>1.724537037037037E-3</v>
      </c>
      <c r="M437" s="3">
        <v>2.4074074074074076E-3</v>
      </c>
      <c r="N437" s="2">
        <v>0.66930000000000001</v>
      </c>
      <c r="O437" s="5">
        <f t="shared" si="16"/>
        <v>0.21556712962962962</v>
      </c>
      <c r="P437" s="5">
        <f t="shared" si="17"/>
        <v>12.934027777777777</v>
      </c>
      <c r="Q437" s="5">
        <f t="shared" si="18"/>
        <v>0.22418981481481481</v>
      </c>
      <c r="R437" s="5">
        <f t="shared" si="19"/>
        <v>13.451388888888889</v>
      </c>
    </row>
    <row r="438" spans="1:18">
      <c r="A438" s="4">
        <v>44267</v>
      </c>
      <c r="B438" s="1" t="s">
        <v>20</v>
      </c>
      <c r="C438" s="1">
        <f t="shared" si="26"/>
        <v>3</v>
      </c>
      <c r="D438" s="1">
        <f t="shared" si="27"/>
        <v>12</v>
      </c>
      <c r="E438" s="1">
        <f t="shared" si="28"/>
        <v>2021</v>
      </c>
      <c r="F438" s="1">
        <v>437</v>
      </c>
      <c r="G438" s="1">
        <v>141</v>
      </c>
      <c r="H438" s="1">
        <v>134</v>
      </c>
      <c r="I438" s="2">
        <v>0.95040000000000002</v>
      </c>
      <c r="J438" s="1">
        <v>7</v>
      </c>
      <c r="K438" s="3">
        <v>4.5138888888888887E-4</v>
      </c>
      <c r="L438" s="3">
        <v>1.7708333333333332E-3</v>
      </c>
      <c r="M438" s="3">
        <v>2.1759259259259258E-3</v>
      </c>
      <c r="N438" s="2">
        <v>0.56430000000000002</v>
      </c>
      <c r="O438" s="5">
        <f t="shared" si="16"/>
        <v>0.23729166666666665</v>
      </c>
      <c r="P438" s="5">
        <f t="shared" si="17"/>
        <v>14.237499999999999</v>
      </c>
      <c r="Q438" s="5">
        <f t="shared" si="18"/>
        <v>0.24968749999999998</v>
      </c>
      <c r="R438" s="5">
        <f t="shared" si="19"/>
        <v>14.981249999999999</v>
      </c>
    </row>
    <row r="439" spans="1:18">
      <c r="A439" s="4">
        <v>44268</v>
      </c>
      <c r="B439" s="1" t="s">
        <v>21</v>
      </c>
      <c r="C439" s="1">
        <f t="shared" si="26"/>
        <v>3</v>
      </c>
      <c r="D439" s="1">
        <f t="shared" si="27"/>
        <v>13</v>
      </c>
      <c r="E439" s="1">
        <f t="shared" si="28"/>
        <v>2021</v>
      </c>
      <c r="F439" s="1">
        <v>438</v>
      </c>
      <c r="G439" s="1">
        <v>121</v>
      </c>
      <c r="H439" s="1">
        <v>113</v>
      </c>
      <c r="I439" s="2">
        <v>0.93389999999999995</v>
      </c>
      <c r="J439" s="1">
        <v>8</v>
      </c>
      <c r="K439" s="3">
        <v>4.3981481481481481E-4</v>
      </c>
      <c r="L439" s="3">
        <v>1.8287037037037037E-3</v>
      </c>
      <c r="M439" s="3">
        <v>2.9861111111111113E-3</v>
      </c>
      <c r="N439" s="2">
        <v>0.50829999999999997</v>
      </c>
      <c r="O439" s="5">
        <f t="shared" si="16"/>
        <v>0.2066435185185185</v>
      </c>
      <c r="P439" s="5">
        <f t="shared" si="17"/>
        <v>12.39861111111111</v>
      </c>
      <c r="Q439" s="5">
        <f t="shared" si="18"/>
        <v>0.22127314814814814</v>
      </c>
      <c r="R439" s="5">
        <f t="shared" si="19"/>
        <v>13.276388888888889</v>
      </c>
    </row>
    <row r="440" spans="1:18">
      <c r="A440" s="4">
        <v>44269</v>
      </c>
      <c r="B440" s="1" t="s">
        <v>22</v>
      </c>
      <c r="C440" s="1">
        <f t="shared" si="26"/>
        <v>3</v>
      </c>
      <c r="D440" s="1">
        <f t="shared" si="27"/>
        <v>14</v>
      </c>
      <c r="E440" s="1">
        <f t="shared" si="28"/>
        <v>2021</v>
      </c>
      <c r="F440" s="1">
        <v>439</v>
      </c>
      <c r="G440" s="1">
        <v>35</v>
      </c>
      <c r="H440" s="1">
        <v>31</v>
      </c>
      <c r="I440" s="2">
        <v>0.88570000000000004</v>
      </c>
      <c r="J440" s="1">
        <v>4</v>
      </c>
      <c r="K440" s="3">
        <v>3.9351851851851852E-4</v>
      </c>
      <c r="L440" s="3">
        <v>1.4467592592592592E-3</v>
      </c>
      <c r="M440" s="3">
        <v>3.1134259259259257E-3</v>
      </c>
      <c r="N440" s="2">
        <v>0.47060000000000002</v>
      </c>
      <c r="O440" s="5">
        <f t="shared" si="16"/>
        <v>4.4849537037037035E-2</v>
      </c>
      <c r="P440" s="5">
        <f t="shared" si="17"/>
        <v>2.6909722222222223</v>
      </c>
      <c r="Q440" s="5">
        <f t="shared" si="18"/>
        <v>5.063657407407407E-2</v>
      </c>
      <c r="R440" s="5">
        <f t="shared" si="19"/>
        <v>3.0381944444444442</v>
      </c>
    </row>
    <row r="441" spans="1:18">
      <c r="A441" s="4">
        <v>44270</v>
      </c>
      <c r="B441" s="1" t="s">
        <v>23</v>
      </c>
      <c r="C441" s="1">
        <f t="shared" si="26"/>
        <v>3</v>
      </c>
      <c r="D441" s="1">
        <f t="shared" si="27"/>
        <v>15</v>
      </c>
      <c r="E441" s="1">
        <f t="shared" si="28"/>
        <v>2021</v>
      </c>
      <c r="F441" s="1">
        <v>440</v>
      </c>
      <c r="G441" s="1">
        <v>240</v>
      </c>
      <c r="H441" s="1">
        <v>226</v>
      </c>
      <c r="I441" s="2">
        <v>0.94169999999999998</v>
      </c>
      <c r="J441" s="1">
        <v>14</v>
      </c>
      <c r="K441" s="3">
        <v>4.1666666666666669E-4</v>
      </c>
      <c r="L441" s="3">
        <v>1.5625000000000001E-3</v>
      </c>
      <c r="M441" s="3">
        <v>2.8472222222222223E-3</v>
      </c>
      <c r="N441" s="2">
        <v>0.57020000000000004</v>
      </c>
      <c r="O441" s="5">
        <f t="shared" si="16"/>
        <v>0.35312500000000002</v>
      </c>
      <c r="P441" s="5">
        <f t="shared" si="17"/>
        <v>21.1875</v>
      </c>
      <c r="Q441" s="5">
        <f t="shared" si="18"/>
        <v>0.375</v>
      </c>
      <c r="R441" s="5">
        <f t="shared" si="19"/>
        <v>22.5</v>
      </c>
    </row>
    <row r="442" spans="1:18">
      <c r="A442" s="4">
        <v>44271</v>
      </c>
      <c r="B442" s="1" t="s">
        <v>24</v>
      </c>
      <c r="C442" s="1">
        <f t="shared" si="26"/>
        <v>3</v>
      </c>
      <c r="D442" s="1">
        <f t="shared" si="27"/>
        <v>16</v>
      </c>
      <c r="E442" s="1">
        <f t="shared" si="28"/>
        <v>2021</v>
      </c>
      <c r="F442" s="1">
        <v>441</v>
      </c>
      <c r="G442" s="1">
        <v>130</v>
      </c>
      <c r="H442" s="1">
        <v>118</v>
      </c>
      <c r="I442" s="2">
        <v>0.90769999999999995</v>
      </c>
      <c r="J442" s="1">
        <v>12</v>
      </c>
      <c r="K442" s="3">
        <v>3.7037037037037035E-4</v>
      </c>
      <c r="L442" s="3">
        <v>1.6550925925925926E-3</v>
      </c>
      <c r="M442" s="3">
        <v>2.5462962962962965E-3</v>
      </c>
      <c r="N442" s="2">
        <v>0.57809999999999995</v>
      </c>
      <c r="O442" s="5">
        <f t="shared" si="16"/>
        <v>0.19530092592592593</v>
      </c>
      <c r="P442" s="5">
        <f t="shared" si="17"/>
        <v>11.718055555555557</v>
      </c>
      <c r="Q442" s="5">
        <f t="shared" si="18"/>
        <v>0.21516203703703704</v>
      </c>
      <c r="R442" s="5">
        <f t="shared" si="19"/>
        <v>12.909722222222223</v>
      </c>
    </row>
    <row r="443" spans="1:18">
      <c r="A443" s="4">
        <v>44272</v>
      </c>
      <c r="B443" s="1" t="s">
        <v>18</v>
      </c>
      <c r="C443" s="1">
        <f t="shared" si="26"/>
        <v>3</v>
      </c>
      <c r="D443" s="1">
        <f t="shared" si="27"/>
        <v>17</v>
      </c>
      <c r="E443" s="1">
        <f t="shared" si="28"/>
        <v>2021</v>
      </c>
      <c r="F443" s="1">
        <v>442</v>
      </c>
      <c r="G443" s="1">
        <v>140</v>
      </c>
      <c r="H443" s="1">
        <v>130</v>
      </c>
      <c r="I443" s="2">
        <v>0.92859999999999998</v>
      </c>
      <c r="J443" s="1">
        <v>10</v>
      </c>
      <c r="K443" s="3">
        <v>3.3564814814814812E-4</v>
      </c>
      <c r="L443" s="3">
        <v>1.7476851851851852E-3</v>
      </c>
      <c r="M443" s="3">
        <v>5.2662037037037035E-3</v>
      </c>
      <c r="N443" s="2">
        <v>0.62319999999999998</v>
      </c>
      <c r="O443" s="5">
        <f t="shared" si="16"/>
        <v>0.22719907407407408</v>
      </c>
      <c r="P443" s="5">
        <f t="shared" si="17"/>
        <v>13.631944444444445</v>
      </c>
      <c r="Q443" s="5">
        <f t="shared" si="18"/>
        <v>0.24467592592592594</v>
      </c>
      <c r="R443" s="5">
        <f t="shared" si="19"/>
        <v>14.680555555555555</v>
      </c>
    </row>
    <row r="444" spans="1:18">
      <c r="A444" s="4">
        <v>44273</v>
      </c>
      <c r="B444" s="1" t="s">
        <v>19</v>
      </c>
      <c r="C444" s="1">
        <f t="shared" si="26"/>
        <v>3</v>
      </c>
      <c r="D444" s="1">
        <f t="shared" si="27"/>
        <v>18</v>
      </c>
      <c r="E444" s="1">
        <f t="shared" si="28"/>
        <v>2021</v>
      </c>
      <c r="F444" s="1">
        <v>443</v>
      </c>
      <c r="G444" s="1">
        <v>131</v>
      </c>
      <c r="H444" s="1">
        <v>111</v>
      </c>
      <c r="I444" s="2">
        <v>0.84730000000000005</v>
      </c>
      <c r="J444" s="1">
        <v>20</v>
      </c>
      <c r="K444" s="3">
        <v>4.3981481481481481E-4</v>
      </c>
      <c r="L444" s="3">
        <v>2.2685185185185187E-3</v>
      </c>
      <c r="M444" s="3">
        <v>6.9328703703703705E-3</v>
      </c>
      <c r="N444" s="2">
        <v>0.59689999999999999</v>
      </c>
      <c r="O444" s="5">
        <f t="shared" si="16"/>
        <v>0.25180555555555556</v>
      </c>
      <c r="P444" s="5">
        <f t="shared" si="17"/>
        <v>15.108333333333334</v>
      </c>
      <c r="Q444" s="5">
        <f t="shared" si="18"/>
        <v>0.29717592592592595</v>
      </c>
      <c r="R444" s="5">
        <f t="shared" si="19"/>
        <v>17.830555555555556</v>
      </c>
    </row>
    <row r="445" spans="1:18">
      <c r="A445" s="4">
        <v>44274</v>
      </c>
      <c r="B445" s="1" t="s">
        <v>20</v>
      </c>
      <c r="C445" s="1">
        <f t="shared" si="26"/>
        <v>3</v>
      </c>
      <c r="D445" s="1">
        <f t="shared" si="27"/>
        <v>19</v>
      </c>
      <c r="E445" s="1">
        <f t="shared" si="28"/>
        <v>2021</v>
      </c>
      <c r="F445" s="1">
        <v>444</v>
      </c>
      <c r="G445" s="1">
        <v>74</v>
      </c>
      <c r="H445" s="1">
        <v>74</v>
      </c>
      <c r="I445" s="2">
        <v>1</v>
      </c>
      <c r="J445" s="1">
        <v>0</v>
      </c>
      <c r="K445" s="3">
        <v>1.5046296296296297E-4</v>
      </c>
      <c r="L445" s="3">
        <v>2.0254629629629629E-3</v>
      </c>
      <c r="M445" s="3">
        <v>1.3078703703703703E-3</v>
      </c>
      <c r="N445" s="2">
        <v>0.89190000000000003</v>
      </c>
      <c r="O445" s="5">
        <f t="shared" si="16"/>
        <v>0.14988425925925924</v>
      </c>
      <c r="P445" s="5">
        <f t="shared" si="17"/>
        <v>8.9930555555555554</v>
      </c>
      <c r="Q445" s="5">
        <f t="shared" si="18"/>
        <v>0.14988425925925924</v>
      </c>
      <c r="R445" s="5">
        <f t="shared" si="19"/>
        <v>8.9930555555555554</v>
      </c>
    </row>
    <row r="446" spans="1:18">
      <c r="A446" s="4">
        <v>44275</v>
      </c>
      <c r="B446" s="1" t="s">
        <v>21</v>
      </c>
      <c r="C446" s="1">
        <f t="shared" si="26"/>
        <v>3</v>
      </c>
      <c r="D446" s="1">
        <f t="shared" si="27"/>
        <v>20</v>
      </c>
      <c r="E446" s="1">
        <f t="shared" si="28"/>
        <v>2021</v>
      </c>
      <c r="F446" s="1">
        <v>445</v>
      </c>
      <c r="G446" s="1">
        <v>24</v>
      </c>
      <c r="H446" s="1">
        <v>24</v>
      </c>
      <c r="I446" s="2">
        <v>1</v>
      </c>
      <c r="J446" s="1">
        <v>0</v>
      </c>
      <c r="K446" s="3">
        <v>1.3888888888888889E-4</v>
      </c>
      <c r="L446" s="3">
        <v>1.9328703703703704E-3</v>
      </c>
      <c r="M446" s="3">
        <v>6.5972222222222224E-4</v>
      </c>
      <c r="N446" s="2">
        <v>0.83330000000000004</v>
      </c>
      <c r="O446" s="5">
        <f t="shared" si="16"/>
        <v>4.6388888888888889E-2</v>
      </c>
      <c r="P446" s="5">
        <f t="shared" si="17"/>
        <v>2.7833333333333332</v>
      </c>
      <c r="Q446" s="5">
        <f t="shared" si="18"/>
        <v>4.6388888888888889E-2</v>
      </c>
      <c r="R446" s="5">
        <f t="shared" si="19"/>
        <v>2.7833333333333332</v>
      </c>
    </row>
    <row r="447" spans="1:18">
      <c r="A447" s="4">
        <v>44276</v>
      </c>
      <c r="B447" s="1" t="s">
        <v>22</v>
      </c>
      <c r="C447" s="1">
        <f t="shared" si="26"/>
        <v>3</v>
      </c>
      <c r="D447" s="1">
        <f t="shared" si="27"/>
        <v>21</v>
      </c>
      <c r="E447" s="1">
        <f t="shared" si="28"/>
        <v>2021</v>
      </c>
      <c r="F447" s="1">
        <v>446</v>
      </c>
      <c r="G447" s="1">
        <v>11</v>
      </c>
      <c r="H447" s="1">
        <v>10</v>
      </c>
      <c r="I447" s="2">
        <v>0.90910000000000002</v>
      </c>
      <c r="J447" s="1">
        <v>1</v>
      </c>
      <c r="K447" s="3">
        <v>1.5046296296296297E-4</v>
      </c>
      <c r="L447" s="3">
        <v>1.6666666666666668E-3</v>
      </c>
      <c r="M447" s="3">
        <v>6.3657407407407413E-4</v>
      </c>
      <c r="N447" s="2">
        <v>0.81820000000000004</v>
      </c>
      <c r="O447" s="5">
        <f t="shared" si="16"/>
        <v>1.6666666666666666E-2</v>
      </c>
      <c r="P447" s="5">
        <f t="shared" si="17"/>
        <v>1</v>
      </c>
      <c r="Q447" s="5">
        <f t="shared" si="18"/>
        <v>1.8333333333333333E-2</v>
      </c>
      <c r="R447" s="5">
        <f t="shared" si="19"/>
        <v>1.1000000000000001</v>
      </c>
    </row>
    <row r="448" spans="1:18">
      <c r="A448" s="4">
        <v>44277</v>
      </c>
      <c r="B448" s="1" t="s">
        <v>23</v>
      </c>
      <c r="C448" s="1">
        <f t="shared" si="26"/>
        <v>3</v>
      </c>
      <c r="D448" s="1">
        <f t="shared" si="27"/>
        <v>22</v>
      </c>
      <c r="E448" s="1">
        <f t="shared" si="28"/>
        <v>2021</v>
      </c>
      <c r="F448" s="1">
        <v>447</v>
      </c>
      <c r="G448" s="1">
        <v>28</v>
      </c>
      <c r="H448" s="1">
        <v>26</v>
      </c>
      <c r="I448" s="2">
        <v>0.92859999999999998</v>
      </c>
      <c r="J448" s="1">
        <v>2</v>
      </c>
      <c r="K448" s="3">
        <v>1.1574074074074075E-4</v>
      </c>
      <c r="L448" s="3">
        <v>1.736111111111111E-3</v>
      </c>
      <c r="M448" s="3">
        <v>9.9537037037037042E-4</v>
      </c>
      <c r="N448" s="2">
        <v>0.81479999999999997</v>
      </c>
      <c r="O448" s="5">
        <f t="shared" si="16"/>
        <v>4.5138888888888888E-2</v>
      </c>
      <c r="P448" s="5">
        <f t="shared" si="17"/>
        <v>2.7083333333333335</v>
      </c>
      <c r="Q448" s="5">
        <f t="shared" si="18"/>
        <v>4.8611111111111105E-2</v>
      </c>
      <c r="R448" s="5">
        <f t="shared" si="19"/>
        <v>2.9166666666666661</v>
      </c>
    </row>
    <row r="449" spans="1:18">
      <c r="A449" s="4">
        <v>44278</v>
      </c>
      <c r="B449" s="1" t="s">
        <v>24</v>
      </c>
      <c r="C449" s="1">
        <f t="shared" si="26"/>
        <v>3</v>
      </c>
      <c r="D449" s="1">
        <f t="shared" si="27"/>
        <v>23</v>
      </c>
      <c r="E449" s="1">
        <f t="shared" si="28"/>
        <v>2021</v>
      </c>
      <c r="F449" s="1">
        <v>448</v>
      </c>
      <c r="G449" s="1">
        <v>43</v>
      </c>
      <c r="H449" s="1">
        <v>43</v>
      </c>
      <c r="I449" s="2">
        <v>1</v>
      </c>
      <c r="J449" s="1">
        <v>0</v>
      </c>
      <c r="K449" s="3">
        <v>9.2592592592592588E-5</v>
      </c>
      <c r="L449" s="3">
        <v>1.6550925925925926E-3</v>
      </c>
      <c r="M449" s="3">
        <v>6.018518518518519E-4</v>
      </c>
      <c r="N449" s="2">
        <v>0.88370000000000004</v>
      </c>
      <c r="O449" s="5">
        <f t="shared" si="16"/>
        <v>7.1168981481481486E-2</v>
      </c>
      <c r="P449" s="5">
        <f t="shared" si="17"/>
        <v>4.2701388888888889</v>
      </c>
      <c r="Q449" s="5">
        <f t="shared" si="18"/>
        <v>7.1168981481481486E-2</v>
      </c>
      <c r="R449" s="5">
        <f t="shared" si="19"/>
        <v>4.2701388888888889</v>
      </c>
    </row>
    <row r="450" spans="1:18">
      <c r="A450" s="4">
        <v>44279</v>
      </c>
      <c r="B450" s="1" t="s">
        <v>18</v>
      </c>
      <c r="C450" s="1">
        <f t="shared" si="26"/>
        <v>3</v>
      </c>
      <c r="D450" s="1">
        <f t="shared" si="27"/>
        <v>24</v>
      </c>
      <c r="E450" s="1">
        <f t="shared" si="28"/>
        <v>2021</v>
      </c>
      <c r="F450" s="1">
        <v>449</v>
      </c>
      <c r="G450" s="1">
        <v>62</v>
      </c>
      <c r="H450" s="1">
        <v>62</v>
      </c>
      <c r="I450" s="2">
        <v>1</v>
      </c>
      <c r="J450" s="1">
        <v>0</v>
      </c>
      <c r="K450" s="3">
        <v>1.9675925925925926E-4</v>
      </c>
      <c r="L450" s="3">
        <v>1.5277777777777779E-3</v>
      </c>
      <c r="M450" s="3">
        <v>9.9537037037037042E-4</v>
      </c>
      <c r="N450" s="2">
        <v>0.8226</v>
      </c>
      <c r="O450" s="5">
        <f t="shared" si="16"/>
        <v>9.4722222222222222E-2</v>
      </c>
      <c r="P450" s="5">
        <f t="shared" si="17"/>
        <v>5.6833333333333336</v>
      </c>
      <c r="Q450" s="5">
        <f t="shared" si="18"/>
        <v>9.4722222222222222E-2</v>
      </c>
      <c r="R450" s="5">
        <f t="shared" si="19"/>
        <v>5.6833333333333336</v>
      </c>
    </row>
    <row r="451" spans="1:18">
      <c r="A451" s="4">
        <v>44280</v>
      </c>
      <c r="B451" s="1" t="s">
        <v>19</v>
      </c>
      <c r="C451" s="1">
        <f t="shared" ref="C451:C514" si="29">MONTH(A451)</f>
        <v>3</v>
      </c>
      <c r="D451" s="1">
        <f t="shared" ref="D451:D514" si="30">DAY(A451)</f>
        <v>25</v>
      </c>
      <c r="E451" s="1">
        <f t="shared" ref="E451:E514" si="31">YEAR(A451)</f>
        <v>2021</v>
      </c>
      <c r="F451" s="1">
        <v>450</v>
      </c>
      <c r="G451" s="1">
        <v>70</v>
      </c>
      <c r="H451" s="1">
        <v>69</v>
      </c>
      <c r="I451" s="2">
        <v>0.98570000000000002</v>
      </c>
      <c r="J451" s="1">
        <v>1</v>
      </c>
      <c r="K451" s="3">
        <v>2.5462962962962961E-4</v>
      </c>
      <c r="L451" s="3">
        <v>1.4583333333333334E-3</v>
      </c>
      <c r="M451" s="3">
        <v>6.0185185185185185E-3</v>
      </c>
      <c r="N451" s="2">
        <v>0.81430000000000002</v>
      </c>
      <c r="O451" s="5">
        <f t="shared" si="16"/>
        <v>0.10062500000000001</v>
      </c>
      <c r="P451" s="5">
        <f t="shared" si="17"/>
        <v>6.0375000000000005</v>
      </c>
      <c r="Q451" s="5">
        <f t="shared" si="18"/>
        <v>0.10208333333333333</v>
      </c>
      <c r="R451" s="5">
        <f t="shared" si="19"/>
        <v>6.125</v>
      </c>
    </row>
    <row r="452" spans="1:18">
      <c r="A452" s="4">
        <v>44281</v>
      </c>
      <c r="B452" s="1" t="s">
        <v>20</v>
      </c>
      <c r="C452" s="1">
        <f t="shared" si="29"/>
        <v>3</v>
      </c>
      <c r="D452" s="1">
        <f t="shared" si="30"/>
        <v>26</v>
      </c>
      <c r="E452" s="1">
        <f t="shared" si="31"/>
        <v>2021</v>
      </c>
      <c r="F452" s="1">
        <v>451</v>
      </c>
      <c r="G452" s="1">
        <v>107</v>
      </c>
      <c r="H452" s="1">
        <v>97</v>
      </c>
      <c r="I452" s="2">
        <v>0.90649999999999997</v>
      </c>
      <c r="J452" s="1">
        <v>10</v>
      </c>
      <c r="K452" s="3">
        <v>2.4305555555555555E-4</v>
      </c>
      <c r="L452" s="3">
        <v>1.6898148148148148E-3</v>
      </c>
      <c r="M452" s="3">
        <v>1.8518518518518519E-3</v>
      </c>
      <c r="N452" s="2">
        <v>0.68869999999999998</v>
      </c>
      <c r="O452" s="5">
        <f t="shared" si="16"/>
        <v>0.16391203703703702</v>
      </c>
      <c r="P452" s="5">
        <f t="shared" si="17"/>
        <v>9.8347222222222221</v>
      </c>
      <c r="Q452" s="5">
        <f t="shared" si="18"/>
        <v>0.18081018518518518</v>
      </c>
      <c r="R452" s="5">
        <f t="shared" si="19"/>
        <v>10.848611111111111</v>
      </c>
    </row>
    <row r="453" spans="1:18">
      <c r="A453" s="4">
        <v>44282</v>
      </c>
      <c r="B453" s="1" t="s">
        <v>21</v>
      </c>
      <c r="C453" s="1">
        <f t="shared" si="29"/>
        <v>3</v>
      </c>
      <c r="D453" s="1">
        <f t="shared" si="30"/>
        <v>27</v>
      </c>
      <c r="E453" s="1">
        <f t="shared" si="31"/>
        <v>2021</v>
      </c>
      <c r="F453" s="1">
        <v>452</v>
      </c>
      <c r="G453" s="1">
        <v>91</v>
      </c>
      <c r="H453" s="1">
        <v>85</v>
      </c>
      <c r="I453" s="2">
        <v>0.93410000000000004</v>
      </c>
      <c r="J453" s="1">
        <v>6</v>
      </c>
      <c r="K453" s="3">
        <v>3.4722222222222224E-4</v>
      </c>
      <c r="L453" s="3">
        <v>1.7013888888888888E-3</v>
      </c>
      <c r="M453" s="3">
        <v>4.0393518518518521E-3</v>
      </c>
      <c r="N453" s="2">
        <v>0.62639999999999996</v>
      </c>
      <c r="O453" s="5">
        <f t="shared" si="16"/>
        <v>0.14461805555555554</v>
      </c>
      <c r="P453" s="5">
        <f t="shared" si="17"/>
        <v>8.6770833333333321</v>
      </c>
      <c r="Q453" s="5">
        <f t="shared" si="18"/>
        <v>0.15482638888888889</v>
      </c>
      <c r="R453" s="5">
        <f t="shared" si="19"/>
        <v>9.2895833333333329</v>
      </c>
    </row>
    <row r="454" spans="1:18">
      <c r="A454" s="4">
        <v>44283</v>
      </c>
      <c r="B454" s="1" t="s">
        <v>22</v>
      </c>
      <c r="C454" s="1">
        <f t="shared" si="29"/>
        <v>3</v>
      </c>
      <c r="D454" s="1">
        <f t="shared" si="30"/>
        <v>28</v>
      </c>
      <c r="E454" s="1">
        <f t="shared" si="31"/>
        <v>2021</v>
      </c>
      <c r="F454" s="1">
        <v>453</v>
      </c>
      <c r="G454" s="1">
        <v>25</v>
      </c>
      <c r="H454" s="1">
        <v>25</v>
      </c>
      <c r="I454" s="2">
        <v>1</v>
      </c>
      <c r="J454" s="1">
        <v>0</v>
      </c>
      <c r="K454" s="3">
        <v>1.273148148148148E-4</v>
      </c>
      <c r="L454" s="3">
        <v>1.8518518518518519E-3</v>
      </c>
      <c r="M454" s="3">
        <v>6.3657407407407413E-4</v>
      </c>
      <c r="N454" s="2">
        <v>0.84</v>
      </c>
      <c r="O454" s="5">
        <f t="shared" si="16"/>
        <v>4.6296296296296301E-2</v>
      </c>
      <c r="P454" s="5">
        <f t="shared" si="17"/>
        <v>2.7777777777777781</v>
      </c>
      <c r="Q454" s="5">
        <f t="shared" si="18"/>
        <v>4.6296296296296301E-2</v>
      </c>
      <c r="R454" s="5">
        <f t="shared" si="19"/>
        <v>2.7777777777777781</v>
      </c>
    </row>
    <row r="455" spans="1:18">
      <c r="A455" s="4">
        <v>44284</v>
      </c>
      <c r="B455" s="1" t="s">
        <v>23</v>
      </c>
      <c r="C455" s="1">
        <f t="shared" si="29"/>
        <v>3</v>
      </c>
      <c r="D455" s="1">
        <f t="shared" si="30"/>
        <v>29</v>
      </c>
      <c r="E455" s="1">
        <f t="shared" si="31"/>
        <v>2021</v>
      </c>
      <c r="F455" s="1">
        <v>454</v>
      </c>
      <c r="G455" s="1">
        <v>85</v>
      </c>
      <c r="H455" s="1">
        <v>79</v>
      </c>
      <c r="I455" s="2">
        <v>0.9294</v>
      </c>
      <c r="J455" s="1">
        <v>6</v>
      </c>
      <c r="K455" s="3">
        <v>2.7777777777777778E-4</v>
      </c>
      <c r="L455" s="3">
        <v>1.7476851851851852E-3</v>
      </c>
      <c r="M455" s="3">
        <v>2.1643518518518518E-3</v>
      </c>
      <c r="N455" s="2">
        <v>0.72289999999999999</v>
      </c>
      <c r="O455" s="5">
        <f t="shared" si="16"/>
        <v>0.13806712962962964</v>
      </c>
      <c r="P455" s="5">
        <f t="shared" si="17"/>
        <v>8.2840277777777782</v>
      </c>
      <c r="Q455" s="5">
        <f t="shared" si="18"/>
        <v>0.14855324074074075</v>
      </c>
      <c r="R455" s="5">
        <f t="shared" si="19"/>
        <v>8.9131944444444446</v>
      </c>
    </row>
    <row r="456" spans="1:18">
      <c r="A456" s="4">
        <v>44285</v>
      </c>
      <c r="B456" s="1" t="s">
        <v>24</v>
      </c>
      <c r="C456" s="1">
        <f t="shared" si="29"/>
        <v>3</v>
      </c>
      <c r="D456" s="1">
        <f t="shared" si="30"/>
        <v>30</v>
      </c>
      <c r="E456" s="1">
        <f t="shared" si="31"/>
        <v>2021</v>
      </c>
      <c r="F456" s="1">
        <v>455</v>
      </c>
      <c r="G456" s="1">
        <v>91</v>
      </c>
      <c r="H456" s="1">
        <v>83</v>
      </c>
      <c r="I456" s="2">
        <v>0.91210000000000002</v>
      </c>
      <c r="J456" s="1">
        <v>8</v>
      </c>
      <c r="K456" s="3">
        <v>3.0092592592592595E-4</v>
      </c>
      <c r="L456" s="3">
        <v>1.8171296296296297E-3</v>
      </c>
      <c r="M456" s="3">
        <v>2.5462962962962965E-3</v>
      </c>
      <c r="N456" s="2">
        <v>0.62639999999999996</v>
      </c>
      <c r="O456" s="5">
        <f t="shared" si="16"/>
        <v>0.15082175925925925</v>
      </c>
      <c r="P456" s="5">
        <f t="shared" si="17"/>
        <v>9.0493055555555557</v>
      </c>
      <c r="Q456" s="5">
        <f t="shared" si="18"/>
        <v>0.1653587962962963</v>
      </c>
      <c r="R456" s="5">
        <f t="shared" si="19"/>
        <v>9.9215277777777775</v>
      </c>
    </row>
    <row r="457" spans="1:18">
      <c r="A457" s="4">
        <v>44286</v>
      </c>
      <c r="B457" s="1" t="s">
        <v>18</v>
      </c>
      <c r="C457" s="1">
        <f t="shared" si="29"/>
        <v>3</v>
      </c>
      <c r="D457" s="1">
        <f t="shared" si="30"/>
        <v>31</v>
      </c>
      <c r="E457" s="1">
        <f t="shared" si="31"/>
        <v>2021</v>
      </c>
      <c r="F457" s="1">
        <v>456</v>
      </c>
      <c r="G457" s="1">
        <v>48</v>
      </c>
      <c r="H457" s="1">
        <v>46</v>
      </c>
      <c r="I457" s="2">
        <v>0.95830000000000004</v>
      </c>
      <c r="J457" s="1">
        <v>2</v>
      </c>
      <c r="K457" s="3">
        <v>1.273148148148148E-4</v>
      </c>
      <c r="L457" s="3">
        <v>1.5393518518518519E-3</v>
      </c>
      <c r="M457" s="3">
        <v>9.4907407407407408E-4</v>
      </c>
      <c r="N457" s="2">
        <v>0.82979999999999998</v>
      </c>
      <c r="O457" s="5">
        <f t="shared" si="16"/>
        <v>7.0810185185185184E-2</v>
      </c>
      <c r="P457" s="5">
        <f t="shared" si="17"/>
        <v>4.2486111111111109</v>
      </c>
      <c r="Q457" s="5">
        <f t="shared" si="18"/>
        <v>7.3888888888888893E-2</v>
      </c>
      <c r="R457" s="5">
        <f t="shared" si="19"/>
        <v>4.4333333333333336</v>
      </c>
    </row>
    <row r="458" spans="1:18">
      <c r="A458" s="4">
        <v>44287</v>
      </c>
      <c r="B458" s="1" t="s">
        <v>19</v>
      </c>
      <c r="C458" s="1">
        <f t="shared" si="29"/>
        <v>4</v>
      </c>
      <c r="D458" s="1">
        <f t="shared" si="30"/>
        <v>1</v>
      </c>
      <c r="E458" s="1">
        <f t="shared" si="31"/>
        <v>2021</v>
      </c>
      <c r="F458" s="1">
        <v>457</v>
      </c>
      <c r="G458" s="1">
        <v>14</v>
      </c>
      <c r="H458" s="1">
        <v>11</v>
      </c>
      <c r="I458" s="2">
        <v>0.78569999999999995</v>
      </c>
      <c r="J458" s="1">
        <v>3</v>
      </c>
      <c r="K458" s="3">
        <v>2.0833333333333335E-4</v>
      </c>
      <c r="L458" s="3">
        <v>1.7013888888888888E-3</v>
      </c>
      <c r="M458" s="3">
        <v>1.9097222222222222E-3</v>
      </c>
      <c r="N458" s="2">
        <v>0.61539999999999995</v>
      </c>
      <c r="O458" s="5">
        <f t="shared" si="16"/>
        <v>1.8715277777777775E-2</v>
      </c>
      <c r="P458" s="5">
        <f t="shared" si="17"/>
        <v>1.1229166666666666</v>
      </c>
      <c r="Q458" s="5">
        <f t="shared" si="18"/>
        <v>2.3819444444444442E-2</v>
      </c>
      <c r="R458" s="5">
        <f t="shared" si="19"/>
        <v>1.4291666666666665</v>
      </c>
    </row>
    <row r="459" spans="1:18">
      <c r="A459" s="4">
        <v>44288</v>
      </c>
      <c r="B459" s="1" t="s">
        <v>20</v>
      </c>
      <c r="C459" s="1">
        <f t="shared" si="29"/>
        <v>4</v>
      </c>
      <c r="D459" s="1">
        <f t="shared" si="30"/>
        <v>2</v>
      </c>
      <c r="E459" s="1">
        <f t="shared" si="31"/>
        <v>2021</v>
      </c>
      <c r="F459" s="1">
        <v>458</v>
      </c>
      <c r="G459" s="1">
        <v>43</v>
      </c>
      <c r="H459" s="1">
        <v>42</v>
      </c>
      <c r="I459" s="2">
        <v>0.97670000000000001</v>
      </c>
      <c r="J459" s="1">
        <v>1</v>
      </c>
      <c r="K459" s="3">
        <v>2.5462962962962961E-4</v>
      </c>
      <c r="L459" s="3">
        <v>1.9328703703703704E-3</v>
      </c>
      <c r="M459" s="3">
        <v>2.2569444444444442E-3</v>
      </c>
      <c r="N459" s="2">
        <v>0.73809999999999998</v>
      </c>
      <c r="O459" s="5">
        <f t="shared" si="16"/>
        <v>8.1180555555555561E-2</v>
      </c>
      <c r="P459" s="5">
        <f t="shared" si="17"/>
        <v>4.8708333333333336</v>
      </c>
      <c r="Q459" s="5">
        <f t="shared" si="18"/>
        <v>8.3113425925925924E-2</v>
      </c>
      <c r="R459" s="5">
        <f t="shared" si="19"/>
        <v>4.9868055555555557</v>
      </c>
    </row>
    <row r="460" spans="1:18">
      <c r="A460" s="4">
        <v>44289</v>
      </c>
      <c r="B460" s="1" t="s">
        <v>21</v>
      </c>
      <c r="C460" s="1">
        <f t="shared" si="29"/>
        <v>4</v>
      </c>
      <c r="D460" s="1">
        <f t="shared" si="30"/>
        <v>3</v>
      </c>
      <c r="E460" s="1">
        <f t="shared" si="31"/>
        <v>2021</v>
      </c>
      <c r="F460" s="1">
        <v>459</v>
      </c>
      <c r="G460" s="1">
        <v>74</v>
      </c>
      <c r="H460" s="1">
        <v>69</v>
      </c>
      <c r="I460" s="2">
        <v>0.93240000000000001</v>
      </c>
      <c r="J460" s="1">
        <v>5</v>
      </c>
      <c r="K460" s="3">
        <v>2.6620370370370372E-4</v>
      </c>
      <c r="L460" s="3">
        <v>1.7476851851851852E-3</v>
      </c>
      <c r="M460" s="3">
        <v>3.3333333333333335E-3</v>
      </c>
      <c r="N460" s="2">
        <v>0.7671</v>
      </c>
      <c r="O460" s="5">
        <f t="shared" si="16"/>
        <v>0.12059027777777778</v>
      </c>
      <c r="P460" s="5">
        <f t="shared" si="17"/>
        <v>7.2354166666666666</v>
      </c>
      <c r="Q460" s="5">
        <f t="shared" si="18"/>
        <v>0.1293287037037037</v>
      </c>
      <c r="R460" s="5">
        <f t="shared" si="19"/>
        <v>7.759722222222222</v>
      </c>
    </row>
    <row r="461" spans="1:18">
      <c r="A461" s="4">
        <v>44290</v>
      </c>
      <c r="B461" s="1" t="s">
        <v>22</v>
      </c>
      <c r="C461" s="1">
        <f t="shared" si="29"/>
        <v>4</v>
      </c>
      <c r="D461" s="1">
        <f t="shared" si="30"/>
        <v>4</v>
      </c>
      <c r="E461" s="1">
        <f t="shared" si="31"/>
        <v>2021</v>
      </c>
      <c r="F461" s="1">
        <v>460</v>
      </c>
      <c r="G461" s="1">
        <v>33</v>
      </c>
      <c r="H461" s="1">
        <v>33</v>
      </c>
      <c r="I461" s="2">
        <v>1</v>
      </c>
      <c r="J461" s="1">
        <v>0</v>
      </c>
      <c r="K461" s="3">
        <v>1.6203703703703703E-4</v>
      </c>
      <c r="L461" s="3">
        <v>1.6782407407407408E-3</v>
      </c>
      <c r="M461" s="3">
        <v>1.0300925925925926E-3</v>
      </c>
      <c r="N461" s="2">
        <v>0.81820000000000004</v>
      </c>
      <c r="O461" s="5">
        <f t="shared" si="16"/>
        <v>5.5381944444444449E-2</v>
      </c>
      <c r="P461" s="5">
        <f t="shared" si="17"/>
        <v>3.322916666666667</v>
      </c>
      <c r="Q461" s="5">
        <f t="shared" si="18"/>
        <v>5.5381944444444449E-2</v>
      </c>
      <c r="R461" s="5">
        <f t="shared" si="19"/>
        <v>3.322916666666667</v>
      </c>
    </row>
    <row r="462" spans="1:18">
      <c r="A462" s="4">
        <v>44291</v>
      </c>
      <c r="B462" s="1" t="s">
        <v>23</v>
      </c>
      <c r="C462" s="1">
        <f t="shared" si="29"/>
        <v>4</v>
      </c>
      <c r="D462" s="1">
        <f t="shared" si="30"/>
        <v>5</v>
      </c>
      <c r="E462" s="1">
        <f t="shared" si="31"/>
        <v>2021</v>
      </c>
      <c r="F462" s="1">
        <v>461</v>
      </c>
      <c r="G462" s="1">
        <v>124</v>
      </c>
      <c r="H462" s="1">
        <v>112</v>
      </c>
      <c r="I462" s="2">
        <v>0.9032</v>
      </c>
      <c r="J462" s="1">
        <v>12</v>
      </c>
      <c r="K462" s="3">
        <v>3.0092592592592595E-4</v>
      </c>
      <c r="L462" s="3">
        <v>1.8055555555555555E-3</v>
      </c>
      <c r="M462" s="3">
        <v>3.8194444444444443E-3</v>
      </c>
      <c r="N462" s="2">
        <v>0.64749999999999996</v>
      </c>
      <c r="O462" s="5">
        <f t="shared" si="16"/>
        <v>0.20222222222222222</v>
      </c>
      <c r="P462" s="5">
        <f t="shared" si="17"/>
        <v>12.133333333333333</v>
      </c>
      <c r="Q462" s="5">
        <f t="shared" si="18"/>
        <v>0.22388888888888889</v>
      </c>
      <c r="R462" s="5">
        <f t="shared" si="19"/>
        <v>13.433333333333334</v>
      </c>
    </row>
    <row r="463" spans="1:18">
      <c r="A463" s="4">
        <v>44292</v>
      </c>
      <c r="B463" s="1" t="s">
        <v>24</v>
      </c>
      <c r="C463" s="1">
        <f t="shared" si="29"/>
        <v>4</v>
      </c>
      <c r="D463" s="1">
        <f t="shared" si="30"/>
        <v>6</v>
      </c>
      <c r="E463" s="1">
        <f t="shared" si="31"/>
        <v>2021</v>
      </c>
      <c r="F463" s="1">
        <v>462</v>
      </c>
      <c r="G463" s="1">
        <v>130</v>
      </c>
      <c r="H463" s="1">
        <v>126</v>
      </c>
      <c r="I463" s="2">
        <v>0.96919999999999995</v>
      </c>
      <c r="J463" s="1">
        <v>4</v>
      </c>
      <c r="K463" s="3">
        <v>2.8935185185185184E-4</v>
      </c>
      <c r="L463" s="3">
        <v>1.736111111111111E-3</v>
      </c>
      <c r="M463" s="3">
        <v>2.0601851851851853E-3</v>
      </c>
      <c r="N463" s="2">
        <v>0.65890000000000004</v>
      </c>
      <c r="O463" s="5">
        <f t="shared" si="16"/>
        <v>0.21875</v>
      </c>
      <c r="P463" s="5">
        <f t="shared" si="17"/>
        <v>13.125</v>
      </c>
      <c r="Q463" s="5">
        <f t="shared" si="18"/>
        <v>0.22569444444444442</v>
      </c>
      <c r="R463" s="5">
        <f t="shared" si="19"/>
        <v>13.541666666666664</v>
      </c>
    </row>
    <row r="464" spans="1:18">
      <c r="A464" s="4">
        <v>44293</v>
      </c>
      <c r="B464" s="1" t="s">
        <v>18</v>
      </c>
      <c r="C464" s="1">
        <f t="shared" si="29"/>
        <v>4</v>
      </c>
      <c r="D464" s="1">
        <f t="shared" si="30"/>
        <v>7</v>
      </c>
      <c r="E464" s="1">
        <f t="shared" si="31"/>
        <v>2021</v>
      </c>
      <c r="F464" s="1">
        <v>463</v>
      </c>
      <c r="G464" s="1">
        <v>139</v>
      </c>
      <c r="H464" s="1">
        <v>139</v>
      </c>
      <c r="I464" s="2">
        <v>1</v>
      </c>
      <c r="J464" s="1">
        <v>0</v>
      </c>
      <c r="K464" s="3">
        <v>2.0833333333333335E-4</v>
      </c>
      <c r="L464" s="3">
        <v>1.8518518518518519E-3</v>
      </c>
      <c r="M464" s="3">
        <v>2.1180555555555558E-3</v>
      </c>
      <c r="N464" s="2">
        <v>0.77539999999999998</v>
      </c>
      <c r="O464" s="5">
        <f t="shared" si="16"/>
        <v>0.25740740740740742</v>
      </c>
      <c r="P464" s="5">
        <f t="shared" si="17"/>
        <v>15.444444444444445</v>
      </c>
      <c r="Q464" s="5">
        <f t="shared" si="18"/>
        <v>0.25740740740740742</v>
      </c>
      <c r="R464" s="5">
        <f t="shared" si="19"/>
        <v>15.444444444444445</v>
      </c>
    </row>
    <row r="465" spans="1:18">
      <c r="A465" s="4">
        <v>44294</v>
      </c>
      <c r="B465" s="1" t="s">
        <v>19</v>
      </c>
      <c r="C465" s="1">
        <f t="shared" si="29"/>
        <v>4</v>
      </c>
      <c r="D465" s="1">
        <f t="shared" si="30"/>
        <v>8</v>
      </c>
      <c r="E465" s="1">
        <f t="shared" si="31"/>
        <v>2021</v>
      </c>
      <c r="F465" s="1">
        <v>464</v>
      </c>
      <c r="G465" s="1">
        <v>138</v>
      </c>
      <c r="H465" s="1">
        <v>130</v>
      </c>
      <c r="I465" s="2">
        <v>0.94199999999999995</v>
      </c>
      <c r="J465" s="1">
        <v>8</v>
      </c>
      <c r="K465" s="3">
        <v>3.0092592592592595E-4</v>
      </c>
      <c r="L465" s="3">
        <v>1.7013888888888888E-3</v>
      </c>
      <c r="M465" s="3">
        <v>1.2962962962962963E-3</v>
      </c>
      <c r="N465" s="2">
        <v>0.61480000000000001</v>
      </c>
      <c r="O465" s="5">
        <f t="shared" si="16"/>
        <v>0.22118055555555555</v>
      </c>
      <c r="P465" s="5">
        <f t="shared" si="17"/>
        <v>13.270833333333332</v>
      </c>
      <c r="Q465" s="5">
        <f t="shared" si="18"/>
        <v>0.23479166666666665</v>
      </c>
      <c r="R465" s="5">
        <f t="shared" si="19"/>
        <v>14.087499999999999</v>
      </c>
    </row>
    <row r="466" spans="1:18">
      <c r="A466" s="4">
        <v>44295</v>
      </c>
      <c r="B466" s="1" t="s">
        <v>20</v>
      </c>
      <c r="C466" s="1">
        <f t="shared" si="29"/>
        <v>4</v>
      </c>
      <c r="D466" s="1">
        <f t="shared" si="30"/>
        <v>9</v>
      </c>
      <c r="E466" s="1">
        <f t="shared" si="31"/>
        <v>2021</v>
      </c>
      <c r="F466" s="1">
        <v>465</v>
      </c>
      <c r="G466" s="1">
        <v>125</v>
      </c>
      <c r="H466" s="1">
        <v>119</v>
      </c>
      <c r="I466" s="2">
        <v>0.95199999999999996</v>
      </c>
      <c r="J466" s="1">
        <v>6</v>
      </c>
      <c r="K466" s="3">
        <v>2.5462962962962961E-4</v>
      </c>
      <c r="L466" s="3">
        <v>1.724537037037037E-3</v>
      </c>
      <c r="M466" s="3">
        <v>2.5462962962962965E-3</v>
      </c>
      <c r="N466" s="2">
        <v>0.68</v>
      </c>
      <c r="O466" s="5">
        <f t="shared" si="16"/>
        <v>0.20521990740740739</v>
      </c>
      <c r="P466" s="5">
        <f t="shared" si="17"/>
        <v>12.313194444444443</v>
      </c>
      <c r="Q466" s="5">
        <f t="shared" si="18"/>
        <v>0.21556712962962962</v>
      </c>
      <c r="R466" s="5">
        <f t="shared" si="19"/>
        <v>12.934027777777777</v>
      </c>
    </row>
    <row r="467" spans="1:18">
      <c r="A467" s="4">
        <v>44296</v>
      </c>
      <c r="B467" s="1" t="s">
        <v>21</v>
      </c>
      <c r="C467" s="1">
        <f t="shared" si="29"/>
        <v>4</v>
      </c>
      <c r="D467" s="1">
        <f t="shared" si="30"/>
        <v>10</v>
      </c>
      <c r="E467" s="1">
        <f t="shared" si="31"/>
        <v>2021</v>
      </c>
      <c r="F467" s="1">
        <v>466</v>
      </c>
      <c r="G467" s="1">
        <v>98</v>
      </c>
      <c r="H467" s="1">
        <v>96</v>
      </c>
      <c r="I467" s="2">
        <v>0.97960000000000003</v>
      </c>
      <c r="J467" s="1">
        <v>2</v>
      </c>
      <c r="K467" s="3">
        <v>2.3148148148148149E-4</v>
      </c>
      <c r="L467" s="3">
        <v>1.8055555555555555E-3</v>
      </c>
      <c r="M467" s="3">
        <v>2.0023148148148148E-3</v>
      </c>
      <c r="N467" s="2">
        <v>0.7732</v>
      </c>
      <c r="O467" s="5">
        <f t="shared" si="16"/>
        <v>0.17333333333333334</v>
      </c>
      <c r="P467" s="5">
        <f t="shared" si="17"/>
        <v>10.4</v>
      </c>
      <c r="Q467" s="5">
        <f t="shared" si="18"/>
        <v>0.17694444444444443</v>
      </c>
      <c r="R467" s="5">
        <f t="shared" si="19"/>
        <v>10.616666666666665</v>
      </c>
    </row>
    <row r="468" spans="1:18">
      <c r="A468" s="4">
        <v>44297</v>
      </c>
      <c r="B468" s="1" t="s">
        <v>22</v>
      </c>
      <c r="C468" s="1">
        <f t="shared" si="29"/>
        <v>4</v>
      </c>
      <c r="D468" s="1">
        <f t="shared" si="30"/>
        <v>11</v>
      </c>
      <c r="E468" s="1">
        <f t="shared" si="31"/>
        <v>2021</v>
      </c>
      <c r="F468" s="1">
        <v>467</v>
      </c>
      <c r="G468" s="1">
        <v>12</v>
      </c>
      <c r="H468" s="1">
        <v>12</v>
      </c>
      <c r="I468" s="2">
        <v>1</v>
      </c>
      <c r="J468" s="1">
        <v>0</v>
      </c>
      <c r="K468" s="3">
        <v>2.0833333333333335E-4</v>
      </c>
      <c r="L468" s="3">
        <v>2.1643518518518518E-3</v>
      </c>
      <c r="M468" s="3">
        <v>1.1111111111111111E-3</v>
      </c>
      <c r="N468" s="2">
        <v>0.83330000000000004</v>
      </c>
      <c r="O468" s="5">
        <f t="shared" si="16"/>
        <v>2.5972222222222223E-2</v>
      </c>
      <c r="P468" s="5">
        <f t="shared" si="17"/>
        <v>1.5583333333333333</v>
      </c>
      <c r="Q468" s="5">
        <f t="shared" si="18"/>
        <v>2.5972222222222223E-2</v>
      </c>
      <c r="R468" s="5">
        <f t="shared" si="19"/>
        <v>1.5583333333333333</v>
      </c>
    </row>
    <row r="469" spans="1:18">
      <c r="A469" s="4">
        <v>44298</v>
      </c>
      <c r="B469" s="1" t="s">
        <v>23</v>
      </c>
      <c r="C469" s="1">
        <f t="shared" si="29"/>
        <v>4</v>
      </c>
      <c r="D469" s="1">
        <f t="shared" si="30"/>
        <v>12</v>
      </c>
      <c r="E469" s="1">
        <f t="shared" si="31"/>
        <v>2021</v>
      </c>
      <c r="F469" s="1">
        <v>468</v>
      </c>
      <c r="G469" s="1">
        <v>119</v>
      </c>
      <c r="H469" s="1">
        <v>117</v>
      </c>
      <c r="I469" s="2">
        <v>0.98319999999999996</v>
      </c>
      <c r="J469" s="1">
        <v>2</v>
      </c>
      <c r="K469" s="3">
        <v>2.0833333333333335E-4</v>
      </c>
      <c r="L469" s="3">
        <v>1.8402777777777777E-3</v>
      </c>
      <c r="M469" s="3">
        <v>1.8865740740740742E-3</v>
      </c>
      <c r="N469" s="2">
        <v>0.78149999999999997</v>
      </c>
      <c r="O469" s="5">
        <f t="shared" si="16"/>
        <v>0.21531249999999999</v>
      </c>
      <c r="P469" s="5">
        <f t="shared" si="17"/>
        <v>12.918749999999999</v>
      </c>
      <c r="Q469" s="5">
        <f t="shared" si="18"/>
        <v>0.21899305555555554</v>
      </c>
      <c r="R469" s="5">
        <f t="shared" si="19"/>
        <v>13.139583333333333</v>
      </c>
    </row>
    <row r="470" spans="1:18">
      <c r="A470" s="4">
        <v>44299</v>
      </c>
      <c r="B470" s="1" t="s">
        <v>24</v>
      </c>
      <c r="C470" s="1">
        <f t="shared" si="29"/>
        <v>4</v>
      </c>
      <c r="D470" s="1">
        <f t="shared" si="30"/>
        <v>13</v>
      </c>
      <c r="E470" s="1">
        <f t="shared" si="31"/>
        <v>2021</v>
      </c>
      <c r="F470" s="1">
        <v>469</v>
      </c>
      <c r="G470" s="1">
        <v>100</v>
      </c>
      <c r="H470" s="1">
        <v>96</v>
      </c>
      <c r="I470" s="2">
        <v>0.96</v>
      </c>
      <c r="J470" s="1">
        <v>4</v>
      </c>
      <c r="K470" s="3">
        <v>2.4305555555555555E-4</v>
      </c>
      <c r="L470" s="3">
        <v>1.8171296296296297E-3</v>
      </c>
      <c r="M470" s="3">
        <v>1.9097222222222222E-3</v>
      </c>
      <c r="N470" s="2">
        <v>0.76</v>
      </c>
      <c r="O470" s="5">
        <f t="shared" si="16"/>
        <v>0.17444444444444446</v>
      </c>
      <c r="P470" s="5">
        <f t="shared" si="17"/>
        <v>10.466666666666667</v>
      </c>
      <c r="Q470" s="5">
        <f t="shared" si="18"/>
        <v>0.18171296296296297</v>
      </c>
      <c r="R470" s="5">
        <f t="shared" si="19"/>
        <v>10.902777777777779</v>
      </c>
    </row>
    <row r="471" spans="1:18">
      <c r="A471" s="4">
        <v>44300</v>
      </c>
      <c r="B471" s="1" t="s">
        <v>18</v>
      </c>
      <c r="C471" s="1">
        <f t="shared" si="29"/>
        <v>4</v>
      </c>
      <c r="D471" s="1">
        <f t="shared" si="30"/>
        <v>14</v>
      </c>
      <c r="E471" s="1">
        <f t="shared" si="31"/>
        <v>2021</v>
      </c>
      <c r="F471" s="1">
        <v>470</v>
      </c>
      <c r="G471" s="1">
        <v>146</v>
      </c>
      <c r="H471" s="1">
        <v>133</v>
      </c>
      <c r="I471" s="2">
        <v>0.91100000000000003</v>
      </c>
      <c r="J471" s="1">
        <v>13</v>
      </c>
      <c r="K471" s="3">
        <v>3.5879629629629629E-4</v>
      </c>
      <c r="L471" s="3">
        <v>1.736111111111111E-3</v>
      </c>
      <c r="M471" s="3">
        <v>2.5462962962962965E-3</v>
      </c>
      <c r="N471" s="2">
        <v>0.57750000000000001</v>
      </c>
      <c r="O471" s="5">
        <f t="shared" si="16"/>
        <v>0.23090277777777776</v>
      </c>
      <c r="P471" s="5">
        <f t="shared" si="17"/>
        <v>13.854166666666666</v>
      </c>
      <c r="Q471" s="5">
        <f t="shared" si="18"/>
        <v>0.25347222222222221</v>
      </c>
      <c r="R471" s="5">
        <f t="shared" si="19"/>
        <v>15.208333333333332</v>
      </c>
    </row>
    <row r="472" spans="1:18">
      <c r="A472" s="4">
        <v>44301</v>
      </c>
      <c r="B472" s="1" t="s">
        <v>19</v>
      </c>
      <c r="C472" s="1">
        <f t="shared" si="29"/>
        <v>4</v>
      </c>
      <c r="D472" s="1">
        <f t="shared" si="30"/>
        <v>15</v>
      </c>
      <c r="E472" s="1">
        <f t="shared" si="31"/>
        <v>2021</v>
      </c>
      <c r="F472" s="1">
        <v>471</v>
      </c>
      <c r="G472" s="1">
        <v>131</v>
      </c>
      <c r="H472" s="1">
        <v>127</v>
      </c>
      <c r="I472" s="2">
        <v>0.96950000000000003</v>
      </c>
      <c r="J472" s="1">
        <v>4</v>
      </c>
      <c r="K472" s="3">
        <v>2.5462962962962961E-4</v>
      </c>
      <c r="L472" s="3">
        <v>1.6782407407407408E-3</v>
      </c>
      <c r="M472" s="3">
        <v>1.712962962962963E-3</v>
      </c>
      <c r="N472" s="2">
        <v>0.72660000000000002</v>
      </c>
      <c r="O472" s="5">
        <f t="shared" si="16"/>
        <v>0.21313657407407408</v>
      </c>
      <c r="P472" s="5">
        <f t="shared" si="17"/>
        <v>12.788194444444445</v>
      </c>
      <c r="Q472" s="5">
        <f t="shared" si="18"/>
        <v>0.21984953703703705</v>
      </c>
      <c r="R472" s="5">
        <f t="shared" si="19"/>
        <v>13.190972222222223</v>
      </c>
    </row>
    <row r="473" spans="1:18">
      <c r="A473" s="4">
        <v>44302</v>
      </c>
      <c r="B473" s="1" t="s">
        <v>20</v>
      </c>
      <c r="C473" s="1">
        <f t="shared" si="29"/>
        <v>4</v>
      </c>
      <c r="D473" s="1">
        <f t="shared" si="30"/>
        <v>16</v>
      </c>
      <c r="E473" s="1">
        <f t="shared" si="31"/>
        <v>2021</v>
      </c>
      <c r="F473" s="1">
        <v>472</v>
      </c>
      <c r="G473" s="1">
        <v>107</v>
      </c>
      <c r="H473" s="1">
        <v>104</v>
      </c>
      <c r="I473" s="2">
        <v>0.97199999999999998</v>
      </c>
      <c r="J473" s="1">
        <v>3</v>
      </c>
      <c r="K473" s="3">
        <v>9.2592592592592588E-5</v>
      </c>
      <c r="L473" s="3">
        <v>1.7013888888888888E-3</v>
      </c>
      <c r="M473" s="3">
        <v>1.1111111111111111E-3</v>
      </c>
      <c r="N473" s="2">
        <v>0.92449999999999999</v>
      </c>
      <c r="O473" s="5">
        <f t="shared" si="16"/>
        <v>0.17694444444444443</v>
      </c>
      <c r="P473" s="5">
        <f t="shared" si="17"/>
        <v>10.616666666666665</v>
      </c>
      <c r="Q473" s="5">
        <f t="shared" si="18"/>
        <v>0.18204861111111109</v>
      </c>
      <c r="R473" s="5">
        <f t="shared" si="19"/>
        <v>10.922916666666666</v>
      </c>
    </row>
    <row r="474" spans="1:18">
      <c r="A474" s="4">
        <v>44303</v>
      </c>
      <c r="B474" s="1" t="s">
        <v>21</v>
      </c>
      <c r="C474" s="1">
        <f t="shared" si="29"/>
        <v>4</v>
      </c>
      <c r="D474" s="1">
        <f t="shared" si="30"/>
        <v>17</v>
      </c>
      <c r="E474" s="1">
        <f t="shared" si="31"/>
        <v>2021</v>
      </c>
      <c r="F474" s="1">
        <v>473</v>
      </c>
      <c r="G474" s="1">
        <v>112</v>
      </c>
      <c r="H474" s="1">
        <v>105</v>
      </c>
      <c r="I474" s="2">
        <v>0.9375</v>
      </c>
      <c r="J474" s="1">
        <v>7</v>
      </c>
      <c r="K474" s="3">
        <v>2.7777777777777778E-4</v>
      </c>
      <c r="L474" s="3">
        <v>1.8287037037037037E-3</v>
      </c>
      <c r="M474" s="3">
        <v>3.1018518518518517E-3</v>
      </c>
      <c r="N474" s="2">
        <v>0.67269999999999996</v>
      </c>
      <c r="O474" s="5">
        <f t="shared" si="16"/>
        <v>0.1920138888888889</v>
      </c>
      <c r="P474" s="5">
        <f t="shared" si="17"/>
        <v>11.520833333333334</v>
      </c>
      <c r="Q474" s="5">
        <f t="shared" si="18"/>
        <v>0.20481481481481481</v>
      </c>
      <c r="R474" s="5">
        <f t="shared" si="19"/>
        <v>12.288888888888888</v>
      </c>
    </row>
    <row r="475" spans="1:18">
      <c r="A475" s="4">
        <v>44304</v>
      </c>
      <c r="B475" s="1" t="s">
        <v>22</v>
      </c>
      <c r="C475" s="1">
        <f t="shared" si="29"/>
        <v>4</v>
      </c>
      <c r="D475" s="1">
        <f t="shared" si="30"/>
        <v>18</v>
      </c>
      <c r="E475" s="1">
        <f t="shared" si="31"/>
        <v>2021</v>
      </c>
      <c r="F475" s="1">
        <v>474</v>
      </c>
      <c r="G475" s="1">
        <v>21</v>
      </c>
      <c r="H475" s="1">
        <v>21</v>
      </c>
      <c r="I475" s="2">
        <v>1</v>
      </c>
      <c r="J475" s="1">
        <v>0</v>
      </c>
      <c r="K475" s="3">
        <v>3.7037037037037035E-4</v>
      </c>
      <c r="L475" s="3">
        <v>1.7476851851851852E-3</v>
      </c>
      <c r="M475" s="3">
        <v>9.837962962962962E-4</v>
      </c>
      <c r="N475" s="2">
        <v>0.52380000000000004</v>
      </c>
      <c r="O475" s="5">
        <f t="shared" si="16"/>
        <v>3.6701388888888888E-2</v>
      </c>
      <c r="P475" s="5">
        <f t="shared" si="17"/>
        <v>2.2020833333333334</v>
      </c>
      <c r="Q475" s="5">
        <f t="shared" si="18"/>
        <v>3.6701388888888888E-2</v>
      </c>
      <c r="R475" s="5">
        <f t="shared" si="19"/>
        <v>2.2020833333333334</v>
      </c>
    </row>
    <row r="476" spans="1:18">
      <c r="A476" s="4">
        <v>44305</v>
      </c>
      <c r="B476" s="1" t="s">
        <v>23</v>
      </c>
      <c r="C476" s="1">
        <f t="shared" si="29"/>
        <v>4</v>
      </c>
      <c r="D476" s="1">
        <f t="shared" si="30"/>
        <v>19</v>
      </c>
      <c r="E476" s="1">
        <f t="shared" si="31"/>
        <v>2021</v>
      </c>
      <c r="F476" s="1">
        <v>475</v>
      </c>
      <c r="G476" s="1">
        <v>125</v>
      </c>
      <c r="H476" s="1">
        <v>104</v>
      </c>
      <c r="I476" s="2">
        <v>0.83199999999999996</v>
      </c>
      <c r="J476" s="1">
        <v>21</v>
      </c>
      <c r="K476" s="3">
        <v>4.2824074074074075E-4</v>
      </c>
      <c r="L476" s="3">
        <v>1.8981481481481482E-3</v>
      </c>
      <c r="M476" s="3">
        <v>1.9097222222222222E-3</v>
      </c>
      <c r="N476" s="2">
        <v>0.44629999999999997</v>
      </c>
      <c r="O476" s="5">
        <f t="shared" si="16"/>
        <v>0.19740740740740742</v>
      </c>
      <c r="P476" s="5">
        <f t="shared" si="17"/>
        <v>11.844444444444445</v>
      </c>
      <c r="Q476" s="5">
        <f t="shared" si="18"/>
        <v>0.23726851851851852</v>
      </c>
      <c r="R476" s="5">
        <f t="shared" si="19"/>
        <v>14.236111111111111</v>
      </c>
    </row>
    <row r="477" spans="1:18">
      <c r="A477" s="4">
        <v>44306</v>
      </c>
      <c r="B477" s="1" t="s">
        <v>24</v>
      </c>
      <c r="C477" s="1">
        <f t="shared" si="29"/>
        <v>4</v>
      </c>
      <c r="D477" s="1">
        <f t="shared" si="30"/>
        <v>20</v>
      </c>
      <c r="E477" s="1">
        <f t="shared" si="31"/>
        <v>2021</v>
      </c>
      <c r="F477" s="1">
        <v>476</v>
      </c>
      <c r="G477" s="1">
        <v>35</v>
      </c>
      <c r="H477" s="1">
        <v>34</v>
      </c>
      <c r="I477" s="2">
        <v>0.97140000000000004</v>
      </c>
      <c r="J477" s="1">
        <v>1</v>
      </c>
      <c r="K477" s="3">
        <v>2.7777777777777778E-4</v>
      </c>
      <c r="L477" s="3">
        <v>1.5277777777777779E-3</v>
      </c>
      <c r="M477" s="3">
        <v>1.5740740740740741E-3</v>
      </c>
      <c r="N477" s="2">
        <v>0.7429</v>
      </c>
      <c r="O477" s="5">
        <f t="shared" si="16"/>
        <v>5.1944444444444446E-2</v>
      </c>
      <c r="P477" s="5">
        <f t="shared" si="17"/>
        <v>3.1166666666666667</v>
      </c>
      <c r="Q477" s="5">
        <f t="shared" si="18"/>
        <v>5.3472222222222227E-2</v>
      </c>
      <c r="R477" s="5">
        <f t="shared" si="19"/>
        <v>3.2083333333333335</v>
      </c>
    </row>
    <row r="478" spans="1:18">
      <c r="A478" s="4">
        <v>44307</v>
      </c>
      <c r="B478" s="1" t="s">
        <v>18</v>
      </c>
      <c r="C478" s="1">
        <f t="shared" si="29"/>
        <v>4</v>
      </c>
      <c r="D478" s="1">
        <f t="shared" si="30"/>
        <v>21</v>
      </c>
      <c r="E478" s="1">
        <f t="shared" si="31"/>
        <v>2021</v>
      </c>
      <c r="F478" s="1">
        <v>477</v>
      </c>
      <c r="G478" s="1">
        <v>121</v>
      </c>
      <c r="H478" s="1">
        <v>109</v>
      </c>
      <c r="I478" s="2">
        <v>0.90080000000000005</v>
      </c>
      <c r="J478" s="1">
        <v>12</v>
      </c>
      <c r="K478" s="3">
        <v>4.3981481481481481E-4</v>
      </c>
      <c r="L478" s="3">
        <v>1.7592592592592592E-3</v>
      </c>
      <c r="M478" s="3">
        <v>3.7152777777777778E-3</v>
      </c>
      <c r="N478" s="2">
        <v>0.53779999999999994</v>
      </c>
      <c r="O478" s="5">
        <f t="shared" si="16"/>
        <v>0.19175925925925927</v>
      </c>
      <c r="P478" s="5">
        <f t="shared" si="17"/>
        <v>11.505555555555556</v>
      </c>
      <c r="Q478" s="5">
        <f t="shared" si="18"/>
        <v>0.21287037037037038</v>
      </c>
      <c r="R478" s="5">
        <f t="shared" si="19"/>
        <v>12.772222222222222</v>
      </c>
    </row>
    <row r="479" spans="1:18">
      <c r="A479" s="4">
        <v>44308</v>
      </c>
      <c r="B479" s="1" t="s">
        <v>19</v>
      </c>
      <c r="C479" s="1">
        <f t="shared" si="29"/>
        <v>4</v>
      </c>
      <c r="D479" s="1">
        <f t="shared" si="30"/>
        <v>22</v>
      </c>
      <c r="E479" s="1">
        <f t="shared" si="31"/>
        <v>2021</v>
      </c>
      <c r="F479" s="1">
        <v>478</v>
      </c>
      <c r="G479" s="1">
        <v>135</v>
      </c>
      <c r="H479" s="1">
        <v>122</v>
      </c>
      <c r="I479" s="2">
        <v>0.90369999999999995</v>
      </c>
      <c r="J479" s="1">
        <v>13</v>
      </c>
      <c r="K479" s="3">
        <v>3.7037037037037035E-4</v>
      </c>
      <c r="L479" s="3">
        <v>1.7824074074074075E-3</v>
      </c>
      <c r="M479" s="3">
        <v>2.1759259259259258E-3</v>
      </c>
      <c r="N479" s="2">
        <v>0.57579999999999998</v>
      </c>
      <c r="O479" s="5">
        <f t="shared" si="16"/>
        <v>0.2174537037037037</v>
      </c>
      <c r="P479" s="5">
        <f t="shared" si="17"/>
        <v>13.047222222222222</v>
      </c>
      <c r="Q479" s="5">
        <f t="shared" si="18"/>
        <v>0.24062500000000001</v>
      </c>
      <c r="R479" s="5">
        <f t="shared" si="19"/>
        <v>14.4375</v>
      </c>
    </row>
    <row r="480" spans="1:18">
      <c r="A480" s="4">
        <v>44309</v>
      </c>
      <c r="B480" s="1" t="s">
        <v>20</v>
      </c>
      <c r="C480" s="1">
        <f t="shared" si="29"/>
        <v>4</v>
      </c>
      <c r="D480" s="1">
        <f t="shared" si="30"/>
        <v>23</v>
      </c>
      <c r="E480" s="1">
        <f t="shared" si="31"/>
        <v>2021</v>
      </c>
      <c r="F480" s="1">
        <v>479</v>
      </c>
      <c r="G480" s="1">
        <v>117</v>
      </c>
      <c r="H480" s="1">
        <v>114</v>
      </c>
      <c r="I480" s="2">
        <v>0.97440000000000004</v>
      </c>
      <c r="J480" s="1">
        <v>3</v>
      </c>
      <c r="K480" s="3">
        <v>2.5462962962962961E-4</v>
      </c>
      <c r="L480" s="3">
        <v>1.8287037037037037E-3</v>
      </c>
      <c r="M480" s="3">
        <v>1.7013888888888888E-3</v>
      </c>
      <c r="N480" s="2">
        <v>0.75860000000000005</v>
      </c>
      <c r="O480" s="5">
        <f t="shared" si="16"/>
        <v>0.20847222222222223</v>
      </c>
      <c r="P480" s="5">
        <f t="shared" si="17"/>
        <v>12.508333333333333</v>
      </c>
      <c r="Q480" s="5">
        <f t="shared" si="18"/>
        <v>0.21395833333333333</v>
      </c>
      <c r="R480" s="5">
        <f t="shared" si="19"/>
        <v>12.8375</v>
      </c>
    </row>
    <row r="481" spans="1:18">
      <c r="A481" s="4">
        <v>44310</v>
      </c>
      <c r="B481" s="1" t="s">
        <v>21</v>
      </c>
      <c r="C481" s="1">
        <f t="shared" si="29"/>
        <v>4</v>
      </c>
      <c r="D481" s="1">
        <f t="shared" si="30"/>
        <v>24</v>
      </c>
      <c r="E481" s="1">
        <f t="shared" si="31"/>
        <v>2021</v>
      </c>
      <c r="F481" s="1">
        <v>480</v>
      </c>
      <c r="G481" s="1">
        <v>114</v>
      </c>
      <c r="H481" s="1">
        <v>97</v>
      </c>
      <c r="I481" s="2">
        <v>0.85089999999999999</v>
      </c>
      <c r="J481" s="1">
        <v>17</v>
      </c>
      <c r="K481" s="3">
        <v>4.5138888888888887E-4</v>
      </c>
      <c r="L481" s="3">
        <v>1.9675925925925924E-3</v>
      </c>
      <c r="M481" s="3">
        <v>5.7407407407407407E-3</v>
      </c>
      <c r="N481" s="2">
        <v>0.45129999999999998</v>
      </c>
      <c r="O481" s="5">
        <f t="shared" si="16"/>
        <v>0.19085648148148146</v>
      </c>
      <c r="P481" s="5">
        <f t="shared" si="17"/>
        <v>11.451388888888888</v>
      </c>
      <c r="Q481" s="5">
        <f t="shared" si="18"/>
        <v>0.22430555555555554</v>
      </c>
      <c r="R481" s="5">
        <f t="shared" si="19"/>
        <v>13.458333333333332</v>
      </c>
    </row>
    <row r="482" spans="1:18">
      <c r="A482" s="4">
        <v>44311</v>
      </c>
      <c r="B482" s="1" t="s">
        <v>22</v>
      </c>
      <c r="C482" s="1">
        <f t="shared" si="29"/>
        <v>4</v>
      </c>
      <c r="D482" s="1">
        <f t="shared" si="30"/>
        <v>25</v>
      </c>
      <c r="E482" s="1">
        <f t="shared" si="31"/>
        <v>2021</v>
      </c>
      <c r="F482" s="1">
        <v>481</v>
      </c>
      <c r="G482" s="1">
        <v>50</v>
      </c>
      <c r="H482" s="1">
        <v>49</v>
      </c>
      <c r="I482" s="2">
        <v>0.98</v>
      </c>
      <c r="J482" s="1">
        <v>1</v>
      </c>
      <c r="K482" s="3">
        <v>4.0509259259259258E-4</v>
      </c>
      <c r="L482" s="3">
        <v>2.0254629629629629E-3</v>
      </c>
      <c r="M482" s="3">
        <v>1.6435185185185185E-3</v>
      </c>
      <c r="N482" s="2">
        <v>0.52</v>
      </c>
      <c r="O482" s="5">
        <f t="shared" si="16"/>
        <v>9.9247685185185175E-2</v>
      </c>
      <c r="P482" s="5">
        <f t="shared" si="17"/>
        <v>5.9548611111111107</v>
      </c>
      <c r="Q482" s="5">
        <f t="shared" si="18"/>
        <v>0.10127314814814814</v>
      </c>
      <c r="R482" s="5">
        <f t="shared" si="19"/>
        <v>6.0763888888888884</v>
      </c>
    </row>
    <row r="483" spans="1:18">
      <c r="A483" s="4">
        <v>44312</v>
      </c>
      <c r="B483" s="1" t="s">
        <v>23</v>
      </c>
      <c r="C483" s="1">
        <f t="shared" si="29"/>
        <v>4</v>
      </c>
      <c r="D483" s="1">
        <f t="shared" si="30"/>
        <v>26</v>
      </c>
      <c r="E483" s="1">
        <f t="shared" si="31"/>
        <v>2021</v>
      </c>
      <c r="F483" s="1">
        <v>482</v>
      </c>
      <c r="G483" s="1">
        <v>207</v>
      </c>
      <c r="H483" s="1">
        <v>198</v>
      </c>
      <c r="I483" s="2">
        <v>0.95650000000000002</v>
      </c>
      <c r="J483" s="1">
        <v>9</v>
      </c>
      <c r="K483" s="3">
        <v>1.8518518518518518E-4</v>
      </c>
      <c r="L483" s="3">
        <v>1.8865740740740742E-3</v>
      </c>
      <c r="M483" s="3">
        <v>2.673611111111111E-3</v>
      </c>
      <c r="N483" s="2">
        <v>0.80489999999999995</v>
      </c>
      <c r="O483" s="5">
        <f t="shared" si="16"/>
        <v>0.37354166666666666</v>
      </c>
      <c r="P483" s="5">
        <f t="shared" si="17"/>
        <v>22.412500000000001</v>
      </c>
      <c r="Q483" s="5">
        <f t="shared" si="18"/>
        <v>0.39052083333333337</v>
      </c>
      <c r="R483" s="5">
        <f t="shared" si="19"/>
        <v>23.431250000000002</v>
      </c>
    </row>
    <row r="484" spans="1:18">
      <c r="A484" s="4">
        <v>44313</v>
      </c>
      <c r="B484" s="1" t="s">
        <v>24</v>
      </c>
      <c r="C484" s="1">
        <f t="shared" si="29"/>
        <v>4</v>
      </c>
      <c r="D484" s="1">
        <f t="shared" si="30"/>
        <v>27</v>
      </c>
      <c r="E484" s="1">
        <f t="shared" si="31"/>
        <v>2021</v>
      </c>
      <c r="F484" s="1">
        <v>483</v>
      </c>
      <c r="G484" s="1">
        <v>189</v>
      </c>
      <c r="H484" s="1">
        <v>183</v>
      </c>
      <c r="I484" s="2">
        <v>0.96830000000000005</v>
      </c>
      <c r="J484" s="1">
        <v>6</v>
      </c>
      <c r="K484" s="3">
        <v>2.4305555555555555E-4</v>
      </c>
      <c r="L484" s="3">
        <v>1.7476851851851852E-3</v>
      </c>
      <c r="M484" s="3">
        <v>2.7546296296296294E-3</v>
      </c>
      <c r="N484" s="2">
        <v>0.7419</v>
      </c>
      <c r="O484" s="5">
        <f t="shared" si="16"/>
        <v>0.31982638888888892</v>
      </c>
      <c r="P484" s="5">
        <f t="shared" si="17"/>
        <v>19.189583333333335</v>
      </c>
      <c r="Q484" s="5">
        <f t="shared" si="18"/>
        <v>0.33031250000000001</v>
      </c>
      <c r="R484" s="5">
        <f t="shared" si="19"/>
        <v>19.818750000000001</v>
      </c>
    </row>
    <row r="485" spans="1:18">
      <c r="A485" s="4">
        <v>44314</v>
      </c>
      <c r="B485" s="1" t="s">
        <v>18</v>
      </c>
      <c r="C485" s="1">
        <f t="shared" si="29"/>
        <v>4</v>
      </c>
      <c r="D485" s="1">
        <f t="shared" si="30"/>
        <v>28</v>
      </c>
      <c r="E485" s="1">
        <f t="shared" si="31"/>
        <v>2021</v>
      </c>
      <c r="F485" s="1">
        <v>484</v>
      </c>
      <c r="G485" s="1">
        <v>162</v>
      </c>
      <c r="H485" s="1">
        <v>156</v>
      </c>
      <c r="I485" s="2">
        <v>0.96299999999999997</v>
      </c>
      <c r="J485" s="1">
        <v>6</v>
      </c>
      <c r="K485" s="3">
        <v>2.7777777777777778E-4</v>
      </c>
      <c r="L485" s="3">
        <v>1.6435185185185185E-3</v>
      </c>
      <c r="M485" s="3">
        <v>1.4814814814814814E-3</v>
      </c>
      <c r="N485" s="2">
        <v>0.66459999999999997</v>
      </c>
      <c r="O485" s="5">
        <f t="shared" si="16"/>
        <v>0.25638888888888889</v>
      </c>
      <c r="P485" s="5">
        <f t="shared" si="17"/>
        <v>15.383333333333333</v>
      </c>
      <c r="Q485" s="5">
        <f t="shared" si="18"/>
        <v>0.26624999999999999</v>
      </c>
      <c r="R485" s="5">
        <f t="shared" si="19"/>
        <v>15.975</v>
      </c>
    </row>
    <row r="486" spans="1:18">
      <c r="A486" s="4">
        <v>44315</v>
      </c>
      <c r="B486" s="1" t="s">
        <v>19</v>
      </c>
      <c r="C486" s="1">
        <f t="shared" si="29"/>
        <v>4</v>
      </c>
      <c r="D486" s="1">
        <f t="shared" si="30"/>
        <v>29</v>
      </c>
      <c r="E486" s="1">
        <f t="shared" si="31"/>
        <v>2021</v>
      </c>
      <c r="F486" s="1">
        <v>485</v>
      </c>
      <c r="G486" s="1">
        <v>177</v>
      </c>
      <c r="H486" s="1">
        <v>165</v>
      </c>
      <c r="I486" s="2">
        <v>0.93220000000000003</v>
      </c>
      <c r="J486" s="1">
        <v>12</v>
      </c>
      <c r="K486" s="3">
        <v>3.0092592592592595E-4</v>
      </c>
      <c r="L486" s="3">
        <v>1.7476851851851852E-3</v>
      </c>
      <c r="M486" s="3">
        <v>2.662037037037037E-3</v>
      </c>
      <c r="N486" s="2">
        <v>0.66469999999999996</v>
      </c>
      <c r="O486" s="5">
        <f t="shared" si="16"/>
        <v>0.28836805555555556</v>
      </c>
      <c r="P486" s="5">
        <f t="shared" si="17"/>
        <v>17.302083333333332</v>
      </c>
      <c r="Q486" s="5">
        <f t="shared" si="18"/>
        <v>0.30934027777777778</v>
      </c>
      <c r="R486" s="5">
        <f t="shared" si="19"/>
        <v>18.560416666666669</v>
      </c>
    </row>
    <row r="487" spans="1:18">
      <c r="A487" s="4">
        <v>44316</v>
      </c>
      <c r="B487" s="1" t="s">
        <v>20</v>
      </c>
      <c r="C487" s="1">
        <f t="shared" si="29"/>
        <v>4</v>
      </c>
      <c r="D487" s="1">
        <f t="shared" si="30"/>
        <v>30</v>
      </c>
      <c r="E487" s="1">
        <f t="shared" si="31"/>
        <v>2021</v>
      </c>
      <c r="F487" s="1">
        <v>486</v>
      </c>
      <c r="G487" s="1">
        <v>177</v>
      </c>
      <c r="H487" s="1">
        <v>167</v>
      </c>
      <c r="I487" s="2">
        <v>0.94350000000000001</v>
      </c>
      <c r="J487" s="1">
        <v>10</v>
      </c>
      <c r="K487" s="3">
        <v>2.6620370370370372E-4</v>
      </c>
      <c r="L487" s="3">
        <v>1.7939814814814815E-3</v>
      </c>
      <c r="M487" s="3">
        <v>1.9097222222222222E-3</v>
      </c>
      <c r="N487" s="2">
        <v>0.68969999999999998</v>
      </c>
      <c r="O487" s="5">
        <f t="shared" si="16"/>
        <v>0.29959490740740741</v>
      </c>
      <c r="P487" s="5">
        <f t="shared" si="17"/>
        <v>17.975694444444443</v>
      </c>
      <c r="Q487" s="5">
        <f t="shared" si="18"/>
        <v>0.31753472222222223</v>
      </c>
      <c r="R487" s="5">
        <f t="shared" si="19"/>
        <v>19.052083333333336</v>
      </c>
    </row>
    <row r="488" spans="1:18">
      <c r="A488" s="4">
        <v>44317</v>
      </c>
      <c r="B488" s="1" t="s">
        <v>21</v>
      </c>
      <c r="C488" s="1">
        <f t="shared" si="29"/>
        <v>5</v>
      </c>
      <c r="D488" s="1">
        <f t="shared" si="30"/>
        <v>1</v>
      </c>
      <c r="E488" s="1">
        <f t="shared" si="31"/>
        <v>2021</v>
      </c>
      <c r="F488" s="1">
        <v>487</v>
      </c>
      <c r="G488" s="1">
        <v>163</v>
      </c>
      <c r="H488" s="1">
        <v>134</v>
      </c>
      <c r="I488" s="2">
        <v>0.82210000000000005</v>
      </c>
      <c r="J488" s="1">
        <v>29</v>
      </c>
      <c r="K488" s="3">
        <v>4.3981481481481481E-4</v>
      </c>
      <c r="L488" s="3">
        <v>1.8749999999999999E-3</v>
      </c>
      <c r="M488" s="3">
        <v>5.0462962962962961E-3</v>
      </c>
      <c r="N488" s="2">
        <v>0.47199999999999998</v>
      </c>
      <c r="O488" s="5">
        <f t="shared" si="16"/>
        <v>0.25124999999999997</v>
      </c>
      <c r="P488" s="5">
        <f t="shared" si="17"/>
        <v>15.074999999999999</v>
      </c>
      <c r="Q488" s="5">
        <f t="shared" si="18"/>
        <v>0.30562499999999998</v>
      </c>
      <c r="R488" s="5">
        <f t="shared" si="19"/>
        <v>18.337499999999999</v>
      </c>
    </row>
    <row r="489" spans="1:18">
      <c r="A489" s="4">
        <v>44318</v>
      </c>
      <c r="B489" s="1" t="s">
        <v>22</v>
      </c>
      <c r="C489" s="1">
        <f t="shared" si="29"/>
        <v>5</v>
      </c>
      <c r="D489" s="1">
        <f t="shared" si="30"/>
        <v>2</v>
      </c>
      <c r="E489" s="1">
        <f t="shared" si="31"/>
        <v>2021</v>
      </c>
      <c r="F489" s="1">
        <v>488</v>
      </c>
      <c r="G489" s="1">
        <v>24</v>
      </c>
      <c r="H489" s="1">
        <v>20</v>
      </c>
      <c r="I489" s="2">
        <v>0.83330000000000004</v>
      </c>
      <c r="J489" s="1">
        <v>4</v>
      </c>
      <c r="K489" s="3">
        <v>3.0092592592592595E-4</v>
      </c>
      <c r="L489" s="3">
        <v>2.3495370370370371E-3</v>
      </c>
      <c r="M489" s="3">
        <v>1.5740740740740741E-3</v>
      </c>
      <c r="N489" s="2">
        <v>0.6522</v>
      </c>
      <c r="O489" s="5">
        <f t="shared" si="16"/>
        <v>4.6990740740740743E-2</v>
      </c>
      <c r="P489" s="5">
        <f t="shared" si="17"/>
        <v>2.8194444444444446</v>
      </c>
      <c r="Q489" s="5">
        <f t="shared" si="18"/>
        <v>5.6388888888888891E-2</v>
      </c>
      <c r="R489" s="5">
        <f t="shared" si="19"/>
        <v>3.3833333333333333</v>
      </c>
    </row>
    <row r="490" spans="1:18">
      <c r="A490" s="4">
        <v>44319</v>
      </c>
      <c r="B490" s="1" t="s">
        <v>23</v>
      </c>
      <c r="C490" s="1">
        <f t="shared" si="29"/>
        <v>5</v>
      </c>
      <c r="D490" s="1">
        <f t="shared" si="30"/>
        <v>3</v>
      </c>
      <c r="E490" s="1">
        <f t="shared" si="31"/>
        <v>2021</v>
      </c>
      <c r="F490" s="1">
        <v>489</v>
      </c>
      <c r="G490" s="1">
        <v>146</v>
      </c>
      <c r="H490" s="1">
        <v>139</v>
      </c>
      <c r="I490" s="2">
        <v>0.95209999999999995</v>
      </c>
      <c r="J490" s="1">
        <v>7</v>
      </c>
      <c r="K490" s="3">
        <v>2.0833333333333335E-4</v>
      </c>
      <c r="L490" s="3">
        <v>1.7824074074074075E-3</v>
      </c>
      <c r="M490" s="3">
        <v>4.409722222222222E-3</v>
      </c>
      <c r="N490" s="2">
        <v>0.75860000000000005</v>
      </c>
      <c r="O490" s="5">
        <f t="shared" si="16"/>
        <v>0.24775462962962963</v>
      </c>
      <c r="P490" s="5">
        <f t="shared" si="17"/>
        <v>14.865277777777777</v>
      </c>
      <c r="Q490" s="5">
        <f t="shared" si="18"/>
        <v>0.26023148148148151</v>
      </c>
      <c r="R490" s="5">
        <f t="shared" si="19"/>
        <v>15.613888888888891</v>
      </c>
    </row>
    <row r="491" spans="1:18">
      <c r="A491" s="4">
        <v>44320</v>
      </c>
      <c r="B491" s="1" t="s">
        <v>24</v>
      </c>
      <c r="C491" s="1">
        <f t="shared" si="29"/>
        <v>5</v>
      </c>
      <c r="D491" s="1">
        <f t="shared" si="30"/>
        <v>4</v>
      </c>
      <c r="E491" s="1">
        <f t="shared" si="31"/>
        <v>2021</v>
      </c>
      <c r="F491" s="1">
        <v>490</v>
      </c>
      <c r="G491" s="1">
        <v>143</v>
      </c>
      <c r="H491" s="1">
        <v>141</v>
      </c>
      <c r="I491" s="2">
        <v>0.98599999999999999</v>
      </c>
      <c r="J491" s="1">
        <v>2</v>
      </c>
      <c r="K491" s="3">
        <v>2.5462962962962961E-4</v>
      </c>
      <c r="L491" s="3">
        <v>1.9097222222222222E-3</v>
      </c>
      <c r="M491" s="3">
        <v>1.9097222222222222E-3</v>
      </c>
      <c r="N491" s="2">
        <v>0.72030000000000005</v>
      </c>
      <c r="O491" s="5">
        <f t="shared" si="16"/>
        <v>0.26927083333333335</v>
      </c>
      <c r="P491" s="5">
        <f t="shared" si="17"/>
        <v>16.15625</v>
      </c>
      <c r="Q491" s="5">
        <f t="shared" si="18"/>
        <v>0.27309027777777778</v>
      </c>
      <c r="R491" s="5">
        <f t="shared" si="19"/>
        <v>16.385416666666668</v>
      </c>
    </row>
    <row r="492" spans="1:18">
      <c r="A492" s="4">
        <v>44321</v>
      </c>
      <c r="B492" s="1" t="s">
        <v>18</v>
      </c>
      <c r="C492" s="1">
        <f t="shared" si="29"/>
        <v>5</v>
      </c>
      <c r="D492" s="1">
        <f t="shared" si="30"/>
        <v>5</v>
      </c>
      <c r="E492" s="1">
        <f t="shared" si="31"/>
        <v>2021</v>
      </c>
      <c r="F492" s="1">
        <v>491</v>
      </c>
      <c r="G492" s="1">
        <v>132</v>
      </c>
      <c r="H492" s="1">
        <v>122</v>
      </c>
      <c r="I492" s="2">
        <v>0.92420000000000002</v>
      </c>
      <c r="J492" s="1">
        <v>10</v>
      </c>
      <c r="K492" s="3">
        <v>3.5879629629629629E-4</v>
      </c>
      <c r="L492" s="3">
        <v>1.712962962962963E-3</v>
      </c>
      <c r="M492" s="3">
        <v>3.1944444444444446E-3</v>
      </c>
      <c r="N492" s="2">
        <v>0.56489999999999996</v>
      </c>
      <c r="O492" s="5">
        <f t="shared" si="16"/>
        <v>0.20898148148148149</v>
      </c>
      <c r="P492" s="5">
        <f t="shared" si="17"/>
        <v>12.53888888888889</v>
      </c>
      <c r="Q492" s="5">
        <f t="shared" si="18"/>
        <v>0.22611111111111112</v>
      </c>
      <c r="R492" s="5">
        <f t="shared" si="19"/>
        <v>13.566666666666668</v>
      </c>
    </row>
    <row r="493" spans="1:18">
      <c r="A493" s="4">
        <v>44322</v>
      </c>
      <c r="B493" s="1" t="s">
        <v>19</v>
      </c>
      <c r="C493" s="1">
        <f t="shared" si="29"/>
        <v>5</v>
      </c>
      <c r="D493" s="1">
        <f t="shared" si="30"/>
        <v>6</v>
      </c>
      <c r="E493" s="1">
        <f t="shared" si="31"/>
        <v>2021</v>
      </c>
      <c r="F493" s="1">
        <v>492</v>
      </c>
      <c r="G493" s="1">
        <v>137</v>
      </c>
      <c r="H493" s="1">
        <v>130</v>
      </c>
      <c r="I493" s="2">
        <v>0.94889999999999997</v>
      </c>
      <c r="J493" s="1">
        <v>7</v>
      </c>
      <c r="K493" s="3">
        <v>3.0092592592592595E-4</v>
      </c>
      <c r="L493" s="3">
        <v>1.6782407407407408E-3</v>
      </c>
      <c r="M493" s="3">
        <v>1.4583333333333334E-3</v>
      </c>
      <c r="N493" s="2">
        <v>0.64439999999999997</v>
      </c>
      <c r="O493" s="5">
        <f t="shared" si="16"/>
        <v>0.21817129629629631</v>
      </c>
      <c r="P493" s="5">
        <f t="shared" si="17"/>
        <v>13.090277777777779</v>
      </c>
      <c r="Q493" s="5">
        <f t="shared" si="18"/>
        <v>0.22991898148148149</v>
      </c>
      <c r="R493" s="5">
        <f t="shared" si="19"/>
        <v>13.795138888888889</v>
      </c>
    </row>
    <row r="494" spans="1:18">
      <c r="A494" s="4">
        <v>44323</v>
      </c>
      <c r="B494" s="1" t="s">
        <v>20</v>
      </c>
      <c r="C494" s="1">
        <f t="shared" si="29"/>
        <v>5</v>
      </c>
      <c r="D494" s="1">
        <f t="shared" si="30"/>
        <v>7</v>
      </c>
      <c r="E494" s="1">
        <f t="shared" si="31"/>
        <v>2021</v>
      </c>
      <c r="F494" s="1">
        <v>493</v>
      </c>
      <c r="G494" s="1">
        <v>112</v>
      </c>
      <c r="H494" s="1">
        <v>104</v>
      </c>
      <c r="I494" s="2">
        <v>0.92859999999999998</v>
      </c>
      <c r="J494" s="1">
        <v>8</v>
      </c>
      <c r="K494" s="3">
        <v>4.9768518518518521E-4</v>
      </c>
      <c r="L494" s="3">
        <v>1.8171296296296297E-3</v>
      </c>
      <c r="M494" s="3">
        <v>2.8587962962962963E-3</v>
      </c>
      <c r="N494" s="2">
        <v>0.40910000000000002</v>
      </c>
      <c r="O494" s="5">
        <f t="shared" si="16"/>
        <v>0.1889814814814815</v>
      </c>
      <c r="P494" s="5">
        <f t="shared" si="17"/>
        <v>11.33888888888889</v>
      </c>
      <c r="Q494" s="5">
        <f t="shared" si="18"/>
        <v>0.20351851851851852</v>
      </c>
      <c r="R494" s="5">
        <f t="shared" si="19"/>
        <v>12.21111111111111</v>
      </c>
    </row>
    <row r="495" spans="1:18">
      <c r="A495" s="4">
        <v>44324</v>
      </c>
      <c r="B495" s="1" t="s">
        <v>21</v>
      </c>
      <c r="C495" s="1">
        <f t="shared" si="29"/>
        <v>5</v>
      </c>
      <c r="D495" s="1">
        <f t="shared" si="30"/>
        <v>8</v>
      </c>
      <c r="E495" s="1">
        <f t="shared" si="31"/>
        <v>2021</v>
      </c>
      <c r="F495" s="1">
        <v>494</v>
      </c>
      <c r="G495" s="1">
        <v>110</v>
      </c>
      <c r="H495" s="1">
        <v>91</v>
      </c>
      <c r="I495" s="2">
        <v>0.82730000000000004</v>
      </c>
      <c r="J495" s="1">
        <v>19</v>
      </c>
      <c r="K495" s="3">
        <v>5.7870370370370367E-4</v>
      </c>
      <c r="L495" s="3">
        <v>1.8287037037037037E-3</v>
      </c>
      <c r="M495" s="3">
        <v>3.6111111111111109E-3</v>
      </c>
      <c r="N495" s="2">
        <v>0.36699999999999999</v>
      </c>
      <c r="O495" s="5">
        <f t="shared" si="16"/>
        <v>0.16641203703703702</v>
      </c>
      <c r="P495" s="5">
        <f t="shared" si="17"/>
        <v>9.9847222222222207</v>
      </c>
      <c r="Q495" s="5">
        <f t="shared" si="18"/>
        <v>0.2011574074074074</v>
      </c>
      <c r="R495" s="5">
        <f t="shared" si="19"/>
        <v>12.069444444444443</v>
      </c>
    </row>
    <row r="496" spans="1:18">
      <c r="A496" s="4">
        <v>44325</v>
      </c>
      <c r="B496" s="1" t="s">
        <v>22</v>
      </c>
      <c r="C496" s="1">
        <f t="shared" si="29"/>
        <v>5</v>
      </c>
      <c r="D496" s="1">
        <f t="shared" si="30"/>
        <v>9</v>
      </c>
      <c r="E496" s="1">
        <f t="shared" si="31"/>
        <v>2021</v>
      </c>
      <c r="F496" s="1">
        <v>495</v>
      </c>
      <c r="G496" s="1">
        <v>24</v>
      </c>
      <c r="H496" s="1">
        <v>22</v>
      </c>
      <c r="I496" s="2">
        <v>0.91669999999999996</v>
      </c>
      <c r="J496" s="1">
        <v>2</v>
      </c>
      <c r="K496" s="3">
        <v>3.7037037037037035E-4</v>
      </c>
      <c r="L496" s="3">
        <v>1.5509259259259259E-3</v>
      </c>
      <c r="M496" s="3">
        <v>3.3101851851851851E-3</v>
      </c>
      <c r="N496" s="2">
        <v>0.58330000000000004</v>
      </c>
      <c r="O496" s="5">
        <f t="shared" si="16"/>
        <v>3.412037037037037E-2</v>
      </c>
      <c r="P496" s="5">
        <f t="shared" si="17"/>
        <v>2.0472222222222221</v>
      </c>
      <c r="Q496" s="5">
        <f t="shared" si="18"/>
        <v>3.7222222222222219E-2</v>
      </c>
      <c r="R496" s="5">
        <f t="shared" si="19"/>
        <v>2.2333333333333329</v>
      </c>
    </row>
    <row r="497" spans="1:18">
      <c r="A497" s="4">
        <v>44326</v>
      </c>
      <c r="B497" s="1" t="s">
        <v>23</v>
      </c>
      <c r="C497" s="1">
        <f t="shared" si="29"/>
        <v>5</v>
      </c>
      <c r="D497" s="1">
        <f t="shared" si="30"/>
        <v>10</v>
      </c>
      <c r="E497" s="1">
        <f t="shared" si="31"/>
        <v>2021</v>
      </c>
      <c r="F497" s="1">
        <v>496</v>
      </c>
      <c r="G497" s="1">
        <v>168</v>
      </c>
      <c r="H497" s="1">
        <v>154</v>
      </c>
      <c r="I497" s="2">
        <v>0.91669999999999996</v>
      </c>
      <c r="J497" s="1">
        <v>14</v>
      </c>
      <c r="K497" s="3">
        <v>4.1666666666666669E-4</v>
      </c>
      <c r="L497" s="3">
        <v>1.8981481481481482E-3</v>
      </c>
      <c r="M497" s="3">
        <v>2.685185185185185E-3</v>
      </c>
      <c r="N497" s="2">
        <v>0.49399999999999999</v>
      </c>
      <c r="O497" s="5">
        <f t="shared" si="16"/>
        <v>0.29231481481481481</v>
      </c>
      <c r="P497" s="5">
        <f t="shared" si="17"/>
        <v>17.538888888888888</v>
      </c>
      <c r="Q497" s="5">
        <f t="shared" si="18"/>
        <v>0.31888888888888889</v>
      </c>
      <c r="R497" s="5">
        <f t="shared" si="19"/>
        <v>19.133333333333333</v>
      </c>
    </row>
    <row r="498" spans="1:18">
      <c r="A498" s="4">
        <v>44327</v>
      </c>
      <c r="B498" s="1" t="s">
        <v>24</v>
      </c>
      <c r="C498" s="1">
        <f t="shared" si="29"/>
        <v>5</v>
      </c>
      <c r="D498" s="1">
        <f t="shared" si="30"/>
        <v>11</v>
      </c>
      <c r="E498" s="1">
        <f t="shared" si="31"/>
        <v>2021</v>
      </c>
      <c r="F498" s="1">
        <v>497</v>
      </c>
      <c r="G498" s="1">
        <v>146</v>
      </c>
      <c r="H498" s="1">
        <v>116</v>
      </c>
      <c r="I498" s="2">
        <v>0.79449999999999998</v>
      </c>
      <c r="J498" s="1">
        <v>30</v>
      </c>
      <c r="K498" s="3">
        <v>4.861111111111111E-4</v>
      </c>
      <c r="L498" s="3">
        <v>1.712962962962963E-3</v>
      </c>
      <c r="M498" s="3">
        <v>1.0416666666666666E-2</v>
      </c>
      <c r="N498" s="2">
        <v>0.54930000000000001</v>
      </c>
      <c r="O498" s="5">
        <f t="shared" si="16"/>
        <v>0.19870370370370372</v>
      </c>
      <c r="P498" s="5">
        <f t="shared" si="17"/>
        <v>11.922222222222222</v>
      </c>
      <c r="Q498" s="5">
        <f t="shared" si="18"/>
        <v>0.25009259259259259</v>
      </c>
      <c r="R498" s="5">
        <f t="shared" si="19"/>
        <v>15.005555555555555</v>
      </c>
    </row>
    <row r="499" spans="1:18">
      <c r="A499" s="4">
        <v>44328</v>
      </c>
      <c r="B499" s="1" t="s">
        <v>18</v>
      </c>
      <c r="C499" s="1">
        <f t="shared" si="29"/>
        <v>5</v>
      </c>
      <c r="D499" s="1">
        <f t="shared" si="30"/>
        <v>12</v>
      </c>
      <c r="E499" s="1">
        <f t="shared" si="31"/>
        <v>2021</v>
      </c>
      <c r="F499" s="1">
        <v>498</v>
      </c>
      <c r="G499" s="1">
        <v>100</v>
      </c>
      <c r="H499" s="1">
        <v>95</v>
      </c>
      <c r="I499" s="2">
        <v>0.95</v>
      </c>
      <c r="J499" s="1">
        <v>5</v>
      </c>
      <c r="K499" s="3">
        <v>3.5879629629629629E-4</v>
      </c>
      <c r="L499" s="3">
        <v>1.8287037037037037E-3</v>
      </c>
      <c r="M499" s="3">
        <v>2.0023148148148148E-3</v>
      </c>
      <c r="N499" s="2">
        <v>0.56999999999999995</v>
      </c>
      <c r="O499" s="5">
        <f t="shared" si="16"/>
        <v>0.17372685185185185</v>
      </c>
      <c r="P499" s="5">
        <f t="shared" si="17"/>
        <v>10.423611111111111</v>
      </c>
      <c r="Q499" s="5">
        <f t="shared" si="18"/>
        <v>0.18287037037037038</v>
      </c>
      <c r="R499" s="5">
        <f t="shared" si="19"/>
        <v>10.972222222222223</v>
      </c>
    </row>
    <row r="500" spans="1:18">
      <c r="A500" s="4">
        <v>44329</v>
      </c>
      <c r="B500" s="1" t="s">
        <v>19</v>
      </c>
      <c r="C500" s="1">
        <f t="shared" si="29"/>
        <v>5</v>
      </c>
      <c r="D500" s="1">
        <f t="shared" si="30"/>
        <v>13</v>
      </c>
      <c r="E500" s="1">
        <f t="shared" si="31"/>
        <v>2021</v>
      </c>
      <c r="F500" s="1">
        <v>499</v>
      </c>
      <c r="G500" s="1">
        <v>144</v>
      </c>
      <c r="H500" s="1">
        <v>131</v>
      </c>
      <c r="I500" s="2">
        <v>0.90969999999999995</v>
      </c>
      <c r="J500" s="1">
        <v>13</v>
      </c>
      <c r="K500" s="3">
        <v>3.0092592592592595E-4</v>
      </c>
      <c r="L500" s="3">
        <v>1.7013888888888888E-3</v>
      </c>
      <c r="M500" s="3">
        <v>1.8171296296296297E-3</v>
      </c>
      <c r="N500" s="2">
        <v>0.63570000000000004</v>
      </c>
      <c r="O500" s="5">
        <f t="shared" si="16"/>
        <v>0.22288194444444442</v>
      </c>
      <c r="P500" s="5">
        <f t="shared" si="17"/>
        <v>13.372916666666665</v>
      </c>
      <c r="Q500" s="5">
        <f t="shared" si="18"/>
        <v>0.245</v>
      </c>
      <c r="R500" s="5">
        <f t="shared" si="19"/>
        <v>14.7</v>
      </c>
    </row>
    <row r="501" spans="1:18">
      <c r="A501" s="4">
        <v>44330</v>
      </c>
      <c r="B501" s="1" t="s">
        <v>20</v>
      </c>
      <c r="C501" s="1">
        <f t="shared" si="29"/>
        <v>5</v>
      </c>
      <c r="D501" s="1">
        <f t="shared" si="30"/>
        <v>14</v>
      </c>
      <c r="E501" s="1">
        <f t="shared" si="31"/>
        <v>2021</v>
      </c>
      <c r="F501" s="1">
        <v>500</v>
      </c>
      <c r="G501" s="1">
        <v>110</v>
      </c>
      <c r="H501" s="1">
        <v>104</v>
      </c>
      <c r="I501" s="2">
        <v>0.94550000000000001</v>
      </c>
      <c r="J501" s="1">
        <v>6</v>
      </c>
      <c r="K501" s="3">
        <v>2.7777777777777778E-4</v>
      </c>
      <c r="L501" s="3">
        <v>1.6898148148148148E-3</v>
      </c>
      <c r="M501" s="3">
        <v>1.6435185185185185E-3</v>
      </c>
      <c r="N501" s="2">
        <v>0.64219999999999999</v>
      </c>
      <c r="O501" s="5">
        <f t="shared" si="16"/>
        <v>0.17574074074074073</v>
      </c>
      <c r="P501" s="5">
        <f t="shared" si="17"/>
        <v>10.544444444444444</v>
      </c>
      <c r="Q501" s="5">
        <f t="shared" si="18"/>
        <v>0.18587962962962962</v>
      </c>
      <c r="R501" s="5">
        <f t="shared" si="19"/>
        <v>11.152777777777777</v>
      </c>
    </row>
    <row r="502" spans="1:18">
      <c r="A502" s="4">
        <v>44331</v>
      </c>
      <c r="B502" s="1" t="s">
        <v>21</v>
      </c>
      <c r="C502" s="1">
        <f t="shared" si="29"/>
        <v>5</v>
      </c>
      <c r="D502" s="1">
        <f t="shared" si="30"/>
        <v>15</v>
      </c>
      <c r="E502" s="1">
        <f t="shared" si="31"/>
        <v>2021</v>
      </c>
      <c r="F502" s="1">
        <v>501</v>
      </c>
      <c r="G502" s="1">
        <v>126</v>
      </c>
      <c r="H502" s="1">
        <v>111</v>
      </c>
      <c r="I502" s="2">
        <v>0.88100000000000001</v>
      </c>
      <c r="J502" s="1">
        <v>15</v>
      </c>
      <c r="K502" s="3">
        <v>3.5879629629629629E-4</v>
      </c>
      <c r="L502" s="3">
        <v>1.8287037037037037E-3</v>
      </c>
      <c r="M502" s="3">
        <v>3.1944444444444446E-3</v>
      </c>
      <c r="N502" s="2">
        <v>0.52800000000000002</v>
      </c>
      <c r="O502" s="5">
        <f t="shared" si="16"/>
        <v>0.20298611111111112</v>
      </c>
      <c r="P502" s="5">
        <f t="shared" si="17"/>
        <v>12.179166666666667</v>
      </c>
      <c r="Q502" s="5">
        <f t="shared" si="18"/>
        <v>0.23041666666666666</v>
      </c>
      <c r="R502" s="5">
        <f t="shared" si="19"/>
        <v>13.824999999999999</v>
      </c>
    </row>
    <row r="503" spans="1:18">
      <c r="A503" s="4">
        <v>44332</v>
      </c>
      <c r="B503" s="1" t="s">
        <v>22</v>
      </c>
      <c r="C503" s="1">
        <f t="shared" si="29"/>
        <v>5</v>
      </c>
      <c r="D503" s="1">
        <f t="shared" si="30"/>
        <v>16</v>
      </c>
      <c r="E503" s="1">
        <f t="shared" si="31"/>
        <v>2021</v>
      </c>
      <c r="F503" s="1">
        <v>502</v>
      </c>
      <c r="G503" s="1">
        <v>24</v>
      </c>
      <c r="H503" s="1">
        <v>24</v>
      </c>
      <c r="I503" s="2">
        <v>1</v>
      </c>
      <c r="J503" s="1">
        <v>0</v>
      </c>
      <c r="K503" s="3">
        <v>5.5555555555555556E-4</v>
      </c>
      <c r="L503" s="3">
        <v>2.0138888888888888E-3</v>
      </c>
      <c r="M503" s="3">
        <v>3.2870370370370371E-3</v>
      </c>
      <c r="N503" s="2">
        <v>0.41670000000000001</v>
      </c>
      <c r="O503" s="5">
        <f t="shared" si="16"/>
        <v>4.8333333333333332E-2</v>
      </c>
      <c r="P503" s="5">
        <f t="shared" si="17"/>
        <v>2.9</v>
      </c>
      <c r="Q503" s="5">
        <f t="shared" si="18"/>
        <v>4.8333333333333332E-2</v>
      </c>
      <c r="R503" s="5">
        <f t="shared" si="19"/>
        <v>2.9</v>
      </c>
    </row>
    <row r="504" spans="1:18">
      <c r="A504" s="4">
        <v>44333</v>
      </c>
      <c r="B504" s="1" t="s">
        <v>23</v>
      </c>
      <c r="C504" s="1">
        <f t="shared" si="29"/>
        <v>5</v>
      </c>
      <c r="D504" s="1">
        <f t="shared" si="30"/>
        <v>17</v>
      </c>
      <c r="E504" s="1">
        <f t="shared" si="31"/>
        <v>2021</v>
      </c>
      <c r="F504" s="1">
        <v>503</v>
      </c>
      <c r="G504" s="1">
        <v>128</v>
      </c>
      <c r="H504" s="1">
        <v>122</v>
      </c>
      <c r="I504" s="2">
        <v>0.95309999999999995</v>
      </c>
      <c r="J504" s="1">
        <v>6</v>
      </c>
      <c r="K504" s="3">
        <v>4.0509259259259258E-4</v>
      </c>
      <c r="L504" s="3">
        <v>2.0717592592592593E-3</v>
      </c>
      <c r="M504" s="3">
        <v>1.8749999999999999E-3</v>
      </c>
      <c r="N504" s="2">
        <v>0.51559999999999995</v>
      </c>
      <c r="O504" s="5">
        <f t="shared" si="16"/>
        <v>0.25275462962962963</v>
      </c>
      <c r="P504" s="5">
        <f t="shared" si="17"/>
        <v>15.165277777777778</v>
      </c>
      <c r="Q504" s="5">
        <f t="shared" si="18"/>
        <v>0.26518518518518519</v>
      </c>
      <c r="R504" s="5">
        <f t="shared" si="19"/>
        <v>15.911111111111111</v>
      </c>
    </row>
    <row r="505" spans="1:18">
      <c r="A505" s="4">
        <v>44334</v>
      </c>
      <c r="B505" s="1" t="s">
        <v>24</v>
      </c>
      <c r="C505" s="1">
        <f t="shared" si="29"/>
        <v>5</v>
      </c>
      <c r="D505" s="1">
        <f t="shared" si="30"/>
        <v>18</v>
      </c>
      <c r="E505" s="1">
        <f t="shared" si="31"/>
        <v>2021</v>
      </c>
      <c r="F505" s="1">
        <v>504</v>
      </c>
      <c r="G505" s="1">
        <v>185</v>
      </c>
      <c r="H505" s="1">
        <v>176</v>
      </c>
      <c r="I505" s="2">
        <v>0.95140000000000002</v>
      </c>
      <c r="J505" s="1">
        <v>9</v>
      </c>
      <c r="K505" s="3">
        <v>3.1250000000000001E-4</v>
      </c>
      <c r="L505" s="3">
        <v>1.6550925925925926E-3</v>
      </c>
      <c r="M505" s="3">
        <v>3.5300925925925925E-3</v>
      </c>
      <c r="N505" s="2">
        <v>0.67930000000000001</v>
      </c>
      <c r="O505" s="5">
        <f t="shared" si="16"/>
        <v>0.29129629629629628</v>
      </c>
      <c r="P505" s="5">
        <f t="shared" si="17"/>
        <v>17.477777777777778</v>
      </c>
      <c r="Q505" s="5">
        <f t="shared" si="18"/>
        <v>0.30619212962962961</v>
      </c>
      <c r="R505" s="5">
        <f t="shared" si="19"/>
        <v>18.371527777777775</v>
      </c>
    </row>
    <row r="506" spans="1:18">
      <c r="A506" s="4">
        <v>44335</v>
      </c>
      <c r="B506" s="1" t="s">
        <v>18</v>
      </c>
      <c r="C506" s="1">
        <f t="shared" si="29"/>
        <v>5</v>
      </c>
      <c r="D506" s="1">
        <f t="shared" si="30"/>
        <v>19</v>
      </c>
      <c r="E506" s="1">
        <f t="shared" si="31"/>
        <v>2021</v>
      </c>
      <c r="F506" s="1">
        <v>505</v>
      </c>
      <c r="G506" s="1">
        <v>136</v>
      </c>
      <c r="H506" s="1">
        <v>114</v>
      </c>
      <c r="I506" s="2">
        <v>0.83819999999999995</v>
      </c>
      <c r="J506" s="1">
        <v>22</v>
      </c>
      <c r="K506" s="3">
        <v>6.5972222222222224E-4</v>
      </c>
      <c r="L506" s="3">
        <v>1.6782407407407408E-3</v>
      </c>
      <c r="M506" s="3">
        <v>3.8310185185185183E-3</v>
      </c>
      <c r="N506" s="2">
        <v>0.28789999999999999</v>
      </c>
      <c r="O506" s="5">
        <f t="shared" si="16"/>
        <v>0.19131944444444446</v>
      </c>
      <c r="P506" s="5">
        <f t="shared" si="17"/>
        <v>11.479166666666668</v>
      </c>
      <c r="Q506" s="5">
        <f t="shared" si="18"/>
        <v>0.22824074074074074</v>
      </c>
      <c r="R506" s="5">
        <f t="shared" si="19"/>
        <v>13.694444444444445</v>
      </c>
    </row>
    <row r="507" spans="1:18">
      <c r="A507" s="4">
        <v>44336</v>
      </c>
      <c r="B507" s="1" t="s">
        <v>19</v>
      </c>
      <c r="C507" s="1">
        <f t="shared" si="29"/>
        <v>5</v>
      </c>
      <c r="D507" s="1">
        <f t="shared" si="30"/>
        <v>20</v>
      </c>
      <c r="E507" s="1">
        <f t="shared" si="31"/>
        <v>2021</v>
      </c>
      <c r="F507" s="1">
        <v>506</v>
      </c>
      <c r="G507" s="1">
        <v>130</v>
      </c>
      <c r="H507" s="1">
        <v>116</v>
      </c>
      <c r="I507" s="2">
        <v>0.89229999999999998</v>
      </c>
      <c r="J507" s="1">
        <v>14</v>
      </c>
      <c r="K507" s="3">
        <v>5.0925925925925921E-4</v>
      </c>
      <c r="L507" s="3">
        <v>1.8634259259259259E-3</v>
      </c>
      <c r="M507" s="3">
        <v>4.1666666666666666E-3</v>
      </c>
      <c r="N507" s="2">
        <v>0.44440000000000002</v>
      </c>
      <c r="O507" s="5">
        <f t="shared" si="16"/>
        <v>0.21615740740740741</v>
      </c>
      <c r="P507" s="5">
        <f t="shared" si="17"/>
        <v>12.969444444444445</v>
      </c>
      <c r="Q507" s="5">
        <f t="shared" si="18"/>
        <v>0.24224537037037036</v>
      </c>
      <c r="R507" s="5">
        <f t="shared" si="19"/>
        <v>14.534722222222221</v>
      </c>
    </row>
    <row r="508" spans="1:18">
      <c r="A508" s="4">
        <v>44337</v>
      </c>
      <c r="B508" s="1" t="s">
        <v>20</v>
      </c>
      <c r="C508" s="1">
        <f t="shared" si="29"/>
        <v>5</v>
      </c>
      <c r="D508" s="1">
        <f t="shared" si="30"/>
        <v>21</v>
      </c>
      <c r="E508" s="1">
        <f t="shared" si="31"/>
        <v>2021</v>
      </c>
      <c r="F508" s="1">
        <v>507</v>
      </c>
      <c r="G508" s="1">
        <v>103</v>
      </c>
      <c r="H508" s="1">
        <v>101</v>
      </c>
      <c r="I508" s="2">
        <v>0.98060000000000003</v>
      </c>
      <c r="J508" s="1">
        <v>2</v>
      </c>
      <c r="K508" s="3">
        <v>2.0833333333333335E-4</v>
      </c>
      <c r="L508" s="3">
        <v>1.8749999999999999E-3</v>
      </c>
      <c r="M508" s="3">
        <v>1.6550925925925926E-3</v>
      </c>
      <c r="N508" s="2">
        <v>0.77449999999999997</v>
      </c>
      <c r="O508" s="5">
        <f t="shared" si="16"/>
        <v>0.18937499999999999</v>
      </c>
      <c r="P508" s="5">
        <f t="shared" si="17"/>
        <v>11.362499999999999</v>
      </c>
      <c r="Q508" s="5">
        <f t="shared" si="18"/>
        <v>0.19312499999999999</v>
      </c>
      <c r="R508" s="5">
        <f t="shared" si="19"/>
        <v>11.587499999999999</v>
      </c>
    </row>
    <row r="509" spans="1:18">
      <c r="A509" s="4">
        <v>44338</v>
      </c>
      <c r="B509" s="1" t="s">
        <v>21</v>
      </c>
      <c r="C509" s="1">
        <f t="shared" si="29"/>
        <v>5</v>
      </c>
      <c r="D509" s="1">
        <f t="shared" si="30"/>
        <v>22</v>
      </c>
      <c r="E509" s="1">
        <f t="shared" si="31"/>
        <v>2021</v>
      </c>
      <c r="F509" s="1">
        <v>508</v>
      </c>
      <c r="G509" s="1">
        <v>99</v>
      </c>
      <c r="H509" s="1">
        <v>89</v>
      </c>
      <c r="I509" s="2">
        <v>0.89900000000000002</v>
      </c>
      <c r="J509" s="1">
        <v>10</v>
      </c>
      <c r="K509" s="3">
        <v>2.3148148148148149E-4</v>
      </c>
      <c r="L509" s="3">
        <v>1.7013888888888888E-3</v>
      </c>
      <c r="M509" s="3">
        <v>1.0416666666666667E-3</v>
      </c>
      <c r="N509" s="2">
        <v>0.73680000000000001</v>
      </c>
      <c r="O509" s="5">
        <f t="shared" si="16"/>
        <v>0.15142361111111111</v>
      </c>
      <c r="P509" s="5">
        <f t="shared" si="17"/>
        <v>9.0854166666666671</v>
      </c>
      <c r="Q509" s="5">
        <f t="shared" si="18"/>
        <v>0.16843749999999999</v>
      </c>
      <c r="R509" s="5">
        <f t="shared" si="19"/>
        <v>10.106249999999999</v>
      </c>
    </row>
    <row r="510" spans="1:18">
      <c r="A510" s="4">
        <v>44339</v>
      </c>
      <c r="B510" s="1" t="s">
        <v>22</v>
      </c>
      <c r="C510" s="1">
        <f t="shared" si="29"/>
        <v>5</v>
      </c>
      <c r="D510" s="1">
        <f t="shared" si="30"/>
        <v>23</v>
      </c>
      <c r="E510" s="1">
        <f t="shared" si="31"/>
        <v>2021</v>
      </c>
      <c r="F510" s="1">
        <v>509</v>
      </c>
      <c r="G510" s="1">
        <v>26</v>
      </c>
      <c r="H510" s="1">
        <v>24</v>
      </c>
      <c r="I510" s="2">
        <v>0.92310000000000003</v>
      </c>
      <c r="J510" s="1">
        <v>2</v>
      </c>
      <c r="K510" s="3">
        <v>2.6620370370370372E-4</v>
      </c>
      <c r="L510" s="3">
        <v>1.3888888888888889E-3</v>
      </c>
      <c r="M510" s="3">
        <v>1.3078703703703703E-3</v>
      </c>
      <c r="N510" s="2">
        <v>0.68</v>
      </c>
      <c r="O510" s="5">
        <f t="shared" si="16"/>
        <v>3.3333333333333333E-2</v>
      </c>
      <c r="P510" s="5">
        <f t="shared" si="17"/>
        <v>2</v>
      </c>
      <c r="Q510" s="5">
        <f t="shared" si="18"/>
        <v>3.6111111111111115E-2</v>
      </c>
      <c r="R510" s="5">
        <f t="shared" si="19"/>
        <v>2.166666666666667</v>
      </c>
    </row>
    <row r="511" spans="1:18">
      <c r="A511" s="4">
        <v>44340</v>
      </c>
      <c r="B511" s="1" t="s">
        <v>23</v>
      </c>
      <c r="C511" s="1">
        <f t="shared" si="29"/>
        <v>5</v>
      </c>
      <c r="D511" s="1">
        <f t="shared" si="30"/>
        <v>24</v>
      </c>
      <c r="E511" s="1">
        <f t="shared" si="31"/>
        <v>2021</v>
      </c>
      <c r="F511" s="1">
        <v>510</v>
      </c>
      <c r="G511" s="1">
        <v>95</v>
      </c>
      <c r="H511" s="1">
        <v>94</v>
      </c>
      <c r="I511" s="2">
        <v>0.98950000000000005</v>
      </c>
      <c r="J511" s="1">
        <v>1</v>
      </c>
      <c r="K511" s="3">
        <v>2.4305555555555555E-4</v>
      </c>
      <c r="L511" s="3">
        <v>1.7476851851851852E-3</v>
      </c>
      <c r="M511" s="3">
        <v>2.476851851851852E-3</v>
      </c>
      <c r="N511" s="2">
        <v>0.75529999999999997</v>
      </c>
      <c r="O511" s="5">
        <f t="shared" si="16"/>
        <v>0.1642824074074074</v>
      </c>
      <c r="P511" s="5">
        <f t="shared" si="17"/>
        <v>9.8569444444444443</v>
      </c>
      <c r="Q511" s="5">
        <f t="shared" si="18"/>
        <v>0.1660300925925926</v>
      </c>
      <c r="R511" s="5">
        <f t="shared" si="19"/>
        <v>9.9618055555555571</v>
      </c>
    </row>
    <row r="512" spans="1:18">
      <c r="A512" s="4">
        <v>44341</v>
      </c>
      <c r="B512" s="1" t="s">
        <v>24</v>
      </c>
      <c r="C512" s="1">
        <f t="shared" si="29"/>
        <v>5</v>
      </c>
      <c r="D512" s="1">
        <f t="shared" si="30"/>
        <v>25</v>
      </c>
      <c r="E512" s="1">
        <f t="shared" si="31"/>
        <v>2021</v>
      </c>
      <c r="F512" s="1">
        <v>511</v>
      </c>
      <c r="G512" s="1">
        <v>136</v>
      </c>
      <c r="H512" s="1">
        <v>131</v>
      </c>
      <c r="I512" s="2">
        <v>0.96319999999999995</v>
      </c>
      <c r="J512" s="1">
        <v>5</v>
      </c>
      <c r="K512" s="3">
        <v>1.9675925925925926E-4</v>
      </c>
      <c r="L512" s="3">
        <v>1.724537037037037E-3</v>
      </c>
      <c r="M512" s="3">
        <v>1.6319444444444445E-3</v>
      </c>
      <c r="N512" s="2">
        <v>0.81059999999999999</v>
      </c>
      <c r="O512" s="5">
        <f t="shared" ref="O512:O766" si="32">L512*H512</f>
        <v>0.22591435185185185</v>
      </c>
      <c r="P512" s="5">
        <f t="shared" ref="P512:P766" si="33">O512*60</f>
        <v>13.55486111111111</v>
      </c>
      <c r="Q512" s="5">
        <f t="shared" ref="Q512:Q766" si="34">L512*G512</f>
        <v>0.23453703703703704</v>
      </c>
      <c r="R512" s="5">
        <f t="shared" ref="R512:R766" si="35">Q512*60</f>
        <v>14.072222222222223</v>
      </c>
    </row>
    <row r="513" spans="1:18">
      <c r="A513" s="4">
        <v>44342</v>
      </c>
      <c r="B513" s="1" t="s">
        <v>18</v>
      </c>
      <c r="C513" s="1">
        <f t="shared" si="29"/>
        <v>5</v>
      </c>
      <c r="D513" s="1">
        <f t="shared" si="30"/>
        <v>26</v>
      </c>
      <c r="E513" s="1">
        <f t="shared" si="31"/>
        <v>2021</v>
      </c>
      <c r="F513" s="1">
        <v>512</v>
      </c>
      <c r="G513" s="1">
        <v>37</v>
      </c>
      <c r="H513" s="1">
        <v>34</v>
      </c>
      <c r="I513" s="2">
        <v>0.91890000000000005</v>
      </c>
      <c r="J513" s="1">
        <v>3</v>
      </c>
      <c r="K513" s="3">
        <v>4.7453703703703704E-4</v>
      </c>
      <c r="L513" s="3">
        <v>1.5162037037037036E-3</v>
      </c>
      <c r="M513" s="3">
        <v>4.0046296296296297E-3</v>
      </c>
      <c r="N513" s="2">
        <v>0.64859999999999995</v>
      </c>
      <c r="O513" s="5">
        <f t="shared" si="32"/>
        <v>5.1550925925925924E-2</v>
      </c>
      <c r="P513" s="5">
        <f t="shared" si="33"/>
        <v>3.0930555555555554</v>
      </c>
      <c r="Q513" s="5">
        <f t="shared" si="34"/>
        <v>5.6099537037037031E-2</v>
      </c>
      <c r="R513" s="5">
        <f t="shared" si="35"/>
        <v>3.3659722222222217</v>
      </c>
    </row>
    <row r="514" spans="1:18">
      <c r="A514" s="4">
        <v>44343</v>
      </c>
      <c r="B514" s="1" t="s">
        <v>19</v>
      </c>
      <c r="C514" s="1">
        <f t="shared" si="29"/>
        <v>5</v>
      </c>
      <c r="D514" s="1">
        <f t="shared" si="30"/>
        <v>27</v>
      </c>
      <c r="E514" s="1">
        <f t="shared" si="31"/>
        <v>2021</v>
      </c>
      <c r="F514" s="1">
        <v>513</v>
      </c>
      <c r="G514" s="1">
        <v>105</v>
      </c>
      <c r="H514" s="1">
        <v>100</v>
      </c>
      <c r="I514" s="2">
        <v>0.95240000000000002</v>
      </c>
      <c r="J514" s="1">
        <v>5</v>
      </c>
      <c r="K514" s="3">
        <v>2.5462962962962961E-4</v>
      </c>
      <c r="L514" s="3">
        <v>1.736111111111111E-3</v>
      </c>
      <c r="M514" s="3">
        <v>1.5277777777777779E-3</v>
      </c>
      <c r="N514" s="2">
        <v>0.7228</v>
      </c>
      <c r="O514" s="5">
        <f t="shared" si="32"/>
        <v>0.1736111111111111</v>
      </c>
      <c r="P514" s="5">
        <f t="shared" si="33"/>
        <v>10.416666666666666</v>
      </c>
      <c r="Q514" s="5">
        <f t="shared" si="34"/>
        <v>0.18229166666666666</v>
      </c>
      <c r="R514" s="5">
        <f t="shared" si="35"/>
        <v>10.9375</v>
      </c>
    </row>
    <row r="515" spans="1:18">
      <c r="A515" s="4">
        <v>44344</v>
      </c>
      <c r="B515" s="1" t="s">
        <v>20</v>
      </c>
      <c r="C515" s="1">
        <f t="shared" ref="C515:C578" si="36">MONTH(A515)</f>
        <v>5</v>
      </c>
      <c r="D515" s="1">
        <f t="shared" ref="D515:D578" si="37">DAY(A515)</f>
        <v>28</v>
      </c>
      <c r="E515" s="1">
        <f t="shared" ref="E515:E578" si="38">YEAR(A515)</f>
        <v>2021</v>
      </c>
      <c r="F515" s="1">
        <v>514</v>
      </c>
      <c r="G515" s="1">
        <v>100</v>
      </c>
      <c r="H515" s="1">
        <v>92</v>
      </c>
      <c r="I515" s="2">
        <v>0.92</v>
      </c>
      <c r="J515" s="1">
        <v>8</v>
      </c>
      <c r="K515" s="3">
        <v>3.4722222222222224E-4</v>
      </c>
      <c r="L515" s="3">
        <v>1.7013888888888888E-3</v>
      </c>
      <c r="M515" s="3">
        <v>3.1828703703703702E-3</v>
      </c>
      <c r="N515" s="2">
        <v>0.63270000000000004</v>
      </c>
      <c r="O515" s="5">
        <f t="shared" si="32"/>
        <v>0.15652777777777777</v>
      </c>
      <c r="P515" s="5">
        <f t="shared" si="33"/>
        <v>9.3916666666666657</v>
      </c>
      <c r="Q515" s="5">
        <f t="shared" si="34"/>
        <v>0.17013888888888887</v>
      </c>
      <c r="R515" s="5">
        <f t="shared" si="35"/>
        <v>10.208333333333332</v>
      </c>
    </row>
    <row r="516" spans="1:18">
      <c r="A516" s="4">
        <v>44345</v>
      </c>
      <c r="B516" s="1" t="s">
        <v>21</v>
      </c>
      <c r="C516" s="1">
        <f t="shared" si="36"/>
        <v>5</v>
      </c>
      <c r="D516" s="1">
        <f t="shared" si="37"/>
        <v>29</v>
      </c>
      <c r="E516" s="1">
        <f t="shared" si="38"/>
        <v>2021</v>
      </c>
      <c r="F516" s="1">
        <v>515</v>
      </c>
      <c r="G516" s="1">
        <v>115</v>
      </c>
      <c r="H516" s="1">
        <v>103</v>
      </c>
      <c r="I516" s="2">
        <v>0.89570000000000005</v>
      </c>
      <c r="J516" s="1">
        <v>12</v>
      </c>
      <c r="K516" s="3">
        <v>5.0925925925925921E-4</v>
      </c>
      <c r="L516" s="3">
        <v>1.9212962962962964E-3</v>
      </c>
      <c r="M516" s="3">
        <v>3.1828703703703702E-3</v>
      </c>
      <c r="N516" s="2">
        <v>0.37169999999999997</v>
      </c>
      <c r="O516" s="5">
        <f t="shared" si="32"/>
        <v>0.19789351851851852</v>
      </c>
      <c r="P516" s="5">
        <f t="shared" si="33"/>
        <v>11.873611111111112</v>
      </c>
      <c r="Q516" s="5">
        <f t="shared" si="34"/>
        <v>0.22094907407407408</v>
      </c>
      <c r="R516" s="5">
        <f t="shared" si="35"/>
        <v>13.256944444444445</v>
      </c>
    </row>
    <row r="517" spans="1:18">
      <c r="A517" s="4">
        <v>44346</v>
      </c>
      <c r="B517" s="1" t="s">
        <v>22</v>
      </c>
      <c r="C517" s="1">
        <f t="shared" si="36"/>
        <v>5</v>
      </c>
      <c r="D517" s="1">
        <f t="shared" si="37"/>
        <v>30</v>
      </c>
      <c r="E517" s="1">
        <f t="shared" si="38"/>
        <v>2021</v>
      </c>
      <c r="F517" s="1">
        <v>516</v>
      </c>
      <c r="G517" s="1">
        <v>38</v>
      </c>
      <c r="H517" s="1">
        <v>36</v>
      </c>
      <c r="I517" s="2">
        <v>0.94740000000000002</v>
      </c>
      <c r="J517" s="1">
        <v>2</v>
      </c>
      <c r="K517" s="3">
        <v>4.5138888888888887E-4</v>
      </c>
      <c r="L517" s="3">
        <v>2.0370370370370369E-3</v>
      </c>
      <c r="M517" s="3">
        <v>2.0138888888888888E-3</v>
      </c>
      <c r="N517" s="2">
        <v>0.52629999999999999</v>
      </c>
      <c r="O517" s="5">
        <f t="shared" si="32"/>
        <v>7.3333333333333334E-2</v>
      </c>
      <c r="P517" s="5">
        <f t="shared" si="33"/>
        <v>4.4000000000000004</v>
      </c>
      <c r="Q517" s="5">
        <f t="shared" si="34"/>
        <v>7.7407407407407397E-2</v>
      </c>
      <c r="R517" s="5">
        <f t="shared" si="35"/>
        <v>4.6444444444444439</v>
      </c>
    </row>
    <row r="518" spans="1:18">
      <c r="A518" s="4">
        <v>44347</v>
      </c>
      <c r="B518" s="1" t="s">
        <v>23</v>
      </c>
      <c r="C518" s="1">
        <f t="shared" si="36"/>
        <v>5</v>
      </c>
      <c r="D518" s="1">
        <f t="shared" si="37"/>
        <v>31</v>
      </c>
      <c r="E518" s="1">
        <f t="shared" si="38"/>
        <v>2021</v>
      </c>
      <c r="F518" s="1">
        <v>517</v>
      </c>
      <c r="G518" s="1">
        <v>108</v>
      </c>
      <c r="H518" s="1">
        <v>95</v>
      </c>
      <c r="I518" s="2">
        <v>0.87960000000000005</v>
      </c>
      <c r="J518" s="1">
        <v>13</v>
      </c>
      <c r="K518" s="3">
        <v>3.0092592592592595E-4</v>
      </c>
      <c r="L518" s="3">
        <v>1.9560185185185184E-3</v>
      </c>
      <c r="M518" s="3">
        <v>1.9212962962962964E-3</v>
      </c>
      <c r="N518" s="2">
        <v>0.6381</v>
      </c>
      <c r="O518" s="5">
        <f t="shared" si="32"/>
        <v>0.18582175925925926</v>
      </c>
      <c r="P518" s="5">
        <f t="shared" si="33"/>
        <v>11.149305555555555</v>
      </c>
      <c r="Q518" s="5">
        <f t="shared" si="34"/>
        <v>0.21124999999999999</v>
      </c>
      <c r="R518" s="5">
        <f t="shared" si="35"/>
        <v>12.674999999999999</v>
      </c>
    </row>
    <row r="519" spans="1:18">
      <c r="A519" s="4">
        <v>44348</v>
      </c>
      <c r="B519" s="1" t="s">
        <v>24</v>
      </c>
      <c r="C519" s="1">
        <f t="shared" si="36"/>
        <v>6</v>
      </c>
      <c r="D519" s="1">
        <f t="shared" si="37"/>
        <v>1</v>
      </c>
      <c r="E519" s="1">
        <f t="shared" si="38"/>
        <v>2021</v>
      </c>
      <c r="F519" s="1">
        <v>518</v>
      </c>
      <c r="G519" s="1">
        <v>124</v>
      </c>
      <c r="H519" s="1">
        <v>118</v>
      </c>
      <c r="I519" s="2">
        <v>0.9516</v>
      </c>
      <c r="J519" s="1">
        <v>6</v>
      </c>
      <c r="K519" s="3">
        <v>2.6620370370370372E-4</v>
      </c>
      <c r="L519" s="3">
        <v>1.7476851851851852E-3</v>
      </c>
      <c r="M519" s="3">
        <v>2.0949074074074073E-3</v>
      </c>
      <c r="N519" s="2">
        <v>0.73770000000000002</v>
      </c>
      <c r="O519" s="5">
        <f t="shared" si="32"/>
        <v>0.20622685185185186</v>
      </c>
      <c r="P519" s="5">
        <f t="shared" si="33"/>
        <v>12.373611111111112</v>
      </c>
      <c r="Q519" s="5">
        <f t="shared" si="34"/>
        <v>0.21671296296296297</v>
      </c>
      <c r="R519" s="5">
        <f t="shared" si="35"/>
        <v>13.002777777777778</v>
      </c>
    </row>
    <row r="520" spans="1:18">
      <c r="A520" s="4">
        <v>44349</v>
      </c>
      <c r="B520" s="1" t="s">
        <v>18</v>
      </c>
      <c r="C520" s="1">
        <f t="shared" si="36"/>
        <v>6</v>
      </c>
      <c r="D520" s="1">
        <f t="shared" si="37"/>
        <v>2</v>
      </c>
      <c r="E520" s="1">
        <f t="shared" si="38"/>
        <v>2021</v>
      </c>
      <c r="F520" s="1">
        <v>519</v>
      </c>
      <c r="G520" s="1">
        <v>97</v>
      </c>
      <c r="H520" s="1">
        <v>92</v>
      </c>
      <c r="I520" s="2">
        <v>0.94850000000000001</v>
      </c>
      <c r="J520" s="1">
        <v>5</v>
      </c>
      <c r="K520" s="3">
        <v>2.8935185185185184E-4</v>
      </c>
      <c r="L520" s="3">
        <v>1.8055555555555555E-3</v>
      </c>
      <c r="M520" s="3">
        <v>1.6550925925925926E-3</v>
      </c>
      <c r="N520" s="2">
        <v>0.67710000000000004</v>
      </c>
      <c r="O520" s="5">
        <f t="shared" si="32"/>
        <v>0.1661111111111111</v>
      </c>
      <c r="P520" s="5">
        <f t="shared" si="33"/>
        <v>9.966666666666665</v>
      </c>
      <c r="Q520" s="5">
        <f t="shared" si="34"/>
        <v>0.17513888888888887</v>
      </c>
      <c r="R520" s="5">
        <f t="shared" si="35"/>
        <v>10.508333333333333</v>
      </c>
    </row>
    <row r="521" spans="1:18">
      <c r="A521" s="4">
        <v>44350</v>
      </c>
      <c r="B521" s="1" t="s">
        <v>19</v>
      </c>
      <c r="C521" s="1">
        <f t="shared" si="36"/>
        <v>6</v>
      </c>
      <c r="D521" s="1">
        <f t="shared" si="37"/>
        <v>3</v>
      </c>
      <c r="E521" s="1">
        <f t="shared" si="38"/>
        <v>2021</v>
      </c>
      <c r="F521" s="1">
        <v>520</v>
      </c>
      <c r="G521" s="1">
        <v>117</v>
      </c>
      <c r="H521" s="1">
        <v>108</v>
      </c>
      <c r="I521" s="2">
        <v>0.92310000000000003</v>
      </c>
      <c r="J521" s="1">
        <v>9</v>
      </c>
      <c r="K521" s="3">
        <v>4.2824074074074075E-4</v>
      </c>
      <c r="L521" s="3">
        <v>1.2268518518518518E-3</v>
      </c>
      <c r="M521" s="3">
        <v>2.8124999999999999E-3</v>
      </c>
      <c r="N521" s="2">
        <v>0.48670000000000002</v>
      </c>
      <c r="O521" s="5">
        <f t="shared" si="32"/>
        <v>0.13250000000000001</v>
      </c>
      <c r="P521" s="5">
        <f t="shared" si="33"/>
        <v>7.95</v>
      </c>
      <c r="Q521" s="5">
        <f t="shared" si="34"/>
        <v>0.14354166666666665</v>
      </c>
      <c r="R521" s="5">
        <f t="shared" si="35"/>
        <v>8.6124999999999989</v>
      </c>
    </row>
    <row r="522" spans="1:18">
      <c r="A522" s="4">
        <v>44351</v>
      </c>
      <c r="B522" s="1" t="s">
        <v>20</v>
      </c>
      <c r="C522" s="1">
        <f t="shared" si="36"/>
        <v>6</v>
      </c>
      <c r="D522" s="1">
        <f t="shared" si="37"/>
        <v>4</v>
      </c>
      <c r="E522" s="1">
        <f t="shared" si="38"/>
        <v>2021</v>
      </c>
      <c r="F522" s="1">
        <v>521</v>
      </c>
      <c r="G522" s="1">
        <v>34</v>
      </c>
      <c r="H522" s="1">
        <v>31</v>
      </c>
      <c r="I522" s="2">
        <v>0.91180000000000005</v>
      </c>
      <c r="J522" s="1">
        <v>3</v>
      </c>
      <c r="K522" s="3">
        <v>3.1250000000000001E-4</v>
      </c>
      <c r="L522" s="3">
        <v>1.8171296296296297E-3</v>
      </c>
      <c r="M522" s="3">
        <v>1.7592592592592592E-3</v>
      </c>
      <c r="N522" s="2">
        <v>0.64710000000000001</v>
      </c>
      <c r="O522" s="5">
        <f t="shared" si="32"/>
        <v>5.6331018518518523E-2</v>
      </c>
      <c r="P522" s="5">
        <f t="shared" si="33"/>
        <v>3.3798611111111114</v>
      </c>
      <c r="Q522" s="5">
        <f t="shared" si="34"/>
        <v>6.1782407407407411E-2</v>
      </c>
      <c r="R522" s="5">
        <f t="shared" si="35"/>
        <v>3.7069444444444448</v>
      </c>
    </row>
    <row r="523" spans="1:18">
      <c r="A523" s="4">
        <v>44352</v>
      </c>
      <c r="B523" s="1" t="s">
        <v>21</v>
      </c>
      <c r="C523" s="1">
        <f t="shared" si="36"/>
        <v>6</v>
      </c>
      <c r="D523" s="1">
        <f t="shared" si="37"/>
        <v>5</v>
      </c>
      <c r="E523" s="1">
        <f t="shared" si="38"/>
        <v>2021</v>
      </c>
      <c r="F523" s="1">
        <v>522</v>
      </c>
      <c r="G523" s="1">
        <v>53</v>
      </c>
      <c r="H523" s="1">
        <v>50</v>
      </c>
      <c r="I523" s="2">
        <v>0.94340000000000002</v>
      </c>
      <c r="J523" s="1">
        <v>3</v>
      </c>
      <c r="K523" s="3">
        <v>3.2407407407407406E-4</v>
      </c>
      <c r="L523" s="3">
        <v>1.5162037037037036E-3</v>
      </c>
      <c r="M523" s="3">
        <v>2.2685185185185187E-3</v>
      </c>
      <c r="N523" s="2">
        <v>0.66039999999999999</v>
      </c>
      <c r="O523" s="5">
        <f t="shared" si="32"/>
        <v>7.5810185185185175E-2</v>
      </c>
      <c r="P523" s="5">
        <f t="shared" si="33"/>
        <v>4.5486111111111107</v>
      </c>
      <c r="Q523" s="5">
        <f t="shared" si="34"/>
        <v>8.0358796296296289E-2</v>
      </c>
      <c r="R523" s="5">
        <f t="shared" si="35"/>
        <v>4.821527777777777</v>
      </c>
    </row>
    <row r="524" spans="1:18">
      <c r="A524" s="4">
        <v>44353</v>
      </c>
      <c r="B524" s="1" t="s">
        <v>22</v>
      </c>
      <c r="C524" s="1">
        <f t="shared" si="36"/>
        <v>6</v>
      </c>
      <c r="D524" s="1">
        <f t="shared" si="37"/>
        <v>6</v>
      </c>
      <c r="E524" s="1">
        <f t="shared" si="38"/>
        <v>2021</v>
      </c>
      <c r="F524" s="1">
        <v>523</v>
      </c>
      <c r="G524" s="1">
        <v>29</v>
      </c>
      <c r="H524" s="1">
        <v>23</v>
      </c>
      <c r="I524" s="2">
        <v>0.79310000000000003</v>
      </c>
      <c r="J524" s="1">
        <v>6</v>
      </c>
      <c r="K524" s="3">
        <v>4.861111111111111E-4</v>
      </c>
      <c r="L524" s="3">
        <v>1.9328703703703704E-3</v>
      </c>
      <c r="M524" s="3">
        <v>2.5462962962962965E-3</v>
      </c>
      <c r="N524" s="2">
        <v>0.32140000000000002</v>
      </c>
      <c r="O524" s="5">
        <f t="shared" si="32"/>
        <v>4.445601851851852E-2</v>
      </c>
      <c r="P524" s="5">
        <f t="shared" si="33"/>
        <v>2.6673611111111111</v>
      </c>
      <c r="Q524" s="5">
        <f t="shared" si="34"/>
        <v>5.6053240740740744E-2</v>
      </c>
      <c r="R524" s="5">
        <f t="shared" si="35"/>
        <v>3.3631944444444448</v>
      </c>
    </row>
    <row r="525" spans="1:18">
      <c r="A525" s="4">
        <v>44354</v>
      </c>
      <c r="B525" s="1" t="s">
        <v>23</v>
      </c>
      <c r="C525" s="1">
        <f t="shared" si="36"/>
        <v>6</v>
      </c>
      <c r="D525" s="1">
        <f t="shared" si="37"/>
        <v>7</v>
      </c>
      <c r="E525" s="1">
        <f t="shared" si="38"/>
        <v>2021</v>
      </c>
      <c r="F525" s="1">
        <v>524</v>
      </c>
      <c r="G525" s="1">
        <v>120</v>
      </c>
      <c r="H525" s="1">
        <v>107</v>
      </c>
      <c r="I525" s="2">
        <v>0.89170000000000005</v>
      </c>
      <c r="J525" s="1">
        <v>13</v>
      </c>
      <c r="K525" s="3">
        <v>3.9351851851851852E-4</v>
      </c>
      <c r="L525" s="3">
        <v>1.8402777777777777E-3</v>
      </c>
      <c r="M525" s="3">
        <v>2.3263888888888887E-3</v>
      </c>
      <c r="N525" s="2">
        <v>0.44069999999999998</v>
      </c>
      <c r="O525" s="5">
        <f t="shared" si="32"/>
        <v>0.19690972222222222</v>
      </c>
      <c r="P525" s="5">
        <f t="shared" si="33"/>
        <v>11.814583333333333</v>
      </c>
      <c r="Q525" s="5">
        <f t="shared" si="34"/>
        <v>0.22083333333333333</v>
      </c>
      <c r="R525" s="5">
        <f t="shared" si="35"/>
        <v>13.25</v>
      </c>
    </row>
    <row r="526" spans="1:18">
      <c r="A526" s="4">
        <v>44355</v>
      </c>
      <c r="B526" s="1" t="s">
        <v>24</v>
      </c>
      <c r="C526" s="1">
        <f t="shared" si="36"/>
        <v>6</v>
      </c>
      <c r="D526" s="1">
        <f t="shared" si="37"/>
        <v>8</v>
      </c>
      <c r="E526" s="1">
        <f t="shared" si="38"/>
        <v>2021</v>
      </c>
      <c r="F526" s="1">
        <v>525</v>
      </c>
      <c r="G526" s="1">
        <v>107</v>
      </c>
      <c r="H526" s="1">
        <v>100</v>
      </c>
      <c r="I526" s="2">
        <v>0.93459999999999999</v>
      </c>
      <c r="J526" s="1">
        <v>7</v>
      </c>
      <c r="K526" s="3">
        <v>3.8194444444444446E-4</v>
      </c>
      <c r="L526" s="3">
        <v>1.7708333333333332E-3</v>
      </c>
      <c r="M526" s="3">
        <v>1.4814814814814814E-3</v>
      </c>
      <c r="N526" s="2">
        <v>0.51429999999999998</v>
      </c>
      <c r="O526" s="5">
        <f t="shared" si="32"/>
        <v>0.17708333333333331</v>
      </c>
      <c r="P526" s="5">
        <f t="shared" si="33"/>
        <v>10.624999999999998</v>
      </c>
      <c r="Q526" s="5">
        <f t="shared" si="34"/>
        <v>0.18947916666666667</v>
      </c>
      <c r="R526" s="5">
        <f t="shared" si="35"/>
        <v>11.36875</v>
      </c>
    </row>
    <row r="527" spans="1:18">
      <c r="A527" s="4">
        <v>44356</v>
      </c>
      <c r="B527" s="1" t="s">
        <v>18</v>
      </c>
      <c r="C527" s="1">
        <f t="shared" si="36"/>
        <v>6</v>
      </c>
      <c r="D527" s="1">
        <f t="shared" si="37"/>
        <v>9</v>
      </c>
      <c r="E527" s="1">
        <f t="shared" si="38"/>
        <v>2021</v>
      </c>
      <c r="F527" s="1">
        <v>526</v>
      </c>
      <c r="G527" s="1">
        <v>173</v>
      </c>
      <c r="H527" s="1">
        <v>159</v>
      </c>
      <c r="I527" s="2">
        <v>0.91910000000000003</v>
      </c>
      <c r="J527" s="1">
        <v>14</v>
      </c>
      <c r="K527" s="3">
        <v>5.4398148148148144E-4</v>
      </c>
      <c r="L527" s="3">
        <v>1.8981481481481482E-3</v>
      </c>
      <c r="M527" s="3">
        <v>3.8194444444444443E-3</v>
      </c>
      <c r="N527" s="2">
        <v>0.39410000000000001</v>
      </c>
      <c r="O527" s="5">
        <f t="shared" si="32"/>
        <v>0.30180555555555555</v>
      </c>
      <c r="P527" s="5">
        <f t="shared" si="33"/>
        <v>18.108333333333334</v>
      </c>
      <c r="Q527" s="5">
        <f t="shared" si="34"/>
        <v>0.32837962962962963</v>
      </c>
      <c r="R527" s="5">
        <f t="shared" si="35"/>
        <v>19.702777777777779</v>
      </c>
    </row>
    <row r="528" spans="1:18">
      <c r="A528" s="4">
        <v>44357</v>
      </c>
      <c r="B528" s="1" t="s">
        <v>19</v>
      </c>
      <c r="C528" s="1">
        <f t="shared" si="36"/>
        <v>6</v>
      </c>
      <c r="D528" s="1">
        <f t="shared" si="37"/>
        <v>10</v>
      </c>
      <c r="E528" s="1">
        <f t="shared" si="38"/>
        <v>2021</v>
      </c>
      <c r="F528" s="1">
        <v>527</v>
      </c>
      <c r="G528" s="1">
        <v>256</v>
      </c>
      <c r="H528" s="1">
        <v>213</v>
      </c>
      <c r="I528" s="2">
        <v>0.83199999999999996</v>
      </c>
      <c r="J528" s="1">
        <v>43</v>
      </c>
      <c r="K528" s="3">
        <v>5.0925925925925921E-4</v>
      </c>
      <c r="L528" s="3">
        <v>1.9097222222222222E-3</v>
      </c>
      <c r="M528" s="3">
        <v>3.6805555555555554E-3</v>
      </c>
      <c r="N528" s="2">
        <v>0.41699999999999998</v>
      </c>
      <c r="O528" s="5">
        <f t="shared" si="32"/>
        <v>0.4067708333333333</v>
      </c>
      <c r="P528" s="5">
        <f t="shared" si="33"/>
        <v>24.40625</v>
      </c>
      <c r="Q528" s="5">
        <f t="shared" si="34"/>
        <v>0.48888888888888887</v>
      </c>
      <c r="R528" s="5">
        <f t="shared" si="35"/>
        <v>29.333333333333332</v>
      </c>
    </row>
    <row r="529" spans="1:18">
      <c r="A529" s="4">
        <v>44358</v>
      </c>
      <c r="B529" s="1" t="s">
        <v>20</v>
      </c>
      <c r="C529" s="1">
        <f t="shared" si="36"/>
        <v>6</v>
      </c>
      <c r="D529" s="1">
        <f t="shared" si="37"/>
        <v>11</v>
      </c>
      <c r="E529" s="1">
        <f t="shared" si="38"/>
        <v>2021</v>
      </c>
      <c r="F529" s="1">
        <v>528</v>
      </c>
      <c r="G529" s="1">
        <v>199</v>
      </c>
      <c r="H529" s="1">
        <v>174</v>
      </c>
      <c r="I529" s="2">
        <v>0.87439999999999996</v>
      </c>
      <c r="J529" s="1">
        <v>25</v>
      </c>
      <c r="K529" s="3">
        <v>4.1666666666666669E-4</v>
      </c>
      <c r="L529" s="3">
        <v>1.7939814814814815E-3</v>
      </c>
      <c r="M529" s="3">
        <v>3.1828703703703702E-3</v>
      </c>
      <c r="N529" s="2">
        <v>0.53059999999999996</v>
      </c>
      <c r="O529" s="5">
        <f t="shared" si="32"/>
        <v>0.31215277777777778</v>
      </c>
      <c r="P529" s="5">
        <f t="shared" si="33"/>
        <v>18.729166666666668</v>
      </c>
      <c r="Q529" s="5">
        <f t="shared" si="34"/>
        <v>0.35700231481481481</v>
      </c>
      <c r="R529" s="5">
        <f t="shared" si="35"/>
        <v>21.420138888888889</v>
      </c>
    </row>
    <row r="530" spans="1:18">
      <c r="A530" s="4">
        <v>44359</v>
      </c>
      <c r="B530" s="1" t="s">
        <v>21</v>
      </c>
      <c r="C530" s="1">
        <f t="shared" si="36"/>
        <v>6</v>
      </c>
      <c r="D530" s="1">
        <f t="shared" si="37"/>
        <v>12</v>
      </c>
      <c r="E530" s="1">
        <f t="shared" si="38"/>
        <v>2021</v>
      </c>
      <c r="F530" s="1">
        <v>529</v>
      </c>
      <c r="G530" s="1">
        <v>182</v>
      </c>
      <c r="H530" s="1">
        <v>170</v>
      </c>
      <c r="I530" s="2">
        <v>0.93410000000000004</v>
      </c>
      <c r="J530" s="1">
        <v>12</v>
      </c>
      <c r="K530" s="3">
        <v>4.6296296296296298E-4</v>
      </c>
      <c r="L530" s="3">
        <v>1.8981481481481482E-3</v>
      </c>
      <c r="M530" s="3">
        <v>2.3958333333333331E-3</v>
      </c>
      <c r="N530" s="2">
        <v>0.45810000000000001</v>
      </c>
      <c r="O530" s="5">
        <f t="shared" si="32"/>
        <v>0.32268518518518519</v>
      </c>
      <c r="P530" s="5">
        <f t="shared" si="33"/>
        <v>19.361111111111111</v>
      </c>
      <c r="Q530" s="5">
        <f t="shared" si="34"/>
        <v>0.34546296296296297</v>
      </c>
      <c r="R530" s="5">
        <f t="shared" si="35"/>
        <v>20.727777777777778</v>
      </c>
    </row>
    <row r="531" spans="1:18">
      <c r="A531" s="4">
        <v>44360</v>
      </c>
      <c r="B531" s="1" t="s">
        <v>22</v>
      </c>
      <c r="C531" s="1">
        <f t="shared" si="36"/>
        <v>6</v>
      </c>
      <c r="D531" s="1">
        <f t="shared" si="37"/>
        <v>13</v>
      </c>
      <c r="E531" s="1">
        <f t="shared" si="38"/>
        <v>2021</v>
      </c>
      <c r="F531" s="1">
        <v>530</v>
      </c>
      <c r="G531" s="1">
        <v>42</v>
      </c>
      <c r="H531" s="1">
        <v>41</v>
      </c>
      <c r="I531" s="2">
        <v>0.97619999999999996</v>
      </c>
      <c r="J531" s="1">
        <v>1</v>
      </c>
      <c r="K531" s="3">
        <v>4.861111111111111E-4</v>
      </c>
      <c r="L531" s="3">
        <v>2.0023148148148148E-3</v>
      </c>
      <c r="M531" s="3">
        <v>2.5462962962962965E-3</v>
      </c>
      <c r="N531" s="2">
        <v>0.56100000000000005</v>
      </c>
      <c r="O531" s="5">
        <f t="shared" si="32"/>
        <v>8.2094907407407408E-2</v>
      </c>
      <c r="P531" s="5">
        <f t="shared" si="33"/>
        <v>4.9256944444444448</v>
      </c>
      <c r="Q531" s="5">
        <f t="shared" si="34"/>
        <v>8.4097222222222226E-2</v>
      </c>
      <c r="R531" s="5">
        <f t="shared" si="35"/>
        <v>5.0458333333333334</v>
      </c>
    </row>
    <row r="532" spans="1:18">
      <c r="A532" s="4">
        <v>44361</v>
      </c>
      <c r="B532" s="1" t="s">
        <v>23</v>
      </c>
      <c r="C532" s="1">
        <f t="shared" si="36"/>
        <v>6</v>
      </c>
      <c r="D532" s="1">
        <f t="shared" si="37"/>
        <v>14</v>
      </c>
      <c r="E532" s="1">
        <f t="shared" si="38"/>
        <v>2021</v>
      </c>
      <c r="F532" s="1">
        <v>531</v>
      </c>
      <c r="G532" s="1">
        <v>181</v>
      </c>
      <c r="H532" s="1">
        <v>168</v>
      </c>
      <c r="I532" s="2">
        <v>0.92820000000000003</v>
      </c>
      <c r="J532" s="1">
        <v>13</v>
      </c>
      <c r="K532" s="3">
        <v>3.9351851851851852E-4</v>
      </c>
      <c r="L532" s="3">
        <v>1.7939814814814815E-3</v>
      </c>
      <c r="M532" s="3">
        <v>1.8865740740740742E-3</v>
      </c>
      <c r="N532" s="2">
        <v>0.51690000000000003</v>
      </c>
      <c r="O532" s="5">
        <f t="shared" si="32"/>
        <v>0.30138888888888887</v>
      </c>
      <c r="P532" s="5">
        <f t="shared" si="33"/>
        <v>18.083333333333332</v>
      </c>
      <c r="Q532" s="5">
        <f t="shared" si="34"/>
        <v>0.32471064814814815</v>
      </c>
      <c r="R532" s="5">
        <f t="shared" si="35"/>
        <v>19.482638888888889</v>
      </c>
    </row>
    <row r="533" spans="1:18">
      <c r="A533" s="4">
        <v>44362</v>
      </c>
      <c r="B533" s="1" t="s">
        <v>24</v>
      </c>
      <c r="C533" s="1">
        <f t="shared" si="36"/>
        <v>6</v>
      </c>
      <c r="D533" s="1">
        <f t="shared" si="37"/>
        <v>15</v>
      </c>
      <c r="E533" s="1">
        <f t="shared" si="38"/>
        <v>2021</v>
      </c>
      <c r="F533" s="1">
        <v>532</v>
      </c>
      <c r="G533" s="1">
        <v>159</v>
      </c>
      <c r="H533" s="1">
        <v>147</v>
      </c>
      <c r="I533" s="2">
        <v>0.92449999999999999</v>
      </c>
      <c r="J533" s="1">
        <v>12</v>
      </c>
      <c r="K533" s="3">
        <v>3.4722222222222224E-4</v>
      </c>
      <c r="L533" s="3">
        <v>1.8055555555555555E-3</v>
      </c>
      <c r="M533" s="3">
        <v>3.2291666666666666E-3</v>
      </c>
      <c r="N533" s="2">
        <v>0.58709999999999996</v>
      </c>
      <c r="O533" s="5">
        <f t="shared" si="32"/>
        <v>0.26541666666666663</v>
      </c>
      <c r="P533" s="5">
        <f t="shared" si="33"/>
        <v>15.924999999999997</v>
      </c>
      <c r="Q533" s="5">
        <f t="shared" si="34"/>
        <v>0.2870833333333333</v>
      </c>
      <c r="R533" s="5">
        <f t="shared" si="35"/>
        <v>17.224999999999998</v>
      </c>
    </row>
    <row r="534" spans="1:18">
      <c r="A534" s="4">
        <v>44363</v>
      </c>
      <c r="B534" s="1" t="s">
        <v>18</v>
      </c>
      <c r="C534" s="1">
        <f t="shared" si="36"/>
        <v>6</v>
      </c>
      <c r="D534" s="1">
        <f t="shared" si="37"/>
        <v>16</v>
      </c>
      <c r="E534" s="1">
        <f t="shared" si="38"/>
        <v>2021</v>
      </c>
      <c r="F534" s="1">
        <v>533</v>
      </c>
      <c r="G534" s="1">
        <v>142</v>
      </c>
      <c r="H534" s="1">
        <v>134</v>
      </c>
      <c r="I534" s="2">
        <v>0.94369999999999998</v>
      </c>
      <c r="J534" s="1">
        <v>8</v>
      </c>
      <c r="K534" s="3">
        <v>3.0092592592592595E-4</v>
      </c>
      <c r="L534" s="3">
        <v>1.9675925925925924E-3</v>
      </c>
      <c r="M534" s="3">
        <v>1.2731481481481483E-3</v>
      </c>
      <c r="N534" s="2">
        <v>0.61870000000000003</v>
      </c>
      <c r="O534" s="5">
        <f t="shared" si="32"/>
        <v>0.2636574074074074</v>
      </c>
      <c r="P534" s="5">
        <f t="shared" si="33"/>
        <v>15.819444444444443</v>
      </c>
      <c r="Q534" s="5">
        <f t="shared" si="34"/>
        <v>0.27939814814814812</v>
      </c>
      <c r="R534" s="5">
        <f t="shared" si="35"/>
        <v>16.763888888888886</v>
      </c>
    </row>
    <row r="535" spans="1:18">
      <c r="A535" s="4">
        <v>44364</v>
      </c>
      <c r="B535" s="1" t="s">
        <v>19</v>
      </c>
      <c r="C535" s="1">
        <f t="shared" si="36"/>
        <v>6</v>
      </c>
      <c r="D535" s="1">
        <f t="shared" si="37"/>
        <v>17</v>
      </c>
      <c r="E535" s="1">
        <f t="shared" si="38"/>
        <v>2021</v>
      </c>
      <c r="F535" s="1">
        <v>534</v>
      </c>
      <c r="G535" s="1">
        <v>194</v>
      </c>
      <c r="H535" s="1">
        <v>163</v>
      </c>
      <c r="I535" s="2">
        <v>0.84019999999999995</v>
      </c>
      <c r="J535" s="1">
        <v>31</v>
      </c>
      <c r="K535" s="3">
        <v>3.4722222222222224E-4</v>
      </c>
      <c r="L535" s="3">
        <v>1.8287037037037037E-3</v>
      </c>
      <c r="M535" s="3">
        <v>3.8310185185185183E-3</v>
      </c>
      <c r="N535" s="2">
        <v>0.51039999999999996</v>
      </c>
      <c r="O535" s="5">
        <f t="shared" si="32"/>
        <v>0.29807870370370371</v>
      </c>
      <c r="P535" s="5">
        <f t="shared" si="33"/>
        <v>17.884722222222223</v>
      </c>
      <c r="Q535" s="5">
        <f t="shared" si="34"/>
        <v>0.35476851851851854</v>
      </c>
      <c r="R535" s="5">
        <f t="shared" si="35"/>
        <v>21.286111111111111</v>
      </c>
    </row>
    <row r="536" spans="1:18">
      <c r="A536" s="4">
        <v>44365</v>
      </c>
      <c r="B536" s="1" t="s">
        <v>20</v>
      </c>
      <c r="C536" s="1">
        <f t="shared" si="36"/>
        <v>6</v>
      </c>
      <c r="D536" s="1">
        <f t="shared" si="37"/>
        <v>18</v>
      </c>
      <c r="E536" s="1">
        <f t="shared" si="38"/>
        <v>2021</v>
      </c>
      <c r="F536" s="1">
        <v>535</v>
      </c>
      <c r="G536" s="1">
        <v>235</v>
      </c>
      <c r="H536" s="1">
        <v>210</v>
      </c>
      <c r="I536" s="2">
        <v>0.89359999999999995</v>
      </c>
      <c r="J536" s="1">
        <v>25</v>
      </c>
      <c r="K536" s="3">
        <v>4.3981481481481481E-4</v>
      </c>
      <c r="L536" s="3">
        <v>2.0023148148148148E-3</v>
      </c>
      <c r="M536" s="3">
        <v>3.1828703703703702E-3</v>
      </c>
      <c r="N536" s="2">
        <v>0.48899999999999999</v>
      </c>
      <c r="O536" s="5">
        <f t="shared" si="32"/>
        <v>0.42048611111111112</v>
      </c>
      <c r="P536" s="5">
        <f t="shared" si="33"/>
        <v>25.229166666666668</v>
      </c>
      <c r="Q536" s="5">
        <f t="shared" si="34"/>
        <v>0.47054398148148147</v>
      </c>
      <c r="R536" s="5">
        <f t="shared" si="35"/>
        <v>28.232638888888889</v>
      </c>
    </row>
    <row r="537" spans="1:18">
      <c r="A537" s="4">
        <v>44366</v>
      </c>
      <c r="B537" s="1" t="s">
        <v>21</v>
      </c>
      <c r="C537" s="1">
        <f t="shared" si="36"/>
        <v>6</v>
      </c>
      <c r="D537" s="1">
        <f t="shared" si="37"/>
        <v>19</v>
      </c>
      <c r="E537" s="1">
        <f t="shared" si="38"/>
        <v>2021</v>
      </c>
      <c r="F537" s="1">
        <v>536</v>
      </c>
      <c r="G537" s="1">
        <v>206</v>
      </c>
      <c r="H537" s="1">
        <v>180</v>
      </c>
      <c r="I537" s="2">
        <v>0.87380000000000002</v>
      </c>
      <c r="J537" s="1">
        <v>26</v>
      </c>
      <c r="K537" s="3">
        <v>5.9027777777777778E-4</v>
      </c>
      <c r="L537" s="3">
        <v>1.9328703703703704E-3</v>
      </c>
      <c r="M537" s="3">
        <v>4.8958333333333336E-3</v>
      </c>
      <c r="N537" s="2">
        <v>0.3861</v>
      </c>
      <c r="O537" s="5">
        <f t="shared" si="32"/>
        <v>0.34791666666666665</v>
      </c>
      <c r="P537" s="5">
        <f t="shared" si="33"/>
        <v>20.875</v>
      </c>
      <c r="Q537" s="5">
        <f t="shared" si="34"/>
        <v>0.39817129629629627</v>
      </c>
      <c r="R537" s="5">
        <f t="shared" si="35"/>
        <v>23.890277777777776</v>
      </c>
    </row>
    <row r="538" spans="1:18">
      <c r="A538" s="4">
        <v>44367</v>
      </c>
      <c r="B538" s="1" t="s">
        <v>22</v>
      </c>
      <c r="C538" s="1">
        <f t="shared" si="36"/>
        <v>6</v>
      </c>
      <c r="D538" s="1">
        <f t="shared" si="37"/>
        <v>20</v>
      </c>
      <c r="E538" s="1">
        <f t="shared" si="38"/>
        <v>2021</v>
      </c>
      <c r="F538" s="1">
        <v>537</v>
      </c>
      <c r="G538" s="1">
        <v>58</v>
      </c>
      <c r="H538" s="1">
        <v>47</v>
      </c>
      <c r="I538" s="2">
        <v>0.81030000000000002</v>
      </c>
      <c r="J538" s="1">
        <v>11</v>
      </c>
      <c r="K538" s="3">
        <v>5.5555555555555556E-4</v>
      </c>
      <c r="L538" s="3">
        <v>1.8055555555555555E-3</v>
      </c>
      <c r="M538" s="3">
        <v>3.1828703703703702E-3</v>
      </c>
      <c r="N538" s="2">
        <v>0.42109999999999997</v>
      </c>
      <c r="O538" s="5">
        <f t="shared" si="32"/>
        <v>8.4861111111111109E-2</v>
      </c>
      <c r="P538" s="5">
        <f t="shared" si="33"/>
        <v>5.0916666666666668</v>
      </c>
      <c r="Q538" s="5">
        <f t="shared" si="34"/>
        <v>0.10472222222222222</v>
      </c>
      <c r="R538" s="5">
        <f t="shared" si="35"/>
        <v>6.2833333333333332</v>
      </c>
    </row>
    <row r="539" spans="1:18">
      <c r="A539" s="4">
        <v>44368</v>
      </c>
      <c r="B539" s="1" t="s">
        <v>23</v>
      </c>
      <c r="C539" s="1">
        <f t="shared" si="36"/>
        <v>6</v>
      </c>
      <c r="D539" s="1">
        <f t="shared" si="37"/>
        <v>21</v>
      </c>
      <c r="E539" s="1">
        <f t="shared" si="38"/>
        <v>2021</v>
      </c>
      <c r="F539" s="1">
        <v>538</v>
      </c>
      <c r="G539" s="1">
        <v>212</v>
      </c>
      <c r="H539" s="1">
        <v>194</v>
      </c>
      <c r="I539" s="2">
        <v>0.91510000000000002</v>
      </c>
      <c r="J539" s="1">
        <v>18</v>
      </c>
      <c r="K539" s="3">
        <v>4.3981481481481481E-4</v>
      </c>
      <c r="L539" s="3">
        <v>1.7708333333333332E-3</v>
      </c>
      <c r="M539" s="3">
        <v>3.0208333333333333E-3</v>
      </c>
      <c r="N539" s="2">
        <v>0.51200000000000001</v>
      </c>
      <c r="O539" s="5">
        <f t="shared" si="32"/>
        <v>0.34354166666666663</v>
      </c>
      <c r="P539" s="5">
        <f t="shared" si="33"/>
        <v>20.612499999999997</v>
      </c>
      <c r="Q539" s="5">
        <f t="shared" si="34"/>
        <v>0.37541666666666662</v>
      </c>
      <c r="R539" s="5">
        <f t="shared" si="35"/>
        <v>22.524999999999999</v>
      </c>
    </row>
    <row r="540" spans="1:18">
      <c r="A540" s="4">
        <v>44369</v>
      </c>
      <c r="B540" s="1" t="s">
        <v>24</v>
      </c>
      <c r="C540" s="1">
        <f t="shared" si="36"/>
        <v>6</v>
      </c>
      <c r="D540" s="1">
        <f t="shared" si="37"/>
        <v>22</v>
      </c>
      <c r="E540" s="1">
        <f t="shared" si="38"/>
        <v>2021</v>
      </c>
      <c r="F540" s="1">
        <v>539</v>
      </c>
      <c r="G540" s="1">
        <v>232</v>
      </c>
      <c r="H540" s="1">
        <v>214</v>
      </c>
      <c r="I540" s="2">
        <v>0.9224</v>
      </c>
      <c r="J540" s="1">
        <v>18</v>
      </c>
      <c r="K540" s="3">
        <v>3.9351851851851852E-4</v>
      </c>
      <c r="L540" s="3">
        <v>1.8055555555555555E-3</v>
      </c>
      <c r="M540" s="3">
        <v>3.8194444444444443E-3</v>
      </c>
      <c r="N540" s="2">
        <v>0.55900000000000005</v>
      </c>
      <c r="O540" s="5">
        <f t="shared" si="32"/>
        <v>0.38638888888888889</v>
      </c>
      <c r="P540" s="5">
        <f t="shared" si="33"/>
        <v>23.183333333333334</v>
      </c>
      <c r="Q540" s="5">
        <f t="shared" si="34"/>
        <v>0.41888888888888887</v>
      </c>
      <c r="R540" s="5">
        <f t="shared" si="35"/>
        <v>25.133333333333333</v>
      </c>
    </row>
    <row r="541" spans="1:18">
      <c r="A541" s="4">
        <v>44370</v>
      </c>
      <c r="B541" s="1" t="s">
        <v>18</v>
      </c>
      <c r="C541" s="1">
        <f t="shared" si="36"/>
        <v>6</v>
      </c>
      <c r="D541" s="1">
        <f t="shared" si="37"/>
        <v>23</v>
      </c>
      <c r="E541" s="1">
        <f t="shared" si="38"/>
        <v>2021</v>
      </c>
      <c r="F541" s="1">
        <v>540</v>
      </c>
      <c r="G541" s="1">
        <v>348</v>
      </c>
      <c r="H541" s="1">
        <v>327</v>
      </c>
      <c r="I541" s="2">
        <v>0.93969999999999998</v>
      </c>
      <c r="J541" s="1">
        <v>21</v>
      </c>
      <c r="K541" s="3">
        <v>3.7037037037037035E-4</v>
      </c>
      <c r="L541" s="3">
        <v>1.712962962962963E-3</v>
      </c>
      <c r="M541" s="3">
        <v>5.092592592592593E-3</v>
      </c>
      <c r="N541" s="2">
        <v>0.54620000000000002</v>
      </c>
      <c r="O541" s="5">
        <f t="shared" si="32"/>
        <v>0.56013888888888885</v>
      </c>
      <c r="P541" s="5">
        <f t="shared" si="33"/>
        <v>33.608333333333334</v>
      </c>
      <c r="Q541" s="5">
        <f t="shared" si="34"/>
        <v>0.59611111111111115</v>
      </c>
      <c r="R541" s="5">
        <f t="shared" si="35"/>
        <v>35.766666666666666</v>
      </c>
    </row>
    <row r="542" spans="1:18">
      <c r="A542" s="4">
        <v>44371</v>
      </c>
      <c r="B542" s="1" t="s">
        <v>19</v>
      </c>
      <c r="C542" s="1">
        <f t="shared" si="36"/>
        <v>6</v>
      </c>
      <c r="D542" s="1">
        <f t="shared" si="37"/>
        <v>24</v>
      </c>
      <c r="E542" s="1">
        <f t="shared" si="38"/>
        <v>2021</v>
      </c>
      <c r="F542" s="1">
        <v>541</v>
      </c>
      <c r="G542" s="1">
        <v>167</v>
      </c>
      <c r="H542" s="1">
        <v>156</v>
      </c>
      <c r="I542" s="2">
        <v>0.93410000000000004</v>
      </c>
      <c r="J542" s="1">
        <v>11</v>
      </c>
      <c r="K542" s="3">
        <v>3.7037037037037035E-4</v>
      </c>
      <c r="L542" s="3">
        <v>1.8865740740740742E-3</v>
      </c>
      <c r="M542" s="3">
        <v>2.0486111111111113E-3</v>
      </c>
      <c r="N542" s="2">
        <v>0.56789999999999996</v>
      </c>
      <c r="O542" s="5">
        <f t="shared" si="32"/>
        <v>0.29430555555555554</v>
      </c>
      <c r="P542" s="5">
        <f t="shared" si="33"/>
        <v>17.658333333333331</v>
      </c>
      <c r="Q542" s="5">
        <f t="shared" si="34"/>
        <v>0.31505787037037036</v>
      </c>
      <c r="R542" s="5">
        <f t="shared" si="35"/>
        <v>18.90347222222222</v>
      </c>
    </row>
    <row r="543" spans="1:18">
      <c r="A543" s="4">
        <v>44372</v>
      </c>
      <c r="B543" s="1" t="s">
        <v>20</v>
      </c>
      <c r="C543" s="1">
        <f t="shared" si="36"/>
        <v>6</v>
      </c>
      <c r="D543" s="1">
        <f t="shared" si="37"/>
        <v>25</v>
      </c>
      <c r="E543" s="1">
        <f t="shared" si="38"/>
        <v>2021</v>
      </c>
      <c r="F543" s="1">
        <v>542</v>
      </c>
      <c r="G543" s="1">
        <v>167</v>
      </c>
      <c r="H543" s="1">
        <v>157</v>
      </c>
      <c r="I543" s="2">
        <v>0.94010000000000005</v>
      </c>
      <c r="J543" s="1">
        <v>10</v>
      </c>
      <c r="K543" s="3">
        <v>3.1250000000000001E-4</v>
      </c>
      <c r="L543" s="3">
        <v>2.0486111111111113E-3</v>
      </c>
      <c r="M543" s="3">
        <v>3.6921296296296298E-3</v>
      </c>
      <c r="N543" s="2">
        <v>0.67479999999999996</v>
      </c>
      <c r="O543" s="5">
        <f t="shared" si="32"/>
        <v>0.32163194444444448</v>
      </c>
      <c r="P543" s="5">
        <f t="shared" si="33"/>
        <v>19.297916666666669</v>
      </c>
      <c r="Q543" s="5">
        <f t="shared" si="34"/>
        <v>0.34211805555555558</v>
      </c>
      <c r="R543" s="5">
        <f t="shared" si="35"/>
        <v>20.527083333333334</v>
      </c>
    </row>
    <row r="544" spans="1:18">
      <c r="A544" s="4">
        <v>44373</v>
      </c>
      <c r="B544" s="1" t="s">
        <v>21</v>
      </c>
      <c r="C544" s="1">
        <f t="shared" si="36"/>
        <v>6</v>
      </c>
      <c r="D544" s="1">
        <f t="shared" si="37"/>
        <v>26</v>
      </c>
      <c r="E544" s="1">
        <f t="shared" si="38"/>
        <v>2021</v>
      </c>
      <c r="F544" s="1">
        <v>543</v>
      </c>
      <c r="G544" s="1">
        <v>166</v>
      </c>
      <c r="H544" s="1">
        <v>161</v>
      </c>
      <c r="I544" s="2">
        <v>0.96989999999999998</v>
      </c>
      <c r="J544" s="1">
        <v>5</v>
      </c>
      <c r="K544" s="3">
        <v>2.4305555555555555E-4</v>
      </c>
      <c r="L544" s="3">
        <v>1.9097222222222222E-3</v>
      </c>
      <c r="M544" s="3">
        <v>1.0648148148148149E-3</v>
      </c>
      <c r="N544" s="2">
        <v>0.73329999999999995</v>
      </c>
      <c r="O544" s="5">
        <f t="shared" si="32"/>
        <v>0.30746527777777777</v>
      </c>
      <c r="P544" s="5">
        <f t="shared" si="33"/>
        <v>18.447916666666664</v>
      </c>
      <c r="Q544" s="5">
        <f t="shared" si="34"/>
        <v>0.31701388888888887</v>
      </c>
      <c r="R544" s="5">
        <f t="shared" si="35"/>
        <v>19.020833333333332</v>
      </c>
    </row>
    <row r="545" spans="1:18">
      <c r="A545" s="4">
        <v>44374</v>
      </c>
      <c r="B545" s="1" t="s">
        <v>22</v>
      </c>
      <c r="C545" s="1">
        <f t="shared" si="36"/>
        <v>6</v>
      </c>
      <c r="D545" s="1">
        <f t="shared" si="37"/>
        <v>27</v>
      </c>
      <c r="E545" s="1">
        <f t="shared" si="38"/>
        <v>2021</v>
      </c>
      <c r="F545" s="1">
        <v>544</v>
      </c>
      <c r="G545" s="1">
        <v>32</v>
      </c>
      <c r="H545" s="1">
        <v>28</v>
      </c>
      <c r="I545" s="2">
        <v>0.875</v>
      </c>
      <c r="J545" s="1">
        <v>4</v>
      </c>
      <c r="K545" s="3">
        <v>2.5462962962962961E-4</v>
      </c>
      <c r="L545" s="3">
        <v>1.8865740740740742E-3</v>
      </c>
      <c r="M545" s="3">
        <v>5.2662037037037035E-3</v>
      </c>
      <c r="N545" s="2">
        <v>0.6452</v>
      </c>
      <c r="O545" s="5">
        <f t="shared" si="32"/>
        <v>5.2824074074074079E-2</v>
      </c>
      <c r="P545" s="5">
        <f t="shared" si="33"/>
        <v>3.1694444444444447</v>
      </c>
      <c r="Q545" s="5">
        <f t="shared" si="34"/>
        <v>6.0370370370370373E-2</v>
      </c>
      <c r="R545" s="5">
        <f t="shared" si="35"/>
        <v>3.6222222222222222</v>
      </c>
    </row>
    <row r="546" spans="1:18">
      <c r="A546" s="4">
        <v>44375</v>
      </c>
      <c r="B546" s="1" t="s">
        <v>23</v>
      </c>
      <c r="C546" s="1">
        <f t="shared" si="36"/>
        <v>6</v>
      </c>
      <c r="D546" s="1">
        <f t="shared" si="37"/>
        <v>28</v>
      </c>
      <c r="E546" s="1">
        <f t="shared" si="38"/>
        <v>2021</v>
      </c>
      <c r="F546" s="1">
        <v>545</v>
      </c>
      <c r="G546" s="1">
        <v>52</v>
      </c>
      <c r="H546" s="1">
        <v>49</v>
      </c>
      <c r="I546" s="2">
        <v>0.94230000000000003</v>
      </c>
      <c r="J546" s="1">
        <v>3</v>
      </c>
      <c r="K546" s="3">
        <v>3.7037037037037035E-4</v>
      </c>
      <c r="L546" s="3">
        <v>2.0601851851851853E-3</v>
      </c>
      <c r="M546" s="3">
        <v>2.1064814814814813E-3</v>
      </c>
      <c r="N546" s="2">
        <v>0.63460000000000005</v>
      </c>
      <c r="O546" s="5">
        <f t="shared" si="32"/>
        <v>0.10094907407407408</v>
      </c>
      <c r="P546" s="5">
        <f t="shared" si="33"/>
        <v>6.0569444444444445</v>
      </c>
      <c r="Q546" s="5">
        <f t="shared" si="34"/>
        <v>0.10712962962962963</v>
      </c>
      <c r="R546" s="5">
        <f t="shared" si="35"/>
        <v>6.427777777777778</v>
      </c>
    </row>
    <row r="547" spans="1:18">
      <c r="A547" s="4">
        <v>44376</v>
      </c>
      <c r="B547" s="1" t="s">
        <v>24</v>
      </c>
      <c r="C547" s="1">
        <f t="shared" si="36"/>
        <v>6</v>
      </c>
      <c r="D547" s="1">
        <f t="shared" si="37"/>
        <v>29</v>
      </c>
      <c r="E547" s="1">
        <f t="shared" si="38"/>
        <v>2021</v>
      </c>
      <c r="F547" s="1">
        <v>546</v>
      </c>
      <c r="G547" s="1">
        <v>154</v>
      </c>
      <c r="H547" s="1">
        <v>149</v>
      </c>
      <c r="I547" s="2">
        <v>0.96750000000000003</v>
      </c>
      <c r="J547" s="1">
        <v>5</v>
      </c>
      <c r="K547" s="3">
        <v>3.0092592592592595E-4</v>
      </c>
      <c r="L547" s="3">
        <v>1.9907407407407408E-3</v>
      </c>
      <c r="M547" s="3">
        <v>1.2731481481481483E-3</v>
      </c>
      <c r="N547" s="2">
        <v>0.64900000000000002</v>
      </c>
      <c r="O547" s="5">
        <f t="shared" si="32"/>
        <v>0.29662037037037037</v>
      </c>
      <c r="P547" s="5">
        <f t="shared" si="33"/>
        <v>17.797222222222221</v>
      </c>
      <c r="Q547" s="5">
        <f t="shared" si="34"/>
        <v>0.30657407407407411</v>
      </c>
      <c r="R547" s="5">
        <f t="shared" si="35"/>
        <v>18.394444444444446</v>
      </c>
    </row>
    <row r="548" spans="1:18">
      <c r="A548" s="4">
        <v>44377</v>
      </c>
      <c r="B548" s="1" t="s">
        <v>18</v>
      </c>
      <c r="C548" s="1">
        <f t="shared" si="36"/>
        <v>6</v>
      </c>
      <c r="D548" s="1">
        <f t="shared" si="37"/>
        <v>30</v>
      </c>
      <c r="E548" s="1">
        <f t="shared" si="38"/>
        <v>2021</v>
      </c>
      <c r="F548" s="1">
        <v>547</v>
      </c>
      <c r="G548" s="1">
        <v>223</v>
      </c>
      <c r="H548" s="1">
        <v>218</v>
      </c>
      <c r="I548" s="2">
        <v>0.97760000000000002</v>
      </c>
      <c r="J548" s="1">
        <v>5</v>
      </c>
      <c r="K548" s="3">
        <v>2.0833333333333335E-4</v>
      </c>
      <c r="L548" s="3">
        <v>1.4699074074074074E-3</v>
      </c>
      <c r="M548" s="3">
        <v>1.3888888888888889E-3</v>
      </c>
      <c r="N548" s="2">
        <v>0.80089999999999995</v>
      </c>
      <c r="O548" s="5">
        <f t="shared" si="32"/>
        <v>0.32043981481481482</v>
      </c>
      <c r="P548" s="5">
        <f t="shared" si="33"/>
        <v>19.226388888888888</v>
      </c>
      <c r="Q548" s="5">
        <f t="shared" si="34"/>
        <v>0.32778935185185187</v>
      </c>
      <c r="R548" s="5">
        <f t="shared" si="35"/>
        <v>19.667361111111113</v>
      </c>
    </row>
    <row r="549" spans="1:18">
      <c r="A549" s="4">
        <v>44378</v>
      </c>
      <c r="B549" s="1" t="s">
        <v>19</v>
      </c>
      <c r="C549" s="1">
        <f t="shared" si="36"/>
        <v>7</v>
      </c>
      <c r="D549" s="1">
        <f t="shared" si="37"/>
        <v>1</v>
      </c>
      <c r="E549" s="1">
        <f t="shared" si="38"/>
        <v>2021</v>
      </c>
      <c r="F549" s="1">
        <v>548</v>
      </c>
      <c r="G549" s="1">
        <v>170</v>
      </c>
      <c r="H549" s="1">
        <v>157</v>
      </c>
      <c r="I549" s="2">
        <v>0.92349999999999999</v>
      </c>
      <c r="J549" s="1">
        <v>13</v>
      </c>
      <c r="K549" s="3">
        <v>1.9675925925925926E-4</v>
      </c>
      <c r="L549" s="3">
        <v>2.1296296296296298E-3</v>
      </c>
      <c r="M549" s="3">
        <v>4.4560185185185189E-3</v>
      </c>
      <c r="N549" s="2">
        <v>0.78439999999999999</v>
      </c>
      <c r="O549" s="5">
        <f t="shared" si="32"/>
        <v>0.33435185185185184</v>
      </c>
      <c r="P549" s="5">
        <f t="shared" si="33"/>
        <v>20.06111111111111</v>
      </c>
      <c r="Q549" s="5">
        <f t="shared" si="34"/>
        <v>0.36203703703703705</v>
      </c>
      <c r="R549" s="5">
        <f t="shared" si="35"/>
        <v>21.722222222222221</v>
      </c>
    </row>
    <row r="550" spans="1:18">
      <c r="A550" s="4">
        <v>44379</v>
      </c>
      <c r="B550" s="1" t="s">
        <v>20</v>
      </c>
      <c r="C550" s="1">
        <f t="shared" si="36"/>
        <v>7</v>
      </c>
      <c r="D550" s="1">
        <f t="shared" si="37"/>
        <v>2</v>
      </c>
      <c r="E550" s="1">
        <f t="shared" si="38"/>
        <v>2021</v>
      </c>
      <c r="F550" s="1">
        <v>549</v>
      </c>
      <c r="G550" s="1">
        <v>145</v>
      </c>
      <c r="H550" s="1">
        <v>133</v>
      </c>
      <c r="I550" s="2">
        <v>0.91720000000000002</v>
      </c>
      <c r="J550" s="1">
        <v>12</v>
      </c>
      <c r="K550" s="3">
        <v>3.0092592592592595E-4</v>
      </c>
      <c r="L550" s="3">
        <v>2.0370370370370369E-3</v>
      </c>
      <c r="M550" s="3">
        <v>2.5347222222222221E-3</v>
      </c>
      <c r="N550" s="2">
        <v>0.69230000000000003</v>
      </c>
      <c r="O550" s="5">
        <f t="shared" si="32"/>
        <v>0.2709259259259259</v>
      </c>
      <c r="P550" s="5">
        <f t="shared" si="33"/>
        <v>16.255555555555553</v>
      </c>
      <c r="Q550" s="5">
        <f t="shared" si="34"/>
        <v>0.29537037037037034</v>
      </c>
      <c r="R550" s="5">
        <f t="shared" si="35"/>
        <v>17.722222222222221</v>
      </c>
    </row>
    <row r="551" spans="1:18">
      <c r="A551" s="4">
        <v>44380</v>
      </c>
      <c r="B551" s="1" t="s">
        <v>21</v>
      </c>
      <c r="C551" s="1">
        <f t="shared" si="36"/>
        <v>7</v>
      </c>
      <c r="D551" s="1">
        <f t="shared" si="37"/>
        <v>3</v>
      </c>
      <c r="E551" s="1">
        <f t="shared" si="38"/>
        <v>2021</v>
      </c>
      <c r="F551" s="1">
        <v>550</v>
      </c>
      <c r="G551" s="1">
        <v>144</v>
      </c>
      <c r="H551" s="1">
        <v>138</v>
      </c>
      <c r="I551" s="2">
        <v>0.95830000000000004</v>
      </c>
      <c r="J551" s="1">
        <v>6</v>
      </c>
      <c r="K551" s="3">
        <v>1.9675925925925926E-4</v>
      </c>
      <c r="L551" s="3">
        <v>2.0023148148148148E-3</v>
      </c>
      <c r="M551" s="3">
        <v>1.9097222222222222E-3</v>
      </c>
      <c r="N551" s="2">
        <v>0.83799999999999997</v>
      </c>
      <c r="O551" s="5">
        <f t="shared" si="32"/>
        <v>0.27631944444444445</v>
      </c>
      <c r="P551" s="5">
        <f t="shared" si="33"/>
        <v>16.579166666666666</v>
      </c>
      <c r="Q551" s="5">
        <f t="shared" si="34"/>
        <v>0.28833333333333333</v>
      </c>
      <c r="R551" s="5">
        <f t="shared" si="35"/>
        <v>17.3</v>
      </c>
    </row>
    <row r="552" spans="1:18">
      <c r="A552" s="4">
        <v>44381</v>
      </c>
      <c r="B552" s="1" t="s">
        <v>22</v>
      </c>
      <c r="C552" s="1">
        <f t="shared" si="36"/>
        <v>7</v>
      </c>
      <c r="D552" s="1">
        <f t="shared" si="37"/>
        <v>4</v>
      </c>
      <c r="E552" s="1">
        <f t="shared" si="38"/>
        <v>2021</v>
      </c>
      <c r="F552" s="1">
        <v>551</v>
      </c>
      <c r="G552" s="1">
        <v>16</v>
      </c>
      <c r="H552" s="1">
        <v>15</v>
      </c>
      <c r="I552" s="2">
        <v>0.9375</v>
      </c>
      <c r="J552" s="1">
        <v>1</v>
      </c>
      <c r="K552" s="3">
        <v>1.9675925925925926E-4</v>
      </c>
      <c r="L552" s="3">
        <v>2.0833333333333333E-3</v>
      </c>
      <c r="M552" s="3">
        <v>1.9097222222222222E-3</v>
      </c>
      <c r="N552" s="2">
        <v>0.6875</v>
      </c>
      <c r="O552" s="5">
        <f t="shared" si="32"/>
        <v>3.125E-2</v>
      </c>
      <c r="P552" s="5">
        <f t="shared" si="33"/>
        <v>1.875</v>
      </c>
      <c r="Q552" s="5">
        <f t="shared" si="34"/>
        <v>3.3333333333333333E-2</v>
      </c>
      <c r="R552" s="5">
        <f t="shared" si="35"/>
        <v>2</v>
      </c>
    </row>
    <row r="553" spans="1:18">
      <c r="A553" s="4">
        <v>44382</v>
      </c>
      <c r="B553" s="1" t="s">
        <v>23</v>
      </c>
      <c r="C553" s="1">
        <f t="shared" si="36"/>
        <v>7</v>
      </c>
      <c r="D553" s="1">
        <f t="shared" si="37"/>
        <v>5</v>
      </c>
      <c r="E553" s="1">
        <f t="shared" si="38"/>
        <v>2021</v>
      </c>
      <c r="F553" s="1">
        <v>552</v>
      </c>
      <c r="G553" s="1">
        <v>135</v>
      </c>
      <c r="H553" s="1">
        <v>131</v>
      </c>
      <c r="I553" s="2">
        <v>0.97040000000000004</v>
      </c>
      <c r="J553" s="1">
        <v>4</v>
      </c>
      <c r="K553" s="3">
        <v>2.3148148148148149E-4</v>
      </c>
      <c r="L553" s="3">
        <v>1.8171296296296297E-3</v>
      </c>
      <c r="M553" s="3">
        <v>1.3888888888888889E-3</v>
      </c>
      <c r="N553" s="2">
        <v>0.76119999999999999</v>
      </c>
      <c r="O553" s="5">
        <f t="shared" si="32"/>
        <v>0.23804398148148148</v>
      </c>
      <c r="P553" s="5">
        <f t="shared" si="33"/>
        <v>14.282638888888888</v>
      </c>
      <c r="Q553" s="5">
        <f t="shared" si="34"/>
        <v>0.24531250000000002</v>
      </c>
      <c r="R553" s="5">
        <f t="shared" si="35"/>
        <v>14.718750000000002</v>
      </c>
    </row>
    <row r="554" spans="1:18">
      <c r="A554" s="4">
        <v>44383</v>
      </c>
      <c r="B554" s="1" t="s">
        <v>24</v>
      </c>
      <c r="C554" s="1">
        <f t="shared" si="36"/>
        <v>7</v>
      </c>
      <c r="D554" s="1">
        <f t="shared" si="37"/>
        <v>6</v>
      </c>
      <c r="E554" s="1">
        <f t="shared" si="38"/>
        <v>2021</v>
      </c>
      <c r="F554" s="1">
        <v>553</v>
      </c>
      <c r="G554" s="1">
        <v>137</v>
      </c>
      <c r="H554" s="1">
        <v>133</v>
      </c>
      <c r="I554" s="2">
        <v>0.9708</v>
      </c>
      <c r="J554" s="1">
        <v>4</v>
      </c>
      <c r="K554" s="3">
        <v>2.7777777777777778E-4</v>
      </c>
      <c r="L554" s="3">
        <v>1.9560185185185184E-3</v>
      </c>
      <c r="M554" s="3">
        <v>1.9212962962962964E-3</v>
      </c>
      <c r="N554" s="2">
        <v>0.69120000000000004</v>
      </c>
      <c r="O554" s="5">
        <f t="shared" si="32"/>
        <v>0.26015046296296296</v>
      </c>
      <c r="P554" s="5">
        <f t="shared" si="33"/>
        <v>15.609027777777778</v>
      </c>
      <c r="Q554" s="5">
        <f t="shared" si="34"/>
        <v>0.267974537037037</v>
      </c>
      <c r="R554" s="5">
        <f t="shared" si="35"/>
        <v>16.078472222222221</v>
      </c>
    </row>
    <row r="555" spans="1:18">
      <c r="A555" s="4">
        <v>44384</v>
      </c>
      <c r="B555" s="1" t="s">
        <v>18</v>
      </c>
      <c r="C555" s="1">
        <f t="shared" si="36"/>
        <v>7</v>
      </c>
      <c r="D555" s="1">
        <f t="shared" si="37"/>
        <v>7</v>
      </c>
      <c r="E555" s="1">
        <f t="shared" si="38"/>
        <v>2021</v>
      </c>
      <c r="F555" s="1">
        <v>554</v>
      </c>
      <c r="G555" s="1">
        <v>149</v>
      </c>
      <c r="H555" s="1">
        <v>144</v>
      </c>
      <c r="I555" s="2">
        <v>0.96640000000000004</v>
      </c>
      <c r="J555" s="1">
        <v>5</v>
      </c>
      <c r="K555" s="3">
        <v>1.9675925925925926E-4</v>
      </c>
      <c r="L555" s="3">
        <v>1.8402777777777777E-3</v>
      </c>
      <c r="M555" s="3">
        <v>1.4120370370370369E-3</v>
      </c>
      <c r="N555" s="2">
        <v>0.8276</v>
      </c>
      <c r="O555" s="5">
        <f t="shared" si="32"/>
        <v>0.26500000000000001</v>
      </c>
      <c r="P555" s="5">
        <f t="shared" si="33"/>
        <v>15.9</v>
      </c>
      <c r="Q555" s="5">
        <f t="shared" si="34"/>
        <v>0.2742013888888889</v>
      </c>
      <c r="R555" s="5">
        <f t="shared" si="35"/>
        <v>16.452083333333334</v>
      </c>
    </row>
    <row r="556" spans="1:18">
      <c r="A556" s="4">
        <v>44385</v>
      </c>
      <c r="B556" s="1" t="s">
        <v>19</v>
      </c>
      <c r="C556" s="1">
        <f t="shared" si="36"/>
        <v>7</v>
      </c>
      <c r="D556" s="1">
        <f t="shared" si="37"/>
        <v>8</v>
      </c>
      <c r="E556" s="1">
        <f t="shared" si="38"/>
        <v>2021</v>
      </c>
      <c r="F556" s="1">
        <v>555</v>
      </c>
      <c r="G556" s="1">
        <v>155</v>
      </c>
      <c r="H556" s="1">
        <v>143</v>
      </c>
      <c r="I556" s="2">
        <v>0.92259999999999998</v>
      </c>
      <c r="J556" s="1">
        <v>12</v>
      </c>
      <c r="K556" s="3">
        <v>1.8518518518518518E-4</v>
      </c>
      <c r="L556" s="3">
        <v>1.8634259259259259E-3</v>
      </c>
      <c r="M556" s="3">
        <v>4.4560185185185189E-3</v>
      </c>
      <c r="N556" s="2">
        <v>0.8014</v>
      </c>
      <c r="O556" s="5">
        <f t="shared" si="32"/>
        <v>0.26646990740740739</v>
      </c>
      <c r="P556" s="5">
        <f t="shared" si="33"/>
        <v>15.988194444444444</v>
      </c>
      <c r="Q556" s="5">
        <f t="shared" si="34"/>
        <v>0.2888310185185185</v>
      </c>
      <c r="R556" s="5">
        <f t="shared" si="35"/>
        <v>17.329861111111111</v>
      </c>
    </row>
    <row r="557" spans="1:18">
      <c r="A557" s="4">
        <v>44386</v>
      </c>
      <c r="B557" s="1" t="s">
        <v>20</v>
      </c>
      <c r="C557" s="1">
        <f t="shared" si="36"/>
        <v>7</v>
      </c>
      <c r="D557" s="1">
        <f t="shared" si="37"/>
        <v>9</v>
      </c>
      <c r="E557" s="1">
        <f t="shared" si="38"/>
        <v>2021</v>
      </c>
      <c r="F557" s="1">
        <v>556</v>
      </c>
      <c r="G557" s="1">
        <v>128</v>
      </c>
      <c r="H557" s="1">
        <v>121</v>
      </c>
      <c r="I557" s="2">
        <v>0.94530000000000003</v>
      </c>
      <c r="J557" s="1">
        <v>7</v>
      </c>
      <c r="K557" s="3">
        <v>2.199074074074074E-4</v>
      </c>
      <c r="L557" s="3">
        <v>2.0254629629629629E-3</v>
      </c>
      <c r="M557" s="3">
        <v>3.1828703703703702E-3</v>
      </c>
      <c r="N557" s="2">
        <v>0.77780000000000005</v>
      </c>
      <c r="O557" s="5">
        <f t="shared" si="32"/>
        <v>0.24508101851851852</v>
      </c>
      <c r="P557" s="5">
        <f t="shared" si="33"/>
        <v>14.704861111111111</v>
      </c>
      <c r="Q557" s="5">
        <f t="shared" si="34"/>
        <v>0.25925925925925924</v>
      </c>
      <c r="R557" s="5">
        <f t="shared" si="35"/>
        <v>15.555555555555555</v>
      </c>
    </row>
    <row r="558" spans="1:18">
      <c r="A558" s="4">
        <v>44387</v>
      </c>
      <c r="B558" s="1" t="s">
        <v>21</v>
      </c>
      <c r="C558" s="1">
        <f t="shared" si="36"/>
        <v>7</v>
      </c>
      <c r="D558" s="1">
        <f t="shared" si="37"/>
        <v>10</v>
      </c>
      <c r="E558" s="1">
        <f t="shared" si="38"/>
        <v>2021</v>
      </c>
      <c r="F558" s="1">
        <v>557</v>
      </c>
      <c r="G558" s="1">
        <v>134</v>
      </c>
      <c r="H558" s="1">
        <v>125</v>
      </c>
      <c r="I558" s="2">
        <v>0.93279999999999996</v>
      </c>
      <c r="J558" s="1">
        <v>9</v>
      </c>
      <c r="K558" s="3">
        <v>2.4305555555555555E-4</v>
      </c>
      <c r="L558" s="3">
        <v>1.8287037037037037E-3</v>
      </c>
      <c r="M558" s="3">
        <v>2.2916666666666667E-3</v>
      </c>
      <c r="N558" s="2">
        <v>0.72519999999999996</v>
      </c>
      <c r="O558" s="5">
        <f t="shared" si="32"/>
        <v>0.22858796296296297</v>
      </c>
      <c r="P558" s="5">
        <f t="shared" si="33"/>
        <v>13.715277777777779</v>
      </c>
      <c r="Q558" s="5">
        <f t="shared" si="34"/>
        <v>0.24504629629629629</v>
      </c>
      <c r="R558" s="5">
        <f t="shared" si="35"/>
        <v>14.702777777777778</v>
      </c>
    </row>
    <row r="559" spans="1:18">
      <c r="A559" s="4">
        <v>44388</v>
      </c>
      <c r="B559" s="1" t="s">
        <v>22</v>
      </c>
      <c r="C559" s="1">
        <f t="shared" si="36"/>
        <v>7</v>
      </c>
      <c r="D559" s="1">
        <f t="shared" si="37"/>
        <v>11</v>
      </c>
      <c r="E559" s="1">
        <f t="shared" si="38"/>
        <v>2021</v>
      </c>
      <c r="F559" s="1">
        <v>558</v>
      </c>
      <c r="G559" s="1">
        <v>21</v>
      </c>
      <c r="H559" s="1">
        <v>21</v>
      </c>
      <c r="I559" s="2">
        <v>1</v>
      </c>
      <c r="J559" s="1">
        <v>0</v>
      </c>
      <c r="K559" s="3">
        <v>2.6620370370370372E-4</v>
      </c>
      <c r="L559" s="3">
        <v>1.8171296296296297E-3</v>
      </c>
      <c r="M559" s="3">
        <v>1.9675925925925924E-3</v>
      </c>
      <c r="N559" s="2">
        <v>0.76190000000000002</v>
      </c>
      <c r="O559" s="5">
        <f t="shared" si="32"/>
        <v>3.8159722222222227E-2</v>
      </c>
      <c r="P559" s="5">
        <f t="shared" si="33"/>
        <v>2.2895833333333337</v>
      </c>
      <c r="Q559" s="5">
        <f t="shared" si="34"/>
        <v>3.8159722222222227E-2</v>
      </c>
      <c r="R559" s="5">
        <f t="shared" si="35"/>
        <v>2.2895833333333337</v>
      </c>
    </row>
    <row r="560" spans="1:18">
      <c r="A560" s="4">
        <v>44389</v>
      </c>
      <c r="B560" s="1" t="s">
        <v>23</v>
      </c>
      <c r="C560" s="1">
        <f t="shared" si="36"/>
        <v>7</v>
      </c>
      <c r="D560" s="1">
        <f t="shared" si="37"/>
        <v>12</v>
      </c>
      <c r="E560" s="1">
        <f t="shared" si="38"/>
        <v>2021</v>
      </c>
      <c r="F560" s="1">
        <v>559</v>
      </c>
      <c r="G560" s="1">
        <v>150</v>
      </c>
      <c r="H560" s="1">
        <v>138</v>
      </c>
      <c r="I560" s="2">
        <v>0.92</v>
      </c>
      <c r="J560" s="1">
        <v>12</v>
      </c>
      <c r="K560" s="3">
        <v>3.4722222222222224E-4</v>
      </c>
      <c r="L560" s="3">
        <v>1.9907407407407408E-3</v>
      </c>
      <c r="M560" s="3">
        <v>2.9629629629629628E-3</v>
      </c>
      <c r="N560" s="2">
        <v>0.5867</v>
      </c>
      <c r="O560" s="5">
        <f t="shared" si="32"/>
        <v>0.27472222222222226</v>
      </c>
      <c r="P560" s="5">
        <f t="shared" si="33"/>
        <v>16.483333333333334</v>
      </c>
      <c r="Q560" s="5">
        <f t="shared" si="34"/>
        <v>0.2986111111111111</v>
      </c>
      <c r="R560" s="5">
        <f t="shared" si="35"/>
        <v>17.916666666666668</v>
      </c>
    </row>
    <row r="561" spans="1:18">
      <c r="A561" s="4">
        <v>44390</v>
      </c>
      <c r="B561" s="1" t="s">
        <v>24</v>
      </c>
      <c r="C561" s="1">
        <f t="shared" si="36"/>
        <v>7</v>
      </c>
      <c r="D561" s="1">
        <f t="shared" si="37"/>
        <v>13</v>
      </c>
      <c r="E561" s="1">
        <f t="shared" si="38"/>
        <v>2021</v>
      </c>
      <c r="F561" s="1">
        <v>560</v>
      </c>
      <c r="G561" s="1">
        <v>163</v>
      </c>
      <c r="H561" s="1">
        <v>158</v>
      </c>
      <c r="I561" s="2">
        <v>0.96930000000000005</v>
      </c>
      <c r="J561" s="1">
        <v>5</v>
      </c>
      <c r="K561" s="3">
        <v>1.6203703703703703E-4</v>
      </c>
      <c r="L561" s="3">
        <v>1.712962962962963E-3</v>
      </c>
      <c r="M561" s="3">
        <v>1.4004629629629629E-3</v>
      </c>
      <c r="N561" s="2">
        <v>0.81989999999999996</v>
      </c>
      <c r="O561" s="5">
        <f t="shared" si="32"/>
        <v>0.27064814814814814</v>
      </c>
      <c r="P561" s="5">
        <f t="shared" si="33"/>
        <v>16.238888888888887</v>
      </c>
      <c r="Q561" s="5">
        <f t="shared" si="34"/>
        <v>0.279212962962963</v>
      </c>
      <c r="R561" s="5">
        <f t="shared" si="35"/>
        <v>16.75277777777778</v>
      </c>
    </row>
    <row r="562" spans="1:18">
      <c r="A562" s="4">
        <v>44391</v>
      </c>
      <c r="B562" s="1" t="s">
        <v>18</v>
      </c>
      <c r="C562" s="1">
        <f t="shared" si="36"/>
        <v>7</v>
      </c>
      <c r="D562" s="1">
        <f t="shared" si="37"/>
        <v>14</v>
      </c>
      <c r="E562" s="1">
        <f t="shared" si="38"/>
        <v>2021</v>
      </c>
      <c r="F562" s="1">
        <v>561</v>
      </c>
      <c r="G562" s="1">
        <v>160</v>
      </c>
      <c r="H562" s="1">
        <v>151</v>
      </c>
      <c r="I562" s="2">
        <v>0.94379999999999997</v>
      </c>
      <c r="J562" s="1">
        <v>9</v>
      </c>
      <c r="K562" s="3">
        <v>1.3888888888888889E-4</v>
      </c>
      <c r="L562" s="3">
        <v>1.8402777777777777E-3</v>
      </c>
      <c r="M562" s="3">
        <v>2.0486111111111113E-3</v>
      </c>
      <c r="N562" s="2">
        <v>0.87180000000000002</v>
      </c>
      <c r="O562" s="5">
        <f t="shared" si="32"/>
        <v>0.27788194444444442</v>
      </c>
      <c r="P562" s="5">
        <f t="shared" si="33"/>
        <v>16.672916666666666</v>
      </c>
      <c r="Q562" s="5">
        <f t="shared" si="34"/>
        <v>0.29444444444444445</v>
      </c>
      <c r="R562" s="5">
        <f t="shared" si="35"/>
        <v>17.666666666666668</v>
      </c>
    </row>
    <row r="563" spans="1:18">
      <c r="A563" s="4">
        <v>44392</v>
      </c>
      <c r="B563" s="1" t="s">
        <v>19</v>
      </c>
      <c r="C563" s="1">
        <f t="shared" si="36"/>
        <v>7</v>
      </c>
      <c r="D563" s="1">
        <f t="shared" si="37"/>
        <v>15</v>
      </c>
      <c r="E563" s="1">
        <f t="shared" si="38"/>
        <v>2021</v>
      </c>
      <c r="F563" s="1">
        <v>562</v>
      </c>
      <c r="G563" s="1">
        <v>132</v>
      </c>
      <c r="H563" s="1">
        <v>125</v>
      </c>
      <c r="I563" s="2">
        <v>0.94699999999999995</v>
      </c>
      <c r="J563" s="1">
        <v>7</v>
      </c>
      <c r="K563" s="3">
        <v>3.4722222222222224E-4</v>
      </c>
      <c r="L563" s="3">
        <v>1.9212962962962964E-3</v>
      </c>
      <c r="M563" s="3">
        <v>2.627314814814815E-3</v>
      </c>
      <c r="N563" s="2">
        <v>0.6462</v>
      </c>
      <c r="O563" s="5">
        <f t="shared" si="32"/>
        <v>0.24016203703703703</v>
      </c>
      <c r="P563" s="5">
        <f t="shared" si="33"/>
        <v>14.409722222222221</v>
      </c>
      <c r="Q563" s="5">
        <f t="shared" si="34"/>
        <v>0.25361111111111112</v>
      </c>
      <c r="R563" s="5">
        <f t="shared" si="35"/>
        <v>15.216666666666667</v>
      </c>
    </row>
    <row r="564" spans="1:18">
      <c r="A564" s="4">
        <v>44393</v>
      </c>
      <c r="B564" s="1" t="s">
        <v>20</v>
      </c>
      <c r="C564" s="1">
        <f t="shared" si="36"/>
        <v>7</v>
      </c>
      <c r="D564" s="1">
        <f t="shared" si="37"/>
        <v>16</v>
      </c>
      <c r="E564" s="1">
        <f t="shared" si="38"/>
        <v>2021</v>
      </c>
      <c r="F564" s="1">
        <v>563</v>
      </c>
      <c r="G564" s="1">
        <v>131</v>
      </c>
      <c r="H564" s="1">
        <v>126</v>
      </c>
      <c r="I564" s="2">
        <v>0.96179999999999999</v>
      </c>
      <c r="J564" s="1">
        <v>5</v>
      </c>
      <c r="K564" s="3">
        <v>1.9675925925925926E-4</v>
      </c>
      <c r="L564" s="3">
        <v>1.9328703703703704E-3</v>
      </c>
      <c r="M564" s="3">
        <v>1.7939814814814815E-3</v>
      </c>
      <c r="N564" s="2">
        <v>0.78290000000000004</v>
      </c>
      <c r="O564" s="5">
        <f t="shared" si="32"/>
        <v>0.24354166666666666</v>
      </c>
      <c r="P564" s="5">
        <f t="shared" si="33"/>
        <v>14.612499999999999</v>
      </c>
      <c r="Q564" s="5">
        <f t="shared" si="34"/>
        <v>0.25320601851851854</v>
      </c>
      <c r="R564" s="5">
        <f t="shared" si="35"/>
        <v>15.192361111111111</v>
      </c>
    </row>
    <row r="565" spans="1:18">
      <c r="A565" s="4">
        <v>44394</v>
      </c>
      <c r="B565" s="1" t="s">
        <v>21</v>
      </c>
      <c r="C565" s="1">
        <f t="shared" si="36"/>
        <v>7</v>
      </c>
      <c r="D565" s="1">
        <f t="shared" si="37"/>
        <v>17</v>
      </c>
      <c r="E565" s="1">
        <f t="shared" si="38"/>
        <v>2021</v>
      </c>
      <c r="F565" s="1">
        <v>564</v>
      </c>
      <c r="G565" s="1">
        <v>158</v>
      </c>
      <c r="H565" s="1">
        <v>146</v>
      </c>
      <c r="I565" s="2">
        <v>0.92410000000000003</v>
      </c>
      <c r="J565" s="1">
        <v>12</v>
      </c>
      <c r="K565" s="3">
        <v>2.4305555555555555E-4</v>
      </c>
      <c r="L565" s="3">
        <v>1.8749999999999999E-3</v>
      </c>
      <c r="M565" s="3">
        <v>2.5462962962962965E-3</v>
      </c>
      <c r="N565" s="2">
        <v>0.75319999999999998</v>
      </c>
      <c r="O565" s="5">
        <f t="shared" si="32"/>
        <v>0.27374999999999999</v>
      </c>
      <c r="P565" s="5">
        <f t="shared" si="33"/>
        <v>16.425000000000001</v>
      </c>
      <c r="Q565" s="5">
        <f t="shared" si="34"/>
        <v>0.29625000000000001</v>
      </c>
      <c r="R565" s="5">
        <f t="shared" si="35"/>
        <v>17.775000000000002</v>
      </c>
    </row>
    <row r="566" spans="1:18">
      <c r="A566" s="4">
        <v>44395</v>
      </c>
      <c r="B566" s="1" t="s">
        <v>22</v>
      </c>
      <c r="C566" s="1">
        <f t="shared" si="36"/>
        <v>7</v>
      </c>
      <c r="D566" s="1">
        <f t="shared" si="37"/>
        <v>18</v>
      </c>
      <c r="E566" s="1">
        <f t="shared" si="38"/>
        <v>2021</v>
      </c>
      <c r="F566" s="1">
        <v>565</v>
      </c>
      <c r="G566" s="1">
        <v>19</v>
      </c>
      <c r="H566" s="1">
        <v>16</v>
      </c>
      <c r="I566" s="2">
        <v>0.84209999999999996</v>
      </c>
      <c r="J566" s="1">
        <v>3</v>
      </c>
      <c r="K566" s="3">
        <v>5.9027777777777778E-4</v>
      </c>
      <c r="L566" s="3">
        <v>1.9212962962962964E-3</v>
      </c>
      <c r="M566" s="3">
        <v>2.9398148148148148E-3</v>
      </c>
      <c r="N566" s="2">
        <v>0.47370000000000001</v>
      </c>
      <c r="O566" s="5">
        <f t="shared" si="32"/>
        <v>3.0740740740740742E-2</v>
      </c>
      <c r="P566" s="5">
        <f t="shared" si="33"/>
        <v>1.8444444444444446</v>
      </c>
      <c r="Q566" s="5">
        <f t="shared" si="34"/>
        <v>3.650462962962963E-2</v>
      </c>
      <c r="R566" s="5">
        <f t="shared" si="35"/>
        <v>2.1902777777777778</v>
      </c>
    </row>
    <row r="567" spans="1:18">
      <c r="A567" s="4">
        <v>44396</v>
      </c>
      <c r="B567" s="1" t="s">
        <v>23</v>
      </c>
      <c r="C567" s="1">
        <f t="shared" si="36"/>
        <v>7</v>
      </c>
      <c r="D567" s="1">
        <f t="shared" si="37"/>
        <v>19</v>
      </c>
      <c r="E567" s="1">
        <f t="shared" si="38"/>
        <v>2021</v>
      </c>
      <c r="F567" s="1">
        <v>566</v>
      </c>
      <c r="G567" s="1">
        <v>151</v>
      </c>
      <c r="H567" s="1">
        <v>128</v>
      </c>
      <c r="I567" s="2">
        <v>0.84770000000000001</v>
      </c>
      <c r="J567" s="1">
        <v>23</v>
      </c>
      <c r="K567" s="3">
        <v>6.018518518518519E-4</v>
      </c>
      <c r="L567" s="3">
        <v>1.736111111111111E-3</v>
      </c>
      <c r="M567" s="3">
        <v>3.9120370370370368E-3</v>
      </c>
      <c r="N567" s="2">
        <v>0.37930000000000003</v>
      </c>
      <c r="O567" s="5">
        <f t="shared" si="32"/>
        <v>0.22222222222222221</v>
      </c>
      <c r="P567" s="5">
        <f t="shared" si="33"/>
        <v>13.333333333333332</v>
      </c>
      <c r="Q567" s="5">
        <f t="shared" si="34"/>
        <v>0.26215277777777779</v>
      </c>
      <c r="R567" s="5">
        <f t="shared" si="35"/>
        <v>15.729166666666668</v>
      </c>
    </row>
    <row r="568" spans="1:18">
      <c r="A568" s="4">
        <v>44397</v>
      </c>
      <c r="B568" s="1" t="s">
        <v>24</v>
      </c>
      <c r="C568" s="1">
        <f t="shared" si="36"/>
        <v>7</v>
      </c>
      <c r="D568" s="1">
        <f t="shared" si="37"/>
        <v>20</v>
      </c>
      <c r="E568" s="1">
        <f t="shared" si="38"/>
        <v>2021</v>
      </c>
      <c r="F568" s="1">
        <v>567</v>
      </c>
      <c r="G568" s="1">
        <v>139</v>
      </c>
      <c r="H568" s="1">
        <v>128</v>
      </c>
      <c r="I568" s="2">
        <v>0.92090000000000005</v>
      </c>
      <c r="J568" s="1">
        <v>11</v>
      </c>
      <c r="K568" s="3">
        <v>3.7037037037037035E-4</v>
      </c>
      <c r="L568" s="3">
        <v>1.8981481481481482E-3</v>
      </c>
      <c r="M568" s="3">
        <v>2.476851851851852E-3</v>
      </c>
      <c r="N568" s="2">
        <v>0.51800000000000002</v>
      </c>
      <c r="O568" s="5">
        <f t="shared" si="32"/>
        <v>0.24296296296296296</v>
      </c>
      <c r="P568" s="5">
        <f t="shared" si="33"/>
        <v>14.577777777777778</v>
      </c>
      <c r="Q568" s="5">
        <f t="shared" si="34"/>
        <v>0.26384259259259257</v>
      </c>
      <c r="R568" s="5">
        <f t="shared" si="35"/>
        <v>15.830555555555554</v>
      </c>
    </row>
    <row r="569" spans="1:18">
      <c r="A569" s="4">
        <v>44398</v>
      </c>
      <c r="B569" s="1" t="s">
        <v>18</v>
      </c>
      <c r="C569" s="1">
        <f t="shared" si="36"/>
        <v>7</v>
      </c>
      <c r="D569" s="1">
        <f t="shared" si="37"/>
        <v>21</v>
      </c>
      <c r="E569" s="1">
        <f t="shared" si="38"/>
        <v>2021</v>
      </c>
      <c r="F569" s="1">
        <v>568</v>
      </c>
      <c r="G569" s="1">
        <v>166</v>
      </c>
      <c r="H569" s="1">
        <v>135</v>
      </c>
      <c r="I569" s="2">
        <v>0.81330000000000002</v>
      </c>
      <c r="J569" s="1">
        <v>31</v>
      </c>
      <c r="K569" s="3">
        <v>4.7453703703703704E-4</v>
      </c>
      <c r="L569" s="3">
        <v>1.8518518518518519E-3</v>
      </c>
      <c r="M569" s="3">
        <v>3.5763888888888889E-3</v>
      </c>
      <c r="N569" s="2">
        <v>0.46500000000000002</v>
      </c>
      <c r="O569" s="5">
        <f t="shared" si="32"/>
        <v>0.25</v>
      </c>
      <c r="P569" s="5">
        <f t="shared" si="33"/>
        <v>15</v>
      </c>
      <c r="Q569" s="5">
        <f t="shared" si="34"/>
        <v>0.30740740740740741</v>
      </c>
      <c r="R569" s="5">
        <f t="shared" si="35"/>
        <v>18.444444444444443</v>
      </c>
    </row>
    <row r="570" spans="1:18">
      <c r="A570" s="4">
        <v>44399</v>
      </c>
      <c r="B570" s="1" t="s">
        <v>19</v>
      </c>
      <c r="C570" s="1">
        <f t="shared" si="36"/>
        <v>7</v>
      </c>
      <c r="D570" s="1">
        <f t="shared" si="37"/>
        <v>22</v>
      </c>
      <c r="E570" s="1">
        <f t="shared" si="38"/>
        <v>2021</v>
      </c>
      <c r="F570" s="1">
        <v>569</v>
      </c>
      <c r="G570" s="1">
        <v>258</v>
      </c>
      <c r="H570" s="1">
        <v>196</v>
      </c>
      <c r="I570" s="2">
        <v>0.75970000000000004</v>
      </c>
      <c r="J570" s="1">
        <v>62</v>
      </c>
      <c r="K570" s="3">
        <v>8.1018518518518516E-4</v>
      </c>
      <c r="L570" s="3">
        <v>1.736111111111111E-3</v>
      </c>
      <c r="M570" s="3">
        <v>5.4513888888888893E-3</v>
      </c>
      <c r="N570" s="2">
        <v>0.2429</v>
      </c>
      <c r="O570" s="5">
        <f t="shared" si="32"/>
        <v>0.34027777777777773</v>
      </c>
      <c r="P570" s="5">
        <f t="shared" si="33"/>
        <v>20.416666666666664</v>
      </c>
      <c r="Q570" s="5">
        <f t="shared" si="34"/>
        <v>0.44791666666666663</v>
      </c>
      <c r="R570" s="5">
        <f t="shared" si="35"/>
        <v>26.874999999999996</v>
      </c>
    </row>
    <row r="571" spans="1:18">
      <c r="A571" s="4">
        <v>44400</v>
      </c>
      <c r="B571" s="1" t="s">
        <v>20</v>
      </c>
      <c r="C571" s="1">
        <f t="shared" si="36"/>
        <v>7</v>
      </c>
      <c r="D571" s="1">
        <f t="shared" si="37"/>
        <v>23</v>
      </c>
      <c r="E571" s="1">
        <f t="shared" si="38"/>
        <v>2021</v>
      </c>
      <c r="F571" s="1">
        <v>570</v>
      </c>
      <c r="G571" s="1">
        <v>203</v>
      </c>
      <c r="H571" s="1">
        <v>176</v>
      </c>
      <c r="I571" s="2">
        <v>0.86699999999999999</v>
      </c>
      <c r="J571" s="1">
        <v>27</v>
      </c>
      <c r="K571" s="3">
        <v>4.6296296296296298E-4</v>
      </c>
      <c r="L571" s="3">
        <v>1.736111111111111E-3</v>
      </c>
      <c r="M571" s="3">
        <v>6.3541666666666668E-3</v>
      </c>
      <c r="N571" s="2">
        <v>0.44779999999999998</v>
      </c>
      <c r="O571" s="5">
        <f t="shared" si="32"/>
        <v>0.30555555555555552</v>
      </c>
      <c r="P571" s="5">
        <f t="shared" si="33"/>
        <v>18.333333333333332</v>
      </c>
      <c r="Q571" s="5">
        <f t="shared" si="34"/>
        <v>0.35243055555555552</v>
      </c>
      <c r="R571" s="5">
        <f t="shared" si="35"/>
        <v>21.145833333333332</v>
      </c>
    </row>
    <row r="572" spans="1:18">
      <c r="A572" s="4">
        <v>44401</v>
      </c>
      <c r="B572" s="1" t="s">
        <v>21</v>
      </c>
      <c r="C572" s="1">
        <f t="shared" si="36"/>
        <v>7</v>
      </c>
      <c r="D572" s="1">
        <f t="shared" si="37"/>
        <v>24</v>
      </c>
      <c r="E572" s="1">
        <f t="shared" si="38"/>
        <v>2021</v>
      </c>
      <c r="F572" s="1">
        <v>571</v>
      </c>
      <c r="G572" s="1">
        <v>182</v>
      </c>
      <c r="H572" s="1">
        <v>162</v>
      </c>
      <c r="I572" s="2">
        <v>0.8901</v>
      </c>
      <c r="J572" s="1">
        <v>20</v>
      </c>
      <c r="K572" s="3">
        <v>2.8935185185185184E-4</v>
      </c>
      <c r="L572" s="3">
        <v>1.9444444444444444E-3</v>
      </c>
      <c r="M572" s="3">
        <v>2.5462962962962965E-3</v>
      </c>
      <c r="N572" s="2">
        <v>0.59430000000000005</v>
      </c>
      <c r="O572" s="5">
        <f t="shared" si="32"/>
        <v>0.315</v>
      </c>
      <c r="P572" s="5">
        <f t="shared" si="33"/>
        <v>18.899999999999999</v>
      </c>
      <c r="Q572" s="5">
        <f t="shared" si="34"/>
        <v>0.35388888888888886</v>
      </c>
      <c r="R572" s="5">
        <f t="shared" si="35"/>
        <v>21.233333333333331</v>
      </c>
    </row>
    <row r="573" spans="1:18">
      <c r="A573" s="4">
        <v>44402</v>
      </c>
      <c r="B573" s="1" t="s">
        <v>22</v>
      </c>
      <c r="C573" s="1">
        <f t="shared" si="36"/>
        <v>7</v>
      </c>
      <c r="D573" s="1">
        <f t="shared" si="37"/>
        <v>25</v>
      </c>
      <c r="E573" s="1">
        <f t="shared" si="38"/>
        <v>2021</v>
      </c>
      <c r="F573" s="1">
        <v>572</v>
      </c>
      <c r="G573" s="1">
        <v>18</v>
      </c>
      <c r="H573" s="1">
        <v>17</v>
      </c>
      <c r="I573" s="2">
        <v>0.94440000000000002</v>
      </c>
      <c r="J573" s="1">
        <v>1</v>
      </c>
      <c r="K573" s="3">
        <v>6.3657407407407413E-4</v>
      </c>
      <c r="L573" s="3">
        <v>2.7893518518518519E-3</v>
      </c>
      <c r="M573" s="3">
        <v>4.0046296296296297E-3</v>
      </c>
      <c r="N573" s="2">
        <v>0.5</v>
      </c>
      <c r="O573" s="5">
        <f t="shared" si="32"/>
        <v>4.7418981481481479E-2</v>
      </c>
      <c r="P573" s="5">
        <f t="shared" si="33"/>
        <v>2.8451388888888887</v>
      </c>
      <c r="Q573" s="5">
        <f t="shared" si="34"/>
        <v>5.0208333333333334E-2</v>
      </c>
      <c r="R573" s="5">
        <f t="shared" si="35"/>
        <v>3.0125000000000002</v>
      </c>
    </row>
    <row r="574" spans="1:18">
      <c r="A574" s="4">
        <v>44403</v>
      </c>
      <c r="B574" s="1" t="s">
        <v>23</v>
      </c>
      <c r="C574" s="1">
        <f t="shared" si="36"/>
        <v>7</v>
      </c>
      <c r="D574" s="1">
        <f t="shared" si="37"/>
        <v>26</v>
      </c>
      <c r="E574" s="1">
        <f t="shared" si="38"/>
        <v>2021</v>
      </c>
      <c r="F574" s="1">
        <v>573</v>
      </c>
      <c r="G574" s="1">
        <v>215</v>
      </c>
      <c r="H574" s="1">
        <v>170</v>
      </c>
      <c r="I574" s="2">
        <v>0.79069999999999996</v>
      </c>
      <c r="J574" s="1">
        <v>45</v>
      </c>
      <c r="K574" s="3">
        <v>6.3657407407407413E-4</v>
      </c>
      <c r="L574" s="3">
        <v>1.9560185185185184E-3</v>
      </c>
      <c r="M574" s="3">
        <v>5.162037037037037E-3</v>
      </c>
      <c r="N574" s="2">
        <v>0.43059999999999998</v>
      </c>
      <c r="O574" s="5">
        <f t="shared" si="32"/>
        <v>0.33252314814814815</v>
      </c>
      <c r="P574" s="5">
        <f t="shared" si="33"/>
        <v>19.951388888888889</v>
      </c>
      <c r="Q574" s="5">
        <f t="shared" si="34"/>
        <v>0.42054398148148148</v>
      </c>
      <c r="R574" s="5">
        <f t="shared" si="35"/>
        <v>25.232638888888889</v>
      </c>
    </row>
    <row r="575" spans="1:18">
      <c r="A575" s="4">
        <v>44404</v>
      </c>
      <c r="B575" s="1" t="s">
        <v>24</v>
      </c>
      <c r="C575" s="1">
        <f t="shared" si="36"/>
        <v>7</v>
      </c>
      <c r="D575" s="1">
        <f t="shared" si="37"/>
        <v>27</v>
      </c>
      <c r="E575" s="1">
        <f t="shared" si="38"/>
        <v>2021</v>
      </c>
      <c r="F575" s="1">
        <v>574</v>
      </c>
      <c r="G575" s="1">
        <v>209</v>
      </c>
      <c r="H575" s="1">
        <v>203</v>
      </c>
      <c r="I575" s="2">
        <v>0.97130000000000005</v>
      </c>
      <c r="J575" s="1">
        <v>6</v>
      </c>
      <c r="K575" s="3">
        <v>2.8935185185185184E-4</v>
      </c>
      <c r="L575" s="3">
        <v>1.8749999999999999E-3</v>
      </c>
      <c r="M575" s="3">
        <v>2.5462962962962965E-3</v>
      </c>
      <c r="N575" s="2">
        <v>0.74880000000000002</v>
      </c>
      <c r="O575" s="5">
        <f t="shared" si="32"/>
        <v>0.38062499999999999</v>
      </c>
      <c r="P575" s="5">
        <f t="shared" si="33"/>
        <v>22.837499999999999</v>
      </c>
      <c r="Q575" s="5">
        <f t="shared" si="34"/>
        <v>0.39187499999999997</v>
      </c>
      <c r="R575" s="5">
        <f t="shared" si="35"/>
        <v>23.512499999999999</v>
      </c>
    </row>
    <row r="576" spans="1:18">
      <c r="A576" s="4">
        <v>44405</v>
      </c>
      <c r="B576" s="1" t="s">
        <v>18</v>
      </c>
      <c r="C576" s="1">
        <f t="shared" si="36"/>
        <v>7</v>
      </c>
      <c r="D576" s="1">
        <f t="shared" si="37"/>
        <v>28</v>
      </c>
      <c r="E576" s="1">
        <f t="shared" si="38"/>
        <v>2021</v>
      </c>
      <c r="F576" s="1">
        <v>575</v>
      </c>
      <c r="G576" s="1">
        <v>140</v>
      </c>
      <c r="H576" s="1">
        <v>134</v>
      </c>
      <c r="I576" s="2">
        <v>0.95709999999999995</v>
      </c>
      <c r="J576" s="1">
        <v>6</v>
      </c>
      <c r="K576" s="3">
        <v>2.3148148148148149E-4</v>
      </c>
      <c r="L576" s="3">
        <v>2.0717592592592593E-3</v>
      </c>
      <c r="M576" s="3">
        <v>2.3263888888888887E-3</v>
      </c>
      <c r="N576" s="2">
        <v>0.76259999999999994</v>
      </c>
      <c r="O576" s="5">
        <f t="shared" si="32"/>
        <v>0.27761574074074075</v>
      </c>
      <c r="P576" s="5">
        <f t="shared" si="33"/>
        <v>16.656944444444445</v>
      </c>
      <c r="Q576" s="5">
        <f t="shared" si="34"/>
        <v>0.2900462962962963</v>
      </c>
      <c r="R576" s="5">
        <f t="shared" si="35"/>
        <v>17.402777777777779</v>
      </c>
    </row>
    <row r="577" spans="1:18">
      <c r="A577" s="4">
        <v>44406</v>
      </c>
      <c r="B577" s="1" t="s">
        <v>19</v>
      </c>
      <c r="C577" s="1">
        <f t="shared" si="36"/>
        <v>7</v>
      </c>
      <c r="D577" s="1">
        <f t="shared" si="37"/>
        <v>29</v>
      </c>
      <c r="E577" s="1">
        <f t="shared" si="38"/>
        <v>2021</v>
      </c>
      <c r="F577" s="1">
        <v>576</v>
      </c>
      <c r="G577" s="1">
        <v>124</v>
      </c>
      <c r="H577" s="1">
        <v>110</v>
      </c>
      <c r="I577" s="2">
        <v>0.8871</v>
      </c>
      <c r="J577" s="1">
        <v>14</v>
      </c>
      <c r="K577" s="3">
        <v>1.7361111111111112E-4</v>
      </c>
      <c r="L577" s="3">
        <v>2.0370370370370369E-3</v>
      </c>
      <c r="M577" s="3">
        <v>5.7407407407407407E-3</v>
      </c>
      <c r="N577" s="2">
        <v>0.81820000000000004</v>
      </c>
      <c r="O577" s="5">
        <f t="shared" si="32"/>
        <v>0.22407407407407406</v>
      </c>
      <c r="P577" s="5">
        <f t="shared" si="33"/>
        <v>13.444444444444445</v>
      </c>
      <c r="Q577" s="5">
        <f t="shared" si="34"/>
        <v>0.25259259259259259</v>
      </c>
      <c r="R577" s="5">
        <f t="shared" si="35"/>
        <v>15.155555555555555</v>
      </c>
    </row>
    <row r="578" spans="1:18">
      <c r="A578" s="4">
        <v>44407</v>
      </c>
      <c r="B578" s="1" t="s">
        <v>20</v>
      </c>
      <c r="C578" s="1">
        <f t="shared" si="36"/>
        <v>7</v>
      </c>
      <c r="D578" s="1">
        <f t="shared" si="37"/>
        <v>30</v>
      </c>
      <c r="E578" s="1">
        <f t="shared" si="38"/>
        <v>2021</v>
      </c>
      <c r="F578" s="1">
        <v>577</v>
      </c>
      <c r="G578" s="1">
        <v>179</v>
      </c>
      <c r="H578" s="1">
        <v>163</v>
      </c>
      <c r="I578" s="2">
        <v>0.91059999999999997</v>
      </c>
      <c r="J578" s="1">
        <v>16</v>
      </c>
      <c r="K578" s="3">
        <v>2.6620370370370372E-4</v>
      </c>
      <c r="L578" s="3">
        <v>1.8981481481481482E-3</v>
      </c>
      <c r="M578" s="3">
        <v>2.9745370370370373E-3</v>
      </c>
      <c r="N578" s="2">
        <v>0.71589999999999998</v>
      </c>
      <c r="O578" s="5">
        <f t="shared" si="32"/>
        <v>0.30939814814814814</v>
      </c>
      <c r="P578" s="5">
        <f t="shared" si="33"/>
        <v>18.56388888888889</v>
      </c>
      <c r="Q578" s="5">
        <f t="shared" si="34"/>
        <v>0.33976851851851853</v>
      </c>
      <c r="R578" s="5">
        <f t="shared" si="35"/>
        <v>20.386111111111113</v>
      </c>
    </row>
    <row r="579" spans="1:18">
      <c r="A579" s="4">
        <v>44408</v>
      </c>
      <c r="B579" s="1" t="s">
        <v>21</v>
      </c>
      <c r="C579" s="1">
        <f t="shared" ref="C579:C642" si="39">MONTH(A579)</f>
        <v>7</v>
      </c>
      <c r="D579" s="1">
        <f t="shared" ref="D579:D642" si="40">DAY(A579)</f>
        <v>31</v>
      </c>
      <c r="E579" s="1">
        <f t="shared" ref="E579:E642" si="41">YEAR(A579)</f>
        <v>2021</v>
      </c>
      <c r="F579" s="1">
        <v>578</v>
      </c>
      <c r="G579" s="1">
        <v>163</v>
      </c>
      <c r="H579" s="1">
        <v>161</v>
      </c>
      <c r="I579" s="2">
        <v>0.98770000000000002</v>
      </c>
      <c r="J579" s="1">
        <v>2</v>
      </c>
      <c r="K579" s="3">
        <v>1.1574074074074075E-4</v>
      </c>
      <c r="L579" s="3">
        <v>1.8518518518518519E-3</v>
      </c>
      <c r="M579" s="3">
        <v>1.2847222222222223E-3</v>
      </c>
      <c r="N579" s="2">
        <v>0.94410000000000005</v>
      </c>
      <c r="O579" s="5">
        <f t="shared" si="32"/>
        <v>0.29814814814814816</v>
      </c>
      <c r="P579" s="5">
        <f t="shared" si="33"/>
        <v>17.888888888888889</v>
      </c>
      <c r="Q579" s="5">
        <f t="shared" si="34"/>
        <v>0.30185185185185187</v>
      </c>
      <c r="R579" s="5">
        <f t="shared" si="35"/>
        <v>18.111111111111111</v>
      </c>
    </row>
    <row r="580" spans="1:18">
      <c r="A580" s="4">
        <v>44409</v>
      </c>
      <c r="B580" s="1" t="s">
        <v>22</v>
      </c>
      <c r="C580" s="1">
        <f t="shared" si="39"/>
        <v>8</v>
      </c>
      <c r="D580" s="1">
        <f t="shared" si="40"/>
        <v>1</v>
      </c>
      <c r="E580" s="1">
        <f t="shared" si="41"/>
        <v>2021</v>
      </c>
      <c r="F580" s="1">
        <v>579</v>
      </c>
      <c r="G580" s="1">
        <v>27</v>
      </c>
      <c r="H580" s="1">
        <v>27</v>
      </c>
      <c r="I580" s="2">
        <v>1</v>
      </c>
      <c r="J580" s="1">
        <v>0</v>
      </c>
      <c r="K580" s="3">
        <v>5.7870370370370373E-5</v>
      </c>
      <c r="L580" s="3">
        <v>1.9444444444444444E-3</v>
      </c>
      <c r="M580" s="3">
        <v>2.199074074074074E-4</v>
      </c>
      <c r="N580" s="2">
        <v>1</v>
      </c>
      <c r="O580" s="5">
        <f t="shared" si="32"/>
        <v>5.2499999999999998E-2</v>
      </c>
      <c r="P580" s="5">
        <f t="shared" si="33"/>
        <v>3.15</v>
      </c>
      <c r="Q580" s="5">
        <f t="shared" si="34"/>
        <v>5.2499999999999998E-2</v>
      </c>
      <c r="R580" s="5">
        <f t="shared" si="35"/>
        <v>3.15</v>
      </c>
    </row>
    <row r="581" spans="1:18">
      <c r="A581" s="4">
        <v>44410</v>
      </c>
      <c r="B581" s="1" t="s">
        <v>23</v>
      </c>
      <c r="C581" s="1">
        <f t="shared" si="39"/>
        <v>8</v>
      </c>
      <c r="D581" s="1">
        <f t="shared" si="40"/>
        <v>2</v>
      </c>
      <c r="E581" s="1">
        <f t="shared" si="41"/>
        <v>2021</v>
      </c>
      <c r="F581" s="1">
        <v>580</v>
      </c>
      <c r="G581" s="1">
        <v>182</v>
      </c>
      <c r="H581" s="1">
        <v>175</v>
      </c>
      <c r="I581" s="2">
        <v>0.96150000000000002</v>
      </c>
      <c r="J581" s="1">
        <v>7</v>
      </c>
      <c r="K581" s="3">
        <v>2.199074074074074E-4</v>
      </c>
      <c r="L581" s="3">
        <v>1.8287037037037037E-3</v>
      </c>
      <c r="M581" s="3">
        <v>2.1759259259259258E-3</v>
      </c>
      <c r="N581" s="2">
        <v>0.79890000000000005</v>
      </c>
      <c r="O581" s="5">
        <f t="shared" si="32"/>
        <v>0.32002314814814814</v>
      </c>
      <c r="P581" s="5">
        <f t="shared" si="33"/>
        <v>19.201388888888889</v>
      </c>
      <c r="Q581" s="5">
        <f t="shared" si="34"/>
        <v>0.33282407407407405</v>
      </c>
      <c r="R581" s="5">
        <f t="shared" si="35"/>
        <v>19.969444444444441</v>
      </c>
    </row>
    <row r="582" spans="1:18">
      <c r="A582" s="4">
        <v>44411</v>
      </c>
      <c r="B582" s="1" t="s">
        <v>24</v>
      </c>
      <c r="C582" s="1">
        <f t="shared" si="39"/>
        <v>8</v>
      </c>
      <c r="D582" s="1">
        <f t="shared" si="40"/>
        <v>3</v>
      </c>
      <c r="E582" s="1">
        <f t="shared" si="41"/>
        <v>2021</v>
      </c>
      <c r="F582" s="1">
        <v>581</v>
      </c>
      <c r="G582" s="1">
        <v>164</v>
      </c>
      <c r="H582" s="1">
        <v>159</v>
      </c>
      <c r="I582" s="2">
        <v>0.96950000000000003</v>
      </c>
      <c r="J582" s="1">
        <v>5</v>
      </c>
      <c r="K582" s="3">
        <v>1.273148148148148E-4</v>
      </c>
      <c r="L582" s="3">
        <v>1.6550925925925926E-3</v>
      </c>
      <c r="M582" s="3">
        <v>4.4907407407407405E-3</v>
      </c>
      <c r="N582" s="2">
        <v>0.90180000000000005</v>
      </c>
      <c r="O582" s="5">
        <f t="shared" si="32"/>
        <v>0.26315972222222223</v>
      </c>
      <c r="P582" s="5">
        <f t="shared" si="33"/>
        <v>15.789583333333333</v>
      </c>
      <c r="Q582" s="5">
        <f t="shared" si="34"/>
        <v>0.27143518518518517</v>
      </c>
      <c r="R582" s="5">
        <f t="shared" si="35"/>
        <v>16.286111111111111</v>
      </c>
    </row>
    <row r="583" spans="1:18">
      <c r="A583" s="4">
        <v>44412</v>
      </c>
      <c r="B583" s="1" t="s">
        <v>18</v>
      </c>
      <c r="C583" s="1">
        <f t="shared" si="39"/>
        <v>8</v>
      </c>
      <c r="D583" s="1">
        <f t="shared" si="40"/>
        <v>4</v>
      </c>
      <c r="E583" s="1">
        <f t="shared" si="41"/>
        <v>2021</v>
      </c>
      <c r="F583" s="1">
        <v>582</v>
      </c>
      <c r="G583" s="1">
        <v>160</v>
      </c>
      <c r="H583" s="1">
        <v>159</v>
      </c>
      <c r="I583" s="2">
        <v>0.99380000000000002</v>
      </c>
      <c r="J583" s="1">
        <v>1</v>
      </c>
      <c r="K583" s="3">
        <v>5.7870370370370373E-5</v>
      </c>
      <c r="L583" s="3">
        <v>1.8518518518518519E-3</v>
      </c>
      <c r="M583" s="3">
        <v>6.7129629629629625E-4</v>
      </c>
      <c r="N583" s="2">
        <v>0.98740000000000006</v>
      </c>
      <c r="O583" s="5">
        <f t="shared" si="32"/>
        <v>0.29444444444444445</v>
      </c>
      <c r="P583" s="5">
        <f t="shared" si="33"/>
        <v>17.666666666666668</v>
      </c>
      <c r="Q583" s="5">
        <f t="shared" si="34"/>
        <v>0.29629629629629628</v>
      </c>
      <c r="R583" s="5">
        <f t="shared" si="35"/>
        <v>17.777777777777779</v>
      </c>
    </row>
    <row r="584" spans="1:18">
      <c r="A584" s="4">
        <v>44413</v>
      </c>
      <c r="B584" s="1" t="s">
        <v>19</v>
      </c>
      <c r="C584" s="1">
        <f t="shared" si="39"/>
        <v>8</v>
      </c>
      <c r="D584" s="1">
        <f t="shared" si="40"/>
        <v>5</v>
      </c>
      <c r="E584" s="1">
        <f t="shared" si="41"/>
        <v>2021</v>
      </c>
      <c r="F584" s="1">
        <v>583</v>
      </c>
      <c r="G584" s="1">
        <v>174</v>
      </c>
      <c r="H584" s="1">
        <v>155</v>
      </c>
      <c r="I584" s="2">
        <v>0.89080000000000004</v>
      </c>
      <c r="J584" s="1">
        <v>19</v>
      </c>
      <c r="K584" s="3">
        <v>1.8518518518518518E-4</v>
      </c>
      <c r="L584" s="3">
        <v>1.8634259259259259E-3</v>
      </c>
      <c r="M584" s="3">
        <v>4.6180555555555558E-3</v>
      </c>
      <c r="N584" s="2">
        <v>0.77059999999999995</v>
      </c>
      <c r="O584" s="5">
        <f t="shared" si="32"/>
        <v>0.2888310185185185</v>
      </c>
      <c r="P584" s="5">
        <f t="shared" si="33"/>
        <v>17.329861111111111</v>
      </c>
      <c r="Q584" s="5">
        <f t="shared" si="34"/>
        <v>0.32423611111111111</v>
      </c>
      <c r="R584" s="5">
        <f t="shared" si="35"/>
        <v>19.454166666666666</v>
      </c>
    </row>
    <row r="585" spans="1:18">
      <c r="A585" s="4">
        <v>44414</v>
      </c>
      <c r="B585" s="1" t="s">
        <v>20</v>
      </c>
      <c r="C585" s="1">
        <f t="shared" si="39"/>
        <v>8</v>
      </c>
      <c r="D585" s="1">
        <f t="shared" si="40"/>
        <v>6</v>
      </c>
      <c r="E585" s="1">
        <f t="shared" si="41"/>
        <v>2021</v>
      </c>
      <c r="F585" s="1">
        <v>584</v>
      </c>
      <c r="G585" s="1">
        <v>235</v>
      </c>
      <c r="H585" s="1">
        <v>230</v>
      </c>
      <c r="I585" s="2">
        <v>0.97870000000000001</v>
      </c>
      <c r="J585" s="1">
        <v>5</v>
      </c>
      <c r="K585" s="3">
        <v>5.7870370370370373E-5</v>
      </c>
      <c r="L585" s="3">
        <v>1.7013888888888888E-3</v>
      </c>
      <c r="M585" s="3">
        <v>1.2731481481481483E-3</v>
      </c>
      <c r="N585" s="2">
        <v>0.95740000000000003</v>
      </c>
      <c r="O585" s="5">
        <f t="shared" si="32"/>
        <v>0.39131944444444444</v>
      </c>
      <c r="P585" s="5">
        <f t="shared" si="33"/>
        <v>23.479166666666668</v>
      </c>
      <c r="Q585" s="5">
        <f t="shared" si="34"/>
        <v>0.39982638888888888</v>
      </c>
      <c r="R585" s="5">
        <f t="shared" si="35"/>
        <v>23.989583333333332</v>
      </c>
    </row>
    <row r="586" spans="1:18">
      <c r="A586" s="4">
        <v>44415</v>
      </c>
      <c r="B586" s="1" t="s">
        <v>21</v>
      </c>
      <c r="C586" s="1">
        <f t="shared" si="39"/>
        <v>8</v>
      </c>
      <c r="D586" s="1">
        <f t="shared" si="40"/>
        <v>7</v>
      </c>
      <c r="E586" s="1">
        <f t="shared" si="41"/>
        <v>2021</v>
      </c>
      <c r="F586" s="1">
        <v>585</v>
      </c>
      <c r="G586" s="1">
        <v>175</v>
      </c>
      <c r="H586" s="1">
        <v>174</v>
      </c>
      <c r="I586" s="2">
        <v>0.99429999999999996</v>
      </c>
      <c r="J586" s="1">
        <v>1</v>
      </c>
      <c r="K586" s="3">
        <v>4.6296296296296294E-5</v>
      </c>
      <c r="L586" s="3">
        <v>1.6898148148148148E-3</v>
      </c>
      <c r="M586" s="3">
        <v>1.3078703703703703E-3</v>
      </c>
      <c r="N586" s="2">
        <v>0.98860000000000003</v>
      </c>
      <c r="O586" s="5">
        <f t="shared" si="32"/>
        <v>0.29402777777777778</v>
      </c>
      <c r="P586" s="5">
        <f t="shared" si="33"/>
        <v>17.641666666666666</v>
      </c>
      <c r="Q586" s="5">
        <f t="shared" si="34"/>
        <v>0.29571759259259256</v>
      </c>
      <c r="R586" s="5">
        <f t="shared" si="35"/>
        <v>17.743055555555554</v>
      </c>
    </row>
    <row r="587" spans="1:18">
      <c r="A587" s="4">
        <v>44416</v>
      </c>
      <c r="B587" s="1" t="s">
        <v>22</v>
      </c>
      <c r="C587" s="1">
        <f t="shared" si="39"/>
        <v>8</v>
      </c>
      <c r="D587" s="1">
        <f t="shared" si="40"/>
        <v>8</v>
      </c>
      <c r="E587" s="1">
        <f t="shared" si="41"/>
        <v>2021</v>
      </c>
      <c r="F587" s="1">
        <v>586</v>
      </c>
      <c r="G587" s="1">
        <v>25</v>
      </c>
      <c r="H587" s="1">
        <v>25</v>
      </c>
      <c r="I587" s="2">
        <v>1</v>
      </c>
      <c r="J587" s="1">
        <v>0</v>
      </c>
      <c r="K587" s="3">
        <v>4.6296296296296294E-5</v>
      </c>
      <c r="L587" s="3">
        <v>2.2569444444444442E-3</v>
      </c>
      <c r="M587" s="3">
        <v>6.3657407407407413E-4</v>
      </c>
      <c r="N587" s="2">
        <v>0.96</v>
      </c>
      <c r="O587" s="5">
        <f t="shared" si="32"/>
        <v>5.6423611111111105E-2</v>
      </c>
      <c r="P587" s="5">
        <f t="shared" si="33"/>
        <v>3.3854166666666661</v>
      </c>
      <c r="Q587" s="5">
        <f t="shared" si="34"/>
        <v>5.6423611111111105E-2</v>
      </c>
      <c r="R587" s="5">
        <f t="shared" si="35"/>
        <v>3.3854166666666661</v>
      </c>
    </row>
    <row r="588" spans="1:18">
      <c r="A588" s="4">
        <v>44417</v>
      </c>
      <c r="B588" s="1" t="s">
        <v>23</v>
      </c>
      <c r="C588" s="1">
        <f t="shared" si="39"/>
        <v>8</v>
      </c>
      <c r="D588" s="1">
        <f t="shared" si="40"/>
        <v>9</v>
      </c>
      <c r="E588" s="1">
        <f t="shared" si="41"/>
        <v>2021</v>
      </c>
      <c r="F588" s="1">
        <v>587</v>
      </c>
      <c r="G588" s="1">
        <v>170</v>
      </c>
      <c r="H588" s="1">
        <v>167</v>
      </c>
      <c r="I588" s="2">
        <v>0.98240000000000005</v>
      </c>
      <c r="J588" s="1">
        <v>3</v>
      </c>
      <c r="K588" s="3">
        <v>6.9444444444444444E-5</v>
      </c>
      <c r="L588" s="3">
        <v>1.7939814814814815E-3</v>
      </c>
      <c r="M588" s="3">
        <v>2.5462962962962965E-3</v>
      </c>
      <c r="N588" s="2">
        <v>0.94079999999999997</v>
      </c>
      <c r="O588" s="5">
        <f t="shared" si="32"/>
        <v>0.29959490740740741</v>
      </c>
      <c r="P588" s="5">
        <f t="shared" si="33"/>
        <v>17.975694444444443</v>
      </c>
      <c r="Q588" s="5">
        <f t="shared" si="34"/>
        <v>0.30497685185185186</v>
      </c>
      <c r="R588" s="5">
        <f t="shared" si="35"/>
        <v>18.298611111111111</v>
      </c>
    </row>
    <row r="589" spans="1:18">
      <c r="A589" s="4">
        <v>44418</v>
      </c>
      <c r="B589" s="1" t="s">
        <v>24</v>
      </c>
      <c r="C589" s="1">
        <f t="shared" si="39"/>
        <v>8</v>
      </c>
      <c r="D589" s="1">
        <f t="shared" si="40"/>
        <v>10</v>
      </c>
      <c r="E589" s="1">
        <f t="shared" si="41"/>
        <v>2021</v>
      </c>
      <c r="F589" s="1">
        <v>588</v>
      </c>
      <c r="G589" s="1">
        <v>187</v>
      </c>
      <c r="H589" s="1">
        <v>168</v>
      </c>
      <c r="I589" s="2">
        <v>0.89839999999999998</v>
      </c>
      <c r="J589" s="1">
        <v>19</v>
      </c>
      <c r="K589" s="3">
        <v>3.0092592592592595E-4</v>
      </c>
      <c r="L589" s="3">
        <v>1.6203703703703703E-3</v>
      </c>
      <c r="M589" s="3">
        <v>3.3449074074074076E-3</v>
      </c>
      <c r="N589" s="2">
        <v>0.70430000000000004</v>
      </c>
      <c r="O589" s="5">
        <f t="shared" si="32"/>
        <v>0.2722222222222222</v>
      </c>
      <c r="P589" s="5">
        <f t="shared" si="33"/>
        <v>16.333333333333332</v>
      </c>
      <c r="Q589" s="5">
        <f t="shared" si="34"/>
        <v>0.30300925925925926</v>
      </c>
      <c r="R589" s="5">
        <f t="shared" si="35"/>
        <v>18.180555555555557</v>
      </c>
    </row>
    <row r="590" spans="1:18">
      <c r="A590" s="4">
        <v>44419</v>
      </c>
      <c r="B590" s="1" t="s">
        <v>18</v>
      </c>
      <c r="C590" s="1">
        <f t="shared" si="39"/>
        <v>8</v>
      </c>
      <c r="D590" s="1">
        <f t="shared" si="40"/>
        <v>11</v>
      </c>
      <c r="E590" s="1">
        <f t="shared" si="41"/>
        <v>2021</v>
      </c>
      <c r="F590" s="1">
        <v>589</v>
      </c>
      <c r="G590" s="1">
        <v>53</v>
      </c>
      <c r="H590" s="1">
        <v>51</v>
      </c>
      <c r="I590" s="2">
        <v>0.96230000000000004</v>
      </c>
      <c r="J590" s="1">
        <v>2</v>
      </c>
      <c r="K590" s="3">
        <v>6.9444444444444444E-5</v>
      </c>
      <c r="L590" s="3">
        <v>1.724537037037037E-3</v>
      </c>
      <c r="M590" s="3">
        <v>1.2731481481481483E-3</v>
      </c>
      <c r="N590" s="2">
        <v>0.88680000000000003</v>
      </c>
      <c r="O590" s="5">
        <f t="shared" si="32"/>
        <v>8.7951388888888885E-2</v>
      </c>
      <c r="P590" s="5">
        <f t="shared" si="33"/>
        <v>5.2770833333333327</v>
      </c>
      <c r="Q590" s="5">
        <f t="shared" si="34"/>
        <v>9.1400462962962961E-2</v>
      </c>
      <c r="R590" s="5">
        <f t="shared" si="35"/>
        <v>5.4840277777777775</v>
      </c>
    </row>
    <row r="591" spans="1:18">
      <c r="A591" s="4">
        <v>44420</v>
      </c>
      <c r="B591" s="1" t="s">
        <v>19</v>
      </c>
      <c r="C591" s="1">
        <f t="shared" si="39"/>
        <v>8</v>
      </c>
      <c r="D591" s="1">
        <f t="shared" si="40"/>
        <v>12</v>
      </c>
      <c r="E591" s="1">
        <f t="shared" si="41"/>
        <v>2021</v>
      </c>
      <c r="F591" s="1">
        <v>590</v>
      </c>
      <c r="G591" s="1">
        <v>121</v>
      </c>
      <c r="H591" s="1">
        <v>117</v>
      </c>
      <c r="I591" s="2">
        <v>0.96689999999999998</v>
      </c>
      <c r="J591" s="1">
        <v>4</v>
      </c>
      <c r="K591" s="3">
        <v>1.5046296296296297E-4</v>
      </c>
      <c r="L591" s="3">
        <v>1.8055555555555555E-3</v>
      </c>
      <c r="M591" s="3">
        <v>1.8634259259259259E-3</v>
      </c>
      <c r="N591" s="2">
        <v>0.85829999999999995</v>
      </c>
      <c r="O591" s="5">
        <f t="shared" si="32"/>
        <v>0.21124999999999999</v>
      </c>
      <c r="P591" s="5">
        <f t="shared" si="33"/>
        <v>12.674999999999999</v>
      </c>
      <c r="Q591" s="5">
        <f t="shared" si="34"/>
        <v>0.21847222222222221</v>
      </c>
      <c r="R591" s="5">
        <f t="shared" si="35"/>
        <v>13.108333333333333</v>
      </c>
    </row>
    <row r="592" spans="1:18">
      <c r="A592" s="4">
        <v>44421</v>
      </c>
      <c r="B592" s="1" t="s">
        <v>20</v>
      </c>
      <c r="C592" s="1">
        <f t="shared" si="39"/>
        <v>8</v>
      </c>
      <c r="D592" s="1">
        <f t="shared" si="40"/>
        <v>13</v>
      </c>
      <c r="E592" s="1">
        <f t="shared" si="41"/>
        <v>2021</v>
      </c>
      <c r="F592" s="1">
        <v>591</v>
      </c>
      <c r="G592" s="1">
        <v>143</v>
      </c>
      <c r="H592" s="1">
        <v>139</v>
      </c>
      <c r="I592" s="2">
        <v>0.97199999999999998</v>
      </c>
      <c r="J592" s="1">
        <v>4</v>
      </c>
      <c r="K592" s="3">
        <v>5.7870370370370373E-5</v>
      </c>
      <c r="L592" s="3">
        <v>1.6898148148148148E-3</v>
      </c>
      <c r="M592" s="3">
        <v>1.3425925925925925E-3</v>
      </c>
      <c r="N592" s="2">
        <v>0.94410000000000005</v>
      </c>
      <c r="O592" s="5">
        <f t="shared" si="32"/>
        <v>0.23488425925925926</v>
      </c>
      <c r="P592" s="5">
        <f t="shared" si="33"/>
        <v>14.093055555555555</v>
      </c>
      <c r="Q592" s="5">
        <f t="shared" si="34"/>
        <v>0.24164351851851851</v>
      </c>
      <c r="R592" s="5">
        <f t="shared" si="35"/>
        <v>14.49861111111111</v>
      </c>
    </row>
    <row r="593" spans="1:18">
      <c r="A593" s="4">
        <v>44422</v>
      </c>
      <c r="B593" s="1" t="s">
        <v>21</v>
      </c>
      <c r="C593" s="1">
        <f t="shared" si="39"/>
        <v>8</v>
      </c>
      <c r="D593" s="1">
        <f t="shared" si="40"/>
        <v>14</v>
      </c>
      <c r="E593" s="1">
        <f t="shared" si="41"/>
        <v>2021</v>
      </c>
      <c r="F593" s="1">
        <v>592</v>
      </c>
      <c r="G593" s="1">
        <v>100</v>
      </c>
      <c r="H593" s="1">
        <v>96</v>
      </c>
      <c r="I593" s="2">
        <v>0.96</v>
      </c>
      <c r="J593" s="1">
        <v>4</v>
      </c>
      <c r="K593" s="3">
        <v>6.9444444444444444E-5</v>
      </c>
      <c r="L593" s="3">
        <v>1.712962962962963E-3</v>
      </c>
      <c r="M593" s="3">
        <v>1.2731481481481483E-3</v>
      </c>
      <c r="N593" s="2">
        <v>0.91920000000000002</v>
      </c>
      <c r="O593" s="5">
        <f t="shared" si="32"/>
        <v>0.16444444444444445</v>
      </c>
      <c r="P593" s="5">
        <f t="shared" si="33"/>
        <v>9.8666666666666671</v>
      </c>
      <c r="Q593" s="5">
        <f t="shared" si="34"/>
        <v>0.17129629629629631</v>
      </c>
      <c r="R593" s="5">
        <f t="shared" si="35"/>
        <v>10.277777777777779</v>
      </c>
    </row>
    <row r="594" spans="1:18">
      <c r="A594" s="4">
        <v>44423</v>
      </c>
      <c r="B594" s="1" t="s">
        <v>22</v>
      </c>
      <c r="C594" s="1">
        <f t="shared" si="39"/>
        <v>8</v>
      </c>
      <c r="D594" s="1">
        <f t="shared" si="40"/>
        <v>15</v>
      </c>
      <c r="E594" s="1">
        <f t="shared" si="41"/>
        <v>2021</v>
      </c>
      <c r="F594" s="1">
        <v>593</v>
      </c>
      <c r="G594" s="1">
        <v>17</v>
      </c>
      <c r="H594" s="1">
        <v>17</v>
      </c>
      <c r="I594" s="2">
        <v>1</v>
      </c>
      <c r="J594" s="1">
        <v>0</v>
      </c>
      <c r="K594" s="3">
        <v>9.2592592592592588E-5</v>
      </c>
      <c r="L594" s="3">
        <v>2.0254629629629629E-3</v>
      </c>
      <c r="M594" s="3">
        <v>6.8287037037037036E-4</v>
      </c>
      <c r="N594" s="2">
        <v>0.88239999999999996</v>
      </c>
      <c r="O594" s="5">
        <f t="shared" si="32"/>
        <v>3.4432870370370371E-2</v>
      </c>
      <c r="P594" s="5">
        <f t="shared" si="33"/>
        <v>2.0659722222222223</v>
      </c>
      <c r="Q594" s="5">
        <f t="shared" si="34"/>
        <v>3.4432870370370371E-2</v>
      </c>
      <c r="R594" s="5">
        <f t="shared" si="35"/>
        <v>2.0659722222222223</v>
      </c>
    </row>
    <row r="595" spans="1:18">
      <c r="A595" s="4">
        <v>44424</v>
      </c>
      <c r="B595" s="1" t="s">
        <v>23</v>
      </c>
      <c r="C595" s="1">
        <f t="shared" si="39"/>
        <v>8</v>
      </c>
      <c r="D595" s="1">
        <f t="shared" si="40"/>
        <v>16</v>
      </c>
      <c r="E595" s="1">
        <f t="shared" si="41"/>
        <v>2021</v>
      </c>
      <c r="F595" s="1">
        <v>594</v>
      </c>
      <c r="G595" s="1">
        <v>113</v>
      </c>
      <c r="H595" s="1">
        <v>110</v>
      </c>
      <c r="I595" s="2">
        <v>0.97350000000000003</v>
      </c>
      <c r="J595" s="1">
        <v>3</v>
      </c>
      <c r="K595" s="3">
        <v>9.2592592592592588E-5</v>
      </c>
      <c r="L595" s="3">
        <v>1.7708333333333332E-3</v>
      </c>
      <c r="M595" s="3">
        <v>9.0277777777777774E-4</v>
      </c>
      <c r="N595" s="2">
        <v>0.90180000000000005</v>
      </c>
      <c r="O595" s="5">
        <f t="shared" si="32"/>
        <v>0.19479166666666667</v>
      </c>
      <c r="P595" s="5">
        <f t="shared" si="33"/>
        <v>11.6875</v>
      </c>
      <c r="Q595" s="5">
        <f t="shared" si="34"/>
        <v>0.20010416666666667</v>
      </c>
      <c r="R595" s="5">
        <f t="shared" si="35"/>
        <v>12.00625</v>
      </c>
    </row>
    <row r="596" spans="1:18">
      <c r="A596" s="4">
        <v>44425</v>
      </c>
      <c r="B596" s="1" t="s">
        <v>24</v>
      </c>
      <c r="C596" s="1">
        <f t="shared" si="39"/>
        <v>8</v>
      </c>
      <c r="D596" s="1">
        <f t="shared" si="40"/>
        <v>17</v>
      </c>
      <c r="E596" s="1">
        <f t="shared" si="41"/>
        <v>2021</v>
      </c>
      <c r="F596" s="1">
        <v>595</v>
      </c>
      <c r="G596" s="1">
        <v>139</v>
      </c>
      <c r="H596" s="1">
        <v>128</v>
      </c>
      <c r="I596" s="2">
        <v>0.92090000000000005</v>
      </c>
      <c r="J596" s="1">
        <v>11</v>
      </c>
      <c r="K596" s="3">
        <v>1.5046296296296297E-4</v>
      </c>
      <c r="L596" s="3">
        <v>1.8287037037037037E-3</v>
      </c>
      <c r="M596" s="3">
        <v>2.5462962962962965E-3</v>
      </c>
      <c r="N596" s="2">
        <v>0.82010000000000005</v>
      </c>
      <c r="O596" s="5">
        <f t="shared" si="32"/>
        <v>0.23407407407407407</v>
      </c>
      <c r="P596" s="5">
        <f t="shared" si="33"/>
        <v>14.044444444444444</v>
      </c>
      <c r="Q596" s="5">
        <f t="shared" si="34"/>
        <v>0.25418981481481484</v>
      </c>
      <c r="R596" s="5">
        <f t="shared" si="35"/>
        <v>15.25138888888889</v>
      </c>
    </row>
    <row r="597" spans="1:18">
      <c r="A597" s="4">
        <v>44426</v>
      </c>
      <c r="B597" s="1" t="s">
        <v>18</v>
      </c>
      <c r="C597" s="1">
        <f t="shared" si="39"/>
        <v>8</v>
      </c>
      <c r="D597" s="1">
        <f t="shared" si="40"/>
        <v>18</v>
      </c>
      <c r="E597" s="1">
        <f t="shared" si="41"/>
        <v>2021</v>
      </c>
      <c r="F597" s="1">
        <v>596</v>
      </c>
      <c r="G597" s="1">
        <v>135</v>
      </c>
      <c r="H597" s="1">
        <v>134</v>
      </c>
      <c r="I597" s="2">
        <v>0.99260000000000004</v>
      </c>
      <c r="J597" s="1">
        <v>1</v>
      </c>
      <c r="K597" s="3">
        <v>4.6296296296296294E-5</v>
      </c>
      <c r="L597" s="3">
        <v>1.7824074074074075E-3</v>
      </c>
      <c r="M597" s="3">
        <v>1.2731481481481483E-3</v>
      </c>
      <c r="N597" s="2">
        <v>0.98519999999999996</v>
      </c>
      <c r="O597" s="5">
        <f t="shared" si="32"/>
        <v>0.23884259259259261</v>
      </c>
      <c r="P597" s="5">
        <f t="shared" si="33"/>
        <v>14.330555555555556</v>
      </c>
      <c r="Q597" s="5">
        <f t="shared" si="34"/>
        <v>0.24062500000000001</v>
      </c>
      <c r="R597" s="5">
        <f t="shared" si="35"/>
        <v>14.4375</v>
      </c>
    </row>
    <row r="598" spans="1:18">
      <c r="A598" s="4">
        <v>44427</v>
      </c>
      <c r="B598" s="1" t="s">
        <v>19</v>
      </c>
      <c r="C598" s="1">
        <f t="shared" si="39"/>
        <v>8</v>
      </c>
      <c r="D598" s="1">
        <f t="shared" si="40"/>
        <v>19</v>
      </c>
      <c r="E598" s="1">
        <f t="shared" si="41"/>
        <v>2021</v>
      </c>
      <c r="F598" s="1">
        <v>597</v>
      </c>
      <c r="G598" s="1">
        <v>29</v>
      </c>
      <c r="H598" s="1">
        <v>29</v>
      </c>
      <c r="I598" s="2">
        <v>1</v>
      </c>
      <c r="J598" s="1">
        <v>0</v>
      </c>
      <c r="K598" s="3">
        <v>1.7361111111111112E-4</v>
      </c>
      <c r="L598" s="3">
        <v>2.2337962962962962E-3</v>
      </c>
      <c r="M598" s="3">
        <v>1.0300925925925926E-3</v>
      </c>
      <c r="N598" s="2">
        <v>0.79310000000000003</v>
      </c>
      <c r="O598" s="5">
        <f t="shared" si="32"/>
        <v>6.4780092592592597E-2</v>
      </c>
      <c r="P598" s="5">
        <f t="shared" si="33"/>
        <v>3.8868055555555561</v>
      </c>
      <c r="Q598" s="5">
        <f t="shared" si="34"/>
        <v>6.4780092592592597E-2</v>
      </c>
      <c r="R598" s="5">
        <f t="shared" si="35"/>
        <v>3.8868055555555561</v>
      </c>
    </row>
    <row r="599" spans="1:18">
      <c r="A599" s="4">
        <v>44428</v>
      </c>
      <c r="B599" s="1" t="s">
        <v>20</v>
      </c>
      <c r="C599" s="1">
        <f t="shared" si="39"/>
        <v>8</v>
      </c>
      <c r="D599" s="1">
        <f t="shared" si="40"/>
        <v>20</v>
      </c>
      <c r="E599" s="1">
        <f t="shared" si="41"/>
        <v>2021</v>
      </c>
      <c r="F599" s="1">
        <v>598</v>
      </c>
      <c r="G599" s="1">
        <v>120</v>
      </c>
      <c r="H599" s="1">
        <v>116</v>
      </c>
      <c r="I599" s="2">
        <v>0.9667</v>
      </c>
      <c r="J599" s="1">
        <v>4</v>
      </c>
      <c r="K599" s="3">
        <v>5.7870370370370373E-5</v>
      </c>
      <c r="L599" s="3">
        <v>1.8865740740740742E-3</v>
      </c>
      <c r="M599" s="3">
        <v>1.9097222222222222E-3</v>
      </c>
      <c r="N599" s="2">
        <v>0.95830000000000004</v>
      </c>
      <c r="O599" s="5">
        <f t="shared" si="32"/>
        <v>0.21884259259259259</v>
      </c>
      <c r="P599" s="5">
        <f t="shared" si="33"/>
        <v>13.130555555555555</v>
      </c>
      <c r="Q599" s="5">
        <f t="shared" si="34"/>
        <v>0.22638888888888889</v>
      </c>
      <c r="R599" s="5">
        <f t="shared" si="35"/>
        <v>13.583333333333334</v>
      </c>
    </row>
    <row r="600" spans="1:18">
      <c r="A600" s="4">
        <v>44429</v>
      </c>
      <c r="B600" s="1" t="s">
        <v>21</v>
      </c>
      <c r="C600" s="1">
        <f t="shared" si="39"/>
        <v>8</v>
      </c>
      <c r="D600" s="1">
        <f t="shared" si="40"/>
        <v>21</v>
      </c>
      <c r="E600" s="1">
        <f t="shared" si="41"/>
        <v>2021</v>
      </c>
      <c r="F600" s="1">
        <v>599</v>
      </c>
      <c r="G600" s="1">
        <v>115</v>
      </c>
      <c r="H600" s="1">
        <v>108</v>
      </c>
      <c r="I600" s="2">
        <v>0.93910000000000005</v>
      </c>
      <c r="J600" s="1">
        <v>7</v>
      </c>
      <c r="K600" s="3">
        <v>1.0416666666666667E-4</v>
      </c>
      <c r="L600" s="3">
        <v>1.9675925925925924E-3</v>
      </c>
      <c r="M600" s="3">
        <v>3.0671296296296297E-3</v>
      </c>
      <c r="N600" s="2">
        <v>0.88700000000000001</v>
      </c>
      <c r="O600" s="5">
        <f t="shared" si="32"/>
        <v>0.21249999999999997</v>
      </c>
      <c r="P600" s="5">
        <f t="shared" si="33"/>
        <v>12.749999999999998</v>
      </c>
      <c r="Q600" s="5">
        <f t="shared" si="34"/>
        <v>0.22627314814814811</v>
      </c>
      <c r="R600" s="5">
        <f t="shared" si="35"/>
        <v>13.576388888888888</v>
      </c>
    </row>
    <row r="601" spans="1:18">
      <c r="A601" s="4">
        <v>44430</v>
      </c>
      <c r="B601" s="1" t="s">
        <v>22</v>
      </c>
      <c r="C601" s="1">
        <f t="shared" si="39"/>
        <v>8</v>
      </c>
      <c r="D601" s="1">
        <f t="shared" si="40"/>
        <v>22</v>
      </c>
      <c r="E601" s="1">
        <f t="shared" si="41"/>
        <v>2021</v>
      </c>
      <c r="F601" s="1">
        <v>600</v>
      </c>
      <c r="G601" s="1">
        <v>14</v>
      </c>
      <c r="H601" s="1">
        <v>14</v>
      </c>
      <c r="I601" s="2">
        <v>1</v>
      </c>
      <c r="J601" s="1">
        <v>0</v>
      </c>
      <c r="K601" s="3">
        <v>1.6203703703703703E-4</v>
      </c>
      <c r="L601" s="3">
        <v>1.5856481481481481E-3</v>
      </c>
      <c r="M601" s="3">
        <v>8.564814814814815E-4</v>
      </c>
      <c r="N601" s="2">
        <v>0.78569999999999995</v>
      </c>
      <c r="O601" s="5">
        <f t="shared" si="32"/>
        <v>2.2199074074074072E-2</v>
      </c>
      <c r="P601" s="5">
        <f t="shared" si="33"/>
        <v>1.3319444444444444</v>
      </c>
      <c r="Q601" s="5">
        <f t="shared" si="34"/>
        <v>2.2199074074074072E-2</v>
      </c>
      <c r="R601" s="5">
        <f t="shared" si="35"/>
        <v>1.3319444444444444</v>
      </c>
    </row>
    <row r="602" spans="1:18">
      <c r="A602" s="4">
        <v>44431</v>
      </c>
      <c r="B602" s="1" t="s">
        <v>23</v>
      </c>
      <c r="C602" s="1">
        <f t="shared" si="39"/>
        <v>8</v>
      </c>
      <c r="D602" s="1">
        <f t="shared" si="40"/>
        <v>23</v>
      </c>
      <c r="E602" s="1">
        <f t="shared" si="41"/>
        <v>2021</v>
      </c>
      <c r="F602" s="1">
        <v>601</v>
      </c>
      <c r="G602" s="1">
        <v>107</v>
      </c>
      <c r="H602" s="1">
        <v>104</v>
      </c>
      <c r="I602" s="2">
        <v>0.97199999999999998</v>
      </c>
      <c r="J602" s="1">
        <v>3</v>
      </c>
      <c r="K602" s="3">
        <v>8.1018518518518516E-5</v>
      </c>
      <c r="L602" s="3">
        <v>1.724537037037037E-3</v>
      </c>
      <c r="M602" s="3">
        <v>6.7129629629629625E-4</v>
      </c>
      <c r="N602" s="2">
        <v>0.90569999999999995</v>
      </c>
      <c r="O602" s="5">
        <f t="shared" si="32"/>
        <v>0.17935185185185185</v>
      </c>
      <c r="P602" s="5">
        <f t="shared" si="33"/>
        <v>10.761111111111111</v>
      </c>
      <c r="Q602" s="5">
        <f t="shared" si="34"/>
        <v>0.18452546296296296</v>
      </c>
      <c r="R602" s="5">
        <f t="shared" si="35"/>
        <v>11.071527777777778</v>
      </c>
    </row>
    <row r="603" spans="1:18">
      <c r="A603" s="4">
        <v>44432</v>
      </c>
      <c r="B603" s="1" t="s">
        <v>24</v>
      </c>
      <c r="C603" s="1">
        <f t="shared" si="39"/>
        <v>8</v>
      </c>
      <c r="D603" s="1">
        <f t="shared" si="40"/>
        <v>24</v>
      </c>
      <c r="E603" s="1">
        <f t="shared" si="41"/>
        <v>2021</v>
      </c>
      <c r="F603" s="1">
        <v>602</v>
      </c>
      <c r="G603" s="1">
        <v>137</v>
      </c>
      <c r="H603" s="1">
        <v>128</v>
      </c>
      <c r="I603" s="2">
        <v>0.93430000000000002</v>
      </c>
      <c r="J603" s="1">
        <v>9</v>
      </c>
      <c r="K603" s="3">
        <v>1.1574074074074075E-4</v>
      </c>
      <c r="L603" s="3">
        <v>1.736111111111111E-3</v>
      </c>
      <c r="M603" s="3">
        <v>1.4236111111111112E-3</v>
      </c>
      <c r="N603" s="2">
        <v>0.85289999999999999</v>
      </c>
      <c r="O603" s="5">
        <f t="shared" si="32"/>
        <v>0.22222222222222221</v>
      </c>
      <c r="P603" s="5">
        <f t="shared" si="33"/>
        <v>13.333333333333332</v>
      </c>
      <c r="Q603" s="5">
        <f t="shared" si="34"/>
        <v>0.23784722222222221</v>
      </c>
      <c r="R603" s="5">
        <f t="shared" si="35"/>
        <v>14.270833333333332</v>
      </c>
    </row>
    <row r="604" spans="1:18">
      <c r="A604" s="4">
        <v>44433</v>
      </c>
      <c r="B604" s="1" t="s">
        <v>18</v>
      </c>
      <c r="C604" s="1">
        <f t="shared" si="39"/>
        <v>8</v>
      </c>
      <c r="D604" s="1">
        <f t="shared" si="40"/>
        <v>25</v>
      </c>
      <c r="E604" s="1">
        <f t="shared" si="41"/>
        <v>2021</v>
      </c>
      <c r="F604" s="1">
        <v>603</v>
      </c>
      <c r="G604" s="1">
        <v>106</v>
      </c>
      <c r="H604" s="1">
        <v>105</v>
      </c>
      <c r="I604" s="2">
        <v>0.99060000000000004</v>
      </c>
      <c r="J604" s="1">
        <v>1</v>
      </c>
      <c r="K604" s="3">
        <v>1.273148148148148E-4</v>
      </c>
      <c r="L604" s="3">
        <v>1.9328703703703704E-3</v>
      </c>
      <c r="M604" s="3">
        <v>1.3078703703703703E-3</v>
      </c>
      <c r="N604" s="2">
        <v>0.85850000000000004</v>
      </c>
      <c r="O604" s="5">
        <f t="shared" si="32"/>
        <v>0.20295138888888889</v>
      </c>
      <c r="P604" s="5">
        <f t="shared" si="33"/>
        <v>12.177083333333334</v>
      </c>
      <c r="Q604" s="5">
        <f t="shared" si="34"/>
        <v>0.20488425925925927</v>
      </c>
      <c r="R604" s="5">
        <f t="shared" si="35"/>
        <v>12.293055555555556</v>
      </c>
    </row>
    <row r="605" spans="1:18">
      <c r="A605" s="4">
        <v>44434</v>
      </c>
      <c r="B605" s="1" t="s">
        <v>19</v>
      </c>
      <c r="C605" s="1">
        <f t="shared" si="39"/>
        <v>8</v>
      </c>
      <c r="D605" s="1">
        <f t="shared" si="40"/>
        <v>26</v>
      </c>
      <c r="E605" s="1">
        <f t="shared" si="41"/>
        <v>2021</v>
      </c>
      <c r="F605" s="1">
        <v>604</v>
      </c>
      <c r="G605" s="1">
        <v>116</v>
      </c>
      <c r="H605" s="1">
        <v>108</v>
      </c>
      <c r="I605" s="2">
        <v>0.93100000000000005</v>
      </c>
      <c r="J605" s="1">
        <v>8</v>
      </c>
      <c r="K605" s="3">
        <v>2.199074074074074E-4</v>
      </c>
      <c r="L605" s="3">
        <v>1.6898148148148148E-3</v>
      </c>
      <c r="M605" s="3">
        <v>1.7708333333333332E-3</v>
      </c>
      <c r="N605" s="2">
        <v>0.8407</v>
      </c>
      <c r="O605" s="5">
        <f t="shared" si="32"/>
        <v>0.1825</v>
      </c>
      <c r="P605" s="5">
        <f t="shared" si="33"/>
        <v>10.95</v>
      </c>
      <c r="Q605" s="5">
        <f t="shared" si="34"/>
        <v>0.19601851851851851</v>
      </c>
      <c r="R605" s="5">
        <f t="shared" si="35"/>
        <v>11.761111111111111</v>
      </c>
    </row>
    <row r="606" spans="1:18">
      <c r="A606" s="4">
        <v>44435</v>
      </c>
      <c r="B606" s="1" t="s">
        <v>20</v>
      </c>
      <c r="C606" s="1">
        <f t="shared" si="39"/>
        <v>8</v>
      </c>
      <c r="D606" s="1">
        <f t="shared" si="40"/>
        <v>27</v>
      </c>
      <c r="E606" s="1">
        <f t="shared" si="41"/>
        <v>2021</v>
      </c>
      <c r="F606" s="1">
        <v>605</v>
      </c>
      <c r="G606" s="1">
        <v>120</v>
      </c>
      <c r="H606" s="1">
        <v>117</v>
      </c>
      <c r="I606" s="2">
        <v>0.97499999999999998</v>
      </c>
      <c r="J606" s="1">
        <v>3</v>
      </c>
      <c r="K606" s="3">
        <v>1.0416666666666667E-4</v>
      </c>
      <c r="L606" s="3">
        <v>1.8171296296296297E-3</v>
      </c>
      <c r="M606" s="3">
        <v>7.5231481481481482E-4</v>
      </c>
      <c r="N606" s="2">
        <v>0.90759999999999996</v>
      </c>
      <c r="O606" s="5">
        <f t="shared" si="32"/>
        <v>0.21260416666666668</v>
      </c>
      <c r="P606" s="5">
        <f t="shared" si="33"/>
        <v>12.756250000000001</v>
      </c>
      <c r="Q606" s="5">
        <f t="shared" si="34"/>
        <v>0.21805555555555556</v>
      </c>
      <c r="R606" s="5">
        <f t="shared" si="35"/>
        <v>13.083333333333334</v>
      </c>
    </row>
    <row r="607" spans="1:18">
      <c r="A607" s="4">
        <v>44436</v>
      </c>
      <c r="B607" s="1" t="s">
        <v>21</v>
      </c>
      <c r="C607" s="1">
        <f t="shared" si="39"/>
        <v>8</v>
      </c>
      <c r="D607" s="1">
        <f t="shared" si="40"/>
        <v>28</v>
      </c>
      <c r="E607" s="1">
        <f t="shared" si="41"/>
        <v>2021</v>
      </c>
      <c r="F607" s="1">
        <v>606</v>
      </c>
      <c r="G607" s="1">
        <v>123</v>
      </c>
      <c r="H607" s="1">
        <v>121</v>
      </c>
      <c r="I607" s="2">
        <v>0.98370000000000002</v>
      </c>
      <c r="J607" s="1">
        <v>2</v>
      </c>
      <c r="K607" s="3">
        <v>8.1018518518518516E-5</v>
      </c>
      <c r="L607" s="3">
        <v>1.7013888888888888E-3</v>
      </c>
      <c r="M607" s="3">
        <v>1.3310185185185185E-3</v>
      </c>
      <c r="N607" s="2">
        <v>0.91059999999999997</v>
      </c>
      <c r="O607" s="5">
        <f t="shared" si="32"/>
        <v>0.20586805555555554</v>
      </c>
      <c r="P607" s="5">
        <f t="shared" si="33"/>
        <v>12.352083333333333</v>
      </c>
      <c r="Q607" s="5">
        <f t="shared" si="34"/>
        <v>0.20927083333333332</v>
      </c>
      <c r="R607" s="5">
        <f t="shared" si="35"/>
        <v>12.556249999999999</v>
      </c>
    </row>
    <row r="608" spans="1:18">
      <c r="A608" s="4">
        <v>44437</v>
      </c>
      <c r="B608" s="1" t="s">
        <v>22</v>
      </c>
      <c r="C608" s="1">
        <f t="shared" si="39"/>
        <v>8</v>
      </c>
      <c r="D608" s="1">
        <f t="shared" si="40"/>
        <v>29</v>
      </c>
      <c r="E608" s="1">
        <f t="shared" si="41"/>
        <v>2021</v>
      </c>
      <c r="F608" s="1">
        <v>607</v>
      </c>
      <c r="G608" s="1">
        <v>31</v>
      </c>
      <c r="H608" s="1">
        <v>31</v>
      </c>
      <c r="I608" s="2">
        <v>1</v>
      </c>
      <c r="J608" s="1">
        <v>0</v>
      </c>
      <c r="K608" s="3">
        <v>3.4722222222222222E-5</v>
      </c>
      <c r="L608" s="3">
        <v>1.5972222222222223E-3</v>
      </c>
      <c r="M608" s="3">
        <v>3.4722222222222222E-5</v>
      </c>
      <c r="N608" s="2">
        <v>1</v>
      </c>
      <c r="O608" s="5">
        <f t="shared" si="32"/>
        <v>4.9513888888888892E-2</v>
      </c>
      <c r="P608" s="5">
        <f t="shared" si="33"/>
        <v>2.9708333333333337</v>
      </c>
      <c r="Q608" s="5">
        <f t="shared" si="34"/>
        <v>4.9513888888888892E-2</v>
      </c>
      <c r="R608" s="5">
        <f t="shared" si="35"/>
        <v>2.9708333333333337</v>
      </c>
    </row>
    <row r="609" spans="1:18">
      <c r="A609" s="4">
        <v>44438</v>
      </c>
      <c r="B609" s="1" t="s">
        <v>23</v>
      </c>
      <c r="C609" s="1">
        <f t="shared" si="39"/>
        <v>8</v>
      </c>
      <c r="D609" s="1">
        <f t="shared" si="40"/>
        <v>30</v>
      </c>
      <c r="E609" s="1">
        <f t="shared" si="41"/>
        <v>2021</v>
      </c>
      <c r="F609" s="1">
        <v>608</v>
      </c>
      <c r="G609" s="1">
        <v>140</v>
      </c>
      <c r="H609" s="1">
        <v>139</v>
      </c>
      <c r="I609" s="2">
        <v>0.9929</v>
      </c>
      <c r="J609" s="1">
        <v>1</v>
      </c>
      <c r="K609" s="3">
        <v>9.2592592592592588E-5</v>
      </c>
      <c r="L609" s="3">
        <v>1.8402777777777777E-3</v>
      </c>
      <c r="M609" s="3">
        <v>8.2175925925925927E-4</v>
      </c>
      <c r="N609" s="2">
        <v>0.9214</v>
      </c>
      <c r="O609" s="5">
        <f t="shared" si="32"/>
        <v>0.25579861111111107</v>
      </c>
      <c r="P609" s="5">
        <f t="shared" si="33"/>
        <v>15.347916666666665</v>
      </c>
      <c r="Q609" s="5">
        <f t="shared" si="34"/>
        <v>0.25763888888888886</v>
      </c>
      <c r="R609" s="5">
        <f t="shared" si="35"/>
        <v>15.458333333333332</v>
      </c>
    </row>
    <row r="610" spans="1:18">
      <c r="A610" s="4">
        <v>44439</v>
      </c>
      <c r="B610" s="1" t="s">
        <v>24</v>
      </c>
      <c r="C610" s="1">
        <f t="shared" si="39"/>
        <v>8</v>
      </c>
      <c r="D610" s="1">
        <f t="shared" si="40"/>
        <v>31</v>
      </c>
      <c r="E610" s="1">
        <f t="shared" si="41"/>
        <v>2021</v>
      </c>
      <c r="F610" s="1">
        <v>609</v>
      </c>
      <c r="G610" s="1">
        <v>168</v>
      </c>
      <c r="H610" s="1">
        <v>161</v>
      </c>
      <c r="I610" s="2">
        <v>0.95830000000000004</v>
      </c>
      <c r="J610" s="1">
        <v>7</v>
      </c>
      <c r="K610" s="3">
        <v>2.0833333333333335E-4</v>
      </c>
      <c r="L610" s="3">
        <v>1.6666666666666668E-3</v>
      </c>
      <c r="M610" s="3">
        <v>1.6666666666666668E-3</v>
      </c>
      <c r="N610" s="2">
        <v>0.73650000000000004</v>
      </c>
      <c r="O610" s="5">
        <f t="shared" si="32"/>
        <v>0.26833333333333337</v>
      </c>
      <c r="P610" s="5">
        <f t="shared" si="33"/>
        <v>16.100000000000001</v>
      </c>
      <c r="Q610" s="5">
        <f t="shared" si="34"/>
        <v>0.28000000000000003</v>
      </c>
      <c r="R610" s="5">
        <f t="shared" si="35"/>
        <v>16.8</v>
      </c>
    </row>
    <row r="611" spans="1:18">
      <c r="A611" s="4">
        <v>44440</v>
      </c>
      <c r="B611" s="1" t="s">
        <v>18</v>
      </c>
      <c r="C611" s="1">
        <f t="shared" si="39"/>
        <v>9</v>
      </c>
      <c r="D611" s="1">
        <f t="shared" si="40"/>
        <v>1</v>
      </c>
      <c r="E611" s="1">
        <f t="shared" si="41"/>
        <v>2021</v>
      </c>
      <c r="F611" s="1">
        <v>610</v>
      </c>
      <c r="G611" s="1">
        <v>146</v>
      </c>
      <c r="H611" s="1">
        <v>144</v>
      </c>
      <c r="I611" s="2">
        <v>0.98629999999999995</v>
      </c>
      <c r="J611" s="1">
        <v>2</v>
      </c>
      <c r="K611" s="3">
        <v>6.9444444444444444E-5</v>
      </c>
      <c r="L611" s="3">
        <v>1.8287037037037037E-3</v>
      </c>
      <c r="M611" s="3">
        <v>6.7129629629629625E-4</v>
      </c>
      <c r="N611" s="2">
        <v>0.94479999999999997</v>
      </c>
      <c r="O611" s="5">
        <f t="shared" si="32"/>
        <v>0.26333333333333331</v>
      </c>
      <c r="P611" s="5">
        <f t="shared" si="33"/>
        <v>15.799999999999999</v>
      </c>
      <c r="Q611" s="5">
        <f t="shared" si="34"/>
        <v>0.26699074074074075</v>
      </c>
      <c r="R611" s="5">
        <f t="shared" si="35"/>
        <v>16.019444444444446</v>
      </c>
    </row>
    <row r="612" spans="1:18">
      <c r="A612" s="4">
        <v>44441</v>
      </c>
      <c r="B612" s="1" t="s">
        <v>19</v>
      </c>
      <c r="C612" s="1">
        <f t="shared" si="39"/>
        <v>9</v>
      </c>
      <c r="D612" s="1">
        <f t="shared" si="40"/>
        <v>2</v>
      </c>
      <c r="E612" s="1">
        <f t="shared" si="41"/>
        <v>2021</v>
      </c>
      <c r="F612" s="1">
        <v>611</v>
      </c>
      <c r="G612" s="1">
        <v>110</v>
      </c>
      <c r="H612" s="1">
        <v>106</v>
      </c>
      <c r="I612" s="2">
        <v>0.96360000000000001</v>
      </c>
      <c r="J612" s="1">
        <v>4</v>
      </c>
      <c r="K612" s="3">
        <v>1.7361111111111112E-4</v>
      </c>
      <c r="L612" s="3">
        <v>1.9675925925925924E-3</v>
      </c>
      <c r="M612" s="3">
        <v>1.736111111111111E-3</v>
      </c>
      <c r="N612" s="2">
        <v>0.8</v>
      </c>
      <c r="O612" s="5">
        <f t="shared" si="32"/>
        <v>0.20856481481481479</v>
      </c>
      <c r="P612" s="5">
        <f t="shared" si="33"/>
        <v>12.513888888888888</v>
      </c>
      <c r="Q612" s="5">
        <f t="shared" si="34"/>
        <v>0.21643518518518517</v>
      </c>
      <c r="R612" s="5">
        <f t="shared" si="35"/>
        <v>12.986111111111111</v>
      </c>
    </row>
    <row r="613" spans="1:18">
      <c r="A613" s="4">
        <v>44442</v>
      </c>
      <c r="B613" s="1" t="s">
        <v>20</v>
      </c>
      <c r="C613" s="1">
        <f t="shared" si="39"/>
        <v>9</v>
      </c>
      <c r="D613" s="1">
        <f t="shared" si="40"/>
        <v>3</v>
      </c>
      <c r="E613" s="1">
        <f t="shared" si="41"/>
        <v>2021</v>
      </c>
      <c r="F613" s="1">
        <v>612</v>
      </c>
      <c r="G613" s="1">
        <v>342</v>
      </c>
      <c r="H613" s="1">
        <v>333</v>
      </c>
      <c r="I613" s="2">
        <v>0.97370000000000001</v>
      </c>
      <c r="J613" s="1">
        <v>9</v>
      </c>
      <c r="K613" s="3">
        <v>1.7361111111111112E-4</v>
      </c>
      <c r="L613" s="3">
        <v>1.5046296296296296E-3</v>
      </c>
      <c r="M613" s="3">
        <v>1.8402777777777777E-3</v>
      </c>
      <c r="N613" s="2">
        <v>0.81420000000000003</v>
      </c>
      <c r="O613" s="5">
        <f t="shared" si="32"/>
        <v>0.50104166666666672</v>
      </c>
      <c r="P613" s="5">
        <f t="shared" si="33"/>
        <v>30.062500000000004</v>
      </c>
      <c r="Q613" s="5">
        <f t="shared" si="34"/>
        <v>0.51458333333333328</v>
      </c>
      <c r="R613" s="5">
        <f t="shared" si="35"/>
        <v>30.874999999999996</v>
      </c>
    </row>
    <row r="614" spans="1:18">
      <c r="A614" s="4">
        <v>44443</v>
      </c>
      <c r="B614" s="1" t="s">
        <v>21</v>
      </c>
      <c r="C614" s="1">
        <f t="shared" si="39"/>
        <v>9</v>
      </c>
      <c r="D614" s="1">
        <f t="shared" si="40"/>
        <v>4</v>
      </c>
      <c r="E614" s="1">
        <f t="shared" si="41"/>
        <v>2021</v>
      </c>
      <c r="F614" s="1">
        <v>613</v>
      </c>
      <c r="G614" s="1">
        <v>190</v>
      </c>
      <c r="H614" s="1">
        <v>183</v>
      </c>
      <c r="I614" s="2">
        <v>0.96319999999999995</v>
      </c>
      <c r="J614" s="1">
        <v>7</v>
      </c>
      <c r="K614" s="3">
        <v>1.8518518518518518E-4</v>
      </c>
      <c r="L614" s="3">
        <v>1.7592592592592592E-3</v>
      </c>
      <c r="M614" s="3">
        <v>1.3773148148148147E-3</v>
      </c>
      <c r="N614" s="2">
        <v>0.78949999999999998</v>
      </c>
      <c r="O614" s="5">
        <f t="shared" si="32"/>
        <v>0.32194444444444442</v>
      </c>
      <c r="P614" s="5">
        <f t="shared" si="33"/>
        <v>19.316666666666666</v>
      </c>
      <c r="Q614" s="5">
        <f t="shared" si="34"/>
        <v>0.33425925925925926</v>
      </c>
      <c r="R614" s="5">
        <f t="shared" si="35"/>
        <v>20.055555555555557</v>
      </c>
    </row>
    <row r="615" spans="1:18">
      <c r="A615" s="4">
        <v>44444</v>
      </c>
      <c r="B615" s="1" t="s">
        <v>22</v>
      </c>
      <c r="C615" s="1">
        <f t="shared" si="39"/>
        <v>9</v>
      </c>
      <c r="D615" s="1">
        <f t="shared" si="40"/>
        <v>5</v>
      </c>
      <c r="E615" s="1">
        <f t="shared" si="41"/>
        <v>2021</v>
      </c>
      <c r="F615" s="1">
        <v>614</v>
      </c>
      <c r="G615" s="1">
        <v>25</v>
      </c>
      <c r="H615" s="1">
        <v>24</v>
      </c>
      <c r="I615" s="2">
        <v>0.96</v>
      </c>
      <c r="J615" s="1">
        <v>1</v>
      </c>
      <c r="K615" s="3">
        <v>6.9444444444444444E-5</v>
      </c>
      <c r="L615" s="3">
        <v>1.6435185185185185E-3</v>
      </c>
      <c r="M615" s="3">
        <v>5.5555555555555556E-4</v>
      </c>
      <c r="N615" s="2">
        <v>0.91669999999999996</v>
      </c>
      <c r="O615" s="5">
        <f t="shared" si="32"/>
        <v>3.9444444444444449E-2</v>
      </c>
      <c r="P615" s="5">
        <f t="shared" si="33"/>
        <v>2.3666666666666671</v>
      </c>
      <c r="Q615" s="5">
        <f t="shared" si="34"/>
        <v>4.1087962962962965E-2</v>
      </c>
      <c r="R615" s="5">
        <f t="shared" si="35"/>
        <v>2.4652777777777777</v>
      </c>
    </row>
    <row r="616" spans="1:18">
      <c r="A616" s="4">
        <v>44445</v>
      </c>
      <c r="B616" s="1" t="s">
        <v>23</v>
      </c>
      <c r="C616" s="1">
        <f t="shared" si="39"/>
        <v>9</v>
      </c>
      <c r="D616" s="1">
        <f t="shared" si="40"/>
        <v>6</v>
      </c>
      <c r="E616" s="1">
        <f t="shared" si="41"/>
        <v>2021</v>
      </c>
      <c r="F616" s="1">
        <v>615</v>
      </c>
      <c r="G616" s="1">
        <v>169</v>
      </c>
      <c r="H616" s="1">
        <v>162</v>
      </c>
      <c r="I616" s="2">
        <v>0.95860000000000001</v>
      </c>
      <c r="J616" s="1">
        <v>7</v>
      </c>
      <c r="K616" s="3">
        <v>1.0416666666666667E-4</v>
      </c>
      <c r="L616" s="3">
        <v>1.7476851851851852E-3</v>
      </c>
      <c r="M616" s="3">
        <v>3.1944444444444446E-3</v>
      </c>
      <c r="N616" s="2">
        <v>0.89159999999999995</v>
      </c>
      <c r="O616" s="5">
        <f t="shared" si="32"/>
        <v>0.28312500000000002</v>
      </c>
      <c r="P616" s="5">
        <f t="shared" si="33"/>
        <v>16.987500000000001</v>
      </c>
      <c r="Q616" s="5">
        <f t="shared" si="34"/>
        <v>0.2953587962962963</v>
      </c>
      <c r="R616" s="5">
        <f t="shared" si="35"/>
        <v>17.721527777777776</v>
      </c>
    </row>
    <row r="617" spans="1:18">
      <c r="A617" s="4">
        <v>44446</v>
      </c>
      <c r="B617" s="1" t="s">
        <v>24</v>
      </c>
      <c r="C617" s="1">
        <f t="shared" si="39"/>
        <v>9</v>
      </c>
      <c r="D617" s="1">
        <f t="shared" si="40"/>
        <v>7</v>
      </c>
      <c r="E617" s="1">
        <f t="shared" si="41"/>
        <v>2021</v>
      </c>
      <c r="F617" s="1">
        <v>616</v>
      </c>
      <c r="G617" s="1">
        <v>130</v>
      </c>
      <c r="H617" s="1">
        <v>129</v>
      </c>
      <c r="I617" s="2">
        <v>0.99229999999999996</v>
      </c>
      <c r="J617" s="1">
        <v>1</v>
      </c>
      <c r="K617" s="3">
        <v>1.273148148148148E-4</v>
      </c>
      <c r="L617" s="3">
        <v>1.736111111111111E-3</v>
      </c>
      <c r="M617" s="3">
        <v>1.2962962962962963E-3</v>
      </c>
      <c r="N617" s="2">
        <v>0.86919999999999997</v>
      </c>
      <c r="O617" s="5">
        <f t="shared" si="32"/>
        <v>0.22395833333333331</v>
      </c>
      <c r="P617" s="5">
        <f t="shared" si="33"/>
        <v>13.437499999999998</v>
      </c>
      <c r="Q617" s="5">
        <f t="shared" si="34"/>
        <v>0.22569444444444442</v>
      </c>
      <c r="R617" s="5">
        <f t="shared" si="35"/>
        <v>13.541666666666664</v>
      </c>
    </row>
    <row r="618" spans="1:18">
      <c r="A618" s="4">
        <v>44447</v>
      </c>
      <c r="B618" s="1" t="s">
        <v>18</v>
      </c>
      <c r="C618" s="1">
        <f t="shared" si="39"/>
        <v>9</v>
      </c>
      <c r="D618" s="1">
        <f t="shared" si="40"/>
        <v>8</v>
      </c>
      <c r="E618" s="1">
        <f t="shared" si="41"/>
        <v>2021</v>
      </c>
      <c r="F618" s="1">
        <v>617</v>
      </c>
      <c r="G618" s="1">
        <v>22</v>
      </c>
      <c r="H618" s="1">
        <v>20</v>
      </c>
      <c r="I618" s="2">
        <v>0.90910000000000002</v>
      </c>
      <c r="J618" s="1">
        <v>2</v>
      </c>
      <c r="K618" s="3">
        <v>1.0416666666666667E-4</v>
      </c>
      <c r="L618" s="3">
        <v>2.2569444444444442E-3</v>
      </c>
      <c r="M618" s="3">
        <v>1.2731481481481483E-3</v>
      </c>
      <c r="N618" s="2">
        <v>0.90480000000000005</v>
      </c>
      <c r="O618" s="5">
        <f t="shared" si="32"/>
        <v>4.5138888888888881E-2</v>
      </c>
      <c r="P618" s="5">
        <f t="shared" si="33"/>
        <v>2.708333333333333</v>
      </c>
      <c r="Q618" s="5">
        <f t="shared" si="34"/>
        <v>4.9652777777777775E-2</v>
      </c>
      <c r="R618" s="5">
        <f t="shared" si="35"/>
        <v>2.9791666666666665</v>
      </c>
    </row>
    <row r="619" spans="1:18">
      <c r="A619" s="4">
        <v>44448</v>
      </c>
      <c r="B619" s="1" t="s">
        <v>19</v>
      </c>
      <c r="C619" s="1">
        <f t="shared" si="39"/>
        <v>9</v>
      </c>
      <c r="D619" s="1">
        <f t="shared" si="40"/>
        <v>9</v>
      </c>
      <c r="E619" s="1">
        <f t="shared" si="41"/>
        <v>2021</v>
      </c>
      <c r="F619" s="1">
        <v>618</v>
      </c>
      <c r="G619" s="1">
        <v>5</v>
      </c>
      <c r="H619" s="1">
        <v>5</v>
      </c>
      <c r="I619" s="2">
        <v>1</v>
      </c>
      <c r="J619" s="1">
        <v>0</v>
      </c>
      <c r="K619" s="3">
        <v>3.2407407407407406E-4</v>
      </c>
      <c r="L619" s="3">
        <v>1.6782407407407408E-3</v>
      </c>
      <c r="M619" s="3">
        <v>8.564814814814815E-4</v>
      </c>
      <c r="N619" s="2">
        <v>0.6</v>
      </c>
      <c r="O619" s="5">
        <f t="shared" si="32"/>
        <v>8.3912037037037045E-3</v>
      </c>
      <c r="P619" s="5">
        <f t="shared" si="33"/>
        <v>0.50347222222222232</v>
      </c>
      <c r="Q619" s="5">
        <f t="shared" si="34"/>
        <v>8.3912037037037045E-3</v>
      </c>
      <c r="R619" s="5">
        <f t="shared" si="35"/>
        <v>0.50347222222222232</v>
      </c>
    </row>
    <row r="620" spans="1:18">
      <c r="A620" s="4">
        <v>44449</v>
      </c>
      <c r="B620" s="1" t="s">
        <v>20</v>
      </c>
      <c r="C620" s="1">
        <f t="shared" si="39"/>
        <v>9</v>
      </c>
      <c r="D620" s="1">
        <f t="shared" si="40"/>
        <v>10</v>
      </c>
      <c r="E620" s="1">
        <f t="shared" si="41"/>
        <v>2021</v>
      </c>
      <c r="F620" s="1">
        <v>619</v>
      </c>
      <c r="G620" s="1">
        <v>119</v>
      </c>
      <c r="H620" s="1">
        <v>115</v>
      </c>
      <c r="I620" s="2">
        <v>0.96640000000000004</v>
      </c>
      <c r="J620" s="1">
        <v>4</v>
      </c>
      <c r="K620" s="3">
        <v>1.273148148148148E-4</v>
      </c>
      <c r="L620" s="3">
        <v>1.712962962962963E-3</v>
      </c>
      <c r="M620" s="3">
        <v>1.2731481481481483E-3</v>
      </c>
      <c r="N620" s="2">
        <v>0.86439999999999995</v>
      </c>
      <c r="O620" s="5">
        <f t="shared" si="32"/>
        <v>0.19699074074074074</v>
      </c>
      <c r="P620" s="5">
        <f t="shared" si="33"/>
        <v>11.819444444444445</v>
      </c>
      <c r="Q620" s="5">
        <f t="shared" si="34"/>
        <v>0.2038425925925926</v>
      </c>
      <c r="R620" s="5">
        <f t="shared" si="35"/>
        <v>12.230555555555556</v>
      </c>
    </row>
    <row r="621" spans="1:18">
      <c r="A621" s="4">
        <v>44450</v>
      </c>
      <c r="B621" s="1" t="s">
        <v>21</v>
      </c>
      <c r="C621" s="1">
        <f t="shared" si="39"/>
        <v>9</v>
      </c>
      <c r="D621" s="1">
        <f t="shared" si="40"/>
        <v>11</v>
      </c>
      <c r="E621" s="1">
        <f t="shared" si="41"/>
        <v>2021</v>
      </c>
      <c r="F621" s="1">
        <v>620</v>
      </c>
      <c r="G621" s="1">
        <v>140</v>
      </c>
      <c r="H621" s="1">
        <v>138</v>
      </c>
      <c r="I621" s="2">
        <v>0.98570000000000002</v>
      </c>
      <c r="J621" s="1">
        <v>2</v>
      </c>
      <c r="K621" s="3">
        <v>1.0416666666666667E-4</v>
      </c>
      <c r="L621" s="3">
        <v>1.5856481481481481E-3</v>
      </c>
      <c r="M621" s="3">
        <v>1.5162037037037036E-3</v>
      </c>
      <c r="N621" s="2">
        <v>0.9214</v>
      </c>
      <c r="O621" s="5">
        <f t="shared" si="32"/>
        <v>0.21881944444444443</v>
      </c>
      <c r="P621" s="5">
        <f t="shared" si="33"/>
        <v>13.129166666666666</v>
      </c>
      <c r="Q621" s="5">
        <f t="shared" si="34"/>
        <v>0.22199074074074074</v>
      </c>
      <c r="R621" s="5">
        <f t="shared" si="35"/>
        <v>13.319444444444445</v>
      </c>
    </row>
    <row r="622" spans="1:18">
      <c r="A622" s="4">
        <v>44451</v>
      </c>
      <c r="B622" s="1" t="s">
        <v>22</v>
      </c>
      <c r="C622" s="1">
        <f t="shared" si="39"/>
        <v>9</v>
      </c>
      <c r="D622" s="1">
        <f t="shared" si="40"/>
        <v>12</v>
      </c>
      <c r="E622" s="1">
        <f t="shared" si="41"/>
        <v>2021</v>
      </c>
      <c r="F622" s="1">
        <v>621</v>
      </c>
      <c r="G622" s="1">
        <v>22</v>
      </c>
      <c r="H622" s="1">
        <v>22</v>
      </c>
      <c r="I622" s="2">
        <v>1</v>
      </c>
      <c r="J622" s="1">
        <v>0</v>
      </c>
      <c r="K622" s="3">
        <v>6.9444444444444444E-5</v>
      </c>
      <c r="L622" s="3">
        <v>1.6319444444444445E-3</v>
      </c>
      <c r="M622" s="3">
        <v>5.5555555555555556E-4</v>
      </c>
      <c r="N622" s="2">
        <v>0.90910000000000002</v>
      </c>
      <c r="O622" s="5">
        <f t="shared" si="32"/>
        <v>3.5902777777777783E-2</v>
      </c>
      <c r="P622" s="5">
        <f t="shared" si="33"/>
        <v>2.1541666666666668</v>
      </c>
      <c r="Q622" s="5">
        <f t="shared" si="34"/>
        <v>3.5902777777777783E-2</v>
      </c>
      <c r="R622" s="5">
        <f t="shared" si="35"/>
        <v>2.1541666666666668</v>
      </c>
    </row>
    <row r="623" spans="1:18">
      <c r="A623" s="4">
        <v>44452</v>
      </c>
      <c r="B623" s="1" t="s">
        <v>23</v>
      </c>
      <c r="C623" s="1">
        <f t="shared" si="39"/>
        <v>9</v>
      </c>
      <c r="D623" s="1">
        <f t="shared" si="40"/>
        <v>13</v>
      </c>
      <c r="E623" s="1">
        <f t="shared" si="41"/>
        <v>2021</v>
      </c>
      <c r="F623" s="1">
        <v>622</v>
      </c>
      <c r="G623" s="1">
        <v>126</v>
      </c>
      <c r="H623" s="1">
        <v>124</v>
      </c>
      <c r="I623" s="2">
        <v>0.98409999999999997</v>
      </c>
      <c r="J623" s="1">
        <v>2</v>
      </c>
      <c r="K623" s="3">
        <v>9.2592592592592588E-5</v>
      </c>
      <c r="L623" s="3">
        <v>1.7939814814814815E-3</v>
      </c>
      <c r="M623" s="3">
        <v>6.7129629629629625E-4</v>
      </c>
      <c r="N623" s="2">
        <v>0.94399999999999995</v>
      </c>
      <c r="O623" s="5">
        <f t="shared" si="32"/>
        <v>0.22245370370370371</v>
      </c>
      <c r="P623" s="5">
        <f t="shared" si="33"/>
        <v>13.347222222222223</v>
      </c>
      <c r="Q623" s="5">
        <f t="shared" si="34"/>
        <v>0.22604166666666667</v>
      </c>
      <c r="R623" s="5">
        <f t="shared" si="35"/>
        <v>13.5625</v>
      </c>
    </row>
    <row r="624" spans="1:18">
      <c r="A624" s="4">
        <v>44453</v>
      </c>
      <c r="B624" s="1" t="s">
        <v>24</v>
      </c>
      <c r="C624" s="1">
        <f t="shared" si="39"/>
        <v>9</v>
      </c>
      <c r="D624" s="1">
        <f t="shared" si="40"/>
        <v>14</v>
      </c>
      <c r="E624" s="1">
        <f t="shared" si="41"/>
        <v>2021</v>
      </c>
      <c r="F624" s="1">
        <v>623</v>
      </c>
      <c r="G624" s="1">
        <v>122</v>
      </c>
      <c r="H624" s="1">
        <v>111</v>
      </c>
      <c r="I624" s="2">
        <v>0.90980000000000005</v>
      </c>
      <c r="J624" s="1">
        <v>11</v>
      </c>
      <c r="K624" s="3">
        <v>1.5046296296296297E-4</v>
      </c>
      <c r="L624" s="3">
        <v>1.8865740740740742E-3</v>
      </c>
      <c r="M624" s="3">
        <v>1.5393518518518519E-3</v>
      </c>
      <c r="N624" s="2">
        <v>0.77690000000000003</v>
      </c>
      <c r="O624" s="5">
        <f t="shared" si="32"/>
        <v>0.20940972222222223</v>
      </c>
      <c r="P624" s="5">
        <f t="shared" si="33"/>
        <v>12.564583333333333</v>
      </c>
      <c r="Q624" s="5">
        <f t="shared" si="34"/>
        <v>0.23016203703703705</v>
      </c>
      <c r="R624" s="5">
        <f t="shared" si="35"/>
        <v>13.809722222222224</v>
      </c>
    </row>
    <row r="625" spans="1:18">
      <c r="A625" s="4">
        <v>44454</v>
      </c>
      <c r="B625" s="1" t="s">
        <v>18</v>
      </c>
      <c r="C625" s="1">
        <f t="shared" si="39"/>
        <v>9</v>
      </c>
      <c r="D625" s="1">
        <f t="shared" si="40"/>
        <v>15</v>
      </c>
      <c r="E625" s="1">
        <f t="shared" si="41"/>
        <v>2021</v>
      </c>
      <c r="F625" s="1">
        <v>624</v>
      </c>
      <c r="G625" s="1">
        <v>113</v>
      </c>
      <c r="H625" s="1">
        <v>108</v>
      </c>
      <c r="I625" s="2">
        <v>0.95579999999999998</v>
      </c>
      <c r="J625" s="1">
        <v>5</v>
      </c>
      <c r="K625" s="3">
        <v>1.5046296296296297E-4</v>
      </c>
      <c r="L625" s="3">
        <v>1.7476851851851852E-3</v>
      </c>
      <c r="M625" s="3">
        <v>1.0069444444444444E-3</v>
      </c>
      <c r="N625" s="2">
        <v>0.82879999999999998</v>
      </c>
      <c r="O625" s="5">
        <f t="shared" si="32"/>
        <v>0.18875</v>
      </c>
      <c r="P625" s="5">
        <f t="shared" si="33"/>
        <v>11.324999999999999</v>
      </c>
      <c r="Q625" s="5">
        <f t="shared" si="34"/>
        <v>0.19748842592592594</v>
      </c>
      <c r="R625" s="5">
        <f t="shared" si="35"/>
        <v>11.849305555555556</v>
      </c>
    </row>
    <row r="626" spans="1:18">
      <c r="A626" s="4">
        <v>44455</v>
      </c>
      <c r="B626" s="1" t="s">
        <v>19</v>
      </c>
      <c r="C626" s="1">
        <f t="shared" si="39"/>
        <v>9</v>
      </c>
      <c r="D626" s="1">
        <f t="shared" si="40"/>
        <v>16</v>
      </c>
      <c r="E626" s="1">
        <f t="shared" si="41"/>
        <v>2021</v>
      </c>
      <c r="F626" s="1">
        <v>625</v>
      </c>
      <c r="G626" s="1">
        <v>119</v>
      </c>
      <c r="H626" s="1">
        <v>109</v>
      </c>
      <c r="I626" s="2">
        <v>0.91600000000000004</v>
      </c>
      <c r="J626" s="1">
        <v>10</v>
      </c>
      <c r="K626" s="3">
        <v>1.9675925925925926E-4</v>
      </c>
      <c r="L626" s="3">
        <v>1.8055555555555555E-3</v>
      </c>
      <c r="M626" s="3">
        <v>3.6458333333333334E-3</v>
      </c>
      <c r="N626" s="2">
        <v>0.83620000000000005</v>
      </c>
      <c r="O626" s="5">
        <f t="shared" si="32"/>
        <v>0.19680555555555554</v>
      </c>
      <c r="P626" s="5">
        <f t="shared" si="33"/>
        <v>11.808333333333332</v>
      </c>
      <c r="Q626" s="5">
        <f t="shared" si="34"/>
        <v>0.21486111111111111</v>
      </c>
      <c r="R626" s="5">
        <f t="shared" si="35"/>
        <v>12.891666666666667</v>
      </c>
    </row>
    <row r="627" spans="1:18">
      <c r="A627" s="4">
        <v>44456</v>
      </c>
      <c r="B627" s="1" t="s">
        <v>20</v>
      </c>
      <c r="C627" s="1">
        <f t="shared" si="39"/>
        <v>9</v>
      </c>
      <c r="D627" s="1">
        <f t="shared" si="40"/>
        <v>17</v>
      </c>
      <c r="E627" s="1">
        <f t="shared" si="41"/>
        <v>2021</v>
      </c>
      <c r="F627" s="1">
        <v>626</v>
      </c>
      <c r="G627" s="1">
        <v>134</v>
      </c>
      <c r="H627" s="1">
        <v>119</v>
      </c>
      <c r="I627" s="2">
        <v>0.8881</v>
      </c>
      <c r="J627" s="1">
        <v>15</v>
      </c>
      <c r="K627" s="3">
        <v>2.7777777777777778E-4</v>
      </c>
      <c r="L627" s="3">
        <v>1.9212962962962964E-3</v>
      </c>
      <c r="M627" s="3">
        <v>1.9097222222222222E-3</v>
      </c>
      <c r="N627" s="2">
        <v>0.63429999999999997</v>
      </c>
      <c r="O627" s="5">
        <f t="shared" si="32"/>
        <v>0.22863425925925926</v>
      </c>
      <c r="P627" s="5">
        <f t="shared" si="33"/>
        <v>13.718055555555555</v>
      </c>
      <c r="Q627" s="5">
        <f t="shared" si="34"/>
        <v>0.25745370370370374</v>
      </c>
      <c r="R627" s="5">
        <f t="shared" si="35"/>
        <v>15.447222222222225</v>
      </c>
    </row>
    <row r="628" spans="1:18">
      <c r="A628" s="4">
        <v>44457</v>
      </c>
      <c r="B628" s="1" t="s">
        <v>21</v>
      </c>
      <c r="C628" s="1">
        <f t="shared" si="39"/>
        <v>9</v>
      </c>
      <c r="D628" s="1">
        <f t="shared" si="40"/>
        <v>18</v>
      </c>
      <c r="E628" s="1">
        <f t="shared" si="41"/>
        <v>2021</v>
      </c>
      <c r="F628" s="1">
        <v>627</v>
      </c>
      <c r="G628" s="1">
        <v>101</v>
      </c>
      <c r="H628" s="1">
        <v>97</v>
      </c>
      <c r="I628" s="2">
        <v>0.96040000000000003</v>
      </c>
      <c r="J628" s="1">
        <v>4</v>
      </c>
      <c r="K628" s="3">
        <v>1.8518518518518518E-4</v>
      </c>
      <c r="L628" s="3">
        <v>1.7708333333333332E-3</v>
      </c>
      <c r="M628" s="3">
        <v>1.1342592592592593E-3</v>
      </c>
      <c r="N628" s="2">
        <v>0.77</v>
      </c>
      <c r="O628" s="5">
        <f t="shared" si="32"/>
        <v>0.17177083333333332</v>
      </c>
      <c r="P628" s="5">
        <f t="shared" si="33"/>
        <v>10.306249999999999</v>
      </c>
      <c r="Q628" s="5">
        <f t="shared" si="34"/>
        <v>0.17885416666666665</v>
      </c>
      <c r="R628" s="5">
        <f t="shared" si="35"/>
        <v>10.731249999999999</v>
      </c>
    </row>
    <row r="629" spans="1:18">
      <c r="A629" s="4">
        <v>44458</v>
      </c>
      <c r="B629" s="1" t="s">
        <v>22</v>
      </c>
      <c r="C629" s="1">
        <f t="shared" si="39"/>
        <v>9</v>
      </c>
      <c r="D629" s="1">
        <f t="shared" si="40"/>
        <v>19</v>
      </c>
      <c r="E629" s="1">
        <f t="shared" si="41"/>
        <v>2021</v>
      </c>
      <c r="F629" s="1">
        <v>628</v>
      </c>
      <c r="G629" s="1">
        <v>20</v>
      </c>
      <c r="H629" s="1">
        <v>20</v>
      </c>
      <c r="I629" s="2">
        <v>1</v>
      </c>
      <c r="J629" s="1">
        <v>0</v>
      </c>
      <c r="K629" s="3">
        <v>4.6296296296296294E-5</v>
      </c>
      <c r="L629" s="3">
        <v>1.6666666666666668E-3</v>
      </c>
      <c r="M629" s="3">
        <v>2.0833333333333335E-4</v>
      </c>
      <c r="N629" s="2">
        <v>1</v>
      </c>
      <c r="O629" s="5">
        <f t="shared" si="32"/>
        <v>3.3333333333333333E-2</v>
      </c>
      <c r="P629" s="5">
        <f t="shared" si="33"/>
        <v>2</v>
      </c>
      <c r="Q629" s="5">
        <f t="shared" si="34"/>
        <v>3.3333333333333333E-2</v>
      </c>
      <c r="R629" s="5">
        <f t="shared" si="35"/>
        <v>2</v>
      </c>
    </row>
    <row r="630" spans="1:18">
      <c r="A630" s="4">
        <v>44459</v>
      </c>
      <c r="B630" s="1" t="s">
        <v>23</v>
      </c>
      <c r="C630" s="1">
        <f t="shared" si="39"/>
        <v>9</v>
      </c>
      <c r="D630" s="1">
        <f t="shared" si="40"/>
        <v>20</v>
      </c>
      <c r="E630" s="1">
        <f t="shared" si="41"/>
        <v>2021</v>
      </c>
      <c r="F630" s="1">
        <v>629</v>
      </c>
      <c r="G630" s="1">
        <v>169</v>
      </c>
      <c r="H630" s="1">
        <v>162</v>
      </c>
      <c r="I630" s="2">
        <v>0.95860000000000001</v>
      </c>
      <c r="J630" s="1">
        <v>7</v>
      </c>
      <c r="K630" s="3">
        <v>1.9675925925925926E-4</v>
      </c>
      <c r="L630" s="3">
        <v>1.7592592592592592E-3</v>
      </c>
      <c r="M630" s="3">
        <v>3.8310185185185183E-3</v>
      </c>
      <c r="N630" s="2">
        <v>0.80120000000000002</v>
      </c>
      <c r="O630" s="5">
        <f t="shared" si="32"/>
        <v>0.28499999999999998</v>
      </c>
      <c r="P630" s="5">
        <f t="shared" si="33"/>
        <v>17.099999999999998</v>
      </c>
      <c r="Q630" s="5">
        <f t="shared" si="34"/>
        <v>0.29731481481481481</v>
      </c>
      <c r="R630" s="5">
        <f t="shared" si="35"/>
        <v>17.838888888888889</v>
      </c>
    </row>
    <row r="631" spans="1:18">
      <c r="A631" s="4">
        <v>44460</v>
      </c>
      <c r="B631" s="1" t="s">
        <v>24</v>
      </c>
      <c r="C631" s="1">
        <f t="shared" si="39"/>
        <v>9</v>
      </c>
      <c r="D631" s="1">
        <f t="shared" si="40"/>
        <v>21</v>
      </c>
      <c r="E631" s="1">
        <f t="shared" si="41"/>
        <v>2021</v>
      </c>
      <c r="F631" s="1">
        <v>630</v>
      </c>
      <c r="G631" s="1">
        <v>137</v>
      </c>
      <c r="H631" s="1">
        <v>133</v>
      </c>
      <c r="I631" s="2">
        <v>0.9708</v>
      </c>
      <c r="J631" s="1">
        <v>4</v>
      </c>
      <c r="K631" s="3">
        <v>3.3564814814814812E-4</v>
      </c>
      <c r="L631" s="3">
        <v>1.8171296296296297E-3</v>
      </c>
      <c r="M631" s="3">
        <v>1.8749999999999999E-3</v>
      </c>
      <c r="N631" s="2">
        <v>0.62039999999999995</v>
      </c>
      <c r="O631" s="5">
        <f t="shared" si="32"/>
        <v>0.24167824074074076</v>
      </c>
      <c r="P631" s="5">
        <f t="shared" si="33"/>
        <v>14.500694444444445</v>
      </c>
      <c r="Q631" s="5">
        <f t="shared" si="34"/>
        <v>0.24894675925925927</v>
      </c>
      <c r="R631" s="5">
        <f t="shared" si="35"/>
        <v>14.936805555555557</v>
      </c>
    </row>
    <row r="632" spans="1:18">
      <c r="A632" s="4">
        <v>44461</v>
      </c>
      <c r="B632" s="1" t="s">
        <v>18</v>
      </c>
      <c r="C632" s="1">
        <f t="shared" si="39"/>
        <v>9</v>
      </c>
      <c r="D632" s="1">
        <f t="shared" si="40"/>
        <v>22</v>
      </c>
      <c r="E632" s="1">
        <f t="shared" si="41"/>
        <v>2021</v>
      </c>
      <c r="F632" s="1">
        <v>631</v>
      </c>
      <c r="G632" s="1">
        <v>133</v>
      </c>
      <c r="H632" s="1">
        <v>127</v>
      </c>
      <c r="I632" s="2">
        <v>0.95489999999999997</v>
      </c>
      <c r="J632" s="1">
        <v>6</v>
      </c>
      <c r="K632" s="3">
        <v>2.0833333333333335E-4</v>
      </c>
      <c r="L632" s="3">
        <v>1.8402777777777777E-3</v>
      </c>
      <c r="M632" s="3">
        <v>3.1944444444444446E-3</v>
      </c>
      <c r="N632" s="2">
        <v>0.81950000000000001</v>
      </c>
      <c r="O632" s="5">
        <f t="shared" si="32"/>
        <v>0.23371527777777776</v>
      </c>
      <c r="P632" s="5">
        <f t="shared" si="33"/>
        <v>14.022916666666665</v>
      </c>
      <c r="Q632" s="5">
        <f t="shared" si="34"/>
        <v>0.24475694444444443</v>
      </c>
      <c r="R632" s="5">
        <f t="shared" si="35"/>
        <v>14.685416666666665</v>
      </c>
    </row>
    <row r="633" spans="1:18">
      <c r="A633" s="4">
        <v>44462</v>
      </c>
      <c r="B633" s="1" t="s">
        <v>19</v>
      </c>
      <c r="C633" s="1">
        <f t="shared" si="39"/>
        <v>9</v>
      </c>
      <c r="D633" s="1">
        <f t="shared" si="40"/>
        <v>23</v>
      </c>
      <c r="E633" s="1">
        <f t="shared" si="41"/>
        <v>2021</v>
      </c>
      <c r="F633" s="1">
        <v>632</v>
      </c>
      <c r="G633" s="1">
        <v>184</v>
      </c>
      <c r="H633" s="1">
        <v>179</v>
      </c>
      <c r="I633" s="2">
        <v>0.9728</v>
      </c>
      <c r="J633" s="1">
        <v>5</v>
      </c>
      <c r="K633" s="3">
        <v>1.1574074074074075E-4</v>
      </c>
      <c r="L633" s="3">
        <v>1.4236111111111112E-3</v>
      </c>
      <c r="M633" s="3">
        <v>1.8981481481481482E-3</v>
      </c>
      <c r="N633" s="2">
        <v>0.90559999999999996</v>
      </c>
      <c r="O633" s="5">
        <f t="shared" si="32"/>
        <v>0.25482638888888892</v>
      </c>
      <c r="P633" s="5">
        <f t="shared" si="33"/>
        <v>15.289583333333335</v>
      </c>
      <c r="Q633" s="5">
        <f t="shared" si="34"/>
        <v>0.26194444444444448</v>
      </c>
      <c r="R633" s="5">
        <f t="shared" si="35"/>
        <v>15.716666666666669</v>
      </c>
    </row>
    <row r="634" spans="1:18">
      <c r="A634" s="4">
        <v>44463</v>
      </c>
      <c r="B634" s="1" t="s">
        <v>20</v>
      </c>
      <c r="C634" s="1">
        <f t="shared" si="39"/>
        <v>9</v>
      </c>
      <c r="D634" s="1">
        <f t="shared" si="40"/>
        <v>24</v>
      </c>
      <c r="E634" s="1">
        <f t="shared" si="41"/>
        <v>2021</v>
      </c>
      <c r="F634" s="1">
        <v>633</v>
      </c>
      <c r="G634" s="1">
        <v>145</v>
      </c>
      <c r="H634" s="1">
        <v>135</v>
      </c>
      <c r="I634" s="2">
        <v>0.93100000000000005</v>
      </c>
      <c r="J634" s="1">
        <v>10</v>
      </c>
      <c r="K634" s="3">
        <v>2.4305555555555555E-4</v>
      </c>
      <c r="L634" s="3">
        <v>1.7939814814814815E-3</v>
      </c>
      <c r="M634" s="3">
        <v>2.1990740740740742E-3</v>
      </c>
      <c r="N634" s="2">
        <v>0.74129999999999996</v>
      </c>
      <c r="O634" s="5">
        <f t="shared" si="32"/>
        <v>0.2421875</v>
      </c>
      <c r="P634" s="5">
        <f t="shared" si="33"/>
        <v>14.53125</v>
      </c>
      <c r="Q634" s="5">
        <f t="shared" si="34"/>
        <v>0.26012731481481483</v>
      </c>
      <c r="R634" s="5">
        <f t="shared" si="35"/>
        <v>15.607638888888889</v>
      </c>
    </row>
    <row r="635" spans="1:18">
      <c r="A635" s="4">
        <v>44464</v>
      </c>
      <c r="B635" s="1" t="s">
        <v>21</v>
      </c>
      <c r="C635" s="1">
        <f t="shared" si="39"/>
        <v>9</v>
      </c>
      <c r="D635" s="1">
        <f t="shared" si="40"/>
        <v>25</v>
      </c>
      <c r="E635" s="1">
        <f t="shared" si="41"/>
        <v>2021</v>
      </c>
      <c r="F635" s="1">
        <v>634</v>
      </c>
      <c r="G635" s="1">
        <v>114</v>
      </c>
      <c r="H635" s="1">
        <v>108</v>
      </c>
      <c r="I635" s="2">
        <v>0.94740000000000002</v>
      </c>
      <c r="J635" s="1">
        <v>6</v>
      </c>
      <c r="K635" s="3">
        <v>1.6203703703703703E-4</v>
      </c>
      <c r="L635" s="3">
        <v>1.7476851851851852E-3</v>
      </c>
      <c r="M635" s="3">
        <v>1.7708333333333332E-3</v>
      </c>
      <c r="N635" s="2">
        <v>0.82879999999999998</v>
      </c>
      <c r="O635" s="5">
        <f t="shared" si="32"/>
        <v>0.18875</v>
      </c>
      <c r="P635" s="5">
        <f t="shared" si="33"/>
        <v>11.324999999999999</v>
      </c>
      <c r="Q635" s="5">
        <f t="shared" si="34"/>
        <v>0.19923611111111111</v>
      </c>
      <c r="R635" s="5">
        <f t="shared" si="35"/>
        <v>11.954166666666667</v>
      </c>
    </row>
    <row r="636" spans="1:18">
      <c r="A636" s="4">
        <v>44465</v>
      </c>
      <c r="B636" s="1" t="s">
        <v>22</v>
      </c>
      <c r="C636" s="1">
        <f t="shared" si="39"/>
        <v>9</v>
      </c>
      <c r="D636" s="1">
        <f t="shared" si="40"/>
        <v>26</v>
      </c>
      <c r="E636" s="1">
        <f t="shared" si="41"/>
        <v>2021</v>
      </c>
      <c r="F636" s="1">
        <v>635</v>
      </c>
      <c r="G636" s="1">
        <v>24</v>
      </c>
      <c r="H636" s="1">
        <v>23</v>
      </c>
      <c r="I636" s="2">
        <v>0.95830000000000004</v>
      </c>
      <c r="J636" s="1">
        <v>1</v>
      </c>
      <c r="K636" s="3">
        <v>5.7870370370370373E-5</v>
      </c>
      <c r="L636" s="3">
        <v>1.5277777777777779E-3</v>
      </c>
      <c r="M636" s="3">
        <v>6.3657407407407413E-4</v>
      </c>
      <c r="N636" s="2">
        <v>0.95830000000000004</v>
      </c>
      <c r="O636" s="5">
        <f t="shared" si="32"/>
        <v>3.5138888888888893E-2</v>
      </c>
      <c r="P636" s="5">
        <f t="shared" si="33"/>
        <v>2.1083333333333334</v>
      </c>
      <c r="Q636" s="5">
        <f t="shared" si="34"/>
        <v>3.6666666666666667E-2</v>
      </c>
      <c r="R636" s="5">
        <f t="shared" si="35"/>
        <v>2.2000000000000002</v>
      </c>
    </row>
    <row r="637" spans="1:18">
      <c r="A637" s="4">
        <v>44466</v>
      </c>
      <c r="B637" s="1" t="s">
        <v>23</v>
      </c>
      <c r="C637" s="1">
        <f t="shared" si="39"/>
        <v>9</v>
      </c>
      <c r="D637" s="1">
        <f t="shared" si="40"/>
        <v>27</v>
      </c>
      <c r="E637" s="1">
        <f t="shared" si="41"/>
        <v>2021</v>
      </c>
      <c r="F637" s="1">
        <v>636</v>
      </c>
      <c r="G637" s="1">
        <v>143</v>
      </c>
      <c r="H637" s="1">
        <v>136</v>
      </c>
      <c r="I637" s="2">
        <v>0.95099999999999996</v>
      </c>
      <c r="J637" s="1">
        <v>7</v>
      </c>
      <c r="K637" s="3">
        <v>1.0416666666666667E-4</v>
      </c>
      <c r="L637" s="3">
        <v>1.7592592592592592E-3</v>
      </c>
      <c r="M637" s="3">
        <v>3.8194444444444443E-3</v>
      </c>
      <c r="N637" s="2">
        <v>0.84509999999999996</v>
      </c>
      <c r="O637" s="5">
        <f t="shared" si="32"/>
        <v>0.23925925925925925</v>
      </c>
      <c r="P637" s="5">
        <f t="shared" si="33"/>
        <v>14.355555555555556</v>
      </c>
      <c r="Q637" s="5">
        <f t="shared" si="34"/>
        <v>0.25157407407407406</v>
      </c>
      <c r="R637" s="5">
        <f t="shared" si="35"/>
        <v>15.094444444444443</v>
      </c>
    </row>
    <row r="638" spans="1:18">
      <c r="A638" s="4">
        <v>44467</v>
      </c>
      <c r="B638" s="1" t="s">
        <v>24</v>
      </c>
      <c r="C638" s="1">
        <f t="shared" si="39"/>
        <v>9</v>
      </c>
      <c r="D638" s="1">
        <f t="shared" si="40"/>
        <v>28</v>
      </c>
      <c r="E638" s="1">
        <f t="shared" si="41"/>
        <v>2021</v>
      </c>
      <c r="F638" s="1">
        <v>637</v>
      </c>
      <c r="G638" s="1">
        <v>119</v>
      </c>
      <c r="H638" s="1">
        <v>114</v>
      </c>
      <c r="I638" s="2">
        <v>0.95799999999999996</v>
      </c>
      <c r="J638" s="1">
        <v>5</v>
      </c>
      <c r="K638" s="3">
        <v>9.2592592592592588E-5</v>
      </c>
      <c r="L638" s="3">
        <v>1.6435185185185185E-3</v>
      </c>
      <c r="M638" s="3">
        <v>9.1435185185185185E-4</v>
      </c>
      <c r="N638" s="2">
        <v>0.90600000000000003</v>
      </c>
      <c r="O638" s="5">
        <f t="shared" si="32"/>
        <v>0.18736111111111112</v>
      </c>
      <c r="P638" s="5">
        <f t="shared" si="33"/>
        <v>11.241666666666667</v>
      </c>
      <c r="Q638" s="5">
        <f t="shared" si="34"/>
        <v>0.1955787037037037</v>
      </c>
      <c r="R638" s="5">
        <f t="shared" si="35"/>
        <v>11.734722222222222</v>
      </c>
    </row>
    <row r="639" spans="1:18">
      <c r="A639" s="4">
        <v>44468</v>
      </c>
      <c r="B639" s="1" t="s">
        <v>18</v>
      </c>
      <c r="C639" s="1">
        <f t="shared" si="39"/>
        <v>9</v>
      </c>
      <c r="D639" s="1">
        <f t="shared" si="40"/>
        <v>29</v>
      </c>
      <c r="E639" s="1">
        <f t="shared" si="41"/>
        <v>2021</v>
      </c>
      <c r="F639" s="1">
        <v>638</v>
      </c>
      <c r="G639" s="1">
        <v>123</v>
      </c>
      <c r="H639" s="1">
        <v>118</v>
      </c>
      <c r="I639" s="2">
        <v>0.95930000000000004</v>
      </c>
      <c r="J639" s="1">
        <v>5</v>
      </c>
      <c r="K639" s="3">
        <v>2.4305555555555555E-4</v>
      </c>
      <c r="L639" s="3">
        <v>1.9212962962962964E-3</v>
      </c>
      <c r="M639" s="3">
        <v>1.8981481481481482E-3</v>
      </c>
      <c r="N639" s="2">
        <v>0.70730000000000004</v>
      </c>
      <c r="O639" s="5">
        <f t="shared" si="32"/>
        <v>0.22671296296296298</v>
      </c>
      <c r="P639" s="5">
        <f t="shared" si="33"/>
        <v>13.602777777777778</v>
      </c>
      <c r="Q639" s="5">
        <f t="shared" si="34"/>
        <v>0.23631944444444444</v>
      </c>
      <c r="R639" s="5">
        <f t="shared" si="35"/>
        <v>14.179166666666667</v>
      </c>
    </row>
    <row r="640" spans="1:18">
      <c r="A640" s="4">
        <v>44469</v>
      </c>
      <c r="B640" s="1" t="s">
        <v>19</v>
      </c>
      <c r="C640" s="1">
        <f t="shared" si="39"/>
        <v>9</v>
      </c>
      <c r="D640" s="1">
        <f t="shared" si="40"/>
        <v>30</v>
      </c>
      <c r="E640" s="1">
        <f t="shared" si="41"/>
        <v>2021</v>
      </c>
      <c r="F640" s="1">
        <v>639</v>
      </c>
      <c r="G640" s="1">
        <v>145</v>
      </c>
      <c r="H640" s="1">
        <v>141</v>
      </c>
      <c r="I640" s="2">
        <v>0.97240000000000004</v>
      </c>
      <c r="J640" s="1">
        <v>4</v>
      </c>
      <c r="K640" s="3">
        <v>1.6203703703703703E-4</v>
      </c>
      <c r="L640" s="3">
        <v>1.8055555555555555E-3</v>
      </c>
      <c r="M640" s="3">
        <v>1.2731481481481483E-3</v>
      </c>
      <c r="N640" s="2">
        <v>0.83330000000000004</v>
      </c>
      <c r="O640" s="5">
        <f t="shared" si="32"/>
        <v>0.25458333333333333</v>
      </c>
      <c r="P640" s="5">
        <f t="shared" si="33"/>
        <v>15.275</v>
      </c>
      <c r="Q640" s="5">
        <f t="shared" si="34"/>
        <v>0.26180555555555557</v>
      </c>
      <c r="R640" s="5">
        <f t="shared" si="35"/>
        <v>15.708333333333334</v>
      </c>
    </row>
    <row r="641" spans="1:18">
      <c r="A641" s="4">
        <v>44470</v>
      </c>
      <c r="B641" s="1" t="s">
        <v>20</v>
      </c>
      <c r="C641" s="1">
        <f t="shared" si="39"/>
        <v>10</v>
      </c>
      <c r="D641" s="1">
        <f t="shared" si="40"/>
        <v>1</v>
      </c>
      <c r="E641" s="1">
        <f t="shared" si="41"/>
        <v>2021</v>
      </c>
      <c r="F641" s="1">
        <v>640</v>
      </c>
      <c r="G641" s="1">
        <v>108</v>
      </c>
      <c r="H641" s="1">
        <v>106</v>
      </c>
      <c r="I641" s="2">
        <v>0.98150000000000004</v>
      </c>
      <c r="J641" s="1">
        <v>2</v>
      </c>
      <c r="K641" s="3">
        <v>3.0092592592592595E-4</v>
      </c>
      <c r="L641" s="3">
        <v>1.9675925925925924E-3</v>
      </c>
      <c r="M641" s="3">
        <v>3.4375E-3</v>
      </c>
      <c r="N641" s="2">
        <v>0.68220000000000003</v>
      </c>
      <c r="O641" s="5">
        <f t="shared" si="32"/>
        <v>0.20856481481481479</v>
      </c>
      <c r="P641" s="5">
        <f t="shared" si="33"/>
        <v>12.513888888888888</v>
      </c>
      <c r="Q641" s="5">
        <f t="shared" si="34"/>
        <v>0.21249999999999997</v>
      </c>
      <c r="R641" s="5">
        <f t="shared" si="35"/>
        <v>12.749999999999998</v>
      </c>
    </row>
    <row r="642" spans="1:18">
      <c r="A642" s="4">
        <v>44471</v>
      </c>
      <c r="B642" s="1" t="s">
        <v>21</v>
      </c>
      <c r="C642" s="1">
        <f t="shared" si="39"/>
        <v>10</v>
      </c>
      <c r="D642" s="1">
        <f t="shared" si="40"/>
        <v>2</v>
      </c>
      <c r="E642" s="1">
        <f t="shared" si="41"/>
        <v>2021</v>
      </c>
      <c r="F642" s="1">
        <v>641</v>
      </c>
      <c r="G642" s="1">
        <v>128</v>
      </c>
      <c r="H642" s="1">
        <v>125</v>
      </c>
      <c r="I642" s="2">
        <v>0.97660000000000002</v>
      </c>
      <c r="J642" s="1">
        <v>3</v>
      </c>
      <c r="K642" s="3">
        <v>1.5046296296296297E-4</v>
      </c>
      <c r="L642" s="3">
        <v>1.9097222222222222E-3</v>
      </c>
      <c r="M642" s="3">
        <v>1.1805555555555556E-3</v>
      </c>
      <c r="N642" s="2">
        <v>0.82679999999999998</v>
      </c>
      <c r="O642" s="5">
        <f t="shared" si="32"/>
        <v>0.23871527777777776</v>
      </c>
      <c r="P642" s="5">
        <f t="shared" si="33"/>
        <v>14.322916666666666</v>
      </c>
      <c r="Q642" s="5">
        <f t="shared" si="34"/>
        <v>0.24444444444444444</v>
      </c>
      <c r="R642" s="5">
        <f t="shared" si="35"/>
        <v>14.666666666666666</v>
      </c>
    </row>
    <row r="643" spans="1:18">
      <c r="A643" s="4">
        <v>44472</v>
      </c>
      <c r="B643" s="1" t="s">
        <v>22</v>
      </c>
      <c r="C643" s="1">
        <f t="shared" ref="C643:C706" si="42">MONTH(A643)</f>
        <v>10</v>
      </c>
      <c r="D643" s="1">
        <f t="shared" ref="D643:D706" si="43">DAY(A643)</f>
        <v>3</v>
      </c>
      <c r="E643" s="1">
        <f t="shared" ref="E643:E706" si="44">YEAR(A643)</f>
        <v>2021</v>
      </c>
      <c r="F643" s="1">
        <v>642</v>
      </c>
      <c r="G643" s="1">
        <v>27</v>
      </c>
      <c r="H643" s="1">
        <v>26</v>
      </c>
      <c r="I643" s="2">
        <v>0.96299999999999997</v>
      </c>
      <c r="J643" s="1">
        <v>1</v>
      </c>
      <c r="K643" s="3">
        <v>2.3148148148148149E-4</v>
      </c>
      <c r="L643" s="3">
        <v>1.9791666666666668E-3</v>
      </c>
      <c r="M643" s="3">
        <v>1.8518518518518519E-3</v>
      </c>
      <c r="N643" s="2">
        <v>0.84619999999999995</v>
      </c>
      <c r="O643" s="5">
        <f t="shared" si="32"/>
        <v>5.1458333333333335E-2</v>
      </c>
      <c r="P643" s="5">
        <f t="shared" si="33"/>
        <v>3.0874999999999999</v>
      </c>
      <c r="Q643" s="5">
        <f t="shared" si="34"/>
        <v>5.3437500000000006E-2</v>
      </c>
      <c r="R643" s="5">
        <f t="shared" si="35"/>
        <v>3.2062500000000003</v>
      </c>
    </row>
    <row r="644" spans="1:18">
      <c r="A644" s="4">
        <v>44473</v>
      </c>
      <c r="B644" s="1" t="s">
        <v>23</v>
      </c>
      <c r="C644" s="1">
        <f t="shared" si="42"/>
        <v>10</v>
      </c>
      <c r="D644" s="1">
        <f t="shared" si="43"/>
        <v>4</v>
      </c>
      <c r="E644" s="1">
        <f t="shared" si="44"/>
        <v>2021</v>
      </c>
      <c r="F644" s="1">
        <v>643</v>
      </c>
      <c r="G644" s="1">
        <v>155</v>
      </c>
      <c r="H644" s="1">
        <v>151</v>
      </c>
      <c r="I644" s="2">
        <v>0.97419999999999995</v>
      </c>
      <c r="J644" s="1">
        <v>4</v>
      </c>
      <c r="K644" s="3">
        <v>1.273148148148148E-4</v>
      </c>
      <c r="L644" s="3">
        <v>1.7592592592592592E-3</v>
      </c>
      <c r="M644" s="3">
        <v>1.5972222222222223E-3</v>
      </c>
      <c r="N644" s="2">
        <v>0.89610000000000001</v>
      </c>
      <c r="O644" s="5">
        <f t="shared" si="32"/>
        <v>0.26564814814814813</v>
      </c>
      <c r="P644" s="5">
        <f t="shared" si="33"/>
        <v>15.938888888888888</v>
      </c>
      <c r="Q644" s="5">
        <f t="shared" si="34"/>
        <v>0.2726851851851852</v>
      </c>
      <c r="R644" s="5">
        <f t="shared" si="35"/>
        <v>16.361111111111111</v>
      </c>
    </row>
    <row r="645" spans="1:18">
      <c r="A645" s="4">
        <v>44474</v>
      </c>
      <c r="B645" s="1" t="s">
        <v>24</v>
      </c>
      <c r="C645" s="1">
        <f t="shared" si="42"/>
        <v>10</v>
      </c>
      <c r="D645" s="1">
        <f t="shared" si="43"/>
        <v>5</v>
      </c>
      <c r="E645" s="1">
        <f t="shared" si="44"/>
        <v>2021</v>
      </c>
      <c r="F645" s="1">
        <v>644</v>
      </c>
      <c r="G645" s="1">
        <v>116</v>
      </c>
      <c r="H645" s="1">
        <v>110</v>
      </c>
      <c r="I645" s="2">
        <v>0.94830000000000003</v>
      </c>
      <c r="J645" s="1">
        <v>6</v>
      </c>
      <c r="K645" s="3">
        <v>2.0833333333333335E-4</v>
      </c>
      <c r="L645" s="3">
        <v>1.6550925925925926E-3</v>
      </c>
      <c r="M645" s="3">
        <v>1.9328703703703704E-3</v>
      </c>
      <c r="N645" s="2">
        <v>0.75</v>
      </c>
      <c r="O645" s="5">
        <f t="shared" si="32"/>
        <v>0.18206018518518519</v>
      </c>
      <c r="P645" s="5">
        <f t="shared" si="33"/>
        <v>10.923611111111111</v>
      </c>
      <c r="Q645" s="5">
        <f t="shared" si="34"/>
        <v>0.19199074074074074</v>
      </c>
      <c r="R645" s="5">
        <f t="shared" si="35"/>
        <v>11.519444444444444</v>
      </c>
    </row>
    <row r="646" spans="1:18">
      <c r="A646" s="4">
        <v>44475</v>
      </c>
      <c r="B646" s="1" t="s">
        <v>18</v>
      </c>
      <c r="C646" s="1">
        <f t="shared" si="42"/>
        <v>10</v>
      </c>
      <c r="D646" s="1">
        <f t="shared" si="43"/>
        <v>6</v>
      </c>
      <c r="E646" s="1">
        <f t="shared" si="44"/>
        <v>2021</v>
      </c>
      <c r="F646" s="1">
        <v>645</v>
      </c>
      <c r="G646" s="1">
        <v>117</v>
      </c>
      <c r="H646" s="1">
        <v>111</v>
      </c>
      <c r="I646" s="2">
        <v>0.94869999999999999</v>
      </c>
      <c r="J646" s="1">
        <v>6</v>
      </c>
      <c r="K646" s="3">
        <v>2.0833333333333335E-4</v>
      </c>
      <c r="L646" s="3">
        <v>1.8865740740740742E-3</v>
      </c>
      <c r="M646" s="3">
        <v>1.4583333333333334E-3</v>
      </c>
      <c r="N646" s="2">
        <v>0.76519999999999999</v>
      </c>
      <c r="O646" s="5">
        <f t="shared" si="32"/>
        <v>0.20940972222222223</v>
      </c>
      <c r="P646" s="5">
        <f t="shared" si="33"/>
        <v>12.564583333333333</v>
      </c>
      <c r="Q646" s="5">
        <f t="shared" si="34"/>
        <v>0.22072916666666667</v>
      </c>
      <c r="R646" s="5">
        <f t="shared" si="35"/>
        <v>13.24375</v>
      </c>
    </row>
    <row r="647" spans="1:18">
      <c r="A647" s="4">
        <v>44476</v>
      </c>
      <c r="B647" s="1" t="s">
        <v>19</v>
      </c>
      <c r="C647" s="1">
        <f t="shared" si="42"/>
        <v>10</v>
      </c>
      <c r="D647" s="1">
        <f t="shared" si="43"/>
        <v>7</v>
      </c>
      <c r="E647" s="1">
        <f t="shared" si="44"/>
        <v>2021</v>
      </c>
      <c r="F647" s="1">
        <v>646</v>
      </c>
      <c r="G647" s="1">
        <v>113</v>
      </c>
      <c r="H647" s="1">
        <v>105</v>
      </c>
      <c r="I647" s="2">
        <v>0.92920000000000003</v>
      </c>
      <c r="J647" s="1">
        <v>8</v>
      </c>
      <c r="K647" s="3">
        <v>3.5879629629629629E-4</v>
      </c>
      <c r="L647" s="3">
        <v>1.8171296296296297E-3</v>
      </c>
      <c r="M647" s="3">
        <v>2.5462962962962965E-3</v>
      </c>
      <c r="N647" s="2">
        <v>0.53979999999999995</v>
      </c>
      <c r="O647" s="5">
        <f t="shared" si="32"/>
        <v>0.19079861111111113</v>
      </c>
      <c r="P647" s="5">
        <f t="shared" si="33"/>
        <v>11.447916666666668</v>
      </c>
      <c r="Q647" s="5">
        <f t="shared" si="34"/>
        <v>0.20533564814814814</v>
      </c>
      <c r="R647" s="5">
        <f t="shared" si="35"/>
        <v>12.320138888888888</v>
      </c>
    </row>
    <row r="648" spans="1:18">
      <c r="A648" s="4">
        <v>44477</v>
      </c>
      <c r="B648" s="1" t="s">
        <v>20</v>
      </c>
      <c r="C648" s="1">
        <f t="shared" si="42"/>
        <v>10</v>
      </c>
      <c r="D648" s="1">
        <f t="shared" si="43"/>
        <v>8</v>
      </c>
      <c r="E648" s="1">
        <f t="shared" si="44"/>
        <v>2021</v>
      </c>
      <c r="F648" s="1">
        <v>647</v>
      </c>
      <c r="G648" s="1">
        <v>107</v>
      </c>
      <c r="H648" s="1">
        <v>101</v>
      </c>
      <c r="I648" s="2">
        <v>0.94389999999999996</v>
      </c>
      <c r="J648" s="1">
        <v>6</v>
      </c>
      <c r="K648" s="3">
        <v>2.6620370370370372E-4</v>
      </c>
      <c r="L648" s="3">
        <v>1.8981481481481482E-3</v>
      </c>
      <c r="M648" s="3">
        <v>2.2106481481481482E-3</v>
      </c>
      <c r="N648" s="2">
        <v>0.73580000000000001</v>
      </c>
      <c r="O648" s="5">
        <f t="shared" si="32"/>
        <v>0.19171296296296297</v>
      </c>
      <c r="P648" s="5">
        <f t="shared" si="33"/>
        <v>11.502777777777778</v>
      </c>
      <c r="Q648" s="5">
        <f t="shared" si="34"/>
        <v>0.20310185185185184</v>
      </c>
      <c r="R648" s="5">
        <f t="shared" si="35"/>
        <v>12.18611111111111</v>
      </c>
    </row>
    <row r="649" spans="1:18">
      <c r="A649" s="4">
        <v>44478</v>
      </c>
      <c r="B649" s="1" t="s">
        <v>21</v>
      </c>
      <c r="C649" s="1">
        <f t="shared" si="42"/>
        <v>10</v>
      </c>
      <c r="D649" s="1">
        <f t="shared" si="43"/>
        <v>9</v>
      </c>
      <c r="E649" s="1">
        <f t="shared" si="44"/>
        <v>2021</v>
      </c>
      <c r="F649" s="1">
        <v>648</v>
      </c>
      <c r="G649" s="1">
        <v>146</v>
      </c>
      <c r="H649" s="1">
        <v>141</v>
      </c>
      <c r="I649" s="2">
        <v>0.96579999999999999</v>
      </c>
      <c r="J649" s="1">
        <v>5</v>
      </c>
      <c r="K649" s="3">
        <v>2.8935185185185184E-4</v>
      </c>
      <c r="L649" s="3">
        <v>1.6435185185185185E-3</v>
      </c>
      <c r="M649" s="3">
        <v>1.9212962962962964E-3</v>
      </c>
      <c r="N649" s="2">
        <v>0.65749999999999997</v>
      </c>
      <c r="O649" s="5">
        <f t="shared" si="32"/>
        <v>0.23173611111111111</v>
      </c>
      <c r="P649" s="5">
        <f t="shared" si="33"/>
        <v>13.904166666666667</v>
      </c>
      <c r="Q649" s="5">
        <f t="shared" si="34"/>
        <v>0.2399537037037037</v>
      </c>
      <c r="R649" s="5">
        <f t="shared" si="35"/>
        <v>14.397222222222222</v>
      </c>
    </row>
    <row r="650" spans="1:18">
      <c r="A650" s="4">
        <v>44479</v>
      </c>
      <c r="B650" s="1" t="s">
        <v>22</v>
      </c>
      <c r="C650" s="1">
        <f t="shared" si="42"/>
        <v>10</v>
      </c>
      <c r="D650" s="1">
        <f t="shared" si="43"/>
        <v>10</v>
      </c>
      <c r="E650" s="1">
        <f t="shared" si="44"/>
        <v>2021</v>
      </c>
      <c r="F650" s="1">
        <v>649</v>
      </c>
      <c r="G650" s="1">
        <v>29</v>
      </c>
      <c r="H650" s="1">
        <v>26</v>
      </c>
      <c r="I650" s="2">
        <v>0.89659999999999995</v>
      </c>
      <c r="J650" s="1">
        <v>3</v>
      </c>
      <c r="K650" s="3">
        <v>1.0416666666666667E-4</v>
      </c>
      <c r="L650" s="3">
        <v>1.8171296296296297E-3</v>
      </c>
      <c r="M650" s="3">
        <v>1.2731481481481483E-3</v>
      </c>
      <c r="N650" s="2">
        <v>0.85709999999999997</v>
      </c>
      <c r="O650" s="5">
        <f t="shared" si="32"/>
        <v>4.7245370370370375E-2</v>
      </c>
      <c r="P650" s="5">
        <f t="shared" si="33"/>
        <v>2.8347222222222226</v>
      </c>
      <c r="Q650" s="5">
        <f t="shared" si="34"/>
        <v>5.2696759259259263E-2</v>
      </c>
      <c r="R650" s="5">
        <f t="shared" si="35"/>
        <v>3.1618055555555555</v>
      </c>
    </row>
    <row r="651" spans="1:18">
      <c r="A651" s="4">
        <v>44480</v>
      </c>
      <c r="B651" s="1" t="s">
        <v>23</v>
      </c>
      <c r="C651" s="1">
        <f t="shared" si="42"/>
        <v>10</v>
      </c>
      <c r="D651" s="1">
        <f t="shared" si="43"/>
        <v>11</v>
      </c>
      <c r="E651" s="1">
        <f t="shared" si="44"/>
        <v>2021</v>
      </c>
      <c r="F651" s="1">
        <v>650</v>
      </c>
      <c r="G651" s="1">
        <v>231</v>
      </c>
      <c r="H651" s="1">
        <v>228</v>
      </c>
      <c r="I651" s="2">
        <v>0.98699999999999999</v>
      </c>
      <c r="J651" s="1">
        <v>3</v>
      </c>
      <c r="K651" s="3">
        <v>1.7361111111111112E-4</v>
      </c>
      <c r="L651" s="3">
        <v>1.4930555555555556E-3</v>
      </c>
      <c r="M651" s="3">
        <v>2.3842592592592591E-3</v>
      </c>
      <c r="N651" s="2">
        <v>0.81389999999999996</v>
      </c>
      <c r="O651" s="5">
        <f t="shared" si="32"/>
        <v>0.3404166666666667</v>
      </c>
      <c r="P651" s="5">
        <f t="shared" si="33"/>
        <v>20.425000000000001</v>
      </c>
      <c r="Q651" s="5">
        <f t="shared" si="34"/>
        <v>0.34489583333333335</v>
      </c>
      <c r="R651" s="5">
        <f t="shared" si="35"/>
        <v>20.693750000000001</v>
      </c>
    </row>
    <row r="652" spans="1:18">
      <c r="A652" s="4">
        <v>44481</v>
      </c>
      <c r="B652" s="1" t="s">
        <v>24</v>
      </c>
      <c r="C652" s="1">
        <f t="shared" si="42"/>
        <v>10</v>
      </c>
      <c r="D652" s="1">
        <f t="shared" si="43"/>
        <v>12</v>
      </c>
      <c r="E652" s="1">
        <f t="shared" si="44"/>
        <v>2021</v>
      </c>
      <c r="F652" s="1">
        <v>651</v>
      </c>
      <c r="G652" s="1">
        <v>239</v>
      </c>
      <c r="H652" s="1">
        <v>215</v>
      </c>
      <c r="I652" s="2">
        <v>0.89959999999999996</v>
      </c>
      <c r="J652" s="1">
        <v>24</v>
      </c>
      <c r="K652" s="3">
        <v>2.6620370370370372E-4</v>
      </c>
      <c r="L652" s="3">
        <v>1.8055555555555555E-3</v>
      </c>
      <c r="M652" s="3">
        <v>3.1828703703703702E-3</v>
      </c>
      <c r="N652" s="2">
        <v>0.66669999999999996</v>
      </c>
      <c r="O652" s="5">
        <f t="shared" si="32"/>
        <v>0.38819444444444445</v>
      </c>
      <c r="P652" s="5">
        <f t="shared" si="33"/>
        <v>23.291666666666668</v>
      </c>
      <c r="Q652" s="5">
        <f t="shared" si="34"/>
        <v>0.43152777777777773</v>
      </c>
      <c r="R652" s="5">
        <f t="shared" si="35"/>
        <v>25.891666666666666</v>
      </c>
    </row>
    <row r="653" spans="1:18">
      <c r="A653" s="4">
        <v>44482</v>
      </c>
      <c r="B653" s="1" t="s">
        <v>18</v>
      </c>
      <c r="C653" s="1">
        <f t="shared" si="42"/>
        <v>10</v>
      </c>
      <c r="D653" s="1">
        <f t="shared" si="43"/>
        <v>13</v>
      </c>
      <c r="E653" s="1">
        <f t="shared" si="44"/>
        <v>2021</v>
      </c>
      <c r="F653" s="1">
        <v>652</v>
      </c>
      <c r="G653" s="1">
        <v>174</v>
      </c>
      <c r="H653" s="1">
        <v>154</v>
      </c>
      <c r="I653" s="2">
        <v>0.8851</v>
      </c>
      <c r="J653" s="1">
        <v>20</v>
      </c>
      <c r="K653" s="3">
        <v>3.3564814814814812E-4</v>
      </c>
      <c r="L653" s="3">
        <v>1.8518518518518519E-3</v>
      </c>
      <c r="M653" s="3">
        <v>3.5648148148148149E-3</v>
      </c>
      <c r="N653" s="2">
        <v>0.61309999999999998</v>
      </c>
      <c r="O653" s="5">
        <f t="shared" si="32"/>
        <v>0.28518518518518521</v>
      </c>
      <c r="P653" s="5">
        <f t="shared" si="33"/>
        <v>17.111111111111114</v>
      </c>
      <c r="Q653" s="5">
        <f t="shared" si="34"/>
        <v>0.32222222222222224</v>
      </c>
      <c r="R653" s="5">
        <f t="shared" si="35"/>
        <v>19.333333333333336</v>
      </c>
    </row>
    <row r="654" spans="1:18">
      <c r="A654" s="4">
        <v>44483</v>
      </c>
      <c r="B654" s="1" t="s">
        <v>19</v>
      </c>
      <c r="C654" s="1">
        <f t="shared" si="42"/>
        <v>10</v>
      </c>
      <c r="D654" s="1">
        <f t="shared" si="43"/>
        <v>14</v>
      </c>
      <c r="E654" s="1">
        <f t="shared" si="44"/>
        <v>2021</v>
      </c>
      <c r="F654" s="1">
        <v>653</v>
      </c>
      <c r="G654" s="1">
        <v>168</v>
      </c>
      <c r="H654" s="1">
        <v>163</v>
      </c>
      <c r="I654" s="2">
        <v>0.97019999999999995</v>
      </c>
      <c r="J654" s="1">
        <v>5</v>
      </c>
      <c r="K654" s="3">
        <v>2.4305555555555555E-4</v>
      </c>
      <c r="L654" s="3">
        <v>1.9560185185185184E-3</v>
      </c>
      <c r="M654" s="3">
        <v>1.9097222222222222E-3</v>
      </c>
      <c r="N654" s="2">
        <v>0.70660000000000001</v>
      </c>
      <c r="O654" s="5">
        <f t="shared" si="32"/>
        <v>0.31883101851851847</v>
      </c>
      <c r="P654" s="5">
        <f t="shared" si="33"/>
        <v>19.129861111111108</v>
      </c>
      <c r="Q654" s="5">
        <f t="shared" si="34"/>
        <v>0.32861111111111108</v>
      </c>
      <c r="R654" s="5">
        <f t="shared" si="35"/>
        <v>19.716666666666665</v>
      </c>
    </row>
    <row r="655" spans="1:18">
      <c r="A655" s="4">
        <v>44484</v>
      </c>
      <c r="B655" s="1" t="s">
        <v>20</v>
      </c>
      <c r="C655" s="1">
        <f t="shared" si="42"/>
        <v>10</v>
      </c>
      <c r="D655" s="1">
        <f t="shared" si="43"/>
        <v>15</v>
      </c>
      <c r="E655" s="1">
        <f t="shared" si="44"/>
        <v>2021</v>
      </c>
      <c r="F655" s="1">
        <v>654</v>
      </c>
      <c r="G655" s="1">
        <v>135</v>
      </c>
      <c r="H655" s="1">
        <v>128</v>
      </c>
      <c r="I655" s="2">
        <v>0.94810000000000005</v>
      </c>
      <c r="J655" s="1">
        <v>7</v>
      </c>
      <c r="K655" s="3">
        <v>2.0833333333333335E-4</v>
      </c>
      <c r="L655" s="3">
        <v>1.8055555555555555E-3</v>
      </c>
      <c r="M655" s="3">
        <v>3.8194444444444443E-3</v>
      </c>
      <c r="N655" s="2">
        <v>0.72589999999999999</v>
      </c>
      <c r="O655" s="5">
        <f t="shared" si="32"/>
        <v>0.2311111111111111</v>
      </c>
      <c r="P655" s="5">
        <f t="shared" si="33"/>
        <v>13.866666666666665</v>
      </c>
      <c r="Q655" s="5">
        <f t="shared" si="34"/>
        <v>0.24374999999999999</v>
      </c>
      <c r="R655" s="5">
        <f t="shared" si="35"/>
        <v>14.625</v>
      </c>
    </row>
    <row r="656" spans="1:18">
      <c r="A656" s="4">
        <v>44485</v>
      </c>
      <c r="B656" s="1" t="s">
        <v>21</v>
      </c>
      <c r="C656" s="1">
        <f t="shared" si="42"/>
        <v>10</v>
      </c>
      <c r="D656" s="1">
        <f t="shared" si="43"/>
        <v>16</v>
      </c>
      <c r="E656" s="1">
        <f t="shared" si="44"/>
        <v>2021</v>
      </c>
      <c r="F656" s="1">
        <v>655</v>
      </c>
      <c r="G656" s="1">
        <v>122</v>
      </c>
      <c r="H656" s="1">
        <v>113</v>
      </c>
      <c r="I656" s="2">
        <v>0.92620000000000002</v>
      </c>
      <c r="J656" s="1">
        <v>9</v>
      </c>
      <c r="K656" s="3">
        <v>3.4722222222222224E-4</v>
      </c>
      <c r="L656" s="3">
        <v>1.9560185185185184E-3</v>
      </c>
      <c r="M656" s="3">
        <v>2.5462962962962965E-3</v>
      </c>
      <c r="N656" s="2">
        <v>0.61160000000000003</v>
      </c>
      <c r="O656" s="5">
        <f t="shared" si="32"/>
        <v>0.22103009259259257</v>
      </c>
      <c r="P656" s="5">
        <f t="shared" si="33"/>
        <v>13.261805555555554</v>
      </c>
      <c r="Q656" s="5">
        <f t="shared" si="34"/>
        <v>0.23863425925925924</v>
      </c>
      <c r="R656" s="5">
        <f t="shared" si="35"/>
        <v>14.318055555555555</v>
      </c>
    </row>
    <row r="657" spans="1:18">
      <c r="A657" s="4">
        <v>44486</v>
      </c>
      <c r="B657" s="1" t="s">
        <v>22</v>
      </c>
      <c r="C657" s="1">
        <f t="shared" si="42"/>
        <v>10</v>
      </c>
      <c r="D657" s="1">
        <f t="shared" si="43"/>
        <v>17</v>
      </c>
      <c r="E657" s="1">
        <f t="shared" si="44"/>
        <v>2021</v>
      </c>
      <c r="F657" s="1">
        <v>656</v>
      </c>
      <c r="G657" s="1">
        <v>13</v>
      </c>
      <c r="H657" s="1">
        <v>12</v>
      </c>
      <c r="I657" s="2">
        <v>0.92310000000000003</v>
      </c>
      <c r="J657" s="1">
        <v>1</v>
      </c>
      <c r="K657" s="3">
        <v>2.7777777777777778E-4</v>
      </c>
      <c r="L657" s="3">
        <v>1.9097222222222222E-3</v>
      </c>
      <c r="M657" s="3">
        <v>8.3333333333333339E-4</v>
      </c>
      <c r="N657" s="2">
        <v>0.66669999999999996</v>
      </c>
      <c r="O657" s="5">
        <f t="shared" si="32"/>
        <v>2.2916666666666665E-2</v>
      </c>
      <c r="P657" s="5">
        <f t="shared" si="33"/>
        <v>1.375</v>
      </c>
      <c r="Q657" s="5">
        <f t="shared" si="34"/>
        <v>2.4826388888888887E-2</v>
      </c>
      <c r="R657" s="5">
        <f t="shared" si="35"/>
        <v>1.4895833333333333</v>
      </c>
    </row>
    <row r="658" spans="1:18">
      <c r="A658" s="4">
        <v>44487</v>
      </c>
      <c r="B658" s="1" t="s">
        <v>23</v>
      </c>
      <c r="C658" s="1">
        <f t="shared" si="42"/>
        <v>10</v>
      </c>
      <c r="D658" s="1">
        <f t="shared" si="43"/>
        <v>18</v>
      </c>
      <c r="E658" s="1">
        <f t="shared" si="44"/>
        <v>2021</v>
      </c>
      <c r="F658" s="1">
        <v>657</v>
      </c>
      <c r="G658" s="1">
        <v>20</v>
      </c>
      <c r="H658" s="1">
        <v>18</v>
      </c>
      <c r="I658" s="2">
        <v>0.9</v>
      </c>
      <c r="J658" s="1">
        <v>2</v>
      </c>
      <c r="K658" s="3">
        <v>2.6620370370370372E-4</v>
      </c>
      <c r="L658" s="3">
        <v>1.8865740740740742E-3</v>
      </c>
      <c r="M658" s="3">
        <v>1.8981481481481482E-3</v>
      </c>
      <c r="N658" s="2">
        <v>0.73680000000000001</v>
      </c>
      <c r="O658" s="5">
        <f t="shared" si="32"/>
        <v>3.3958333333333333E-2</v>
      </c>
      <c r="P658" s="5">
        <f t="shared" si="33"/>
        <v>2.0375000000000001</v>
      </c>
      <c r="Q658" s="5">
        <f t="shared" si="34"/>
        <v>3.7731481481481484E-2</v>
      </c>
      <c r="R658" s="5">
        <f t="shared" si="35"/>
        <v>2.2638888888888888</v>
      </c>
    </row>
    <row r="659" spans="1:18">
      <c r="A659" s="4">
        <v>44488</v>
      </c>
      <c r="B659" s="1" t="s">
        <v>24</v>
      </c>
      <c r="C659" s="1">
        <f t="shared" si="42"/>
        <v>10</v>
      </c>
      <c r="D659" s="1">
        <f t="shared" si="43"/>
        <v>19</v>
      </c>
      <c r="E659" s="1">
        <f t="shared" si="44"/>
        <v>2021</v>
      </c>
      <c r="F659" s="1">
        <v>658</v>
      </c>
      <c r="G659" s="1">
        <v>152</v>
      </c>
      <c r="H659" s="1">
        <v>141</v>
      </c>
      <c r="I659" s="2">
        <v>0.92759999999999998</v>
      </c>
      <c r="J659" s="1">
        <v>11</v>
      </c>
      <c r="K659" s="3">
        <v>2.5462962962962961E-4</v>
      </c>
      <c r="L659" s="3">
        <v>1.8634259259259259E-3</v>
      </c>
      <c r="M659" s="3">
        <v>3.1134259259259257E-3</v>
      </c>
      <c r="N659" s="2">
        <v>0.7</v>
      </c>
      <c r="O659" s="5">
        <f t="shared" si="32"/>
        <v>0.26274305555555555</v>
      </c>
      <c r="P659" s="5">
        <f t="shared" si="33"/>
        <v>15.764583333333333</v>
      </c>
      <c r="Q659" s="5">
        <f t="shared" si="34"/>
        <v>0.28324074074074074</v>
      </c>
      <c r="R659" s="5">
        <f t="shared" si="35"/>
        <v>16.994444444444444</v>
      </c>
    </row>
    <row r="660" spans="1:18">
      <c r="A660" s="4">
        <v>44489</v>
      </c>
      <c r="B660" s="1" t="s">
        <v>18</v>
      </c>
      <c r="C660" s="1">
        <f t="shared" si="42"/>
        <v>10</v>
      </c>
      <c r="D660" s="1">
        <f t="shared" si="43"/>
        <v>20</v>
      </c>
      <c r="E660" s="1">
        <f t="shared" si="44"/>
        <v>2021</v>
      </c>
      <c r="F660" s="1">
        <v>659</v>
      </c>
      <c r="G660" s="1">
        <v>132</v>
      </c>
      <c r="H660" s="1">
        <v>131</v>
      </c>
      <c r="I660" s="2">
        <v>0.99239999999999995</v>
      </c>
      <c r="J660" s="1">
        <v>1</v>
      </c>
      <c r="K660" s="3">
        <v>1.3888888888888889E-4</v>
      </c>
      <c r="L660" s="3">
        <v>1.8402777777777777E-3</v>
      </c>
      <c r="M660" s="3">
        <v>1.3888888888888889E-3</v>
      </c>
      <c r="N660" s="2">
        <v>0.87019999999999997</v>
      </c>
      <c r="O660" s="5">
        <f t="shared" si="32"/>
        <v>0.24107638888888888</v>
      </c>
      <c r="P660" s="5">
        <f t="shared" si="33"/>
        <v>14.464583333333334</v>
      </c>
      <c r="Q660" s="5">
        <f t="shared" si="34"/>
        <v>0.24291666666666667</v>
      </c>
      <c r="R660" s="5">
        <f t="shared" si="35"/>
        <v>14.574999999999999</v>
      </c>
    </row>
    <row r="661" spans="1:18">
      <c r="A661" s="4">
        <v>44490</v>
      </c>
      <c r="B661" s="1" t="s">
        <v>19</v>
      </c>
      <c r="C661" s="1">
        <f t="shared" si="42"/>
        <v>10</v>
      </c>
      <c r="D661" s="1">
        <f t="shared" si="43"/>
        <v>21</v>
      </c>
      <c r="E661" s="1">
        <f t="shared" si="44"/>
        <v>2021</v>
      </c>
      <c r="F661" s="1">
        <v>660</v>
      </c>
      <c r="G661" s="1">
        <v>180</v>
      </c>
      <c r="H661" s="1">
        <v>171</v>
      </c>
      <c r="I661" s="2">
        <v>0.95</v>
      </c>
      <c r="J661" s="1">
        <v>9</v>
      </c>
      <c r="K661" s="3">
        <v>2.4305555555555555E-4</v>
      </c>
      <c r="L661" s="3">
        <v>1.9791666666666668E-3</v>
      </c>
      <c r="M661" s="3">
        <v>1.8402777777777777E-3</v>
      </c>
      <c r="N661" s="2">
        <v>0.71909999999999996</v>
      </c>
      <c r="O661" s="5">
        <f t="shared" si="32"/>
        <v>0.3384375</v>
      </c>
      <c r="P661" s="5">
        <f t="shared" si="33"/>
        <v>20.306249999999999</v>
      </c>
      <c r="Q661" s="5">
        <f t="shared" si="34"/>
        <v>0.35625000000000001</v>
      </c>
      <c r="R661" s="5">
        <f t="shared" si="35"/>
        <v>21.375</v>
      </c>
    </row>
    <row r="662" spans="1:18">
      <c r="A662" s="4">
        <v>44491</v>
      </c>
      <c r="B662" s="1" t="s">
        <v>20</v>
      </c>
      <c r="C662" s="1">
        <f t="shared" si="42"/>
        <v>10</v>
      </c>
      <c r="D662" s="1">
        <f t="shared" si="43"/>
        <v>22</v>
      </c>
      <c r="E662" s="1">
        <f t="shared" si="44"/>
        <v>2021</v>
      </c>
      <c r="F662" s="1">
        <v>661</v>
      </c>
      <c r="G662" s="1">
        <v>193</v>
      </c>
      <c r="H662" s="1">
        <v>189</v>
      </c>
      <c r="I662" s="2">
        <v>0.97929999999999995</v>
      </c>
      <c r="J662" s="1">
        <v>4</v>
      </c>
      <c r="K662" s="3">
        <v>1.5046296296296297E-4</v>
      </c>
      <c r="L662" s="3">
        <v>1.7939814814814815E-3</v>
      </c>
      <c r="M662" s="3">
        <v>1.6898148148148148E-3</v>
      </c>
      <c r="N662" s="2">
        <v>0.82899999999999996</v>
      </c>
      <c r="O662" s="5">
        <f t="shared" si="32"/>
        <v>0.33906249999999999</v>
      </c>
      <c r="P662" s="5">
        <f t="shared" si="33"/>
        <v>20.34375</v>
      </c>
      <c r="Q662" s="5">
        <f t="shared" si="34"/>
        <v>0.34623842592592591</v>
      </c>
      <c r="R662" s="5">
        <f t="shared" si="35"/>
        <v>20.774305555555554</v>
      </c>
    </row>
    <row r="663" spans="1:18">
      <c r="A663" s="4">
        <v>44492</v>
      </c>
      <c r="B663" s="1" t="s">
        <v>21</v>
      </c>
      <c r="C663" s="1">
        <f t="shared" si="42"/>
        <v>10</v>
      </c>
      <c r="D663" s="1">
        <f t="shared" si="43"/>
        <v>23</v>
      </c>
      <c r="E663" s="1">
        <f t="shared" si="44"/>
        <v>2021</v>
      </c>
      <c r="F663" s="1">
        <v>662</v>
      </c>
      <c r="G663" s="1">
        <v>245</v>
      </c>
      <c r="H663" s="1">
        <v>236</v>
      </c>
      <c r="I663" s="2">
        <v>0.96330000000000005</v>
      </c>
      <c r="J663" s="1">
        <v>9</v>
      </c>
      <c r="K663" s="3">
        <v>1.5046296296296297E-4</v>
      </c>
      <c r="L663" s="3">
        <v>1.8981481481481482E-3</v>
      </c>
      <c r="M663" s="3">
        <v>1.6203703703703703E-3</v>
      </c>
      <c r="N663" s="2">
        <v>0.82789999999999997</v>
      </c>
      <c r="O663" s="5">
        <f t="shared" si="32"/>
        <v>0.44796296296296295</v>
      </c>
      <c r="P663" s="5">
        <f t="shared" si="33"/>
        <v>26.877777777777776</v>
      </c>
      <c r="Q663" s="5">
        <f t="shared" si="34"/>
        <v>0.46504629629629629</v>
      </c>
      <c r="R663" s="5">
        <f t="shared" si="35"/>
        <v>27.902777777777779</v>
      </c>
    </row>
    <row r="664" spans="1:18">
      <c r="A664" s="4">
        <v>44493</v>
      </c>
      <c r="B664" s="1" t="s">
        <v>22</v>
      </c>
      <c r="C664" s="1">
        <f t="shared" si="42"/>
        <v>10</v>
      </c>
      <c r="D664" s="1">
        <f t="shared" si="43"/>
        <v>24</v>
      </c>
      <c r="E664" s="1">
        <f t="shared" si="44"/>
        <v>2021</v>
      </c>
      <c r="F664" s="1">
        <v>663</v>
      </c>
      <c r="G664" s="1">
        <v>35</v>
      </c>
      <c r="H664" s="1">
        <v>34</v>
      </c>
      <c r="I664" s="2">
        <v>0.97140000000000004</v>
      </c>
      <c r="J664" s="1">
        <v>1</v>
      </c>
      <c r="K664" s="3">
        <v>1.273148148148148E-4</v>
      </c>
      <c r="L664" s="3">
        <v>1.5162037037037036E-3</v>
      </c>
      <c r="M664" s="3">
        <v>1.2037037037037038E-3</v>
      </c>
      <c r="N664" s="2">
        <v>0.88239999999999996</v>
      </c>
      <c r="O664" s="5">
        <f t="shared" si="32"/>
        <v>5.1550925925925924E-2</v>
      </c>
      <c r="P664" s="5">
        <f t="shared" si="33"/>
        <v>3.0930555555555554</v>
      </c>
      <c r="Q664" s="5">
        <f t="shared" si="34"/>
        <v>5.3067129629629631E-2</v>
      </c>
      <c r="R664" s="5">
        <f t="shared" si="35"/>
        <v>3.1840277777777777</v>
      </c>
    </row>
    <row r="665" spans="1:18">
      <c r="A665" s="4">
        <v>44494</v>
      </c>
      <c r="B665" s="1" t="s">
        <v>23</v>
      </c>
      <c r="C665" s="1">
        <f t="shared" si="42"/>
        <v>10</v>
      </c>
      <c r="D665" s="1">
        <f t="shared" si="43"/>
        <v>25</v>
      </c>
      <c r="E665" s="1">
        <f t="shared" si="44"/>
        <v>2021</v>
      </c>
      <c r="F665" s="1">
        <v>664</v>
      </c>
      <c r="G665" s="1">
        <v>198</v>
      </c>
      <c r="H665" s="1">
        <v>190</v>
      </c>
      <c r="I665" s="2">
        <v>0.95960000000000001</v>
      </c>
      <c r="J665" s="1">
        <v>8</v>
      </c>
      <c r="K665" s="3">
        <v>1.3888888888888889E-4</v>
      </c>
      <c r="L665" s="3">
        <v>1.8287037037037037E-3</v>
      </c>
      <c r="M665" s="3">
        <v>9.4907407407407408E-4</v>
      </c>
      <c r="N665" s="2">
        <v>0.84689999999999999</v>
      </c>
      <c r="O665" s="5">
        <f t="shared" si="32"/>
        <v>0.34745370370370371</v>
      </c>
      <c r="P665" s="5">
        <f t="shared" si="33"/>
        <v>20.847222222222221</v>
      </c>
      <c r="Q665" s="5">
        <f t="shared" si="34"/>
        <v>0.36208333333333331</v>
      </c>
      <c r="R665" s="5">
        <f t="shared" si="35"/>
        <v>21.724999999999998</v>
      </c>
    </row>
    <row r="666" spans="1:18">
      <c r="A666" s="4">
        <v>44495</v>
      </c>
      <c r="B666" s="1" t="s">
        <v>24</v>
      </c>
      <c r="C666" s="1">
        <f t="shared" si="42"/>
        <v>10</v>
      </c>
      <c r="D666" s="1">
        <f t="shared" si="43"/>
        <v>26</v>
      </c>
      <c r="E666" s="1">
        <f t="shared" si="44"/>
        <v>2021</v>
      </c>
      <c r="F666" s="1">
        <v>665</v>
      </c>
      <c r="G666" s="1">
        <v>47</v>
      </c>
      <c r="H666" s="1">
        <v>47</v>
      </c>
      <c r="I666" s="2">
        <v>1</v>
      </c>
      <c r="J666" s="1">
        <v>0</v>
      </c>
      <c r="K666" s="3">
        <v>6.9444444444444444E-5</v>
      </c>
      <c r="L666" s="3">
        <v>1.4930555555555556E-3</v>
      </c>
      <c r="M666" s="3">
        <v>6.5972222222222224E-4</v>
      </c>
      <c r="N666" s="2">
        <v>0.93620000000000003</v>
      </c>
      <c r="O666" s="5">
        <f t="shared" si="32"/>
        <v>7.0173611111111117E-2</v>
      </c>
      <c r="P666" s="5">
        <f t="shared" si="33"/>
        <v>4.2104166666666671</v>
      </c>
      <c r="Q666" s="5">
        <f t="shared" si="34"/>
        <v>7.0173611111111117E-2</v>
      </c>
      <c r="R666" s="5">
        <f t="shared" si="35"/>
        <v>4.2104166666666671</v>
      </c>
    </row>
    <row r="667" spans="1:18">
      <c r="A667" s="4">
        <v>44496</v>
      </c>
      <c r="B667" s="1" t="s">
        <v>18</v>
      </c>
      <c r="C667" s="1">
        <f t="shared" si="42"/>
        <v>10</v>
      </c>
      <c r="D667" s="1">
        <f t="shared" si="43"/>
        <v>27</v>
      </c>
      <c r="E667" s="1">
        <f t="shared" si="44"/>
        <v>2021</v>
      </c>
      <c r="F667" s="1">
        <v>666</v>
      </c>
      <c r="G667" s="1">
        <v>187</v>
      </c>
      <c r="H667" s="1">
        <v>186</v>
      </c>
      <c r="I667" s="2">
        <v>0.99470000000000003</v>
      </c>
      <c r="J667" s="1">
        <v>1</v>
      </c>
      <c r="K667" s="3">
        <v>8.1018518518518516E-5</v>
      </c>
      <c r="L667" s="3">
        <v>1.736111111111111E-3</v>
      </c>
      <c r="M667" s="3">
        <v>1.9097222222222222E-3</v>
      </c>
      <c r="N667" s="2">
        <v>0.93579999999999997</v>
      </c>
      <c r="O667" s="5">
        <f t="shared" si="32"/>
        <v>0.32291666666666663</v>
      </c>
      <c r="P667" s="5">
        <f t="shared" si="33"/>
        <v>19.374999999999996</v>
      </c>
      <c r="Q667" s="5">
        <f t="shared" si="34"/>
        <v>0.32465277777777773</v>
      </c>
      <c r="R667" s="5">
        <f t="shared" si="35"/>
        <v>19.479166666666664</v>
      </c>
    </row>
    <row r="668" spans="1:18">
      <c r="A668" s="4">
        <v>44497</v>
      </c>
      <c r="B668" s="1" t="s">
        <v>19</v>
      </c>
      <c r="C668" s="1">
        <f t="shared" si="42"/>
        <v>10</v>
      </c>
      <c r="D668" s="1">
        <f t="shared" si="43"/>
        <v>28</v>
      </c>
      <c r="E668" s="1">
        <f t="shared" si="44"/>
        <v>2021</v>
      </c>
      <c r="F668" s="1">
        <v>667</v>
      </c>
      <c r="G668" s="1">
        <v>57</v>
      </c>
      <c r="H668" s="1">
        <v>54</v>
      </c>
      <c r="I668" s="2">
        <v>0.94740000000000002</v>
      </c>
      <c r="J668" s="1">
        <v>3</v>
      </c>
      <c r="K668" s="3">
        <v>8.1018518518518516E-5</v>
      </c>
      <c r="L668" s="3">
        <v>1.8171296296296297E-3</v>
      </c>
      <c r="M668" s="3">
        <v>6.3657407407407413E-4</v>
      </c>
      <c r="N668" s="2">
        <v>0.91069999999999995</v>
      </c>
      <c r="O668" s="5">
        <f t="shared" si="32"/>
        <v>9.8125000000000004E-2</v>
      </c>
      <c r="P668" s="5">
        <f t="shared" si="33"/>
        <v>5.8875000000000002</v>
      </c>
      <c r="Q668" s="5">
        <f t="shared" si="34"/>
        <v>0.1035763888888889</v>
      </c>
      <c r="R668" s="5">
        <f t="shared" si="35"/>
        <v>6.2145833333333336</v>
      </c>
    </row>
    <row r="669" spans="1:18">
      <c r="A669" s="4">
        <v>44498</v>
      </c>
      <c r="B669" s="1" t="s">
        <v>20</v>
      </c>
      <c r="C669" s="1">
        <f t="shared" si="42"/>
        <v>10</v>
      </c>
      <c r="D669" s="1">
        <f t="shared" si="43"/>
        <v>29</v>
      </c>
      <c r="E669" s="1">
        <f t="shared" si="44"/>
        <v>2021</v>
      </c>
      <c r="F669" s="1">
        <v>668</v>
      </c>
      <c r="G669" s="1">
        <v>169</v>
      </c>
      <c r="H669" s="1">
        <v>162</v>
      </c>
      <c r="I669" s="2">
        <v>0.95860000000000001</v>
      </c>
      <c r="J669" s="1">
        <v>7</v>
      </c>
      <c r="K669" s="3">
        <v>1.0416666666666667E-4</v>
      </c>
      <c r="L669" s="3">
        <v>1.8402777777777777E-3</v>
      </c>
      <c r="M669" s="3">
        <v>1.2731481481481483E-3</v>
      </c>
      <c r="N669" s="2">
        <v>0.88170000000000004</v>
      </c>
      <c r="O669" s="5">
        <f t="shared" si="32"/>
        <v>0.29812499999999997</v>
      </c>
      <c r="P669" s="5">
        <f t="shared" si="33"/>
        <v>17.887499999999999</v>
      </c>
      <c r="Q669" s="5">
        <f t="shared" si="34"/>
        <v>0.31100694444444443</v>
      </c>
      <c r="R669" s="5">
        <f t="shared" si="35"/>
        <v>18.660416666666666</v>
      </c>
    </row>
    <row r="670" spans="1:18">
      <c r="A670" s="4">
        <v>44499</v>
      </c>
      <c r="B670" s="1" t="s">
        <v>21</v>
      </c>
      <c r="C670" s="1">
        <f t="shared" si="42"/>
        <v>10</v>
      </c>
      <c r="D670" s="1">
        <f t="shared" si="43"/>
        <v>30</v>
      </c>
      <c r="E670" s="1">
        <f t="shared" si="44"/>
        <v>2021</v>
      </c>
      <c r="F670" s="1">
        <v>669</v>
      </c>
      <c r="G670" s="1">
        <v>337</v>
      </c>
      <c r="H670" s="1">
        <v>316</v>
      </c>
      <c r="I670" s="2">
        <v>0.93769999999999998</v>
      </c>
      <c r="J670" s="1">
        <v>21</v>
      </c>
      <c r="K670" s="3">
        <v>2.6620370370370372E-4</v>
      </c>
      <c r="L670" s="3">
        <v>1.5393518518518519E-3</v>
      </c>
      <c r="M670" s="3">
        <v>3.6689814814814814E-3</v>
      </c>
      <c r="N670" s="2">
        <v>0.72919999999999996</v>
      </c>
      <c r="O670" s="5">
        <f t="shared" si="32"/>
        <v>0.48643518518518519</v>
      </c>
      <c r="P670" s="5">
        <f t="shared" si="33"/>
        <v>29.18611111111111</v>
      </c>
      <c r="Q670" s="5">
        <f t="shared" si="34"/>
        <v>0.51876157407407408</v>
      </c>
      <c r="R670" s="5">
        <f t="shared" si="35"/>
        <v>31.125694444444445</v>
      </c>
    </row>
    <row r="671" spans="1:18">
      <c r="A671" s="4">
        <v>44500</v>
      </c>
      <c r="B671" s="1" t="s">
        <v>22</v>
      </c>
      <c r="C671" s="1">
        <f t="shared" si="42"/>
        <v>10</v>
      </c>
      <c r="D671" s="1">
        <f t="shared" si="43"/>
        <v>31</v>
      </c>
      <c r="E671" s="1">
        <f t="shared" si="44"/>
        <v>2021</v>
      </c>
      <c r="F671" s="1">
        <v>670</v>
      </c>
      <c r="G671" s="1">
        <v>44</v>
      </c>
      <c r="H671" s="1">
        <v>43</v>
      </c>
      <c r="I671" s="2">
        <v>0.97729999999999995</v>
      </c>
      <c r="J671" s="1">
        <v>1</v>
      </c>
      <c r="K671" s="3">
        <v>1.0416666666666667E-4</v>
      </c>
      <c r="L671" s="3">
        <v>1.7939814814814815E-3</v>
      </c>
      <c r="M671" s="3">
        <v>1.2731481481481483E-3</v>
      </c>
      <c r="N671" s="2">
        <v>0.84089999999999998</v>
      </c>
      <c r="O671" s="5">
        <f t="shared" si="32"/>
        <v>7.7141203703703698E-2</v>
      </c>
      <c r="P671" s="5">
        <f t="shared" si="33"/>
        <v>4.6284722222222214</v>
      </c>
      <c r="Q671" s="5">
        <f t="shared" si="34"/>
        <v>7.8935185185185192E-2</v>
      </c>
      <c r="R671" s="5">
        <f t="shared" si="35"/>
        <v>4.7361111111111116</v>
      </c>
    </row>
    <row r="672" spans="1:18">
      <c r="A672" s="4">
        <v>44501</v>
      </c>
      <c r="B672" s="1" t="s">
        <v>23</v>
      </c>
      <c r="C672" s="1">
        <f t="shared" si="42"/>
        <v>11</v>
      </c>
      <c r="D672" s="1">
        <f t="shared" si="43"/>
        <v>1</v>
      </c>
      <c r="E672" s="1">
        <f t="shared" si="44"/>
        <v>2021</v>
      </c>
      <c r="F672" s="1">
        <v>671</v>
      </c>
      <c r="G672" s="1">
        <v>210</v>
      </c>
      <c r="H672" s="1">
        <v>206</v>
      </c>
      <c r="I672" s="2">
        <v>0.98099999999999998</v>
      </c>
      <c r="J672" s="1">
        <v>4</v>
      </c>
      <c r="K672" s="3">
        <v>1.3888888888888889E-4</v>
      </c>
      <c r="L672" s="3">
        <v>1.8402777777777777E-3</v>
      </c>
      <c r="M672" s="3">
        <v>1.7592592592592592E-3</v>
      </c>
      <c r="N672" s="2">
        <v>0.87080000000000002</v>
      </c>
      <c r="O672" s="5">
        <f t="shared" si="32"/>
        <v>0.3790972222222222</v>
      </c>
      <c r="P672" s="5">
        <f t="shared" si="33"/>
        <v>22.74583333333333</v>
      </c>
      <c r="Q672" s="5">
        <f t="shared" si="34"/>
        <v>0.38645833333333329</v>
      </c>
      <c r="R672" s="5">
        <f t="shared" si="35"/>
        <v>23.187499999999996</v>
      </c>
    </row>
    <row r="673" spans="1:18">
      <c r="A673" s="4">
        <v>44502</v>
      </c>
      <c r="B673" s="1" t="s">
        <v>24</v>
      </c>
      <c r="C673" s="1">
        <f t="shared" si="42"/>
        <v>11</v>
      </c>
      <c r="D673" s="1">
        <f t="shared" si="43"/>
        <v>2</v>
      </c>
      <c r="E673" s="1">
        <f t="shared" si="44"/>
        <v>2021</v>
      </c>
      <c r="F673" s="1">
        <v>672</v>
      </c>
      <c r="G673" s="1">
        <v>190</v>
      </c>
      <c r="H673" s="1">
        <v>186</v>
      </c>
      <c r="I673" s="2">
        <v>0.97889999999999999</v>
      </c>
      <c r="J673" s="1">
        <v>4</v>
      </c>
      <c r="K673" s="3">
        <v>1.9675925925925926E-4</v>
      </c>
      <c r="L673" s="3">
        <v>1.6435185185185185E-3</v>
      </c>
      <c r="M673" s="3">
        <v>3.3912037037037036E-3</v>
      </c>
      <c r="N673" s="2">
        <v>0.84130000000000005</v>
      </c>
      <c r="O673" s="5">
        <f t="shared" si="32"/>
        <v>0.30569444444444444</v>
      </c>
      <c r="P673" s="5">
        <f t="shared" si="33"/>
        <v>18.341666666666665</v>
      </c>
      <c r="Q673" s="5">
        <f t="shared" si="34"/>
        <v>0.3122685185185185</v>
      </c>
      <c r="R673" s="5">
        <f t="shared" si="35"/>
        <v>18.736111111111111</v>
      </c>
    </row>
    <row r="674" spans="1:18">
      <c r="A674" s="4">
        <v>44503</v>
      </c>
      <c r="B674" s="1" t="s">
        <v>18</v>
      </c>
      <c r="C674" s="1">
        <f t="shared" si="42"/>
        <v>11</v>
      </c>
      <c r="D674" s="1">
        <f t="shared" si="43"/>
        <v>3</v>
      </c>
      <c r="E674" s="1">
        <f t="shared" si="44"/>
        <v>2021</v>
      </c>
      <c r="F674" s="1">
        <v>673</v>
      </c>
      <c r="G674" s="1">
        <v>190</v>
      </c>
      <c r="H674" s="1">
        <v>182</v>
      </c>
      <c r="I674" s="2">
        <v>0.95789999999999997</v>
      </c>
      <c r="J674" s="1">
        <v>8</v>
      </c>
      <c r="K674" s="3">
        <v>1.1574074074074075E-4</v>
      </c>
      <c r="L674" s="3">
        <v>1.8518518518518519E-3</v>
      </c>
      <c r="M674" s="3">
        <v>1.1342592592592593E-3</v>
      </c>
      <c r="N674" s="2">
        <v>0.87029999999999996</v>
      </c>
      <c r="O674" s="5">
        <f t="shared" si="32"/>
        <v>0.33703703703703702</v>
      </c>
      <c r="P674" s="5">
        <f t="shared" si="33"/>
        <v>20.222222222222221</v>
      </c>
      <c r="Q674" s="5">
        <f t="shared" si="34"/>
        <v>0.35185185185185186</v>
      </c>
      <c r="R674" s="5">
        <f t="shared" si="35"/>
        <v>21.111111111111111</v>
      </c>
    </row>
    <row r="675" spans="1:18">
      <c r="A675" s="4">
        <v>44504</v>
      </c>
      <c r="B675" s="1" t="s">
        <v>19</v>
      </c>
      <c r="C675" s="1">
        <f t="shared" si="42"/>
        <v>11</v>
      </c>
      <c r="D675" s="1">
        <f t="shared" si="43"/>
        <v>4</v>
      </c>
      <c r="E675" s="1">
        <f t="shared" si="44"/>
        <v>2021</v>
      </c>
      <c r="F675" s="1">
        <v>674</v>
      </c>
      <c r="G675" s="1">
        <v>169</v>
      </c>
      <c r="H675" s="1">
        <v>168</v>
      </c>
      <c r="I675" s="2">
        <v>0.99409999999999998</v>
      </c>
      <c r="J675" s="1">
        <v>1</v>
      </c>
      <c r="K675" s="3">
        <v>1.273148148148148E-4</v>
      </c>
      <c r="L675" s="3">
        <v>1.6782407407407408E-3</v>
      </c>
      <c r="M675" s="3">
        <v>1.25E-3</v>
      </c>
      <c r="N675" s="2">
        <v>0.88170000000000004</v>
      </c>
      <c r="O675" s="5">
        <f t="shared" si="32"/>
        <v>0.28194444444444444</v>
      </c>
      <c r="P675" s="5">
        <f t="shared" si="33"/>
        <v>16.916666666666668</v>
      </c>
      <c r="Q675" s="5">
        <f t="shared" si="34"/>
        <v>0.28362268518518519</v>
      </c>
      <c r="R675" s="5">
        <f t="shared" si="35"/>
        <v>17.017361111111111</v>
      </c>
    </row>
    <row r="676" spans="1:18">
      <c r="A676" s="4">
        <v>44505</v>
      </c>
      <c r="B676" s="1" t="s">
        <v>20</v>
      </c>
      <c r="C676" s="1">
        <f t="shared" si="42"/>
        <v>11</v>
      </c>
      <c r="D676" s="1">
        <f t="shared" si="43"/>
        <v>5</v>
      </c>
      <c r="E676" s="1">
        <f t="shared" si="44"/>
        <v>2021</v>
      </c>
      <c r="F676" s="1">
        <v>675</v>
      </c>
      <c r="G676" s="1">
        <v>52</v>
      </c>
      <c r="H676" s="1">
        <v>50</v>
      </c>
      <c r="I676" s="2">
        <v>0.96150000000000002</v>
      </c>
      <c r="J676" s="1">
        <v>2</v>
      </c>
      <c r="K676" s="3">
        <v>6.9444444444444444E-5</v>
      </c>
      <c r="L676" s="3">
        <v>1.7824074074074075E-3</v>
      </c>
      <c r="M676" s="3">
        <v>6.7129629629629625E-4</v>
      </c>
      <c r="N676" s="2">
        <v>0.92159999999999997</v>
      </c>
      <c r="O676" s="5">
        <f t="shared" si="32"/>
        <v>8.9120370370370378E-2</v>
      </c>
      <c r="P676" s="5">
        <f t="shared" si="33"/>
        <v>5.3472222222222223</v>
      </c>
      <c r="Q676" s="5">
        <f t="shared" si="34"/>
        <v>9.268518518518519E-2</v>
      </c>
      <c r="R676" s="5">
        <f t="shared" si="35"/>
        <v>5.5611111111111118</v>
      </c>
    </row>
    <row r="677" spans="1:18">
      <c r="A677" s="4">
        <v>44506</v>
      </c>
      <c r="B677" s="1" t="s">
        <v>21</v>
      </c>
      <c r="C677" s="1">
        <f t="shared" si="42"/>
        <v>11</v>
      </c>
      <c r="D677" s="1">
        <f t="shared" si="43"/>
        <v>6</v>
      </c>
      <c r="E677" s="1">
        <f t="shared" si="44"/>
        <v>2021</v>
      </c>
      <c r="F677" s="1">
        <v>676</v>
      </c>
      <c r="G677" s="1">
        <v>144</v>
      </c>
      <c r="H677" s="1">
        <v>137</v>
      </c>
      <c r="I677" s="2">
        <v>0.95140000000000002</v>
      </c>
      <c r="J677" s="1">
        <v>7</v>
      </c>
      <c r="K677" s="3">
        <v>1.6203703703703703E-4</v>
      </c>
      <c r="L677" s="3">
        <v>1.8055555555555555E-3</v>
      </c>
      <c r="M677" s="3">
        <v>2.0370370370370369E-3</v>
      </c>
      <c r="N677" s="2">
        <v>0.77080000000000004</v>
      </c>
      <c r="O677" s="5">
        <f t="shared" si="32"/>
        <v>0.24736111111111109</v>
      </c>
      <c r="P677" s="5">
        <f t="shared" si="33"/>
        <v>14.841666666666665</v>
      </c>
      <c r="Q677" s="5">
        <f t="shared" si="34"/>
        <v>0.26</v>
      </c>
      <c r="R677" s="5">
        <f t="shared" si="35"/>
        <v>15.600000000000001</v>
      </c>
    </row>
    <row r="678" spans="1:18">
      <c r="A678" s="4">
        <v>44507</v>
      </c>
      <c r="B678" s="1" t="s">
        <v>22</v>
      </c>
      <c r="C678" s="1">
        <f t="shared" si="42"/>
        <v>11</v>
      </c>
      <c r="D678" s="1">
        <f t="shared" si="43"/>
        <v>7</v>
      </c>
      <c r="E678" s="1">
        <f t="shared" si="44"/>
        <v>2021</v>
      </c>
      <c r="F678" s="1">
        <v>677</v>
      </c>
      <c r="G678" s="1">
        <v>36</v>
      </c>
      <c r="H678" s="1">
        <v>36</v>
      </c>
      <c r="I678" s="2">
        <v>1</v>
      </c>
      <c r="J678" s="1">
        <v>0</v>
      </c>
      <c r="K678" s="3">
        <v>1.7361111111111112E-4</v>
      </c>
      <c r="L678" s="3">
        <v>2.0023148148148148E-3</v>
      </c>
      <c r="M678" s="3">
        <v>1.1689814814814816E-3</v>
      </c>
      <c r="N678" s="2">
        <v>0.80559999999999998</v>
      </c>
      <c r="O678" s="5">
        <f t="shared" si="32"/>
        <v>7.2083333333333333E-2</v>
      </c>
      <c r="P678" s="5">
        <f t="shared" si="33"/>
        <v>4.3250000000000002</v>
      </c>
      <c r="Q678" s="5">
        <f t="shared" si="34"/>
        <v>7.2083333333333333E-2</v>
      </c>
      <c r="R678" s="5">
        <f t="shared" si="35"/>
        <v>4.3250000000000002</v>
      </c>
    </row>
    <row r="679" spans="1:18">
      <c r="A679" s="4">
        <v>44508</v>
      </c>
      <c r="B679" s="1" t="s">
        <v>23</v>
      </c>
      <c r="C679" s="1">
        <f t="shared" si="42"/>
        <v>11</v>
      </c>
      <c r="D679" s="1">
        <f t="shared" si="43"/>
        <v>8</v>
      </c>
      <c r="E679" s="1">
        <f t="shared" si="44"/>
        <v>2021</v>
      </c>
      <c r="F679" s="1">
        <v>678</v>
      </c>
      <c r="G679" s="1">
        <v>155</v>
      </c>
      <c r="H679" s="1">
        <v>148</v>
      </c>
      <c r="I679" s="2">
        <v>0.95479999999999998</v>
      </c>
      <c r="J679" s="1">
        <v>7</v>
      </c>
      <c r="K679" s="3">
        <v>1.6203703703703703E-4</v>
      </c>
      <c r="L679" s="3">
        <v>1.6898148148148148E-3</v>
      </c>
      <c r="M679" s="3">
        <v>2.3495370370370371E-3</v>
      </c>
      <c r="N679" s="2">
        <v>0.81289999999999996</v>
      </c>
      <c r="O679" s="5">
        <f t="shared" si="32"/>
        <v>0.25009259259259259</v>
      </c>
      <c r="P679" s="5">
        <f t="shared" si="33"/>
        <v>15.005555555555555</v>
      </c>
      <c r="Q679" s="5">
        <f t="shared" si="34"/>
        <v>0.26192129629629629</v>
      </c>
      <c r="R679" s="5">
        <f t="shared" si="35"/>
        <v>15.715277777777777</v>
      </c>
    </row>
    <row r="680" spans="1:18">
      <c r="A680" s="4">
        <v>44509</v>
      </c>
      <c r="B680" s="1" t="s">
        <v>24</v>
      </c>
      <c r="C680" s="1">
        <f t="shared" si="42"/>
        <v>11</v>
      </c>
      <c r="D680" s="1">
        <f t="shared" si="43"/>
        <v>9</v>
      </c>
      <c r="E680" s="1">
        <f t="shared" si="44"/>
        <v>2021</v>
      </c>
      <c r="F680" s="1">
        <v>679</v>
      </c>
      <c r="G680" s="1">
        <v>159</v>
      </c>
      <c r="H680" s="1">
        <v>154</v>
      </c>
      <c r="I680" s="2">
        <v>0.96860000000000002</v>
      </c>
      <c r="J680" s="1">
        <v>5</v>
      </c>
      <c r="K680" s="3">
        <v>1.8518518518518518E-4</v>
      </c>
      <c r="L680" s="3">
        <v>1.8634259259259259E-3</v>
      </c>
      <c r="M680" s="3">
        <v>1.5277777777777779E-3</v>
      </c>
      <c r="N680" s="2">
        <v>0.78620000000000001</v>
      </c>
      <c r="O680" s="5">
        <f t="shared" si="32"/>
        <v>0.28696759259259258</v>
      </c>
      <c r="P680" s="5">
        <f t="shared" si="33"/>
        <v>17.218055555555555</v>
      </c>
      <c r="Q680" s="5">
        <f t="shared" si="34"/>
        <v>0.29628472222222224</v>
      </c>
      <c r="R680" s="5">
        <f t="shared" si="35"/>
        <v>17.777083333333334</v>
      </c>
    </row>
    <row r="681" spans="1:18">
      <c r="A681" s="4">
        <v>44510</v>
      </c>
      <c r="B681" s="1" t="s">
        <v>18</v>
      </c>
      <c r="C681" s="1">
        <f t="shared" si="42"/>
        <v>11</v>
      </c>
      <c r="D681" s="1">
        <f t="shared" si="43"/>
        <v>10</v>
      </c>
      <c r="E681" s="1">
        <f t="shared" si="44"/>
        <v>2021</v>
      </c>
      <c r="F681" s="1">
        <v>680</v>
      </c>
      <c r="G681" s="1">
        <v>115</v>
      </c>
      <c r="H681" s="1">
        <v>110</v>
      </c>
      <c r="I681" s="2">
        <v>0.95650000000000002</v>
      </c>
      <c r="J681" s="1">
        <v>5</v>
      </c>
      <c r="K681" s="3">
        <v>1.6203703703703703E-4</v>
      </c>
      <c r="L681" s="3">
        <v>1.712962962962963E-3</v>
      </c>
      <c r="M681" s="3">
        <v>1.5856481481481481E-3</v>
      </c>
      <c r="N681" s="2">
        <v>0.83189999999999997</v>
      </c>
      <c r="O681" s="5">
        <f t="shared" si="32"/>
        <v>0.18842592592592594</v>
      </c>
      <c r="P681" s="5">
        <f t="shared" si="33"/>
        <v>11.305555555555557</v>
      </c>
      <c r="Q681" s="5">
        <f t="shared" si="34"/>
        <v>0.19699074074074074</v>
      </c>
      <c r="R681" s="5">
        <f t="shared" si="35"/>
        <v>11.819444444444445</v>
      </c>
    </row>
    <row r="682" spans="1:18">
      <c r="A682" s="4">
        <v>44511</v>
      </c>
      <c r="B682" s="1" t="s">
        <v>19</v>
      </c>
      <c r="C682" s="1">
        <f t="shared" si="42"/>
        <v>11</v>
      </c>
      <c r="D682" s="1">
        <f t="shared" si="43"/>
        <v>11</v>
      </c>
      <c r="E682" s="1">
        <f t="shared" si="44"/>
        <v>2021</v>
      </c>
      <c r="F682" s="1">
        <v>681</v>
      </c>
      <c r="G682" s="1">
        <v>186</v>
      </c>
      <c r="H682" s="1">
        <v>173</v>
      </c>
      <c r="I682" s="2">
        <v>0.93010000000000004</v>
      </c>
      <c r="J682" s="1">
        <v>13</v>
      </c>
      <c r="K682" s="3">
        <v>2.199074074074074E-4</v>
      </c>
      <c r="L682" s="3">
        <v>1.8402777777777777E-3</v>
      </c>
      <c r="M682" s="3">
        <v>1.8981481481481482E-3</v>
      </c>
      <c r="N682" s="2">
        <v>0.73509999999999998</v>
      </c>
      <c r="O682" s="5">
        <f t="shared" si="32"/>
        <v>0.31836805555555553</v>
      </c>
      <c r="P682" s="5">
        <f t="shared" si="33"/>
        <v>19.102083333333333</v>
      </c>
      <c r="Q682" s="5">
        <f t="shared" si="34"/>
        <v>0.34229166666666666</v>
      </c>
      <c r="R682" s="5">
        <f t="shared" si="35"/>
        <v>20.537500000000001</v>
      </c>
    </row>
    <row r="683" spans="1:18">
      <c r="A683" s="4">
        <v>44512</v>
      </c>
      <c r="B683" s="1" t="s">
        <v>20</v>
      </c>
      <c r="C683" s="1">
        <f t="shared" si="42"/>
        <v>11</v>
      </c>
      <c r="D683" s="1">
        <f t="shared" si="43"/>
        <v>12</v>
      </c>
      <c r="E683" s="1">
        <f t="shared" si="44"/>
        <v>2021</v>
      </c>
      <c r="F683" s="1">
        <v>682</v>
      </c>
      <c r="G683" s="1">
        <v>167</v>
      </c>
      <c r="H683" s="1">
        <v>157</v>
      </c>
      <c r="I683" s="2">
        <v>0.94010000000000005</v>
      </c>
      <c r="J683" s="1">
        <v>10</v>
      </c>
      <c r="K683" s="3">
        <v>2.6620370370370372E-4</v>
      </c>
      <c r="L683" s="3">
        <v>1.7592592592592592E-3</v>
      </c>
      <c r="M683" s="3">
        <v>1.9560185185185184E-3</v>
      </c>
      <c r="N683" s="2">
        <v>0.67679999999999996</v>
      </c>
      <c r="O683" s="5">
        <f t="shared" si="32"/>
        <v>0.27620370370370367</v>
      </c>
      <c r="P683" s="5">
        <f t="shared" si="33"/>
        <v>16.572222222222219</v>
      </c>
      <c r="Q683" s="5">
        <f t="shared" si="34"/>
        <v>0.29379629629629628</v>
      </c>
      <c r="R683" s="5">
        <f t="shared" si="35"/>
        <v>17.627777777777776</v>
      </c>
    </row>
    <row r="684" spans="1:18">
      <c r="A684" s="4">
        <v>44513</v>
      </c>
      <c r="B684" s="1" t="s">
        <v>21</v>
      </c>
      <c r="C684" s="1">
        <f t="shared" si="42"/>
        <v>11</v>
      </c>
      <c r="D684" s="1">
        <f t="shared" si="43"/>
        <v>13</v>
      </c>
      <c r="E684" s="1">
        <f t="shared" si="44"/>
        <v>2021</v>
      </c>
      <c r="F684" s="1">
        <v>683</v>
      </c>
      <c r="G684" s="1">
        <v>146</v>
      </c>
      <c r="H684" s="1">
        <v>142</v>
      </c>
      <c r="I684" s="2">
        <v>0.97260000000000002</v>
      </c>
      <c r="J684" s="1">
        <v>4</v>
      </c>
      <c r="K684" s="3">
        <v>2.5462962962962961E-4</v>
      </c>
      <c r="L684" s="3">
        <v>1.8749999999999999E-3</v>
      </c>
      <c r="M684" s="3">
        <v>1.3773148148148147E-3</v>
      </c>
      <c r="N684" s="2">
        <v>0.66900000000000004</v>
      </c>
      <c r="O684" s="5">
        <f t="shared" si="32"/>
        <v>0.26624999999999999</v>
      </c>
      <c r="P684" s="5">
        <f t="shared" si="33"/>
        <v>15.975</v>
      </c>
      <c r="Q684" s="5">
        <f t="shared" si="34"/>
        <v>0.27374999999999999</v>
      </c>
      <c r="R684" s="5">
        <f t="shared" si="35"/>
        <v>16.425000000000001</v>
      </c>
    </row>
    <row r="685" spans="1:18">
      <c r="A685" s="4">
        <v>44514</v>
      </c>
      <c r="B685" s="1" t="s">
        <v>22</v>
      </c>
      <c r="C685" s="1">
        <f t="shared" si="42"/>
        <v>11</v>
      </c>
      <c r="D685" s="1">
        <f t="shared" si="43"/>
        <v>14</v>
      </c>
      <c r="E685" s="1">
        <f t="shared" si="44"/>
        <v>2021</v>
      </c>
      <c r="F685" s="1">
        <v>684</v>
      </c>
      <c r="G685" s="1">
        <v>41</v>
      </c>
      <c r="H685" s="1">
        <v>31</v>
      </c>
      <c r="I685" s="2">
        <v>0.75609999999999999</v>
      </c>
      <c r="J685" s="1">
        <v>10</v>
      </c>
      <c r="K685" s="3">
        <v>4.5138888888888887E-4</v>
      </c>
      <c r="L685" s="3">
        <v>2.5810185185185185E-3</v>
      </c>
      <c r="M685" s="3">
        <v>2.5462962962962965E-3</v>
      </c>
      <c r="N685" s="2">
        <v>0.48780000000000001</v>
      </c>
      <c r="O685" s="5">
        <f t="shared" si="32"/>
        <v>8.0011574074074068E-2</v>
      </c>
      <c r="P685" s="5">
        <f t="shared" si="33"/>
        <v>4.8006944444444439</v>
      </c>
      <c r="Q685" s="5">
        <f t="shared" si="34"/>
        <v>0.10582175925925925</v>
      </c>
      <c r="R685" s="5">
        <f t="shared" si="35"/>
        <v>6.3493055555555555</v>
      </c>
    </row>
    <row r="686" spans="1:18">
      <c r="A686" s="4">
        <v>44515</v>
      </c>
      <c r="B686" s="1" t="s">
        <v>23</v>
      </c>
      <c r="C686" s="1">
        <f t="shared" si="42"/>
        <v>11</v>
      </c>
      <c r="D686" s="1">
        <f t="shared" si="43"/>
        <v>15</v>
      </c>
      <c r="E686" s="1">
        <f t="shared" si="44"/>
        <v>2021</v>
      </c>
      <c r="F686" s="1">
        <v>685</v>
      </c>
      <c r="G686" s="1">
        <v>185</v>
      </c>
      <c r="H686" s="1">
        <v>85</v>
      </c>
      <c r="I686" s="2">
        <v>0.45950000000000002</v>
      </c>
      <c r="J686" s="1">
        <v>100</v>
      </c>
      <c r="K686" s="3">
        <v>1.261574074074074E-3</v>
      </c>
      <c r="L686" s="3">
        <v>1.9212962962962964E-3</v>
      </c>
      <c r="M686" s="3">
        <v>7.6504629629629631E-3</v>
      </c>
      <c r="N686" s="2">
        <v>3.7999999999999999E-2</v>
      </c>
      <c r="O686" s="5">
        <f t="shared" si="32"/>
        <v>0.1633101851851852</v>
      </c>
      <c r="P686" s="5">
        <f t="shared" si="33"/>
        <v>9.7986111111111125</v>
      </c>
      <c r="Q686" s="5">
        <f t="shared" si="34"/>
        <v>0.35543981481481485</v>
      </c>
      <c r="R686" s="5">
        <f t="shared" si="35"/>
        <v>21.326388888888889</v>
      </c>
    </row>
    <row r="687" spans="1:18">
      <c r="A687" s="4">
        <v>44516</v>
      </c>
      <c r="B687" s="1" t="s">
        <v>24</v>
      </c>
      <c r="C687" s="1">
        <f t="shared" si="42"/>
        <v>11</v>
      </c>
      <c r="D687" s="1">
        <f t="shared" si="43"/>
        <v>16</v>
      </c>
      <c r="E687" s="1">
        <f t="shared" si="44"/>
        <v>2021</v>
      </c>
      <c r="F687" s="1">
        <v>686</v>
      </c>
      <c r="G687" s="1">
        <v>149</v>
      </c>
      <c r="H687" s="1">
        <v>83</v>
      </c>
      <c r="I687" s="2">
        <v>0.55700000000000005</v>
      </c>
      <c r="J687" s="1">
        <v>66</v>
      </c>
      <c r="K687" s="3">
        <v>1.1342592592592593E-3</v>
      </c>
      <c r="L687" s="3">
        <v>1.5972222222222223E-3</v>
      </c>
      <c r="M687" s="3">
        <v>7.013888888888889E-3</v>
      </c>
      <c r="N687" s="2">
        <v>4.8300000000000003E-2</v>
      </c>
      <c r="O687" s="5">
        <f t="shared" si="32"/>
        <v>0.13256944444444446</v>
      </c>
      <c r="P687" s="5">
        <f t="shared" si="33"/>
        <v>7.9541666666666675</v>
      </c>
      <c r="Q687" s="5">
        <f t="shared" si="34"/>
        <v>0.23798611111111112</v>
      </c>
      <c r="R687" s="5">
        <f t="shared" si="35"/>
        <v>14.279166666666667</v>
      </c>
    </row>
    <row r="688" spans="1:18">
      <c r="A688" s="4">
        <v>44517</v>
      </c>
      <c r="B688" s="1" t="s">
        <v>18</v>
      </c>
      <c r="C688" s="1">
        <f t="shared" si="42"/>
        <v>11</v>
      </c>
      <c r="D688" s="1">
        <f t="shared" si="43"/>
        <v>17</v>
      </c>
      <c r="E688" s="1">
        <f t="shared" si="44"/>
        <v>2021</v>
      </c>
      <c r="F688" s="1">
        <v>687</v>
      </c>
      <c r="G688" s="1">
        <v>180</v>
      </c>
      <c r="H688" s="1">
        <v>115</v>
      </c>
      <c r="I688" s="2">
        <v>0.63890000000000002</v>
      </c>
      <c r="J688" s="1">
        <v>65</v>
      </c>
      <c r="K688" s="3">
        <v>7.407407407407407E-4</v>
      </c>
      <c r="L688" s="3">
        <v>1.7708333333333332E-3</v>
      </c>
      <c r="M688" s="3">
        <v>8.9120370370370378E-3</v>
      </c>
      <c r="N688" s="2">
        <v>0.23860000000000001</v>
      </c>
      <c r="O688" s="5">
        <f t="shared" si="32"/>
        <v>0.20364583333333333</v>
      </c>
      <c r="P688" s="5">
        <f t="shared" si="33"/>
        <v>12.21875</v>
      </c>
      <c r="Q688" s="5">
        <f t="shared" si="34"/>
        <v>0.31874999999999998</v>
      </c>
      <c r="R688" s="5">
        <f t="shared" si="35"/>
        <v>19.125</v>
      </c>
    </row>
    <row r="689" spans="1:18">
      <c r="A689" s="4">
        <v>44518</v>
      </c>
      <c r="B689" s="1" t="s">
        <v>19</v>
      </c>
      <c r="C689" s="1">
        <f t="shared" si="42"/>
        <v>11</v>
      </c>
      <c r="D689" s="1">
        <f t="shared" si="43"/>
        <v>18</v>
      </c>
      <c r="E689" s="1">
        <f t="shared" si="44"/>
        <v>2021</v>
      </c>
      <c r="F689" s="1">
        <v>688</v>
      </c>
      <c r="G689" s="1">
        <v>173</v>
      </c>
      <c r="H689" s="1">
        <v>144</v>
      </c>
      <c r="I689" s="2">
        <v>0.83240000000000003</v>
      </c>
      <c r="J689" s="1">
        <v>29</v>
      </c>
      <c r="K689" s="3">
        <v>4.3981481481481481E-4</v>
      </c>
      <c r="L689" s="3">
        <v>2.0833333333333333E-3</v>
      </c>
      <c r="M689" s="3">
        <v>3.8425925925925928E-3</v>
      </c>
      <c r="N689" s="2">
        <v>0.4647</v>
      </c>
      <c r="O689" s="5">
        <f t="shared" si="32"/>
        <v>0.3</v>
      </c>
      <c r="P689" s="5">
        <f t="shared" si="33"/>
        <v>18</v>
      </c>
      <c r="Q689" s="5">
        <f t="shared" si="34"/>
        <v>0.36041666666666666</v>
      </c>
      <c r="R689" s="5">
        <f t="shared" si="35"/>
        <v>21.625</v>
      </c>
    </row>
    <row r="690" spans="1:18">
      <c r="A690" s="4">
        <v>44519</v>
      </c>
      <c r="B690" s="1" t="s">
        <v>20</v>
      </c>
      <c r="C690" s="1">
        <f t="shared" si="42"/>
        <v>11</v>
      </c>
      <c r="D690" s="1">
        <f t="shared" si="43"/>
        <v>19</v>
      </c>
      <c r="E690" s="1">
        <f t="shared" si="44"/>
        <v>2021</v>
      </c>
      <c r="F690" s="1">
        <v>689</v>
      </c>
      <c r="G690" s="1">
        <v>176</v>
      </c>
      <c r="H690" s="1">
        <v>158</v>
      </c>
      <c r="I690" s="2">
        <v>0.89770000000000005</v>
      </c>
      <c r="J690" s="1">
        <v>18</v>
      </c>
      <c r="K690" s="3">
        <v>2.3148148148148149E-4</v>
      </c>
      <c r="L690" s="3">
        <v>1.7708333333333332E-3</v>
      </c>
      <c r="M690" s="3">
        <v>3.6458333333333334E-3</v>
      </c>
      <c r="N690" s="2">
        <v>0.70350000000000001</v>
      </c>
      <c r="O690" s="5">
        <f t="shared" si="32"/>
        <v>0.27979166666666666</v>
      </c>
      <c r="P690" s="5">
        <f t="shared" si="33"/>
        <v>16.787500000000001</v>
      </c>
      <c r="Q690" s="5">
        <f t="shared" si="34"/>
        <v>0.31166666666666665</v>
      </c>
      <c r="R690" s="5">
        <f t="shared" si="35"/>
        <v>18.7</v>
      </c>
    </row>
    <row r="691" spans="1:18">
      <c r="A691" s="4">
        <v>44520</v>
      </c>
      <c r="B691" s="1" t="s">
        <v>21</v>
      </c>
      <c r="C691" s="1">
        <f t="shared" si="42"/>
        <v>11</v>
      </c>
      <c r="D691" s="1">
        <f t="shared" si="43"/>
        <v>20</v>
      </c>
      <c r="E691" s="1">
        <f t="shared" si="44"/>
        <v>2021</v>
      </c>
      <c r="F691" s="1">
        <v>690</v>
      </c>
      <c r="G691" s="1">
        <v>147</v>
      </c>
      <c r="H691" s="1">
        <v>120</v>
      </c>
      <c r="I691" s="2">
        <v>0.81630000000000003</v>
      </c>
      <c r="J691" s="1">
        <v>27</v>
      </c>
      <c r="K691" s="3">
        <v>5.3240740740740744E-4</v>
      </c>
      <c r="L691" s="3">
        <v>1.8402777777777777E-3</v>
      </c>
      <c r="M691" s="3">
        <v>2.9629629629629628E-3</v>
      </c>
      <c r="N691" s="2">
        <v>0.39729999999999999</v>
      </c>
      <c r="O691" s="5">
        <f t="shared" si="32"/>
        <v>0.22083333333333333</v>
      </c>
      <c r="P691" s="5">
        <f t="shared" si="33"/>
        <v>13.25</v>
      </c>
      <c r="Q691" s="5">
        <f t="shared" si="34"/>
        <v>0.27052083333333332</v>
      </c>
      <c r="R691" s="5">
        <f t="shared" si="35"/>
        <v>16.231249999999999</v>
      </c>
    </row>
    <row r="692" spans="1:18">
      <c r="A692" s="4">
        <v>44521</v>
      </c>
      <c r="B692" s="1" t="s">
        <v>22</v>
      </c>
      <c r="C692" s="1">
        <f t="shared" si="42"/>
        <v>11</v>
      </c>
      <c r="D692" s="1">
        <f t="shared" si="43"/>
        <v>21</v>
      </c>
      <c r="E692" s="1">
        <f t="shared" si="44"/>
        <v>2021</v>
      </c>
      <c r="F692" s="1">
        <v>691</v>
      </c>
      <c r="G692" s="1">
        <v>84</v>
      </c>
      <c r="H692" s="1">
        <v>77</v>
      </c>
      <c r="I692" s="2">
        <v>0.91669999999999996</v>
      </c>
      <c r="J692" s="1">
        <v>7</v>
      </c>
      <c r="K692" s="3">
        <v>1.9675925925925926E-4</v>
      </c>
      <c r="L692" s="3">
        <v>1.4699074074074074E-3</v>
      </c>
      <c r="M692" s="3">
        <v>3.1250000000000002E-3</v>
      </c>
      <c r="N692" s="2">
        <v>0.7349</v>
      </c>
      <c r="O692" s="5">
        <f t="shared" si="32"/>
        <v>0.11318287037037036</v>
      </c>
      <c r="P692" s="5">
        <f t="shared" si="33"/>
        <v>6.790972222222222</v>
      </c>
      <c r="Q692" s="5">
        <f t="shared" si="34"/>
        <v>0.12347222222222222</v>
      </c>
      <c r="R692" s="5">
        <f t="shared" si="35"/>
        <v>7.4083333333333332</v>
      </c>
    </row>
    <row r="693" spans="1:18">
      <c r="A693" s="4">
        <v>44522</v>
      </c>
      <c r="B693" s="1" t="s">
        <v>23</v>
      </c>
      <c r="C693" s="1">
        <f t="shared" si="42"/>
        <v>11</v>
      </c>
      <c r="D693" s="1">
        <f t="shared" si="43"/>
        <v>22</v>
      </c>
      <c r="E693" s="1">
        <f t="shared" si="44"/>
        <v>2021</v>
      </c>
      <c r="F693" s="1">
        <v>692</v>
      </c>
      <c r="G693" s="1">
        <v>325</v>
      </c>
      <c r="H693" s="1">
        <v>78</v>
      </c>
      <c r="I693" s="2">
        <v>0.24</v>
      </c>
      <c r="J693" s="1">
        <v>247</v>
      </c>
      <c r="K693" s="3">
        <v>2.2337962962962962E-3</v>
      </c>
      <c r="L693" s="3">
        <v>2.0949074074074073E-3</v>
      </c>
      <c r="M693" s="3">
        <v>1.2118055555555556E-2</v>
      </c>
      <c r="N693" s="2">
        <v>0</v>
      </c>
      <c r="O693" s="5">
        <f t="shared" si="32"/>
        <v>0.16340277777777776</v>
      </c>
      <c r="P693" s="5">
        <f t="shared" si="33"/>
        <v>9.8041666666666654</v>
      </c>
      <c r="Q693" s="5">
        <f t="shared" si="34"/>
        <v>0.68084490740740733</v>
      </c>
      <c r="R693" s="5">
        <f t="shared" si="35"/>
        <v>40.850694444444443</v>
      </c>
    </row>
    <row r="694" spans="1:18">
      <c r="A694" s="4">
        <v>44523</v>
      </c>
      <c r="B694" s="1" t="s">
        <v>24</v>
      </c>
      <c r="C694" s="1">
        <f t="shared" si="42"/>
        <v>11</v>
      </c>
      <c r="D694" s="1">
        <f t="shared" si="43"/>
        <v>23</v>
      </c>
      <c r="E694" s="1">
        <f t="shared" si="44"/>
        <v>2021</v>
      </c>
      <c r="F694" s="1">
        <v>693</v>
      </c>
      <c r="G694" s="1">
        <v>441</v>
      </c>
      <c r="H694" s="1">
        <v>103</v>
      </c>
      <c r="I694" s="2">
        <v>0.2336</v>
      </c>
      <c r="J694" s="1">
        <v>338</v>
      </c>
      <c r="K694" s="3">
        <v>2.8240740740740739E-3</v>
      </c>
      <c r="L694" s="3">
        <v>1.8865740740740742E-3</v>
      </c>
      <c r="M694" s="3">
        <v>1.0856481481481481E-2</v>
      </c>
      <c r="N694" s="2">
        <v>2.3E-3</v>
      </c>
      <c r="O694" s="5">
        <f t="shared" si="32"/>
        <v>0.19431712962962963</v>
      </c>
      <c r="P694" s="5">
        <f t="shared" si="33"/>
        <v>11.659027777777778</v>
      </c>
      <c r="Q694" s="5">
        <f t="shared" si="34"/>
        <v>0.83197916666666671</v>
      </c>
      <c r="R694" s="5">
        <f t="shared" si="35"/>
        <v>49.918750000000003</v>
      </c>
    </row>
    <row r="695" spans="1:18">
      <c r="A695" s="4">
        <v>44524</v>
      </c>
      <c r="B695" s="1" t="s">
        <v>18</v>
      </c>
      <c r="C695" s="1">
        <f t="shared" si="42"/>
        <v>11</v>
      </c>
      <c r="D695" s="1">
        <f t="shared" si="43"/>
        <v>24</v>
      </c>
      <c r="E695" s="1">
        <f t="shared" si="44"/>
        <v>2021</v>
      </c>
      <c r="F695" s="1">
        <v>694</v>
      </c>
      <c r="G695" s="1">
        <v>525</v>
      </c>
      <c r="H695" s="1">
        <v>116</v>
      </c>
      <c r="I695" s="2">
        <v>0.221</v>
      </c>
      <c r="J695" s="1">
        <v>409</v>
      </c>
      <c r="K695" s="3">
        <v>3.5648148148148149E-3</v>
      </c>
      <c r="L695" s="3">
        <v>2.1759259259259258E-3</v>
      </c>
      <c r="M695" s="3">
        <v>1.5925925925925927E-2</v>
      </c>
      <c r="N695" s="2">
        <v>0</v>
      </c>
      <c r="O695" s="5">
        <f t="shared" si="32"/>
        <v>0.25240740740740741</v>
      </c>
      <c r="P695" s="5">
        <f t="shared" si="33"/>
        <v>15.144444444444446</v>
      </c>
      <c r="Q695" s="5">
        <f t="shared" si="34"/>
        <v>1.1423611111111109</v>
      </c>
      <c r="R695" s="5">
        <f t="shared" si="35"/>
        <v>68.541666666666657</v>
      </c>
    </row>
    <row r="696" spans="1:18">
      <c r="A696" s="4">
        <v>44525</v>
      </c>
      <c r="B696" s="1" t="s">
        <v>19</v>
      </c>
      <c r="C696" s="1">
        <f t="shared" si="42"/>
        <v>11</v>
      </c>
      <c r="D696" s="1">
        <f t="shared" si="43"/>
        <v>25</v>
      </c>
      <c r="E696" s="1">
        <f t="shared" si="44"/>
        <v>2021</v>
      </c>
      <c r="F696" s="1">
        <v>695</v>
      </c>
      <c r="G696" s="1">
        <v>610</v>
      </c>
      <c r="H696" s="1">
        <v>201</v>
      </c>
      <c r="I696" s="2">
        <v>0.32950000000000002</v>
      </c>
      <c r="J696" s="1">
        <v>409</v>
      </c>
      <c r="K696" s="3">
        <v>2.2337962962962962E-3</v>
      </c>
      <c r="L696" s="3">
        <v>1.9907407407407408E-3</v>
      </c>
      <c r="M696" s="3">
        <v>1.3368055555555555E-2</v>
      </c>
      <c r="N696" s="2">
        <v>3.5200000000000002E-2</v>
      </c>
      <c r="O696" s="5">
        <f t="shared" si="32"/>
        <v>0.40013888888888893</v>
      </c>
      <c r="P696" s="5">
        <f t="shared" si="33"/>
        <v>24.008333333333336</v>
      </c>
      <c r="Q696" s="5">
        <f t="shared" si="34"/>
        <v>1.2143518518518519</v>
      </c>
      <c r="R696" s="5">
        <f t="shared" si="35"/>
        <v>72.861111111111114</v>
      </c>
    </row>
    <row r="697" spans="1:18">
      <c r="A697" s="4">
        <v>44526</v>
      </c>
      <c r="B697" s="1" t="s">
        <v>20</v>
      </c>
      <c r="C697" s="1">
        <f t="shared" si="42"/>
        <v>11</v>
      </c>
      <c r="D697" s="1">
        <f t="shared" si="43"/>
        <v>26</v>
      </c>
      <c r="E697" s="1">
        <f t="shared" si="44"/>
        <v>2021</v>
      </c>
      <c r="F697" s="1">
        <v>696</v>
      </c>
      <c r="G697" s="1">
        <v>427</v>
      </c>
      <c r="H697" s="1">
        <v>282</v>
      </c>
      <c r="I697" s="2">
        <v>0.66039999999999999</v>
      </c>
      <c r="J697" s="1">
        <v>145</v>
      </c>
      <c r="K697" s="3">
        <v>7.1759259259259259E-4</v>
      </c>
      <c r="L697" s="3">
        <v>1.9560185185185184E-3</v>
      </c>
      <c r="M697" s="3">
        <v>1.0208333333333333E-2</v>
      </c>
      <c r="N697" s="2">
        <v>0.24879999999999999</v>
      </c>
      <c r="O697" s="5">
        <f t="shared" si="32"/>
        <v>0.55159722222222218</v>
      </c>
      <c r="P697" s="5">
        <f t="shared" si="33"/>
        <v>33.095833333333331</v>
      </c>
      <c r="Q697" s="5">
        <f t="shared" si="34"/>
        <v>0.83521990740740737</v>
      </c>
      <c r="R697" s="5">
        <f t="shared" si="35"/>
        <v>50.113194444444446</v>
      </c>
    </row>
    <row r="698" spans="1:18">
      <c r="A698" s="4">
        <v>44527</v>
      </c>
      <c r="B698" s="1" t="s">
        <v>21</v>
      </c>
      <c r="C698" s="1">
        <f t="shared" si="42"/>
        <v>11</v>
      </c>
      <c r="D698" s="1">
        <f t="shared" si="43"/>
        <v>27</v>
      </c>
      <c r="E698" s="1">
        <f t="shared" si="44"/>
        <v>2021</v>
      </c>
      <c r="F698" s="1">
        <v>697</v>
      </c>
      <c r="G698" s="1">
        <v>378</v>
      </c>
      <c r="H698" s="1">
        <v>331</v>
      </c>
      <c r="I698" s="2">
        <v>0.87570000000000003</v>
      </c>
      <c r="J698" s="1">
        <v>47</v>
      </c>
      <c r="K698" s="3">
        <v>4.9768518518518521E-4</v>
      </c>
      <c r="L698" s="3">
        <v>1.8171296296296297E-3</v>
      </c>
      <c r="M698" s="3">
        <v>3.8194444444444443E-3</v>
      </c>
      <c r="N698" s="2">
        <v>0.40329999999999999</v>
      </c>
      <c r="O698" s="5">
        <f t="shared" si="32"/>
        <v>0.60146990740740747</v>
      </c>
      <c r="P698" s="5">
        <f t="shared" si="33"/>
        <v>36.088194444444447</v>
      </c>
      <c r="Q698" s="5">
        <f t="shared" si="34"/>
        <v>0.68687500000000001</v>
      </c>
      <c r="R698" s="5">
        <f t="shared" si="35"/>
        <v>41.212499999999999</v>
      </c>
    </row>
    <row r="699" spans="1:18">
      <c r="A699" s="4">
        <v>44528</v>
      </c>
      <c r="B699" s="1" t="s">
        <v>22</v>
      </c>
      <c r="C699" s="1">
        <f t="shared" si="42"/>
        <v>11</v>
      </c>
      <c r="D699" s="1">
        <f t="shared" si="43"/>
        <v>28</v>
      </c>
      <c r="E699" s="1">
        <f t="shared" si="44"/>
        <v>2021</v>
      </c>
      <c r="F699" s="1">
        <v>698</v>
      </c>
      <c r="G699" s="1">
        <v>80</v>
      </c>
      <c r="H699" s="1">
        <v>67</v>
      </c>
      <c r="I699" s="2">
        <v>0.83750000000000002</v>
      </c>
      <c r="J699" s="1">
        <v>13</v>
      </c>
      <c r="K699" s="3">
        <v>4.3981481481481481E-4</v>
      </c>
      <c r="L699" s="3">
        <v>2.2222222222222222E-3</v>
      </c>
      <c r="M699" s="3">
        <v>3.8194444444444443E-3</v>
      </c>
      <c r="N699" s="2">
        <v>0.46250000000000002</v>
      </c>
      <c r="O699" s="5">
        <f t="shared" si="32"/>
        <v>0.14888888888888888</v>
      </c>
      <c r="P699" s="5">
        <f t="shared" si="33"/>
        <v>8.9333333333333318</v>
      </c>
      <c r="Q699" s="5">
        <f t="shared" si="34"/>
        <v>0.17777777777777778</v>
      </c>
      <c r="R699" s="5">
        <f t="shared" si="35"/>
        <v>10.666666666666668</v>
      </c>
    </row>
    <row r="700" spans="1:18">
      <c r="A700" s="4">
        <v>44529</v>
      </c>
      <c r="B700" s="1" t="s">
        <v>23</v>
      </c>
      <c r="C700" s="1">
        <f t="shared" si="42"/>
        <v>11</v>
      </c>
      <c r="D700" s="1">
        <f t="shared" si="43"/>
        <v>29</v>
      </c>
      <c r="E700" s="1">
        <f t="shared" si="44"/>
        <v>2021</v>
      </c>
      <c r="F700" s="1">
        <v>699</v>
      </c>
      <c r="G700" s="1">
        <v>356</v>
      </c>
      <c r="H700" s="1">
        <v>320</v>
      </c>
      <c r="I700" s="2">
        <v>0.89890000000000003</v>
      </c>
      <c r="J700" s="1">
        <v>36</v>
      </c>
      <c r="K700" s="3">
        <v>3.9351851851851852E-4</v>
      </c>
      <c r="L700" s="3">
        <v>1.9907407407407408E-3</v>
      </c>
      <c r="M700" s="3">
        <v>3.8194444444444443E-3</v>
      </c>
      <c r="N700" s="2">
        <v>0.52559999999999996</v>
      </c>
      <c r="O700" s="5">
        <f t="shared" si="32"/>
        <v>0.63703703703703707</v>
      </c>
      <c r="P700" s="5">
        <f t="shared" si="33"/>
        <v>38.222222222222221</v>
      </c>
      <c r="Q700" s="5">
        <f t="shared" si="34"/>
        <v>0.70870370370370372</v>
      </c>
      <c r="R700" s="5">
        <f t="shared" si="35"/>
        <v>42.522222222222226</v>
      </c>
    </row>
    <row r="701" spans="1:18">
      <c r="A701" s="4">
        <v>44530</v>
      </c>
      <c r="B701" s="1" t="s">
        <v>24</v>
      </c>
      <c r="C701" s="1">
        <f t="shared" si="42"/>
        <v>11</v>
      </c>
      <c r="D701" s="1">
        <f t="shared" si="43"/>
        <v>30</v>
      </c>
      <c r="E701" s="1">
        <f t="shared" si="44"/>
        <v>2021</v>
      </c>
      <c r="F701" s="1">
        <v>700</v>
      </c>
      <c r="G701" s="1">
        <v>409</v>
      </c>
      <c r="H701" s="1">
        <v>355</v>
      </c>
      <c r="I701" s="2">
        <v>0.86799999999999999</v>
      </c>
      <c r="J701" s="1">
        <v>54</v>
      </c>
      <c r="K701" s="3">
        <v>5.0925925925925921E-4</v>
      </c>
      <c r="L701" s="3">
        <v>2.0254629629629629E-3</v>
      </c>
      <c r="M701" s="3">
        <v>3.0208333333333333E-3</v>
      </c>
      <c r="N701" s="2">
        <v>0.39700000000000002</v>
      </c>
      <c r="O701" s="5">
        <f t="shared" si="32"/>
        <v>0.71903935185185186</v>
      </c>
      <c r="P701" s="5">
        <f t="shared" si="33"/>
        <v>43.142361111111114</v>
      </c>
      <c r="Q701" s="5">
        <f t="shared" si="34"/>
        <v>0.82841435185185186</v>
      </c>
      <c r="R701" s="5">
        <f t="shared" si="35"/>
        <v>49.704861111111114</v>
      </c>
    </row>
    <row r="702" spans="1:18">
      <c r="A702" s="4">
        <v>44531</v>
      </c>
      <c r="B702" s="1" t="s">
        <v>18</v>
      </c>
      <c r="C702" s="1">
        <f t="shared" si="42"/>
        <v>12</v>
      </c>
      <c r="D702" s="1">
        <f t="shared" si="43"/>
        <v>1</v>
      </c>
      <c r="E702" s="1">
        <f t="shared" si="44"/>
        <v>2021</v>
      </c>
      <c r="F702" s="1">
        <v>701</v>
      </c>
      <c r="G702" s="1">
        <v>352</v>
      </c>
      <c r="H702" s="1">
        <v>302</v>
      </c>
      <c r="I702" s="2">
        <v>0.85799999999999998</v>
      </c>
      <c r="J702" s="1">
        <v>50</v>
      </c>
      <c r="K702" s="3">
        <v>4.7453703703703704E-4</v>
      </c>
      <c r="L702" s="3">
        <v>2.1180555555555558E-3</v>
      </c>
      <c r="M702" s="3">
        <v>4.0393518518518521E-3</v>
      </c>
      <c r="N702" s="2">
        <v>0.47399999999999998</v>
      </c>
      <c r="O702" s="5">
        <f t="shared" si="32"/>
        <v>0.63965277777777785</v>
      </c>
      <c r="P702" s="5">
        <f t="shared" si="33"/>
        <v>38.37916666666667</v>
      </c>
      <c r="Q702" s="5">
        <f t="shared" si="34"/>
        <v>0.74555555555555564</v>
      </c>
      <c r="R702" s="5">
        <f t="shared" si="35"/>
        <v>44.733333333333341</v>
      </c>
    </row>
    <row r="703" spans="1:18">
      <c r="A703" s="4">
        <v>44532</v>
      </c>
      <c r="B703" s="1" t="s">
        <v>19</v>
      </c>
      <c r="C703" s="1">
        <f t="shared" si="42"/>
        <v>12</v>
      </c>
      <c r="D703" s="1">
        <f t="shared" si="43"/>
        <v>2</v>
      </c>
      <c r="E703" s="1">
        <f t="shared" si="44"/>
        <v>2021</v>
      </c>
      <c r="F703" s="1">
        <v>702</v>
      </c>
      <c r="G703" s="1">
        <v>282</v>
      </c>
      <c r="H703" s="1">
        <v>239</v>
      </c>
      <c r="I703" s="2">
        <v>0.84750000000000003</v>
      </c>
      <c r="J703" s="1">
        <v>43</v>
      </c>
      <c r="K703" s="3">
        <v>4.5138888888888887E-4</v>
      </c>
      <c r="L703" s="3">
        <v>2.1527777777777778E-3</v>
      </c>
      <c r="M703" s="3">
        <v>5.8564814814814816E-3</v>
      </c>
      <c r="N703" s="2">
        <v>0.51070000000000004</v>
      </c>
      <c r="O703" s="5">
        <f t="shared" si="32"/>
        <v>0.51451388888888894</v>
      </c>
      <c r="P703" s="5">
        <f t="shared" si="33"/>
        <v>30.870833333333337</v>
      </c>
      <c r="Q703" s="5">
        <f t="shared" si="34"/>
        <v>0.60708333333333331</v>
      </c>
      <c r="R703" s="5">
        <f t="shared" si="35"/>
        <v>36.424999999999997</v>
      </c>
    </row>
    <row r="704" spans="1:18">
      <c r="A704" s="4">
        <v>44533</v>
      </c>
      <c r="B704" s="1" t="s">
        <v>20</v>
      </c>
      <c r="C704" s="1">
        <f t="shared" si="42"/>
        <v>12</v>
      </c>
      <c r="D704" s="1">
        <f t="shared" si="43"/>
        <v>3</v>
      </c>
      <c r="E704" s="1">
        <f t="shared" si="44"/>
        <v>2021</v>
      </c>
      <c r="F704" s="1">
        <v>703</v>
      </c>
      <c r="G704" s="1">
        <v>429</v>
      </c>
      <c r="H704" s="1">
        <v>390</v>
      </c>
      <c r="I704" s="2">
        <v>0.90910000000000002</v>
      </c>
      <c r="J704" s="1">
        <v>39</v>
      </c>
      <c r="K704" s="3">
        <v>4.3981481481481481E-4</v>
      </c>
      <c r="L704" s="3">
        <v>1.8634259259259259E-3</v>
      </c>
      <c r="M704" s="3">
        <v>2.5462962962962965E-3</v>
      </c>
      <c r="N704" s="2">
        <v>0.4466</v>
      </c>
      <c r="O704" s="5">
        <f t="shared" si="32"/>
        <v>0.72673611111111114</v>
      </c>
      <c r="P704" s="5">
        <f t="shared" si="33"/>
        <v>43.604166666666671</v>
      </c>
      <c r="Q704" s="5">
        <f t="shared" si="34"/>
        <v>0.79940972222222217</v>
      </c>
      <c r="R704" s="5">
        <f t="shared" si="35"/>
        <v>47.96458333333333</v>
      </c>
    </row>
    <row r="705" spans="1:18">
      <c r="A705" s="4">
        <v>44534</v>
      </c>
      <c r="B705" s="1" t="s">
        <v>21</v>
      </c>
      <c r="C705" s="1">
        <f t="shared" si="42"/>
        <v>12</v>
      </c>
      <c r="D705" s="1">
        <f t="shared" si="43"/>
        <v>4</v>
      </c>
      <c r="E705" s="1">
        <f t="shared" si="44"/>
        <v>2021</v>
      </c>
      <c r="F705" s="1">
        <v>704</v>
      </c>
      <c r="G705" s="1">
        <v>310</v>
      </c>
      <c r="H705" s="1">
        <v>285</v>
      </c>
      <c r="I705" s="2">
        <v>0.9194</v>
      </c>
      <c r="J705" s="1">
        <v>25</v>
      </c>
      <c r="K705" s="3">
        <v>3.8194444444444446E-4</v>
      </c>
      <c r="L705" s="3">
        <v>1.9097222222222222E-3</v>
      </c>
      <c r="M705" s="3">
        <v>2.9166666666666668E-3</v>
      </c>
      <c r="N705" s="2">
        <v>0.56110000000000004</v>
      </c>
      <c r="O705" s="5">
        <f t="shared" si="32"/>
        <v>0.54427083333333337</v>
      </c>
      <c r="P705" s="5">
        <f t="shared" si="33"/>
        <v>32.65625</v>
      </c>
      <c r="Q705" s="5">
        <f t="shared" si="34"/>
        <v>0.59201388888888884</v>
      </c>
      <c r="R705" s="5">
        <f t="shared" si="35"/>
        <v>35.520833333333329</v>
      </c>
    </row>
    <row r="706" spans="1:18">
      <c r="A706" s="4">
        <v>44535</v>
      </c>
      <c r="B706" s="1" t="s">
        <v>22</v>
      </c>
      <c r="C706" s="1">
        <f t="shared" si="42"/>
        <v>12</v>
      </c>
      <c r="D706" s="1">
        <f t="shared" si="43"/>
        <v>5</v>
      </c>
      <c r="E706" s="1">
        <f t="shared" si="44"/>
        <v>2021</v>
      </c>
      <c r="F706" s="1">
        <v>705</v>
      </c>
      <c r="G706" s="1">
        <v>102</v>
      </c>
      <c r="H706" s="1">
        <v>94</v>
      </c>
      <c r="I706" s="2">
        <v>0.92159999999999997</v>
      </c>
      <c r="J706" s="1">
        <v>8</v>
      </c>
      <c r="K706" s="3">
        <v>3.3564814814814812E-4</v>
      </c>
      <c r="L706" s="3">
        <v>1.8518518518518519E-3</v>
      </c>
      <c r="M706" s="3">
        <v>1.9444444444444444E-3</v>
      </c>
      <c r="N706" s="2">
        <v>0.63729999999999998</v>
      </c>
      <c r="O706" s="5">
        <f t="shared" si="32"/>
        <v>0.17407407407407408</v>
      </c>
      <c r="P706" s="5">
        <f t="shared" si="33"/>
        <v>10.444444444444445</v>
      </c>
      <c r="Q706" s="5">
        <f t="shared" si="34"/>
        <v>0.18888888888888888</v>
      </c>
      <c r="R706" s="5">
        <f t="shared" si="35"/>
        <v>11.333333333333332</v>
      </c>
    </row>
    <row r="707" spans="1:18">
      <c r="A707" s="4">
        <v>44536</v>
      </c>
      <c r="B707" s="1" t="s">
        <v>23</v>
      </c>
      <c r="C707" s="1">
        <f t="shared" ref="C707:C770" si="45">MONTH(A707)</f>
        <v>12</v>
      </c>
      <c r="D707" s="1">
        <f t="shared" ref="D707:D770" si="46">DAY(A707)</f>
        <v>6</v>
      </c>
      <c r="E707" s="1">
        <f t="shared" ref="E707:E770" si="47">YEAR(A707)</f>
        <v>2021</v>
      </c>
      <c r="F707" s="1">
        <v>706</v>
      </c>
      <c r="G707" s="1">
        <v>335</v>
      </c>
      <c r="H707" s="1">
        <v>297</v>
      </c>
      <c r="I707" s="2">
        <v>0.88660000000000005</v>
      </c>
      <c r="J707" s="1">
        <v>38</v>
      </c>
      <c r="K707" s="3">
        <v>4.5138888888888887E-4</v>
      </c>
      <c r="L707" s="3">
        <v>1.7708333333333332E-3</v>
      </c>
      <c r="M707" s="3">
        <v>2.5694444444444445E-3</v>
      </c>
      <c r="N707" s="2">
        <v>0.43640000000000001</v>
      </c>
      <c r="O707" s="5">
        <f t="shared" si="32"/>
        <v>0.52593749999999995</v>
      </c>
      <c r="P707" s="5">
        <f t="shared" si="33"/>
        <v>31.556249999999999</v>
      </c>
      <c r="Q707" s="5">
        <f t="shared" si="34"/>
        <v>0.59322916666666659</v>
      </c>
      <c r="R707" s="5">
        <f t="shared" si="35"/>
        <v>35.593749999999993</v>
      </c>
    </row>
    <row r="708" spans="1:18">
      <c r="A708" s="4">
        <v>44537</v>
      </c>
      <c r="B708" s="1" t="s">
        <v>24</v>
      </c>
      <c r="C708" s="1">
        <f t="shared" si="45"/>
        <v>12</v>
      </c>
      <c r="D708" s="1">
        <f t="shared" si="46"/>
        <v>7</v>
      </c>
      <c r="E708" s="1">
        <f t="shared" si="47"/>
        <v>2021</v>
      </c>
      <c r="F708" s="1">
        <v>707</v>
      </c>
      <c r="G708" s="1">
        <v>313</v>
      </c>
      <c r="H708" s="1">
        <v>291</v>
      </c>
      <c r="I708" s="2">
        <v>0.92969999999999997</v>
      </c>
      <c r="J708" s="1">
        <v>22</v>
      </c>
      <c r="K708" s="3">
        <v>3.0092592592592595E-4</v>
      </c>
      <c r="L708" s="3">
        <v>1.6782407407407408E-3</v>
      </c>
      <c r="M708" s="3">
        <v>2.5694444444444445E-3</v>
      </c>
      <c r="N708" s="2">
        <v>0.64290000000000003</v>
      </c>
      <c r="O708" s="5">
        <f t="shared" si="32"/>
        <v>0.48836805555555557</v>
      </c>
      <c r="P708" s="5">
        <f t="shared" si="33"/>
        <v>29.302083333333336</v>
      </c>
      <c r="Q708" s="5">
        <f t="shared" si="34"/>
        <v>0.52528935185185188</v>
      </c>
      <c r="R708" s="5">
        <f t="shared" si="35"/>
        <v>31.517361111111114</v>
      </c>
    </row>
    <row r="709" spans="1:18">
      <c r="A709" s="4">
        <v>44538</v>
      </c>
      <c r="B709" s="1" t="s">
        <v>18</v>
      </c>
      <c r="C709" s="1">
        <f t="shared" si="45"/>
        <v>12</v>
      </c>
      <c r="D709" s="1">
        <f t="shared" si="46"/>
        <v>8</v>
      </c>
      <c r="E709" s="1">
        <f t="shared" si="47"/>
        <v>2021</v>
      </c>
      <c r="F709" s="1">
        <v>708</v>
      </c>
      <c r="G709" s="1">
        <v>251</v>
      </c>
      <c r="H709" s="1">
        <v>240</v>
      </c>
      <c r="I709" s="2">
        <v>0.95620000000000005</v>
      </c>
      <c r="J709" s="1">
        <v>11</v>
      </c>
      <c r="K709" s="3">
        <v>2.7777777777777778E-4</v>
      </c>
      <c r="L709" s="3">
        <v>1.8749999999999999E-3</v>
      </c>
      <c r="M709" s="3">
        <v>1.9097222222222222E-3</v>
      </c>
      <c r="N709" s="2">
        <v>0.67200000000000004</v>
      </c>
      <c r="O709" s="5">
        <f t="shared" si="32"/>
        <v>0.44999999999999996</v>
      </c>
      <c r="P709" s="5">
        <f t="shared" si="33"/>
        <v>26.999999999999996</v>
      </c>
      <c r="Q709" s="5">
        <f t="shared" si="34"/>
        <v>0.47062499999999996</v>
      </c>
      <c r="R709" s="5">
        <f t="shared" si="35"/>
        <v>28.237499999999997</v>
      </c>
    </row>
    <row r="710" spans="1:18">
      <c r="A710" s="4">
        <v>44539</v>
      </c>
      <c r="B710" s="1" t="s">
        <v>19</v>
      </c>
      <c r="C710" s="1">
        <f t="shared" si="45"/>
        <v>12</v>
      </c>
      <c r="D710" s="1">
        <f t="shared" si="46"/>
        <v>9</v>
      </c>
      <c r="E710" s="1">
        <f t="shared" si="47"/>
        <v>2021</v>
      </c>
      <c r="F710" s="1">
        <v>709</v>
      </c>
      <c r="G710" s="1">
        <v>190</v>
      </c>
      <c r="H710" s="1">
        <v>176</v>
      </c>
      <c r="I710" s="2">
        <v>0.92630000000000001</v>
      </c>
      <c r="J710" s="1">
        <v>14</v>
      </c>
      <c r="K710" s="3">
        <v>2.7777777777777778E-4</v>
      </c>
      <c r="L710" s="3">
        <v>1.7476851851851852E-3</v>
      </c>
      <c r="M710" s="3">
        <v>2.6967592592592594E-3</v>
      </c>
      <c r="N710" s="2">
        <v>0.67720000000000002</v>
      </c>
      <c r="O710" s="5">
        <f t="shared" si="32"/>
        <v>0.30759259259259258</v>
      </c>
      <c r="P710" s="5">
        <f t="shared" si="33"/>
        <v>18.455555555555556</v>
      </c>
      <c r="Q710" s="5">
        <f t="shared" si="34"/>
        <v>0.33206018518518521</v>
      </c>
      <c r="R710" s="5">
        <f t="shared" si="35"/>
        <v>19.923611111111114</v>
      </c>
    </row>
    <row r="711" spans="1:18">
      <c r="A711" s="4">
        <v>44540</v>
      </c>
      <c r="B711" s="1" t="s">
        <v>20</v>
      </c>
      <c r="C711" s="1">
        <f t="shared" si="45"/>
        <v>12</v>
      </c>
      <c r="D711" s="1">
        <f t="shared" si="46"/>
        <v>10</v>
      </c>
      <c r="E711" s="1">
        <f t="shared" si="47"/>
        <v>2021</v>
      </c>
      <c r="F711" s="1">
        <v>710</v>
      </c>
      <c r="G711" s="1">
        <v>188</v>
      </c>
      <c r="H711" s="1">
        <v>170</v>
      </c>
      <c r="I711" s="2">
        <v>0.90429999999999999</v>
      </c>
      <c r="J711" s="1">
        <v>18</v>
      </c>
      <c r="K711" s="3">
        <v>3.9351851851851852E-4</v>
      </c>
      <c r="L711" s="3">
        <v>1.9560185185185184E-3</v>
      </c>
      <c r="M711" s="3">
        <v>4.4560185185185189E-3</v>
      </c>
      <c r="N711" s="2">
        <v>0.5323</v>
      </c>
      <c r="O711" s="5">
        <f t="shared" si="32"/>
        <v>0.33252314814814815</v>
      </c>
      <c r="P711" s="5">
        <f t="shared" si="33"/>
        <v>19.951388888888889</v>
      </c>
      <c r="Q711" s="5">
        <f t="shared" si="34"/>
        <v>0.36773148148148144</v>
      </c>
      <c r="R711" s="5">
        <f t="shared" si="35"/>
        <v>22.063888888888886</v>
      </c>
    </row>
    <row r="712" spans="1:18">
      <c r="A712" s="4">
        <v>44541</v>
      </c>
      <c r="B712" s="1" t="s">
        <v>21</v>
      </c>
      <c r="C712" s="1">
        <f t="shared" si="45"/>
        <v>12</v>
      </c>
      <c r="D712" s="1">
        <f t="shared" si="46"/>
        <v>11</v>
      </c>
      <c r="E712" s="1">
        <f t="shared" si="47"/>
        <v>2021</v>
      </c>
      <c r="F712" s="1">
        <v>711</v>
      </c>
      <c r="G712" s="1">
        <v>166</v>
      </c>
      <c r="H712" s="1">
        <v>160</v>
      </c>
      <c r="I712" s="2">
        <v>0.96389999999999998</v>
      </c>
      <c r="J712" s="1">
        <v>6</v>
      </c>
      <c r="K712" s="3">
        <v>1.7361111111111112E-4</v>
      </c>
      <c r="L712" s="3">
        <v>1.8518518518518519E-3</v>
      </c>
      <c r="M712" s="3">
        <v>1.9097222222222222E-3</v>
      </c>
      <c r="N712" s="2">
        <v>0.81820000000000004</v>
      </c>
      <c r="O712" s="5">
        <f t="shared" si="32"/>
        <v>0.29629629629629628</v>
      </c>
      <c r="P712" s="5">
        <f t="shared" si="33"/>
        <v>17.777777777777779</v>
      </c>
      <c r="Q712" s="5">
        <f t="shared" si="34"/>
        <v>0.30740740740740741</v>
      </c>
      <c r="R712" s="5">
        <f t="shared" si="35"/>
        <v>18.444444444444443</v>
      </c>
    </row>
    <row r="713" spans="1:18">
      <c r="A713" s="4">
        <v>44542</v>
      </c>
      <c r="B713" s="1" t="s">
        <v>22</v>
      </c>
      <c r="C713" s="1">
        <f t="shared" si="45"/>
        <v>12</v>
      </c>
      <c r="D713" s="1">
        <f t="shared" si="46"/>
        <v>12</v>
      </c>
      <c r="E713" s="1">
        <f t="shared" si="47"/>
        <v>2021</v>
      </c>
      <c r="F713" s="1">
        <v>712</v>
      </c>
      <c r="G713" s="1">
        <v>73</v>
      </c>
      <c r="H713" s="1">
        <v>68</v>
      </c>
      <c r="I713" s="2">
        <v>0.93149999999999999</v>
      </c>
      <c r="J713" s="1">
        <v>5</v>
      </c>
      <c r="K713" s="3">
        <v>1.7361111111111112E-4</v>
      </c>
      <c r="L713" s="3">
        <v>1.5393518518518519E-3</v>
      </c>
      <c r="M713" s="3">
        <v>1.712962962962963E-3</v>
      </c>
      <c r="N713" s="2">
        <v>0.78869999999999996</v>
      </c>
      <c r="O713" s="5">
        <f t="shared" si="32"/>
        <v>0.10467592592592592</v>
      </c>
      <c r="P713" s="5">
        <f t="shared" si="33"/>
        <v>6.280555555555555</v>
      </c>
      <c r="Q713" s="5">
        <f t="shared" si="34"/>
        <v>0.11237268518518519</v>
      </c>
      <c r="R713" s="5">
        <f t="shared" si="35"/>
        <v>6.7423611111111112</v>
      </c>
    </row>
    <row r="714" spans="1:18">
      <c r="A714" s="4">
        <v>44543</v>
      </c>
      <c r="B714" s="1" t="s">
        <v>23</v>
      </c>
      <c r="C714" s="1">
        <f t="shared" si="45"/>
        <v>12</v>
      </c>
      <c r="D714" s="1">
        <f t="shared" si="46"/>
        <v>13</v>
      </c>
      <c r="E714" s="1">
        <f t="shared" si="47"/>
        <v>2021</v>
      </c>
      <c r="F714" s="1">
        <v>713</v>
      </c>
      <c r="G714" s="1">
        <v>170</v>
      </c>
      <c r="H714" s="1">
        <v>159</v>
      </c>
      <c r="I714" s="2">
        <v>0.93530000000000002</v>
      </c>
      <c r="J714" s="1">
        <v>11</v>
      </c>
      <c r="K714" s="3">
        <v>2.3148148148148149E-4</v>
      </c>
      <c r="L714" s="3">
        <v>1.8518518518518519E-3</v>
      </c>
      <c r="M714" s="3">
        <v>3.3680555555555556E-3</v>
      </c>
      <c r="N714" s="2">
        <v>0.73209999999999997</v>
      </c>
      <c r="O714" s="5">
        <f t="shared" si="32"/>
        <v>0.29444444444444445</v>
      </c>
      <c r="P714" s="5">
        <f t="shared" si="33"/>
        <v>17.666666666666668</v>
      </c>
      <c r="Q714" s="5">
        <f t="shared" si="34"/>
        <v>0.31481481481481483</v>
      </c>
      <c r="R714" s="5">
        <f t="shared" si="35"/>
        <v>18.888888888888889</v>
      </c>
    </row>
    <row r="715" spans="1:18">
      <c r="A715" s="4">
        <v>44544</v>
      </c>
      <c r="B715" s="1" t="s">
        <v>24</v>
      </c>
      <c r="C715" s="1">
        <f t="shared" si="45"/>
        <v>12</v>
      </c>
      <c r="D715" s="1">
        <f t="shared" si="46"/>
        <v>14</v>
      </c>
      <c r="E715" s="1">
        <f t="shared" si="47"/>
        <v>2021</v>
      </c>
      <c r="F715" s="1">
        <v>714</v>
      </c>
      <c r="G715" s="1">
        <v>188</v>
      </c>
      <c r="H715" s="1">
        <v>181</v>
      </c>
      <c r="I715" s="2">
        <v>0.96279999999999999</v>
      </c>
      <c r="J715" s="1">
        <v>7</v>
      </c>
      <c r="K715" s="3">
        <v>2.6620370370370372E-4</v>
      </c>
      <c r="L715" s="3">
        <v>1.8402777777777777E-3</v>
      </c>
      <c r="M715" s="3">
        <v>2.0949074074074073E-3</v>
      </c>
      <c r="N715" s="2">
        <v>0.68279999999999996</v>
      </c>
      <c r="O715" s="5">
        <f t="shared" si="32"/>
        <v>0.33309027777777778</v>
      </c>
      <c r="P715" s="5">
        <f t="shared" si="33"/>
        <v>19.985416666666666</v>
      </c>
      <c r="Q715" s="5">
        <f t="shared" si="34"/>
        <v>0.34597222222222218</v>
      </c>
      <c r="R715" s="5">
        <f t="shared" si="35"/>
        <v>20.758333333333329</v>
      </c>
    </row>
    <row r="716" spans="1:18">
      <c r="A716" s="4">
        <v>44545</v>
      </c>
      <c r="B716" s="1" t="s">
        <v>18</v>
      </c>
      <c r="C716" s="1">
        <f t="shared" si="45"/>
        <v>12</v>
      </c>
      <c r="D716" s="1">
        <f t="shared" si="46"/>
        <v>15</v>
      </c>
      <c r="E716" s="1">
        <f t="shared" si="47"/>
        <v>2021</v>
      </c>
      <c r="F716" s="1">
        <v>715</v>
      </c>
      <c r="G716" s="1">
        <v>306</v>
      </c>
      <c r="H716" s="1">
        <v>262</v>
      </c>
      <c r="I716" s="2">
        <v>0.85619999999999996</v>
      </c>
      <c r="J716" s="1">
        <v>44</v>
      </c>
      <c r="K716" s="3">
        <v>5.0925925925925921E-4</v>
      </c>
      <c r="L716" s="3">
        <v>1.9444444444444444E-3</v>
      </c>
      <c r="M716" s="3">
        <v>5.2893518518518515E-3</v>
      </c>
      <c r="N716" s="2">
        <v>0.46329999999999999</v>
      </c>
      <c r="O716" s="5">
        <f t="shared" si="32"/>
        <v>0.50944444444444448</v>
      </c>
      <c r="P716" s="5">
        <f t="shared" si="33"/>
        <v>30.56666666666667</v>
      </c>
      <c r="Q716" s="5">
        <f t="shared" si="34"/>
        <v>0.59499999999999997</v>
      </c>
      <c r="R716" s="5">
        <f t="shared" si="35"/>
        <v>35.699999999999996</v>
      </c>
    </row>
    <row r="717" spans="1:18">
      <c r="A717" s="4">
        <v>44546</v>
      </c>
      <c r="B717" s="1" t="s">
        <v>19</v>
      </c>
      <c r="C717" s="1">
        <f t="shared" si="45"/>
        <v>12</v>
      </c>
      <c r="D717" s="1">
        <f t="shared" si="46"/>
        <v>16</v>
      </c>
      <c r="E717" s="1">
        <f t="shared" si="47"/>
        <v>2021</v>
      </c>
      <c r="F717" s="1">
        <v>716</v>
      </c>
      <c r="G717" s="1">
        <v>201</v>
      </c>
      <c r="H717" s="1">
        <v>185</v>
      </c>
      <c r="I717" s="2">
        <v>0.9204</v>
      </c>
      <c r="J717" s="1">
        <v>16</v>
      </c>
      <c r="K717" s="3">
        <v>2.6620370370370372E-4</v>
      </c>
      <c r="L717" s="3">
        <v>1.8287037037037037E-3</v>
      </c>
      <c r="M717" s="3">
        <v>1.9212962962962964E-3</v>
      </c>
      <c r="N717" s="2">
        <v>0.6734</v>
      </c>
      <c r="O717" s="5">
        <f t="shared" si="32"/>
        <v>0.33831018518518519</v>
      </c>
      <c r="P717" s="5">
        <f t="shared" si="33"/>
        <v>20.298611111111111</v>
      </c>
      <c r="Q717" s="5">
        <f t="shared" si="34"/>
        <v>0.36756944444444445</v>
      </c>
      <c r="R717" s="5">
        <f t="shared" si="35"/>
        <v>22.054166666666667</v>
      </c>
    </row>
    <row r="718" spans="1:18">
      <c r="A718" s="4">
        <v>44547</v>
      </c>
      <c r="B718" s="1" t="s">
        <v>20</v>
      </c>
      <c r="C718" s="1">
        <f t="shared" si="45"/>
        <v>12</v>
      </c>
      <c r="D718" s="1">
        <f t="shared" si="46"/>
        <v>17</v>
      </c>
      <c r="E718" s="1">
        <f t="shared" si="47"/>
        <v>2021</v>
      </c>
      <c r="F718" s="1">
        <v>717</v>
      </c>
      <c r="G718" s="1">
        <v>188</v>
      </c>
      <c r="H718" s="1">
        <v>184</v>
      </c>
      <c r="I718" s="2">
        <v>0.97870000000000001</v>
      </c>
      <c r="J718" s="1">
        <v>4</v>
      </c>
      <c r="K718" s="3">
        <v>1.9675925925925926E-4</v>
      </c>
      <c r="L718" s="3">
        <v>1.8055555555555555E-3</v>
      </c>
      <c r="M718" s="3">
        <v>1.6435185185185185E-3</v>
      </c>
      <c r="N718" s="2">
        <v>0.79259999999999997</v>
      </c>
      <c r="O718" s="5">
        <f t="shared" si="32"/>
        <v>0.3322222222222222</v>
      </c>
      <c r="P718" s="5">
        <f t="shared" si="33"/>
        <v>19.93333333333333</v>
      </c>
      <c r="Q718" s="5">
        <f t="shared" si="34"/>
        <v>0.33944444444444444</v>
      </c>
      <c r="R718" s="5">
        <f t="shared" si="35"/>
        <v>20.366666666666667</v>
      </c>
    </row>
    <row r="719" spans="1:18">
      <c r="A719" s="4">
        <v>44548</v>
      </c>
      <c r="B719" s="1" t="s">
        <v>21</v>
      </c>
      <c r="C719" s="1">
        <f t="shared" si="45"/>
        <v>12</v>
      </c>
      <c r="D719" s="1">
        <f t="shared" si="46"/>
        <v>18</v>
      </c>
      <c r="E719" s="1">
        <f t="shared" si="47"/>
        <v>2021</v>
      </c>
      <c r="F719" s="1">
        <v>718</v>
      </c>
      <c r="G719" s="1">
        <v>148</v>
      </c>
      <c r="H719" s="1">
        <v>131</v>
      </c>
      <c r="I719" s="2">
        <v>0.8851</v>
      </c>
      <c r="J719" s="1">
        <v>17</v>
      </c>
      <c r="K719" s="3">
        <v>3.5879629629629629E-4</v>
      </c>
      <c r="L719" s="3">
        <v>1.9791666666666668E-3</v>
      </c>
      <c r="M719" s="3">
        <v>2.5000000000000001E-3</v>
      </c>
      <c r="N719" s="2">
        <v>0.53059999999999996</v>
      </c>
      <c r="O719" s="5">
        <f t="shared" si="32"/>
        <v>0.25927083333333334</v>
      </c>
      <c r="P719" s="5">
        <f t="shared" si="33"/>
        <v>15.55625</v>
      </c>
      <c r="Q719" s="5">
        <f t="shared" si="34"/>
        <v>0.29291666666666671</v>
      </c>
      <c r="R719" s="5">
        <f t="shared" si="35"/>
        <v>17.575000000000003</v>
      </c>
    </row>
    <row r="720" spans="1:18">
      <c r="A720" s="4">
        <v>44549</v>
      </c>
      <c r="B720" s="1" t="s">
        <v>22</v>
      </c>
      <c r="C720" s="1">
        <f t="shared" si="45"/>
        <v>12</v>
      </c>
      <c r="D720" s="1">
        <f t="shared" si="46"/>
        <v>19</v>
      </c>
      <c r="E720" s="1">
        <f t="shared" si="47"/>
        <v>2021</v>
      </c>
      <c r="F720" s="1">
        <v>719</v>
      </c>
      <c r="G720" s="1">
        <v>21</v>
      </c>
      <c r="H720" s="1">
        <v>17</v>
      </c>
      <c r="I720" s="2">
        <v>0.8095</v>
      </c>
      <c r="J720" s="1">
        <v>4</v>
      </c>
      <c r="K720" s="3">
        <v>6.018518518518519E-4</v>
      </c>
      <c r="L720" s="3">
        <v>2.4189814814814816E-3</v>
      </c>
      <c r="M720" s="3">
        <v>7.6388888888888886E-3</v>
      </c>
      <c r="N720" s="2">
        <v>0.52380000000000004</v>
      </c>
      <c r="O720" s="5">
        <f t="shared" si="32"/>
        <v>4.1122685185185186E-2</v>
      </c>
      <c r="P720" s="5">
        <f t="shared" si="33"/>
        <v>2.4673611111111113</v>
      </c>
      <c r="Q720" s="5">
        <f t="shared" si="34"/>
        <v>5.0798611111111114E-2</v>
      </c>
      <c r="R720" s="5">
        <f t="shared" si="35"/>
        <v>3.0479166666666666</v>
      </c>
    </row>
    <row r="721" spans="1:18">
      <c r="A721" s="4">
        <v>44550</v>
      </c>
      <c r="B721" s="1" t="s">
        <v>23</v>
      </c>
      <c r="C721" s="1">
        <f t="shared" si="45"/>
        <v>12</v>
      </c>
      <c r="D721" s="1">
        <f t="shared" si="46"/>
        <v>20</v>
      </c>
      <c r="E721" s="1">
        <f t="shared" si="47"/>
        <v>2021</v>
      </c>
      <c r="F721" s="1">
        <v>720</v>
      </c>
      <c r="G721" s="1">
        <v>148</v>
      </c>
      <c r="H721" s="1">
        <v>129</v>
      </c>
      <c r="I721" s="2">
        <v>0.87160000000000004</v>
      </c>
      <c r="J721" s="1">
        <v>19</v>
      </c>
      <c r="K721" s="3">
        <v>4.6296296296296298E-4</v>
      </c>
      <c r="L721" s="3">
        <v>2.0949074074074073E-3</v>
      </c>
      <c r="M721" s="3">
        <v>4.8148148148148152E-3</v>
      </c>
      <c r="N721" s="2">
        <v>0.45519999999999999</v>
      </c>
      <c r="O721" s="5">
        <f t="shared" si="32"/>
        <v>0.27024305555555556</v>
      </c>
      <c r="P721" s="5">
        <f t="shared" si="33"/>
        <v>16.214583333333334</v>
      </c>
      <c r="Q721" s="5">
        <f t="shared" si="34"/>
        <v>0.31004629629629626</v>
      </c>
      <c r="R721" s="5">
        <f t="shared" si="35"/>
        <v>18.602777777777774</v>
      </c>
    </row>
    <row r="722" spans="1:18">
      <c r="A722" s="4">
        <v>44551</v>
      </c>
      <c r="B722" s="1" t="s">
        <v>24</v>
      </c>
      <c r="C722" s="1">
        <f t="shared" si="45"/>
        <v>12</v>
      </c>
      <c r="D722" s="1">
        <f t="shared" si="46"/>
        <v>21</v>
      </c>
      <c r="E722" s="1">
        <f t="shared" si="47"/>
        <v>2021</v>
      </c>
      <c r="F722" s="1">
        <v>721</v>
      </c>
      <c r="G722" s="1">
        <v>167</v>
      </c>
      <c r="H722" s="1">
        <v>154</v>
      </c>
      <c r="I722" s="2">
        <v>0.92220000000000002</v>
      </c>
      <c r="J722" s="1">
        <v>13</v>
      </c>
      <c r="K722" s="3">
        <v>1.9675925925925926E-4</v>
      </c>
      <c r="L722" s="3">
        <v>1.8865740740740742E-3</v>
      </c>
      <c r="M722" s="3">
        <v>1.9560185185185184E-3</v>
      </c>
      <c r="N722" s="2">
        <v>0.7349</v>
      </c>
      <c r="O722" s="5">
        <f t="shared" si="32"/>
        <v>0.29053240740740743</v>
      </c>
      <c r="P722" s="5">
        <f t="shared" si="33"/>
        <v>17.431944444444447</v>
      </c>
      <c r="Q722" s="5">
        <f t="shared" si="34"/>
        <v>0.31505787037037036</v>
      </c>
      <c r="R722" s="5">
        <f t="shared" si="35"/>
        <v>18.90347222222222</v>
      </c>
    </row>
    <row r="723" spans="1:18">
      <c r="A723" s="4">
        <v>44552</v>
      </c>
      <c r="B723" s="1" t="s">
        <v>18</v>
      </c>
      <c r="C723" s="1">
        <f t="shared" si="45"/>
        <v>12</v>
      </c>
      <c r="D723" s="1">
        <f t="shared" si="46"/>
        <v>22</v>
      </c>
      <c r="E723" s="1">
        <f t="shared" si="47"/>
        <v>2021</v>
      </c>
      <c r="F723" s="1">
        <v>722</v>
      </c>
      <c r="G723" s="1">
        <v>169</v>
      </c>
      <c r="H723" s="1">
        <v>158</v>
      </c>
      <c r="I723" s="2">
        <v>0.93489999999999995</v>
      </c>
      <c r="J723" s="1">
        <v>11</v>
      </c>
      <c r="K723" s="3">
        <v>1.8518518518518518E-4</v>
      </c>
      <c r="L723" s="3">
        <v>1.8055555555555555E-3</v>
      </c>
      <c r="M723" s="3">
        <v>1.2037037037037038E-3</v>
      </c>
      <c r="N723" s="2">
        <v>0.75</v>
      </c>
      <c r="O723" s="5">
        <f t="shared" si="32"/>
        <v>0.28527777777777774</v>
      </c>
      <c r="P723" s="5">
        <f t="shared" si="33"/>
        <v>17.116666666666664</v>
      </c>
      <c r="Q723" s="5">
        <f t="shared" si="34"/>
        <v>0.30513888888888885</v>
      </c>
      <c r="R723" s="5">
        <f t="shared" si="35"/>
        <v>18.30833333333333</v>
      </c>
    </row>
    <row r="724" spans="1:18">
      <c r="A724" s="4">
        <v>44553</v>
      </c>
      <c r="B724" s="1" t="s">
        <v>19</v>
      </c>
      <c r="C724" s="1">
        <f t="shared" si="45"/>
        <v>12</v>
      </c>
      <c r="D724" s="1">
        <f t="shared" si="46"/>
        <v>23</v>
      </c>
      <c r="E724" s="1">
        <f t="shared" si="47"/>
        <v>2021</v>
      </c>
      <c r="F724" s="1">
        <v>723</v>
      </c>
      <c r="G724" s="1">
        <v>175</v>
      </c>
      <c r="H724" s="1">
        <v>163</v>
      </c>
      <c r="I724" s="2">
        <v>0.93140000000000001</v>
      </c>
      <c r="J724" s="1">
        <v>12</v>
      </c>
      <c r="K724" s="3">
        <v>2.5462962962962961E-4</v>
      </c>
      <c r="L724" s="3">
        <v>1.8171296296296297E-3</v>
      </c>
      <c r="M724" s="3">
        <v>1.5972222222222223E-3</v>
      </c>
      <c r="N724" s="2">
        <v>0.71099999999999997</v>
      </c>
      <c r="O724" s="5">
        <f t="shared" si="32"/>
        <v>0.29619212962962965</v>
      </c>
      <c r="P724" s="5">
        <f t="shared" si="33"/>
        <v>17.771527777777781</v>
      </c>
      <c r="Q724" s="5">
        <f t="shared" si="34"/>
        <v>0.31799768518518517</v>
      </c>
      <c r="R724" s="5">
        <f t="shared" si="35"/>
        <v>19.079861111111111</v>
      </c>
    </row>
    <row r="725" spans="1:18">
      <c r="A725" s="4">
        <v>44554</v>
      </c>
      <c r="B725" s="1" t="s">
        <v>20</v>
      </c>
      <c r="C725" s="1">
        <f t="shared" si="45"/>
        <v>12</v>
      </c>
      <c r="D725" s="1">
        <f t="shared" si="46"/>
        <v>24</v>
      </c>
      <c r="E725" s="1">
        <f t="shared" si="47"/>
        <v>2021</v>
      </c>
      <c r="F725" s="1">
        <v>724</v>
      </c>
      <c r="G725" s="1">
        <v>193</v>
      </c>
      <c r="H725" s="1">
        <v>183</v>
      </c>
      <c r="I725" s="2">
        <v>0.94820000000000004</v>
      </c>
      <c r="J725" s="1">
        <v>10</v>
      </c>
      <c r="K725" s="3">
        <v>1.8518518518518518E-4</v>
      </c>
      <c r="L725" s="3">
        <v>1.9560185185185184E-3</v>
      </c>
      <c r="M725" s="3">
        <v>1.9444444444444444E-3</v>
      </c>
      <c r="N725" s="2">
        <v>0.80210000000000004</v>
      </c>
      <c r="O725" s="5">
        <f t="shared" si="32"/>
        <v>0.35795138888888889</v>
      </c>
      <c r="P725" s="5">
        <f t="shared" si="33"/>
        <v>21.477083333333333</v>
      </c>
      <c r="Q725" s="5">
        <f t="shared" si="34"/>
        <v>0.37751157407407404</v>
      </c>
      <c r="R725" s="5">
        <f t="shared" si="35"/>
        <v>22.650694444444444</v>
      </c>
    </row>
    <row r="726" spans="1:18">
      <c r="A726" s="4">
        <v>44555</v>
      </c>
      <c r="B726" s="1" t="s">
        <v>21</v>
      </c>
      <c r="C726" s="1">
        <f t="shared" si="45"/>
        <v>12</v>
      </c>
      <c r="D726" s="1">
        <f t="shared" si="46"/>
        <v>25</v>
      </c>
      <c r="E726" s="1">
        <f t="shared" si="47"/>
        <v>2021</v>
      </c>
      <c r="F726" s="1">
        <v>725</v>
      </c>
      <c r="G726" s="1">
        <v>154</v>
      </c>
      <c r="H726" s="1">
        <v>144</v>
      </c>
      <c r="I726" s="2">
        <v>0.93510000000000004</v>
      </c>
      <c r="J726" s="1">
        <v>10</v>
      </c>
      <c r="K726" s="3">
        <v>2.3148148148148149E-4</v>
      </c>
      <c r="L726" s="3">
        <v>1.8634259259259259E-3</v>
      </c>
      <c r="M726" s="3">
        <v>2.0138888888888888E-3</v>
      </c>
      <c r="N726" s="2">
        <v>0.73509999999999998</v>
      </c>
      <c r="O726" s="5">
        <f t="shared" si="32"/>
        <v>0.26833333333333331</v>
      </c>
      <c r="P726" s="5">
        <f t="shared" si="33"/>
        <v>16.099999999999998</v>
      </c>
      <c r="Q726" s="5">
        <f t="shared" si="34"/>
        <v>0.28696759259259258</v>
      </c>
      <c r="R726" s="5">
        <f t="shared" si="35"/>
        <v>17.218055555555555</v>
      </c>
    </row>
    <row r="727" spans="1:18">
      <c r="A727" s="4">
        <v>44556</v>
      </c>
      <c r="B727" s="1" t="s">
        <v>22</v>
      </c>
      <c r="C727" s="1">
        <f t="shared" si="45"/>
        <v>12</v>
      </c>
      <c r="D727" s="1">
        <f t="shared" si="46"/>
        <v>26</v>
      </c>
      <c r="E727" s="1">
        <f t="shared" si="47"/>
        <v>2021</v>
      </c>
      <c r="F727" s="1">
        <v>726</v>
      </c>
      <c r="G727" s="1">
        <v>35</v>
      </c>
      <c r="H727" s="1">
        <v>34</v>
      </c>
      <c r="I727" s="2">
        <v>0.97140000000000004</v>
      </c>
      <c r="J727" s="1">
        <v>1</v>
      </c>
      <c r="K727" s="3">
        <v>1.6203703703703703E-4</v>
      </c>
      <c r="L727" s="3">
        <v>2.1527777777777778E-3</v>
      </c>
      <c r="M727" s="3">
        <v>6.7129629629629625E-4</v>
      </c>
      <c r="N727" s="2">
        <v>0.77139999999999997</v>
      </c>
      <c r="O727" s="5">
        <f t="shared" si="32"/>
        <v>7.3194444444444451E-2</v>
      </c>
      <c r="P727" s="5">
        <f t="shared" si="33"/>
        <v>4.3916666666666675</v>
      </c>
      <c r="Q727" s="5">
        <f t="shared" si="34"/>
        <v>7.5347222222222218E-2</v>
      </c>
      <c r="R727" s="5">
        <f t="shared" si="35"/>
        <v>4.520833333333333</v>
      </c>
    </row>
    <row r="728" spans="1:18">
      <c r="A728" s="4">
        <v>44557</v>
      </c>
      <c r="B728" s="1" t="s">
        <v>23</v>
      </c>
      <c r="C728" s="1">
        <f t="shared" si="45"/>
        <v>12</v>
      </c>
      <c r="D728" s="1">
        <f t="shared" si="46"/>
        <v>27</v>
      </c>
      <c r="E728" s="1">
        <f t="shared" si="47"/>
        <v>2021</v>
      </c>
      <c r="F728" s="1">
        <v>727</v>
      </c>
      <c r="G728" s="1">
        <v>172</v>
      </c>
      <c r="H728" s="1">
        <v>161</v>
      </c>
      <c r="I728" s="2">
        <v>0.93600000000000005</v>
      </c>
      <c r="J728" s="1">
        <v>11</v>
      </c>
      <c r="K728" s="3">
        <v>2.3148148148148149E-4</v>
      </c>
      <c r="L728" s="3">
        <v>1.9444444444444444E-3</v>
      </c>
      <c r="M728" s="3">
        <v>1.7592592592592592E-3</v>
      </c>
      <c r="N728" s="2">
        <v>0.72089999999999999</v>
      </c>
      <c r="O728" s="5">
        <f t="shared" si="32"/>
        <v>0.31305555555555553</v>
      </c>
      <c r="P728" s="5">
        <f t="shared" si="33"/>
        <v>18.783333333333331</v>
      </c>
      <c r="Q728" s="5">
        <f t="shared" si="34"/>
        <v>0.33444444444444443</v>
      </c>
      <c r="R728" s="5">
        <f t="shared" si="35"/>
        <v>20.066666666666666</v>
      </c>
    </row>
    <row r="729" spans="1:18">
      <c r="A729" s="4">
        <v>44558</v>
      </c>
      <c r="B729" s="1" t="s">
        <v>24</v>
      </c>
      <c r="C729" s="1">
        <f t="shared" si="45"/>
        <v>12</v>
      </c>
      <c r="D729" s="1">
        <f t="shared" si="46"/>
        <v>28</v>
      </c>
      <c r="E729" s="1">
        <f t="shared" si="47"/>
        <v>2021</v>
      </c>
      <c r="F729" s="1">
        <v>728</v>
      </c>
      <c r="G729" s="1">
        <v>195</v>
      </c>
      <c r="H729" s="1">
        <v>182</v>
      </c>
      <c r="I729" s="2">
        <v>0.93330000000000002</v>
      </c>
      <c r="J729" s="1">
        <v>13</v>
      </c>
      <c r="K729" s="3">
        <v>2.7777777777777778E-4</v>
      </c>
      <c r="L729" s="3">
        <v>1.9791666666666668E-3</v>
      </c>
      <c r="M729" s="3">
        <v>2.1990740740740742E-3</v>
      </c>
      <c r="N729" s="2">
        <v>0.66839999999999999</v>
      </c>
      <c r="O729" s="5">
        <f t="shared" si="32"/>
        <v>0.36020833333333335</v>
      </c>
      <c r="P729" s="5">
        <f t="shared" si="33"/>
        <v>21.612500000000001</v>
      </c>
      <c r="Q729" s="5">
        <f t="shared" si="34"/>
        <v>0.38593750000000004</v>
      </c>
      <c r="R729" s="5">
        <f t="shared" si="35"/>
        <v>23.156250000000004</v>
      </c>
    </row>
    <row r="730" spans="1:18">
      <c r="A730" s="4">
        <v>44559</v>
      </c>
      <c r="B730" s="1" t="s">
        <v>18</v>
      </c>
      <c r="C730" s="1">
        <f t="shared" si="45"/>
        <v>12</v>
      </c>
      <c r="D730" s="1">
        <f t="shared" si="46"/>
        <v>29</v>
      </c>
      <c r="E730" s="1">
        <f t="shared" si="47"/>
        <v>2021</v>
      </c>
      <c r="F730" s="1">
        <v>729</v>
      </c>
      <c r="G730" s="1">
        <v>163</v>
      </c>
      <c r="H730" s="1">
        <v>157</v>
      </c>
      <c r="I730" s="2">
        <v>0.96319999999999995</v>
      </c>
      <c r="J730" s="1">
        <v>6</v>
      </c>
      <c r="K730" s="3">
        <v>1.9675925925925926E-4</v>
      </c>
      <c r="L730" s="3">
        <v>1.9212962962962964E-3</v>
      </c>
      <c r="M730" s="3">
        <v>3.8541666666666668E-3</v>
      </c>
      <c r="N730" s="2">
        <v>0.82210000000000005</v>
      </c>
      <c r="O730" s="5">
        <f t="shared" si="32"/>
        <v>0.30164351851851851</v>
      </c>
      <c r="P730" s="5">
        <f t="shared" si="33"/>
        <v>18.098611111111111</v>
      </c>
      <c r="Q730" s="5">
        <f t="shared" si="34"/>
        <v>0.31317129629629631</v>
      </c>
      <c r="R730" s="5">
        <f t="shared" si="35"/>
        <v>18.790277777777778</v>
      </c>
    </row>
    <row r="731" spans="1:18">
      <c r="A731" s="4">
        <v>44560</v>
      </c>
      <c r="B731" s="1" t="s">
        <v>19</v>
      </c>
      <c r="C731" s="1">
        <f t="shared" si="45"/>
        <v>12</v>
      </c>
      <c r="D731" s="1">
        <f t="shared" si="46"/>
        <v>30</v>
      </c>
      <c r="E731" s="1">
        <f t="shared" si="47"/>
        <v>2021</v>
      </c>
      <c r="F731" s="1">
        <v>730</v>
      </c>
      <c r="G731" s="1">
        <v>134</v>
      </c>
      <c r="H731" s="1">
        <v>126</v>
      </c>
      <c r="I731" s="2">
        <v>0.94030000000000002</v>
      </c>
      <c r="J731" s="1">
        <v>8</v>
      </c>
      <c r="K731" s="3">
        <v>3.4722222222222224E-4</v>
      </c>
      <c r="L731" s="3">
        <v>2.0601851851851853E-3</v>
      </c>
      <c r="M731" s="3">
        <v>3.460648148148148E-3</v>
      </c>
      <c r="N731" s="2">
        <v>0.63570000000000004</v>
      </c>
      <c r="O731" s="5">
        <f t="shared" si="32"/>
        <v>0.25958333333333333</v>
      </c>
      <c r="P731" s="5">
        <f t="shared" si="33"/>
        <v>15.574999999999999</v>
      </c>
      <c r="Q731" s="5">
        <f t="shared" si="34"/>
        <v>0.27606481481481482</v>
      </c>
      <c r="R731" s="5">
        <f t="shared" si="35"/>
        <v>16.56388888888889</v>
      </c>
    </row>
    <row r="732" spans="1:18">
      <c r="A732" s="4">
        <v>44561</v>
      </c>
      <c r="B732" s="1" t="s">
        <v>20</v>
      </c>
      <c r="C732" s="1">
        <f t="shared" si="45"/>
        <v>12</v>
      </c>
      <c r="D732" s="1">
        <f t="shared" si="46"/>
        <v>31</v>
      </c>
      <c r="E732" s="1">
        <f t="shared" si="47"/>
        <v>2021</v>
      </c>
      <c r="F732" s="1">
        <v>731</v>
      </c>
      <c r="G732" s="1">
        <v>158</v>
      </c>
      <c r="H732" s="1">
        <v>142</v>
      </c>
      <c r="I732" s="2">
        <v>0.89870000000000005</v>
      </c>
      <c r="J732" s="1">
        <v>16</v>
      </c>
      <c r="K732" s="3">
        <v>2.8935185185185184E-4</v>
      </c>
      <c r="L732" s="3">
        <v>1.9097222222222222E-3</v>
      </c>
      <c r="M732" s="3">
        <v>2.0370370370370369E-3</v>
      </c>
      <c r="N732" s="2">
        <v>0.59350000000000003</v>
      </c>
      <c r="O732" s="5">
        <f t="shared" si="32"/>
        <v>0.27118055555555554</v>
      </c>
      <c r="P732" s="5">
        <f t="shared" si="33"/>
        <v>16.270833333333332</v>
      </c>
      <c r="Q732" s="5">
        <f t="shared" si="34"/>
        <v>0.30173611111111109</v>
      </c>
      <c r="R732" s="5">
        <f t="shared" si="35"/>
        <v>18.104166666666664</v>
      </c>
    </row>
    <row r="733" spans="1:18">
      <c r="A733" s="4">
        <v>44562</v>
      </c>
      <c r="B733" s="1" t="s">
        <v>21</v>
      </c>
      <c r="C733" s="1">
        <f t="shared" si="45"/>
        <v>1</v>
      </c>
      <c r="D733" s="1">
        <f t="shared" si="46"/>
        <v>1</v>
      </c>
      <c r="E733" s="1">
        <f t="shared" si="47"/>
        <v>2022</v>
      </c>
      <c r="F733" s="1">
        <v>732</v>
      </c>
      <c r="G733" s="1">
        <v>161</v>
      </c>
      <c r="H733" s="1">
        <v>144</v>
      </c>
      <c r="I733" s="2">
        <v>0.89439999999999997</v>
      </c>
      <c r="J733" s="1">
        <v>17</v>
      </c>
      <c r="K733" s="3">
        <v>3.9351851851851852E-4</v>
      </c>
      <c r="L733" s="3">
        <v>1.9560185185185184E-3</v>
      </c>
      <c r="M733" s="3">
        <v>3.472222222222222E-3</v>
      </c>
      <c r="N733" s="2">
        <v>0.53129999999999999</v>
      </c>
      <c r="O733" s="5">
        <f t="shared" si="32"/>
        <v>0.28166666666666662</v>
      </c>
      <c r="P733" s="5">
        <f t="shared" si="33"/>
        <v>16.899999999999999</v>
      </c>
      <c r="Q733" s="5">
        <f t="shared" si="34"/>
        <v>0.31491898148148145</v>
      </c>
      <c r="R733" s="5">
        <f t="shared" si="35"/>
        <v>18.895138888888887</v>
      </c>
    </row>
    <row r="734" spans="1:18">
      <c r="A734" s="4">
        <v>44563</v>
      </c>
      <c r="B734" s="1" t="s">
        <v>22</v>
      </c>
      <c r="C734" s="1">
        <f t="shared" si="45"/>
        <v>1</v>
      </c>
      <c r="D734" s="1">
        <f t="shared" si="46"/>
        <v>2</v>
      </c>
      <c r="E734" s="1">
        <f t="shared" si="47"/>
        <v>2022</v>
      </c>
      <c r="F734" s="1">
        <v>733</v>
      </c>
      <c r="G734" s="1">
        <v>36</v>
      </c>
      <c r="H734" s="1">
        <v>34</v>
      </c>
      <c r="I734" s="2">
        <v>0.94440000000000002</v>
      </c>
      <c r="J734" s="1">
        <v>2</v>
      </c>
      <c r="K734" s="3">
        <v>2.3148148148148149E-4</v>
      </c>
      <c r="L734" s="3">
        <v>1.4467592592592592E-3</v>
      </c>
      <c r="M734" s="3">
        <v>1.3541666666666667E-3</v>
      </c>
      <c r="N734" s="2">
        <v>0.72219999999999995</v>
      </c>
      <c r="O734" s="5">
        <f t="shared" si="32"/>
        <v>4.9189814814814811E-2</v>
      </c>
      <c r="P734" s="5">
        <f t="shared" si="33"/>
        <v>2.9513888888888888</v>
      </c>
      <c r="Q734" s="5">
        <f t="shared" si="34"/>
        <v>5.2083333333333329E-2</v>
      </c>
      <c r="R734" s="5">
        <f t="shared" si="35"/>
        <v>3.1249999999999996</v>
      </c>
    </row>
    <row r="735" spans="1:18">
      <c r="A735" s="4">
        <v>44564</v>
      </c>
      <c r="B735" s="1" t="s">
        <v>23</v>
      </c>
      <c r="C735" s="1">
        <f t="shared" si="45"/>
        <v>1</v>
      </c>
      <c r="D735" s="1">
        <f t="shared" si="46"/>
        <v>3</v>
      </c>
      <c r="E735" s="1">
        <f t="shared" si="47"/>
        <v>2022</v>
      </c>
      <c r="F735" s="1">
        <v>734</v>
      </c>
      <c r="G735" s="1">
        <v>147</v>
      </c>
      <c r="H735" s="1">
        <v>136</v>
      </c>
      <c r="I735" s="2">
        <v>0.92520000000000002</v>
      </c>
      <c r="J735" s="1">
        <v>11</v>
      </c>
      <c r="K735" s="3">
        <v>1.9675925925925926E-4</v>
      </c>
      <c r="L735" s="3">
        <v>2.0254629629629629E-3</v>
      </c>
      <c r="M735" s="3">
        <v>2.2569444444444442E-3</v>
      </c>
      <c r="N735" s="2">
        <v>0.7671</v>
      </c>
      <c r="O735" s="5">
        <f t="shared" si="32"/>
        <v>0.27546296296296297</v>
      </c>
      <c r="P735" s="5">
        <f t="shared" si="33"/>
        <v>16.527777777777779</v>
      </c>
      <c r="Q735" s="5">
        <f t="shared" si="34"/>
        <v>0.29774305555555552</v>
      </c>
      <c r="R735" s="5">
        <f t="shared" si="35"/>
        <v>17.864583333333332</v>
      </c>
    </row>
    <row r="736" spans="1:18">
      <c r="A736" s="4">
        <v>44565</v>
      </c>
      <c r="B736" s="1" t="s">
        <v>24</v>
      </c>
      <c r="C736" s="1">
        <f t="shared" si="45"/>
        <v>1</v>
      </c>
      <c r="D736" s="1">
        <f t="shared" si="46"/>
        <v>4</v>
      </c>
      <c r="E736" s="1">
        <f t="shared" si="47"/>
        <v>2022</v>
      </c>
      <c r="F736" s="1">
        <v>735</v>
      </c>
      <c r="G736" s="1">
        <v>131</v>
      </c>
      <c r="H736" s="1">
        <v>130</v>
      </c>
      <c r="I736" s="2">
        <v>0.99239999999999995</v>
      </c>
      <c r="J736" s="1">
        <v>1</v>
      </c>
      <c r="K736" s="3">
        <v>2.0833333333333335E-4</v>
      </c>
      <c r="L736" s="3">
        <v>1.9328703703703704E-3</v>
      </c>
      <c r="M736" s="3">
        <v>2.2916666666666667E-3</v>
      </c>
      <c r="N736" s="2">
        <v>0.76919999999999999</v>
      </c>
      <c r="O736" s="5">
        <f t="shared" si="32"/>
        <v>0.25127314814814816</v>
      </c>
      <c r="P736" s="5">
        <f t="shared" si="33"/>
        <v>15.076388888888889</v>
      </c>
      <c r="Q736" s="5">
        <f t="shared" si="34"/>
        <v>0.25320601851851854</v>
      </c>
      <c r="R736" s="5">
        <f t="shared" si="35"/>
        <v>15.192361111111111</v>
      </c>
    </row>
    <row r="737" spans="1:18">
      <c r="A737" s="4">
        <v>44566</v>
      </c>
      <c r="B737" s="1" t="s">
        <v>18</v>
      </c>
      <c r="C737" s="1">
        <f t="shared" si="45"/>
        <v>1</v>
      </c>
      <c r="D737" s="1">
        <f t="shared" si="46"/>
        <v>5</v>
      </c>
      <c r="E737" s="1">
        <f t="shared" si="47"/>
        <v>2022</v>
      </c>
      <c r="F737" s="1">
        <v>736</v>
      </c>
      <c r="G737" s="1">
        <v>128</v>
      </c>
      <c r="H737" s="1">
        <v>120</v>
      </c>
      <c r="I737" s="2">
        <v>0.9375</v>
      </c>
      <c r="J737" s="1">
        <v>8</v>
      </c>
      <c r="K737" s="3">
        <v>2.5462962962962961E-4</v>
      </c>
      <c r="L737" s="3">
        <v>1.9328703703703704E-3</v>
      </c>
      <c r="M737" s="3">
        <v>1.3194444444444445E-3</v>
      </c>
      <c r="N737" s="2">
        <v>0.6825</v>
      </c>
      <c r="O737" s="5">
        <f t="shared" si="32"/>
        <v>0.23194444444444445</v>
      </c>
      <c r="P737" s="5">
        <f t="shared" si="33"/>
        <v>13.916666666666668</v>
      </c>
      <c r="Q737" s="5">
        <f t="shared" si="34"/>
        <v>0.24740740740740741</v>
      </c>
      <c r="R737" s="5">
        <f t="shared" si="35"/>
        <v>14.844444444444445</v>
      </c>
    </row>
    <row r="738" spans="1:18">
      <c r="A738" s="4">
        <v>44567</v>
      </c>
      <c r="B738" s="1" t="s">
        <v>19</v>
      </c>
      <c r="C738" s="1">
        <f t="shared" si="45"/>
        <v>1</v>
      </c>
      <c r="D738" s="1">
        <f t="shared" si="46"/>
        <v>6</v>
      </c>
      <c r="E738" s="1">
        <f t="shared" si="47"/>
        <v>2022</v>
      </c>
      <c r="F738" s="1">
        <v>737</v>
      </c>
      <c r="G738" s="1">
        <v>136</v>
      </c>
      <c r="H738" s="1">
        <v>119</v>
      </c>
      <c r="I738" s="2">
        <v>0.875</v>
      </c>
      <c r="J738" s="1">
        <v>17</v>
      </c>
      <c r="K738" s="3">
        <v>3.0092592592592595E-4</v>
      </c>
      <c r="L738" s="3">
        <v>1.9907407407407408E-3</v>
      </c>
      <c r="M738" s="3">
        <v>3.1828703703703702E-3</v>
      </c>
      <c r="N738" s="2">
        <v>0.60150000000000003</v>
      </c>
      <c r="O738" s="5">
        <f t="shared" si="32"/>
        <v>0.23689814814814816</v>
      </c>
      <c r="P738" s="5">
        <f t="shared" si="33"/>
        <v>14.21388888888889</v>
      </c>
      <c r="Q738" s="5">
        <f t="shared" si="34"/>
        <v>0.27074074074074073</v>
      </c>
      <c r="R738" s="5">
        <f t="shared" si="35"/>
        <v>16.244444444444444</v>
      </c>
    </row>
    <row r="739" spans="1:18">
      <c r="A739" s="4">
        <v>44568</v>
      </c>
      <c r="B739" s="1" t="s">
        <v>20</v>
      </c>
      <c r="C739" s="1">
        <f t="shared" si="45"/>
        <v>1</v>
      </c>
      <c r="D739" s="1">
        <f t="shared" si="46"/>
        <v>7</v>
      </c>
      <c r="E739" s="1">
        <f t="shared" si="47"/>
        <v>2022</v>
      </c>
      <c r="F739" s="1">
        <v>738</v>
      </c>
      <c r="G739" s="1">
        <v>225</v>
      </c>
      <c r="H739" s="1">
        <v>209</v>
      </c>
      <c r="I739" s="2">
        <v>0.92889999999999995</v>
      </c>
      <c r="J739" s="1">
        <v>16</v>
      </c>
      <c r="K739" s="3">
        <v>2.199074074074074E-4</v>
      </c>
      <c r="L739" s="3">
        <v>1.724537037037037E-3</v>
      </c>
      <c r="M739" s="3">
        <v>2.8472222222222223E-3</v>
      </c>
      <c r="N739" s="2">
        <v>0.76019999999999999</v>
      </c>
      <c r="O739" s="5">
        <f t="shared" si="32"/>
        <v>0.36042824074074076</v>
      </c>
      <c r="P739" s="5">
        <f t="shared" si="33"/>
        <v>21.625694444444445</v>
      </c>
      <c r="Q739" s="5">
        <f t="shared" si="34"/>
        <v>0.38802083333333331</v>
      </c>
      <c r="R739" s="5">
        <f t="shared" si="35"/>
        <v>23.28125</v>
      </c>
    </row>
    <row r="740" spans="1:18">
      <c r="A740" s="4">
        <v>44569</v>
      </c>
      <c r="B740" s="1" t="s">
        <v>21</v>
      </c>
      <c r="C740" s="1">
        <f t="shared" si="45"/>
        <v>1</v>
      </c>
      <c r="D740" s="1">
        <f t="shared" si="46"/>
        <v>8</v>
      </c>
      <c r="E740" s="1">
        <f t="shared" si="47"/>
        <v>2022</v>
      </c>
      <c r="F740" s="1">
        <v>739</v>
      </c>
      <c r="G740" s="1">
        <v>167</v>
      </c>
      <c r="H740" s="1">
        <v>151</v>
      </c>
      <c r="I740" s="2">
        <v>0.9042</v>
      </c>
      <c r="J740" s="1">
        <v>16</v>
      </c>
      <c r="K740" s="3">
        <v>2.199074074074074E-4</v>
      </c>
      <c r="L740" s="3">
        <v>1.7013888888888888E-3</v>
      </c>
      <c r="M740" s="3">
        <v>1.8981481481481482E-3</v>
      </c>
      <c r="N740" s="2">
        <v>0.73329999999999995</v>
      </c>
      <c r="O740" s="5">
        <f t="shared" si="32"/>
        <v>0.25690972222222219</v>
      </c>
      <c r="P740" s="5">
        <f t="shared" si="33"/>
        <v>15.414583333333331</v>
      </c>
      <c r="Q740" s="5">
        <f t="shared" si="34"/>
        <v>0.28413194444444445</v>
      </c>
      <c r="R740" s="5">
        <f t="shared" si="35"/>
        <v>17.047916666666666</v>
      </c>
    </row>
    <row r="741" spans="1:18">
      <c r="A741" s="4">
        <v>44570</v>
      </c>
      <c r="B741" s="1" t="s">
        <v>22</v>
      </c>
      <c r="C741" s="1">
        <f t="shared" si="45"/>
        <v>1</v>
      </c>
      <c r="D741" s="1">
        <f t="shared" si="46"/>
        <v>9</v>
      </c>
      <c r="E741" s="1">
        <f t="shared" si="47"/>
        <v>2022</v>
      </c>
      <c r="F741" s="1">
        <v>740</v>
      </c>
      <c r="G741" s="1">
        <v>48</v>
      </c>
      <c r="H741" s="1">
        <v>46</v>
      </c>
      <c r="I741" s="2">
        <v>0.95830000000000004</v>
      </c>
      <c r="J741" s="1">
        <v>2</v>
      </c>
      <c r="K741" s="3">
        <v>1.8518518518518518E-4</v>
      </c>
      <c r="L741" s="3">
        <v>1.6898148148148148E-3</v>
      </c>
      <c r="M741" s="3">
        <v>1.8287037037037037E-3</v>
      </c>
      <c r="N741" s="2">
        <v>0.78720000000000001</v>
      </c>
      <c r="O741" s="5">
        <f t="shared" si="32"/>
        <v>7.7731481481481485E-2</v>
      </c>
      <c r="P741" s="5">
        <f t="shared" si="33"/>
        <v>4.6638888888888888</v>
      </c>
      <c r="Q741" s="5">
        <f t="shared" si="34"/>
        <v>8.1111111111111106E-2</v>
      </c>
      <c r="R741" s="5">
        <f t="shared" si="35"/>
        <v>4.8666666666666663</v>
      </c>
    </row>
    <row r="742" spans="1:18">
      <c r="A742" s="4">
        <v>44571</v>
      </c>
      <c r="B742" s="1" t="s">
        <v>23</v>
      </c>
      <c r="C742" s="1">
        <f t="shared" si="45"/>
        <v>1</v>
      </c>
      <c r="D742" s="1">
        <f t="shared" si="46"/>
        <v>10</v>
      </c>
      <c r="E742" s="1">
        <f t="shared" si="47"/>
        <v>2022</v>
      </c>
      <c r="F742" s="1">
        <v>741</v>
      </c>
      <c r="G742" s="1">
        <v>232</v>
      </c>
      <c r="H742" s="1">
        <v>204</v>
      </c>
      <c r="I742" s="2">
        <v>0.87929999999999997</v>
      </c>
      <c r="J742" s="1">
        <v>28</v>
      </c>
      <c r="K742" s="3">
        <v>3.7037037037037035E-4</v>
      </c>
      <c r="L742" s="3">
        <v>1.6435185185185185E-3</v>
      </c>
      <c r="M742" s="3">
        <v>2.7314814814814814E-3</v>
      </c>
      <c r="N742" s="2">
        <v>0.55410000000000004</v>
      </c>
      <c r="O742" s="5">
        <f t="shared" si="32"/>
        <v>0.33527777777777779</v>
      </c>
      <c r="P742" s="5">
        <f t="shared" si="33"/>
        <v>20.116666666666667</v>
      </c>
      <c r="Q742" s="5">
        <f t="shared" si="34"/>
        <v>0.3812962962962963</v>
      </c>
      <c r="R742" s="5">
        <f t="shared" si="35"/>
        <v>22.877777777777776</v>
      </c>
    </row>
    <row r="743" spans="1:18">
      <c r="A743" s="4">
        <v>44572</v>
      </c>
      <c r="B743" s="1" t="s">
        <v>24</v>
      </c>
      <c r="C743" s="1">
        <f t="shared" si="45"/>
        <v>1</v>
      </c>
      <c r="D743" s="1">
        <f t="shared" si="46"/>
        <v>11</v>
      </c>
      <c r="E743" s="1">
        <f t="shared" si="47"/>
        <v>2022</v>
      </c>
      <c r="F743" s="1">
        <v>742</v>
      </c>
      <c r="G743" s="1">
        <v>198</v>
      </c>
      <c r="H743" s="1">
        <v>187</v>
      </c>
      <c r="I743" s="2">
        <v>0.94440000000000002</v>
      </c>
      <c r="J743" s="1">
        <v>11</v>
      </c>
      <c r="K743" s="3">
        <v>3.1250000000000001E-4</v>
      </c>
      <c r="L743" s="3">
        <v>1.9444444444444444E-3</v>
      </c>
      <c r="M743" s="3">
        <v>2.2337962962962962E-3</v>
      </c>
      <c r="N743" s="2">
        <v>0.60199999999999998</v>
      </c>
      <c r="O743" s="5">
        <f t="shared" si="32"/>
        <v>0.36361111111111111</v>
      </c>
      <c r="P743" s="5">
        <f t="shared" si="33"/>
        <v>21.816666666666666</v>
      </c>
      <c r="Q743" s="5">
        <f t="shared" si="34"/>
        <v>0.38500000000000001</v>
      </c>
      <c r="R743" s="5">
        <f t="shared" si="35"/>
        <v>23.1</v>
      </c>
    </row>
    <row r="744" spans="1:18">
      <c r="A744" s="4">
        <v>44573</v>
      </c>
      <c r="B744" s="1" t="s">
        <v>18</v>
      </c>
      <c r="C744" s="1">
        <f t="shared" si="45"/>
        <v>1</v>
      </c>
      <c r="D744" s="1">
        <f t="shared" si="46"/>
        <v>12</v>
      </c>
      <c r="E744" s="1">
        <f t="shared" si="47"/>
        <v>2022</v>
      </c>
      <c r="F744" s="1">
        <v>743</v>
      </c>
      <c r="G744" s="1">
        <v>171</v>
      </c>
      <c r="H744" s="1">
        <v>163</v>
      </c>
      <c r="I744" s="2">
        <v>0.95320000000000005</v>
      </c>
      <c r="J744" s="1">
        <v>8</v>
      </c>
      <c r="K744" s="3">
        <v>2.199074074074074E-4</v>
      </c>
      <c r="L744" s="3">
        <v>1.8634259259259259E-3</v>
      </c>
      <c r="M744" s="3">
        <v>1.9444444444444444E-3</v>
      </c>
      <c r="N744" s="2">
        <v>0.69410000000000005</v>
      </c>
      <c r="O744" s="5">
        <f t="shared" si="32"/>
        <v>0.30373842592592593</v>
      </c>
      <c r="P744" s="5">
        <f t="shared" si="33"/>
        <v>18.224305555555556</v>
      </c>
      <c r="Q744" s="5">
        <f t="shared" si="34"/>
        <v>0.31864583333333335</v>
      </c>
      <c r="R744" s="5">
        <f t="shared" si="35"/>
        <v>19.118750000000002</v>
      </c>
    </row>
    <row r="745" spans="1:18">
      <c r="A745" s="4">
        <v>44574</v>
      </c>
      <c r="B745" s="1" t="s">
        <v>19</v>
      </c>
      <c r="C745" s="1">
        <f t="shared" si="45"/>
        <v>1</v>
      </c>
      <c r="D745" s="1">
        <f t="shared" si="46"/>
        <v>13</v>
      </c>
      <c r="E745" s="1">
        <f t="shared" si="47"/>
        <v>2022</v>
      </c>
      <c r="F745" s="1">
        <v>744</v>
      </c>
      <c r="G745" s="1">
        <v>180</v>
      </c>
      <c r="H745" s="1">
        <v>173</v>
      </c>
      <c r="I745" s="2">
        <v>0.96109999999999995</v>
      </c>
      <c r="J745" s="1">
        <v>7</v>
      </c>
      <c r="K745" s="3">
        <v>3.5879629629629629E-4</v>
      </c>
      <c r="L745" s="3">
        <v>1.9560185185185184E-3</v>
      </c>
      <c r="M745" s="3">
        <v>5.7060185185185183E-3</v>
      </c>
      <c r="N745" s="2">
        <v>0.72219999999999995</v>
      </c>
      <c r="O745" s="5">
        <f t="shared" si="32"/>
        <v>0.33839120370370368</v>
      </c>
      <c r="P745" s="5">
        <f t="shared" si="33"/>
        <v>20.303472222222222</v>
      </c>
      <c r="Q745" s="5">
        <f t="shared" si="34"/>
        <v>0.3520833333333333</v>
      </c>
      <c r="R745" s="5">
        <f t="shared" si="35"/>
        <v>21.125</v>
      </c>
    </row>
    <row r="746" spans="1:18">
      <c r="A746" s="4">
        <v>44575</v>
      </c>
      <c r="B746" s="1" t="s">
        <v>20</v>
      </c>
      <c r="C746" s="1">
        <f t="shared" si="45"/>
        <v>1</v>
      </c>
      <c r="D746" s="1">
        <f t="shared" si="46"/>
        <v>14</v>
      </c>
      <c r="E746" s="1">
        <f t="shared" si="47"/>
        <v>2022</v>
      </c>
      <c r="F746" s="1">
        <v>745</v>
      </c>
      <c r="G746" s="1">
        <v>192</v>
      </c>
      <c r="H746" s="1">
        <v>175</v>
      </c>
      <c r="I746" s="2">
        <v>0.91149999999999998</v>
      </c>
      <c r="J746" s="1">
        <v>17</v>
      </c>
      <c r="K746" s="3">
        <v>3.0092592592592595E-4</v>
      </c>
      <c r="L746" s="3">
        <v>2.0949074074074073E-3</v>
      </c>
      <c r="M746" s="3">
        <v>2.5462962962962965E-3</v>
      </c>
      <c r="N746" s="2">
        <v>0.61580000000000001</v>
      </c>
      <c r="O746" s="5">
        <f t="shared" si="32"/>
        <v>0.36660879629629628</v>
      </c>
      <c r="P746" s="5">
        <f t="shared" si="33"/>
        <v>21.996527777777779</v>
      </c>
      <c r="Q746" s="5">
        <f t="shared" si="34"/>
        <v>0.4022222222222222</v>
      </c>
      <c r="R746" s="5">
        <f t="shared" si="35"/>
        <v>24.133333333333333</v>
      </c>
    </row>
    <row r="747" spans="1:18">
      <c r="A747" s="4">
        <v>44576</v>
      </c>
      <c r="B747" s="1" t="s">
        <v>21</v>
      </c>
      <c r="C747" s="1">
        <f t="shared" si="45"/>
        <v>1</v>
      </c>
      <c r="D747" s="1">
        <f t="shared" si="46"/>
        <v>15</v>
      </c>
      <c r="E747" s="1">
        <f t="shared" si="47"/>
        <v>2022</v>
      </c>
      <c r="F747" s="1">
        <v>746</v>
      </c>
      <c r="G747" s="1">
        <v>194</v>
      </c>
      <c r="H747" s="1">
        <v>180</v>
      </c>
      <c r="I747" s="2">
        <v>0.92779999999999996</v>
      </c>
      <c r="J747" s="1">
        <v>14</v>
      </c>
      <c r="K747" s="3">
        <v>2.8935185185185184E-4</v>
      </c>
      <c r="L747" s="3">
        <v>1.9675925925925924E-3</v>
      </c>
      <c r="M747" s="3">
        <v>2.8124999999999999E-3</v>
      </c>
      <c r="N747" s="2">
        <v>0.68389999999999995</v>
      </c>
      <c r="O747" s="5">
        <f t="shared" si="32"/>
        <v>0.35416666666666663</v>
      </c>
      <c r="P747" s="5">
        <f t="shared" si="33"/>
        <v>21.249999999999996</v>
      </c>
      <c r="Q747" s="5">
        <f t="shared" si="34"/>
        <v>0.38171296296296292</v>
      </c>
      <c r="R747" s="5">
        <f t="shared" si="35"/>
        <v>22.902777777777775</v>
      </c>
    </row>
    <row r="748" spans="1:18">
      <c r="A748" s="4">
        <v>44577</v>
      </c>
      <c r="B748" s="1" t="s">
        <v>22</v>
      </c>
      <c r="C748" s="1">
        <f t="shared" si="45"/>
        <v>1</v>
      </c>
      <c r="D748" s="1">
        <f t="shared" si="46"/>
        <v>16</v>
      </c>
      <c r="E748" s="1">
        <f t="shared" si="47"/>
        <v>2022</v>
      </c>
      <c r="F748" s="1">
        <v>747</v>
      </c>
      <c r="G748" s="1">
        <v>37</v>
      </c>
      <c r="H748" s="1">
        <v>27</v>
      </c>
      <c r="I748" s="2">
        <v>0.72970000000000002</v>
      </c>
      <c r="J748" s="1">
        <v>10</v>
      </c>
      <c r="K748" s="3">
        <v>4.0509259259259258E-4</v>
      </c>
      <c r="L748" s="3">
        <v>2.0023148148148148E-3</v>
      </c>
      <c r="M748" s="3">
        <v>2.0601851851851853E-3</v>
      </c>
      <c r="N748" s="2">
        <v>0.5</v>
      </c>
      <c r="O748" s="5">
        <f t="shared" si="32"/>
        <v>5.4062499999999999E-2</v>
      </c>
      <c r="P748" s="5">
        <f t="shared" si="33"/>
        <v>3.2437499999999999</v>
      </c>
      <c r="Q748" s="5">
        <f t="shared" si="34"/>
        <v>7.408564814814815E-2</v>
      </c>
      <c r="R748" s="5">
        <f t="shared" si="35"/>
        <v>4.4451388888888888</v>
      </c>
    </row>
    <row r="749" spans="1:18">
      <c r="A749" s="4">
        <v>44578</v>
      </c>
      <c r="B749" s="1" t="s">
        <v>23</v>
      </c>
      <c r="C749" s="1">
        <f t="shared" si="45"/>
        <v>1</v>
      </c>
      <c r="D749" s="1">
        <f t="shared" si="46"/>
        <v>17</v>
      </c>
      <c r="E749" s="1">
        <f t="shared" si="47"/>
        <v>2022</v>
      </c>
      <c r="F749" s="1">
        <v>748</v>
      </c>
      <c r="G749" s="1">
        <v>180</v>
      </c>
      <c r="H749" s="1">
        <v>169</v>
      </c>
      <c r="I749" s="2">
        <v>0.93889999999999996</v>
      </c>
      <c r="J749" s="1">
        <v>11</v>
      </c>
      <c r="K749" s="3">
        <v>2.6620370370370372E-4</v>
      </c>
      <c r="L749" s="3">
        <v>1.8981481481481482E-3</v>
      </c>
      <c r="M749" s="3">
        <v>1.4467592592592592E-3</v>
      </c>
      <c r="N749" s="2">
        <v>0.67979999999999996</v>
      </c>
      <c r="O749" s="5">
        <f t="shared" si="32"/>
        <v>0.32078703703703704</v>
      </c>
      <c r="P749" s="5">
        <f t="shared" si="33"/>
        <v>19.247222222222224</v>
      </c>
      <c r="Q749" s="5">
        <f t="shared" si="34"/>
        <v>0.34166666666666667</v>
      </c>
      <c r="R749" s="5">
        <f t="shared" si="35"/>
        <v>20.5</v>
      </c>
    </row>
    <row r="750" spans="1:18">
      <c r="A750" s="4">
        <v>44579</v>
      </c>
      <c r="B750" s="1" t="s">
        <v>24</v>
      </c>
      <c r="C750" s="1">
        <f t="shared" si="45"/>
        <v>1</v>
      </c>
      <c r="D750" s="1">
        <f t="shared" si="46"/>
        <v>18</v>
      </c>
      <c r="E750" s="1">
        <f t="shared" si="47"/>
        <v>2022</v>
      </c>
      <c r="F750" s="1">
        <v>749</v>
      </c>
      <c r="G750" s="1">
        <v>213</v>
      </c>
      <c r="H750" s="1">
        <v>198</v>
      </c>
      <c r="I750" s="2">
        <v>0.92959999999999998</v>
      </c>
      <c r="J750" s="1">
        <v>15</v>
      </c>
      <c r="K750" s="3">
        <v>1.8518518518518518E-4</v>
      </c>
      <c r="L750" s="3">
        <v>1.9328703703703704E-3</v>
      </c>
      <c r="M750" s="3">
        <v>4.409722222222222E-3</v>
      </c>
      <c r="N750" s="2">
        <v>0.77249999999999996</v>
      </c>
      <c r="O750" s="5">
        <f t="shared" si="32"/>
        <v>0.38270833333333332</v>
      </c>
      <c r="P750" s="5">
        <f t="shared" si="33"/>
        <v>22.962499999999999</v>
      </c>
      <c r="Q750" s="5">
        <f t="shared" si="34"/>
        <v>0.41170138888888891</v>
      </c>
      <c r="R750" s="5">
        <f t="shared" si="35"/>
        <v>24.702083333333334</v>
      </c>
    </row>
    <row r="751" spans="1:18">
      <c r="A751" s="4">
        <v>44580</v>
      </c>
      <c r="B751" s="1" t="s">
        <v>18</v>
      </c>
      <c r="C751" s="1">
        <f t="shared" si="45"/>
        <v>1</v>
      </c>
      <c r="D751" s="1">
        <f t="shared" si="46"/>
        <v>19</v>
      </c>
      <c r="E751" s="1">
        <f t="shared" si="47"/>
        <v>2022</v>
      </c>
      <c r="F751" s="1">
        <v>750</v>
      </c>
      <c r="G751" s="1">
        <v>251</v>
      </c>
      <c r="H751" s="1">
        <v>239</v>
      </c>
      <c r="I751" s="2">
        <v>0.95220000000000005</v>
      </c>
      <c r="J751" s="1">
        <v>12</v>
      </c>
      <c r="K751" s="3">
        <v>2.4305555555555555E-4</v>
      </c>
      <c r="L751" s="3">
        <v>1.5972222222222223E-3</v>
      </c>
      <c r="M751" s="3">
        <v>1.9444444444444444E-3</v>
      </c>
      <c r="N751" s="2">
        <v>0.7177</v>
      </c>
      <c r="O751" s="5">
        <f t="shared" si="32"/>
        <v>0.38173611111111111</v>
      </c>
      <c r="P751" s="5">
        <f t="shared" si="33"/>
        <v>22.904166666666665</v>
      </c>
      <c r="Q751" s="5">
        <f t="shared" si="34"/>
        <v>0.40090277777777777</v>
      </c>
      <c r="R751" s="5">
        <f t="shared" si="35"/>
        <v>24.054166666666667</v>
      </c>
    </row>
    <row r="752" spans="1:18">
      <c r="A752" s="4">
        <v>44581</v>
      </c>
      <c r="B752" s="1" t="s">
        <v>19</v>
      </c>
      <c r="C752" s="1">
        <f t="shared" si="45"/>
        <v>1</v>
      </c>
      <c r="D752" s="1">
        <f t="shared" si="46"/>
        <v>20</v>
      </c>
      <c r="E752" s="1">
        <f t="shared" si="47"/>
        <v>2022</v>
      </c>
      <c r="F752" s="1">
        <v>751</v>
      </c>
      <c r="G752" s="1">
        <v>200</v>
      </c>
      <c r="H752" s="1">
        <v>189</v>
      </c>
      <c r="I752" s="2">
        <v>0.94499999999999995</v>
      </c>
      <c r="J752" s="1">
        <v>11</v>
      </c>
      <c r="K752" s="3">
        <v>2.199074074074074E-4</v>
      </c>
      <c r="L752" s="3">
        <v>2.0023148148148148E-3</v>
      </c>
      <c r="M752" s="3">
        <v>3.1944444444444446E-3</v>
      </c>
      <c r="N752" s="2">
        <v>0.76259999999999994</v>
      </c>
      <c r="O752" s="5">
        <f t="shared" si="32"/>
        <v>0.37843749999999998</v>
      </c>
      <c r="P752" s="5">
        <f t="shared" si="33"/>
        <v>22.706249999999997</v>
      </c>
      <c r="Q752" s="5">
        <f t="shared" si="34"/>
        <v>0.40046296296296297</v>
      </c>
      <c r="R752" s="5">
        <f t="shared" si="35"/>
        <v>24.027777777777779</v>
      </c>
    </row>
    <row r="753" spans="1:18">
      <c r="A753" s="4">
        <v>44582</v>
      </c>
      <c r="B753" s="1" t="s">
        <v>20</v>
      </c>
      <c r="C753" s="1">
        <f t="shared" si="45"/>
        <v>1</v>
      </c>
      <c r="D753" s="1">
        <f t="shared" si="46"/>
        <v>21</v>
      </c>
      <c r="E753" s="1">
        <f t="shared" si="47"/>
        <v>2022</v>
      </c>
      <c r="F753" s="1">
        <v>752</v>
      </c>
      <c r="G753" s="1">
        <v>214</v>
      </c>
      <c r="H753" s="1">
        <v>205</v>
      </c>
      <c r="I753" s="2">
        <v>0.95789999999999997</v>
      </c>
      <c r="J753" s="1">
        <v>9</v>
      </c>
      <c r="K753" s="3">
        <v>2.8935185185185184E-4</v>
      </c>
      <c r="L753" s="3">
        <v>1.9444444444444444E-3</v>
      </c>
      <c r="M753" s="3">
        <v>5.0578703703703706E-3</v>
      </c>
      <c r="N753" s="2">
        <v>0.71960000000000002</v>
      </c>
      <c r="O753" s="5">
        <f t="shared" si="32"/>
        <v>0.39861111111111108</v>
      </c>
      <c r="P753" s="5">
        <f t="shared" si="33"/>
        <v>23.916666666666664</v>
      </c>
      <c r="Q753" s="5">
        <f t="shared" si="34"/>
        <v>0.4161111111111111</v>
      </c>
      <c r="R753" s="5">
        <f t="shared" si="35"/>
        <v>24.966666666666665</v>
      </c>
    </row>
    <row r="754" spans="1:18">
      <c r="A754" s="4">
        <v>44583</v>
      </c>
      <c r="B754" s="1" t="s">
        <v>21</v>
      </c>
      <c r="C754" s="1">
        <f t="shared" si="45"/>
        <v>1</v>
      </c>
      <c r="D754" s="1">
        <f t="shared" si="46"/>
        <v>22</v>
      </c>
      <c r="E754" s="1">
        <f t="shared" si="47"/>
        <v>2022</v>
      </c>
      <c r="F754" s="1">
        <v>753</v>
      </c>
      <c r="G754" s="1">
        <v>185</v>
      </c>
      <c r="H754" s="1">
        <v>154</v>
      </c>
      <c r="I754" s="2">
        <v>0.83240000000000003</v>
      </c>
      <c r="J754" s="1">
        <v>31</v>
      </c>
      <c r="K754" s="3">
        <v>5.4398148148148144E-4</v>
      </c>
      <c r="L754" s="3">
        <v>2.0370370370370369E-3</v>
      </c>
      <c r="M754" s="3">
        <v>2.2685185185185187E-3</v>
      </c>
      <c r="N754" s="2">
        <v>0.35909999999999997</v>
      </c>
      <c r="O754" s="5">
        <f t="shared" si="32"/>
        <v>0.31370370370370365</v>
      </c>
      <c r="P754" s="5">
        <f t="shared" si="33"/>
        <v>18.822222222222219</v>
      </c>
      <c r="Q754" s="5">
        <f t="shared" si="34"/>
        <v>0.37685185185185183</v>
      </c>
      <c r="R754" s="5">
        <f t="shared" si="35"/>
        <v>22.611111111111111</v>
      </c>
    </row>
    <row r="755" spans="1:18">
      <c r="A755" s="4">
        <v>44584</v>
      </c>
      <c r="B755" s="1" t="s">
        <v>22</v>
      </c>
      <c r="C755" s="1">
        <f t="shared" si="45"/>
        <v>1</v>
      </c>
      <c r="D755" s="1">
        <f t="shared" si="46"/>
        <v>23</v>
      </c>
      <c r="E755" s="1">
        <f t="shared" si="47"/>
        <v>2022</v>
      </c>
      <c r="F755" s="1">
        <v>754</v>
      </c>
      <c r="G755" s="1">
        <v>49</v>
      </c>
      <c r="H755" s="1">
        <v>46</v>
      </c>
      <c r="I755" s="2">
        <v>0.93879999999999997</v>
      </c>
      <c r="J755" s="1">
        <v>3</v>
      </c>
      <c r="K755" s="3">
        <v>4.3981481481481481E-4</v>
      </c>
      <c r="L755" s="3">
        <v>1.6319444444444445E-3</v>
      </c>
      <c r="M755" s="3">
        <v>1.5740740740740741E-3</v>
      </c>
      <c r="N755" s="2">
        <v>0.52080000000000004</v>
      </c>
      <c r="O755" s="5">
        <f t="shared" si="32"/>
        <v>7.5069444444444453E-2</v>
      </c>
      <c r="P755" s="5">
        <f t="shared" si="33"/>
        <v>4.5041666666666673</v>
      </c>
      <c r="Q755" s="5">
        <f t="shared" si="34"/>
        <v>7.9965277777777788E-2</v>
      </c>
      <c r="R755" s="5">
        <f t="shared" si="35"/>
        <v>4.7979166666666675</v>
      </c>
    </row>
    <row r="756" spans="1:18">
      <c r="A756" s="4">
        <v>44585</v>
      </c>
      <c r="B756" s="1" t="s">
        <v>23</v>
      </c>
      <c r="C756" s="1">
        <f t="shared" si="45"/>
        <v>1</v>
      </c>
      <c r="D756" s="1">
        <f t="shared" si="46"/>
        <v>24</v>
      </c>
      <c r="E756" s="1">
        <f t="shared" si="47"/>
        <v>2022</v>
      </c>
      <c r="F756" s="1">
        <v>755</v>
      </c>
      <c r="G756" s="1">
        <v>193</v>
      </c>
      <c r="H756" s="1">
        <v>185</v>
      </c>
      <c r="I756" s="2">
        <v>0.95850000000000002</v>
      </c>
      <c r="J756" s="1">
        <v>8</v>
      </c>
      <c r="K756" s="3">
        <v>2.4305555555555555E-4</v>
      </c>
      <c r="L756" s="3">
        <v>1.9791666666666668E-3</v>
      </c>
      <c r="M756" s="3">
        <v>2.7430555555555554E-3</v>
      </c>
      <c r="N756" s="2">
        <v>0.75790000000000002</v>
      </c>
      <c r="O756" s="5">
        <f t="shared" si="32"/>
        <v>0.36614583333333334</v>
      </c>
      <c r="P756" s="5">
        <f t="shared" si="33"/>
        <v>21.96875</v>
      </c>
      <c r="Q756" s="5">
        <f t="shared" si="34"/>
        <v>0.3819791666666667</v>
      </c>
      <c r="R756" s="5">
        <f t="shared" si="35"/>
        <v>22.918750000000003</v>
      </c>
    </row>
    <row r="757" spans="1:18">
      <c r="A757" s="4">
        <v>44586</v>
      </c>
      <c r="B757" s="1" t="s">
        <v>24</v>
      </c>
      <c r="C757" s="1">
        <f t="shared" si="45"/>
        <v>1</v>
      </c>
      <c r="D757" s="1">
        <f t="shared" si="46"/>
        <v>25</v>
      </c>
      <c r="E757" s="1">
        <f t="shared" si="47"/>
        <v>2022</v>
      </c>
      <c r="F757" s="1">
        <v>756</v>
      </c>
      <c r="G757" s="1">
        <v>195</v>
      </c>
      <c r="H757" s="1">
        <v>184</v>
      </c>
      <c r="I757" s="2">
        <v>0.94359999999999999</v>
      </c>
      <c r="J757" s="1">
        <v>11</v>
      </c>
      <c r="K757" s="3">
        <v>2.5462962962962961E-4</v>
      </c>
      <c r="L757" s="3">
        <v>1.8402777777777777E-3</v>
      </c>
      <c r="M757" s="3">
        <v>1.8287037037037037E-3</v>
      </c>
      <c r="N757" s="2">
        <v>0.7</v>
      </c>
      <c r="O757" s="5">
        <f t="shared" si="32"/>
        <v>0.33861111111111108</v>
      </c>
      <c r="P757" s="5">
        <f t="shared" si="33"/>
        <v>20.316666666666666</v>
      </c>
      <c r="Q757" s="5">
        <f t="shared" si="34"/>
        <v>0.35885416666666664</v>
      </c>
      <c r="R757" s="5">
        <f t="shared" si="35"/>
        <v>21.53125</v>
      </c>
    </row>
    <row r="758" spans="1:18">
      <c r="A758" s="4">
        <v>44587</v>
      </c>
      <c r="B758" s="1" t="s">
        <v>18</v>
      </c>
      <c r="C758" s="1">
        <f t="shared" si="45"/>
        <v>1</v>
      </c>
      <c r="D758" s="1">
        <f t="shared" si="46"/>
        <v>26</v>
      </c>
      <c r="E758" s="1">
        <f t="shared" si="47"/>
        <v>2022</v>
      </c>
      <c r="F758" s="1">
        <v>757</v>
      </c>
      <c r="G758" s="1">
        <v>211</v>
      </c>
      <c r="H758" s="1">
        <v>195</v>
      </c>
      <c r="I758" s="2">
        <v>0.92420000000000002</v>
      </c>
      <c r="J758" s="1">
        <v>16</v>
      </c>
      <c r="K758" s="3">
        <v>3.9351851851851852E-4</v>
      </c>
      <c r="L758" s="3">
        <v>1.9791666666666668E-3</v>
      </c>
      <c r="M758" s="3">
        <v>3.1365740740740742E-3</v>
      </c>
      <c r="N758" s="2">
        <v>0.56940000000000002</v>
      </c>
      <c r="O758" s="5">
        <f t="shared" si="32"/>
        <v>0.38593750000000004</v>
      </c>
      <c r="P758" s="5">
        <f t="shared" si="33"/>
        <v>23.156250000000004</v>
      </c>
      <c r="Q758" s="5">
        <f t="shared" si="34"/>
        <v>0.41760416666666672</v>
      </c>
      <c r="R758" s="5">
        <f t="shared" si="35"/>
        <v>25.056250000000002</v>
      </c>
    </row>
    <row r="759" spans="1:18">
      <c r="A759" s="4">
        <v>44588</v>
      </c>
      <c r="B759" s="1" t="s">
        <v>19</v>
      </c>
      <c r="C759" s="1">
        <f t="shared" si="45"/>
        <v>1</v>
      </c>
      <c r="D759" s="1">
        <f t="shared" si="46"/>
        <v>27</v>
      </c>
      <c r="E759" s="1">
        <f t="shared" si="47"/>
        <v>2022</v>
      </c>
      <c r="F759" s="1">
        <v>758</v>
      </c>
      <c r="G759" s="1">
        <v>200</v>
      </c>
      <c r="H759" s="1">
        <v>190</v>
      </c>
      <c r="I759" s="2">
        <v>0.95</v>
      </c>
      <c r="J759" s="1">
        <v>10</v>
      </c>
      <c r="K759" s="3">
        <v>1.7361111111111112E-4</v>
      </c>
      <c r="L759" s="3">
        <v>2.0370370370370369E-3</v>
      </c>
      <c r="M759" s="3">
        <v>2.1527777777777778E-3</v>
      </c>
      <c r="N759" s="2">
        <v>0.80930000000000002</v>
      </c>
      <c r="O759" s="5">
        <f t="shared" si="32"/>
        <v>0.38703703703703701</v>
      </c>
      <c r="P759" s="5">
        <f t="shared" si="33"/>
        <v>23.222222222222221</v>
      </c>
      <c r="Q759" s="5">
        <f t="shared" si="34"/>
        <v>0.40740740740740738</v>
      </c>
      <c r="R759" s="5">
        <f t="shared" si="35"/>
        <v>24.444444444444443</v>
      </c>
    </row>
    <row r="760" spans="1:18">
      <c r="A760" s="4">
        <v>44589</v>
      </c>
      <c r="B760" s="1" t="s">
        <v>20</v>
      </c>
      <c r="C760" s="1">
        <f t="shared" si="45"/>
        <v>1</v>
      </c>
      <c r="D760" s="1">
        <f t="shared" si="46"/>
        <v>28</v>
      </c>
      <c r="E760" s="1">
        <f t="shared" si="47"/>
        <v>2022</v>
      </c>
      <c r="F760" s="1">
        <v>759</v>
      </c>
      <c r="G760" s="1">
        <v>48</v>
      </c>
      <c r="H760" s="1">
        <v>47</v>
      </c>
      <c r="I760" s="2">
        <v>0.97919999999999996</v>
      </c>
      <c r="J760" s="1">
        <v>1</v>
      </c>
      <c r="K760" s="3">
        <v>1.7361111111111112E-4</v>
      </c>
      <c r="L760" s="3">
        <v>2.2337962962962962E-3</v>
      </c>
      <c r="M760" s="3">
        <v>2.0601851851851853E-3</v>
      </c>
      <c r="N760" s="2">
        <v>0.8125</v>
      </c>
      <c r="O760" s="5">
        <f t="shared" si="32"/>
        <v>0.10498842592592592</v>
      </c>
      <c r="P760" s="5">
        <f t="shared" si="33"/>
        <v>6.2993055555555548</v>
      </c>
      <c r="Q760" s="5">
        <f t="shared" si="34"/>
        <v>0.10722222222222222</v>
      </c>
      <c r="R760" s="5">
        <f t="shared" si="35"/>
        <v>6.4333333333333336</v>
      </c>
    </row>
    <row r="761" spans="1:18">
      <c r="A761" s="4">
        <v>44590</v>
      </c>
      <c r="B761" s="1" t="s">
        <v>21</v>
      </c>
      <c r="C761" s="1">
        <f t="shared" si="45"/>
        <v>1</v>
      </c>
      <c r="D761" s="1">
        <f t="shared" si="46"/>
        <v>29</v>
      </c>
      <c r="E761" s="1">
        <f t="shared" si="47"/>
        <v>2022</v>
      </c>
      <c r="F761" s="1">
        <v>760</v>
      </c>
      <c r="G761" s="1">
        <v>164</v>
      </c>
      <c r="H761" s="1">
        <v>159</v>
      </c>
      <c r="I761" s="2">
        <v>0.96950000000000003</v>
      </c>
      <c r="J761" s="1">
        <v>5</v>
      </c>
      <c r="K761" s="3">
        <v>2.3148148148148149E-4</v>
      </c>
      <c r="L761" s="3">
        <v>1.9791666666666668E-3</v>
      </c>
      <c r="M761" s="3">
        <v>3.3217592592592591E-3</v>
      </c>
      <c r="N761" s="2">
        <v>0.77780000000000005</v>
      </c>
      <c r="O761" s="5">
        <f t="shared" si="32"/>
        <v>0.31468750000000001</v>
      </c>
      <c r="P761" s="5">
        <f t="shared" si="33"/>
        <v>18.881250000000001</v>
      </c>
      <c r="Q761" s="5">
        <f t="shared" si="34"/>
        <v>0.32458333333333333</v>
      </c>
      <c r="R761" s="5">
        <f t="shared" si="35"/>
        <v>19.475000000000001</v>
      </c>
    </row>
    <row r="762" spans="1:18">
      <c r="A762" s="4">
        <v>44591</v>
      </c>
      <c r="B762" s="1" t="s">
        <v>22</v>
      </c>
      <c r="C762" s="1">
        <f t="shared" si="45"/>
        <v>1</v>
      </c>
      <c r="D762" s="1">
        <f t="shared" si="46"/>
        <v>30</v>
      </c>
      <c r="E762" s="1">
        <f t="shared" si="47"/>
        <v>2022</v>
      </c>
      <c r="F762" s="1">
        <v>761</v>
      </c>
      <c r="G762" s="1">
        <v>43</v>
      </c>
      <c r="H762" s="1">
        <v>42</v>
      </c>
      <c r="I762" s="2">
        <v>0.97670000000000001</v>
      </c>
      <c r="J762" s="1">
        <v>1</v>
      </c>
      <c r="K762" s="3">
        <v>1.6203703703703703E-4</v>
      </c>
      <c r="L762" s="3">
        <v>1.7592592592592592E-3</v>
      </c>
      <c r="M762" s="3">
        <v>1.7824074074074075E-3</v>
      </c>
      <c r="N762" s="2">
        <v>0.83720000000000006</v>
      </c>
      <c r="O762" s="5">
        <f t="shared" si="32"/>
        <v>7.3888888888888893E-2</v>
      </c>
      <c r="P762" s="5">
        <f t="shared" si="33"/>
        <v>4.4333333333333336</v>
      </c>
      <c r="Q762" s="5">
        <f t="shared" si="34"/>
        <v>7.5648148148148145E-2</v>
      </c>
      <c r="R762" s="5">
        <f t="shared" si="35"/>
        <v>4.5388888888888888</v>
      </c>
    </row>
    <row r="763" spans="1:18">
      <c r="A763" s="4">
        <v>44592</v>
      </c>
      <c r="B763" s="1" t="s">
        <v>23</v>
      </c>
      <c r="C763" s="1">
        <f t="shared" si="45"/>
        <v>1</v>
      </c>
      <c r="D763" s="1">
        <f t="shared" si="46"/>
        <v>31</v>
      </c>
      <c r="E763" s="1">
        <f t="shared" si="47"/>
        <v>2022</v>
      </c>
      <c r="F763" s="1">
        <v>762</v>
      </c>
      <c r="G763" s="1">
        <v>236</v>
      </c>
      <c r="H763" s="1">
        <v>223</v>
      </c>
      <c r="I763" s="2">
        <v>0.94489999999999996</v>
      </c>
      <c r="J763" s="1">
        <v>13</v>
      </c>
      <c r="K763" s="3">
        <v>3.0092592592592595E-4</v>
      </c>
      <c r="L763" s="3">
        <v>1.9212962962962964E-3</v>
      </c>
      <c r="M763" s="3">
        <v>2.5231481481481481E-3</v>
      </c>
      <c r="N763" s="2">
        <v>0.64829999999999999</v>
      </c>
      <c r="O763" s="5">
        <f t="shared" si="32"/>
        <v>0.42844907407407407</v>
      </c>
      <c r="P763" s="5">
        <f t="shared" si="33"/>
        <v>25.706944444444446</v>
      </c>
      <c r="Q763" s="5">
        <f t="shared" si="34"/>
        <v>0.45342592592592595</v>
      </c>
      <c r="R763" s="5">
        <f t="shared" si="35"/>
        <v>27.205555555555556</v>
      </c>
    </row>
    <row r="764" spans="1:18">
      <c r="A764" s="4">
        <v>44593</v>
      </c>
      <c r="B764" s="1" t="s">
        <v>24</v>
      </c>
      <c r="C764" s="1">
        <f t="shared" si="45"/>
        <v>2</v>
      </c>
      <c r="D764" s="1">
        <f t="shared" si="46"/>
        <v>1</v>
      </c>
      <c r="E764" s="1">
        <f t="shared" si="47"/>
        <v>2022</v>
      </c>
      <c r="F764" s="1">
        <v>763</v>
      </c>
      <c r="G764" s="1">
        <v>270</v>
      </c>
      <c r="H764" s="1">
        <v>262</v>
      </c>
      <c r="I764" s="2">
        <v>0.97040000000000004</v>
      </c>
      <c r="J764" s="1">
        <v>8</v>
      </c>
      <c r="K764" s="3">
        <v>1.7361111111111112E-4</v>
      </c>
      <c r="L764" s="3">
        <v>1.8055555555555555E-3</v>
      </c>
      <c r="M764" s="3">
        <v>1.4814814814814814E-3</v>
      </c>
      <c r="N764" s="2">
        <v>0.83209999999999995</v>
      </c>
      <c r="O764" s="5">
        <f t="shared" si="32"/>
        <v>0.47305555555555551</v>
      </c>
      <c r="P764" s="5">
        <f t="shared" si="33"/>
        <v>28.383333333333329</v>
      </c>
      <c r="Q764" s="5">
        <f t="shared" si="34"/>
        <v>0.48749999999999999</v>
      </c>
      <c r="R764" s="5">
        <f t="shared" si="35"/>
        <v>29.25</v>
      </c>
    </row>
    <row r="765" spans="1:18">
      <c r="A765" s="4">
        <v>44594</v>
      </c>
      <c r="B765" s="1" t="s">
        <v>18</v>
      </c>
      <c r="C765" s="1">
        <f t="shared" si="45"/>
        <v>2</v>
      </c>
      <c r="D765" s="1">
        <f t="shared" si="46"/>
        <v>2</v>
      </c>
      <c r="E765" s="1">
        <f t="shared" si="47"/>
        <v>2022</v>
      </c>
      <c r="F765" s="1">
        <v>764</v>
      </c>
      <c r="G765" s="1">
        <v>304</v>
      </c>
      <c r="H765" s="1">
        <v>262</v>
      </c>
      <c r="I765" s="2">
        <v>0.86180000000000001</v>
      </c>
      <c r="J765" s="1">
        <v>42</v>
      </c>
      <c r="K765" s="3">
        <v>3.9351851851851852E-4</v>
      </c>
      <c r="L765" s="3">
        <v>2.0370370370370369E-3</v>
      </c>
      <c r="M765" s="3">
        <v>4.8726851851851848E-3</v>
      </c>
      <c r="N765" s="2">
        <v>0.56620000000000004</v>
      </c>
      <c r="O765" s="5">
        <f t="shared" si="32"/>
        <v>0.53370370370370368</v>
      </c>
      <c r="P765" s="5">
        <f t="shared" si="33"/>
        <v>32.022222222222219</v>
      </c>
      <c r="Q765" s="5">
        <f t="shared" si="34"/>
        <v>0.61925925925925918</v>
      </c>
      <c r="R765" s="5">
        <f t="shared" si="35"/>
        <v>37.155555555555551</v>
      </c>
    </row>
    <row r="766" spans="1:18">
      <c r="A766" s="4">
        <v>44595</v>
      </c>
      <c r="B766" s="1" t="s">
        <v>19</v>
      </c>
      <c r="C766" s="1">
        <f t="shared" si="45"/>
        <v>2</v>
      </c>
      <c r="D766" s="1">
        <f t="shared" si="46"/>
        <v>3</v>
      </c>
      <c r="E766" s="1">
        <f t="shared" si="47"/>
        <v>2022</v>
      </c>
      <c r="F766" s="1">
        <v>765</v>
      </c>
      <c r="G766" s="1">
        <v>286</v>
      </c>
      <c r="H766" s="1">
        <v>270</v>
      </c>
      <c r="I766" s="2">
        <v>0.94410000000000005</v>
      </c>
      <c r="J766" s="1">
        <v>16</v>
      </c>
      <c r="K766" s="3">
        <v>2.3148148148148149E-4</v>
      </c>
      <c r="L766" s="3">
        <v>1.9444444444444444E-3</v>
      </c>
      <c r="M766" s="3">
        <v>2.1527777777777778E-3</v>
      </c>
      <c r="N766" s="2">
        <v>0.71479999999999999</v>
      </c>
      <c r="O766" s="5">
        <f t="shared" si="32"/>
        <v>0.52500000000000002</v>
      </c>
      <c r="P766" s="5">
        <f t="shared" si="33"/>
        <v>31.5</v>
      </c>
      <c r="Q766" s="5">
        <f t="shared" si="34"/>
        <v>0.55611111111111111</v>
      </c>
      <c r="R766" s="5">
        <f t="shared" si="35"/>
        <v>33.366666666666667</v>
      </c>
    </row>
    <row r="767" spans="1:18">
      <c r="A767" s="4">
        <v>44596</v>
      </c>
      <c r="B767" s="1" t="s">
        <v>20</v>
      </c>
      <c r="C767" s="1">
        <f t="shared" si="45"/>
        <v>2</v>
      </c>
      <c r="D767" s="1">
        <f t="shared" si="46"/>
        <v>4</v>
      </c>
      <c r="E767" s="1">
        <f t="shared" si="47"/>
        <v>2022</v>
      </c>
      <c r="F767" s="1">
        <v>766</v>
      </c>
      <c r="G767" s="1">
        <v>317</v>
      </c>
      <c r="H767" s="1">
        <v>284</v>
      </c>
      <c r="I767" s="2">
        <v>0.89590000000000003</v>
      </c>
      <c r="J767" s="1">
        <v>33</v>
      </c>
      <c r="K767" s="3">
        <v>3.4722222222222224E-4</v>
      </c>
      <c r="L767" s="3">
        <v>1.9444444444444444E-3</v>
      </c>
      <c r="M767" s="3">
        <v>5.7407407407407407E-3</v>
      </c>
      <c r="N767" s="2">
        <v>0.6603</v>
      </c>
      <c r="O767" s="5">
        <f t="shared" ref="O767:O1021" si="48">L767*H767</f>
        <v>0.55222222222222217</v>
      </c>
      <c r="P767" s="5">
        <f t="shared" ref="P767:P1021" si="49">O767*60</f>
        <v>33.133333333333333</v>
      </c>
      <c r="Q767" s="5">
        <f t="shared" ref="Q767:Q1021" si="50">L767*G767</f>
        <v>0.61638888888888888</v>
      </c>
      <c r="R767" s="5">
        <f t="shared" ref="R767:R1021" si="51">Q767*60</f>
        <v>36.983333333333334</v>
      </c>
    </row>
    <row r="768" spans="1:18">
      <c r="A768" s="4">
        <v>44597</v>
      </c>
      <c r="B768" s="1" t="s">
        <v>21</v>
      </c>
      <c r="C768" s="1">
        <f t="shared" si="45"/>
        <v>2</v>
      </c>
      <c r="D768" s="1">
        <f t="shared" si="46"/>
        <v>5</v>
      </c>
      <c r="E768" s="1">
        <f t="shared" si="47"/>
        <v>2022</v>
      </c>
      <c r="F768" s="1">
        <v>767</v>
      </c>
      <c r="G768" s="1">
        <v>471</v>
      </c>
      <c r="H768" s="1">
        <v>396</v>
      </c>
      <c r="I768" s="2">
        <v>0.84079999999999999</v>
      </c>
      <c r="J768" s="1">
        <v>75</v>
      </c>
      <c r="K768" s="3">
        <v>6.8287037037037036E-4</v>
      </c>
      <c r="L768" s="3">
        <v>1.8634259259259259E-3</v>
      </c>
      <c r="M768" s="3">
        <v>3.8078703703703703E-3</v>
      </c>
      <c r="N768" s="2">
        <v>0.308</v>
      </c>
      <c r="O768" s="5">
        <f t="shared" si="48"/>
        <v>0.73791666666666667</v>
      </c>
      <c r="P768" s="5">
        <f t="shared" si="49"/>
        <v>44.274999999999999</v>
      </c>
      <c r="Q768" s="5">
        <f t="shared" si="50"/>
        <v>0.87767361111111108</v>
      </c>
      <c r="R768" s="5">
        <f t="shared" si="51"/>
        <v>52.660416666666663</v>
      </c>
    </row>
    <row r="769" spans="1:18">
      <c r="A769" s="4">
        <v>44598</v>
      </c>
      <c r="B769" s="1" t="s">
        <v>22</v>
      </c>
      <c r="C769" s="1">
        <f t="shared" si="45"/>
        <v>2</v>
      </c>
      <c r="D769" s="1">
        <f t="shared" si="46"/>
        <v>6</v>
      </c>
      <c r="E769" s="1">
        <f t="shared" si="47"/>
        <v>2022</v>
      </c>
      <c r="F769" s="1">
        <v>768</v>
      </c>
      <c r="G769" s="1">
        <v>48</v>
      </c>
      <c r="H769" s="1">
        <v>44</v>
      </c>
      <c r="I769" s="2">
        <v>0.91669999999999996</v>
      </c>
      <c r="J769" s="1">
        <v>4</v>
      </c>
      <c r="K769" s="3">
        <v>3.3564814814814812E-4</v>
      </c>
      <c r="L769" s="3">
        <v>1.7476851851851852E-3</v>
      </c>
      <c r="M769" s="3">
        <v>2.1643518518518518E-3</v>
      </c>
      <c r="N769" s="2">
        <v>0.65959999999999996</v>
      </c>
      <c r="O769" s="5">
        <f t="shared" si="48"/>
        <v>7.6898148148148146E-2</v>
      </c>
      <c r="P769" s="5">
        <f t="shared" si="49"/>
        <v>4.6138888888888889</v>
      </c>
      <c r="Q769" s="5">
        <f t="shared" si="50"/>
        <v>8.3888888888888888E-2</v>
      </c>
      <c r="R769" s="5">
        <f t="shared" si="51"/>
        <v>5.0333333333333332</v>
      </c>
    </row>
    <row r="770" spans="1:18">
      <c r="A770" s="4">
        <v>44599</v>
      </c>
      <c r="B770" s="1" t="s">
        <v>23</v>
      </c>
      <c r="C770" s="1">
        <f t="shared" si="45"/>
        <v>2</v>
      </c>
      <c r="D770" s="1">
        <f t="shared" si="46"/>
        <v>7</v>
      </c>
      <c r="E770" s="1">
        <f t="shared" si="47"/>
        <v>2022</v>
      </c>
      <c r="F770" s="1">
        <v>769</v>
      </c>
      <c r="G770" s="1">
        <v>375</v>
      </c>
      <c r="H770" s="1">
        <v>317</v>
      </c>
      <c r="I770" s="2">
        <v>0.84530000000000005</v>
      </c>
      <c r="J770" s="1">
        <v>58</v>
      </c>
      <c r="K770" s="3">
        <v>4.9768518518518521E-4</v>
      </c>
      <c r="L770" s="3">
        <v>1.9907407407407408E-3</v>
      </c>
      <c r="M770" s="3">
        <v>3.5416666666666665E-3</v>
      </c>
      <c r="N770" s="2">
        <v>0.40870000000000001</v>
      </c>
      <c r="O770" s="5">
        <f t="shared" si="48"/>
        <v>0.6310648148148148</v>
      </c>
      <c r="P770" s="5">
        <f t="shared" si="49"/>
        <v>37.863888888888887</v>
      </c>
      <c r="Q770" s="5">
        <f t="shared" si="50"/>
        <v>0.74652777777777779</v>
      </c>
      <c r="R770" s="5">
        <f t="shared" si="51"/>
        <v>44.791666666666664</v>
      </c>
    </row>
    <row r="771" spans="1:18">
      <c r="A771" s="4">
        <v>44600</v>
      </c>
      <c r="B771" s="1" t="s">
        <v>24</v>
      </c>
      <c r="C771" s="1">
        <f t="shared" ref="C771:C834" si="52">MONTH(A771)</f>
        <v>2</v>
      </c>
      <c r="D771" s="1">
        <f t="shared" ref="D771:D834" si="53">DAY(A771)</f>
        <v>8</v>
      </c>
      <c r="E771" s="1">
        <f t="shared" ref="E771:E834" si="54">YEAR(A771)</f>
        <v>2022</v>
      </c>
      <c r="F771" s="1">
        <v>770</v>
      </c>
      <c r="G771" s="1">
        <v>327</v>
      </c>
      <c r="H771" s="1">
        <v>309</v>
      </c>
      <c r="I771" s="2">
        <v>0.94499999999999995</v>
      </c>
      <c r="J771" s="1">
        <v>18</v>
      </c>
      <c r="K771" s="3">
        <v>2.5462962962962961E-4</v>
      </c>
      <c r="L771" s="3">
        <v>1.9444444444444444E-3</v>
      </c>
      <c r="M771" s="3">
        <v>2.6157407407407405E-3</v>
      </c>
      <c r="N771" s="2">
        <v>0.68210000000000004</v>
      </c>
      <c r="O771" s="5">
        <f t="shared" si="48"/>
        <v>0.60083333333333333</v>
      </c>
      <c r="P771" s="5">
        <f t="shared" si="49"/>
        <v>36.049999999999997</v>
      </c>
      <c r="Q771" s="5">
        <f t="shared" si="50"/>
        <v>0.63583333333333336</v>
      </c>
      <c r="R771" s="5">
        <f t="shared" si="51"/>
        <v>38.15</v>
      </c>
    </row>
    <row r="772" spans="1:18">
      <c r="A772" s="4">
        <v>44601</v>
      </c>
      <c r="B772" s="1" t="s">
        <v>18</v>
      </c>
      <c r="C772" s="1">
        <f t="shared" si="52"/>
        <v>2</v>
      </c>
      <c r="D772" s="1">
        <f t="shared" si="53"/>
        <v>9</v>
      </c>
      <c r="E772" s="1">
        <f t="shared" si="54"/>
        <v>2022</v>
      </c>
      <c r="F772" s="1">
        <v>771</v>
      </c>
      <c r="G772" s="1">
        <v>366</v>
      </c>
      <c r="H772" s="1">
        <v>316</v>
      </c>
      <c r="I772" s="2">
        <v>0.86339999999999995</v>
      </c>
      <c r="J772" s="1">
        <v>50</v>
      </c>
      <c r="K772" s="3">
        <v>4.2824074074074075E-4</v>
      </c>
      <c r="L772" s="3">
        <v>1.8981481481481482E-3</v>
      </c>
      <c r="M772" s="3">
        <v>3.5995370370370369E-3</v>
      </c>
      <c r="N772" s="2">
        <v>0.53739999999999999</v>
      </c>
      <c r="O772" s="5">
        <f t="shared" si="48"/>
        <v>0.5998148148148148</v>
      </c>
      <c r="P772" s="5">
        <f t="shared" si="49"/>
        <v>35.988888888888887</v>
      </c>
      <c r="Q772" s="5">
        <f t="shared" si="50"/>
        <v>0.69472222222222224</v>
      </c>
      <c r="R772" s="5">
        <f t="shared" si="51"/>
        <v>41.683333333333337</v>
      </c>
    </row>
    <row r="773" spans="1:18">
      <c r="A773" s="4">
        <v>44602</v>
      </c>
      <c r="B773" s="1" t="s">
        <v>19</v>
      </c>
      <c r="C773" s="1">
        <f t="shared" si="52"/>
        <v>2</v>
      </c>
      <c r="D773" s="1">
        <f t="shared" si="53"/>
        <v>10</v>
      </c>
      <c r="E773" s="1">
        <f t="shared" si="54"/>
        <v>2022</v>
      </c>
      <c r="F773" s="1">
        <v>772</v>
      </c>
      <c r="G773" s="1">
        <v>121</v>
      </c>
      <c r="H773" s="1">
        <v>105</v>
      </c>
      <c r="I773" s="2">
        <v>0.86780000000000002</v>
      </c>
      <c r="J773" s="1">
        <v>16</v>
      </c>
      <c r="K773" s="3">
        <v>5.4398148148148144E-4</v>
      </c>
      <c r="L773" s="3">
        <v>2.0833333333333333E-3</v>
      </c>
      <c r="M773" s="3">
        <v>6.030092592592593E-3</v>
      </c>
      <c r="N773" s="2">
        <v>0.6</v>
      </c>
      <c r="O773" s="5">
        <f t="shared" si="48"/>
        <v>0.21875</v>
      </c>
      <c r="P773" s="5">
        <f t="shared" si="49"/>
        <v>13.125</v>
      </c>
      <c r="Q773" s="5">
        <f t="shared" si="50"/>
        <v>0.25208333333333333</v>
      </c>
      <c r="R773" s="5">
        <f t="shared" si="51"/>
        <v>15.125</v>
      </c>
    </row>
    <row r="774" spans="1:18">
      <c r="A774" s="4">
        <v>44603</v>
      </c>
      <c r="B774" s="1" t="s">
        <v>20</v>
      </c>
      <c r="C774" s="1">
        <f t="shared" si="52"/>
        <v>2</v>
      </c>
      <c r="D774" s="1">
        <f t="shared" si="53"/>
        <v>11</v>
      </c>
      <c r="E774" s="1">
        <f t="shared" si="54"/>
        <v>2022</v>
      </c>
      <c r="F774" s="1">
        <v>773</v>
      </c>
      <c r="G774" s="1">
        <v>287</v>
      </c>
      <c r="H774" s="1">
        <v>266</v>
      </c>
      <c r="I774" s="2">
        <v>0.92679999999999996</v>
      </c>
      <c r="J774" s="1">
        <v>21</v>
      </c>
      <c r="K774" s="3">
        <v>3.9351851851851852E-4</v>
      </c>
      <c r="L774" s="3">
        <v>2.1527777777777778E-3</v>
      </c>
      <c r="M774" s="3">
        <v>2.8703703703703703E-3</v>
      </c>
      <c r="N774" s="2">
        <v>0.59719999999999995</v>
      </c>
      <c r="O774" s="5">
        <f t="shared" si="48"/>
        <v>0.57263888888888892</v>
      </c>
      <c r="P774" s="5">
        <f t="shared" si="49"/>
        <v>34.358333333333334</v>
      </c>
      <c r="Q774" s="5">
        <f t="shared" si="50"/>
        <v>0.61784722222222221</v>
      </c>
      <c r="R774" s="5">
        <f t="shared" si="51"/>
        <v>37.070833333333333</v>
      </c>
    </row>
    <row r="775" spans="1:18">
      <c r="A775" s="4">
        <v>44604</v>
      </c>
      <c r="B775" s="1" t="s">
        <v>21</v>
      </c>
      <c r="C775" s="1">
        <f t="shared" si="52"/>
        <v>2</v>
      </c>
      <c r="D775" s="1">
        <f t="shared" si="53"/>
        <v>12</v>
      </c>
      <c r="E775" s="1">
        <f t="shared" si="54"/>
        <v>2022</v>
      </c>
      <c r="F775" s="1">
        <v>774</v>
      </c>
      <c r="G775" s="1">
        <v>298</v>
      </c>
      <c r="H775" s="1">
        <v>277</v>
      </c>
      <c r="I775" s="2">
        <v>0.92949999999999999</v>
      </c>
      <c r="J775" s="1">
        <v>21</v>
      </c>
      <c r="K775" s="3">
        <v>4.5138888888888887E-4</v>
      </c>
      <c r="L775" s="3">
        <v>2.1759259259259258E-3</v>
      </c>
      <c r="M775" s="3">
        <v>2.488425925925926E-3</v>
      </c>
      <c r="N775" s="2">
        <v>0.51180000000000003</v>
      </c>
      <c r="O775" s="5">
        <f t="shared" si="48"/>
        <v>0.60273148148148148</v>
      </c>
      <c r="P775" s="5">
        <f t="shared" si="49"/>
        <v>36.163888888888891</v>
      </c>
      <c r="Q775" s="5">
        <f t="shared" si="50"/>
        <v>0.64842592592592585</v>
      </c>
      <c r="R775" s="5">
        <f t="shared" si="51"/>
        <v>38.905555555555551</v>
      </c>
    </row>
    <row r="776" spans="1:18">
      <c r="A776" s="4">
        <v>44605</v>
      </c>
      <c r="B776" s="1" t="s">
        <v>22</v>
      </c>
      <c r="C776" s="1">
        <f t="shared" si="52"/>
        <v>2</v>
      </c>
      <c r="D776" s="1">
        <f t="shared" si="53"/>
        <v>13</v>
      </c>
      <c r="E776" s="1">
        <f t="shared" si="54"/>
        <v>2022</v>
      </c>
      <c r="F776" s="1">
        <v>775</v>
      </c>
      <c r="G776" s="1">
        <v>70</v>
      </c>
      <c r="H776" s="1">
        <v>56</v>
      </c>
      <c r="I776" s="2">
        <v>0.8</v>
      </c>
      <c r="J776" s="1">
        <v>14</v>
      </c>
      <c r="K776" s="3">
        <v>5.3240740740740744E-4</v>
      </c>
      <c r="L776" s="3">
        <v>2.3495370370370371E-3</v>
      </c>
      <c r="M776" s="3">
        <v>3.5648148148148149E-3</v>
      </c>
      <c r="N776" s="2">
        <v>0.45710000000000001</v>
      </c>
      <c r="O776" s="5">
        <f t="shared" si="48"/>
        <v>0.13157407407407407</v>
      </c>
      <c r="P776" s="5">
        <f t="shared" si="49"/>
        <v>7.8944444444444439</v>
      </c>
      <c r="Q776" s="5">
        <f t="shared" si="50"/>
        <v>0.16446759259259261</v>
      </c>
      <c r="R776" s="5">
        <f t="shared" si="51"/>
        <v>9.8680555555555571</v>
      </c>
    </row>
    <row r="777" spans="1:18">
      <c r="A777" s="4">
        <v>44606</v>
      </c>
      <c r="B777" s="1" t="s">
        <v>23</v>
      </c>
      <c r="C777" s="1">
        <f t="shared" si="52"/>
        <v>2</v>
      </c>
      <c r="D777" s="1">
        <f t="shared" si="53"/>
        <v>14</v>
      </c>
      <c r="E777" s="1">
        <f t="shared" si="54"/>
        <v>2022</v>
      </c>
      <c r="F777" s="1">
        <v>776</v>
      </c>
      <c r="G777" s="1">
        <v>287</v>
      </c>
      <c r="H777" s="1">
        <v>255</v>
      </c>
      <c r="I777" s="2">
        <v>0.88849999999999996</v>
      </c>
      <c r="J777" s="1">
        <v>32</v>
      </c>
      <c r="K777" s="3">
        <v>4.6296296296296298E-4</v>
      </c>
      <c r="L777" s="3">
        <v>2.4305555555555556E-3</v>
      </c>
      <c r="M777" s="3">
        <v>2.8819444444444444E-3</v>
      </c>
      <c r="N777" s="2">
        <v>0.46810000000000002</v>
      </c>
      <c r="O777" s="5">
        <f t="shared" si="48"/>
        <v>0.61979166666666663</v>
      </c>
      <c r="P777" s="5">
        <f t="shared" si="49"/>
        <v>37.1875</v>
      </c>
      <c r="Q777" s="5">
        <f t="shared" si="50"/>
        <v>0.69756944444444446</v>
      </c>
      <c r="R777" s="5">
        <f t="shared" si="51"/>
        <v>41.854166666666671</v>
      </c>
    </row>
    <row r="778" spans="1:18">
      <c r="A778" s="4">
        <v>44607</v>
      </c>
      <c r="B778" s="1" t="s">
        <v>24</v>
      </c>
      <c r="C778" s="1">
        <f t="shared" si="52"/>
        <v>2</v>
      </c>
      <c r="D778" s="1">
        <f t="shared" si="53"/>
        <v>15</v>
      </c>
      <c r="E778" s="1">
        <f t="shared" si="54"/>
        <v>2022</v>
      </c>
      <c r="F778" s="1">
        <v>777</v>
      </c>
      <c r="G778" s="1">
        <v>298</v>
      </c>
      <c r="H778" s="1">
        <v>259</v>
      </c>
      <c r="I778" s="2">
        <v>0.86909999999999998</v>
      </c>
      <c r="J778" s="1">
        <v>39</v>
      </c>
      <c r="K778" s="3">
        <v>3.4722222222222224E-4</v>
      </c>
      <c r="L778" s="3">
        <v>2.2453703703703702E-3</v>
      </c>
      <c r="M778" s="3">
        <v>5.0347222222222225E-3</v>
      </c>
      <c r="N778" s="2">
        <v>0.57969999999999999</v>
      </c>
      <c r="O778" s="5">
        <f t="shared" si="48"/>
        <v>0.58155092592592594</v>
      </c>
      <c r="P778" s="5">
        <f t="shared" si="49"/>
        <v>34.893055555555556</v>
      </c>
      <c r="Q778" s="5">
        <f t="shared" si="50"/>
        <v>0.66912037037037031</v>
      </c>
      <c r="R778" s="5">
        <f t="shared" si="51"/>
        <v>40.147222222222219</v>
      </c>
    </row>
    <row r="779" spans="1:18">
      <c r="A779" s="4">
        <v>44608</v>
      </c>
      <c r="B779" s="1" t="s">
        <v>18</v>
      </c>
      <c r="C779" s="1">
        <f t="shared" si="52"/>
        <v>2</v>
      </c>
      <c r="D779" s="1">
        <f t="shared" si="53"/>
        <v>16</v>
      </c>
      <c r="E779" s="1">
        <f t="shared" si="54"/>
        <v>2022</v>
      </c>
      <c r="F779" s="1">
        <v>778</v>
      </c>
      <c r="G779" s="1">
        <v>347</v>
      </c>
      <c r="H779" s="1">
        <v>317</v>
      </c>
      <c r="I779" s="2">
        <v>0.91349999999999998</v>
      </c>
      <c r="J779" s="1">
        <v>30</v>
      </c>
      <c r="K779" s="3">
        <v>3.4722222222222224E-4</v>
      </c>
      <c r="L779" s="3">
        <v>2.2106481481481482E-3</v>
      </c>
      <c r="M779" s="3">
        <v>4.0740740740740737E-3</v>
      </c>
      <c r="N779" s="2">
        <v>0.59770000000000001</v>
      </c>
      <c r="O779" s="5">
        <f t="shared" si="48"/>
        <v>0.700775462962963</v>
      </c>
      <c r="P779" s="5">
        <f t="shared" si="49"/>
        <v>42.046527777777783</v>
      </c>
      <c r="Q779" s="5">
        <f t="shared" si="50"/>
        <v>0.76709490740740738</v>
      </c>
      <c r="R779" s="5">
        <f t="shared" si="51"/>
        <v>46.02569444444444</v>
      </c>
    </row>
    <row r="780" spans="1:18">
      <c r="A780" s="4">
        <v>44609</v>
      </c>
      <c r="B780" s="1" t="s">
        <v>19</v>
      </c>
      <c r="C780" s="1">
        <f t="shared" si="52"/>
        <v>2</v>
      </c>
      <c r="D780" s="1">
        <f t="shared" si="53"/>
        <v>17</v>
      </c>
      <c r="E780" s="1">
        <f t="shared" si="54"/>
        <v>2022</v>
      </c>
      <c r="F780" s="1">
        <v>779</v>
      </c>
      <c r="G780" s="1">
        <v>414</v>
      </c>
      <c r="H780" s="1">
        <v>356</v>
      </c>
      <c r="I780" s="2">
        <v>0.8599</v>
      </c>
      <c r="J780" s="1">
        <v>58</v>
      </c>
      <c r="K780" s="3">
        <v>4.9768518518518521E-4</v>
      </c>
      <c r="L780" s="3">
        <v>2.3958333333333331E-3</v>
      </c>
      <c r="M780" s="3">
        <v>1.0787037037037038E-2</v>
      </c>
      <c r="N780" s="2">
        <v>0.47149999999999997</v>
      </c>
      <c r="O780" s="5">
        <f t="shared" si="48"/>
        <v>0.85291666666666655</v>
      </c>
      <c r="P780" s="5">
        <f t="shared" si="49"/>
        <v>51.17499999999999</v>
      </c>
      <c r="Q780" s="5">
        <f t="shared" si="50"/>
        <v>0.99187499999999995</v>
      </c>
      <c r="R780" s="5">
        <f t="shared" si="51"/>
        <v>59.512499999999996</v>
      </c>
    </row>
    <row r="781" spans="1:18">
      <c r="A781" s="4">
        <v>44610</v>
      </c>
      <c r="B781" s="1" t="s">
        <v>20</v>
      </c>
      <c r="C781" s="1">
        <f t="shared" si="52"/>
        <v>2</v>
      </c>
      <c r="D781" s="1">
        <f t="shared" si="53"/>
        <v>18</v>
      </c>
      <c r="E781" s="1">
        <f t="shared" si="54"/>
        <v>2022</v>
      </c>
      <c r="F781" s="1">
        <v>780</v>
      </c>
      <c r="G781" s="1">
        <v>406</v>
      </c>
      <c r="H781" s="1">
        <v>362</v>
      </c>
      <c r="I781" s="2">
        <v>0.89159999999999995</v>
      </c>
      <c r="J781" s="1">
        <v>44</v>
      </c>
      <c r="K781" s="3">
        <v>4.2824074074074075E-4</v>
      </c>
      <c r="L781" s="3">
        <v>2.1064814814814813E-3</v>
      </c>
      <c r="M781" s="3">
        <v>3.6689814814814814E-3</v>
      </c>
      <c r="N781" s="2">
        <v>0.53480000000000005</v>
      </c>
      <c r="O781" s="5">
        <f t="shared" si="48"/>
        <v>0.76254629629629622</v>
      </c>
      <c r="P781" s="5">
        <f t="shared" si="49"/>
        <v>45.752777777777773</v>
      </c>
      <c r="Q781" s="5">
        <f t="shared" si="50"/>
        <v>0.85523148148148143</v>
      </c>
      <c r="R781" s="5">
        <f t="shared" si="51"/>
        <v>51.313888888888883</v>
      </c>
    </row>
    <row r="782" spans="1:18">
      <c r="A782" s="4">
        <v>44611</v>
      </c>
      <c r="B782" s="1" t="s">
        <v>21</v>
      </c>
      <c r="C782" s="1">
        <f t="shared" si="52"/>
        <v>2</v>
      </c>
      <c r="D782" s="1">
        <f t="shared" si="53"/>
        <v>19</v>
      </c>
      <c r="E782" s="1">
        <f t="shared" si="54"/>
        <v>2022</v>
      </c>
      <c r="F782" s="1">
        <v>781</v>
      </c>
      <c r="G782" s="1">
        <v>366</v>
      </c>
      <c r="H782" s="1">
        <v>322</v>
      </c>
      <c r="I782" s="2">
        <v>0.87980000000000003</v>
      </c>
      <c r="J782" s="1">
        <v>44</v>
      </c>
      <c r="K782" s="3">
        <v>4.0509259259259258E-4</v>
      </c>
      <c r="L782" s="3">
        <v>2.1180555555555558E-3</v>
      </c>
      <c r="M782" s="3">
        <v>7.7777777777777776E-3</v>
      </c>
      <c r="N782" s="2">
        <v>0.5706</v>
      </c>
      <c r="O782" s="5">
        <f t="shared" si="48"/>
        <v>0.68201388888888892</v>
      </c>
      <c r="P782" s="5">
        <f t="shared" si="49"/>
        <v>40.920833333333334</v>
      </c>
      <c r="Q782" s="5">
        <f t="shared" si="50"/>
        <v>0.77520833333333339</v>
      </c>
      <c r="R782" s="5">
        <f t="shared" si="51"/>
        <v>46.512500000000003</v>
      </c>
    </row>
    <row r="783" spans="1:18">
      <c r="A783" s="4">
        <v>44612</v>
      </c>
      <c r="B783" s="1" t="s">
        <v>22</v>
      </c>
      <c r="C783" s="1">
        <f t="shared" si="52"/>
        <v>2</v>
      </c>
      <c r="D783" s="1">
        <f t="shared" si="53"/>
        <v>20</v>
      </c>
      <c r="E783" s="1">
        <f t="shared" si="54"/>
        <v>2022</v>
      </c>
      <c r="F783" s="1">
        <v>782</v>
      </c>
      <c r="G783" s="1">
        <v>68</v>
      </c>
      <c r="H783" s="1">
        <v>64</v>
      </c>
      <c r="I783" s="2">
        <v>0.94120000000000004</v>
      </c>
      <c r="J783" s="1">
        <v>4</v>
      </c>
      <c r="K783" s="3">
        <v>1.6203703703703703E-4</v>
      </c>
      <c r="L783" s="3">
        <v>2.0601851851851853E-3</v>
      </c>
      <c r="M783" s="3">
        <v>1.4351851851851852E-3</v>
      </c>
      <c r="N783" s="2">
        <v>0.82350000000000001</v>
      </c>
      <c r="O783" s="5">
        <f t="shared" si="48"/>
        <v>0.13185185185185186</v>
      </c>
      <c r="P783" s="5">
        <f t="shared" si="49"/>
        <v>7.9111111111111114</v>
      </c>
      <c r="Q783" s="5">
        <f t="shared" si="50"/>
        <v>0.1400925925925926</v>
      </c>
      <c r="R783" s="5">
        <f t="shared" si="51"/>
        <v>8.4055555555555568</v>
      </c>
    </row>
    <row r="784" spans="1:18">
      <c r="A784" s="4">
        <v>44613</v>
      </c>
      <c r="B784" s="1" t="s">
        <v>23</v>
      </c>
      <c r="C784" s="1">
        <f t="shared" si="52"/>
        <v>2</v>
      </c>
      <c r="D784" s="1">
        <f t="shared" si="53"/>
        <v>21</v>
      </c>
      <c r="E784" s="1">
        <f t="shared" si="54"/>
        <v>2022</v>
      </c>
      <c r="F784" s="1">
        <v>783</v>
      </c>
      <c r="G784" s="1">
        <v>350</v>
      </c>
      <c r="H784" s="1">
        <v>320</v>
      </c>
      <c r="I784" s="2">
        <v>0.9143</v>
      </c>
      <c r="J784" s="1">
        <v>30</v>
      </c>
      <c r="K784" s="3">
        <v>4.2824074074074075E-4</v>
      </c>
      <c r="L784" s="3">
        <v>2.2337962962962962E-3</v>
      </c>
      <c r="M784" s="3">
        <v>3.9236111111111112E-3</v>
      </c>
      <c r="N784" s="2">
        <v>0.54179999999999995</v>
      </c>
      <c r="O784" s="5">
        <f t="shared" si="48"/>
        <v>0.71481481481481479</v>
      </c>
      <c r="P784" s="5">
        <f t="shared" si="49"/>
        <v>42.888888888888886</v>
      </c>
      <c r="Q784" s="5">
        <f t="shared" si="50"/>
        <v>0.78182870370370372</v>
      </c>
      <c r="R784" s="5">
        <f t="shared" si="51"/>
        <v>46.909722222222221</v>
      </c>
    </row>
    <row r="785" spans="1:18">
      <c r="A785" s="4">
        <v>44614</v>
      </c>
      <c r="B785" s="1" t="s">
        <v>24</v>
      </c>
      <c r="C785" s="1">
        <f t="shared" si="52"/>
        <v>2</v>
      </c>
      <c r="D785" s="1">
        <f t="shared" si="53"/>
        <v>22</v>
      </c>
      <c r="E785" s="1">
        <f t="shared" si="54"/>
        <v>2022</v>
      </c>
      <c r="F785" s="1">
        <v>784</v>
      </c>
      <c r="G785" s="1">
        <v>437</v>
      </c>
      <c r="H785" s="1">
        <v>352</v>
      </c>
      <c r="I785" s="2">
        <v>0.80549999999999999</v>
      </c>
      <c r="J785" s="1">
        <v>85</v>
      </c>
      <c r="K785" s="3">
        <v>6.018518518518519E-4</v>
      </c>
      <c r="L785" s="3">
        <v>2.0949074074074073E-3</v>
      </c>
      <c r="M785" s="3">
        <v>6.6319444444444446E-3</v>
      </c>
      <c r="N785" s="2">
        <v>0.41260000000000002</v>
      </c>
      <c r="O785" s="5">
        <f t="shared" si="48"/>
        <v>0.7374074074074074</v>
      </c>
      <c r="P785" s="5">
        <f t="shared" si="49"/>
        <v>44.244444444444447</v>
      </c>
      <c r="Q785" s="5">
        <f t="shared" si="50"/>
        <v>0.91547453703703696</v>
      </c>
      <c r="R785" s="5">
        <f t="shared" si="51"/>
        <v>54.928472222222219</v>
      </c>
    </row>
    <row r="786" spans="1:18">
      <c r="A786" s="4">
        <v>44615</v>
      </c>
      <c r="B786" s="1" t="s">
        <v>18</v>
      </c>
      <c r="C786" s="1">
        <f t="shared" si="52"/>
        <v>2</v>
      </c>
      <c r="D786" s="1">
        <f t="shared" si="53"/>
        <v>23</v>
      </c>
      <c r="E786" s="1">
        <f t="shared" si="54"/>
        <v>2022</v>
      </c>
      <c r="F786" s="1">
        <v>785</v>
      </c>
      <c r="G786" s="1">
        <v>484</v>
      </c>
      <c r="H786" s="1">
        <v>438</v>
      </c>
      <c r="I786" s="2">
        <v>0.90500000000000003</v>
      </c>
      <c r="J786" s="1">
        <v>46</v>
      </c>
      <c r="K786" s="3">
        <v>5.2083333333333333E-4</v>
      </c>
      <c r="L786" s="3">
        <v>2.0486111111111113E-3</v>
      </c>
      <c r="M786" s="3">
        <v>4.0162037037037041E-3</v>
      </c>
      <c r="N786" s="2">
        <v>0.44790000000000002</v>
      </c>
      <c r="O786" s="5">
        <f t="shared" si="48"/>
        <v>0.89729166666666671</v>
      </c>
      <c r="P786" s="5">
        <f t="shared" si="49"/>
        <v>53.837500000000006</v>
      </c>
      <c r="Q786" s="5">
        <f t="shared" si="50"/>
        <v>0.9915277777777779</v>
      </c>
      <c r="R786" s="5">
        <f t="shared" si="51"/>
        <v>59.491666666666674</v>
      </c>
    </row>
    <row r="787" spans="1:18">
      <c r="A787" s="4">
        <v>44616</v>
      </c>
      <c r="B787" s="1" t="s">
        <v>19</v>
      </c>
      <c r="C787" s="1">
        <f t="shared" si="52"/>
        <v>2</v>
      </c>
      <c r="D787" s="1">
        <f t="shared" si="53"/>
        <v>24</v>
      </c>
      <c r="E787" s="1">
        <f t="shared" si="54"/>
        <v>2022</v>
      </c>
      <c r="F787" s="1">
        <v>786</v>
      </c>
      <c r="G787" s="1">
        <v>405</v>
      </c>
      <c r="H787" s="1">
        <v>368</v>
      </c>
      <c r="I787" s="2">
        <v>0.90859999999999996</v>
      </c>
      <c r="J787" s="1">
        <v>37</v>
      </c>
      <c r="K787" s="3">
        <v>4.0509259259259258E-4</v>
      </c>
      <c r="L787" s="3">
        <v>2.1875000000000002E-3</v>
      </c>
      <c r="M787" s="3">
        <v>3.9467592592592592E-3</v>
      </c>
      <c r="N787" s="2">
        <v>0.58099999999999996</v>
      </c>
      <c r="O787" s="5">
        <f t="shared" si="48"/>
        <v>0.80500000000000005</v>
      </c>
      <c r="P787" s="5">
        <f t="shared" si="49"/>
        <v>48.300000000000004</v>
      </c>
      <c r="Q787" s="5">
        <f t="shared" si="50"/>
        <v>0.88593750000000004</v>
      </c>
      <c r="R787" s="5">
        <f t="shared" si="51"/>
        <v>53.15625</v>
      </c>
    </row>
    <row r="788" spans="1:18">
      <c r="A788" s="4">
        <v>44617</v>
      </c>
      <c r="B788" s="1" t="s">
        <v>20</v>
      </c>
      <c r="C788" s="1">
        <f t="shared" si="52"/>
        <v>2</v>
      </c>
      <c r="D788" s="1">
        <f t="shared" si="53"/>
        <v>25</v>
      </c>
      <c r="E788" s="1">
        <f t="shared" si="54"/>
        <v>2022</v>
      </c>
      <c r="F788" s="1">
        <v>787</v>
      </c>
      <c r="G788" s="1">
        <v>570</v>
      </c>
      <c r="H788" s="1">
        <v>368</v>
      </c>
      <c r="I788" s="2">
        <v>0.64559999999999995</v>
      </c>
      <c r="J788" s="1">
        <v>202</v>
      </c>
      <c r="K788" s="3">
        <v>8.2175925925925927E-4</v>
      </c>
      <c r="L788" s="3">
        <v>2.3611111111111111E-3</v>
      </c>
      <c r="M788" s="3">
        <v>1.7951388888888888E-2</v>
      </c>
      <c r="N788" s="2">
        <v>0.2354</v>
      </c>
      <c r="O788" s="5">
        <f t="shared" si="48"/>
        <v>0.86888888888888893</v>
      </c>
      <c r="P788" s="5">
        <f t="shared" si="49"/>
        <v>52.133333333333333</v>
      </c>
      <c r="Q788" s="5">
        <f t="shared" si="50"/>
        <v>1.3458333333333334</v>
      </c>
      <c r="R788" s="5">
        <f t="shared" si="51"/>
        <v>80.75</v>
      </c>
    </row>
    <row r="789" spans="1:18">
      <c r="A789" s="4">
        <v>44618</v>
      </c>
      <c r="B789" s="1" t="s">
        <v>21</v>
      </c>
      <c r="C789" s="1">
        <f t="shared" si="52"/>
        <v>2</v>
      </c>
      <c r="D789" s="1">
        <f t="shared" si="53"/>
        <v>26</v>
      </c>
      <c r="E789" s="1">
        <f t="shared" si="54"/>
        <v>2022</v>
      </c>
      <c r="F789" s="1">
        <v>788</v>
      </c>
      <c r="G789" s="1">
        <v>424</v>
      </c>
      <c r="H789" s="1">
        <v>384</v>
      </c>
      <c r="I789" s="2">
        <v>0.90569999999999995</v>
      </c>
      <c r="J789" s="1">
        <v>40</v>
      </c>
      <c r="K789" s="3">
        <v>5.6712962962962967E-4</v>
      </c>
      <c r="L789" s="3">
        <v>2.2453703703703702E-3</v>
      </c>
      <c r="M789" s="3">
        <v>6.2037037037037035E-3</v>
      </c>
      <c r="N789" s="2">
        <v>0.3952</v>
      </c>
      <c r="O789" s="5">
        <f t="shared" si="48"/>
        <v>0.86222222222222222</v>
      </c>
      <c r="P789" s="5">
        <f t="shared" si="49"/>
        <v>51.733333333333334</v>
      </c>
      <c r="Q789" s="5">
        <f t="shared" si="50"/>
        <v>0.95203703703703701</v>
      </c>
      <c r="R789" s="5">
        <f t="shared" si="51"/>
        <v>57.12222222222222</v>
      </c>
    </row>
    <row r="790" spans="1:18">
      <c r="A790" s="4">
        <v>44619</v>
      </c>
      <c r="B790" s="1" t="s">
        <v>22</v>
      </c>
      <c r="C790" s="1">
        <f t="shared" si="52"/>
        <v>2</v>
      </c>
      <c r="D790" s="1">
        <f t="shared" si="53"/>
        <v>27</v>
      </c>
      <c r="E790" s="1">
        <f t="shared" si="54"/>
        <v>2022</v>
      </c>
      <c r="F790" s="1">
        <v>789</v>
      </c>
      <c r="G790" s="1">
        <v>60</v>
      </c>
      <c r="H790" s="1">
        <v>57</v>
      </c>
      <c r="I790" s="2">
        <v>0.95</v>
      </c>
      <c r="J790" s="1">
        <v>3</v>
      </c>
      <c r="K790" s="3">
        <v>3.7037037037037035E-4</v>
      </c>
      <c r="L790" s="3">
        <v>2.3032407407407407E-3</v>
      </c>
      <c r="M790" s="3">
        <v>2.0833333333333333E-3</v>
      </c>
      <c r="N790" s="2">
        <v>0.55930000000000002</v>
      </c>
      <c r="O790" s="5">
        <f t="shared" si="48"/>
        <v>0.13128472222222221</v>
      </c>
      <c r="P790" s="5">
        <f t="shared" si="49"/>
        <v>7.8770833333333323</v>
      </c>
      <c r="Q790" s="5">
        <f t="shared" si="50"/>
        <v>0.13819444444444445</v>
      </c>
      <c r="R790" s="5">
        <f t="shared" si="51"/>
        <v>8.2916666666666679</v>
      </c>
    </row>
    <row r="791" spans="1:18">
      <c r="A791" s="4">
        <v>44620</v>
      </c>
      <c r="B791" s="1" t="s">
        <v>23</v>
      </c>
      <c r="C791" s="1">
        <f t="shared" si="52"/>
        <v>2</v>
      </c>
      <c r="D791" s="1">
        <f t="shared" si="53"/>
        <v>28</v>
      </c>
      <c r="E791" s="1">
        <f t="shared" si="54"/>
        <v>2022</v>
      </c>
      <c r="F791" s="1">
        <v>790</v>
      </c>
      <c r="G791" s="1">
        <v>497</v>
      </c>
      <c r="H791" s="1">
        <v>442</v>
      </c>
      <c r="I791" s="2">
        <v>0.88929999999999998</v>
      </c>
      <c r="J791" s="1">
        <v>55</v>
      </c>
      <c r="K791" s="3">
        <v>5.5555555555555556E-4</v>
      </c>
      <c r="L791" s="3">
        <v>1.1111111111111111E-3</v>
      </c>
      <c r="M791" s="3">
        <v>7.4652777777777781E-3</v>
      </c>
      <c r="N791" s="2">
        <v>0.57579999999999998</v>
      </c>
      <c r="O791" s="5">
        <f t="shared" si="48"/>
        <v>0.49111111111111111</v>
      </c>
      <c r="P791" s="5">
        <f t="shared" si="49"/>
        <v>29.466666666666665</v>
      </c>
      <c r="Q791" s="5">
        <f t="shared" si="50"/>
        <v>0.55222222222222217</v>
      </c>
      <c r="R791" s="5">
        <f t="shared" si="51"/>
        <v>33.133333333333333</v>
      </c>
    </row>
    <row r="792" spans="1:18">
      <c r="A792" s="4">
        <v>44621</v>
      </c>
      <c r="B792" s="1" t="s">
        <v>24</v>
      </c>
      <c r="C792" s="1">
        <f t="shared" si="52"/>
        <v>3</v>
      </c>
      <c r="D792" s="1">
        <f t="shared" si="53"/>
        <v>1</v>
      </c>
      <c r="E792" s="1">
        <f t="shared" si="54"/>
        <v>2022</v>
      </c>
      <c r="F792" s="1">
        <v>791</v>
      </c>
      <c r="G792" s="1">
        <v>429</v>
      </c>
      <c r="H792" s="1">
        <v>378</v>
      </c>
      <c r="I792" s="2">
        <v>0.88109999999999999</v>
      </c>
      <c r="J792" s="1">
        <v>51</v>
      </c>
      <c r="K792" s="3">
        <v>4.2824074074074075E-4</v>
      </c>
      <c r="L792" s="3">
        <v>1.4467592592592592E-3</v>
      </c>
      <c r="M792" s="3">
        <v>7.5810185185185182E-3</v>
      </c>
      <c r="N792" s="2">
        <v>0.55289999999999995</v>
      </c>
      <c r="O792" s="5">
        <f t="shared" si="48"/>
        <v>0.546875</v>
      </c>
      <c r="P792" s="5">
        <f t="shared" si="49"/>
        <v>32.8125</v>
      </c>
      <c r="Q792" s="5">
        <f t="shared" si="50"/>
        <v>0.62065972222222221</v>
      </c>
      <c r="R792" s="5">
        <f t="shared" si="51"/>
        <v>37.239583333333336</v>
      </c>
    </row>
    <row r="793" spans="1:18">
      <c r="A793" s="4">
        <v>44622</v>
      </c>
      <c r="B793" s="1" t="s">
        <v>18</v>
      </c>
      <c r="C793" s="1">
        <f t="shared" si="52"/>
        <v>3</v>
      </c>
      <c r="D793" s="1">
        <f t="shared" si="53"/>
        <v>2</v>
      </c>
      <c r="E793" s="1">
        <f t="shared" si="54"/>
        <v>2022</v>
      </c>
      <c r="F793" s="1">
        <v>792</v>
      </c>
      <c r="G793" s="1">
        <v>499</v>
      </c>
      <c r="H793" s="1">
        <v>388</v>
      </c>
      <c r="I793" s="2">
        <v>0.77759999999999996</v>
      </c>
      <c r="J793" s="1">
        <v>111</v>
      </c>
      <c r="K793" s="3">
        <v>6.2500000000000001E-4</v>
      </c>
      <c r="L793" s="3">
        <v>1.5625000000000001E-3</v>
      </c>
      <c r="M793" s="3">
        <v>1.1793981481481482E-2</v>
      </c>
      <c r="N793" s="2">
        <v>0.47760000000000002</v>
      </c>
      <c r="O793" s="5">
        <f t="shared" si="48"/>
        <v>0.60625000000000007</v>
      </c>
      <c r="P793" s="5">
        <f t="shared" si="49"/>
        <v>36.375000000000007</v>
      </c>
      <c r="Q793" s="5">
        <f t="shared" si="50"/>
        <v>0.77968750000000009</v>
      </c>
      <c r="R793" s="5">
        <f t="shared" si="51"/>
        <v>46.781250000000007</v>
      </c>
    </row>
    <row r="794" spans="1:18">
      <c r="A794" s="4">
        <v>44623</v>
      </c>
      <c r="B794" s="1" t="s">
        <v>19</v>
      </c>
      <c r="C794" s="1">
        <f t="shared" si="52"/>
        <v>3</v>
      </c>
      <c r="D794" s="1">
        <f t="shared" si="53"/>
        <v>3</v>
      </c>
      <c r="E794" s="1">
        <f t="shared" si="54"/>
        <v>2022</v>
      </c>
      <c r="F794" s="1">
        <v>793</v>
      </c>
      <c r="G794" s="1">
        <v>510</v>
      </c>
      <c r="H794" s="1">
        <v>434</v>
      </c>
      <c r="I794" s="2">
        <v>0.85099999999999998</v>
      </c>
      <c r="J794" s="1">
        <v>76</v>
      </c>
      <c r="K794" s="3">
        <v>5.5555555555555556E-4</v>
      </c>
      <c r="L794" s="3">
        <v>2.4189814814814816E-3</v>
      </c>
      <c r="M794" s="3">
        <v>7.1875000000000003E-3</v>
      </c>
      <c r="N794" s="2">
        <v>0.4219</v>
      </c>
      <c r="O794" s="5">
        <f t="shared" si="48"/>
        <v>1.0498379629629631</v>
      </c>
      <c r="P794" s="5">
        <f t="shared" si="49"/>
        <v>62.990277777777784</v>
      </c>
      <c r="Q794" s="5">
        <f t="shared" si="50"/>
        <v>1.2336805555555557</v>
      </c>
      <c r="R794" s="5">
        <f t="shared" si="51"/>
        <v>74.020833333333343</v>
      </c>
    </row>
    <row r="795" spans="1:18">
      <c r="A795" s="4">
        <v>44624</v>
      </c>
      <c r="B795" s="1" t="s">
        <v>20</v>
      </c>
      <c r="C795" s="1">
        <f t="shared" si="52"/>
        <v>3</v>
      </c>
      <c r="D795" s="1">
        <f t="shared" si="53"/>
        <v>4</v>
      </c>
      <c r="E795" s="1">
        <f t="shared" si="54"/>
        <v>2022</v>
      </c>
      <c r="F795" s="1">
        <v>794</v>
      </c>
      <c r="G795" s="1">
        <v>549</v>
      </c>
      <c r="H795" s="1">
        <v>458</v>
      </c>
      <c r="I795" s="2">
        <v>0.83420000000000005</v>
      </c>
      <c r="J795" s="1">
        <v>91</v>
      </c>
      <c r="K795" s="3">
        <v>8.4490740740740739E-4</v>
      </c>
      <c r="L795" s="3">
        <v>2.488425925925926E-3</v>
      </c>
      <c r="M795" s="3">
        <v>6.3888888888888893E-3</v>
      </c>
      <c r="N795" s="2">
        <v>0.29070000000000001</v>
      </c>
      <c r="O795" s="5">
        <f t="shared" si="48"/>
        <v>1.1396990740740742</v>
      </c>
      <c r="P795" s="5">
        <f t="shared" si="49"/>
        <v>68.381944444444457</v>
      </c>
      <c r="Q795" s="5">
        <f t="shared" si="50"/>
        <v>1.3661458333333334</v>
      </c>
      <c r="R795" s="5">
        <f t="shared" si="51"/>
        <v>81.96875</v>
      </c>
    </row>
    <row r="796" spans="1:18">
      <c r="A796" s="4">
        <v>44625</v>
      </c>
      <c r="B796" s="1" t="s">
        <v>21</v>
      </c>
      <c r="C796" s="1">
        <f t="shared" si="52"/>
        <v>3</v>
      </c>
      <c r="D796" s="1">
        <f t="shared" si="53"/>
        <v>5</v>
      </c>
      <c r="E796" s="1">
        <f t="shared" si="54"/>
        <v>2022</v>
      </c>
      <c r="F796" s="1">
        <v>795</v>
      </c>
      <c r="G796" s="1">
        <v>590</v>
      </c>
      <c r="H796" s="1">
        <v>444</v>
      </c>
      <c r="I796" s="2">
        <v>0.75249999999999995</v>
      </c>
      <c r="J796" s="1">
        <v>146</v>
      </c>
      <c r="K796" s="3">
        <v>9.6064814814814819E-4</v>
      </c>
      <c r="L796" s="3">
        <v>2.476851851851852E-3</v>
      </c>
      <c r="M796" s="3">
        <v>6.2268518518518515E-3</v>
      </c>
      <c r="N796" s="2">
        <v>0.1903</v>
      </c>
      <c r="O796" s="5">
        <f t="shared" si="48"/>
        <v>1.0997222222222223</v>
      </c>
      <c r="P796" s="5">
        <f t="shared" si="49"/>
        <v>65.983333333333334</v>
      </c>
      <c r="Q796" s="5">
        <f t="shared" si="50"/>
        <v>1.4613425925925927</v>
      </c>
      <c r="R796" s="5">
        <f t="shared" si="51"/>
        <v>87.680555555555557</v>
      </c>
    </row>
    <row r="797" spans="1:18">
      <c r="A797" s="4">
        <v>44626</v>
      </c>
      <c r="B797" s="1" t="s">
        <v>22</v>
      </c>
      <c r="C797" s="1">
        <f t="shared" si="52"/>
        <v>3</v>
      </c>
      <c r="D797" s="1">
        <f t="shared" si="53"/>
        <v>6</v>
      </c>
      <c r="E797" s="1">
        <f t="shared" si="54"/>
        <v>2022</v>
      </c>
      <c r="F797" s="1">
        <v>796</v>
      </c>
      <c r="G797" s="1">
        <v>137</v>
      </c>
      <c r="H797" s="1">
        <v>120</v>
      </c>
      <c r="I797" s="2">
        <v>0.87590000000000001</v>
      </c>
      <c r="J797" s="1">
        <v>17</v>
      </c>
      <c r="K797" s="3">
        <v>6.7129629629629625E-4</v>
      </c>
      <c r="L797" s="3">
        <v>2.2106481481481482E-3</v>
      </c>
      <c r="M797" s="3">
        <v>3.7268518518518519E-3</v>
      </c>
      <c r="N797" s="2">
        <v>0.33090000000000003</v>
      </c>
      <c r="O797" s="5">
        <f t="shared" si="48"/>
        <v>0.26527777777777778</v>
      </c>
      <c r="P797" s="5">
        <f t="shared" si="49"/>
        <v>15.916666666666666</v>
      </c>
      <c r="Q797" s="5">
        <f t="shared" si="50"/>
        <v>0.30285879629629631</v>
      </c>
      <c r="R797" s="5">
        <f t="shared" si="51"/>
        <v>18.171527777777779</v>
      </c>
    </row>
    <row r="798" spans="1:18">
      <c r="A798" s="4">
        <v>44627</v>
      </c>
      <c r="B798" s="1" t="s">
        <v>23</v>
      </c>
      <c r="C798" s="1">
        <f t="shared" si="52"/>
        <v>3</v>
      </c>
      <c r="D798" s="1">
        <f t="shared" si="53"/>
        <v>7</v>
      </c>
      <c r="E798" s="1">
        <f t="shared" si="54"/>
        <v>2022</v>
      </c>
      <c r="F798" s="1">
        <v>797</v>
      </c>
      <c r="G798" s="1">
        <v>598</v>
      </c>
      <c r="H798" s="1">
        <v>476</v>
      </c>
      <c r="I798" s="2">
        <v>0.79600000000000004</v>
      </c>
      <c r="J798" s="1">
        <v>122</v>
      </c>
      <c r="K798" s="3">
        <v>6.7129629629629625E-4</v>
      </c>
      <c r="L798" s="3">
        <v>2.5347222222222221E-3</v>
      </c>
      <c r="M798" s="3">
        <v>6.076388888888889E-3</v>
      </c>
      <c r="N798" s="2">
        <v>0.32029999999999997</v>
      </c>
      <c r="O798" s="5">
        <f t="shared" si="48"/>
        <v>1.2065277777777776</v>
      </c>
      <c r="P798" s="5">
        <f t="shared" si="49"/>
        <v>72.391666666666652</v>
      </c>
      <c r="Q798" s="5">
        <f t="shared" si="50"/>
        <v>1.5157638888888887</v>
      </c>
      <c r="R798" s="5">
        <f t="shared" si="51"/>
        <v>90.945833333333326</v>
      </c>
    </row>
    <row r="799" spans="1:18">
      <c r="A799" s="4">
        <v>44628</v>
      </c>
      <c r="B799" s="1" t="s">
        <v>24</v>
      </c>
      <c r="C799" s="1">
        <f t="shared" si="52"/>
        <v>3</v>
      </c>
      <c r="D799" s="1">
        <f t="shared" si="53"/>
        <v>8</v>
      </c>
      <c r="E799" s="1">
        <f t="shared" si="54"/>
        <v>2022</v>
      </c>
      <c r="F799" s="1">
        <v>798</v>
      </c>
      <c r="G799" s="1">
        <v>231</v>
      </c>
      <c r="H799" s="1">
        <v>180</v>
      </c>
      <c r="I799" s="2">
        <v>0.7792</v>
      </c>
      <c r="J799" s="1">
        <v>51</v>
      </c>
      <c r="K799" s="3">
        <v>7.407407407407407E-4</v>
      </c>
      <c r="L799" s="3">
        <v>2.4652777777777776E-3</v>
      </c>
      <c r="M799" s="3">
        <v>6.3310185185185188E-3</v>
      </c>
      <c r="N799" s="2">
        <v>0.33779999999999999</v>
      </c>
      <c r="O799" s="5">
        <f t="shared" si="48"/>
        <v>0.44374999999999998</v>
      </c>
      <c r="P799" s="5">
        <f t="shared" si="49"/>
        <v>26.625</v>
      </c>
      <c r="Q799" s="5">
        <f t="shared" si="50"/>
        <v>0.56947916666666665</v>
      </c>
      <c r="R799" s="5">
        <f t="shared" si="51"/>
        <v>34.168749999999996</v>
      </c>
    </row>
    <row r="800" spans="1:18">
      <c r="A800" s="4">
        <v>44629</v>
      </c>
      <c r="B800" s="1" t="s">
        <v>18</v>
      </c>
      <c r="C800" s="1">
        <f t="shared" si="52"/>
        <v>3</v>
      </c>
      <c r="D800" s="1">
        <f t="shared" si="53"/>
        <v>9</v>
      </c>
      <c r="E800" s="1">
        <f t="shared" si="54"/>
        <v>2022</v>
      </c>
      <c r="F800" s="1">
        <v>799</v>
      </c>
      <c r="G800" s="1">
        <v>724</v>
      </c>
      <c r="H800" s="1">
        <v>362</v>
      </c>
      <c r="I800" s="2">
        <v>0.5</v>
      </c>
      <c r="J800" s="1">
        <v>362</v>
      </c>
      <c r="K800" s="3">
        <v>1.4004629629629629E-3</v>
      </c>
      <c r="L800" s="3">
        <v>2.7199074074074074E-3</v>
      </c>
      <c r="M800" s="3">
        <v>8.5416666666666662E-3</v>
      </c>
      <c r="N800" s="2">
        <v>0.1166</v>
      </c>
      <c r="O800" s="5">
        <f t="shared" si="48"/>
        <v>0.98460648148148144</v>
      </c>
      <c r="P800" s="5">
        <f t="shared" si="49"/>
        <v>59.076388888888886</v>
      </c>
      <c r="Q800" s="5">
        <f t="shared" si="50"/>
        <v>1.9692129629629629</v>
      </c>
      <c r="R800" s="5">
        <f t="shared" si="51"/>
        <v>118.15277777777777</v>
      </c>
    </row>
    <row r="801" spans="1:18">
      <c r="A801" s="4">
        <v>44630</v>
      </c>
      <c r="B801" s="1" t="s">
        <v>19</v>
      </c>
      <c r="C801" s="1">
        <f t="shared" si="52"/>
        <v>3</v>
      </c>
      <c r="D801" s="1">
        <f t="shared" si="53"/>
        <v>10</v>
      </c>
      <c r="E801" s="1">
        <f t="shared" si="54"/>
        <v>2022</v>
      </c>
      <c r="F801" s="1">
        <v>800</v>
      </c>
      <c r="G801" s="1">
        <v>732</v>
      </c>
      <c r="H801" s="1">
        <v>367</v>
      </c>
      <c r="I801" s="2">
        <v>0.50139999999999996</v>
      </c>
      <c r="J801" s="1">
        <v>365</v>
      </c>
      <c r="K801" s="3">
        <v>1.9444444444444444E-3</v>
      </c>
      <c r="L801" s="3">
        <v>1.9907407407407408E-3</v>
      </c>
      <c r="M801" s="3">
        <v>1.1550925925925926E-2</v>
      </c>
      <c r="N801" s="2">
        <v>8.09E-2</v>
      </c>
      <c r="O801" s="5">
        <f t="shared" si="48"/>
        <v>0.73060185185185189</v>
      </c>
      <c r="P801" s="5">
        <f t="shared" si="49"/>
        <v>43.836111111111116</v>
      </c>
      <c r="Q801" s="5">
        <f t="shared" si="50"/>
        <v>1.4572222222222222</v>
      </c>
      <c r="R801" s="5">
        <f t="shared" si="51"/>
        <v>87.433333333333337</v>
      </c>
    </row>
    <row r="802" spans="1:18">
      <c r="A802" s="4">
        <v>44631</v>
      </c>
      <c r="B802" s="1" t="s">
        <v>20</v>
      </c>
      <c r="C802" s="1">
        <f t="shared" si="52"/>
        <v>3</v>
      </c>
      <c r="D802" s="1">
        <f t="shared" si="53"/>
        <v>11</v>
      </c>
      <c r="E802" s="1">
        <f t="shared" si="54"/>
        <v>2022</v>
      </c>
      <c r="F802" s="1">
        <v>801</v>
      </c>
      <c r="G802" s="1">
        <v>582</v>
      </c>
      <c r="H802" s="1">
        <v>301</v>
      </c>
      <c r="I802" s="2">
        <v>0.51719999999999999</v>
      </c>
      <c r="J802" s="1">
        <v>281</v>
      </c>
      <c r="K802" s="3">
        <v>1.8634259259259259E-3</v>
      </c>
      <c r="L802" s="3">
        <v>2.9282407407407408E-3</v>
      </c>
      <c r="M802" s="3">
        <v>1.5069444444444444E-2</v>
      </c>
      <c r="N802" s="2">
        <v>0.1208</v>
      </c>
      <c r="O802" s="5">
        <f t="shared" si="48"/>
        <v>0.88140046296296293</v>
      </c>
      <c r="P802" s="5">
        <f t="shared" si="49"/>
        <v>52.884027777777774</v>
      </c>
      <c r="Q802" s="5">
        <f t="shared" si="50"/>
        <v>1.7042361111111111</v>
      </c>
      <c r="R802" s="5">
        <f t="shared" si="51"/>
        <v>102.25416666666666</v>
      </c>
    </row>
    <row r="803" spans="1:18">
      <c r="A803" s="4">
        <v>44632</v>
      </c>
      <c r="B803" s="1" t="s">
        <v>21</v>
      </c>
      <c r="C803" s="1">
        <f t="shared" si="52"/>
        <v>3</v>
      </c>
      <c r="D803" s="1">
        <f t="shared" si="53"/>
        <v>12</v>
      </c>
      <c r="E803" s="1">
        <f t="shared" si="54"/>
        <v>2022</v>
      </c>
      <c r="F803" s="1">
        <v>802</v>
      </c>
      <c r="G803" s="1">
        <v>621</v>
      </c>
      <c r="H803" s="1">
        <v>344</v>
      </c>
      <c r="I803" s="2">
        <v>0.55389999999999995</v>
      </c>
      <c r="J803" s="1">
        <v>277</v>
      </c>
      <c r="K803" s="3">
        <v>1.4699074074074074E-3</v>
      </c>
      <c r="L803" s="3">
        <v>2.4189814814814816E-3</v>
      </c>
      <c r="M803" s="3">
        <v>8.611111111111111E-3</v>
      </c>
      <c r="N803" s="2">
        <v>0.1447</v>
      </c>
      <c r="O803" s="5">
        <f t="shared" si="48"/>
        <v>0.83212962962962966</v>
      </c>
      <c r="P803" s="5">
        <f t="shared" si="49"/>
        <v>49.927777777777777</v>
      </c>
      <c r="Q803" s="5">
        <f t="shared" si="50"/>
        <v>1.5021875</v>
      </c>
      <c r="R803" s="5">
        <f t="shared" si="51"/>
        <v>90.131249999999994</v>
      </c>
    </row>
    <row r="804" spans="1:18">
      <c r="A804" s="4">
        <v>44633</v>
      </c>
      <c r="B804" s="1" t="s">
        <v>22</v>
      </c>
      <c r="C804" s="1">
        <f t="shared" si="52"/>
        <v>3</v>
      </c>
      <c r="D804" s="1">
        <f t="shared" si="53"/>
        <v>13</v>
      </c>
      <c r="E804" s="1">
        <f t="shared" si="54"/>
        <v>2022</v>
      </c>
      <c r="F804" s="1">
        <v>803</v>
      </c>
      <c r="G804" s="1">
        <v>116</v>
      </c>
      <c r="H804" s="1">
        <v>106</v>
      </c>
      <c r="I804" s="2">
        <v>0.91379999999999995</v>
      </c>
      <c r="J804" s="1">
        <v>10</v>
      </c>
      <c r="K804" s="3">
        <v>3.9351851851851852E-4</v>
      </c>
      <c r="L804" s="3">
        <v>3.0439814814814813E-3</v>
      </c>
      <c r="M804" s="3">
        <v>3.2870370370370371E-3</v>
      </c>
      <c r="N804" s="2">
        <v>0.62929999999999997</v>
      </c>
      <c r="O804" s="5">
        <f t="shared" si="48"/>
        <v>0.322662037037037</v>
      </c>
      <c r="P804" s="5">
        <f t="shared" si="49"/>
        <v>19.359722222222221</v>
      </c>
      <c r="Q804" s="5">
        <f t="shared" si="50"/>
        <v>0.35310185185185183</v>
      </c>
      <c r="R804" s="5">
        <f t="shared" si="51"/>
        <v>21.18611111111111</v>
      </c>
    </row>
    <row r="805" spans="1:18">
      <c r="A805" s="4">
        <v>44634</v>
      </c>
      <c r="B805" s="1" t="s">
        <v>23</v>
      </c>
      <c r="C805" s="1">
        <f t="shared" si="52"/>
        <v>3</v>
      </c>
      <c r="D805" s="1">
        <f t="shared" si="53"/>
        <v>14</v>
      </c>
      <c r="E805" s="1">
        <f t="shared" si="54"/>
        <v>2022</v>
      </c>
      <c r="F805" s="1">
        <v>804</v>
      </c>
      <c r="G805" s="1">
        <v>533</v>
      </c>
      <c r="H805" s="1">
        <v>300</v>
      </c>
      <c r="I805" s="2">
        <v>0.56289999999999996</v>
      </c>
      <c r="J805" s="1">
        <v>233</v>
      </c>
      <c r="K805" s="3">
        <v>1.5277777777777779E-3</v>
      </c>
      <c r="L805" s="3">
        <v>2.8124999999999999E-3</v>
      </c>
      <c r="M805" s="3">
        <v>8.611111111111111E-3</v>
      </c>
      <c r="N805" s="2">
        <v>0.1255</v>
      </c>
      <c r="O805" s="5">
        <f t="shared" si="48"/>
        <v>0.84375</v>
      </c>
      <c r="P805" s="5">
        <f t="shared" si="49"/>
        <v>50.625</v>
      </c>
      <c r="Q805" s="5">
        <f t="shared" si="50"/>
        <v>1.4990625</v>
      </c>
      <c r="R805" s="5">
        <f t="shared" si="51"/>
        <v>89.943749999999994</v>
      </c>
    </row>
    <row r="806" spans="1:18">
      <c r="A806" s="4">
        <v>44635</v>
      </c>
      <c r="B806" s="1" t="s">
        <v>24</v>
      </c>
      <c r="C806" s="1">
        <f t="shared" si="52"/>
        <v>3</v>
      </c>
      <c r="D806" s="1">
        <f t="shared" si="53"/>
        <v>15</v>
      </c>
      <c r="E806" s="1">
        <f t="shared" si="54"/>
        <v>2022</v>
      </c>
      <c r="F806" s="1">
        <v>805</v>
      </c>
      <c r="G806" s="1">
        <v>416</v>
      </c>
      <c r="H806" s="1">
        <v>322</v>
      </c>
      <c r="I806" s="2">
        <v>0.77400000000000002</v>
      </c>
      <c r="J806" s="1">
        <v>94</v>
      </c>
      <c r="K806" s="3">
        <v>7.407407407407407E-4</v>
      </c>
      <c r="L806" s="3">
        <v>2.476851851851852E-3</v>
      </c>
      <c r="M806" s="3">
        <v>4.3055555555555555E-3</v>
      </c>
      <c r="N806" s="2">
        <v>0.38590000000000002</v>
      </c>
      <c r="O806" s="5">
        <f t="shared" si="48"/>
        <v>0.79754629629629636</v>
      </c>
      <c r="P806" s="5">
        <f t="shared" si="49"/>
        <v>47.852777777777781</v>
      </c>
      <c r="Q806" s="5">
        <f t="shared" si="50"/>
        <v>1.0303703703703704</v>
      </c>
      <c r="R806" s="5">
        <f t="shared" si="51"/>
        <v>61.822222222222223</v>
      </c>
    </row>
    <row r="807" spans="1:18">
      <c r="A807" s="4">
        <v>44636</v>
      </c>
      <c r="B807" s="1" t="s">
        <v>18</v>
      </c>
      <c r="C807" s="1">
        <f t="shared" si="52"/>
        <v>3</v>
      </c>
      <c r="D807" s="1">
        <f t="shared" si="53"/>
        <v>16</v>
      </c>
      <c r="E807" s="1">
        <f t="shared" si="54"/>
        <v>2022</v>
      </c>
      <c r="F807" s="1">
        <v>806</v>
      </c>
      <c r="G807" s="1">
        <v>415</v>
      </c>
      <c r="H807" s="1">
        <v>259</v>
      </c>
      <c r="I807" s="2">
        <v>0.62409999999999999</v>
      </c>
      <c r="J807" s="1">
        <v>156</v>
      </c>
      <c r="K807" s="3">
        <v>1.5046296296296296E-3</v>
      </c>
      <c r="L807" s="3">
        <v>2.7430555555555554E-3</v>
      </c>
      <c r="M807" s="3">
        <v>9.4675925925925934E-3</v>
      </c>
      <c r="N807" s="2">
        <v>0.1789</v>
      </c>
      <c r="O807" s="5">
        <f t="shared" si="48"/>
        <v>0.71045138888888881</v>
      </c>
      <c r="P807" s="5">
        <f t="shared" si="49"/>
        <v>42.627083333333331</v>
      </c>
      <c r="Q807" s="5">
        <f t="shared" si="50"/>
        <v>1.1383680555555555</v>
      </c>
      <c r="R807" s="5">
        <f t="shared" si="51"/>
        <v>68.302083333333329</v>
      </c>
    </row>
    <row r="808" spans="1:18">
      <c r="A808" s="4">
        <v>44637</v>
      </c>
      <c r="B808" s="1" t="s">
        <v>19</v>
      </c>
      <c r="C808" s="1">
        <f t="shared" si="52"/>
        <v>3</v>
      </c>
      <c r="D808" s="1">
        <f t="shared" si="53"/>
        <v>17</v>
      </c>
      <c r="E808" s="1">
        <f t="shared" si="54"/>
        <v>2022</v>
      </c>
      <c r="F808" s="1">
        <v>807</v>
      </c>
      <c r="G808" s="1">
        <v>433</v>
      </c>
      <c r="H808" s="1">
        <v>289</v>
      </c>
      <c r="I808" s="2">
        <v>0.66739999999999999</v>
      </c>
      <c r="J808" s="1">
        <v>144</v>
      </c>
      <c r="K808" s="3">
        <v>1.1805555555555556E-3</v>
      </c>
      <c r="L808" s="3">
        <v>2.4074074074074076E-3</v>
      </c>
      <c r="M808" s="3">
        <v>9.1666666666666667E-3</v>
      </c>
      <c r="N808" s="2">
        <v>0.22950000000000001</v>
      </c>
      <c r="O808" s="5">
        <f t="shared" si="48"/>
        <v>0.69574074074074077</v>
      </c>
      <c r="P808" s="5">
        <f t="shared" si="49"/>
        <v>41.744444444444447</v>
      </c>
      <c r="Q808" s="5">
        <f t="shared" si="50"/>
        <v>1.0424074074074074</v>
      </c>
      <c r="R808" s="5">
        <f t="shared" si="51"/>
        <v>62.544444444444444</v>
      </c>
    </row>
    <row r="809" spans="1:18">
      <c r="A809" s="4">
        <v>44638</v>
      </c>
      <c r="B809" s="1" t="s">
        <v>20</v>
      </c>
      <c r="C809" s="1">
        <f t="shared" si="52"/>
        <v>3</v>
      </c>
      <c r="D809" s="1">
        <f t="shared" si="53"/>
        <v>18</v>
      </c>
      <c r="E809" s="1">
        <f t="shared" si="54"/>
        <v>2022</v>
      </c>
      <c r="F809" s="1">
        <v>808</v>
      </c>
      <c r="G809" s="1">
        <v>454</v>
      </c>
      <c r="H809" s="1">
        <v>284</v>
      </c>
      <c r="I809" s="2">
        <v>0.62560000000000004</v>
      </c>
      <c r="J809" s="1">
        <v>170</v>
      </c>
      <c r="K809" s="3">
        <v>1.3078703703703703E-3</v>
      </c>
      <c r="L809" s="3">
        <v>2.476851851851852E-3</v>
      </c>
      <c r="M809" s="3">
        <v>1.3449074074074073E-2</v>
      </c>
      <c r="N809" s="2">
        <v>0.24440000000000001</v>
      </c>
      <c r="O809" s="5">
        <f t="shared" si="48"/>
        <v>0.70342592592592601</v>
      </c>
      <c r="P809" s="5">
        <f t="shared" si="49"/>
        <v>42.205555555555563</v>
      </c>
      <c r="Q809" s="5">
        <f t="shared" si="50"/>
        <v>1.1244907407407407</v>
      </c>
      <c r="R809" s="5">
        <f t="shared" si="51"/>
        <v>67.469444444444449</v>
      </c>
    </row>
    <row r="810" spans="1:18">
      <c r="A810" s="4">
        <v>44639</v>
      </c>
      <c r="B810" s="1" t="s">
        <v>21</v>
      </c>
      <c r="C810" s="1">
        <f t="shared" si="52"/>
        <v>3</v>
      </c>
      <c r="D810" s="1">
        <f t="shared" si="53"/>
        <v>19</v>
      </c>
      <c r="E810" s="1">
        <f t="shared" si="54"/>
        <v>2022</v>
      </c>
      <c r="F810" s="1">
        <v>809</v>
      </c>
      <c r="G810" s="1">
        <v>244</v>
      </c>
      <c r="H810" s="1">
        <v>195</v>
      </c>
      <c r="I810" s="2">
        <v>0.79920000000000002</v>
      </c>
      <c r="J810" s="1">
        <v>49</v>
      </c>
      <c r="K810" s="3">
        <v>9.837962962962962E-4</v>
      </c>
      <c r="L810" s="3">
        <v>2.673611111111111E-3</v>
      </c>
      <c r="M810" s="3">
        <v>7.8935185185185185E-3</v>
      </c>
      <c r="N810" s="2">
        <v>0.36670000000000003</v>
      </c>
      <c r="O810" s="5">
        <f t="shared" si="48"/>
        <v>0.52135416666666667</v>
      </c>
      <c r="P810" s="5">
        <f t="shared" si="49"/>
        <v>31.28125</v>
      </c>
      <c r="Q810" s="5">
        <f t="shared" si="50"/>
        <v>0.65236111111111106</v>
      </c>
      <c r="R810" s="5">
        <f t="shared" si="51"/>
        <v>39.141666666666666</v>
      </c>
    </row>
    <row r="811" spans="1:18">
      <c r="A811" s="4">
        <v>44640</v>
      </c>
      <c r="B811" s="1" t="s">
        <v>22</v>
      </c>
      <c r="C811" s="1">
        <f t="shared" si="52"/>
        <v>3</v>
      </c>
      <c r="D811" s="1">
        <f t="shared" si="53"/>
        <v>20</v>
      </c>
      <c r="E811" s="1">
        <f t="shared" si="54"/>
        <v>2022</v>
      </c>
      <c r="F811" s="1">
        <v>810</v>
      </c>
      <c r="G811" s="1">
        <v>51</v>
      </c>
      <c r="H811" s="1">
        <v>48</v>
      </c>
      <c r="I811" s="2">
        <v>0.94120000000000004</v>
      </c>
      <c r="J811" s="1">
        <v>3</v>
      </c>
      <c r="K811" s="3">
        <v>1.6203703703703703E-4</v>
      </c>
      <c r="L811" s="3">
        <v>2.3842592592592591E-3</v>
      </c>
      <c r="M811" s="3">
        <v>2.3263888888888887E-3</v>
      </c>
      <c r="N811" s="2">
        <v>0.84309999999999996</v>
      </c>
      <c r="O811" s="5">
        <f t="shared" si="48"/>
        <v>0.11444444444444443</v>
      </c>
      <c r="P811" s="5">
        <f t="shared" si="49"/>
        <v>6.8666666666666663</v>
      </c>
      <c r="Q811" s="5">
        <f t="shared" si="50"/>
        <v>0.12159722222222222</v>
      </c>
      <c r="R811" s="5">
        <f t="shared" si="51"/>
        <v>7.2958333333333334</v>
      </c>
    </row>
    <row r="812" spans="1:18">
      <c r="A812" s="4">
        <v>44641</v>
      </c>
      <c r="B812" s="1" t="s">
        <v>23</v>
      </c>
      <c r="C812" s="1">
        <f t="shared" si="52"/>
        <v>3</v>
      </c>
      <c r="D812" s="1">
        <f t="shared" si="53"/>
        <v>21</v>
      </c>
      <c r="E812" s="1">
        <f t="shared" si="54"/>
        <v>2022</v>
      </c>
      <c r="F812" s="1">
        <v>811</v>
      </c>
      <c r="G812" s="1">
        <v>202</v>
      </c>
      <c r="H812" s="1">
        <v>176</v>
      </c>
      <c r="I812" s="2">
        <v>0.87129999999999996</v>
      </c>
      <c r="J812" s="1">
        <v>26</v>
      </c>
      <c r="K812" s="3">
        <v>2.7777777777777778E-4</v>
      </c>
      <c r="L812" s="3">
        <v>2.5694444444444445E-3</v>
      </c>
      <c r="M812" s="3">
        <v>3.7962962962962963E-3</v>
      </c>
      <c r="N812" s="2">
        <v>0.67159999999999997</v>
      </c>
      <c r="O812" s="5">
        <f t="shared" si="48"/>
        <v>0.45222222222222225</v>
      </c>
      <c r="P812" s="5">
        <f t="shared" si="49"/>
        <v>27.133333333333336</v>
      </c>
      <c r="Q812" s="5">
        <f t="shared" si="50"/>
        <v>0.51902777777777775</v>
      </c>
      <c r="R812" s="5">
        <f t="shared" si="51"/>
        <v>31.141666666666666</v>
      </c>
    </row>
    <row r="813" spans="1:18">
      <c r="A813" s="4">
        <v>44642</v>
      </c>
      <c r="B813" s="1" t="s">
        <v>24</v>
      </c>
      <c r="C813" s="1">
        <f t="shared" si="52"/>
        <v>3</v>
      </c>
      <c r="D813" s="1">
        <f t="shared" si="53"/>
        <v>22</v>
      </c>
      <c r="E813" s="1">
        <f t="shared" si="54"/>
        <v>2022</v>
      </c>
      <c r="F813" s="1">
        <v>812</v>
      </c>
      <c r="G813" s="1">
        <v>128</v>
      </c>
      <c r="H813" s="1">
        <v>118</v>
      </c>
      <c r="I813" s="2">
        <v>0.92190000000000005</v>
      </c>
      <c r="J813" s="1">
        <v>10</v>
      </c>
      <c r="K813" s="3">
        <v>3.4722222222222224E-4</v>
      </c>
      <c r="L813" s="3">
        <v>2.5694444444444445E-3</v>
      </c>
      <c r="M813" s="3">
        <v>5.4745370370370373E-3</v>
      </c>
      <c r="N813" s="2">
        <v>0.74019999999999997</v>
      </c>
      <c r="O813" s="5">
        <f t="shared" si="48"/>
        <v>0.30319444444444443</v>
      </c>
      <c r="P813" s="5">
        <f t="shared" si="49"/>
        <v>18.191666666666666</v>
      </c>
      <c r="Q813" s="5">
        <f t="shared" si="50"/>
        <v>0.3288888888888889</v>
      </c>
      <c r="R813" s="5">
        <f t="shared" si="51"/>
        <v>19.733333333333334</v>
      </c>
    </row>
    <row r="814" spans="1:18">
      <c r="A814" s="4">
        <v>44643</v>
      </c>
      <c r="B814" s="1" t="s">
        <v>18</v>
      </c>
      <c r="C814" s="1">
        <f t="shared" si="52"/>
        <v>3</v>
      </c>
      <c r="D814" s="1">
        <f t="shared" si="53"/>
        <v>23</v>
      </c>
      <c r="E814" s="1">
        <f t="shared" si="54"/>
        <v>2022</v>
      </c>
      <c r="F814" s="1">
        <v>813</v>
      </c>
      <c r="G814" s="1">
        <v>102</v>
      </c>
      <c r="H814" s="1">
        <v>100</v>
      </c>
      <c r="I814" s="2">
        <v>0.98040000000000005</v>
      </c>
      <c r="J814" s="1">
        <v>2</v>
      </c>
      <c r="K814" s="3">
        <v>1.6203703703703703E-4</v>
      </c>
      <c r="L814" s="3">
        <v>2.4537037037037036E-3</v>
      </c>
      <c r="M814" s="3">
        <v>2.1875000000000002E-3</v>
      </c>
      <c r="N814" s="2">
        <v>0.85289999999999999</v>
      </c>
      <c r="O814" s="5">
        <f t="shared" si="48"/>
        <v>0.24537037037037035</v>
      </c>
      <c r="P814" s="5">
        <f t="shared" si="49"/>
        <v>14.722222222222221</v>
      </c>
      <c r="Q814" s="5">
        <f t="shared" si="50"/>
        <v>0.25027777777777777</v>
      </c>
      <c r="R814" s="5">
        <f t="shared" si="51"/>
        <v>15.016666666666666</v>
      </c>
    </row>
    <row r="815" spans="1:18">
      <c r="A815" s="4">
        <v>44644</v>
      </c>
      <c r="B815" s="1" t="s">
        <v>19</v>
      </c>
      <c r="C815" s="1">
        <f t="shared" si="52"/>
        <v>3</v>
      </c>
      <c r="D815" s="1">
        <f t="shared" si="53"/>
        <v>24</v>
      </c>
      <c r="E815" s="1">
        <f t="shared" si="54"/>
        <v>2022</v>
      </c>
      <c r="F815" s="1">
        <v>814</v>
      </c>
      <c r="G815" s="1">
        <v>201</v>
      </c>
      <c r="H815" s="1">
        <v>169</v>
      </c>
      <c r="I815" s="2">
        <v>0.84079999999999999</v>
      </c>
      <c r="J815" s="1">
        <v>32</v>
      </c>
      <c r="K815" s="3">
        <v>3.7037037037037035E-4</v>
      </c>
      <c r="L815" s="3">
        <v>2.3726851851851851E-3</v>
      </c>
      <c r="M815" s="3">
        <v>4.3055555555555555E-3</v>
      </c>
      <c r="N815" s="2">
        <v>0.58079999999999998</v>
      </c>
      <c r="O815" s="5">
        <f t="shared" si="48"/>
        <v>0.40098379629629627</v>
      </c>
      <c r="P815" s="5">
        <f t="shared" si="49"/>
        <v>24.059027777777775</v>
      </c>
      <c r="Q815" s="5">
        <f t="shared" si="50"/>
        <v>0.47690972222222222</v>
      </c>
      <c r="R815" s="5">
        <f t="shared" si="51"/>
        <v>28.614583333333332</v>
      </c>
    </row>
    <row r="816" spans="1:18">
      <c r="A816" s="4">
        <v>44645</v>
      </c>
      <c r="B816" s="1" t="s">
        <v>20</v>
      </c>
      <c r="C816" s="1">
        <f t="shared" si="52"/>
        <v>3</v>
      </c>
      <c r="D816" s="1">
        <f t="shared" si="53"/>
        <v>25</v>
      </c>
      <c r="E816" s="1">
        <f t="shared" si="54"/>
        <v>2022</v>
      </c>
      <c r="F816" s="1">
        <v>815</v>
      </c>
      <c r="G816" s="1">
        <v>261</v>
      </c>
      <c r="H816" s="1">
        <v>195</v>
      </c>
      <c r="I816" s="2">
        <v>0.74709999999999999</v>
      </c>
      <c r="J816" s="1">
        <v>66</v>
      </c>
      <c r="K816" s="3">
        <v>7.0601851851851847E-4</v>
      </c>
      <c r="L816" s="3">
        <v>2.3958333333333331E-3</v>
      </c>
      <c r="M816" s="3">
        <v>5.4976851851851853E-3</v>
      </c>
      <c r="N816" s="2">
        <v>0.37980000000000003</v>
      </c>
      <c r="O816" s="5">
        <f t="shared" si="48"/>
        <v>0.46718749999999998</v>
      </c>
      <c r="P816" s="5">
        <f t="shared" si="49"/>
        <v>28.03125</v>
      </c>
      <c r="Q816" s="5">
        <f t="shared" si="50"/>
        <v>0.62531249999999994</v>
      </c>
      <c r="R816" s="5">
        <f t="shared" si="51"/>
        <v>37.518749999999997</v>
      </c>
    </row>
    <row r="817" spans="1:18">
      <c r="A817" s="4">
        <v>44646</v>
      </c>
      <c r="B817" s="1" t="s">
        <v>21</v>
      </c>
      <c r="C817" s="1">
        <f t="shared" si="52"/>
        <v>3</v>
      </c>
      <c r="D817" s="1">
        <f t="shared" si="53"/>
        <v>26</v>
      </c>
      <c r="E817" s="1">
        <f t="shared" si="54"/>
        <v>2022</v>
      </c>
      <c r="F817" s="1">
        <v>816</v>
      </c>
      <c r="G817" s="1">
        <v>201</v>
      </c>
      <c r="H817" s="1">
        <v>173</v>
      </c>
      <c r="I817" s="2">
        <v>0.86070000000000002</v>
      </c>
      <c r="J817" s="1">
        <v>28</v>
      </c>
      <c r="K817" s="3">
        <v>4.7453703703703704E-4</v>
      </c>
      <c r="L817" s="3">
        <v>2.2569444444444442E-3</v>
      </c>
      <c r="M817" s="3">
        <v>4.7453703703703703E-3</v>
      </c>
      <c r="N817" s="2">
        <v>0.59499999999999997</v>
      </c>
      <c r="O817" s="5">
        <f t="shared" si="48"/>
        <v>0.39045138888888886</v>
      </c>
      <c r="P817" s="5">
        <f t="shared" si="49"/>
        <v>23.427083333333332</v>
      </c>
      <c r="Q817" s="5">
        <f t="shared" si="50"/>
        <v>0.4536458333333333</v>
      </c>
      <c r="R817" s="5">
        <f t="shared" si="51"/>
        <v>27.21875</v>
      </c>
    </row>
    <row r="818" spans="1:18">
      <c r="A818" s="4">
        <v>44647</v>
      </c>
      <c r="B818" s="1" t="s">
        <v>22</v>
      </c>
      <c r="C818" s="1">
        <f t="shared" si="52"/>
        <v>3</v>
      </c>
      <c r="D818" s="1">
        <f t="shared" si="53"/>
        <v>27</v>
      </c>
      <c r="E818" s="1">
        <f t="shared" si="54"/>
        <v>2022</v>
      </c>
      <c r="F818" s="1">
        <v>817</v>
      </c>
      <c r="G818" s="1">
        <v>64</v>
      </c>
      <c r="H818" s="1">
        <v>61</v>
      </c>
      <c r="I818" s="2">
        <v>0.95309999999999995</v>
      </c>
      <c r="J818" s="1">
        <v>3</v>
      </c>
      <c r="K818" s="3">
        <v>1.0416666666666667E-4</v>
      </c>
      <c r="L818" s="3">
        <v>2.2569444444444442E-3</v>
      </c>
      <c r="M818" s="3">
        <v>1.6550925925925926E-3</v>
      </c>
      <c r="N818" s="2">
        <v>0.92059999999999997</v>
      </c>
      <c r="O818" s="5">
        <f t="shared" si="48"/>
        <v>0.13767361111111109</v>
      </c>
      <c r="P818" s="5">
        <f t="shared" si="49"/>
        <v>8.2604166666666661</v>
      </c>
      <c r="Q818" s="5">
        <f t="shared" si="50"/>
        <v>0.14444444444444443</v>
      </c>
      <c r="R818" s="5">
        <f t="shared" si="51"/>
        <v>8.6666666666666661</v>
      </c>
    </row>
    <row r="819" spans="1:18">
      <c r="A819" s="4">
        <v>44648</v>
      </c>
      <c r="B819" s="1" t="s">
        <v>23</v>
      </c>
      <c r="C819" s="1">
        <f t="shared" si="52"/>
        <v>3</v>
      </c>
      <c r="D819" s="1">
        <f t="shared" si="53"/>
        <v>28</v>
      </c>
      <c r="E819" s="1">
        <f t="shared" si="54"/>
        <v>2022</v>
      </c>
      <c r="F819" s="1">
        <v>818</v>
      </c>
      <c r="G819" s="1">
        <v>200</v>
      </c>
      <c r="H819" s="1">
        <v>168</v>
      </c>
      <c r="I819" s="2">
        <v>0.84</v>
      </c>
      <c r="J819" s="1">
        <v>32</v>
      </c>
      <c r="K819" s="3">
        <v>5.9027777777777778E-4</v>
      </c>
      <c r="L819" s="3">
        <v>2.3495370370370371E-3</v>
      </c>
      <c r="M819" s="3">
        <v>4.6990740740740743E-3</v>
      </c>
      <c r="N819" s="2">
        <v>0.4874</v>
      </c>
      <c r="O819" s="5">
        <f t="shared" si="48"/>
        <v>0.39472222222222225</v>
      </c>
      <c r="P819" s="5">
        <f t="shared" si="49"/>
        <v>23.683333333333334</v>
      </c>
      <c r="Q819" s="5">
        <f t="shared" si="50"/>
        <v>0.46990740740740744</v>
      </c>
      <c r="R819" s="5">
        <f t="shared" si="51"/>
        <v>28.194444444444446</v>
      </c>
    </row>
    <row r="820" spans="1:18">
      <c r="A820" s="4">
        <v>44649</v>
      </c>
      <c r="B820" s="1" t="s">
        <v>24</v>
      </c>
      <c r="C820" s="1">
        <f t="shared" si="52"/>
        <v>3</v>
      </c>
      <c r="D820" s="1">
        <f t="shared" si="53"/>
        <v>29</v>
      </c>
      <c r="E820" s="1">
        <f t="shared" si="54"/>
        <v>2022</v>
      </c>
      <c r="F820" s="1">
        <v>819</v>
      </c>
      <c r="G820" s="1">
        <v>158</v>
      </c>
      <c r="H820" s="1">
        <v>148</v>
      </c>
      <c r="I820" s="2">
        <v>0.93669999999999998</v>
      </c>
      <c r="J820" s="1">
        <v>10</v>
      </c>
      <c r="K820" s="3">
        <v>3.4722222222222224E-4</v>
      </c>
      <c r="L820" s="3">
        <v>2.2800925925925927E-3</v>
      </c>
      <c r="M820" s="3">
        <v>2.8703703703703703E-3</v>
      </c>
      <c r="N820" s="2">
        <v>0.56689999999999996</v>
      </c>
      <c r="O820" s="5">
        <f t="shared" si="48"/>
        <v>0.3374537037037037</v>
      </c>
      <c r="P820" s="5">
        <f t="shared" si="49"/>
        <v>20.247222222222224</v>
      </c>
      <c r="Q820" s="5">
        <f t="shared" si="50"/>
        <v>0.36025462962962962</v>
      </c>
      <c r="R820" s="5">
        <f t="shared" si="51"/>
        <v>21.615277777777777</v>
      </c>
    </row>
    <row r="821" spans="1:18">
      <c r="A821" s="4">
        <v>44650</v>
      </c>
      <c r="B821" s="1" t="s">
        <v>18</v>
      </c>
      <c r="C821" s="1">
        <f t="shared" si="52"/>
        <v>3</v>
      </c>
      <c r="D821" s="1">
        <f t="shared" si="53"/>
        <v>30</v>
      </c>
      <c r="E821" s="1">
        <f t="shared" si="54"/>
        <v>2022</v>
      </c>
      <c r="F821" s="1">
        <v>820</v>
      </c>
      <c r="G821" s="1">
        <v>174</v>
      </c>
      <c r="H821" s="1">
        <v>155</v>
      </c>
      <c r="I821" s="2">
        <v>0.89080000000000004</v>
      </c>
      <c r="J821" s="1">
        <v>19</v>
      </c>
      <c r="K821" s="3">
        <v>3.0092592592592595E-4</v>
      </c>
      <c r="L821" s="3">
        <v>2.0949074074074073E-3</v>
      </c>
      <c r="M821" s="3">
        <v>3.5879629629629629E-3</v>
      </c>
      <c r="N821" s="2">
        <v>0.62350000000000005</v>
      </c>
      <c r="O821" s="5">
        <f t="shared" si="48"/>
        <v>0.32471064814814815</v>
      </c>
      <c r="P821" s="5">
        <f t="shared" si="49"/>
        <v>19.482638888888889</v>
      </c>
      <c r="Q821" s="5">
        <f t="shared" si="50"/>
        <v>0.36451388888888886</v>
      </c>
      <c r="R821" s="5">
        <f t="shared" si="51"/>
        <v>21.87083333333333</v>
      </c>
    </row>
    <row r="822" spans="1:18">
      <c r="A822" s="4">
        <v>44651</v>
      </c>
      <c r="B822" s="1" t="s">
        <v>19</v>
      </c>
      <c r="C822" s="1">
        <f t="shared" si="52"/>
        <v>3</v>
      </c>
      <c r="D822" s="1">
        <f t="shared" si="53"/>
        <v>31</v>
      </c>
      <c r="E822" s="1">
        <f t="shared" si="54"/>
        <v>2022</v>
      </c>
      <c r="F822" s="1">
        <v>821</v>
      </c>
      <c r="G822" s="1">
        <v>67</v>
      </c>
      <c r="H822" s="1">
        <v>64</v>
      </c>
      <c r="I822" s="2">
        <v>0.95520000000000005</v>
      </c>
      <c r="J822" s="1">
        <v>3</v>
      </c>
      <c r="K822" s="3">
        <v>3.0092592592592595E-4</v>
      </c>
      <c r="L822" s="3">
        <v>2.4421296296296296E-3</v>
      </c>
      <c r="M822" s="3">
        <v>3.449074074074074E-3</v>
      </c>
      <c r="N822" s="2">
        <v>0.71209999999999996</v>
      </c>
      <c r="O822" s="5">
        <f t="shared" si="48"/>
        <v>0.15629629629629629</v>
      </c>
      <c r="P822" s="5">
        <f t="shared" si="49"/>
        <v>9.3777777777777782</v>
      </c>
      <c r="Q822" s="5">
        <f t="shared" si="50"/>
        <v>0.16362268518518519</v>
      </c>
      <c r="R822" s="5">
        <f t="shared" si="51"/>
        <v>9.8173611111111114</v>
      </c>
    </row>
    <row r="823" spans="1:18">
      <c r="A823" s="4">
        <v>44652</v>
      </c>
      <c r="B823" s="1" t="s">
        <v>20</v>
      </c>
      <c r="C823" s="1">
        <f t="shared" si="52"/>
        <v>4</v>
      </c>
      <c r="D823" s="1">
        <f t="shared" si="53"/>
        <v>1</v>
      </c>
      <c r="E823" s="1">
        <f t="shared" si="54"/>
        <v>2022</v>
      </c>
      <c r="F823" s="1">
        <v>822</v>
      </c>
      <c r="G823" s="1">
        <v>24</v>
      </c>
      <c r="H823" s="1">
        <v>23</v>
      </c>
      <c r="I823" s="2">
        <v>0.95830000000000004</v>
      </c>
      <c r="J823" s="1">
        <v>1</v>
      </c>
      <c r="K823" s="3">
        <v>2.6620370370370372E-4</v>
      </c>
      <c r="L823" s="3">
        <v>1.9675925925925924E-3</v>
      </c>
      <c r="M823" s="3">
        <v>1.4004629629629629E-3</v>
      </c>
      <c r="N823" s="2">
        <v>0.75</v>
      </c>
      <c r="O823" s="5">
        <f t="shared" si="48"/>
        <v>4.5254629629629624E-2</v>
      </c>
      <c r="P823" s="5">
        <f t="shared" si="49"/>
        <v>2.7152777777777772</v>
      </c>
      <c r="Q823" s="5">
        <f t="shared" si="50"/>
        <v>4.7222222222222221E-2</v>
      </c>
      <c r="R823" s="5">
        <f t="shared" si="51"/>
        <v>2.833333333333333</v>
      </c>
    </row>
    <row r="824" spans="1:18">
      <c r="A824" s="4">
        <v>44653</v>
      </c>
      <c r="B824" s="1" t="s">
        <v>21</v>
      </c>
      <c r="C824" s="1">
        <f t="shared" si="52"/>
        <v>4</v>
      </c>
      <c r="D824" s="1">
        <f t="shared" si="53"/>
        <v>2</v>
      </c>
      <c r="E824" s="1">
        <f t="shared" si="54"/>
        <v>2022</v>
      </c>
      <c r="F824" s="1">
        <v>823</v>
      </c>
      <c r="G824" s="1">
        <v>106</v>
      </c>
      <c r="H824" s="1">
        <v>92</v>
      </c>
      <c r="I824" s="2">
        <v>0.8679</v>
      </c>
      <c r="J824" s="1">
        <v>14</v>
      </c>
      <c r="K824" s="3">
        <v>5.0925925925925921E-4</v>
      </c>
      <c r="L824" s="3">
        <v>2.1180555555555558E-3</v>
      </c>
      <c r="M824" s="3">
        <v>3.5185185185185185E-3</v>
      </c>
      <c r="N824" s="2">
        <v>0.45629999999999998</v>
      </c>
      <c r="O824" s="5">
        <f t="shared" si="48"/>
        <v>0.19486111111111112</v>
      </c>
      <c r="P824" s="5">
        <f t="shared" si="49"/>
        <v>11.691666666666668</v>
      </c>
      <c r="Q824" s="5">
        <f t="shared" si="50"/>
        <v>0.2245138888888889</v>
      </c>
      <c r="R824" s="5">
        <f t="shared" si="51"/>
        <v>13.470833333333335</v>
      </c>
    </row>
    <row r="825" spans="1:18">
      <c r="A825" s="4">
        <v>44654</v>
      </c>
      <c r="B825" s="1" t="s">
        <v>22</v>
      </c>
      <c r="C825" s="1">
        <f t="shared" si="52"/>
        <v>4</v>
      </c>
      <c r="D825" s="1">
        <f t="shared" si="53"/>
        <v>3</v>
      </c>
      <c r="E825" s="1">
        <f t="shared" si="54"/>
        <v>2022</v>
      </c>
      <c r="F825" s="1">
        <v>824</v>
      </c>
      <c r="G825" s="1">
        <v>52</v>
      </c>
      <c r="H825" s="1">
        <v>50</v>
      </c>
      <c r="I825" s="2">
        <v>0.96150000000000002</v>
      </c>
      <c r="J825" s="1">
        <v>2</v>
      </c>
      <c r="K825" s="3">
        <v>1.273148148148148E-4</v>
      </c>
      <c r="L825" s="3">
        <v>2.3032407407407407E-3</v>
      </c>
      <c r="M825" s="3">
        <v>9.7222222222222219E-4</v>
      </c>
      <c r="N825" s="2">
        <v>0.88460000000000005</v>
      </c>
      <c r="O825" s="5">
        <f t="shared" si="48"/>
        <v>0.11516203703703703</v>
      </c>
      <c r="P825" s="5">
        <f t="shared" si="49"/>
        <v>6.9097222222222223</v>
      </c>
      <c r="Q825" s="5">
        <f t="shared" si="50"/>
        <v>0.11976851851851851</v>
      </c>
      <c r="R825" s="5">
        <f t="shared" si="51"/>
        <v>7.1861111111111109</v>
      </c>
    </row>
    <row r="826" spans="1:18">
      <c r="A826" s="4">
        <v>44655</v>
      </c>
      <c r="B826" s="1" t="s">
        <v>23</v>
      </c>
      <c r="C826" s="1">
        <f t="shared" si="52"/>
        <v>4</v>
      </c>
      <c r="D826" s="1">
        <f t="shared" si="53"/>
        <v>4</v>
      </c>
      <c r="E826" s="1">
        <f t="shared" si="54"/>
        <v>2022</v>
      </c>
      <c r="F826" s="1">
        <v>825</v>
      </c>
      <c r="G826" s="1">
        <v>223</v>
      </c>
      <c r="H826" s="1">
        <v>203</v>
      </c>
      <c r="I826" s="2">
        <v>0.9103</v>
      </c>
      <c r="J826" s="1">
        <v>20</v>
      </c>
      <c r="K826" s="3">
        <v>3.5879629629629629E-4</v>
      </c>
      <c r="L826" s="3">
        <v>2.2916666666666667E-3</v>
      </c>
      <c r="M826" s="3">
        <v>2.9050925925925928E-3</v>
      </c>
      <c r="N826" s="2">
        <v>0.621</v>
      </c>
      <c r="O826" s="5">
        <f t="shared" si="48"/>
        <v>0.46520833333333333</v>
      </c>
      <c r="P826" s="5">
        <f t="shared" si="49"/>
        <v>27.912500000000001</v>
      </c>
      <c r="Q826" s="5">
        <f t="shared" si="50"/>
        <v>0.51104166666666662</v>
      </c>
      <c r="R826" s="5">
        <f t="shared" si="51"/>
        <v>30.662499999999998</v>
      </c>
    </row>
    <row r="827" spans="1:18">
      <c r="A827" s="4">
        <v>44656</v>
      </c>
      <c r="B827" s="1" t="s">
        <v>24</v>
      </c>
      <c r="C827" s="1">
        <f t="shared" si="52"/>
        <v>4</v>
      </c>
      <c r="D827" s="1">
        <f t="shared" si="53"/>
        <v>5</v>
      </c>
      <c r="E827" s="1">
        <f t="shared" si="54"/>
        <v>2022</v>
      </c>
      <c r="F827" s="1">
        <v>826</v>
      </c>
      <c r="G827" s="1">
        <v>274</v>
      </c>
      <c r="H827" s="1">
        <v>233</v>
      </c>
      <c r="I827" s="2">
        <v>0.85040000000000004</v>
      </c>
      <c r="J827" s="1">
        <v>41</v>
      </c>
      <c r="K827" s="3">
        <v>5.5555555555555556E-4</v>
      </c>
      <c r="L827" s="3">
        <v>2.3958333333333331E-3</v>
      </c>
      <c r="M827" s="3">
        <v>3.5879629629629629E-3</v>
      </c>
      <c r="N827" s="2">
        <v>0.36059999999999998</v>
      </c>
      <c r="O827" s="5">
        <f t="shared" si="48"/>
        <v>0.55822916666666667</v>
      </c>
      <c r="P827" s="5">
        <f t="shared" si="49"/>
        <v>33.493749999999999</v>
      </c>
      <c r="Q827" s="5">
        <f t="shared" si="50"/>
        <v>0.65645833333333325</v>
      </c>
      <c r="R827" s="5">
        <f t="shared" si="51"/>
        <v>39.387499999999996</v>
      </c>
    </row>
    <row r="828" spans="1:18">
      <c r="A828" s="4">
        <v>44657</v>
      </c>
      <c r="B828" s="1" t="s">
        <v>18</v>
      </c>
      <c r="C828" s="1">
        <f t="shared" si="52"/>
        <v>4</v>
      </c>
      <c r="D828" s="1">
        <f t="shared" si="53"/>
        <v>6</v>
      </c>
      <c r="E828" s="1">
        <f t="shared" si="54"/>
        <v>2022</v>
      </c>
      <c r="F828" s="1">
        <v>827</v>
      </c>
      <c r="G828" s="1">
        <v>280</v>
      </c>
      <c r="H828" s="1">
        <v>263</v>
      </c>
      <c r="I828" s="2">
        <v>0.93930000000000002</v>
      </c>
      <c r="J828" s="1">
        <v>17</v>
      </c>
      <c r="K828" s="3">
        <v>2.6620370370370372E-4</v>
      </c>
      <c r="L828" s="3">
        <v>2.2337962962962962E-3</v>
      </c>
      <c r="M828" s="3">
        <v>2.662037037037037E-3</v>
      </c>
      <c r="N828" s="2">
        <v>0.6764</v>
      </c>
      <c r="O828" s="5">
        <f t="shared" si="48"/>
        <v>0.58748842592592587</v>
      </c>
      <c r="P828" s="5">
        <f t="shared" si="49"/>
        <v>35.249305555555551</v>
      </c>
      <c r="Q828" s="5">
        <f t="shared" si="50"/>
        <v>0.62546296296296289</v>
      </c>
      <c r="R828" s="5">
        <f t="shared" si="51"/>
        <v>37.527777777777771</v>
      </c>
    </row>
    <row r="829" spans="1:18">
      <c r="A829" s="4">
        <v>44658</v>
      </c>
      <c r="B829" s="1" t="s">
        <v>19</v>
      </c>
      <c r="C829" s="1">
        <f t="shared" si="52"/>
        <v>4</v>
      </c>
      <c r="D829" s="1">
        <f t="shared" si="53"/>
        <v>7</v>
      </c>
      <c r="E829" s="1">
        <f t="shared" si="54"/>
        <v>2022</v>
      </c>
      <c r="F829" s="1">
        <v>828</v>
      </c>
      <c r="G829" s="1">
        <v>534</v>
      </c>
      <c r="H829" s="1">
        <v>468</v>
      </c>
      <c r="I829" s="2">
        <v>0.87639999999999996</v>
      </c>
      <c r="J829" s="1">
        <v>66</v>
      </c>
      <c r="K829" s="3">
        <v>3.4722222222222224E-4</v>
      </c>
      <c r="L829" s="3">
        <v>1.9212962962962964E-3</v>
      </c>
      <c r="M829" s="3">
        <v>3.2291666666666666E-3</v>
      </c>
      <c r="N829" s="2">
        <v>0.57469999999999999</v>
      </c>
      <c r="O829" s="5">
        <f t="shared" si="48"/>
        <v>0.89916666666666667</v>
      </c>
      <c r="P829" s="5">
        <f t="shared" si="49"/>
        <v>53.95</v>
      </c>
      <c r="Q829" s="5">
        <f t="shared" si="50"/>
        <v>1.0259722222222223</v>
      </c>
      <c r="R829" s="5">
        <f t="shared" si="51"/>
        <v>61.558333333333337</v>
      </c>
    </row>
    <row r="830" spans="1:18">
      <c r="A830" s="4">
        <v>44659</v>
      </c>
      <c r="B830" s="1" t="s">
        <v>20</v>
      </c>
      <c r="C830" s="1">
        <f t="shared" si="52"/>
        <v>4</v>
      </c>
      <c r="D830" s="1">
        <f t="shared" si="53"/>
        <v>8</v>
      </c>
      <c r="E830" s="1">
        <f t="shared" si="54"/>
        <v>2022</v>
      </c>
      <c r="F830" s="1">
        <v>829</v>
      </c>
      <c r="G830" s="1">
        <v>315</v>
      </c>
      <c r="H830" s="1">
        <v>300</v>
      </c>
      <c r="I830" s="2">
        <v>0.95240000000000002</v>
      </c>
      <c r="J830" s="1">
        <v>15</v>
      </c>
      <c r="K830" s="3">
        <v>2.7777777777777778E-4</v>
      </c>
      <c r="L830" s="3">
        <v>2.2106481481481482E-3</v>
      </c>
      <c r="M830" s="3">
        <v>1.9675925925925924E-3</v>
      </c>
      <c r="N830" s="2">
        <v>0.70230000000000004</v>
      </c>
      <c r="O830" s="5">
        <f t="shared" si="48"/>
        <v>0.66319444444444442</v>
      </c>
      <c r="P830" s="5">
        <f t="shared" si="49"/>
        <v>39.791666666666664</v>
      </c>
      <c r="Q830" s="5">
        <f t="shared" si="50"/>
        <v>0.69635416666666672</v>
      </c>
      <c r="R830" s="5">
        <f t="shared" si="51"/>
        <v>41.78125</v>
      </c>
    </row>
    <row r="831" spans="1:18">
      <c r="A831" s="4">
        <v>44660</v>
      </c>
      <c r="B831" s="1" t="s">
        <v>21</v>
      </c>
      <c r="C831" s="1">
        <f t="shared" si="52"/>
        <v>4</v>
      </c>
      <c r="D831" s="1">
        <f t="shared" si="53"/>
        <v>9</v>
      </c>
      <c r="E831" s="1">
        <f t="shared" si="54"/>
        <v>2022</v>
      </c>
      <c r="F831" s="1">
        <v>830</v>
      </c>
      <c r="G831" s="1">
        <v>122</v>
      </c>
      <c r="H831" s="1">
        <v>113</v>
      </c>
      <c r="I831" s="2">
        <v>0.92620000000000002</v>
      </c>
      <c r="J831" s="1">
        <v>9</v>
      </c>
      <c r="K831" s="3">
        <v>2.3148148148148149E-4</v>
      </c>
      <c r="L831" s="3">
        <v>2.0601851851851853E-3</v>
      </c>
      <c r="M831" s="3">
        <v>1.6087962962962963E-3</v>
      </c>
      <c r="N831" s="2">
        <v>0.76670000000000005</v>
      </c>
      <c r="O831" s="5">
        <f t="shared" si="48"/>
        <v>0.23280092592592594</v>
      </c>
      <c r="P831" s="5">
        <f t="shared" si="49"/>
        <v>13.968055555555557</v>
      </c>
      <c r="Q831" s="5">
        <f t="shared" si="50"/>
        <v>0.25134259259259262</v>
      </c>
      <c r="R831" s="5">
        <f t="shared" si="51"/>
        <v>15.080555555555557</v>
      </c>
    </row>
    <row r="832" spans="1:18">
      <c r="A832" s="4">
        <v>44661</v>
      </c>
      <c r="B832" s="1" t="s">
        <v>22</v>
      </c>
      <c r="C832" s="1">
        <f t="shared" si="52"/>
        <v>4</v>
      </c>
      <c r="D832" s="1">
        <f t="shared" si="53"/>
        <v>10</v>
      </c>
      <c r="E832" s="1">
        <f t="shared" si="54"/>
        <v>2022</v>
      </c>
      <c r="F832" s="1">
        <v>831</v>
      </c>
      <c r="G832" s="1">
        <v>63</v>
      </c>
      <c r="H832" s="1">
        <v>60</v>
      </c>
      <c r="I832" s="2">
        <v>0.95240000000000002</v>
      </c>
      <c r="J832" s="1">
        <v>3</v>
      </c>
      <c r="K832" s="3">
        <v>2.4305555555555555E-4</v>
      </c>
      <c r="L832" s="3">
        <v>1.9791666666666668E-3</v>
      </c>
      <c r="M832" s="3">
        <v>1.9907407407407408E-3</v>
      </c>
      <c r="N832" s="2">
        <v>0.7419</v>
      </c>
      <c r="O832" s="5">
        <f t="shared" si="48"/>
        <v>0.11875000000000001</v>
      </c>
      <c r="P832" s="5">
        <f t="shared" si="49"/>
        <v>7.1250000000000009</v>
      </c>
      <c r="Q832" s="5">
        <f t="shared" si="50"/>
        <v>0.12468750000000001</v>
      </c>
      <c r="R832" s="5">
        <f t="shared" si="51"/>
        <v>7.4812500000000002</v>
      </c>
    </row>
    <row r="833" spans="1:18">
      <c r="A833" s="4">
        <v>44662</v>
      </c>
      <c r="B833" s="1" t="s">
        <v>23</v>
      </c>
      <c r="C833" s="1">
        <f t="shared" si="52"/>
        <v>4</v>
      </c>
      <c r="D833" s="1">
        <f t="shared" si="53"/>
        <v>11</v>
      </c>
      <c r="E833" s="1">
        <f t="shared" si="54"/>
        <v>2022</v>
      </c>
      <c r="F833" s="1">
        <v>832</v>
      </c>
      <c r="G833" s="1">
        <v>402</v>
      </c>
      <c r="H833" s="1">
        <v>368</v>
      </c>
      <c r="I833" s="2">
        <v>0.91539999999999999</v>
      </c>
      <c r="J833" s="1">
        <v>34</v>
      </c>
      <c r="K833" s="3">
        <v>3.7037037037037035E-4</v>
      </c>
      <c r="L833" s="3">
        <v>2.1643518518518518E-3</v>
      </c>
      <c r="M833" s="3">
        <v>2.1527777777777778E-3</v>
      </c>
      <c r="N833" s="2">
        <v>0.54179999999999995</v>
      </c>
      <c r="O833" s="5">
        <f t="shared" si="48"/>
        <v>0.79648148148148146</v>
      </c>
      <c r="P833" s="5">
        <f t="shared" si="49"/>
        <v>47.788888888888884</v>
      </c>
      <c r="Q833" s="5">
        <f t="shared" si="50"/>
        <v>0.87006944444444445</v>
      </c>
      <c r="R833" s="5">
        <f t="shared" si="51"/>
        <v>52.204166666666666</v>
      </c>
    </row>
    <row r="834" spans="1:18">
      <c r="A834" s="4">
        <v>44663</v>
      </c>
      <c r="B834" s="1" t="s">
        <v>24</v>
      </c>
      <c r="C834" s="1">
        <f t="shared" si="52"/>
        <v>4</v>
      </c>
      <c r="D834" s="1">
        <f t="shared" si="53"/>
        <v>12</v>
      </c>
      <c r="E834" s="1">
        <f t="shared" si="54"/>
        <v>2022</v>
      </c>
      <c r="F834" s="1">
        <v>833</v>
      </c>
      <c r="G834" s="1">
        <v>413</v>
      </c>
      <c r="H834" s="1">
        <v>370</v>
      </c>
      <c r="I834" s="2">
        <v>0.89590000000000003</v>
      </c>
      <c r="J834" s="1">
        <v>43</v>
      </c>
      <c r="K834" s="3">
        <v>3.3564814814814812E-4</v>
      </c>
      <c r="L834" s="3">
        <v>2.1990740740740742E-3</v>
      </c>
      <c r="M834" s="3">
        <v>2.3379629629629631E-3</v>
      </c>
      <c r="N834" s="2">
        <v>0.58420000000000005</v>
      </c>
      <c r="O834" s="5">
        <f t="shared" si="48"/>
        <v>0.81365740740740744</v>
      </c>
      <c r="P834" s="5">
        <f t="shared" si="49"/>
        <v>48.819444444444443</v>
      </c>
      <c r="Q834" s="5">
        <f t="shared" si="50"/>
        <v>0.9082175925925926</v>
      </c>
      <c r="R834" s="5">
        <f t="shared" si="51"/>
        <v>54.493055555555557</v>
      </c>
    </row>
    <row r="835" spans="1:18">
      <c r="A835" s="4">
        <v>44664</v>
      </c>
      <c r="B835" s="1" t="s">
        <v>18</v>
      </c>
      <c r="C835" s="1">
        <f t="shared" ref="C835:C898" si="55">MONTH(A835)</f>
        <v>4</v>
      </c>
      <c r="D835" s="1">
        <f t="shared" ref="D835:D898" si="56">DAY(A835)</f>
        <v>13</v>
      </c>
      <c r="E835" s="1">
        <f t="shared" ref="E835:E898" si="57">YEAR(A835)</f>
        <v>2022</v>
      </c>
      <c r="F835" s="1">
        <v>834</v>
      </c>
      <c r="G835" s="1">
        <v>389</v>
      </c>
      <c r="H835" s="1">
        <v>346</v>
      </c>
      <c r="I835" s="2">
        <v>0.88949999999999996</v>
      </c>
      <c r="J835" s="1">
        <v>43</v>
      </c>
      <c r="K835" s="3">
        <v>4.1666666666666669E-4</v>
      </c>
      <c r="L835" s="3">
        <v>2.3263888888888887E-3</v>
      </c>
      <c r="M835" s="3">
        <v>3.5879629629629629E-3</v>
      </c>
      <c r="N835" s="2">
        <v>0.49869999999999998</v>
      </c>
      <c r="O835" s="5">
        <f t="shared" si="48"/>
        <v>0.80493055555555548</v>
      </c>
      <c r="P835" s="5">
        <f t="shared" si="49"/>
        <v>48.295833333333327</v>
      </c>
      <c r="Q835" s="5">
        <f t="shared" si="50"/>
        <v>0.90496527777777769</v>
      </c>
      <c r="R835" s="5">
        <f t="shared" si="51"/>
        <v>54.297916666666659</v>
      </c>
    </row>
    <row r="836" spans="1:18">
      <c r="A836" s="4">
        <v>44665</v>
      </c>
      <c r="B836" s="1" t="s">
        <v>19</v>
      </c>
      <c r="C836" s="1">
        <f t="shared" si="55"/>
        <v>4</v>
      </c>
      <c r="D836" s="1">
        <f t="shared" si="56"/>
        <v>14</v>
      </c>
      <c r="E836" s="1">
        <f t="shared" si="57"/>
        <v>2022</v>
      </c>
      <c r="F836" s="1">
        <v>835</v>
      </c>
      <c r="G836" s="1">
        <v>495</v>
      </c>
      <c r="H836" s="1">
        <v>308</v>
      </c>
      <c r="I836" s="2">
        <v>0.62219999999999998</v>
      </c>
      <c r="J836" s="1">
        <v>187</v>
      </c>
      <c r="K836" s="3">
        <v>1.0532407407407407E-3</v>
      </c>
      <c r="L836" s="3">
        <v>2.3726851851851851E-3</v>
      </c>
      <c r="M836" s="3">
        <v>1.1516203703703704E-2</v>
      </c>
      <c r="N836" s="2">
        <v>0.18559999999999999</v>
      </c>
      <c r="O836" s="5">
        <f t="shared" si="48"/>
        <v>0.73078703703703707</v>
      </c>
      <c r="P836" s="5">
        <f t="shared" si="49"/>
        <v>43.847222222222221</v>
      </c>
      <c r="Q836" s="5">
        <f t="shared" si="50"/>
        <v>1.1744791666666667</v>
      </c>
      <c r="R836" s="5">
        <f t="shared" si="51"/>
        <v>70.46875</v>
      </c>
    </row>
    <row r="837" spans="1:18">
      <c r="A837" s="4">
        <v>44666</v>
      </c>
      <c r="B837" s="1" t="s">
        <v>20</v>
      </c>
      <c r="C837" s="1">
        <f t="shared" si="55"/>
        <v>4</v>
      </c>
      <c r="D837" s="1">
        <f t="shared" si="56"/>
        <v>15</v>
      </c>
      <c r="E837" s="1">
        <f t="shared" si="57"/>
        <v>2022</v>
      </c>
      <c r="F837" s="1">
        <v>836</v>
      </c>
      <c r="G837" s="1">
        <v>712</v>
      </c>
      <c r="H837" s="1">
        <v>340</v>
      </c>
      <c r="I837" s="2">
        <v>0.47749999999999998</v>
      </c>
      <c r="J837" s="1">
        <v>372</v>
      </c>
      <c r="K837" s="3">
        <v>1.3888888888888889E-3</v>
      </c>
      <c r="L837" s="3">
        <v>2.3842592592592591E-3</v>
      </c>
      <c r="M837" s="3">
        <v>1.1400462962962963E-2</v>
      </c>
      <c r="N837" s="2">
        <v>0.1226</v>
      </c>
      <c r="O837" s="5">
        <f t="shared" si="48"/>
        <v>0.81064814814814812</v>
      </c>
      <c r="P837" s="5">
        <f t="shared" si="49"/>
        <v>48.638888888888886</v>
      </c>
      <c r="Q837" s="5">
        <f t="shared" si="50"/>
        <v>1.6975925925925925</v>
      </c>
      <c r="R837" s="5">
        <f t="shared" si="51"/>
        <v>101.85555555555555</v>
      </c>
    </row>
    <row r="838" spans="1:18">
      <c r="A838" s="4">
        <v>44667</v>
      </c>
      <c r="B838" s="1" t="s">
        <v>21</v>
      </c>
      <c r="C838" s="1">
        <f t="shared" si="55"/>
        <v>4</v>
      </c>
      <c r="D838" s="1">
        <f t="shared" si="56"/>
        <v>16</v>
      </c>
      <c r="E838" s="1">
        <f t="shared" si="57"/>
        <v>2022</v>
      </c>
      <c r="F838" s="1">
        <v>837</v>
      </c>
      <c r="G838" s="1">
        <v>1057</v>
      </c>
      <c r="H838" s="1">
        <v>602</v>
      </c>
      <c r="I838" s="2">
        <v>0.56950000000000001</v>
      </c>
      <c r="J838" s="1">
        <v>455</v>
      </c>
      <c r="K838" s="3">
        <v>1.2037037037037038E-3</v>
      </c>
      <c r="L838" s="3">
        <v>1.7708333333333332E-3</v>
      </c>
      <c r="M838" s="3">
        <v>8.611111111111111E-3</v>
      </c>
      <c r="N838" s="2">
        <v>0.1149</v>
      </c>
      <c r="O838" s="5">
        <f t="shared" si="48"/>
        <v>1.0660416666666666</v>
      </c>
      <c r="P838" s="5">
        <f t="shared" si="49"/>
        <v>63.962499999999991</v>
      </c>
      <c r="Q838" s="5">
        <f t="shared" si="50"/>
        <v>1.8717708333333332</v>
      </c>
      <c r="R838" s="5">
        <f t="shared" si="51"/>
        <v>112.30624999999999</v>
      </c>
    </row>
    <row r="839" spans="1:18">
      <c r="A839" s="4">
        <v>44668</v>
      </c>
      <c r="B839" s="1" t="s">
        <v>22</v>
      </c>
      <c r="C839" s="1">
        <f t="shared" si="55"/>
        <v>4</v>
      </c>
      <c r="D839" s="1">
        <f t="shared" si="56"/>
        <v>17</v>
      </c>
      <c r="E839" s="1">
        <f t="shared" si="57"/>
        <v>2022</v>
      </c>
      <c r="F839" s="1">
        <v>838</v>
      </c>
      <c r="G839" s="1">
        <v>620</v>
      </c>
      <c r="H839" s="1">
        <v>321</v>
      </c>
      <c r="I839" s="2">
        <v>0.51770000000000005</v>
      </c>
      <c r="J839" s="1">
        <v>299</v>
      </c>
      <c r="K839" s="3">
        <v>1.8749999999999999E-3</v>
      </c>
      <c r="L839" s="3">
        <v>2.2337962962962962E-3</v>
      </c>
      <c r="M839" s="3">
        <v>1.150462962962963E-2</v>
      </c>
      <c r="N839" s="2">
        <v>0.1087</v>
      </c>
      <c r="O839" s="5">
        <f t="shared" si="48"/>
        <v>0.71704861111111107</v>
      </c>
      <c r="P839" s="5">
        <f t="shared" si="49"/>
        <v>43.022916666666667</v>
      </c>
      <c r="Q839" s="5">
        <f t="shared" si="50"/>
        <v>1.3849537037037036</v>
      </c>
      <c r="R839" s="5">
        <f t="shared" si="51"/>
        <v>83.097222222222214</v>
      </c>
    </row>
    <row r="840" spans="1:18">
      <c r="A840" s="4">
        <v>44669</v>
      </c>
      <c r="B840" s="1" t="s">
        <v>23</v>
      </c>
      <c r="C840" s="1">
        <f t="shared" si="55"/>
        <v>4</v>
      </c>
      <c r="D840" s="1">
        <f t="shared" si="56"/>
        <v>18</v>
      </c>
      <c r="E840" s="1">
        <f t="shared" si="57"/>
        <v>2022</v>
      </c>
      <c r="F840" s="1">
        <v>839</v>
      </c>
      <c r="G840" s="1">
        <v>1575</v>
      </c>
      <c r="H840" s="1">
        <v>871</v>
      </c>
      <c r="I840" s="2">
        <v>0.55300000000000005</v>
      </c>
      <c r="J840" s="1">
        <v>704</v>
      </c>
      <c r="K840" s="3">
        <v>1.0648148148148149E-3</v>
      </c>
      <c r="L840" s="3">
        <v>1.7708333333333332E-3</v>
      </c>
      <c r="M840" s="3">
        <v>1.579861111111111E-2</v>
      </c>
      <c r="N840" s="2">
        <v>0.13930000000000001</v>
      </c>
      <c r="O840" s="5">
        <f t="shared" si="48"/>
        <v>1.5423958333333332</v>
      </c>
      <c r="P840" s="5">
        <f t="shared" si="49"/>
        <v>92.543749999999989</v>
      </c>
      <c r="Q840" s="5">
        <f t="shared" si="50"/>
        <v>2.7890625</v>
      </c>
      <c r="R840" s="5">
        <f t="shared" si="51"/>
        <v>167.34375</v>
      </c>
    </row>
    <row r="841" spans="1:18">
      <c r="A841" s="4">
        <v>44670</v>
      </c>
      <c r="B841" s="1" t="s">
        <v>24</v>
      </c>
      <c r="C841" s="1">
        <f t="shared" si="55"/>
        <v>4</v>
      </c>
      <c r="D841" s="1">
        <f t="shared" si="56"/>
        <v>19</v>
      </c>
      <c r="E841" s="1">
        <f t="shared" si="57"/>
        <v>2022</v>
      </c>
      <c r="F841" s="1">
        <v>840</v>
      </c>
      <c r="G841" s="1">
        <v>1349</v>
      </c>
      <c r="H841" s="1">
        <v>775</v>
      </c>
      <c r="I841" s="2">
        <v>0.57450000000000001</v>
      </c>
      <c r="J841" s="1">
        <v>574</v>
      </c>
      <c r="K841" s="3">
        <v>1.2268518518518518E-3</v>
      </c>
      <c r="L841" s="3">
        <v>2.1990740740740742E-3</v>
      </c>
      <c r="M841" s="3">
        <v>1.1030092592592593E-2</v>
      </c>
      <c r="N841" s="2">
        <v>0.1216</v>
      </c>
      <c r="O841" s="5">
        <f t="shared" si="48"/>
        <v>1.7042824074074074</v>
      </c>
      <c r="P841" s="5">
        <f t="shared" si="49"/>
        <v>102.25694444444444</v>
      </c>
      <c r="Q841" s="5">
        <f t="shared" si="50"/>
        <v>2.966550925925926</v>
      </c>
      <c r="R841" s="5">
        <f t="shared" si="51"/>
        <v>177.99305555555554</v>
      </c>
    </row>
    <row r="842" spans="1:18">
      <c r="A842" s="4">
        <v>44671</v>
      </c>
      <c r="B842" s="1" t="s">
        <v>18</v>
      </c>
      <c r="C842" s="1">
        <f t="shared" si="55"/>
        <v>4</v>
      </c>
      <c r="D842" s="1">
        <f t="shared" si="56"/>
        <v>20</v>
      </c>
      <c r="E842" s="1">
        <f t="shared" si="57"/>
        <v>2022</v>
      </c>
      <c r="F842" s="1">
        <v>841</v>
      </c>
      <c r="G842" s="1">
        <v>999</v>
      </c>
      <c r="H842" s="1">
        <v>454</v>
      </c>
      <c r="I842" s="2">
        <v>0.45450000000000002</v>
      </c>
      <c r="J842" s="1">
        <v>545</v>
      </c>
      <c r="K842" s="3">
        <v>1.9444444444444444E-3</v>
      </c>
      <c r="L842" s="3">
        <v>2.2453703703703702E-3</v>
      </c>
      <c r="M842" s="3">
        <v>9.3055555555555548E-3</v>
      </c>
      <c r="N842" s="2">
        <v>4.07E-2</v>
      </c>
      <c r="O842" s="5">
        <f t="shared" si="48"/>
        <v>1.019398148148148</v>
      </c>
      <c r="P842" s="5">
        <f t="shared" si="49"/>
        <v>61.163888888888877</v>
      </c>
      <c r="Q842" s="5">
        <f t="shared" si="50"/>
        <v>2.243125</v>
      </c>
      <c r="R842" s="5">
        <f t="shared" si="51"/>
        <v>134.58750000000001</v>
      </c>
    </row>
    <row r="843" spans="1:18">
      <c r="A843" s="4">
        <v>44672</v>
      </c>
      <c r="B843" s="1" t="s">
        <v>19</v>
      </c>
      <c r="C843" s="1">
        <f t="shared" si="55"/>
        <v>4</v>
      </c>
      <c r="D843" s="1">
        <f t="shared" si="56"/>
        <v>21</v>
      </c>
      <c r="E843" s="1">
        <f t="shared" si="57"/>
        <v>2022</v>
      </c>
      <c r="F843" s="1">
        <v>842</v>
      </c>
      <c r="G843" s="1">
        <v>968</v>
      </c>
      <c r="H843" s="1">
        <v>547</v>
      </c>
      <c r="I843" s="2">
        <v>0.56510000000000005</v>
      </c>
      <c r="J843" s="1">
        <v>421</v>
      </c>
      <c r="K843" s="3">
        <v>1.6898148148148148E-3</v>
      </c>
      <c r="L843" s="3">
        <v>2.2916666666666667E-3</v>
      </c>
      <c r="M843" s="3">
        <v>9.8726851851851857E-3</v>
      </c>
      <c r="N843" s="2">
        <v>0.1171</v>
      </c>
      <c r="O843" s="5">
        <f t="shared" si="48"/>
        <v>1.2535416666666668</v>
      </c>
      <c r="P843" s="5">
        <f t="shared" si="49"/>
        <v>75.212500000000006</v>
      </c>
      <c r="Q843" s="5">
        <f t="shared" si="50"/>
        <v>2.2183333333333333</v>
      </c>
      <c r="R843" s="5">
        <f t="shared" si="51"/>
        <v>133.1</v>
      </c>
    </row>
    <row r="844" spans="1:18">
      <c r="A844" s="4">
        <v>44673</v>
      </c>
      <c r="B844" s="1" t="s">
        <v>20</v>
      </c>
      <c r="C844" s="1">
        <f t="shared" si="55"/>
        <v>4</v>
      </c>
      <c r="D844" s="1">
        <f t="shared" si="56"/>
        <v>22</v>
      </c>
      <c r="E844" s="1">
        <f t="shared" si="57"/>
        <v>2022</v>
      </c>
      <c r="F844" s="1">
        <v>843</v>
      </c>
      <c r="G844" s="1">
        <v>1066</v>
      </c>
      <c r="H844" s="1">
        <v>453</v>
      </c>
      <c r="I844" s="2">
        <v>0.42499999999999999</v>
      </c>
      <c r="J844" s="1">
        <v>613</v>
      </c>
      <c r="K844" s="3">
        <v>3.5185185185185185E-3</v>
      </c>
      <c r="L844" s="3">
        <v>2.5347222222222221E-3</v>
      </c>
      <c r="M844" s="3">
        <v>1.5706018518518518E-2</v>
      </c>
      <c r="N844" s="2">
        <v>2.24E-2</v>
      </c>
      <c r="O844" s="5">
        <f t="shared" si="48"/>
        <v>1.1482291666666666</v>
      </c>
      <c r="P844" s="5">
        <f t="shared" si="49"/>
        <v>68.893749999999997</v>
      </c>
      <c r="Q844" s="5">
        <f t="shared" si="50"/>
        <v>2.7020138888888887</v>
      </c>
      <c r="R844" s="5">
        <f t="shared" si="51"/>
        <v>162.12083333333334</v>
      </c>
    </row>
    <row r="845" spans="1:18">
      <c r="A845" s="4">
        <v>44674</v>
      </c>
      <c r="B845" s="1" t="s">
        <v>21</v>
      </c>
      <c r="C845" s="1">
        <f t="shared" si="55"/>
        <v>4</v>
      </c>
      <c r="D845" s="1">
        <f t="shared" si="56"/>
        <v>23</v>
      </c>
      <c r="E845" s="1">
        <f t="shared" si="57"/>
        <v>2022</v>
      </c>
      <c r="F845" s="1">
        <v>844</v>
      </c>
      <c r="G845" s="1">
        <v>788</v>
      </c>
      <c r="H845" s="1">
        <v>633</v>
      </c>
      <c r="I845" s="2">
        <v>0.80330000000000001</v>
      </c>
      <c r="J845" s="1">
        <v>155</v>
      </c>
      <c r="K845" s="3">
        <v>8.4490740740740739E-4</v>
      </c>
      <c r="L845" s="3">
        <v>2.3495370370370371E-3</v>
      </c>
      <c r="M845" s="3">
        <v>8.6342592592592599E-3</v>
      </c>
      <c r="N845" s="2">
        <v>0.20880000000000001</v>
      </c>
      <c r="O845" s="5">
        <f t="shared" si="48"/>
        <v>1.4872569444444446</v>
      </c>
      <c r="P845" s="5">
        <f t="shared" si="49"/>
        <v>89.23541666666668</v>
      </c>
      <c r="Q845" s="5">
        <f t="shared" si="50"/>
        <v>1.8514351851851854</v>
      </c>
      <c r="R845" s="5">
        <f t="shared" si="51"/>
        <v>111.08611111111112</v>
      </c>
    </row>
    <row r="846" spans="1:18">
      <c r="A846" s="4">
        <v>44675</v>
      </c>
      <c r="B846" s="1" t="s">
        <v>22</v>
      </c>
      <c r="C846" s="1">
        <f t="shared" si="55"/>
        <v>4</v>
      </c>
      <c r="D846" s="1">
        <f t="shared" si="56"/>
        <v>24</v>
      </c>
      <c r="E846" s="1">
        <f t="shared" si="57"/>
        <v>2022</v>
      </c>
      <c r="F846" s="1">
        <v>845</v>
      </c>
      <c r="G846" s="1">
        <v>252</v>
      </c>
      <c r="H846" s="1">
        <v>213</v>
      </c>
      <c r="I846" s="2">
        <v>0.84519999999999995</v>
      </c>
      <c r="J846" s="1">
        <v>39</v>
      </c>
      <c r="K846" s="3">
        <v>6.134259259259259E-4</v>
      </c>
      <c r="L846" s="3">
        <v>2.4421296296296296E-3</v>
      </c>
      <c r="M846" s="3">
        <v>5.7523148148148151E-3</v>
      </c>
      <c r="N846" s="2">
        <v>0.44080000000000003</v>
      </c>
      <c r="O846" s="5">
        <f t="shared" si="48"/>
        <v>0.52017361111111116</v>
      </c>
      <c r="P846" s="5">
        <f t="shared" si="49"/>
        <v>31.210416666666671</v>
      </c>
      <c r="Q846" s="5">
        <f t="shared" si="50"/>
        <v>0.61541666666666661</v>
      </c>
      <c r="R846" s="5">
        <f t="shared" si="51"/>
        <v>36.924999999999997</v>
      </c>
    </row>
    <row r="847" spans="1:18">
      <c r="A847" s="4">
        <v>44676</v>
      </c>
      <c r="B847" s="1" t="s">
        <v>23</v>
      </c>
      <c r="C847" s="1">
        <f t="shared" si="55"/>
        <v>4</v>
      </c>
      <c r="D847" s="1">
        <f t="shared" si="56"/>
        <v>25</v>
      </c>
      <c r="E847" s="1">
        <f t="shared" si="57"/>
        <v>2022</v>
      </c>
      <c r="F847" s="1">
        <v>846</v>
      </c>
      <c r="G847" s="1">
        <v>842</v>
      </c>
      <c r="H847" s="1">
        <v>625</v>
      </c>
      <c r="I847" s="2">
        <v>0.74229999999999996</v>
      </c>
      <c r="J847" s="1">
        <v>217</v>
      </c>
      <c r="K847" s="3">
        <v>8.2175925925925927E-4</v>
      </c>
      <c r="L847" s="3">
        <v>2.1990740740740742E-3</v>
      </c>
      <c r="M847" s="3">
        <v>1.0046296296296296E-2</v>
      </c>
      <c r="N847" s="2">
        <v>0.26929999999999998</v>
      </c>
      <c r="O847" s="5">
        <f t="shared" si="48"/>
        <v>1.3744212962962963</v>
      </c>
      <c r="P847" s="5">
        <f t="shared" si="49"/>
        <v>82.465277777777771</v>
      </c>
      <c r="Q847" s="5">
        <f t="shared" si="50"/>
        <v>1.8516203703703704</v>
      </c>
      <c r="R847" s="5">
        <f t="shared" si="51"/>
        <v>111.09722222222223</v>
      </c>
    </row>
    <row r="848" spans="1:18">
      <c r="A848" s="4">
        <v>44677</v>
      </c>
      <c r="B848" s="1" t="s">
        <v>24</v>
      </c>
      <c r="C848" s="1">
        <f t="shared" si="55"/>
        <v>4</v>
      </c>
      <c r="D848" s="1">
        <f t="shared" si="56"/>
        <v>26</v>
      </c>
      <c r="E848" s="1">
        <f t="shared" si="57"/>
        <v>2022</v>
      </c>
      <c r="F848" s="1">
        <v>847</v>
      </c>
      <c r="G848" s="1">
        <v>847</v>
      </c>
      <c r="H848" s="1">
        <v>722</v>
      </c>
      <c r="I848" s="2">
        <v>0.85240000000000005</v>
      </c>
      <c r="J848" s="1">
        <v>125</v>
      </c>
      <c r="K848" s="3">
        <v>6.2500000000000001E-4</v>
      </c>
      <c r="L848" s="3">
        <v>2.1296296296296298E-3</v>
      </c>
      <c r="M848" s="3">
        <v>5.6134259259259262E-3</v>
      </c>
      <c r="N848" s="2">
        <v>0.33489999999999998</v>
      </c>
      <c r="O848" s="5">
        <f t="shared" si="48"/>
        <v>1.5375925925925926</v>
      </c>
      <c r="P848" s="5">
        <f t="shared" si="49"/>
        <v>92.25555555555556</v>
      </c>
      <c r="Q848" s="5">
        <f t="shared" si="50"/>
        <v>1.8037962962962963</v>
      </c>
      <c r="R848" s="5">
        <f t="shared" si="51"/>
        <v>108.22777777777777</v>
      </c>
    </row>
    <row r="849" spans="1:18">
      <c r="A849" s="4">
        <v>44678</v>
      </c>
      <c r="B849" s="1" t="s">
        <v>18</v>
      </c>
      <c r="C849" s="1">
        <f t="shared" si="55"/>
        <v>4</v>
      </c>
      <c r="D849" s="1">
        <f t="shared" si="56"/>
        <v>27</v>
      </c>
      <c r="E849" s="1">
        <f t="shared" si="57"/>
        <v>2022</v>
      </c>
      <c r="F849" s="1">
        <v>848</v>
      </c>
      <c r="G849" s="1">
        <v>800</v>
      </c>
      <c r="H849" s="1">
        <v>615</v>
      </c>
      <c r="I849" s="2">
        <v>0.76880000000000004</v>
      </c>
      <c r="J849" s="1">
        <v>185</v>
      </c>
      <c r="K849" s="3">
        <v>7.7546296296296293E-4</v>
      </c>
      <c r="L849" s="3">
        <v>2.3726851851851851E-3</v>
      </c>
      <c r="M849" s="3">
        <v>5.138888888888889E-3</v>
      </c>
      <c r="N849" s="2">
        <v>0.23980000000000001</v>
      </c>
      <c r="O849" s="5">
        <f t="shared" si="48"/>
        <v>1.4592013888888888</v>
      </c>
      <c r="P849" s="5">
        <f t="shared" si="49"/>
        <v>87.552083333333329</v>
      </c>
      <c r="Q849" s="5">
        <f t="shared" si="50"/>
        <v>1.8981481481481481</v>
      </c>
      <c r="R849" s="5">
        <f t="shared" si="51"/>
        <v>113.88888888888889</v>
      </c>
    </row>
    <row r="850" spans="1:18">
      <c r="A850" s="4">
        <v>44679</v>
      </c>
      <c r="B850" s="1" t="s">
        <v>19</v>
      </c>
      <c r="C850" s="1">
        <f t="shared" si="55"/>
        <v>4</v>
      </c>
      <c r="D850" s="1">
        <f t="shared" si="56"/>
        <v>28</v>
      </c>
      <c r="E850" s="1">
        <f t="shared" si="57"/>
        <v>2022</v>
      </c>
      <c r="F850" s="1">
        <v>849</v>
      </c>
      <c r="G850" s="1">
        <v>1100</v>
      </c>
      <c r="H850" s="1">
        <v>823</v>
      </c>
      <c r="I850" s="2">
        <v>0.74819999999999998</v>
      </c>
      <c r="J850" s="1">
        <v>277</v>
      </c>
      <c r="K850" s="3">
        <v>7.8703703703703705E-4</v>
      </c>
      <c r="L850" s="3">
        <v>2.2916666666666667E-3</v>
      </c>
      <c r="M850" s="3">
        <v>1.0775462962962962E-2</v>
      </c>
      <c r="N850" s="2">
        <v>0.29649999999999999</v>
      </c>
      <c r="O850" s="5">
        <f t="shared" si="48"/>
        <v>1.8860416666666666</v>
      </c>
      <c r="P850" s="5">
        <f t="shared" si="49"/>
        <v>113.16249999999999</v>
      </c>
      <c r="Q850" s="5">
        <f t="shared" si="50"/>
        <v>2.5208333333333335</v>
      </c>
      <c r="R850" s="5">
        <f t="shared" si="51"/>
        <v>151.25</v>
      </c>
    </row>
    <row r="851" spans="1:18">
      <c r="A851" s="4">
        <v>44680</v>
      </c>
      <c r="B851" s="1" t="s">
        <v>20</v>
      </c>
      <c r="C851" s="1">
        <f t="shared" si="55"/>
        <v>4</v>
      </c>
      <c r="D851" s="1">
        <f t="shared" si="56"/>
        <v>29</v>
      </c>
      <c r="E851" s="1">
        <f t="shared" si="57"/>
        <v>2022</v>
      </c>
      <c r="F851" s="1">
        <v>850</v>
      </c>
      <c r="G851" s="1">
        <v>1242</v>
      </c>
      <c r="H851" s="1">
        <v>909</v>
      </c>
      <c r="I851" s="2">
        <v>0.7319</v>
      </c>
      <c r="J851" s="1">
        <v>333</v>
      </c>
      <c r="K851" s="3">
        <v>9.6064814814814819E-4</v>
      </c>
      <c r="L851" s="3">
        <v>2.1296296296296298E-3</v>
      </c>
      <c r="M851" s="3">
        <v>7.766203703703704E-3</v>
      </c>
      <c r="N851" s="2">
        <v>0.19</v>
      </c>
      <c r="O851" s="5">
        <f t="shared" si="48"/>
        <v>1.9358333333333335</v>
      </c>
      <c r="P851" s="5">
        <f t="shared" si="49"/>
        <v>116.15</v>
      </c>
      <c r="Q851" s="5">
        <f t="shared" si="50"/>
        <v>2.645</v>
      </c>
      <c r="R851" s="5">
        <f t="shared" si="51"/>
        <v>158.69999999999999</v>
      </c>
    </row>
    <row r="852" spans="1:18">
      <c r="A852" s="4">
        <v>44681</v>
      </c>
      <c r="B852" s="1" t="s">
        <v>21</v>
      </c>
      <c r="C852" s="1">
        <f t="shared" si="55"/>
        <v>4</v>
      </c>
      <c r="D852" s="1">
        <f t="shared" si="56"/>
        <v>30</v>
      </c>
      <c r="E852" s="1">
        <f t="shared" si="57"/>
        <v>2022</v>
      </c>
      <c r="F852" s="1">
        <v>851</v>
      </c>
      <c r="G852" s="1">
        <v>732</v>
      </c>
      <c r="H852" s="1">
        <v>460</v>
      </c>
      <c r="I852" s="2">
        <v>0.62839999999999996</v>
      </c>
      <c r="J852" s="1">
        <v>272</v>
      </c>
      <c r="K852" s="3">
        <v>1.0532407407407407E-3</v>
      </c>
      <c r="L852" s="3">
        <v>2.2222222222222222E-3</v>
      </c>
      <c r="M852" s="3">
        <v>7.2800925925925923E-3</v>
      </c>
      <c r="N852" s="2">
        <v>0.1792</v>
      </c>
      <c r="O852" s="5">
        <f t="shared" si="48"/>
        <v>1.0222222222222221</v>
      </c>
      <c r="P852" s="5">
        <f t="shared" si="49"/>
        <v>61.333333333333329</v>
      </c>
      <c r="Q852" s="5">
        <f t="shared" si="50"/>
        <v>1.6266666666666667</v>
      </c>
      <c r="R852" s="5">
        <f t="shared" si="51"/>
        <v>97.600000000000009</v>
      </c>
    </row>
    <row r="853" spans="1:18">
      <c r="A853" s="4">
        <v>44682</v>
      </c>
      <c r="B853" s="1" t="s">
        <v>22</v>
      </c>
      <c r="C853" s="1">
        <f t="shared" si="55"/>
        <v>5</v>
      </c>
      <c r="D853" s="1">
        <f t="shared" si="56"/>
        <v>1</v>
      </c>
      <c r="E853" s="1">
        <f t="shared" si="57"/>
        <v>2022</v>
      </c>
      <c r="F853" s="1">
        <v>852</v>
      </c>
      <c r="G853" s="1">
        <v>112</v>
      </c>
      <c r="H853" s="1">
        <v>104</v>
      </c>
      <c r="I853" s="2">
        <v>0.92859999999999998</v>
      </c>
      <c r="J853" s="1">
        <v>8</v>
      </c>
      <c r="K853" s="3">
        <v>3.9351851851851852E-4</v>
      </c>
      <c r="L853" s="3">
        <v>2.3263888888888887E-3</v>
      </c>
      <c r="M853" s="3">
        <v>2.9282407407407408E-3</v>
      </c>
      <c r="N853" s="2">
        <v>0.56359999999999999</v>
      </c>
      <c r="O853" s="5">
        <f t="shared" si="48"/>
        <v>0.24194444444444443</v>
      </c>
      <c r="P853" s="5">
        <f t="shared" si="49"/>
        <v>14.516666666666666</v>
      </c>
      <c r="Q853" s="5">
        <f t="shared" si="50"/>
        <v>0.26055555555555554</v>
      </c>
      <c r="R853" s="5">
        <f t="shared" si="51"/>
        <v>15.633333333333333</v>
      </c>
    </row>
    <row r="854" spans="1:18">
      <c r="A854" s="4">
        <v>44683</v>
      </c>
      <c r="B854" s="1" t="s">
        <v>23</v>
      </c>
      <c r="C854" s="1">
        <f t="shared" si="55"/>
        <v>5</v>
      </c>
      <c r="D854" s="1">
        <f t="shared" si="56"/>
        <v>2</v>
      </c>
      <c r="E854" s="1">
        <f t="shared" si="57"/>
        <v>2022</v>
      </c>
      <c r="F854" s="1">
        <v>853</v>
      </c>
      <c r="G854" s="1">
        <v>482</v>
      </c>
      <c r="H854" s="1">
        <v>434</v>
      </c>
      <c r="I854" s="2">
        <v>0.90039999999999998</v>
      </c>
      <c r="J854" s="1">
        <v>48</v>
      </c>
      <c r="K854" s="3">
        <v>4.7453703703703704E-4</v>
      </c>
      <c r="L854" s="3">
        <v>2.0949074074074073E-3</v>
      </c>
      <c r="M854" s="3">
        <v>7.6504629629629631E-3</v>
      </c>
      <c r="N854" s="2">
        <v>0.47439999999999999</v>
      </c>
      <c r="O854" s="5">
        <f t="shared" si="48"/>
        <v>0.90918981481481476</v>
      </c>
      <c r="P854" s="5">
        <f t="shared" si="49"/>
        <v>54.551388888888887</v>
      </c>
      <c r="Q854" s="5">
        <f t="shared" si="50"/>
        <v>1.0097453703703703</v>
      </c>
      <c r="R854" s="5">
        <f t="shared" si="51"/>
        <v>60.584722222222219</v>
      </c>
    </row>
    <row r="855" spans="1:18">
      <c r="A855" s="4">
        <v>44684</v>
      </c>
      <c r="B855" s="1" t="s">
        <v>24</v>
      </c>
      <c r="C855" s="1">
        <f t="shared" si="55"/>
        <v>5</v>
      </c>
      <c r="D855" s="1">
        <f t="shared" si="56"/>
        <v>3</v>
      </c>
      <c r="E855" s="1">
        <f t="shared" si="57"/>
        <v>2022</v>
      </c>
      <c r="F855" s="1">
        <v>854</v>
      </c>
      <c r="G855" s="1">
        <v>570</v>
      </c>
      <c r="H855" s="1">
        <v>484</v>
      </c>
      <c r="I855" s="2">
        <v>0.84909999999999997</v>
      </c>
      <c r="J855" s="1">
        <v>86</v>
      </c>
      <c r="K855" s="3">
        <v>5.9027777777777778E-4</v>
      </c>
      <c r="L855" s="3">
        <v>2.1643518518518518E-3</v>
      </c>
      <c r="M855" s="3">
        <v>8.1944444444444452E-3</v>
      </c>
      <c r="N855" s="2">
        <v>0.36899999999999999</v>
      </c>
      <c r="O855" s="5">
        <f t="shared" si="48"/>
        <v>1.0475462962962963</v>
      </c>
      <c r="P855" s="5">
        <f t="shared" si="49"/>
        <v>62.852777777777774</v>
      </c>
      <c r="Q855" s="5">
        <f t="shared" si="50"/>
        <v>1.2336805555555554</v>
      </c>
      <c r="R855" s="5">
        <f t="shared" si="51"/>
        <v>74.020833333333329</v>
      </c>
    </row>
    <row r="856" spans="1:18">
      <c r="A856" s="4">
        <v>44685</v>
      </c>
      <c r="B856" s="1" t="s">
        <v>18</v>
      </c>
      <c r="C856" s="1">
        <f t="shared" si="55"/>
        <v>5</v>
      </c>
      <c r="D856" s="1">
        <f t="shared" si="56"/>
        <v>4</v>
      </c>
      <c r="E856" s="1">
        <f t="shared" si="57"/>
        <v>2022</v>
      </c>
      <c r="F856" s="1">
        <v>855</v>
      </c>
      <c r="G856" s="1">
        <v>490</v>
      </c>
      <c r="H856" s="1">
        <v>398</v>
      </c>
      <c r="I856" s="2">
        <v>0.81220000000000003</v>
      </c>
      <c r="J856" s="1">
        <v>92</v>
      </c>
      <c r="K856" s="3">
        <v>5.7870370370370367E-4</v>
      </c>
      <c r="L856" s="3">
        <v>2.2800925925925927E-3</v>
      </c>
      <c r="M856" s="3">
        <v>1.5092592592592593E-2</v>
      </c>
      <c r="N856" s="2">
        <v>0.36099999999999999</v>
      </c>
      <c r="O856" s="5">
        <f t="shared" si="48"/>
        <v>0.9074768518518519</v>
      </c>
      <c r="P856" s="5">
        <f t="shared" si="49"/>
        <v>54.448611111111113</v>
      </c>
      <c r="Q856" s="5">
        <f t="shared" si="50"/>
        <v>1.1172453703703704</v>
      </c>
      <c r="R856" s="5">
        <f t="shared" si="51"/>
        <v>67.034722222222229</v>
      </c>
    </row>
    <row r="857" spans="1:18">
      <c r="A857" s="4">
        <v>44686</v>
      </c>
      <c r="B857" s="1" t="s">
        <v>19</v>
      </c>
      <c r="C857" s="1">
        <f t="shared" si="55"/>
        <v>5</v>
      </c>
      <c r="D857" s="1">
        <f t="shared" si="56"/>
        <v>5</v>
      </c>
      <c r="E857" s="1">
        <f t="shared" si="57"/>
        <v>2022</v>
      </c>
      <c r="F857" s="1">
        <v>856</v>
      </c>
      <c r="G857" s="1">
        <v>462</v>
      </c>
      <c r="H857" s="1">
        <v>311</v>
      </c>
      <c r="I857" s="2">
        <v>0.67320000000000002</v>
      </c>
      <c r="J857" s="1">
        <v>151</v>
      </c>
      <c r="K857" s="3">
        <v>8.2175925925925927E-4</v>
      </c>
      <c r="L857" s="3">
        <v>2.2800925925925927E-3</v>
      </c>
      <c r="M857" s="3">
        <v>6.1342592592592594E-3</v>
      </c>
      <c r="N857" s="2">
        <v>0.26340000000000002</v>
      </c>
      <c r="O857" s="5">
        <f t="shared" si="48"/>
        <v>0.70910879629629631</v>
      </c>
      <c r="P857" s="5">
        <f t="shared" si="49"/>
        <v>42.546527777777776</v>
      </c>
      <c r="Q857" s="5">
        <f t="shared" si="50"/>
        <v>1.0534027777777779</v>
      </c>
      <c r="R857" s="5">
        <f t="shared" si="51"/>
        <v>63.204166666666673</v>
      </c>
    </row>
    <row r="858" spans="1:18">
      <c r="A858" s="4">
        <v>44687</v>
      </c>
      <c r="B858" s="1" t="s">
        <v>20</v>
      </c>
      <c r="C858" s="1">
        <f t="shared" si="55"/>
        <v>5</v>
      </c>
      <c r="D858" s="1">
        <f t="shared" si="56"/>
        <v>6</v>
      </c>
      <c r="E858" s="1">
        <f t="shared" si="57"/>
        <v>2022</v>
      </c>
      <c r="F858" s="1">
        <v>857</v>
      </c>
      <c r="G858" s="1">
        <v>428</v>
      </c>
      <c r="H858" s="1">
        <v>373</v>
      </c>
      <c r="I858" s="2">
        <v>0.87150000000000005</v>
      </c>
      <c r="J858" s="1">
        <v>55</v>
      </c>
      <c r="K858" s="3">
        <v>4.6296296296296298E-4</v>
      </c>
      <c r="L858" s="3">
        <v>2.0601851851851853E-3</v>
      </c>
      <c r="M858" s="3">
        <v>4.8726851851851848E-3</v>
      </c>
      <c r="N858" s="2">
        <v>0.50600000000000001</v>
      </c>
      <c r="O858" s="5">
        <f t="shared" si="48"/>
        <v>0.76844907407407415</v>
      </c>
      <c r="P858" s="5">
        <f t="shared" si="49"/>
        <v>46.106944444444451</v>
      </c>
      <c r="Q858" s="5">
        <f t="shared" si="50"/>
        <v>0.88175925925925935</v>
      </c>
      <c r="R858" s="5">
        <f t="shared" si="51"/>
        <v>52.905555555555559</v>
      </c>
    </row>
    <row r="859" spans="1:18">
      <c r="A859" s="4">
        <v>44688</v>
      </c>
      <c r="B859" s="1" t="s">
        <v>21</v>
      </c>
      <c r="C859" s="1">
        <f t="shared" si="55"/>
        <v>5</v>
      </c>
      <c r="D859" s="1">
        <f t="shared" si="56"/>
        <v>7</v>
      </c>
      <c r="E859" s="1">
        <f t="shared" si="57"/>
        <v>2022</v>
      </c>
      <c r="F859" s="1">
        <v>858</v>
      </c>
      <c r="G859" s="1">
        <v>393</v>
      </c>
      <c r="H859" s="1">
        <v>312</v>
      </c>
      <c r="I859" s="2">
        <v>0.79390000000000005</v>
      </c>
      <c r="J859" s="1">
        <v>81</v>
      </c>
      <c r="K859" s="3">
        <v>7.1759259259259259E-4</v>
      </c>
      <c r="L859" s="3">
        <v>2.2685185185185187E-3</v>
      </c>
      <c r="M859" s="3">
        <v>5.7407407407407407E-3</v>
      </c>
      <c r="N859" s="2">
        <v>0.314</v>
      </c>
      <c r="O859" s="5">
        <f t="shared" si="48"/>
        <v>0.70777777777777784</v>
      </c>
      <c r="P859" s="5">
        <f t="shared" si="49"/>
        <v>42.466666666666669</v>
      </c>
      <c r="Q859" s="5">
        <f t="shared" si="50"/>
        <v>0.89152777777777781</v>
      </c>
      <c r="R859" s="5">
        <f t="shared" si="51"/>
        <v>53.491666666666667</v>
      </c>
    </row>
    <row r="860" spans="1:18">
      <c r="A860" s="4">
        <v>44689</v>
      </c>
      <c r="B860" s="1" t="s">
        <v>22</v>
      </c>
      <c r="C860" s="1">
        <f t="shared" si="55"/>
        <v>5</v>
      </c>
      <c r="D860" s="1">
        <f t="shared" si="56"/>
        <v>8</v>
      </c>
      <c r="E860" s="1">
        <f t="shared" si="57"/>
        <v>2022</v>
      </c>
      <c r="F860" s="1">
        <v>859</v>
      </c>
      <c r="G860" s="1">
        <v>58</v>
      </c>
      <c r="H860" s="1">
        <v>50</v>
      </c>
      <c r="I860" s="2">
        <v>0.86209999999999998</v>
      </c>
      <c r="J860" s="1">
        <v>8</v>
      </c>
      <c r="K860" s="3">
        <v>3.3564814814814812E-4</v>
      </c>
      <c r="L860" s="3">
        <v>2.1296296296296298E-3</v>
      </c>
      <c r="M860" s="3">
        <v>2.1527777777777778E-3</v>
      </c>
      <c r="N860" s="2">
        <v>0.6724</v>
      </c>
      <c r="O860" s="5">
        <f t="shared" si="48"/>
        <v>0.10648148148148148</v>
      </c>
      <c r="P860" s="5">
        <f t="shared" si="49"/>
        <v>6.3888888888888893</v>
      </c>
      <c r="Q860" s="5">
        <f t="shared" si="50"/>
        <v>0.12351851851851853</v>
      </c>
      <c r="R860" s="5">
        <f t="shared" si="51"/>
        <v>7.4111111111111114</v>
      </c>
    </row>
    <row r="861" spans="1:18">
      <c r="A861" s="4">
        <v>44690</v>
      </c>
      <c r="B861" s="1" t="s">
        <v>23</v>
      </c>
      <c r="C861" s="1">
        <f t="shared" si="55"/>
        <v>5</v>
      </c>
      <c r="D861" s="1">
        <f t="shared" si="56"/>
        <v>9</v>
      </c>
      <c r="E861" s="1">
        <f t="shared" si="57"/>
        <v>2022</v>
      </c>
      <c r="F861" s="1">
        <v>860</v>
      </c>
      <c r="G861" s="1">
        <v>316</v>
      </c>
      <c r="H861" s="1">
        <v>279</v>
      </c>
      <c r="I861" s="2">
        <v>0.88290000000000002</v>
      </c>
      <c r="J861" s="1">
        <v>37</v>
      </c>
      <c r="K861" s="3">
        <v>4.6296296296296298E-4</v>
      </c>
      <c r="L861" s="3">
        <v>2.0601851851851853E-3</v>
      </c>
      <c r="M861" s="3">
        <v>2.4421296296296296E-3</v>
      </c>
      <c r="N861" s="2">
        <v>0.44159999999999999</v>
      </c>
      <c r="O861" s="5">
        <f t="shared" si="48"/>
        <v>0.5747916666666667</v>
      </c>
      <c r="P861" s="5">
        <f t="shared" si="49"/>
        <v>34.487500000000004</v>
      </c>
      <c r="Q861" s="5">
        <f t="shared" si="50"/>
        <v>0.65101851851851855</v>
      </c>
      <c r="R861" s="5">
        <f t="shared" si="51"/>
        <v>39.06111111111111</v>
      </c>
    </row>
    <row r="862" spans="1:18">
      <c r="A862" s="4">
        <v>44691</v>
      </c>
      <c r="B862" s="1" t="s">
        <v>24</v>
      </c>
      <c r="C862" s="1">
        <f t="shared" si="55"/>
        <v>5</v>
      </c>
      <c r="D862" s="1">
        <f t="shared" si="56"/>
        <v>10</v>
      </c>
      <c r="E862" s="1">
        <f t="shared" si="57"/>
        <v>2022</v>
      </c>
      <c r="F862" s="1">
        <v>861</v>
      </c>
      <c r="G862" s="1">
        <v>298</v>
      </c>
      <c r="H862" s="1">
        <v>274</v>
      </c>
      <c r="I862" s="2">
        <v>0.91949999999999998</v>
      </c>
      <c r="J862" s="1">
        <v>24</v>
      </c>
      <c r="K862" s="3">
        <v>3.4722222222222224E-4</v>
      </c>
      <c r="L862" s="3">
        <v>2.0717592592592593E-3</v>
      </c>
      <c r="M862" s="3">
        <v>2.1064814814814813E-3</v>
      </c>
      <c r="N862" s="2">
        <v>0.55779999999999996</v>
      </c>
      <c r="O862" s="5">
        <f t="shared" si="48"/>
        <v>0.5676620370370371</v>
      </c>
      <c r="P862" s="5">
        <f t="shared" si="49"/>
        <v>34.059722222222227</v>
      </c>
      <c r="Q862" s="5">
        <f t="shared" si="50"/>
        <v>0.61738425925925933</v>
      </c>
      <c r="R862" s="5">
        <f t="shared" si="51"/>
        <v>37.043055555555561</v>
      </c>
    </row>
    <row r="863" spans="1:18">
      <c r="A863" s="4">
        <v>44692</v>
      </c>
      <c r="B863" s="1" t="s">
        <v>18</v>
      </c>
      <c r="C863" s="1">
        <f t="shared" si="55"/>
        <v>5</v>
      </c>
      <c r="D863" s="1">
        <f t="shared" si="56"/>
        <v>11</v>
      </c>
      <c r="E863" s="1">
        <f t="shared" si="57"/>
        <v>2022</v>
      </c>
      <c r="F863" s="1">
        <v>862</v>
      </c>
      <c r="G863" s="1">
        <v>308</v>
      </c>
      <c r="H863" s="1">
        <v>275</v>
      </c>
      <c r="I863" s="2">
        <v>0.89290000000000003</v>
      </c>
      <c r="J863" s="1">
        <v>33</v>
      </c>
      <c r="K863" s="3">
        <v>4.6296296296296298E-4</v>
      </c>
      <c r="L863" s="3">
        <v>2.0370370370370369E-3</v>
      </c>
      <c r="M863" s="3">
        <v>4.7916666666666663E-3</v>
      </c>
      <c r="N863" s="2">
        <v>0.51629999999999998</v>
      </c>
      <c r="O863" s="5">
        <f t="shared" si="48"/>
        <v>0.56018518518518512</v>
      </c>
      <c r="P863" s="5">
        <f t="shared" si="49"/>
        <v>33.611111111111107</v>
      </c>
      <c r="Q863" s="5">
        <f t="shared" si="50"/>
        <v>0.6274074074074073</v>
      </c>
      <c r="R863" s="5">
        <f t="shared" si="51"/>
        <v>37.644444444444439</v>
      </c>
    </row>
    <row r="864" spans="1:18">
      <c r="A864" s="4">
        <v>44693</v>
      </c>
      <c r="B864" s="1" t="s">
        <v>19</v>
      </c>
      <c r="C864" s="1">
        <f t="shared" si="55"/>
        <v>5</v>
      </c>
      <c r="D864" s="1">
        <f t="shared" si="56"/>
        <v>12</v>
      </c>
      <c r="E864" s="1">
        <f t="shared" si="57"/>
        <v>2022</v>
      </c>
      <c r="F864" s="1">
        <v>863</v>
      </c>
      <c r="G864" s="1">
        <v>259</v>
      </c>
      <c r="H864" s="1">
        <v>242</v>
      </c>
      <c r="I864" s="2">
        <v>0.93440000000000001</v>
      </c>
      <c r="J864" s="1">
        <v>17</v>
      </c>
      <c r="K864" s="3">
        <v>1.8518518518518518E-4</v>
      </c>
      <c r="L864" s="3">
        <v>2.0138888888888888E-3</v>
      </c>
      <c r="M864" s="3">
        <v>2.8819444444444444E-3</v>
      </c>
      <c r="N864" s="2">
        <v>0.78259999999999996</v>
      </c>
      <c r="O864" s="5">
        <f t="shared" si="48"/>
        <v>0.48736111111111108</v>
      </c>
      <c r="P864" s="5">
        <f t="shared" si="49"/>
        <v>29.241666666666664</v>
      </c>
      <c r="Q864" s="5">
        <f t="shared" si="50"/>
        <v>0.52159722222222216</v>
      </c>
      <c r="R864" s="5">
        <f t="shared" si="51"/>
        <v>31.295833333333331</v>
      </c>
    </row>
    <row r="865" spans="1:18">
      <c r="A865" s="4">
        <v>44694</v>
      </c>
      <c r="B865" s="1" t="s">
        <v>20</v>
      </c>
      <c r="C865" s="1">
        <f t="shared" si="55"/>
        <v>5</v>
      </c>
      <c r="D865" s="1">
        <f t="shared" si="56"/>
        <v>13</v>
      </c>
      <c r="E865" s="1">
        <f t="shared" si="57"/>
        <v>2022</v>
      </c>
      <c r="F865" s="1">
        <v>864</v>
      </c>
      <c r="G865" s="1">
        <v>464</v>
      </c>
      <c r="H865" s="1">
        <v>391</v>
      </c>
      <c r="I865" s="2">
        <v>0.8427</v>
      </c>
      <c r="J865" s="1">
        <v>73</v>
      </c>
      <c r="K865" s="3">
        <v>6.3657407407407413E-4</v>
      </c>
      <c r="L865" s="3">
        <v>2.4421296296296296E-3</v>
      </c>
      <c r="M865" s="3">
        <v>3.6226851851851854E-3</v>
      </c>
      <c r="N865" s="2">
        <v>0.35449999999999998</v>
      </c>
      <c r="O865" s="5">
        <f t="shared" si="48"/>
        <v>0.9548726851851852</v>
      </c>
      <c r="P865" s="5">
        <f t="shared" si="49"/>
        <v>57.292361111111113</v>
      </c>
      <c r="Q865" s="5">
        <f t="shared" si="50"/>
        <v>1.1331481481481482</v>
      </c>
      <c r="R865" s="5">
        <f t="shared" si="51"/>
        <v>67.988888888888894</v>
      </c>
    </row>
    <row r="866" spans="1:18">
      <c r="A866" s="4">
        <v>44695</v>
      </c>
      <c r="B866" s="1" t="s">
        <v>21</v>
      </c>
      <c r="C866" s="1">
        <f t="shared" si="55"/>
        <v>5</v>
      </c>
      <c r="D866" s="1">
        <f t="shared" si="56"/>
        <v>14</v>
      </c>
      <c r="E866" s="1">
        <f t="shared" si="57"/>
        <v>2022</v>
      </c>
      <c r="F866" s="1">
        <v>865</v>
      </c>
      <c r="G866" s="1">
        <v>302</v>
      </c>
      <c r="H866" s="1">
        <v>275</v>
      </c>
      <c r="I866" s="2">
        <v>0.91059999999999997</v>
      </c>
      <c r="J866" s="1">
        <v>27</v>
      </c>
      <c r="K866" s="3">
        <v>3.4722222222222224E-4</v>
      </c>
      <c r="L866" s="3">
        <v>2.1064814814814813E-3</v>
      </c>
      <c r="M866" s="3">
        <v>6.875E-3</v>
      </c>
      <c r="N866" s="2">
        <v>0.56040000000000001</v>
      </c>
      <c r="O866" s="5">
        <f t="shared" si="48"/>
        <v>0.57928240740740733</v>
      </c>
      <c r="P866" s="5">
        <f t="shared" si="49"/>
        <v>34.756944444444443</v>
      </c>
      <c r="Q866" s="5">
        <f t="shared" si="50"/>
        <v>0.63615740740740734</v>
      </c>
      <c r="R866" s="5">
        <f t="shared" si="51"/>
        <v>38.169444444444437</v>
      </c>
    </row>
    <row r="867" spans="1:18">
      <c r="A867" s="4">
        <v>44696</v>
      </c>
      <c r="B867" s="1" t="s">
        <v>22</v>
      </c>
      <c r="C867" s="1">
        <f t="shared" si="55"/>
        <v>5</v>
      </c>
      <c r="D867" s="1">
        <f t="shared" si="56"/>
        <v>15</v>
      </c>
      <c r="E867" s="1">
        <f t="shared" si="57"/>
        <v>2022</v>
      </c>
      <c r="F867" s="1">
        <v>866</v>
      </c>
      <c r="G867" s="1">
        <v>47</v>
      </c>
      <c r="H867" s="1">
        <v>45</v>
      </c>
      <c r="I867" s="2">
        <v>0.95740000000000003</v>
      </c>
      <c r="J867" s="1">
        <v>2</v>
      </c>
      <c r="K867" s="3">
        <v>1.3888888888888889E-4</v>
      </c>
      <c r="L867" s="3">
        <v>1.8634259259259259E-3</v>
      </c>
      <c r="M867" s="3">
        <v>1.8171296296296297E-3</v>
      </c>
      <c r="N867" s="2">
        <v>0.85109999999999997</v>
      </c>
      <c r="O867" s="5">
        <f t="shared" si="48"/>
        <v>8.385416666666666E-2</v>
      </c>
      <c r="P867" s="5">
        <f t="shared" si="49"/>
        <v>5.03125</v>
      </c>
      <c r="Q867" s="5">
        <f t="shared" si="50"/>
        <v>8.7581018518518516E-2</v>
      </c>
      <c r="R867" s="5">
        <f t="shared" si="51"/>
        <v>5.2548611111111114</v>
      </c>
    </row>
    <row r="868" spans="1:18">
      <c r="A868" s="4">
        <v>44697</v>
      </c>
      <c r="B868" s="1" t="s">
        <v>23</v>
      </c>
      <c r="C868" s="1">
        <f t="shared" si="55"/>
        <v>5</v>
      </c>
      <c r="D868" s="1">
        <f t="shared" si="56"/>
        <v>16</v>
      </c>
      <c r="E868" s="1">
        <f t="shared" si="57"/>
        <v>2022</v>
      </c>
      <c r="F868" s="1">
        <v>867</v>
      </c>
      <c r="G868" s="1">
        <v>293</v>
      </c>
      <c r="H868" s="1">
        <v>279</v>
      </c>
      <c r="I868" s="2">
        <v>0.95220000000000005</v>
      </c>
      <c r="J868" s="1">
        <v>14</v>
      </c>
      <c r="K868" s="3">
        <v>2.5462962962962961E-4</v>
      </c>
      <c r="L868" s="3">
        <v>2.0023148148148148E-3</v>
      </c>
      <c r="M868" s="3">
        <v>2.0486111111111113E-3</v>
      </c>
      <c r="N868" s="2">
        <v>0.67469999999999997</v>
      </c>
      <c r="O868" s="5">
        <f t="shared" si="48"/>
        <v>0.55864583333333329</v>
      </c>
      <c r="P868" s="5">
        <f t="shared" si="49"/>
        <v>33.518749999999997</v>
      </c>
      <c r="Q868" s="5">
        <f t="shared" si="50"/>
        <v>0.58667824074074071</v>
      </c>
      <c r="R868" s="5">
        <f t="shared" si="51"/>
        <v>35.200694444444444</v>
      </c>
    </row>
    <row r="869" spans="1:18">
      <c r="A869" s="4">
        <v>44698</v>
      </c>
      <c r="B869" s="1" t="s">
        <v>24</v>
      </c>
      <c r="C869" s="1">
        <f t="shared" si="55"/>
        <v>5</v>
      </c>
      <c r="D869" s="1">
        <f t="shared" si="56"/>
        <v>17</v>
      </c>
      <c r="E869" s="1">
        <f t="shared" si="57"/>
        <v>2022</v>
      </c>
      <c r="F869" s="1">
        <v>868</v>
      </c>
      <c r="G869" s="1">
        <v>245</v>
      </c>
      <c r="H869" s="1">
        <v>225</v>
      </c>
      <c r="I869" s="2">
        <v>0.91839999999999999</v>
      </c>
      <c r="J869" s="1">
        <v>20</v>
      </c>
      <c r="K869" s="3">
        <v>2.0833333333333335E-4</v>
      </c>
      <c r="L869" s="3">
        <v>2.0254629629629629E-3</v>
      </c>
      <c r="M869" s="3">
        <v>2.9050925925925928E-3</v>
      </c>
      <c r="N869" s="2">
        <v>0.73550000000000004</v>
      </c>
      <c r="O869" s="5">
        <f t="shared" si="48"/>
        <v>0.45572916666666663</v>
      </c>
      <c r="P869" s="5">
        <f t="shared" si="49"/>
        <v>27.343749999999996</v>
      </c>
      <c r="Q869" s="5">
        <f t="shared" si="50"/>
        <v>0.49623842592592587</v>
      </c>
      <c r="R869" s="5">
        <f t="shared" si="51"/>
        <v>29.774305555555554</v>
      </c>
    </row>
    <row r="870" spans="1:18">
      <c r="A870" s="4">
        <v>44699</v>
      </c>
      <c r="B870" s="1" t="s">
        <v>18</v>
      </c>
      <c r="C870" s="1">
        <f t="shared" si="55"/>
        <v>5</v>
      </c>
      <c r="D870" s="1">
        <f t="shared" si="56"/>
        <v>18</v>
      </c>
      <c r="E870" s="1">
        <f t="shared" si="57"/>
        <v>2022</v>
      </c>
      <c r="F870" s="1">
        <v>869</v>
      </c>
      <c r="G870" s="1">
        <v>295</v>
      </c>
      <c r="H870" s="1">
        <v>227</v>
      </c>
      <c r="I870" s="2">
        <v>0.76949999999999996</v>
      </c>
      <c r="J870" s="1">
        <v>68</v>
      </c>
      <c r="K870" s="3">
        <v>5.5555555555555556E-4</v>
      </c>
      <c r="L870" s="3">
        <v>2.3032407407407407E-3</v>
      </c>
      <c r="M870" s="3">
        <v>3.9583333333333337E-3</v>
      </c>
      <c r="N870" s="2">
        <v>0.44790000000000002</v>
      </c>
      <c r="O870" s="5">
        <f t="shared" si="48"/>
        <v>0.52283564814814809</v>
      </c>
      <c r="P870" s="5">
        <f t="shared" si="49"/>
        <v>31.370138888888885</v>
      </c>
      <c r="Q870" s="5">
        <f t="shared" si="50"/>
        <v>0.67945601851851856</v>
      </c>
      <c r="R870" s="5">
        <f t="shared" si="51"/>
        <v>40.767361111111114</v>
      </c>
    </row>
    <row r="871" spans="1:18">
      <c r="A871" s="4">
        <v>44700</v>
      </c>
      <c r="B871" s="1" t="s">
        <v>19</v>
      </c>
      <c r="C871" s="1">
        <f t="shared" si="55"/>
        <v>5</v>
      </c>
      <c r="D871" s="1">
        <f t="shared" si="56"/>
        <v>19</v>
      </c>
      <c r="E871" s="1">
        <f t="shared" si="57"/>
        <v>2022</v>
      </c>
      <c r="F871" s="1">
        <v>870</v>
      </c>
      <c r="G871" s="1">
        <v>205</v>
      </c>
      <c r="H871" s="1">
        <v>196</v>
      </c>
      <c r="I871" s="2">
        <v>0.95609999999999995</v>
      </c>
      <c r="J871" s="1">
        <v>9</v>
      </c>
      <c r="K871" s="3">
        <v>2.3148148148148149E-4</v>
      </c>
      <c r="L871" s="3">
        <v>2.1527777777777778E-3</v>
      </c>
      <c r="M871" s="3">
        <v>3.5879629629629629E-3</v>
      </c>
      <c r="N871" s="2">
        <v>0.73660000000000003</v>
      </c>
      <c r="O871" s="5">
        <f t="shared" si="48"/>
        <v>0.42194444444444446</v>
      </c>
      <c r="P871" s="5">
        <f t="shared" si="49"/>
        <v>25.316666666666666</v>
      </c>
      <c r="Q871" s="5">
        <f t="shared" si="50"/>
        <v>0.44131944444444443</v>
      </c>
      <c r="R871" s="5">
        <f t="shared" si="51"/>
        <v>26.479166666666664</v>
      </c>
    </row>
    <row r="872" spans="1:18">
      <c r="A872" s="4">
        <v>44701</v>
      </c>
      <c r="B872" s="1" t="s">
        <v>20</v>
      </c>
      <c r="C872" s="1">
        <f t="shared" si="55"/>
        <v>5</v>
      </c>
      <c r="D872" s="1">
        <f t="shared" si="56"/>
        <v>20</v>
      </c>
      <c r="E872" s="1">
        <f t="shared" si="57"/>
        <v>2022</v>
      </c>
      <c r="F872" s="1">
        <v>871</v>
      </c>
      <c r="G872" s="1">
        <v>249</v>
      </c>
      <c r="H872" s="1">
        <v>215</v>
      </c>
      <c r="I872" s="2">
        <v>0.86350000000000005</v>
      </c>
      <c r="J872" s="1">
        <v>34</v>
      </c>
      <c r="K872" s="3">
        <v>4.6296296296296298E-4</v>
      </c>
      <c r="L872" s="3">
        <v>2.0601851851851853E-3</v>
      </c>
      <c r="M872" s="3">
        <v>1.7256944444444443E-2</v>
      </c>
      <c r="N872" s="2">
        <v>0.46089999999999998</v>
      </c>
      <c r="O872" s="5">
        <f t="shared" si="48"/>
        <v>0.44293981481481481</v>
      </c>
      <c r="P872" s="5">
        <f t="shared" si="49"/>
        <v>26.576388888888889</v>
      </c>
      <c r="Q872" s="5">
        <f t="shared" si="50"/>
        <v>0.51298611111111114</v>
      </c>
      <c r="R872" s="5">
        <f t="shared" si="51"/>
        <v>30.779166666666669</v>
      </c>
    </row>
    <row r="873" spans="1:18">
      <c r="A873" s="4">
        <v>44702</v>
      </c>
      <c r="B873" s="1" t="s">
        <v>21</v>
      </c>
      <c r="C873" s="1">
        <f t="shared" si="55"/>
        <v>5</v>
      </c>
      <c r="D873" s="1">
        <f t="shared" si="56"/>
        <v>21</v>
      </c>
      <c r="E873" s="1">
        <f t="shared" si="57"/>
        <v>2022</v>
      </c>
      <c r="F873" s="1">
        <v>872</v>
      </c>
      <c r="G873" s="1">
        <v>236</v>
      </c>
      <c r="H873" s="1">
        <v>213</v>
      </c>
      <c r="I873" s="2">
        <v>0.90249999999999997</v>
      </c>
      <c r="J873" s="1">
        <v>23</v>
      </c>
      <c r="K873" s="3">
        <v>3.0092592592592595E-4</v>
      </c>
      <c r="L873" s="3">
        <v>2.2453703703703702E-3</v>
      </c>
      <c r="M873" s="3">
        <v>2.7083333333333334E-3</v>
      </c>
      <c r="N873" s="2">
        <v>0.63360000000000005</v>
      </c>
      <c r="O873" s="5">
        <f t="shared" si="48"/>
        <v>0.47826388888888888</v>
      </c>
      <c r="P873" s="5">
        <f t="shared" si="49"/>
        <v>28.695833333333333</v>
      </c>
      <c r="Q873" s="5">
        <f t="shared" si="50"/>
        <v>0.52990740740740738</v>
      </c>
      <c r="R873" s="5">
        <f t="shared" si="51"/>
        <v>31.794444444444444</v>
      </c>
    </row>
    <row r="874" spans="1:18">
      <c r="A874" s="4">
        <v>44703</v>
      </c>
      <c r="B874" s="1" t="s">
        <v>22</v>
      </c>
      <c r="C874" s="1">
        <f t="shared" si="55"/>
        <v>5</v>
      </c>
      <c r="D874" s="1">
        <f t="shared" si="56"/>
        <v>22</v>
      </c>
      <c r="E874" s="1">
        <f t="shared" si="57"/>
        <v>2022</v>
      </c>
      <c r="F874" s="1">
        <v>873</v>
      </c>
      <c r="G874" s="1">
        <v>39</v>
      </c>
      <c r="H874" s="1">
        <v>39</v>
      </c>
      <c r="I874" s="2">
        <v>1</v>
      </c>
      <c r="J874" s="1">
        <v>0</v>
      </c>
      <c r="K874" s="3">
        <v>1.6203703703703703E-4</v>
      </c>
      <c r="L874" s="3">
        <v>1.736111111111111E-3</v>
      </c>
      <c r="M874" s="3">
        <v>1.7013888888888888E-3</v>
      </c>
      <c r="N874" s="2">
        <v>0.87180000000000002</v>
      </c>
      <c r="O874" s="5">
        <f t="shared" si="48"/>
        <v>6.7708333333333329E-2</v>
      </c>
      <c r="P874" s="5">
        <f t="shared" si="49"/>
        <v>4.0625</v>
      </c>
      <c r="Q874" s="5">
        <f t="shared" si="50"/>
        <v>6.7708333333333329E-2</v>
      </c>
      <c r="R874" s="5">
        <f t="shared" si="51"/>
        <v>4.0625</v>
      </c>
    </row>
    <row r="875" spans="1:18">
      <c r="A875" s="4">
        <v>44704</v>
      </c>
      <c r="B875" s="1" t="s">
        <v>23</v>
      </c>
      <c r="C875" s="1">
        <f t="shared" si="55"/>
        <v>5</v>
      </c>
      <c r="D875" s="1">
        <f t="shared" si="56"/>
        <v>23</v>
      </c>
      <c r="E875" s="1">
        <f t="shared" si="57"/>
        <v>2022</v>
      </c>
      <c r="F875" s="1">
        <v>874</v>
      </c>
      <c r="G875" s="1">
        <v>208</v>
      </c>
      <c r="H875" s="1">
        <v>194</v>
      </c>
      <c r="I875" s="2">
        <v>0.93269999999999997</v>
      </c>
      <c r="J875" s="1">
        <v>14</v>
      </c>
      <c r="K875" s="3">
        <v>1.9675925925925926E-4</v>
      </c>
      <c r="L875" s="3">
        <v>2.0138888888888888E-3</v>
      </c>
      <c r="M875" s="3">
        <v>2.0717592592592593E-3</v>
      </c>
      <c r="N875" s="2">
        <v>0.76959999999999995</v>
      </c>
      <c r="O875" s="5">
        <f t="shared" si="48"/>
        <v>0.39069444444444446</v>
      </c>
      <c r="P875" s="5">
        <f t="shared" si="49"/>
        <v>23.441666666666666</v>
      </c>
      <c r="Q875" s="5">
        <f t="shared" si="50"/>
        <v>0.41888888888888887</v>
      </c>
      <c r="R875" s="5">
        <f t="shared" si="51"/>
        <v>25.133333333333333</v>
      </c>
    </row>
    <row r="876" spans="1:18">
      <c r="A876" s="4">
        <v>44705</v>
      </c>
      <c r="B876" s="1" t="s">
        <v>24</v>
      </c>
      <c r="C876" s="1">
        <f t="shared" si="55"/>
        <v>5</v>
      </c>
      <c r="D876" s="1">
        <f t="shared" si="56"/>
        <v>24</v>
      </c>
      <c r="E876" s="1">
        <f t="shared" si="57"/>
        <v>2022</v>
      </c>
      <c r="F876" s="1">
        <v>875</v>
      </c>
      <c r="G876" s="1">
        <v>39</v>
      </c>
      <c r="H876" s="1">
        <v>38</v>
      </c>
      <c r="I876" s="2">
        <v>0.97440000000000004</v>
      </c>
      <c r="J876" s="1">
        <v>1</v>
      </c>
      <c r="K876" s="3">
        <v>4.6296296296296294E-5</v>
      </c>
      <c r="L876" s="3">
        <v>1.6319444444444445E-3</v>
      </c>
      <c r="M876" s="3">
        <v>7.1759259259259259E-4</v>
      </c>
      <c r="N876" s="2">
        <v>0.94869999999999999</v>
      </c>
      <c r="O876" s="5">
        <f t="shared" si="48"/>
        <v>6.2013888888888896E-2</v>
      </c>
      <c r="P876" s="5">
        <f t="shared" si="49"/>
        <v>3.7208333333333337</v>
      </c>
      <c r="Q876" s="5">
        <f t="shared" si="50"/>
        <v>6.3645833333333332E-2</v>
      </c>
      <c r="R876" s="5">
        <f t="shared" si="51"/>
        <v>3.8187500000000001</v>
      </c>
    </row>
    <row r="877" spans="1:18">
      <c r="A877" s="4">
        <v>44706</v>
      </c>
      <c r="B877" s="1" t="s">
        <v>18</v>
      </c>
      <c r="C877" s="1">
        <f t="shared" si="55"/>
        <v>5</v>
      </c>
      <c r="D877" s="1">
        <f t="shared" si="56"/>
        <v>25</v>
      </c>
      <c r="E877" s="1">
        <f t="shared" si="57"/>
        <v>2022</v>
      </c>
      <c r="F877" s="1">
        <v>876</v>
      </c>
      <c r="G877" s="1">
        <v>115</v>
      </c>
      <c r="H877" s="1">
        <v>110</v>
      </c>
      <c r="I877" s="2">
        <v>0.95650000000000002</v>
      </c>
      <c r="J877" s="1">
        <v>5</v>
      </c>
      <c r="K877" s="3">
        <v>9.2592592592592588E-5</v>
      </c>
      <c r="L877" s="3">
        <v>1.9212962962962964E-3</v>
      </c>
      <c r="M877" s="3">
        <v>2.9166666666666668E-3</v>
      </c>
      <c r="N877" s="2">
        <v>0.90429999999999999</v>
      </c>
      <c r="O877" s="5">
        <f t="shared" si="48"/>
        <v>0.21134259259259261</v>
      </c>
      <c r="P877" s="5">
        <f t="shared" si="49"/>
        <v>12.680555555555557</v>
      </c>
      <c r="Q877" s="5">
        <f t="shared" si="50"/>
        <v>0.22094907407407408</v>
      </c>
      <c r="R877" s="5">
        <f t="shared" si="51"/>
        <v>13.256944444444445</v>
      </c>
    </row>
    <row r="878" spans="1:18">
      <c r="A878" s="4">
        <v>44707</v>
      </c>
      <c r="B878" s="1" t="s">
        <v>19</v>
      </c>
      <c r="C878" s="1">
        <f t="shared" si="55"/>
        <v>5</v>
      </c>
      <c r="D878" s="1">
        <f t="shared" si="56"/>
        <v>26</v>
      </c>
      <c r="E878" s="1">
        <f t="shared" si="57"/>
        <v>2022</v>
      </c>
      <c r="F878" s="1">
        <v>877</v>
      </c>
      <c r="G878" s="1">
        <v>338</v>
      </c>
      <c r="H878" s="1">
        <v>308</v>
      </c>
      <c r="I878" s="2">
        <v>0.91120000000000001</v>
      </c>
      <c r="J878" s="1">
        <v>30</v>
      </c>
      <c r="K878" s="3">
        <v>3.1250000000000001E-4</v>
      </c>
      <c r="L878" s="3">
        <v>1.9675925925925924E-3</v>
      </c>
      <c r="M878" s="3">
        <v>2.9050925925925928E-3</v>
      </c>
      <c r="N878" s="2">
        <v>0.63100000000000001</v>
      </c>
      <c r="O878" s="5">
        <f t="shared" si="48"/>
        <v>0.60601851851851851</v>
      </c>
      <c r="P878" s="5">
        <f t="shared" si="49"/>
        <v>36.361111111111114</v>
      </c>
      <c r="Q878" s="5">
        <f t="shared" si="50"/>
        <v>0.66504629629629619</v>
      </c>
      <c r="R878" s="5">
        <f t="shared" si="51"/>
        <v>39.902777777777771</v>
      </c>
    </row>
    <row r="879" spans="1:18">
      <c r="A879" s="4">
        <v>44708</v>
      </c>
      <c r="B879" s="1" t="s">
        <v>20</v>
      </c>
      <c r="C879" s="1">
        <f t="shared" si="55"/>
        <v>5</v>
      </c>
      <c r="D879" s="1">
        <f t="shared" si="56"/>
        <v>27</v>
      </c>
      <c r="E879" s="1">
        <f t="shared" si="57"/>
        <v>2022</v>
      </c>
      <c r="F879" s="1">
        <v>878</v>
      </c>
      <c r="G879" s="1">
        <v>404</v>
      </c>
      <c r="H879" s="1">
        <v>320</v>
      </c>
      <c r="I879" s="2">
        <v>0.79210000000000003</v>
      </c>
      <c r="J879" s="1">
        <v>84</v>
      </c>
      <c r="K879" s="3">
        <v>5.2083333333333333E-4</v>
      </c>
      <c r="L879" s="3">
        <v>2.0601851851851853E-3</v>
      </c>
      <c r="M879" s="3">
        <v>8.2523148148148148E-3</v>
      </c>
      <c r="N879" s="2">
        <v>0.51390000000000002</v>
      </c>
      <c r="O879" s="5">
        <f t="shared" si="48"/>
        <v>0.65925925925925932</v>
      </c>
      <c r="P879" s="5">
        <f t="shared" si="49"/>
        <v>39.555555555555557</v>
      </c>
      <c r="Q879" s="5">
        <f t="shared" si="50"/>
        <v>0.83231481481481484</v>
      </c>
      <c r="R879" s="5">
        <f t="shared" si="51"/>
        <v>49.93888888888889</v>
      </c>
    </row>
    <row r="880" spans="1:18">
      <c r="A880" s="4">
        <v>44709</v>
      </c>
      <c r="B880" s="1" t="s">
        <v>21</v>
      </c>
      <c r="C880" s="1">
        <f t="shared" si="55"/>
        <v>5</v>
      </c>
      <c r="D880" s="1">
        <f t="shared" si="56"/>
        <v>28</v>
      </c>
      <c r="E880" s="1">
        <f t="shared" si="57"/>
        <v>2022</v>
      </c>
      <c r="F880" s="1">
        <v>879</v>
      </c>
      <c r="G880" s="1">
        <v>436</v>
      </c>
      <c r="H880" s="1">
        <v>393</v>
      </c>
      <c r="I880" s="2">
        <v>0.90139999999999998</v>
      </c>
      <c r="J880" s="1">
        <v>43</v>
      </c>
      <c r="K880" s="3">
        <v>3.0092592592592595E-4</v>
      </c>
      <c r="L880" s="3">
        <v>1.9791666666666668E-3</v>
      </c>
      <c r="M880" s="3">
        <v>4.31712962962963E-3</v>
      </c>
      <c r="N880" s="2">
        <v>0.65259999999999996</v>
      </c>
      <c r="O880" s="5">
        <f t="shared" si="48"/>
        <v>0.77781250000000002</v>
      </c>
      <c r="P880" s="5">
        <f t="shared" si="49"/>
        <v>46.668750000000003</v>
      </c>
      <c r="Q880" s="5">
        <f t="shared" si="50"/>
        <v>0.86291666666666678</v>
      </c>
      <c r="R880" s="5">
        <f t="shared" si="51"/>
        <v>51.775000000000006</v>
      </c>
    </row>
    <row r="881" spans="1:18">
      <c r="A881" s="4">
        <v>44710</v>
      </c>
      <c r="B881" s="1" t="s">
        <v>22</v>
      </c>
      <c r="C881" s="1">
        <f t="shared" si="55"/>
        <v>5</v>
      </c>
      <c r="D881" s="1">
        <f t="shared" si="56"/>
        <v>29</v>
      </c>
      <c r="E881" s="1">
        <f t="shared" si="57"/>
        <v>2022</v>
      </c>
      <c r="F881" s="1">
        <v>880</v>
      </c>
      <c r="G881" s="1">
        <v>73</v>
      </c>
      <c r="H881" s="1">
        <v>72</v>
      </c>
      <c r="I881" s="2">
        <v>0.98629999999999995</v>
      </c>
      <c r="J881" s="1">
        <v>1</v>
      </c>
      <c r="K881" s="3">
        <v>8.1018518518518516E-5</v>
      </c>
      <c r="L881" s="3">
        <v>1.9212962962962964E-3</v>
      </c>
      <c r="M881" s="3">
        <v>1.1921296296296296E-3</v>
      </c>
      <c r="N881" s="2">
        <v>0.93149999999999999</v>
      </c>
      <c r="O881" s="5">
        <f t="shared" si="48"/>
        <v>0.13833333333333334</v>
      </c>
      <c r="P881" s="5">
        <f t="shared" si="49"/>
        <v>8.3000000000000007</v>
      </c>
      <c r="Q881" s="5">
        <f t="shared" si="50"/>
        <v>0.14025462962962965</v>
      </c>
      <c r="R881" s="5">
        <f t="shared" si="51"/>
        <v>8.4152777777777779</v>
      </c>
    </row>
    <row r="882" spans="1:18">
      <c r="A882" s="4">
        <v>44711</v>
      </c>
      <c r="B882" s="1" t="s">
        <v>23</v>
      </c>
      <c r="C882" s="1">
        <f t="shared" si="55"/>
        <v>5</v>
      </c>
      <c r="D882" s="1">
        <f t="shared" si="56"/>
        <v>30</v>
      </c>
      <c r="E882" s="1">
        <f t="shared" si="57"/>
        <v>2022</v>
      </c>
      <c r="F882" s="1">
        <v>881</v>
      </c>
      <c r="G882" s="1">
        <v>521</v>
      </c>
      <c r="H882" s="1">
        <v>492</v>
      </c>
      <c r="I882" s="2">
        <v>0.94430000000000003</v>
      </c>
      <c r="J882" s="1">
        <v>29</v>
      </c>
      <c r="K882" s="3">
        <v>1.9675925925925926E-4</v>
      </c>
      <c r="L882" s="3">
        <v>1.9097222222222222E-3</v>
      </c>
      <c r="M882" s="3">
        <v>2.3495370370370371E-3</v>
      </c>
      <c r="N882" s="2">
        <v>0.78939999999999999</v>
      </c>
      <c r="O882" s="5">
        <f t="shared" si="48"/>
        <v>0.93958333333333333</v>
      </c>
      <c r="P882" s="5">
        <f t="shared" si="49"/>
        <v>56.375</v>
      </c>
      <c r="Q882" s="5">
        <f t="shared" si="50"/>
        <v>0.99496527777777777</v>
      </c>
      <c r="R882" s="5">
        <f t="shared" si="51"/>
        <v>59.697916666666664</v>
      </c>
    </row>
    <row r="883" spans="1:18">
      <c r="A883" s="4">
        <v>44712</v>
      </c>
      <c r="B883" s="1" t="s">
        <v>24</v>
      </c>
      <c r="C883" s="1">
        <f t="shared" si="55"/>
        <v>5</v>
      </c>
      <c r="D883" s="1">
        <f t="shared" si="56"/>
        <v>31</v>
      </c>
      <c r="E883" s="1">
        <f t="shared" si="57"/>
        <v>2022</v>
      </c>
      <c r="F883" s="1">
        <v>882</v>
      </c>
      <c r="G883" s="1">
        <v>648</v>
      </c>
      <c r="H883" s="1">
        <v>564</v>
      </c>
      <c r="I883" s="2">
        <v>0.87039999999999995</v>
      </c>
      <c r="J883" s="1">
        <v>84</v>
      </c>
      <c r="K883" s="3">
        <v>3.1250000000000001E-4</v>
      </c>
      <c r="L883" s="3">
        <v>1.9212962962962964E-3</v>
      </c>
      <c r="M883" s="3">
        <v>3.7615740740740739E-3</v>
      </c>
      <c r="N883" s="2">
        <v>0.61360000000000003</v>
      </c>
      <c r="O883" s="5">
        <f t="shared" si="48"/>
        <v>1.0836111111111111</v>
      </c>
      <c r="P883" s="5">
        <f t="shared" si="49"/>
        <v>65.016666666666666</v>
      </c>
      <c r="Q883" s="5">
        <f t="shared" si="50"/>
        <v>1.2450000000000001</v>
      </c>
      <c r="R883" s="5">
        <f t="shared" si="51"/>
        <v>74.7</v>
      </c>
    </row>
    <row r="884" spans="1:18">
      <c r="A884" s="4">
        <v>44713</v>
      </c>
      <c r="B884" s="1" t="s">
        <v>18</v>
      </c>
      <c r="C884" s="1">
        <f t="shared" si="55"/>
        <v>6</v>
      </c>
      <c r="D884" s="1">
        <f t="shared" si="56"/>
        <v>1</v>
      </c>
      <c r="E884" s="1">
        <f t="shared" si="57"/>
        <v>2022</v>
      </c>
      <c r="F884" s="1">
        <v>883</v>
      </c>
      <c r="G884" s="1">
        <v>729</v>
      </c>
      <c r="H884" s="1">
        <v>592</v>
      </c>
      <c r="I884" s="2">
        <v>0.81210000000000004</v>
      </c>
      <c r="J884" s="1">
        <v>137</v>
      </c>
      <c r="K884" s="3">
        <v>6.3657407407407413E-4</v>
      </c>
      <c r="L884" s="3">
        <v>2.0023148148148148E-3</v>
      </c>
      <c r="M884" s="3">
        <v>5.1967592592592595E-3</v>
      </c>
      <c r="N884" s="2">
        <v>0.35830000000000001</v>
      </c>
      <c r="O884" s="5">
        <f t="shared" si="48"/>
        <v>1.1853703703703704</v>
      </c>
      <c r="P884" s="5">
        <f t="shared" si="49"/>
        <v>71.12222222222222</v>
      </c>
      <c r="Q884" s="5">
        <f t="shared" si="50"/>
        <v>1.4596875</v>
      </c>
      <c r="R884" s="5">
        <f t="shared" si="51"/>
        <v>87.581249999999997</v>
      </c>
    </row>
    <row r="885" spans="1:18">
      <c r="A885" s="4">
        <v>44714</v>
      </c>
      <c r="B885" s="1" t="s">
        <v>19</v>
      </c>
      <c r="C885" s="1">
        <f t="shared" si="55"/>
        <v>6</v>
      </c>
      <c r="D885" s="1">
        <f t="shared" si="56"/>
        <v>2</v>
      </c>
      <c r="E885" s="1">
        <f t="shared" si="57"/>
        <v>2022</v>
      </c>
      <c r="F885" s="1">
        <v>884</v>
      </c>
      <c r="G885" s="1">
        <v>1196</v>
      </c>
      <c r="H885" s="1">
        <v>718</v>
      </c>
      <c r="I885" s="2">
        <v>0.60029999999999994</v>
      </c>
      <c r="J885" s="1">
        <v>478</v>
      </c>
      <c r="K885" s="3">
        <v>1.2962962962962963E-3</v>
      </c>
      <c r="L885" s="3">
        <v>2.1875000000000002E-3</v>
      </c>
      <c r="M885" s="3">
        <v>7.7083333333333335E-3</v>
      </c>
      <c r="N885" s="2">
        <v>0.1462</v>
      </c>
      <c r="O885" s="5">
        <f t="shared" si="48"/>
        <v>1.5706250000000002</v>
      </c>
      <c r="P885" s="5">
        <f t="shared" si="49"/>
        <v>94.237500000000011</v>
      </c>
      <c r="Q885" s="5">
        <f t="shared" si="50"/>
        <v>2.6162500000000004</v>
      </c>
      <c r="R885" s="5">
        <f t="shared" si="51"/>
        <v>156.97500000000002</v>
      </c>
    </row>
    <row r="886" spans="1:18">
      <c r="A886" s="4">
        <v>44715</v>
      </c>
      <c r="B886" s="1" t="s">
        <v>20</v>
      </c>
      <c r="C886" s="1">
        <f t="shared" si="55"/>
        <v>6</v>
      </c>
      <c r="D886" s="1">
        <f t="shared" si="56"/>
        <v>3</v>
      </c>
      <c r="E886" s="1">
        <f t="shared" si="57"/>
        <v>2022</v>
      </c>
      <c r="F886" s="1">
        <v>885</v>
      </c>
      <c r="G886" s="1">
        <v>436</v>
      </c>
      <c r="H886" s="1">
        <v>323</v>
      </c>
      <c r="I886" s="2">
        <v>0.74080000000000001</v>
      </c>
      <c r="J886" s="1">
        <v>113</v>
      </c>
      <c r="K886" s="3">
        <v>5.0925925925925921E-4</v>
      </c>
      <c r="L886" s="3">
        <v>2.1064814814814813E-3</v>
      </c>
      <c r="M886" s="3">
        <v>4.3055555555555555E-3</v>
      </c>
      <c r="N886" s="2">
        <v>0.4375</v>
      </c>
      <c r="O886" s="5">
        <f t="shared" si="48"/>
        <v>0.68039351851851848</v>
      </c>
      <c r="P886" s="5">
        <f t="shared" si="49"/>
        <v>40.823611111111106</v>
      </c>
      <c r="Q886" s="5">
        <f t="shared" si="50"/>
        <v>0.91842592592592587</v>
      </c>
      <c r="R886" s="5">
        <f t="shared" si="51"/>
        <v>55.105555555555554</v>
      </c>
    </row>
    <row r="887" spans="1:18">
      <c r="A887" s="4">
        <v>44716</v>
      </c>
      <c r="B887" s="1" t="s">
        <v>21</v>
      </c>
      <c r="C887" s="1">
        <f t="shared" si="55"/>
        <v>6</v>
      </c>
      <c r="D887" s="1">
        <f t="shared" si="56"/>
        <v>4</v>
      </c>
      <c r="E887" s="1">
        <f t="shared" si="57"/>
        <v>2022</v>
      </c>
      <c r="F887" s="1">
        <v>886</v>
      </c>
      <c r="G887" s="1">
        <v>191</v>
      </c>
      <c r="H887" s="1">
        <v>178</v>
      </c>
      <c r="I887" s="2">
        <v>0.93189999999999995</v>
      </c>
      <c r="J887" s="1">
        <v>13</v>
      </c>
      <c r="K887" s="3">
        <v>1.8518518518518518E-4</v>
      </c>
      <c r="L887" s="3">
        <v>1.9791666666666668E-3</v>
      </c>
      <c r="M887" s="3">
        <v>2.8703703703703703E-3</v>
      </c>
      <c r="N887" s="2">
        <v>0.80530000000000002</v>
      </c>
      <c r="O887" s="5">
        <f t="shared" si="48"/>
        <v>0.35229166666666667</v>
      </c>
      <c r="P887" s="5">
        <f t="shared" si="49"/>
        <v>21.137499999999999</v>
      </c>
      <c r="Q887" s="5">
        <f t="shared" si="50"/>
        <v>0.37802083333333336</v>
      </c>
      <c r="R887" s="5">
        <f t="shared" si="51"/>
        <v>22.681250000000002</v>
      </c>
    </row>
    <row r="888" spans="1:18">
      <c r="A888" s="4">
        <v>44717</v>
      </c>
      <c r="B888" s="1" t="s">
        <v>22</v>
      </c>
      <c r="C888" s="1">
        <f t="shared" si="55"/>
        <v>6</v>
      </c>
      <c r="D888" s="1">
        <f t="shared" si="56"/>
        <v>5</v>
      </c>
      <c r="E888" s="1">
        <f t="shared" si="57"/>
        <v>2022</v>
      </c>
      <c r="F888" s="1">
        <v>887</v>
      </c>
      <c r="G888" s="1">
        <v>68</v>
      </c>
      <c r="H888" s="1">
        <v>68</v>
      </c>
      <c r="I888" s="2">
        <v>1</v>
      </c>
      <c r="J888" s="1">
        <v>0</v>
      </c>
      <c r="K888" s="3">
        <v>5.7870370370370373E-5</v>
      </c>
      <c r="L888" s="3">
        <v>2.0370370370370369E-3</v>
      </c>
      <c r="M888" s="3">
        <v>1.1458333333333333E-3</v>
      </c>
      <c r="N888" s="2">
        <v>0.98529999999999995</v>
      </c>
      <c r="O888" s="5">
        <f t="shared" si="48"/>
        <v>0.13851851851851851</v>
      </c>
      <c r="P888" s="5">
        <f t="shared" si="49"/>
        <v>8.31111111111111</v>
      </c>
      <c r="Q888" s="5">
        <f t="shared" si="50"/>
        <v>0.13851851851851851</v>
      </c>
      <c r="R888" s="5">
        <f t="shared" si="51"/>
        <v>8.31111111111111</v>
      </c>
    </row>
    <row r="889" spans="1:18">
      <c r="A889" s="4">
        <v>44718</v>
      </c>
      <c r="B889" s="1" t="s">
        <v>23</v>
      </c>
      <c r="C889" s="1">
        <f t="shared" si="55"/>
        <v>6</v>
      </c>
      <c r="D889" s="1">
        <f t="shared" si="56"/>
        <v>6</v>
      </c>
      <c r="E889" s="1">
        <f t="shared" si="57"/>
        <v>2022</v>
      </c>
      <c r="F889" s="1">
        <v>888</v>
      </c>
      <c r="G889" s="1">
        <v>498</v>
      </c>
      <c r="H889" s="1">
        <v>429</v>
      </c>
      <c r="I889" s="2">
        <v>0.86140000000000005</v>
      </c>
      <c r="J889" s="1">
        <v>69</v>
      </c>
      <c r="K889" s="3">
        <v>3.9351851851851852E-4</v>
      </c>
      <c r="L889" s="3">
        <v>2.1875000000000002E-3</v>
      </c>
      <c r="M889" s="3">
        <v>2.9166666666666668E-3</v>
      </c>
      <c r="N889" s="2">
        <v>0.5071</v>
      </c>
      <c r="O889" s="5">
        <f t="shared" si="48"/>
        <v>0.93843750000000004</v>
      </c>
      <c r="P889" s="5">
        <f t="shared" si="49"/>
        <v>56.306250000000006</v>
      </c>
      <c r="Q889" s="5">
        <f t="shared" si="50"/>
        <v>1.0893750000000002</v>
      </c>
      <c r="R889" s="5">
        <f t="shared" si="51"/>
        <v>65.362500000000011</v>
      </c>
    </row>
    <row r="890" spans="1:18">
      <c r="A890" s="4">
        <v>44719</v>
      </c>
      <c r="B890" s="1" t="s">
        <v>24</v>
      </c>
      <c r="C890" s="1">
        <f t="shared" si="55"/>
        <v>6</v>
      </c>
      <c r="D890" s="1">
        <f t="shared" si="56"/>
        <v>7</v>
      </c>
      <c r="E890" s="1">
        <f t="shared" si="57"/>
        <v>2022</v>
      </c>
      <c r="F890" s="1">
        <v>889</v>
      </c>
      <c r="G890" s="1">
        <v>358</v>
      </c>
      <c r="H890" s="1">
        <v>329</v>
      </c>
      <c r="I890" s="2">
        <v>0.91900000000000004</v>
      </c>
      <c r="J890" s="1">
        <v>29</v>
      </c>
      <c r="K890" s="3">
        <v>2.4305555555555555E-4</v>
      </c>
      <c r="L890" s="3">
        <v>2.1180555555555558E-3</v>
      </c>
      <c r="M890" s="3">
        <v>1.5625000000000001E-3</v>
      </c>
      <c r="N890" s="2">
        <v>0.66949999999999998</v>
      </c>
      <c r="O890" s="5">
        <f t="shared" si="48"/>
        <v>0.69684027777777779</v>
      </c>
      <c r="P890" s="5">
        <f t="shared" si="49"/>
        <v>41.810416666666669</v>
      </c>
      <c r="Q890" s="5">
        <f t="shared" si="50"/>
        <v>0.75826388888888896</v>
      </c>
      <c r="R890" s="5">
        <f t="shared" si="51"/>
        <v>45.495833333333337</v>
      </c>
    </row>
    <row r="891" spans="1:18">
      <c r="A891" s="4">
        <v>44720</v>
      </c>
      <c r="B891" s="1" t="s">
        <v>18</v>
      </c>
      <c r="C891" s="1">
        <f t="shared" si="55"/>
        <v>6</v>
      </c>
      <c r="D891" s="1">
        <f t="shared" si="56"/>
        <v>8</v>
      </c>
      <c r="E891" s="1">
        <f t="shared" si="57"/>
        <v>2022</v>
      </c>
      <c r="F891" s="1">
        <v>890</v>
      </c>
      <c r="G891" s="1">
        <v>340</v>
      </c>
      <c r="H891" s="1">
        <v>302</v>
      </c>
      <c r="I891" s="2">
        <v>0.88819999999999999</v>
      </c>
      <c r="J891" s="1">
        <v>38</v>
      </c>
      <c r="K891" s="3">
        <v>2.7777777777777778E-4</v>
      </c>
      <c r="L891" s="3">
        <v>1.9675925925925924E-3</v>
      </c>
      <c r="M891" s="3">
        <v>3.5879629629629629E-3</v>
      </c>
      <c r="N891" s="2">
        <v>0.65669999999999995</v>
      </c>
      <c r="O891" s="5">
        <f t="shared" si="48"/>
        <v>0.59421296296296289</v>
      </c>
      <c r="P891" s="5">
        <f t="shared" si="49"/>
        <v>35.652777777777771</v>
      </c>
      <c r="Q891" s="5">
        <f t="shared" si="50"/>
        <v>0.6689814814814814</v>
      </c>
      <c r="R891" s="5">
        <f t="shared" si="51"/>
        <v>40.138888888888886</v>
      </c>
    </row>
    <row r="892" spans="1:18">
      <c r="A892" s="4">
        <v>44721</v>
      </c>
      <c r="B892" s="1" t="s">
        <v>19</v>
      </c>
      <c r="C892" s="1">
        <f t="shared" si="55"/>
        <v>6</v>
      </c>
      <c r="D892" s="1">
        <f t="shared" si="56"/>
        <v>9</v>
      </c>
      <c r="E892" s="1">
        <f t="shared" si="57"/>
        <v>2022</v>
      </c>
      <c r="F892" s="1">
        <v>891</v>
      </c>
      <c r="G892" s="1">
        <v>322</v>
      </c>
      <c r="H892" s="1">
        <v>306</v>
      </c>
      <c r="I892" s="2">
        <v>0.95030000000000003</v>
      </c>
      <c r="J892" s="1">
        <v>16</v>
      </c>
      <c r="K892" s="3">
        <v>1.8518518518518518E-4</v>
      </c>
      <c r="L892" s="3">
        <v>1.8402777777777777E-3</v>
      </c>
      <c r="M892" s="3">
        <v>4.363425925925926E-3</v>
      </c>
      <c r="N892" s="2">
        <v>0.77739999999999998</v>
      </c>
      <c r="O892" s="5">
        <f t="shared" si="48"/>
        <v>0.56312499999999999</v>
      </c>
      <c r="P892" s="5">
        <f t="shared" si="49"/>
        <v>33.787500000000001</v>
      </c>
      <c r="Q892" s="5">
        <f t="shared" si="50"/>
        <v>0.59256944444444437</v>
      </c>
      <c r="R892" s="5">
        <f t="shared" si="51"/>
        <v>35.55416666666666</v>
      </c>
    </row>
    <row r="893" spans="1:18">
      <c r="A893" s="4">
        <v>44722</v>
      </c>
      <c r="B893" s="1" t="s">
        <v>20</v>
      </c>
      <c r="C893" s="1">
        <f t="shared" si="55"/>
        <v>6</v>
      </c>
      <c r="D893" s="1">
        <f t="shared" si="56"/>
        <v>10</v>
      </c>
      <c r="E893" s="1">
        <f t="shared" si="57"/>
        <v>2022</v>
      </c>
      <c r="F893" s="1">
        <v>892</v>
      </c>
      <c r="G893" s="1">
        <v>296</v>
      </c>
      <c r="H893" s="1">
        <v>282</v>
      </c>
      <c r="I893" s="2">
        <v>0.95269999999999999</v>
      </c>
      <c r="J893" s="1">
        <v>14</v>
      </c>
      <c r="K893" s="3">
        <v>2.0833333333333335E-4</v>
      </c>
      <c r="L893" s="3">
        <v>1.8171296296296297E-3</v>
      </c>
      <c r="M893" s="3">
        <v>1.9097222222222222E-3</v>
      </c>
      <c r="N893" s="2">
        <v>0.76529999999999998</v>
      </c>
      <c r="O893" s="5">
        <f t="shared" si="48"/>
        <v>0.51243055555555561</v>
      </c>
      <c r="P893" s="5">
        <f t="shared" si="49"/>
        <v>30.745833333333337</v>
      </c>
      <c r="Q893" s="5">
        <f t="shared" si="50"/>
        <v>0.53787037037037044</v>
      </c>
      <c r="R893" s="5">
        <f t="shared" si="51"/>
        <v>32.272222222222226</v>
      </c>
    </row>
    <row r="894" spans="1:18">
      <c r="A894" s="4">
        <v>44723</v>
      </c>
      <c r="B894" s="1" t="s">
        <v>21</v>
      </c>
      <c r="C894" s="1">
        <f t="shared" si="55"/>
        <v>6</v>
      </c>
      <c r="D894" s="1">
        <f t="shared" si="56"/>
        <v>11</v>
      </c>
      <c r="E894" s="1">
        <f t="shared" si="57"/>
        <v>2022</v>
      </c>
      <c r="F894" s="1">
        <v>893</v>
      </c>
      <c r="G894" s="1">
        <v>264</v>
      </c>
      <c r="H894" s="1">
        <v>234</v>
      </c>
      <c r="I894" s="2">
        <v>0.88639999999999997</v>
      </c>
      <c r="J894" s="1">
        <v>30</v>
      </c>
      <c r="K894" s="3">
        <v>2.3148148148148149E-4</v>
      </c>
      <c r="L894" s="3">
        <v>1.7824074074074075E-3</v>
      </c>
      <c r="M894" s="3">
        <v>3.4027777777777776E-3</v>
      </c>
      <c r="N894" s="2">
        <v>0.69879999999999998</v>
      </c>
      <c r="O894" s="5">
        <f t="shared" si="48"/>
        <v>0.41708333333333336</v>
      </c>
      <c r="P894" s="5">
        <f t="shared" si="49"/>
        <v>25.025000000000002</v>
      </c>
      <c r="Q894" s="5">
        <f t="shared" si="50"/>
        <v>0.47055555555555556</v>
      </c>
      <c r="R894" s="5">
        <f t="shared" si="51"/>
        <v>28.233333333333334</v>
      </c>
    </row>
    <row r="895" spans="1:18">
      <c r="A895" s="4">
        <v>44724</v>
      </c>
      <c r="B895" s="1" t="s">
        <v>22</v>
      </c>
      <c r="C895" s="1">
        <f t="shared" si="55"/>
        <v>6</v>
      </c>
      <c r="D895" s="1">
        <f t="shared" si="56"/>
        <v>12</v>
      </c>
      <c r="E895" s="1">
        <f t="shared" si="57"/>
        <v>2022</v>
      </c>
      <c r="F895" s="1">
        <v>894</v>
      </c>
      <c r="G895" s="1">
        <v>52</v>
      </c>
      <c r="H895" s="1">
        <v>51</v>
      </c>
      <c r="I895" s="2">
        <v>0.98080000000000001</v>
      </c>
      <c r="J895" s="1">
        <v>1</v>
      </c>
      <c r="K895" s="3">
        <v>6.9444444444444444E-5</v>
      </c>
      <c r="L895" s="3">
        <v>1.8055555555555555E-3</v>
      </c>
      <c r="M895" s="3">
        <v>7.5231481481481482E-4</v>
      </c>
      <c r="N895" s="2">
        <v>0.94120000000000004</v>
      </c>
      <c r="O895" s="5">
        <f t="shared" si="48"/>
        <v>9.2083333333333323E-2</v>
      </c>
      <c r="P895" s="5">
        <f t="shared" si="49"/>
        <v>5.5249999999999995</v>
      </c>
      <c r="Q895" s="5">
        <f t="shared" si="50"/>
        <v>9.3888888888888883E-2</v>
      </c>
      <c r="R895" s="5">
        <f t="shared" si="51"/>
        <v>5.6333333333333329</v>
      </c>
    </row>
    <row r="896" spans="1:18">
      <c r="A896" s="4">
        <v>44725</v>
      </c>
      <c r="B896" s="1" t="s">
        <v>23</v>
      </c>
      <c r="C896" s="1">
        <f t="shared" si="55"/>
        <v>6</v>
      </c>
      <c r="D896" s="1">
        <f t="shared" si="56"/>
        <v>13</v>
      </c>
      <c r="E896" s="1">
        <f t="shared" si="57"/>
        <v>2022</v>
      </c>
      <c r="F896" s="1">
        <v>895</v>
      </c>
      <c r="G896" s="1">
        <v>266</v>
      </c>
      <c r="H896" s="1">
        <v>264</v>
      </c>
      <c r="I896" s="2">
        <v>0.99250000000000005</v>
      </c>
      <c r="J896" s="1">
        <v>2</v>
      </c>
      <c r="K896" s="3">
        <v>1.0416666666666667E-4</v>
      </c>
      <c r="L896" s="3">
        <v>1.8402777777777777E-3</v>
      </c>
      <c r="M896" s="3">
        <v>1.4004629629629629E-3</v>
      </c>
      <c r="N896" s="2">
        <v>0.90980000000000005</v>
      </c>
      <c r="O896" s="5">
        <f t="shared" si="48"/>
        <v>0.48583333333333334</v>
      </c>
      <c r="P896" s="5">
        <f t="shared" si="49"/>
        <v>29.15</v>
      </c>
      <c r="Q896" s="5">
        <f t="shared" si="50"/>
        <v>0.48951388888888886</v>
      </c>
      <c r="R896" s="5">
        <f t="shared" si="51"/>
        <v>29.37083333333333</v>
      </c>
    </row>
    <row r="897" spans="1:18">
      <c r="A897" s="4">
        <v>44726</v>
      </c>
      <c r="B897" s="1" t="s">
        <v>24</v>
      </c>
      <c r="C897" s="1">
        <f t="shared" si="55"/>
        <v>6</v>
      </c>
      <c r="D897" s="1">
        <f t="shared" si="56"/>
        <v>14</v>
      </c>
      <c r="E897" s="1">
        <f t="shared" si="57"/>
        <v>2022</v>
      </c>
      <c r="F897" s="1">
        <v>896</v>
      </c>
      <c r="G897" s="1">
        <v>242</v>
      </c>
      <c r="H897" s="1">
        <v>238</v>
      </c>
      <c r="I897" s="2">
        <v>0.98350000000000004</v>
      </c>
      <c r="J897" s="1">
        <v>4</v>
      </c>
      <c r="K897" s="3">
        <v>1.0416666666666667E-4</v>
      </c>
      <c r="L897" s="3">
        <v>1.9097222222222222E-3</v>
      </c>
      <c r="M897" s="3">
        <v>1.736111111111111E-3</v>
      </c>
      <c r="N897" s="2">
        <v>0.90459999999999996</v>
      </c>
      <c r="O897" s="5">
        <f t="shared" si="48"/>
        <v>0.45451388888888888</v>
      </c>
      <c r="P897" s="5">
        <f t="shared" si="49"/>
        <v>27.270833333333332</v>
      </c>
      <c r="Q897" s="5">
        <f t="shared" si="50"/>
        <v>0.46215277777777775</v>
      </c>
      <c r="R897" s="5">
        <f t="shared" si="51"/>
        <v>27.729166666666664</v>
      </c>
    </row>
    <row r="898" spans="1:18">
      <c r="A898" s="4">
        <v>44727</v>
      </c>
      <c r="B898" s="1" t="s">
        <v>18</v>
      </c>
      <c r="C898" s="1">
        <f t="shared" si="55"/>
        <v>6</v>
      </c>
      <c r="D898" s="1">
        <f t="shared" si="56"/>
        <v>15</v>
      </c>
      <c r="E898" s="1">
        <f t="shared" si="57"/>
        <v>2022</v>
      </c>
      <c r="F898" s="1">
        <v>897</v>
      </c>
      <c r="G898" s="1">
        <v>241</v>
      </c>
      <c r="H898" s="1">
        <v>228</v>
      </c>
      <c r="I898" s="2">
        <v>0.94610000000000005</v>
      </c>
      <c r="J898" s="1">
        <v>13</v>
      </c>
      <c r="K898" s="3">
        <v>2.199074074074074E-4</v>
      </c>
      <c r="L898" s="3">
        <v>1.9444444444444444E-3</v>
      </c>
      <c r="M898" s="3">
        <v>4.2592592592592595E-3</v>
      </c>
      <c r="N898" s="2">
        <v>0.79579999999999995</v>
      </c>
      <c r="O898" s="5">
        <f t="shared" si="48"/>
        <v>0.4433333333333333</v>
      </c>
      <c r="P898" s="5">
        <f t="shared" si="49"/>
        <v>26.599999999999998</v>
      </c>
      <c r="Q898" s="5">
        <f t="shared" si="50"/>
        <v>0.46861111111111109</v>
      </c>
      <c r="R898" s="5">
        <f t="shared" si="51"/>
        <v>28.116666666666667</v>
      </c>
    </row>
    <row r="899" spans="1:18">
      <c r="A899" s="4">
        <v>44728</v>
      </c>
      <c r="B899" s="1" t="s">
        <v>19</v>
      </c>
      <c r="C899" s="1">
        <f t="shared" ref="C899:C962" si="58">MONTH(A899)</f>
        <v>6</v>
      </c>
      <c r="D899" s="1">
        <f t="shared" ref="D899:D962" si="59">DAY(A899)</f>
        <v>16</v>
      </c>
      <c r="E899" s="1">
        <f t="shared" ref="E899:E962" si="60">YEAR(A899)</f>
        <v>2022</v>
      </c>
      <c r="F899" s="1">
        <v>898</v>
      </c>
      <c r="G899" s="1">
        <v>279</v>
      </c>
      <c r="H899" s="1">
        <v>269</v>
      </c>
      <c r="I899" s="2">
        <v>0.96419999999999995</v>
      </c>
      <c r="J899" s="1">
        <v>10</v>
      </c>
      <c r="K899" s="3">
        <v>9.2592592592592588E-5</v>
      </c>
      <c r="L899" s="3">
        <v>1.8865740740740742E-3</v>
      </c>
      <c r="M899" s="3">
        <v>2.1643518518518518E-3</v>
      </c>
      <c r="N899" s="2">
        <v>0.91300000000000003</v>
      </c>
      <c r="O899" s="5">
        <f t="shared" si="48"/>
        <v>0.50748842592592591</v>
      </c>
      <c r="P899" s="5">
        <f t="shared" si="49"/>
        <v>30.449305555555554</v>
      </c>
      <c r="Q899" s="5">
        <f t="shared" si="50"/>
        <v>0.52635416666666668</v>
      </c>
      <c r="R899" s="5">
        <f t="shared" si="51"/>
        <v>31.581250000000001</v>
      </c>
    </row>
    <row r="900" spans="1:18">
      <c r="A900" s="4">
        <v>44729</v>
      </c>
      <c r="B900" s="1" t="s">
        <v>20</v>
      </c>
      <c r="C900" s="1">
        <f t="shared" si="58"/>
        <v>6</v>
      </c>
      <c r="D900" s="1">
        <f t="shared" si="59"/>
        <v>17</v>
      </c>
      <c r="E900" s="1">
        <f t="shared" si="60"/>
        <v>2022</v>
      </c>
      <c r="F900" s="1">
        <v>899</v>
      </c>
      <c r="G900" s="1">
        <v>73</v>
      </c>
      <c r="H900" s="1">
        <v>72</v>
      </c>
      <c r="I900" s="2">
        <v>0.98629999999999995</v>
      </c>
      <c r="J900" s="1">
        <v>1</v>
      </c>
      <c r="K900" s="3">
        <v>9.2592592592592588E-5</v>
      </c>
      <c r="L900" s="3">
        <v>2.1296296296296298E-3</v>
      </c>
      <c r="M900" s="3">
        <v>1.5046296296296296E-3</v>
      </c>
      <c r="N900" s="2">
        <v>0.91779999999999995</v>
      </c>
      <c r="O900" s="5">
        <f t="shared" si="48"/>
        <v>0.15333333333333335</v>
      </c>
      <c r="P900" s="5">
        <f t="shared" si="49"/>
        <v>9.2000000000000011</v>
      </c>
      <c r="Q900" s="5">
        <f t="shared" si="50"/>
        <v>0.15546296296296297</v>
      </c>
      <c r="R900" s="5">
        <f t="shared" si="51"/>
        <v>9.3277777777777775</v>
      </c>
    </row>
    <row r="901" spans="1:18">
      <c r="A901" s="4">
        <v>44730</v>
      </c>
      <c r="B901" s="1" t="s">
        <v>21</v>
      </c>
      <c r="C901" s="1">
        <f t="shared" si="58"/>
        <v>6</v>
      </c>
      <c r="D901" s="1">
        <f t="shared" si="59"/>
        <v>18</v>
      </c>
      <c r="E901" s="1">
        <f t="shared" si="60"/>
        <v>2022</v>
      </c>
      <c r="F901" s="1">
        <v>900</v>
      </c>
      <c r="G901" s="1">
        <v>226</v>
      </c>
      <c r="H901" s="1">
        <v>218</v>
      </c>
      <c r="I901" s="2">
        <v>0.96460000000000001</v>
      </c>
      <c r="J901" s="1">
        <v>8</v>
      </c>
      <c r="K901" s="3">
        <v>9.2592592592592588E-5</v>
      </c>
      <c r="L901" s="3">
        <v>2.0138888888888888E-3</v>
      </c>
      <c r="M901" s="3">
        <v>1.9328703703703704E-3</v>
      </c>
      <c r="N901" s="2">
        <v>0.91859999999999997</v>
      </c>
      <c r="O901" s="5">
        <f t="shared" si="48"/>
        <v>0.43902777777777779</v>
      </c>
      <c r="P901" s="5">
        <f t="shared" si="49"/>
        <v>26.341666666666669</v>
      </c>
      <c r="Q901" s="5">
        <f t="shared" si="50"/>
        <v>0.45513888888888887</v>
      </c>
      <c r="R901" s="5">
        <f t="shared" si="51"/>
        <v>27.308333333333334</v>
      </c>
    </row>
    <row r="902" spans="1:18">
      <c r="A902" s="4">
        <v>44731</v>
      </c>
      <c r="B902" s="1" t="s">
        <v>22</v>
      </c>
      <c r="C902" s="1">
        <f t="shared" si="58"/>
        <v>6</v>
      </c>
      <c r="D902" s="1">
        <f t="shared" si="59"/>
        <v>19</v>
      </c>
      <c r="E902" s="1">
        <f t="shared" si="60"/>
        <v>2022</v>
      </c>
      <c r="F902" s="1">
        <v>901</v>
      </c>
      <c r="G902" s="1">
        <v>43</v>
      </c>
      <c r="H902" s="1">
        <v>42</v>
      </c>
      <c r="I902" s="2">
        <v>0.97670000000000001</v>
      </c>
      <c r="J902" s="1">
        <v>1</v>
      </c>
      <c r="K902" s="3">
        <v>1.273148148148148E-4</v>
      </c>
      <c r="L902" s="3">
        <v>1.8287037037037037E-3</v>
      </c>
      <c r="M902" s="3">
        <v>8.9120370370370373E-4</v>
      </c>
      <c r="N902" s="2">
        <v>0.83720000000000006</v>
      </c>
      <c r="O902" s="5">
        <f t="shared" si="48"/>
        <v>7.6805555555555557E-2</v>
      </c>
      <c r="P902" s="5">
        <f t="shared" si="49"/>
        <v>4.6083333333333334</v>
      </c>
      <c r="Q902" s="5">
        <f t="shared" si="50"/>
        <v>7.8634259259259265E-2</v>
      </c>
      <c r="R902" s="5">
        <f t="shared" si="51"/>
        <v>4.7180555555555559</v>
      </c>
    </row>
    <row r="903" spans="1:18">
      <c r="A903" s="4">
        <v>44732</v>
      </c>
      <c r="B903" s="1" t="s">
        <v>23</v>
      </c>
      <c r="C903" s="1">
        <f t="shared" si="58"/>
        <v>6</v>
      </c>
      <c r="D903" s="1">
        <f t="shared" si="59"/>
        <v>20</v>
      </c>
      <c r="E903" s="1">
        <f t="shared" si="60"/>
        <v>2022</v>
      </c>
      <c r="F903" s="1">
        <v>902</v>
      </c>
      <c r="G903" s="1">
        <v>311</v>
      </c>
      <c r="H903" s="1">
        <v>255</v>
      </c>
      <c r="I903" s="2">
        <v>0.81989999999999996</v>
      </c>
      <c r="J903" s="1">
        <v>56</v>
      </c>
      <c r="K903" s="3">
        <v>5.2083333333333333E-4</v>
      </c>
      <c r="L903" s="3">
        <v>2.0254629629629629E-3</v>
      </c>
      <c r="M903" s="3">
        <v>3.3564814814814816E-3</v>
      </c>
      <c r="N903" s="2">
        <v>0.4718</v>
      </c>
      <c r="O903" s="5">
        <f t="shared" si="48"/>
        <v>0.51649305555555558</v>
      </c>
      <c r="P903" s="5">
        <f t="shared" si="49"/>
        <v>30.989583333333336</v>
      </c>
      <c r="Q903" s="5">
        <f t="shared" si="50"/>
        <v>0.6299189814814814</v>
      </c>
      <c r="R903" s="5">
        <f t="shared" si="51"/>
        <v>37.795138888888886</v>
      </c>
    </row>
    <row r="904" spans="1:18">
      <c r="A904" s="4">
        <v>44733</v>
      </c>
      <c r="B904" s="1" t="s">
        <v>24</v>
      </c>
      <c r="C904" s="1">
        <f t="shared" si="58"/>
        <v>6</v>
      </c>
      <c r="D904" s="1">
        <f t="shared" si="59"/>
        <v>21</v>
      </c>
      <c r="E904" s="1">
        <f t="shared" si="60"/>
        <v>2022</v>
      </c>
      <c r="F904" s="1">
        <v>903</v>
      </c>
      <c r="G904" s="1">
        <v>251</v>
      </c>
      <c r="H904" s="1">
        <v>210</v>
      </c>
      <c r="I904" s="2">
        <v>0.8367</v>
      </c>
      <c r="J904" s="1">
        <v>41</v>
      </c>
      <c r="K904" s="3">
        <v>3.0092592592592595E-4</v>
      </c>
      <c r="L904" s="3">
        <v>2.0138888888888888E-3</v>
      </c>
      <c r="M904" s="3">
        <v>6.4583333333333333E-3</v>
      </c>
      <c r="N904" s="2">
        <v>0.63519999999999999</v>
      </c>
      <c r="O904" s="5">
        <f t="shared" si="48"/>
        <v>0.42291666666666666</v>
      </c>
      <c r="P904" s="5">
        <f t="shared" si="49"/>
        <v>25.375</v>
      </c>
      <c r="Q904" s="5">
        <f t="shared" si="50"/>
        <v>0.50548611111111108</v>
      </c>
      <c r="R904" s="5">
        <f t="shared" si="51"/>
        <v>30.329166666666666</v>
      </c>
    </row>
    <row r="905" spans="1:18">
      <c r="A905" s="4">
        <v>44734</v>
      </c>
      <c r="B905" s="1" t="s">
        <v>18</v>
      </c>
      <c r="C905" s="1">
        <f t="shared" si="58"/>
        <v>6</v>
      </c>
      <c r="D905" s="1">
        <f t="shared" si="59"/>
        <v>22</v>
      </c>
      <c r="E905" s="1">
        <f t="shared" si="60"/>
        <v>2022</v>
      </c>
      <c r="F905" s="1">
        <v>904</v>
      </c>
      <c r="G905" s="1">
        <v>339</v>
      </c>
      <c r="H905" s="1">
        <v>313</v>
      </c>
      <c r="I905" s="2">
        <v>0.92330000000000001</v>
      </c>
      <c r="J905" s="1">
        <v>26</v>
      </c>
      <c r="K905" s="3">
        <v>1.3888888888888889E-4</v>
      </c>
      <c r="L905" s="3">
        <v>1.4120370370370369E-3</v>
      </c>
      <c r="M905" s="3">
        <v>4.6412037037037038E-3</v>
      </c>
      <c r="N905" s="2">
        <v>0.82089999999999996</v>
      </c>
      <c r="O905" s="5">
        <f t="shared" si="48"/>
        <v>0.44196759259259255</v>
      </c>
      <c r="P905" s="5">
        <f t="shared" si="49"/>
        <v>26.518055555555552</v>
      </c>
      <c r="Q905" s="5">
        <f t="shared" si="50"/>
        <v>0.47868055555555555</v>
      </c>
      <c r="R905" s="5">
        <f t="shared" si="51"/>
        <v>28.720833333333331</v>
      </c>
    </row>
    <row r="906" spans="1:18">
      <c r="A906" s="4">
        <v>44735</v>
      </c>
      <c r="B906" s="1" t="s">
        <v>19</v>
      </c>
      <c r="C906" s="1">
        <f t="shared" si="58"/>
        <v>6</v>
      </c>
      <c r="D906" s="1">
        <f t="shared" si="59"/>
        <v>23</v>
      </c>
      <c r="E906" s="1">
        <f t="shared" si="60"/>
        <v>2022</v>
      </c>
      <c r="F906" s="1">
        <v>905</v>
      </c>
      <c r="G906" s="1">
        <v>323</v>
      </c>
      <c r="H906" s="1">
        <v>261</v>
      </c>
      <c r="I906" s="2">
        <v>0.80800000000000005</v>
      </c>
      <c r="J906" s="1">
        <v>62</v>
      </c>
      <c r="K906" s="3">
        <v>4.7453703703703704E-4</v>
      </c>
      <c r="L906" s="3">
        <v>2.0486111111111113E-3</v>
      </c>
      <c r="M906" s="3">
        <v>6.5624999999999998E-3</v>
      </c>
      <c r="N906" s="2">
        <v>0.53990000000000005</v>
      </c>
      <c r="O906" s="5">
        <f t="shared" si="48"/>
        <v>0.53468750000000009</v>
      </c>
      <c r="P906" s="5">
        <f t="shared" si="49"/>
        <v>32.081250000000004</v>
      </c>
      <c r="Q906" s="5">
        <f t="shared" si="50"/>
        <v>0.66170138888888896</v>
      </c>
      <c r="R906" s="5">
        <f t="shared" si="51"/>
        <v>39.702083333333334</v>
      </c>
    </row>
    <row r="907" spans="1:18">
      <c r="A907" s="4">
        <v>44736</v>
      </c>
      <c r="B907" s="1" t="s">
        <v>20</v>
      </c>
      <c r="C907" s="1">
        <f t="shared" si="58"/>
        <v>6</v>
      </c>
      <c r="D907" s="1">
        <f t="shared" si="59"/>
        <v>24</v>
      </c>
      <c r="E907" s="1">
        <f t="shared" si="60"/>
        <v>2022</v>
      </c>
      <c r="F907" s="1">
        <v>906</v>
      </c>
      <c r="G907" s="1">
        <v>289</v>
      </c>
      <c r="H907" s="1">
        <v>265</v>
      </c>
      <c r="I907" s="2">
        <v>0.91700000000000004</v>
      </c>
      <c r="J907" s="1">
        <v>24</v>
      </c>
      <c r="K907" s="3">
        <v>1.273148148148148E-4</v>
      </c>
      <c r="L907" s="3">
        <v>2.0833333333333333E-3</v>
      </c>
      <c r="M907" s="3">
        <v>3.9583333333333337E-3</v>
      </c>
      <c r="N907" s="2">
        <v>0.8327</v>
      </c>
      <c r="O907" s="5">
        <f t="shared" si="48"/>
        <v>0.55208333333333337</v>
      </c>
      <c r="P907" s="5">
        <f t="shared" si="49"/>
        <v>33.125</v>
      </c>
      <c r="Q907" s="5">
        <f t="shared" si="50"/>
        <v>0.6020833333333333</v>
      </c>
      <c r="R907" s="5">
        <f t="shared" si="51"/>
        <v>36.125</v>
      </c>
    </row>
    <row r="908" spans="1:18">
      <c r="A908" s="4">
        <v>44737</v>
      </c>
      <c r="B908" s="1" t="s">
        <v>21</v>
      </c>
      <c r="C908" s="1">
        <f t="shared" si="58"/>
        <v>6</v>
      </c>
      <c r="D908" s="1">
        <f t="shared" si="59"/>
        <v>25</v>
      </c>
      <c r="E908" s="1">
        <f t="shared" si="60"/>
        <v>2022</v>
      </c>
      <c r="F908" s="1">
        <v>907</v>
      </c>
      <c r="G908" s="1">
        <v>310</v>
      </c>
      <c r="H908" s="1">
        <v>281</v>
      </c>
      <c r="I908" s="2">
        <v>0.90649999999999997</v>
      </c>
      <c r="J908" s="1">
        <v>29</v>
      </c>
      <c r="K908" s="3">
        <v>1.7361111111111112E-4</v>
      </c>
      <c r="L908" s="3">
        <v>1.8634259259259259E-3</v>
      </c>
      <c r="M908" s="3">
        <v>2.0486111111111113E-3</v>
      </c>
      <c r="N908" s="2">
        <v>0.79120000000000001</v>
      </c>
      <c r="O908" s="5">
        <f t="shared" si="48"/>
        <v>0.52362268518518518</v>
      </c>
      <c r="P908" s="5">
        <f t="shared" si="49"/>
        <v>31.417361111111109</v>
      </c>
      <c r="Q908" s="5">
        <f t="shared" si="50"/>
        <v>0.577662037037037</v>
      </c>
      <c r="R908" s="5">
        <f t="shared" si="51"/>
        <v>34.659722222222221</v>
      </c>
    </row>
    <row r="909" spans="1:18">
      <c r="A909" s="4">
        <v>44738</v>
      </c>
      <c r="B909" s="1" t="s">
        <v>22</v>
      </c>
      <c r="C909" s="1">
        <f t="shared" si="58"/>
        <v>6</v>
      </c>
      <c r="D909" s="1">
        <f t="shared" si="59"/>
        <v>26</v>
      </c>
      <c r="E909" s="1">
        <f t="shared" si="60"/>
        <v>2022</v>
      </c>
      <c r="F909" s="1">
        <v>908</v>
      </c>
      <c r="G909" s="1">
        <v>33</v>
      </c>
      <c r="H909" s="1">
        <v>31</v>
      </c>
      <c r="I909" s="2">
        <v>0.93940000000000001</v>
      </c>
      <c r="J909" s="1">
        <v>2</v>
      </c>
      <c r="K909" s="3">
        <v>1.6203703703703703E-4</v>
      </c>
      <c r="L909" s="3">
        <v>2.0023148148148148E-3</v>
      </c>
      <c r="M909" s="3">
        <v>1.4699074074074074E-3</v>
      </c>
      <c r="N909" s="2">
        <v>0.84850000000000003</v>
      </c>
      <c r="O909" s="5">
        <f t="shared" si="48"/>
        <v>6.2071759259259257E-2</v>
      </c>
      <c r="P909" s="5">
        <f t="shared" si="49"/>
        <v>3.7243055555555555</v>
      </c>
      <c r="Q909" s="5">
        <f t="shared" si="50"/>
        <v>6.6076388888888893E-2</v>
      </c>
      <c r="R909" s="5">
        <f t="shared" si="51"/>
        <v>3.9645833333333336</v>
      </c>
    </row>
    <row r="910" spans="1:18">
      <c r="A910" s="4">
        <v>44739</v>
      </c>
      <c r="B910" s="1" t="s">
        <v>23</v>
      </c>
      <c r="C910" s="1">
        <f t="shared" si="58"/>
        <v>6</v>
      </c>
      <c r="D910" s="1">
        <f t="shared" si="59"/>
        <v>27</v>
      </c>
      <c r="E910" s="1">
        <f t="shared" si="60"/>
        <v>2022</v>
      </c>
      <c r="F910" s="1">
        <v>909</v>
      </c>
      <c r="G910" s="1">
        <v>346</v>
      </c>
      <c r="H910" s="1">
        <v>318</v>
      </c>
      <c r="I910" s="2">
        <v>0.91910000000000003</v>
      </c>
      <c r="J910" s="1">
        <v>28</v>
      </c>
      <c r="K910" s="3">
        <v>1.3888888888888889E-4</v>
      </c>
      <c r="L910" s="3">
        <v>1.8055555555555555E-3</v>
      </c>
      <c r="M910" s="3">
        <v>2.4537037037037036E-3</v>
      </c>
      <c r="N910" s="2">
        <v>0.82489999999999997</v>
      </c>
      <c r="O910" s="5">
        <f t="shared" si="48"/>
        <v>0.5741666666666666</v>
      </c>
      <c r="P910" s="5">
        <f t="shared" si="49"/>
        <v>34.449999999999996</v>
      </c>
      <c r="Q910" s="5">
        <f t="shared" si="50"/>
        <v>0.62472222222222218</v>
      </c>
      <c r="R910" s="5">
        <f t="shared" si="51"/>
        <v>37.483333333333334</v>
      </c>
    </row>
    <row r="911" spans="1:18">
      <c r="A911" s="4">
        <v>44740</v>
      </c>
      <c r="B911" s="1" t="s">
        <v>24</v>
      </c>
      <c r="C911" s="1">
        <f t="shared" si="58"/>
        <v>6</v>
      </c>
      <c r="D911" s="1">
        <f t="shared" si="59"/>
        <v>28</v>
      </c>
      <c r="E911" s="1">
        <f t="shared" si="60"/>
        <v>2022</v>
      </c>
      <c r="F911" s="1">
        <v>910</v>
      </c>
      <c r="G911" s="1">
        <v>325</v>
      </c>
      <c r="H911" s="1">
        <v>285</v>
      </c>
      <c r="I911" s="2">
        <v>0.87690000000000001</v>
      </c>
      <c r="J911" s="1">
        <v>40</v>
      </c>
      <c r="K911" s="3">
        <v>3.7037037037037035E-4</v>
      </c>
      <c r="L911" s="3">
        <v>1.9097222222222222E-3</v>
      </c>
      <c r="M911" s="3">
        <v>6.7013888888888887E-3</v>
      </c>
      <c r="N911" s="2">
        <v>0.60819999999999996</v>
      </c>
      <c r="O911" s="5">
        <f t="shared" si="48"/>
        <v>0.54427083333333337</v>
      </c>
      <c r="P911" s="5">
        <f t="shared" si="49"/>
        <v>32.65625</v>
      </c>
      <c r="Q911" s="5">
        <f t="shared" si="50"/>
        <v>0.62065972222222221</v>
      </c>
      <c r="R911" s="5">
        <f t="shared" si="51"/>
        <v>37.239583333333336</v>
      </c>
    </row>
    <row r="912" spans="1:18">
      <c r="A912" s="4">
        <v>44741</v>
      </c>
      <c r="B912" s="1" t="s">
        <v>18</v>
      </c>
      <c r="C912" s="1">
        <f t="shared" si="58"/>
        <v>6</v>
      </c>
      <c r="D912" s="1">
        <f t="shared" si="59"/>
        <v>29</v>
      </c>
      <c r="E912" s="1">
        <f t="shared" si="60"/>
        <v>2022</v>
      </c>
      <c r="F912" s="1">
        <v>911</v>
      </c>
      <c r="G912" s="1">
        <v>627</v>
      </c>
      <c r="H912" s="1">
        <v>504</v>
      </c>
      <c r="I912" s="2">
        <v>0.80379999999999996</v>
      </c>
      <c r="J912" s="1">
        <v>123</v>
      </c>
      <c r="K912" s="3">
        <v>4.2824074074074075E-4</v>
      </c>
      <c r="L912" s="3">
        <v>2.3148148148148147E-3</v>
      </c>
      <c r="M912" s="3">
        <v>1.3680555555555555E-2</v>
      </c>
      <c r="N912" s="2">
        <v>0.56930000000000003</v>
      </c>
      <c r="O912" s="5">
        <f t="shared" si="48"/>
        <v>1.1666666666666665</v>
      </c>
      <c r="P912" s="5">
        <f t="shared" si="49"/>
        <v>69.999999999999986</v>
      </c>
      <c r="Q912" s="5">
        <f t="shared" si="50"/>
        <v>1.4513888888888888</v>
      </c>
      <c r="R912" s="5">
        <f t="shared" si="51"/>
        <v>87.083333333333329</v>
      </c>
    </row>
    <row r="913" spans="1:18">
      <c r="A913" s="4">
        <v>44742</v>
      </c>
      <c r="B913" s="1" t="s">
        <v>19</v>
      </c>
      <c r="C913" s="1">
        <f t="shared" si="58"/>
        <v>6</v>
      </c>
      <c r="D913" s="1">
        <f t="shared" si="59"/>
        <v>30</v>
      </c>
      <c r="E913" s="1">
        <f t="shared" si="60"/>
        <v>2022</v>
      </c>
      <c r="F913" s="1">
        <v>912</v>
      </c>
      <c r="G913" s="1">
        <v>905</v>
      </c>
      <c r="H913" s="1">
        <v>631</v>
      </c>
      <c r="I913" s="2">
        <v>0.69720000000000004</v>
      </c>
      <c r="J913" s="1">
        <v>274</v>
      </c>
      <c r="K913" s="3">
        <v>9.6064814814814819E-4</v>
      </c>
      <c r="L913" s="3">
        <v>2.5694444444444445E-3</v>
      </c>
      <c r="M913" s="3">
        <v>8.3796296296296292E-3</v>
      </c>
      <c r="N913" s="2">
        <v>0.25679999999999997</v>
      </c>
      <c r="O913" s="5">
        <f t="shared" si="48"/>
        <v>1.6213194444444445</v>
      </c>
      <c r="P913" s="5">
        <f t="shared" si="49"/>
        <v>97.279166666666669</v>
      </c>
      <c r="Q913" s="5">
        <f t="shared" si="50"/>
        <v>2.3253472222222222</v>
      </c>
      <c r="R913" s="5">
        <f t="shared" si="51"/>
        <v>139.52083333333334</v>
      </c>
    </row>
    <row r="914" spans="1:18">
      <c r="A914" s="4">
        <v>44743</v>
      </c>
      <c r="B914" s="1" t="s">
        <v>20</v>
      </c>
      <c r="C914" s="1">
        <f t="shared" si="58"/>
        <v>7</v>
      </c>
      <c r="D914" s="1">
        <f t="shared" si="59"/>
        <v>1</v>
      </c>
      <c r="E914" s="1">
        <f t="shared" si="60"/>
        <v>2022</v>
      </c>
      <c r="F914" s="1">
        <v>913</v>
      </c>
      <c r="G914" s="1">
        <v>1141</v>
      </c>
      <c r="H914" s="1">
        <v>610</v>
      </c>
      <c r="I914" s="2">
        <v>0.53459999999999996</v>
      </c>
      <c r="J914" s="1">
        <v>531</v>
      </c>
      <c r="K914" s="3">
        <v>1.2268518518518518E-3</v>
      </c>
      <c r="L914" s="3">
        <v>2.2222222222222222E-3</v>
      </c>
      <c r="M914" s="3">
        <v>1.7951388888888888E-2</v>
      </c>
      <c r="N914" s="2">
        <v>0.14549999999999999</v>
      </c>
      <c r="O914" s="5">
        <f t="shared" si="48"/>
        <v>1.3555555555555556</v>
      </c>
      <c r="P914" s="5">
        <f t="shared" si="49"/>
        <v>81.333333333333343</v>
      </c>
      <c r="Q914" s="5">
        <f t="shared" si="50"/>
        <v>2.5355555555555553</v>
      </c>
      <c r="R914" s="5">
        <f t="shared" si="51"/>
        <v>152.13333333333333</v>
      </c>
    </row>
    <row r="915" spans="1:18">
      <c r="A915" s="4">
        <v>44744</v>
      </c>
      <c r="B915" s="1" t="s">
        <v>21</v>
      </c>
      <c r="C915" s="1">
        <f t="shared" si="58"/>
        <v>7</v>
      </c>
      <c r="D915" s="1">
        <f t="shared" si="59"/>
        <v>2</v>
      </c>
      <c r="E915" s="1">
        <f t="shared" si="60"/>
        <v>2022</v>
      </c>
      <c r="F915" s="1">
        <v>914</v>
      </c>
      <c r="G915" s="1">
        <v>863</v>
      </c>
      <c r="H915" s="1">
        <v>511</v>
      </c>
      <c r="I915" s="2">
        <v>0.59209999999999996</v>
      </c>
      <c r="J915" s="1">
        <v>352</v>
      </c>
      <c r="K915" s="3">
        <v>1.4699074074074074E-3</v>
      </c>
      <c r="L915" s="3">
        <v>2.1180555555555558E-3</v>
      </c>
      <c r="M915" s="3">
        <v>1.0914351851851852E-2</v>
      </c>
      <c r="N915" s="2">
        <v>0.12130000000000001</v>
      </c>
      <c r="O915" s="5">
        <f t="shared" si="48"/>
        <v>1.082326388888889</v>
      </c>
      <c r="P915" s="5">
        <f t="shared" si="49"/>
        <v>64.939583333333346</v>
      </c>
      <c r="Q915" s="5">
        <f t="shared" si="50"/>
        <v>1.8278819444444445</v>
      </c>
      <c r="R915" s="5">
        <f t="shared" si="51"/>
        <v>109.67291666666667</v>
      </c>
    </row>
    <row r="916" spans="1:18">
      <c r="A916" s="4">
        <v>44745</v>
      </c>
      <c r="B916" s="1" t="s">
        <v>22</v>
      </c>
      <c r="C916" s="1">
        <f t="shared" si="58"/>
        <v>7</v>
      </c>
      <c r="D916" s="1">
        <f t="shared" si="59"/>
        <v>3</v>
      </c>
      <c r="E916" s="1">
        <f t="shared" si="60"/>
        <v>2022</v>
      </c>
      <c r="F916" s="1">
        <v>915</v>
      </c>
      <c r="G916" s="1">
        <v>63</v>
      </c>
      <c r="H916" s="1">
        <v>56</v>
      </c>
      <c r="I916" s="2">
        <v>0.88890000000000002</v>
      </c>
      <c r="J916" s="1">
        <v>7</v>
      </c>
      <c r="K916" s="3">
        <v>1.8518518518518518E-4</v>
      </c>
      <c r="L916" s="3">
        <v>1.7476851851851852E-3</v>
      </c>
      <c r="M916" s="3">
        <v>2.8703703703703703E-3</v>
      </c>
      <c r="N916" s="2">
        <v>0.7097</v>
      </c>
      <c r="O916" s="5">
        <f t="shared" si="48"/>
        <v>9.7870370370370371E-2</v>
      </c>
      <c r="P916" s="5">
        <f t="shared" si="49"/>
        <v>5.8722222222222227</v>
      </c>
      <c r="Q916" s="5">
        <f t="shared" si="50"/>
        <v>0.11010416666666667</v>
      </c>
      <c r="R916" s="5">
        <f t="shared" si="51"/>
        <v>6.6062500000000002</v>
      </c>
    </row>
    <row r="917" spans="1:18">
      <c r="A917" s="4">
        <v>44746</v>
      </c>
      <c r="B917" s="1" t="s">
        <v>23</v>
      </c>
      <c r="C917" s="1">
        <f t="shared" si="58"/>
        <v>7</v>
      </c>
      <c r="D917" s="1">
        <f t="shared" si="59"/>
        <v>4</v>
      </c>
      <c r="E917" s="1">
        <f t="shared" si="60"/>
        <v>2022</v>
      </c>
      <c r="F917" s="1">
        <v>916</v>
      </c>
      <c r="G917" s="1">
        <v>573</v>
      </c>
      <c r="H917" s="1">
        <v>487</v>
      </c>
      <c r="I917" s="2">
        <v>0.84989999999999999</v>
      </c>
      <c r="J917" s="1">
        <v>86</v>
      </c>
      <c r="K917" s="3">
        <v>6.4814814814814813E-4</v>
      </c>
      <c r="L917" s="3">
        <v>1.9097222222222222E-3</v>
      </c>
      <c r="M917" s="3">
        <v>3.9699074074074072E-3</v>
      </c>
      <c r="N917" s="2">
        <v>0.34989999999999999</v>
      </c>
      <c r="O917" s="5">
        <f t="shared" si="48"/>
        <v>0.93003472222222217</v>
      </c>
      <c r="P917" s="5">
        <f t="shared" si="49"/>
        <v>55.802083333333329</v>
      </c>
      <c r="Q917" s="5">
        <f t="shared" si="50"/>
        <v>1.0942708333333333</v>
      </c>
      <c r="R917" s="5">
        <f t="shared" si="51"/>
        <v>65.65625</v>
      </c>
    </row>
    <row r="918" spans="1:18">
      <c r="A918" s="4">
        <v>44747</v>
      </c>
      <c r="B918" s="1" t="s">
        <v>24</v>
      </c>
      <c r="C918" s="1">
        <f t="shared" si="58"/>
        <v>7</v>
      </c>
      <c r="D918" s="1">
        <f t="shared" si="59"/>
        <v>5</v>
      </c>
      <c r="E918" s="1">
        <f t="shared" si="60"/>
        <v>2022</v>
      </c>
      <c r="F918" s="1">
        <v>917</v>
      </c>
      <c r="G918" s="1">
        <v>391</v>
      </c>
      <c r="H918" s="1">
        <v>323</v>
      </c>
      <c r="I918" s="2">
        <v>0.82609999999999995</v>
      </c>
      <c r="J918" s="1">
        <v>68</v>
      </c>
      <c r="K918" s="3">
        <v>5.3240740740740744E-4</v>
      </c>
      <c r="L918" s="3">
        <v>2.1759259259259258E-3</v>
      </c>
      <c r="M918" s="3">
        <v>5.7407407407407407E-3</v>
      </c>
      <c r="N918" s="2">
        <v>0.42709999999999998</v>
      </c>
      <c r="O918" s="5">
        <f t="shared" si="48"/>
        <v>0.70282407407407399</v>
      </c>
      <c r="P918" s="5">
        <f t="shared" si="49"/>
        <v>42.169444444444437</v>
      </c>
      <c r="Q918" s="5">
        <f t="shared" si="50"/>
        <v>0.85078703703703695</v>
      </c>
      <c r="R918" s="5">
        <f t="shared" si="51"/>
        <v>51.047222222222217</v>
      </c>
    </row>
    <row r="919" spans="1:18">
      <c r="A919" s="4">
        <v>44748</v>
      </c>
      <c r="B919" s="1" t="s">
        <v>18</v>
      </c>
      <c r="C919" s="1">
        <f t="shared" si="58"/>
        <v>7</v>
      </c>
      <c r="D919" s="1">
        <f t="shared" si="59"/>
        <v>6</v>
      </c>
      <c r="E919" s="1">
        <f t="shared" si="60"/>
        <v>2022</v>
      </c>
      <c r="F919" s="1">
        <v>918</v>
      </c>
      <c r="G919" s="1">
        <v>526</v>
      </c>
      <c r="H919" s="1">
        <v>355</v>
      </c>
      <c r="I919" s="2">
        <v>0.67490000000000006</v>
      </c>
      <c r="J919" s="1">
        <v>171</v>
      </c>
      <c r="K919" s="3">
        <v>1.0300925925925926E-3</v>
      </c>
      <c r="L919" s="3">
        <v>2.662037037037037E-3</v>
      </c>
      <c r="M919" s="3">
        <v>1.3043981481481481E-2</v>
      </c>
      <c r="N919" s="2">
        <v>0.224</v>
      </c>
      <c r="O919" s="5">
        <f t="shared" si="48"/>
        <v>0.94502314814814814</v>
      </c>
      <c r="P919" s="5">
        <f t="shared" si="49"/>
        <v>56.701388888888886</v>
      </c>
      <c r="Q919" s="5">
        <f t="shared" si="50"/>
        <v>1.4002314814814814</v>
      </c>
      <c r="R919" s="5">
        <f t="shared" si="51"/>
        <v>84.013888888888886</v>
      </c>
    </row>
    <row r="920" spans="1:18">
      <c r="A920" s="4">
        <v>44749</v>
      </c>
      <c r="B920" s="1" t="s">
        <v>19</v>
      </c>
      <c r="C920" s="1">
        <f t="shared" si="58"/>
        <v>7</v>
      </c>
      <c r="D920" s="1">
        <f t="shared" si="59"/>
        <v>7</v>
      </c>
      <c r="E920" s="1">
        <f t="shared" si="60"/>
        <v>2022</v>
      </c>
      <c r="F920" s="1">
        <v>919</v>
      </c>
      <c r="G920" s="1">
        <v>343</v>
      </c>
      <c r="H920" s="1">
        <v>309</v>
      </c>
      <c r="I920" s="2">
        <v>0.90090000000000003</v>
      </c>
      <c r="J920" s="1">
        <v>34</v>
      </c>
      <c r="K920" s="3">
        <v>4.5138888888888887E-4</v>
      </c>
      <c r="L920" s="3">
        <v>2.3611111111111111E-3</v>
      </c>
      <c r="M920" s="3">
        <v>3.5879629629629629E-3</v>
      </c>
      <c r="N920" s="2">
        <v>0.48820000000000002</v>
      </c>
      <c r="O920" s="5">
        <f t="shared" si="48"/>
        <v>0.72958333333333336</v>
      </c>
      <c r="P920" s="5">
        <f t="shared" si="49"/>
        <v>43.774999999999999</v>
      </c>
      <c r="Q920" s="5">
        <f t="shared" si="50"/>
        <v>0.80986111111111114</v>
      </c>
      <c r="R920" s="5">
        <f t="shared" si="51"/>
        <v>48.591666666666669</v>
      </c>
    </row>
    <row r="921" spans="1:18">
      <c r="A921" s="4">
        <v>44750</v>
      </c>
      <c r="B921" s="1" t="s">
        <v>20</v>
      </c>
      <c r="C921" s="1">
        <f t="shared" si="58"/>
        <v>7</v>
      </c>
      <c r="D921" s="1">
        <f t="shared" si="59"/>
        <v>8</v>
      </c>
      <c r="E921" s="1">
        <f t="shared" si="60"/>
        <v>2022</v>
      </c>
      <c r="F921" s="1">
        <v>920</v>
      </c>
      <c r="G921" s="1">
        <v>401</v>
      </c>
      <c r="H921" s="1">
        <v>346</v>
      </c>
      <c r="I921" s="2">
        <v>0.86280000000000001</v>
      </c>
      <c r="J921" s="1">
        <v>55</v>
      </c>
      <c r="K921" s="3">
        <v>4.7453703703703704E-4</v>
      </c>
      <c r="L921" s="3">
        <v>2.2337962962962962E-3</v>
      </c>
      <c r="M921" s="3">
        <v>3.5879629629629629E-3</v>
      </c>
      <c r="N921" s="2">
        <v>0.44269999999999998</v>
      </c>
      <c r="O921" s="5">
        <f t="shared" si="48"/>
        <v>0.77289351851851851</v>
      </c>
      <c r="P921" s="5">
        <f t="shared" si="49"/>
        <v>46.37361111111111</v>
      </c>
      <c r="Q921" s="5">
        <f t="shared" si="50"/>
        <v>0.89575231481481477</v>
      </c>
      <c r="R921" s="5">
        <f t="shared" si="51"/>
        <v>53.745138888888889</v>
      </c>
    </row>
    <row r="922" spans="1:18">
      <c r="A922" s="4">
        <v>44751</v>
      </c>
      <c r="B922" s="1" t="s">
        <v>21</v>
      </c>
      <c r="C922" s="1">
        <f t="shared" si="58"/>
        <v>7</v>
      </c>
      <c r="D922" s="1">
        <f t="shared" si="59"/>
        <v>9</v>
      </c>
      <c r="E922" s="1">
        <f t="shared" si="60"/>
        <v>2022</v>
      </c>
      <c r="F922" s="1">
        <v>921</v>
      </c>
      <c r="G922" s="1">
        <v>281</v>
      </c>
      <c r="H922" s="1">
        <v>239</v>
      </c>
      <c r="I922" s="2">
        <v>0.85050000000000003</v>
      </c>
      <c r="J922" s="1">
        <v>42</v>
      </c>
      <c r="K922" s="3">
        <v>4.7453703703703704E-4</v>
      </c>
      <c r="L922" s="3">
        <v>2.1643518518518518E-3</v>
      </c>
      <c r="M922" s="3">
        <v>2.3148148148148147E-3</v>
      </c>
      <c r="N922" s="2">
        <v>0.42549999999999999</v>
      </c>
      <c r="O922" s="5">
        <f t="shared" si="48"/>
        <v>0.51728009259259256</v>
      </c>
      <c r="P922" s="5">
        <f t="shared" si="49"/>
        <v>31.036805555555553</v>
      </c>
      <c r="Q922" s="5">
        <f t="shared" si="50"/>
        <v>0.60818287037037033</v>
      </c>
      <c r="R922" s="5">
        <f t="shared" si="51"/>
        <v>36.490972222222219</v>
      </c>
    </row>
    <row r="923" spans="1:18">
      <c r="A923" s="4">
        <v>44752</v>
      </c>
      <c r="B923" s="1" t="s">
        <v>22</v>
      </c>
      <c r="C923" s="1">
        <f t="shared" si="58"/>
        <v>7</v>
      </c>
      <c r="D923" s="1">
        <f t="shared" si="59"/>
        <v>10</v>
      </c>
      <c r="E923" s="1">
        <f t="shared" si="60"/>
        <v>2022</v>
      </c>
      <c r="F923" s="1">
        <v>922</v>
      </c>
      <c r="G923" s="1">
        <v>46</v>
      </c>
      <c r="H923" s="1">
        <v>39</v>
      </c>
      <c r="I923" s="2">
        <v>0.8478</v>
      </c>
      <c r="J923" s="1">
        <v>7</v>
      </c>
      <c r="K923" s="3">
        <v>1.273148148148148E-4</v>
      </c>
      <c r="L923" s="3">
        <v>2.1875000000000002E-3</v>
      </c>
      <c r="M923" s="3">
        <v>2.8819444444444444E-3</v>
      </c>
      <c r="N923" s="2">
        <v>0.80430000000000001</v>
      </c>
      <c r="O923" s="5">
        <f t="shared" si="48"/>
        <v>8.5312500000000013E-2</v>
      </c>
      <c r="P923" s="5">
        <f t="shared" si="49"/>
        <v>5.1187500000000004</v>
      </c>
      <c r="Q923" s="5">
        <f t="shared" si="50"/>
        <v>0.10062500000000001</v>
      </c>
      <c r="R923" s="5">
        <f t="shared" si="51"/>
        <v>6.0375000000000005</v>
      </c>
    </row>
    <row r="924" spans="1:18">
      <c r="A924" s="4">
        <v>44753</v>
      </c>
      <c r="B924" s="1" t="s">
        <v>23</v>
      </c>
      <c r="C924" s="1">
        <f t="shared" si="58"/>
        <v>7</v>
      </c>
      <c r="D924" s="1">
        <f t="shared" si="59"/>
        <v>11</v>
      </c>
      <c r="E924" s="1">
        <f t="shared" si="60"/>
        <v>2022</v>
      </c>
      <c r="F924" s="1">
        <v>923</v>
      </c>
      <c r="G924" s="1">
        <v>357</v>
      </c>
      <c r="H924" s="1">
        <v>323</v>
      </c>
      <c r="I924" s="2">
        <v>0.90480000000000005</v>
      </c>
      <c r="J924" s="1">
        <v>34</v>
      </c>
      <c r="K924" s="3">
        <v>3.7037037037037035E-4</v>
      </c>
      <c r="L924" s="3">
        <v>2.1759259259259258E-3</v>
      </c>
      <c r="M924" s="3">
        <v>5.0231481481481481E-3</v>
      </c>
      <c r="N924" s="2">
        <v>0.60909999999999997</v>
      </c>
      <c r="O924" s="5">
        <f t="shared" si="48"/>
        <v>0.70282407407407399</v>
      </c>
      <c r="P924" s="5">
        <f t="shared" si="49"/>
        <v>42.169444444444437</v>
      </c>
      <c r="Q924" s="5">
        <f t="shared" si="50"/>
        <v>0.77680555555555553</v>
      </c>
      <c r="R924" s="5">
        <f t="shared" si="51"/>
        <v>46.608333333333334</v>
      </c>
    </row>
    <row r="925" spans="1:18">
      <c r="A925" s="4">
        <v>44754</v>
      </c>
      <c r="B925" s="1" t="s">
        <v>24</v>
      </c>
      <c r="C925" s="1">
        <f t="shared" si="58"/>
        <v>7</v>
      </c>
      <c r="D925" s="1">
        <f t="shared" si="59"/>
        <v>12</v>
      </c>
      <c r="E925" s="1">
        <f t="shared" si="60"/>
        <v>2022</v>
      </c>
      <c r="F925" s="1">
        <v>924</v>
      </c>
      <c r="G925" s="1">
        <v>280</v>
      </c>
      <c r="H925" s="1">
        <v>255</v>
      </c>
      <c r="I925" s="2">
        <v>0.91069999999999995</v>
      </c>
      <c r="J925" s="1">
        <v>25</v>
      </c>
      <c r="K925" s="3">
        <v>3.9351851851851852E-4</v>
      </c>
      <c r="L925" s="3">
        <v>2.1064814814814813E-3</v>
      </c>
      <c r="M925" s="3">
        <v>2.4421296296296296E-3</v>
      </c>
      <c r="N925" s="2">
        <v>0.52900000000000003</v>
      </c>
      <c r="O925" s="5">
        <f t="shared" si="48"/>
        <v>0.5371527777777777</v>
      </c>
      <c r="P925" s="5">
        <f t="shared" si="49"/>
        <v>32.229166666666664</v>
      </c>
      <c r="Q925" s="5">
        <f t="shared" si="50"/>
        <v>0.58981481481481479</v>
      </c>
      <c r="R925" s="5">
        <f t="shared" si="51"/>
        <v>35.388888888888886</v>
      </c>
    </row>
    <row r="926" spans="1:18">
      <c r="A926" s="4">
        <v>44755</v>
      </c>
      <c r="B926" s="1" t="s">
        <v>18</v>
      </c>
      <c r="C926" s="1">
        <f t="shared" si="58"/>
        <v>7</v>
      </c>
      <c r="D926" s="1">
        <f t="shared" si="59"/>
        <v>13</v>
      </c>
      <c r="E926" s="1">
        <f t="shared" si="60"/>
        <v>2022</v>
      </c>
      <c r="F926" s="1">
        <v>925</v>
      </c>
      <c r="G926" s="1">
        <v>258</v>
      </c>
      <c r="H926" s="1">
        <v>247</v>
      </c>
      <c r="I926" s="2">
        <v>0.95740000000000003</v>
      </c>
      <c r="J926" s="1">
        <v>11</v>
      </c>
      <c r="K926" s="3">
        <v>2.8935185185185184E-4</v>
      </c>
      <c r="L926" s="3">
        <v>2.0486111111111113E-3</v>
      </c>
      <c r="M926" s="3">
        <v>2.9166666666666668E-3</v>
      </c>
      <c r="N926" s="2">
        <v>0.70199999999999996</v>
      </c>
      <c r="O926" s="5">
        <f t="shared" si="48"/>
        <v>0.5060069444444445</v>
      </c>
      <c r="P926" s="5">
        <f t="shared" si="49"/>
        <v>30.360416666666669</v>
      </c>
      <c r="Q926" s="5">
        <f t="shared" si="50"/>
        <v>0.52854166666666669</v>
      </c>
      <c r="R926" s="5">
        <f t="shared" si="51"/>
        <v>31.712500000000002</v>
      </c>
    </row>
    <row r="927" spans="1:18">
      <c r="A927" s="4">
        <v>44756</v>
      </c>
      <c r="B927" s="1" t="s">
        <v>19</v>
      </c>
      <c r="C927" s="1">
        <f t="shared" si="58"/>
        <v>7</v>
      </c>
      <c r="D927" s="1">
        <f t="shared" si="59"/>
        <v>14</v>
      </c>
      <c r="E927" s="1">
        <f t="shared" si="60"/>
        <v>2022</v>
      </c>
      <c r="F927" s="1">
        <v>926</v>
      </c>
      <c r="G927" s="1">
        <v>282</v>
      </c>
      <c r="H927" s="1">
        <v>255</v>
      </c>
      <c r="I927" s="2">
        <v>0.90429999999999999</v>
      </c>
      <c r="J927" s="1">
        <v>27</v>
      </c>
      <c r="K927" s="3">
        <v>2.0833333333333335E-4</v>
      </c>
      <c r="L927" s="3">
        <v>1.9328703703703704E-3</v>
      </c>
      <c r="M927" s="3">
        <v>2.8819444444444444E-3</v>
      </c>
      <c r="N927" s="2">
        <v>0.74729999999999996</v>
      </c>
      <c r="O927" s="5">
        <f t="shared" si="48"/>
        <v>0.49288194444444444</v>
      </c>
      <c r="P927" s="5">
        <f t="shared" si="49"/>
        <v>29.572916666666668</v>
      </c>
      <c r="Q927" s="5">
        <f t="shared" si="50"/>
        <v>0.5450694444444445</v>
      </c>
      <c r="R927" s="5">
        <f t="shared" si="51"/>
        <v>32.704166666666673</v>
      </c>
    </row>
    <row r="928" spans="1:18">
      <c r="A928" s="4">
        <v>44757</v>
      </c>
      <c r="B928" s="1" t="s">
        <v>20</v>
      </c>
      <c r="C928" s="1">
        <f t="shared" si="58"/>
        <v>7</v>
      </c>
      <c r="D928" s="1">
        <f t="shared" si="59"/>
        <v>15</v>
      </c>
      <c r="E928" s="1">
        <f t="shared" si="60"/>
        <v>2022</v>
      </c>
      <c r="F928" s="1">
        <v>927</v>
      </c>
      <c r="G928" s="1">
        <v>253</v>
      </c>
      <c r="H928" s="1">
        <v>240</v>
      </c>
      <c r="I928" s="2">
        <v>0.9486</v>
      </c>
      <c r="J928" s="1">
        <v>13</v>
      </c>
      <c r="K928" s="3">
        <v>2.0833333333333335E-4</v>
      </c>
      <c r="L928" s="3">
        <v>1.8634259259259259E-3</v>
      </c>
      <c r="M928" s="3">
        <v>4.2939814814814811E-3</v>
      </c>
      <c r="N928" s="2">
        <v>0.752</v>
      </c>
      <c r="O928" s="5">
        <f t="shared" si="48"/>
        <v>0.44722222222222224</v>
      </c>
      <c r="P928" s="5">
        <f t="shared" si="49"/>
        <v>26.833333333333336</v>
      </c>
      <c r="Q928" s="5">
        <f t="shared" si="50"/>
        <v>0.47144675925925927</v>
      </c>
      <c r="R928" s="5">
        <f t="shared" si="51"/>
        <v>28.286805555555556</v>
      </c>
    </row>
    <row r="929" spans="1:18">
      <c r="A929" s="4">
        <v>44758</v>
      </c>
      <c r="B929" s="1" t="s">
        <v>21</v>
      </c>
      <c r="C929" s="1">
        <f t="shared" si="58"/>
        <v>7</v>
      </c>
      <c r="D929" s="1">
        <f t="shared" si="59"/>
        <v>16</v>
      </c>
      <c r="E929" s="1">
        <f t="shared" si="60"/>
        <v>2022</v>
      </c>
      <c r="F929" s="1">
        <v>928</v>
      </c>
      <c r="G929" s="1">
        <v>266</v>
      </c>
      <c r="H929" s="1">
        <v>232</v>
      </c>
      <c r="I929" s="2">
        <v>0.87219999999999998</v>
      </c>
      <c r="J929" s="1">
        <v>34</v>
      </c>
      <c r="K929" s="3">
        <v>4.2824074074074075E-4</v>
      </c>
      <c r="L929" s="3">
        <v>1.9560185185185184E-3</v>
      </c>
      <c r="M929" s="3">
        <v>4.2939814814814811E-3</v>
      </c>
      <c r="N929" s="2">
        <v>0.57589999999999997</v>
      </c>
      <c r="O929" s="5">
        <f t="shared" si="48"/>
        <v>0.45379629629629625</v>
      </c>
      <c r="P929" s="5">
        <f t="shared" si="49"/>
        <v>27.227777777777774</v>
      </c>
      <c r="Q929" s="5">
        <f t="shared" si="50"/>
        <v>0.52030092592592592</v>
      </c>
      <c r="R929" s="5">
        <f t="shared" si="51"/>
        <v>31.218055555555555</v>
      </c>
    </row>
    <row r="930" spans="1:18">
      <c r="A930" s="4">
        <v>44759</v>
      </c>
      <c r="B930" s="1" t="s">
        <v>22</v>
      </c>
      <c r="C930" s="1">
        <f t="shared" si="58"/>
        <v>7</v>
      </c>
      <c r="D930" s="1">
        <f t="shared" si="59"/>
        <v>17</v>
      </c>
      <c r="E930" s="1">
        <f t="shared" si="60"/>
        <v>2022</v>
      </c>
      <c r="F930" s="1">
        <v>929</v>
      </c>
      <c r="G930" s="1">
        <v>30</v>
      </c>
      <c r="H930" s="1">
        <v>29</v>
      </c>
      <c r="I930" s="2">
        <v>0.9667</v>
      </c>
      <c r="J930" s="1">
        <v>1</v>
      </c>
      <c r="K930" s="3">
        <v>1.1574074074074075E-4</v>
      </c>
      <c r="L930" s="3">
        <v>2.3263888888888887E-3</v>
      </c>
      <c r="M930" s="3">
        <v>5.6712962962962967E-4</v>
      </c>
      <c r="N930" s="2">
        <v>0.9</v>
      </c>
      <c r="O930" s="5">
        <f t="shared" si="48"/>
        <v>6.7465277777777777E-2</v>
      </c>
      <c r="P930" s="5">
        <f t="shared" si="49"/>
        <v>4.0479166666666666</v>
      </c>
      <c r="Q930" s="5">
        <f t="shared" si="50"/>
        <v>6.9791666666666655E-2</v>
      </c>
      <c r="R930" s="5">
        <f t="shared" si="51"/>
        <v>4.1874999999999991</v>
      </c>
    </row>
    <row r="931" spans="1:18">
      <c r="A931" s="4">
        <v>44760</v>
      </c>
      <c r="B931" s="1" t="s">
        <v>23</v>
      </c>
      <c r="C931" s="1">
        <f t="shared" si="58"/>
        <v>7</v>
      </c>
      <c r="D931" s="1">
        <f t="shared" si="59"/>
        <v>18</v>
      </c>
      <c r="E931" s="1">
        <f t="shared" si="60"/>
        <v>2022</v>
      </c>
      <c r="F931" s="1">
        <v>930</v>
      </c>
      <c r="G931" s="1">
        <v>258</v>
      </c>
      <c r="H931" s="1">
        <v>230</v>
      </c>
      <c r="I931" s="2">
        <v>0.89149999999999996</v>
      </c>
      <c r="J931" s="1">
        <v>28</v>
      </c>
      <c r="K931" s="3">
        <v>3.8194444444444446E-4</v>
      </c>
      <c r="L931" s="3">
        <v>2.0949074074074073E-3</v>
      </c>
      <c r="M931" s="3">
        <v>2.9398148148148148E-3</v>
      </c>
      <c r="N931" s="2">
        <v>0.53539999999999999</v>
      </c>
      <c r="O931" s="5">
        <f t="shared" si="48"/>
        <v>0.48182870370370368</v>
      </c>
      <c r="P931" s="5">
        <f t="shared" si="49"/>
        <v>28.909722222222221</v>
      </c>
      <c r="Q931" s="5">
        <f t="shared" si="50"/>
        <v>0.54048611111111111</v>
      </c>
      <c r="R931" s="5">
        <f t="shared" si="51"/>
        <v>32.429166666666667</v>
      </c>
    </row>
    <row r="932" spans="1:18">
      <c r="A932" s="4">
        <v>44761</v>
      </c>
      <c r="B932" s="1" t="s">
        <v>24</v>
      </c>
      <c r="C932" s="1">
        <f t="shared" si="58"/>
        <v>7</v>
      </c>
      <c r="D932" s="1">
        <f t="shared" si="59"/>
        <v>19</v>
      </c>
      <c r="E932" s="1">
        <f t="shared" si="60"/>
        <v>2022</v>
      </c>
      <c r="F932" s="1">
        <v>931</v>
      </c>
      <c r="G932" s="1">
        <v>293</v>
      </c>
      <c r="H932" s="1">
        <v>282</v>
      </c>
      <c r="I932" s="2">
        <v>0.96250000000000002</v>
      </c>
      <c r="J932" s="1">
        <v>11</v>
      </c>
      <c r="K932" s="3">
        <v>2.6620370370370372E-4</v>
      </c>
      <c r="L932" s="3">
        <v>1.8402777777777777E-3</v>
      </c>
      <c r="M932" s="3">
        <v>1.8287037037037037E-3</v>
      </c>
      <c r="N932" s="2">
        <v>0.70240000000000002</v>
      </c>
      <c r="O932" s="5">
        <f t="shared" si="48"/>
        <v>0.5189583333333333</v>
      </c>
      <c r="P932" s="5">
        <f t="shared" si="49"/>
        <v>31.137499999999999</v>
      </c>
      <c r="Q932" s="5">
        <f t="shared" si="50"/>
        <v>0.53920138888888891</v>
      </c>
      <c r="R932" s="5">
        <f t="shared" si="51"/>
        <v>32.352083333333333</v>
      </c>
    </row>
    <row r="933" spans="1:18">
      <c r="A933" s="4">
        <v>44762</v>
      </c>
      <c r="B933" s="1" t="s">
        <v>18</v>
      </c>
      <c r="C933" s="1">
        <f t="shared" si="58"/>
        <v>7</v>
      </c>
      <c r="D933" s="1">
        <f t="shared" si="59"/>
        <v>20</v>
      </c>
      <c r="E933" s="1">
        <f t="shared" si="60"/>
        <v>2022</v>
      </c>
      <c r="F933" s="1">
        <v>932</v>
      </c>
      <c r="G933" s="1">
        <v>377</v>
      </c>
      <c r="H933" s="1">
        <v>341</v>
      </c>
      <c r="I933" s="2">
        <v>0.90449999999999997</v>
      </c>
      <c r="J933" s="1">
        <v>36</v>
      </c>
      <c r="K933" s="3">
        <v>2.3148148148148149E-4</v>
      </c>
      <c r="L933" s="3">
        <v>1.6319444444444445E-3</v>
      </c>
      <c r="M933" s="3">
        <v>2.1875000000000002E-3</v>
      </c>
      <c r="N933" s="2">
        <v>0.68279999999999996</v>
      </c>
      <c r="O933" s="5">
        <f t="shared" si="48"/>
        <v>0.55649305555555562</v>
      </c>
      <c r="P933" s="5">
        <f t="shared" si="49"/>
        <v>33.389583333333334</v>
      </c>
      <c r="Q933" s="5">
        <f t="shared" si="50"/>
        <v>0.61524305555555558</v>
      </c>
      <c r="R933" s="5">
        <f t="shared" si="51"/>
        <v>36.914583333333333</v>
      </c>
    </row>
    <row r="934" spans="1:18">
      <c r="A934" s="4">
        <v>44763</v>
      </c>
      <c r="B934" s="1" t="s">
        <v>19</v>
      </c>
      <c r="C934" s="1">
        <f t="shared" si="58"/>
        <v>7</v>
      </c>
      <c r="D934" s="1">
        <f t="shared" si="59"/>
        <v>21</v>
      </c>
      <c r="E934" s="1">
        <f t="shared" si="60"/>
        <v>2022</v>
      </c>
      <c r="F934" s="1">
        <v>933</v>
      </c>
      <c r="G934" s="1">
        <v>196</v>
      </c>
      <c r="H934" s="1">
        <v>182</v>
      </c>
      <c r="I934" s="2">
        <v>0.92859999999999998</v>
      </c>
      <c r="J934" s="1">
        <v>14</v>
      </c>
      <c r="K934" s="3">
        <v>3.2407407407407406E-4</v>
      </c>
      <c r="L934" s="3">
        <v>1.8171296296296297E-3</v>
      </c>
      <c r="M934" s="3">
        <v>2.0138888888888888E-3</v>
      </c>
      <c r="N934" s="2">
        <v>0.61860000000000004</v>
      </c>
      <c r="O934" s="5">
        <f t="shared" si="48"/>
        <v>0.33071759259259259</v>
      </c>
      <c r="P934" s="5">
        <f t="shared" si="49"/>
        <v>19.843055555555555</v>
      </c>
      <c r="Q934" s="5">
        <f t="shared" si="50"/>
        <v>0.35615740740740742</v>
      </c>
      <c r="R934" s="5">
        <f t="shared" si="51"/>
        <v>21.369444444444447</v>
      </c>
    </row>
    <row r="935" spans="1:18">
      <c r="A935" s="4">
        <v>44764</v>
      </c>
      <c r="B935" s="1" t="s">
        <v>20</v>
      </c>
      <c r="C935" s="1">
        <f t="shared" si="58"/>
        <v>7</v>
      </c>
      <c r="D935" s="1">
        <f t="shared" si="59"/>
        <v>22</v>
      </c>
      <c r="E935" s="1">
        <f t="shared" si="60"/>
        <v>2022</v>
      </c>
      <c r="F935" s="1">
        <v>934</v>
      </c>
      <c r="G935" s="1">
        <v>192</v>
      </c>
      <c r="H935" s="1">
        <v>173</v>
      </c>
      <c r="I935" s="2">
        <v>0.90100000000000002</v>
      </c>
      <c r="J935" s="1">
        <v>19</v>
      </c>
      <c r="K935" s="3">
        <v>3.8194444444444446E-4</v>
      </c>
      <c r="L935" s="3">
        <v>1.8981481481481482E-3</v>
      </c>
      <c r="M935" s="3">
        <v>4.6180555555555558E-3</v>
      </c>
      <c r="N935" s="2">
        <v>0.61780000000000002</v>
      </c>
      <c r="O935" s="5">
        <f t="shared" si="48"/>
        <v>0.32837962962962963</v>
      </c>
      <c r="P935" s="5">
        <f t="shared" si="49"/>
        <v>19.702777777777779</v>
      </c>
      <c r="Q935" s="5">
        <f t="shared" si="50"/>
        <v>0.36444444444444446</v>
      </c>
      <c r="R935" s="5">
        <f t="shared" si="51"/>
        <v>21.866666666666667</v>
      </c>
    </row>
    <row r="936" spans="1:18">
      <c r="A936" s="4">
        <v>44765</v>
      </c>
      <c r="B936" s="1" t="s">
        <v>21</v>
      </c>
      <c r="C936" s="1">
        <f t="shared" si="58"/>
        <v>7</v>
      </c>
      <c r="D936" s="1">
        <f t="shared" si="59"/>
        <v>23</v>
      </c>
      <c r="E936" s="1">
        <f t="shared" si="60"/>
        <v>2022</v>
      </c>
      <c r="F936" s="1">
        <v>935</v>
      </c>
      <c r="G936" s="1">
        <v>185</v>
      </c>
      <c r="H936" s="1">
        <v>178</v>
      </c>
      <c r="I936" s="2">
        <v>0.96220000000000006</v>
      </c>
      <c r="J936" s="1">
        <v>7</v>
      </c>
      <c r="K936" s="3">
        <v>1.9675925925925926E-4</v>
      </c>
      <c r="L936" s="3">
        <v>1.9212962962962964E-3</v>
      </c>
      <c r="M936" s="3">
        <v>2.1875000000000002E-3</v>
      </c>
      <c r="N936" s="2">
        <v>0.7772</v>
      </c>
      <c r="O936" s="5">
        <f t="shared" si="48"/>
        <v>0.34199074074074076</v>
      </c>
      <c r="P936" s="5">
        <f t="shared" si="49"/>
        <v>20.519444444444446</v>
      </c>
      <c r="Q936" s="5">
        <f t="shared" si="50"/>
        <v>0.35543981481481485</v>
      </c>
      <c r="R936" s="5">
        <f t="shared" si="51"/>
        <v>21.326388888888889</v>
      </c>
    </row>
    <row r="937" spans="1:18">
      <c r="A937" s="4">
        <v>44766</v>
      </c>
      <c r="B937" s="1" t="s">
        <v>22</v>
      </c>
      <c r="C937" s="1">
        <f t="shared" si="58"/>
        <v>7</v>
      </c>
      <c r="D937" s="1">
        <f t="shared" si="59"/>
        <v>24</v>
      </c>
      <c r="E937" s="1">
        <f t="shared" si="60"/>
        <v>2022</v>
      </c>
      <c r="F937" s="1">
        <v>936</v>
      </c>
      <c r="G937" s="1">
        <v>27</v>
      </c>
      <c r="H937" s="1">
        <v>25</v>
      </c>
      <c r="I937" s="2">
        <v>0.92589999999999995</v>
      </c>
      <c r="J937" s="1">
        <v>2</v>
      </c>
      <c r="K937" s="3">
        <v>2.0833333333333335E-4</v>
      </c>
      <c r="L937" s="3">
        <v>1.4930555555555556E-3</v>
      </c>
      <c r="M937" s="3">
        <v>2.1643518518518518E-3</v>
      </c>
      <c r="N937" s="2">
        <v>0.74070000000000003</v>
      </c>
      <c r="O937" s="5">
        <f t="shared" si="48"/>
        <v>3.7326388888888888E-2</v>
      </c>
      <c r="P937" s="5">
        <f t="shared" si="49"/>
        <v>2.2395833333333335</v>
      </c>
      <c r="Q937" s="5">
        <f t="shared" si="50"/>
        <v>4.0312500000000001E-2</v>
      </c>
      <c r="R937" s="5">
        <f t="shared" si="51"/>
        <v>2.4187500000000002</v>
      </c>
    </row>
    <row r="938" spans="1:18">
      <c r="A938" s="4">
        <v>44767</v>
      </c>
      <c r="B938" s="1" t="s">
        <v>23</v>
      </c>
      <c r="C938" s="1">
        <f t="shared" si="58"/>
        <v>7</v>
      </c>
      <c r="D938" s="1">
        <f t="shared" si="59"/>
        <v>25</v>
      </c>
      <c r="E938" s="1">
        <f t="shared" si="60"/>
        <v>2022</v>
      </c>
      <c r="F938" s="1">
        <v>937</v>
      </c>
      <c r="G938" s="1">
        <v>222</v>
      </c>
      <c r="H938" s="1">
        <v>214</v>
      </c>
      <c r="I938" s="2">
        <v>0.96399999999999997</v>
      </c>
      <c r="J938" s="1">
        <v>8</v>
      </c>
      <c r="K938" s="3">
        <v>2.0833333333333335E-4</v>
      </c>
      <c r="L938" s="3">
        <v>2.0486111111111113E-3</v>
      </c>
      <c r="M938" s="3">
        <v>4.3055555555555555E-3</v>
      </c>
      <c r="N938" s="2">
        <v>0.74660000000000004</v>
      </c>
      <c r="O938" s="5">
        <f t="shared" si="48"/>
        <v>0.43840277777777781</v>
      </c>
      <c r="P938" s="5">
        <f t="shared" si="49"/>
        <v>26.304166666666667</v>
      </c>
      <c r="Q938" s="5">
        <f t="shared" si="50"/>
        <v>0.45479166666666671</v>
      </c>
      <c r="R938" s="5">
        <f t="shared" si="51"/>
        <v>27.287500000000001</v>
      </c>
    </row>
    <row r="939" spans="1:18">
      <c r="A939" s="4">
        <v>44768</v>
      </c>
      <c r="B939" s="1" t="s">
        <v>24</v>
      </c>
      <c r="C939" s="1">
        <f t="shared" si="58"/>
        <v>7</v>
      </c>
      <c r="D939" s="1">
        <f t="shared" si="59"/>
        <v>26</v>
      </c>
      <c r="E939" s="1">
        <f t="shared" si="60"/>
        <v>2022</v>
      </c>
      <c r="F939" s="1">
        <v>938</v>
      </c>
      <c r="G939" s="1">
        <v>217</v>
      </c>
      <c r="H939" s="1">
        <v>198</v>
      </c>
      <c r="I939" s="2">
        <v>0.91239999999999999</v>
      </c>
      <c r="J939" s="1">
        <v>19</v>
      </c>
      <c r="K939" s="3">
        <v>1.0416666666666667E-4</v>
      </c>
      <c r="L939" s="3">
        <v>1.8865740740740742E-3</v>
      </c>
      <c r="M939" s="3">
        <v>2.0486111111111113E-3</v>
      </c>
      <c r="N939" s="2">
        <v>0.88829999999999998</v>
      </c>
      <c r="O939" s="5">
        <f t="shared" si="48"/>
        <v>0.37354166666666666</v>
      </c>
      <c r="P939" s="5">
        <f t="shared" si="49"/>
        <v>22.412500000000001</v>
      </c>
      <c r="Q939" s="5">
        <f t="shared" si="50"/>
        <v>0.40938657407407408</v>
      </c>
      <c r="R939" s="5">
        <f t="shared" si="51"/>
        <v>24.563194444444445</v>
      </c>
    </row>
    <row r="940" spans="1:18">
      <c r="A940" s="4">
        <v>44769</v>
      </c>
      <c r="B940" s="1" t="s">
        <v>18</v>
      </c>
      <c r="C940" s="1">
        <f t="shared" si="58"/>
        <v>7</v>
      </c>
      <c r="D940" s="1">
        <f t="shared" si="59"/>
        <v>27</v>
      </c>
      <c r="E940" s="1">
        <f t="shared" si="60"/>
        <v>2022</v>
      </c>
      <c r="F940" s="1">
        <v>939</v>
      </c>
      <c r="G940" s="1">
        <v>204</v>
      </c>
      <c r="H940" s="1">
        <v>197</v>
      </c>
      <c r="I940" s="2">
        <v>0.9657</v>
      </c>
      <c r="J940" s="1">
        <v>7</v>
      </c>
      <c r="K940" s="3">
        <v>1.9675925925925926E-4</v>
      </c>
      <c r="L940" s="3">
        <v>1.8518518518518519E-3</v>
      </c>
      <c r="M940" s="3">
        <v>2.662037037037037E-3</v>
      </c>
      <c r="N940" s="2">
        <v>0.79700000000000004</v>
      </c>
      <c r="O940" s="5">
        <f t="shared" si="48"/>
        <v>0.36481481481481481</v>
      </c>
      <c r="P940" s="5">
        <f t="shared" si="49"/>
        <v>21.888888888888889</v>
      </c>
      <c r="Q940" s="5">
        <f t="shared" si="50"/>
        <v>0.37777777777777777</v>
      </c>
      <c r="R940" s="5">
        <f t="shared" si="51"/>
        <v>22.666666666666664</v>
      </c>
    </row>
    <row r="941" spans="1:18">
      <c r="A941" s="4">
        <v>44770</v>
      </c>
      <c r="B941" s="1" t="s">
        <v>19</v>
      </c>
      <c r="C941" s="1">
        <f t="shared" si="58"/>
        <v>7</v>
      </c>
      <c r="D941" s="1">
        <f t="shared" si="59"/>
        <v>28</v>
      </c>
      <c r="E941" s="1">
        <f t="shared" si="60"/>
        <v>2022</v>
      </c>
      <c r="F941" s="1">
        <v>940</v>
      </c>
      <c r="G941" s="1">
        <v>191</v>
      </c>
      <c r="H941" s="1">
        <v>181</v>
      </c>
      <c r="I941" s="2">
        <v>0.9476</v>
      </c>
      <c r="J941" s="1">
        <v>10</v>
      </c>
      <c r="K941" s="3">
        <v>1.3888888888888889E-4</v>
      </c>
      <c r="L941" s="3">
        <v>1.9212962962962964E-3</v>
      </c>
      <c r="M941" s="3">
        <v>3.2870370370370371E-3</v>
      </c>
      <c r="N941" s="2">
        <v>0.87229999999999996</v>
      </c>
      <c r="O941" s="5">
        <f t="shared" si="48"/>
        <v>0.34775462962962966</v>
      </c>
      <c r="P941" s="5">
        <f t="shared" si="49"/>
        <v>20.865277777777781</v>
      </c>
      <c r="Q941" s="5">
        <f t="shared" si="50"/>
        <v>0.3669675925925926</v>
      </c>
      <c r="R941" s="5">
        <f t="shared" si="51"/>
        <v>22.018055555555556</v>
      </c>
    </row>
    <row r="942" spans="1:18">
      <c r="A942" s="4">
        <v>44771</v>
      </c>
      <c r="B942" s="1" t="s">
        <v>20</v>
      </c>
      <c r="C942" s="1">
        <f t="shared" si="58"/>
        <v>7</v>
      </c>
      <c r="D942" s="1">
        <f t="shared" si="59"/>
        <v>29</v>
      </c>
      <c r="E942" s="1">
        <f t="shared" si="60"/>
        <v>2022</v>
      </c>
      <c r="F942" s="1">
        <v>941</v>
      </c>
      <c r="G942" s="1">
        <v>176</v>
      </c>
      <c r="H942" s="1">
        <v>157</v>
      </c>
      <c r="I942" s="2">
        <v>0.89200000000000002</v>
      </c>
      <c r="J942" s="1">
        <v>19</v>
      </c>
      <c r="K942" s="3">
        <v>1.9675925925925926E-4</v>
      </c>
      <c r="L942" s="3">
        <v>1.9791666666666668E-3</v>
      </c>
      <c r="M942" s="3">
        <v>2.8703703703703703E-3</v>
      </c>
      <c r="N942" s="2">
        <v>0.73529999999999995</v>
      </c>
      <c r="O942" s="5">
        <f t="shared" si="48"/>
        <v>0.31072916666666667</v>
      </c>
      <c r="P942" s="5">
        <f t="shared" si="49"/>
        <v>18.643750000000001</v>
      </c>
      <c r="Q942" s="5">
        <f t="shared" si="50"/>
        <v>0.34833333333333338</v>
      </c>
      <c r="R942" s="5">
        <f t="shared" si="51"/>
        <v>20.900000000000002</v>
      </c>
    </row>
    <row r="943" spans="1:18">
      <c r="A943" s="4">
        <v>44772</v>
      </c>
      <c r="B943" s="1" t="s">
        <v>21</v>
      </c>
      <c r="C943" s="1">
        <f t="shared" si="58"/>
        <v>7</v>
      </c>
      <c r="D943" s="1">
        <f t="shared" si="59"/>
        <v>30</v>
      </c>
      <c r="E943" s="1">
        <f t="shared" si="60"/>
        <v>2022</v>
      </c>
      <c r="F943" s="1">
        <v>942</v>
      </c>
      <c r="G943" s="1">
        <v>176</v>
      </c>
      <c r="H943" s="1">
        <v>163</v>
      </c>
      <c r="I943" s="2">
        <v>0.92610000000000003</v>
      </c>
      <c r="J943" s="1">
        <v>13</v>
      </c>
      <c r="K943" s="3">
        <v>2.7777777777777778E-4</v>
      </c>
      <c r="L943" s="3">
        <v>2.2106481481481482E-3</v>
      </c>
      <c r="M943" s="3">
        <v>2.1643518518518518E-3</v>
      </c>
      <c r="N943" s="2">
        <v>0.64159999999999995</v>
      </c>
      <c r="O943" s="5">
        <f t="shared" si="48"/>
        <v>0.36033564814814817</v>
      </c>
      <c r="P943" s="5">
        <f t="shared" si="49"/>
        <v>21.620138888888889</v>
      </c>
      <c r="Q943" s="5">
        <f t="shared" si="50"/>
        <v>0.38907407407407407</v>
      </c>
      <c r="R943" s="5">
        <f t="shared" si="51"/>
        <v>23.344444444444445</v>
      </c>
    </row>
    <row r="944" spans="1:18">
      <c r="A944" s="4">
        <v>44773</v>
      </c>
      <c r="B944" s="1" t="s">
        <v>22</v>
      </c>
      <c r="C944" s="1">
        <f t="shared" si="58"/>
        <v>7</v>
      </c>
      <c r="D944" s="1">
        <f t="shared" si="59"/>
        <v>31</v>
      </c>
      <c r="E944" s="1">
        <f t="shared" si="60"/>
        <v>2022</v>
      </c>
      <c r="F944" s="1">
        <v>943</v>
      </c>
      <c r="G944" s="1">
        <v>26</v>
      </c>
      <c r="H944" s="1">
        <v>26</v>
      </c>
      <c r="I944" s="2">
        <v>1</v>
      </c>
      <c r="J944" s="1">
        <v>0</v>
      </c>
      <c r="K944" s="3">
        <v>2.7777777777777778E-4</v>
      </c>
      <c r="L944" s="3">
        <v>2.1180555555555558E-3</v>
      </c>
      <c r="M944" s="3">
        <v>1.3541666666666667E-3</v>
      </c>
      <c r="N944" s="2">
        <v>0.69230000000000003</v>
      </c>
      <c r="O944" s="5">
        <f t="shared" si="48"/>
        <v>5.5069444444444449E-2</v>
      </c>
      <c r="P944" s="5">
        <f t="shared" si="49"/>
        <v>3.3041666666666671</v>
      </c>
      <c r="Q944" s="5">
        <f t="shared" si="50"/>
        <v>5.5069444444444449E-2</v>
      </c>
      <c r="R944" s="5">
        <f t="shared" si="51"/>
        <v>3.3041666666666671</v>
      </c>
    </row>
    <row r="945" spans="1:18">
      <c r="A945" s="4">
        <v>44774</v>
      </c>
      <c r="B945" s="1" t="s">
        <v>23</v>
      </c>
      <c r="C945" s="1">
        <f t="shared" si="58"/>
        <v>8</v>
      </c>
      <c r="D945" s="1">
        <f t="shared" si="59"/>
        <v>1</v>
      </c>
      <c r="E945" s="1">
        <f t="shared" si="60"/>
        <v>2022</v>
      </c>
      <c r="F945" s="1">
        <v>944</v>
      </c>
      <c r="G945" s="1">
        <v>170</v>
      </c>
      <c r="H945" s="1">
        <v>167</v>
      </c>
      <c r="I945" s="2">
        <v>0.98240000000000005</v>
      </c>
      <c r="J945" s="1">
        <v>3</v>
      </c>
      <c r="K945" s="3">
        <v>1.8518518518518518E-4</v>
      </c>
      <c r="L945" s="3">
        <v>1.9328703703703704E-3</v>
      </c>
      <c r="M945" s="3">
        <v>1.4814814814814814E-3</v>
      </c>
      <c r="N945" s="2">
        <v>0.79410000000000003</v>
      </c>
      <c r="O945" s="5">
        <f t="shared" si="48"/>
        <v>0.32278935185185187</v>
      </c>
      <c r="P945" s="5">
        <f t="shared" si="49"/>
        <v>19.367361111111112</v>
      </c>
      <c r="Q945" s="5">
        <f t="shared" si="50"/>
        <v>0.32858796296296294</v>
      </c>
      <c r="R945" s="5">
        <f t="shared" si="51"/>
        <v>19.715277777777775</v>
      </c>
    </row>
    <row r="946" spans="1:18">
      <c r="A946" s="4">
        <v>44775</v>
      </c>
      <c r="B946" s="1" t="s">
        <v>24</v>
      </c>
      <c r="C946" s="1">
        <f t="shared" si="58"/>
        <v>8</v>
      </c>
      <c r="D946" s="1">
        <f t="shared" si="59"/>
        <v>2</v>
      </c>
      <c r="E946" s="1">
        <f t="shared" si="60"/>
        <v>2022</v>
      </c>
      <c r="F946" s="1">
        <v>945</v>
      </c>
      <c r="G946" s="1">
        <v>154</v>
      </c>
      <c r="H946" s="1">
        <v>147</v>
      </c>
      <c r="I946" s="2">
        <v>0.95450000000000002</v>
      </c>
      <c r="J946" s="1">
        <v>7</v>
      </c>
      <c r="K946" s="3">
        <v>2.4305555555555555E-4</v>
      </c>
      <c r="L946" s="3">
        <v>2.1064814814814813E-3</v>
      </c>
      <c r="M946" s="3">
        <v>2.627314814814815E-3</v>
      </c>
      <c r="N946" s="2">
        <v>0.75160000000000005</v>
      </c>
      <c r="O946" s="5">
        <f t="shared" si="48"/>
        <v>0.30965277777777778</v>
      </c>
      <c r="P946" s="5">
        <f t="shared" si="49"/>
        <v>18.579166666666666</v>
      </c>
      <c r="Q946" s="5">
        <f t="shared" si="50"/>
        <v>0.3243981481481481</v>
      </c>
      <c r="R946" s="5">
        <f t="shared" si="51"/>
        <v>19.463888888888885</v>
      </c>
    </row>
    <row r="947" spans="1:18">
      <c r="A947" s="4">
        <v>44776</v>
      </c>
      <c r="B947" s="1" t="s">
        <v>18</v>
      </c>
      <c r="C947" s="1">
        <f t="shared" si="58"/>
        <v>8</v>
      </c>
      <c r="D947" s="1">
        <f t="shared" si="59"/>
        <v>3</v>
      </c>
      <c r="E947" s="1">
        <f t="shared" si="60"/>
        <v>2022</v>
      </c>
      <c r="F947" s="1">
        <v>946</v>
      </c>
      <c r="G947" s="1">
        <v>165</v>
      </c>
      <c r="H947" s="1">
        <v>152</v>
      </c>
      <c r="I947" s="2">
        <v>0.92120000000000002</v>
      </c>
      <c r="J947" s="1">
        <v>13</v>
      </c>
      <c r="K947" s="3">
        <v>1.9675925925925926E-4</v>
      </c>
      <c r="L947" s="3">
        <v>2.0601851851851853E-3</v>
      </c>
      <c r="M947" s="3">
        <v>2.5462962962962965E-3</v>
      </c>
      <c r="N947" s="2">
        <v>0.8075</v>
      </c>
      <c r="O947" s="5">
        <f t="shared" si="48"/>
        <v>0.31314814814814818</v>
      </c>
      <c r="P947" s="5">
        <f t="shared" si="49"/>
        <v>18.788888888888891</v>
      </c>
      <c r="Q947" s="5">
        <f t="shared" si="50"/>
        <v>0.33993055555555557</v>
      </c>
      <c r="R947" s="5">
        <f t="shared" si="51"/>
        <v>20.395833333333336</v>
      </c>
    </row>
    <row r="948" spans="1:18">
      <c r="A948" s="4">
        <v>44777</v>
      </c>
      <c r="B948" s="1" t="s">
        <v>19</v>
      </c>
      <c r="C948" s="1">
        <f t="shared" si="58"/>
        <v>8</v>
      </c>
      <c r="D948" s="1">
        <f t="shared" si="59"/>
        <v>4</v>
      </c>
      <c r="E948" s="1">
        <f t="shared" si="60"/>
        <v>2022</v>
      </c>
      <c r="F948" s="1">
        <v>947</v>
      </c>
      <c r="G948" s="1">
        <v>153</v>
      </c>
      <c r="H948" s="1">
        <v>143</v>
      </c>
      <c r="I948" s="2">
        <v>0.93459999999999999</v>
      </c>
      <c r="J948" s="1">
        <v>10</v>
      </c>
      <c r="K948" s="3">
        <v>2.199074074074074E-4</v>
      </c>
      <c r="L948" s="3">
        <v>2.1412037037037038E-3</v>
      </c>
      <c r="M948" s="3">
        <v>2.2569444444444442E-3</v>
      </c>
      <c r="N948" s="2">
        <v>0.77629999999999999</v>
      </c>
      <c r="O948" s="5">
        <f t="shared" si="48"/>
        <v>0.30619212962962966</v>
      </c>
      <c r="P948" s="5">
        <f t="shared" si="49"/>
        <v>18.371527777777779</v>
      </c>
      <c r="Q948" s="5">
        <f t="shared" si="50"/>
        <v>0.3276041666666667</v>
      </c>
      <c r="R948" s="5">
        <f t="shared" si="51"/>
        <v>19.65625</v>
      </c>
    </row>
    <row r="949" spans="1:18">
      <c r="A949" s="4">
        <v>44778</v>
      </c>
      <c r="B949" s="1" t="s">
        <v>20</v>
      </c>
      <c r="C949" s="1">
        <f t="shared" si="58"/>
        <v>8</v>
      </c>
      <c r="D949" s="1">
        <f t="shared" si="59"/>
        <v>5</v>
      </c>
      <c r="E949" s="1">
        <f t="shared" si="60"/>
        <v>2022</v>
      </c>
      <c r="F949" s="1">
        <v>948</v>
      </c>
      <c r="G949" s="1">
        <v>175</v>
      </c>
      <c r="H949" s="1">
        <v>169</v>
      </c>
      <c r="I949" s="2">
        <v>0.9657</v>
      </c>
      <c r="J949" s="1">
        <v>6</v>
      </c>
      <c r="K949" s="3">
        <v>1.273148148148148E-4</v>
      </c>
      <c r="L949" s="3">
        <v>1.5856481481481481E-3</v>
      </c>
      <c r="M949" s="3">
        <v>1.5277777777777779E-3</v>
      </c>
      <c r="N949" s="2">
        <v>0.85629999999999995</v>
      </c>
      <c r="O949" s="5">
        <f t="shared" si="48"/>
        <v>0.26797453703703705</v>
      </c>
      <c r="P949" s="5">
        <f t="shared" si="49"/>
        <v>16.078472222222224</v>
      </c>
      <c r="Q949" s="5">
        <f t="shared" si="50"/>
        <v>0.27748842592592593</v>
      </c>
      <c r="R949" s="5">
        <f t="shared" si="51"/>
        <v>16.649305555555557</v>
      </c>
    </row>
    <row r="950" spans="1:18">
      <c r="A950" s="4">
        <v>44779</v>
      </c>
      <c r="B950" s="1" t="s">
        <v>21</v>
      </c>
      <c r="C950" s="1">
        <f t="shared" si="58"/>
        <v>8</v>
      </c>
      <c r="D950" s="1">
        <f t="shared" si="59"/>
        <v>6</v>
      </c>
      <c r="E950" s="1">
        <f t="shared" si="60"/>
        <v>2022</v>
      </c>
      <c r="F950" s="1">
        <v>949</v>
      </c>
      <c r="G950" s="1">
        <v>241</v>
      </c>
      <c r="H950" s="1">
        <v>214</v>
      </c>
      <c r="I950" s="2">
        <v>0.88800000000000001</v>
      </c>
      <c r="J950" s="1">
        <v>27</v>
      </c>
      <c r="K950" s="3">
        <v>3.3564814814814812E-4</v>
      </c>
      <c r="L950" s="3">
        <v>2.0833333333333333E-3</v>
      </c>
      <c r="M950" s="3">
        <v>1.0104166666666666E-2</v>
      </c>
      <c r="N950" s="2">
        <v>0.6623</v>
      </c>
      <c r="O950" s="5">
        <f t="shared" si="48"/>
        <v>0.4458333333333333</v>
      </c>
      <c r="P950" s="5">
        <f t="shared" si="49"/>
        <v>26.75</v>
      </c>
      <c r="Q950" s="5">
        <f t="shared" si="50"/>
        <v>0.50208333333333333</v>
      </c>
      <c r="R950" s="5">
        <f t="shared" si="51"/>
        <v>30.125</v>
      </c>
    </row>
    <row r="951" spans="1:18">
      <c r="A951" s="4">
        <v>44780</v>
      </c>
      <c r="B951" s="1" t="s">
        <v>22</v>
      </c>
      <c r="C951" s="1">
        <f t="shared" si="58"/>
        <v>8</v>
      </c>
      <c r="D951" s="1">
        <f t="shared" si="59"/>
        <v>7</v>
      </c>
      <c r="E951" s="1">
        <f t="shared" si="60"/>
        <v>2022</v>
      </c>
      <c r="F951" s="1">
        <v>950</v>
      </c>
      <c r="G951" s="1">
        <v>14</v>
      </c>
      <c r="H951" s="1">
        <v>14</v>
      </c>
      <c r="I951" s="2">
        <v>1</v>
      </c>
      <c r="J951" s="1">
        <v>0</v>
      </c>
      <c r="K951" s="3">
        <v>1.8518518518518518E-4</v>
      </c>
      <c r="L951" s="3">
        <v>1.9212962962962964E-3</v>
      </c>
      <c r="M951" s="3">
        <v>1.0069444444444444E-3</v>
      </c>
      <c r="N951" s="2">
        <v>0.85709999999999997</v>
      </c>
      <c r="O951" s="5">
        <f t="shared" si="48"/>
        <v>2.689814814814815E-2</v>
      </c>
      <c r="P951" s="5">
        <f t="shared" si="49"/>
        <v>1.6138888888888889</v>
      </c>
      <c r="Q951" s="5">
        <f t="shared" si="50"/>
        <v>2.689814814814815E-2</v>
      </c>
      <c r="R951" s="5">
        <f t="shared" si="51"/>
        <v>1.6138888888888889</v>
      </c>
    </row>
    <row r="952" spans="1:18">
      <c r="A952" s="4">
        <v>44781</v>
      </c>
      <c r="B952" s="1" t="s">
        <v>23</v>
      </c>
      <c r="C952" s="1">
        <f t="shared" si="58"/>
        <v>8</v>
      </c>
      <c r="D952" s="1">
        <f t="shared" si="59"/>
        <v>8</v>
      </c>
      <c r="E952" s="1">
        <f t="shared" si="60"/>
        <v>2022</v>
      </c>
      <c r="F952" s="1">
        <v>951</v>
      </c>
      <c r="G952" s="1">
        <v>57</v>
      </c>
      <c r="H952" s="1">
        <v>55</v>
      </c>
      <c r="I952" s="2">
        <v>0.96489999999999998</v>
      </c>
      <c r="J952" s="1">
        <v>2</v>
      </c>
      <c r="K952" s="3">
        <v>1.3888888888888889E-4</v>
      </c>
      <c r="L952" s="3">
        <v>1.7939814814814815E-3</v>
      </c>
      <c r="M952" s="3">
        <v>1.4699074074074074E-3</v>
      </c>
      <c r="N952" s="2">
        <v>0.85960000000000003</v>
      </c>
      <c r="O952" s="5">
        <f t="shared" si="48"/>
        <v>9.8668981481481483E-2</v>
      </c>
      <c r="P952" s="5">
        <f t="shared" si="49"/>
        <v>5.9201388888888893</v>
      </c>
      <c r="Q952" s="5">
        <f t="shared" si="50"/>
        <v>0.10225694444444444</v>
      </c>
      <c r="R952" s="5">
        <f t="shared" si="51"/>
        <v>6.1354166666666661</v>
      </c>
    </row>
    <row r="953" spans="1:18">
      <c r="A953" s="4">
        <v>44782</v>
      </c>
      <c r="B953" s="1" t="s">
        <v>24</v>
      </c>
      <c r="C953" s="1">
        <f t="shared" si="58"/>
        <v>8</v>
      </c>
      <c r="D953" s="1">
        <f t="shared" si="59"/>
        <v>9</v>
      </c>
      <c r="E953" s="1">
        <f t="shared" si="60"/>
        <v>2022</v>
      </c>
      <c r="F953" s="1">
        <v>952</v>
      </c>
      <c r="G953" s="1">
        <v>954</v>
      </c>
      <c r="H953" s="1">
        <v>644</v>
      </c>
      <c r="I953" s="2">
        <v>0.67510000000000003</v>
      </c>
      <c r="J953" s="1">
        <v>310</v>
      </c>
      <c r="K953" s="3">
        <v>8.564814814814815E-4</v>
      </c>
      <c r="L953" s="3">
        <v>1.4467592592592592E-3</v>
      </c>
      <c r="M953" s="3">
        <v>7.7777777777777776E-3</v>
      </c>
      <c r="N953" s="2">
        <v>0.26329999999999998</v>
      </c>
      <c r="O953" s="5">
        <f t="shared" si="48"/>
        <v>0.93171296296296291</v>
      </c>
      <c r="P953" s="5">
        <f t="shared" si="49"/>
        <v>55.902777777777771</v>
      </c>
      <c r="Q953" s="5">
        <f t="shared" si="50"/>
        <v>1.3802083333333333</v>
      </c>
      <c r="R953" s="5">
        <f t="shared" si="51"/>
        <v>82.8125</v>
      </c>
    </row>
    <row r="954" spans="1:18">
      <c r="A954" s="4">
        <v>44783</v>
      </c>
      <c r="B954" s="1" t="s">
        <v>18</v>
      </c>
      <c r="C954" s="1">
        <f t="shared" si="58"/>
        <v>8</v>
      </c>
      <c r="D954" s="1">
        <f t="shared" si="59"/>
        <v>10</v>
      </c>
      <c r="E954" s="1">
        <f t="shared" si="60"/>
        <v>2022</v>
      </c>
      <c r="F954" s="1">
        <v>953</v>
      </c>
      <c r="G954" s="1">
        <v>374</v>
      </c>
      <c r="H954" s="1">
        <v>344</v>
      </c>
      <c r="I954" s="2">
        <v>0.91979999999999995</v>
      </c>
      <c r="J954" s="1">
        <v>30</v>
      </c>
      <c r="K954" s="3">
        <v>3.2407407407407406E-4</v>
      </c>
      <c r="L954" s="3">
        <v>2.1180555555555558E-3</v>
      </c>
      <c r="M954" s="3">
        <v>6.1574074074074074E-3</v>
      </c>
      <c r="N954" s="2">
        <v>0.61850000000000005</v>
      </c>
      <c r="O954" s="5">
        <f t="shared" si="48"/>
        <v>0.72861111111111121</v>
      </c>
      <c r="P954" s="5">
        <f t="shared" si="49"/>
        <v>43.716666666666676</v>
      </c>
      <c r="Q954" s="5">
        <f t="shared" si="50"/>
        <v>0.79215277777777782</v>
      </c>
      <c r="R954" s="5">
        <f t="shared" si="51"/>
        <v>47.529166666666669</v>
      </c>
    </row>
    <row r="955" spans="1:18">
      <c r="A955" s="4">
        <v>44784</v>
      </c>
      <c r="B955" s="1" t="s">
        <v>19</v>
      </c>
      <c r="C955" s="1">
        <f t="shared" si="58"/>
        <v>8</v>
      </c>
      <c r="D955" s="1">
        <f t="shared" si="59"/>
        <v>11</v>
      </c>
      <c r="E955" s="1">
        <f t="shared" si="60"/>
        <v>2022</v>
      </c>
      <c r="F955" s="1">
        <v>954</v>
      </c>
      <c r="G955" s="1">
        <v>265</v>
      </c>
      <c r="H955" s="1">
        <v>245</v>
      </c>
      <c r="I955" s="2">
        <v>0.92449999999999999</v>
      </c>
      <c r="J955" s="1">
        <v>20</v>
      </c>
      <c r="K955" s="3">
        <v>3.5879629629629629E-4</v>
      </c>
      <c r="L955" s="3">
        <v>2.1412037037037038E-3</v>
      </c>
      <c r="M955" s="3">
        <v>2.3263888888888887E-3</v>
      </c>
      <c r="N955" s="2">
        <v>0.56699999999999995</v>
      </c>
      <c r="O955" s="5">
        <f t="shared" si="48"/>
        <v>0.52459490740740744</v>
      </c>
      <c r="P955" s="5">
        <f t="shared" si="49"/>
        <v>31.475694444444446</v>
      </c>
      <c r="Q955" s="5">
        <f t="shared" si="50"/>
        <v>0.56741898148148151</v>
      </c>
      <c r="R955" s="5">
        <f t="shared" si="51"/>
        <v>34.045138888888893</v>
      </c>
    </row>
    <row r="956" spans="1:18">
      <c r="A956" s="4">
        <v>44785</v>
      </c>
      <c r="B956" s="1" t="s">
        <v>20</v>
      </c>
      <c r="C956" s="1">
        <f t="shared" si="58"/>
        <v>8</v>
      </c>
      <c r="D956" s="1">
        <f t="shared" si="59"/>
        <v>12</v>
      </c>
      <c r="E956" s="1">
        <f t="shared" si="60"/>
        <v>2022</v>
      </c>
      <c r="F956" s="1">
        <v>955</v>
      </c>
      <c r="G956" s="1">
        <v>222</v>
      </c>
      <c r="H956" s="1">
        <v>205</v>
      </c>
      <c r="I956" s="2">
        <v>0.9234</v>
      </c>
      <c r="J956" s="1">
        <v>17</v>
      </c>
      <c r="K956" s="3">
        <v>2.3148148148148149E-4</v>
      </c>
      <c r="L956" s="3">
        <v>2.2222222222222222E-3</v>
      </c>
      <c r="M956" s="3">
        <v>1.5046296296296296E-3</v>
      </c>
      <c r="N956" s="2">
        <v>0.72689999999999999</v>
      </c>
      <c r="O956" s="5">
        <f t="shared" si="48"/>
        <v>0.45555555555555555</v>
      </c>
      <c r="P956" s="5">
        <f t="shared" si="49"/>
        <v>27.333333333333332</v>
      </c>
      <c r="Q956" s="5">
        <f t="shared" si="50"/>
        <v>0.49333333333333335</v>
      </c>
      <c r="R956" s="5">
        <f t="shared" si="51"/>
        <v>29.6</v>
      </c>
    </row>
    <row r="957" spans="1:18">
      <c r="A957" s="4">
        <v>44786</v>
      </c>
      <c r="B957" s="1" t="s">
        <v>21</v>
      </c>
      <c r="C957" s="1">
        <f t="shared" si="58"/>
        <v>8</v>
      </c>
      <c r="D957" s="1">
        <f t="shared" si="59"/>
        <v>13</v>
      </c>
      <c r="E957" s="1">
        <f t="shared" si="60"/>
        <v>2022</v>
      </c>
      <c r="F957" s="1">
        <v>956</v>
      </c>
      <c r="G957" s="1">
        <v>203</v>
      </c>
      <c r="H957" s="1">
        <v>192</v>
      </c>
      <c r="I957" s="2">
        <v>0.94579999999999997</v>
      </c>
      <c r="J957" s="1">
        <v>11</v>
      </c>
      <c r="K957" s="3">
        <v>3.1250000000000001E-4</v>
      </c>
      <c r="L957" s="3">
        <v>2.1296296296296298E-3</v>
      </c>
      <c r="M957" s="3">
        <v>2.8587962962962963E-3</v>
      </c>
      <c r="N957" s="2">
        <v>0.68659999999999999</v>
      </c>
      <c r="O957" s="5">
        <f t="shared" si="48"/>
        <v>0.40888888888888891</v>
      </c>
      <c r="P957" s="5">
        <f t="shared" si="49"/>
        <v>24.533333333333335</v>
      </c>
      <c r="Q957" s="5">
        <f t="shared" si="50"/>
        <v>0.43231481481481482</v>
      </c>
      <c r="R957" s="5">
        <f t="shared" si="51"/>
        <v>25.93888888888889</v>
      </c>
    </row>
    <row r="958" spans="1:18">
      <c r="A958" s="4">
        <v>44787</v>
      </c>
      <c r="B958" s="1" t="s">
        <v>22</v>
      </c>
      <c r="C958" s="1">
        <f t="shared" si="58"/>
        <v>8</v>
      </c>
      <c r="D958" s="1">
        <f t="shared" si="59"/>
        <v>14</v>
      </c>
      <c r="E958" s="1">
        <f t="shared" si="60"/>
        <v>2022</v>
      </c>
      <c r="F958" s="1">
        <v>957</v>
      </c>
      <c r="G958" s="1">
        <v>33</v>
      </c>
      <c r="H958" s="1">
        <v>31</v>
      </c>
      <c r="I958" s="2">
        <v>0.93940000000000001</v>
      </c>
      <c r="J958" s="1">
        <v>2</v>
      </c>
      <c r="K958" s="3">
        <v>3.3564814814814812E-4</v>
      </c>
      <c r="L958" s="3">
        <v>1.5625000000000001E-3</v>
      </c>
      <c r="M958" s="3">
        <v>3.9699074074074072E-3</v>
      </c>
      <c r="N958" s="2">
        <v>0.78129999999999999</v>
      </c>
      <c r="O958" s="5">
        <f t="shared" si="48"/>
        <v>4.8437500000000001E-2</v>
      </c>
      <c r="P958" s="5">
        <f t="shared" si="49"/>
        <v>2.90625</v>
      </c>
      <c r="Q958" s="5">
        <f t="shared" si="50"/>
        <v>5.1562500000000004E-2</v>
      </c>
      <c r="R958" s="5">
        <f t="shared" si="51"/>
        <v>3.0937500000000004</v>
      </c>
    </row>
    <row r="959" spans="1:18">
      <c r="A959" s="4">
        <v>44788</v>
      </c>
      <c r="B959" s="1" t="s">
        <v>23</v>
      </c>
      <c r="C959" s="1">
        <f t="shared" si="58"/>
        <v>8</v>
      </c>
      <c r="D959" s="1">
        <f t="shared" si="59"/>
        <v>15</v>
      </c>
      <c r="E959" s="1">
        <f t="shared" si="60"/>
        <v>2022</v>
      </c>
      <c r="F959" s="1">
        <v>958</v>
      </c>
      <c r="G959" s="1">
        <v>220</v>
      </c>
      <c r="H959" s="1">
        <v>195</v>
      </c>
      <c r="I959" s="2">
        <v>0.88639999999999997</v>
      </c>
      <c r="J959" s="1">
        <v>25</v>
      </c>
      <c r="K959" s="3">
        <v>3.2407407407407406E-4</v>
      </c>
      <c r="L959" s="3">
        <v>1.9097222222222222E-3</v>
      </c>
      <c r="M959" s="3">
        <v>2.1527777777777778E-3</v>
      </c>
      <c r="N959" s="2">
        <v>0.59619999999999995</v>
      </c>
      <c r="O959" s="5">
        <f t="shared" si="48"/>
        <v>0.37239583333333331</v>
      </c>
      <c r="P959" s="5">
        <f t="shared" si="49"/>
        <v>22.34375</v>
      </c>
      <c r="Q959" s="5">
        <f t="shared" si="50"/>
        <v>0.4201388888888889</v>
      </c>
      <c r="R959" s="5">
        <f t="shared" si="51"/>
        <v>25.208333333333332</v>
      </c>
    </row>
    <row r="960" spans="1:18">
      <c r="A960" s="4">
        <v>44789</v>
      </c>
      <c r="B960" s="1" t="s">
        <v>24</v>
      </c>
      <c r="C960" s="1">
        <f t="shared" si="58"/>
        <v>8</v>
      </c>
      <c r="D960" s="1">
        <f t="shared" si="59"/>
        <v>16</v>
      </c>
      <c r="E960" s="1">
        <f t="shared" si="60"/>
        <v>2022</v>
      </c>
      <c r="F960" s="1">
        <v>959</v>
      </c>
      <c r="G960" s="1">
        <v>185</v>
      </c>
      <c r="H960" s="1">
        <v>177</v>
      </c>
      <c r="I960" s="2">
        <v>0.95679999999999998</v>
      </c>
      <c r="J960" s="1">
        <v>8</v>
      </c>
      <c r="K960" s="3">
        <v>1.8518518518518518E-4</v>
      </c>
      <c r="L960" s="3">
        <v>1.7708333333333332E-3</v>
      </c>
      <c r="M960" s="3">
        <v>2.1759259259259258E-3</v>
      </c>
      <c r="N960" s="2">
        <v>0.80110000000000003</v>
      </c>
      <c r="O960" s="5">
        <f t="shared" si="48"/>
        <v>0.31343749999999998</v>
      </c>
      <c r="P960" s="5">
        <f t="shared" si="49"/>
        <v>18.806249999999999</v>
      </c>
      <c r="Q960" s="5">
        <f t="shared" si="50"/>
        <v>0.32760416666666664</v>
      </c>
      <c r="R960" s="5">
        <f t="shared" si="51"/>
        <v>19.65625</v>
      </c>
    </row>
    <row r="961" spans="1:18">
      <c r="A961" s="4">
        <v>44790</v>
      </c>
      <c r="B961" s="1" t="s">
        <v>18</v>
      </c>
      <c r="C961" s="1">
        <f t="shared" si="58"/>
        <v>8</v>
      </c>
      <c r="D961" s="1">
        <f t="shared" si="59"/>
        <v>17</v>
      </c>
      <c r="E961" s="1">
        <f t="shared" si="60"/>
        <v>2022</v>
      </c>
      <c r="F961" s="1">
        <v>960</v>
      </c>
      <c r="G961" s="1">
        <v>203</v>
      </c>
      <c r="H961" s="1">
        <v>172</v>
      </c>
      <c r="I961" s="2">
        <v>0.84730000000000005</v>
      </c>
      <c r="J961" s="1">
        <v>31</v>
      </c>
      <c r="K961" s="3">
        <v>3.9351851851851852E-4</v>
      </c>
      <c r="L961" s="3">
        <v>2.0023148148148148E-3</v>
      </c>
      <c r="M961" s="3">
        <v>3.5416666666666665E-3</v>
      </c>
      <c r="N961" s="2">
        <v>0.52790000000000004</v>
      </c>
      <c r="O961" s="5">
        <f t="shared" si="48"/>
        <v>0.34439814814814818</v>
      </c>
      <c r="P961" s="5">
        <f t="shared" si="49"/>
        <v>20.663888888888891</v>
      </c>
      <c r="Q961" s="5">
        <f t="shared" si="50"/>
        <v>0.4064699074074074</v>
      </c>
      <c r="R961" s="5">
        <f t="shared" si="51"/>
        <v>24.388194444444444</v>
      </c>
    </row>
    <row r="962" spans="1:18">
      <c r="A962" s="4">
        <v>44791</v>
      </c>
      <c r="B962" s="1" t="s">
        <v>19</v>
      </c>
      <c r="C962" s="1">
        <f t="shared" si="58"/>
        <v>8</v>
      </c>
      <c r="D962" s="1">
        <f t="shared" si="59"/>
        <v>18</v>
      </c>
      <c r="E962" s="1">
        <f t="shared" si="60"/>
        <v>2022</v>
      </c>
      <c r="F962" s="1">
        <v>961</v>
      </c>
      <c r="G962" s="1">
        <v>218</v>
      </c>
      <c r="H962" s="1">
        <v>193</v>
      </c>
      <c r="I962" s="2">
        <v>0.88529999999999998</v>
      </c>
      <c r="J962" s="1">
        <v>25</v>
      </c>
      <c r="K962" s="3">
        <v>3.9351851851851852E-4</v>
      </c>
      <c r="L962" s="3">
        <v>2.0601851851851853E-3</v>
      </c>
      <c r="M962" s="3">
        <v>5.2546296296296299E-3</v>
      </c>
      <c r="N962" s="2">
        <v>0.61970000000000003</v>
      </c>
      <c r="O962" s="5">
        <f t="shared" si="48"/>
        <v>0.39761574074074074</v>
      </c>
      <c r="P962" s="5">
        <f t="shared" si="49"/>
        <v>23.856944444444444</v>
      </c>
      <c r="Q962" s="5">
        <f t="shared" si="50"/>
        <v>0.44912037037037039</v>
      </c>
      <c r="R962" s="5">
        <f t="shared" si="51"/>
        <v>26.947222222222223</v>
      </c>
    </row>
    <row r="963" spans="1:18">
      <c r="A963" s="4">
        <v>44792</v>
      </c>
      <c r="B963" s="1" t="s">
        <v>20</v>
      </c>
      <c r="C963" s="1">
        <f t="shared" ref="C963:C1026" si="61">MONTH(A963)</f>
        <v>8</v>
      </c>
      <c r="D963" s="1">
        <f t="shared" ref="D963:D1026" si="62">DAY(A963)</f>
        <v>19</v>
      </c>
      <c r="E963" s="1">
        <f t="shared" ref="E963:E1026" si="63">YEAR(A963)</f>
        <v>2022</v>
      </c>
      <c r="F963" s="1">
        <v>962</v>
      </c>
      <c r="G963" s="1">
        <v>204</v>
      </c>
      <c r="H963" s="1">
        <v>194</v>
      </c>
      <c r="I963" s="2">
        <v>0.95099999999999996</v>
      </c>
      <c r="J963" s="1">
        <v>10</v>
      </c>
      <c r="K963" s="3">
        <v>1.8518518518518518E-4</v>
      </c>
      <c r="L963" s="3">
        <v>1.9907407407407408E-3</v>
      </c>
      <c r="M963" s="3">
        <v>2.1527777777777778E-3</v>
      </c>
      <c r="N963" s="2">
        <v>0.81310000000000004</v>
      </c>
      <c r="O963" s="5">
        <f t="shared" si="48"/>
        <v>0.38620370370370372</v>
      </c>
      <c r="P963" s="5">
        <f t="shared" si="49"/>
        <v>23.172222222222224</v>
      </c>
      <c r="Q963" s="5">
        <f t="shared" si="50"/>
        <v>0.40611111111111114</v>
      </c>
      <c r="R963" s="5">
        <f t="shared" si="51"/>
        <v>24.366666666666667</v>
      </c>
    </row>
    <row r="964" spans="1:18">
      <c r="A964" s="4">
        <v>44793</v>
      </c>
      <c r="B964" s="1" t="s">
        <v>21</v>
      </c>
      <c r="C964" s="1">
        <f t="shared" si="61"/>
        <v>8</v>
      </c>
      <c r="D964" s="1">
        <f t="shared" si="62"/>
        <v>20</v>
      </c>
      <c r="E964" s="1">
        <f t="shared" si="63"/>
        <v>2022</v>
      </c>
      <c r="F964" s="1">
        <v>963</v>
      </c>
      <c r="G964" s="1">
        <v>242</v>
      </c>
      <c r="H964" s="1">
        <v>211</v>
      </c>
      <c r="I964" s="2">
        <v>0.87190000000000001</v>
      </c>
      <c r="J964" s="1">
        <v>31</v>
      </c>
      <c r="K964" s="3">
        <v>5.0925925925925921E-4</v>
      </c>
      <c r="L964" s="3">
        <v>2.0486111111111113E-3</v>
      </c>
      <c r="M964" s="3">
        <v>4.2592592592592595E-3</v>
      </c>
      <c r="N964" s="2">
        <v>0.47699999999999998</v>
      </c>
      <c r="O964" s="5">
        <f t="shared" si="48"/>
        <v>0.43225694444444446</v>
      </c>
      <c r="P964" s="5">
        <f t="shared" si="49"/>
        <v>25.935416666666669</v>
      </c>
      <c r="Q964" s="5">
        <f t="shared" si="50"/>
        <v>0.49576388888888895</v>
      </c>
      <c r="R964" s="5">
        <f t="shared" si="51"/>
        <v>29.745833333333337</v>
      </c>
    </row>
    <row r="965" spans="1:18">
      <c r="A965" s="4">
        <v>44794</v>
      </c>
      <c r="B965" s="1" t="s">
        <v>22</v>
      </c>
      <c r="C965" s="1">
        <f t="shared" si="61"/>
        <v>8</v>
      </c>
      <c r="D965" s="1">
        <f t="shared" si="62"/>
        <v>21</v>
      </c>
      <c r="E965" s="1">
        <f t="shared" si="63"/>
        <v>2022</v>
      </c>
      <c r="F965" s="1">
        <v>964</v>
      </c>
      <c r="G965" s="1">
        <v>29</v>
      </c>
      <c r="H965" s="1">
        <v>29</v>
      </c>
      <c r="I965" s="2">
        <v>1</v>
      </c>
      <c r="J965" s="1">
        <v>0</v>
      </c>
      <c r="K965" s="3">
        <v>9.2592592592592588E-5</v>
      </c>
      <c r="L965" s="3">
        <v>1.8518518518518519E-3</v>
      </c>
      <c r="M965" s="3">
        <v>5.0925925925925921E-4</v>
      </c>
      <c r="N965" s="2">
        <v>0.89659999999999995</v>
      </c>
      <c r="O965" s="5">
        <f t="shared" si="48"/>
        <v>5.3703703703703705E-2</v>
      </c>
      <c r="P965" s="5">
        <f t="shared" si="49"/>
        <v>3.2222222222222223</v>
      </c>
      <c r="Q965" s="5">
        <f t="shared" si="50"/>
        <v>5.3703703703703705E-2</v>
      </c>
      <c r="R965" s="5">
        <f t="shared" si="51"/>
        <v>3.2222222222222223</v>
      </c>
    </row>
    <row r="966" spans="1:18">
      <c r="A966" s="4">
        <v>44795</v>
      </c>
      <c r="B966" s="1" t="s">
        <v>23</v>
      </c>
      <c r="C966" s="1">
        <f t="shared" si="61"/>
        <v>8</v>
      </c>
      <c r="D966" s="1">
        <f t="shared" si="62"/>
        <v>22</v>
      </c>
      <c r="E966" s="1">
        <f t="shared" si="63"/>
        <v>2022</v>
      </c>
      <c r="F966" s="1">
        <v>965</v>
      </c>
      <c r="G966" s="1">
        <v>171</v>
      </c>
      <c r="H966" s="1">
        <v>163</v>
      </c>
      <c r="I966" s="2">
        <v>0.95320000000000005</v>
      </c>
      <c r="J966" s="1">
        <v>8</v>
      </c>
      <c r="K966" s="3">
        <v>2.7777777777777778E-4</v>
      </c>
      <c r="L966" s="3">
        <v>2.0601851851851853E-3</v>
      </c>
      <c r="M966" s="3">
        <v>2.3032407407407407E-3</v>
      </c>
      <c r="N966" s="2">
        <v>0.69230000000000003</v>
      </c>
      <c r="O966" s="5">
        <f t="shared" si="48"/>
        <v>0.33581018518518518</v>
      </c>
      <c r="P966" s="5">
        <f t="shared" si="49"/>
        <v>20.148611111111112</v>
      </c>
      <c r="Q966" s="5">
        <f t="shared" si="50"/>
        <v>0.35229166666666667</v>
      </c>
      <c r="R966" s="5">
        <f t="shared" si="51"/>
        <v>21.137499999999999</v>
      </c>
    </row>
    <row r="967" spans="1:18">
      <c r="A967" s="4">
        <v>44796</v>
      </c>
      <c r="B967" s="1" t="s">
        <v>24</v>
      </c>
      <c r="C967" s="1">
        <f t="shared" si="61"/>
        <v>8</v>
      </c>
      <c r="D967" s="1">
        <f t="shared" si="62"/>
        <v>23</v>
      </c>
      <c r="E967" s="1">
        <f t="shared" si="63"/>
        <v>2022</v>
      </c>
      <c r="F967" s="1">
        <v>966</v>
      </c>
      <c r="G967" s="1">
        <v>190</v>
      </c>
      <c r="H967" s="1">
        <v>166</v>
      </c>
      <c r="I967" s="2">
        <v>0.87370000000000003</v>
      </c>
      <c r="J967" s="1">
        <v>24</v>
      </c>
      <c r="K967" s="3">
        <v>5.3240740740740744E-4</v>
      </c>
      <c r="L967" s="3">
        <v>2.0717592592592593E-3</v>
      </c>
      <c r="M967" s="3">
        <v>6.4814814814814813E-3</v>
      </c>
      <c r="N967" s="2">
        <v>0.42249999999999999</v>
      </c>
      <c r="O967" s="5">
        <f t="shared" si="48"/>
        <v>0.34391203703703704</v>
      </c>
      <c r="P967" s="5">
        <f t="shared" si="49"/>
        <v>20.634722222222223</v>
      </c>
      <c r="Q967" s="5">
        <f t="shared" si="50"/>
        <v>0.39363425925925927</v>
      </c>
      <c r="R967" s="5">
        <f t="shared" si="51"/>
        <v>23.618055555555557</v>
      </c>
    </row>
    <row r="968" spans="1:18">
      <c r="A968" s="4">
        <v>44797</v>
      </c>
      <c r="B968" s="1" t="s">
        <v>18</v>
      </c>
      <c r="C968" s="1">
        <f t="shared" si="61"/>
        <v>8</v>
      </c>
      <c r="D968" s="1">
        <f t="shared" si="62"/>
        <v>24</v>
      </c>
      <c r="E968" s="1">
        <f t="shared" si="63"/>
        <v>2022</v>
      </c>
      <c r="F968" s="1">
        <v>967</v>
      </c>
      <c r="G968" s="1">
        <v>221</v>
      </c>
      <c r="H968" s="1">
        <v>196</v>
      </c>
      <c r="I968" s="2">
        <v>0.88690000000000002</v>
      </c>
      <c r="J968" s="1">
        <v>25</v>
      </c>
      <c r="K968" s="3">
        <v>3.8194444444444446E-4</v>
      </c>
      <c r="L968" s="3">
        <v>2.0486111111111113E-3</v>
      </c>
      <c r="M968" s="3">
        <v>3.7615740740740739E-3</v>
      </c>
      <c r="N968" s="2">
        <v>0.53669999999999995</v>
      </c>
      <c r="O968" s="5">
        <f t="shared" si="48"/>
        <v>0.40152777777777782</v>
      </c>
      <c r="P968" s="5">
        <f t="shared" si="49"/>
        <v>24.091666666666669</v>
      </c>
      <c r="Q968" s="5">
        <f t="shared" si="50"/>
        <v>0.45274305555555561</v>
      </c>
      <c r="R968" s="5">
        <f t="shared" si="51"/>
        <v>27.164583333333336</v>
      </c>
    </row>
    <row r="969" spans="1:18">
      <c r="A969" s="4">
        <v>44798</v>
      </c>
      <c r="B969" s="1" t="s">
        <v>19</v>
      </c>
      <c r="C969" s="1">
        <f t="shared" si="61"/>
        <v>8</v>
      </c>
      <c r="D969" s="1">
        <f t="shared" si="62"/>
        <v>25</v>
      </c>
      <c r="E969" s="1">
        <f t="shared" si="63"/>
        <v>2022</v>
      </c>
      <c r="F969" s="1">
        <v>968</v>
      </c>
      <c r="G969" s="1">
        <v>297</v>
      </c>
      <c r="H969" s="1">
        <v>241</v>
      </c>
      <c r="I969" s="2">
        <v>0.81140000000000001</v>
      </c>
      <c r="J969" s="1">
        <v>56</v>
      </c>
      <c r="K969" s="3">
        <v>5.6712962962962967E-4</v>
      </c>
      <c r="L969" s="3">
        <v>2.2106481481481482E-3</v>
      </c>
      <c r="M969" s="3">
        <v>4.7685185185185183E-3</v>
      </c>
      <c r="N969" s="2">
        <v>0.44829999999999998</v>
      </c>
      <c r="O969" s="5">
        <f t="shared" si="48"/>
        <v>0.53276620370370376</v>
      </c>
      <c r="P969" s="5">
        <f t="shared" si="49"/>
        <v>31.965972222222227</v>
      </c>
      <c r="Q969" s="5">
        <f t="shared" si="50"/>
        <v>0.65656250000000005</v>
      </c>
      <c r="R969" s="5">
        <f t="shared" si="51"/>
        <v>39.393750000000004</v>
      </c>
    </row>
    <row r="970" spans="1:18">
      <c r="A970" s="4">
        <v>44799</v>
      </c>
      <c r="B970" s="1" t="s">
        <v>20</v>
      </c>
      <c r="C970" s="1">
        <f t="shared" si="61"/>
        <v>8</v>
      </c>
      <c r="D970" s="1">
        <f t="shared" si="62"/>
        <v>26</v>
      </c>
      <c r="E970" s="1">
        <f t="shared" si="63"/>
        <v>2022</v>
      </c>
      <c r="F970" s="1">
        <v>969</v>
      </c>
      <c r="G970" s="1">
        <v>233</v>
      </c>
      <c r="H970" s="1">
        <v>214</v>
      </c>
      <c r="I970" s="2">
        <v>0.91849999999999998</v>
      </c>
      <c r="J970" s="1">
        <v>19</v>
      </c>
      <c r="K970" s="3">
        <v>3.0092592592592595E-4</v>
      </c>
      <c r="L970" s="3">
        <v>1.9560185185185184E-3</v>
      </c>
      <c r="M970" s="3">
        <v>2.6967592592592594E-3</v>
      </c>
      <c r="N970" s="2">
        <v>0.625</v>
      </c>
      <c r="O970" s="5">
        <f t="shared" si="48"/>
        <v>0.41858796296296291</v>
      </c>
      <c r="P970" s="5">
        <f t="shared" si="49"/>
        <v>25.115277777777774</v>
      </c>
      <c r="Q970" s="5">
        <f t="shared" si="50"/>
        <v>0.45575231481481476</v>
      </c>
      <c r="R970" s="5">
        <f t="shared" si="51"/>
        <v>27.345138888888886</v>
      </c>
    </row>
    <row r="971" spans="1:18">
      <c r="A971" s="4">
        <v>44800</v>
      </c>
      <c r="B971" s="1" t="s">
        <v>21</v>
      </c>
      <c r="C971" s="1">
        <f t="shared" si="61"/>
        <v>8</v>
      </c>
      <c r="D971" s="1">
        <f t="shared" si="62"/>
        <v>27</v>
      </c>
      <c r="E971" s="1">
        <f t="shared" si="63"/>
        <v>2022</v>
      </c>
      <c r="F971" s="1">
        <v>970</v>
      </c>
      <c r="G971" s="1">
        <v>198</v>
      </c>
      <c r="H971" s="1">
        <v>191</v>
      </c>
      <c r="I971" s="2">
        <v>0.96460000000000001</v>
      </c>
      <c r="J971" s="1">
        <v>7</v>
      </c>
      <c r="K971" s="3">
        <v>1.6203703703703703E-4</v>
      </c>
      <c r="L971" s="3">
        <v>2.0949074074074073E-3</v>
      </c>
      <c r="M971" s="3">
        <v>1.4930555555555556E-3</v>
      </c>
      <c r="N971" s="2">
        <v>0.82740000000000002</v>
      </c>
      <c r="O971" s="5">
        <f t="shared" si="48"/>
        <v>0.40012731481481478</v>
      </c>
      <c r="P971" s="5">
        <f t="shared" si="49"/>
        <v>24.007638888888888</v>
      </c>
      <c r="Q971" s="5">
        <f t="shared" si="50"/>
        <v>0.41479166666666667</v>
      </c>
      <c r="R971" s="5">
        <f t="shared" si="51"/>
        <v>24.887499999999999</v>
      </c>
    </row>
    <row r="972" spans="1:18">
      <c r="A972" s="4">
        <v>44801</v>
      </c>
      <c r="B972" s="1" t="s">
        <v>22</v>
      </c>
      <c r="C972" s="1">
        <f t="shared" si="61"/>
        <v>8</v>
      </c>
      <c r="D972" s="1">
        <f t="shared" si="62"/>
        <v>28</v>
      </c>
      <c r="E972" s="1">
        <f t="shared" si="63"/>
        <v>2022</v>
      </c>
      <c r="F972" s="1">
        <v>971</v>
      </c>
      <c r="G972" s="1">
        <v>15</v>
      </c>
      <c r="H972" s="1">
        <v>15</v>
      </c>
      <c r="I972" s="2">
        <v>1</v>
      </c>
      <c r="J972" s="1">
        <v>0</v>
      </c>
      <c r="K972" s="3">
        <v>4.6296296296296294E-5</v>
      </c>
      <c r="L972" s="3">
        <v>2.3032407407407407E-3</v>
      </c>
      <c r="M972" s="3">
        <v>1.6203703703703703E-4</v>
      </c>
      <c r="N972" s="2">
        <v>1</v>
      </c>
      <c r="O972" s="5">
        <f t="shared" si="48"/>
        <v>3.4548611111111113E-2</v>
      </c>
      <c r="P972" s="5">
        <f t="shared" si="49"/>
        <v>2.072916666666667</v>
      </c>
      <c r="Q972" s="5">
        <f t="shared" si="50"/>
        <v>3.4548611111111113E-2</v>
      </c>
      <c r="R972" s="5">
        <f t="shared" si="51"/>
        <v>2.072916666666667</v>
      </c>
    </row>
    <row r="973" spans="1:18">
      <c r="A973" s="4">
        <v>44802</v>
      </c>
      <c r="B973" s="1" t="s">
        <v>23</v>
      </c>
      <c r="C973" s="1">
        <f t="shared" si="61"/>
        <v>8</v>
      </c>
      <c r="D973" s="1">
        <f t="shared" si="62"/>
        <v>29</v>
      </c>
      <c r="E973" s="1">
        <f t="shared" si="63"/>
        <v>2022</v>
      </c>
      <c r="F973" s="1">
        <v>972</v>
      </c>
      <c r="G973" s="1">
        <v>27</v>
      </c>
      <c r="H973" s="1">
        <v>25</v>
      </c>
      <c r="I973" s="2">
        <v>0.92589999999999995</v>
      </c>
      <c r="J973" s="1">
        <v>2</v>
      </c>
      <c r="K973" s="3">
        <v>9.2592592592592588E-5</v>
      </c>
      <c r="L973" s="3">
        <v>1.7824074074074075E-3</v>
      </c>
      <c r="M973" s="3">
        <v>1.4351851851851852E-3</v>
      </c>
      <c r="N973" s="2">
        <v>0.88890000000000002</v>
      </c>
      <c r="O973" s="5">
        <f t="shared" si="48"/>
        <v>4.4560185185185189E-2</v>
      </c>
      <c r="P973" s="5">
        <f t="shared" si="49"/>
        <v>2.6736111111111112</v>
      </c>
      <c r="Q973" s="5">
        <f t="shared" si="50"/>
        <v>4.8125000000000001E-2</v>
      </c>
      <c r="R973" s="5">
        <f t="shared" si="51"/>
        <v>2.8875000000000002</v>
      </c>
    </row>
    <row r="974" spans="1:18">
      <c r="A974" s="4">
        <v>44803</v>
      </c>
      <c r="B974" s="1" t="s">
        <v>24</v>
      </c>
      <c r="C974" s="1">
        <f t="shared" si="61"/>
        <v>8</v>
      </c>
      <c r="D974" s="1">
        <f t="shared" si="62"/>
        <v>30</v>
      </c>
      <c r="E974" s="1">
        <f t="shared" si="63"/>
        <v>2022</v>
      </c>
      <c r="F974" s="1">
        <v>973</v>
      </c>
      <c r="G974" s="1">
        <v>7</v>
      </c>
      <c r="H974" s="1">
        <v>6</v>
      </c>
      <c r="I974" s="2">
        <v>0.85709999999999997</v>
      </c>
      <c r="J974" s="1">
        <v>1</v>
      </c>
      <c r="K974" s="3">
        <v>3.4722222222222222E-5</v>
      </c>
      <c r="L974" s="3">
        <v>3.3333333333333335E-3</v>
      </c>
      <c r="M974" s="3">
        <v>3.5879629629629629E-4</v>
      </c>
      <c r="N974" s="2">
        <v>0.85709999999999997</v>
      </c>
      <c r="O974" s="5">
        <f t="shared" si="48"/>
        <v>0.02</v>
      </c>
      <c r="P974" s="5">
        <f t="shared" si="49"/>
        <v>1.2</v>
      </c>
      <c r="Q974" s="5">
        <f t="shared" si="50"/>
        <v>2.3333333333333334E-2</v>
      </c>
      <c r="R974" s="5">
        <f t="shared" si="51"/>
        <v>1.4000000000000001</v>
      </c>
    </row>
    <row r="975" spans="1:18">
      <c r="A975" s="4">
        <v>44804</v>
      </c>
      <c r="B975" s="1" t="s">
        <v>18</v>
      </c>
      <c r="C975" s="1">
        <f t="shared" si="61"/>
        <v>8</v>
      </c>
      <c r="D975" s="1">
        <f t="shared" si="62"/>
        <v>31</v>
      </c>
      <c r="E975" s="1">
        <f t="shared" si="63"/>
        <v>2022</v>
      </c>
      <c r="F975" s="1">
        <v>974</v>
      </c>
      <c r="G975" s="1">
        <v>169</v>
      </c>
      <c r="H975" s="1">
        <v>144</v>
      </c>
      <c r="I975" s="2">
        <v>0.85209999999999997</v>
      </c>
      <c r="J975" s="1">
        <v>25</v>
      </c>
      <c r="K975" s="3">
        <v>3.8194444444444446E-4</v>
      </c>
      <c r="L975" s="3">
        <v>1.8055555555555555E-3</v>
      </c>
      <c r="M975" s="3">
        <v>5.9143518518518521E-3</v>
      </c>
      <c r="N975" s="2">
        <v>0.56359999999999999</v>
      </c>
      <c r="O975" s="5">
        <f t="shared" si="48"/>
        <v>0.26</v>
      </c>
      <c r="P975" s="5">
        <f t="shared" si="49"/>
        <v>15.600000000000001</v>
      </c>
      <c r="Q975" s="5">
        <f t="shared" si="50"/>
        <v>0.30513888888888885</v>
      </c>
      <c r="R975" s="5">
        <f t="shared" si="51"/>
        <v>18.30833333333333</v>
      </c>
    </row>
    <row r="976" spans="1:18">
      <c r="A976" s="4">
        <v>44805</v>
      </c>
      <c r="B976" s="1" t="s">
        <v>19</v>
      </c>
      <c r="C976" s="1">
        <f t="shared" si="61"/>
        <v>9</v>
      </c>
      <c r="D976" s="1">
        <f t="shared" si="62"/>
        <v>1</v>
      </c>
      <c r="E976" s="1">
        <f t="shared" si="63"/>
        <v>2022</v>
      </c>
      <c r="F976" s="1">
        <v>975</v>
      </c>
      <c r="G976" s="1">
        <v>224</v>
      </c>
      <c r="H976" s="1">
        <v>206</v>
      </c>
      <c r="I976" s="2">
        <v>0.91959999999999997</v>
      </c>
      <c r="J976" s="1">
        <v>18</v>
      </c>
      <c r="K976" s="3">
        <v>2.3148148148148149E-4</v>
      </c>
      <c r="L976" s="3">
        <v>1.7939814814814815E-3</v>
      </c>
      <c r="M976" s="3">
        <v>1.6898148148148148E-3</v>
      </c>
      <c r="N976" s="2">
        <v>0.70720000000000005</v>
      </c>
      <c r="O976" s="5">
        <f t="shared" si="48"/>
        <v>0.36956018518518519</v>
      </c>
      <c r="P976" s="5">
        <f t="shared" si="49"/>
        <v>22.173611111111111</v>
      </c>
      <c r="Q976" s="5">
        <f t="shared" si="50"/>
        <v>0.40185185185185185</v>
      </c>
      <c r="R976" s="5">
        <f t="shared" si="51"/>
        <v>24.111111111111111</v>
      </c>
    </row>
    <row r="977" spans="1:18">
      <c r="A977" s="4">
        <v>44806</v>
      </c>
      <c r="B977" s="1" t="s">
        <v>20</v>
      </c>
      <c r="C977" s="1">
        <f t="shared" si="61"/>
        <v>9</v>
      </c>
      <c r="D977" s="1">
        <f t="shared" si="62"/>
        <v>2</v>
      </c>
      <c r="E977" s="1">
        <f t="shared" si="63"/>
        <v>2022</v>
      </c>
      <c r="F977" s="1">
        <v>976</v>
      </c>
      <c r="G977" s="1">
        <v>170</v>
      </c>
      <c r="H977" s="1">
        <v>160</v>
      </c>
      <c r="I977" s="2">
        <v>0.94120000000000004</v>
      </c>
      <c r="J977" s="1">
        <v>10</v>
      </c>
      <c r="K977" s="3">
        <v>3.2407407407407406E-4</v>
      </c>
      <c r="L977" s="3">
        <v>2.0949074074074073E-3</v>
      </c>
      <c r="M977" s="3">
        <v>3.5879629629629629E-3</v>
      </c>
      <c r="N977" s="2">
        <v>0.62350000000000005</v>
      </c>
      <c r="O977" s="5">
        <f t="shared" si="48"/>
        <v>0.33518518518518514</v>
      </c>
      <c r="P977" s="5">
        <f t="shared" si="49"/>
        <v>20.111111111111107</v>
      </c>
      <c r="Q977" s="5">
        <f t="shared" si="50"/>
        <v>0.35613425925925923</v>
      </c>
      <c r="R977" s="5">
        <f t="shared" si="51"/>
        <v>21.368055555555554</v>
      </c>
    </row>
    <row r="978" spans="1:18">
      <c r="A978" s="4">
        <v>44807</v>
      </c>
      <c r="B978" s="1" t="s">
        <v>21</v>
      </c>
      <c r="C978" s="1">
        <f t="shared" si="61"/>
        <v>9</v>
      </c>
      <c r="D978" s="1">
        <f t="shared" si="62"/>
        <v>3</v>
      </c>
      <c r="E978" s="1">
        <f t="shared" si="63"/>
        <v>2022</v>
      </c>
      <c r="F978" s="1">
        <v>977</v>
      </c>
      <c r="G978" s="1">
        <v>161</v>
      </c>
      <c r="H978" s="1">
        <v>149</v>
      </c>
      <c r="I978" s="2">
        <v>0.92549999999999999</v>
      </c>
      <c r="J978" s="1">
        <v>12</v>
      </c>
      <c r="K978" s="3">
        <v>2.7777777777777778E-4</v>
      </c>
      <c r="L978" s="3">
        <v>2.1759259259259258E-3</v>
      </c>
      <c r="M978" s="3">
        <v>1.7824074074074075E-3</v>
      </c>
      <c r="N978" s="2">
        <v>0.68130000000000002</v>
      </c>
      <c r="O978" s="5">
        <f t="shared" si="48"/>
        <v>0.32421296296296293</v>
      </c>
      <c r="P978" s="5">
        <f t="shared" si="49"/>
        <v>19.452777777777776</v>
      </c>
      <c r="Q978" s="5">
        <f t="shared" si="50"/>
        <v>0.35032407407407407</v>
      </c>
      <c r="R978" s="5">
        <f t="shared" si="51"/>
        <v>21.019444444444446</v>
      </c>
    </row>
    <row r="979" spans="1:18">
      <c r="A979" s="4">
        <v>44808</v>
      </c>
      <c r="B979" s="1" t="s">
        <v>22</v>
      </c>
      <c r="C979" s="1">
        <f t="shared" si="61"/>
        <v>9</v>
      </c>
      <c r="D979" s="1">
        <f t="shared" si="62"/>
        <v>4</v>
      </c>
      <c r="E979" s="1">
        <f t="shared" si="63"/>
        <v>2022</v>
      </c>
      <c r="F979" s="1">
        <v>978</v>
      </c>
      <c r="G979" s="1">
        <v>37</v>
      </c>
      <c r="H979" s="1">
        <v>35</v>
      </c>
      <c r="I979" s="2">
        <v>0.94589999999999996</v>
      </c>
      <c r="J979" s="1">
        <v>2</v>
      </c>
      <c r="K979" s="3">
        <v>1.3888888888888889E-4</v>
      </c>
      <c r="L979" s="3">
        <v>1.9444444444444444E-3</v>
      </c>
      <c r="M979" s="3">
        <v>7.291666666666667E-4</v>
      </c>
      <c r="N979" s="2">
        <v>0.80559999999999998</v>
      </c>
      <c r="O979" s="5">
        <f t="shared" si="48"/>
        <v>6.805555555555555E-2</v>
      </c>
      <c r="P979" s="5">
        <f t="shared" si="49"/>
        <v>4.083333333333333</v>
      </c>
      <c r="Q979" s="5">
        <f t="shared" si="50"/>
        <v>7.1944444444444436E-2</v>
      </c>
      <c r="R979" s="5">
        <f t="shared" si="51"/>
        <v>4.3166666666666664</v>
      </c>
    </row>
    <row r="980" spans="1:18">
      <c r="A980" s="4">
        <v>44809</v>
      </c>
      <c r="B980" s="1" t="s">
        <v>23</v>
      </c>
      <c r="C980" s="1">
        <f t="shared" si="61"/>
        <v>9</v>
      </c>
      <c r="D980" s="1">
        <f t="shared" si="62"/>
        <v>5</v>
      </c>
      <c r="E980" s="1">
        <f t="shared" si="63"/>
        <v>2022</v>
      </c>
      <c r="F980" s="1">
        <v>979</v>
      </c>
      <c r="G980" s="1">
        <v>183</v>
      </c>
      <c r="H980" s="1">
        <v>169</v>
      </c>
      <c r="I980" s="2">
        <v>0.92349999999999999</v>
      </c>
      <c r="J980" s="1">
        <v>14</v>
      </c>
      <c r="K980" s="3">
        <v>3.7037037037037035E-4</v>
      </c>
      <c r="L980" s="3">
        <v>2.0601851851851853E-3</v>
      </c>
      <c r="M980" s="3">
        <v>3.1018518518518517E-3</v>
      </c>
      <c r="N980" s="2">
        <v>0.59889999999999999</v>
      </c>
      <c r="O980" s="5">
        <f t="shared" si="48"/>
        <v>0.34817129629629634</v>
      </c>
      <c r="P980" s="5">
        <f t="shared" si="49"/>
        <v>20.890277777777779</v>
      </c>
      <c r="Q980" s="5">
        <f t="shared" si="50"/>
        <v>0.37701388888888893</v>
      </c>
      <c r="R980" s="5">
        <f t="shared" si="51"/>
        <v>22.620833333333337</v>
      </c>
    </row>
    <row r="981" spans="1:18">
      <c r="A981" s="4">
        <v>44810</v>
      </c>
      <c r="B981" s="1" t="s">
        <v>24</v>
      </c>
      <c r="C981" s="1">
        <f t="shared" si="61"/>
        <v>9</v>
      </c>
      <c r="D981" s="1">
        <f t="shared" si="62"/>
        <v>6</v>
      </c>
      <c r="E981" s="1">
        <f t="shared" si="63"/>
        <v>2022</v>
      </c>
      <c r="F981" s="1">
        <v>980</v>
      </c>
      <c r="G981" s="1">
        <v>221</v>
      </c>
      <c r="H981" s="1">
        <v>206</v>
      </c>
      <c r="I981" s="2">
        <v>0.93210000000000004</v>
      </c>
      <c r="J981" s="1">
        <v>15</v>
      </c>
      <c r="K981" s="3">
        <v>3.4722222222222224E-4</v>
      </c>
      <c r="L981" s="3">
        <v>2.0138888888888888E-3</v>
      </c>
      <c r="M981" s="3">
        <v>3.0439814814814813E-3</v>
      </c>
      <c r="N981" s="2">
        <v>0.58179999999999998</v>
      </c>
      <c r="O981" s="5">
        <f t="shared" si="48"/>
        <v>0.41486111111111112</v>
      </c>
      <c r="P981" s="5">
        <f t="shared" si="49"/>
        <v>24.891666666666666</v>
      </c>
      <c r="Q981" s="5">
        <f t="shared" si="50"/>
        <v>0.44506944444444446</v>
      </c>
      <c r="R981" s="5">
        <f t="shared" si="51"/>
        <v>26.704166666666669</v>
      </c>
    </row>
    <row r="982" spans="1:18">
      <c r="A982" s="4">
        <v>44811</v>
      </c>
      <c r="B982" s="1" t="s">
        <v>18</v>
      </c>
      <c r="C982" s="1">
        <f t="shared" si="61"/>
        <v>9</v>
      </c>
      <c r="D982" s="1">
        <f t="shared" si="62"/>
        <v>7</v>
      </c>
      <c r="E982" s="1">
        <f t="shared" si="63"/>
        <v>2022</v>
      </c>
      <c r="F982" s="1">
        <v>981</v>
      </c>
      <c r="G982" s="1">
        <v>202</v>
      </c>
      <c r="H982" s="1">
        <v>193</v>
      </c>
      <c r="I982" s="2">
        <v>0.95540000000000003</v>
      </c>
      <c r="J982" s="1">
        <v>9</v>
      </c>
      <c r="K982" s="3">
        <v>2.0833333333333335E-4</v>
      </c>
      <c r="L982" s="3">
        <v>2.0023148148148148E-3</v>
      </c>
      <c r="M982" s="3">
        <v>1.9444444444444444E-3</v>
      </c>
      <c r="N982" s="2">
        <v>0.75380000000000003</v>
      </c>
      <c r="O982" s="5">
        <f t="shared" si="48"/>
        <v>0.38644675925925925</v>
      </c>
      <c r="P982" s="5">
        <f t="shared" si="49"/>
        <v>23.186805555555555</v>
      </c>
      <c r="Q982" s="5">
        <f t="shared" si="50"/>
        <v>0.40446759259259257</v>
      </c>
      <c r="R982" s="5">
        <f t="shared" si="51"/>
        <v>24.268055555555556</v>
      </c>
    </row>
    <row r="983" spans="1:18">
      <c r="A983" s="4">
        <v>44812</v>
      </c>
      <c r="B983" s="1" t="s">
        <v>19</v>
      </c>
      <c r="C983" s="1">
        <f t="shared" si="61"/>
        <v>9</v>
      </c>
      <c r="D983" s="1">
        <f t="shared" si="62"/>
        <v>8</v>
      </c>
      <c r="E983" s="1">
        <f t="shared" si="63"/>
        <v>2022</v>
      </c>
      <c r="F983" s="1">
        <v>982</v>
      </c>
      <c r="G983" s="1">
        <v>193</v>
      </c>
      <c r="H983" s="1">
        <v>163</v>
      </c>
      <c r="I983" s="2">
        <v>0.84460000000000002</v>
      </c>
      <c r="J983" s="1">
        <v>30</v>
      </c>
      <c r="K983" s="3">
        <v>4.1666666666666669E-4</v>
      </c>
      <c r="L983" s="3">
        <v>2.2222222222222222E-3</v>
      </c>
      <c r="M983" s="3">
        <v>3.6111111111111109E-3</v>
      </c>
      <c r="N983" s="2">
        <v>0.53400000000000003</v>
      </c>
      <c r="O983" s="5">
        <f t="shared" si="48"/>
        <v>0.36222222222222222</v>
      </c>
      <c r="P983" s="5">
        <f t="shared" si="49"/>
        <v>21.733333333333334</v>
      </c>
      <c r="Q983" s="5">
        <f t="shared" si="50"/>
        <v>0.42888888888888888</v>
      </c>
      <c r="R983" s="5">
        <f t="shared" si="51"/>
        <v>25.733333333333334</v>
      </c>
    </row>
    <row r="984" spans="1:18">
      <c r="A984" s="4">
        <v>44813</v>
      </c>
      <c r="B984" s="1" t="s">
        <v>20</v>
      </c>
      <c r="C984" s="1">
        <f t="shared" si="61"/>
        <v>9</v>
      </c>
      <c r="D984" s="1">
        <f t="shared" si="62"/>
        <v>9</v>
      </c>
      <c r="E984" s="1">
        <f t="shared" si="63"/>
        <v>2022</v>
      </c>
      <c r="F984" s="1">
        <v>983</v>
      </c>
      <c r="G984" s="1">
        <v>201</v>
      </c>
      <c r="H984" s="1">
        <v>196</v>
      </c>
      <c r="I984" s="2">
        <v>0.97509999999999997</v>
      </c>
      <c r="J984" s="1">
        <v>5</v>
      </c>
      <c r="K984" s="3">
        <v>1.1574074074074075E-4</v>
      </c>
      <c r="L984" s="3">
        <v>1.8865740740740742E-3</v>
      </c>
      <c r="M984" s="3">
        <v>1.7592592592592592E-3</v>
      </c>
      <c r="N984" s="2">
        <v>0.89</v>
      </c>
      <c r="O984" s="5">
        <f t="shared" si="48"/>
        <v>0.36976851851851855</v>
      </c>
      <c r="P984" s="5">
        <f t="shared" si="49"/>
        <v>22.186111111111114</v>
      </c>
      <c r="Q984" s="5">
        <f t="shared" si="50"/>
        <v>0.37920138888888888</v>
      </c>
      <c r="R984" s="5">
        <f t="shared" si="51"/>
        <v>22.752083333333331</v>
      </c>
    </row>
    <row r="985" spans="1:18">
      <c r="A985" s="4">
        <v>44814</v>
      </c>
      <c r="B985" s="1" t="s">
        <v>21</v>
      </c>
      <c r="C985" s="1">
        <f t="shared" si="61"/>
        <v>9</v>
      </c>
      <c r="D985" s="1">
        <f t="shared" si="62"/>
        <v>10</v>
      </c>
      <c r="E985" s="1">
        <f t="shared" si="63"/>
        <v>2022</v>
      </c>
      <c r="F985" s="1">
        <v>984</v>
      </c>
      <c r="G985" s="1">
        <v>193</v>
      </c>
      <c r="H985" s="1">
        <v>180</v>
      </c>
      <c r="I985" s="2">
        <v>0.93259999999999998</v>
      </c>
      <c r="J985" s="1">
        <v>13</v>
      </c>
      <c r="K985" s="3">
        <v>2.4305555555555555E-4</v>
      </c>
      <c r="L985" s="3">
        <v>1.8749999999999999E-3</v>
      </c>
      <c r="M985" s="3">
        <v>2.2800925925925927E-3</v>
      </c>
      <c r="N985" s="2">
        <v>0.73160000000000003</v>
      </c>
      <c r="O985" s="5">
        <f t="shared" si="48"/>
        <v>0.33749999999999997</v>
      </c>
      <c r="P985" s="5">
        <f t="shared" si="49"/>
        <v>20.249999999999996</v>
      </c>
      <c r="Q985" s="5">
        <f t="shared" si="50"/>
        <v>0.361875</v>
      </c>
      <c r="R985" s="5">
        <f t="shared" si="51"/>
        <v>21.712499999999999</v>
      </c>
    </row>
    <row r="986" spans="1:18">
      <c r="A986" s="4">
        <v>44815</v>
      </c>
      <c r="B986" s="1" t="s">
        <v>22</v>
      </c>
      <c r="C986" s="1">
        <f t="shared" si="61"/>
        <v>9</v>
      </c>
      <c r="D986" s="1">
        <f t="shared" si="62"/>
        <v>11</v>
      </c>
      <c r="E986" s="1">
        <f t="shared" si="63"/>
        <v>2022</v>
      </c>
      <c r="F986" s="1">
        <v>985</v>
      </c>
      <c r="G986" s="1">
        <v>27</v>
      </c>
      <c r="H986" s="1">
        <v>25</v>
      </c>
      <c r="I986" s="2">
        <v>0.92589999999999995</v>
      </c>
      <c r="J986" s="1">
        <v>2</v>
      </c>
      <c r="K986" s="3">
        <v>2.8935185185185184E-4</v>
      </c>
      <c r="L986" s="3">
        <v>1.4236111111111112E-3</v>
      </c>
      <c r="M986" s="3">
        <v>1.4699074074074074E-3</v>
      </c>
      <c r="N986" s="2">
        <v>0.66669999999999996</v>
      </c>
      <c r="O986" s="5">
        <f t="shared" si="48"/>
        <v>3.5590277777777776E-2</v>
      </c>
      <c r="P986" s="5">
        <f t="shared" si="49"/>
        <v>2.1354166666666665</v>
      </c>
      <c r="Q986" s="5">
        <f t="shared" si="50"/>
        <v>3.8437499999999999E-2</v>
      </c>
      <c r="R986" s="5">
        <f t="shared" si="51"/>
        <v>2.3062499999999999</v>
      </c>
    </row>
    <row r="987" spans="1:18">
      <c r="A987" s="4">
        <v>44816</v>
      </c>
      <c r="B987" s="1" t="s">
        <v>23</v>
      </c>
      <c r="C987" s="1">
        <f t="shared" si="61"/>
        <v>9</v>
      </c>
      <c r="D987" s="1">
        <f t="shared" si="62"/>
        <v>12</v>
      </c>
      <c r="E987" s="1">
        <f t="shared" si="63"/>
        <v>2022</v>
      </c>
      <c r="F987" s="1">
        <v>986</v>
      </c>
      <c r="G987" s="1">
        <v>227</v>
      </c>
      <c r="H987" s="1">
        <v>206</v>
      </c>
      <c r="I987" s="2">
        <v>0.90749999999999997</v>
      </c>
      <c r="J987" s="1">
        <v>21</v>
      </c>
      <c r="K987" s="3">
        <v>3.3564814814814812E-4</v>
      </c>
      <c r="L987" s="3">
        <v>2.0949074074074073E-3</v>
      </c>
      <c r="M987" s="3">
        <v>3.0787037037037037E-3</v>
      </c>
      <c r="N987" s="2">
        <v>0.66669999999999996</v>
      </c>
      <c r="O987" s="5">
        <f t="shared" si="48"/>
        <v>0.43155092592592592</v>
      </c>
      <c r="P987" s="5">
        <f t="shared" si="49"/>
        <v>25.893055555555556</v>
      </c>
      <c r="Q987" s="5">
        <f t="shared" si="50"/>
        <v>0.47554398148148147</v>
      </c>
      <c r="R987" s="5">
        <f t="shared" si="51"/>
        <v>28.53263888888889</v>
      </c>
    </row>
    <row r="988" spans="1:18">
      <c r="A988" s="4">
        <v>44817</v>
      </c>
      <c r="B988" s="1" t="s">
        <v>24</v>
      </c>
      <c r="C988" s="1">
        <f t="shared" si="61"/>
        <v>9</v>
      </c>
      <c r="D988" s="1">
        <f t="shared" si="62"/>
        <v>13</v>
      </c>
      <c r="E988" s="1">
        <f t="shared" si="63"/>
        <v>2022</v>
      </c>
      <c r="F988" s="1">
        <v>987</v>
      </c>
      <c r="G988" s="1">
        <v>225</v>
      </c>
      <c r="H988" s="1">
        <v>199</v>
      </c>
      <c r="I988" s="2">
        <v>0.88439999999999996</v>
      </c>
      <c r="J988" s="1">
        <v>26</v>
      </c>
      <c r="K988" s="3">
        <v>4.0509259259259258E-4</v>
      </c>
      <c r="L988" s="3">
        <v>2.0601851851851853E-3</v>
      </c>
      <c r="M988" s="3">
        <v>3.6921296296296298E-3</v>
      </c>
      <c r="N988" s="2">
        <v>0.52680000000000005</v>
      </c>
      <c r="O988" s="5">
        <f t="shared" si="48"/>
        <v>0.4099768518518519</v>
      </c>
      <c r="P988" s="5">
        <f t="shared" si="49"/>
        <v>24.598611111111115</v>
      </c>
      <c r="Q988" s="5">
        <f t="shared" si="50"/>
        <v>0.46354166666666669</v>
      </c>
      <c r="R988" s="5">
        <f t="shared" si="51"/>
        <v>27.8125</v>
      </c>
    </row>
    <row r="989" spans="1:18">
      <c r="A989" s="4">
        <v>44818</v>
      </c>
      <c r="B989" s="1" t="s">
        <v>18</v>
      </c>
      <c r="C989" s="1">
        <f t="shared" si="61"/>
        <v>9</v>
      </c>
      <c r="D989" s="1">
        <f t="shared" si="62"/>
        <v>14</v>
      </c>
      <c r="E989" s="1">
        <f t="shared" si="63"/>
        <v>2022</v>
      </c>
      <c r="F989" s="1">
        <v>988</v>
      </c>
      <c r="G989" s="1">
        <v>204</v>
      </c>
      <c r="H989" s="1">
        <v>193</v>
      </c>
      <c r="I989" s="2">
        <v>0.94610000000000005</v>
      </c>
      <c r="J989" s="1">
        <v>11</v>
      </c>
      <c r="K989" s="3">
        <v>3.8194444444444446E-4</v>
      </c>
      <c r="L989" s="3">
        <v>1.8402777777777777E-3</v>
      </c>
      <c r="M989" s="3">
        <v>3.7152777777777778E-3</v>
      </c>
      <c r="N989" s="2">
        <v>0.58819999999999995</v>
      </c>
      <c r="O989" s="5">
        <f t="shared" si="48"/>
        <v>0.35517361111111112</v>
      </c>
      <c r="P989" s="5">
        <f t="shared" si="49"/>
        <v>21.310416666666669</v>
      </c>
      <c r="Q989" s="5">
        <f t="shared" si="50"/>
        <v>0.37541666666666668</v>
      </c>
      <c r="R989" s="5">
        <f t="shared" si="51"/>
        <v>22.525000000000002</v>
      </c>
    </row>
    <row r="990" spans="1:18">
      <c r="A990" s="4">
        <v>44819</v>
      </c>
      <c r="B990" s="1" t="s">
        <v>19</v>
      </c>
      <c r="C990" s="1">
        <f t="shared" si="61"/>
        <v>9</v>
      </c>
      <c r="D990" s="1">
        <f t="shared" si="62"/>
        <v>15</v>
      </c>
      <c r="E990" s="1">
        <f t="shared" si="63"/>
        <v>2022</v>
      </c>
      <c r="F990" s="1">
        <v>989</v>
      </c>
      <c r="G990" s="1">
        <v>221</v>
      </c>
      <c r="H990" s="1">
        <v>194</v>
      </c>
      <c r="I990" s="2">
        <v>0.87780000000000002</v>
      </c>
      <c r="J990" s="1">
        <v>27</v>
      </c>
      <c r="K990" s="3">
        <v>3.3564814814814812E-4</v>
      </c>
      <c r="L990" s="3">
        <v>1.9444444444444444E-3</v>
      </c>
      <c r="M990" s="3">
        <v>3.5300925925925925E-3</v>
      </c>
      <c r="N990" s="2">
        <v>0.60729999999999995</v>
      </c>
      <c r="O990" s="5">
        <f t="shared" si="48"/>
        <v>0.37722222222222224</v>
      </c>
      <c r="P990" s="5">
        <f t="shared" si="49"/>
        <v>22.633333333333333</v>
      </c>
      <c r="Q990" s="5">
        <f t="shared" si="50"/>
        <v>0.42972222222222223</v>
      </c>
      <c r="R990" s="5">
        <f t="shared" si="51"/>
        <v>25.783333333333335</v>
      </c>
    </row>
    <row r="991" spans="1:18">
      <c r="A991" s="4">
        <v>44820</v>
      </c>
      <c r="B991" s="1" t="s">
        <v>20</v>
      </c>
      <c r="C991" s="1">
        <f t="shared" si="61"/>
        <v>9</v>
      </c>
      <c r="D991" s="1">
        <f t="shared" si="62"/>
        <v>16</v>
      </c>
      <c r="E991" s="1">
        <f t="shared" si="63"/>
        <v>2022</v>
      </c>
      <c r="F991" s="1">
        <v>990</v>
      </c>
      <c r="G991" s="1">
        <v>172</v>
      </c>
      <c r="H991" s="1">
        <v>154</v>
      </c>
      <c r="I991" s="2">
        <v>0.89529999999999998</v>
      </c>
      <c r="J991" s="1">
        <v>18</v>
      </c>
      <c r="K991" s="3">
        <v>3.9351851851851852E-4</v>
      </c>
      <c r="L991" s="3">
        <v>2.1875000000000002E-3</v>
      </c>
      <c r="M991" s="3">
        <v>2.1527777777777778E-3</v>
      </c>
      <c r="N991" s="2">
        <v>0.54169999999999996</v>
      </c>
      <c r="O991" s="5">
        <f t="shared" si="48"/>
        <v>0.33687500000000004</v>
      </c>
      <c r="P991" s="5">
        <f t="shared" si="49"/>
        <v>20.212500000000002</v>
      </c>
      <c r="Q991" s="5">
        <f t="shared" si="50"/>
        <v>0.37625000000000003</v>
      </c>
      <c r="R991" s="5">
        <f t="shared" si="51"/>
        <v>22.575000000000003</v>
      </c>
    </row>
    <row r="992" spans="1:18">
      <c r="A992" s="4">
        <v>44821</v>
      </c>
      <c r="B992" s="1" t="s">
        <v>21</v>
      </c>
      <c r="C992" s="1">
        <f t="shared" si="61"/>
        <v>9</v>
      </c>
      <c r="D992" s="1">
        <f t="shared" si="62"/>
        <v>17</v>
      </c>
      <c r="E992" s="1">
        <f t="shared" si="63"/>
        <v>2022</v>
      </c>
      <c r="F992" s="1">
        <v>991</v>
      </c>
      <c r="G992" s="1">
        <v>161</v>
      </c>
      <c r="H992" s="1">
        <v>150</v>
      </c>
      <c r="I992" s="2">
        <v>0.93169999999999997</v>
      </c>
      <c r="J992" s="1">
        <v>11</v>
      </c>
      <c r="K992" s="3">
        <v>4.1666666666666669E-4</v>
      </c>
      <c r="L992" s="3">
        <v>1.9791666666666668E-3</v>
      </c>
      <c r="M992" s="3">
        <v>4.0856481481481481E-3</v>
      </c>
      <c r="N992" s="2">
        <v>0.52800000000000002</v>
      </c>
      <c r="O992" s="5">
        <f t="shared" si="48"/>
        <v>0.296875</v>
      </c>
      <c r="P992" s="5">
        <f t="shared" si="49"/>
        <v>17.8125</v>
      </c>
      <c r="Q992" s="5">
        <f t="shared" si="50"/>
        <v>0.31864583333333335</v>
      </c>
      <c r="R992" s="5">
        <f t="shared" si="51"/>
        <v>19.118750000000002</v>
      </c>
    </row>
    <row r="993" spans="1:18">
      <c r="A993" s="4">
        <v>44822</v>
      </c>
      <c r="B993" s="1" t="s">
        <v>22</v>
      </c>
      <c r="C993" s="1">
        <f t="shared" si="61"/>
        <v>9</v>
      </c>
      <c r="D993" s="1">
        <f t="shared" si="62"/>
        <v>18</v>
      </c>
      <c r="E993" s="1">
        <f t="shared" si="63"/>
        <v>2022</v>
      </c>
      <c r="F993" s="1">
        <v>992</v>
      </c>
      <c r="G993" s="1">
        <v>17</v>
      </c>
      <c r="H993" s="1">
        <v>14</v>
      </c>
      <c r="I993" s="2">
        <v>0.82350000000000001</v>
      </c>
      <c r="J993" s="1">
        <v>3</v>
      </c>
      <c r="K993" s="3">
        <v>5.4398148148148144E-4</v>
      </c>
      <c r="L993" s="3">
        <v>2.1759259259259258E-3</v>
      </c>
      <c r="M993" s="3">
        <v>1.9907407407407408E-3</v>
      </c>
      <c r="N993" s="2">
        <v>0.4118</v>
      </c>
      <c r="O993" s="5">
        <f t="shared" si="48"/>
        <v>3.0462962962962963E-2</v>
      </c>
      <c r="P993" s="5">
        <f t="shared" si="49"/>
        <v>1.8277777777777777</v>
      </c>
      <c r="Q993" s="5">
        <f t="shared" si="50"/>
        <v>3.6990740740740741E-2</v>
      </c>
      <c r="R993" s="5">
        <f t="shared" si="51"/>
        <v>2.2194444444444446</v>
      </c>
    </row>
    <row r="994" spans="1:18">
      <c r="A994" s="4">
        <v>44823</v>
      </c>
      <c r="B994" s="1" t="s">
        <v>23</v>
      </c>
      <c r="C994" s="1">
        <f t="shared" si="61"/>
        <v>9</v>
      </c>
      <c r="D994" s="1">
        <f t="shared" si="62"/>
        <v>19</v>
      </c>
      <c r="E994" s="1">
        <f t="shared" si="63"/>
        <v>2022</v>
      </c>
      <c r="F994" s="1">
        <v>993</v>
      </c>
      <c r="G994" s="1">
        <v>168</v>
      </c>
      <c r="H994" s="1">
        <v>145</v>
      </c>
      <c r="I994" s="2">
        <v>0.86309999999999998</v>
      </c>
      <c r="J994" s="1">
        <v>23</v>
      </c>
      <c r="K994" s="3">
        <v>4.3981481481481481E-4</v>
      </c>
      <c r="L994" s="3">
        <v>2.0486111111111113E-3</v>
      </c>
      <c r="M994" s="3">
        <v>2.8703703703703703E-3</v>
      </c>
      <c r="N994" s="2">
        <v>0.50609999999999999</v>
      </c>
      <c r="O994" s="5">
        <f t="shared" si="48"/>
        <v>0.29704861111111114</v>
      </c>
      <c r="P994" s="5">
        <f t="shared" si="49"/>
        <v>17.822916666666668</v>
      </c>
      <c r="Q994" s="5">
        <f t="shared" si="50"/>
        <v>0.34416666666666668</v>
      </c>
      <c r="R994" s="5">
        <f t="shared" si="51"/>
        <v>20.650000000000002</v>
      </c>
    </row>
    <row r="995" spans="1:18">
      <c r="A995" s="4">
        <v>44824</v>
      </c>
      <c r="B995" s="1" t="s">
        <v>24</v>
      </c>
      <c r="C995" s="1">
        <f t="shared" si="61"/>
        <v>9</v>
      </c>
      <c r="D995" s="1">
        <f t="shared" si="62"/>
        <v>20</v>
      </c>
      <c r="E995" s="1">
        <f t="shared" si="63"/>
        <v>2022</v>
      </c>
      <c r="F995" s="1">
        <v>994</v>
      </c>
      <c r="G995" s="1">
        <v>160</v>
      </c>
      <c r="H995" s="1">
        <v>142</v>
      </c>
      <c r="I995" s="2">
        <v>0.88749999999999996</v>
      </c>
      <c r="J995" s="1">
        <v>18</v>
      </c>
      <c r="K995" s="3">
        <v>3.8194444444444446E-4</v>
      </c>
      <c r="L995" s="3">
        <v>1.8981481481481482E-3</v>
      </c>
      <c r="M995" s="3">
        <v>6.4583333333333333E-3</v>
      </c>
      <c r="N995" s="2">
        <v>0.54139999999999999</v>
      </c>
      <c r="O995" s="5">
        <f t="shared" si="48"/>
        <v>0.26953703703703702</v>
      </c>
      <c r="P995" s="5">
        <f t="shared" si="49"/>
        <v>16.172222222222221</v>
      </c>
      <c r="Q995" s="5">
        <f t="shared" si="50"/>
        <v>0.3037037037037037</v>
      </c>
      <c r="R995" s="5">
        <f t="shared" si="51"/>
        <v>18.222222222222221</v>
      </c>
    </row>
    <row r="996" spans="1:18">
      <c r="A996" s="4">
        <v>44825</v>
      </c>
      <c r="B996" s="1" t="s">
        <v>18</v>
      </c>
      <c r="C996" s="1">
        <f t="shared" si="61"/>
        <v>9</v>
      </c>
      <c r="D996" s="1">
        <f t="shared" si="62"/>
        <v>21</v>
      </c>
      <c r="E996" s="1">
        <f t="shared" si="63"/>
        <v>2022</v>
      </c>
      <c r="F996" s="1">
        <v>995</v>
      </c>
      <c r="G996" s="1">
        <v>185</v>
      </c>
      <c r="H996" s="1">
        <v>159</v>
      </c>
      <c r="I996" s="2">
        <v>0.85950000000000004</v>
      </c>
      <c r="J996" s="1">
        <v>26</v>
      </c>
      <c r="K996" s="3">
        <v>4.7453703703703704E-4</v>
      </c>
      <c r="L996" s="3">
        <v>2.0370370370370369E-3</v>
      </c>
      <c r="M996" s="3">
        <v>3.9699074074074072E-3</v>
      </c>
      <c r="N996" s="2">
        <v>0.42699999999999999</v>
      </c>
      <c r="O996" s="5">
        <f t="shared" si="48"/>
        <v>0.32388888888888884</v>
      </c>
      <c r="P996" s="5">
        <f t="shared" si="49"/>
        <v>19.43333333333333</v>
      </c>
      <c r="Q996" s="5">
        <f t="shared" si="50"/>
        <v>0.37685185185185183</v>
      </c>
      <c r="R996" s="5">
        <f t="shared" si="51"/>
        <v>22.611111111111111</v>
      </c>
    </row>
    <row r="997" spans="1:18">
      <c r="A997" s="4">
        <v>44826</v>
      </c>
      <c r="B997" s="1" t="s">
        <v>19</v>
      </c>
      <c r="C997" s="1">
        <f t="shared" si="61"/>
        <v>9</v>
      </c>
      <c r="D997" s="1">
        <f t="shared" si="62"/>
        <v>22</v>
      </c>
      <c r="E997" s="1">
        <f t="shared" si="63"/>
        <v>2022</v>
      </c>
      <c r="F997" s="1">
        <v>996</v>
      </c>
      <c r="G997" s="1">
        <v>155</v>
      </c>
      <c r="H997" s="1">
        <v>146</v>
      </c>
      <c r="I997" s="2">
        <v>0.94189999999999996</v>
      </c>
      <c r="J997" s="1">
        <v>9</v>
      </c>
      <c r="K997" s="3">
        <v>3.2407407407407406E-4</v>
      </c>
      <c r="L997" s="3">
        <v>1.9560185185185184E-3</v>
      </c>
      <c r="M997" s="3">
        <v>2.3958333333333331E-3</v>
      </c>
      <c r="N997" s="2">
        <v>0.65159999999999996</v>
      </c>
      <c r="O997" s="5">
        <f t="shared" si="48"/>
        <v>0.2855787037037037</v>
      </c>
      <c r="P997" s="5">
        <f t="shared" si="49"/>
        <v>17.134722222222223</v>
      </c>
      <c r="Q997" s="5">
        <f t="shared" si="50"/>
        <v>0.30318287037037034</v>
      </c>
      <c r="R997" s="5">
        <f t="shared" si="51"/>
        <v>18.190972222222221</v>
      </c>
    </row>
    <row r="998" spans="1:18">
      <c r="A998" s="4">
        <v>44827</v>
      </c>
      <c r="B998" s="1" t="s">
        <v>20</v>
      </c>
      <c r="C998" s="1">
        <f t="shared" si="61"/>
        <v>9</v>
      </c>
      <c r="D998" s="1">
        <f t="shared" si="62"/>
        <v>23</v>
      </c>
      <c r="E998" s="1">
        <f t="shared" si="63"/>
        <v>2022</v>
      </c>
      <c r="F998" s="1">
        <v>997</v>
      </c>
      <c r="G998" s="1">
        <v>188</v>
      </c>
      <c r="H998" s="1">
        <v>172</v>
      </c>
      <c r="I998" s="2">
        <v>0.91490000000000005</v>
      </c>
      <c r="J998" s="1">
        <v>16</v>
      </c>
      <c r="K998" s="3">
        <v>3.2407407407407406E-4</v>
      </c>
      <c r="L998" s="3">
        <v>1.8402777777777777E-3</v>
      </c>
      <c r="M998" s="3">
        <v>2.1296296296296298E-3</v>
      </c>
      <c r="N998" s="2">
        <v>0.5978</v>
      </c>
      <c r="O998" s="5">
        <f t="shared" si="48"/>
        <v>0.31652777777777774</v>
      </c>
      <c r="P998" s="5">
        <f t="shared" si="49"/>
        <v>18.991666666666664</v>
      </c>
      <c r="Q998" s="5">
        <f t="shared" si="50"/>
        <v>0.34597222222222218</v>
      </c>
      <c r="R998" s="5">
        <f t="shared" si="51"/>
        <v>20.758333333333329</v>
      </c>
    </row>
    <row r="999" spans="1:18">
      <c r="A999" s="4">
        <v>44828</v>
      </c>
      <c r="B999" s="1" t="s">
        <v>21</v>
      </c>
      <c r="C999" s="1">
        <f t="shared" si="61"/>
        <v>9</v>
      </c>
      <c r="D999" s="1">
        <f t="shared" si="62"/>
        <v>24</v>
      </c>
      <c r="E999" s="1">
        <f t="shared" si="63"/>
        <v>2022</v>
      </c>
      <c r="F999" s="1">
        <v>998</v>
      </c>
      <c r="G999" s="1">
        <v>152</v>
      </c>
      <c r="H999" s="1">
        <v>120</v>
      </c>
      <c r="I999" s="2">
        <v>0.78949999999999998</v>
      </c>
      <c r="J999" s="1">
        <v>32</v>
      </c>
      <c r="K999" s="3">
        <v>3.3564814814814812E-4</v>
      </c>
      <c r="L999" s="3">
        <v>2.0138888888888888E-3</v>
      </c>
      <c r="M999" s="3">
        <v>4.5717592592592589E-3</v>
      </c>
      <c r="N999" s="2">
        <v>0.53059999999999996</v>
      </c>
      <c r="O999" s="5">
        <f t="shared" si="48"/>
        <v>0.24166666666666667</v>
      </c>
      <c r="P999" s="5">
        <f t="shared" si="49"/>
        <v>14.5</v>
      </c>
      <c r="Q999" s="5">
        <f t="shared" si="50"/>
        <v>0.30611111111111111</v>
      </c>
      <c r="R999" s="5">
        <f t="shared" si="51"/>
        <v>18.366666666666667</v>
      </c>
    </row>
    <row r="1000" spans="1:18">
      <c r="A1000" s="4">
        <v>44829</v>
      </c>
      <c r="B1000" s="1" t="s">
        <v>22</v>
      </c>
      <c r="C1000" s="1">
        <f t="shared" si="61"/>
        <v>9</v>
      </c>
      <c r="D1000" s="1">
        <f t="shared" si="62"/>
        <v>25</v>
      </c>
      <c r="E1000" s="1">
        <f t="shared" si="63"/>
        <v>2022</v>
      </c>
      <c r="F1000" s="1">
        <v>999</v>
      </c>
      <c r="G1000" s="1">
        <v>26</v>
      </c>
      <c r="H1000" s="1">
        <v>26</v>
      </c>
      <c r="I1000" s="2">
        <v>1</v>
      </c>
      <c r="J1000" s="1">
        <v>0</v>
      </c>
      <c r="K1000" s="3">
        <v>1.9675925925925926E-4</v>
      </c>
      <c r="L1000" s="3">
        <v>2.0949074074074073E-3</v>
      </c>
      <c r="M1000" s="3">
        <v>9.0277777777777774E-4</v>
      </c>
      <c r="N1000" s="2">
        <v>0.80769999999999997</v>
      </c>
      <c r="O1000" s="5">
        <f t="shared" si="48"/>
        <v>5.4467592592592588E-2</v>
      </c>
      <c r="P1000" s="5">
        <f t="shared" si="49"/>
        <v>3.2680555555555553</v>
      </c>
      <c r="Q1000" s="5">
        <f t="shared" si="50"/>
        <v>5.4467592592592588E-2</v>
      </c>
      <c r="R1000" s="5">
        <f t="shared" si="51"/>
        <v>3.2680555555555553</v>
      </c>
    </row>
    <row r="1001" spans="1:18">
      <c r="A1001" s="4">
        <v>44830</v>
      </c>
      <c r="B1001" s="1" t="s">
        <v>23</v>
      </c>
      <c r="C1001" s="1">
        <f t="shared" si="61"/>
        <v>9</v>
      </c>
      <c r="D1001" s="1">
        <f t="shared" si="62"/>
        <v>26</v>
      </c>
      <c r="E1001" s="1">
        <f t="shared" si="63"/>
        <v>2022</v>
      </c>
      <c r="F1001" s="1">
        <v>1000</v>
      </c>
      <c r="G1001" s="1">
        <v>152</v>
      </c>
      <c r="H1001" s="1">
        <v>140</v>
      </c>
      <c r="I1001" s="2">
        <v>0.92110000000000003</v>
      </c>
      <c r="J1001" s="1">
        <v>12</v>
      </c>
      <c r="K1001" s="3">
        <v>2.4305555555555555E-4</v>
      </c>
      <c r="L1001" s="3">
        <v>2.0601851851851853E-3</v>
      </c>
      <c r="M1001" s="3">
        <v>4.6296296296296294E-3</v>
      </c>
      <c r="N1001" s="2">
        <v>0.70669999999999999</v>
      </c>
      <c r="O1001" s="5">
        <f t="shared" si="48"/>
        <v>0.28842592592592592</v>
      </c>
      <c r="P1001" s="5">
        <f t="shared" si="49"/>
        <v>17.305555555555554</v>
      </c>
      <c r="Q1001" s="5">
        <f t="shared" si="50"/>
        <v>0.31314814814814818</v>
      </c>
      <c r="R1001" s="5">
        <f t="shared" si="51"/>
        <v>18.788888888888891</v>
      </c>
    </row>
    <row r="1002" spans="1:18">
      <c r="A1002" s="4">
        <v>44831</v>
      </c>
      <c r="B1002" s="1" t="s">
        <v>24</v>
      </c>
      <c r="C1002" s="1">
        <f t="shared" si="61"/>
        <v>9</v>
      </c>
      <c r="D1002" s="1">
        <f t="shared" si="62"/>
        <v>27</v>
      </c>
      <c r="E1002" s="1">
        <f t="shared" si="63"/>
        <v>2022</v>
      </c>
      <c r="F1002" s="1">
        <v>1001</v>
      </c>
      <c r="G1002" s="1">
        <v>130</v>
      </c>
      <c r="H1002" s="1">
        <v>125</v>
      </c>
      <c r="I1002" s="2">
        <v>0.96150000000000002</v>
      </c>
      <c r="J1002" s="1">
        <v>5</v>
      </c>
      <c r="K1002" s="3">
        <v>9.2592592592592588E-5</v>
      </c>
      <c r="L1002" s="3">
        <v>1.8402777777777777E-3</v>
      </c>
      <c r="M1002" s="3">
        <v>7.1759259259259259E-4</v>
      </c>
      <c r="N1002" s="2">
        <v>0.92</v>
      </c>
      <c r="O1002" s="5">
        <f t="shared" si="48"/>
        <v>0.23003472222222221</v>
      </c>
      <c r="P1002" s="5">
        <f t="shared" si="49"/>
        <v>13.802083333333332</v>
      </c>
      <c r="Q1002" s="5">
        <f t="shared" si="50"/>
        <v>0.23923611111111109</v>
      </c>
      <c r="R1002" s="5">
        <f t="shared" si="51"/>
        <v>14.354166666666666</v>
      </c>
    </row>
    <row r="1003" spans="1:18">
      <c r="A1003" s="4">
        <v>44832</v>
      </c>
      <c r="B1003" s="1" t="s">
        <v>18</v>
      </c>
      <c r="C1003" s="1">
        <f t="shared" si="61"/>
        <v>9</v>
      </c>
      <c r="D1003" s="1">
        <f t="shared" si="62"/>
        <v>28</v>
      </c>
      <c r="E1003" s="1">
        <f t="shared" si="63"/>
        <v>2022</v>
      </c>
      <c r="F1003" s="1">
        <v>1002</v>
      </c>
      <c r="G1003" s="1">
        <v>191</v>
      </c>
      <c r="H1003" s="1">
        <v>187</v>
      </c>
      <c r="I1003" s="2">
        <v>0.97909999999999997</v>
      </c>
      <c r="J1003" s="1">
        <v>4</v>
      </c>
      <c r="K1003" s="3">
        <v>2.0833333333333335E-4</v>
      </c>
      <c r="L1003" s="3">
        <v>1.7708333333333332E-3</v>
      </c>
      <c r="M1003" s="3">
        <v>2.0023148148148148E-3</v>
      </c>
      <c r="N1003" s="2">
        <v>0.83069999999999999</v>
      </c>
      <c r="O1003" s="5">
        <f t="shared" si="48"/>
        <v>0.33114583333333331</v>
      </c>
      <c r="P1003" s="5">
        <f t="shared" si="49"/>
        <v>19.868749999999999</v>
      </c>
      <c r="Q1003" s="5">
        <f t="shared" si="50"/>
        <v>0.33822916666666664</v>
      </c>
      <c r="R1003" s="5">
        <f t="shared" si="51"/>
        <v>20.293749999999999</v>
      </c>
    </row>
    <row r="1004" spans="1:18">
      <c r="A1004" s="4">
        <v>44833</v>
      </c>
      <c r="B1004" s="1" t="s">
        <v>19</v>
      </c>
      <c r="C1004" s="1">
        <f t="shared" si="61"/>
        <v>9</v>
      </c>
      <c r="D1004" s="1">
        <f t="shared" si="62"/>
        <v>29</v>
      </c>
      <c r="E1004" s="1">
        <f t="shared" si="63"/>
        <v>2022</v>
      </c>
      <c r="F1004" s="1">
        <v>1003</v>
      </c>
      <c r="G1004" s="1">
        <v>254</v>
      </c>
      <c r="H1004" s="1">
        <v>227</v>
      </c>
      <c r="I1004" s="2">
        <v>0.89370000000000005</v>
      </c>
      <c r="J1004" s="1">
        <v>27</v>
      </c>
      <c r="K1004" s="3">
        <v>3.8194444444444446E-4</v>
      </c>
      <c r="L1004" s="3">
        <v>2.0486111111111113E-3</v>
      </c>
      <c r="M1004" s="3">
        <v>3.1828703703703702E-3</v>
      </c>
      <c r="N1004" s="2">
        <v>0.56569999999999998</v>
      </c>
      <c r="O1004" s="5">
        <f t="shared" si="48"/>
        <v>0.46503472222222225</v>
      </c>
      <c r="P1004" s="5">
        <f t="shared" si="49"/>
        <v>27.902083333333334</v>
      </c>
      <c r="Q1004" s="5">
        <f t="shared" si="50"/>
        <v>0.52034722222222229</v>
      </c>
      <c r="R1004" s="5">
        <f t="shared" si="51"/>
        <v>31.220833333333339</v>
      </c>
    </row>
    <row r="1005" spans="1:18">
      <c r="A1005" s="4">
        <v>44834</v>
      </c>
      <c r="B1005" s="1" t="s">
        <v>20</v>
      </c>
      <c r="C1005" s="1">
        <f t="shared" si="61"/>
        <v>9</v>
      </c>
      <c r="D1005" s="1">
        <f t="shared" si="62"/>
        <v>30</v>
      </c>
      <c r="E1005" s="1">
        <f t="shared" si="63"/>
        <v>2022</v>
      </c>
      <c r="F1005" s="1">
        <v>1004</v>
      </c>
      <c r="G1005" s="1">
        <v>213</v>
      </c>
      <c r="H1005" s="1">
        <v>188</v>
      </c>
      <c r="I1005" s="2">
        <v>0.88260000000000005</v>
      </c>
      <c r="J1005" s="1">
        <v>25</v>
      </c>
      <c r="K1005" s="3">
        <v>3.4722222222222224E-4</v>
      </c>
      <c r="L1005" s="3">
        <v>1.9907407407407408E-3</v>
      </c>
      <c r="M1005" s="3">
        <v>3.5879629629629629E-3</v>
      </c>
      <c r="N1005" s="2">
        <v>0.54810000000000003</v>
      </c>
      <c r="O1005" s="5">
        <f t="shared" si="48"/>
        <v>0.37425925925925929</v>
      </c>
      <c r="P1005" s="5">
        <f t="shared" si="49"/>
        <v>22.455555555555556</v>
      </c>
      <c r="Q1005" s="5">
        <f t="shared" si="50"/>
        <v>0.42402777777777778</v>
      </c>
      <c r="R1005" s="5">
        <f t="shared" si="51"/>
        <v>25.441666666666666</v>
      </c>
    </row>
    <row r="1006" spans="1:18">
      <c r="A1006" s="4">
        <v>44835</v>
      </c>
      <c r="B1006" s="1" t="s">
        <v>21</v>
      </c>
      <c r="C1006" s="1">
        <f t="shared" si="61"/>
        <v>10</v>
      </c>
      <c r="D1006" s="1">
        <f t="shared" si="62"/>
        <v>1</v>
      </c>
      <c r="E1006" s="1">
        <f t="shared" si="63"/>
        <v>2022</v>
      </c>
      <c r="F1006" s="1">
        <v>1005</v>
      </c>
      <c r="G1006" s="1">
        <v>176</v>
      </c>
      <c r="H1006" s="1">
        <v>151</v>
      </c>
      <c r="I1006" s="2">
        <v>0.85799999999999998</v>
      </c>
      <c r="J1006" s="1">
        <v>25</v>
      </c>
      <c r="K1006" s="3">
        <v>3.7037037037037035E-4</v>
      </c>
      <c r="L1006" s="3">
        <v>1.9097222222222222E-3</v>
      </c>
      <c r="M1006" s="3">
        <v>4.3055555555555555E-3</v>
      </c>
      <c r="N1006" s="2">
        <v>0.5575</v>
      </c>
      <c r="O1006" s="5">
        <f t="shared" si="48"/>
        <v>0.28836805555555556</v>
      </c>
      <c r="P1006" s="5">
        <f t="shared" si="49"/>
        <v>17.302083333333332</v>
      </c>
      <c r="Q1006" s="5">
        <f t="shared" si="50"/>
        <v>0.33611111111111108</v>
      </c>
      <c r="R1006" s="5">
        <f t="shared" si="51"/>
        <v>20.166666666666664</v>
      </c>
    </row>
    <row r="1007" spans="1:18">
      <c r="A1007" s="4">
        <v>44836</v>
      </c>
      <c r="B1007" s="1" t="s">
        <v>22</v>
      </c>
      <c r="C1007" s="1">
        <f t="shared" si="61"/>
        <v>10</v>
      </c>
      <c r="D1007" s="1">
        <f t="shared" si="62"/>
        <v>2</v>
      </c>
      <c r="E1007" s="1">
        <f t="shared" si="63"/>
        <v>2022</v>
      </c>
      <c r="F1007" s="1">
        <v>1006</v>
      </c>
      <c r="G1007" s="1">
        <v>61</v>
      </c>
      <c r="H1007" s="1">
        <v>59</v>
      </c>
      <c r="I1007" s="2">
        <v>0.96719999999999995</v>
      </c>
      <c r="J1007" s="1">
        <v>2</v>
      </c>
      <c r="K1007" s="3">
        <v>1.8518518518518518E-4</v>
      </c>
      <c r="L1007" s="3">
        <v>1.0532407407407407E-3</v>
      </c>
      <c r="M1007" s="3">
        <v>2.1527777777777778E-3</v>
      </c>
      <c r="N1007" s="2">
        <v>0.80330000000000001</v>
      </c>
      <c r="O1007" s="5">
        <f t="shared" si="48"/>
        <v>6.2141203703703699E-2</v>
      </c>
      <c r="P1007" s="5">
        <f t="shared" si="49"/>
        <v>3.728472222222222</v>
      </c>
      <c r="Q1007" s="5">
        <f t="shared" si="50"/>
        <v>6.4247685185185185E-2</v>
      </c>
      <c r="R1007" s="5">
        <f t="shared" si="51"/>
        <v>3.8548611111111111</v>
      </c>
    </row>
    <row r="1008" spans="1:18">
      <c r="A1008" s="4">
        <v>44837</v>
      </c>
      <c r="B1008" s="1" t="s">
        <v>23</v>
      </c>
      <c r="C1008" s="1">
        <f t="shared" si="61"/>
        <v>10</v>
      </c>
      <c r="D1008" s="1">
        <f t="shared" si="62"/>
        <v>3</v>
      </c>
      <c r="E1008" s="1">
        <f t="shared" si="63"/>
        <v>2022</v>
      </c>
      <c r="F1008" s="1">
        <v>1007</v>
      </c>
      <c r="G1008" s="1">
        <v>166</v>
      </c>
      <c r="H1008" s="1">
        <v>154</v>
      </c>
      <c r="I1008" s="2">
        <v>0.92769999999999997</v>
      </c>
      <c r="J1008" s="1">
        <v>12</v>
      </c>
      <c r="K1008" s="3">
        <v>3.2407407407407406E-4</v>
      </c>
      <c r="L1008" s="3">
        <v>2.0370370370370369E-3</v>
      </c>
      <c r="M1008" s="3">
        <v>2.2685185185185187E-3</v>
      </c>
      <c r="N1008" s="2">
        <v>0.61819999999999997</v>
      </c>
      <c r="O1008" s="5">
        <f t="shared" si="48"/>
        <v>0.31370370370370365</v>
      </c>
      <c r="P1008" s="5">
        <f t="shared" si="49"/>
        <v>18.822222222222219</v>
      </c>
      <c r="Q1008" s="5">
        <f t="shared" si="50"/>
        <v>0.33814814814814814</v>
      </c>
      <c r="R1008" s="5">
        <f t="shared" si="51"/>
        <v>20.288888888888888</v>
      </c>
    </row>
    <row r="1009" spans="1:18">
      <c r="A1009" s="4">
        <v>44838</v>
      </c>
      <c r="B1009" s="1" t="s">
        <v>24</v>
      </c>
      <c r="C1009" s="1">
        <f t="shared" si="61"/>
        <v>10</v>
      </c>
      <c r="D1009" s="1">
        <f t="shared" si="62"/>
        <v>4</v>
      </c>
      <c r="E1009" s="1">
        <f t="shared" si="63"/>
        <v>2022</v>
      </c>
      <c r="F1009" s="1">
        <v>1008</v>
      </c>
      <c r="G1009" s="1">
        <v>191</v>
      </c>
      <c r="H1009" s="1">
        <v>172</v>
      </c>
      <c r="I1009" s="2">
        <v>0.90049999999999997</v>
      </c>
      <c r="J1009" s="1">
        <v>19</v>
      </c>
      <c r="K1009" s="3">
        <v>2.4305555555555555E-4</v>
      </c>
      <c r="L1009" s="3">
        <v>1.8518518518518519E-3</v>
      </c>
      <c r="M1009" s="3">
        <v>2.3495370370370371E-3</v>
      </c>
      <c r="N1009" s="2">
        <v>0.73770000000000002</v>
      </c>
      <c r="O1009" s="5">
        <f t="shared" si="48"/>
        <v>0.31851851851851853</v>
      </c>
      <c r="P1009" s="5">
        <f t="shared" si="49"/>
        <v>19.111111111111111</v>
      </c>
      <c r="Q1009" s="5">
        <f t="shared" si="50"/>
        <v>0.35370370370370374</v>
      </c>
      <c r="R1009" s="5">
        <f t="shared" si="51"/>
        <v>21.222222222222225</v>
      </c>
    </row>
    <row r="1010" spans="1:18">
      <c r="A1010" s="4">
        <v>44839</v>
      </c>
      <c r="B1010" s="1" t="s">
        <v>18</v>
      </c>
      <c r="C1010" s="1">
        <f t="shared" si="61"/>
        <v>10</v>
      </c>
      <c r="D1010" s="1">
        <f t="shared" si="62"/>
        <v>5</v>
      </c>
      <c r="E1010" s="1">
        <f t="shared" si="63"/>
        <v>2022</v>
      </c>
      <c r="F1010" s="1">
        <v>1009</v>
      </c>
      <c r="G1010" s="1">
        <v>171</v>
      </c>
      <c r="H1010" s="1">
        <v>157</v>
      </c>
      <c r="I1010" s="2">
        <v>0.91810000000000003</v>
      </c>
      <c r="J1010" s="1">
        <v>14</v>
      </c>
      <c r="K1010" s="3">
        <v>2.199074074074074E-4</v>
      </c>
      <c r="L1010" s="3">
        <v>1.7824074074074075E-3</v>
      </c>
      <c r="M1010" s="3">
        <v>1.4699074074074074E-3</v>
      </c>
      <c r="N1010" s="2">
        <v>0.72619999999999996</v>
      </c>
      <c r="O1010" s="5">
        <f t="shared" si="48"/>
        <v>0.27983796296296298</v>
      </c>
      <c r="P1010" s="5">
        <f t="shared" si="49"/>
        <v>16.790277777777778</v>
      </c>
      <c r="Q1010" s="5">
        <f t="shared" si="50"/>
        <v>0.30479166666666668</v>
      </c>
      <c r="R1010" s="5">
        <f t="shared" si="51"/>
        <v>18.287500000000001</v>
      </c>
    </row>
    <row r="1011" spans="1:18">
      <c r="A1011" s="4">
        <v>44840</v>
      </c>
      <c r="B1011" s="1" t="s">
        <v>19</v>
      </c>
      <c r="C1011" s="1">
        <f t="shared" si="61"/>
        <v>10</v>
      </c>
      <c r="D1011" s="1">
        <f t="shared" si="62"/>
        <v>6</v>
      </c>
      <c r="E1011" s="1">
        <f t="shared" si="63"/>
        <v>2022</v>
      </c>
      <c r="F1011" s="1">
        <v>1010</v>
      </c>
      <c r="G1011" s="1">
        <v>153</v>
      </c>
      <c r="H1011" s="1">
        <v>124</v>
      </c>
      <c r="I1011" s="2">
        <v>0.8105</v>
      </c>
      <c r="J1011" s="1">
        <v>29</v>
      </c>
      <c r="K1011" s="3">
        <v>5.7870370370370367E-4</v>
      </c>
      <c r="L1011" s="3">
        <v>2.1296296296296298E-3</v>
      </c>
      <c r="M1011" s="3">
        <v>4.178240740740741E-3</v>
      </c>
      <c r="N1011" s="2">
        <v>0.45329999999999998</v>
      </c>
      <c r="O1011" s="5">
        <f t="shared" si="48"/>
        <v>0.26407407407407407</v>
      </c>
      <c r="P1011" s="5">
        <f t="shared" si="49"/>
        <v>15.844444444444445</v>
      </c>
      <c r="Q1011" s="5">
        <f t="shared" si="50"/>
        <v>0.32583333333333336</v>
      </c>
      <c r="R1011" s="5">
        <f t="shared" si="51"/>
        <v>19.55</v>
      </c>
    </row>
    <row r="1012" spans="1:18">
      <c r="A1012" s="4">
        <v>44841</v>
      </c>
      <c r="B1012" s="1" t="s">
        <v>20</v>
      </c>
      <c r="C1012" s="1">
        <f t="shared" si="61"/>
        <v>10</v>
      </c>
      <c r="D1012" s="1">
        <f t="shared" si="62"/>
        <v>7</v>
      </c>
      <c r="E1012" s="1">
        <f t="shared" si="63"/>
        <v>2022</v>
      </c>
      <c r="F1012" s="1">
        <v>1011</v>
      </c>
      <c r="G1012" s="1">
        <v>183</v>
      </c>
      <c r="H1012" s="1">
        <v>158</v>
      </c>
      <c r="I1012" s="2">
        <v>0.86339999999999995</v>
      </c>
      <c r="J1012" s="1">
        <v>25</v>
      </c>
      <c r="K1012" s="3">
        <v>3.8194444444444446E-4</v>
      </c>
      <c r="L1012" s="3">
        <v>1.9907407407407408E-3</v>
      </c>
      <c r="M1012" s="3">
        <v>3.5879629629629629E-3</v>
      </c>
      <c r="N1012" s="2">
        <v>0.51910000000000001</v>
      </c>
      <c r="O1012" s="5">
        <f t="shared" si="48"/>
        <v>0.31453703703703706</v>
      </c>
      <c r="P1012" s="5">
        <f t="shared" si="49"/>
        <v>18.872222222222224</v>
      </c>
      <c r="Q1012" s="5">
        <f t="shared" si="50"/>
        <v>0.36430555555555555</v>
      </c>
      <c r="R1012" s="5">
        <f t="shared" si="51"/>
        <v>21.858333333333334</v>
      </c>
    </row>
    <row r="1013" spans="1:18">
      <c r="A1013" s="4">
        <v>44842</v>
      </c>
      <c r="B1013" s="1" t="s">
        <v>21</v>
      </c>
      <c r="C1013" s="1">
        <f t="shared" si="61"/>
        <v>10</v>
      </c>
      <c r="D1013" s="1">
        <f t="shared" si="62"/>
        <v>8</v>
      </c>
      <c r="E1013" s="1">
        <f t="shared" si="63"/>
        <v>2022</v>
      </c>
      <c r="F1013" s="1">
        <v>1012</v>
      </c>
      <c r="G1013" s="1">
        <v>14</v>
      </c>
      <c r="H1013" s="1">
        <v>14</v>
      </c>
      <c r="I1013" s="2">
        <v>1</v>
      </c>
      <c r="J1013" s="1">
        <v>0</v>
      </c>
      <c r="K1013" s="3">
        <v>1.7361111111111112E-4</v>
      </c>
      <c r="L1013" s="3">
        <v>2.5810185185185185E-3</v>
      </c>
      <c r="M1013" s="3">
        <v>1.0648148148148149E-3</v>
      </c>
      <c r="N1013" s="2">
        <v>0.85709999999999997</v>
      </c>
      <c r="O1013" s="5">
        <f t="shared" si="48"/>
        <v>3.6134259259259262E-2</v>
      </c>
      <c r="P1013" s="5">
        <f t="shared" si="49"/>
        <v>2.1680555555555556</v>
      </c>
      <c r="Q1013" s="5">
        <f t="shared" si="50"/>
        <v>3.6134259259259262E-2</v>
      </c>
      <c r="R1013" s="5">
        <f t="shared" si="51"/>
        <v>2.1680555555555556</v>
      </c>
    </row>
    <row r="1014" spans="1:18">
      <c r="A1014" s="4">
        <v>44843</v>
      </c>
      <c r="B1014" s="1" t="s">
        <v>22</v>
      </c>
      <c r="C1014" s="1">
        <f t="shared" si="61"/>
        <v>10</v>
      </c>
      <c r="D1014" s="1">
        <f t="shared" si="62"/>
        <v>9</v>
      </c>
      <c r="E1014" s="1">
        <f t="shared" si="63"/>
        <v>2022</v>
      </c>
      <c r="F1014" s="1">
        <v>1013</v>
      </c>
      <c r="G1014" s="1">
        <v>18</v>
      </c>
      <c r="H1014" s="1">
        <v>18</v>
      </c>
      <c r="I1014" s="2">
        <v>1</v>
      </c>
      <c r="J1014" s="1">
        <v>0</v>
      </c>
      <c r="K1014" s="3">
        <v>3.4722222222222222E-5</v>
      </c>
      <c r="L1014" s="3">
        <v>2.0370370370370369E-3</v>
      </c>
      <c r="M1014" s="3">
        <v>6.9444444444444444E-5</v>
      </c>
      <c r="N1014" s="2">
        <v>1</v>
      </c>
      <c r="O1014" s="5">
        <f t="shared" si="48"/>
        <v>3.6666666666666667E-2</v>
      </c>
      <c r="P1014" s="5">
        <f t="shared" si="49"/>
        <v>2.2000000000000002</v>
      </c>
      <c r="Q1014" s="5">
        <f t="shared" si="50"/>
        <v>3.6666666666666667E-2</v>
      </c>
      <c r="R1014" s="5">
        <f t="shared" si="51"/>
        <v>2.2000000000000002</v>
      </c>
    </row>
    <row r="1015" spans="1:18">
      <c r="A1015" s="4">
        <v>44844</v>
      </c>
      <c r="B1015" s="1" t="s">
        <v>23</v>
      </c>
      <c r="C1015" s="1">
        <f t="shared" si="61"/>
        <v>10</v>
      </c>
      <c r="D1015" s="1">
        <f t="shared" si="62"/>
        <v>10</v>
      </c>
      <c r="E1015" s="1">
        <f t="shared" si="63"/>
        <v>2022</v>
      </c>
      <c r="F1015" s="1">
        <v>1014</v>
      </c>
      <c r="G1015" s="1">
        <v>159</v>
      </c>
      <c r="H1015" s="1">
        <v>148</v>
      </c>
      <c r="I1015" s="2">
        <v>0.93079999999999996</v>
      </c>
      <c r="J1015" s="1">
        <v>11</v>
      </c>
      <c r="K1015" s="3">
        <v>2.5462962962962961E-4</v>
      </c>
      <c r="L1015" s="3">
        <v>1.8055555555555555E-3</v>
      </c>
      <c r="M1015" s="3">
        <v>2.2569444444444442E-3</v>
      </c>
      <c r="N1015" s="2">
        <v>0.69430000000000003</v>
      </c>
      <c r="O1015" s="5">
        <f t="shared" si="48"/>
        <v>0.26722222222222219</v>
      </c>
      <c r="P1015" s="5">
        <f t="shared" si="49"/>
        <v>16.033333333333331</v>
      </c>
      <c r="Q1015" s="5">
        <f t="shared" si="50"/>
        <v>0.2870833333333333</v>
      </c>
      <c r="R1015" s="5">
        <f t="shared" si="51"/>
        <v>17.224999999999998</v>
      </c>
    </row>
    <row r="1016" spans="1:18">
      <c r="A1016" s="4">
        <v>44845</v>
      </c>
      <c r="B1016" s="1" t="s">
        <v>24</v>
      </c>
      <c r="C1016" s="1">
        <f t="shared" si="61"/>
        <v>10</v>
      </c>
      <c r="D1016" s="1">
        <f t="shared" si="62"/>
        <v>11</v>
      </c>
      <c r="E1016" s="1">
        <f t="shared" si="63"/>
        <v>2022</v>
      </c>
      <c r="F1016" s="1">
        <v>1015</v>
      </c>
      <c r="G1016" s="1">
        <v>143</v>
      </c>
      <c r="H1016" s="1">
        <v>134</v>
      </c>
      <c r="I1016" s="2">
        <v>0.93710000000000004</v>
      </c>
      <c r="J1016" s="1">
        <v>9</v>
      </c>
      <c r="K1016" s="3">
        <v>2.5462962962962961E-4</v>
      </c>
      <c r="L1016" s="3">
        <v>1.9791666666666668E-3</v>
      </c>
      <c r="M1016" s="3">
        <v>3.5879629629629629E-3</v>
      </c>
      <c r="N1016" s="2">
        <v>0.74099999999999999</v>
      </c>
      <c r="O1016" s="5">
        <f t="shared" si="48"/>
        <v>0.26520833333333338</v>
      </c>
      <c r="P1016" s="5">
        <f t="shared" si="49"/>
        <v>15.912500000000003</v>
      </c>
      <c r="Q1016" s="5">
        <f t="shared" si="50"/>
        <v>0.28302083333333333</v>
      </c>
      <c r="R1016" s="5">
        <f t="shared" si="51"/>
        <v>16.981249999999999</v>
      </c>
    </row>
    <row r="1017" spans="1:18">
      <c r="A1017" s="4">
        <v>44846</v>
      </c>
      <c r="B1017" s="1" t="s">
        <v>18</v>
      </c>
      <c r="C1017" s="1">
        <f t="shared" si="61"/>
        <v>10</v>
      </c>
      <c r="D1017" s="1">
        <f t="shared" si="62"/>
        <v>12</v>
      </c>
      <c r="E1017" s="1">
        <f t="shared" si="63"/>
        <v>2022</v>
      </c>
      <c r="F1017" s="1">
        <v>1016</v>
      </c>
      <c r="G1017" s="1">
        <v>195</v>
      </c>
      <c r="H1017" s="1">
        <v>175</v>
      </c>
      <c r="I1017" s="2">
        <v>0.89739999999999998</v>
      </c>
      <c r="J1017" s="1">
        <v>20</v>
      </c>
      <c r="K1017" s="3">
        <v>3.3564814814814812E-4</v>
      </c>
      <c r="L1017" s="3">
        <v>1.9328703703703704E-3</v>
      </c>
      <c r="M1017" s="3">
        <v>2.9050925925925928E-3</v>
      </c>
      <c r="N1017" s="2">
        <v>0.61580000000000001</v>
      </c>
      <c r="O1017" s="5">
        <f t="shared" si="48"/>
        <v>0.33825231481481483</v>
      </c>
      <c r="P1017" s="5">
        <f t="shared" si="49"/>
        <v>20.295138888888889</v>
      </c>
      <c r="Q1017" s="5">
        <f t="shared" si="50"/>
        <v>0.37690972222222224</v>
      </c>
      <c r="R1017" s="5">
        <f t="shared" si="51"/>
        <v>22.614583333333336</v>
      </c>
    </row>
    <row r="1018" spans="1:18">
      <c r="A1018" s="4">
        <v>44847</v>
      </c>
      <c r="B1018" s="1" t="s">
        <v>19</v>
      </c>
      <c r="C1018" s="1">
        <f t="shared" si="61"/>
        <v>10</v>
      </c>
      <c r="D1018" s="1">
        <f t="shared" si="62"/>
        <v>13</v>
      </c>
      <c r="E1018" s="1">
        <f t="shared" si="63"/>
        <v>2022</v>
      </c>
      <c r="F1018" s="1">
        <v>1017</v>
      </c>
      <c r="G1018" s="1">
        <v>194</v>
      </c>
      <c r="H1018" s="1">
        <v>150</v>
      </c>
      <c r="I1018" s="2">
        <v>0.7732</v>
      </c>
      <c r="J1018" s="1">
        <v>44</v>
      </c>
      <c r="K1018" s="3">
        <v>4.2824074074074075E-4</v>
      </c>
      <c r="L1018" s="3">
        <v>1.9328703703703704E-3</v>
      </c>
      <c r="M1018" s="3">
        <v>2.9745370370370373E-3</v>
      </c>
      <c r="N1018" s="2">
        <v>0.47339999999999999</v>
      </c>
      <c r="O1018" s="5">
        <f t="shared" si="48"/>
        <v>0.28993055555555558</v>
      </c>
      <c r="P1018" s="5">
        <f t="shared" si="49"/>
        <v>17.395833333333336</v>
      </c>
      <c r="Q1018" s="5">
        <f t="shared" si="50"/>
        <v>0.37497685185185187</v>
      </c>
      <c r="R1018" s="5">
        <f t="shared" si="51"/>
        <v>22.498611111111114</v>
      </c>
    </row>
    <row r="1019" spans="1:18">
      <c r="A1019" s="4">
        <v>44848</v>
      </c>
      <c r="B1019" s="1" t="s">
        <v>20</v>
      </c>
      <c r="C1019" s="1">
        <f t="shared" si="61"/>
        <v>10</v>
      </c>
      <c r="D1019" s="1">
        <f t="shared" si="62"/>
        <v>14</v>
      </c>
      <c r="E1019" s="1">
        <f t="shared" si="63"/>
        <v>2022</v>
      </c>
      <c r="F1019" s="1">
        <v>1018</v>
      </c>
      <c r="G1019" s="1">
        <v>390</v>
      </c>
      <c r="H1019" s="1">
        <v>362</v>
      </c>
      <c r="I1019" s="2">
        <v>0.92820000000000003</v>
      </c>
      <c r="J1019" s="1">
        <v>28</v>
      </c>
      <c r="K1019" s="3">
        <v>3.5879629629629629E-4</v>
      </c>
      <c r="L1019" s="3">
        <v>1.9675925925925924E-3</v>
      </c>
      <c r="M1019" s="3">
        <v>4.0046296296296297E-3</v>
      </c>
      <c r="N1019" s="2">
        <v>0.5948</v>
      </c>
      <c r="O1019" s="5">
        <f t="shared" si="48"/>
        <v>0.71226851851851847</v>
      </c>
      <c r="P1019" s="5">
        <f t="shared" si="49"/>
        <v>42.736111111111107</v>
      </c>
      <c r="Q1019" s="5">
        <f t="shared" si="50"/>
        <v>0.76736111111111105</v>
      </c>
      <c r="R1019" s="5">
        <f t="shared" si="51"/>
        <v>46.041666666666664</v>
      </c>
    </row>
    <row r="1020" spans="1:18">
      <c r="A1020" s="4">
        <v>44849</v>
      </c>
      <c r="B1020" s="1" t="s">
        <v>21</v>
      </c>
      <c r="C1020" s="1">
        <f t="shared" si="61"/>
        <v>10</v>
      </c>
      <c r="D1020" s="1">
        <f t="shared" si="62"/>
        <v>15</v>
      </c>
      <c r="E1020" s="1">
        <f t="shared" si="63"/>
        <v>2022</v>
      </c>
      <c r="F1020" s="1">
        <v>1019</v>
      </c>
      <c r="G1020" s="1">
        <v>238</v>
      </c>
      <c r="H1020" s="1">
        <v>205</v>
      </c>
      <c r="I1020" s="2">
        <v>0.86129999999999995</v>
      </c>
      <c r="J1020" s="1">
        <v>33</v>
      </c>
      <c r="K1020" s="3">
        <v>3.3564814814814812E-4</v>
      </c>
      <c r="L1020" s="3">
        <v>1.5972222222222223E-3</v>
      </c>
      <c r="M1020" s="3">
        <v>3.5879629629629629E-3</v>
      </c>
      <c r="N1020" s="2">
        <v>0.60870000000000002</v>
      </c>
      <c r="O1020" s="5">
        <f t="shared" si="48"/>
        <v>0.32743055555555556</v>
      </c>
      <c r="P1020" s="5">
        <f t="shared" si="49"/>
        <v>19.645833333333332</v>
      </c>
      <c r="Q1020" s="5">
        <f t="shared" si="50"/>
        <v>0.38013888888888892</v>
      </c>
      <c r="R1020" s="5">
        <f t="shared" si="51"/>
        <v>22.808333333333334</v>
      </c>
    </row>
    <row r="1021" spans="1:18">
      <c r="A1021" s="4">
        <v>44850</v>
      </c>
      <c r="B1021" s="1" t="s">
        <v>22</v>
      </c>
      <c r="C1021" s="1">
        <f t="shared" si="61"/>
        <v>10</v>
      </c>
      <c r="D1021" s="1">
        <f t="shared" si="62"/>
        <v>16</v>
      </c>
      <c r="E1021" s="1">
        <f t="shared" si="63"/>
        <v>2022</v>
      </c>
      <c r="F1021" s="1">
        <v>1020</v>
      </c>
      <c r="G1021" s="1">
        <v>29</v>
      </c>
      <c r="H1021" s="1">
        <v>28</v>
      </c>
      <c r="I1021" s="2">
        <v>0.96550000000000002</v>
      </c>
      <c r="J1021" s="1">
        <v>1</v>
      </c>
      <c r="K1021" s="3">
        <v>1.0416666666666667E-4</v>
      </c>
      <c r="L1021" s="3">
        <v>1.712962962962963E-3</v>
      </c>
      <c r="M1021" s="3">
        <v>7.5231481481481482E-4</v>
      </c>
      <c r="N1021" s="2">
        <v>0.89290000000000003</v>
      </c>
      <c r="O1021" s="5">
        <f t="shared" si="48"/>
        <v>4.7962962962962964E-2</v>
      </c>
      <c r="P1021" s="5">
        <f t="shared" si="49"/>
        <v>2.8777777777777778</v>
      </c>
      <c r="Q1021" s="5">
        <f t="shared" si="50"/>
        <v>4.9675925925925929E-2</v>
      </c>
      <c r="R1021" s="5">
        <f t="shared" si="51"/>
        <v>2.9805555555555556</v>
      </c>
    </row>
    <row r="1022" spans="1:18">
      <c r="A1022" s="4">
        <v>44851</v>
      </c>
      <c r="B1022" s="1" t="s">
        <v>23</v>
      </c>
      <c r="C1022" s="1">
        <f t="shared" si="61"/>
        <v>10</v>
      </c>
      <c r="D1022" s="1">
        <f t="shared" si="62"/>
        <v>17</v>
      </c>
      <c r="E1022" s="1">
        <f t="shared" si="63"/>
        <v>2022</v>
      </c>
      <c r="F1022" s="1">
        <v>1021</v>
      </c>
      <c r="G1022" s="1">
        <v>30</v>
      </c>
      <c r="H1022" s="1">
        <v>29</v>
      </c>
      <c r="I1022" s="2">
        <v>0.9667</v>
      </c>
      <c r="J1022" s="1">
        <v>1</v>
      </c>
      <c r="K1022" s="3">
        <v>2.199074074074074E-4</v>
      </c>
      <c r="L1022" s="3">
        <v>1.736111111111111E-3</v>
      </c>
      <c r="M1022" s="3">
        <v>1.7476851851851852E-3</v>
      </c>
      <c r="N1022" s="2">
        <v>0.83330000000000004</v>
      </c>
      <c r="O1022" s="5">
        <f t="shared" ref="O1022:O1252" si="64">L1022*H1022</f>
        <v>5.0347222222222217E-2</v>
      </c>
      <c r="P1022" s="5">
        <f t="shared" ref="P1022:P1252" si="65">O1022*60</f>
        <v>3.020833333333333</v>
      </c>
      <c r="Q1022" s="5">
        <f t="shared" ref="Q1022:Q1252" si="66">L1022*G1022</f>
        <v>5.2083333333333329E-2</v>
      </c>
      <c r="R1022" s="5">
        <f t="shared" ref="R1022:R1252" si="67">Q1022*60</f>
        <v>3.1249999999999996</v>
      </c>
    </row>
    <row r="1023" spans="1:18">
      <c r="A1023" s="4">
        <v>44852</v>
      </c>
      <c r="B1023" s="1" t="s">
        <v>24</v>
      </c>
      <c r="C1023" s="1">
        <f t="shared" si="61"/>
        <v>10</v>
      </c>
      <c r="D1023" s="1">
        <f t="shared" si="62"/>
        <v>18</v>
      </c>
      <c r="E1023" s="1">
        <f t="shared" si="63"/>
        <v>2022</v>
      </c>
      <c r="F1023" s="1">
        <v>1022</v>
      </c>
      <c r="G1023" s="1">
        <v>287</v>
      </c>
      <c r="H1023" s="1">
        <v>273</v>
      </c>
      <c r="I1023" s="2">
        <v>0.95120000000000005</v>
      </c>
      <c r="J1023" s="1">
        <v>14</v>
      </c>
      <c r="K1023" s="3">
        <v>1.8518518518518518E-4</v>
      </c>
      <c r="L1023" s="3">
        <v>1.6203703703703703E-3</v>
      </c>
      <c r="M1023" s="3">
        <v>2.1527777777777778E-3</v>
      </c>
      <c r="N1023" s="2">
        <v>0.79</v>
      </c>
      <c r="O1023" s="5">
        <f t="shared" si="64"/>
        <v>0.44236111111111109</v>
      </c>
      <c r="P1023" s="5">
        <f t="shared" si="65"/>
        <v>26.541666666666664</v>
      </c>
      <c r="Q1023" s="5">
        <f t="shared" si="66"/>
        <v>0.46504629629629629</v>
      </c>
      <c r="R1023" s="5">
        <f t="shared" si="67"/>
        <v>27.902777777777779</v>
      </c>
    </row>
    <row r="1024" spans="1:18">
      <c r="A1024" s="4">
        <v>44853</v>
      </c>
      <c r="B1024" s="1" t="s">
        <v>18</v>
      </c>
      <c r="C1024" s="1">
        <f t="shared" si="61"/>
        <v>10</v>
      </c>
      <c r="D1024" s="1">
        <f t="shared" si="62"/>
        <v>19</v>
      </c>
      <c r="E1024" s="1">
        <f t="shared" si="63"/>
        <v>2022</v>
      </c>
      <c r="F1024" s="1">
        <v>1023</v>
      </c>
      <c r="G1024" s="1">
        <v>474</v>
      </c>
      <c r="H1024" s="1">
        <v>380</v>
      </c>
      <c r="I1024" s="2">
        <v>0.80169999999999997</v>
      </c>
      <c r="J1024" s="1">
        <v>94</v>
      </c>
      <c r="K1024" s="3">
        <v>4.5138888888888887E-4</v>
      </c>
      <c r="L1024" s="3">
        <v>1.4814814814814814E-3</v>
      </c>
      <c r="M1024" s="3">
        <v>5.5324074074074078E-3</v>
      </c>
      <c r="N1024" s="2">
        <v>0.47420000000000001</v>
      </c>
      <c r="O1024" s="5">
        <f t="shared" si="64"/>
        <v>0.56296296296296289</v>
      </c>
      <c r="P1024" s="5">
        <f t="shared" si="65"/>
        <v>33.777777777777771</v>
      </c>
      <c r="Q1024" s="5">
        <f t="shared" si="66"/>
        <v>0.70222222222222219</v>
      </c>
      <c r="R1024" s="5">
        <f t="shared" si="67"/>
        <v>42.133333333333333</v>
      </c>
    </row>
    <row r="1025" spans="1:18">
      <c r="A1025" s="4">
        <v>44854</v>
      </c>
      <c r="B1025" s="1" t="s">
        <v>19</v>
      </c>
      <c r="C1025" s="1">
        <f t="shared" si="61"/>
        <v>10</v>
      </c>
      <c r="D1025" s="1">
        <f t="shared" si="62"/>
        <v>20</v>
      </c>
      <c r="E1025" s="1">
        <f t="shared" si="63"/>
        <v>2022</v>
      </c>
      <c r="F1025" s="1">
        <v>1024</v>
      </c>
      <c r="G1025" s="1">
        <v>277</v>
      </c>
      <c r="H1025" s="1">
        <v>230</v>
      </c>
      <c r="I1025" s="2">
        <v>0.83030000000000004</v>
      </c>
      <c r="J1025" s="1">
        <v>47</v>
      </c>
      <c r="K1025" s="3">
        <v>4.6296296296296298E-4</v>
      </c>
      <c r="L1025" s="3">
        <v>1.9907407407407408E-3</v>
      </c>
      <c r="M1025" s="3">
        <v>4.31712962962963E-3</v>
      </c>
      <c r="N1025" s="2">
        <v>0.46179999999999999</v>
      </c>
      <c r="O1025" s="5">
        <f t="shared" si="64"/>
        <v>0.45787037037037037</v>
      </c>
      <c r="P1025" s="5">
        <f t="shared" si="65"/>
        <v>27.472222222222221</v>
      </c>
      <c r="Q1025" s="5">
        <f t="shared" si="66"/>
        <v>0.55143518518518519</v>
      </c>
      <c r="R1025" s="5">
        <f t="shared" si="67"/>
        <v>33.086111111111109</v>
      </c>
    </row>
    <row r="1026" spans="1:18">
      <c r="A1026" s="4">
        <v>44855</v>
      </c>
      <c r="B1026" s="1" t="s">
        <v>20</v>
      </c>
      <c r="C1026" s="1">
        <f t="shared" si="61"/>
        <v>10</v>
      </c>
      <c r="D1026" s="1">
        <f t="shared" si="62"/>
        <v>21</v>
      </c>
      <c r="E1026" s="1">
        <f t="shared" si="63"/>
        <v>2022</v>
      </c>
      <c r="F1026" s="1">
        <v>1025</v>
      </c>
      <c r="G1026" s="1">
        <v>173</v>
      </c>
      <c r="H1026" s="1">
        <v>163</v>
      </c>
      <c r="I1026" s="2">
        <v>0.94220000000000004</v>
      </c>
      <c r="J1026" s="1">
        <v>10</v>
      </c>
      <c r="K1026" s="3">
        <v>1.9675925925925926E-4</v>
      </c>
      <c r="L1026" s="3">
        <v>1.9212962962962964E-3</v>
      </c>
      <c r="M1026" s="3">
        <v>1.8981481481481482E-3</v>
      </c>
      <c r="N1026" s="2">
        <v>0.77190000000000003</v>
      </c>
      <c r="O1026" s="5">
        <f t="shared" si="64"/>
        <v>0.31317129629629631</v>
      </c>
      <c r="P1026" s="5">
        <f t="shared" si="65"/>
        <v>18.790277777777778</v>
      </c>
      <c r="Q1026" s="5">
        <f t="shared" si="66"/>
        <v>0.3323842592592593</v>
      </c>
      <c r="R1026" s="5">
        <f t="shared" si="67"/>
        <v>19.943055555555556</v>
      </c>
    </row>
    <row r="1027" spans="1:18">
      <c r="A1027" s="4">
        <v>44856</v>
      </c>
      <c r="B1027" s="1" t="s">
        <v>21</v>
      </c>
      <c r="C1027" s="1">
        <f t="shared" ref="C1027:C1090" si="68">MONTH(A1027)</f>
        <v>10</v>
      </c>
      <c r="D1027" s="1">
        <f t="shared" ref="D1027:D1090" si="69">DAY(A1027)</f>
        <v>22</v>
      </c>
      <c r="E1027" s="1">
        <f t="shared" ref="E1027:E1090" si="70">YEAR(A1027)</f>
        <v>2022</v>
      </c>
      <c r="F1027" s="1">
        <v>1026</v>
      </c>
      <c r="G1027" s="1">
        <v>167</v>
      </c>
      <c r="H1027" s="1">
        <v>152</v>
      </c>
      <c r="I1027" s="2">
        <v>0.91020000000000001</v>
      </c>
      <c r="J1027" s="1">
        <v>15</v>
      </c>
      <c r="K1027" s="3">
        <v>1.5046296296296297E-4</v>
      </c>
      <c r="L1027" s="3">
        <v>1.8171296296296297E-3</v>
      </c>
      <c r="M1027" s="3">
        <v>3.5879629629629629E-3</v>
      </c>
      <c r="N1027" s="2">
        <v>0.84150000000000003</v>
      </c>
      <c r="O1027" s="5">
        <f t="shared" si="64"/>
        <v>0.27620370370370373</v>
      </c>
      <c r="P1027" s="5">
        <f t="shared" si="65"/>
        <v>16.572222222222223</v>
      </c>
      <c r="Q1027" s="5">
        <f t="shared" si="66"/>
        <v>0.30346064814814816</v>
      </c>
      <c r="R1027" s="5">
        <f t="shared" si="67"/>
        <v>18.207638888888891</v>
      </c>
    </row>
    <row r="1028" spans="1:18">
      <c r="A1028" s="4">
        <v>44857</v>
      </c>
      <c r="B1028" s="1" t="s">
        <v>22</v>
      </c>
      <c r="C1028" s="1">
        <f t="shared" si="68"/>
        <v>10</v>
      </c>
      <c r="D1028" s="1">
        <f t="shared" si="69"/>
        <v>23</v>
      </c>
      <c r="E1028" s="1">
        <f t="shared" si="70"/>
        <v>2022</v>
      </c>
      <c r="F1028" s="1">
        <v>1027</v>
      </c>
      <c r="G1028" s="1">
        <v>27</v>
      </c>
      <c r="H1028" s="1">
        <v>24</v>
      </c>
      <c r="I1028" s="2">
        <v>0.88890000000000002</v>
      </c>
      <c r="J1028" s="1">
        <v>3</v>
      </c>
      <c r="K1028" s="3">
        <v>2.3148148148148149E-4</v>
      </c>
      <c r="L1028" s="3">
        <v>1.4467592592592592E-3</v>
      </c>
      <c r="M1028" s="3">
        <v>2.5810185185185185E-3</v>
      </c>
      <c r="N1028" s="2">
        <v>0.76919999999999999</v>
      </c>
      <c r="O1028" s="5">
        <f t="shared" si="64"/>
        <v>3.4722222222222224E-2</v>
      </c>
      <c r="P1028" s="5">
        <f t="shared" si="65"/>
        <v>2.0833333333333335</v>
      </c>
      <c r="Q1028" s="5">
        <f t="shared" si="66"/>
        <v>3.90625E-2</v>
      </c>
      <c r="R1028" s="5">
        <f t="shared" si="67"/>
        <v>2.34375</v>
      </c>
    </row>
    <row r="1029" spans="1:18">
      <c r="A1029" s="4">
        <v>44858</v>
      </c>
      <c r="B1029" s="1" t="s">
        <v>23</v>
      </c>
      <c r="C1029" s="1">
        <f t="shared" si="68"/>
        <v>10</v>
      </c>
      <c r="D1029" s="1">
        <f t="shared" si="69"/>
        <v>24</v>
      </c>
      <c r="E1029" s="1">
        <f t="shared" si="70"/>
        <v>2022</v>
      </c>
      <c r="F1029" s="1">
        <v>1028</v>
      </c>
      <c r="G1029" s="1">
        <v>173</v>
      </c>
      <c r="H1029" s="1">
        <v>153</v>
      </c>
      <c r="I1029" s="2">
        <v>0.88439999999999996</v>
      </c>
      <c r="J1029" s="1">
        <v>20</v>
      </c>
      <c r="K1029" s="3">
        <v>3.3564814814814812E-4</v>
      </c>
      <c r="L1029" s="3">
        <v>1.9212962962962964E-3</v>
      </c>
      <c r="M1029" s="3">
        <v>2.1527777777777778E-3</v>
      </c>
      <c r="N1029" s="2">
        <v>0.57989999999999997</v>
      </c>
      <c r="O1029" s="5">
        <f t="shared" si="64"/>
        <v>0.29395833333333332</v>
      </c>
      <c r="P1029" s="5">
        <f t="shared" si="65"/>
        <v>17.637499999999999</v>
      </c>
      <c r="Q1029" s="5">
        <f t="shared" si="66"/>
        <v>0.3323842592592593</v>
      </c>
      <c r="R1029" s="5">
        <f t="shared" si="67"/>
        <v>19.943055555555556</v>
      </c>
    </row>
    <row r="1030" spans="1:18">
      <c r="A1030" s="4">
        <v>44859</v>
      </c>
      <c r="B1030" s="1" t="s">
        <v>24</v>
      </c>
      <c r="C1030" s="1">
        <f t="shared" si="68"/>
        <v>10</v>
      </c>
      <c r="D1030" s="1">
        <f t="shared" si="69"/>
        <v>25</v>
      </c>
      <c r="E1030" s="1">
        <f t="shared" si="70"/>
        <v>2022</v>
      </c>
      <c r="F1030" s="1">
        <v>1029</v>
      </c>
      <c r="G1030" s="1">
        <v>36</v>
      </c>
      <c r="H1030" s="1">
        <v>27</v>
      </c>
      <c r="I1030" s="2">
        <v>0.75</v>
      </c>
      <c r="J1030" s="1">
        <v>9</v>
      </c>
      <c r="K1030" s="3">
        <v>4.1666666666666669E-4</v>
      </c>
      <c r="L1030" s="3">
        <v>2.0254629629629629E-3</v>
      </c>
      <c r="M1030" s="3">
        <v>2.7430555555555554E-3</v>
      </c>
      <c r="N1030" s="2">
        <v>0.41670000000000001</v>
      </c>
      <c r="O1030" s="5">
        <f t="shared" si="64"/>
        <v>5.46875E-2</v>
      </c>
      <c r="P1030" s="5">
        <f t="shared" si="65"/>
        <v>3.28125</v>
      </c>
      <c r="Q1030" s="5">
        <f t="shared" si="66"/>
        <v>7.2916666666666657E-2</v>
      </c>
      <c r="R1030" s="5">
        <f t="shared" si="67"/>
        <v>4.3749999999999991</v>
      </c>
    </row>
    <row r="1031" spans="1:18">
      <c r="A1031" s="4">
        <v>44860</v>
      </c>
      <c r="B1031" s="1" t="s">
        <v>18</v>
      </c>
      <c r="C1031" s="1">
        <f t="shared" si="68"/>
        <v>10</v>
      </c>
      <c r="D1031" s="1">
        <f t="shared" si="69"/>
        <v>26</v>
      </c>
      <c r="E1031" s="1">
        <f t="shared" si="70"/>
        <v>2022</v>
      </c>
      <c r="F1031" s="1">
        <v>1030</v>
      </c>
      <c r="G1031" s="1">
        <v>186</v>
      </c>
      <c r="H1031" s="1">
        <v>171</v>
      </c>
      <c r="I1031" s="2">
        <v>0.9194</v>
      </c>
      <c r="J1031" s="1">
        <v>15</v>
      </c>
      <c r="K1031" s="3">
        <v>3.1250000000000001E-4</v>
      </c>
      <c r="L1031" s="3">
        <v>1.9560185185185184E-3</v>
      </c>
      <c r="M1031" s="3">
        <v>2.4074074074074076E-3</v>
      </c>
      <c r="N1031" s="2">
        <v>0.64480000000000004</v>
      </c>
      <c r="O1031" s="5">
        <f t="shared" si="64"/>
        <v>0.33447916666666666</v>
      </c>
      <c r="P1031" s="5">
        <f t="shared" si="65"/>
        <v>20.068750000000001</v>
      </c>
      <c r="Q1031" s="5">
        <f t="shared" si="66"/>
        <v>0.36381944444444442</v>
      </c>
      <c r="R1031" s="5">
        <f t="shared" si="67"/>
        <v>21.829166666666666</v>
      </c>
    </row>
    <row r="1032" spans="1:18">
      <c r="A1032" s="4">
        <v>44861</v>
      </c>
      <c r="B1032" s="1" t="s">
        <v>19</v>
      </c>
      <c r="C1032" s="1">
        <f t="shared" si="68"/>
        <v>10</v>
      </c>
      <c r="D1032" s="1">
        <f t="shared" si="69"/>
        <v>27</v>
      </c>
      <c r="E1032" s="1">
        <f t="shared" si="70"/>
        <v>2022</v>
      </c>
      <c r="F1032" s="1">
        <v>1031</v>
      </c>
      <c r="G1032" s="1">
        <v>160</v>
      </c>
      <c r="H1032" s="1">
        <v>149</v>
      </c>
      <c r="I1032" s="2">
        <v>0.93130000000000002</v>
      </c>
      <c r="J1032" s="1">
        <v>11</v>
      </c>
      <c r="K1032" s="3">
        <v>2.6620370370370372E-4</v>
      </c>
      <c r="L1032" s="3">
        <v>1.9328703703703704E-3</v>
      </c>
      <c r="M1032" s="3">
        <v>3.3796296296296296E-3</v>
      </c>
      <c r="N1032" s="2">
        <v>0.74050000000000005</v>
      </c>
      <c r="O1032" s="5">
        <f t="shared" si="64"/>
        <v>0.2879976851851852</v>
      </c>
      <c r="P1032" s="5">
        <f t="shared" si="65"/>
        <v>17.279861111111114</v>
      </c>
      <c r="Q1032" s="5">
        <f t="shared" si="66"/>
        <v>0.30925925925925923</v>
      </c>
      <c r="R1032" s="5">
        <f t="shared" si="67"/>
        <v>18.555555555555554</v>
      </c>
    </row>
    <row r="1033" spans="1:18">
      <c r="A1033" s="4">
        <v>44862</v>
      </c>
      <c r="B1033" s="1" t="s">
        <v>20</v>
      </c>
      <c r="C1033" s="1">
        <f t="shared" si="68"/>
        <v>10</v>
      </c>
      <c r="D1033" s="1">
        <f t="shared" si="69"/>
        <v>28</v>
      </c>
      <c r="E1033" s="1">
        <f t="shared" si="70"/>
        <v>2022</v>
      </c>
      <c r="F1033" s="1">
        <v>1032</v>
      </c>
      <c r="G1033" s="1">
        <v>233</v>
      </c>
      <c r="H1033" s="1">
        <v>215</v>
      </c>
      <c r="I1033" s="2">
        <v>0.92269999999999996</v>
      </c>
      <c r="J1033" s="1">
        <v>18</v>
      </c>
      <c r="K1033" s="3">
        <v>2.5462962962962961E-4</v>
      </c>
      <c r="L1033" s="3">
        <v>1.7824074074074075E-3</v>
      </c>
      <c r="M1033" s="3">
        <v>5.6481481481481478E-3</v>
      </c>
      <c r="N1033" s="2">
        <v>0.74119999999999997</v>
      </c>
      <c r="O1033" s="5">
        <f t="shared" si="64"/>
        <v>0.38321759259259258</v>
      </c>
      <c r="P1033" s="5">
        <f t="shared" si="65"/>
        <v>22.993055555555554</v>
      </c>
      <c r="Q1033" s="5">
        <f t="shared" si="66"/>
        <v>0.41530092592592593</v>
      </c>
      <c r="R1033" s="5">
        <f t="shared" si="67"/>
        <v>24.918055555555554</v>
      </c>
    </row>
    <row r="1034" spans="1:18">
      <c r="A1034" s="4">
        <v>44863</v>
      </c>
      <c r="B1034" s="1" t="s">
        <v>21</v>
      </c>
      <c r="C1034" s="1">
        <f t="shared" si="68"/>
        <v>10</v>
      </c>
      <c r="D1034" s="1">
        <f t="shared" si="69"/>
        <v>29</v>
      </c>
      <c r="E1034" s="1">
        <f t="shared" si="70"/>
        <v>2022</v>
      </c>
      <c r="F1034" s="1">
        <v>1033</v>
      </c>
      <c r="G1034" s="1">
        <v>162</v>
      </c>
      <c r="H1034" s="1">
        <v>157</v>
      </c>
      <c r="I1034" s="2">
        <v>0.96909999999999996</v>
      </c>
      <c r="J1034" s="1">
        <v>5</v>
      </c>
      <c r="K1034" s="3">
        <v>1.5046296296296297E-4</v>
      </c>
      <c r="L1034" s="3">
        <v>1.7592592592592592E-3</v>
      </c>
      <c r="M1034" s="3">
        <v>3.5879629629629629E-3</v>
      </c>
      <c r="N1034" s="2">
        <v>0.82720000000000005</v>
      </c>
      <c r="O1034" s="5">
        <f t="shared" si="64"/>
        <v>0.27620370370370367</v>
      </c>
      <c r="P1034" s="5">
        <f t="shared" si="65"/>
        <v>16.572222222222219</v>
      </c>
      <c r="Q1034" s="5">
        <f t="shared" si="66"/>
        <v>0.28499999999999998</v>
      </c>
      <c r="R1034" s="5">
        <f t="shared" si="67"/>
        <v>17.099999999999998</v>
      </c>
    </row>
    <row r="1035" spans="1:18">
      <c r="A1035" s="4">
        <v>44864</v>
      </c>
      <c r="B1035" s="1" t="s">
        <v>22</v>
      </c>
      <c r="C1035" s="1">
        <f t="shared" si="68"/>
        <v>10</v>
      </c>
      <c r="D1035" s="1">
        <f t="shared" si="69"/>
        <v>30</v>
      </c>
      <c r="E1035" s="1">
        <f t="shared" si="70"/>
        <v>2022</v>
      </c>
      <c r="F1035" s="1">
        <v>1034</v>
      </c>
      <c r="G1035" s="1">
        <v>27</v>
      </c>
      <c r="H1035" s="1">
        <v>24</v>
      </c>
      <c r="I1035" s="2">
        <v>0.88890000000000002</v>
      </c>
      <c r="J1035" s="1">
        <v>3</v>
      </c>
      <c r="K1035" s="3">
        <v>2.0833333333333335E-4</v>
      </c>
      <c r="L1035" s="3">
        <v>1.5046296296296296E-3</v>
      </c>
      <c r="M1035" s="3">
        <v>2.673611111111111E-3</v>
      </c>
      <c r="N1035" s="2">
        <v>0.70369999999999999</v>
      </c>
      <c r="O1035" s="5">
        <f t="shared" si="64"/>
        <v>3.6111111111111108E-2</v>
      </c>
      <c r="P1035" s="5">
        <f t="shared" si="65"/>
        <v>2.1666666666666665</v>
      </c>
      <c r="Q1035" s="5">
        <f t="shared" si="66"/>
        <v>4.0625000000000001E-2</v>
      </c>
      <c r="R1035" s="5">
        <f t="shared" si="67"/>
        <v>2.4375</v>
      </c>
    </row>
    <row r="1036" spans="1:18">
      <c r="A1036" s="4">
        <v>44865</v>
      </c>
      <c r="B1036" s="1" t="s">
        <v>23</v>
      </c>
      <c r="C1036" s="1">
        <f t="shared" si="68"/>
        <v>10</v>
      </c>
      <c r="D1036" s="1">
        <f t="shared" si="69"/>
        <v>31</v>
      </c>
      <c r="E1036" s="1">
        <f t="shared" si="70"/>
        <v>2022</v>
      </c>
      <c r="F1036" s="1">
        <v>1035</v>
      </c>
      <c r="G1036" s="1">
        <v>168</v>
      </c>
      <c r="H1036" s="1">
        <v>155</v>
      </c>
      <c r="I1036" s="2">
        <v>0.92259999999999998</v>
      </c>
      <c r="J1036" s="1">
        <v>13</v>
      </c>
      <c r="K1036" s="3">
        <v>3.0092592592592595E-4</v>
      </c>
      <c r="L1036" s="3">
        <v>2.2916666666666667E-3</v>
      </c>
      <c r="M1036" s="3">
        <v>2.1759259259259258E-3</v>
      </c>
      <c r="N1036" s="2">
        <v>0.64880000000000004</v>
      </c>
      <c r="O1036" s="5">
        <f t="shared" si="64"/>
        <v>0.35520833333333335</v>
      </c>
      <c r="P1036" s="5">
        <f t="shared" si="65"/>
        <v>21.3125</v>
      </c>
      <c r="Q1036" s="5">
        <f t="shared" si="66"/>
        <v>0.38500000000000001</v>
      </c>
      <c r="R1036" s="5">
        <f t="shared" si="67"/>
        <v>23.1</v>
      </c>
    </row>
    <row r="1037" spans="1:18">
      <c r="A1037" s="4">
        <v>44866</v>
      </c>
      <c r="B1037" s="1" t="s">
        <v>24</v>
      </c>
      <c r="C1037" s="1">
        <f t="shared" si="68"/>
        <v>11</v>
      </c>
      <c r="D1037" s="1">
        <f t="shared" si="69"/>
        <v>1</v>
      </c>
      <c r="E1037" s="1">
        <f t="shared" si="70"/>
        <v>2022</v>
      </c>
      <c r="F1037" s="1">
        <v>1036</v>
      </c>
      <c r="G1037" s="1">
        <v>328</v>
      </c>
      <c r="H1037" s="1">
        <v>301</v>
      </c>
      <c r="I1037" s="2">
        <v>0.91769999999999996</v>
      </c>
      <c r="J1037" s="1">
        <v>27</v>
      </c>
      <c r="K1037" s="3">
        <v>2.6620370370370372E-4</v>
      </c>
      <c r="L1037" s="3">
        <v>1.724537037037037E-3</v>
      </c>
      <c r="M1037" s="3">
        <v>4.8495370370370368E-3</v>
      </c>
      <c r="N1037" s="2">
        <v>0.67910000000000004</v>
      </c>
      <c r="O1037" s="5">
        <f t="shared" si="64"/>
        <v>0.51908564814814817</v>
      </c>
      <c r="P1037" s="5">
        <f t="shared" si="65"/>
        <v>31.145138888888891</v>
      </c>
      <c r="Q1037" s="5">
        <f t="shared" si="66"/>
        <v>0.56564814814814812</v>
      </c>
      <c r="R1037" s="5">
        <f t="shared" si="67"/>
        <v>33.93888888888889</v>
      </c>
    </row>
    <row r="1038" spans="1:18">
      <c r="A1038" s="4">
        <v>44867</v>
      </c>
      <c r="B1038" s="1" t="s">
        <v>18</v>
      </c>
      <c r="C1038" s="1">
        <f t="shared" si="68"/>
        <v>11</v>
      </c>
      <c r="D1038" s="1">
        <f t="shared" si="69"/>
        <v>2</v>
      </c>
      <c r="E1038" s="1">
        <f t="shared" si="70"/>
        <v>2022</v>
      </c>
      <c r="F1038" s="1">
        <v>1037</v>
      </c>
      <c r="G1038" s="1">
        <v>234</v>
      </c>
      <c r="H1038" s="1">
        <v>208</v>
      </c>
      <c r="I1038" s="2">
        <v>0.88890000000000002</v>
      </c>
      <c r="J1038" s="1">
        <v>26</v>
      </c>
      <c r="K1038" s="3">
        <v>2.3148148148148149E-4</v>
      </c>
      <c r="L1038" s="3">
        <v>1.8981481481481482E-3</v>
      </c>
      <c r="M1038" s="3">
        <v>3.6805555555555554E-3</v>
      </c>
      <c r="N1038" s="2">
        <v>0.72250000000000003</v>
      </c>
      <c r="O1038" s="5">
        <f t="shared" si="64"/>
        <v>0.39481481481481484</v>
      </c>
      <c r="P1038" s="5">
        <f t="shared" si="65"/>
        <v>23.68888888888889</v>
      </c>
      <c r="Q1038" s="5">
        <f t="shared" si="66"/>
        <v>0.44416666666666665</v>
      </c>
      <c r="R1038" s="5">
        <f t="shared" si="67"/>
        <v>26.65</v>
      </c>
    </row>
    <row r="1039" spans="1:18">
      <c r="A1039" s="4">
        <v>44868</v>
      </c>
      <c r="B1039" s="1" t="s">
        <v>19</v>
      </c>
      <c r="C1039" s="1">
        <f t="shared" si="68"/>
        <v>11</v>
      </c>
      <c r="D1039" s="1">
        <f t="shared" si="69"/>
        <v>3</v>
      </c>
      <c r="E1039" s="1">
        <f t="shared" si="70"/>
        <v>2022</v>
      </c>
      <c r="F1039" s="1">
        <v>1038</v>
      </c>
      <c r="G1039" s="1">
        <v>37</v>
      </c>
      <c r="H1039" s="1">
        <v>34</v>
      </c>
      <c r="I1039" s="2">
        <v>0.91890000000000005</v>
      </c>
      <c r="J1039" s="1">
        <v>3</v>
      </c>
      <c r="K1039" s="3">
        <v>1.6203703703703703E-4</v>
      </c>
      <c r="L1039" s="3">
        <v>1.5740740740740741E-3</v>
      </c>
      <c r="M1039" s="3">
        <v>2.5925925925925925E-3</v>
      </c>
      <c r="N1039" s="2">
        <v>0.83779999999999999</v>
      </c>
      <c r="O1039" s="5">
        <f t="shared" si="64"/>
        <v>5.3518518518518521E-2</v>
      </c>
      <c r="P1039" s="5">
        <f t="shared" si="65"/>
        <v>3.2111111111111112</v>
      </c>
      <c r="Q1039" s="5">
        <f t="shared" si="66"/>
        <v>5.8240740740740739E-2</v>
      </c>
      <c r="R1039" s="5">
        <f t="shared" si="67"/>
        <v>3.4944444444444445</v>
      </c>
    </row>
    <row r="1040" spans="1:18">
      <c r="A1040" s="4">
        <v>44869</v>
      </c>
      <c r="B1040" s="1" t="s">
        <v>20</v>
      </c>
      <c r="C1040" s="1">
        <f t="shared" si="68"/>
        <v>11</v>
      </c>
      <c r="D1040" s="1">
        <f t="shared" si="69"/>
        <v>4</v>
      </c>
      <c r="E1040" s="1">
        <f t="shared" si="70"/>
        <v>2022</v>
      </c>
      <c r="F1040" s="1">
        <v>1039</v>
      </c>
      <c r="G1040" s="1">
        <v>185</v>
      </c>
      <c r="H1040" s="1">
        <v>167</v>
      </c>
      <c r="I1040" s="2">
        <v>0.90269999999999995</v>
      </c>
      <c r="J1040" s="1">
        <v>18</v>
      </c>
      <c r="K1040" s="3">
        <v>2.0833333333333335E-4</v>
      </c>
      <c r="L1040" s="3">
        <v>1.8865740740740742E-3</v>
      </c>
      <c r="M1040" s="3">
        <v>4.3055555555555555E-3</v>
      </c>
      <c r="N1040" s="2">
        <v>0.73509999999999998</v>
      </c>
      <c r="O1040" s="5">
        <f t="shared" si="64"/>
        <v>0.31505787037037036</v>
      </c>
      <c r="P1040" s="5">
        <f t="shared" si="65"/>
        <v>18.90347222222222</v>
      </c>
      <c r="Q1040" s="5">
        <f t="shared" si="66"/>
        <v>0.34901620370370373</v>
      </c>
      <c r="R1040" s="5">
        <f t="shared" si="67"/>
        <v>20.940972222222225</v>
      </c>
    </row>
    <row r="1041" spans="1:18">
      <c r="A1041" s="4">
        <v>44870</v>
      </c>
      <c r="B1041" s="1" t="s">
        <v>21</v>
      </c>
      <c r="C1041" s="1">
        <f t="shared" si="68"/>
        <v>11</v>
      </c>
      <c r="D1041" s="1">
        <f t="shared" si="69"/>
        <v>5</v>
      </c>
      <c r="E1041" s="1">
        <f t="shared" si="70"/>
        <v>2022</v>
      </c>
      <c r="F1041" s="1">
        <v>1040</v>
      </c>
      <c r="G1041" s="1">
        <v>139</v>
      </c>
      <c r="H1041" s="1">
        <v>132</v>
      </c>
      <c r="I1041" s="2">
        <v>0.9496</v>
      </c>
      <c r="J1041" s="1">
        <v>7</v>
      </c>
      <c r="K1041" s="3">
        <v>1.1574074074074075E-4</v>
      </c>
      <c r="L1041" s="3">
        <v>2.0486111111111113E-3</v>
      </c>
      <c r="M1041" s="3">
        <v>2.4074074074074076E-3</v>
      </c>
      <c r="N1041" s="2">
        <v>0.88319999999999999</v>
      </c>
      <c r="O1041" s="5">
        <f t="shared" si="64"/>
        <v>0.27041666666666669</v>
      </c>
      <c r="P1041" s="5">
        <f t="shared" si="65"/>
        <v>16.225000000000001</v>
      </c>
      <c r="Q1041" s="5">
        <f t="shared" si="66"/>
        <v>0.28475694444444449</v>
      </c>
      <c r="R1041" s="5">
        <f t="shared" si="67"/>
        <v>17.085416666666671</v>
      </c>
    </row>
    <row r="1042" spans="1:18">
      <c r="A1042" s="4">
        <v>44871</v>
      </c>
      <c r="B1042" s="1" t="s">
        <v>22</v>
      </c>
      <c r="C1042" s="1">
        <f t="shared" si="68"/>
        <v>11</v>
      </c>
      <c r="D1042" s="1">
        <f t="shared" si="69"/>
        <v>6</v>
      </c>
      <c r="E1042" s="1">
        <f t="shared" si="70"/>
        <v>2022</v>
      </c>
      <c r="F1042" s="1">
        <v>1041</v>
      </c>
      <c r="G1042" s="1">
        <v>13</v>
      </c>
      <c r="H1042" s="1">
        <v>11</v>
      </c>
      <c r="I1042" s="2">
        <v>0.84619999999999995</v>
      </c>
      <c r="J1042" s="1">
        <v>2</v>
      </c>
      <c r="K1042" s="3">
        <v>5.3240740740740744E-4</v>
      </c>
      <c r="L1042" s="3">
        <v>1.4699074074074074E-3</v>
      </c>
      <c r="M1042" s="3">
        <v>1.7939814814814815E-3</v>
      </c>
      <c r="N1042" s="2">
        <v>0.41670000000000001</v>
      </c>
      <c r="O1042" s="5">
        <f t="shared" si="64"/>
        <v>1.6168981481481482E-2</v>
      </c>
      <c r="P1042" s="5">
        <f t="shared" si="65"/>
        <v>0.97013888888888888</v>
      </c>
      <c r="Q1042" s="5">
        <f t="shared" si="66"/>
        <v>1.9108796296296297E-2</v>
      </c>
      <c r="R1042" s="5">
        <f t="shared" si="67"/>
        <v>1.1465277777777778</v>
      </c>
    </row>
    <row r="1043" spans="1:18">
      <c r="A1043" s="4">
        <v>44872</v>
      </c>
      <c r="B1043" s="1" t="s">
        <v>23</v>
      </c>
      <c r="C1043" s="1">
        <f t="shared" si="68"/>
        <v>11</v>
      </c>
      <c r="D1043" s="1">
        <f t="shared" si="69"/>
        <v>7</v>
      </c>
      <c r="E1043" s="1">
        <f t="shared" si="70"/>
        <v>2022</v>
      </c>
      <c r="F1043" s="1">
        <v>1042</v>
      </c>
      <c r="G1043" s="1">
        <v>161</v>
      </c>
      <c r="H1043" s="1">
        <v>152</v>
      </c>
      <c r="I1043" s="2">
        <v>0.94410000000000005</v>
      </c>
      <c r="J1043" s="1">
        <v>9</v>
      </c>
      <c r="K1043" s="3">
        <v>2.6620370370370372E-4</v>
      </c>
      <c r="L1043" s="3">
        <v>1.712962962962963E-3</v>
      </c>
      <c r="M1043" s="3">
        <v>1.9907407407407408E-3</v>
      </c>
      <c r="N1043" s="2">
        <v>0.69620000000000004</v>
      </c>
      <c r="O1043" s="5">
        <f t="shared" si="64"/>
        <v>0.26037037037037036</v>
      </c>
      <c r="P1043" s="5">
        <f t="shared" si="65"/>
        <v>15.622222222222222</v>
      </c>
      <c r="Q1043" s="5">
        <f t="shared" si="66"/>
        <v>0.27578703703703705</v>
      </c>
      <c r="R1043" s="5">
        <f t="shared" si="67"/>
        <v>16.547222222222224</v>
      </c>
    </row>
    <row r="1044" spans="1:18">
      <c r="A1044" s="4">
        <v>44873</v>
      </c>
      <c r="B1044" s="1" t="s">
        <v>24</v>
      </c>
      <c r="C1044" s="1">
        <f t="shared" si="68"/>
        <v>11</v>
      </c>
      <c r="D1044" s="1">
        <f t="shared" si="69"/>
        <v>8</v>
      </c>
      <c r="E1044" s="1">
        <f t="shared" si="70"/>
        <v>2022</v>
      </c>
      <c r="F1044" s="1">
        <v>1043</v>
      </c>
      <c r="G1044" s="1">
        <v>149</v>
      </c>
      <c r="H1044" s="1">
        <v>144</v>
      </c>
      <c r="I1044" s="2">
        <v>0.96640000000000004</v>
      </c>
      <c r="J1044" s="1">
        <v>5</v>
      </c>
      <c r="K1044" s="3">
        <v>1.7361111111111112E-4</v>
      </c>
      <c r="L1044" s="3">
        <v>1.9212962962962964E-3</v>
      </c>
      <c r="M1044" s="3">
        <v>2.0949074074074073E-3</v>
      </c>
      <c r="N1044" s="2">
        <v>0.83109999999999995</v>
      </c>
      <c r="O1044" s="5">
        <f t="shared" si="64"/>
        <v>0.27666666666666667</v>
      </c>
      <c r="P1044" s="5">
        <f t="shared" si="65"/>
        <v>16.600000000000001</v>
      </c>
      <c r="Q1044" s="5">
        <f t="shared" si="66"/>
        <v>0.28627314814814814</v>
      </c>
      <c r="R1044" s="5">
        <f t="shared" si="67"/>
        <v>17.176388888888887</v>
      </c>
    </row>
    <row r="1045" spans="1:18">
      <c r="A1045" s="4">
        <v>44874</v>
      </c>
      <c r="B1045" s="1" t="s">
        <v>18</v>
      </c>
      <c r="C1045" s="1">
        <f t="shared" si="68"/>
        <v>11</v>
      </c>
      <c r="D1045" s="1">
        <f t="shared" si="69"/>
        <v>9</v>
      </c>
      <c r="E1045" s="1">
        <f t="shared" si="70"/>
        <v>2022</v>
      </c>
      <c r="F1045" s="1">
        <v>1044</v>
      </c>
      <c r="G1045" s="1">
        <v>178</v>
      </c>
      <c r="H1045" s="1">
        <v>167</v>
      </c>
      <c r="I1045" s="2">
        <v>0.93820000000000003</v>
      </c>
      <c r="J1045" s="1">
        <v>11</v>
      </c>
      <c r="K1045" s="3">
        <v>2.5462962962962961E-4</v>
      </c>
      <c r="L1045" s="3">
        <v>1.8749999999999999E-3</v>
      </c>
      <c r="M1045" s="3">
        <v>3.7499999999999999E-3</v>
      </c>
      <c r="N1045" s="2">
        <v>0.74860000000000004</v>
      </c>
      <c r="O1045" s="5">
        <f t="shared" si="64"/>
        <v>0.31312499999999999</v>
      </c>
      <c r="P1045" s="5">
        <f t="shared" si="65"/>
        <v>18.787499999999998</v>
      </c>
      <c r="Q1045" s="5">
        <f t="shared" si="66"/>
        <v>0.33374999999999999</v>
      </c>
      <c r="R1045" s="5">
        <f t="shared" si="67"/>
        <v>20.024999999999999</v>
      </c>
    </row>
    <row r="1046" spans="1:18">
      <c r="A1046" s="4">
        <v>44875</v>
      </c>
      <c r="B1046" s="1" t="s">
        <v>19</v>
      </c>
      <c r="C1046" s="1">
        <f t="shared" si="68"/>
        <v>11</v>
      </c>
      <c r="D1046" s="1">
        <f t="shared" si="69"/>
        <v>10</v>
      </c>
      <c r="E1046" s="1">
        <f t="shared" si="70"/>
        <v>2022</v>
      </c>
      <c r="F1046" s="1">
        <v>1045</v>
      </c>
      <c r="G1046" s="1">
        <v>224</v>
      </c>
      <c r="H1046" s="1">
        <v>210</v>
      </c>
      <c r="I1046" s="2">
        <v>0.9375</v>
      </c>
      <c r="J1046" s="1">
        <v>14</v>
      </c>
      <c r="K1046" s="3">
        <v>2.4305555555555555E-4</v>
      </c>
      <c r="L1046" s="3">
        <v>2.0833333333333333E-3</v>
      </c>
      <c r="M1046" s="3">
        <v>3.3217592592592591E-3</v>
      </c>
      <c r="N1046" s="2">
        <v>0.72519999999999996</v>
      </c>
      <c r="O1046" s="5">
        <f t="shared" si="64"/>
        <v>0.4375</v>
      </c>
      <c r="P1046" s="5">
        <f t="shared" si="65"/>
        <v>26.25</v>
      </c>
      <c r="Q1046" s="5">
        <f t="shared" si="66"/>
        <v>0.46666666666666667</v>
      </c>
      <c r="R1046" s="5">
        <f t="shared" si="67"/>
        <v>28</v>
      </c>
    </row>
    <row r="1047" spans="1:18">
      <c r="A1047" s="4">
        <v>44876</v>
      </c>
      <c r="B1047" s="1" t="s">
        <v>20</v>
      </c>
      <c r="C1047" s="1">
        <f t="shared" si="68"/>
        <v>11</v>
      </c>
      <c r="D1047" s="1">
        <f t="shared" si="69"/>
        <v>11</v>
      </c>
      <c r="E1047" s="1">
        <f t="shared" si="70"/>
        <v>2022</v>
      </c>
      <c r="F1047" s="1">
        <v>1046</v>
      </c>
      <c r="G1047" s="1">
        <v>277</v>
      </c>
      <c r="H1047" s="1">
        <v>273</v>
      </c>
      <c r="I1047" s="2">
        <v>0.98560000000000003</v>
      </c>
      <c r="J1047" s="1">
        <v>4</v>
      </c>
      <c r="K1047" s="3">
        <v>1.1574074074074075E-4</v>
      </c>
      <c r="L1047" s="3">
        <v>1.3888888888888889E-3</v>
      </c>
      <c r="M1047" s="3">
        <v>1.4236111111111112E-3</v>
      </c>
      <c r="N1047" s="2">
        <v>0.89739999999999998</v>
      </c>
      <c r="O1047" s="5">
        <f t="shared" si="64"/>
        <v>0.37916666666666671</v>
      </c>
      <c r="P1047" s="5">
        <f t="shared" si="65"/>
        <v>22.750000000000004</v>
      </c>
      <c r="Q1047" s="5">
        <f t="shared" si="66"/>
        <v>0.38472222222222224</v>
      </c>
      <c r="R1047" s="5">
        <f t="shared" si="67"/>
        <v>23.083333333333336</v>
      </c>
    </row>
    <row r="1048" spans="1:18">
      <c r="A1048" s="4">
        <v>44877</v>
      </c>
      <c r="B1048" s="1" t="s">
        <v>21</v>
      </c>
      <c r="C1048" s="1">
        <f t="shared" si="68"/>
        <v>11</v>
      </c>
      <c r="D1048" s="1">
        <f t="shared" si="69"/>
        <v>12</v>
      </c>
      <c r="E1048" s="1">
        <f t="shared" si="70"/>
        <v>2022</v>
      </c>
      <c r="F1048" s="1">
        <v>1047</v>
      </c>
      <c r="G1048" s="1">
        <v>188</v>
      </c>
      <c r="H1048" s="1">
        <v>172</v>
      </c>
      <c r="I1048" s="2">
        <v>0.91490000000000005</v>
      </c>
      <c r="J1048" s="1">
        <v>16</v>
      </c>
      <c r="K1048" s="3">
        <v>2.3148148148148149E-4</v>
      </c>
      <c r="L1048" s="3">
        <v>1.8634259259259259E-3</v>
      </c>
      <c r="M1048" s="3">
        <v>2.5000000000000001E-3</v>
      </c>
      <c r="N1048" s="2">
        <v>0.72189999999999999</v>
      </c>
      <c r="O1048" s="5">
        <f t="shared" si="64"/>
        <v>0.32050925925925927</v>
      </c>
      <c r="P1048" s="5">
        <f t="shared" si="65"/>
        <v>19.230555555555558</v>
      </c>
      <c r="Q1048" s="5">
        <f t="shared" si="66"/>
        <v>0.35032407407407407</v>
      </c>
      <c r="R1048" s="5">
        <f t="shared" si="67"/>
        <v>21.019444444444446</v>
      </c>
    </row>
    <row r="1049" spans="1:18">
      <c r="A1049" s="4">
        <v>44878</v>
      </c>
      <c r="B1049" s="1" t="s">
        <v>22</v>
      </c>
      <c r="C1049" s="1">
        <f t="shared" si="68"/>
        <v>11</v>
      </c>
      <c r="D1049" s="1">
        <f t="shared" si="69"/>
        <v>13</v>
      </c>
      <c r="E1049" s="1">
        <f t="shared" si="70"/>
        <v>2022</v>
      </c>
      <c r="F1049" s="1">
        <v>1048</v>
      </c>
      <c r="G1049" s="1">
        <v>26</v>
      </c>
      <c r="H1049" s="1">
        <v>22</v>
      </c>
      <c r="I1049" s="2">
        <v>0.84619999999999995</v>
      </c>
      <c r="J1049" s="1">
        <v>4</v>
      </c>
      <c r="K1049" s="3">
        <v>3.9351851851851852E-4</v>
      </c>
      <c r="L1049" s="3">
        <v>1.6550925925925926E-3</v>
      </c>
      <c r="M1049" s="3">
        <v>4.3750000000000004E-3</v>
      </c>
      <c r="N1049" s="2">
        <v>0.68</v>
      </c>
      <c r="O1049" s="5">
        <f t="shared" si="64"/>
        <v>3.6412037037037034E-2</v>
      </c>
      <c r="P1049" s="5">
        <f t="shared" si="65"/>
        <v>2.1847222222222222</v>
      </c>
      <c r="Q1049" s="5">
        <f t="shared" si="66"/>
        <v>4.3032407407407408E-2</v>
      </c>
      <c r="R1049" s="5">
        <f t="shared" si="67"/>
        <v>2.5819444444444444</v>
      </c>
    </row>
    <row r="1050" spans="1:18">
      <c r="A1050" s="4">
        <v>44879</v>
      </c>
      <c r="B1050" s="1" t="s">
        <v>23</v>
      </c>
      <c r="C1050" s="1">
        <f t="shared" si="68"/>
        <v>11</v>
      </c>
      <c r="D1050" s="1">
        <f t="shared" si="69"/>
        <v>14</v>
      </c>
      <c r="E1050" s="1">
        <f t="shared" si="70"/>
        <v>2022</v>
      </c>
      <c r="F1050" s="1">
        <v>1049</v>
      </c>
      <c r="G1050" s="1">
        <v>177</v>
      </c>
      <c r="H1050" s="1">
        <v>167</v>
      </c>
      <c r="I1050" s="2">
        <v>0.94350000000000001</v>
      </c>
      <c r="J1050" s="1">
        <v>10</v>
      </c>
      <c r="K1050" s="3">
        <v>4.0509259259259258E-4</v>
      </c>
      <c r="L1050" s="3">
        <v>2.0370370370370369E-3</v>
      </c>
      <c r="M1050" s="3">
        <v>2.2569444444444442E-3</v>
      </c>
      <c r="N1050" s="2">
        <v>0.5625</v>
      </c>
      <c r="O1050" s="5">
        <f t="shared" si="64"/>
        <v>0.34018518518518515</v>
      </c>
      <c r="P1050" s="5">
        <f t="shared" si="65"/>
        <v>20.411111111111108</v>
      </c>
      <c r="Q1050" s="5">
        <f t="shared" si="66"/>
        <v>0.36055555555555552</v>
      </c>
      <c r="R1050" s="5">
        <f t="shared" si="67"/>
        <v>21.633333333333333</v>
      </c>
    </row>
    <row r="1051" spans="1:18">
      <c r="A1051" s="4">
        <v>44880</v>
      </c>
      <c r="B1051" s="1" t="s">
        <v>24</v>
      </c>
      <c r="C1051" s="1">
        <f t="shared" si="68"/>
        <v>11</v>
      </c>
      <c r="D1051" s="1">
        <f t="shared" si="69"/>
        <v>15</v>
      </c>
      <c r="E1051" s="1">
        <f t="shared" si="70"/>
        <v>2022</v>
      </c>
      <c r="F1051" s="1">
        <v>1050</v>
      </c>
      <c r="G1051" s="1">
        <v>149</v>
      </c>
      <c r="H1051" s="1">
        <v>144</v>
      </c>
      <c r="I1051" s="2">
        <v>0.96640000000000004</v>
      </c>
      <c r="J1051" s="1">
        <v>5</v>
      </c>
      <c r="K1051" s="3">
        <v>3.2407407407407406E-4</v>
      </c>
      <c r="L1051" s="3">
        <v>1.9328703703703704E-3</v>
      </c>
      <c r="M1051" s="3">
        <v>2.638888888888889E-3</v>
      </c>
      <c r="N1051" s="2">
        <v>0.66220000000000001</v>
      </c>
      <c r="O1051" s="5">
        <f t="shared" si="64"/>
        <v>0.27833333333333332</v>
      </c>
      <c r="P1051" s="5">
        <f t="shared" si="65"/>
        <v>16.7</v>
      </c>
      <c r="Q1051" s="5">
        <f t="shared" si="66"/>
        <v>0.2879976851851852</v>
      </c>
      <c r="R1051" s="5">
        <f t="shared" si="67"/>
        <v>17.279861111111114</v>
      </c>
    </row>
    <row r="1052" spans="1:18">
      <c r="A1052" s="4">
        <v>44881</v>
      </c>
      <c r="B1052" s="1" t="s">
        <v>18</v>
      </c>
      <c r="C1052" s="1">
        <f t="shared" si="68"/>
        <v>11</v>
      </c>
      <c r="D1052" s="1">
        <f t="shared" si="69"/>
        <v>16</v>
      </c>
      <c r="E1052" s="1">
        <f t="shared" si="70"/>
        <v>2022</v>
      </c>
      <c r="F1052" s="1">
        <v>1051</v>
      </c>
      <c r="G1052" s="1">
        <v>147</v>
      </c>
      <c r="H1052" s="1">
        <v>147</v>
      </c>
      <c r="I1052" s="2">
        <v>1</v>
      </c>
      <c r="J1052" s="1">
        <v>0</v>
      </c>
      <c r="K1052" s="3">
        <v>1.273148148148148E-4</v>
      </c>
      <c r="L1052" s="3">
        <v>1.9791666666666668E-3</v>
      </c>
      <c r="M1052" s="3">
        <v>1.4236111111111112E-3</v>
      </c>
      <c r="N1052" s="2">
        <v>0.85709999999999997</v>
      </c>
      <c r="O1052" s="5">
        <f t="shared" si="64"/>
        <v>0.29093750000000002</v>
      </c>
      <c r="P1052" s="5">
        <f t="shared" si="65"/>
        <v>17.456250000000001</v>
      </c>
      <c r="Q1052" s="5">
        <f t="shared" si="66"/>
        <v>0.29093750000000002</v>
      </c>
      <c r="R1052" s="5">
        <f t="shared" si="67"/>
        <v>17.456250000000001</v>
      </c>
    </row>
    <row r="1053" spans="1:18">
      <c r="A1053" s="4">
        <v>44882</v>
      </c>
      <c r="B1053" s="1" t="s">
        <v>19</v>
      </c>
      <c r="C1053" s="1">
        <f t="shared" si="68"/>
        <v>11</v>
      </c>
      <c r="D1053" s="1">
        <f t="shared" si="69"/>
        <v>17</v>
      </c>
      <c r="E1053" s="1">
        <f t="shared" si="70"/>
        <v>2022</v>
      </c>
      <c r="F1053" s="1">
        <v>1052</v>
      </c>
      <c r="G1053" s="1">
        <v>140</v>
      </c>
      <c r="H1053" s="1">
        <v>134</v>
      </c>
      <c r="I1053" s="2">
        <v>0.95709999999999995</v>
      </c>
      <c r="J1053" s="1">
        <v>6</v>
      </c>
      <c r="K1053" s="3">
        <v>2.199074074074074E-4</v>
      </c>
      <c r="L1053" s="3">
        <v>1.8981481481481482E-3</v>
      </c>
      <c r="M1053" s="3">
        <v>5.7754629629629631E-3</v>
      </c>
      <c r="N1053" s="2">
        <v>0.78569999999999995</v>
      </c>
      <c r="O1053" s="5">
        <f t="shared" si="64"/>
        <v>0.25435185185185183</v>
      </c>
      <c r="P1053" s="5">
        <f t="shared" si="65"/>
        <v>15.261111111111109</v>
      </c>
      <c r="Q1053" s="5">
        <f t="shared" si="66"/>
        <v>0.26574074074074072</v>
      </c>
      <c r="R1053" s="5">
        <f t="shared" si="67"/>
        <v>15.944444444444443</v>
      </c>
    </row>
    <row r="1054" spans="1:18">
      <c r="A1054" s="4">
        <v>44883</v>
      </c>
      <c r="B1054" s="1" t="s">
        <v>20</v>
      </c>
      <c r="C1054" s="1">
        <f t="shared" si="68"/>
        <v>11</v>
      </c>
      <c r="D1054" s="1">
        <f t="shared" si="69"/>
        <v>18</v>
      </c>
      <c r="E1054" s="1">
        <f t="shared" si="70"/>
        <v>2022</v>
      </c>
      <c r="F1054" s="1">
        <v>1053</v>
      </c>
      <c r="G1054" s="1">
        <v>177</v>
      </c>
      <c r="H1054" s="1">
        <v>163</v>
      </c>
      <c r="I1054" s="2">
        <v>0.92090000000000005</v>
      </c>
      <c r="J1054" s="1">
        <v>14</v>
      </c>
      <c r="K1054" s="3">
        <v>2.199074074074074E-4</v>
      </c>
      <c r="L1054" s="3">
        <v>1.7939814814814815E-3</v>
      </c>
      <c r="M1054" s="3">
        <v>5.0462962962962961E-3</v>
      </c>
      <c r="N1054" s="2">
        <v>0.7571</v>
      </c>
      <c r="O1054" s="5">
        <f t="shared" si="64"/>
        <v>0.29241898148148149</v>
      </c>
      <c r="P1054" s="5">
        <f t="shared" si="65"/>
        <v>17.545138888888889</v>
      </c>
      <c r="Q1054" s="5">
        <f t="shared" si="66"/>
        <v>0.31753472222222223</v>
      </c>
      <c r="R1054" s="5">
        <f t="shared" si="67"/>
        <v>19.052083333333336</v>
      </c>
    </row>
    <row r="1055" spans="1:18">
      <c r="A1055" s="4">
        <v>44884</v>
      </c>
      <c r="B1055" s="1" t="s">
        <v>21</v>
      </c>
      <c r="C1055" s="1">
        <f t="shared" si="68"/>
        <v>11</v>
      </c>
      <c r="D1055" s="1">
        <f t="shared" si="69"/>
        <v>19</v>
      </c>
      <c r="E1055" s="1">
        <f t="shared" si="70"/>
        <v>2022</v>
      </c>
      <c r="F1055" s="1">
        <v>1054</v>
      </c>
      <c r="G1055" s="1">
        <v>169</v>
      </c>
      <c r="H1055" s="1">
        <v>169</v>
      </c>
      <c r="I1055" s="2">
        <v>1</v>
      </c>
      <c r="J1055" s="1">
        <v>0</v>
      </c>
      <c r="K1055" s="3">
        <v>1.0416666666666667E-4</v>
      </c>
      <c r="L1055" s="3">
        <v>1.9097222222222222E-3</v>
      </c>
      <c r="M1055" s="3">
        <v>7.5231481481481482E-4</v>
      </c>
      <c r="N1055" s="2">
        <v>0.89939999999999998</v>
      </c>
      <c r="O1055" s="5">
        <f t="shared" si="64"/>
        <v>0.32274305555555555</v>
      </c>
      <c r="P1055" s="5">
        <f t="shared" si="65"/>
        <v>19.364583333333332</v>
      </c>
      <c r="Q1055" s="5">
        <f t="shared" si="66"/>
        <v>0.32274305555555555</v>
      </c>
      <c r="R1055" s="5">
        <f t="shared" si="67"/>
        <v>19.364583333333332</v>
      </c>
    </row>
    <row r="1056" spans="1:18">
      <c r="A1056" s="4">
        <v>44885</v>
      </c>
      <c r="B1056" s="1" t="s">
        <v>22</v>
      </c>
      <c r="C1056" s="1">
        <f t="shared" si="68"/>
        <v>11</v>
      </c>
      <c r="D1056" s="1">
        <f t="shared" si="69"/>
        <v>20</v>
      </c>
      <c r="E1056" s="1">
        <f t="shared" si="70"/>
        <v>2022</v>
      </c>
      <c r="F1056" s="1">
        <v>1055</v>
      </c>
      <c r="G1056" s="1">
        <v>26</v>
      </c>
      <c r="H1056" s="1">
        <v>21</v>
      </c>
      <c r="I1056" s="2">
        <v>0.80769999999999997</v>
      </c>
      <c r="J1056" s="1">
        <v>5</v>
      </c>
      <c r="K1056" s="3">
        <v>3.1250000000000001E-4</v>
      </c>
      <c r="L1056" s="3">
        <v>1.712962962962963E-3</v>
      </c>
      <c r="M1056" s="3">
        <v>1.4351851851851852E-3</v>
      </c>
      <c r="N1056" s="2">
        <v>0.48</v>
      </c>
      <c r="O1056" s="5">
        <f t="shared" si="64"/>
        <v>3.5972222222222225E-2</v>
      </c>
      <c r="P1056" s="5">
        <f t="shared" si="65"/>
        <v>2.1583333333333337</v>
      </c>
      <c r="Q1056" s="5">
        <f t="shared" si="66"/>
        <v>4.4537037037037042E-2</v>
      </c>
      <c r="R1056" s="5">
        <f t="shared" si="67"/>
        <v>2.6722222222222225</v>
      </c>
    </row>
    <row r="1057" spans="1:18">
      <c r="A1057" s="4">
        <v>44886</v>
      </c>
      <c r="B1057" s="1" t="s">
        <v>23</v>
      </c>
      <c r="C1057" s="1">
        <f t="shared" si="68"/>
        <v>11</v>
      </c>
      <c r="D1057" s="1">
        <f t="shared" si="69"/>
        <v>21</v>
      </c>
      <c r="E1057" s="1">
        <f t="shared" si="70"/>
        <v>2022</v>
      </c>
      <c r="F1057" s="1">
        <v>1056</v>
      </c>
      <c r="G1057" s="1">
        <v>147</v>
      </c>
      <c r="H1057" s="1">
        <v>140</v>
      </c>
      <c r="I1057" s="2">
        <v>0.95240000000000002</v>
      </c>
      <c r="J1057" s="1">
        <v>7</v>
      </c>
      <c r="K1057" s="3">
        <v>1.3888888888888889E-4</v>
      </c>
      <c r="L1057" s="3">
        <v>1.9444444444444444E-3</v>
      </c>
      <c r="M1057" s="3">
        <v>1.5162037037037036E-3</v>
      </c>
      <c r="N1057" s="2">
        <v>0.85519999999999996</v>
      </c>
      <c r="O1057" s="5">
        <f t="shared" si="64"/>
        <v>0.2722222222222222</v>
      </c>
      <c r="P1057" s="5">
        <f t="shared" si="65"/>
        <v>16.333333333333332</v>
      </c>
      <c r="Q1057" s="5">
        <f t="shared" si="66"/>
        <v>0.28583333333333333</v>
      </c>
      <c r="R1057" s="5">
        <f t="shared" si="67"/>
        <v>17.149999999999999</v>
      </c>
    </row>
    <row r="1058" spans="1:18">
      <c r="A1058" s="4">
        <v>44887</v>
      </c>
      <c r="B1058" s="1" t="s">
        <v>24</v>
      </c>
      <c r="C1058" s="1">
        <f t="shared" si="68"/>
        <v>11</v>
      </c>
      <c r="D1058" s="1">
        <f t="shared" si="69"/>
        <v>22</v>
      </c>
      <c r="E1058" s="1">
        <f t="shared" si="70"/>
        <v>2022</v>
      </c>
      <c r="F1058" s="1">
        <v>1057</v>
      </c>
      <c r="G1058" s="1">
        <v>127</v>
      </c>
      <c r="H1058" s="1">
        <v>122</v>
      </c>
      <c r="I1058" s="2">
        <v>0.96060000000000001</v>
      </c>
      <c r="J1058" s="1">
        <v>5</v>
      </c>
      <c r="K1058" s="3">
        <v>2.4305555555555555E-4</v>
      </c>
      <c r="L1058" s="3">
        <v>1.9444444444444444E-3</v>
      </c>
      <c r="M1058" s="3">
        <v>1.4699074074074074E-3</v>
      </c>
      <c r="N1058" s="2">
        <v>0.7087</v>
      </c>
      <c r="O1058" s="5">
        <f t="shared" si="64"/>
        <v>0.23722222222222222</v>
      </c>
      <c r="P1058" s="5">
        <f t="shared" si="65"/>
        <v>14.233333333333334</v>
      </c>
      <c r="Q1058" s="5">
        <f t="shared" si="66"/>
        <v>0.24694444444444444</v>
      </c>
      <c r="R1058" s="5">
        <f t="shared" si="67"/>
        <v>14.816666666666666</v>
      </c>
    </row>
    <row r="1059" spans="1:18">
      <c r="A1059" s="4">
        <v>44888</v>
      </c>
      <c r="B1059" s="1" t="s">
        <v>18</v>
      </c>
      <c r="C1059" s="1">
        <f t="shared" si="68"/>
        <v>11</v>
      </c>
      <c r="D1059" s="1">
        <f t="shared" si="69"/>
        <v>23</v>
      </c>
      <c r="E1059" s="1">
        <f t="shared" si="70"/>
        <v>2022</v>
      </c>
      <c r="F1059" s="1">
        <v>1058</v>
      </c>
      <c r="G1059" s="1">
        <v>141</v>
      </c>
      <c r="H1059" s="1">
        <v>135</v>
      </c>
      <c r="I1059" s="2">
        <v>0.95740000000000003</v>
      </c>
      <c r="J1059" s="1">
        <v>6</v>
      </c>
      <c r="K1059" s="3">
        <v>1.9675925925925926E-4</v>
      </c>
      <c r="L1059" s="3">
        <v>1.7013888888888888E-3</v>
      </c>
      <c r="M1059" s="3">
        <v>2.8703703703703703E-3</v>
      </c>
      <c r="N1059" s="2">
        <v>0.78010000000000002</v>
      </c>
      <c r="O1059" s="5">
        <f t="shared" si="64"/>
        <v>0.22968749999999999</v>
      </c>
      <c r="P1059" s="5">
        <f t="shared" si="65"/>
        <v>13.78125</v>
      </c>
      <c r="Q1059" s="5">
        <f t="shared" si="66"/>
        <v>0.23989583333333331</v>
      </c>
      <c r="R1059" s="5">
        <f t="shared" si="67"/>
        <v>14.393749999999999</v>
      </c>
    </row>
    <row r="1060" spans="1:18">
      <c r="A1060" s="4">
        <v>44889</v>
      </c>
      <c r="B1060" s="1" t="s">
        <v>19</v>
      </c>
      <c r="C1060" s="1">
        <f t="shared" si="68"/>
        <v>11</v>
      </c>
      <c r="D1060" s="1">
        <f t="shared" si="69"/>
        <v>24</v>
      </c>
      <c r="E1060" s="1">
        <f t="shared" si="70"/>
        <v>2022</v>
      </c>
      <c r="F1060" s="1">
        <v>1059</v>
      </c>
      <c r="G1060" s="1">
        <v>208</v>
      </c>
      <c r="H1060" s="1">
        <v>181</v>
      </c>
      <c r="I1060" s="2">
        <v>0.87019999999999997</v>
      </c>
      <c r="J1060" s="1">
        <v>27</v>
      </c>
      <c r="K1060" s="3">
        <v>4.3981481481481481E-4</v>
      </c>
      <c r="L1060" s="3">
        <v>1.8402777777777777E-3</v>
      </c>
      <c r="M1060" s="3">
        <v>2.8703703703703703E-3</v>
      </c>
      <c r="N1060" s="2">
        <v>0.49020000000000002</v>
      </c>
      <c r="O1060" s="5">
        <f t="shared" si="64"/>
        <v>0.33309027777777778</v>
      </c>
      <c r="P1060" s="5">
        <f t="shared" si="65"/>
        <v>19.985416666666666</v>
      </c>
      <c r="Q1060" s="5">
        <f t="shared" si="66"/>
        <v>0.38277777777777777</v>
      </c>
      <c r="R1060" s="5">
        <f t="shared" si="67"/>
        <v>22.966666666666665</v>
      </c>
    </row>
    <row r="1061" spans="1:18">
      <c r="A1061" s="4">
        <v>44890</v>
      </c>
      <c r="B1061" s="1" t="s">
        <v>20</v>
      </c>
      <c r="C1061" s="1">
        <f t="shared" si="68"/>
        <v>11</v>
      </c>
      <c r="D1061" s="1">
        <f t="shared" si="69"/>
        <v>25</v>
      </c>
      <c r="E1061" s="1">
        <f t="shared" si="70"/>
        <v>2022</v>
      </c>
      <c r="F1061" s="1">
        <v>1060</v>
      </c>
      <c r="G1061" s="1">
        <v>178</v>
      </c>
      <c r="H1061" s="1">
        <v>163</v>
      </c>
      <c r="I1061" s="2">
        <v>0.91569999999999996</v>
      </c>
      <c r="J1061" s="1">
        <v>15</v>
      </c>
      <c r="K1061" s="3">
        <v>3.8194444444444446E-4</v>
      </c>
      <c r="L1061" s="3">
        <v>2.0138888888888888E-3</v>
      </c>
      <c r="M1061" s="3">
        <v>3.449074074074074E-3</v>
      </c>
      <c r="N1061" s="2">
        <v>0.54800000000000004</v>
      </c>
      <c r="O1061" s="5">
        <f t="shared" si="64"/>
        <v>0.32826388888888886</v>
      </c>
      <c r="P1061" s="5">
        <f t="shared" si="65"/>
        <v>19.695833333333333</v>
      </c>
      <c r="Q1061" s="5">
        <f t="shared" si="66"/>
        <v>0.35847222222222219</v>
      </c>
      <c r="R1061" s="5">
        <f t="shared" si="67"/>
        <v>21.508333333333333</v>
      </c>
    </row>
    <row r="1062" spans="1:18">
      <c r="A1062" s="4">
        <v>44891</v>
      </c>
      <c r="B1062" s="1" t="s">
        <v>21</v>
      </c>
      <c r="C1062" s="1">
        <f t="shared" si="68"/>
        <v>11</v>
      </c>
      <c r="D1062" s="1">
        <f t="shared" si="69"/>
        <v>26</v>
      </c>
      <c r="E1062" s="1">
        <f t="shared" si="70"/>
        <v>2022</v>
      </c>
      <c r="F1062" s="1">
        <v>1061</v>
      </c>
      <c r="G1062" s="1">
        <v>198</v>
      </c>
      <c r="H1062" s="1">
        <v>190</v>
      </c>
      <c r="I1062" s="2">
        <v>0.95960000000000001</v>
      </c>
      <c r="J1062" s="1">
        <v>8</v>
      </c>
      <c r="K1062" s="3">
        <v>2.8935185185185184E-4</v>
      </c>
      <c r="L1062" s="3">
        <v>1.7592592592592592E-3</v>
      </c>
      <c r="M1062" s="3">
        <v>1.6435185185185185E-3</v>
      </c>
      <c r="N1062" s="2">
        <v>0.67010000000000003</v>
      </c>
      <c r="O1062" s="5">
        <f t="shared" si="64"/>
        <v>0.33425925925925926</v>
      </c>
      <c r="P1062" s="5">
        <f t="shared" si="65"/>
        <v>20.055555555555557</v>
      </c>
      <c r="Q1062" s="5">
        <f t="shared" si="66"/>
        <v>0.34833333333333333</v>
      </c>
      <c r="R1062" s="5">
        <f t="shared" si="67"/>
        <v>20.9</v>
      </c>
    </row>
    <row r="1063" spans="1:18">
      <c r="A1063" s="4">
        <v>44892</v>
      </c>
      <c r="B1063" s="1" t="s">
        <v>22</v>
      </c>
      <c r="C1063" s="1">
        <f t="shared" si="68"/>
        <v>11</v>
      </c>
      <c r="D1063" s="1">
        <f t="shared" si="69"/>
        <v>27</v>
      </c>
      <c r="E1063" s="1">
        <f t="shared" si="70"/>
        <v>2022</v>
      </c>
      <c r="F1063" s="1">
        <v>1062</v>
      </c>
      <c r="G1063" s="1">
        <v>21</v>
      </c>
      <c r="H1063" s="1">
        <v>17</v>
      </c>
      <c r="I1063" s="2">
        <v>0.8095</v>
      </c>
      <c r="J1063" s="1">
        <v>4</v>
      </c>
      <c r="K1063" s="3">
        <v>5.0925925925925921E-4</v>
      </c>
      <c r="L1063" s="3">
        <v>2.4421296296296296E-3</v>
      </c>
      <c r="M1063" s="3">
        <v>3.2060185185185186E-3</v>
      </c>
      <c r="N1063" s="2">
        <v>0.47620000000000001</v>
      </c>
      <c r="O1063" s="5">
        <f t="shared" si="64"/>
        <v>4.1516203703703701E-2</v>
      </c>
      <c r="P1063" s="5">
        <f t="shared" si="65"/>
        <v>2.4909722222222221</v>
      </c>
      <c r="Q1063" s="5">
        <f t="shared" si="66"/>
        <v>5.1284722222222225E-2</v>
      </c>
      <c r="R1063" s="5">
        <f t="shared" si="67"/>
        <v>3.0770833333333334</v>
      </c>
    </row>
    <row r="1064" spans="1:18">
      <c r="A1064" s="4">
        <v>44893</v>
      </c>
      <c r="B1064" s="1" t="s">
        <v>23</v>
      </c>
      <c r="C1064" s="1">
        <f t="shared" si="68"/>
        <v>11</v>
      </c>
      <c r="D1064" s="1">
        <f t="shared" si="69"/>
        <v>28</v>
      </c>
      <c r="E1064" s="1">
        <f t="shared" si="70"/>
        <v>2022</v>
      </c>
      <c r="F1064" s="1">
        <v>1063</v>
      </c>
      <c r="G1064" s="1">
        <v>171</v>
      </c>
      <c r="H1064" s="1">
        <v>161</v>
      </c>
      <c r="I1064" s="2">
        <v>0.9415</v>
      </c>
      <c r="J1064" s="1">
        <v>10</v>
      </c>
      <c r="K1064" s="3">
        <v>1.8518518518518518E-4</v>
      </c>
      <c r="L1064" s="3">
        <v>1.7939814814814815E-3</v>
      </c>
      <c r="M1064" s="3">
        <v>4.3287037037037035E-3</v>
      </c>
      <c r="N1064" s="2">
        <v>0.81440000000000001</v>
      </c>
      <c r="O1064" s="5">
        <f t="shared" si="64"/>
        <v>0.2888310185185185</v>
      </c>
      <c r="P1064" s="5">
        <f t="shared" si="65"/>
        <v>17.329861111111111</v>
      </c>
      <c r="Q1064" s="5">
        <f t="shared" si="66"/>
        <v>0.30677083333333333</v>
      </c>
      <c r="R1064" s="5">
        <f t="shared" si="67"/>
        <v>18.40625</v>
      </c>
    </row>
    <row r="1065" spans="1:18">
      <c r="A1065" s="4">
        <v>44894</v>
      </c>
      <c r="B1065" s="1" t="s">
        <v>24</v>
      </c>
      <c r="C1065" s="1">
        <f t="shared" si="68"/>
        <v>11</v>
      </c>
      <c r="D1065" s="1">
        <f t="shared" si="69"/>
        <v>29</v>
      </c>
      <c r="E1065" s="1">
        <f t="shared" si="70"/>
        <v>2022</v>
      </c>
      <c r="F1065" s="1">
        <v>1064</v>
      </c>
      <c r="G1065" s="1">
        <v>200</v>
      </c>
      <c r="H1065" s="1">
        <v>196</v>
      </c>
      <c r="I1065" s="2">
        <v>0.98</v>
      </c>
      <c r="J1065" s="1">
        <v>4</v>
      </c>
      <c r="K1065" s="3">
        <v>1.0416666666666667E-4</v>
      </c>
      <c r="L1065" s="3">
        <v>1.9791666666666668E-3</v>
      </c>
      <c r="M1065" s="3">
        <v>1.4004629629629629E-3</v>
      </c>
      <c r="N1065" s="2">
        <v>0.91920000000000002</v>
      </c>
      <c r="O1065" s="5">
        <f t="shared" si="64"/>
        <v>0.38791666666666669</v>
      </c>
      <c r="P1065" s="5">
        <f t="shared" si="65"/>
        <v>23.275000000000002</v>
      </c>
      <c r="Q1065" s="5">
        <f t="shared" si="66"/>
        <v>0.39583333333333337</v>
      </c>
      <c r="R1065" s="5">
        <f t="shared" si="67"/>
        <v>23.750000000000004</v>
      </c>
    </row>
    <row r="1066" spans="1:18">
      <c r="A1066" s="4">
        <v>44895</v>
      </c>
      <c r="B1066" s="1" t="s">
        <v>18</v>
      </c>
      <c r="C1066" s="1">
        <f t="shared" si="68"/>
        <v>11</v>
      </c>
      <c r="D1066" s="1">
        <f t="shared" si="69"/>
        <v>30</v>
      </c>
      <c r="E1066" s="1">
        <f t="shared" si="70"/>
        <v>2022</v>
      </c>
      <c r="F1066" s="1">
        <v>1065</v>
      </c>
      <c r="G1066" s="1">
        <v>166</v>
      </c>
      <c r="H1066" s="1">
        <v>157</v>
      </c>
      <c r="I1066" s="2">
        <v>0.94579999999999997</v>
      </c>
      <c r="J1066" s="1">
        <v>9</v>
      </c>
      <c r="K1066" s="3">
        <v>2.7777777777777778E-4</v>
      </c>
      <c r="L1066" s="3">
        <v>1.8518518518518519E-3</v>
      </c>
      <c r="M1066" s="3">
        <v>1.3194444444444445E-3</v>
      </c>
      <c r="N1066" s="2">
        <v>0.64629999999999999</v>
      </c>
      <c r="O1066" s="5">
        <f t="shared" si="64"/>
        <v>0.29074074074074074</v>
      </c>
      <c r="P1066" s="5">
        <f t="shared" si="65"/>
        <v>17.444444444444443</v>
      </c>
      <c r="Q1066" s="5">
        <f t="shared" si="66"/>
        <v>0.30740740740740741</v>
      </c>
      <c r="R1066" s="5">
        <f t="shared" si="67"/>
        <v>18.444444444444443</v>
      </c>
    </row>
    <row r="1067" spans="1:18">
      <c r="A1067" s="4">
        <v>44896</v>
      </c>
      <c r="B1067" s="1" t="s">
        <v>19</v>
      </c>
      <c r="C1067" s="1">
        <f t="shared" si="68"/>
        <v>12</v>
      </c>
      <c r="D1067" s="1">
        <f t="shared" si="69"/>
        <v>1</v>
      </c>
      <c r="E1067" s="1">
        <f t="shared" si="70"/>
        <v>2022</v>
      </c>
      <c r="F1067" s="1">
        <v>1066</v>
      </c>
      <c r="G1067" s="1">
        <v>230</v>
      </c>
      <c r="H1067" s="1">
        <v>217</v>
      </c>
      <c r="I1067" s="2">
        <v>0.94350000000000001</v>
      </c>
      <c r="J1067" s="1">
        <v>13</v>
      </c>
      <c r="K1067" s="3">
        <v>3.1250000000000001E-4</v>
      </c>
      <c r="L1067" s="3">
        <v>1.8402777777777777E-3</v>
      </c>
      <c r="M1067" s="3">
        <v>1.4236111111111112E-3</v>
      </c>
      <c r="N1067" s="2">
        <v>0.57210000000000005</v>
      </c>
      <c r="O1067" s="5">
        <f t="shared" si="64"/>
        <v>0.39934027777777775</v>
      </c>
      <c r="P1067" s="5">
        <f t="shared" si="65"/>
        <v>23.960416666666664</v>
      </c>
      <c r="Q1067" s="5">
        <f t="shared" si="66"/>
        <v>0.42326388888888888</v>
      </c>
      <c r="R1067" s="5">
        <f t="shared" si="67"/>
        <v>25.395833333333332</v>
      </c>
    </row>
    <row r="1068" spans="1:18">
      <c r="A1068" s="4">
        <v>44897</v>
      </c>
      <c r="B1068" s="1" t="s">
        <v>20</v>
      </c>
      <c r="C1068" s="1">
        <f t="shared" si="68"/>
        <v>12</v>
      </c>
      <c r="D1068" s="1">
        <f t="shared" si="69"/>
        <v>2</v>
      </c>
      <c r="E1068" s="1">
        <f t="shared" si="70"/>
        <v>2022</v>
      </c>
      <c r="F1068" s="1">
        <v>1067</v>
      </c>
      <c r="G1068" s="1">
        <v>174</v>
      </c>
      <c r="H1068" s="1">
        <v>168</v>
      </c>
      <c r="I1068" s="2">
        <v>0.96550000000000002</v>
      </c>
      <c r="J1068" s="1">
        <v>6</v>
      </c>
      <c r="K1068" s="3">
        <v>2.7777777777777778E-4</v>
      </c>
      <c r="L1068" s="3">
        <v>2.0486111111111113E-3</v>
      </c>
      <c r="M1068" s="3">
        <v>2.0138888888888888E-3</v>
      </c>
      <c r="N1068" s="2">
        <v>0.69589999999999996</v>
      </c>
      <c r="O1068" s="5">
        <f t="shared" si="64"/>
        <v>0.34416666666666668</v>
      </c>
      <c r="P1068" s="5">
        <f t="shared" si="65"/>
        <v>20.650000000000002</v>
      </c>
      <c r="Q1068" s="5">
        <f t="shared" si="66"/>
        <v>0.35645833333333338</v>
      </c>
      <c r="R1068" s="5">
        <f t="shared" si="67"/>
        <v>21.387500000000003</v>
      </c>
    </row>
    <row r="1069" spans="1:18">
      <c r="A1069" s="4">
        <v>44898</v>
      </c>
      <c r="B1069" s="1" t="s">
        <v>21</v>
      </c>
      <c r="C1069" s="1">
        <f t="shared" si="68"/>
        <v>12</v>
      </c>
      <c r="D1069" s="1">
        <f t="shared" si="69"/>
        <v>3</v>
      </c>
      <c r="E1069" s="1">
        <f t="shared" si="70"/>
        <v>2022</v>
      </c>
      <c r="F1069" s="1">
        <v>1068</v>
      </c>
      <c r="G1069" s="1">
        <v>240</v>
      </c>
      <c r="H1069" s="1">
        <v>185</v>
      </c>
      <c r="I1069" s="2">
        <v>0.77080000000000004</v>
      </c>
      <c r="J1069" s="1">
        <v>55</v>
      </c>
      <c r="K1069" s="3">
        <v>6.9444444444444447E-4</v>
      </c>
      <c r="L1069" s="3">
        <v>2.1064814814814813E-3</v>
      </c>
      <c r="M1069" s="3">
        <v>3.472222222222222E-3</v>
      </c>
      <c r="N1069" s="2">
        <v>0.2979</v>
      </c>
      <c r="O1069" s="5">
        <f t="shared" si="64"/>
        <v>0.38969907407407406</v>
      </c>
      <c r="P1069" s="5">
        <f t="shared" si="65"/>
        <v>23.381944444444443</v>
      </c>
      <c r="Q1069" s="5">
        <f t="shared" si="66"/>
        <v>0.50555555555555554</v>
      </c>
      <c r="R1069" s="5">
        <f t="shared" si="67"/>
        <v>30.333333333333332</v>
      </c>
    </row>
    <row r="1070" spans="1:18">
      <c r="A1070" s="4">
        <v>44899</v>
      </c>
      <c r="B1070" s="1" t="s">
        <v>22</v>
      </c>
      <c r="C1070" s="1">
        <f t="shared" si="68"/>
        <v>12</v>
      </c>
      <c r="D1070" s="1">
        <f t="shared" si="69"/>
        <v>4</v>
      </c>
      <c r="E1070" s="1">
        <f t="shared" si="70"/>
        <v>2022</v>
      </c>
      <c r="F1070" s="1">
        <v>1069</v>
      </c>
      <c r="G1070" s="1">
        <v>35</v>
      </c>
      <c r="H1070" s="1">
        <v>27</v>
      </c>
      <c r="I1070" s="2">
        <v>0.77139999999999997</v>
      </c>
      <c r="J1070" s="1">
        <v>8</v>
      </c>
      <c r="K1070" s="3">
        <v>5.5555555555555556E-4</v>
      </c>
      <c r="L1070" s="3">
        <v>2.0370370370370369E-3</v>
      </c>
      <c r="M1070" s="3">
        <v>2.6967592592592594E-3</v>
      </c>
      <c r="N1070" s="2">
        <v>0.43330000000000002</v>
      </c>
      <c r="O1070" s="5">
        <f t="shared" si="64"/>
        <v>5.4999999999999993E-2</v>
      </c>
      <c r="P1070" s="5">
        <f t="shared" si="65"/>
        <v>3.3</v>
      </c>
      <c r="Q1070" s="5">
        <f t="shared" si="66"/>
        <v>7.1296296296296288E-2</v>
      </c>
      <c r="R1070" s="5">
        <f t="shared" si="67"/>
        <v>4.2777777777777777</v>
      </c>
    </row>
    <row r="1071" spans="1:18">
      <c r="A1071" s="4">
        <v>44900</v>
      </c>
      <c r="B1071" s="1" t="s">
        <v>23</v>
      </c>
      <c r="C1071" s="1">
        <f t="shared" si="68"/>
        <v>12</v>
      </c>
      <c r="D1071" s="1">
        <f t="shared" si="69"/>
        <v>5</v>
      </c>
      <c r="E1071" s="1">
        <f t="shared" si="70"/>
        <v>2022</v>
      </c>
      <c r="F1071" s="1">
        <v>1070</v>
      </c>
      <c r="G1071" s="1">
        <v>198</v>
      </c>
      <c r="H1071" s="1">
        <v>179</v>
      </c>
      <c r="I1071" s="2">
        <v>0.90400000000000003</v>
      </c>
      <c r="J1071" s="1">
        <v>19</v>
      </c>
      <c r="K1071" s="3">
        <v>3.1250000000000001E-4</v>
      </c>
      <c r="L1071" s="3">
        <v>1.8634259259259259E-3</v>
      </c>
      <c r="M1071" s="3">
        <v>6.7129629629629631E-3</v>
      </c>
      <c r="N1071" s="2">
        <v>0.60099999999999998</v>
      </c>
      <c r="O1071" s="5">
        <f t="shared" si="64"/>
        <v>0.33355324074074072</v>
      </c>
      <c r="P1071" s="5">
        <f t="shared" si="65"/>
        <v>20.013194444444444</v>
      </c>
      <c r="Q1071" s="5">
        <f t="shared" si="66"/>
        <v>0.36895833333333333</v>
      </c>
      <c r="R1071" s="5">
        <f t="shared" si="67"/>
        <v>22.137499999999999</v>
      </c>
    </row>
    <row r="1072" spans="1:18">
      <c r="A1072" s="4">
        <v>44901</v>
      </c>
      <c r="B1072" s="1" t="s">
        <v>24</v>
      </c>
      <c r="C1072" s="1">
        <f t="shared" si="68"/>
        <v>12</v>
      </c>
      <c r="D1072" s="1">
        <f t="shared" si="69"/>
        <v>6</v>
      </c>
      <c r="E1072" s="1">
        <f t="shared" si="70"/>
        <v>2022</v>
      </c>
      <c r="F1072" s="1">
        <v>1071</v>
      </c>
      <c r="G1072" s="1">
        <v>189</v>
      </c>
      <c r="H1072" s="1">
        <v>181</v>
      </c>
      <c r="I1072" s="2">
        <v>0.9577</v>
      </c>
      <c r="J1072" s="1">
        <v>8</v>
      </c>
      <c r="K1072" s="3">
        <v>2.199074074074074E-4</v>
      </c>
      <c r="L1072" s="3">
        <v>2.0717592592592593E-3</v>
      </c>
      <c r="M1072" s="3">
        <v>1.8981481481481482E-3</v>
      </c>
      <c r="N1072" s="2">
        <v>0.71430000000000005</v>
      </c>
      <c r="O1072" s="5">
        <f t="shared" si="64"/>
        <v>0.37498842592592596</v>
      </c>
      <c r="P1072" s="5">
        <f t="shared" si="65"/>
        <v>22.499305555555559</v>
      </c>
      <c r="Q1072" s="5">
        <f t="shared" si="66"/>
        <v>0.39156250000000004</v>
      </c>
      <c r="R1072" s="5">
        <f t="shared" si="67"/>
        <v>23.493750000000002</v>
      </c>
    </row>
    <row r="1073" spans="1:18">
      <c r="A1073" s="4">
        <v>44902</v>
      </c>
      <c r="B1073" s="1" t="s">
        <v>18</v>
      </c>
      <c r="C1073" s="1">
        <f t="shared" si="68"/>
        <v>12</v>
      </c>
      <c r="D1073" s="1">
        <f t="shared" si="69"/>
        <v>7</v>
      </c>
      <c r="E1073" s="1">
        <f t="shared" si="70"/>
        <v>2022</v>
      </c>
      <c r="F1073" s="1">
        <v>1072</v>
      </c>
      <c r="G1073" s="1">
        <v>229</v>
      </c>
      <c r="H1073" s="1">
        <v>219</v>
      </c>
      <c r="I1073" s="2">
        <v>0.95630000000000004</v>
      </c>
      <c r="J1073" s="1">
        <v>10</v>
      </c>
      <c r="K1073" s="3">
        <v>3.4722222222222224E-4</v>
      </c>
      <c r="L1073" s="3">
        <v>2.2569444444444442E-3</v>
      </c>
      <c r="M1073" s="3">
        <v>4.4560185185185189E-3</v>
      </c>
      <c r="N1073" s="2">
        <v>0.59209999999999996</v>
      </c>
      <c r="O1073" s="5">
        <f t="shared" si="64"/>
        <v>0.49427083333333327</v>
      </c>
      <c r="P1073" s="5">
        <f t="shared" si="65"/>
        <v>29.656249999999996</v>
      </c>
      <c r="Q1073" s="5">
        <f t="shared" si="66"/>
        <v>0.51684027777777775</v>
      </c>
      <c r="R1073" s="5">
        <f t="shared" si="67"/>
        <v>31.010416666666664</v>
      </c>
    </row>
    <row r="1074" spans="1:18">
      <c r="A1074" s="4">
        <v>44903</v>
      </c>
      <c r="B1074" s="1" t="s">
        <v>19</v>
      </c>
      <c r="C1074" s="1">
        <f t="shared" si="68"/>
        <v>12</v>
      </c>
      <c r="D1074" s="1">
        <f t="shared" si="69"/>
        <v>8</v>
      </c>
      <c r="E1074" s="1">
        <f t="shared" si="70"/>
        <v>2022</v>
      </c>
      <c r="F1074" s="1">
        <v>1073</v>
      </c>
      <c r="G1074" s="1">
        <v>254</v>
      </c>
      <c r="H1074" s="1">
        <v>235</v>
      </c>
      <c r="I1074" s="2">
        <v>0.92520000000000002</v>
      </c>
      <c r="J1074" s="1">
        <v>19</v>
      </c>
      <c r="K1074" s="3">
        <v>3.1250000000000001E-4</v>
      </c>
      <c r="L1074" s="3">
        <v>2.0370370370370369E-3</v>
      </c>
      <c r="M1074" s="3">
        <v>2.685185185185185E-3</v>
      </c>
      <c r="N1074" s="2">
        <v>0.5968</v>
      </c>
      <c r="O1074" s="5">
        <f t="shared" si="64"/>
        <v>0.47870370370370369</v>
      </c>
      <c r="P1074" s="5">
        <f t="shared" si="65"/>
        <v>28.722222222222221</v>
      </c>
      <c r="Q1074" s="5">
        <f t="shared" si="66"/>
        <v>0.51740740740740732</v>
      </c>
      <c r="R1074" s="5">
        <f t="shared" si="67"/>
        <v>31.044444444444437</v>
      </c>
    </row>
    <row r="1075" spans="1:18">
      <c r="A1075" s="4">
        <v>44904</v>
      </c>
      <c r="B1075" s="1" t="s">
        <v>20</v>
      </c>
      <c r="C1075" s="1">
        <f t="shared" si="68"/>
        <v>12</v>
      </c>
      <c r="D1075" s="1">
        <f t="shared" si="69"/>
        <v>9</v>
      </c>
      <c r="E1075" s="1">
        <f t="shared" si="70"/>
        <v>2022</v>
      </c>
      <c r="F1075" s="1">
        <v>1074</v>
      </c>
      <c r="G1075" s="1">
        <v>584</v>
      </c>
      <c r="H1075" s="1">
        <v>521</v>
      </c>
      <c r="I1075" s="2">
        <v>0.8921</v>
      </c>
      <c r="J1075" s="1">
        <v>63</v>
      </c>
      <c r="K1075" s="3">
        <v>3.3564814814814812E-4</v>
      </c>
      <c r="L1075" s="3">
        <v>1.5740740740740741E-3</v>
      </c>
      <c r="M1075" s="3">
        <v>3.0208333333333333E-3</v>
      </c>
      <c r="N1075" s="2">
        <v>0.58299999999999996</v>
      </c>
      <c r="O1075" s="5">
        <f t="shared" si="64"/>
        <v>0.8200925925925926</v>
      </c>
      <c r="P1075" s="5">
        <f t="shared" si="65"/>
        <v>49.205555555555556</v>
      </c>
      <c r="Q1075" s="5">
        <f t="shared" si="66"/>
        <v>0.91925925925925922</v>
      </c>
      <c r="R1075" s="5">
        <f t="shared" si="67"/>
        <v>55.155555555555551</v>
      </c>
    </row>
    <row r="1076" spans="1:18">
      <c r="A1076" s="4">
        <v>44905</v>
      </c>
      <c r="B1076" s="1" t="s">
        <v>21</v>
      </c>
      <c r="C1076" s="1">
        <f t="shared" si="68"/>
        <v>12</v>
      </c>
      <c r="D1076" s="1">
        <f t="shared" si="69"/>
        <v>10</v>
      </c>
      <c r="E1076" s="1">
        <f t="shared" si="70"/>
        <v>2022</v>
      </c>
      <c r="F1076" s="1">
        <v>1075</v>
      </c>
      <c r="G1076" s="1">
        <v>564</v>
      </c>
      <c r="H1076" s="1">
        <v>551</v>
      </c>
      <c r="I1076" s="2">
        <v>0.97699999999999998</v>
      </c>
      <c r="J1076" s="1">
        <v>13</v>
      </c>
      <c r="K1076" s="3">
        <v>1.3888888888888889E-4</v>
      </c>
      <c r="L1076" s="3">
        <v>1.1574074074074073E-3</v>
      </c>
      <c r="M1076" s="3">
        <v>1.2268518518518518E-3</v>
      </c>
      <c r="N1076" s="2">
        <v>0.83960000000000001</v>
      </c>
      <c r="O1076" s="5">
        <f t="shared" si="64"/>
        <v>0.6377314814814814</v>
      </c>
      <c r="P1076" s="5">
        <f t="shared" si="65"/>
        <v>38.263888888888886</v>
      </c>
      <c r="Q1076" s="5">
        <f t="shared" si="66"/>
        <v>0.65277777777777779</v>
      </c>
      <c r="R1076" s="5">
        <f t="shared" si="67"/>
        <v>39.166666666666664</v>
      </c>
    </row>
    <row r="1077" spans="1:18">
      <c r="A1077" s="4">
        <v>44906</v>
      </c>
      <c r="B1077" s="1" t="s">
        <v>22</v>
      </c>
      <c r="C1077" s="1">
        <f t="shared" si="68"/>
        <v>12</v>
      </c>
      <c r="D1077" s="1">
        <f t="shared" si="69"/>
        <v>11</v>
      </c>
      <c r="E1077" s="1">
        <f t="shared" si="70"/>
        <v>2022</v>
      </c>
      <c r="F1077" s="1">
        <v>1076</v>
      </c>
      <c r="G1077" s="1">
        <v>150</v>
      </c>
      <c r="H1077" s="1">
        <v>149</v>
      </c>
      <c r="I1077" s="2">
        <v>0.99329999999999996</v>
      </c>
      <c r="J1077" s="1">
        <v>1</v>
      </c>
      <c r="K1077" s="3">
        <v>1.1574074074074075E-4</v>
      </c>
      <c r="L1077" s="3">
        <v>1.1574074074074073E-3</v>
      </c>
      <c r="M1077" s="3">
        <v>1.5162037037037036E-3</v>
      </c>
      <c r="N1077" s="2">
        <v>0.89329999999999998</v>
      </c>
      <c r="O1077" s="5">
        <f t="shared" si="64"/>
        <v>0.17245370370370369</v>
      </c>
      <c r="P1077" s="5">
        <f t="shared" si="65"/>
        <v>10.347222222222221</v>
      </c>
      <c r="Q1077" s="5">
        <f t="shared" si="66"/>
        <v>0.1736111111111111</v>
      </c>
      <c r="R1077" s="5">
        <f t="shared" si="67"/>
        <v>10.416666666666666</v>
      </c>
    </row>
    <row r="1078" spans="1:18">
      <c r="A1078" s="4">
        <v>44907</v>
      </c>
      <c r="B1078" s="1" t="s">
        <v>23</v>
      </c>
      <c r="C1078" s="1">
        <f t="shared" si="68"/>
        <v>12</v>
      </c>
      <c r="D1078" s="1">
        <f t="shared" si="69"/>
        <v>12</v>
      </c>
      <c r="E1078" s="1">
        <f t="shared" si="70"/>
        <v>2022</v>
      </c>
      <c r="F1078" s="1">
        <v>1077</v>
      </c>
      <c r="G1078" s="1">
        <v>521</v>
      </c>
      <c r="H1078" s="1">
        <v>499</v>
      </c>
      <c r="I1078" s="2">
        <v>0.95779999999999998</v>
      </c>
      <c r="J1078" s="1">
        <v>22</v>
      </c>
      <c r="K1078" s="3">
        <v>2.6620370370370372E-4</v>
      </c>
      <c r="L1078" s="3">
        <v>1.1111111111111111E-3</v>
      </c>
      <c r="M1078" s="3">
        <v>2.1296296296296298E-3</v>
      </c>
      <c r="N1078" s="2">
        <v>0.70930000000000004</v>
      </c>
      <c r="O1078" s="5">
        <f t="shared" si="64"/>
        <v>0.55444444444444441</v>
      </c>
      <c r="P1078" s="5">
        <f t="shared" si="65"/>
        <v>33.266666666666666</v>
      </c>
      <c r="Q1078" s="5">
        <f t="shared" si="66"/>
        <v>0.5788888888888889</v>
      </c>
      <c r="R1078" s="5">
        <f t="shared" si="67"/>
        <v>34.733333333333334</v>
      </c>
    </row>
    <row r="1079" spans="1:18">
      <c r="A1079" s="4">
        <v>44908</v>
      </c>
      <c r="B1079" s="1" t="s">
        <v>24</v>
      </c>
      <c r="C1079" s="1">
        <f t="shared" si="68"/>
        <v>12</v>
      </c>
      <c r="D1079" s="1">
        <f t="shared" si="69"/>
        <v>13</v>
      </c>
      <c r="E1079" s="1">
        <f t="shared" si="70"/>
        <v>2022</v>
      </c>
      <c r="F1079" s="1">
        <v>1078</v>
      </c>
      <c r="G1079" s="1">
        <v>330</v>
      </c>
      <c r="H1079" s="1">
        <v>309</v>
      </c>
      <c r="I1079" s="2">
        <v>0.93640000000000001</v>
      </c>
      <c r="J1079" s="1">
        <v>21</v>
      </c>
      <c r="K1079" s="3">
        <v>2.4305555555555555E-4</v>
      </c>
      <c r="L1079" s="3">
        <v>2.3032407407407407E-3</v>
      </c>
      <c r="M1079" s="3">
        <v>4.5370370370370373E-3</v>
      </c>
      <c r="N1079" s="2">
        <v>0.69540000000000002</v>
      </c>
      <c r="O1079" s="5">
        <f t="shared" si="64"/>
        <v>0.7117013888888889</v>
      </c>
      <c r="P1079" s="5">
        <f t="shared" si="65"/>
        <v>42.702083333333334</v>
      </c>
      <c r="Q1079" s="5">
        <f t="shared" si="66"/>
        <v>0.76006944444444446</v>
      </c>
      <c r="R1079" s="5">
        <f t="shared" si="67"/>
        <v>45.604166666666671</v>
      </c>
    </row>
    <row r="1080" spans="1:18">
      <c r="A1080" s="4">
        <v>44909</v>
      </c>
      <c r="B1080" s="1" t="s">
        <v>18</v>
      </c>
      <c r="C1080" s="1">
        <f t="shared" si="68"/>
        <v>12</v>
      </c>
      <c r="D1080" s="1">
        <f t="shared" si="69"/>
        <v>14</v>
      </c>
      <c r="E1080" s="1">
        <f t="shared" si="70"/>
        <v>2022</v>
      </c>
      <c r="F1080" s="1">
        <v>1079</v>
      </c>
      <c r="G1080" s="1">
        <v>298</v>
      </c>
      <c r="H1080" s="1">
        <v>288</v>
      </c>
      <c r="I1080" s="2">
        <v>0.96640000000000004</v>
      </c>
      <c r="J1080" s="1">
        <v>10</v>
      </c>
      <c r="K1080" s="3">
        <v>1.5046296296296297E-4</v>
      </c>
      <c r="L1080" s="3">
        <v>2.3148148148148147E-3</v>
      </c>
      <c r="M1080" s="3">
        <v>2.8124999999999999E-3</v>
      </c>
      <c r="N1080" s="2">
        <v>0.84750000000000003</v>
      </c>
      <c r="O1080" s="5">
        <f t="shared" si="64"/>
        <v>0.66666666666666663</v>
      </c>
      <c r="P1080" s="5">
        <f t="shared" si="65"/>
        <v>40</v>
      </c>
      <c r="Q1080" s="5">
        <f t="shared" si="66"/>
        <v>0.68981481481481477</v>
      </c>
      <c r="R1080" s="5">
        <f t="shared" si="67"/>
        <v>41.388888888888886</v>
      </c>
    </row>
    <row r="1081" spans="1:18">
      <c r="A1081" s="4">
        <v>44910</v>
      </c>
      <c r="B1081" s="1" t="s">
        <v>19</v>
      </c>
      <c r="C1081" s="1">
        <f t="shared" si="68"/>
        <v>12</v>
      </c>
      <c r="D1081" s="1">
        <f t="shared" si="69"/>
        <v>15</v>
      </c>
      <c r="E1081" s="1">
        <f t="shared" si="70"/>
        <v>2022</v>
      </c>
      <c r="F1081" s="1">
        <v>1080</v>
      </c>
      <c r="G1081" s="1">
        <v>294</v>
      </c>
      <c r="H1081" s="1">
        <v>287</v>
      </c>
      <c r="I1081" s="2">
        <v>0.97619999999999996</v>
      </c>
      <c r="J1081" s="1">
        <v>7</v>
      </c>
      <c r="K1081" s="3">
        <v>1.6203703703703703E-4</v>
      </c>
      <c r="L1081" s="3">
        <v>2.4074074074074076E-3</v>
      </c>
      <c r="M1081" s="3">
        <v>2.3032407407407407E-3</v>
      </c>
      <c r="N1081" s="2">
        <v>0.82250000000000001</v>
      </c>
      <c r="O1081" s="5">
        <f t="shared" si="64"/>
        <v>0.69092592592592594</v>
      </c>
      <c r="P1081" s="5">
        <f t="shared" si="65"/>
        <v>41.455555555555556</v>
      </c>
      <c r="Q1081" s="5">
        <f t="shared" si="66"/>
        <v>0.70777777777777784</v>
      </c>
      <c r="R1081" s="5">
        <f t="shared" si="67"/>
        <v>42.466666666666669</v>
      </c>
    </row>
    <row r="1082" spans="1:18">
      <c r="A1082" s="4">
        <v>44911</v>
      </c>
      <c r="B1082" s="1" t="s">
        <v>20</v>
      </c>
      <c r="C1082" s="1">
        <f t="shared" si="68"/>
        <v>12</v>
      </c>
      <c r="D1082" s="1">
        <f t="shared" si="69"/>
        <v>16</v>
      </c>
      <c r="E1082" s="1">
        <f t="shared" si="70"/>
        <v>2022</v>
      </c>
      <c r="F1082" s="1">
        <v>1081</v>
      </c>
      <c r="G1082" s="1">
        <v>261</v>
      </c>
      <c r="H1082" s="1">
        <v>253</v>
      </c>
      <c r="I1082" s="2">
        <v>0.96930000000000005</v>
      </c>
      <c r="J1082" s="1">
        <v>8</v>
      </c>
      <c r="K1082" s="3">
        <v>1.1574074074074075E-4</v>
      </c>
      <c r="L1082" s="3">
        <v>2.1180555555555558E-3</v>
      </c>
      <c r="M1082" s="3">
        <v>4.0277777777777777E-3</v>
      </c>
      <c r="N1082" s="2">
        <v>0.89959999999999996</v>
      </c>
      <c r="O1082" s="5">
        <f t="shared" si="64"/>
        <v>0.53586805555555561</v>
      </c>
      <c r="P1082" s="5">
        <f t="shared" si="65"/>
        <v>32.152083333333337</v>
      </c>
      <c r="Q1082" s="5">
        <f t="shared" si="66"/>
        <v>0.55281250000000004</v>
      </c>
      <c r="R1082" s="5">
        <f t="shared" si="67"/>
        <v>33.168750000000003</v>
      </c>
    </row>
    <row r="1083" spans="1:18">
      <c r="A1083" s="4">
        <v>44912</v>
      </c>
      <c r="B1083" s="1" t="s">
        <v>21</v>
      </c>
      <c r="C1083" s="1">
        <f t="shared" si="68"/>
        <v>12</v>
      </c>
      <c r="D1083" s="1">
        <f t="shared" si="69"/>
        <v>17</v>
      </c>
      <c r="E1083" s="1">
        <f t="shared" si="70"/>
        <v>2022</v>
      </c>
      <c r="F1083" s="1">
        <v>1082</v>
      </c>
      <c r="G1083" s="1">
        <v>223</v>
      </c>
      <c r="H1083" s="1">
        <v>210</v>
      </c>
      <c r="I1083" s="2">
        <v>0.94169999999999998</v>
      </c>
      <c r="J1083" s="1">
        <v>13</v>
      </c>
      <c r="K1083" s="3">
        <v>1.8518518518518518E-4</v>
      </c>
      <c r="L1083" s="3">
        <v>2.1643518518518518E-3</v>
      </c>
      <c r="M1083" s="3">
        <v>3.7384259259259259E-3</v>
      </c>
      <c r="N1083" s="2">
        <v>0.80089999999999995</v>
      </c>
      <c r="O1083" s="5">
        <f t="shared" si="64"/>
        <v>0.45451388888888888</v>
      </c>
      <c r="P1083" s="5">
        <f t="shared" si="65"/>
        <v>27.270833333333332</v>
      </c>
      <c r="Q1083" s="5">
        <f t="shared" si="66"/>
        <v>0.48265046296296293</v>
      </c>
      <c r="R1083" s="5">
        <f t="shared" si="67"/>
        <v>28.959027777777777</v>
      </c>
    </row>
    <row r="1084" spans="1:18">
      <c r="A1084" s="4">
        <v>44913</v>
      </c>
      <c r="B1084" s="1" t="s">
        <v>22</v>
      </c>
      <c r="C1084" s="1">
        <f t="shared" si="68"/>
        <v>12</v>
      </c>
      <c r="D1084" s="1">
        <f t="shared" si="69"/>
        <v>18</v>
      </c>
      <c r="E1084" s="1">
        <f t="shared" si="70"/>
        <v>2022</v>
      </c>
      <c r="F1084" s="1">
        <v>1083</v>
      </c>
      <c r="G1084" s="1">
        <v>59</v>
      </c>
      <c r="H1084" s="1">
        <v>58</v>
      </c>
      <c r="I1084" s="2">
        <v>0.98309999999999997</v>
      </c>
      <c r="J1084" s="1">
        <v>1</v>
      </c>
      <c r="K1084" s="3">
        <v>2.4305555555555555E-4</v>
      </c>
      <c r="L1084" s="3">
        <v>2.5578703703703705E-3</v>
      </c>
      <c r="M1084" s="3">
        <v>2.2222222222222222E-3</v>
      </c>
      <c r="N1084" s="2">
        <v>0.74580000000000002</v>
      </c>
      <c r="O1084" s="5">
        <f t="shared" si="64"/>
        <v>0.14835648148148148</v>
      </c>
      <c r="P1084" s="5">
        <f t="shared" si="65"/>
        <v>8.9013888888888886</v>
      </c>
      <c r="Q1084" s="5">
        <f t="shared" si="66"/>
        <v>0.15091435185185187</v>
      </c>
      <c r="R1084" s="5">
        <f t="shared" si="67"/>
        <v>9.0548611111111121</v>
      </c>
    </row>
    <row r="1085" spans="1:18">
      <c r="A1085" s="4">
        <v>44914</v>
      </c>
      <c r="B1085" s="1" t="s">
        <v>23</v>
      </c>
      <c r="C1085" s="1">
        <f t="shared" si="68"/>
        <v>12</v>
      </c>
      <c r="D1085" s="1">
        <f t="shared" si="69"/>
        <v>19</v>
      </c>
      <c r="E1085" s="1">
        <f t="shared" si="70"/>
        <v>2022</v>
      </c>
      <c r="F1085" s="1">
        <v>1084</v>
      </c>
      <c r="G1085" s="1">
        <v>340</v>
      </c>
      <c r="H1085" s="1">
        <v>327</v>
      </c>
      <c r="I1085" s="2">
        <v>0.96179999999999999</v>
      </c>
      <c r="J1085" s="1">
        <v>13</v>
      </c>
      <c r="K1085" s="3">
        <v>2.4305555555555555E-4</v>
      </c>
      <c r="L1085" s="3">
        <v>1.3310185185185185E-3</v>
      </c>
      <c r="M1085" s="3">
        <v>2.6157407407407405E-3</v>
      </c>
      <c r="N1085" s="2">
        <v>0.77610000000000001</v>
      </c>
      <c r="O1085" s="5">
        <f t="shared" si="64"/>
        <v>0.43524305555555554</v>
      </c>
      <c r="P1085" s="5">
        <f t="shared" si="65"/>
        <v>26.114583333333332</v>
      </c>
      <c r="Q1085" s="5">
        <f t="shared" si="66"/>
        <v>0.45254629629629628</v>
      </c>
      <c r="R1085" s="5">
        <f t="shared" si="67"/>
        <v>27.152777777777779</v>
      </c>
    </row>
    <row r="1086" spans="1:18">
      <c r="A1086" s="4">
        <v>44915</v>
      </c>
      <c r="B1086" s="1" t="s">
        <v>24</v>
      </c>
      <c r="C1086" s="1">
        <f t="shared" si="68"/>
        <v>12</v>
      </c>
      <c r="D1086" s="1">
        <f t="shared" si="69"/>
        <v>20</v>
      </c>
      <c r="E1086" s="1">
        <f t="shared" si="70"/>
        <v>2022</v>
      </c>
      <c r="F1086" s="1">
        <v>1085</v>
      </c>
      <c r="G1086" s="1">
        <v>287</v>
      </c>
      <c r="H1086" s="1">
        <v>280</v>
      </c>
      <c r="I1086" s="2">
        <v>0.97560000000000002</v>
      </c>
      <c r="J1086" s="1">
        <v>7</v>
      </c>
      <c r="K1086" s="3">
        <v>1.5046296296296297E-4</v>
      </c>
      <c r="L1086" s="3">
        <v>2.1412037037037038E-3</v>
      </c>
      <c r="M1086" s="3">
        <v>1.3425925925925925E-3</v>
      </c>
      <c r="N1086" s="2">
        <v>0.84319999999999995</v>
      </c>
      <c r="O1086" s="5">
        <f t="shared" si="64"/>
        <v>0.59953703703703709</v>
      </c>
      <c r="P1086" s="5">
        <f t="shared" si="65"/>
        <v>35.972222222222229</v>
      </c>
      <c r="Q1086" s="5">
        <f t="shared" si="66"/>
        <v>0.61452546296296295</v>
      </c>
      <c r="R1086" s="5">
        <f t="shared" si="67"/>
        <v>36.871527777777779</v>
      </c>
    </row>
    <row r="1087" spans="1:18">
      <c r="A1087" s="4">
        <v>44916</v>
      </c>
      <c r="B1087" s="1" t="s">
        <v>18</v>
      </c>
      <c r="C1087" s="1">
        <f t="shared" si="68"/>
        <v>12</v>
      </c>
      <c r="D1087" s="1">
        <f t="shared" si="69"/>
        <v>21</v>
      </c>
      <c r="E1087" s="1">
        <f t="shared" si="70"/>
        <v>2022</v>
      </c>
      <c r="F1087" s="1">
        <v>1086</v>
      </c>
      <c r="G1087" s="1">
        <v>269</v>
      </c>
      <c r="H1087" s="1">
        <v>257</v>
      </c>
      <c r="I1087" s="2">
        <v>0.95540000000000003</v>
      </c>
      <c r="J1087" s="1">
        <v>12</v>
      </c>
      <c r="K1087" s="3">
        <v>1.8518518518518518E-4</v>
      </c>
      <c r="L1087" s="3">
        <v>2.1296296296296298E-3</v>
      </c>
      <c r="M1087" s="3">
        <v>2.650462962962963E-3</v>
      </c>
      <c r="N1087" s="2">
        <v>0.82020000000000004</v>
      </c>
      <c r="O1087" s="5">
        <f t="shared" si="64"/>
        <v>0.54731481481481481</v>
      </c>
      <c r="P1087" s="5">
        <f t="shared" si="65"/>
        <v>32.838888888888889</v>
      </c>
      <c r="Q1087" s="5">
        <f t="shared" si="66"/>
        <v>0.57287037037037036</v>
      </c>
      <c r="R1087" s="5">
        <f t="shared" si="67"/>
        <v>34.37222222222222</v>
      </c>
    </row>
    <row r="1088" spans="1:18">
      <c r="A1088" s="4">
        <v>44917</v>
      </c>
      <c r="B1088" s="1" t="s">
        <v>19</v>
      </c>
      <c r="C1088" s="1">
        <f t="shared" si="68"/>
        <v>12</v>
      </c>
      <c r="D1088" s="1">
        <f t="shared" si="69"/>
        <v>22</v>
      </c>
      <c r="E1088" s="1">
        <f t="shared" si="70"/>
        <v>2022</v>
      </c>
      <c r="F1088" s="1">
        <v>1087</v>
      </c>
      <c r="G1088" s="1">
        <v>270</v>
      </c>
      <c r="H1088" s="1">
        <v>261</v>
      </c>
      <c r="I1088" s="2">
        <v>0.9667</v>
      </c>
      <c r="J1088" s="1">
        <v>9</v>
      </c>
      <c r="K1088" s="3">
        <v>1.3888888888888889E-4</v>
      </c>
      <c r="L1088" s="3">
        <v>2.1527777777777778E-3</v>
      </c>
      <c r="M1088" s="3">
        <v>3.1134259259259257E-3</v>
      </c>
      <c r="N1088" s="2">
        <v>0.85870000000000002</v>
      </c>
      <c r="O1088" s="5">
        <f t="shared" si="64"/>
        <v>0.56187500000000001</v>
      </c>
      <c r="P1088" s="5">
        <f t="shared" si="65"/>
        <v>33.712499999999999</v>
      </c>
      <c r="Q1088" s="5">
        <f t="shared" si="66"/>
        <v>0.58125000000000004</v>
      </c>
      <c r="R1088" s="5">
        <f t="shared" si="67"/>
        <v>34.875</v>
      </c>
    </row>
    <row r="1089" spans="1:18">
      <c r="A1089" s="4">
        <v>44918</v>
      </c>
      <c r="B1089" s="1" t="s">
        <v>20</v>
      </c>
      <c r="C1089" s="1">
        <f t="shared" si="68"/>
        <v>12</v>
      </c>
      <c r="D1089" s="1">
        <f t="shared" si="69"/>
        <v>23</v>
      </c>
      <c r="E1089" s="1">
        <f t="shared" si="70"/>
        <v>2022</v>
      </c>
      <c r="F1089" s="1">
        <v>1088</v>
      </c>
      <c r="G1089" s="1">
        <v>285</v>
      </c>
      <c r="H1089" s="1">
        <v>273</v>
      </c>
      <c r="I1089" s="2">
        <v>0.95789999999999997</v>
      </c>
      <c r="J1089" s="1">
        <v>12</v>
      </c>
      <c r="K1089" s="3">
        <v>1.3888888888888889E-4</v>
      </c>
      <c r="L1089" s="3">
        <v>2.2453703703703702E-3</v>
      </c>
      <c r="M1089" s="3">
        <v>2.0023148148148148E-3</v>
      </c>
      <c r="N1089" s="2">
        <v>0.85360000000000003</v>
      </c>
      <c r="O1089" s="5">
        <f t="shared" si="64"/>
        <v>0.61298611111111112</v>
      </c>
      <c r="P1089" s="5">
        <f t="shared" si="65"/>
        <v>36.779166666666669</v>
      </c>
      <c r="Q1089" s="5">
        <f t="shared" si="66"/>
        <v>0.63993055555555556</v>
      </c>
      <c r="R1089" s="5">
        <f t="shared" si="67"/>
        <v>38.395833333333336</v>
      </c>
    </row>
    <row r="1090" spans="1:18">
      <c r="A1090" s="4">
        <v>44919</v>
      </c>
      <c r="B1090" s="1" t="s">
        <v>21</v>
      </c>
      <c r="C1090" s="1">
        <f t="shared" si="68"/>
        <v>12</v>
      </c>
      <c r="D1090" s="1">
        <f t="shared" si="69"/>
        <v>24</v>
      </c>
      <c r="E1090" s="1">
        <f t="shared" si="70"/>
        <v>2022</v>
      </c>
      <c r="F1090" s="1">
        <v>1089</v>
      </c>
      <c r="G1090" s="1">
        <v>251</v>
      </c>
      <c r="H1090" s="1">
        <v>229</v>
      </c>
      <c r="I1090" s="2">
        <v>0.91239999999999999</v>
      </c>
      <c r="J1090" s="1">
        <v>22</v>
      </c>
      <c r="K1090" s="3">
        <v>2.5462962962962961E-4</v>
      </c>
      <c r="L1090" s="3">
        <v>2.0717592592592593E-3</v>
      </c>
      <c r="M1090" s="3">
        <v>2.1527777777777778E-3</v>
      </c>
      <c r="N1090" s="2">
        <v>0.73060000000000003</v>
      </c>
      <c r="O1090" s="5">
        <f t="shared" si="64"/>
        <v>0.47443287037037041</v>
      </c>
      <c r="P1090" s="5">
        <f t="shared" si="65"/>
        <v>28.465972222222224</v>
      </c>
      <c r="Q1090" s="5">
        <f t="shared" si="66"/>
        <v>0.52001157407407406</v>
      </c>
      <c r="R1090" s="5">
        <f t="shared" si="67"/>
        <v>31.200694444444444</v>
      </c>
    </row>
    <row r="1091" spans="1:18">
      <c r="A1091" s="4">
        <v>44920</v>
      </c>
      <c r="B1091" s="1" t="s">
        <v>22</v>
      </c>
      <c r="C1091" s="1">
        <f t="shared" ref="C1091:C1154" si="71">MONTH(A1091)</f>
        <v>12</v>
      </c>
      <c r="D1091" s="1">
        <f t="shared" ref="D1091:D1154" si="72">DAY(A1091)</f>
        <v>25</v>
      </c>
      <c r="E1091" s="1">
        <f t="shared" ref="E1091:E1154" si="73">YEAR(A1091)</f>
        <v>2022</v>
      </c>
      <c r="F1091" s="1">
        <v>1090</v>
      </c>
      <c r="G1091" s="1">
        <v>47</v>
      </c>
      <c r="H1091" s="1">
        <v>47</v>
      </c>
      <c r="I1091" s="2">
        <v>1</v>
      </c>
      <c r="J1091" s="1">
        <v>0</v>
      </c>
      <c r="K1091" s="3">
        <v>1.5046296296296297E-4</v>
      </c>
      <c r="L1091" s="3">
        <v>2.1180555555555558E-3</v>
      </c>
      <c r="M1091" s="3">
        <v>1.0300925925925926E-3</v>
      </c>
      <c r="N1091" s="2">
        <v>0.87229999999999996</v>
      </c>
      <c r="O1091" s="5">
        <f t="shared" si="64"/>
        <v>9.9548611111111115E-2</v>
      </c>
      <c r="P1091" s="5">
        <f t="shared" si="65"/>
        <v>5.9729166666666673</v>
      </c>
      <c r="Q1091" s="5">
        <f t="shared" si="66"/>
        <v>9.9548611111111115E-2</v>
      </c>
      <c r="R1091" s="5">
        <f t="shared" si="67"/>
        <v>5.9729166666666673</v>
      </c>
    </row>
    <row r="1092" spans="1:18">
      <c r="A1092" s="4">
        <v>44921</v>
      </c>
      <c r="B1092" s="1" t="s">
        <v>23</v>
      </c>
      <c r="C1092" s="1">
        <f t="shared" si="71"/>
        <v>12</v>
      </c>
      <c r="D1092" s="1">
        <f t="shared" si="72"/>
        <v>26</v>
      </c>
      <c r="E1092" s="1">
        <f t="shared" si="73"/>
        <v>2022</v>
      </c>
      <c r="F1092" s="1">
        <v>1091</v>
      </c>
      <c r="G1092" s="1">
        <v>233</v>
      </c>
      <c r="H1092" s="1">
        <v>225</v>
      </c>
      <c r="I1092" s="2">
        <v>0.9657</v>
      </c>
      <c r="J1092" s="1">
        <v>8</v>
      </c>
      <c r="K1092" s="3">
        <v>1.5046296296296297E-4</v>
      </c>
      <c r="L1092" s="3">
        <v>2.1064814814814813E-3</v>
      </c>
      <c r="M1092" s="3">
        <v>1.3541666666666667E-3</v>
      </c>
      <c r="N1092" s="2">
        <v>0.84719999999999995</v>
      </c>
      <c r="O1092" s="5">
        <f t="shared" si="64"/>
        <v>0.47395833333333331</v>
      </c>
      <c r="P1092" s="5">
        <f t="shared" si="65"/>
        <v>28.4375</v>
      </c>
      <c r="Q1092" s="5">
        <f t="shared" si="66"/>
        <v>0.49081018518518515</v>
      </c>
      <c r="R1092" s="5">
        <f t="shared" si="67"/>
        <v>29.448611111111109</v>
      </c>
    </row>
    <row r="1093" spans="1:18">
      <c r="A1093" s="4">
        <v>44922</v>
      </c>
      <c r="B1093" s="1" t="s">
        <v>24</v>
      </c>
      <c r="C1093" s="1">
        <f t="shared" si="71"/>
        <v>12</v>
      </c>
      <c r="D1093" s="1">
        <f t="shared" si="72"/>
        <v>27</v>
      </c>
      <c r="E1093" s="1">
        <f t="shared" si="73"/>
        <v>2022</v>
      </c>
      <c r="F1093" s="1">
        <v>1092</v>
      </c>
      <c r="G1093" s="1">
        <v>257</v>
      </c>
      <c r="H1093" s="1">
        <v>248</v>
      </c>
      <c r="I1093" s="2">
        <v>0.96499999999999997</v>
      </c>
      <c r="J1093" s="1">
        <v>9</v>
      </c>
      <c r="K1093" s="3">
        <v>1.6203703703703703E-4</v>
      </c>
      <c r="L1093" s="3">
        <v>2.2453703703703702E-3</v>
      </c>
      <c r="M1093" s="3">
        <v>2.5694444444444445E-3</v>
      </c>
      <c r="N1093" s="2">
        <v>0.83399999999999996</v>
      </c>
      <c r="O1093" s="5">
        <f t="shared" si="64"/>
        <v>0.55685185185185182</v>
      </c>
      <c r="P1093" s="5">
        <f t="shared" si="65"/>
        <v>33.411111111111111</v>
      </c>
      <c r="Q1093" s="5">
        <f t="shared" si="66"/>
        <v>0.5770601851851852</v>
      </c>
      <c r="R1093" s="5">
        <f t="shared" si="67"/>
        <v>34.62361111111111</v>
      </c>
    </row>
    <row r="1094" spans="1:18">
      <c r="A1094" s="4">
        <v>44923</v>
      </c>
      <c r="B1094" s="1" t="s">
        <v>18</v>
      </c>
      <c r="C1094" s="1">
        <f t="shared" si="71"/>
        <v>12</v>
      </c>
      <c r="D1094" s="1">
        <f t="shared" si="72"/>
        <v>28</v>
      </c>
      <c r="E1094" s="1">
        <f t="shared" si="73"/>
        <v>2022</v>
      </c>
      <c r="F1094" s="1">
        <v>1093</v>
      </c>
      <c r="G1094" s="1">
        <v>245</v>
      </c>
      <c r="H1094" s="1">
        <v>234</v>
      </c>
      <c r="I1094" s="2">
        <v>0.95509999999999995</v>
      </c>
      <c r="J1094" s="1">
        <v>11</v>
      </c>
      <c r="K1094" s="3">
        <v>1.273148148148148E-4</v>
      </c>
      <c r="L1094" s="3">
        <v>2.0949074074074073E-3</v>
      </c>
      <c r="M1094" s="3">
        <v>1.3425925925925925E-3</v>
      </c>
      <c r="N1094" s="2">
        <v>0.85950000000000004</v>
      </c>
      <c r="O1094" s="5">
        <f t="shared" si="64"/>
        <v>0.4902083333333333</v>
      </c>
      <c r="P1094" s="5">
        <f t="shared" si="65"/>
        <v>29.412499999999998</v>
      </c>
      <c r="Q1094" s="5">
        <f t="shared" si="66"/>
        <v>0.51325231481481481</v>
      </c>
      <c r="R1094" s="5">
        <f t="shared" si="67"/>
        <v>30.795138888888889</v>
      </c>
    </row>
    <row r="1095" spans="1:18">
      <c r="A1095" s="4">
        <v>44924</v>
      </c>
      <c r="B1095" s="1" t="s">
        <v>19</v>
      </c>
      <c r="C1095" s="1">
        <f t="shared" si="71"/>
        <v>12</v>
      </c>
      <c r="D1095" s="1">
        <f t="shared" si="72"/>
        <v>29</v>
      </c>
      <c r="E1095" s="1">
        <f t="shared" si="73"/>
        <v>2022</v>
      </c>
      <c r="F1095" s="1">
        <v>1094</v>
      </c>
      <c r="G1095" s="1">
        <v>267</v>
      </c>
      <c r="H1095" s="1">
        <v>265</v>
      </c>
      <c r="I1095" s="2">
        <v>0.99250000000000005</v>
      </c>
      <c r="J1095" s="1">
        <v>2</v>
      </c>
      <c r="K1095" s="3">
        <v>5.7870370370370373E-5</v>
      </c>
      <c r="L1095" s="3">
        <v>2.0717592592592593E-3</v>
      </c>
      <c r="M1095" s="3">
        <v>8.4490740740740739E-4</v>
      </c>
      <c r="N1095" s="2">
        <v>0.97360000000000002</v>
      </c>
      <c r="O1095" s="5">
        <f t="shared" si="64"/>
        <v>0.54901620370370374</v>
      </c>
      <c r="P1095" s="5">
        <f t="shared" si="65"/>
        <v>32.940972222222221</v>
      </c>
      <c r="Q1095" s="5">
        <f t="shared" si="66"/>
        <v>0.55315972222222221</v>
      </c>
      <c r="R1095" s="5">
        <f t="shared" si="67"/>
        <v>33.189583333333331</v>
      </c>
    </row>
    <row r="1096" spans="1:18">
      <c r="A1096" s="4">
        <v>44925</v>
      </c>
      <c r="B1096" s="1" t="s">
        <v>20</v>
      </c>
      <c r="C1096" s="1">
        <f t="shared" si="71"/>
        <v>12</v>
      </c>
      <c r="D1096" s="1">
        <f t="shared" si="72"/>
        <v>30</v>
      </c>
      <c r="E1096" s="1">
        <f t="shared" si="73"/>
        <v>2022</v>
      </c>
      <c r="F1096" s="1">
        <v>1095</v>
      </c>
      <c r="G1096" s="1">
        <v>231</v>
      </c>
      <c r="H1096" s="1">
        <v>224</v>
      </c>
      <c r="I1096" s="2">
        <v>0.96970000000000001</v>
      </c>
      <c r="J1096" s="1">
        <v>7</v>
      </c>
      <c r="K1096" s="3">
        <v>1.273148148148148E-4</v>
      </c>
      <c r="L1096" s="3">
        <v>2.0370370370370369E-3</v>
      </c>
      <c r="M1096" s="3">
        <v>2.0138888888888888E-3</v>
      </c>
      <c r="N1096" s="2">
        <v>0.86580000000000001</v>
      </c>
      <c r="O1096" s="5">
        <f t="shared" si="64"/>
        <v>0.45629629629629626</v>
      </c>
      <c r="P1096" s="5">
        <f t="shared" si="65"/>
        <v>27.377777777777776</v>
      </c>
      <c r="Q1096" s="5">
        <f t="shared" si="66"/>
        <v>0.4705555555555555</v>
      </c>
      <c r="R1096" s="5">
        <f t="shared" si="67"/>
        <v>28.233333333333331</v>
      </c>
    </row>
    <row r="1097" spans="1:18">
      <c r="A1097" s="4">
        <v>44926</v>
      </c>
      <c r="B1097" s="1" t="s">
        <v>21</v>
      </c>
      <c r="C1097" s="1">
        <f t="shared" si="71"/>
        <v>12</v>
      </c>
      <c r="D1097" s="1">
        <f t="shared" si="72"/>
        <v>31</v>
      </c>
      <c r="E1097" s="1">
        <f t="shared" si="73"/>
        <v>2022</v>
      </c>
      <c r="F1097" s="1">
        <v>1096</v>
      </c>
      <c r="G1097" s="1">
        <v>236</v>
      </c>
      <c r="H1097" s="1">
        <v>226</v>
      </c>
      <c r="I1097" s="2">
        <v>0.95760000000000001</v>
      </c>
      <c r="J1097" s="1">
        <v>10</v>
      </c>
      <c r="K1097" s="3">
        <v>2.199074074074074E-4</v>
      </c>
      <c r="L1097" s="3">
        <v>2.1296296296296298E-3</v>
      </c>
      <c r="M1097" s="3">
        <v>2.1527777777777778E-3</v>
      </c>
      <c r="N1097" s="2">
        <v>0.75</v>
      </c>
      <c r="O1097" s="5">
        <f t="shared" si="64"/>
        <v>0.48129629629629633</v>
      </c>
      <c r="P1097" s="5">
        <f t="shared" si="65"/>
        <v>28.87777777777778</v>
      </c>
      <c r="Q1097" s="5">
        <f t="shared" si="66"/>
        <v>0.50259259259259259</v>
      </c>
      <c r="R1097" s="5">
        <f t="shared" si="67"/>
        <v>30.155555555555555</v>
      </c>
    </row>
    <row r="1098" spans="1:18">
      <c r="A1098" s="4">
        <v>44927</v>
      </c>
      <c r="B1098" s="1" t="s">
        <v>22</v>
      </c>
      <c r="C1098" s="1">
        <f t="shared" si="71"/>
        <v>1</v>
      </c>
      <c r="D1098" s="1">
        <f t="shared" si="72"/>
        <v>1</v>
      </c>
      <c r="E1098" s="1">
        <f t="shared" si="73"/>
        <v>2023</v>
      </c>
      <c r="F1098" s="1">
        <v>1097</v>
      </c>
      <c r="G1098" s="1">
        <v>81</v>
      </c>
      <c r="H1098" s="1">
        <v>78</v>
      </c>
      <c r="I1098" s="2">
        <v>0.96299999999999997</v>
      </c>
      <c r="J1098" s="1">
        <v>3</v>
      </c>
      <c r="K1098" s="3">
        <v>1.273148148148148E-4</v>
      </c>
      <c r="L1098" s="3">
        <v>2.0486111111111113E-3</v>
      </c>
      <c r="M1098" s="3">
        <v>6.7129629629629625E-4</v>
      </c>
      <c r="N1098" s="2">
        <v>0.8125</v>
      </c>
      <c r="O1098" s="5">
        <f t="shared" si="64"/>
        <v>0.15979166666666669</v>
      </c>
      <c r="P1098" s="5">
        <f t="shared" si="65"/>
        <v>9.5875000000000021</v>
      </c>
      <c r="Q1098" s="5">
        <f t="shared" si="66"/>
        <v>0.16593750000000002</v>
      </c>
      <c r="R1098" s="5">
        <f t="shared" si="67"/>
        <v>9.9562500000000007</v>
      </c>
    </row>
    <row r="1099" spans="1:18">
      <c r="A1099" s="4">
        <v>44928</v>
      </c>
      <c r="B1099" s="1" t="s">
        <v>23</v>
      </c>
      <c r="C1099" s="1">
        <f t="shared" si="71"/>
        <v>1</v>
      </c>
      <c r="D1099" s="1">
        <f t="shared" si="72"/>
        <v>2</v>
      </c>
      <c r="E1099" s="1">
        <f t="shared" si="73"/>
        <v>2023</v>
      </c>
      <c r="F1099" s="1">
        <v>1098</v>
      </c>
      <c r="G1099" s="1">
        <v>281</v>
      </c>
      <c r="H1099" s="1">
        <v>273</v>
      </c>
      <c r="I1099" s="2">
        <v>0.97150000000000003</v>
      </c>
      <c r="J1099" s="1">
        <v>8</v>
      </c>
      <c r="K1099" s="3">
        <v>1.273148148148148E-4</v>
      </c>
      <c r="L1099" s="3">
        <v>2.1064814814814813E-3</v>
      </c>
      <c r="M1099" s="3">
        <v>2.3263888888888887E-3</v>
      </c>
      <c r="N1099" s="2">
        <v>0.88490000000000002</v>
      </c>
      <c r="O1099" s="5">
        <f t="shared" si="64"/>
        <v>0.57506944444444441</v>
      </c>
      <c r="P1099" s="5">
        <f t="shared" si="65"/>
        <v>34.504166666666663</v>
      </c>
      <c r="Q1099" s="5">
        <f t="shared" si="66"/>
        <v>0.5919212962962962</v>
      </c>
      <c r="R1099" s="5">
        <f t="shared" si="67"/>
        <v>35.515277777777769</v>
      </c>
    </row>
    <row r="1100" spans="1:18">
      <c r="A1100" s="4">
        <v>44929</v>
      </c>
      <c r="B1100" s="1" t="s">
        <v>24</v>
      </c>
      <c r="C1100" s="1">
        <f t="shared" si="71"/>
        <v>1</v>
      </c>
      <c r="D1100" s="1">
        <f t="shared" si="72"/>
        <v>3</v>
      </c>
      <c r="E1100" s="1">
        <f t="shared" si="73"/>
        <v>2023</v>
      </c>
      <c r="F1100" s="1">
        <v>1099</v>
      </c>
      <c r="G1100" s="1">
        <v>399</v>
      </c>
      <c r="H1100" s="1">
        <v>387</v>
      </c>
      <c r="I1100" s="2">
        <v>0.96989999999999998</v>
      </c>
      <c r="J1100" s="1">
        <v>12</v>
      </c>
      <c r="K1100" s="3">
        <v>1.273148148148148E-4</v>
      </c>
      <c r="L1100" s="3">
        <v>1.9791666666666668E-3</v>
      </c>
      <c r="M1100" s="3">
        <v>1.6782407407407408E-3</v>
      </c>
      <c r="N1100" s="2">
        <v>0.86360000000000003</v>
      </c>
      <c r="O1100" s="5">
        <f t="shared" si="64"/>
        <v>0.76593750000000005</v>
      </c>
      <c r="P1100" s="5">
        <f t="shared" si="65"/>
        <v>45.956250000000004</v>
      </c>
      <c r="Q1100" s="5">
        <f t="shared" si="66"/>
        <v>0.7896875000000001</v>
      </c>
      <c r="R1100" s="5">
        <f t="shared" si="67"/>
        <v>47.381250000000009</v>
      </c>
    </row>
    <row r="1101" spans="1:18">
      <c r="A1101" s="4">
        <v>44930</v>
      </c>
      <c r="B1101" s="1" t="s">
        <v>18</v>
      </c>
      <c r="C1101" s="1">
        <f t="shared" si="71"/>
        <v>1</v>
      </c>
      <c r="D1101" s="1">
        <f t="shared" si="72"/>
        <v>4</v>
      </c>
      <c r="E1101" s="1">
        <f t="shared" si="73"/>
        <v>2023</v>
      </c>
      <c r="F1101" s="1">
        <v>1100</v>
      </c>
      <c r="G1101" s="1">
        <v>291</v>
      </c>
      <c r="H1101" s="1">
        <v>287</v>
      </c>
      <c r="I1101" s="2">
        <v>0.98629999999999995</v>
      </c>
      <c r="J1101" s="1">
        <v>4</v>
      </c>
      <c r="K1101" s="3">
        <v>1.273148148148148E-4</v>
      </c>
      <c r="L1101" s="3">
        <v>1.8055555555555555E-3</v>
      </c>
      <c r="M1101" s="3">
        <v>2.5231481481481481E-3</v>
      </c>
      <c r="N1101" s="2">
        <v>0.87970000000000004</v>
      </c>
      <c r="O1101" s="5">
        <f t="shared" si="64"/>
        <v>0.5181944444444444</v>
      </c>
      <c r="P1101" s="5">
        <f t="shared" si="65"/>
        <v>31.091666666666665</v>
      </c>
      <c r="Q1101" s="5">
        <f t="shared" si="66"/>
        <v>0.52541666666666664</v>
      </c>
      <c r="R1101" s="5">
        <f t="shared" si="67"/>
        <v>31.524999999999999</v>
      </c>
    </row>
    <row r="1102" spans="1:18">
      <c r="A1102" s="4">
        <v>44931</v>
      </c>
      <c r="B1102" s="1" t="s">
        <v>19</v>
      </c>
      <c r="C1102" s="1">
        <f t="shared" si="71"/>
        <v>1</v>
      </c>
      <c r="D1102" s="1">
        <f t="shared" si="72"/>
        <v>5</v>
      </c>
      <c r="E1102" s="1">
        <f t="shared" si="73"/>
        <v>2023</v>
      </c>
      <c r="F1102" s="1">
        <v>1101</v>
      </c>
      <c r="G1102" s="1">
        <v>290</v>
      </c>
      <c r="H1102" s="1">
        <v>281</v>
      </c>
      <c r="I1102" s="2">
        <v>0.96899999999999997</v>
      </c>
      <c r="J1102" s="1">
        <v>9</v>
      </c>
      <c r="K1102" s="3">
        <v>8.1018518518518516E-5</v>
      </c>
      <c r="L1102" s="3">
        <v>2.1180555555555558E-3</v>
      </c>
      <c r="M1102" s="3">
        <v>6.9444444444444447E-4</v>
      </c>
      <c r="N1102" s="2">
        <v>0.91639999999999999</v>
      </c>
      <c r="O1102" s="5">
        <f t="shared" si="64"/>
        <v>0.59517361111111111</v>
      </c>
      <c r="P1102" s="5">
        <f t="shared" si="65"/>
        <v>35.710416666666667</v>
      </c>
      <c r="Q1102" s="5">
        <f t="shared" si="66"/>
        <v>0.6142361111111112</v>
      </c>
      <c r="R1102" s="5">
        <f t="shared" si="67"/>
        <v>36.854166666666671</v>
      </c>
    </row>
    <row r="1103" spans="1:18">
      <c r="A1103" s="4">
        <v>44932</v>
      </c>
      <c r="B1103" s="1" t="s">
        <v>20</v>
      </c>
      <c r="C1103" s="1">
        <f t="shared" si="71"/>
        <v>1</v>
      </c>
      <c r="D1103" s="1">
        <f t="shared" si="72"/>
        <v>6</v>
      </c>
      <c r="E1103" s="1">
        <f t="shared" si="73"/>
        <v>2023</v>
      </c>
      <c r="F1103" s="1">
        <v>1102</v>
      </c>
      <c r="G1103" s="1">
        <v>230</v>
      </c>
      <c r="H1103" s="1">
        <v>227</v>
      </c>
      <c r="I1103" s="2">
        <v>0.98699999999999999</v>
      </c>
      <c r="J1103" s="1">
        <v>3</v>
      </c>
      <c r="K1103" s="3">
        <v>9.2592592592592588E-5</v>
      </c>
      <c r="L1103" s="3">
        <v>2.1527777777777778E-3</v>
      </c>
      <c r="M1103" s="3">
        <v>8.3333333333333339E-4</v>
      </c>
      <c r="N1103" s="2">
        <v>0.91669999999999996</v>
      </c>
      <c r="O1103" s="5">
        <f t="shared" si="64"/>
        <v>0.48868055555555556</v>
      </c>
      <c r="P1103" s="5">
        <f t="shared" si="65"/>
        <v>29.320833333333333</v>
      </c>
      <c r="Q1103" s="5">
        <f t="shared" si="66"/>
        <v>0.49513888888888891</v>
      </c>
      <c r="R1103" s="5">
        <f t="shared" si="67"/>
        <v>29.708333333333336</v>
      </c>
    </row>
    <row r="1104" spans="1:18">
      <c r="A1104" s="4">
        <v>44933</v>
      </c>
      <c r="B1104" s="1" t="s">
        <v>21</v>
      </c>
      <c r="C1104" s="1">
        <f t="shared" si="71"/>
        <v>1</v>
      </c>
      <c r="D1104" s="1">
        <f t="shared" si="72"/>
        <v>7</v>
      </c>
      <c r="E1104" s="1">
        <f t="shared" si="73"/>
        <v>2023</v>
      </c>
      <c r="F1104" s="1">
        <v>1103</v>
      </c>
      <c r="G1104" s="1">
        <v>236</v>
      </c>
      <c r="H1104" s="1">
        <v>216</v>
      </c>
      <c r="I1104" s="2">
        <v>0.9153</v>
      </c>
      <c r="J1104" s="1">
        <v>20</v>
      </c>
      <c r="K1104" s="3">
        <v>1.9675925925925926E-4</v>
      </c>
      <c r="L1104" s="3">
        <v>2.1875000000000002E-3</v>
      </c>
      <c r="M1104" s="3">
        <v>2.0138888888888888E-3</v>
      </c>
      <c r="N1104" s="2">
        <v>0.70689999999999997</v>
      </c>
      <c r="O1104" s="5">
        <f t="shared" si="64"/>
        <v>0.47250000000000003</v>
      </c>
      <c r="P1104" s="5">
        <f t="shared" si="65"/>
        <v>28.35</v>
      </c>
      <c r="Q1104" s="5">
        <f t="shared" si="66"/>
        <v>0.5162500000000001</v>
      </c>
      <c r="R1104" s="5">
        <f t="shared" si="67"/>
        <v>30.975000000000005</v>
      </c>
    </row>
    <row r="1105" spans="1:18">
      <c r="A1105" s="4">
        <v>44934</v>
      </c>
      <c r="B1105" s="1" t="s">
        <v>22</v>
      </c>
      <c r="C1105" s="1">
        <f t="shared" si="71"/>
        <v>1</v>
      </c>
      <c r="D1105" s="1">
        <f t="shared" si="72"/>
        <v>8</v>
      </c>
      <c r="E1105" s="1">
        <f t="shared" si="73"/>
        <v>2023</v>
      </c>
      <c r="F1105" s="1">
        <v>1104</v>
      </c>
      <c r="G1105" s="1">
        <v>45</v>
      </c>
      <c r="H1105" s="1">
        <v>44</v>
      </c>
      <c r="I1105" s="2">
        <v>0.9778</v>
      </c>
      <c r="J1105" s="1">
        <v>1</v>
      </c>
      <c r="K1105" s="3">
        <v>5.7870370370370373E-5</v>
      </c>
      <c r="L1105" s="3">
        <v>1.9097222222222222E-3</v>
      </c>
      <c r="M1105" s="3">
        <v>1.3425925925925925E-3</v>
      </c>
      <c r="N1105" s="2">
        <v>0.93330000000000002</v>
      </c>
      <c r="O1105" s="5">
        <f t="shared" si="64"/>
        <v>8.4027777777777771E-2</v>
      </c>
      <c r="P1105" s="5">
        <f t="shared" si="65"/>
        <v>5.0416666666666661</v>
      </c>
      <c r="Q1105" s="5">
        <f t="shared" si="66"/>
        <v>8.59375E-2</v>
      </c>
      <c r="R1105" s="5">
        <f t="shared" si="67"/>
        <v>5.15625</v>
      </c>
    </row>
    <row r="1106" spans="1:18">
      <c r="A1106" s="4">
        <v>44935</v>
      </c>
      <c r="B1106" s="1" t="s">
        <v>23</v>
      </c>
      <c r="C1106" s="1">
        <f t="shared" si="71"/>
        <v>1</v>
      </c>
      <c r="D1106" s="1">
        <f t="shared" si="72"/>
        <v>9</v>
      </c>
      <c r="E1106" s="1">
        <f t="shared" si="73"/>
        <v>2023</v>
      </c>
      <c r="F1106" s="1">
        <v>1105</v>
      </c>
      <c r="G1106" s="1">
        <v>249</v>
      </c>
      <c r="H1106" s="1">
        <v>238</v>
      </c>
      <c r="I1106" s="2">
        <v>0.95579999999999998</v>
      </c>
      <c r="J1106" s="1">
        <v>11</v>
      </c>
      <c r="K1106" s="3">
        <v>1.273148148148148E-4</v>
      </c>
      <c r="L1106" s="3">
        <v>1.8749999999999999E-3</v>
      </c>
      <c r="M1106" s="3">
        <v>1.3657407407407407E-3</v>
      </c>
      <c r="N1106" s="2">
        <v>0.86529999999999996</v>
      </c>
      <c r="O1106" s="5">
        <f t="shared" si="64"/>
        <v>0.44624999999999998</v>
      </c>
      <c r="P1106" s="5">
        <f t="shared" si="65"/>
        <v>26.774999999999999</v>
      </c>
      <c r="Q1106" s="5">
        <f t="shared" si="66"/>
        <v>0.46687499999999998</v>
      </c>
      <c r="R1106" s="5">
        <f t="shared" si="67"/>
        <v>28.012499999999999</v>
      </c>
    </row>
    <row r="1107" spans="1:18">
      <c r="A1107" s="4">
        <v>44936</v>
      </c>
      <c r="B1107" s="1" t="s">
        <v>24</v>
      </c>
      <c r="C1107" s="1">
        <f t="shared" si="71"/>
        <v>1</v>
      </c>
      <c r="D1107" s="1">
        <f t="shared" si="72"/>
        <v>10</v>
      </c>
      <c r="E1107" s="1">
        <f t="shared" si="73"/>
        <v>2023</v>
      </c>
      <c r="F1107" s="1">
        <v>1106</v>
      </c>
      <c r="G1107" s="1">
        <v>350</v>
      </c>
      <c r="H1107" s="1">
        <v>328</v>
      </c>
      <c r="I1107" s="2">
        <v>0.93710000000000004</v>
      </c>
      <c r="J1107" s="1">
        <v>22</v>
      </c>
      <c r="K1107" s="3">
        <v>3.2407407407407406E-4</v>
      </c>
      <c r="L1107" s="3">
        <v>1.7476851851851852E-3</v>
      </c>
      <c r="M1107" s="3">
        <v>1.712962962962963E-3</v>
      </c>
      <c r="N1107" s="2">
        <v>0.58260000000000001</v>
      </c>
      <c r="O1107" s="5">
        <f t="shared" si="64"/>
        <v>0.57324074074074072</v>
      </c>
      <c r="P1107" s="5">
        <f t="shared" si="65"/>
        <v>34.394444444444446</v>
      </c>
      <c r="Q1107" s="5">
        <f t="shared" si="66"/>
        <v>0.61168981481481488</v>
      </c>
      <c r="R1107" s="5">
        <f t="shared" si="67"/>
        <v>36.701388888888893</v>
      </c>
    </row>
    <row r="1108" spans="1:18">
      <c r="A1108" s="4">
        <v>44937</v>
      </c>
      <c r="B1108" s="1" t="s">
        <v>18</v>
      </c>
      <c r="C1108" s="1">
        <f t="shared" si="71"/>
        <v>1</v>
      </c>
      <c r="D1108" s="1">
        <f t="shared" si="72"/>
        <v>11</v>
      </c>
      <c r="E1108" s="1">
        <f t="shared" si="73"/>
        <v>2023</v>
      </c>
      <c r="F1108" s="1">
        <v>1107</v>
      </c>
      <c r="G1108" s="1">
        <v>361</v>
      </c>
      <c r="H1108" s="1">
        <v>306</v>
      </c>
      <c r="I1108" s="2">
        <v>0.84760000000000002</v>
      </c>
      <c r="J1108" s="1">
        <v>55</v>
      </c>
      <c r="K1108" s="3">
        <v>3.1250000000000001E-4</v>
      </c>
      <c r="L1108" s="3">
        <v>1.6898148148148148E-3</v>
      </c>
      <c r="M1108" s="3">
        <v>4.6412037037037038E-3</v>
      </c>
      <c r="N1108" s="2">
        <v>0.60170000000000001</v>
      </c>
      <c r="O1108" s="5">
        <f t="shared" si="64"/>
        <v>0.51708333333333334</v>
      </c>
      <c r="P1108" s="5">
        <f t="shared" si="65"/>
        <v>31.024999999999999</v>
      </c>
      <c r="Q1108" s="5">
        <f t="shared" si="66"/>
        <v>0.61002314814814818</v>
      </c>
      <c r="R1108" s="5">
        <f t="shared" si="67"/>
        <v>36.601388888888891</v>
      </c>
    </row>
    <row r="1109" spans="1:18">
      <c r="A1109" s="4">
        <v>44938</v>
      </c>
      <c r="B1109" s="1" t="s">
        <v>19</v>
      </c>
      <c r="C1109" s="1">
        <f t="shared" si="71"/>
        <v>1</v>
      </c>
      <c r="D1109" s="1">
        <f t="shared" si="72"/>
        <v>12</v>
      </c>
      <c r="E1109" s="1">
        <f t="shared" si="73"/>
        <v>2023</v>
      </c>
      <c r="F1109" s="1">
        <v>1108</v>
      </c>
      <c r="G1109" s="1">
        <v>262</v>
      </c>
      <c r="H1109" s="1">
        <v>256</v>
      </c>
      <c r="I1109" s="2">
        <v>0.97709999999999997</v>
      </c>
      <c r="J1109" s="1">
        <v>6</v>
      </c>
      <c r="K1109" s="3">
        <v>1.5046296296296297E-4</v>
      </c>
      <c r="L1109" s="3">
        <v>1.9675925925925924E-3</v>
      </c>
      <c r="M1109" s="3">
        <v>2.0138888888888888E-3</v>
      </c>
      <c r="N1109" s="2">
        <v>0.86150000000000004</v>
      </c>
      <c r="O1109" s="5">
        <f t="shared" si="64"/>
        <v>0.50370370370370365</v>
      </c>
      <c r="P1109" s="5">
        <f t="shared" si="65"/>
        <v>30.222222222222218</v>
      </c>
      <c r="Q1109" s="5">
        <f t="shared" si="66"/>
        <v>0.51550925925925917</v>
      </c>
      <c r="R1109" s="5">
        <f t="shared" si="67"/>
        <v>30.93055555555555</v>
      </c>
    </row>
    <row r="1110" spans="1:18">
      <c r="A1110" s="4">
        <v>44939</v>
      </c>
      <c r="B1110" s="1" t="s">
        <v>20</v>
      </c>
      <c r="C1110" s="1">
        <f t="shared" si="71"/>
        <v>1</v>
      </c>
      <c r="D1110" s="1">
        <f t="shared" si="72"/>
        <v>13</v>
      </c>
      <c r="E1110" s="1">
        <f t="shared" si="73"/>
        <v>2023</v>
      </c>
      <c r="F1110" s="1">
        <v>1109</v>
      </c>
      <c r="G1110" s="1">
        <v>302</v>
      </c>
      <c r="H1110" s="1">
        <v>288</v>
      </c>
      <c r="I1110" s="2">
        <v>0.9536</v>
      </c>
      <c r="J1110" s="1">
        <v>14</v>
      </c>
      <c r="K1110" s="3">
        <v>2.4305555555555555E-4</v>
      </c>
      <c r="L1110" s="3">
        <v>2.0370370370370369E-3</v>
      </c>
      <c r="M1110" s="3">
        <v>2.0717592592592593E-3</v>
      </c>
      <c r="N1110" s="2">
        <v>0.71099999999999997</v>
      </c>
      <c r="O1110" s="5">
        <f t="shared" si="64"/>
        <v>0.58666666666666667</v>
      </c>
      <c r="P1110" s="5">
        <f t="shared" si="65"/>
        <v>35.200000000000003</v>
      </c>
      <c r="Q1110" s="5">
        <f t="shared" si="66"/>
        <v>0.61518518518518517</v>
      </c>
      <c r="R1110" s="5">
        <f t="shared" si="67"/>
        <v>36.911111111111111</v>
      </c>
    </row>
    <row r="1111" spans="1:18">
      <c r="A1111" s="4">
        <v>44940</v>
      </c>
      <c r="B1111" s="1" t="s">
        <v>21</v>
      </c>
      <c r="C1111" s="1">
        <f t="shared" si="71"/>
        <v>1</v>
      </c>
      <c r="D1111" s="1">
        <f t="shared" si="72"/>
        <v>14</v>
      </c>
      <c r="E1111" s="1">
        <f t="shared" si="73"/>
        <v>2023</v>
      </c>
      <c r="F1111" s="1">
        <v>1110</v>
      </c>
      <c r="G1111" s="1">
        <v>299</v>
      </c>
      <c r="H1111" s="1">
        <v>268</v>
      </c>
      <c r="I1111" s="2">
        <v>0.89629999999999999</v>
      </c>
      <c r="J1111" s="1">
        <v>31</v>
      </c>
      <c r="K1111" s="3">
        <v>3.2407407407407406E-4</v>
      </c>
      <c r="L1111" s="3">
        <v>1.9560185185185184E-3</v>
      </c>
      <c r="M1111" s="3">
        <v>2.0601851851851853E-3</v>
      </c>
      <c r="N1111" s="2">
        <v>0.55410000000000004</v>
      </c>
      <c r="O1111" s="5">
        <f t="shared" si="64"/>
        <v>0.52421296296296294</v>
      </c>
      <c r="P1111" s="5">
        <f t="shared" si="65"/>
        <v>31.452777777777776</v>
      </c>
      <c r="Q1111" s="5">
        <f t="shared" si="66"/>
        <v>0.58484953703703701</v>
      </c>
      <c r="R1111" s="5">
        <f t="shared" si="67"/>
        <v>35.09097222222222</v>
      </c>
    </row>
    <row r="1112" spans="1:18">
      <c r="A1112" s="4">
        <v>44941</v>
      </c>
      <c r="B1112" s="1" t="s">
        <v>22</v>
      </c>
      <c r="C1112" s="1">
        <f t="shared" si="71"/>
        <v>1</v>
      </c>
      <c r="D1112" s="1">
        <f t="shared" si="72"/>
        <v>15</v>
      </c>
      <c r="E1112" s="1">
        <f t="shared" si="73"/>
        <v>2023</v>
      </c>
      <c r="F1112" s="1">
        <v>1111</v>
      </c>
      <c r="G1112" s="1">
        <v>50</v>
      </c>
      <c r="H1112" s="1">
        <v>49</v>
      </c>
      <c r="I1112" s="2">
        <v>0.98</v>
      </c>
      <c r="J1112" s="1">
        <v>1</v>
      </c>
      <c r="K1112" s="3">
        <v>2.7777777777777778E-4</v>
      </c>
      <c r="L1112" s="3">
        <v>2.0254629629629629E-3</v>
      </c>
      <c r="M1112" s="3">
        <v>1.4814814814814814E-3</v>
      </c>
      <c r="N1112" s="2">
        <v>0.76</v>
      </c>
      <c r="O1112" s="5">
        <f t="shared" si="64"/>
        <v>9.9247685185185175E-2</v>
      </c>
      <c r="P1112" s="5">
        <f t="shared" si="65"/>
        <v>5.9548611111111107</v>
      </c>
      <c r="Q1112" s="5">
        <f t="shared" si="66"/>
        <v>0.10127314814814814</v>
      </c>
      <c r="R1112" s="5">
        <f t="shared" si="67"/>
        <v>6.0763888888888884</v>
      </c>
    </row>
    <row r="1113" spans="1:18">
      <c r="A1113" s="4">
        <v>44942</v>
      </c>
      <c r="B1113" s="1" t="s">
        <v>23</v>
      </c>
      <c r="C1113" s="1">
        <f t="shared" si="71"/>
        <v>1</v>
      </c>
      <c r="D1113" s="1">
        <f t="shared" si="72"/>
        <v>16</v>
      </c>
      <c r="E1113" s="1">
        <f t="shared" si="73"/>
        <v>2023</v>
      </c>
      <c r="F1113" s="1">
        <v>1112</v>
      </c>
      <c r="G1113" s="1">
        <v>285</v>
      </c>
      <c r="H1113" s="1">
        <v>273</v>
      </c>
      <c r="I1113" s="2">
        <v>0.95789999999999997</v>
      </c>
      <c r="J1113" s="1">
        <v>12</v>
      </c>
      <c r="K1113" s="3">
        <v>2.4305555555555555E-4</v>
      </c>
      <c r="L1113" s="3">
        <v>1.9560185185185184E-3</v>
      </c>
      <c r="M1113" s="3">
        <v>2.4305555555555556E-3</v>
      </c>
      <c r="N1113" s="2">
        <v>0.76160000000000005</v>
      </c>
      <c r="O1113" s="5">
        <f t="shared" si="64"/>
        <v>0.53399305555555554</v>
      </c>
      <c r="P1113" s="5">
        <f t="shared" si="65"/>
        <v>32.039583333333333</v>
      </c>
      <c r="Q1113" s="5">
        <f t="shared" si="66"/>
        <v>0.55746527777777777</v>
      </c>
      <c r="R1113" s="5">
        <f t="shared" si="67"/>
        <v>33.447916666666664</v>
      </c>
    </row>
    <row r="1114" spans="1:18">
      <c r="A1114" s="4">
        <v>44943</v>
      </c>
      <c r="B1114" s="1" t="s">
        <v>24</v>
      </c>
      <c r="C1114" s="1">
        <f t="shared" si="71"/>
        <v>1</v>
      </c>
      <c r="D1114" s="1">
        <f t="shared" si="72"/>
        <v>17</v>
      </c>
      <c r="E1114" s="1">
        <f t="shared" si="73"/>
        <v>2023</v>
      </c>
      <c r="F1114" s="1">
        <v>1113</v>
      </c>
      <c r="G1114" s="1">
        <v>77</v>
      </c>
      <c r="H1114" s="1">
        <v>75</v>
      </c>
      <c r="I1114" s="2">
        <v>0.97399999999999998</v>
      </c>
      <c r="J1114" s="1">
        <v>2</v>
      </c>
      <c r="K1114" s="3">
        <v>1.0416666666666667E-4</v>
      </c>
      <c r="L1114" s="3">
        <v>1.8865740740740742E-3</v>
      </c>
      <c r="M1114" s="3">
        <v>1.5046296296296296E-3</v>
      </c>
      <c r="N1114" s="2">
        <v>0.92110000000000003</v>
      </c>
      <c r="O1114" s="5">
        <f t="shared" si="64"/>
        <v>0.14149305555555555</v>
      </c>
      <c r="P1114" s="5">
        <f t="shared" si="65"/>
        <v>8.4895833333333339</v>
      </c>
      <c r="Q1114" s="5">
        <f t="shared" si="66"/>
        <v>0.14526620370370372</v>
      </c>
      <c r="R1114" s="5">
        <f t="shared" si="67"/>
        <v>8.7159722222222236</v>
      </c>
    </row>
    <row r="1115" spans="1:18">
      <c r="A1115" s="4">
        <v>44944</v>
      </c>
      <c r="B1115" s="1" t="s">
        <v>18</v>
      </c>
      <c r="C1115" s="1">
        <f t="shared" si="71"/>
        <v>1</v>
      </c>
      <c r="D1115" s="1">
        <f t="shared" si="72"/>
        <v>18</v>
      </c>
      <c r="E1115" s="1">
        <f t="shared" si="73"/>
        <v>2023</v>
      </c>
      <c r="F1115" s="1">
        <v>1114</v>
      </c>
      <c r="G1115" s="1">
        <v>332</v>
      </c>
      <c r="H1115" s="1">
        <v>321</v>
      </c>
      <c r="I1115" s="2">
        <v>0.96689999999999998</v>
      </c>
      <c r="J1115" s="1">
        <v>11</v>
      </c>
      <c r="K1115" s="3">
        <v>1.9675925925925926E-4</v>
      </c>
      <c r="L1115" s="3">
        <v>2.0601851851851853E-3</v>
      </c>
      <c r="M1115" s="3">
        <v>2.476851851851852E-3</v>
      </c>
      <c r="N1115" s="2">
        <v>0.80659999999999998</v>
      </c>
      <c r="O1115" s="5">
        <f t="shared" si="64"/>
        <v>0.66131944444444446</v>
      </c>
      <c r="P1115" s="5">
        <f t="shared" si="65"/>
        <v>39.679166666666667</v>
      </c>
      <c r="Q1115" s="5">
        <f t="shared" si="66"/>
        <v>0.68398148148148152</v>
      </c>
      <c r="R1115" s="5">
        <f t="shared" si="67"/>
        <v>41.038888888888891</v>
      </c>
    </row>
    <row r="1116" spans="1:18">
      <c r="A1116" s="4">
        <v>44945</v>
      </c>
      <c r="B1116" s="1" t="s">
        <v>19</v>
      </c>
      <c r="C1116" s="1">
        <f t="shared" si="71"/>
        <v>1</v>
      </c>
      <c r="D1116" s="1">
        <f t="shared" si="72"/>
        <v>19</v>
      </c>
      <c r="E1116" s="1">
        <f t="shared" si="73"/>
        <v>2023</v>
      </c>
      <c r="F1116" s="1">
        <v>1115</v>
      </c>
      <c r="G1116" s="1">
        <v>282</v>
      </c>
      <c r="H1116" s="1">
        <v>266</v>
      </c>
      <c r="I1116" s="2">
        <v>0.94330000000000003</v>
      </c>
      <c r="J1116" s="1">
        <v>16</v>
      </c>
      <c r="K1116" s="3">
        <v>2.5462962962962961E-4</v>
      </c>
      <c r="L1116" s="3">
        <v>2.1990740740740742E-3</v>
      </c>
      <c r="M1116" s="3">
        <v>5.6944444444444447E-3</v>
      </c>
      <c r="N1116" s="2">
        <v>0.7429</v>
      </c>
      <c r="O1116" s="5">
        <f t="shared" si="64"/>
        <v>0.5849537037037037</v>
      </c>
      <c r="P1116" s="5">
        <f t="shared" si="65"/>
        <v>35.097222222222221</v>
      </c>
      <c r="Q1116" s="5">
        <f t="shared" si="66"/>
        <v>0.62013888888888891</v>
      </c>
      <c r="R1116" s="5">
        <f t="shared" si="67"/>
        <v>37.208333333333336</v>
      </c>
    </row>
    <row r="1117" spans="1:18">
      <c r="A1117" s="4">
        <v>44946</v>
      </c>
      <c r="B1117" s="1" t="s">
        <v>20</v>
      </c>
      <c r="C1117" s="1">
        <f t="shared" si="71"/>
        <v>1</v>
      </c>
      <c r="D1117" s="1">
        <f t="shared" si="72"/>
        <v>20</v>
      </c>
      <c r="E1117" s="1">
        <f t="shared" si="73"/>
        <v>2023</v>
      </c>
      <c r="F1117" s="1">
        <v>1116</v>
      </c>
      <c r="G1117" s="1">
        <v>256</v>
      </c>
      <c r="H1117" s="1">
        <v>248</v>
      </c>
      <c r="I1117" s="2">
        <v>0.96879999999999999</v>
      </c>
      <c r="J1117" s="1">
        <v>8</v>
      </c>
      <c r="K1117" s="3">
        <v>1.6203703703703703E-4</v>
      </c>
      <c r="L1117" s="3">
        <v>2.0833333333333333E-3</v>
      </c>
      <c r="M1117" s="3">
        <v>2.685185185185185E-3</v>
      </c>
      <c r="N1117" s="2">
        <v>0.82350000000000001</v>
      </c>
      <c r="O1117" s="5">
        <f t="shared" si="64"/>
        <v>0.51666666666666661</v>
      </c>
      <c r="P1117" s="5">
        <f t="shared" si="65"/>
        <v>30.999999999999996</v>
      </c>
      <c r="Q1117" s="5">
        <f t="shared" si="66"/>
        <v>0.53333333333333333</v>
      </c>
      <c r="R1117" s="5">
        <f t="shared" si="67"/>
        <v>32</v>
      </c>
    </row>
    <row r="1118" spans="1:18">
      <c r="A1118" s="4">
        <v>44947</v>
      </c>
      <c r="B1118" s="1" t="s">
        <v>21</v>
      </c>
      <c r="C1118" s="1">
        <f t="shared" si="71"/>
        <v>1</v>
      </c>
      <c r="D1118" s="1">
        <f t="shared" si="72"/>
        <v>21</v>
      </c>
      <c r="E1118" s="1">
        <f t="shared" si="73"/>
        <v>2023</v>
      </c>
      <c r="F1118" s="1">
        <v>1117</v>
      </c>
      <c r="G1118" s="1">
        <v>177</v>
      </c>
      <c r="H1118" s="1">
        <v>176</v>
      </c>
      <c r="I1118" s="2">
        <v>0.99439999999999995</v>
      </c>
      <c r="J1118" s="1">
        <v>1</v>
      </c>
      <c r="K1118" s="3">
        <v>1.3888888888888889E-4</v>
      </c>
      <c r="L1118" s="3">
        <v>1.8171296296296297E-3</v>
      </c>
      <c r="M1118" s="3">
        <v>1.2152777777777778E-3</v>
      </c>
      <c r="N1118" s="2">
        <v>0.83520000000000005</v>
      </c>
      <c r="O1118" s="5">
        <f t="shared" si="64"/>
        <v>0.31981481481481483</v>
      </c>
      <c r="P1118" s="5">
        <f t="shared" si="65"/>
        <v>19.18888888888889</v>
      </c>
      <c r="Q1118" s="5">
        <f t="shared" si="66"/>
        <v>0.32163194444444443</v>
      </c>
      <c r="R1118" s="5">
        <f t="shared" si="67"/>
        <v>19.297916666666666</v>
      </c>
    </row>
    <row r="1119" spans="1:18">
      <c r="A1119" s="4">
        <v>44948</v>
      </c>
      <c r="B1119" s="1" t="s">
        <v>22</v>
      </c>
      <c r="C1119" s="1">
        <f t="shared" si="71"/>
        <v>1</v>
      </c>
      <c r="D1119" s="1">
        <f t="shared" si="72"/>
        <v>22</v>
      </c>
      <c r="E1119" s="1">
        <f t="shared" si="73"/>
        <v>2023</v>
      </c>
      <c r="F1119" s="1">
        <v>1118</v>
      </c>
      <c r="G1119" s="1">
        <v>27</v>
      </c>
      <c r="H1119" s="1">
        <v>24</v>
      </c>
      <c r="I1119" s="2">
        <v>0.88890000000000002</v>
      </c>
      <c r="J1119" s="1">
        <v>3</v>
      </c>
      <c r="K1119" s="3">
        <v>1.5046296296296297E-4</v>
      </c>
      <c r="L1119" s="3">
        <v>1.5625000000000001E-3</v>
      </c>
      <c r="M1119" s="3">
        <v>7.8703703703703705E-4</v>
      </c>
      <c r="N1119" s="2">
        <v>0.74070000000000003</v>
      </c>
      <c r="O1119" s="5">
        <f t="shared" si="64"/>
        <v>3.7500000000000006E-2</v>
      </c>
      <c r="P1119" s="5">
        <f t="shared" si="65"/>
        <v>2.2500000000000004</v>
      </c>
      <c r="Q1119" s="5">
        <f t="shared" si="66"/>
        <v>4.2187500000000003E-2</v>
      </c>
      <c r="R1119" s="5">
        <f t="shared" si="67"/>
        <v>2.53125</v>
      </c>
    </row>
    <row r="1120" spans="1:18">
      <c r="A1120" s="4">
        <v>44949</v>
      </c>
      <c r="B1120" s="1" t="s">
        <v>23</v>
      </c>
      <c r="C1120" s="1">
        <f t="shared" si="71"/>
        <v>1</v>
      </c>
      <c r="D1120" s="1">
        <f t="shared" si="72"/>
        <v>23</v>
      </c>
      <c r="E1120" s="1">
        <f t="shared" si="73"/>
        <v>2023</v>
      </c>
      <c r="F1120" s="1">
        <v>1119</v>
      </c>
      <c r="G1120" s="1">
        <v>307</v>
      </c>
      <c r="H1120" s="1">
        <v>305</v>
      </c>
      <c r="I1120" s="2">
        <v>0.99350000000000005</v>
      </c>
      <c r="J1120" s="1">
        <v>2</v>
      </c>
      <c r="K1120" s="3">
        <v>1.0416666666666667E-4</v>
      </c>
      <c r="L1120" s="3">
        <v>2.0949074074074073E-3</v>
      </c>
      <c r="M1120" s="3">
        <v>1.1805555555555556E-3</v>
      </c>
      <c r="N1120" s="2">
        <v>0.91800000000000004</v>
      </c>
      <c r="O1120" s="5">
        <f t="shared" si="64"/>
        <v>0.63894675925925926</v>
      </c>
      <c r="P1120" s="5">
        <f t="shared" si="65"/>
        <v>38.336805555555557</v>
      </c>
      <c r="Q1120" s="5">
        <f t="shared" si="66"/>
        <v>0.6431365740740741</v>
      </c>
      <c r="R1120" s="5">
        <f t="shared" si="67"/>
        <v>38.588194444444447</v>
      </c>
    </row>
    <row r="1121" spans="1:18">
      <c r="A1121" s="4">
        <v>44950</v>
      </c>
      <c r="B1121" s="1" t="s">
        <v>24</v>
      </c>
      <c r="C1121" s="1">
        <f t="shared" si="71"/>
        <v>1</v>
      </c>
      <c r="D1121" s="1">
        <f t="shared" si="72"/>
        <v>24</v>
      </c>
      <c r="E1121" s="1">
        <f t="shared" si="73"/>
        <v>2023</v>
      </c>
      <c r="F1121" s="1">
        <v>1120</v>
      </c>
      <c r="G1121" s="1">
        <v>587</v>
      </c>
      <c r="H1121" s="1">
        <v>577</v>
      </c>
      <c r="I1121" s="2">
        <v>0.98299999999999998</v>
      </c>
      <c r="J1121" s="1">
        <v>10</v>
      </c>
      <c r="K1121" s="3">
        <v>1.1574074074074075E-4</v>
      </c>
      <c r="L1121" s="3">
        <v>1.4814814814814814E-3</v>
      </c>
      <c r="M1121" s="3">
        <v>1.3425925925925925E-3</v>
      </c>
      <c r="N1121" s="2">
        <v>0.9194</v>
      </c>
      <c r="O1121" s="5">
        <f t="shared" si="64"/>
        <v>0.85481481481481481</v>
      </c>
      <c r="P1121" s="5">
        <f t="shared" si="65"/>
        <v>51.288888888888891</v>
      </c>
      <c r="Q1121" s="5">
        <f t="shared" si="66"/>
        <v>0.86962962962962964</v>
      </c>
      <c r="R1121" s="5">
        <f t="shared" si="67"/>
        <v>52.177777777777777</v>
      </c>
    </row>
    <row r="1122" spans="1:18">
      <c r="A1122" s="4">
        <v>44951</v>
      </c>
      <c r="B1122" s="1" t="s">
        <v>18</v>
      </c>
      <c r="C1122" s="1">
        <f t="shared" si="71"/>
        <v>1</v>
      </c>
      <c r="D1122" s="1">
        <f t="shared" si="72"/>
        <v>25</v>
      </c>
      <c r="E1122" s="1">
        <f t="shared" si="73"/>
        <v>2023</v>
      </c>
      <c r="F1122" s="1">
        <v>1121</v>
      </c>
      <c r="G1122" s="1">
        <v>270</v>
      </c>
      <c r="H1122" s="1">
        <v>265</v>
      </c>
      <c r="I1122" s="2">
        <v>0.98150000000000004</v>
      </c>
      <c r="J1122" s="1">
        <v>5</v>
      </c>
      <c r="K1122" s="3">
        <v>8.1018518518518516E-5</v>
      </c>
      <c r="L1122" s="3">
        <v>1.8981481481481482E-3</v>
      </c>
      <c r="M1122" s="3">
        <v>1.3425925925925925E-3</v>
      </c>
      <c r="N1122" s="2">
        <v>0.91790000000000005</v>
      </c>
      <c r="O1122" s="5">
        <f t="shared" si="64"/>
        <v>0.50300925925925921</v>
      </c>
      <c r="P1122" s="5">
        <f t="shared" si="65"/>
        <v>30.180555555555554</v>
      </c>
      <c r="Q1122" s="5">
        <f t="shared" si="66"/>
        <v>0.51249999999999996</v>
      </c>
      <c r="R1122" s="5">
        <f t="shared" si="67"/>
        <v>30.749999999999996</v>
      </c>
    </row>
    <row r="1123" spans="1:18">
      <c r="A1123" s="4">
        <v>44952</v>
      </c>
      <c r="B1123" s="1" t="s">
        <v>19</v>
      </c>
      <c r="C1123" s="1">
        <f t="shared" si="71"/>
        <v>1</v>
      </c>
      <c r="D1123" s="1">
        <f t="shared" si="72"/>
        <v>26</v>
      </c>
      <c r="E1123" s="1">
        <f t="shared" si="73"/>
        <v>2023</v>
      </c>
      <c r="F1123" s="1">
        <v>1122</v>
      </c>
      <c r="G1123" s="1">
        <v>307</v>
      </c>
      <c r="H1123" s="1">
        <v>297</v>
      </c>
      <c r="I1123" s="2">
        <v>0.96740000000000004</v>
      </c>
      <c r="J1123" s="1">
        <v>10</v>
      </c>
      <c r="K1123" s="3">
        <v>1.6203703703703703E-4</v>
      </c>
      <c r="L1123" s="3">
        <v>2.0717592592592593E-3</v>
      </c>
      <c r="M1123" s="3">
        <v>2.0254629629629629E-3</v>
      </c>
      <c r="N1123" s="2">
        <v>0.82240000000000002</v>
      </c>
      <c r="O1123" s="5">
        <f t="shared" si="64"/>
        <v>0.61531250000000004</v>
      </c>
      <c r="P1123" s="5">
        <f t="shared" si="65"/>
        <v>36.918750000000003</v>
      </c>
      <c r="Q1123" s="5">
        <f t="shared" si="66"/>
        <v>0.63603009259259258</v>
      </c>
      <c r="R1123" s="5">
        <f t="shared" si="67"/>
        <v>38.161805555555553</v>
      </c>
    </row>
    <row r="1124" spans="1:18">
      <c r="A1124" s="4">
        <v>44953</v>
      </c>
      <c r="B1124" s="1" t="s">
        <v>20</v>
      </c>
      <c r="C1124" s="1">
        <f t="shared" si="71"/>
        <v>1</v>
      </c>
      <c r="D1124" s="1">
        <f t="shared" si="72"/>
        <v>27</v>
      </c>
      <c r="E1124" s="1">
        <f t="shared" si="73"/>
        <v>2023</v>
      </c>
      <c r="F1124" s="1">
        <v>1123</v>
      </c>
      <c r="G1124" s="1">
        <v>242</v>
      </c>
      <c r="H1124" s="1">
        <v>238</v>
      </c>
      <c r="I1124" s="2">
        <v>0.98350000000000004</v>
      </c>
      <c r="J1124" s="1">
        <v>4</v>
      </c>
      <c r="K1124" s="3">
        <v>6.9444444444444444E-5</v>
      </c>
      <c r="L1124" s="3">
        <v>1.8749999999999999E-3</v>
      </c>
      <c r="M1124" s="3">
        <v>1.3310185185185185E-3</v>
      </c>
      <c r="N1124" s="2">
        <v>0.94630000000000003</v>
      </c>
      <c r="O1124" s="5">
        <f t="shared" si="64"/>
        <v>0.44624999999999998</v>
      </c>
      <c r="P1124" s="5">
        <f t="shared" si="65"/>
        <v>26.774999999999999</v>
      </c>
      <c r="Q1124" s="5">
        <f t="shared" si="66"/>
        <v>0.45374999999999999</v>
      </c>
      <c r="R1124" s="5">
        <f t="shared" si="67"/>
        <v>27.224999999999998</v>
      </c>
    </row>
    <row r="1125" spans="1:18">
      <c r="A1125" s="4">
        <v>44954</v>
      </c>
      <c r="B1125" s="1" t="s">
        <v>21</v>
      </c>
      <c r="C1125" s="1">
        <f t="shared" si="71"/>
        <v>1</v>
      </c>
      <c r="D1125" s="1">
        <f t="shared" si="72"/>
        <v>28</v>
      </c>
      <c r="E1125" s="1">
        <f t="shared" si="73"/>
        <v>2023</v>
      </c>
      <c r="F1125" s="1">
        <v>1124</v>
      </c>
      <c r="G1125" s="1">
        <v>194</v>
      </c>
      <c r="H1125" s="1">
        <v>182</v>
      </c>
      <c r="I1125" s="2">
        <v>0.93810000000000004</v>
      </c>
      <c r="J1125" s="1">
        <v>12</v>
      </c>
      <c r="K1125" s="3">
        <v>1.3888888888888889E-4</v>
      </c>
      <c r="L1125" s="3">
        <v>2.0486111111111113E-3</v>
      </c>
      <c r="M1125" s="3">
        <v>1.1111111111111111E-3</v>
      </c>
      <c r="N1125" s="2">
        <v>0.8115</v>
      </c>
      <c r="O1125" s="5">
        <f t="shared" si="64"/>
        <v>0.37284722222222227</v>
      </c>
      <c r="P1125" s="5">
        <f t="shared" si="65"/>
        <v>22.370833333333337</v>
      </c>
      <c r="Q1125" s="5">
        <f t="shared" si="66"/>
        <v>0.39743055555555556</v>
      </c>
      <c r="R1125" s="5">
        <f t="shared" si="67"/>
        <v>23.845833333333335</v>
      </c>
    </row>
    <row r="1126" spans="1:18">
      <c r="A1126" s="4">
        <v>44955</v>
      </c>
      <c r="B1126" s="1" t="s">
        <v>22</v>
      </c>
      <c r="C1126" s="1">
        <f t="shared" si="71"/>
        <v>1</v>
      </c>
      <c r="D1126" s="1">
        <f t="shared" si="72"/>
        <v>29</v>
      </c>
      <c r="E1126" s="1">
        <f t="shared" si="73"/>
        <v>2023</v>
      </c>
      <c r="F1126" s="1">
        <v>1125</v>
      </c>
      <c r="G1126" s="1">
        <v>21</v>
      </c>
      <c r="H1126" s="1">
        <v>21</v>
      </c>
      <c r="I1126" s="2">
        <v>1</v>
      </c>
      <c r="J1126" s="1">
        <v>0</v>
      </c>
      <c r="K1126" s="3">
        <v>1.3888888888888889E-4</v>
      </c>
      <c r="L1126" s="3">
        <v>2.1643518518518518E-3</v>
      </c>
      <c r="M1126" s="3">
        <v>1.0879629629629629E-3</v>
      </c>
      <c r="N1126" s="2">
        <v>0.90480000000000005</v>
      </c>
      <c r="O1126" s="5">
        <f t="shared" si="64"/>
        <v>4.5451388888888888E-2</v>
      </c>
      <c r="P1126" s="5">
        <f t="shared" si="65"/>
        <v>2.7270833333333333</v>
      </c>
      <c r="Q1126" s="5">
        <f t="shared" si="66"/>
        <v>4.5451388888888888E-2</v>
      </c>
      <c r="R1126" s="5">
        <f t="shared" si="67"/>
        <v>2.7270833333333333</v>
      </c>
    </row>
    <row r="1127" spans="1:18">
      <c r="A1127" s="4">
        <v>44956</v>
      </c>
      <c r="B1127" s="1" t="s">
        <v>23</v>
      </c>
      <c r="C1127" s="1">
        <f t="shared" si="71"/>
        <v>1</v>
      </c>
      <c r="D1127" s="1">
        <f t="shared" si="72"/>
        <v>30</v>
      </c>
      <c r="E1127" s="1">
        <f t="shared" si="73"/>
        <v>2023</v>
      </c>
      <c r="F1127" s="1">
        <v>1126</v>
      </c>
      <c r="G1127" s="1">
        <v>291</v>
      </c>
      <c r="H1127" s="1">
        <v>288</v>
      </c>
      <c r="I1127" s="2">
        <v>0.98970000000000002</v>
      </c>
      <c r="J1127" s="1">
        <v>3</v>
      </c>
      <c r="K1127" s="3">
        <v>8.1018518518518516E-5</v>
      </c>
      <c r="L1127" s="3">
        <v>1.9212962962962964E-3</v>
      </c>
      <c r="M1127" s="3">
        <v>9.7222222222222219E-4</v>
      </c>
      <c r="N1127" s="2">
        <v>0.93789999999999996</v>
      </c>
      <c r="O1127" s="5">
        <f t="shared" si="64"/>
        <v>0.55333333333333334</v>
      </c>
      <c r="P1127" s="5">
        <f t="shared" si="65"/>
        <v>33.200000000000003</v>
      </c>
      <c r="Q1127" s="5">
        <f t="shared" si="66"/>
        <v>0.55909722222222225</v>
      </c>
      <c r="R1127" s="5">
        <f t="shared" si="67"/>
        <v>33.545833333333334</v>
      </c>
    </row>
    <row r="1128" spans="1:18">
      <c r="A1128" s="4">
        <v>44957</v>
      </c>
      <c r="B1128" s="1" t="s">
        <v>24</v>
      </c>
      <c r="C1128" s="1">
        <f t="shared" si="71"/>
        <v>1</v>
      </c>
      <c r="D1128" s="1">
        <f t="shared" si="72"/>
        <v>31</v>
      </c>
      <c r="E1128" s="1">
        <f t="shared" si="73"/>
        <v>2023</v>
      </c>
      <c r="F1128" s="1">
        <v>1127</v>
      </c>
      <c r="G1128" s="1">
        <v>516</v>
      </c>
      <c r="H1128" s="1">
        <v>479</v>
      </c>
      <c r="I1128" s="2">
        <v>0.92830000000000001</v>
      </c>
      <c r="J1128" s="1">
        <v>37</v>
      </c>
      <c r="K1128" s="3">
        <v>3.0092592592592595E-4</v>
      </c>
      <c r="L1128" s="3">
        <v>1.8518518518518519E-3</v>
      </c>
      <c r="M1128" s="3">
        <v>2.4421296296296296E-3</v>
      </c>
      <c r="N1128" s="2">
        <v>0.63800000000000001</v>
      </c>
      <c r="O1128" s="5">
        <f t="shared" si="64"/>
        <v>0.88703703703703707</v>
      </c>
      <c r="P1128" s="5">
        <f t="shared" si="65"/>
        <v>53.222222222222221</v>
      </c>
      <c r="Q1128" s="5">
        <f t="shared" si="66"/>
        <v>0.9555555555555556</v>
      </c>
      <c r="R1128" s="5">
        <f t="shared" si="67"/>
        <v>57.333333333333336</v>
      </c>
    </row>
    <row r="1129" spans="1:18">
      <c r="A1129" s="4">
        <v>44958</v>
      </c>
      <c r="B1129" s="1" t="s">
        <v>18</v>
      </c>
      <c r="C1129" s="1">
        <f t="shared" si="71"/>
        <v>2</v>
      </c>
      <c r="D1129" s="1">
        <f t="shared" si="72"/>
        <v>1</v>
      </c>
      <c r="E1129" s="1">
        <f t="shared" si="73"/>
        <v>2023</v>
      </c>
      <c r="F1129" s="1">
        <v>1128</v>
      </c>
      <c r="G1129" s="1">
        <v>452</v>
      </c>
      <c r="H1129" s="1">
        <v>447</v>
      </c>
      <c r="I1129" s="2">
        <v>0.9889</v>
      </c>
      <c r="J1129" s="1">
        <v>5</v>
      </c>
      <c r="K1129" s="3">
        <v>6.9444444444444444E-5</v>
      </c>
      <c r="L1129" s="3">
        <v>1.4351851851851852E-3</v>
      </c>
      <c r="M1129" s="3">
        <v>2.685185185185185E-3</v>
      </c>
      <c r="N1129" s="2">
        <v>0.94440000000000002</v>
      </c>
      <c r="O1129" s="5">
        <f t="shared" si="64"/>
        <v>0.64152777777777781</v>
      </c>
      <c r="P1129" s="5">
        <f t="shared" si="65"/>
        <v>38.491666666666667</v>
      </c>
      <c r="Q1129" s="5">
        <f t="shared" si="66"/>
        <v>0.64870370370370367</v>
      </c>
      <c r="R1129" s="5">
        <f t="shared" si="67"/>
        <v>38.922222222222217</v>
      </c>
    </row>
    <row r="1130" spans="1:18">
      <c r="A1130" s="4">
        <v>44959</v>
      </c>
      <c r="B1130" s="1" t="s">
        <v>19</v>
      </c>
      <c r="C1130" s="1">
        <f t="shared" si="71"/>
        <v>2</v>
      </c>
      <c r="D1130" s="1">
        <f t="shared" si="72"/>
        <v>2</v>
      </c>
      <c r="E1130" s="1">
        <f t="shared" si="73"/>
        <v>2023</v>
      </c>
      <c r="F1130" s="1">
        <v>1129</v>
      </c>
      <c r="G1130" s="1">
        <v>375</v>
      </c>
      <c r="H1130" s="1">
        <v>375</v>
      </c>
      <c r="I1130" s="2">
        <v>1</v>
      </c>
      <c r="J1130" s="1">
        <v>0</v>
      </c>
      <c r="K1130" s="3">
        <v>5.7870370370370373E-5</v>
      </c>
      <c r="L1130" s="3">
        <v>1.5393518518518519E-3</v>
      </c>
      <c r="M1130" s="3">
        <v>7.5231481481481482E-4</v>
      </c>
      <c r="N1130" s="2">
        <v>0.96530000000000005</v>
      </c>
      <c r="O1130" s="5">
        <f t="shared" si="64"/>
        <v>0.57725694444444442</v>
      </c>
      <c r="P1130" s="5">
        <f t="shared" si="65"/>
        <v>34.635416666666664</v>
      </c>
      <c r="Q1130" s="5">
        <f t="shared" si="66"/>
        <v>0.57725694444444442</v>
      </c>
      <c r="R1130" s="5">
        <f t="shared" si="67"/>
        <v>34.635416666666664</v>
      </c>
    </row>
    <row r="1131" spans="1:18">
      <c r="A1131" s="4">
        <v>44960</v>
      </c>
      <c r="B1131" s="1" t="s">
        <v>20</v>
      </c>
      <c r="C1131" s="1">
        <f t="shared" si="71"/>
        <v>2</v>
      </c>
      <c r="D1131" s="1">
        <f t="shared" si="72"/>
        <v>3</v>
      </c>
      <c r="E1131" s="1">
        <f t="shared" si="73"/>
        <v>2023</v>
      </c>
      <c r="F1131" s="1">
        <v>1130</v>
      </c>
      <c r="G1131" s="1">
        <v>306</v>
      </c>
      <c r="H1131" s="1">
        <v>287</v>
      </c>
      <c r="I1131" s="2">
        <v>0.93789999999999996</v>
      </c>
      <c r="J1131" s="1">
        <v>19</v>
      </c>
      <c r="K1131" s="3">
        <v>2.199074074074074E-4</v>
      </c>
      <c r="L1131" s="3">
        <v>1.5625000000000001E-3</v>
      </c>
      <c r="M1131" s="3">
        <v>3.3564814814814816E-3</v>
      </c>
      <c r="N1131" s="2">
        <v>0.76319999999999999</v>
      </c>
      <c r="O1131" s="5">
        <f t="shared" si="64"/>
        <v>0.44843750000000004</v>
      </c>
      <c r="P1131" s="5">
        <f t="shared" si="65"/>
        <v>26.906250000000004</v>
      </c>
      <c r="Q1131" s="5">
        <f t="shared" si="66"/>
        <v>0.47812500000000002</v>
      </c>
      <c r="R1131" s="5">
        <f t="shared" si="67"/>
        <v>28.6875</v>
      </c>
    </row>
    <row r="1132" spans="1:18">
      <c r="A1132" s="4">
        <v>44961</v>
      </c>
      <c r="B1132" s="1" t="s">
        <v>21</v>
      </c>
      <c r="C1132" s="1">
        <f t="shared" si="71"/>
        <v>2</v>
      </c>
      <c r="D1132" s="1">
        <f t="shared" si="72"/>
        <v>4</v>
      </c>
      <c r="E1132" s="1">
        <f t="shared" si="73"/>
        <v>2023</v>
      </c>
      <c r="F1132" s="1">
        <v>1131</v>
      </c>
      <c r="G1132" s="1">
        <v>241</v>
      </c>
      <c r="H1132" s="1">
        <v>235</v>
      </c>
      <c r="I1132" s="2">
        <v>0.97509999999999997</v>
      </c>
      <c r="J1132" s="1">
        <v>6</v>
      </c>
      <c r="K1132" s="3">
        <v>1.7361111111111112E-4</v>
      </c>
      <c r="L1132" s="3">
        <v>1.8518518518518519E-3</v>
      </c>
      <c r="M1132" s="3">
        <v>1.3541666666666667E-3</v>
      </c>
      <c r="N1132" s="2">
        <v>0.80330000000000001</v>
      </c>
      <c r="O1132" s="5">
        <f t="shared" si="64"/>
        <v>0.43518518518518517</v>
      </c>
      <c r="P1132" s="5">
        <f t="shared" si="65"/>
        <v>26.111111111111111</v>
      </c>
      <c r="Q1132" s="5">
        <f t="shared" si="66"/>
        <v>0.4462962962962963</v>
      </c>
      <c r="R1132" s="5">
        <f t="shared" si="67"/>
        <v>26.777777777777779</v>
      </c>
    </row>
    <row r="1133" spans="1:18">
      <c r="A1133" s="4">
        <v>44962</v>
      </c>
      <c r="B1133" s="1" t="s">
        <v>22</v>
      </c>
      <c r="C1133" s="1">
        <f t="shared" si="71"/>
        <v>2</v>
      </c>
      <c r="D1133" s="1">
        <f t="shared" si="72"/>
        <v>5</v>
      </c>
      <c r="E1133" s="1">
        <f t="shared" si="73"/>
        <v>2023</v>
      </c>
      <c r="F1133" s="1">
        <v>1132</v>
      </c>
      <c r="G1133" s="1">
        <v>34</v>
      </c>
      <c r="H1133" s="1">
        <v>34</v>
      </c>
      <c r="I1133" s="2">
        <v>1</v>
      </c>
      <c r="J1133" s="1">
        <v>0</v>
      </c>
      <c r="K1133" s="3">
        <v>2.0833333333333335E-4</v>
      </c>
      <c r="L1133" s="3">
        <v>2.0949074074074073E-3</v>
      </c>
      <c r="M1133" s="3">
        <v>1.4814814814814814E-3</v>
      </c>
      <c r="N1133" s="2">
        <v>0.85289999999999999</v>
      </c>
      <c r="O1133" s="5">
        <f t="shared" si="64"/>
        <v>7.1226851851851847E-2</v>
      </c>
      <c r="P1133" s="5">
        <f t="shared" si="65"/>
        <v>4.2736111111111104</v>
      </c>
      <c r="Q1133" s="5">
        <f t="shared" si="66"/>
        <v>7.1226851851851847E-2</v>
      </c>
      <c r="R1133" s="5">
        <f t="shared" si="67"/>
        <v>4.2736111111111104</v>
      </c>
    </row>
    <row r="1134" spans="1:18">
      <c r="A1134" s="4">
        <v>44963</v>
      </c>
      <c r="B1134" s="1" t="s">
        <v>23</v>
      </c>
      <c r="C1134" s="1">
        <f t="shared" si="71"/>
        <v>2</v>
      </c>
      <c r="D1134" s="1">
        <f t="shared" si="72"/>
        <v>6</v>
      </c>
      <c r="E1134" s="1">
        <f t="shared" si="73"/>
        <v>2023</v>
      </c>
      <c r="F1134" s="1">
        <v>1133</v>
      </c>
      <c r="G1134" s="1">
        <v>248</v>
      </c>
      <c r="H1134" s="1">
        <v>238</v>
      </c>
      <c r="I1134" s="2">
        <v>0.9597</v>
      </c>
      <c r="J1134" s="1">
        <v>10</v>
      </c>
      <c r="K1134" s="3">
        <v>2.199074074074074E-4</v>
      </c>
      <c r="L1134" s="3">
        <v>1.8865740740740742E-3</v>
      </c>
      <c r="M1134" s="3">
        <v>3.1597222222222222E-3</v>
      </c>
      <c r="N1134" s="2">
        <v>0.7409</v>
      </c>
      <c r="O1134" s="5">
        <f t="shared" si="64"/>
        <v>0.44900462962962967</v>
      </c>
      <c r="P1134" s="5">
        <f t="shared" si="65"/>
        <v>26.94027777777778</v>
      </c>
      <c r="Q1134" s="5">
        <f t="shared" si="66"/>
        <v>0.46787037037037038</v>
      </c>
      <c r="R1134" s="5">
        <f t="shared" si="67"/>
        <v>28.072222222222223</v>
      </c>
    </row>
    <row r="1135" spans="1:18">
      <c r="A1135" s="4">
        <v>44964</v>
      </c>
      <c r="B1135" s="1" t="s">
        <v>24</v>
      </c>
      <c r="C1135" s="1">
        <f t="shared" si="71"/>
        <v>2</v>
      </c>
      <c r="D1135" s="1">
        <f t="shared" si="72"/>
        <v>7</v>
      </c>
      <c r="E1135" s="1">
        <f t="shared" si="73"/>
        <v>2023</v>
      </c>
      <c r="F1135" s="1">
        <v>1134</v>
      </c>
      <c r="G1135" s="1">
        <v>323</v>
      </c>
      <c r="H1135" s="1">
        <v>307</v>
      </c>
      <c r="I1135" s="2">
        <v>0.95050000000000001</v>
      </c>
      <c r="J1135" s="1">
        <v>16</v>
      </c>
      <c r="K1135" s="3">
        <v>1.5046296296296297E-4</v>
      </c>
      <c r="L1135" s="3">
        <v>1.8749999999999999E-3</v>
      </c>
      <c r="M1135" s="3">
        <v>2.4074074074074076E-3</v>
      </c>
      <c r="N1135" s="2">
        <v>0.82699999999999996</v>
      </c>
      <c r="O1135" s="5">
        <f t="shared" si="64"/>
        <v>0.57562499999999994</v>
      </c>
      <c r="P1135" s="5">
        <f t="shared" si="65"/>
        <v>34.537499999999994</v>
      </c>
      <c r="Q1135" s="5">
        <f t="shared" si="66"/>
        <v>0.60562499999999997</v>
      </c>
      <c r="R1135" s="5">
        <f t="shared" si="67"/>
        <v>36.337499999999999</v>
      </c>
    </row>
    <row r="1136" spans="1:18">
      <c r="A1136" s="4">
        <v>44965</v>
      </c>
      <c r="B1136" s="1" t="s">
        <v>18</v>
      </c>
      <c r="C1136" s="1">
        <f t="shared" si="71"/>
        <v>2</v>
      </c>
      <c r="D1136" s="1">
        <f t="shared" si="72"/>
        <v>8</v>
      </c>
      <c r="E1136" s="1">
        <f t="shared" si="73"/>
        <v>2023</v>
      </c>
      <c r="F1136" s="1">
        <v>1135</v>
      </c>
      <c r="G1136" s="1">
        <v>260</v>
      </c>
      <c r="H1136" s="1">
        <v>257</v>
      </c>
      <c r="I1136" s="2">
        <v>0.98850000000000005</v>
      </c>
      <c r="J1136" s="1">
        <v>3</v>
      </c>
      <c r="K1136" s="3">
        <v>1.1574074074074075E-4</v>
      </c>
      <c r="L1136" s="3">
        <v>1.724537037037037E-3</v>
      </c>
      <c r="M1136" s="3">
        <v>1.1805555555555556E-3</v>
      </c>
      <c r="N1136" s="2">
        <v>0.91120000000000001</v>
      </c>
      <c r="O1136" s="5">
        <f t="shared" si="64"/>
        <v>0.44320601851851849</v>
      </c>
      <c r="P1136" s="5">
        <f t="shared" si="65"/>
        <v>26.59236111111111</v>
      </c>
      <c r="Q1136" s="5">
        <f t="shared" si="66"/>
        <v>0.44837962962962963</v>
      </c>
      <c r="R1136" s="5">
        <f t="shared" si="67"/>
        <v>26.902777777777779</v>
      </c>
    </row>
    <row r="1137" spans="1:18">
      <c r="A1137" s="4">
        <v>44966</v>
      </c>
      <c r="B1137" s="1" t="s">
        <v>19</v>
      </c>
      <c r="C1137" s="1">
        <f t="shared" si="71"/>
        <v>2</v>
      </c>
      <c r="D1137" s="1">
        <f t="shared" si="72"/>
        <v>9</v>
      </c>
      <c r="E1137" s="1">
        <f t="shared" si="73"/>
        <v>2023</v>
      </c>
      <c r="F1137" s="1">
        <v>1136</v>
      </c>
      <c r="G1137" s="1">
        <v>316</v>
      </c>
      <c r="H1137" s="1">
        <v>311</v>
      </c>
      <c r="I1137" s="2">
        <v>0.98419999999999996</v>
      </c>
      <c r="J1137" s="1">
        <v>5</v>
      </c>
      <c r="K1137" s="3">
        <v>1.1574074074074075E-4</v>
      </c>
      <c r="L1137" s="3">
        <v>1.8634259259259259E-3</v>
      </c>
      <c r="M1137" s="3">
        <v>2.0138888888888888E-3</v>
      </c>
      <c r="N1137" s="2">
        <v>0.87539999999999996</v>
      </c>
      <c r="O1137" s="5">
        <f t="shared" si="64"/>
        <v>0.57952546296296292</v>
      </c>
      <c r="P1137" s="5">
        <f t="shared" si="65"/>
        <v>34.771527777777777</v>
      </c>
      <c r="Q1137" s="5">
        <f t="shared" si="66"/>
        <v>0.58884259259259264</v>
      </c>
      <c r="R1137" s="5">
        <f t="shared" si="67"/>
        <v>35.330555555555556</v>
      </c>
    </row>
    <row r="1138" spans="1:18">
      <c r="A1138" s="4">
        <v>44967</v>
      </c>
      <c r="B1138" s="1" t="s">
        <v>20</v>
      </c>
      <c r="C1138" s="1">
        <f t="shared" si="71"/>
        <v>2</v>
      </c>
      <c r="D1138" s="1">
        <f t="shared" si="72"/>
        <v>10</v>
      </c>
      <c r="E1138" s="1">
        <f t="shared" si="73"/>
        <v>2023</v>
      </c>
      <c r="F1138" s="1">
        <v>1137</v>
      </c>
      <c r="G1138" s="1">
        <v>60</v>
      </c>
      <c r="H1138" s="1">
        <v>59</v>
      </c>
      <c r="I1138" s="2">
        <v>0.98329999999999995</v>
      </c>
      <c r="J1138" s="1">
        <v>1</v>
      </c>
      <c r="K1138" s="3">
        <v>3.4722222222222222E-5</v>
      </c>
      <c r="L1138" s="3">
        <v>1.8634259259259259E-3</v>
      </c>
      <c r="M1138" s="3">
        <v>1.3310185185185185E-3</v>
      </c>
      <c r="N1138" s="2">
        <v>0.98329999999999995</v>
      </c>
      <c r="O1138" s="5">
        <f t="shared" si="64"/>
        <v>0.10994212962962963</v>
      </c>
      <c r="P1138" s="5">
        <f t="shared" si="65"/>
        <v>6.5965277777777773</v>
      </c>
      <c r="Q1138" s="5">
        <f t="shared" si="66"/>
        <v>0.11180555555555556</v>
      </c>
      <c r="R1138" s="5">
        <f t="shared" si="67"/>
        <v>6.7083333333333339</v>
      </c>
    </row>
    <row r="1139" spans="1:18">
      <c r="A1139" s="4">
        <v>44968</v>
      </c>
      <c r="B1139" s="1" t="s">
        <v>21</v>
      </c>
      <c r="C1139" s="1">
        <f t="shared" si="71"/>
        <v>2</v>
      </c>
      <c r="D1139" s="1">
        <f t="shared" si="72"/>
        <v>11</v>
      </c>
      <c r="E1139" s="1">
        <f t="shared" si="73"/>
        <v>2023</v>
      </c>
      <c r="F1139" s="1">
        <v>1138</v>
      </c>
      <c r="G1139" s="1">
        <v>267</v>
      </c>
      <c r="H1139" s="1">
        <v>251</v>
      </c>
      <c r="I1139" s="2">
        <v>0.94010000000000005</v>
      </c>
      <c r="J1139" s="1">
        <v>16</v>
      </c>
      <c r="K1139" s="3">
        <v>2.199074074074074E-4</v>
      </c>
      <c r="L1139" s="3">
        <v>1.7013888888888888E-3</v>
      </c>
      <c r="M1139" s="3">
        <v>5.37037037037037E-3</v>
      </c>
      <c r="N1139" s="2">
        <v>0.75560000000000005</v>
      </c>
      <c r="O1139" s="5">
        <f t="shared" si="64"/>
        <v>0.42704861111111109</v>
      </c>
      <c r="P1139" s="5">
        <f t="shared" si="65"/>
        <v>25.622916666666665</v>
      </c>
      <c r="Q1139" s="5">
        <f t="shared" si="66"/>
        <v>0.45427083333333329</v>
      </c>
      <c r="R1139" s="5">
        <f t="shared" si="67"/>
        <v>27.256249999999998</v>
      </c>
    </row>
    <row r="1140" spans="1:18">
      <c r="A1140" s="4">
        <v>44969</v>
      </c>
      <c r="B1140" s="1" t="s">
        <v>22</v>
      </c>
      <c r="C1140" s="1">
        <f t="shared" si="71"/>
        <v>2</v>
      </c>
      <c r="D1140" s="1">
        <f t="shared" si="72"/>
        <v>12</v>
      </c>
      <c r="E1140" s="1">
        <f t="shared" si="73"/>
        <v>2023</v>
      </c>
      <c r="F1140" s="1">
        <v>1139</v>
      </c>
      <c r="G1140" s="1">
        <v>30</v>
      </c>
      <c r="H1140" s="1">
        <v>29</v>
      </c>
      <c r="I1140" s="2">
        <v>0.9667</v>
      </c>
      <c r="J1140" s="1">
        <v>1</v>
      </c>
      <c r="K1140" s="3">
        <v>9.2592592592592588E-5</v>
      </c>
      <c r="L1140" s="3">
        <v>1.3888888888888889E-3</v>
      </c>
      <c r="M1140" s="3">
        <v>5.3240740740740744E-4</v>
      </c>
      <c r="N1140" s="2">
        <v>0.93100000000000005</v>
      </c>
      <c r="O1140" s="5">
        <f t="shared" si="64"/>
        <v>4.027777777777778E-2</v>
      </c>
      <c r="P1140" s="5">
        <f t="shared" si="65"/>
        <v>2.416666666666667</v>
      </c>
      <c r="Q1140" s="5">
        <f t="shared" si="66"/>
        <v>4.1666666666666671E-2</v>
      </c>
      <c r="R1140" s="5">
        <f t="shared" si="67"/>
        <v>2.5000000000000004</v>
      </c>
    </row>
    <row r="1141" spans="1:18">
      <c r="A1141" s="4">
        <v>44970</v>
      </c>
      <c r="B1141" s="1" t="s">
        <v>23</v>
      </c>
      <c r="C1141" s="1">
        <f t="shared" si="71"/>
        <v>2</v>
      </c>
      <c r="D1141" s="1">
        <f t="shared" si="72"/>
        <v>13</v>
      </c>
      <c r="E1141" s="1">
        <f t="shared" si="73"/>
        <v>2023</v>
      </c>
      <c r="F1141" s="1">
        <v>1140</v>
      </c>
      <c r="G1141" s="1">
        <v>247</v>
      </c>
      <c r="H1141" s="1">
        <v>238</v>
      </c>
      <c r="I1141" s="2">
        <v>0.96360000000000001</v>
      </c>
      <c r="J1141" s="1">
        <v>9</v>
      </c>
      <c r="K1141" s="3">
        <v>1.5046296296296297E-4</v>
      </c>
      <c r="L1141" s="3">
        <v>1.7939814814814815E-3</v>
      </c>
      <c r="M1141" s="3">
        <v>2.0138888888888888E-3</v>
      </c>
      <c r="N1141" s="2">
        <v>0.83330000000000004</v>
      </c>
      <c r="O1141" s="5">
        <f t="shared" si="64"/>
        <v>0.42696759259259259</v>
      </c>
      <c r="P1141" s="5">
        <f t="shared" si="65"/>
        <v>25.618055555555557</v>
      </c>
      <c r="Q1141" s="5">
        <f t="shared" si="66"/>
        <v>0.4431134259259259</v>
      </c>
      <c r="R1141" s="5">
        <f t="shared" si="67"/>
        <v>26.586805555555554</v>
      </c>
    </row>
    <row r="1142" spans="1:18">
      <c r="A1142" s="4">
        <v>44971</v>
      </c>
      <c r="B1142" s="1" t="s">
        <v>24</v>
      </c>
      <c r="C1142" s="1">
        <f t="shared" si="71"/>
        <v>2</v>
      </c>
      <c r="D1142" s="1">
        <f t="shared" si="72"/>
        <v>14</v>
      </c>
      <c r="E1142" s="1">
        <f t="shared" si="73"/>
        <v>2023</v>
      </c>
      <c r="F1142" s="1">
        <v>1141</v>
      </c>
      <c r="G1142" s="1">
        <v>376</v>
      </c>
      <c r="H1142" s="1">
        <v>365</v>
      </c>
      <c r="I1142" s="2">
        <v>0.97070000000000001</v>
      </c>
      <c r="J1142" s="1">
        <v>11</v>
      </c>
      <c r="K1142" s="3">
        <v>1.7361111111111112E-4</v>
      </c>
      <c r="L1142" s="3">
        <v>2.0833333333333333E-3</v>
      </c>
      <c r="M1142" s="3">
        <v>2.4305555555555556E-3</v>
      </c>
      <c r="N1142" s="2">
        <v>0.81769999999999998</v>
      </c>
      <c r="O1142" s="5">
        <f t="shared" si="64"/>
        <v>0.76041666666666663</v>
      </c>
      <c r="P1142" s="5">
        <f t="shared" si="65"/>
        <v>45.625</v>
      </c>
      <c r="Q1142" s="5">
        <f t="shared" si="66"/>
        <v>0.78333333333333333</v>
      </c>
      <c r="R1142" s="5">
        <f t="shared" si="67"/>
        <v>47</v>
      </c>
    </row>
    <row r="1143" spans="1:18">
      <c r="A1143" s="4">
        <v>44972</v>
      </c>
      <c r="B1143" s="1" t="s">
        <v>18</v>
      </c>
      <c r="C1143" s="1">
        <f t="shared" si="71"/>
        <v>2</v>
      </c>
      <c r="D1143" s="1">
        <f t="shared" si="72"/>
        <v>15</v>
      </c>
      <c r="E1143" s="1">
        <f t="shared" si="73"/>
        <v>2023</v>
      </c>
      <c r="F1143" s="1">
        <v>1142</v>
      </c>
      <c r="G1143" s="1">
        <v>316</v>
      </c>
      <c r="H1143" s="1">
        <v>306</v>
      </c>
      <c r="I1143" s="2">
        <v>0.96840000000000004</v>
      </c>
      <c r="J1143" s="1">
        <v>10</v>
      </c>
      <c r="K1143" s="3">
        <v>1.5046296296296297E-4</v>
      </c>
      <c r="L1143" s="3">
        <v>2.0254629629629629E-3</v>
      </c>
      <c r="M1143" s="3">
        <v>1.3657407407407407E-3</v>
      </c>
      <c r="N1143" s="2">
        <v>0.82799999999999996</v>
      </c>
      <c r="O1143" s="5">
        <f t="shared" si="64"/>
        <v>0.61979166666666663</v>
      </c>
      <c r="P1143" s="5">
        <f t="shared" si="65"/>
        <v>37.1875</v>
      </c>
      <c r="Q1143" s="5">
        <f t="shared" si="66"/>
        <v>0.64004629629629628</v>
      </c>
      <c r="R1143" s="5">
        <f t="shared" si="67"/>
        <v>38.402777777777779</v>
      </c>
    </row>
    <row r="1144" spans="1:18">
      <c r="A1144" s="4">
        <v>44973</v>
      </c>
      <c r="B1144" s="1" t="s">
        <v>19</v>
      </c>
      <c r="C1144" s="1">
        <f t="shared" si="71"/>
        <v>2</v>
      </c>
      <c r="D1144" s="1">
        <f t="shared" si="72"/>
        <v>16</v>
      </c>
      <c r="E1144" s="1">
        <f t="shared" si="73"/>
        <v>2023</v>
      </c>
      <c r="F1144" s="1">
        <v>1143</v>
      </c>
      <c r="G1144" s="1">
        <v>310</v>
      </c>
      <c r="H1144" s="1">
        <v>304</v>
      </c>
      <c r="I1144" s="2">
        <v>0.98060000000000003</v>
      </c>
      <c r="J1144" s="1">
        <v>6</v>
      </c>
      <c r="K1144" s="3">
        <v>8.1018518518518516E-5</v>
      </c>
      <c r="L1144" s="3">
        <v>1.9791666666666668E-3</v>
      </c>
      <c r="M1144" s="3">
        <v>1.1574074074074073E-3</v>
      </c>
      <c r="N1144" s="2">
        <v>0.92159999999999997</v>
      </c>
      <c r="O1144" s="5">
        <f t="shared" si="64"/>
        <v>0.60166666666666668</v>
      </c>
      <c r="P1144" s="5">
        <f t="shared" si="65"/>
        <v>36.1</v>
      </c>
      <c r="Q1144" s="5">
        <f t="shared" si="66"/>
        <v>0.61354166666666676</v>
      </c>
      <c r="R1144" s="5">
        <f t="shared" si="67"/>
        <v>36.812500000000007</v>
      </c>
    </row>
    <row r="1145" spans="1:18">
      <c r="A1145" s="4">
        <v>44974</v>
      </c>
      <c r="B1145" s="1" t="s">
        <v>20</v>
      </c>
      <c r="C1145" s="1">
        <f t="shared" si="71"/>
        <v>2</v>
      </c>
      <c r="D1145" s="1">
        <f t="shared" si="72"/>
        <v>17</v>
      </c>
      <c r="E1145" s="1">
        <f t="shared" si="73"/>
        <v>2023</v>
      </c>
      <c r="F1145" s="1">
        <v>1144</v>
      </c>
      <c r="G1145" s="1">
        <v>340</v>
      </c>
      <c r="H1145" s="1">
        <v>327</v>
      </c>
      <c r="I1145" s="2">
        <v>0.96179999999999999</v>
      </c>
      <c r="J1145" s="1">
        <v>13</v>
      </c>
      <c r="K1145" s="3">
        <v>2.6620370370370372E-4</v>
      </c>
      <c r="L1145" s="3">
        <v>2.0254629629629629E-3</v>
      </c>
      <c r="M1145" s="3">
        <v>1.7824074074074075E-3</v>
      </c>
      <c r="N1145" s="2">
        <v>0.71340000000000003</v>
      </c>
      <c r="O1145" s="5">
        <f t="shared" si="64"/>
        <v>0.66232638888888884</v>
      </c>
      <c r="P1145" s="5">
        <f t="shared" si="65"/>
        <v>39.739583333333329</v>
      </c>
      <c r="Q1145" s="5">
        <f t="shared" si="66"/>
        <v>0.68865740740740733</v>
      </c>
      <c r="R1145" s="5">
        <f t="shared" si="67"/>
        <v>41.319444444444443</v>
      </c>
    </row>
    <row r="1146" spans="1:18">
      <c r="A1146" s="4">
        <v>44975</v>
      </c>
      <c r="B1146" s="1" t="s">
        <v>21</v>
      </c>
      <c r="C1146" s="1">
        <f t="shared" si="71"/>
        <v>2</v>
      </c>
      <c r="D1146" s="1">
        <f t="shared" si="72"/>
        <v>18</v>
      </c>
      <c r="E1146" s="1">
        <f t="shared" si="73"/>
        <v>2023</v>
      </c>
      <c r="F1146" s="1">
        <v>1145</v>
      </c>
      <c r="G1146" s="1">
        <v>306</v>
      </c>
      <c r="H1146" s="1">
        <v>289</v>
      </c>
      <c r="I1146" s="2">
        <v>0.94440000000000002</v>
      </c>
      <c r="J1146" s="1">
        <v>17</v>
      </c>
      <c r="K1146" s="3">
        <v>2.7777777777777778E-4</v>
      </c>
      <c r="L1146" s="3">
        <v>1.8865740740740742E-3</v>
      </c>
      <c r="M1146" s="3">
        <v>3.5185185185185185E-3</v>
      </c>
      <c r="N1146" s="2">
        <v>0.69740000000000002</v>
      </c>
      <c r="O1146" s="5">
        <f t="shared" si="64"/>
        <v>0.54521990740740744</v>
      </c>
      <c r="P1146" s="5">
        <f t="shared" si="65"/>
        <v>32.713194444444447</v>
      </c>
      <c r="Q1146" s="5">
        <f t="shared" si="66"/>
        <v>0.57729166666666665</v>
      </c>
      <c r="R1146" s="5">
        <f t="shared" si="67"/>
        <v>34.637499999999996</v>
      </c>
    </row>
    <row r="1147" spans="1:18">
      <c r="A1147" s="4">
        <v>44976</v>
      </c>
      <c r="B1147" s="1" t="s">
        <v>22</v>
      </c>
      <c r="C1147" s="1">
        <f t="shared" si="71"/>
        <v>2</v>
      </c>
      <c r="D1147" s="1">
        <f t="shared" si="72"/>
        <v>19</v>
      </c>
      <c r="E1147" s="1">
        <f t="shared" si="73"/>
        <v>2023</v>
      </c>
      <c r="F1147" s="1">
        <v>1146</v>
      </c>
      <c r="G1147" s="1">
        <v>40</v>
      </c>
      <c r="H1147" s="1">
        <v>40</v>
      </c>
      <c r="I1147" s="2">
        <v>1</v>
      </c>
      <c r="J1147" s="1">
        <v>0</v>
      </c>
      <c r="K1147" s="3">
        <v>5.7870370370370373E-5</v>
      </c>
      <c r="L1147" s="3">
        <v>1.9212962962962964E-3</v>
      </c>
      <c r="M1147" s="3">
        <v>5.9027777777777778E-4</v>
      </c>
      <c r="N1147" s="2">
        <v>0.97499999999999998</v>
      </c>
      <c r="O1147" s="5">
        <f t="shared" si="64"/>
        <v>7.6851851851851852E-2</v>
      </c>
      <c r="P1147" s="5">
        <f t="shared" si="65"/>
        <v>4.6111111111111107</v>
      </c>
      <c r="Q1147" s="5">
        <f t="shared" si="66"/>
        <v>7.6851851851851852E-2</v>
      </c>
      <c r="R1147" s="5">
        <f t="shared" si="67"/>
        <v>4.6111111111111107</v>
      </c>
    </row>
    <row r="1148" spans="1:18">
      <c r="A1148" s="4">
        <v>44977</v>
      </c>
      <c r="B1148" s="1" t="s">
        <v>23</v>
      </c>
      <c r="C1148" s="1">
        <f t="shared" si="71"/>
        <v>2</v>
      </c>
      <c r="D1148" s="1">
        <f t="shared" si="72"/>
        <v>20</v>
      </c>
      <c r="E1148" s="1">
        <f t="shared" si="73"/>
        <v>2023</v>
      </c>
      <c r="F1148" s="1">
        <v>1147</v>
      </c>
      <c r="G1148" s="1">
        <v>378</v>
      </c>
      <c r="H1148" s="1">
        <v>370</v>
      </c>
      <c r="I1148" s="2">
        <v>0.9788</v>
      </c>
      <c r="J1148" s="1">
        <v>8</v>
      </c>
      <c r="K1148" s="3">
        <v>1.273148148148148E-4</v>
      </c>
      <c r="L1148" s="3">
        <v>1.9907407407407408E-3</v>
      </c>
      <c r="M1148" s="3">
        <v>1.8055555555555555E-3</v>
      </c>
      <c r="N1148" s="2">
        <v>0.86699999999999999</v>
      </c>
      <c r="O1148" s="5">
        <f t="shared" si="64"/>
        <v>0.73657407407407416</v>
      </c>
      <c r="P1148" s="5">
        <f t="shared" si="65"/>
        <v>44.19444444444445</v>
      </c>
      <c r="Q1148" s="5">
        <f t="shared" si="66"/>
        <v>0.75250000000000006</v>
      </c>
      <c r="R1148" s="5">
        <f t="shared" si="67"/>
        <v>45.150000000000006</v>
      </c>
    </row>
    <row r="1149" spans="1:18">
      <c r="A1149" s="4">
        <v>44978</v>
      </c>
      <c r="B1149" s="1" t="s">
        <v>24</v>
      </c>
      <c r="C1149" s="1">
        <f t="shared" si="71"/>
        <v>2</v>
      </c>
      <c r="D1149" s="1">
        <f t="shared" si="72"/>
        <v>21</v>
      </c>
      <c r="E1149" s="1">
        <f t="shared" si="73"/>
        <v>2023</v>
      </c>
      <c r="F1149" s="1">
        <v>1148</v>
      </c>
      <c r="G1149" s="1">
        <v>424</v>
      </c>
      <c r="H1149" s="1">
        <v>416</v>
      </c>
      <c r="I1149" s="2">
        <v>0.98109999999999997</v>
      </c>
      <c r="J1149" s="1">
        <v>8</v>
      </c>
      <c r="K1149" s="3">
        <v>1.6203703703703703E-4</v>
      </c>
      <c r="L1149" s="3">
        <v>2.0138888888888888E-3</v>
      </c>
      <c r="M1149" s="3">
        <v>2.5578703703703705E-3</v>
      </c>
      <c r="N1149" s="2">
        <v>0.83889999999999998</v>
      </c>
      <c r="O1149" s="5">
        <f t="shared" si="64"/>
        <v>0.83777777777777773</v>
      </c>
      <c r="P1149" s="5">
        <f t="shared" si="65"/>
        <v>50.266666666666666</v>
      </c>
      <c r="Q1149" s="5">
        <f t="shared" si="66"/>
        <v>0.85388888888888892</v>
      </c>
      <c r="R1149" s="5">
        <f t="shared" si="67"/>
        <v>51.233333333333334</v>
      </c>
    </row>
    <row r="1150" spans="1:18">
      <c r="A1150" s="4">
        <v>44979</v>
      </c>
      <c r="B1150" s="1" t="s">
        <v>18</v>
      </c>
      <c r="C1150" s="1">
        <f t="shared" si="71"/>
        <v>2</v>
      </c>
      <c r="D1150" s="1">
        <f t="shared" si="72"/>
        <v>22</v>
      </c>
      <c r="E1150" s="1">
        <f t="shared" si="73"/>
        <v>2023</v>
      </c>
      <c r="F1150" s="1">
        <v>1149</v>
      </c>
      <c r="G1150" s="1">
        <v>356</v>
      </c>
      <c r="H1150" s="1">
        <v>353</v>
      </c>
      <c r="I1150" s="2">
        <v>0.99160000000000004</v>
      </c>
      <c r="J1150" s="1">
        <v>3</v>
      </c>
      <c r="K1150" s="3">
        <v>5.7870370370370373E-5</v>
      </c>
      <c r="L1150" s="3">
        <v>1.9444444444444444E-3</v>
      </c>
      <c r="M1150" s="3">
        <v>7.407407407407407E-4</v>
      </c>
      <c r="N1150" s="2">
        <v>0.97170000000000001</v>
      </c>
      <c r="O1150" s="5">
        <f t="shared" si="64"/>
        <v>0.68638888888888883</v>
      </c>
      <c r="P1150" s="5">
        <f t="shared" si="65"/>
        <v>41.18333333333333</v>
      </c>
      <c r="Q1150" s="5">
        <f t="shared" si="66"/>
        <v>0.69222222222222218</v>
      </c>
      <c r="R1150" s="5">
        <f t="shared" si="67"/>
        <v>41.533333333333331</v>
      </c>
    </row>
    <row r="1151" spans="1:18">
      <c r="A1151" s="4">
        <v>44980</v>
      </c>
      <c r="B1151" s="1" t="s">
        <v>19</v>
      </c>
      <c r="C1151" s="1">
        <f t="shared" si="71"/>
        <v>2</v>
      </c>
      <c r="D1151" s="1">
        <f t="shared" si="72"/>
        <v>23</v>
      </c>
      <c r="E1151" s="1">
        <f t="shared" si="73"/>
        <v>2023</v>
      </c>
      <c r="F1151" s="1">
        <v>1150</v>
      </c>
      <c r="G1151" s="1">
        <v>320</v>
      </c>
      <c r="H1151" s="1">
        <v>308</v>
      </c>
      <c r="I1151" s="2">
        <v>0.96250000000000002</v>
      </c>
      <c r="J1151" s="1">
        <v>12</v>
      </c>
      <c r="K1151" s="3">
        <v>1.1574074074074075E-4</v>
      </c>
      <c r="L1151" s="3">
        <v>1.7708333333333332E-3</v>
      </c>
      <c r="M1151" s="3">
        <v>2.3611111111111111E-3</v>
      </c>
      <c r="N1151" s="2">
        <v>0.88990000000000002</v>
      </c>
      <c r="O1151" s="5">
        <f t="shared" si="64"/>
        <v>0.54541666666666666</v>
      </c>
      <c r="P1151" s="5">
        <f t="shared" si="65"/>
        <v>32.725000000000001</v>
      </c>
      <c r="Q1151" s="5">
        <f t="shared" si="66"/>
        <v>0.56666666666666665</v>
      </c>
      <c r="R1151" s="5">
        <f t="shared" si="67"/>
        <v>34</v>
      </c>
    </row>
    <row r="1152" spans="1:18">
      <c r="A1152" s="4">
        <v>44981</v>
      </c>
      <c r="B1152" s="1" t="s">
        <v>20</v>
      </c>
      <c r="C1152" s="1">
        <f t="shared" si="71"/>
        <v>2</v>
      </c>
      <c r="D1152" s="1">
        <f t="shared" si="72"/>
        <v>24</v>
      </c>
      <c r="E1152" s="1">
        <f t="shared" si="73"/>
        <v>2023</v>
      </c>
      <c r="F1152" s="1">
        <v>1151</v>
      </c>
      <c r="G1152" s="1">
        <v>351</v>
      </c>
      <c r="H1152" s="1">
        <v>341</v>
      </c>
      <c r="I1152" s="2">
        <v>0.97150000000000003</v>
      </c>
      <c r="J1152" s="1">
        <v>10</v>
      </c>
      <c r="K1152" s="3">
        <v>1.273148148148148E-4</v>
      </c>
      <c r="L1152" s="3">
        <v>1.9675925925925924E-3</v>
      </c>
      <c r="M1152" s="3">
        <v>1.261574074074074E-3</v>
      </c>
      <c r="N1152" s="2">
        <v>0.86250000000000004</v>
      </c>
      <c r="O1152" s="5">
        <f t="shared" si="64"/>
        <v>0.670949074074074</v>
      </c>
      <c r="P1152" s="5">
        <f t="shared" si="65"/>
        <v>40.256944444444443</v>
      </c>
      <c r="Q1152" s="5">
        <f t="shared" si="66"/>
        <v>0.69062499999999993</v>
      </c>
      <c r="R1152" s="5">
        <f t="shared" si="67"/>
        <v>41.437499999999993</v>
      </c>
    </row>
    <row r="1153" spans="1:18">
      <c r="A1153" s="4">
        <v>44982</v>
      </c>
      <c r="B1153" s="1" t="s">
        <v>21</v>
      </c>
      <c r="C1153" s="1">
        <f t="shared" si="71"/>
        <v>2</v>
      </c>
      <c r="D1153" s="1">
        <f t="shared" si="72"/>
        <v>25</v>
      </c>
      <c r="E1153" s="1">
        <f t="shared" si="73"/>
        <v>2023</v>
      </c>
      <c r="F1153" s="1">
        <v>1152</v>
      </c>
      <c r="G1153" s="1">
        <v>85</v>
      </c>
      <c r="H1153" s="1">
        <v>83</v>
      </c>
      <c r="I1153" s="2">
        <v>0.97650000000000003</v>
      </c>
      <c r="J1153" s="1">
        <v>2</v>
      </c>
      <c r="K1153" s="3">
        <v>1.5046296296296297E-4</v>
      </c>
      <c r="L1153" s="3">
        <v>1.9328703703703704E-3</v>
      </c>
      <c r="M1153" s="3">
        <v>2.5925925925925925E-3</v>
      </c>
      <c r="N1153" s="2">
        <v>0.85880000000000001</v>
      </c>
      <c r="O1153" s="5">
        <f t="shared" si="64"/>
        <v>0.16042824074074075</v>
      </c>
      <c r="P1153" s="5">
        <f t="shared" si="65"/>
        <v>9.625694444444445</v>
      </c>
      <c r="Q1153" s="5">
        <f t="shared" si="66"/>
        <v>0.16429398148148147</v>
      </c>
      <c r="R1153" s="5">
        <f t="shared" si="67"/>
        <v>9.8576388888888875</v>
      </c>
    </row>
    <row r="1154" spans="1:18">
      <c r="A1154" s="4">
        <v>44983</v>
      </c>
      <c r="B1154" s="1" t="s">
        <v>22</v>
      </c>
      <c r="C1154" s="1">
        <f t="shared" si="71"/>
        <v>2</v>
      </c>
      <c r="D1154" s="1">
        <f t="shared" si="72"/>
        <v>26</v>
      </c>
      <c r="E1154" s="1">
        <f t="shared" si="73"/>
        <v>2023</v>
      </c>
      <c r="F1154" s="1">
        <v>1153</v>
      </c>
      <c r="G1154" s="1">
        <v>44</v>
      </c>
      <c r="H1154" s="1">
        <v>43</v>
      </c>
      <c r="I1154" s="2">
        <v>0.97729999999999995</v>
      </c>
      <c r="J1154" s="1">
        <v>1</v>
      </c>
      <c r="K1154" s="3">
        <v>1.0416666666666667E-4</v>
      </c>
      <c r="L1154" s="3">
        <v>1.7708333333333332E-3</v>
      </c>
      <c r="M1154" s="3">
        <v>2.685185185185185E-3</v>
      </c>
      <c r="N1154" s="2">
        <v>0.84089999999999998</v>
      </c>
      <c r="O1154" s="5">
        <f t="shared" si="64"/>
        <v>7.6145833333333329E-2</v>
      </c>
      <c r="P1154" s="5">
        <f t="shared" si="65"/>
        <v>4.5687499999999996</v>
      </c>
      <c r="Q1154" s="5">
        <f t="shared" si="66"/>
        <v>7.7916666666666662E-2</v>
      </c>
      <c r="R1154" s="5">
        <f t="shared" si="67"/>
        <v>4.6749999999999998</v>
      </c>
    </row>
    <row r="1155" spans="1:18">
      <c r="A1155" s="4">
        <v>44984</v>
      </c>
      <c r="B1155" s="1" t="s">
        <v>23</v>
      </c>
      <c r="C1155" s="1">
        <f t="shared" ref="C1155:C1218" si="74">MONTH(A1155)</f>
        <v>2</v>
      </c>
      <c r="D1155" s="1">
        <f t="shared" ref="D1155:D1218" si="75">DAY(A1155)</f>
        <v>27</v>
      </c>
      <c r="E1155" s="1">
        <f t="shared" ref="E1155:E1218" si="76">YEAR(A1155)</f>
        <v>2023</v>
      </c>
      <c r="F1155" s="1">
        <v>1154</v>
      </c>
      <c r="G1155" s="1">
        <v>388</v>
      </c>
      <c r="H1155" s="1">
        <v>363</v>
      </c>
      <c r="I1155" s="2">
        <v>0.93559999999999999</v>
      </c>
      <c r="J1155" s="1">
        <v>25</v>
      </c>
      <c r="K1155" s="3">
        <v>2.199074074074074E-4</v>
      </c>
      <c r="L1155" s="3">
        <v>2.1527777777777778E-3</v>
      </c>
      <c r="M1155" s="3">
        <v>2.0138888888888888E-3</v>
      </c>
      <c r="N1155" s="2">
        <v>0.752</v>
      </c>
      <c r="O1155" s="5">
        <f t="shared" si="64"/>
        <v>0.78145833333333337</v>
      </c>
      <c r="P1155" s="5">
        <f t="shared" si="65"/>
        <v>46.887500000000003</v>
      </c>
      <c r="Q1155" s="5">
        <f t="shared" si="66"/>
        <v>0.83527777777777779</v>
      </c>
      <c r="R1155" s="5">
        <f t="shared" si="67"/>
        <v>50.116666666666667</v>
      </c>
    </row>
    <row r="1156" spans="1:18">
      <c r="A1156" s="4">
        <v>44985</v>
      </c>
      <c r="B1156" s="1" t="s">
        <v>24</v>
      </c>
      <c r="C1156" s="1">
        <f t="shared" si="74"/>
        <v>2</v>
      </c>
      <c r="D1156" s="1">
        <f t="shared" si="75"/>
        <v>28</v>
      </c>
      <c r="E1156" s="1">
        <f t="shared" si="76"/>
        <v>2023</v>
      </c>
      <c r="F1156" s="1">
        <v>1155</v>
      </c>
      <c r="G1156" s="1">
        <v>283</v>
      </c>
      <c r="H1156" s="1">
        <v>280</v>
      </c>
      <c r="I1156" s="2">
        <v>0.98939999999999995</v>
      </c>
      <c r="J1156" s="1">
        <v>3</v>
      </c>
      <c r="K1156" s="3">
        <v>6.9444444444444444E-5</v>
      </c>
      <c r="L1156" s="3">
        <v>2.1412037037037038E-3</v>
      </c>
      <c r="M1156" s="3">
        <v>1.261574074074074E-3</v>
      </c>
      <c r="N1156" s="2">
        <v>0.95730000000000004</v>
      </c>
      <c r="O1156" s="5">
        <f t="shared" si="64"/>
        <v>0.59953703703703709</v>
      </c>
      <c r="P1156" s="5">
        <f t="shared" si="65"/>
        <v>35.972222222222229</v>
      </c>
      <c r="Q1156" s="5">
        <f t="shared" si="66"/>
        <v>0.60596064814814821</v>
      </c>
      <c r="R1156" s="5">
        <f t="shared" si="67"/>
        <v>36.357638888888893</v>
      </c>
    </row>
    <row r="1157" spans="1:18">
      <c r="A1157" s="4">
        <v>44986</v>
      </c>
      <c r="B1157" s="1" t="s">
        <v>18</v>
      </c>
      <c r="C1157" s="1">
        <f t="shared" si="74"/>
        <v>3</v>
      </c>
      <c r="D1157" s="1">
        <f t="shared" si="75"/>
        <v>1</v>
      </c>
      <c r="E1157" s="1">
        <f t="shared" si="76"/>
        <v>2023</v>
      </c>
      <c r="F1157" s="1">
        <v>1156</v>
      </c>
      <c r="G1157" s="1">
        <v>241</v>
      </c>
      <c r="H1157" s="1">
        <v>238</v>
      </c>
      <c r="I1157" s="2">
        <v>0.98760000000000003</v>
      </c>
      <c r="J1157" s="1">
        <v>3</v>
      </c>
      <c r="K1157" s="3">
        <v>5.7870370370370373E-5</v>
      </c>
      <c r="L1157" s="3">
        <v>2.0254629629629629E-3</v>
      </c>
      <c r="M1157" s="3">
        <v>2.2685185185185187E-3</v>
      </c>
      <c r="N1157" s="2">
        <v>0.9667</v>
      </c>
      <c r="O1157" s="5">
        <f t="shared" si="64"/>
        <v>0.48206018518518517</v>
      </c>
      <c r="P1157" s="5">
        <f t="shared" si="65"/>
        <v>28.923611111111111</v>
      </c>
      <c r="Q1157" s="5">
        <f t="shared" si="66"/>
        <v>0.48813657407407407</v>
      </c>
      <c r="R1157" s="5">
        <f t="shared" si="67"/>
        <v>29.288194444444443</v>
      </c>
    </row>
    <row r="1158" spans="1:18">
      <c r="A1158" s="4">
        <v>44987</v>
      </c>
      <c r="B1158" s="1" t="s">
        <v>19</v>
      </c>
      <c r="C1158" s="1">
        <f t="shared" si="74"/>
        <v>3</v>
      </c>
      <c r="D1158" s="1">
        <f t="shared" si="75"/>
        <v>2</v>
      </c>
      <c r="E1158" s="1">
        <f t="shared" si="76"/>
        <v>2023</v>
      </c>
      <c r="F1158" s="1">
        <v>1157</v>
      </c>
      <c r="G1158" s="1">
        <v>280</v>
      </c>
      <c r="H1158" s="1">
        <v>273</v>
      </c>
      <c r="I1158" s="2">
        <v>0.97499999999999998</v>
      </c>
      <c r="J1158" s="1">
        <v>7</v>
      </c>
      <c r="K1158" s="3">
        <v>1.0416666666666667E-4</v>
      </c>
      <c r="L1158" s="3">
        <v>1.9212962962962964E-3</v>
      </c>
      <c r="M1158" s="3">
        <v>2.5231481481481481E-3</v>
      </c>
      <c r="N1158" s="2">
        <v>0.8821</v>
      </c>
      <c r="O1158" s="5">
        <f t="shared" si="64"/>
        <v>0.52451388888888895</v>
      </c>
      <c r="P1158" s="5">
        <f t="shared" si="65"/>
        <v>31.470833333333339</v>
      </c>
      <c r="Q1158" s="5">
        <f t="shared" si="66"/>
        <v>0.53796296296296298</v>
      </c>
      <c r="R1158" s="5">
        <f t="shared" si="67"/>
        <v>32.277777777777779</v>
      </c>
    </row>
    <row r="1159" spans="1:18">
      <c r="A1159" s="4">
        <v>44988</v>
      </c>
      <c r="B1159" s="1" t="s">
        <v>20</v>
      </c>
      <c r="C1159" s="1">
        <f t="shared" si="74"/>
        <v>3</v>
      </c>
      <c r="D1159" s="1">
        <f t="shared" si="75"/>
        <v>3</v>
      </c>
      <c r="E1159" s="1">
        <f t="shared" si="76"/>
        <v>2023</v>
      </c>
      <c r="F1159" s="1">
        <v>1158</v>
      </c>
      <c r="G1159" s="1">
        <v>294</v>
      </c>
      <c r="H1159" s="1">
        <v>273</v>
      </c>
      <c r="I1159" s="2">
        <v>0.92859999999999998</v>
      </c>
      <c r="J1159" s="1">
        <v>21</v>
      </c>
      <c r="K1159" s="3">
        <v>3.0092592592592595E-4</v>
      </c>
      <c r="L1159" s="3">
        <v>2.2685185185185187E-3</v>
      </c>
      <c r="M1159" s="3">
        <v>1.8981481481481482E-3</v>
      </c>
      <c r="N1159" s="2">
        <v>0.61770000000000003</v>
      </c>
      <c r="O1159" s="5">
        <f t="shared" si="64"/>
        <v>0.61930555555555555</v>
      </c>
      <c r="P1159" s="5">
        <f t="shared" si="65"/>
        <v>37.158333333333331</v>
      </c>
      <c r="Q1159" s="5">
        <f t="shared" si="66"/>
        <v>0.66694444444444445</v>
      </c>
      <c r="R1159" s="5">
        <f t="shared" si="67"/>
        <v>40.016666666666666</v>
      </c>
    </row>
    <row r="1160" spans="1:18">
      <c r="A1160" s="4">
        <v>44989</v>
      </c>
      <c r="B1160" s="1" t="s">
        <v>21</v>
      </c>
      <c r="C1160" s="1">
        <f t="shared" si="74"/>
        <v>3</v>
      </c>
      <c r="D1160" s="1">
        <f t="shared" si="75"/>
        <v>4</v>
      </c>
      <c r="E1160" s="1">
        <f t="shared" si="76"/>
        <v>2023</v>
      </c>
      <c r="F1160" s="1">
        <v>1159</v>
      </c>
      <c r="G1160" s="1">
        <v>290</v>
      </c>
      <c r="H1160" s="1">
        <v>246</v>
      </c>
      <c r="I1160" s="2">
        <v>0.84830000000000005</v>
      </c>
      <c r="J1160" s="1">
        <v>44</v>
      </c>
      <c r="K1160" s="3">
        <v>3.1250000000000001E-4</v>
      </c>
      <c r="L1160" s="3">
        <v>2.1296296296296298E-3</v>
      </c>
      <c r="M1160" s="3">
        <v>3.2870370370370371E-3</v>
      </c>
      <c r="N1160" s="2">
        <v>0.63859999999999995</v>
      </c>
      <c r="O1160" s="5">
        <f t="shared" si="64"/>
        <v>0.52388888888888896</v>
      </c>
      <c r="P1160" s="5">
        <f t="shared" si="65"/>
        <v>31.433333333333337</v>
      </c>
      <c r="Q1160" s="5">
        <f t="shared" si="66"/>
        <v>0.61759259259259258</v>
      </c>
      <c r="R1160" s="5">
        <f t="shared" si="67"/>
        <v>37.055555555555557</v>
      </c>
    </row>
    <row r="1161" spans="1:18">
      <c r="A1161" s="4">
        <v>44990</v>
      </c>
      <c r="B1161" s="1" t="s">
        <v>22</v>
      </c>
      <c r="C1161" s="1">
        <f t="shared" si="74"/>
        <v>3</v>
      </c>
      <c r="D1161" s="1">
        <f t="shared" si="75"/>
        <v>5</v>
      </c>
      <c r="E1161" s="1">
        <f t="shared" si="76"/>
        <v>2023</v>
      </c>
      <c r="F1161" s="1">
        <v>1160</v>
      </c>
      <c r="G1161" s="1">
        <v>32</v>
      </c>
      <c r="H1161" s="1">
        <v>32</v>
      </c>
      <c r="I1161" s="2">
        <v>1</v>
      </c>
      <c r="J1161" s="1">
        <v>0</v>
      </c>
      <c r="K1161" s="3">
        <v>6.9444444444444444E-5</v>
      </c>
      <c r="L1161" s="3">
        <v>1.8865740740740742E-3</v>
      </c>
      <c r="M1161" s="3">
        <v>8.1018518518518516E-4</v>
      </c>
      <c r="N1161" s="2">
        <v>0.96879999999999999</v>
      </c>
      <c r="O1161" s="5">
        <f t="shared" si="64"/>
        <v>6.0370370370370373E-2</v>
      </c>
      <c r="P1161" s="5">
        <f t="shared" si="65"/>
        <v>3.6222222222222222</v>
      </c>
      <c r="Q1161" s="5">
        <f t="shared" si="66"/>
        <v>6.0370370370370373E-2</v>
      </c>
      <c r="R1161" s="5">
        <f t="shared" si="67"/>
        <v>3.6222222222222222</v>
      </c>
    </row>
    <row r="1162" spans="1:18">
      <c r="A1162" s="4">
        <v>44991</v>
      </c>
      <c r="B1162" s="1" t="s">
        <v>23</v>
      </c>
      <c r="C1162" s="1">
        <f t="shared" si="74"/>
        <v>3</v>
      </c>
      <c r="D1162" s="1">
        <f t="shared" si="75"/>
        <v>6</v>
      </c>
      <c r="E1162" s="1">
        <f t="shared" si="76"/>
        <v>2023</v>
      </c>
      <c r="F1162" s="1">
        <v>1161</v>
      </c>
      <c r="G1162" s="1">
        <v>270</v>
      </c>
      <c r="H1162" s="1">
        <v>263</v>
      </c>
      <c r="I1162" s="2">
        <v>0.97409999999999997</v>
      </c>
      <c r="J1162" s="1">
        <v>7</v>
      </c>
      <c r="K1162" s="3">
        <v>1.3888888888888889E-4</v>
      </c>
      <c r="L1162" s="3">
        <v>1.9907407407407408E-3</v>
      </c>
      <c r="M1162" s="3">
        <v>1.3888888888888889E-3</v>
      </c>
      <c r="N1162" s="2">
        <v>0.85450000000000004</v>
      </c>
      <c r="O1162" s="5">
        <f t="shared" si="64"/>
        <v>0.52356481481481487</v>
      </c>
      <c r="P1162" s="5">
        <f t="shared" si="65"/>
        <v>31.413888888888891</v>
      </c>
      <c r="Q1162" s="5">
        <f t="shared" si="66"/>
        <v>0.53749999999999998</v>
      </c>
      <c r="R1162" s="5">
        <f t="shared" si="67"/>
        <v>32.25</v>
      </c>
    </row>
    <row r="1163" spans="1:18">
      <c r="A1163" s="4">
        <v>44992</v>
      </c>
      <c r="B1163" s="1" t="s">
        <v>24</v>
      </c>
      <c r="C1163" s="1">
        <f t="shared" si="74"/>
        <v>3</v>
      </c>
      <c r="D1163" s="1">
        <f t="shared" si="75"/>
        <v>7</v>
      </c>
      <c r="E1163" s="1">
        <f t="shared" si="76"/>
        <v>2023</v>
      </c>
      <c r="F1163" s="1">
        <v>1162</v>
      </c>
      <c r="G1163" s="1">
        <v>212</v>
      </c>
      <c r="H1163" s="1">
        <v>208</v>
      </c>
      <c r="I1163" s="2">
        <v>0.98109999999999997</v>
      </c>
      <c r="J1163" s="1">
        <v>4</v>
      </c>
      <c r="K1163" s="3">
        <v>9.2592592592592588E-5</v>
      </c>
      <c r="L1163" s="3">
        <v>1.8865740740740742E-3</v>
      </c>
      <c r="M1163" s="3">
        <v>1.7824074074074075E-3</v>
      </c>
      <c r="N1163" s="2">
        <v>0.91</v>
      </c>
      <c r="O1163" s="5">
        <f t="shared" si="64"/>
        <v>0.39240740740740743</v>
      </c>
      <c r="P1163" s="5">
        <f t="shared" si="65"/>
        <v>23.544444444444444</v>
      </c>
      <c r="Q1163" s="5">
        <f t="shared" si="66"/>
        <v>0.3999537037037037</v>
      </c>
      <c r="R1163" s="5">
        <f t="shared" si="67"/>
        <v>23.997222222222224</v>
      </c>
    </row>
    <row r="1164" spans="1:18">
      <c r="A1164" s="4">
        <v>44993</v>
      </c>
      <c r="B1164" s="1" t="s">
        <v>18</v>
      </c>
      <c r="C1164" s="1">
        <f t="shared" si="74"/>
        <v>3</v>
      </c>
      <c r="D1164" s="1">
        <f t="shared" si="75"/>
        <v>8</v>
      </c>
      <c r="E1164" s="1">
        <f t="shared" si="76"/>
        <v>2023</v>
      </c>
      <c r="F1164" s="1">
        <v>1163</v>
      </c>
      <c r="G1164" s="1">
        <v>246</v>
      </c>
      <c r="H1164" s="1">
        <v>238</v>
      </c>
      <c r="I1164" s="2">
        <v>0.96750000000000003</v>
      </c>
      <c r="J1164" s="1">
        <v>8</v>
      </c>
      <c r="K1164" s="3">
        <v>8.1018518518518516E-5</v>
      </c>
      <c r="L1164" s="3">
        <v>2.0023148148148148E-3</v>
      </c>
      <c r="M1164" s="3">
        <v>2.638888888888889E-3</v>
      </c>
      <c r="N1164" s="2">
        <v>0.91839999999999999</v>
      </c>
      <c r="O1164" s="5">
        <f t="shared" si="64"/>
        <v>0.47655092592592591</v>
      </c>
      <c r="P1164" s="5">
        <f t="shared" si="65"/>
        <v>28.593055555555555</v>
      </c>
      <c r="Q1164" s="5">
        <f t="shared" si="66"/>
        <v>0.49256944444444445</v>
      </c>
      <c r="R1164" s="5">
        <f t="shared" si="67"/>
        <v>29.554166666666667</v>
      </c>
    </row>
    <row r="1165" spans="1:18">
      <c r="A1165" s="4">
        <v>44994</v>
      </c>
      <c r="B1165" s="1" t="s">
        <v>19</v>
      </c>
      <c r="C1165" s="1">
        <f t="shared" si="74"/>
        <v>3</v>
      </c>
      <c r="D1165" s="1">
        <f t="shared" si="75"/>
        <v>9</v>
      </c>
      <c r="E1165" s="1">
        <f t="shared" si="76"/>
        <v>2023</v>
      </c>
      <c r="F1165" s="1">
        <v>1164</v>
      </c>
      <c r="G1165" s="1">
        <v>194</v>
      </c>
      <c r="H1165" s="1">
        <v>190</v>
      </c>
      <c r="I1165" s="2">
        <v>0.97940000000000005</v>
      </c>
      <c r="J1165" s="1">
        <v>4</v>
      </c>
      <c r="K1165" s="3">
        <v>9.2592592592592588E-5</v>
      </c>
      <c r="L1165" s="3">
        <v>1.8865740740740742E-3</v>
      </c>
      <c r="M1165" s="3">
        <v>2.476851851851852E-3</v>
      </c>
      <c r="N1165" s="2">
        <v>0.92779999999999996</v>
      </c>
      <c r="O1165" s="5">
        <f t="shared" si="64"/>
        <v>0.35844907407407411</v>
      </c>
      <c r="P1165" s="5">
        <f t="shared" si="65"/>
        <v>21.506944444444446</v>
      </c>
      <c r="Q1165" s="5">
        <f t="shared" si="66"/>
        <v>0.36599537037037039</v>
      </c>
      <c r="R1165" s="5">
        <f t="shared" si="67"/>
        <v>21.959722222222222</v>
      </c>
    </row>
    <row r="1166" spans="1:18">
      <c r="A1166" s="4">
        <v>44995</v>
      </c>
      <c r="B1166" s="1" t="s">
        <v>20</v>
      </c>
      <c r="C1166" s="1">
        <f t="shared" si="74"/>
        <v>3</v>
      </c>
      <c r="D1166" s="1">
        <f t="shared" si="75"/>
        <v>10</v>
      </c>
      <c r="E1166" s="1">
        <f t="shared" si="76"/>
        <v>2023</v>
      </c>
      <c r="F1166" s="1">
        <v>1165</v>
      </c>
      <c r="G1166" s="1">
        <v>179</v>
      </c>
      <c r="H1166" s="1">
        <v>176</v>
      </c>
      <c r="I1166" s="2">
        <v>0.98319999999999996</v>
      </c>
      <c r="J1166" s="1">
        <v>3</v>
      </c>
      <c r="K1166" s="3">
        <v>6.9444444444444444E-5</v>
      </c>
      <c r="L1166" s="3">
        <v>1.8981481481481482E-3</v>
      </c>
      <c r="M1166" s="3">
        <v>1.1921296296296296E-3</v>
      </c>
      <c r="N1166" s="2">
        <v>0.96050000000000002</v>
      </c>
      <c r="O1166" s="5">
        <f t="shared" si="64"/>
        <v>0.33407407407407408</v>
      </c>
      <c r="P1166" s="5">
        <f t="shared" si="65"/>
        <v>20.044444444444444</v>
      </c>
      <c r="Q1166" s="5">
        <f t="shared" si="66"/>
        <v>0.33976851851851853</v>
      </c>
      <c r="R1166" s="5">
        <f t="shared" si="67"/>
        <v>20.386111111111113</v>
      </c>
    </row>
    <row r="1167" spans="1:18">
      <c r="A1167" s="4">
        <v>44996</v>
      </c>
      <c r="B1167" s="1" t="s">
        <v>21</v>
      </c>
      <c r="C1167" s="1">
        <f t="shared" si="74"/>
        <v>3</v>
      </c>
      <c r="D1167" s="1">
        <f t="shared" si="75"/>
        <v>11</v>
      </c>
      <c r="E1167" s="1">
        <f t="shared" si="76"/>
        <v>2023</v>
      </c>
      <c r="F1167" s="1">
        <v>1166</v>
      </c>
      <c r="G1167" s="1">
        <v>67</v>
      </c>
      <c r="H1167" s="1">
        <v>65</v>
      </c>
      <c r="I1167" s="2">
        <v>0.97009999999999996</v>
      </c>
      <c r="J1167" s="1">
        <v>2</v>
      </c>
      <c r="K1167" s="3">
        <v>1.0416666666666667E-4</v>
      </c>
      <c r="L1167" s="3">
        <v>1.8055555555555555E-3</v>
      </c>
      <c r="M1167" s="3">
        <v>1.3773148148148147E-3</v>
      </c>
      <c r="N1167" s="2">
        <v>0.89549999999999996</v>
      </c>
      <c r="O1167" s="5">
        <f t="shared" si="64"/>
        <v>0.11736111111111111</v>
      </c>
      <c r="P1167" s="5">
        <f t="shared" si="65"/>
        <v>7.041666666666667</v>
      </c>
      <c r="Q1167" s="5">
        <f t="shared" si="66"/>
        <v>0.12097222222222222</v>
      </c>
      <c r="R1167" s="5">
        <f t="shared" si="67"/>
        <v>7.2583333333333329</v>
      </c>
    </row>
    <row r="1168" spans="1:18">
      <c r="A1168" s="4">
        <v>44997</v>
      </c>
      <c r="B1168" s="1" t="s">
        <v>22</v>
      </c>
      <c r="C1168" s="1">
        <f t="shared" si="74"/>
        <v>3</v>
      </c>
      <c r="D1168" s="1">
        <f t="shared" si="75"/>
        <v>12</v>
      </c>
      <c r="E1168" s="1">
        <f t="shared" si="76"/>
        <v>2023</v>
      </c>
      <c r="F1168" s="1">
        <v>1167</v>
      </c>
      <c r="G1168" s="1">
        <v>27</v>
      </c>
      <c r="H1168" s="1">
        <v>27</v>
      </c>
      <c r="I1168" s="2">
        <v>1</v>
      </c>
      <c r="J1168" s="1">
        <v>0</v>
      </c>
      <c r="K1168" s="3">
        <v>1.0416666666666667E-4</v>
      </c>
      <c r="L1168" s="3">
        <v>1.7013888888888888E-3</v>
      </c>
      <c r="M1168" s="3">
        <v>1.0763888888888889E-3</v>
      </c>
      <c r="N1168" s="2">
        <v>0.88890000000000002</v>
      </c>
      <c r="O1168" s="5">
        <f t="shared" si="64"/>
        <v>4.5937499999999999E-2</v>
      </c>
      <c r="P1168" s="5">
        <f t="shared" si="65"/>
        <v>2.7562500000000001</v>
      </c>
      <c r="Q1168" s="5">
        <f t="shared" si="66"/>
        <v>4.5937499999999999E-2</v>
      </c>
      <c r="R1168" s="5">
        <f t="shared" si="67"/>
        <v>2.7562500000000001</v>
      </c>
    </row>
    <row r="1169" spans="1:18">
      <c r="A1169" s="4">
        <v>44998</v>
      </c>
      <c r="B1169" s="1" t="s">
        <v>23</v>
      </c>
      <c r="C1169" s="1">
        <f t="shared" si="74"/>
        <v>3</v>
      </c>
      <c r="D1169" s="1">
        <f t="shared" si="75"/>
        <v>13</v>
      </c>
      <c r="E1169" s="1">
        <f t="shared" si="76"/>
        <v>2023</v>
      </c>
      <c r="F1169" s="1">
        <v>1168</v>
      </c>
      <c r="G1169" s="1">
        <v>190</v>
      </c>
      <c r="H1169" s="1">
        <v>183</v>
      </c>
      <c r="I1169" s="2">
        <v>0.96319999999999995</v>
      </c>
      <c r="J1169" s="1">
        <v>7</v>
      </c>
      <c r="K1169" s="3">
        <v>1.0416666666666667E-4</v>
      </c>
      <c r="L1169" s="3">
        <v>1.8287037037037037E-3</v>
      </c>
      <c r="M1169" s="3">
        <v>2.0138888888888888E-3</v>
      </c>
      <c r="N1169" s="2">
        <v>0.87829999999999997</v>
      </c>
      <c r="O1169" s="5">
        <f t="shared" si="64"/>
        <v>0.3346527777777778</v>
      </c>
      <c r="P1169" s="5">
        <f t="shared" si="65"/>
        <v>20.079166666666669</v>
      </c>
      <c r="Q1169" s="5">
        <f t="shared" si="66"/>
        <v>0.34745370370370371</v>
      </c>
      <c r="R1169" s="5">
        <f t="shared" si="67"/>
        <v>20.847222222222221</v>
      </c>
    </row>
    <row r="1170" spans="1:18">
      <c r="A1170" s="4">
        <v>44999</v>
      </c>
      <c r="B1170" s="1" t="s">
        <v>24</v>
      </c>
      <c r="C1170" s="1">
        <f t="shared" si="74"/>
        <v>3</v>
      </c>
      <c r="D1170" s="1">
        <f t="shared" si="75"/>
        <v>14</v>
      </c>
      <c r="E1170" s="1">
        <f t="shared" si="76"/>
        <v>2023</v>
      </c>
      <c r="F1170" s="1">
        <v>1169</v>
      </c>
      <c r="G1170" s="1">
        <v>213</v>
      </c>
      <c r="H1170" s="1">
        <v>205</v>
      </c>
      <c r="I1170" s="2">
        <v>0.96240000000000003</v>
      </c>
      <c r="J1170" s="1">
        <v>8</v>
      </c>
      <c r="K1170" s="3">
        <v>1.1574074074074075E-4</v>
      </c>
      <c r="L1170" s="3">
        <v>1.8287037037037037E-3</v>
      </c>
      <c r="M1170" s="3">
        <v>3.4953703703703705E-3</v>
      </c>
      <c r="N1170" s="2">
        <v>0.88149999999999995</v>
      </c>
      <c r="O1170" s="5">
        <f t="shared" si="64"/>
        <v>0.37488425925925928</v>
      </c>
      <c r="P1170" s="5">
        <f t="shared" si="65"/>
        <v>22.493055555555557</v>
      </c>
      <c r="Q1170" s="5">
        <f t="shared" si="66"/>
        <v>0.38951388888888888</v>
      </c>
      <c r="R1170" s="5">
        <f t="shared" si="67"/>
        <v>23.370833333333334</v>
      </c>
    </row>
    <row r="1171" spans="1:18">
      <c r="A1171" s="4">
        <v>45000</v>
      </c>
      <c r="B1171" s="1" t="s">
        <v>18</v>
      </c>
      <c r="C1171" s="1">
        <f t="shared" si="74"/>
        <v>3</v>
      </c>
      <c r="D1171" s="1">
        <f t="shared" si="75"/>
        <v>15</v>
      </c>
      <c r="E1171" s="1">
        <f t="shared" si="76"/>
        <v>2023</v>
      </c>
      <c r="F1171" s="1">
        <v>1170</v>
      </c>
      <c r="G1171" s="1">
        <v>208</v>
      </c>
      <c r="H1171" s="1">
        <v>205</v>
      </c>
      <c r="I1171" s="2">
        <v>0.98560000000000003</v>
      </c>
      <c r="J1171" s="1">
        <v>3</v>
      </c>
      <c r="K1171" s="3">
        <v>4.6296296296296294E-5</v>
      </c>
      <c r="L1171" s="3">
        <v>1.8055555555555555E-3</v>
      </c>
      <c r="M1171" s="3">
        <v>2.0023148148148148E-3</v>
      </c>
      <c r="N1171" s="2">
        <v>0.97089999999999999</v>
      </c>
      <c r="O1171" s="5">
        <f t="shared" si="64"/>
        <v>0.37013888888888885</v>
      </c>
      <c r="P1171" s="5">
        <f t="shared" si="65"/>
        <v>22.208333333333332</v>
      </c>
      <c r="Q1171" s="5">
        <f t="shared" si="66"/>
        <v>0.37555555555555553</v>
      </c>
      <c r="R1171" s="5">
        <f t="shared" si="67"/>
        <v>22.533333333333331</v>
      </c>
    </row>
    <row r="1172" spans="1:18">
      <c r="A1172" s="4">
        <v>45001</v>
      </c>
      <c r="B1172" s="1" t="s">
        <v>19</v>
      </c>
      <c r="C1172" s="1">
        <f t="shared" si="74"/>
        <v>3</v>
      </c>
      <c r="D1172" s="1">
        <f t="shared" si="75"/>
        <v>16</v>
      </c>
      <c r="E1172" s="1">
        <f t="shared" si="76"/>
        <v>2023</v>
      </c>
      <c r="F1172" s="1">
        <v>1171</v>
      </c>
      <c r="G1172" s="1">
        <v>166</v>
      </c>
      <c r="H1172" s="1">
        <v>165</v>
      </c>
      <c r="I1172" s="2">
        <v>0.99399999999999999</v>
      </c>
      <c r="J1172" s="1">
        <v>1</v>
      </c>
      <c r="K1172" s="3">
        <v>9.2592592592592588E-5</v>
      </c>
      <c r="L1172" s="3">
        <v>1.8634259259259259E-3</v>
      </c>
      <c r="M1172" s="3">
        <v>2.4421296296296296E-3</v>
      </c>
      <c r="N1172" s="2">
        <v>0.92769999999999997</v>
      </c>
      <c r="O1172" s="5">
        <f t="shared" si="64"/>
        <v>0.30746527777777777</v>
      </c>
      <c r="P1172" s="5">
        <f t="shared" si="65"/>
        <v>18.447916666666664</v>
      </c>
      <c r="Q1172" s="5">
        <f t="shared" si="66"/>
        <v>0.30932870370370369</v>
      </c>
      <c r="R1172" s="5">
        <f t="shared" si="67"/>
        <v>18.55972222222222</v>
      </c>
    </row>
    <row r="1173" spans="1:18">
      <c r="A1173" s="4">
        <v>45002</v>
      </c>
      <c r="B1173" s="1" t="s">
        <v>20</v>
      </c>
      <c r="C1173" s="1">
        <f t="shared" si="74"/>
        <v>3</v>
      </c>
      <c r="D1173" s="1">
        <f t="shared" si="75"/>
        <v>17</v>
      </c>
      <c r="E1173" s="1">
        <f t="shared" si="76"/>
        <v>2023</v>
      </c>
      <c r="F1173" s="1">
        <v>1172</v>
      </c>
      <c r="G1173" s="1">
        <v>169</v>
      </c>
      <c r="H1173" s="1">
        <v>161</v>
      </c>
      <c r="I1173" s="2">
        <v>0.95269999999999999</v>
      </c>
      <c r="J1173" s="1">
        <v>8</v>
      </c>
      <c r="K1173" s="3">
        <v>2.0833333333333335E-4</v>
      </c>
      <c r="L1173" s="3">
        <v>1.9907407407407408E-3</v>
      </c>
      <c r="M1173" s="3">
        <v>2.5115740740740741E-3</v>
      </c>
      <c r="N1173" s="2">
        <v>0.73960000000000004</v>
      </c>
      <c r="O1173" s="5">
        <f t="shared" si="64"/>
        <v>0.32050925925925927</v>
      </c>
      <c r="P1173" s="5">
        <f t="shared" si="65"/>
        <v>19.230555555555558</v>
      </c>
      <c r="Q1173" s="5">
        <f t="shared" si="66"/>
        <v>0.33643518518518523</v>
      </c>
      <c r="R1173" s="5">
        <f t="shared" si="67"/>
        <v>20.186111111111114</v>
      </c>
    </row>
    <row r="1174" spans="1:18">
      <c r="A1174" s="4">
        <v>45003</v>
      </c>
      <c r="B1174" s="1" t="s">
        <v>21</v>
      </c>
      <c r="C1174" s="1">
        <f t="shared" si="74"/>
        <v>3</v>
      </c>
      <c r="D1174" s="1">
        <f t="shared" si="75"/>
        <v>18</v>
      </c>
      <c r="E1174" s="1">
        <f t="shared" si="76"/>
        <v>2023</v>
      </c>
      <c r="F1174" s="1">
        <v>1173</v>
      </c>
      <c r="G1174" s="1">
        <v>175</v>
      </c>
      <c r="H1174" s="1">
        <v>167</v>
      </c>
      <c r="I1174" s="2">
        <v>0.95430000000000004</v>
      </c>
      <c r="J1174" s="1">
        <v>8</v>
      </c>
      <c r="K1174" s="3">
        <v>1.1574074074074075E-4</v>
      </c>
      <c r="L1174" s="3">
        <v>1.724537037037037E-3</v>
      </c>
      <c r="M1174" s="3">
        <v>2.685185185185185E-3</v>
      </c>
      <c r="N1174" s="2">
        <v>0.8629</v>
      </c>
      <c r="O1174" s="5">
        <f t="shared" si="64"/>
        <v>0.2879976851851852</v>
      </c>
      <c r="P1174" s="5">
        <f t="shared" si="65"/>
        <v>17.279861111111114</v>
      </c>
      <c r="Q1174" s="5">
        <f t="shared" si="66"/>
        <v>0.30179398148148145</v>
      </c>
      <c r="R1174" s="5">
        <f t="shared" si="67"/>
        <v>18.107638888888886</v>
      </c>
    </row>
    <row r="1175" spans="1:18">
      <c r="A1175" s="4">
        <v>45004</v>
      </c>
      <c r="B1175" s="1" t="s">
        <v>22</v>
      </c>
      <c r="C1175" s="1">
        <f t="shared" si="74"/>
        <v>3</v>
      </c>
      <c r="D1175" s="1">
        <f t="shared" si="75"/>
        <v>19</v>
      </c>
      <c r="E1175" s="1">
        <f t="shared" si="76"/>
        <v>2023</v>
      </c>
      <c r="F1175" s="1">
        <v>1174</v>
      </c>
      <c r="G1175" s="1">
        <v>43</v>
      </c>
      <c r="H1175" s="1">
        <v>43</v>
      </c>
      <c r="I1175" s="2">
        <v>1</v>
      </c>
      <c r="J1175" s="1">
        <v>0</v>
      </c>
      <c r="K1175" s="3">
        <v>4.6296296296296294E-5</v>
      </c>
      <c r="L1175" s="3">
        <v>1.8749999999999999E-3</v>
      </c>
      <c r="M1175" s="3">
        <v>3.3564814814814812E-4</v>
      </c>
      <c r="N1175" s="2">
        <v>1</v>
      </c>
      <c r="O1175" s="5">
        <f t="shared" si="64"/>
        <v>8.0625000000000002E-2</v>
      </c>
      <c r="P1175" s="5">
        <f t="shared" si="65"/>
        <v>4.8375000000000004</v>
      </c>
      <c r="Q1175" s="5">
        <f t="shared" si="66"/>
        <v>8.0625000000000002E-2</v>
      </c>
      <c r="R1175" s="5">
        <f t="shared" si="67"/>
        <v>4.8375000000000004</v>
      </c>
    </row>
    <row r="1176" spans="1:18">
      <c r="A1176" s="4">
        <v>45005</v>
      </c>
      <c r="B1176" s="1" t="s">
        <v>23</v>
      </c>
      <c r="C1176" s="1">
        <f t="shared" si="74"/>
        <v>3</v>
      </c>
      <c r="D1176" s="1">
        <f t="shared" si="75"/>
        <v>20</v>
      </c>
      <c r="E1176" s="1">
        <f t="shared" si="76"/>
        <v>2023</v>
      </c>
      <c r="F1176" s="1">
        <v>1175</v>
      </c>
      <c r="G1176" s="1">
        <v>24</v>
      </c>
      <c r="H1176" s="1">
        <v>24</v>
      </c>
      <c r="I1176" s="2">
        <v>1</v>
      </c>
      <c r="J1176" s="1">
        <v>0</v>
      </c>
      <c r="K1176" s="3">
        <v>3.4722222222222222E-5</v>
      </c>
      <c r="L1176" s="3">
        <v>1.9212962962962964E-3</v>
      </c>
      <c r="M1176" s="3">
        <v>3.4722222222222222E-5</v>
      </c>
      <c r="N1176" s="2">
        <v>1</v>
      </c>
      <c r="O1176" s="5">
        <f t="shared" si="64"/>
        <v>4.6111111111111117E-2</v>
      </c>
      <c r="P1176" s="5">
        <f t="shared" si="65"/>
        <v>2.7666666666666671</v>
      </c>
      <c r="Q1176" s="5">
        <f t="shared" si="66"/>
        <v>4.6111111111111117E-2</v>
      </c>
      <c r="R1176" s="5">
        <f t="shared" si="67"/>
        <v>2.7666666666666671</v>
      </c>
    </row>
    <row r="1177" spans="1:18">
      <c r="A1177" s="4">
        <v>45006</v>
      </c>
      <c r="B1177" s="1" t="s">
        <v>24</v>
      </c>
      <c r="C1177" s="1">
        <f t="shared" si="74"/>
        <v>3</v>
      </c>
      <c r="D1177" s="1">
        <f t="shared" si="75"/>
        <v>21</v>
      </c>
      <c r="E1177" s="1">
        <f t="shared" si="76"/>
        <v>2023</v>
      </c>
      <c r="F1177" s="1">
        <v>1176</v>
      </c>
      <c r="G1177" s="1">
        <v>26</v>
      </c>
      <c r="H1177" s="1">
        <v>26</v>
      </c>
      <c r="I1177" s="2">
        <v>1</v>
      </c>
      <c r="J1177" s="1">
        <v>0</v>
      </c>
      <c r="K1177" s="3">
        <v>5.7870370370370373E-5</v>
      </c>
      <c r="L1177" s="3">
        <v>1.9907407407407408E-3</v>
      </c>
      <c r="M1177" s="3">
        <v>6.7129629629629625E-4</v>
      </c>
      <c r="N1177" s="2">
        <v>0.92310000000000003</v>
      </c>
      <c r="O1177" s="5">
        <f t="shared" si="64"/>
        <v>5.1759259259259262E-2</v>
      </c>
      <c r="P1177" s="5">
        <f t="shared" si="65"/>
        <v>3.1055555555555556</v>
      </c>
      <c r="Q1177" s="5">
        <f t="shared" si="66"/>
        <v>5.1759259259259262E-2</v>
      </c>
      <c r="R1177" s="5">
        <f t="shared" si="67"/>
        <v>3.1055555555555556</v>
      </c>
    </row>
    <row r="1178" spans="1:18">
      <c r="A1178" s="4">
        <v>45007</v>
      </c>
      <c r="B1178" s="1" t="s">
        <v>18</v>
      </c>
      <c r="C1178" s="1">
        <f t="shared" si="74"/>
        <v>3</v>
      </c>
      <c r="D1178" s="1">
        <f t="shared" si="75"/>
        <v>22</v>
      </c>
      <c r="E1178" s="1">
        <f t="shared" si="76"/>
        <v>2023</v>
      </c>
      <c r="F1178" s="1">
        <v>1177</v>
      </c>
      <c r="G1178" s="1">
        <v>42</v>
      </c>
      <c r="H1178" s="1">
        <v>41</v>
      </c>
      <c r="I1178" s="2">
        <v>0.97619999999999996</v>
      </c>
      <c r="J1178" s="1">
        <v>1</v>
      </c>
      <c r="K1178" s="3">
        <v>3.4722222222222222E-5</v>
      </c>
      <c r="L1178" s="3">
        <v>1.8634259259259259E-3</v>
      </c>
      <c r="M1178" s="3">
        <v>3.4722222222222222E-5</v>
      </c>
      <c r="N1178" s="2">
        <v>1</v>
      </c>
      <c r="O1178" s="5">
        <f t="shared" si="64"/>
        <v>7.6400462962962962E-2</v>
      </c>
      <c r="P1178" s="5">
        <f t="shared" si="65"/>
        <v>4.584027777777778</v>
      </c>
      <c r="Q1178" s="5">
        <f t="shared" si="66"/>
        <v>7.8263888888888883E-2</v>
      </c>
      <c r="R1178" s="5">
        <f t="shared" si="67"/>
        <v>4.6958333333333329</v>
      </c>
    </row>
    <row r="1179" spans="1:18">
      <c r="A1179" s="4">
        <v>45008</v>
      </c>
      <c r="B1179" s="1" t="s">
        <v>19</v>
      </c>
      <c r="C1179" s="1">
        <f t="shared" si="74"/>
        <v>3</v>
      </c>
      <c r="D1179" s="1">
        <f t="shared" si="75"/>
        <v>23</v>
      </c>
      <c r="E1179" s="1">
        <f t="shared" si="76"/>
        <v>2023</v>
      </c>
      <c r="F1179" s="1">
        <v>1178</v>
      </c>
      <c r="G1179" s="1">
        <v>37</v>
      </c>
      <c r="H1179" s="1">
        <v>36</v>
      </c>
      <c r="I1179" s="2">
        <v>0.97299999999999998</v>
      </c>
      <c r="J1179" s="1">
        <v>1</v>
      </c>
      <c r="K1179" s="3">
        <v>5.7870370370370373E-5</v>
      </c>
      <c r="L1179" s="3">
        <v>1.6666666666666668E-3</v>
      </c>
      <c r="M1179" s="3">
        <v>3.3564814814814816E-3</v>
      </c>
      <c r="N1179" s="2">
        <v>0.94589999999999996</v>
      </c>
      <c r="O1179" s="5">
        <f t="shared" si="64"/>
        <v>6.0000000000000005E-2</v>
      </c>
      <c r="P1179" s="5">
        <f t="shared" si="65"/>
        <v>3.6</v>
      </c>
      <c r="Q1179" s="5">
        <f t="shared" si="66"/>
        <v>6.1666666666666668E-2</v>
      </c>
      <c r="R1179" s="5">
        <f t="shared" si="67"/>
        <v>3.7</v>
      </c>
    </row>
    <row r="1180" spans="1:18">
      <c r="A1180" s="4">
        <v>45009</v>
      </c>
      <c r="B1180" s="1" t="s">
        <v>20</v>
      </c>
      <c r="C1180" s="1">
        <f t="shared" si="74"/>
        <v>3</v>
      </c>
      <c r="D1180" s="1">
        <f t="shared" si="75"/>
        <v>24</v>
      </c>
      <c r="E1180" s="1">
        <f t="shared" si="76"/>
        <v>2023</v>
      </c>
      <c r="F1180" s="1">
        <v>1179</v>
      </c>
      <c r="G1180" s="1">
        <v>60</v>
      </c>
      <c r="H1180" s="1">
        <v>60</v>
      </c>
      <c r="I1180" s="2">
        <v>1</v>
      </c>
      <c r="J1180" s="1">
        <v>0</v>
      </c>
      <c r="K1180" s="3">
        <v>5.7870370370370373E-5</v>
      </c>
      <c r="L1180" s="3">
        <v>2.1643518518518518E-3</v>
      </c>
      <c r="M1180" s="3">
        <v>7.0601851851851847E-4</v>
      </c>
      <c r="N1180" s="2">
        <v>0.9667</v>
      </c>
      <c r="O1180" s="5">
        <f t="shared" si="64"/>
        <v>0.12986111111111109</v>
      </c>
      <c r="P1180" s="5">
        <f t="shared" si="65"/>
        <v>7.7916666666666661</v>
      </c>
      <c r="Q1180" s="5">
        <f t="shared" si="66"/>
        <v>0.12986111111111109</v>
      </c>
      <c r="R1180" s="5">
        <f t="shared" si="67"/>
        <v>7.7916666666666661</v>
      </c>
    </row>
    <row r="1181" spans="1:18">
      <c r="A1181" s="4">
        <v>45010</v>
      </c>
      <c r="B1181" s="1" t="s">
        <v>21</v>
      </c>
      <c r="C1181" s="1">
        <f t="shared" si="74"/>
        <v>3</v>
      </c>
      <c r="D1181" s="1">
        <f t="shared" si="75"/>
        <v>25</v>
      </c>
      <c r="E1181" s="1">
        <f t="shared" si="76"/>
        <v>2023</v>
      </c>
      <c r="F1181" s="1">
        <v>1180</v>
      </c>
      <c r="G1181" s="1">
        <v>82</v>
      </c>
      <c r="H1181" s="1">
        <v>81</v>
      </c>
      <c r="I1181" s="2">
        <v>0.98780000000000001</v>
      </c>
      <c r="J1181" s="1">
        <v>1</v>
      </c>
      <c r="K1181" s="3">
        <v>3.4722222222222222E-5</v>
      </c>
      <c r="L1181" s="3">
        <v>1.6666666666666668E-3</v>
      </c>
      <c r="M1181" s="3">
        <v>6.7129629629629625E-4</v>
      </c>
      <c r="N1181" s="2">
        <v>0.97560000000000002</v>
      </c>
      <c r="O1181" s="5">
        <f t="shared" si="64"/>
        <v>0.13500000000000001</v>
      </c>
      <c r="P1181" s="5">
        <f t="shared" si="65"/>
        <v>8.1000000000000014</v>
      </c>
      <c r="Q1181" s="5">
        <f t="shared" si="66"/>
        <v>0.13666666666666669</v>
      </c>
      <c r="R1181" s="5">
        <f t="shared" si="67"/>
        <v>8.2000000000000011</v>
      </c>
    </row>
    <row r="1182" spans="1:18">
      <c r="A1182" s="4">
        <v>45011</v>
      </c>
      <c r="B1182" s="1" t="s">
        <v>22</v>
      </c>
      <c r="C1182" s="1">
        <f t="shared" si="74"/>
        <v>3</v>
      </c>
      <c r="D1182" s="1">
        <f t="shared" si="75"/>
        <v>26</v>
      </c>
      <c r="E1182" s="1">
        <f t="shared" si="76"/>
        <v>2023</v>
      </c>
      <c r="F1182" s="1">
        <v>1181</v>
      </c>
      <c r="G1182" s="1">
        <v>31</v>
      </c>
      <c r="H1182" s="1">
        <v>31</v>
      </c>
      <c r="I1182" s="2">
        <v>1</v>
      </c>
      <c r="J1182" s="1">
        <v>0</v>
      </c>
      <c r="K1182" s="3">
        <v>6.9444444444444444E-5</v>
      </c>
      <c r="L1182" s="3">
        <v>1.6203703703703703E-3</v>
      </c>
      <c r="M1182" s="3">
        <v>7.0601851851851847E-4</v>
      </c>
      <c r="N1182" s="2">
        <v>0.9355</v>
      </c>
      <c r="O1182" s="5">
        <f t="shared" si="64"/>
        <v>5.0231481481481481E-2</v>
      </c>
      <c r="P1182" s="5">
        <f t="shared" si="65"/>
        <v>3.0138888888888888</v>
      </c>
      <c r="Q1182" s="5">
        <f t="shared" si="66"/>
        <v>5.0231481481481481E-2</v>
      </c>
      <c r="R1182" s="5">
        <f t="shared" si="67"/>
        <v>3.0138888888888888</v>
      </c>
    </row>
    <row r="1183" spans="1:18">
      <c r="A1183" s="4">
        <v>45012</v>
      </c>
      <c r="B1183" s="1" t="s">
        <v>23</v>
      </c>
      <c r="C1183" s="1">
        <f t="shared" si="74"/>
        <v>3</v>
      </c>
      <c r="D1183" s="1">
        <f t="shared" si="75"/>
        <v>27</v>
      </c>
      <c r="E1183" s="1">
        <f t="shared" si="76"/>
        <v>2023</v>
      </c>
      <c r="F1183" s="1">
        <v>1182</v>
      </c>
      <c r="G1183" s="1">
        <v>178</v>
      </c>
      <c r="H1183" s="1">
        <v>171</v>
      </c>
      <c r="I1183" s="2">
        <v>0.9607</v>
      </c>
      <c r="J1183" s="1">
        <v>7</v>
      </c>
      <c r="K1183" s="3">
        <v>1.8518518518518518E-4</v>
      </c>
      <c r="L1183" s="3">
        <v>1.8865740740740742E-3</v>
      </c>
      <c r="M1183" s="3">
        <v>1.4583333333333334E-3</v>
      </c>
      <c r="N1183" s="2">
        <v>0.76139999999999997</v>
      </c>
      <c r="O1183" s="5">
        <f t="shared" si="64"/>
        <v>0.32260416666666669</v>
      </c>
      <c r="P1183" s="5">
        <f t="shared" si="65"/>
        <v>19.356250000000003</v>
      </c>
      <c r="Q1183" s="5">
        <f t="shared" si="66"/>
        <v>0.33581018518518518</v>
      </c>
      <c r="R1183" s="5">
        <f t="shared" si="67"/>
        <v>20.148611111111112</v>
      </c>
    </row>
    <row r="1184" spans="1:18">
      <c r="A1184" s="4">
        <v>45013</v>
      </c>
      <c r="B1184" s="1" t="s">
        <v>24</v>
      </c>
      <c r="C1184" s="1">
        <f t="shared" si="74"/>
        <v>3</v>
      </c>
      <c r="D1184" s="1">
        <f t="shared" si="75"/>
        <v>28</v>
      </c>
      <c r="E1184" s="1">
        <f t="shared" si="76"/>
        <v>2023</v>
      </c>
      <c r="F1184" s="1">
        <v>1183</v>
      </c>
      <c r="G1184" s="1">
        <v>183</v>
      </c>
      <c r="H1184" s="1">
        <v>175</v>
      </c>
      <c r="I1184" s="2">
        <v>0.95630000000000004</v>
      </c>
      <c r="J1184" s="1">
        <v>8</v>
      </c>
      <c r="K1184" s="3">
        <v>1.5046296296296297E-4</v>
      </c>
      <c r="L1184" s="3">
        <v>1.7013888888888888E-3</v>
      </c>
      <c r="M1184" s="3">
        <v>3.2175925925925926E-3</v>
      </c>
      <c r="N1184" s="2">
        <v>0.85560000000000003</v>
      </c>
      <c r="O1184" s="5">
        <f t="shared" si="64"/>
        <v>0.29774305555555552</v>
      </c>
      <c r="P1184" s="5">
        <f t="shared" si="65"/>
        <v>17.864583333333332</v>
      </c>
      <c r="Q1184" s="5">
        <f t="shared" si="66"/>
        <v>0.31135416666666665</v>
      </c>
      <c r="R1184" s="5">
        <f t="shared" si="67"/>
        <v>18.681249999999999</v>
      </c>
    </row>
    <row r="1185" spans="1:18">
      <c r="A1185" s="4">
        <v>45014</v>
      </c>
      <c r="B1185" s="1" t="s">
        <v>18</v>
      </c>
      <c r="C1185" s="1">
        <f t="shared" si="74"/>
        <v>3</v>
      </c>
      <c r="D1185" s="1">
        <f t="shared" si="75"/>
        <v>29</v>
      </c>
      <c r="E1185" s="1">
        <f t="shared" si="76"/>
        <v>2023</v>
      </c>
      <c r="F1185" s="1">
        <v>1184</v>
      </c>
      <c r="G1185" s="1">
        <v>39</v>
      </c>
      <c r="H1185" s="1">
        <v>37</v>
      </c>
      <c r="I1185" s="2">
        <v>0.94869999999999999</v>
      </c>
      <c r="J1185" s="1">
        <v>2</v>
      </c>
      <c r="K1185" s="3">
        <v>3.4722222222222222E-5</v>
      </c>
      <c r="L1185" s="3">
        <v>2.0023148148148148E-3</v>
      </c>
      <c r="M1185" s="3">
        <v>6.7129629629629625E-4</v>
      </c>
      <c r="N1185" s="2">
        <v>0.97370000000000001</v>
      </c>
      <c r="O1185" s="5">
        <f t="shared" si="64"/>
        <v>7.408564814814815E-2</v>
      </c>
      <c r="P1185" s="5">
        <f t="shared" si="65"/>
        <v>4.4451388888888888</v>
      </c>
      <c r="Q1185" s="5">
        <f t="shared" si="66"/>
        <v>7.8090277777777772E-2</v>
      </c>
      <c r="R1185" s="5">
        <f t="shared" si="67"/>
        <v>4.6854166666666668</v>
      </c>
    </row>
    <row r="1186" spans="1:18">
      <c r="A1186" s="4">
        <v>45015</v>
      </c>
      <c r="B1186" s="1" t="s">
        <v>19</v>
      </c>
      <c r="C1186" s="1">
        <f t="shared" si="74"/>
        <v>3</v>
      </c>
      <c r="D1186" s="1">
        <f t="shared" si="75"/>
        <v>30</v>
      </c>
      <c r="E1186" s="1">
        <f t="shared" si="76"/>
        <v>2023</v>
      </c>
      <c r="F1186" s="1">
        <v>1185</v>
      </c>
      <c r="G1186" s="1">
        <v>170</v>
      </c>
      <c r="H1186" s="1">
        <v>167</v>
      </c>
      <c r="I1186" s="2">
        <v>0.98240000000000005</v>
      </c>
      <c r="J1186" s="1">
        <v>3</v>
      </c>
      <c r="K1186" s="3">
        <v>1.3888888888888889E-4</v>
      </c>
      <c r="L1186" s="3">
        <v>1.6666666666666668E-3</v>
      </c>
      <c r="M1186" s="3">
        <v>1.9675925925925924E-3</v>
      </c>
      <c r="N1186" s="2">
        <v>0.85289999999999999</v>
      </c>
      <c r="O1186" s="5">
        <f t="shared" si="64"/>
        <v>0.27833333333333338</v>
      </c>
      <c r="P1186" s="5">
        <f t="shared" si="65"/>
        <v>16.700000000000003</v>
      </c>
      <c r="Q1186" s="5">
        <f t="shared" si="66"/>
        <v>0.28333333333333333</v>
      </c>
      <c r="R1186" s="5">
        <f t="shared" si="67"/>
        <v>17</v>
      </c>
    </row>
    <row r="1187" spans="1:18">
      <c r="A1187" s="4">
        <v>45016</v>
      </c>
      <c r="B1187" s="1" t="s">
        <v>20</v>
      </c>
      <c r="C1187" s="1">
        <f t="shared" si="74"/>
        <v>3</v>
      </c>
      <c r="D1187" s="1">
        <f t="shared" si="75"/>
        <v>31</v>
      </c>
      <c r="E1187" s="1">
        <f t="shared" si="76"/>
        <v>2023</v>
      </c>
      <c r="F1187" s="1">
        <v>1186</v>
      </c>
      <c r="G1187" s="1">
        <v>180</v>
      </c>
      <c r="H1187" s="1">
        <v>168</v>
      </c>
      <c r="I1187" s="2">
        <v>0.93330000000000002</v>
      </c>
      <c r="J1187" s="1">
        <v>12</v>
      </c>
      <c r="K1187" s="3">
        <v>1.3888888888888889E-4</v>
      </c>
      <c r="L1187" s="3">
        <v>1.9212962962962964E-3</v>
      </c>
      <c r="M1187" s="3">
        <v>3.1134259259259257E-3</v>
      </c>
      <c r="N1187" s="2">
        <v>0.83150000000000002</v>
      </c>
      <c r="O1187" s="5">
        <f t="shared" si="64"/>
        <v>0.32277777777777777</v>
      </c>
      <c r="P1187" s="5">
        <f t="shared" si="65"/>
        <v>19.366666666666667</v>
      </c>
      <c r="Q1187" s="5">
        <f t="shared" si="66"/>
        <v>0.34583333333333333</v>
      </c>
      <c r="R1187" s="5">
        <f t="shared" si="67"/>
        <v>20.75</v>
      </c>
    </row>
    <row r="1188" spans="1:18">
      <c r="A1188" s="4">
        <v>45017</v>
      </c>
      <c r="B1188" s="1" t="s">
        <v>21</v>
      </c>
      <c r="C1188" s="1">
        <f t="shared" si="74"/>
        <v>4</v>
      </c>
      <c r="D1188" s="1">
        <f t="shared" si="75"/>
        <v>1</v>
      </c>
      <c r="E1188" s="1">
        <f t="shared" si="76"/>
        <v>2023</v>
      </c>
      <c r="F1188" s="1">
        <v>1187</v>
      </c>
      <c r="G1188" s="1">
        <v>24</v>
      </c>
      <c r="H1188" s="1">
        <v>24</v>
      </c>
      <c r="I1188" s="2">
        <v>1</v>
      </c>
      <c r="J1188" s="1">
        <v>0</v>
      </c>
      <c r="K1188" s="3">
        <v>4.6296296296296294E-5</v>
      </c>
      <c r="L1188" s="3">
        <v>1.8055555555555555E-3</v>
      </c>
      <c r="M1188" s="3">
        <v>2.4305555555555555E-4</v>
      </c>
      <c r="N1188" s="2">
        <v>1</v>
      </c>
      <c r="O1188" s="5">
        <f t="shared" si="64"/>
        <v>4.3333333333333335E-2</v>
      </c>
      <c r="P1188" s="5">
        <f t="shared" si="65"/>
        <v>2.6</v>
      </c>
      <c r="Q1188" s="5">
        <f t="shared" si="66"/>
        <v>4.3333333333333335E-2</v>
      </c>
      <c r="R1188" s="5">
        <f t="shared" si="67"/>
        <v>2.6</v>
      </c>
    </row>
    <row r="1189" spans="1:18">
      <c r="A1189" s="4">
        <v>45018</v>
      </c>
      <c r="B1189" s="1" t="s">
        <v>22</v>
      </c>
      <c r="C1189" s="1">
        <f t="shared" si="74"/>
        <v>4</v>
      </c>
      <c r="D1189" s="1">
        <f t="shared" si="75"/>
        <v>2</v>
      </c>
      <c r="E1189" s="1">
        <f t="shared" si="76"/>
        <v>2023</v>
      </c>
      <c r="F1189" s="1">
        <v>1188</v>
      </c>
      <c r="G1189" s="1">
        <v>7</v>
      </c>
      <c r="H1189" s="1">
        <v>7</v>
      </c>
      <c r="I1189" s="2">
        <v>1</v>
      </c>
      <c r="J1189" s="1">
        <v>0</v>
      </c>
      <c r="K1189" s="3">
        <v>3.8194444444444446E-4</v>
      </c>
      <c r="L1189" s="3">
        <v>1.8402777777777777E-3</v>
      </c>
      <c r="M1189" s="3">
        <v>1.0763888888888889E-3</v>
      </c>
      <c r="N1189" s="2">
        <v>0.42859999999999998</v>
      </c>
      <c r="O1189" s="5">
        <f t="shared" si="64"/>
        <v>1.2881944444444444E-2</v>
      </c>
      <c r="P1189" s="5">
        <f t="shared" si="65"/>
        <v>0.7729166666666667</v>
      </c>
      <c r="Q1189" s="5">
        <f t="shared" si="66"/>
        <v>1.2881944444444444E-2</v>
      </c>
      <c r="R1189" s="5">
        <f t="shared" si="67"/>
        <v>0.7729166666666667</v>
      </c>
    </row>
    <row r="1190" spans="1:18">
      <c r="A1190" s="4">
        <v>45019</v>
      </c>
      <c r="B1190" s="1" t="s">
        <v>23</v>
      </c>
      <c r="C1190" s="1">
        <f t="shared" si="74"/>
        <v>4</v>
      </c>
      <c r="D1190" s="1">
        <f t="shared" si="75"/>
        <v>3</v>
      </c>
      <c r="E1190" s="1">
        <f t="shared" si="76"/>
        <v>2023</v>
      </c>
      <c r="F1190" s="1">
        <v>1189</v>
      </c>
      <c r="G1190" s="1">
        <v>181</v>
      </c>
      <c r="H1190" s="1">
        <v>181</v>
      </c>
      <c r="I1190" s="2">
        <v>1</v>
      </c>
      <c r="J1190" s="1">
        <v>0</v>
      </c>
      <c r="K1190" s="3">
        <v>1.3888888888888889E-4</v>
      </c>
      <c r="L1190" s="3">
        <v>1.9328703703703704E-3</v>
      </c>
      <c r="M1190" s="3">
        <v>1.0300925925925926E-3</v>
      </c>
      <c r="N1190" s="2">
        <v>0.87849999999999995</v>
      </c>
      <c r="O1190" s="5">
        <f t="shared" si="64"/>
        <v>0.34984953703703703</v>
      </c>
      <c r="P1190" s="5">
        <f t="shared" si="65"/>
        <v>20.990972222222222</v>
      </c>
      <c r="Q1190" s="5">
        <f t="shared" si="66"/>
        <v>0.34984953703703703</v>
      </c>
      <c r="R1190" s="5">
        <f t="shared" si="67"/>
        <v>20.990972222222222</v>
      </c>
    </row>
    <row r="1191" spans="1:18">
      <c r="A1191" s="4">
        <v>45020</v>
      </c>
      <c r="B1191" s="1" t="s">
        <v>24</v>
      </c>
      <c r="C1191" s="1">
        <f t="shared" si="74"/>
        <v>4</v>
      </c>
      <c r="D1191" s="1">
        <f t="shared" si="75"/>
        <v>4</v>
      </c>
      <c r="E1191" s="1">
        <f t="shared" si="76"/>
        <v>2023</v>
      </c>
      <c r="F1191" s="1">
        <v>1190</v>
      </c>
      <c r="G1191" s="1">
        <v>209</v>
      </c>
      <c r="H1191" s="1">
        <v>206</v>
      </c>
      <c r="I1191" s="2">
        <v>0.98560000000000003</v>
      </c>
      <c r="J1191" s="1">
        <v>3</v>
      </c>
      <c r="K1191" s="3">
        <v>5.7870370370370373E-5</v>
      </c>
      <c r="L1191" s="3">
        <v>1.8749999999999999E-3</v>
      </c>
      <c r="M1191" s="3">
        <v>6.7129629629629625E-4</v>
      </c>
      <c r="N1191" s="2">
        <v>0.95169999999999999</v>
      </c>
      <c r="O1191" s="5">
        <f t="shared" si="64"/>
        <v>0.38624999999999998</v>
      </c>
      <c r="P1191" s="5">
        <f t="shared" si="65"/>
        <v>23.174999999999997</v>
      </c>
      <c r="Q1191" s="5">
        <f t="shared" si="66"/>
        <v>0.39187499999999997</v>
      </c>
      <c r="R1191" s="5">
        <f t="shared" si="67"/>
        <v>23.512499999999999</v>
      </c>
    </row>
    <row r="1192" spans="1:18">
      <c r="A1192" s="4">
        <v>45021</v>
      </c>
      <c r="B1192" s="1" t="s">
        <v>18</v>
      </c>
      <c r="C1192" s="1">
        <f t="shared" si="74"/>
        <v>4</v>
      </c>
      <c r="D1192" s="1">
        <f t="shared" si="75"/>
        <v>5</v>
      </c>
      <c r="E1192" s="1">
        <f t="shared" si="76"/>
        <v>2023</v>
      </c>
      <c r="F1192" s="1">
        <v>1191</v>
      </c>
      <c r="G1192" s="1">
        <v>180</v>
      </c>
      <c r="H1192" s="1">
        <v>179</v>
      </c>
      <c r="I1192" s="2">
        <v>0.99439999999999995</v>
      </c>
      <c r="J1192" s="1">
        <v>1</v>
      </c>
      <c r="K1192" s="3">
        <v>4.6296296296296294E-5</v>
      </c>
      <c r="L1192" s="3">
        <v>1.712962962962963E-3</v>
      </c>
      <c r="M1192" s="3">
        <v>7.1759259259259259E-4</v>
      </c>
      <c r="N1192" s="2">
        <v>0.97209999999999996</v>
      </c>
      <c r="O1192" s="5">
        <f t="shared" si="64"/>
        <v>0.30662037037037038</v>
      </c>
      <c r="P1192" s="5">
        <f t="shared" si="65"/>
        <v>18.397222222222222</v>
      </c>
      <c r="Q1192" s="5">
        <f t="shared" si="66"/>
        <v>0.30833333333333335</v>
      </c>
      <c r="R1192" s="5">
        <f t="shared" si="67"/>
        <v>18.5</v>
      </c>
    </row>
    <row r="1193" spans="1:18">
      <c r="A1193" s="4">
        <v>45022</v>
      </c>
      <c r="B1193" s="1" t="s">
        <v>19</v>
      </c>
      <c r="C1193" s="1">
        <f t="shared" si="74"/>
        <v>4</v>
      </c>
      <c r="D1193" s="1">
        <f t="shared" si="75"/>
        <v>6</v>
      </c>
      <c r="E1193" s="1">
        <f t="shared" si="76"/>
        <v>2023</v>
      </c>
      <c r="F1193" s="1">
        <v>1192</v>
      </c>
      <c r="G1193" s="1">
        <v>221</v>
      </c>
      <c r="H1193" s="1">
        <v>203</v>
      </c>
      <c r="I1193" s="2">
        <v>0.91859999999999997</v>
      </c>
      <c r="J1193" s="1">
        <v>18</v>
      </c>
      <c r="K1193" s="3">
        <v>1.3888888888888889E-4</v>
      </c>
      <c r="L1193" s="3">
        <v>1.8865740740740742E-3</v>
      </c>
      <c r="M1193" s="3">
        <v>2.0254629629629629E-3</v>
      </c>
      <c r="N1193" s="2">
        <v>0.87319999999999998</v>
      </c>
      <c r="O1193" s="5">
        <f t="shared" si="64"/>
        <v>0.38297453703703704</v>
      </c>
      <c r="P1193" s="5">
        <f t="shared" si="65"/>
        <v>22.978472222222223</v>
      </c>
      <c r="Q1193" s="5">
        <f t="shared" si="66"/>
        <v>0.41693287037037041</v>
      </c>
      <c r="R1193" s="5">
        <f t="shared" si="67"/>
        <v>25.015972222222224</v>
      </c>
    </row>
    <row r="1194" spans="1:18">
      <c r="A1194" s="4">
        <v>45023</v>
      </c>
      <c r="B1194" s="1" t="s">
        <v>20</v>
      </c>
      <c r="C1194" s="1">
        <f t="shared" si="74"/>
        <v>4</v>
      </c>
      <c r="D1194" s="1">
        <f t="shared" si="75"/>
        <v>7</v>
      </c>
      <c r="E1194" s="1">
        <f t="shared" si="76"/>
        <v>2023</v>
      </c>
      <c r="F1194" s="1">
        <v>1193</v>
      </c>
      <c r="G1194" s="1">
        <v>254</v>
      </c>
      <c r="H1194" s="1">
        <v>248</v>
      </c>
      <c r="I1194" s="2">
        <v>0.97640000000000005</v>
      </c>
      <c r="J1194" s="1">
        <v>6</v>
      </c>
      <c r="K1194" s="3">
        <v>1.1574074074074075E-4</v>
      </c>
      <c r="L1194" s="3">
        <v>1.9444444444444444E-3</v>
      </c>
      <c r="M1194" s="3">
        <v>2.1643518518518518E-3</v>
      </c>
      <c r="N1194" s="2">
        <v>0.90869999999999995</v>
      </c>
      <c r="O1194" s="5">
        <f t="shared" si="64"/>
        <v>0.48222222222222222</v>
      </c>
      <c r="P1194" s="5">
        <f t="shared" si="65"/>
        <v>28.933333333333334</v>
      </c>
      <c r="Q1194" s="5">
        <f t="shared" si="66"/>
        <v>0.49388888888888888</v>
      </c>
      <c r="R1194" s="5">
        <f t="shared" si="67"/>
        <v>29.633333333333333</v>
      </c>
    </row>
    <row r="1195" spans="1:18">
      <c r="A1195" s="4">
        <v>45024</v>
      </c>
      <c r="B1195" s="1" t="s">
        <v>21</v>
      </c>
      <c r="C1195" s="1">
        <f t="shared" si="74"/>
        <v>4</v>
      </c>
      <c r="D1195" s="1">
        <f t="shared" si="75"/>
        <v>8</v>
      </c>
      <c r="E1195" s="1">
        <f t="shared" si="76"/>
        <v>2023</v>
      </c>
      <c r="F1195" s="1">
        <v>1194</v>
      </c>
      <c r="G1195" s="1">
        <v>627</v>
      </c>
      <c r="H1195" s="1">
        <v>577</v>
      </c>
      <c r="I1195" s="2">
        <v>0.92030000000000001</v>
      </c>
      <c r="J1195" s="1">
        <v>50</v>
      </c>
      <c r="K1195" s="3">
        <v>4.7453703703703704E-4</v>
      </c>
      <c r="L1195" s="3">
        <v>1.8402777777777777E-3</v>
      </c>
      <c r="M1195" s="3">
        <v>3.7037037037037038E-3</v>
      </c>
      <c r="N1195" s="2">
        <v>0.47810000000000002</v>
      </c>
      <c r="O1195" s="5">
        <f t="shared" si="64"/>
        <v>1.0618402777777778</v>
      </c>
      <c r="P1195" s="5">
        <f t="shared" si="65"/>
        <v>63.710416666666667</v>
      </c>
      <c r="Q1195" s="5">
        <f t="shared" si="66"/>
        <v>1.1538541666666666</v>
      </c>
      <c r="R1195" s="5">
        <f t="shared" si="67"/>
        <v>69.231250000000003</v>
      </c>
    </row>
    <row r="1196" spans="1:18">
      <c r="A1196" s="4">
        <v>45025</v>
      </c>
      <c r="B1196" s="1" t="s">
        <v>22</v>
      </c>
      <c r="C1196" s="1">
        <f t="shared" si="74"/>
        <v>4</v>
      </c>
      <c r="D1196" s="1">
        <f t="shared" si="75"/>
        <v>9</v>
      </c>
      <c r="E1196" s="1">
        <f t="shared" si="76"/>
        <v>2023</v>
      </c>
      <c r="F1196" s="1">
        <v>1195</v>
      </c>
      <c r="G1196" s="1">
        <v>167</v>
      </c>
      <c r="H1196" s="1">
        <v>159</v>
      </c>
      <c r="I1196" s="2">
        <v>0.95209999999999995</v>
      </c>
      <c r="J1196" s="1">
        <v>8</v>
      </c>
      <c r="K1196" s="3">
        <v>2.0833333333333335E-4</v>
      </c>
      <c r="L1196" s="3">
        <v>2.1990740740740742E-3</v>
      </c>
      <c r="M1196" s="3">
        <v>2.7199074074074074E-3</v>
      </c>
      <c r="N1196" s="2">
        <v>0.76049999999999995</v>
      </c>
      <c r="O1196" s="5">
        <f t="shared" si="64"/>
        <v>0.34965277777777781</v>
      </c>
      <c r="P1196" s="5">
        <f t="shared" si="65"/>
        <v>20.979166666666668</v>
      </c>
      <c r="Q1196" s="5">
        <f t="shared" si="66"/>
        <v>0.36724537037037042</v>
      </c>
      <c r="R1196" s="5">
        <f t="shared" si="67"/>
        <v>22.034722222222225</v>
      </c>
    </row>
    <row r="1197" spans="1:18">
      <c r="A1197" s="4">
        <v>45026</v>
      </c>
      <c r="B1197" s="1" t="s">
        <v>23</v>
      </c>
      <c r="C1197" s="1">
        <f t="shared" si="74"/>
        <v>4</v>
      </c>
      <c r="D1197" s="1">
        <f t="shared" si="75"/>
        <v>10</v>
      </c>
      <c r="E1197" s="1">
        <f t="shared" si="76"/>
        <v>2023</v>
      </c>
      <c r="F1197" s="1">
        <v>1196</v>
      </c>
      <c r="G1197" s="1">
        <v>599</v>
      </c>
      <c r="H1197" s="1">
        <v>554</v>
      </c>
      <c r="I1197" s="2">
        <v>0.92490000000000006</v>
      </c>
      <c r="J1197" s="1">
        <v>45</v>
      </c>
      <c r="K1197" s="3">
        <v>2.8935185185185184E-4</v>
      </c>
      <c r="L1197" s="3">
        <v>1.7939814814814815E-3</v>
      </c>
      <c r="M1197" s="3">
        <v>3.3564814814814816E-3</v>
      </c>
      <c r="N1197" s="2">
        <v>0.63560000000000005</v>
      </c>
      <c r="O1197" s="5">
        <f t="shared" si="64"/>
        <v>0.99386574074074074</v>
      </c>
      <c r="P1197" s="5">
        <f t="shared" si="65"/>
        <v>59.631944444444443</v>
      </c>
      <c r="Q1197" s="5">
        <f t="shared" si="66"/>
        <v>1.0745949074074075</v>
      </c>
      <c r="R1197" s="5">
        <f t="shared" si="67"/>
        <v>64.475694444444443</v>
      </c>
    </row>
    <row r="1198" spans="1:18">
      <c r="A1198" s="4">
        <v>45027</v>
      </c>
      <c r="B1198" s="1" t="s">
        <v>24</v>
      </c>
      <c r="C1198" s="1">
        <f t="shared" si="74"/>
        <v>4</v>
      </c>
      <c r="D1198" s="1">
        <f t="shared" si="75"/>
        <v>11</v>
      </c>
      <c r="E1198" s="1">
        <f t="shared" si="76"/>
        <v>2023</v>
      </c>
      <c r="F1198" s="1">
        <v>1197</v>
      </c>
      <c r="G1198" s="1">
        <v>304</v>
      </c>
      <c r="H1198" s="1">
        <v>300</v>
      </c>
      <c r="I1198" s="2">
        <v>0.98680000000000001</v>
      </c>
      <c r="J1198" s="1">
        <v>4</v>
      </c>
      <c r="K1198" s="3">
        <v>8.1018518518518516E-5</v>
      </c>
      <c r="L1198" s="3">
        <v>1.7939814814814815E-3</v>
      </c>
      <c r="M1198" s="3">
        <v>2.0254629629629629E-3</v>
      </c>
      <c r="N1198" s="2">
        <v>0.92410000000000003</v>
      </c>
      <c r="O1198" s="5">
        <f t="shared" si="64"/>
        <v>0.53819444444444442</v>
      </c>
      <c r="P1198" s="5">
        <f t="shared" si="65"/>
        <v>32.291666666666664</v>
      </c>
      <c r="Q1198" s="5">
        <f t="shared" si="66"/>
        <v>0.54537037037037039</v>
      </c>
      <c r="R1198" s="5">
        <f t="shared" si="67"/>
        <v>32.722222222222221</v>
      </c>
    </row>
    <row r="1199" spans="1:18">
      <c r="A1199" s="4">
        <v>45028</v>
      </c>
      <c r="B1199" s="1" t="s">
        <v>18</v>
      </c>
      <c r="C1199" s="1">
        <f t="shared" si="74"/>
        <v>4</v>
      </c>
      <c r="D1199" s="1">
        <f t="shared" si="75"/>
        <v>12</v>
      </c>
      <c r="E1199" s="1">
        <f t="shared" si="76"/>
        <v>2023</v>
      </c>
      <c r="F1199" s="1">
        <v>1198</v>
      </c>
      <c r="G1199" s="1">
        <v>267</v>
      </c>
      <c r="H1199" s="1">
        <v>260</v>
      </c>
      <c r="I1199" s="2">
        <v>0.9738</v>
      </c>
      <c r="J1199" s="1">
        <v>7</v>
      </c>
      <c r="K1199" s="3">
        <v>9.2592592592592588E-5</v>
      </c>
      <c r="L1199" s="3">
        <v>2.0370370370370369E-3</v>
      </c>
      <c r="M1199" s="3">
        <v>1.3194444444444445E-3</v>
      </c>
      <c r="N1199" s="2">
        <v>0.90910000000000002</v>
      </c>
      <c r="O1199" s="5">
        <f t="shared" si="64"/>
        <v>0.52962962962962956</v>
      </c>
      <c r="P1199" s="5">
        <f t="shared" si="65"/>
        <v>31.777777777777775</v>
      </c>
      <c r="Q1199" s="5">
        <f t="shared" si="66"/>
        <v>0.54388888888888887</v>
      </c>
      <c r="R1199" s="5">
        <f t="shared" si="67"/>
        <v>32.633333333333333</v>
      </c>
    </row>
    <row r="1200" spans="1:18">
      <c r="A1200" s="4">
        <v>45029</v>
      </c>
      <c r="B1200" s="1" t="s">
        <v>19</v>
      </c>
      <c r="C1200" s="1">
        <f t="shared" si="74"/>
        <v>4</v>
      </c>
      <c r="D1200" s="1">
        <f t="shared" si="75"/>
        <v>13</v>
      </c>
      <c r="E1200" s="1">
        <f t="shared" si="76"/>
        <v>2023</v>
      </c>
      <c r="F1200" s="1">
        <v>1199</v>
      </c>
      <c r="G1200" s="1">
        <v>286</v>
      </c>
      <c r="H1200" s="1">
        <v>281</v>
      </c>
      <c r="I1200" s="2">
        <v>0.98250000000000004</v>
      </c>
      <c r="J1200" s="1">
        <v>5</v>
      </c>
      <c r="K1200" s="3">
        <v>1.273148148148148E-4</v>
      </c>
      <c r="L1200" s="3">
        <v>1.8518518518518519E-3</v>
      </c>
      <c r="M1200" s="3">
        <v>2.0138888888888888E-3</v>
      </c>
      <c r="N1200" s="2">
        <v>0.86970000000000003</v>
      </c>
      <c r="O1200" s="5">
        <f t="shared" si="64"/>
        <v>0.52037037037037037</v>
      </c>
      <c r="P1200" s="5">
        <f t="shared" si="65"/>
        <v>31.222222222222221</v>
      </c>
      <c r="Q1200" s="5">
        <f t="shared" si="66"/>
        <v>0.52962962962962967</v>
      </c>
      <c r="R1200" s="5">
        <f t="shared" si="67"/>
        <v>31.777777777777779</v>
      </c>
    </row>
    <row r="1201" spans="1:18">
      <c r="A1201" s="4">
        <v>45030</v>
      </c>
      <c r="B1201" s="1" t="s">
        <v>20</v>
      </c>
      <c r="C1201" s="1">
        <f t="shared" si="74"/>
        <v>4</v>
      </c>
      <c r="D1201" s="1">
        <f t="shared" si="75"/>
        <v>14</v>
      </c>
      <c r="E1201" s="1">
        <f t="shared" si="76"/>
        <v>2023</v>
      </c>
      <c r="F1201" s="1">
        <v>1200</v>
      </c>
      <c r="G1201" s="1">
        <v>196</v>
      </c>
      <c r="H1201" s="1">
        <v>192</v>
      </c>
      <c r="I1201" s="2">
        <v>0.97960000000000003</v>
      </c>
      <c r="J1201" s="1">
        <v>4</v>
      </c>
      <c r="K1201" s="3">
        <v>1.5046296296296297E-4</v>
      </c>
      <c r="L1201" s="3">
        <v>1.8865740740740742E-3</v>
      </c>
      <c r="M1201" s="3">
        <v>1.4583333333333334E-3</v>
      </c>
      <c r="N1201" s="2">
        <v>0.85640000000000005</v>
      </c>
      <c r="O1201" s="5">
        <f t="shared" si="64"/>
        <v>0.36222222222222222</v>
      </c>
      <c r="P1201" s="5">
        <f t="shared" si="65"/>
        <v>21.733333333333334</v>
      </c>
      <c r="Q1201" s="5">
        <f t="shared" si="66"/>
        <v>0.36976851851851855</v>
      </c>
      <c r="R1201" s="5">
        <f t="shared" si="67"/>
        <v>22.186111111111114</v>
      </c>
    </row>
    <row r="1202" spans="1:18">
      <c r="A1202" s="4">
        <v>45031</v>
      </c>
      <c r="B1202" s="1" t="s">
        <v>21</v>
      </c>
      <c r="C1202" s="1">
        <f t="shared" si="74"/>
        <v>4</v>
      </c>
      <c r="D1202" s="1">
        <f t="shared" si="75"/>
        <v>15</v>
      </c>
      <c r="E1202" s="1">
        <f t="shared" si="76"/>
        <v>2023</v>
      </c>
      <c r="F1202" s="1">
        <v>1201</v>
      </c>
      <c r="G1202" s="1">
        <v>191</v>
      </c>
      <c r="H1202" s="1">
        <v>189</v>
      </c>
      <c r="I1202" s="2">
        <v>0.98950000000000005</v>
      </c>
      <c r="J1202" s="1">
        <v>2</v>
      </c>
      <c r="K1202" s="3">
        <v>1.273148148148148E-4</v>
      </c>
      <c r="L1202" s="3">
        <v>2.0833333333333333E-3</v>
      </c>
      <c r="M1202" s="3">
        <v>1.7824074074074075E-3</v>
      </c>
      <c r="N1202" s="2">
        <v>0.88419999999999999</v>
      </c>
      <c r="O1202" s="5">
        <f t="shared" si="64"/>
        <v>0.39374999999999999</v>
      </c>
      <c r="P1202" s="5">
        <f t="shared" si="65"/>
        <v>23.625</v>
      </c>
      <c r="Q1202" s="5">
        <f t="shared" si="66"/>
        <v>0.39791666666666664</v>
      </c>
      <c r="R1202" s="5">
        <f t="shared" si="67"/>
        <v>23.875</v>
      </c>
    </row>
    <row r="1203" spans="1:18">
      <c r="A1203" s="4">
        <v>45032</v>
      </c>
      <c r="B1203" s="1" t="s">
        <v>22</v>
      </c>
      <c r="C1203" s="1">
        <f t="shared" si="74"/>
        <v>4</v>
      </c>
      <c r="D1203" s="1">
        <f t="shared" si="75"/>
        <v>16</v>
      </c>
      <c r="E1203" s="1">
        <f t="shared" si="76"/>
        <v>2023</v>
      </c>
      <c r="F1203" s="1">
        <v>1202</v>
      </c>
      <c r="G1203" s="1">
        <v>60</v>
      </c>
      <c r="H1203" s="1">
        <v>60</v>
      </c>
      <c r="I1203" s="2">
        <v>1</v>
      </c>
      <c r="J1203" s="1">
        <v>0</v>
      </c>
      <c r="K1203" s="3">
        <v>6.9444444444444444E-5</v>
      </c>
      <c r="L1203" s="3">
        <v>1.3657407407407407E-3</v>
      </c>
      <c r="M1203" s="3">
        <v>6.8287037037037036E-4</v>
      </c>
      <c r="N1203" s="2">
        <v>0.9667</v>
      </c>
      <c r="O1203" s="5">
        <f t="shared" si="64"/>
        <v>8.1944444444444445E-2</v>
      </c>
      <c r="P1203" s="5">
        <f t="shared" si="65"/>
        <v>4.916666666666667</v>
      </c>
      <c r="Q1203" s="5">
        <f t="shared" si="66"/>
        <v>8.1944444444444445E-2</v>
      </c>
      <c r="R1203" s="5">
        <f t="shared" si="67"/>
        <v>4.916666666666667</v>
      </c>
    </row>
    <row r="1204" spans="1:18">
      <c r="A1204" s="4">
        <v>45033</v>
      </c>
      <c r="B1204" s="1" t="s">
        <v>23</v>
      </c>
      <c r="C1204" s="1">
        <f t="shared" si="74"/>
        <v>4</v>
      </c>
      <c r="D1204" s="1">
        <f t="shared" si="75"/>
        <v>17</v>
      </c>
      <c r="E1204" s="1">
        <f t="shared" si="76"/>
        <v>2023</v>
      </c>
      <c r="F1204" s="1">
        <v>1203</v>
      </c>
      <c r="G1204" s="1">
        <v>215</v>
      </c>
      <c r="H1204" s="1">
        <v>207</v>
      </c>
      <c r="I1204" s="2">
        <v>0.96279999999999999</v>
      </c>
      <c r="J1204" s="1">
        <v>8</v>
      </c>
      <c r="K1204" s="3">
        <v>1.1574074074074075E-4</v>
      </c>
      <c r="L1204" s="3">
        <v>1.8518518518518519E-3</v>
      </c>
      <c r="M1204" s="3">
        <v>1.2037037037037038E-3</v>
      </c>
      <c r="N1204" s="2">
        <v>0.90429999999999999</v>
      </c>
      <c r="O1204" s="5">
        <f t="shared" si="64"/>
        <v>0.38333333333333336</v>
      </c>
      <c r="P1204" s="5">
        <f t="shared" si="65"/>
        <v>23</v>
      </c>
      <c r="Q1204" s="5">
        <f t="shared" si="66"/>
        <v>0.39814814814814814</v>
      </c>
      <c r="R1204" s="5">
        <f t="shared" si="67"/>
        <v>23.888888888888889</v>
      </c>
    </row>
    <row r="1205" spans="1:18">
      <c r="A1205" s="4">
        <v>45034</v>
      </c>
      <c r="B1205" s="1" t="s">
        <v>24</v>
      </c>
      <c r="C1205" s="1">
        <f t="shared" si="74"/>
        <v>4</v>
      </c>
      <c r="D1205" s="1">
        <f t="shared" si="75"/>
        <v>18</v>
      </c>
      <c r="E1205" s="1">
        <f t="shared" si="76"/>
        <v>2023</v>
      </c>
      <c r="F1205" s="1">
        <v>1204</v>
      </c>
      <c r="G1205" s="1">
        <v>221</v>
      </c>
      <c r="H1205" s="1">
        <v>213</v>
      </c>
      <c r="I1205" s="2">
        <v>0.96379999999999999</v>
      </c>
      <c r="J1205" s="1">
        <v>8</v>
      </c>
      <c r="K1205" s="3">
        <v>9.2592592592592588E-5</v>
      </c>
      <c r="L1205" s="3">
        <v>1.7939814814814815E-3</v>
      </c>
      <c r="M1205" s="3">
        <v>1.238425925925926E-3</v>
      </c>
      <c r="N1205" s="2">
        <v>0.90449999999999997</v>
      </c>
      <c r="O1205" s="5">
        <f t="shared" si="64"/>
        <v>0.38211805555555556</v>
      </c>
      <c r="P1205" s="5">
        <f t="shared" si="65"/>
        <v>22.927083333333332</v>
      </c>
      <c r="Q1205" s="5">
        <f t="shared" si="66"/>
        <v>0.3964699074074074</v>
      </c>
      <c r="R1205" s="5">
        <f t="shared" si="67"/>
        <v>23.788194444444443</v>
      </c>
    </row>
    <row r="1206" spans="1:18">
      <c r="A1206" s="4">
        <v>45035</v>
      </c>
      <c r="B1206" s="1" t="s">
        <v>18</v>
      </c>
      <c r="C1206" s="1">
        <f t="shared" si="74"/>
        <v>4</v>
      </c>
      <c r="D1206" s="1">
        <f t="shared" si="75"/>
        <v>19</v>
      </c>
      <c r="E1206" s="1">
        <f t="shared" si="76"/>
        <v>2023</v>
      </c>
      <c r="F1206" s="1">
        <v>1205</v>
      </c>
      <c r="G1206" s="1">
        <v>201</v>
      </c>
      <c r="H1206" s="1">
        <v>193</v>
      </c>
      <c r="I1206" s="2">
        <v>0.96020000000000005</v>
      </c>
      <c r="J1206" s="1">
        <v>8</v>
      </c>
      <c r="K1206" s="3">
        <v>3.4722222222222222E-5</v>
      </c>
      <c r="L1206" s="3">
        <v>1.9212962962962964E-3</v>
      </c>
      <c r="M1206" s="3">
        <v>6.7129629629629625E-4</v>
      </c>
      <c r="N1206" s="2">
        <v>0.98450000000000004</v>
      </c>
      <c r="O1206" s="5">
        <f t="shared" si="64"/>
        <v>0.37081018518518521</v>
      </c>
      <c r="P1206" s="5">
        <f t="shared" si="65"/>
        <v>22.248611111111114</v>
      </c>
      <c r="Q1206" s="5">
        <f t="shared" si="66"/>
        <v>0.38618055555555558</v>
      </c>
      <c r="R1206" s="5">
        <f t="shared" si="67"/>
        <v>23.170833333333334</v>
      </c>
    </row>
    <row r="1207" spans="1:18">
      <c r="A1207" s="4">
        <v>45036</v>
      </c>
      <c r="B1207" s="1" t="s">
        <v>19</v>
      </c>
      <c r="C1207" s="1">
        <f t="shared" si="74"/>
        <v>4</v>
      </c>
      <c r="D1207" s="1">
        <f t="shared" si="75"/>
        <v>20</v>
      </c>
      <c r="E1207" s="1">
        <f t="shared" si="76"/>
        <v>2023</v>
      </c>
      <c r="F1207" s="1">
        <v>1206</v>
      </c>
      <c r="G1207" s="1">
        <v>205</v>
      </c>
      <c r="H1207" s="1">
        <v>202</v>
      </c>
      <c r="I1207" s="2">
        <v>0.98540000000000005</v>
      </c>
      <c r="J1207" s="1">
        <v>3</v>
      </c>
      <c r="K1207" s="3">
        <v>5.7870370370370373E-5</v>
      </c>
      <c r="L1207" s="3">
        <v>1.9444444444444444E-3</v>
      </c>
      <c r="M1207" s="3">
        <v>7.9861111111111116E-4</v>
      </c>
      <c r="N1207" s="2">
        <v>0.96060000000000001</v>
      </c>
      <c r="O1207" s="5">
        <f t="shared" si="64"/>
        <v>0.39277777777777778</v>
      </c>
      <c r="P1207" s="5">
        <f t="shared" si="65"/>
        <v>23.566666666666666</v>
      </c>
      <c r="Q1207" s="5">
        <f t="shared" si="66"/>
        <v>0.39861111111111108</v>
      </c>
      <c r="R1207" s="5">
        <f t="shared" si="67"/>
        <v>23.916666666666664</v>
      </c>
    </row>
    <row r="1208" spans="1:18">
      <c r="A1208" s="4">
        <v>45037</v>
      </c>
      <c r="B1208" s="1" t="s">
        <v>20</v>
      </c>
      <c r="C1208" s="1">
        <f t="shared" si="74"/>
        <v>4</v>
      </c>
      <c r="D1208" s="1">
        <f t="shared" si="75"/>
        <v>21</v>
      </c>
      <c r="E1208" s="1">
        <f t="shared" si="76"/>
        <v>2023</v>
      </c>
      <c r="F1208" s="1">
        <v>1207</v>
      </c>
      <c r="G1208" s="1">
        <v>201</v>
      </c>
      <c r="H1208" s="1">
        <v>194</v>
      </c>
      <c r="I1208" s="2">
        <v>0.96519999999999995</v>
      </c>
      <c r="J1208" s="1">
        <v>7</v>
      </c>
      <c r="K1208" s="3">
        <v>1.6203703703703703E-4</v>
      </c>
      <c r="L1208" s="3">
        <v>1.8981481481481482E-3</v>
      </c>
      <c r="M1208" s="3">
        <v>1.724537037037037E-3</v>
      </c>
      <c r="N1208" s="2">
        <v>0.84260000000000002</v>
      </c>
      <c r="O1208" s="5">
        <f t="shared" si="64"/>
        <v>0.36824074074074076</v>
      </c>
      <c r="P1208" s="5">
        <f t="shared" si="65"/>
        <v>22.094444444444445</v>
      </c>
      <c r="Q1208" s="5">
        <f t="shared" si="66"/>
        <v>0.3815277777777778</v>
      </c>
      <c r="R1208" s="5">
        <f t="shared" si="67"/>
        <v>22.891666666666669</v>
      </c>
    </row>
    <row r="1209" spans="1:18">
      <c r="A1209" s="4">
        <v>45038</v>
      </c>
      <c r="B1209" s="1" t="s">
        <v>21</v>
      </c>
      <c r="C1209" s="1">
        <f t="shared" si="74"/>
        <v>4</v>
      </c>
      <c r="D1209" s="1">
        <f t="shared" si="75"/>
        <v>22</v>
      </c>
      <c r="E1209" s="1">
        <f t="shared" si="76"/>
        <v>2023</v>
      </c>
      <c r="F1209" s="1">
        <v>1208</v>
      </c>
      <c r="G1209" s="1">
        <v>140</v>
      </c>
      <c r="H1209" s="1">
        <v>132</v>
      </c>
      <c r="I1209" s="2">
        <v>0.94289999999999996</v>
      </c>
      <c r="J1209" s="1">
        <v>8</v>
      </c>
      <c r="K1209" s="3">
        <v>8.1018518518518516E-5</v>
      </c>
      <c r="L1209" s="3">
        <v>1.2847222222222223E-3</v>
      </c>
      <c r="M1209" s="3">
        <v>1.3425925925925925E-3</v>
      </c>
      <c r="N1209" s="2">
        <v>0.92479999999999996</v>
      </c>
      <c r="O1209" s="5">
        <f t="shared" si="64"/>
        <v>0.16958333333333334</v>
      </c>
      <c r="P1209" s="5">
        <f t="shared" si="65"/>
        <v>10.175000000000001</v>
      </c>
      <c r="Q1209" s="5">
        <f t="shared" si="66"/>
        <v>0.17986111111111111</v>
      </c>
      <c r="R1209" s="5">
        <f t="shared" si="67"/>
        <v>10.791666666666666</v>
      </c>
    </row>
    <row r="1210" spans="1:18">
      <c r="A1210" s="4">
        <v>45039</v>
      </c>
      <c r="B1210" s="1" t="s">
        <v>22</v>
      </c>
      <c r="C1210" s="1">
        <f t="shared" si="74"/>
        <v>4</v>
      </c>
      <c r="D1210" s="1">
        <f t="shared" si="75"/>
        <v>23</v>
      </c>
      <c r="E1210" s="1">
        <f t="shared" si="76"/>
        <v>2023</v>
      </c>
      <c r="F1210" s="1">
        <v>1209</v>
      </c>
      <c r="G1210" s="1">
        <v>29</v>
      </c>
      <c r="H1210" s="1">
        <v>28</v>
      </c>
      <c r="I1210" s="2">
        <v>0.96550000000000002</v>
      </c>
      <c r="J1210" s="1">
        <v>1</v>
      </c>
      <c r="K1210" s="3">
        <v>1.5046296296296297E-4</v>
      </c>
      <c r="L1210" s="3">
        <v>2.1875000000000002E-3</v>
      </c>
      <c r="M1210" s="3">
        <v>1.238425925925926E-3</v>
      </c>
      <c r="N1210" s="2">
        <v>0.8276</v>
      </c>
      <c r="O1210" s="5">
        <f t="shared" si="64"/>
        <v>6.1250000000000006E-2</v>
      </c>
      <c r="P1210" s="5">
        <f t="shared" si="65"/>
        <v>3.6750000000000003</v>
      </c>
      <c r="Q1210" s="5">
        <f t="shared" si="66"/>
        <v>6.3437500000000008E-2</v>
      </c>
      <c r="R1210" s="5">
        <f t="shared" si="67"/>
        <v>3.8062500000000004</v>
      </c>
    </row>
    <row r="1211" spans="1:18">
      <c r="A1211" s="4">
        <v>45040</v>
      </c>
      <c r="B1211" s="1" t="s">
        <v>23</v>
      </c>
      <c r="C1211" s="1">
        <f t="shared" si="74"/>
        <v>4</v>
      </c>
      <c r="D1211" s="1">
        <f t="shared" si="75"/>
        <v>24</v>
      </c>
      <c r="E1211" s="1">
        <f t="shared" si="76"/>
        <v>2023</v>
      </c>
      <c r="F1211" s="1">
        <v>1210</v>
      </c>
      <c r="G1211" s="1">
        <v>398</v>
      </c>
      <c r="H1211" s="1">
        <v>372</v>
      </c>
      <c r="I1211" s="2">
        <v>0.93469999999999998</v>
      </c>
      <c r="J1211" s="1">
        <v>26</v>
      </c>
      <c r="K1211" s="3">
        <v>2.4305555555555555E-4</v>
      </c>
      <c r="L1211" s="3">
        <v>1.9791666666666668E-3</v>
      </c>
      <c r="M1211" s="3">
        <v>2.9282407407407408E-3</v>
      </c>
      <c r="N1211" s="2">
        <v>0.72519999999999996</v>
      </c>
      <c r="O1211" s="5">
        <f t="shared" si="64"/>
        <v>0.73625000000000007</v>
      </c>
      <c r="P1211" s="5">
        <f t="shared" si="65"/>
        <v>44.175000000000004</v>
      </c>
      <c r="Q1211" s="5">
        <f t="shared" si="66"/>
        <v>0.78770833333333345</v>
      </c>
      <c r="R1211" s="5">
        <f t="shared" si="67"/>
        <v>47.26250000000001</v>
      </c>
    </row>
    <row r="1212" spans="1:18">
      <c r="A1212" s="4">
        <v>45041</v>
      </c>
      <c r="B1212" s="1" t="s">
        <v>24</v>
      </c>
      <c r="C1212" s="1">
        <f t="shared" si="74"/>
        <v>4</v>
      </c>
      <c r="D1212" s="1">
        <f t="shared" si="75"/>
        <v>25</v>
      </c>
      <c r="E1212" s="1">
        <f t="shared" si="76"/>
        <v>2023</v>
      </c>
      <c r="F1212" s="1">
        <v>1211</v>
      </c>
      <c r="G1212" s="1">
        <v>255</v>
      </c>
      <c r="H1212" s="1">
        <v>249</v>
      </c>
      <c r="I1212" s="2">
        <v>0.97650000000000003</v>
      </c>
      <c r="J1212" s="1">
        <v>6</v>
      </c>
      <c r="K1212" s="3">
        <v>1.7361111111111112E-4</v>
      </c>
      <c r="L1212" s="3">
        <v>2.0949074074074073E-3</v>
      </c>
      <c r="M1212" s="3">
        <v>1.4930555555555556E-3</v>
      </c>
      <c r="N1212" s="2">
        <v>0.83330000000000004</v>
      </c>
      <c r="O1212" s="5">
        <f t="shared" si="64"/>
        <v>0.52163194444444438</v>
      </c>
      <c r="P1212" s="5">
        <f t="shared" si="65"/>
        <v>31.297916666666662</v>
      </c>
      <c r="Q1212" s="5">
        <f t="shared" si="66"/>
        <v>0.53420138888888891</v>
      </c>
      <c r="R1212" s="5">
        <f t="shared" si="67"/>
        <v>32.052083333333336</v>
      </c>
    </row>
    <row r="1213" spans="1:18">
      <c r="A1213" s="4">
        <v>45042</v>
      </c>
      <c r="B1213" s="1" t="s">
        <v>18</v>
      </c>
      <c r="C1213" s="1">
        <f t="shared" si="74"/>
        <v>4</v>
      </c>
      <c r="D1213" s="1">
        <f t="shared" si="75"/>
        <v>26</v>
      </c>
      <c r="E1213" s="1">
        <f t="shared" si="76"/>
        <v>2023</v>
      </c>
      <c r="F1213" s="1">
        <v>1212</v>
      </c>
      <c r="G1213" s="1">
        <v>283</v>
      </c>
      <c r="H1213" s="1">
        <v>278</v>
      </c>
      <c r="I1213" s="2">
        <v>0.98229999999999995</v>
      </c>
      <c r="J1213" s="1">
        <v>5</v>
      </c>
      <c r="K1213" s="3">
        <v>1.9675925925925926E-4</v>
      </c>
      <c r="L1213" s="3">
        <v>1.8287037037037037E-3</v>
      </c>
      <c r="M1213" s="3">
        <v>1.3773148148148147E-3</v>
      </c>
      <c r="N1213" s="2">
        <v>0.79569999999999996</v>
      </c>
      <c r="O1213" s="5">
        <f t="shared" si="64"/>
        <v>0.50837962962962968</v>
      </c>
      <c r="P1213" s="5">
        <f t="shared" si="65"/>
        <v>30.50277777777778</v>
      </c>
      <c r="Q1213" s="5">
        <f t="shared" si="66"/>
        <v>0.51752314814814815</v>
      </c>
      <c r="R1213" s="5">
        <f t="shared" si="67"/>
        <v>31.051388888888887</v>
      </c>
    </row>
    <row r="1214" spans="1:18">
      <c r="A1214" s="4">
        <v>45043</v>
      </c>
      <c r="B1214" s="1" t="s">
        <v>19</v>
      </c>
      <c r="C1214" s="1">
        <f t="shared" si="74"/>
        <v>4</v>
      </c>
      <c r="D1214" s="1">
        <f t="shared" si="75"/>
        <v>27</v>
      </c>
      <c r="E1214" s="1">
        <f t="shared" si="76"/>
        <v>2023</v>
      </c>
      <c r="F1214" s="1">
        <v>1213</v>
      </c>
      <c r="G1214" s="1">
        <v>230</v>
      </c>
      <c r="H1214" s="1">
        <v>222</v>
      </c>
      <c r="I1214" s="2">
        <v>0.96519999999999995</v>
      </c>
      <c r="J1214" s="1">
        <v>8</v>
      </c>
      <c r="K1214" s="3">
        <v>2.4305555555555555E-4</v>
      </c>
      <c r="L1214" s="3">
        <v>1.9212962962962964E-3</v>
      </c>
      <c r="M1214" s="3">
        <v>1.9097222222222222E-3</v>
      </c>
      <c r="N1214" s="2">
        <v>0.72250000000000003</v>
      </c>
      <c r="O1214" s="5">
        <f t="shared" si="64"/>
        <v>0.42652777777777778</v>
      </c>
      <c r="P1214" s="5">
        <f t="shared" si="65"/>
        <v>25.591666666666669</v>
      </c>
      <c r="Q1214" s="5">
        <f t="shared" si="66"/>
        <v>0.44189814814814815</v>
      </c>
      <c r="R1214" s="5">
        <f t="shared" si="67"/>
        <v>26.513888888888889</v>
      </c>
    </row>
    <row r="1215" spans="1:18">
      <c r="A1215" s="4">
        <v>45044</v>
      </c>
      <c r="B1215" s="1" t="s">
        <v>20</v>
      </c>
      <c r="C1215" s="1">
        <f t="shared" si="74"/>
        <v>4</v>
      </c>
      <c r="D1215" s="1">
        <f t="shared" si="75"/>
        <v>28</v>
      </c>
      <c r="E1215" s="1">
        <f t="shared" si="76"/>
        <v>2023</v>
      </c>
      <c r="F1215" s="1">
        <v>1214</v>
      </c>
      <c r="G1215" s="1">
        <v>185</v>
      </c>
      <c r="H1215" s="1">
        <v>183</v>
      </c>
      <c r="I1215" s="2">
        <v>0.98919999999999997</v>
      </c>
      <c r="J1215" s="1">
        <v>2</v>
      </c>
      <c r="K1215" s="3">
        <v>1.1574074074074075E-4</v>
      </c>
      <c r="L1215" s="3">
        <v>2.2569444444444442E-3</v>
      </c>
      <c r="M1215" s="3">
        <v>9.2592592592592596E-4</v>
      </c>
      <c r="N1215" s="2">
        <v>0.89729999999999999</v>
      </c>
      <c r="O1215" s="5">
        <f t="shared" si="64"/>
        <v>0.41302083333333328</v>
      </c>
      <c r="P1215" s="5">
        <f t="shared" si="65"/>
        <v>24.781249999999996</v>
      </c>
      <c r="Q1215" s="5">
        <f t="shared" si="66"/>
        <v>0.41753472222222221</v>
      </c>
      <c r="R1215" s="5">
        <f t="shared" si="67"/>
        <v>25.052083333333332</v>
      </c>
    </row>
    <row r="1216" spans="1:18">
      <c r="A1216" s="4">
        <v>45045</v>
      </c>
      <c r="B1216" s="1" t="s">
        <v>21</v>
      </c>
      <c r="C1216" s="1">
        <f t="shared" si="74"/>
        <v>4</v>
      </c>
      <c r="D1216" s="1">
        <f t="shared" si="75"/>
        <v>29</v>
      </c>
      <c r="E1216" s="1">
        <f t="shared" si="76"/>
        <v>2023</v>
      </c>
      <c r="F1216" s="1">
        <v>1215</v>
      </c>
      <c r="G1216" s="1">
        <v>197</v>
      </c>
      <c r="H1216" s="1">
        <v>194</v>
      </c>
      <c r="I1216" s="2">
        <v>0.98480000000000001</v>
      </c>
      <c r="J1216" s="1">
        <v>3</v>
      </c>
      <c r="K1216" s="3">
        <v>1.5046296296296297E-4</v>
      </c>
      <c r="L1216" s="3">
        <v>1.9560185185185184E-3</v>
      </c>
      <c r="M1216" s="3">
        <v>1.4004629629629629E-3</v>
      </c>
      <c r="N1216" s="2">
        <v>0.82650000000000001</v>
      </c>
      <c r="O1216" s="5">
        <f t="shared" si="64"/>
        <v>0.37946759259259255</v>
      </c>
      <c r="P1216" s="5">
        <f t="shared" si="65"/>
        <v>22.768055555555552</v>
      </c>
      <c r="Q1216" s="5">
        <f t="shared" si="66"/>
        <v>0.38533564814814814</v>
      </c>
      <c r="R1216" s="5">
        <f t="shared" si="67"/>
        <v>23.120138888888889</v>
      </c>
    </row>
    <row r="1217" spans="1:18">
      <c r="A1217" s="4">
        <v>45046</v>
      </c>
      <c r="B1217" s="1" t="s">
        <v>22</v>
      </c>
      <c r="C1217" s="1">
        <f t="shared" si="74"/>
        <v>4</v>
      </c>
      <c r="D1217" s="1">
        <f t="shared" si="75"/>
        <v>30</v>
      </c>
      <c r="E1217" s="1">
        <f t="shared" si="76"/>
        <v>2023</v>
      </c>
      <c r="F1217" s="1">
        <v>1216</v>
      </c>
      <c r="G1217" s="1">
        <v>15</v>
      </c>
      <c r="H1217" s="1">
        <v>14</v>
      </c>
      <c r="I1217" s="2">
        <v>0.93330000000000002</v>
      </c>
      <c r="J1217" s="1">
        <v>1</v>
      </c>
      <c r="K1217" s="3">
        <v>1.3888888888888889E-4</v>
      </c>
      <c r="L1217" s="3">
        <v>2.2453703703703702E-3</v>
      </c>
      <c r="M1217" s="3">
        <v>1.25E-3</v>
      </c>
      <c r="N1217" s="2">
        <v>0.86670000000000003</v>
      </c>
      <c r="O1217" s="5">
        <f t="shared" si="64"/>
        <v>3.1435185185185184E-2</v>
      </c>
      <c r="P1217" s="5">
        <f t="shared" si="65"/>
        <v>1.8861111111111111</v>
      </c>
      <c r="Q1217" s="5">
        <f t="shared" si="66"/>
        <v>3.3680555555555554E-2</v>
      </c>
      <c r="R1217" s="5">
        <f t="shared" si="67"/>
        <v>2.020833333333333</v>
      </c>
    </row>
    <row r="1218" spans="1:18">
      <c r="A1218" s="4">
        <v>45047</v>
      </c>
      <c r="B1218" s="1" t="s">
        <v>23</v>
      </c>
      <c r="C1218" s="1">
        <f t="shared" si="74"/>
        <v>5</v>
      </c>
      <c r="D1218" s="1">
        <f t="shared" si="75"/>
        <v>1</v>
      </c>
      <c r="E1218" s="1">
        <f t="shared" si="76"/>
        <v>2023</v>
      </c>
      <c r="F1218" s="1">
        <v>1217</v>
      </c>
      <c r="G1218" s="1">
        <v>230</v>
      </c>
      <c r="H1218" s="1">
        <v>228</v>
      </c>
      <c r="I1218" s="2">
        <v>0.99129999999999996</v>
      </c>
      <c r="J1218" s="1">
        <v>2</v>
      </c>
      <c r="K1218" s="3">
        <v>8.1018518518518516E-5</v>
      </c>
      <c r="L1218" s="3">
        <v>1.9328703703703704E-3</v>
      </c>
      <c r="M1218" s="3">
        <v>7.0601851851851847E-4</v>
      </c>
      <c r="N1218" s="2">
        <v>0.93889999999999996</v>
      </c>
      <c r="O1218" s="5">
        <f t="shared" si="64"/>
        <v>0.44069444444444444</v>
      </c>
      <c r="P1218" s="5">
        <f t="shared" si="65"/>
        <v>26.441666666666666</v>
      </c>
      <c r="Q1218" s="5">
        <f t="shared" si="66"/>
        <v>0.4445601851851852</v>
      </c>
      <c r="R1218" s="5">
        <f t="shared" si="67"/>
        <v>26.673611111111111</v>
      </c>
    </row>
    <row r="1219" spans="1:18">
      <c r="A1219" s="4">
        <v>45048</v>
      </c>
      <c r="B1219" s="1" t="s">
        <v>24</v>
      </c>
      <c r="C1219" s="1">
        <f t="shared" ref="C1219:C1252" si="77">MONTH(A1219)</f>
        <v>5</v>
      </c>
      <c r="D1219" s="1">
        <f t="shared" ref="D1219:D1252" si="78">DAY(A1219)</f>
        <v>2</v>
      </c>
      <c r="E1219" s="1">
        <f t="shared" ref="E1219:E1252" si="79">YEAR(A1219)</f>
        <v>2023</v>
      </c>
      <c r="F1219" s="1">
        <v>1218</v>
      </c>
      <c r="G1219" s="1">
        <v>232</v>
      </c>
      <c r="H1219" s="1">
        <v>224</v>
      </c>
      <c r="I1219" s="2">
        <v>0.96550000000000002</v>
      </c>
      <c r="J1219" s="1">
        <v>8</v>
      </c>
      <c r="K1219" s="3">
        <v>1.3888888888888889E-4</v>
      </c>
      <c r="L1219" s="3">
        <v>1.9791666666666668E-3</v>
      </c>
      <c r="M1219" s="3">
        <v>1.0879629629629629E-3</v>
      </c>
      <c r="N1219" s="2">
        <v>0.86460000000000004</v>
      </c>
      <c r="O1219" s="5">
        <f t="shared" si="64"/>
        <v>0.44333333333333336</v>
      </c>
      <c r="P1219" s="5">
        <f t="shared" si="65"/>
        <v>26.6</v>
      </c>
      <c r="Q1219" s="5">
        <f t="shared" si="66"/>
        <v>0.45916666666666672</v>
      </c>
      <c r="R1219" s="5">
        <f t="shared" si="67"/>
        <v>27.550000000000004</v>
      </c>
    </row>
    <row r="1220" spans="1:18">
      <c r="A1220" s="4">
        <v>45049</v>
      </c>
      <c r="B1220" s="1" t="s">
        <v>18</v>
      </c>
      <c r="C1220" s="1">
        <f t="shared" si="77"/>
        <v>5</v>
      </c>
      <c r="D1220" s="1">
        <f t="shared" si="78"/>
        <v>3</v>
      </c>
      <c r="E1220" s="1">
        <f t="shared" si="79"/>
        <v>2023</v>
      </c>
      <c r="F1220" s="1">
        <v>1219</v>
      </c>
      <c r="G1220" s="1">
        <v>237</v>
      </c>
      <c r="H1220" s="1">
        <v>231</v>
      </c>
      <c r="I1220" s="2">
        <v>0.97470000000000001</v>
      </c>
      <c r="J1220" s="1">
        <v>6</v>
      </c>
      <c r="K1220" s="3">
        <v>1.273148148148148E-4</v>
      </c>
      <c r="L1220" s="3">
        <v>2.0949074074074073E-3</v>
      </c>
      <c r="M1220" s="3">
        <v>1.3773148148148147E-3</v>
      </c>
      <c r="N1220" s="2">
        <v>0.87709999999999999</v>
      </c>
      <c r="O1220" s="5">
        <f t="shared" si="64"/>
        <v>0.4839236111111111</v>
      </c>
      <c r="P1220" s="5">
        <f t="shared" si="65"/>
        <v>29.035416666666666</v>
      </c>
      <c r="Q1220" s="5">
        <f t="shared" si="66"/>
        <v>0.49649305555555551</v>
      </c>
      <c r="R1220" s="5">
        <f t="shared" si="67"/>
        <v>29.789583333333329</v>
      </c>
    </row>
    <row r="1221" spans="1:18">
      <c r="A1221" s="4">
        <v>45050</v>
      </c>
      <c r="B1221" s="1" t="s">
        <v>19</v>
      </c>
      <c r="C1221" s="1">
        <f t="shared" si="77"/>
        <v>5</v>
      </c>
      <c r="D1221" s="1">
        <f t="shared" si="78"/>
        <v>4</v>
      </c>
      <c r="E1221" s="1">
        <f t="shared" si="79"/>
        <v>2023</v>
      </c>
      <c r="F1221" s="1">
        <v>1220</v>
      </c>
      <c r="G1221" s="1">
        <v>42</v>
      </c>
      <c r="H1221" s="1">
        <v>39</v>
      </c>
      <c r="I1221" s="2">
        <v>0.92859999999999998</v>
      </c>
      <c r="J1221" s="1">
        <v>3</v>
      </c>
      <c r="K1221" s="3">
        <v>1.9675925925925926E-4</v>
      </c>
      <c r="L1221" s="3">
        <v>1.9791666666666668E-3</v>
      </c>
      <c r="M1221" s="3">
        <v>1.1574074074074073E-3</v>
      </c>
      <c r="N1221" s="2">
        <v>0.78569999999999995</v>
      </c>
      <c r="O1221" s="5">
        <f t="shared" si="64"/>
        <v>7.7187500000000006E-2</v>
      </c>
      <c r="P1221" s="5">
        <f t="shared" si="65"/>
        <v>4.6312500000000005</v>
      </c>
      <c r="Q1221" s="5">
        <f t="shared" si="66"/>
        <v>8.3125000000000004E-2</v>
      </c>
      <c r="R1221" s="5">
        <f t="shared" si="67"/>
        <v>4.9875000000000007</v>
      </c>
    </row>
    <row r="1222" spans="1:18">
      <c r="A1222" s="4">
        <v>45051</v>
      </c>
      <c r="B1222" s="1" t="s">
        <v>20</v>
      </c>
      <c r="C1222" s="1">
        <f t="shared" si="77"/>
        <v>5</v>
      </c>
      <c r="D1222" s="1">
        <f t="shared" si="78"/>
        <v>5</v>
      </c>
      <c r="E1222" s="1">
        <f t="shared" si="79"/>
        <v>2023</v>
      </c>
      <c r="F1222" s="1">
        <v>1221</v>
      </c>
      <c r="G1222" s="1">
        <v>215</v>
      </c>
      <c r="H1222" s="1">
        <v>211</v>
      </c>
      <c r="I1222" s="2">
        <v>0.98140000000000005</v>
      </c>
      <c r="J1222" s="1">
        <v>4</v>
      </c>
      <c r="K1222" s="3">
        <v>6.9444444444444444E-5</v>
      </c>
      <c r="L1222" s="3">
        <v>2.1527777777777778E-3</v>
      </c>
      <c r="M1222" s="3">
        <v>2.0138888888888888E-3</v>
      </c>
      <c r="N1222" s="2">
        <v>0.94810000000000005</v>
      </c>
      <c r="O1222" s="5">
        <f t="shared" si="64"/>
        <v>0.45423611111111112</v>
      </c>
      <c r="P1222" s="5">
        <f t="shared" si="65"/>
        <v>27.254166666666666</v>
      </c>
      <c r="Q1222" s="5">
        <f t="shared" si="66"/>
        <v>0.46284722222222224</v>
      </c>
      <c r="R1222" s="5">
        <f t="shared" si="67"/>
        <v>27.770833333333336</v>
      </c>
    </row>
    <row r="1223" spans="1:18">
      <c r="A1223" s="4">
        <v>45052</v>
      </c>
      <c r="B1223" s="1" t="s">
        <v>21</v>
      </c>
      <c r="C1223" s="1">
        <f t="shared" si="77"/>
        <v>5</v>
      </c>
      <c r="D1223" s="1">
        <f t="shared" si="78"/>
        <v>6</v>
      </c>
      <c r="E1223" s="1">
        <f t="shared" si="79"/>
        <v>2023</v>
      </c>
      <c r="F1223" s="1">
        <v>1222</v>
      </c>
      <c r="G1223" s="1">
        <v>153</v>
      </c>
      <c r="H1223" s="1">
        <v>152</v>
      </c>
      <c r="I1223" s="2">
        <v>0.99350000000000005</v>
      </c>
      <c r="J1223" s="1">
        <v>1</v>
      </c>
      <c r="K1223" s="3">
        <v>4.6296296296296294E-5</v>
      </c>
      <c r="L1223" s="3">
        <v>1.7939814814814815E-3</v>
      </c>
      <c r="M1223" s="3">
        <v>6.3657407407407413E-4</v>
      </c>
      <c r="N1223" s="2">
        <v>0.9869</v>
      </c>
      <c r="O1223" s="5">
        <f t="shared" si="64"/>
        <v>0.2726851851851852</v>
      </c>
      <c r="P1223" s="5">
        <f t="shared" si="65"/>
        <v>16.361111111111111</v>
      </c>
      <c r="Q1223" s="5">
        <f t="shared" si="66"/>
        <v>0.27447916666666666</v>
      </c>
      <c r="R1223" s="5">
        <f t="shared" si="67"/>
        <v>16.46875</v>
      </c>
    </row>
    <row r="1224" spans="1:18">
      <c r="A1224" s="4">
        <v>45053</v>
      </c>
      <c r="B1224" s="1" t="s">
        <v>22</v>
      </c>
      <c r="C1224" s="1">
        <f t="shared" si="77"/>
        <v>5</v>
      </c>
      <c r="D1224" s="1">
        <f t="shared" si="78"/>
        <v>7</v>
      </c>
      <c r="E1224" s="1">
        <f t="shared" si="79"/>
        <v>2023</v>
      </c>
      <c r="F1224" s="1">
        <v>1223</v>
      </c>
      <c r="G1224" s="1">
        <v>39</v>
      </c>
      <c r="H1224" s="1">
        <v>39</v>
      </c>
      <c r="I1224" s="2">
        <v>1</v>
      </c>
      <c r="J1224" s="1">
        <v>0</v>
      </c>
      <c r="K1224" s="3">
        <v>1.6203703703703703E-4</v>
      </c>
      <c r="L1224" s="3">
        <v>2.5694444444444445E-3</v>
      </c>
      <c r="M1224" s="3">
        <v>1.1226851851851851E-3</v>
      </c>
      <c r="N1224" s="2">
        <v>0.84619999999999995</v>
      </c>
      <c r="O1224" s="5">
        <f t="shared" si="64"/>
        <v>0.10020833333333333</v>
      </c>
      <c r="P1224" s="5">
        <f t="shared" si="65"/>
        <v>6.0125000000000002</v>
      </c>
      <c r="Q1224" s="5">
        <f t="shared" si="66"/>
        <v>0.10020833333333333</v>
      </c>
      <c r="R1224" s="5">
        <f t="shared" si="67"/>
        <v>6.0125000000000002</v>
      </c>
    </row>
    <row r="1225" spans="1:18">
      <c r="A1225" s="4">
        <v>45054</v>
      </c>
      <c r="B1225" s="1" t="s">
        <v>23</v>
      </c>
      <c r="C1225" s="1">
        <f t="shared" si="77"/>
        <v>5</v>
      </c>
      <c r="D1225" s="1">
        <f t="shared" si="78"/>
        <v>8</v>
      </c>
      <c r="E1225" s="1">
        <f t="shared" si="79"/>
        <v>2023</v>
      </c>
      <c r="F1225" s="1">
        <v>1224</v>
      </c>
      <c r="G1225" s="1">
        <v>334</v>
      </c>
      <c r="H1225" s="1">
        <v>322</v>
      </c>
      <c r="I1225" s="2">
        <v>0.96409999999999996</v>
      </c>
      <c r="J1225" s="1">
        <v>12</v>
      </c>
      <c r="K1225" s="3">
        <v>1.9675925925925926E-4</v>
      </c>
      <c r="L1225" s="3">
        <v>2.0370370370370369E-3</v>
      </c>
      <c r="M1225" s="3">
        <v>1.5972222222222223E-3</v>
      </c>
      <c r="N1225" s="2">
        <v>0.77129999999999999</v>
      </c>
      <c r="O1225" s="5">
        <f t="shared" si="64"/>
        <v>0.65592592592592591</v>
      </c>
      <c r="P1225" s="5">
        <f t="shared" si="65"/>
        <v>39.355555555555554</v>
      </c>
      <c r="Q1225" s="5">
        <f t="shared" si="66"/>
        <v>0.68037037037037029</v>
      </c>
      <c r="R1225" s="5">
        <f t="shared" si="67"/>
        <v>40.822222222222216</v>
      </c>
    </row>
    <row r="1226" spans="1:18">
      <c r="A1226" s="4">
        <v>45055</v>
      </c>
      <c r="B1226" s="1" t="s">
        <v>24</v>
      </c>
      <c r="C1226" s="1">
        <f t="shared" si="77"/>
        <v>5</v>
      </c>
      <c r="D1226" s="1">
        <f t="shared" si="78"/>
        <v>9</v>
      </c>
      <c r="E1226" s="1">
        <f t="shared" si="79"/>
        <v>2023</v>
      </c>
      <c r="F1226" s="1">
        <v>1225</v>
      </c>
      <c r="G1226" s="1">
        <v>236</v>
      </c>
      <c r="H1226" s="1">
        <v>225</v>
      </c>
      <c r="I1226" s="2">
        <v>0.95340000000000003</v>
      </c>
      <c r="J1226" s="1">
        <v>11</v>
      </c>
      <c r="K1226" s="3">
        <v>1.5046296296296297E-4</v>
      </c>
      <c r="L1226" s="3">
        <v>2.0023148148148148E-3</v>
      </c>
      <c r="M1226" s="3">
        <v>1.3425925925925925E-3</v>
      </c>
      <c r="N1226" s="2">
        <v>0.85089999999999999</v>
      </c>
      <c r="O1226" s="5">
        <f t="shared" si="64"/>
        <v>0.45052083333333331</v>
      </c>
      <c r="P1226" s="5">
        <f t="shared" si="65"/>
        <v>27.03125</v>
      </c>
      <c r="Q1226" s="5">
        <f t="shared" si="66"/>
        <v>0.4725462962962963</v>
      </c>
      <c r="R1226" s="5">
        <f t="shared" si="67"/>
        <v>28.352777777777778</v>
      </c>
    </row>
    <row r="1227" spans="1:18">
      <c r="A1227" s="4">
        <v>45056</v>
      </c>
      <c r="B1227" s="1" t="s">
        <v>18</v>
      </c>
      <c r="C1227" s="1">
        <f t="shared" si="77"/>
        <v>5</v>
      </c>
      <c r="D1227" s="1">
        <f t="shared" si="78"/>
        <v>10</v>
      </c>
      <c r="E1227" s="1">
        <f t="shared" si="79"/>
        <v>2023</v>
      </c>
      <c r="F1227" s="1">
        <v>1226</v>
      </c>
      <c r="G1227" s="1">
        <v>186</v>
      </c>
      <c r="H1227" s="1">
        <v>182</v>
      </c>
      <c r="I1227" s="2">
        <v>0.97850000000000004</v>
      </c>
      <c r="J1227" s="1">
        <v>4</v>
      </c>
      <c r="K1227" s="3">
        <v>9.2592592592592588E-5</v>
      </c>
      <c r="L1227" s="3">
        <v>1.8287037037037037E-3</v>
      </c>
      <c r="M1227" s="3">
        <v>1.5046296296296296E-3</v>
      </c>
      <c r="N1227" s="2">
        <v>0.95109999999999995</v>
      </c>
      <c r="O1227" s="5">
        <f t="shared" si="64"/>
        <v>0.33282407407407405</v>
      </c>
      <c r="P1227" s="5">
        <f t="shared" si="65"/>
        <v>19.969444444444441</v>
      </c>
      <c r="Q1227" s="5">
        <f t="shared" si="66"/>
        <v>0.34013888888888888</v>
      </c>
      <c r="R1227" s="5">
        <f t="shared" si="67"/>
        <v>20.408333333333331</v>
      </c>
    </row>
    <row r="1228" spans="1:18">
      <c r="A1228" s="4">
        <v>45057</v>
      </c>
      <c r="B1228" s="1" t="s">
        <v>19</v>
      </c>
      <c r="C1228" s="1">
        <f t="shared" si="77"/>
        <v>5</v>
      </c>
      <c r="D1228" s="1">
        <f t="shared" si="78"/>
        <v>11</v>
      </c>
      <c r="E1228" s="1">
        <f t="shared" si="79"/>
        <v>2023</v>
      </c>
      <c r="F1228" s="1">
        <v>1227</v>
      </c>
      <c r="G1228" s="1">
        <v>202</v>
      </c>
      <c r="H1228" s="1">
        <v>197</v>
      </c>
      <c r="I1228" s="2">
        <v>0.97519999999999996</v>
      </c>
      <c r="J1228" s="1">
        <v>5</v>
      </c>
      <c r="K1228" s="3">
        <v>1.5046296296296297E-4</v>
      </c>
      <c r="L1228" s="3">
        <v>1.7708333333333332E-3</v>
      </c>
      <c r="M1228" s="3">
        <v>1.3425925925925925E-3</v>
      </c>
      <c r="N1228" s="2">
        <v>0.87</v>
      </c>
      <c r="O1228" s="5">
        <f t="shared" si="64"/>
        <v>0.34885416666666663</v>
      </c>
      <c r="P1228" s="5">
        <f t="shared" si="65"/>
        <v>20.931249999999999</v>
      </c>
      <c r="Q1228" s="5">
        <f t="shared" si="66"/>
        <v>0.35770833333333329</v>
      </c>
      <c r="R1228" s="5">
        <f t="shared" si="67"/>
        <v>21.462499999999999</v>
      </c>
    </row>
    <row r="1229" spans="1:18">
      <c r="A1229" s="4">
        <v>45058</v>
      </c>
      <c r="B1229" s="1" t="s">
        <v>20</v>
      </c>
      <c r="C1229" s="1">
        <f t="shared" si="77"/>
        <v>5</v>
      </c>
      <c r="D1229" s="1">
        <f t="shared" si="78"/>
        <v>12</v>
      </c>
      <c r="E1229" s="1">
        <f t="shared" si="79"/>
        <v>2023</v>
      </c>
      <c r="F1229" s="1">
        <v>1228</v>
      </c>
      <c r="G1229" s="1">
        <v>185</v>
      </c>
      <c r="H1229" s="1">
        <v>182</v>
      </c>
      <c r="I1229" s="2">
        <v>0.98380000000000001</v>
      </c>
      <c r="J1229" s="1">
        <v>3</v>
      </c>
      <c r="K1229" s="3">
        <v>9.2592592592592588E-5</v>
      </c>
      <c r="L1229" s="3">
        <v>1.9560185185185184E-3</v>
      </c>
      <c r="M1229" s="3">
        <v>1.7708333333333332E-3</v>
      </c>
      <c r="N1229" s="2">
        <v>0.90269999999999995</v>
      </c>
      <c r="O1229" s="5">
        <f t="shared" si="64"/>
        <v>0.35599537037037032</v>
      </c>
      <c r="P1229" s="5">
        <f t="shared" si="65"/>
        <v>21.359722222222221</v>
      </c>
      <c r="Q1229" s="5">
        <f t="shared" si="66"/>
        <v>0.36186342592592591</v>
      </c>
      <c r="R1229" s="5">
        <f t="shared" si="67"/>
        <v>21.711805555555554</v>
      </c>
    </row>
    <row r="1230" spans="1:18">
      <c r="A1230" s="4">
        <v>45059</v>
      </c>
      <c r="B1230" s="1" t="s">
        <v>21</v>
      </c>
      <c r="C1230" s="1">
        <f t="shared" si="77"/>
        <v>5</v>
      </c>
      <c r="D1230" s="1">
        <f t="shared" si="78"/>
        <v>13</v>
      </c>
      <c r="E1230" s="1">
        <f t="shared" si="79"/>
        <v>2023</v>
      </c>
      <c r="F1230" s="1">
        <v>1229</v>
      </c>
      <c r="G1230" s="1">
        <v>38</v>
      </c>
      <c r="H1230" s="1">
        <v>38</v>
      </c>
      <c r="I1230" s="2">
        <v>1</v>
      </c>
      <c r="J1230" s="1">
        <v>0</v>
      </c>
      <c r="K1230" s="3">
        <v>4.6296296296296294E-5</v>
      </c>
      <c r="L1230" s="3">
        <v>2.3842592592592591E-3</v>
      </c>
      <c r="M1230" s="3">
        <v>6.5972222222222224E-4</v>
      </c>
      <c r="N1230" s="2">
        <v>0.97370000000000001</v>
      </c>
      <c r="O1230" s="5">
        <f t="shared" si="64"/>
        <v>9.060185185185185E-2</v>
      </c>
      <c r="P1230" s="5">
        <f t="shared" si="65"/>
        <v>5.4361111111111109</v>
      </c>
      <c r="Q1230" s="5">
        <f t="shared" si="66"/>
        <v>9.060185185185185E-2</v>
      </c>
      <c r="R1230" s="5">
        <f t="shared" si="67"/>
        <v>5.4361111111111109</v>
      </c>
    </row>
    <row r="1231" spans="1:18">
      <c r="A1231" s="4">
        <v>45060</v>
      </c>
      <c r="B1231" s="1" t="s">
        <v>22</v>
      </c>
      <c r="C1231" s="1">
        <f t="shared" si="77"/>
        <v>5</v>
      </c>
      <c r="D1231" s="1">
        <f t="shared" si="78"/>
        <v>14</v>
      </c>
      <c r="E1231" s="1">
        <f t="shared" si="79"/>
        <v>2023</v>
      </c>
      <c r="F1231" s="1">
        <v>1230</v>
      </c>
      <c r="G1231" s="1">
        <v>25</v>
      </c>
      <c r="H1231" s="1">
        <v>24</v>
      </c>
      <c r="I1231" s="2">
        <v>0.96</v>
      </c>
      <c r="J1231" s="1">
        <v>1</v>
      </c>
      <c r="K1231" s="3">
        <v>3.4722222222222222E-5</v>
      </c>
      <c r="L1231" s="3">
        <v>1.8981481481481482E-3</v>
      </c>
      <c r="M1231" s="3">
        <v>5.3240740740740744E-4</v>
      </c>
      <c r="N1231" s="2">
        <v>0.96</v>
      </c>
      <c r="O1231" s="5">
        <f t="shared" si="64"/>
        <v>4.5555555555555557E-2</v>
      </c>
      <c r="P1231" s="5">
        <f t="shared" si="65"/>
        <v>2.7333333333333334</v>
      </c>
      <c r="Q1231" s="5">
        <f t="shared" si="66"/>
        <v>4.7453703703703706E-2</v>
      </c>
      <c r="R1231" s="5">
        <f t="shared" si="67"/>
        <v>2.8472222222222223</v>
      </c>
    </row>
    <row r="1232" spans="1:18">
      <c r="A1232" s="4">
        <v>45061</v>
      </c>
      <c r="B1232" s="1" t="s">
        <v>23</v>
      </c>
      <c r="C1232" s="1">
        <f t="shared" si="77"/>
        <v>5</v>
      </c>
      <c r="D1232" s="1">
        <f t="shared" si="78"/>
        <v>15</v>
      </c>
      <c r="E1232" s="1">
        <f t="shared" si="79"/>
        <v>2023</v>
      </c>
      <c r="F1232" s="1">
        <v>1231</v>
      </c>
      <c r="G1232" s="1">
        <v>203</v>
      </c>
      <c r="H1232" s="1">
        <v>195</v>
      </c>
      <c r="I1232" s="2">
        <v>0.96060000000000001</v>
      </c>
      <c r="J1232" s="1">
        <v>8</v>
      </c>
      <c r="K1232" s="3">
        <v>9.2592592592592588E-5</v>
      </c>
      <c r="L1232" s="3">
        <v>1.8287037037037037E-3</v>
      </c>
      <c r="M1232" s="3">
        <v>5.9490740740740745E-3</v>
      </c>
      <c r="N1232" s="2">
        <v>0.88560000000000005</v>
      </c>
      <c r="O1232" s="5">
        <f t="shared" si="64"/>
        <v>0.35659722222222223</v>
      </c>
      <c r="P1232" s="5">
        <f t="shared" si="65"/>
        <v>21.395833333333336</v>
      </c>
      <c r="Q1232" s="5">
        <f t="shared" si="66"/>
        <v>0.37122685185185184</v>
      </c>
      <c r="R1232" s="5">
        <f t="shared" si="67"/>
        <v>22.273611111111109</v>
      </c>
    </row>
    <row r="1233" spans="1:18">
      <c r="A1233" s="4">
        <v>45062</v>
      </c>
      <c r="B1233" s="1" t="s">
        <v>24</v>
      </c>
      <c r="C1233" s="1">
        <f t="shared" si="77"/>
        <v>5</v>
      </c>
      <c r="D1233" s="1">
        <f t="shared" si="78"/>
        <v>16</v>
      </c>
      <c r="E1233" s="1">
        <f t="shared" si="79"/>
        <v>2023</v>
      </c>
      <c r="F1233" s="1">
        <v>1232</v>
      </c>
      <c r="G1233" s="1">
        <v>296</v>
      </c>
      <c r="H1233" s="1">
        <v>292</v>
      </c>
      <c r="I1233" s="2">
        <v>0.98650000000000004</v>
      </c>
      <c r="J1233" s="1">
        <v>4</v>
      </c>
      <c r="K1233" s="3">
        <v>4.6296296296296294E-5</v>
      </c>
      <c r="L1233" s="3">
        <v>1.8518518518518519E-3</v>
      </c>
      <c r="M1233" s="3">
        <v>6.7129629629629625E-4</v>
      </c>
      <c r="N1233" s="2">
        <v>0.98629999999999995</v>
      </c>
      <c r="O1233" s="5">
        <f t="shared" si="64"/>
        <v>0.54074074074074074</v>
      </c>
      <c r="P1233" s="5">
        <f t="shared" si="65"/>
        <v>32.444444444444443</v>
      </c>
      <c r="Q1233" s="5">
        <f t="shared" si="66"/>
        <v>0.54814814814814816</v>
      </c>
      <c r="R1233" s="5">
        <f t="shared" si="67"/>
        <v>32.888888888888893</v>
      </c>
    </row>
    <row r="1234" spans="1:18">
      <c r="A1234" s="4">
        <v>45063</v>
      </c>
      <c r="B1234" s="1" t="s">
        <v>18</v>
      </c>
      <c r="C1234" s="1">
        <f t="shared" si="77"/>
        <v>5</v>
      </c>
      <c r="D1234" s="1">
        <f t="shared" si="78"/>
        <v>17</v>
      </c>
      <c r="E1234" s="1">
        <f t="shared" si="79"/>
        <v>2023</v>
      </c>
      <c r="F1234" s="1">
        <v>1233</v>
      </c>
      <c r="G1234" s="1">
        <v>233</v>
      </c>
      <c r="H1234" s="1">
        <v>223</v>
      </c>
      <c r="I1234" s="2">
        <v>0.95709999999999995</v>
      </c>
      <c r="J1234" s="1">
        <v>10</v>
      </c>
      <c r="K1234" s="3">
        <v>1.0416666666666667E-4</v>
      </c>
      <c r="L1234" s="3">
        <v>1.9328703703703704E-3</v>
      </c>
      <c r="M1234" s="3">
        <v>1.2268518518518518E-3</v>
      </c>
      <c r="N1234" s="2">
        <v>0.87829999999999997</v>
      </c>
      <c r="O1234" s="5">
        <f t="shared" si="64"/>
        <v>0.43103009259259262</v>
      </c>
      <c r="P1234" s="5">
        <f t="shared" si="65"/>
        <v>25.861805555555556</v>
      </c>
      <c r="Q1234" s="5">
        <f t="shared" si="66"/>
        <v>0.45035879629629633</v>
      </c>
      <c r="R1234" s="5">
        <f t="shared" si="67"/>
        <v>27.021527777777781</v>
      </c>
    </row>
    <row r="1235" spans="1:18">
      <c r="A1235" s="4">
        <v>45064</v>
      </c>
      <c r="B1235" s="1" t="s">
        <v>19</v>
      </c>
      <c r="C1235" s="1">
        <f t="shared" si="77"/>
        <v>5</v>
      </c>
      <c r="D1235" s="1">
        <f t="shared" si="78"/>
        <v>18</v>
      </c>
      <c r="E1235" s="1">
        <f t="shared" si="79"/>
        <v>2023</v>
      </c>
      <c r="F1235" s="1">
        <v>1234</v>
      </c>
      <c r="G1235" s="1">
        <v>198</v>
      </c>
      <c r="H1235" s="1">
        <v>194</v>
      </c>
      <c r="I1235" s="2">
        <v>0.9798</v>
      </c>
      <c r="J1235" s="1">
        <v>4</v>
      </c>
      <c r="K1235" s="3">
        <v>9.2592592592592588E-5</v>
      </c>
      <c r="L1235" s="3">
        <v>1.8749999999999999E-3</v>
      </c>
      <c r="M1235" s="3">
        <v>1.1921296296296296E-3</v>
      </c>
      <c r="N1235" s="2">
        <v>0.91790000000000005</v>
      </c>
      <c r="O1235" s="5">
        <f t="shared" si="64"/>
        <v>0.36374999999999996</v>
      </c>
      <c r="P1235" s="5">
        <f t="shared" si="65"/>
        <v>21.824999999999999</v>
      </c>
      <c r="Q1235" s="5">
        <f t="shared" si="66"/>
        <v>0.37124999999999997</v>
      </c>
      <c r="R1235" s="5">
        <f t="shared" si="67"/>
        <v>22.274999999999999</v>
      </c>
    </row>
    <row r="1236" spans="1:18">
      <c r="A1236" s="4">
        <v>45065</v>
      </c>
      <c r="B1236" s="1" t="s">
        <v>20</v>
      </c>
      <c r="C1236" s="1">
        <f t="shared" si="77"/>
        <v>5</v>
      </c>
      <c r="D1236" s="1">
        <f t="shared" si="78"/>
        <v>19</v>
      </c>
      <c r="E1236" s="1">
        <f t="shared" si="79"/>
        <v>2023</v>
      </c>
      <c r="F1236" s="1">
        <v>1235</v>
      </c>
      <c r="G1236" s="1">
        <v>181</v>
      </c>
      <c r="H1236" s="1">
        <v>179</v>
      </c>
      <c r="I1236" s="2">
        <v>0.98899999999999999</v>
      </c>
      <c r="J1236" s="1">
        <v>2</v>
      </c>
      <c r="K1236" s="3">
        <v>4.6296296296296294E-5</v>
      </c>
      <c r="L1236" s="3">
        <v>1.8402777777777777E-3</v>
      </c>
      <c r="M1236" s="3">
        <v>5.5555555555555556E-4</v>
      </c>
      <c r="N1236" s="2">
        <v>0.99439999999999995</v>
      </c>
      <c r="O1236" s="5">
        <f t="shared" si="64"/>
        <v>0.3294097222222222</v>
      </c>
      <c r="P1236" s="5">
        <f t="shared" si="65"/>
        <v>19.764583333333331</v>
      </c>
      <c r="Q1236" s="5">
        <f t="shared" si="66"/>
        <v>0.33309027777777778</v>
      </c>
      <c r="R1236" s="5">
        <f t="shared" si="67"/>
        <v>19.985416666666666</v>
      </c>
    </row>
    <row r="1237" spans="1:18">
      <c r="A1237" s="4">
        <v>45066</v>
      </c>
      <c r="B1237" s="1" t="s">
        <v>21</v>
      </c>
      <c r="C1237" s="1">
        <f t="shared" si="77"/>
        <v>5</v>
      </c>
      <c r="D1237" s="1">
        <f t="shared" si="78"/>
        <v>20</v>
      </c>
      <c r="E1237" s="1">
        <f t="shared" si="79"/>
        <v>2023</v>
      </c>
      <c r="F1237" s="1">
        <v>1236</v>
      </c>
      <c r="G1237" s="1">
        <v>166</v>
      </c>
      <c r="H1237" s="1">
        <v>162</v>
      </c>
      <c r="I1237" s="2">
        <v>0.97589999999999999</v>
      </c>
      <c r="J1237" s="1">
        <v>4</v>
      </c>
      <c r="K1237" s="3">
        <v>6.9444444444444444E-5</v>
      </c>
      <c r="L1237" s="3">
        <v>1.8402777777777777E-3</v>
      </c>
      <c r="M1237" s="3">
        <v>7.0601851851851847E-4</v>
      </c>
      <c r="N1237" s="2">
        <v>0.93869999999999998</v>
      </c>
      <c r="O1237" s="5">
        <f t="shared" si="64"/>
        <v>0.29812499999999997</v>
      </c>
      <c r="P1237" s="5">
        <f t="shared" si="65"/>
        <v>17.887499999999999</v>
      </c>
      <c r="Q1237" s="5">
        <f t="shared" si="66"/>
        <v>0.30548611111111112</v>
      </c>
      <c r="R1237" s="5">
        <f t="shared" si="67"/>
        <v>18.329166666666666</v>
      </c>
    </row>
    <row r="1238" spans="1:18">
      <c r="A1238" s="4">
        <v>45067</v>
      </c>
      <c r="B1238" s="1" t="s">
        <v>22</v>
      </c>
      <c r="C1238" s="1">
        <f t="shared" si="77"/>
        <v>5</v>
      </c>
      <c r="D1238" s="1">
        <f t="shared" si="78"/>
        <v>21</v>
      </c>
      <c r="E1238" s="1">
        <f t="shared" si="79"/>
        <v>2023</v>
      </c>
      <c r="F1238" s="1">
        <v>1237</v>
      </c>
      <c r="G1238" s="1">
        <v>19</v>
      </c>
      <c r="H1238" s="1">
        <v>19</v>
      </c>
      <c r="I1238" s="2">
        <v>1</v>
      </c>
      <c r="J1238" s="1">
        <v>0</v>
      </c>
      <c r="K1238" s="3">
        <v>3.4722222222222222E-5</v>
      </c>
      <c r="L1238" s="3">
        <v>1.7013888888888888E-3</v>
      </c>
      <c r="M1238" s="3">
        <v>3.4722222222222222E-5</v>
      </c>
      <c r="N1238" s="2">
        <v>1</v>
      </c>
      <c r="O1238" s="5">
        <f t="shared" si="64"/>
        <v>3.2326388888888884E-2</v>
      </c>
      <c r="P1238" s="5">
        <f t="shared" si="65"/>
        <v>1.939583333333333</v>
      </c>
      <c r="Q1238" s="5">
        <f t="shared" si="66"/>
        <v>3.2326388888888884E-2</v>
      </c>
      <c r="R1238" s="5">
        <f t="shared" si="67"/>
        <v>1.939583333333333</v>
      </c>
    </row>
    <row r="1239" spans="1:18">
      <c r="A1239" s="4">
        <v>45068</v>
      </c>
      <c r="B1239" s="1" t="s">
        <v>23</v>
      </c>
      <c r="C1239" s="1">
        <f t="shared" si="77"/>
        <v>5</v>
      </c>
      <c r="D1239" s="1">
        <f t="shared" si="78"/>
        <v>22</v>
      </c>
      <c r="E1239" s="1">
        <f t="shared" si="79"/>
        <v>2023</v>
      </c>
      <c r="F1239" s="1">
        <v>1238</v>
      </c>
      <c r="G1239" s="1">
        <v>196</v>
      </c>
      <c r="H1239" s="1">
        <v>181</v>
      </c>
      <c r="I1239" s="2">
        <v>0.92349999999999999</v>
      </c>
      <c r="J1239" s="1">
        <v>15</v>
      </c>
      <c r="K1239" s="3">
        <v>1.6203703703703703E-4</v>
      </c>
      <c r="L1239" s="3">
        <v>1.8171296296296297E-3</v>
      </c>
      <c r="M1239" s="3">
        <v>1.8055555555555555E-3</v>
      </c>
      <c r="N1239" s="2">
        <v>0.78129999999999999</v>
      </c>
      <c r="O1239" s="5">
        <f t="shared" si="64"/>
        <v>0.32890046296296299</v>
      </c>
      <c r="P1239" s="5">
        <f t="shared" si="65"/>
        <v>19.734027777777779</v>
      </c>
      <c r="Q1239" s="5">
        <f t="shared" si="66"/>
        <v>0.35615740740740742</v>
      </c>
      <c r="R1239" s="5">
        <f t="shared" si="67"/>
        <v>21.369444444444447</v>
      </c>
    </row>
    <row r="1240" spans="1:18">
      <c r="A1240" s="4">
        <v>45069</v>
      </c>
      <c r="B1240" s="1" t="s">
        <v>24</v>
      </c>
      <c r="C1240" s="1">
        <f t="shared" si="77"/>
        <v>5</v>
      </c>
      <c r="D1240" s="1">
        <f t="shared" si="78"/>
        <v>23</v>
      </c>
      <c r="E1240" s="1">
        <f t="shared" si="79"/>
        <v>2023</v>
      </c>
      <c r="F1240" s="1">
        <v>1239</v>
      </c>
      <c r="G1240" s="1">
        <v>176</v>
      </c>
      <c r="H1240" s="1">
        <v>172</v>
      </c>
      <c r="I1240" s="2">
        <v>0.97729999999999995</v>
      </c>
      <c r="J1240" s="1">
        <v>4</v>
      </c>
      <c r="K1240" s="3">
        <v>1.8518518518518518E-4</v>
      </c>
      <c r="L1240" s="3">
        <v>1.736111111111111E-3</v>
      </c>
      <c r="M1240" s="3">
        <v>2.0370370370370369E-3</v>
      </c>
      <c r="N1240" s="2">
        <v>0.79430000000000001</v>
      </c>
      <c r="O1240" s="5">
        <f t="shared" si="64"/>
        <v>0.2986111111111111</v>
      </c>
      <c r="P1240" s="5">
        <f t="shared" si="65"/>
        <v>17.916666666666668</v>
      </c>
      <c r="Q1240" s="5">
        <f t="shared" si="66"/>
        <v>0.30555555555555552</v>
      </c>
      <c r="R1240" s="5">
        <f t="shared" si="67"/>
        <v>18.333333333333332</v>
      </c>
    </row>
    <row r="1241" spans="1:18">
      <c r="A1241" s="4">
        <v>45070</v>
      </c>
      <c r="B1241" s="1" t="s">
        <v>18</v>
      </c>
      <c r="C1241" s="1">
        <f t="shared" si="77"/>
        <v>5</v>
      </c>
      <c r="D1241" s="1">
        <f t="shared" si="78"/>
        <v>24</v>
      </c>
      <c r="E1241" s="1">
        <f t="shared" si="79"/>
        <v>2023</v>
      </c>
      <c r="F1241" s="1">
        <v>1240</v>
      </c>
      <c r="G1241" s="1">
        <v>221</v>
      </c>
      <c r="H1241" s="1">
        <v>209</v>
      </c>
      <c r="I1241" s="2">
        <v>0.94569999999999999</v>
      </c>
      <c r="J1241" s="1">
        <v>12</v>
      </c>
      <c r="K1241" s="3">
        <v>1.3888888888888889E-4</v>
      </c>
      <c r="L1241" s="3">
        <v>1.8749999999999999E-3</v>
      </c>
      <c r="M1241" s="3">
        <v>1.9675925925925924E-3</v>
      </c>
      <c r="N1241" s="2">
        <v>0.8387</v>
      </c>
      <c r="O1241" s="5">
        <f t="shared" si="64"/>
        <v>0.39187499999999997</v>
      </c>
      <c r="P1241" s="5">
        <f t="shared" si="65"/>
        <v>23.512499999999999</v>
      </c>
      <c r="Q1241" s="5">
        <f t="shared" si="66"/>
        <v>0.41437499999999999</v>
      </c>
      <c r="R1241" s="5">
        <f t="shared" si="67"/>
        <v>24.862500000000001</v>
      </c>
    </row>
    <row r="1242" spans="1:18">
      <c r="A1242" s="4">
        <v>45071</v>
      </c>
      <c r="B1242" s="1" t="s">
        <v>19</v>
      </c>
      <c r="C1242" s="1">
        <f t="shared" si="77"/>
        <v>5</v>
      </c>
      <c r="D1242" s="1">
        <f t="shared" si="78"/>
        <v>25</v>
      </c>
      <c r="E1242" s="1">
        <f t="shared" si="79"/>
        <v>2023</v>
      </c>
      <c r="F1242" s="1">
        <v>1241</v>
      </c>
      <c r="G1242" s="1">
        <v>196</v>
      </c>
      <c r="H1242" s="1">
        <v>191</v>
      </c>
      <c r="I1242" s="2">
        <v>0.97450000000000003</v>
      </c>
      <c r="J1242" s="1">
        <v>5</v>
      </c>
      <c r="K1242" s="3">
        <v>1.6203703703703703E-4</v>
      </c>
      <c r="L1242" s="3">
        <v>1.9791666666666668E-3</v>
      </c>
      <c r="M1242" s="3">
        <v>4.0972222222222226E-3</v>
      </c>
      <c r="N1242" s="2">
        <v>0.86009999999999998</v>
      </c>
      <c r="O1242" s="5">
        <f t="shared" si="64"/>
        <v>0.37802083333333336</v>
      </c>
      <c r="P1242" s="5">
        <f t="shared" si="65"/>
        <v>22.681250000000002</v>
      </c>
      <c r="Q1242" s="5">
        <f t="shared" si="66"/>
        <v>0.38791666666666669</v>
      </c>
      <c r="R1242" s="5">
        <f t="shared" si="67"/>
        <v>23.275000000000002</v>
      </c>
    </row>
    <row r="1243" spans="1:18">
      <c r="A1243" s="4">
        <v>45072</v>
      </c>
      <c r="B1243" s="1" t="s">
        <v>20</v>
      </c>
      <c r="C1243" s="1">
        <f t="shared" si="77"/>
        <v>5</v>
      </c>
      <c r="D1243" s="1">
        <f t="shared" si="78"/>
        <v>26</v>
      </c>
      <c r="E1243" s="1">
        <f t="shared" si="79"/>
        <v>2023</v>
      </c>
      <c r="F1243" s="1">
        <v>1242</v>
      </c>
      <c r="G1243" s="1">
        <v>211</v>
      </c>
      <c r="H1243" s="1">
        <v>202</v>
      </c>
      <c r="I1243" s="2">
        <v>0.95730000000000004</v>
      </c>
      <c r="J1243" s="1">
        <v>9</v>
      </c>
      <c r="K1243" s="3">
        <v>1.7361111111111112E-4</v>
      </c>
      <c r="L1243" s="3">
        <v>1.9212962962962964E-3</v>
      </c>
      <c r="M1243" s="3">
        <v>2.0138888888888888E-3</v>
      </c>
      <c r="N1243" s="2">
        <v>0.79330000000000001</v>
      </c>
      <c r="O1243" s="5">
        <f t="shared" si="64"/>
        <v>0.38810185185185186</v>
      </c>
      <c r="P1243" s="5">
        <f t="shared" si="65"/>
        <v>23.286111111111111</v>
      </c>
      <c r="Q1243" s="5">
        <f t="shared" si="66"/>
        <v>0.40539351851851851</v>
      </c>
      <c r="R1243" s="5">
        <f t="shared" si="67"/>
        <v>24.323611111111109</v>
      </c>
    </row>
    <row r="1244" spans="1:18">
      <c r="A1244" s="4">
        <v>45073</v>
      </c>
      <c r="B1244" s="1" t="s">
        <v>21</v>
      </c>
      <c r="C1244" s="1">
        <f t="shared" si="77"/>
        <v>5</v>
      </c>
      <c r="D1244" s="1">
        <f t="shared" si="78"/>
        <v>27</v>
      </c>
      <c r="E1244" s="1">
        <f t="shared" si="79"/>
        <v>2023</v>
      </c>
      <c r="F1244" s="1">
        <v>1243</v>
      </c>
      <c r="G1244" s="1">
        <v>201</v>
      </c>
      <c r="H1244" s="1">
        <v>194</v>
      </c>
      <c r="I1244" s="2">
        <v>0.96519999999999995</v>
      </c>
      <c r="J1244" s="1">
        <v>7</v>
      </c>
      <c r="K1244" s="3">
        <v>1.8518518518518518E-4</v>
      </c>
      <c r="L1244" s="3">
        <v>1.9560185185185184E-3</v>
      </c>
      <c r="M1244" s="3">
        <v>2.4074074074074076E-3</v>
      </c>
      <c r="N1244" s="2">
        <v>0.81410000000000005</v>
      </c>
      <c r="O1244" s="5">
        <f t="shared" si="64"/>
        <v>0.37946759259259255</v>
      </c>
      <c r="P1244" s="5">
        <f t="shared" si="65"/>
        <v>22.768055555555552</v>
      </c>
      <c r="Q1244" s="5">
        <f t="shared" si="66"/>
        <v>0.39315972222222217</v>
      </c>
      <c r="R1244" s="5">
        <f t="shared" si="67"/>
        <v>23.58958333333333</v>
      </c>
    </row>
    <row r="1245" spans="1:18">
      <c r="A1245" s="4">
        <v>45074</v>
      </c>
      <c r="B1245" s="1" t="s">
        <v>22</v>
      </c>
      <c r="C1245" s="1">
        <f t="shared" si="77"/>
        <v>5</v>
      </c>
      <c r="D1245" s="1">
        <f t="shared" si="78"/>
        <v>28</v>
      </c>
      <c r="E1245" s="1">
        <f t="shared" si="79"/>
        <v>2023</v>
      </c>
      <c r="F1245" s="1">
        <v>1244</v>
      </c>
      <c r="G1245" s="1">
        <v>23</v>
      </c>
      <c r="H1245" s="1">
        <v>22</v>
      </c>
      <c r="I1245" s="2">
        <v>0.95650000000000002</v>
      </c>
      <c r="J1245" s="1">
        <v>1</v>
      </c>
      <c r="K1245" s="3">
        <v>1.1574074074074075E-4</v>
      </c>
      <c r="L1245" s="3">
        <v>2.1064814814814813E-3</v>
      </c>
      <c r="M1245" s="3">
        <v>7.1759259259259259E-4</v>
      </c>
      <c r="N1245" s="2">
        <v>0.82609999999999995</v>
      </c>
      <c r="O1245" s="5">
        <f t="shared" si="64"/>
        <v>4.6342592592592588E-2</v>
      </c>
      <c r="P1245" s="5">
        <f t="shared" si="65"/>
        <v>2.7805555555555554</v>
      </c>
      <c r="Q1245" s="5">
        <f t="shared" si="66"/>
        <v>4.8449074074074068E-2</v>
      </c>
      <c r="R1245" s="5">
        <f t="shared" si="67"/>
        <v>2.9069444444444441</v>
      </c>
    </row>
    <row r="1246" spans="1:18">
      <c r="A1246" s="4">
        <v>45075</v>
      </c>
      <c r="B1246" s="1" t="s">
        <v>23</v>
      </c>
      <c r="C1246" s="1">
        <f t="shared" si="77"/>
        <v>5</v>
      </c>
      <c r="D1246" s="1">
        <f t="shared" si="78"/>
        <v>29</v>
      </c>
      <c r="E1246" s="1">
        <f t="shared" si="79"/>
        <v>2023</v>
      </c>
      <c r="F1246" s="1">
        <v>1245</v>
      </c>
      <c r="G1246" s="1">
        <v>225</v>
      </c>
      <c r="H1246" s="1">
        <v>210</v>
      </c>
      <c r="I1246" s="2">
        <v>0.93330000000000002</v>
      </c>
      <c r="J1246" s="1">
        <v>15</v>
      </c>
      <c r="K1246" s="3">
        <v>1.1574074074074075E-4</v>
      </c>
      <c r="L1246" s="3">
        <v>1.8171296296296297E-3</v>
      </c>
      <c r="M1246" s="3">
        <v>2.5115740740740741E-3</v>
      </c>
      <c r="N1246" s="2">
        <v>0.85909999999999997</v>
      </c>
      <c r="O1246" s="5">
        <f t="shared" si="64"/>
        <v>0.38159722222222225</v>
      </c>
      <c r="P1246" s="5">
        <f t="shared" si="65"/>
        <v>22.895833333333336</v>
      </c>
      <c r="Q1246" s="5">
        <f t="shared" si="66"/>
        <v>0.40885416666666669</v>
      </c>
      <c r="R1246" s="5">
        <f t="shared" si="67"/>
        <v>24.53125</v>
      </c>
    </row>
    <row r="1247" spans="1:18">
      <c r="A1247" s="4">
        <v>45076</v>
      </c>
      <c r="B1247" s="1" t="s">
        <v>24</v>
      </c>
      <c r="C1247" s="1">
        <f t="shared" si="77"/>
        <v>5</v>
      </c>
      <c r="D1247" s="1">
        <f t="shared" si="78"/>
        <v>30</v>
      </c>
      <c r="E1247" s="1">
        <f t="shared" si="79"/>
        <v>2023</v>
      </c>
      <c r="F1247" s="1">
        <v>1246</v>
      </c>
      <c r="G1247" s="1">
        <v>202</v>
      </c>
      <c r="H1247" s="1">
        <v>195</v>
      </c>
      <c r="I1247" s="2">
        <v>0.96530000000000005</v>
      </c>
      <c r="J1247" s="1">
        <v>7</v>
      </c>
      <c r="K1247" s="3">
        <v>1.273148148148148E-4</v>
      </c>
      <c r="L1247" s="3">
        <v>1.9328703703703704E-3</v>
      </c>
      <c r="M1247" s="3">
        <v>1.2962962962962963E-3</v>
      </c>
      <c r="N1247" s="2">
        <v>0.86799999999999999</v>
      </c>
      <c r="O1247" s="5">
        <f t="shared" si="64"/>
        <v>0.37690972222222224</v>
      </c>
      <c r="P1247" s="5">
        <f t="shared" si="65"/>
        <v>22.614583333333336</v>
      </c>
      <c r="Q1247" s="5">
        <f t="shared" si="66"/>
        <v>0.39043981481481482</v>
      </c>
      <c r="R1247" s="5">
        <f t="shared" si="67"/>
        <v>23.426388888888891</v>
      </c>
    </row>
    <row r="1248" spans="1:18">
      <c r="A1248" s="4">
        <v>45077</v>
      </c>
      <c r="B1248" s="1" t="s">
        <v>18</v>
      </c>
      <c r="C1248" s="1">
        <f t="shared" si="77"/>
        <v>5</v>
      </c>
      <c r="D1248" s="1">
        <f t="shared" si="78"/>
        <v>31</v>
      </c>
      <c r="E1248" s="1">
        <f t="shared" si="79"/>
        <v>2023</v>
      </c>
      <c r="F1248" s="1">
        <v>1247</v>
      </c>
      <c r="G1248" s="1">
        <v>191</v>
      </c>
      <c r="H1248" s="1">
        <v>184</v>
      </c>
      <c r="I1248" s="2">
        <v>0.96340000000000003</v>
      </c>
      <c r="J1248" s="1">
        <v>7</v>
      </c>
      <c r="K1248" s="3">
        <v>8.1018518518518516E-5</v>
      </c>
      <c r="L1248" s="3">
        <v>1.9675925925925924E-3</v>
      </c>
      <c r="M1248" s="3">
        <v>1.3425925925925925E-3</v>
      </c>
      <c r="N1248" s="2">
        <v>0.92549999999999999</v>
      </c>
      <c r="O1248" s="5">
        <f t="shared" si="64"/>
        <v>0.36203703703703699</v>
      </c>
      <c r="P1248" s="5">
        <f t="shared" si="65"/>
        <v>21.722222222222218</v>
      </c>
      <c r="Q1248" s="5">
        <f t="shared" si="66"/>
        <v>0.37581018518518516</v>
      </c>
      <c r="R1248" s="5">
        <f t="shared" si="67"/>
        <v>22.548611111111111</v>
      </c>
    </row>
    <row r="1249" spans="1:18">
      <c r="A1249" s="4">
        <v>45078</v>
      </c>
      <c r="B1249" s="1" t="s">
        <v>19</v>
      </c>
      <c r="C1249" s="1">
        <f t="shared" si="77"/>
        <v>6</v>
      </c>
      <c r="D1249" s="1">
        <f t="shared" si="78"/>
        <v>1</v>
      </c>
      <c r="E1249" s="1">
        <f t="shared" si="79"/>
        <v>2023</v>
      </c>
      <c r="F1249" s="1">
        <v>1248</v>
      </c>
      <c r="G1249" s="1">
        <v>212</v>
      </c>
      <c r="H1249" s="1">
        <v>209</v>
      </c>
      <c r="I1249" s="2">
        <v>0.98580000000000001</v>
      </c>
      <c r="J1249" s="1">
        <v>3</v>
      </c>
      <c r="K1249" s="3">
        <v>1.1574074074074075E-4</v>
      </c>
      <c r="L1249" s="3">
        <v>1.9791666666666668E-3</v>
      </c>
      <c r="M1249" s="3">
        <v>1.2152777777777778E-3</v>
      </c>
      <c r="N1249" s="2">
        <v>0.89100000000000001</v>
      </c>
      <c r="O1249" s="5">
        <f t="shared" si="64"/>
        <v>0.41364583333333338</v>
      </c>
      <c r="P1249" s="5">
        <f t="shared" si="65"/>
        <v>24.818750000000001</v>
      </c>
      <c r="Q1249" s="5">
        <f t="shared" si="66"/>
        <v>0.41958333333333336</v>
      </c>
      <c r="R1249" s="5">
        <f t="shared" si="67"/>
        <v>25.175000000000001</v>
      </c>
    </row>
    <row r="1250" spans="1:18">
      <c r="A1250" s="4">
        <v>45079</v>
      </c>
      <c r="B1250" s="1" t="s">
        <v>20</v>
      </c>
      <c r="C1250" s="1">
        <f t="shared" si="77"/>
        <v>6</v>
      </c>
      <c r="D1250" s="1">
        <f t="shared" si="78"/>
        <v>2</v>
      </c>
      <c r="E1250" s="1">
        <f t="shared" si="79"/>
        <v>2023</v>
      </c>
      <c r="F1250" s="1">
        <v>1249</v>
      </c>
      <c r="G1250" s="1">
        <v>210</v>
      </c>
      <c r="H1250" s="1">
        <v>203</v>
      </c>
      <c r="I1250" s="2">
        <v>0.9667</v>
      </c>
      <c r="J1250" s="1">
        <v>7</v>
      </c>
      <c r="K1250" s="3">
        <v>1.3888888888888889E-4</v>
      </c>
      <c r="L1250" s="3">
        <v>2.3379629629629631E-3</v>
      </c>
      <c r="M1250" s="3">
        <v>2.685185185185185E-3</v>
      </c>
      <c r="N1250" s="2">
        <v>0.85240000000000005</v>
      </c>
      <c r="O1250" s="5">
        <f t="shared" si="64"/>
        <v>0.47460648148148149</v>
      </c>
      <c r="P1250" s="5">
        <f t="shared" si="65"/>
        <v>28.476388888888888</v>
      </c>
      <c r="Q1250" s="5">
        <f t="shared" si="66"/>
        <v>0.49097222222222225</v>
      </c>
      <c r="R1250" s="5">
        <f t="shared" si="67"/>
        <v>29.458333333333336</v>
      </c>
    </row>
    <row r="1251" spans="1:18">
      <c r="A1251" s="4">
        <v>45080</v>
      </c>
      <c r="B1251" s="1" t="s">
        <v>21</v>
      </c>
      <c r="C1251" s="1">
        <f t="shared" si="77"/>
        <v>6</v>
      </c>
      <c r="D1251" s="1">
        <f t="shared" si="78"/>
        <v>3</v>
      </c>
      <c r="E1251" s="1">
        <f t="shared" si="79"/>
        <v>2023</v>
      </c>
      <c r="F1251" s="1">
        <v>1250</v>
      </c>
      <c r="G1251" s="1">
        <v>167</v>
      </c>
      <c r="H1251" s="1">
        <v>159</v>
      </c>
      <c r="I1251" s="2">
        <v>0.95209999999999995</v>
      </c>
      <c r="J1251" s="1">
        <v>8</v>
      </c>
      <c r="K1251" s="3">
        <v>1.8518518518518518E-4</v>
      </c>
      <c r="L1251" s="3">
        <v>2.2685185185185187E-3</v>
      </c>
      <c r="M1251" s="3">
        <v>1.8749999999999999E-3</v>
      </c>
      <c r="N1251" s="2">
        <v>0.83030000000000004</v>
      </c>
      <c r="O1251" s="5">
        <f t="shared" si="64"/>
        <v>0.36069444444444448</v>
      </c>
      <c r="P1251" s="5">
        <f t="shared" si="65"/>
        <v>21.641666666666669</v>
      </c>
      <c r="Q1251" s="5">
        <f t="shared" si="66"/>
        <v>0.37884259259259262</v>
      </c>
      <c r="R1251" s="5">
        <f t="shared" si="67"/>
        <v>22.730555555555558</v>
      </c>
    </row>
    <row r="1252" spans="1:18">
      <c r="A1252" s="4">
        <v>45081</v>
      </c>
      <c r="B1252" s="1" t="s">
        <v>22</v>
      </c>
      <c r="C1252" s="1">
        <f t="shared" si="77"/>
        <v>6</v>
      </c>
      <c r="D1252" s="1">
        <f t="shared" si="78"/>
        <v>4</v>
      </c>
      <c r="E1252" s="1">
        <f t="shared" si="79"/>
        <v>2023</v>
      </c>
      <c r="F1252" s="1">
        <v>1251</v>
      </c>
      <c r="G1252" s="1">
        <v>12</v>
      </c>
      <c r="H1252" s="1">
        <v>11</v>
      </c>
      <c r="I1252" s="2">
        <v>0.91669999999999996</v>
      </c>
      <c r="J1252" s="1">
        <v>1</v>
      </c>
      <c r="K1252" s="3">
        <v>3.4722222222222222E-5</v>
      </c>
      <c r="L1252" s="3">
        <v>1.5277777777777779E-3</v>
      </c>
      <c r="M1252" s="3">
        <v>6.7129629629629625E-4</v>
      </c>
      <c r="N1252" s="2">
        <v>0.91669999999999996</v>
      </c>
      <c r="O1252" s="5">
        <f t="shared" si="64"/>
        <v>1.6805555555555556E-2</v>
      </c>
      <c r="P1252" s="5">
        <f t="shared" si="65"/>
        <v>1.0083333333333333</v>
      </c>
      <c r="Q1252" s="5">
        <f t="shared" si="66"/>
        <v>1.8333333333333333E-2</v>
      </c>
      <c r="R1252" s="5">
        <f t="shared" si="67"/>
        <v>1.1000000000000001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2C4D-7E53-4EDF-91C3-190FD95FA81B}">
  <dimension ref="A3:C11"/>
  <sheetViews>
    <sheetView workbookViewId="0">
      <selection activeCell="E9" sqref="E9"/>
    </sheetView>
  </sheetViews>
  <sheetFormatPr defaultRowHeight="12.75"/>
  <cols>
    <col min="1" max="1" width="11.28515625" bestFit="1" customWidth="1"/>
    <col min="2" max="2" width="20.85546875" bestFit="1" customWidth="1"/>
    <col min="3" max="5" width="21.42578125" bestFit="1" customWidth="1"/>
  </cols>
  <sheetData>
    <row r="3" spans="1:3">
      <c r="A3" s="6" t="s">
        <v>10</v>
      </c>
      <c r="B3" t="s">
        <v>25</v>
      </c>
      <c r="C3" t="s">
        <v>26</v>
      </c>
    </row>
    <row r="4" spans="1:3">
      <c r="A4" t="s">
        <v>22</v>
      </c>
      <c r="B4" s="7">
        <v>8085</v>
      </c>
      <c r="C4" s="7">
        <v>7354</v>
      </c>
    </row>
    <row r="5" spans="1:3">
      <c r="A5" t="s">
        <v>23</v>
      </c>
      <c r="B5" s="7">
        <v>41245</v>
      </c>
      <c r="C5" s="7">
        <v>37108</v>
      </c>
    </row>
    <row r="6" spans="1:3">
      <c r="A6" t="s">
        <v>24</v>
      </c>
      <c r="B6" s="7">
        <v>40069</v>
      </c>
      <c r="C6" s="7">
        <v>36321</v>
      </c>
    </row>
    <row r="7" spans="1:3">
      <c r="A7" t="s">
        <v>18</v>
      </c>
      <c r="B7" s="7">
        <v>40357</v>
      </c>
      <c r="C7" s="7">
        <v>35873</v>
      </c>
    </row>
    <row r="8" spans="1:3">
      <c r="A8" t="s">
        <v>19</v>
      </c>
      <c r="B8" s="7">
        <v>40713</v>
      </c>
      <c r="C8" s="7">
        <v>35668</v>
      </c>
    </row>
    <row r="9" spans="1:3">
      <c r="A9" t="s">
        <v>20</v>
      </c>
      <c r="B9" s="7">
        <v>40935</v>
      </c>
      <c r="C9" s="7">
        <v>35866</v>
      </c>
    </row>
    <row r="10" spans="1:3">
      <c r="A10" t="s">
        <v>21</v>
      </c>
      <c r="B10" s="7">
        <v>36969</v>
      </c>
      <c r="C10" s="7">
        <v>33044</v>
      </c>
    </row>
    <row r="11" spans="1:3">
      <c r="A11" t="s">
        <v>27</v>
      </c>
      <c r="B11" s="7">
        <v>248373</v>
      </c>
      <c r="C11" s="7">
        <v>221234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9204-3B69-4098-8238-08060671B62C}">
  <dimension ref="A3:B16"/>
  <sheetViews>
    <sheetView workbookViewId="0">
      <selection activeCell="B8" sqref="B8"/>
    </sheetView>
  </sheetViews>
  <sheetFormatPr defaultRowHeight="12.75"/>
  <cols>
    <col min="1" max="1" width="11.28515625" bestFit="1" customWidth="1"/>
    <col min="2" max="2" width="20.85546875" bestFit="1" customWidth="1"/>
    <col min="3" max="3" width="1.85546875" bestFit="1" customWidth="1"/>
    <col min="4" max="81" width="2.85546875" bestFit="1" customWidth="1"/>
    <col min="82" max="396" width="4" bestFit="1" customWidth="1"/>
    <col min="397" max="404" width="5" bestFit="1" customWidth="1"/>
    <col min="405" max="405" width="11.28515625" bestFit="1" customWidth="1"/>
  </cols>
  <sheetData>
    <row r="3" spans="1:2">
      <c r="A3" s="6" t="s">
        <v>11</v>
      </c>
      <c r="B3" t="s">
        <v>25</v>
      </c>
    </row>
    <row r="4" spans="1:2">
      <c r="A4">
        <v>1</v>
      </c>
      <c r="B4" s="7">
        <v>23446</v>
      </c>
    </row>
    <row r="5" spans="1:2">
      <c r="A5">
        <v>2</v>
      </c>
      <c r="B5" s="7">
        <v>25552</v>
      </c>
    </row>
    <row r="6" spans="1:2">
      <c r="A6">
        <v>3</v>
      </c>
      <c r="B6" s="7">
        <v>22754</v>
      </c>
    </row>
    <row r="7" spans="1:2">
      <c r="A7">
        <v>4</v>
      </c>
      <c r="B7" s="7">
        <v>33352</v>
      </c>
    </row>
    <row r="8" spans="1:2">
      <c r="A8">
        <v>5</v>
      </c>
      <c r="B8" s="7">
        <v>23416</v>
      </c>
    </row>
    <row r="9" spans="1:2">
      <c r="A9">
        <v>6</v>
      </c>
      <c r="B9" s="7">
        <v>18993</v>
      </c>
    </row>
    <row r="10" spans="1:2">
      <c r="A10">
        <v>7</v>
      </c>
      <c r="B10" s="7">
        <v>19211</v>
      </c>
    </row>
    <row r="11" spans="1:2">
      <c r="A11">
        <v>8</v>
      </c>
      <c r="B11" s="7">
        <v>15695</v>
      </c>
    </row>
    <row r="12" spans="1:2">
      <c r="A12">
        <v>9</v>
      </c>
      <c r="B12" s="7">
        <v>13416</v>
      </c>
    </row>
    <row r="13" spans="1:2">
      <c r="A13">
        <v>10</v>
      </c>
      <c r="B13" s="7">
        <v>15721</v>
      </c>
    </row>
    <row r="14" spans="1:2">
      <c r="A14">
        <v>11</v>
      </c>
      <c r="B14" s="7">
        <v>16040</v>
      </c>
    </row>
    <row r="15" spans="1:2">
      <c r="A15">
        <v>12</v>
      </c>
      <c r="B15" s="7">
        <v>20777</v>
      </c>
    </row>
    <row r="16" spans="1:2">
      <c r="A16" t="s">
        <v>27</v>
      </c>
      <c r="B16" s="7">
        <v>248373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A24D-BC59-4506-8295-414C06A8090F}">
  <dimension ref="A3:C50"/>
  <sheetViews>
    <sheetView workbookViewId="0">
      <selection activeCell="C10" sqref="C10"/>
    </sheetView>
  </sheetViews>
  <sheetFormatPr defaultRowHeight="12.75"/>
  <cols>
    <col min="1" max="1" width="11.28515625" bestFit="1" customWidth="1"/>
    <col min="3" max="3" width="20.85546875" bestFit="1" customWidth="1"/>
  </cols>
  <sheetData>
    <row r="3" spans="1:3">
      <c r="A3" s="6" t="s">
        <v>13</v>
      </c>
      <c r="B3" s="6" t="s">
        <v>11</v>
      </c>
      <c r="C3" t="s">
        <v>25</v>
      </c>
    </row>
    <row r="4" spans="1:3">
      <c r="A4">
        <v>2020</v>
      </c>
      <c r="B4">
        <v>1</v>
      </c>
      <c r="C4" s="7">
        <v>5805</v>
      </c>
    </row>
    <row r="5" spans="1:3">
      <c r="B5">
        <v>2</v>
      </c>
      <c r="C5" s="7">
        <v>5544</v>
      </c>
    </row>
    <row r="6" spans="1:3">
      <c r="B6">
        <v>3</v>
      </c>
      <c r="C6" s="7">
        <v>4306</v>
      </c>
    </row>
    <row r="7" spans="1:3">
      <c r="B7">
        <v>4</v>
      </c>
      <c r="C7" s="7">
        <v>4888</v>
      </c>
    </row>
    <row r="8" spans="1:3">
      <c r="B8">
        <v>5</v>
      </c>
      <c r="C8" s="7">
        <v>5241</v>
      </c>
    </row>
    <row r="9" spans="1:3">
      <c r="B9">
        <v>6</v>
      </c>
      <c r="C9" s="7">
        <v>3752</v>
      </c>
    </row>
    <row r="10" spans="1:3">
      <c r="B10">
        <v>7</v>
      </c>
      <c r="C10" s="7">
        <v>5723</v>
      </c>
    </row>
    <row r="11" spans="1:3">
      <c r="B11">
        <v>8</v>
      </c>
      <c r="C11" s="7">
        <v>6040</v>
      </c>
    </row>
    <row r="12" spans="1:3">
      <c r="B12">
        <v>9</v>
      </c>
      <c r="C12" s="7">
        <v>4812</v>
      </c>
    </row>
    <row r="13" spans="1:3">
      <c r="B13">
        <v>10</v>
      </c>
      <c r="C13" s="7">
        <v>6536</v>
      </c>
    </row>
    <row r="14" spans="1:3">
      <c r="B14">
        <v>11</v>
      </c>
      <c r="C14" s="7">
        <v>4754</v>
      </c>
    </row>
    <row r="15" spans="1:3">
      <c r="B15">
        <v>12</v>
      </c>
      <c r="C15" s="7">
        <v>6650</v>
      </c>
    </row>
    <row r="16" spans="1:3">
      <c r="A16" t="s">
        <v>28</v>
      </c>
      <c r="C16" s="7">
        <v>64051</v>
      </c>
    </row>
    <row r="17" spans="1:3">
      <c r="A17">
        <v>2021</v>
      </c>
      <c r="B17">
        <v>1</v>
      </c>
      <c r="C17" s="7">
        <v>4779</v>
      </c>
    </row>
    <row r="18" spans="1:3">
      <c r="B18">
        <v>2</v>
      </c>
      <c r="C18" s="7">
        <v>3579</v>
      </c>
    </row>
    <row r="19" spans="1:3">
      <c r="B19">
        <v>3</v>
      </c>
      <c r="C19" s="7">
        <v>3278</v>
      </c>
    </row>
    <row r="20" spans="1:3">
      <c r="B20">
        <v>4</v>
      </c>
      <c r="C20" s="7">
        <v>3275</v>
      </c>
    </row>
    <row r="21" spans="1:3">
      <c r="B21">
        <v>5</v>
      </c>
      <c r="C21" s="7">
        <v>3350</v>
      </c>
    </row>
    <row r="22" spans="1:3">
      <c r="B22">
        <v>6</v>
      </c>
      <c r="C22" s="7">
        <v>4461</v>
      </c>
    </row>
    <row r="23" spans="1:3">
      <c r="B23">
        <v>7</v>
      </c>
      <c r="C23" s="7">
        <v>4394</v>
      </c>
    </row>
    <row r="24" spans="1:3">
      <c r="B24">
        <v>8</v>
      </c>
      <c r="C24" s="7">
        <v>3646</v>
      </c>
    </row>
    <row r="25" spans="1:3">
      <c r="B25">
        <v>9</v>
      </c>
      <c r="C25" s="7">
        <v>3591</v>
      </c>
    </row>
    <row r="26" spans="1:3">
      <c r="B26">
        <v>10</v>
      </c>
      <c r="C26" s="7">
        <v>4124</v>
      </c>
    </row>
    <row r="27" spans="1:3">
      <c r="B27">
        <v>11</v>
      </c>
      <c r="C27" s="7">
        <v>6605</v>
      </c>
    </row>
    <row r="28" spans="1:3">
      <c r="B28">
        <v>12</v>
      </c>
      <c r="C28" s="7">
        <v>6076</v>
      </c>
    </row>
    <row r="29" spans="1:3">
      <c r="A29" t="s">
        <v>29</v>
      </c>
      <c r="C29" s="7">
        <v>51158</v>
      </c>
    </row>
    <row r="30" spans="1:3">
      <c r="A30">
        <v>2022</v>
      </c>
      <c r="B30">
        <v>1</v>
      </c>
      <c r="C30" s="7">
        <v>4965</v>
      </c>
    </row>
    <row r="31" spans="1:3">
      <c r="B31">
        <v>2</v>
      </c>
      <c r="C31" s="7">
        <v>8953</v>
      </c>
    </row>
    <row r="32" spans="1:3">
      <c r="B32">
        <v>3</v>
      </c>
      <c r="C32" s="7">
        <v>10622</v>
      </c>
    </row>
    <row r="33" spans="1:3">
      <c r="B33">
        <v>4</v>
      </c>
      <c r="C33" s="7">
        <v>18641</v>
      </c>
    </row>
    <row r="34" spans="1:3">
      <c r="B34">
        <v>5</v>
      </c>
      <c r="C34" s="7">
        <v>9333</v>
      </c>
    </row>
    <row r="35" spans="1:3">
      <c r="B35">
        <v>6</v>
      </c>
      <c r="C35" s="7">
        <v>10179</v>
      </c>
    </row>
    <row r="36" spans="1:3">
      <c r="B36">
        <v>7</v>
      </c>
      <c r="C36" s="7">
        <v>9094</v>
      </c>
    </row>
    <row r="37" spans="1:3">
      <c r="B37">
        <v>8</v>
      </c>
      <c r="C37" s="7">
        <v>6009</v>
      </c>
    </row>
    <row r="38" spans="1:3">
      <c r="B38">
        <v>9</v>
      </c>
      <c r="C38" s="7">
        <v>5013</v>
      </c>
    </row>
    <row r="39" spans="1:3">
      <c r="B39">
        <v>10</v>
      </c>
      <c r="C39" s="7">
        <v>5061</v>
      </c>
    </row>
    <row r="40" spans="1:3">
      <c r="B40">
        <v>11</v>
      </c>
      <c r="C40" s="7">
        <v>4681</v>
      </c>
    </row>
    <row r="41" spans="1:3">
      <c r="B41">
        <v>12</v>
      </c>
      <c r="C41" s="7">
        <v>8051</v>
      </c>
    </row>
    <row r="42" spans="1:3">
      <c r="A42" t="s">
        <v>30</v>
      </c>
      <c r="C42" s="7">
        <v>100602</v>
      </c>
    </row>
    <row r="43" spans="1:3">
      <c r="A43">
        <v>2023</v>
      </c>
      <c r="B43">
        <v>1</v>
      </c>
      <c r="C43" s="7">
        <v>7897</v>
      </c>
    </row>
    <row r="44" spans="1:3">
      <c r="B44">
        <v>2</v>
      </c>
      <c r="C44" s="7">
        <v>7476</v>
      </c>
    </row>
    <row r="45" spans="1:3">
      <c r="B45">
        <v>3</v>
      </c>
      <c r="C45" s="7">
        <v>4548</v>
      </c>
    </row>
    <row r="46" spans="1:3">
      <c r="B46">
        <v>4</v>
      </c>
      <c r="C46" s="7">
        <v>6548</v>
      </c>
    </row>
    <row r="47" spans="1:3">
      <c r="B47">
        <v>5</v>
      </c>
      <c r="C47" s="7">
        <v>5492</v>
      </c>
    </row>
    <row r="48" spans="1:3">
      <c r="B48">
        <v>6</v>
      </c>
      <c r="C48" s="7">
        <v>601</v>
      </c>
    </row>
    <row r="49" spans="1:3">
      <c r="A49" t="s">
        <v>31</v>
      </c>
      <c r="C49" s="7">
        <v>32562</v>
      </c>
    </row>
    <row r="50" spans="1:3">
      <c r="A50" t="s">
        <v>27</v>
      </c>
      <c r="C50" s="7">
        <v>248373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F34E-FCAF-4D63-95F2-FE731DF98C3F}">
  <dimension ref="A3:F36"/>
  <sheetViews>
    <sheetView tabSelected="1" workbookViewId="0">
      <selection activeCell="A3" sqref="A3"/>
    </sheetView>
  </sheetViews>
  <sheetFormatPr defaultRowHeight="12.75"/>
  <cols>
    <col min="1" max="1" width="20.85546875" bestFit="1" customWidth="1"/>
    <col min="2" max="2" width="14.5703125" bestFit="1" customWidth="1"/>
    <col min="3" max="3" width="7.5703125" bestFit="1" customWidth="1"/>
    <col min="4" max="4" width="5" bestFit="1" customWidth="1"/>
    <col min="5" max="5" width="6" bestFit="1" customWidth="1"/>
    <col min="6" max="6" width="11.28515625" bestFit="1" customWidth="1"/>
    <col min="7" max="17" width="4" bestFit="1" customWidth="1"/>
    <col min="18" max="18" width="5" bestFit="1" customWidth="1"/>
    <col min="19" max="19" width="4" bestFit="1" customWidth="1"/>
    <col min="20" max="24" width="5" bestFit="1" customWidth="1"/>
    <col min="25" max="27" width="4" bestFit="1" customWidth="1"/>
    <col min="28" max="28" width="5" bestFit="1" customWidth="1"/>
    <col min="29" max="29" width="4" bestFit="1" customWidth="1"/>
    <col min="30" max="31" width="5" bestFit="1" customWidth="1"/>
    <col min="32" max="32" width="4" bestFit="1" customWidth="1"/>
    <col min="33" max="33" width="11.28515625" bestFit="1" customWidth="1"/>
    <col min="34" max="62" width="10.140625" bestFit="1" customWidth="1"/>
    <col min="63" max="63" width="11.28515625" bestFit="1" customWidth="1"/>
    <col min="64" max="366" width="10.140625" bestFit="1" customWidth="1"/>
    <col min="367" max="367" width="11.28515625" bestFit="1" customWidth="1"/>
    <col min="368" max="1252" width="10.140625" bestFit="1" customWidth="1"/>
    <col min="1253" max="1253" width="11.28515625" bestFit="1" customWidth="1"/>
  </cols>
  <sheetData>
    <row r="3" spans="1:6">
      <c r="A3" s="6" t="s">
        <v>25</v>
      </c>
      <c r="C3" s="6" t="s">
        <v>13</v>
      </c>
    </row>
    <row r="4" spans="1:6">
      <c r="A4" s="6" t="s">
        <v>11</v>
      </c>
      <c r="B4" s="6" t="s">
        <v>12</v>
      </c>
      <c r="C4">
        <v>2020</v>
      </c>
      <c r="D4">
        <v>2021</v>
      </c>
      <c r="E4">
        <v>2022</v>
      </c>
      <c r="F4" t="s">
        <v>27</v>
      </c>
    </row>
    <row r="5" spans="1:6">
      <c r="A5">
        <v>4</v>
      </c>
      <c r="B5">
        <v>1</v>
      </c>
      <c r="C5" s="7">
        <v>18</v>
      </c>
      <c r="D5" s="7">
        <v>14</v>
      </c>
      <c r="E5" s="7">
        <v>24</v>
      </c>
      <c r="F5" s="7">
        <v>56</v>
      </c>
    </row>
    <row r="6" spans="1:6">
      <c r="B6">
        <v>2</v>
      </c>
      <c r="C6" s="7">
        <v>206</v>
      </c>
      <c r="D6" s="7">
        <v>43</v>
      </c>
      <c r="E6" s="7">
        <v>106</v>
      </c>
      <c r="F6" s="7">
        <v>355</v>
      </c>
    </row>
    <row r="7" spans="1:6">
      <c r="B7">
        <v>3</v>
      </c>
      <c r="C7" s="7">
        <v>194</v>
      </c>
      <c r="D7" s="7">
        <v>74</v>
      </c>
      <c r="E7" s="7">
        <v>52</v>
      </c>
      <c r="F7" s="7">
        <v>320</v>
      </c>
    </row>
    <row r="8" spans="1:6">
      <c r="B8">
        <v>4</v>
      </c>
      <c r="C8" s="7">
        <v>206</v>
      </c>
      <c r="D8" s="7">
        <v>33</v>
      </c>
      <c r="E8" s="7">
        <v>223</v>
      </c>
      <c r="F8" s="7">
        <v>462</v>
      </c>
    </row>
    <row r="9" spans="1:6">
      <c r="B9">
        <v>5</v>
      </c>
      <c r="C9" s="7">
        <v>53</v>
      </c>
      <c r="D9" s="7">
        <v>124</v>
      </c>
      <c r="E9" s="7">
        <v>274</v>
      </c>
      <c r="F9" s="7">
        <v>451</v>
      </c>
    </row>
    <row r="10" spans="1:6">
      <c r="B10">
        <v>6</v>
      </c>
      <c r="C10" s="7">
        <v>147</v>
      </c>
      <c r="D10" s="7">
        <v>130</v>
      </c>
      <c r="E10" s="7">
        <v>280</v>
      </c>
      <c r="F10" s="7">
        <v>557</v>
      </c>
    </row>
    <row r="11" spans="1:6">
      <c r="B11">
        <v>7</v>
      </c>
      <c r="C11" s="7">
        <v>201</v>
      </c>
      <c r="D11" s="7">
        <v>139</v>
      </c>
      <c r="E11" s="7">
        <v>534</v>
      </c>
      <c r="F11" s="7">
        <v>874</v>
      </c>
    </row>
    <row r="12" spans="1:6">
      <c r="B12">
        <v>8</v>
      </c>
      <c r="C12" s="7">
        <v>202</v>
      </c>
      <c r="D12" s="7">
        <v>138</v>
      </c>
      <c r="E12" s="7">
        <v>315</v>
      </c>
      <c r="F12" s="7">
        <v>655</v>
      </c>
    </row>
    <row r="13" spans="1:6">
      <c r="B13">
        <v>9</v>
      </c>
      <c r="C13" s="7">
        <v>226</v>
      </c>
      <c r="D13" s="7">
        <v>125</v>
      </c>
      <c r="E13" s="7">
        <v>122</v>
      </c>
      <c r="F13" s="7">
        <v>473</v>
      </c>
    </row>
    <row r="14" spans="1:6">
      <c r="B14">
        <v>10</v>
      </c>
      <c r="C14" s="7">
        <v>167</v>
      </c>
      <c r="D14" s="7">
        <v>98</v>
      </c>
      <c r="E14" s="7">
        <v>63</v>
      </c>
      <c r="F14" s="7">
        <v>328</v>
      </c>
    </row>
    <row r="15" spans="1:6">
      <c r="B15">
        <v>11</v>
      </c>
      <c r="C15" s="7">
        <v>164</v>
      </c>
      <c r="D15" s="7">
        <v>12</v>
      </c>
      <c r="E15" s="7">
        <v>402</v>
      </c>
      <c r="F15" s="7">
        <v>578</v>
      </c>
    </row>
    <row r="16" spans="1:6">
      <c r="B16">
        <v>12</v>
      </c>
      <c r="C16" s="7">
        <v>42</v>
      </c>
      <c r="D16" s="7">
        <v>119</v>
      </c>
      <c r="E16" s="7">
        <v>413</v>
      </c>
      <c r="F16" s="7">
        <v>574</v>
      </c>
    </row>
    <row r="17" spans="2:6">
      <c r="B17">
        <v>13</v>
      </c>
      <c r="C17" s="7">
        <v>79</v>
      </c>
      <c r="D17" s="7">
        <v>100</v>
      </c>
      <c r="E17" s="7">
        <v>389</v>
      </c>
      <c r="F17" s="7">
        <v>568</v>
      </c>
    </row>
    <row r="18" spans="2:6">
      <c r="B18">
        <v>14</v>
      </c>
      <c r="C18" s="7">
        <v>165</v>
      </c>
      <c r="D18" s="7">
        <v>146</v>
      </c>
      <c r="E18" s="7">
        <v>495</v>
      </c>
      <c r="F18" s="7">
        <v>806</v>
      </c>
    </row>
    <row r="19" spans="2:6">
      <c r="B19">
        <v>15</v>
      </c>
      <c r="C19" s="7">
        <v>180</v>
      </c>
      <c r="D19" s="7">
        <v>131</v>
      </c>
      <c r="E19" s="7">
        <v>712</v>
      </c>
      <c r="F19" s="7">
        <v>1023</v>
      </c>
    </row>
    <row r="20" spans="2:6">
      <c r="B20">
        <v>16</v>
      </c>
      <c r="C20" s="7">
        <v>179</v>
      </c>
      <c r="D20" s="7">
        <v>107</v>
      </c>
      <c r="E20" s="7">
        <v>1057</v>
      </c>
      <c r="F20" s="7">
        <v>1343</v>
      </c>
    </row>
    <row r="21" spans="2:6">
      <c r="B21">
        <v>17</v>
      </c>
      <c r="C21" s="7">
        <v>217</v>
      </c>
      <c r="D21" s="7">
        <v>112</v>
      </c>
      <c r="E21" s="7">
        <v>620</v>
      </c>
      <c r="F21" s="7">
        <v>949</v>
      </c>
    </row>
    <row r="22" spans="2:6">
      <c r="B22">
        <v>18</v>
      </c>
      <c r="C22" s="7">
        <v>171</v>
      </c>
      <c r="D22" s="7">
        <v>21</v>
      </c>
      <c r="E22" s="7">
        <v>1575</v>
      </c>
      <c r="F22" s="7">
        <v>1767</v>
      </c>
    </row>
    <row r="23" spans="2:6">
      <c r="B23">
        <v>19</v>
      </c>
      <c r="C23" s="7">
        <v>37</v>
      </c>
      <c r="D23" s="7">
        <v>125</v>
      </c>
      <c r="E23" s="7">
        <v>1349</v>
      </c>
      <c r="F23" s="7">
        <v>1511</v>
      </c>
    </row>
    <row r="24" spans="2:6">
      <c r="B24">
        <v>20</v>
      </c>
      <c r="C24" s="7">
        <v>215</v>
      </c>
      <c r="D24" s="7">
        <v>35</v>
      </c>
      <c r="E24" s="7">
        <v>999</v>
      </c>
      <c r="F24" s="7">
        <v>1249</v>
      </c>
    </row>
    <row r="25" spans="2:6">
      <c r="B25">
        <v>21</v>
      </c>
      <c r="C25" s="7">
        <v>218</v>
      </c>
      <c r="D25" s="7">
        <v>121</v>
      </c>
      <c r="E25" s="7">
        <v>968</v>
      </c>
      <c r="F25" s="7">
        <v>1307</v>
      </c>
    </row>
    <row r="26" spans="2:6">
      <c r="B26">
        <v>22</v>
      </c>
      <c r="C26" s="7">
        <v>205</v>
      </c>
      <c r="D26" s="7">
        <v>135</v>
      </c>
      <c r="E26" s="7">
        <v>1066</v>
      </c>
      <c r="F26" s="7">
        <v>1406</v>
      </c>
    </row>
    <row r="27" spans="2:6">
      <c r="B27">
        <v>23</v>
      </c>
      <c r="C27" s="7">
        <v>195</v>
      </c>
      <c r="D27" s="7">
        <v>117</v>
      </c>
      <c r="E27" s="7">
        <v>788</v>
      </c>
      <c r="F27" s="7">
        <v>1100</v>
      </c>
    </row>
    <row r="28" spans="2:6">
      <c r="B28">
        <v>24</v>
      </c>
      <c r="C28" s="7">
        <v>181</v>
      </c>
      <c r="D28" s="7">
        <v>114</v>
      </c>
      <c r="E28" s="7">
        <v>252</v>
      </c>
      <c r="F28" s="7">
        <v>547</v>
      </c>
    </row>
    <row r="29" spans="2:6">
      <c r="B29">
        <v>25</v>
      </c>
      <c r="C29" s="7">
        <v>212</v>
      </c>
      <c r="D29" s="7">
        <v>50</v>
      </c>
      <c r="E29" s="7">
        <v>842</v>
      </c>
      <c r="F29" s="7">
        <v>1104</v>
      </c>
    </row>
    <row r="30" spans="2:6">
      <c r="B30">
        <v>26</v>
      </c>
      <c r="C30" s="7">
        <v>33</v>
      </c>
      <c r="D30" s="7">
        <v>207</v>
      </c>
      <c r="E30" s="7">
        <v>847</v>
      </c>
      <c r="F30" s="7">
        <v>1087</v>
      </c>
    </row>
    <row r="31" spans="2:6">
      <c r="B31">
        <v>27</v>
      </c>
      <c r="C31" s="7">
        <v>298</v>
      </c>
      <c r="D31" s="7">
        <v>189</v>
      </c>
      <c r="E31" s="7">
        <v>800</v>
      </c>
      <c r="F31" s="7">
        <v>1287</v>
      </c>
    </row>
    <row r="32" spans="2:6">
      <c r="B32">
        <v>28</v>
      </c>
      <c r="C32" s="7">
        <v>158</v>
      </c>
      <c r="D32" s="7">
        <v>162</v>
      </c>
      <c r="E32" s="7">
        <v>1100</v>
      </c>
      <c r="F32" s="7">
        <v>1420</v>
      </c>
    </row>
    <row r="33" spans="1:6">
      <c r="B33">
        <v>29</v>
      </c>
      <c r="C33" s="7">
        <v>156</v>
      </c>
      <c r="D33" s="7">
        <v>177</v>
      </c>
      <c r="E33" s="7">
        <v>1242</v>
      </c>
      <c r="F33" s="7">
        <v>1575</v>
      </c>
    </row>
    <row r="34" spans="1:6">
      <c r="B34">
        <v>30</v>
      </c>
      <c r="C34" s="7">
        <v>163</v>
      </c>
      <c r="D34" s="7">
        <v>177</v>
      </c>
      <c r="E34" s="7">
        <v>732</v>
      </c>
      <c r="F34" s="7">
        <v>1072</v>
      </c>
    </row>
    <row r="35" spans="1:6">
      <c r="A35" t="s">
        <v>32</v>
      </c>
      <c r="C35" s="7">
        <v>4888</v>
      </c>
      <c r="D35" s="7">
        <v>3275</v>
      </c>
      <c r="E35" s="7">
        <v>18641</v>
      </c>
      <c r="F35" s="7">
        <v>26804</v>
      </c>
    </row>
    <row r="36" spans="1:6">
      <c r="A36" t="s">
        <v>27</v>
      </c>
      <c r="C36" s="7">
        <v>4888</v>
      </c>
      <c r="D36" s="7">
        <v>3275</v>
      </c>
      <c r="E36" s="7">
        <v>18641</v>
      </c>
      <c r="F36" s="7">
        <v>26804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2026-01-17T11:12:40Z</dcterms:created>
  <dcterms:modified xsi:type="dcterms:W3CDTF">2026-01-17T14:26:46Z</dcterms:modified>
  <cp:category/>
  <cp:contentStatus/>
</cp:coreProperties>
</file>